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Aplicaciones Metropol\planillas-cof-web\backend\plantilla\"/>
    </mc:Choice>
  </mc:AlternateContent>
  <xr:revisionPtr revIDLastSave="0" documentId="13_ncr:1_{5BB38CA0-8769-45BC-95E3-75474E6C1EBC}" xr6:coauthVersionLast="47" xr6:coauthVersionMax="47" xr10:uidLastSave="{00000000-0000-0000-0000-000000000000}"/>
  <bookViews>
    <workbookView xWindow="-110" yWindow="-110" windowWidth="19420" windowHeight="10300" xr2:uid="{5DD9F1A3-5C6D-4B21-8ABF-EC504CC1F98F}"/>
  </bookViews>
  <sheets>
    <sheet name="Planilla" sheetId="1" r:id="rId1"/>
  </sheets>
  <definedNames>
    <definedName name="_xlnm._FilterDatabase" localSheetId="0" hidden="1">Planilla!$HF$1:$HI$1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G14" i="1" l="1"/>
  <c r="BI13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BR13" i="1" s="1"/>
  <c r="BH15" i="1"/>
  <c r="BH14" i="1"/>
  <c r="BL11" i="1"/>
  <c r="BM36" i="1" s="1"/>
  <c r="BN36" i="1" s="1"/>
  <c r="BO36" i="1" s="1"/>
  <c r="BC11" i="1"/>
  <c r="AT14" i="1"/>
  <c r="AU14" i="1"/>
  <c r="AT15" i="1"/>
  <c r="AU15" i="1"/>
  <c r="AT16" i="1"/>
  <c r="AU16" i="1"/>
  <c r="AT17" i="1"/>
  <c r="AU17" i="1"/>
  <c r="AT18" i="1"/>
  <c r="AU18" i="1"/>
  <c r="AT19" i="1"/>
  <c r="AU19" i="1"/>
  <c r="AT20" i="1"/>
  <c r="AU20" i="1"/>
  <c r="AT21" i="1"/>
  <c r="AU21" i="1"/>
  <c r="AT22" i="1"/>
  <c r="AU22" i="1"/>
  <c r="AT23" i="1"/>
  <c r="AU23" i="1"/>
  <c r="AT24" i="1"/>
  <c r="AU24" i="1"/>
  <c r="AT25" i="1"/>
  <c r="AU25" i="1"/>
  <c r="AT26" i="1"/>
  <c r="AU26" i="1"/>
  <c r="AT27" i="1"/>
  <c r="AU27" i="1"/>
  <c r="AT28" i="1"/>
  <c r="AU28" i="1"/>
  <c r="AT29" i="1"/>
  <c r="AU29" i="1"/>
  <c r="AT30" i="1"/>
  <c r="AU30" i="1"/>
  <c r="AT31" i="1"/>
  <c r="AU31" i="1"/>
  <c r="AT32" i="1"/>
  <c r="AU32" i="1"/>
  <c r="AT33" i="1"/>
  <c r="AU33" i="1"/>
  <c r="AT34" i="1"/>
  <c r="AU34" i="1"/>
  <c r="AT35" i="1"/>
  <c r="AU35" i="1"/>
  <c r="AT36" i="1"/>
  <c r="AU36" i="1"/>
  <c r="AT37" i="1"/>
  <c r="AU37" i="1"/>
  <c r="AT38" i="1"/>
  <c r="AU38" i="1"/>
  <c r="AT39" i="1"/>
  <c r="AU39" i="1"/>
  <c r="AT40" i="1"/>
  <c r="AU40" i="1"/>
  <c r="AT41" i="1"/>
  <c r="AU41" i="1"/>
  <c r="AT42" i="1"/>
  <c r="AU42" i="1"/>
  <c r="AT43" i="1"/>
  <c r="AU43" i="1"/>
  <c r="AT44" i="1"/>
  <c r="AU44" i="1"/>
  <c r="AT45" i="1"/>
  <c r="AU45" i="1"/>
  <c r="AT46" i="1"/>
  <c r="AU46" i="1"/>
  <c r="AT47" i="1"/>
  <c r="AU47" i="1"/>
  <c r="AT48" i="1"/>
  <c r="AU48" i="1"/>
  <c r="AT49" i="1"/>
  <c r="AU49" i="1"/>
  <c r="AT50" i="1"/>
  <c r="AU50" i="1"/>
  <c r="AT51" i="1"/>
  <c r="AU51" i="1"/>
  <c r="AT52" i="1"/>
  <c r="AU52" i="1"/>
  <c r="AT53" i="1"/>
  <c r="AU53" i="1"/>
  <c r="AT54" i="1"/>
  <c r="AU54" i="1"/>
  <c r="AT55" i="1"/>
  <c r="AU55" i="1"/>
  <c r="AT56" i="1"/>
  <c r="AU56" i="1"/>
  <c r="AT57" i="1"/>
  <c r="AU57" i="1"/>
  <c r="AT58" i="1"/>
  <c r="AU58" i="1"/>
  <c r="AT59" i="1"/>
  <c r="AU59" i="1"/>
  <c r="AT60" i="1"/>
  <c r="AU60" i="1"/>
  <c r="AT61" i="1"/>
  <c r="AU61" i="1"/>
  <c r="AT62" i="1"/>
  <c r="AU62" i="1"/>
  <c r="AT63" i="1"/>
  <c r="AU63" i="1"/>
  <c r="AT64" i="1"/>
  <c r="AU64" i="1"/>
  <c r="AT65" i="1"/>
  <c r="AU65" i="1"/>
  <c r="AT66" i="1"/>
  <c r="AU66" i="1"/>
  <c r="AT67" i="1"/>
  <c r="AU67" i="1"/>
  <c r="AT68" i="1"/>
  <c r="AU68" i="1"/>
  <c r="AT69" i="1"/>
  <c r="AU69" i="1"/>
  <c r="AT70" i="1"/>
  <c r="AU70" i="1"/>
  <c r="AT71" i="1"/>
  <c r="AU71" i="1"/>
  <c r="AT72" i="1"/>
  <c r="AU72" i="1"/>
  <c r="AT73" i="1"/>
  <c r="AU73" i="1"/>
  <c r="AT74" i="1"/>
  <c r="AU74" i="1"/>
  <c r="AT75" i="1"/>
  <c r="AU75" i="1"/>
  <c r="AT76" i="1"/>
  <c r="AU76" i="1"/>
  <c r="AT77" i="1"/>
  <c r="AU77" i="1"/>
  <c r="AT78" i="1"/>
  <c r="AU78" i="1"/>
  <c r="AT79" i="1"/>
  <c r="AU79" i="1"/>
  <c r="AT80" i="1"/>
  <c r="AU80" i="1"/>
  <c r="AT81" i="1"/>
  <c r="AU81" i="1"/>
  <c r="AT82" i="1"/>
  <c r="AU82" i="1"/>
  <c r="AT83" i="1"/>
  <c r="AU83" i="1"/>
  <c r="AT84" i="1"/>
  <c r="AU84" i="1"/>
  <c r="AT85" i="1"/>
  <c r="AU85" i="1"/>
  <c r="AT86" i="1"/>
  <c r="AU86" i="1"/>
  <c r="AT87" i="1"/>
  <c r="AU87" i="1"/>
  <c r="AT88" i="1"/>
  <c r="AU88" i="1"/>
  <c r="AT89" i="1"/>
  <c r="AU89" i="1"/>
  <c r="AT90" i="1"/>
  <c r="AU90" i="1"/>
  <c r="AT91" i="1"/>
  <c r="AU91" i="1"/>
  <c r="AT92" i="1"/>
  <c r="AU92" i="1"/>
  <c r="AT93" i="1"/>
  <c r="AU93" i="1"/>
  <c r="AT94" i="1"/>
  <c r="AU94" i="1"/>
  <c r="AT95" i="1"/>
  <c r="AU95" i="1"/>
  <c r="AT96" i="1"/>
  <c r="AU96" i="1"/>
  <c r="AT97" i="1"/>
  <c r="AU97" i="1"/>
  <c r="AT98" i="1"/>
  <c r="AU98" i="1"/>
  <c r="AT99" i="1"/>
  <c r="AU99" i="1"/>
  <c r="AT100" i="1"/>
  <c r="AU100" i="1"/>
  <c r="AT101" i="1"/>
  <c r="AU101" i="1"/>
  <c r="AT102" i="1"/>
  <c r="AU102" i="1"/>
  <c r="AT103" i="1"/>
  <c r="AU103" i="1"/>
  <c r="AT104" i="1"/>
  <c r="AU104" i="1"/>
  <c r="AT105" i="1"/>
  <c r="AU105" i="1"/>
  <c r="AT106" i="1"/>
  <c r="AU106" i="1"/>
  <c r="AT107" i="1"/>
  <c r="AU107" i="1"/>
  <c r="AT108" i="1"/>
  <c r="AU108" i="1"/>
  <c r="AT109" i="1"/>
  <c r="AU109" i="1"/>
  <c r="AT110" i="1"/>
  <c r="AU110" i="1"/>
  <c r="AT111" i="1"/>
  <c r="AU111" i="1"/>
  <c r="AT112" i="1"/>
  <c r="AU112" i="1"/>
  <c r="AT113" i="1"/>
  <c r="AU113" i="1"/>
  <c r="AT114" i="1"/>
  <c r="AU114" i="1"/>
  <c r="AT115" i="1"/>
  <c r="AU115" i="1"/>
  <c r="AT116" i="1"/>
  <c r="AU116" i="1"/>
  <c r="AT117" i="1"/>
  <c r="AU117" i="1"/>
  <c r="AT118" i="1"/>
  <c r="AU118" i="1"/>
  <c r="AT119" i="1"/>
  <c r="AU119" i="1"/>
  <c r="AT120" i="1"/>
  <c r="AU120" i="1"/>
  <c r="AT121" i="1"/>
  <c r="AU121" i="1"/>
  <c r="AT122" i="1"/>
  <c r="AU122" i="1"/>
  <c r="AT123" i="1"/>
  <c r="AU123" i="1"/>
  <c r="AT124" i="1"/>
  <c r="AU124" i="1"/>
  <c r="AT125" i="1"/>
  <c r="AU125" i="1"/>
  <c r="AT126" i="1"/>
  <c r="AU126" i="1"/>
  <c r="AT127" i="1"/>
  <c r="AU127" i="1"/>
  <c r="AT128" i="1"/>
  <c r="AU128" i="1"/>
  <c r="AT129" i="1"/>
  <c r="AU129" i="1"/>
  <c r="AT130" i="1"/>
  <c r="AU130" i="1"/>
  <c r="AT131" i="1"/>
  <c r="AU131" i="1"/>
  <c r="AT132" i="1"/>
  <c r="AU132" i="1"/>
  <c r="AT133" i="1"/>
  <c r="AU133" i="1"/>
  <c r="AT134" i="1"/>
  <c r="AU134" i="1"/>
  <c r="AT135" i="1"/>
  <c r="AU135" i="1"/>
  <c r="AT136" i="1"/>
  <c r="AU136" i="1"/>
  <c r="AT137" i="1"/>
  <c r="AU137" i="1"/>
  <c r="AT138" i="1"/>
  <c r="AU138" i="1"/>
  <c r="AT139" i="1"/>
  <c r="AU139" i="1"/>
  <c r="AT140" i="1"/>
  <c r="AU140" i="1"/>
  <c r="AT141" i="1"/>
  <c r="AU141" i="1"/>
  <c r="AT142" i="1"/>
  <c r="AU142" i="1"/>
  <c r="AT143" i="1"/>
  <c r="AU143" i="1"/>
  <c r="AT144" i="1"/>
  <c r="AU144" i="1"/>
  <c r="AT145" i="1"/>
  <c r="AU145" i="1"/>
  <c r="AT146" i="1"/>
  <c r="AU146" i="1"/>
  <c r="AT147" i="1"/>
  <c r="AU147" i="1"/>
  <c r="AT148" i="1"/>
  <c r="AU148" i="1"/>
  <c r="AT149" i="1"/>
  <c r="AU149" i="1"/>
  <c r="AT150" i="1"/>
  <c r="AU150" i="1"/>
  <c r="AT151" i="1"/>
  <c r="AU151" i="1"/>
  <c r="AT152" i="1"/>
  <c r="AU152" i="1"/>
  <c r="AT153" i="1"/>
  <c r="AU153" i="1"/>
  <c r="AT154" i="1"/>
  <c r="AU154" i="1"/>
  <c r="AT155" i="1"/>
  <c r="AU155" i="1"/>
  <c r="AT156" i="1"/>
  <c r="AU156" i="1"/>
  <c r="AT157" i="1"/>
  <c r="AU157" i="1"/>
  <c r="AT158" i="1"/>
  <c r="AU158" i="1"/>
  <c r="AT159" i="1"/>
  <c r="AU159" i="1"/>
  <c r="AT160" i="1"/>
  <c r="AU160" i="1"/>
  <c r="AT161" i="1"/>
  <c r="AU161" i="1"/>
  <c r="AT162" i="1"/>
  <c r="AU162" i="1"/>
  <c r="AT163" i="1"/>
  <c r="AU163" i="1"/>
  <c r="AT164" i="1"/>
  <c r="AU164" i="1"/>
  <c r="AT165" i="1"/>
  <c r="AU165" i="1"/>
  <c r="AT166" i="1"/>
  <c r="AU166" i="1"/>
  <c r="AT167" i="1"/>
  <c r="AU167" i="1"/>
  <c r="AT168" i="1"/>
  <c r="AU168" i="1"/>
  <c r="AT169" i="1"/>
  <c r="AU169" i="1"/>
  <c r="AT170" i="1"/>
  <c r="AU170" i="1"/>
  <c r="AT171" i="1"/>
  <c r="AU171" i="1"/>
  <c r="AT172" i="1"/>
  <c r="AU172" i="1"/>
  <c r="AT173" i="1"/>
  <c r="AU173" i="1"/>
  <c r="AT174" i="1"/>
  <c r="AU174" i="1"/>
  <c r="AT175" i="1"/>
  <c r="AU175" i="1"/>
  <c r="AT176" i="1"/>
  <c r="AU176" i="1"/>
  <c r="AT177" i="1"/>
  <c r="AU177" i="1"/>
  <c r="AT178" i="1"/>
  <c r="AU178" i="1"/>
  <c r="AT179" i="1"/>
  <c r="AU179" i="1"/>
  <c r="AT180" i="1"/>
  <c r="AU180" i="1"/>
  <c r="AT181" i="1"/>
  <c r="AU181" i="1"/>
  <c r="AT182" i="1"/>
  <c r="AU182" i="1"/>
  <c r="AT183" i="1"/>
  <c r="AU183" i="1"/>
  <c r="AT184" i="1"/>
  <c r="AU184" i="1"/>
  <c r="AT185" i="1"/>
  <c r="AU185" i="1"/>
  <c r="AT186" i="1"/>
  <c r="AU186" i="1"/>
  <c r="AT187" i="1"/>
  <c r="AU187" i="1"/>
  <c r="AT188" i="1"/>
  <c r="AU188" i="1"/>
  <c r="AT189" i="1"/>
  <c r="AU189" i="1"/>
  <c r="AT190" i="1"/>
  <c r="AU190" i="1"/>
  <c r="AT191" i="1"/>
  <c r="AU191" i="1"/>
  <c r="AT192" i="1"/>
  <c r="AU192" i="1"/>
  <c r="AT193" i="1"/>
  <c r="AU193" i="1"/>
  <c r="AT194" i="1"/>
  <c r="AU194" i="1"/>
  <c r="AT195" i="1"/>
  <c r="AU195" i="1"/>
  <c r="AT196" i="1"/>
  <c r="AU196" i="1"/>
  <c r="AT197" i="1"/>
  <c r="AU197" i="1"/>
  <c r="AT198" i="1"/>
  <c r="AU198" i="1"/>
  <c r="AT199" i="1"/>
  <c r="AU199" i="1"/>
  <c r="AT200" i="1"/>
  <c r="AU200" i="1"/>
  <c r="AT201" i="1"/>
  <c r="AU201" i="1"/>
  <c r="AT202" i="1"/>
  <c r="AU202" i="1"/>
  <c r="AT203" i="1"/>
  <c r="AU203" i="1"/>
  <c r="AT204" i="1"/>
  <c r="AU204" i="1"/>
  <c r="AT205" i="1"/>
  <c r="AU205" i="1"/>
  <c r="AT206" i="1"/>
  <c r="AU206" i="1"/>
  <c r="AT207" i="1"/>
  <c r="AU207" i="1"/>
  <c r="AT208" i="1"/>
  <c r="AU208" i="1"/>
  <c r="AT209" i="1"/>
  <c r="AU209" i="1"/>
  <c r="AT210" i="1"/>
  <c r="AU210" i="1"/>
  <c r="AT211" i="1"/>
  <c r="AU211" i="1"/>
  <c r="AT212" i="1"/>
  <c r="AU212" i="1"/>
  <c r="AT213" i="1"/>
  <c r="AU213" i="1"/>
  <c r="AT214" i="1"/>
  <c r="AU214" i="1"/>
  <c r="AT215" i="1"/>
  <c r="AU215" i="1"/>
  <c r="AT216" i="1"/>
  <c r="AU216" i="1"/>
  <c r="AT217" i="1"/>
  <c r="AU217" i="1"/>
  <c r="AT218" i="1"/>
  <c r="AU218" i="1"/>
  <c r="AT219" i="1"/>
  <c r="AU219" i="1"/>
  <c r="AT220" i="1"/>
  <c r="AU220" i="1"/>
  <c r="AT221" i="1"/>
  <c r="AU221" i="1"/>
  <c r="AT222" i="1"/>
  <c r="AU222" i="1"/>
  <c r="AT223" i="1"/>
  <c r="AU223" i="1"/>
  <c r="AT224" i="1"/>
  <c r="AU224" i="1"/>
  <c r="AT225" i="1"/>
  <c r="AU225" i="1"/>
  <c r="AT226" i="1"/>
  <c r="AU226" i="1"/>
  <c r="AT227" i="1"/>
  <c r="AU227" i="1"/>
  <c r="AT228" i="1"/>
  <c r="AU228" i="1"/>
  <c r="AT229" i="1"/>
  <c r="AU229" i="1"/>
  <c r="AT230" i="1"/>
  <c r="AU230" i="1"/>
  <c r="AT231" i="1"/>
  <c r="AU231" i="1"/>
  <c r="AT232" i="1"/>
  <c r="AU232" i="1"/>
  <c r="AT233" i="1"/>
  <c r="AU233" i="1"/>
  <c r="AT234" i="1"/>
  <c r="AU234" i="1"/>
  <c r="AT235" i="1"/>
  <c r="AU235" i="1"/>
  <c r="AT236" i="1"/>
  <c r="AU236" i="1"/>
  <c r="AT237" i="1"/>
  <c r="AU237" i="1"/>
  <c r="AT238" i="1"/>
  <c r="AU238" i="1"/>
  <c r="AT239" i="1"/>
  <c r="AU239" i="1"/>
  <c r="AT240" i="1"/>
  <c r="AU240" i="1"/>
  <c r="AT241" i="1"/>
  <c r="AU241" i="1"/>
  <c r="AT242" i="1"/>
  <c r="AU242" i="1"/>
  <c r="AT243" i="1"/>
  <c r="AU243" i="1"/>
  <c r="AT244" i="1"/>
  <c r="AU244" i="1"/>
  <c r="AT245" i="1"/>
  <c r="AU245" i="1"/>
  <c r="AT246" i="1"/>
  <c r="AU246" i="1"/>
  <c r="AT247" i="1"/>
  <c r="AU247" i="1"/>
  <c r="AT248" i="1"/>
  <c r="AU248" i="1"/>
  <c r="AT249" i="1"/>
  <c r="AU249" i="1"/>
  <c r="AT250" i="1"/>
  <c r="AU250" i="1"/>
  <c r="AT251" i="1"/>
  <c r="AU251" i="1"/>
  <c r="AT252" i="1"/>
  <c r="AU252" i="1"/>
  <c r="AT253" i="1"/>
  <c r="AU253" i="1"/>
  <c r="AT254" i="1"/>
  <c r="AU254" i="1"/>
  <c r="AT255" i="1"/>
  <c r="AU255" i="1"/>
  <c r="AT256" i="1"/>
  <c r="AU256" i="1"/>
  <c r="AT257" i="1"/>
  <c r="AU257" i="1"/>
  <c r="AT258" i="1"/>
  <c r="AU258" i="1"/>
  <c r="AT259" i="1"/>
  <c r="AU259" i="1"/>
  <c r="AT260" i="1"/>
  <c r="AU260" i="1"/>
  <c r="AT261" i="1"/>
  <c r="AU261" i="1"/>
  <c r="AT262" i="1"/>
  <c r="AU262" i="1"/>
  <c r="AT263" i="1"/>
  <c r="AU263" i="1"/>
  <c r="AT264" i="1"/>
  <c r="AU264" i="1"/>
  <c r="AT265" i="1"/>
  <c r="AU265" i="1"/>
  <c r="AT266" i="1"/>
  <c r="AU266" i="1"/>
  <c r="AT267" i="1"/>
  <c r="AU267" i="1"/>
  <c r="AT268" i="1"/>
  <c r="AU268" i="1"/>
  <c r="AT269" i="1"/>
  <c r="AU269" i="1"/>
  <c r="AT270" i="1"/>
  <c r="AU270" i="1"/>
  <c r="AT271" i="1"/>
  <c r="AU271" i="1"/>
  <c r="AT272" i="1"/>
  <c r="AU272" i="1"/>
  <c r="AT273" i="1"/>
  <c r="AU273" i="1"/>
  <c r="AT274" i="1"/>
  <c r="AU274" i="1"/>
  <c r="AT275" i="1"/>
  <c r="AU275" i="1"/>
  <c r="AT276" i="1"/>
  <c r="AU276" i="1"/>
  <c r="AT277" i="1"/>
  <c r="AU277" i="1"/>
  <c r="AT278" i="1"/>
  <c r="AU278" i="1"/>
  <c r="AT279" i="1"/>
  <c r="AU279" i="1"/>
  <c r="AT280" i="1"/>
  <c r="AU280" i="1"/>
  <c r="AT281" i="1"/>
  <c r="AU281" i="1"/>
  <c r="AT282" i="1"/>
  <c r="AU282" i="1"/>
  <c r="AT283" i="1"/>
  <c r="AU283" i="1"/>
  <c r="AT284" i="1"/>
  <c r="AU284" i="1"/>
  <c r="AT285" i="1"/>
  <c r="AU285" i="1"/>
  <c r="AT286" i="1"/>
  <c r="AU286" i="1"/>
  <c r="AT287" i="1"/>
  <c r="AU287" i="1"/>
  <c r="AT288" i="1"/>
  <c r="AU288" i="1"/>
  <c r="AT289" i="1"/>
  <c r="AU289" i="1"/>
  <c r="AT290" i="1"/>
  <c r="AU290" i="1"/>
  <c r="AT291" i="1"/>
  <c r="AU291" i="1"/>
  <c r="AT292" i="1"/>
  <c r="AU292" i="1"/>
  <c r="AT293" i="1"/>
  <c r="AU293" i="1"/>
  <c r="AT294" i="1"/>
  <c r="AU294" i="1"/>
  <c r="AT295" i="1"/>
  <c r="AU295" i="1"/>
  <c r="AT296" i="1"/>
  <c r="AU296" i="1"/>
  <c r="AT297" i="1"/>
  <c r="AU297" i="1"/>
  <c r="AT298" i="1"/>
  <c r="AU298" i="1"/>
  <c r="AT299" i="1"/>
  <c r="AU299" i="1"/>
  <c r="AT300" i="1"/>
  <c r="AU300" i="1"/>
  <c r="AT301" i="1"/>
  <c r="AU301" i="1"/>
  <c r="AT302" i="1"/>
  <c r="AU302" i="1"/>
  <c r="AT303" i="1"/>
  <c r="AU303" i="1"/>
  <c r="AT304" i="1"/>
  <c r="AU304" i="1"/>
  <c r="AT305" i="1"/>
  <c r="AU305" i="1"/>
  <c r="AT306" i="1"/>
  <c r="AU306" i="1"/>
  <c r="AT307" i="1"/>
  <c r="AU307" i="1"/>
  <c r="AT308" i="1"/>
  <c r="AU308" i="1"/>
  <c r="AT309" i="1"/>
  <c r="AU309" i="1"/>
  <c r="AT310" i="1"/>
  <c r="AU310" i="1"/>
  <c r="AT311" i="1"/>
  <c r="AU311" i="1"/>
  <c r="AT312" i="1"/>
  <c r="AU312" i="1"/>
  <c r="AT313" i="1"/>
  <c r="AU313" i="1"/>
  <c r="AT314" i="1"/>
  <c r="AU314" i="1"/>
  <c r="AT315" i="1"/>
  <c r="AU315" i="1"/>
  <c r="AT316" i="1"/>
  <c r="AU316" i="1"/>
  <c r="AT317" i="1"/>
  <c r="AU317" i="1"/>
  <c r="AT318" i="1"/>
  <c r="AU318" i="1"/>
  <c r="AT319" i="1"/>
  <c r="AU319" i="1"/>
  <c r="AT320" i="1"/>
  <c r="AU320" i="1"/>
  <c r="AT321" i="1"/>
  <c r="AU321" i="1"/>
  <c r="AT322" i="1"/>
  <c r="AU322" i="1"/>
  <c r="AT323" i="1"/>
  <c r="AU323" i="1"/>
  <c r="AT324" i="1"/>
  <c r="AU324" i="1"/>
  <c r="AT325" i="1"/>
  <c r="AU325" i="1"/>
  <c r="AT326" i="1"/>
  <c r="AU326" i="1"/>
  <c r="AT327" i="1"/>
  <c r="AU327" i="1"/>
  <c r="AT328" i="1"/>
  <c r="AU328" i="1"/>
  <c r="AT329" i="1"/>
  <c r="AU329" i="1"/>
  <c r="AT330" i="1"/>
  <c r="AU330" i="1"/>
  <c r="AT331" i="1"/>
  <c r="AU331" i="1"/>
  <c r="AT332" i="1"/>
  <c r="AU332" i="1"/>
  <c r="AT333" i="1"/>
  <c r="AU333" i="1"/>
  <c r="AT334" i="1"/>
  <c r="AU334" i="1"/>
  <c r="AT335" i="1"/>
  <c r="AU335" i="1"/>
  <c r="AT336" i="1"/>
  <c r="AU336" i="1"/>
  <c r="AT337" i="1"/>
  <c r="AU337" i="1"/>
  <c r="AT338" i="1"/>
  <c r="AU338" i="1"/>
  <c r="AT339" i="1"/>
  <c r="AU339" i="1"/>
  <c r="AT340" i="1"/>
  <c r="AU340" i="1"/>
  <c r="AT341" i="1"/>
  <c r="AU341" i="1"/>
  <c r="AT342" i="1"/>
  <c r="AU342" i="1"/>
  <c r="AT343" i="1"/>
  <c r="AU343" i="1"/>
  <c r="AT344" i="1"/>
  <c r="AU344" i="1"/>
  <c r="AT345" i="1"/>
  <c r="AU345" i="1"/>
  <c r="AT346" i="1"/>
  <c r="AU346" i="1"/>
  <c r="AT347" i="1"/>
  <c r="AU347" i="1"/>
  <c r="AT348" i="1"/>
  <c r="AU348" i="1"/>
  <c r="AT349" i="1"/>
  <c r="AU349" i="1"/>
  <c r="AT350" i="1"/>
  <c r="AU350" i="1"/>
  <c r="AT351" i="1"/>
  <c r="AU351" i="1"/>
  <c r="AT352" i="1"/>
  <c r="AU352" i="1"/>
  <c r="AT353" i="1"/>
  <c r="AU353" i="1"/>
  <c r="AT354" i="1"/>
  <c r="AU354" i="1"/>
  <c r="AT355" i="1"/>
  <c r="AU355" i="1"/>
  <c r="AT356" i="1"/>
  <c r="AU356" i="1"/>
  <c r="AT357" i="1"/>
  <c r="AU357" i="1"/>
  <c r="AT358" i="1"/>
  <c r="AU358" i="1"/>
  <c r="AT359" i="1"/>
  <c r="AU359" i="1"/>
  <c r="AT360" i="1"/>
  <c r="AU360" i="1"/>
  <c r="AT361" i="1"/>
  <c r="AU361" i="1"/>
  <c r="AT362" i="1"/>
  <c r="AU362" i="1"/>
  <c r="AT363" i="1"/>
  <c r="AU363" i="1"/>
  <c r="AT364" i="1"/>
  <c r="AU364" i="1"/>
  <c r="AT365" i="1"/>
  <c r="AU365" i="1"/>
  <c r="AT366" i="1"/>
  <c r="AU366" i="1"/>
  <c r="AT367" i="1"/>
  <c r="AU367" i="1"/>
  <c r="AT368" i="1"/>
  <c r="AU368" i="1"/>
  <c r="AT369" i="1"/>
  <c r="AU369" i="1"/>
  <c r="AT370" i="1"/>
  <c r="AU370" i="1"/>
  <c r="AT371" i="1"/>
  <c r="AU371" i="1"/>
  <c r="AT372" i="1"/>
  <c r="AU372" i="1"/>
  <c r="AT373" i="1"/>
  <c r="AU373" i="1"/>
  <c r="AT374" i="1"/>
  <c r="AU374" i="1"/>
  <c r="AT375" i="1"/>
  <c r="AU375" i="1"/>
  <c r="AT376" i="1"/>
  <c r="AU376" i="1"/>
  <c r="AT377" i="1"/>
  <c r="AU377" i="1"/>
  <c r="AT378" i="1"/>
  <c r="AU378" i="1"/>
  <c r="AT379" i="1"/>
  <c r="AU379" i="1"/>
  <c r="AT380" i="1"/>
  <c r="AU380" i="1"/>
  <c r="AT381" i="1"/>
  <c r="AU381" i="1"/>
  <c r="AT382" i="1"/>
  <c r="AU382" i="1"/>
  <c r="AT383" i="1"/>
  <c r="AU383" i="1"/>
  <c r="AT384" i="1"/>
  <c r="AU384" i="1"/>
  <c r="AT385" i="1"/>
  <c r="AU385" i="1"/>
  <c r="AT386" i="1"/>
  <c r="AU386" i="1"/>
  <c r="AT387" i="1"/>
  <c r="AU387" i="1"/>
  <c r="AT388" i="1"/>
  <c r="AU388" i="1"/>
  <c r="AT389" i="1"/>
  <c r="AU389" i="1"/>
  <c r="AT390" i="1"/>
  <c r="AU390" i="1"/>
  <c r="AT391" i="1"/>
  <c r="AU391" i="1"/>
  <c r="AT392" i="1"/>
  <c r="AU392" i="1"/>
  <c r="AT393" i="1"/>
  <c r="AU393" i="1"/>
  <c r="AT394" i="1"/>
  <c r="AU394" i="1"/>
  <c r="AT395" i="1"/>
  <c r="AU395" i="1"/>
  <c r="AT396" i="1"/>
  <c r="AU396" i="1"/>
  <c r="AT397" i="1"/>
  <c r="AU397" i="1"/>
  <c r="AT398" i="1"/>
  <c r="AU398" i="1"/>
  <c r="AT399" i="1"/>
  <c r="AU399" i="1"/>
  <c r="AT400" i="1"/>
  <c r="AU400" i="1"/>
  <c r="AT401" i="1"/>
  <c r="AU401" i="1"/>
  <c r="AT402" i="1"/>
  <c r="AU402" i="1"/>
  <c r="AL403" i="1"/>
  <c r="AM403" i="1"/>
  <c r="AN403" i="1"/>
  <c r="AO403" i="1" a="1"/>
  <c r="AO403" i="1" s="1"/>
  <c r="AP403" i="1" a="1"/>
  <c r="AP403" i="1" s="1"/>
  <c r="AQ403" i="1"/>
  <c r="AT403" i="1"/>
  <c r="AU403" i="1"/>
  <c r="AL404" i="1"/>
  <c r="AM404" i="1"/>
  <c r="AN404" i="1"/>
  <c r="AO404" i="1" a="1"/>
  <c r="AO404" i="1" s="1"/>
  <c r="AP404" i="1" a="1"/>
  <c r="AP404" i="1" s="1"/>
  <c r="AQ404" i="1"/>
  <c r="AT404" i="1"/>
  <c r="AU404" i="1"/>
  <c r="AL405" i="1"/>
  <c r="AM405" i="1"/>
  <c r="AN405" i="1"/>
  <c r="AO405" i="1" a="1"/>
  <c r="AO405" i="1" s="1"/>
  <c r="AP405" i="1" a="1"/>
  <c r="AP405" i="1" s="1"/>
  <c r="AQ405" i="1"/>
  <c r="AT405" i="1"/>
  <c r="AU405" i="1"/>
  <c r="AL406" i="1"/>
  <c r="AM406" i="1"/>
  <c r="AN406" i="1"/>
  <c r="AO406" i="1" a="1"/>
  <c r="AO406" i="1" s="1"/>
  <c r="AP406" i="1" a="1"/>
  <c r="AP406" i="1" s="1"/>
  <c r="AQ406" i="1"/>
  <c r="AT406" i="1"/>
  <c r="AU406" i="1"/>
  <c r="AL407" i="1"/>
  <c r="AM407" i="1"/>
  <c r="AN407" i="1"/>
  <c r="AO407" i="1" a="1"/>
  <c r="AO407" i="1" s="1"/>
  <c r="AP407" i="1" a="1"/>
  <c r="AP407" i="1" s="1"/>
  <c r="AQ407" i="1"/>
  <c r="AT407" i="1"/>
  <c r="AU407" i="1"/>
  <c r="AL408" i="1"/>
  <c r="AM408" i="1"/>
  <c r="AN408" i="1"/>
  <c r="AO408" i="1" a="1"/>
  <c r="AO408" i="1" s="1"/>
  <c r="AP408" i="1" a="1"/>
  <c r="AP408" i="1" s="1"/>
  <c r="AQ408" i="1"/>
  <c r="AT408" i="1"/>
  <c r="AU408" i="1"/>
  <c r="AL409" i="1"/>
  <c r="AM409" i="1"/>
  <c r="AN409" i="1"/>
  <c r="AO409" i="1" a="1"/>
  <c r="AO409" i="1" s="1"/>
  <c r="AP409" i="1" a="1"/>
  <c r="AP409" i="1" s="1"/>
  <c r="AQ409" i="1"/>
  <c r="AT409" i="1"/>
  <c r="AU409" i="1"/>
  <c r="AL410" i="1"/>
  <c r="AM410" i="1"/>
  <c r="AN410" i="1"/>
  <c r="AO410" i="1" a="1"/>
  <c r="AO410" i="1" s="1"/>
  <c r="AP410" i="1" a="1"/>
  <c r="AP410" i="1" s="1"/>
  <c r="AQ410" i="1"/>
  <c r="AT410" i="1"/>
  <c r="AU410" i="1"/>
  <c r="AL411" i="1"/>
  <c r="AM411" i="1"/>
  <c r="AN411" i="1"/>
  <c r="AO411" i="1" a="1"/>
  <c r="AO411" i="1" s="1"/>
  <c r="AP411" i="1" a="1"/>
  <c r="AP411" i="1" s="1"/>
  <c r="AQ411" i="1"/>
  <c r="AT411" i="1"/>
  <c r="AU411" i="1"/>
  <c r="AL412" i="1"/>
  <c r="AM412" i="1"/>
  <c r="AN412" i="1"/>
  <c r="AO412" i="1" a="1"/>
  <c r="AO412" i="1" s="1"/>
  <c r="AP412" i="1" a="1"/>
  <c r="AP412" i="1" s="1"/>
  <c r="AQ412" i="1"/>
  <c r="AT412" i="1"/>
  <c r="AU412" i="1"/>
  <c r="AL413" i="1"/>
  <c r="AM413" i="1"/>
  <c r="AN413" i="1"/>
  <c r="AO413" i="1" a="1"/>
  <c r="AO413" i="1" s="1"/>
  <c r="AP413" i="1" a="1"/>
  <c r="AP413" i="1" s="1"/>
  <c r="AQ413" i="1"/>
  <c r="AT413" i="1"/>
  <c r="AU413" i="1"/>
  <c r="AL414" i="1"/>
  <c r="AM414" i="1"/>
  <c r="AN414" i="1"/>
  <c r="AO414" i="1" a="1"/>
  <c r="AO414" i="1" s="1"/>
  <c r="AP414" i="1" a="1"/>
  <c r="AP414" i="1" s="1"/>
  <c r="AQ414" i="1"/>
  <c r="AT414" i="1"/>
  <c r="AU414" i="1"/>
  <c r="AL415" i="1"/>
  <c r="AM415" i="1"/>
  <c r="AN415" i="1"/>
  <c r="AO415" i="1" a="1"/>
  <c r="AO415" i="1" s="1"/>
  <c r="AP415" i="1" a="1"/>
  <c r="AP415" i="1" s="1"/>
  <c r="AQ415" i="1"/>
  <c r="AT415" i="1"/>
  <c r="AU415" i="1"/>
  <c r="AL416" i="1"/>
  <c r="AM416" i="1"/>
  <c r="AN416" i="1"/>
  <c r="AO416" i="1" a="1"/>
  <c r="AO416" i="1" s="1"/>
  <c r="AP416" i="1" a="1"/>
  <c r="AP416" i="1" s="1"/>
  <c r="AQ416" i="1"/>
  <c r="AT416" i="1"/>
  <c r="AU416" i="1"/>
  <c r="AL417" i="1"/>
  <c r="AM417" i="1"/>
  <c r="AN417" i="1"/>
  <c r="AO417" i="1" a="1"/>
  <c r="AO417" i="1" s="1"/>
  <c r="AP417" i="1" a="1"/>
  <c r="AP417" i="1" s="1"/>
  <c r="AQ417" i="1"/>
  <c r="AT417" i="1"/>
  <c r="AU417" i="1"/>
  <c r="AL418" i="1"/>
  <c r="AM418" i="1"/>
  <c r="AN418" i="1"/>
  <c r="AO418" i="1" a="1"/>
  <c r="AO418" i="1" s="1"/>
  <c r="AP418" i="1" a="1"/>
  <c r="AP418" i="1" s="1"/>
  <c r="AQ418" i="1"/>
  <c r="AT418" i="1"/>
  <c r="AU418" i="1"/>
  <c r="AL419" i="1"/>
  <c r="AM419" i="1"/>
  <c r="AN419" i="1"/>
  <c r="AO419" i="1" a="1"/>
  <c r="AO419" i="1" s="1"/>
  <c r="AP419" i="1" a="1"/>
  <c r="AP419" i="1" s="1"/>
  <c r="AQ419" i="1"/>
  <c r="AT419" i="1"/>
  <c r="AU419" i="1"/>
  <c r="AL420" i="1"/>
  <c r="AM420" i="1"/>
  <c r="AN420" i="1"/>
  <c r="AO420" i="1" a="1"/>
  <c r="AO420" i="1" s="1"/>
  <c r="AP420" i="1" a="1"/>
  <c r="AP420" i="1" s="1"/>
  <c r="AQ420" i="1"/>
  <c r="AT420" i="1"/>
  <c r="AU420" i="1"/>
  <c r="AL421" i="1"/>
  <c r="AM421" i="1"/>
  <c r="AN421" i="1"/>
  <c r="AO421" i="1" a="1"/>
  <c r="AO421" i="1" s="1"/>
  <c r="AP421" i="1" a="1"/>
  <c r="AP421" i="1" s="1"/>
  <c r="AQ421" i="1"/>
  <c r="AT421" i="1"/>
  <c r="AU421" i="1"/>
  <c r="AL422" i="1"/>
  <c r="AM422" i="1"/>
  <c r="AN422" i="1"/>
  <c r="AO422" i="1" a="1"/>
  <c r="AO422" i="1" s="1"/>
  <c r="AP422" i="1" a="1"/>
  <c r="AP422" i="1" s="1"/>
  <c r="AQ422" i="1"/>
  <c r="AT422" i="1"/>
  <c r="AU422" i="1"/>
  <c r="AL423" i="1"/>
  <c r="AM423" i="1"/>
  <c r="AN423" i="1"/>
  <c r="AO423" i="1" a="1"/>
  <c r="AO423" i="1" s="1"/>
  <c r="AP423" i="1" a="1"/>
  <c r="AP423" i="1" s="1"/>
  <c r="AQ423" i="1"/>
  <c r="AT423" i="1"/>
  <c r="AU423" i="1"/>
  <c r="AL424" i="1"/>
  <c r="AM424" i="1"/>
  <c r="AN424" i="1"/>
  <c r="AO424" i="1" a="1"/>
  <c r="AO424" i="1" s="1"/>
  <c r="AP424" i="1" a="1"/>
  <c r="AP424" i="1" s="1"/>
  <c r="AQ424" i="1"/>
  <c r="AT424" i="1"/>
  <c r="AU424" i="1"/>
  <c r="AL425" i="1"/>
  <c r="AM425" i="1"/>
  <c r="AN425" i="1"/>
  <c r="AO425" i="1" a="1"/>
  <c r="AO425" i="1" s="1"/>
  <c r="AP425" i="1" a="1"/>
  <c r="AP425" i="1" s="1"/>
  <c r="AQ425" i="1"/>
  <c r="AT425" i="1"/>
  <c r="AU425" i="1"/>
  <c r="AL426" i="1"/>
  <c r="AM426" i="1"/>
  <c r="AN426" i="1"/>
  <c r="AO426" i="1" a="1"/>
  <c r="AO426" i="1" s="1"/>
  <c r="AP426" i="1" a="1"/>
  <c r="AP426" i="1" s="1"/>
  <c r="AQ426" i="1"/>
  <c r="AT426" i="1"/>
  <c r="AU426" i="1"/>
  <c r="AL427" i="1"/>
  <c r="AM427" i="1"/>
  <c r="AN427" i="1"/>
  <c r="AO427" i="1" a="1"/>
  <c r="AO427" i="1" s="1"/>
  <c r="AP427" i="1" a="1"/>
  <c r="AP427" i="1" s="1"/>
  <c r="AQ427" i="1"/>
  <c r="AT427" i="1"/>
  <c r="AU427" i="1"/>
  <c r="AL428" i="1"/>
  <c r="AM428" i="1"/>
  <c r="AN428" i="1"/>
  <c r="AO428" i="1" a="1"/>
  <c r="AO428" i="1" s="1"/>
  <c r="AP428" i="1" a="1"/>
  <c r="AP428" i="1" s="1"/>
  <c r="AQ428" i="1"/>
  <c r="AT428" i="1"/>
  <c r="AU428" i="1"/>
  <c r="AL429" i="1"/>
  <c r="AM429" i="1"/>
  <c r="AN429" i="1"/>
  <c r="AO429" i="1" a="1"/>
  <c r="AO429" i="1" s="1"/>
  <c r="AP429" i="1" a="1"/>
  <c r="AP429" i="1" s="1"/>
  <c r="AQ429" i="1"/>
  <c r="AT429" i="1"/>
  <c r="AU429" i="1"/>
  <c r="AL430" i="1"/>
  <c r="AM430" i="1"/>
  <c r="AN430" i="1"/>
  <c r="AO430" i="1" a="1"/>
  <c r="AO430" i="1" s="1"/>
  <c r="AP430" i="1" a="1"/>
  <c r="AP430" i="1" s="1"/>
  <c r="AQ430" i="1"/>
  <c r="AT430" i="1"/>
  <c r="AU430" i="1"/>
  <c r="AL431" i="1"/>
  <c r="AM431" i="1"/>
  <c r="AN431" i="1"/>
  <c r="AO431" i="1" a="1"/>
  <c r="AO431" i="1" s="1"/>
  <c r="AP431" i="1" a="1"/>
  <c r="AP431" i="1" s="1"/>
  <c r="AQ431" i="1"/>
  <c r="AT431" i="1"/>
  <c r="AU431" i="1"/>
  <c r="AL432" i="1"/>
  <c r="AM432" i="1"/>
  <c r="AN432" i="1"/>
  <c r="AO432" i="1" a="1"/>
  <c r="AO432" i="1" s="1"/>
  <c r="AP432" i="1" a="1"/>
  <c r="AP432" i="1" s="1"/>
  <c r="AQ432" i="1"/>
  <c r="AT432" i="1"/>
  <c r="AU432" i="1"/>
  <c r="AL433" i="1"/>
  <c r="AM433" i="1"/>
  <c r="AN433" i="1"/>
  <c r="AO433" i="1" a="1"/>
  <c r="AO433" i="1" s="1"/>
  <c r="AP433" i="1" a="1"/>
  <c r="AP433" i="1" s="1"/>
  <c r="AQ433" i="1"/>
  <c r="AT433" i="1"/>
  <c r="AU433" i="1"/>
  <c r="AL434" i="1"/>
  <c r="AM434" i="1"/>
  <c r="AN434" i="1"/>
  <c r="AO434" i="1" a="1"/>
  <c r="AO434" i="1" s="1"/>
  <c r="AP434" i="1" a="1"/>
  <c r="AP434" i="1" s="1"/>
  <c r="AQ434" i="1"/>
  <c r="AT434" i="1"/>
  <c r="AU434" i="1"/>
  <c r="AL435" i="1"/>
  <c r="AM435" i="1"/>
  <c r="AN435" i="1"/>
  <c r="AO435" i="1" a="1"/>
  <c r="AO435" i="1" s="1"/>
  <c r="AP435" i="1" a="1"/>
  <c r="AP435" i="1" s="1"/>
  <c r="AQ435" i="1"/>
  <c r="AT435" i="1"/>
  <c r="AU435" i="1"/>
  <c r="AL436" i="1"/>
  <c r="AM436" i="1"/>
  <c r="AN436" i="1"/>
  <c r="AO436" i="1" a="1"/>
  <c r="AO436" i="1" s="1"/>
  <c r="AP436" i="1" a="1"/>
  <c r="AP436" i="1" s="1"/>
  <c r="AQ436" i="1"/>
  <c r="AT436" i="1"/>
  <c r="AU436" i="1"/>
  <c r="AL437" i="1"/>
  <c r="AM437" i="1"/>
  <c r="AN437" i="1"/>
  <c r="AO437" i="1" a="1"/>
  <c r="AO437" i="1" s="1"/>
  <c r="AP437" i="1" a="1"/>
  <c r="AP437" i="1" s="1"/>
  <c r="AQ437" i="1"/>
  <c r="AT437" i="1"/>
  <c r="AU437" i="1"/>
  <c r="AL438" i="1"/>
  <c r="AM438" i="1"/>
  <c r="AN438" i="1"/>
  <c r="AO438" i="1" a="1"/>
  <c r="AO438" i="1" s="1"/>
  <c r="AP438" i="1" a="1"/>
  <c r="AP438" i="1" s="1"/>
  <c r="AQ438" i="1"/>
  <c r="AT438" i="1"/>
  <c r="AU438" i="1"/>
  <c r="AL439" i="1"/>
  <c r="AM439" i="1"/>
  <c r="AN439" i="1"/>
  <c r="AO439" i="1" a="1"/>
  <c r="AO439" i="1" s="1"/>
  <c r="AP439" i="1" a="1"/>
  <c r="AP439" i="1" s="1"/>
  <c r="AQ439" i="1"/>
  <c r="AT439" i="1"/>
  <c r="AU439" i="1"/>
  <c r="AL440" i="1"/>
  <c r="AM440" i="1"/>
  <c r="AN440" i="1"/>
  <c r="AO440" i="1" a="1"/>
  <c r="AO440" i="1" s="1"/>
  <c r="AP440" i="1" a="1"/>
  <c r="AP440" i="1" s="1"/>
  <c r="AQ440" i="1"/>
  <c r="AT440" i="1"/>
  <c r="AU440" i="1"/>
  <c r="AL441" i="1"/>
  <c r="AM441" i="1"/>
  <c r="AN441" i="1"/>
  <c r="AO441" i="1" a="1"/>
  <c r="AO441" i="1" s="1"/>
  <c r="AP441" i="1" a="1"/>
  <c r="AP441" i="1" s="1"/>
  <c r="AQ441" i="1"/>
  <c r="AT441" i="1"/>
  <c r="AU441" i="1"/>
  <c r="AL442" i="1"/>
  <c r="AM442" i="1"/>
  <c r="AN442" i="1"/>
  <c r="AO442" i="1" a="1"/>
  <c r="AO442" i="1" s="1"/>
  <c r="AP442" i="1" a="1"/>
  <c r="AP442" i="1" s="1"/>
  <c r="AQ442" i="1"/>
  <c r="AT442" i="1"/>
  <c r="AU442" i="1"/>
  <c r="AL443" i="1"/>
  <c r="AM443" i="1"/>
  <c r="AN443" i="1"/>
  <c r="AO443" i="1" a="1"/>
  <c r="AO443" i="1" s="1"/>
  <c r="AP443" i="1" a="1"/>
  <c r="AP443" i="1" s="1"/>
  <c r="AQ443" i="1"/>
  <c r="AT443" i="1"/>
  <c r="AU443" i="1"/>
  <c r="AL444" i="1"/>
  <c r="AM444" i="1"/>
  <c r="AN444" i="1"/>
  <c r="AO444" i="1" a="1"/>
  <c r="AO444" i="1" s="1"/>
  <c r="AP444" i="1" a="1"/>
  <c r="AP444" i="1" s="1"/>
  <c r="AQ444" i="1"/>
  <c r="AT444" i="1"/>
  <c r="AU444" i="1"/>
  <c r="AL445" i="1"/>
  <c r="AM445" i="1"/>
  <c r="AN445" i="1"/>
  <c r="AO445" i="1" a="1"/>
  <c r="AO445" i="1" s="1"/>
  <c r="AP445" i="1" a="1"/>
  <c r="AP445" i="1" s="1"/>
  <c r="AQ445" i="1"/>
  <c r="AT445" i="1"/>
  <c r="AU445" i="1"/>
  <c r="AL446" i="1"/>
  <c r="AM446" i="1"/>
  <c r="AN446" i="1"/>
  <c r="AO446" i="1" a="1"/>
  <c r="AO446" i="1" s="1"/>
  <c r="AP446" i="1" a="1"/>
  <c r="AP446" i="1" s="1"/>
  <c r="AQ446" i="1"/>
  <c r="AT446" i="1"/>
  <c r="AU446" i="1"/>
  <c r="AL447" i="1"/>
  <c r="AM447" i="1"/>
  <c r="AN447" i="1"/>
  <c r="AO447" i="1" a="1"/>
  <c r="AO447" i="1" s="1"/>
  <c r="AP447" i="1" a="1"/>
  <c r="AP447" i="1" s="1"/>
  <c r="AQ447" i="1"/>
  <c r="AT447" i="1"/>
  <c r="AU447" i="1"/>
  <c r="AL448" i="1"/>
  <c r="AM448" i="1"/>
  <c r="AN448" i="1"/>
  <c r="AO448" i="1" a="1"/>
  <c r="AO448" i="1" s="1"/>
  <c r="AP448" i="1" a="1"/>
  <c r="AP448" i="1" s="1"/>
  <c r="AQ448" i="1"/>
  <c r="AT448" i="1"/>
  <c r="AU448" i="1"/>
  <c r="AL449" i="1"/>
  <c r="AM449" i="1"/>
  <c r="AN449" i="1"/>
  <c r="AO449" i="1" a="1"/>
  <c r="AO449" i="1" s="1"/>
  <c r="AP449" i="1" a="1"/>
  <c r="AP449" i="1" s="1"/>
  <c r="AQ449" i="1"/>
  <c r="AT449" i="1"/>
  <c r="AU449" i="1"/>
  <c r="AL450" i="1"/>
  <c r="AM450" i="1"/>
  <c r="AN450" i="1"/>
  <c r="AO450" i="1" a="1"/>
  <c r="AO450" i="1" s="1"/>
  <c r="AP450" i="1" a="1"/>
  <c r="AP450" i="1" s="1"/>
  <c r="AQ450" i="1"/>
  <c r="AT450" i="1"/>
  <c r="AU450" i="1"/>
  <c r="AL451" i="1"/>
  <c r="AM451" i="1"/>
  <c r="AN451" i="1"/>
  <c r="AO451" i="1" a="1"/>
  <c r="AO451" i="1" s="1"/>
  <c r="AP451" i="1" a="1"/>
  <c r="AP451" i="1" s="1"/>
  <c r="AQ451" i="1"/>
  <c r="AT451" i="1"/>
  <c r="AU451" i="1"/>
  <c r="AL452" i="1"/>
  <c r="AM452" i="1"/>
  <c r="AN452" i="1"/>
  <c r="AO452" i="1" a="1"/>
  <c r="AO452" i="1" s="1"/>
  <c r="AP452" i="1" a="1"/>
  <c r="AP452" i="1" s="1"/>
  <c r="AQ452" i="1"/>
  <c r="AT452" i="1"/>
  <c r="AU452" i="1"/>
  <c r="AL453" i="1"/>
  <c r="AM453" i="1"/>
  <c r="AN453" i="1"/>
  <c r="AO453" i="1" a="1"/>
  <c r="AO453" i="1" s="1"/>
  <c r="AP453" i="1" a="1"/>
  <c r="AP453" i="1" s="1"/>
  <c r="AQ453" i="1"/>
  <c r="AT453" i="1"/>
  <c r="AU453" i="1"/>
  <c r="AL454" i="1"/>
  <c r="AM454" i="1"/>
  <c r="AN454" i="1"/>
  <c r="AO454" i="1" a="1"/>
  <c r="AO454" i="1" s="1"/>
  <c r="AP454" i="1" a="1"/>
  <c r="AP454" i="1" s="1"/>
  <c r="AQ454" i="1"/>
  <c r="AT454" i="1"/>
  <c r="AU454" i="1"/>
  <c r="AL455" i="1"/>
  <c r="AM455" i="1"/>
  <c r="AN455" i="1"/>
  <c r="AO455" i="1" a="1"/>
  <c r="AO455" i="1" s="1"/>
  <c r="AP455" i="1" a="1"/>
  <c r="AP455" i="1" s="1"/>
  <c r="AQ455" i="1"/>
  <c r="AT455" i="1"/>
  <c r="AU455" i="1"/>
  <c r="AL456" i="1"/>
  <c r="AM456" i="1"/>
  <c r="AN456" i="1"/>
  <c r="AO456" i="1" a="1"/>
  <c r="AO456" i="1" s="1"/>
  <c r="AP456" i="1" a="1"/>
  <c r="AP456" i="1" s="1"/>
  <c r="AQ456" i="1"/>
  <c r="AT456" i="1"/>
  <c r="AU456" i="1"/>
  <c r="AL457" i="1"/>
  <c r="AM457" i="1"/>
  <c r="AN457" i="1"/>
  <c r="AO457" i="1" a="1"/>
  <c r="AO457" i="1" s="1"/>
  <c r="AP457" i="1" a="1"/>
  <c r="AP457" i="1" s="1"/>
  <c r="AQ457" i="1"/>
  <c r="AT457" i="1"/>
  <c r="AU457" i="1"/>
  <c r="AL458" i="1"/>
  <c r="AM458" i="1"/>
  <c r="AN458" i="1"/>
  <c r="AO458" i="1" a="1"/>
  <c r="AO458" i="1" s="1"/>
  <c r="AP458" i="1" a="1"/>
  <c r="AP458" i="1" s="1"/>
  <c r="AQ458" i="1"/>
  <c r="AT458" i="1"/>
  <c r="AU458" i="1"/>
  <c r="AL459" i="1"/>
  <c r="AM459" i="1"/>
  <c r="AN459" i="1"/>
  <c r="AO459" i="1" a="1"/>
  <c r="AO459" i="1" s="1"/>
  <c r="AP459" i="1" a="1"/>
  <c r="AP459" i="1" s="1"/>
  <c r="AQ459" i="1"/>
  <c r="AT459" i="1"/>
  <c r="AU459" i="1"/>
  <c r="AL460" i="1"/>
  <c r="AM460" i="1"/>
  <c r="AN460" i="1"/>
  <c r="AO460" i="1" a="1"/>
  <c r="AO460" i="1" s="1"/>
  <c r="AP460" i="1" a="1"/>
  <c r="AP460" i="1" s="1"/>
  <c r="AQ460" i="1"/>
  <c r="AT460" i="1"/>
  <c r="AU460" i="1"/>
  <c r="AL461" i="1"/>
  <c r="AM461" i="1"/>
  <c r="AN461" i="1"/>
  <c r="AO461" i="1" a="1"/>
  <c r="AO461" i="1" s="1"/>
  <c r="AP461" i="1" a="1"/>
  <c r="AP461" i="1" s="1"/>
  <c r="AQ461" i="1"/>
  <c r="AT461" i="1"/>
  <c r="AU461" i="1"/>
  <c r="AL462" i="1"/>
  <c r="AM462" i="1"/>
  <c r="AN462" i="1"/>
  <c r="AO462" i="1" a="1"/>
  <c r="AO462" i="1" s="1"/>
  <c r="AP462" i="1" a="1"/>
  <c r="AP462" i="1" s="1"/>
  <c r="AQ462" i="1"/>
  <c r="AT462" i="1"/>
  <c r="AU462" i="1"/>
  <c r="AL463" i="1"/>
  <c r="AM463" i="1"/>
  <c r="AN463" i="1"/>
  <c r="AO463" i="1" a="1"/>
  <c r="AO463" i="1" s="1"/>
  <c r="AP463" i="1" a="1"/>
  <c r="AP463" i="1" s="1"/>
  <c r="AQ463" i="1"/>
  <c r="AT463" i="1"/>
  <c r="AU463" i="1"/>
  <c r="AL464" i="1"/>
  <c r="AM464" i="1"/>
  <c r="AN464" i="1"/>
  <c r="AO464" i="1" a="1"/>
  <c r="AO464" i="1" s="1"/>
  <c r="AP464" i="1" a="1"/>
  <c r="AP464" i="1" s="1"/>
  <c r="AQ464" i="1"/>
  <c r="AT464" i="1"/>
  <c r="AU464" i="1"/>
  <c r="AL465" i="1"/>
  <c r="AM465" i="1"/>
  <c r="AN465" i="1"/>
  <c r="AO465" i="1" a="1"/>
  <c r="AO465" i="1" s="1"/>
  <c r="AP465" i="1" a="1"/>
  <c r="AP465" i="1" s="1"/>
  <c r="AQ465" i="1"/>
  <c r="AT465" i="1"/>
  <c r="AU465" i="1"/>
  <c r="AL466" i="1"/>
  <c r="AM466" i="1"/>
  <c r="AN466" i="1"/>
  <c r="AO466" i="1" a="1"/>
  <c r="AO466" i="1" s="1"/>
  <c r="AP466" i="1" a="1"/>
  <c r="AP466" i="1" s="1"/>
  <c r="AQ466" i="1"/>
  <c r="AT466" i="1"/>
  <c r="AU466" i="1"/>
  <c r="AL467" i="1"/>
  <c r="AM467" i="1"/>
  <c r="AN467" i="1"/>
  <c r="AO467" i="1" a="1"/>
  <c r="AO467" i="1" s="1"/>
  <c r="AP467" i="1" a="1"/>
  <c r="AP467" i="1" s="1"/>
  <c r="AQ467" i="1"/>
  <c r="AT467" i="1"/>
  <c r="AU467" i="1"/>
  <c r="AL468" i="1"/>
  <c r="AM468" i="1"/>
  <c r="AN468" i="1"/>
  <c r="AO468" i="1" a="1"/>
  <c r="AO468" i="1" s="1"/>
  <c r="AP468" i="1" a="1"/>
  <c r="AP468" i="1" s="1"/>
  <c r="AQ468" i="1"/>
  <c r="AT468" i="1"/>
  <c r="AU468" i="1"/>
  <c r="AL469" i="1"/>
  <c r="AM469" i="1"/>
  <c r="AN469" i="1"/>
  <c r="AO469" i="1" a="1"/>
  <c r="AO469" i="1" s="1"/>
  <c r="AP469" i="1" a="1"/>
  <c r="AP469" i="1" s="1"/>
  <c r="AQ469" i="1"/>
  <c r="AT469" i="1"/>
  <c r="AU469" i="1"/>
  <c r="AL470" i="1"/>
  <c r="AM470" i="1"/>
  <c r="AN470" i="1"/>
  <c r="AO470" i="1" a="1"/>
  <c r="AO470" i="1" s="1"/>
  <c r="AP470" i="1" a="1"/>
  <c r="AP470" i="1" s="1"/>
  <c r="AQ470" i="1"/>
  <c r="AT470" i="1"/>
  <c r="AU470" i="1"/>
  <c r="AL471" i="1"/>
  <c r="AM471" i="1"/>
  <c r="AN471" i="1"/>
  <c r="AO471" i="1" a="1"/>
  <c r="AO471" i="1" s="1"/>
  <c r="AP471" i="1" a="1"/>
  <c r="AP471" i="1" s="1"/>
  <c r="AQ471" i="1"/>
  <c r="AT471" i="1"/>
  <c r="AU471" i="1"/>
  <c r="AL472" i="1"/>
  <c r="AM472" i="1"/>
  <c r="AN472" i="1"/>
  <c r="AO472" i="1" a="1"/>
  <c r="AO472" i="1" s="1"/>
  <c r="AP472" i="1" a="1"/>
  <c r="AP472" i="1" s="1"/>
  <c r="AQ472" i="1"/>
  <c r="AT472" i="1"/>
  <c r="AU472" i="1"/>
  <c r="AL473" i="1"/>
  <c r="AM473" i="1"/>
  <c r="AN473" i="1"/>
  <c r="AO473" i="1" a="1"/>
  <c r="AO473" i="1" s="1"/>
  <c r="AP473" i="1" a="1"/>
  <c r="AP473" i="1" s="1"/>
  <c r="AQ473" i="1"/>
  <c r="AT473" i="1"/>
  <c r="AU473" i="1"/>
  <c r="AL474" i="1"/>
  <c r="AM474" i="1"/>
  <c r="AN474" i="1"/>
  <c r="AO474" i="1" a="1"/>
  <c r="AO474" i="1" s="1"/>
  <c r="AP474" i="1" a="1"/>
  <c r="AP474" i="1" s="1"/>
  <c r="AQ474" i="1"/>
  <c r="AT474" i="1"/>
  <c r="AU474" i="1"/>
  <c r="AL475" i="1"/>
  <c r="AM475" i="1"/>
  <c r="AN475" i="1"/>
  <c r="AO475" i="1" a="1"/>
  <c r="AO475" i="1" s="1"/>
  <c r="AP475" i="1" a="1"/>
  <c r="AP475" i="1" s="1"/>
  <c r="AR475" i="1" s="1"/>
  <c r="AS475" i="1" s="1"/>
  <c r="AQ475" i="1"/>
  <c r="AT475" i="1"/>
  <c r="AU475" i="1"/>
  <c r="AL476" i="1"/>
  <c r="AM476" i="1"/>
  <c r="AN476" i="1"/>
  <c r="AO476" i="1" a="1"/>
  <c r="AO476" i="1" s="1"/>
  <c r="AP476" i="1" a="1"/>
  <c r="AP476" i="1" s="1"/>
  <c r="AQ476" i="1"/>
  <c r="AT476" i="1"/>
  <c r="AU476" i="1"/>
  <c r="AL477" i="1"/>
  <c r="AM477" i="1"/>
  <c r="AN477" i="1"/>
  <c r="AO477" i="1" a="1"/>
  <c r="AO477" i="1" s="1"/>
  <c r="AP477" i="1" a="1"/>
  <c r="AP477" i="1" s="1"/>
  <c r="AQ477" i="1"/>
  <c r="AT477" i="1"/>
  <c r="AU477" i="1"/>
  <c r="AL478" i="1"/>
  <c r="AM478" i="1"/>
  <c r="AN478" i="1"/>
  <c r="AO478" i="1" a="1"/>
  <c r="AO478" i="1" s="1"/>
  <c r="AP478" i="1" a="1"/>
  <c r="AP478" i="1" s="1"/>
  <c r="AQ478" i="1"/>
  <c r="AT478" i="1"/>
  <c r="AU478" i="1"/>
  <c r="AL479" i="1"/>
  <c r="AM479" i="1"/>
  <c r="AN479" i="1"/>
  <c r="AO479" i="1" a="1"/>
  <c r="AO479" i="1" s="1"/>
  <c r="AP479" i="1" a="1"/>
  <c r="AP479" i="1" s="1"/>
  <c r="AQ479" i="1"/>
  <c r="AT479" i="1"/>
  <c r="AU479" i="1"/>
  <c r="AL480" i="1"/>
  <c r="AM480" i="1"/>
  <c r="AN480" i="1"/>
  <c r="AO480" i="1" a="1"/>
  <c r="AO480" i="1" s="1"/>
  <c r="AP480" i="1" a="1"/>
  <c r="AP480" i="1" s="1"/>
  <c r="AQ480" i="1"/>
  <c r="AT480" i="1"/>
  <c r="AU480" i="1"/>
  <c r="AL481" i="1"/>
  <c r="AM481" i="1"/>
  <c r="AN481" i="1"/>
  <c r="AO481" i="1" a="1"/>
  <c r="AO481" i="1" s="1"/>
  <c r="AP481" i="1" a="1"/>
  <c r="AP481" i="1" s="1"/>
  <c r="AQ481" i="1"/>
  <c r="AT481" i="1"/>
  <c r="AU481" i="1"/>
  <c r="AL482" i="1"/>
  <c r="AM482" i="1"/>
  <c r="AN482" i="1"/>
  <c r="AO482" i="1" a="1"/>
  <c r="AO482" i="1" s="1"/>
  <c r="AP482" i="1" a="1"/>
  <c r="AP482" i="1" s="1"/>
  <c r="AQ482" i="1"/>
  <c r="AT482" i="1"/>
  <c r="AU482" i="1"/>
  <c r="AL483" i="1"/>
  <c r="AM483" i="1"/>
  <c r="AN483" i="1"/>
  <c r="AO483" i="1" a="1"/>
  <c r="AO483" i="1" s="1"/>
  <c r="AP483" i="1" a="1"/>
  <c r="AP483" i="1" s="1"/>
  <c r="AQ483" i="1"/>
  <c r="AT483" i="1"/>
  <c r="AU483" i="1"/>
  <c r="AL484" i="1"/>
  <c r="AM484" i="1"/>
  <c r="AN484" i="1"/>
  <c r="AO484" i="1" a="1"/>
  <c r="AO484" i="1" s="1"/>
  <c r="AP484" i="1" a="1"/>
  <c r="AP484" i="1" s="1"/>
  <c r="AQ484" i="1"/>
  <c r="AT484" i="1"/>
  <c r="AU484" i="1"/>
  <c r="AL485" i="1"/>
  <c r="AM485" i="1"/>
  <c r="AN485" i="1"/>
  <c r="AO485" i="1" a="1"/>
  <c r="AO485" i="1" s="1"/>
  <c r="AP485" i="1" a="1"/>
  <c r="AP485" i="1" s="1"/>
  <c r="AQ485" i="1"/>
  <c r="AT485" i="1"/>
  <c r="AU485" i="1"/>
  <c r="AL486" i="1"/>
  <c r="AM486" i="1"/>
  <c r="AN486" i="1"/>
  <c r="AO486" i="1" a="1"/>
  <c r="AO486" i="1" s="1"/>
  <c r="AP486" i="1" a="1"/>
  <c r="AP486" i="1" s="1"/>
  <c r="AQ486" i="1"/>
  <c r="AT486" i="1"/>
  <c r="AU486" i="1"/>
  <c r="AL487" i="1"/>
  <c r="AM487" i="1"/>
  <c r="AN487" i="1"/>
  <c r="AO487" i="1" a="1"/>
  <c r="AO487" i="1" s="1"/>
  <c r="AP487" i="1" a="1"/>
  <c r="AP487" i="1" s="1"/>
  <c r="AQ487" i="1"/>
  <c r="AT487" i="1"/>
  <c r="AU487" i="1"/>
  <c r="AL488" i="1"/>
  <c r="AM488" i="1"/>
  <c r="AN488" i="1"/>
  <c r="AO488" i="1" a="1"/>
  <c r="AO488" i="1" s="1"/>
  <c r="AP488" i="1" a="1"/>
  <c r="AP488" i="1" s="1"/>
  <c r="AQ488" i="1"/>
  <c r="AT488" i="1"/>
  <c r="AU488" i="1"/>
  <c r="AL489" i="1"/>
  <c r="AM489" i="1"/>
  <c r="AN489" i="1"/>
  <c r="AO489" i="1" a="1"/>
  <c r="AO489" i="1" s="1"/>
  <c r="AP489" i="1" a="1"/>
  <c r="AP489" i="1" s="1"/>
  <c r="AQ489" i="1"/>
  <c r="AT489" i="1"/>
  <c r="AU489" i="1"/>
  <c r="AL490" i="1"/>
  <c r="AM490" i="1"/>
  <c r="AN490" i="1"/>
  <c r="AO490" i="1" a="1"/>
  <c r="AO490" i="1" s="1"/>
  <c r="AP490" i="1" a="1"/>
  <c r="AP490" i="1" s="1"/>
  <c r="AQ490" i="1"/>
  <c r="AT490" i="1"/>
  <c r="AU490" i="1"/>
  <c r="AL491" i="1"/>
  <c r="AM491" i="1"/>
  <c r="AN491" i="1"/>
  <c r="AO491" i="1" a="1"/>
  <c r="AO491" i="1" s="1"/>
  <c r="AP491" i="1" a="1"/>
  <c r="AP491" i="1" s="1"/>
  <c r="AQ491" i="1"/>
  <c r="AT491" i="1"/>
  <c r="AU491" i="1"/>
  <c r="AL492" i="1"/>
  <c r="AM492" i="1"/>
  <c r="AN492" i="1"/>
  <c r="AO492" i="1" a="1"/>
  <c r="AO492" i="1" s="1"/>
  <c r="AP492" i="1" a="1"/>
  <c r="AP492" i="1" s="1"/>
  <c r="AQ492" i="1"/>
  <c r="AT492" i="1"/>
  <c r="AU492" i="1"/>
  <c r="AL493" i="1"/>
  <c r="AM493" i="1"/>
  <c r="AN493" i="1"/>
  <c r="AO493" i="1" a="1"/>
  <c r="AO493" i="1" s="1"/>
  <c r="AP493" i="1" a="1"/>
  <c r="AP493" i="1" s="1"/>
  <c r="AQ493" i="1"/>
  <c r="AT493" i="1"/>
  <c r="AU493" i="1"/>
  <c r="AL494" i="1"/>
  <c r="AM494" i="1"/>
  <c r="AN494" i="1"/>
  <c r="AO494" i="1" a="1"/>
  <c r="AO494" i="1" s="1"/>
  <c r="AP494" i="1" a="1"/>
  <c r="AP494" i="1" s="1"/>
  <c r="AQ494" i="1"/>
  <c r="AT494" i="1"/>
  <c r="AU494" i="1"/>
  <c r="AL495" i="1"/>
  <c r="AM495" i="1"/>
  <c r="AN495" i="1"/>
  <c r="AO495" i="1" a="1"/>
  <c r="AO495" i="1" s="1"/>
  <c r="AP495" i="1" a="1"/>
  <c r="AP495" i="1" s="1"/>
  <c r="AQ495" i="1"/>
  <c r="AT495" i="1"/>
  <c r="AU495" i="1"/>
  <c r="AL496" i="1"/>
  <c r="AM496" i="1"/>
  <c r="AN496" i="1"/>
  <c r="AO496" i="1" a="1"/>
  <c r="AO496" i="1" s="1"/>
  <c r="AP496" i="1" a="1"/>
  <c r="AP496" i="1" s="1"/>
  <c r="AQ496" i="1"/>
  <c r="AT496" i="1"/>
  <c r="AU496" i="1"/>
  <c r="AL497" i="1"/>
  <c r="AM497" i="1"/>
  <c r="AN497" i="1"/>
  <c r="AO497" i="1" a="1"/>
  <c r="AO497" i="1" s="1"/>
  <c r="AP497" i="1" a="1"/>
  <c r="AP497" i="1" s="1"/>
  <c r="AQ497" i="1"/>
  <c r="AT497" i="1"/>
  <c r="AU497" i="1"/>
  <c r="AL498" i="1"/>
  <c r="AM498" i="1"/>
  <c r="AN498" i="1"/>
  <c r="AO498" i="1" a="1"/>
  <c r="AO498" i="1" s="1"/>
  <c r="AP498" i="1" a="1"/>
  <c r="AP498" i="1" s="1"/>
  <c r="AQ498" i="1"/>
  <c r="AT498" i="1"/>
  <c r="AU498" i="1"/>
  <c r="AL499" i="1"/>
  <c r="AM499" i="1"/>
  <c r="AN499" i="1"/>
  <c r="AO499" i="1" a="1"/>
  <c r="AO499" i="1" s="1"/>
  <c r="AP499" i="1" a="1"/>
  <c r="AP499" i="1" s="1"/>
  <c r="AQ499" i="1"/>
  <c r="AT499" i="1"/>
  <c r="AU499" i="1"/>
  <c r="AL500" i="1"/>
  <c r="AM500" i="1"/>
  <c r="AN500" i="1"/>
  <c r="AO500" i="1" a="1"/>
  <c r="AO500" i="1" s="1"/>
  <c r="AP500" i="1" a="1"/>
  <c r="AP500" i="1" s="1"/>
  <c r="AQ500" i="1"/>
  <c r="AT500" i="1"/>
  <c r="AU500" i="1"/>
  <c r="AL501" i="1"/>
  <c r="AM501" i="1"/>
  <c r="AN501" i="1"/>
  <c r="AO501" i="1" a="1"/>
  <c r="AO501" i="1" s="1"/>
  <c r="AP501" i="1" a="1"/>
  <c r="AP501" i="1" s="1"/>
  <c r="AQ501" i="1"/>
  <c r="AT501" i="1"/>
  <c r="AU501" i="1"/>
  <c r="AL502" i="1"/>
  <c r="AM502" i="1"/>
  <c r="AN502" i="1"/>
  <c r="AO502" i="1" a="1"/>
  <c r="AO502" i="1" s="1"/>
  <c r="AP502" i="1" a="1"/>
  <c r="AP502" i="1" s="1"/>
  <c r="AQ502" i="1"/>
  <c r="AT502" i="1"/>
  <c r="AU502" i="1"/>
  <c r="AL503" i="1"/>
  <c r="AM503" i="1"/>
  <c r="AN503" i="1"/>
  <c r="AO503" i="1" a="1"/>
  <c r="AO503" i="1" s="1"/>
  <c r="AP503" i="1" a="1"/>
  <c r="AP503" i="1" s="1"/>
  <c r="AQ503" i="1"/>
  <c r="AT503" i="1"/>
  <c r="AU503" i="1"/>
  <c r="AL504" i="1"/>
  <c r="AM504" i="1"/>
  <c r="AN504" i="1"/>
  <c r="AO504" i="1" a="1"/>
  <c r="AO504" i="1" s="1"/>
  <c r="AP504" i="1" a="1"/>
  <c r="AP504" i="1" s="1"/>
  <c r="AQ504" i="1"/>
  <c r="AT504" i="1"/>
  <c r="AU504" i="1"/>
  <c r="AL505" i="1"/>
  <c r="AM505" i="1"/>
  <c r="AN505" i="1"/>
  <c r="AO505" i="1" a="1"/>
  <c r="AO505" i="1" s="1"/>
  <c r="AP505" i="1" a="1"/>
  <c r="AP505" i="1" s="1"/>
  <c r="AQ505" i="1"/>
  <c r="AT505" i="1"/>
  <c r="AU505" i="1"/>
  <c r="AL506" i="1"/>
  <c r="AM506" i="1"/>
  <c r="AN506" i="1"/>
  <c r="AO506" i="1" a="1"/>
  <c r="AO506" i="1" s="1"/>
  <c r="AP506" i="1" a="1"/>
  <c r="AP506" i="1" s="1"/>
  <c r="AQ506" i="1"/>
  <c r="AT506" i="1"/>
  <c r="AU506" i="1"/>
  <c r="AL507" i="1"/>
  <c r="AM507" i="1"/>
  <c r="AN507" i="1"/>
  <c r="AO507" i="1" a="1"/>
  <c r="AO507" i="1" s="1"/>
  <c r="AP507" i="1" a="1"/>
  <c r="AP507" i="1" s="1"/>
  <c r="AQ507" i="1"/>
  <c r="AT507" i="1"/>
  <c r="AU507" i="1"/>
  <c r="AL508" i="1"/>
  <c r="AM508" i="1"/>
  <c r="AN508" i="1"/>
  <c r="AO508" i="1" a="1"/>
  <c r="AO508" i="1" s="1"/>
  <c r="AP508" i="1" a="1"/>
  <c r="AP508" i="1" s="1"/>
  <c r="AQ508" i="1"/>
  <c r="AT508" i="1"/>
  <c r="AU508" i="1"/>
  <c r="AL509" i="1"/>
  <c r="AM509" i="1"/>
  <c r="AN509" i="1"/>
  <c r="AO509" i="1" a="1"/>
  <c r="AO509" i="1" s="1"/>
  <c r="AP509" i="1" a="1"/>
  <c r="AP509" i="1" s="1"/>
  <c r="AQ509" i="1"/>
  <c r="AT509" i="1"/>
  <c r="AU509" i="1"/>
  <c r="AL510" i="1"/>
  <c r="AM510" i="1"/>
  <c r="AN510" i="1"/>
  <c r="AO510" i="1" a="1"/>
  <c r="AO510" i="1" s="1"/>
  <c r="AP510" i="1" a="1"/>
  <c r="AP510" i="1" s="1"/>
  <c r="AQ510" i="1"/>
  <c r="AT510" i="1"/>
  <c r="AU510" i="1"/>
  <c r="AL511" i="1"/>
  <c r="AM511" i="1"/>
  <c r="AN511" i="1"/>
  <c r="AO511" i="1" a="1"/>
  <c r="AO511" i="1" s="1"/>
  <c r="AP511" i="1" a="1"/>
  <c r="AP511" i="1" s="1"/>
  <c r="AQ511" i="1"/>
  <c r="AT511" i="1"/>
  <c r="AU511" i="1"/>
  <c r="AL512" i="1"/>
  <c r="AM512" i="1"/>
  <c r="AN512" i="1"/>
  <c r="AO512" i="1" a="1"/>
  <c r="AO512" i="1" s="1"/>
  <c r="AP512" i="1" a="1"/>
  <c r="AP512" i="1" s="1"/>
  <c r="AQ512" i="1"/>
  <c r="AT512" i="1"/>
  <c r="AU512" i="1"/>
  <c r="AL513" i="1"/>
  <c r="AM513" i="1"/>
  <c r="AN513" i="1"/>
  <c r="AO513" i="1" a="1"/>
  <c r="AO513" i="1" s="1"/>
  <c r="AP513" i="1" a="1"/>
  <c r="AP513" i="1" s="1"/>
  <c r="AQ513" i="1"/>
  <c r="AT513" i="1"/>
  <c r="AU513" i="1"/>
  <c r="AL514" i="1"/>
  <c r="AM514" i="1"/>
  <c r="AN514" i="1"/>
  <c r="AO514" i="1" a="1"/>
  <c r="AO514" i="1" s="1"/>
  <c r="AP514" i="1" a="1"/>
  <c r="AP514" i="1" s="1"/>
  <c r="AQ514" i="1"/>
  <c r="AT514" i="1"/>
  <c r="AU514" i="1"/>
  <c r="AL515" i="1"/>
  <c r="AM515" i="1"/>
  <c r="AN515" i="1"/>
  <c r="AO515" i="1" a="1"/>
  <c r="AO515" i="1" s="1"/>
  <c r="AP515" i="1" a="1"/>
  <c r="AP515" i="1" s="1"/>
  <c r="AQ515" i="1"/>
  <c r="AT515" i="1"/>
  <c r="AU515" i="1"/>
  <c r="AL516" i="1"/>
  <c r="AM516" i="1"/>
  <c r="AN516" i="1"/>
  <c r="AO516" i="1" a="1"/>
  <c r="AO516" i="1" s="1"/>
  <c r="AP516" i="1" a="1"/>
  <c r="AP516" i="1" s="1"/>
  <c r="AQ516" i="1"/>
  <c r="AT516" i="1"/>
  <c r="AU516" i="1"/>
  <c r="AL517" i="1"/>
  <c r="AM517" i="1"/>
  <c r="AN517" i="1"/>
  <c r="AO517" i="1" a="1"/>
  <c r="AO517" i="1" s="1"/>
  <c r="AP517" i="1" a="1"/>
  <c r="AP517" i="1" s="1"/>
  <c r="AQ517" i="1"/>
  <c r="AT517" i="1"/>
  <c r="AU517" i="1"/>
  <c r="AL518" i="1"/>
  <c r="AM518" i="1"/>
  <c r="AN518" i="1"/>
  <c r="AO518" i="1" a="1"/>
  <c r="AO518" i="1" s="1"/>
  <c r="AP518" i="1" a="1"/>
  <c r="AP518" i="1" s="1"/>
  <c r="AQ518" i="1"/>
  <c r="AT518" i="1"/>
  <c r="AU518" i="1"/>
  <c r="AL519" i="1"/>
  <c r="AM519" i="1"/>
  <c r="AN519" i="1"/>
  <c r="AO519" i="1" a="1"/>
  <c r="AO519" i="1" s="1"/>
  <c r="AP519" i="1" a="1"/>
  <c r="AP519" i="1" s="1"/>
  <c r="AQ519" i="1"/>
  <c r="AT519" i="1"/>
  <c r="AU519" i="1"/>
  <c r="AL520" i="1"/>
  <c r="AM520" i="1"/>
  <c r="AN520" i="1"/>
  <c r="AO520" i="1" a="1"/>
  <c r="AO520" i="1" s="1"/>
  <c r="AP520" i="1" a="1"/>
  <c r="AP520" i="1" s="1"/>
  <c r="AQ520" i="1"/>
  <c r="AT520" i="1"/>
  <c r="AU520" i="1"/>
  <c r="AL521" i="1"/>
  <c r="AM521" i="1"/>
  <c r="AN521" i="1"/>
  <c r="AO521" i="1" a="1"/>
  <c r="AO521" i="1"/>
  <c r="AP521" i="1" a="1"/>
  <c r="AP521" i="1" s="1"/>
  <c r="AR521" i="1" s="1"/>
  <c r="AS521" i="1" s="1"/>
  <c r="AQ521" i="1"/>
  <c r="AT521" i="1"/>
  <c r="AU521" i="1"/>
  <c r="AL522" i="1"/>
  <c r="AM522" i="1"/>
  <c r="AN522" i="1"/>
  <c r="AO522" i="1" a="1"/>
  <c r="AO522" i="1" s="1"/>
  <c r="AP522" i="1" a="1"/>
  <c r="AP522" i="1" s="1"/>
  <c r="AQ522" i="1"/>
  <c r="AT522" i="1"/>
  <c r="AU522" i="1"/>
  <c r="AL523" i="1"/>
  <c r="AM523" i="1"/>
  <c r="AN523" i="1"/>
  <c r="AO523" i="1" a="1"/>
  <c r="AO523" i="1" s="1"/>
  <c r="AP523" i="1" a="1"/>
  <c r="AP523" i="1" s="1"/>
  <c r="AR523" i="1" s="1"/>
  <c r="AS523" i="1" s="1"/>
  <c r="AQ523" i="1"/>
  <c r="AT523" i="1"/>
  <c r="AU523" i="1"/>
  <c r="AL524" i="1"/>
  <c r="AM524" i="1"/>
  <c r="AN524" i="1"/>
  <c r="AO524" i="1" a="1"/>
  <c r="AO524" i="1" s="1"/>
  <c r="AP524" i="1" a="1"/>
  <c r="AP524" i="1" s="1"/>
  <c r="AQ524" i="1"/>
  <c r="AT524" i="1"/>
  <c r="AU524" i="1"/>
  <c r="AL525" i="1"/>
  <c r="AM525" i="1"/>
  <c r="AN525" i="1"/>
  <c r="AO525" i="1" a="1"/>
  <c r="AO525" i="1" s="1"/>
  <c r="AP525" i="1" a="1"/>
  <c r="AP525" i="1" s="1"/>
  <c r="AQ525" i="1"/>
  <c r="AT525" i="1"/>
  <c r="AU525" i="1"/>
  <c r="AL526" i="1"/>
  <c r="AM526" i="1"/>
  <c r="AN526" i="1"/>
  <c r="AO526" i="1" a="1"/>
  <c r="AO526" i="1" s="1"/>
  <c r="AP526" i="1" a="1"/>
  <c r="AP526" i="1" s="1"/>
  <c r="AQ526" i="1"/>
  <c r="AT526" i="1"/>
  <c r="AU526" i="1"/>
  <c r="AL527" i="1"/>
  <c r="AM527" i="1"/>
  <c r="AN527" i="1"/>
  <c r="AO527" i="1" a="1"/>
  <c r="AO527" i="1" s="1"/>
  <c r="AP527" i="1" a="1"/>
  <c r="AP527" i="1" s="1"/>
  <c r="AQ527" i="1"/>
  <c r="AT527" i="1"/>
  <c r="AU527" i="1"/>
  <c r="AL528" i="1"/>
  <c r="AM528" i="1"/>
  <c r="AN528" i="1"/>
  <c r="AO528" i="1" a="1"/>
  <c r="AO528" i="1" s="1"/>
  <c r="AP528" i="1" a="1"/>
  <c r="AP528" i="1" s="1"/>
  <c r="AQ528" i="1"/>
  <c r="AT528" i="1"/>
  <c r="AU528" i="1"/>
  <c r="AL529" i="1"/>
  <c r="AM529" i="1"/>
  <c r="AN529" i="1"/>
  <c r="AO529" i="1" a="1"/>
  <c r="AO529" i="1" s="1"/>
  <c r="AP529" i="1" a="1"/>
  <c r="AP529" i="1" s="1"/>
  <c r="AQ529" i="1"/>
  <c r="AT529" i="1"/>
  <c r="AU529" i="1"/>
  <c r="AL530" i="1"/>
  <c r="AM530" i="1"/>
  <c r="AN530" i="1"/>
  <c r="AO530" i="1" a="1"/>
  <c r="AO530" i="1" s="1"/>
  <c r="AP530" i="1" a="1"/>
  <c r="AP530" i="1" s="1"/>
  <c r="AQ530" i="1"/>
  <c r="AT530" i="1"/>
  <c r="AU530" i="1"/>
  <c r="AL531" i="1"/>
  <c r="AM531" i="1"/>
  <c r="AN531" i="1"/>
  <c r="AO531" i="1" a="1"/>
  <c r="AO531" i="1" s="1"/>
  <c r="AP531" i="1" a="1"/>
  <c r="AP531" i="1" s="1"/>
  <c r="AQ531" i="1"/>
  <c r="AT531" i="1"/>
  <c r="AU531" i="1"/>
  <c r="AL532" i="1"/>
  <c r="AM532" i="1"/>
  <c r="AN532" i="1"/>
  <c r="AO532" i="1" a="1"/>
  <c r="AO532" i="1" s="1"/>
  <c r="AP532" i="1" a="1"/>
  <c r="AP532" i="1" s="1"/>
  <c r="AQ532" i="1"/>
  <c r="AT532" i="1"/>
  <c r="AU532" i="1"/>
  <c r="AL533" i="1"/>
  <c r="AM533" i="1"/>
  <c r="AN533" i="1"/>
  <c r="AO533" i="1" a="1"/>
  <c r="AO533" i="1" s="1"/>
  <c r="AP533" i="1" a="1"/>
  <c r="AP533" i="1" s="1"/>
  <c r="AQ533" i="1"/>
  <c r="AT533" i="1"/>
  <c r="AU533" i="1"/>
  <c r="AL534" i="1"/>
  <c r="AM534" i="1"/>
  <c r="AN534" i="1"/>
  <c r="AO534" i="1" a="1"/>
  <c r="AO534" i="1" s="1"/>
  <c r="AP534" i="1" a="1"/>
  <c r="AP534" i="1" s="1"/>
  <c r="AQ534" i="1"/>
  <c r="AT534" i="1"/>
  <c r="AU534" i="1"/>
  <c r="AL535" i="1"/>
  <c r="AM535" i="1"/>
  <c r="AN535" i="1"/>
  <c r="AO535" i="1" a="1"/>
  <c r="AO535" i="1" s="1"/>
  <c r="AP535" i="1" a="1"/>
  <c r="AP535" i="1" s="1"/>
  <c r="AQ535" i="1"/>
  <c r="AT535" i="1"/>
  <c r="AU535" i="1"/>
  <c r="AL536" i="1"/>
  <c r="AM536" i="1"/>
  <c r="AN536" i="1"/>
  <c r="AO536" i="1" a="1"/>
  <c r="AO536" i="1" s="1"/>
  <c r="AP536" i="1" a="1"/>
  <c r="AP536" i="1" s="1"/>
  <c r="AQ536" i="1"/>
  <c r="AT536" i="1"/>
  <c r="AU536" i="1"/>
  <c r="AL537" i="1"/>
  <c r="AM537" i="1"/>
  <c r="AN537" i="1"/>
  <c r="AO537" i="1" a="1"/>
  <c r="AO537" i="1" s="1"/>
  <c r="AP537" i="1" a="1"/>
  <c r="AP537" i="1" s="1"/>
  <c r="AQ537" i="1"/>
  <c r="AT537" i="1"/>
  <c r="AU537" i="1"/>
  <c r="AL538" i="1"/>
  <c r="AM538" i="1"/>
  <c r="AN538" i="1"/>
  <c r="AO538" i="1" a="1"/>
  <c r="AO538" i="1" s="1"/>
  <c r="AP538" i="1" a="1"/>
  <c r="AP538" i="1" s="1"/>
  <c r="AQ538" i="1"/>
  <c r="AT538" i="1"/>
  <c r="AU538" i="1"/>
  <c r="AL539" i="1"/>
  <c r="AM539" i="1"/>
  <c r="AN539" i="1"/>
  <c r="AO539" i="1" a="1"/>
  <c r="AO539" i="1" s="1"/>
  <c r="AP539" i="1" a="1"/>
  <c r="AP539" i="1" s="1"/>
  <c r="AQ539" i="1"/>
  <c r="AT539" i="1"/>
  <c r="AU539" i="1"/>
  <c r="AL540" i="1"/>
  <c r="AM540" i="1"/>
  <c r="AN540" i="1"/>
  <c r="AO540" i="1" a="1"/>
  <c r="AO540" i="1" s="1"/>
  <c r="AP540" i="1" a="1"/>
  <c r="AP540" i="1" s="1"/>
  <c r="AQ540" i="1"/>
  <c r="AT540" i="1"/>
  <c r="AU540" i="1"/>
  <c r="AL541" i="1"/>
  <c r="AM541" i="1"/>
  <c r="AN541" i="1"/>
  <c r="AO541" i="1" a="1"/>
  <c r="AO541" i="1" s="1"/>
  <c r="AP541" i="1" a="1"/>
  <c r="AP541" i="1" s="1"/>
  <c r="AQ541" i="1"/>
  <c r="AT541" i="1"/>
  <c r="AU541" i="1"/>
  <c r="AL542" i="1"/>
  <c r="AM542" i="1"/>
  <c r="AN542" i="1"/>
  <c r="AO542" i="1" a="1"/>
  <c r="AO542" i="1" s="1"/>
  <c r="AP542" i="1" a="1"/>
  <c r="AP542" i="1" s="1"/>
  <c r="AQ542" i="1"/>
  <c r="AT542" i="1"/>
  <c r="AU542" i="1"/>
  <c r="AL543" i="1"/>
  <c r="AM543" i="1"/>
  <c r="AN543" i="1"/>
  <c r="AO543" i="1" a="1"/>
  <c r="AO543" i="1" s="1"/>
  <c r="AP543" i="1" a="1"/>
  <c r="AP543" i="1" s="1"/>
  <c r="AQ543" i="1"/>
  <c r="AT543" i="1"/>
  <c r="AU543" i="1"/>
  <c r="AL544" i="1"/>
  <c r="AM544" i="1"/>
  <c r="AN544" i="1"/>
  <c r="AO544" i="1" a="1"/>
  <c r="AO544" i="1" s="1"/>
  <c r="AP544" i="1" a="1"/>
  <c r="AP544" i="1" s="1"/>
  <c r="AQ544" i="1"/>
  <c r="AT544" i="1"/>
  <c r="AU544" i="1"/>
  <c r="AL545" i="1"/>
  <c r="AM545" i="1"/>
  <c r="AN545" i="1"/>
  <c r="AO545" i="1" a="1"/>
  <c r="AO545" i="1" s="1"/>
  <c r="AP545" i="1" a="1"/>
  <c r="AP545" i="1" s="1"/>
  <c r="AQ545" i="1"/>
  <c r="AT545" i="1"/>
  <c r="AU545" i="1"/>
  <c r="AL546" i="1"/>
  <c r="AM546" i="1"/>
  <c r="AN546" i="1"/>
  <c r="AO546" i="1" a="1"/>
  <c r="AO546" i="1" s="1"/>
  <c r="AP546" i="1" a="1"/>
  <c r="AP546" i="1" s="1"/>
  <c r="AQ546" i="1"/>
  <c r="AT546" i="1"/>
  <c r="AU546" i="1"/>
  <c r="AT547" i="1"/>
  <c r="AU547" i="1"/>
  <c r="AL548" i="1"/>
  <c r="AM548" i="1"/>
  <c r="AN548" i="1"/>
  <c r="AO548" i="1" a="1"/>
  <c r="AO548" i="1" s="1"/>
  <c r="AP548" i="1" a="1"/>
  <c r="AP548" i="1" s="1"/>
  <c r="AQ548" i="1"/>
  <c r="AT548" i="1"/>
  <c r="AU548" i="1"/>
  <c r="AL549" i="1"/>
  <c r="AM549" i="1"/>
  <c r="AN549" i="1"/>
  <c r="AO549" i="1" a="1"/>
  <c r="AO549" i="1" s="1"/>
  <c r="AP549" i="1" a="1"/>
  <c r="AP549" i="1" s="1"/>
  <c r="AQ549" i="1"/>
  <c r="AT549" i="1"/>
  <c r="AU549" i="1"/>
  <c r="AL550" i="1"/>
  <c r="AM550" i="1"/>
  <c r="AN550" i="1"/>
  <c r="AO550" i="1" a="1"/>
  <c r="AO550" i="1" s="1"/>
  <c r="AP550" i="1" a="1"/>
  <c r="AP550" i="1" s="1"/>
  <c r="AQ550" i="1"/>
  <c r="AT550" i="1"/>
  <c r="AU550" i="1"/>
  <c r="AL551" i="1"/>
  <c r="AM551" i="1"/>
  <c r="AN551" i="1"/>
  <c r="AO551" i="1" a="1"/>
  <c r="AO551" i="1" s="1"/>
  <c r="AP551" i="1" a="1"/>
  <c r="AP551" i="1" s="1"/>
  <c r="AQ551" i="1"/>
  <c r="AT551" i="1"/>
  <c r="AU551" i="1"/>
  <c r="AL552" i="1"/>
  <c r="AM552" i="1"/>
  <c r="AN552" i="1"/>
  <c r="AO552" i="1" a="1"/>
  <c r="AO552" i="1" s="1"/>
  <c r="AP552" i="1" a="1"/>
  <c r="AP552" i="1" s="1"/>
  <c r="AQ552" i="1"/>
  <c r="AT552" i="1"/>
  <c r="AU552" i="1"/>
  <c r="AK214" i="1"/>
  <c r="AK278" i="1"/>
  <c r="AK298" i="1"/>
  <c r="AK330" i="1"/>
  <c r="AK358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13" i="1"/>
  <c r="AU13" i="1"/>
  <c r="AT13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K396" i="1" s="1"/>
  <c r="AB395" i="1"/>
  <c r="AK395" i="1" s="1"/>
  <c r="AB394" i="1"/>
  <c r="AB393" i="1"/>
  <c r="AB392" i="1"/>
  <c r="AB391" i="1"/>
  <c r="AK391" i="1" s="1"/>
  <c r="AB390" i="1"/>
  <c r="AB389" i="1"/>
  <c r="AB388" i="1"/>
  <c r="AB387" i="1"/>
  <c r="AL386" i="1" s="1"/>
  <c r="AB386" i="1"/>
  <c r="AK386" i="1" s="1"/>
  <c r="AB385" i="1"/>
  <c r="AB384" i="1"/>
  <c r="AB383" i="1"/>
  <c r="AL382" i="1" s="1"/>
  <c r="AB382" i="1"/>
  <c r="AB381" i="1"/>
  <c r="AB380" i="1"/>
  <c r="AK380" i="1" s="1"/>
  <c r="AB379" i="1"/>
  <c r="AL378" i="1" s="1"/>
  <c r="AB378" i="1"/>
  <c r="AB377" i="1"/>
  <c r="AB376" i="1"/>
  <c r="AB375" i="1"/>
  <c r="AK375" i="1" s="1"/>
  <c r="AB374" i="1"/>
  <c r="AK374" i="1" s="1"/>
  <c r="AB373" i="1"/>
  <c r="AB372" i="1"/>
  <c r="AB371" i="1"/>
  <c r="AL370" i="1" s="1"/>
  <c r="AB370" i="1"/>
  <c r="AB369" i="1"/>
  <c r="AB368" i="1"/>
  <c r="AB367" i="1"/>
  <c r="AL366" i="1" s="1"/>
  <c r="AB366" i="1"/>
  <c r="AB365" i="1"/>
  <c r="AB364" i="1"/>
  <c r="AK364" i="1" s="1"/>
  <c r="AB363" i="1"/>
  <c r="AB362" i="1"/>
  <c r="AB361" i="1"/>
  <c r="AB360" i="1"/>
  <c r="AB359" i="1"/>
  <c r="AK359" i="1" s="1"/>
  <c r="AB358" i="1"/>
  <c r="AB357" i="1"/>
  <c r="AB356" i="1"/>
  <c r="AB355" i="1"/>
  <c r="AL354" i="1" s="1"/>
  <c r="AB354" i="1"/>
  <c r="AB353" i="1"/>
  <c r="AB352" i="1"/>
  <c r="AB351" i="1"/>
  <c r="AL350" i="1" s="1"/>
  <c r="AB350" i="1"/>
  <c r="AB349" i="1"/>
  <c r="AB348" i="1"/>
  <c r="AK348" i="1" s="1"/>
  <c r="AB347" i="1"/>
  <c r="AB346" i="1"/>
  <c r="AK346" i="1" s="1"/>
  <c r="AB345" i="1"/>
  <c r="AB344" i="1"/>
  <c r="AB343" i="1"/>
  <c r="AK343" i="1" s="1"/>
  <c r="AB342" i="1"/>
  <c r="AB341" i="1"/>
  <c r="AB340" i="1"/>
  <c r="AB339" i="1"/>
  <c r="AL338" i="1" s="1"/>
  <c r="AB338" i="1"/>
  <c r="AB337" i="1"/>
  <c r="AB336" i="1"/>
  <c r="AB335" i="1"/>
  <c r="AL334" i="1" s="1"/>
  <c r="AB334" i="1"/>
  <c r="AB333" i="1"/>
  <c r="AB332" i="1"/>
  <c r="AK332" i="1" s="1"/>
  <c r="AB331" i="1"/>
  <c r="AL330" i="1" s="1"/>
  <c r="AB330" i="1"/>
  <c r="AB329" i="1"/>
  <c r="AB328" i="1"/>
  <c r="AB327" i="1"/>
  <c r="AK327" i="1" s="1"/>
  <c r="AB326" i="1"/>
  <c r="AB325" i="1"/>
  <c r="AB324" i="1"/>
  <c r="AK324" i="1" s="1"/>
  <c r="AB323" i="1"/>
  <c r="AL322" i="1" s="1"/>
  <c r="AB322" i="1"/>
  <c r="AB321" i="1"/>
  <c r="AB320" i="1"/>
  <c r="AB319" i="1"/>
  <c r="AK319" i="1" s="1"/>
  <c r="AB318" i="1"/>
  <c r="AB317" i="1"/>
  <c r="AB316" i="1"/>
  <c r="AK316" i="1" s="1"/>
  <c r="AB315" i="1"/>
  <c r="AK315" i="1" s="1"/>
  <c r="AB314" i="1"/>
  <c r="AB313" i="1"/>
  <c r="AB312" i="1"/>
  <c r="AB311" i="1"/>
  <c r="AK311" i="1" s="1"/>
  <c r="AB310" i="1"/>
  <c r="AB309" i="1"/>
  <c r="AB308" i="1"/>
  <c r="AB307" i="1"/>
  <c r="AL306" i="1" s="1"/>
  <c r="AB306" i="1"/>
  <c r="AB305" i="1"/>
  <c r="AB304" i="1"/>
  <c r="AB303" i="1"/>
  <c r="AL302" i="1" s="1"/>
  <c r="AB302" i="1"/>
  <c r="AK302" i="1" s="1"/>
  <c r="AB301" i="1"/>
  <c r="AB300" i="1"/>
  <c r="AB299" i="1"/>
  <c r="AB298" i="1"/>
  <c r="AB297" i="1"/>
  <c r="AB296" i="1"/>
  <c r="AK296" i="1" s="1"/>
  <c r="AB295" i="1"/>
  <c r="AB294" i="1"/>
  <c r="AB293" i="1"/>
  <c r="AB292" i="1"/>
  <c r="AB291" i="1"/>
  <c r="AL290" i="1" s="1"/>
  <c r="AB290" i="1"/>
  <c r="AB289" i="1"/>
  <c r="AB288" i="1"/>
  <c r="AB287" i="1"/>
  <c r="AL286" i="1" s="1"/>
  <c r="AB286" i="1"/>
  <c r="AB285" i="1"/>
  <c r="AB284" i="1"/>
  <c r="AB283" i="1"/>
  <c r="AL282" i="1" s="1"/>
  <c r="AB282" i="1"/>
  <c r="AB281" i="1"/>
  <c r="AB280" i="1"/>
  <c r="AB279" i="1"/>
  <c r="AB278" i="1"/>
  <c r="AB277" i="1"/>
  <c r="AB276" i="1"/>
  <c r="AB275" i="1"/>
  <c r="AL274" i="1" s="1"/>
  <c r="AB274" i="1"/>
  <c r="AB273" i="1"/>
  <c r="AB272" i="1"/>
  <c r="AB271" i="1"/>
  <c r="AL270" i="1" s="1"/>
  <c r="AB270" i="1"/>
  <c r="AB269" i="1"/>
  <c r="AB268" i="1"/>
  <c r="AB267" i="1"/>
  <c r="AL266" i="1" s="1"/>
  <c r="AB266" i="1"/>
  <c r="AB265" i="1"/>
  <c r="AB264" i="1"/>
  <c r="AK264" i="1" s="1"/>
  <c r="AB263" i="1"/>
  <c r="AB262" i="1"/>
  <c r="AB261" i="1"/>
  <c r="AB260" i="1"/>
  <c r="AB259" i="1"/>
  <c r="AB258" i="1"/>
  <c r="AK258" i="1" s="1"/>
  <c r="AB257" i="1"/>
  <c r="AB256" i="1"/>
  <c r="AK256" i="1" s="1"/>
  <c r="AB255" i="1"/>
  <c r="AB254" i="1"/>
  <c r="AK254" i="1" s="1"/>
  <c r="AB253" i="1"/>
  <c r="AB252" i="1"/>
  <c r="AB251" i="1"/>
  <c r="AB250" i="1"/>
  <c r="AK250" i="1" s="1"/>
  <c r="AB249" i="1"/>
  <c r="AB248" i="1"/>
  <c r="AK248" i="1" s="1"/>
  <c r="AB247" i="1"/>
  <c r="AB246" i="1"/>
  <c r="AK246" i="1" s="1"/>
  <c r="AB245" i="1"/>
  <c r="AB244" i="1"/>
  <c r="AB243" i="1"/>
  <c r="AQ243" i="1" s="1"/>
  <c r="AB242" i="1"/>
  <c r="AK242" i="1" s="1"/>
  <c r="AB241" i="1"/>
  <c r="AB240" i="1"/>
  <c r="AK240" i="1" s="1"/>
  <c r="AB239" i="1"/>
  <c r="AB238" i="1"/>
  <c r="AB237" i="1"/>
  <c r="AB236" i="1"/>
  <c r="AB235" i="1"/>
  <c r="AB234" i="1"/>
  <c r="AK234" i="1" s="1"/>
  <c r="AB233" i="1"/>
  <c r="AB232" i="1"/>
  <c r="AK232" i="1" s="1"/>
  <c r="AB231" i="1"/>
  <c r="AQ231" i="1" s="1"/>
  <c r="AB230" i="1"/>
  <c r="AB229" i="1"/>
  <c r="AB228" i="1"/>
  <c r="AO228" i="1" s="1" a="1"/>
  <c r="AO228" i="1" s="1"/>
  <c r="AB227" i="1"/>
  <c r="AB226" i="1"/>
  <c r="AB225" i="1"/>
  <c r="AB224" i="1"/>
  <c r="AB223" i="1"/>
  <c r="AP222" i="1" s="1" a="1"/>
  <c r="AP222" i="1" s="1"/>
  <c r="AB222" i="1"/>
  <c r="AK222" i="1" s="1"/>
  <c r="AB221" i="1"/>
  <c r="AB220" i="1"/>
  <c r="AB219" i="1"/>
  <c r="AL218" i="1" s="1"/>
  <c r="AB218" i="1"/>
  <c r="AB217" i="1"/>
  <c r="AB216" i="1"/>
  <c r="AB215" i="1"/>
  <c r="AL214" i="1" s="1"/>
  <c r="AB214" i="1"/>
  <c r="AP213" i="1" s="1" a="1"/>
  <c r="AP213" i="1" s="1"/>
  <c r="AB213" i="1"/>
  <c r="AB212" i="1"/>
  <c r="AB211" i="1"/>
  <c r="AB210" i="1"/>
  <c r="AB209" i="1"/>
  <c r="AB208" i="1"/>
  <c r="AK208" i="1" s="1"/>
  <c r="AB207" i="1"/>
  <c r="AB206" i="1"/>
  <c r="AM205" i="1" s="1"/>
  <c r="AB205" i="1"/>
  <c r="AB204" i="1"/>
  <c r="AB203" i="1"/>
  <c r="AN202" i="1" s="1"/>
  <c r="AB202" i="1"/>
  <c r="AN201" i="1" s="1"/>
  <c r="AB201" i="1"/>
  <c r="AB200" i="1"/>
  <c r="AB199" i="1"/>
  <c r="AN198" i="1" s="1"/>
  <c r="AB198" i="1"/>
  <c r="AB197" i="1"/>
  <c r="AB196" i="1"/>
  <c r="AO196" i="1" s="1" a="1"/>
  <c r="AO196" i="1" s="1"/>
  <c r="AB195" i="1"/>
  <c r="AB194" i="1"/>
  <c r="AB193" i="1"/>
  <c r="AK193" i="1" s="1"/>
  <c r="AB192" i="1"/>
  <c r="AB191" i="1"/>
  <c r="AK191" i="1" s="1"/>
  <c r="AB190" i="1"/>
  <c r="AB189" i="1"/>
  <c r="AK189" i="1" s="1"/>
  <c r="AB188" i="1"/>
  <c r="AB187" i="1"/>
  <c r="AB186" i="1"/>
  <c r="AB185" i="1"/>
  <c r="AB184" i="1"/>
  <c r="AB183" i="1"/>
  <c r="AB182" i="1"/>
  <c r="AB181" i="1"/>
  <c r="AB180" i="1"/>
  <c r="AB179" i="1"/>
  <c r="AB178" i="1"/>
  <c r="AN177" i="1" s="1"/>
  <c r="AB177" i="1"/>
  <c r="AB176" i="1"/>
  <c r="AQ176" i="1" s="1"/>
  <c r="AB175" i="1"/>
  <c r="AK175" i="1" s="1"/>
  <c r="AB174" i="1"/>
  <c r="AB173" i="1"/>
  <c r="AK173" i="1" s="1"/>
  <c r="AB172" i="1"/>
  <c r="AB171" i="1"/>
  <c r="AB170" i="1"/>
  <c r="AB169" i="1"/>
  <c r="AK169" i="1" s="1"/>
  <c r="AB168" i="1"/>
  <c r="AB167" i="1"/>
  <c r="AB166" i="1"/>
  <c r="AB165" i="1"/>
  <c r="AB164" i="1"/>
  <c r="AB163" i="1"/>
  <c r="AB162" i="1"/>
  <c r="AB161" i="1"/>
  <c r="AB160" i="1"/>
  <c r="AB159" i="1"/>
  <c r="AK159" i="1" s="1"/>
  <c r="AB158" i="1"/>
  <c r="AB157" i="1"/>
  <c r="AK157" i="1" s="1"/>
  <c r="AB156" i="1"/>
  <c r="AB155" i="1"/>
  <c r="AB154" i="1"/>
  <c r="AB153" i="1"/>
  <c r="AK153" i="1" s="1"/>
  <c r="AB152" i="1"/>
  <c r="AB151" i="1"/>
  <c r="AB150" i="1"/>
  <c r="AB149" i="1"/>
  <c r="AB148" i="1"/>
  <c r="AB147" i="1"/>
  <c r="AB146" i="1"/>
  <c r="AB145" i="1"/>
  <c r="AB144" i="1"/>
  <c r="AB143" i="1"/>
  <c r="AN142" i="1" s="1"/>
  <c r="AB142" i="1"/>
  <c r="AB141" i="1"/>
  <c r="AK141" i="1" s="1"/>
  <c r="AB140" i="1"/>
  <c r="AB139" i="1"/>
  <c r="AB138" i="1"/>
  <c r="AB137" i="1"/>
  <c r="AK137" i="1" s="1"/>
  <c r="AB136" i="1"/>
  <c r="AB135" i="1"/>
  <c r="AB134" i="1"/>
  <c r="AB133" i="1"/>
  <c r="AB132" i="1"/>
  <c r="AB131" i="1"/>
  <c r="AB130" i="1"/>
  <c r="AB129" i="1"/>
  <c r="AK129" i="1" s="1"/>
  <c r="AB128" i="1"/>
  <c r="AB127" i="1"/>
  <c r="AK127" i="1" s="1"/>
  <c r="AB126" i="1"/>
  <c r="AB125" i="1"/>
  <c r="AK125" i="1" s="1"/>
  <c r="AB124" i="1"/>
  <c r="AB123" i="1"/>
  <c r="AB122" i="1"/>
  <c r="AB121" i="1"/>
  <c r="AK121" i="1" s="1"/>
  <c r="AB120" i="1"/>
  <c r="AB119" i="1"/>
  <c r="AB118" i="1"/>
  <c r="AB117" i="1"/>
  <c r="AB116" i="1"/>
  <c r="AB115" i="1"/>
  <c r="AM114" i="1" s="1"/>
  <c r="AB114" i="1"/>
  <c r="AO113" i="1" s="1" a="1"/>
  <c r="AO113" i="1" s="1"/>
  <c r="AB113" i="1"/>
  <c r="AB112" i="1"/>
  <c r="AB111" i="1"/>
  <c r="AK111" i="1" s="1"/>
  <c r="AB110" i="1"/>
  <c r="AB109" i="1"/>
  <c r="AK109" i="1" s="1"/>
  <c r="AB108" i="1"/>
  <c r="AB107" i="1"/>
  <c r="AB106" i="1"/>
  <c r="AB105" i="1"/>
  <c r="AK105" i="1" s="1"/>
  <c r="AB104" i="1"/>
  <c r="AB103" i="1"/>
  <c r="AB102" i="1"/>
  <c r="AB101" i="1"/>
  <c r="AB100" i="1"/>
  <c r="AB99" i="1"/>
  <c r="AB98" i="1"/>
  <c r="AB97" i="1"/>
  <c r="AB96" i="1"/>
  <c r="AB95" i="1"/>
  <c r="AK95" i="1" s="1"/>
  <c r="AB94" i="1"/>
  <c r="AP93" i="1" s="1" a="1"/>
  <c r="AP93" i="1" s="1"/>
  <c r="AB93" i="1"/>
  <c r="AK93" i="1" s="1"/>
  <c r="AB92" i="1"/>
  <c r="AL92" i="1" s="1"/>
  <c r="AB91" i="1"/>
  <c r="AB90" i="1"/>
  <c r="AB89" i="1"/>
  <c r="AK89" i="1" s="1"/>
  <c r="AB88" i="1"/>
  <c r="AB87" i="1"/>
  <c r="AB86" i="1"/>
  <c r="AB85" i="1"/>
  <c r="AB84" i="1"/>
  <c r="AB83" i="1"/>
  <c r="AB82" i="1"/>
  <c r="AB81" i="1"/>
  <c r="AK81" i="1" s="1"/>
  <c r="AB80" i="1"/>
  <c r="AB79" i="1"/>
  <c r="AK79" i="1" s="1"/>
  <c r="AB78" i="1"/>
  <c r="AB77" i="1"/>
  <c r="AK77" i="1" s="1"/>
  <c r="AB76" i="1"/>
  <c r="AB75" i="1"/>
  <c r="AB74" i="1"/>
  <c r="AN73" i="1" s="1"/>
  <c r="AB73" i="1"/>
  <c r="AK73" i="1" s="1"/>
  <c r="AB72" i="1"/>
  <c r="AB71" i="1"/>
  <c r="AB70" i="1"/>
  <c r="AB69" i="1"/>
  <c r="AB68" i="1"/>
  <c r="AB67" i="1"/>
  <c r="AB66" i="1"/>
  <c r="AB65" i="1"/>
  <c r="AB64" i="1"/>
  <c r="AB63" i="1"/>
  <c r="AK63" i="1" s="1"/>
  <c r="AB62" i="1"/>
  <c r="AN61" i="1" s="1"/>
  <c r="AB61" i="1"/>
  <c r="AK61" i="1" s="1"/>
  <c r="AB60" i="1"/>
  <c r="AB59" i="1"/>
  <c r="AB58" i="1"/>
  <c r="AB57" i="1"/>
  <c r="AK57" i="1" s="1"/>
  <c r="AB56" i="1"/>
  <c r="AB55" i="1"/>
  <c r="AB54" i="1"/>
  <c r="AB53" i="1"/>
  <c r="AB52" i="1"/>
  <c r="AB51" i="1"/>
  <c r="AB50" i="1"/>
  <c r="AB49" i="1"/>
  <c r="AK49" i="1" s="1"/>
  <c r="AB48" i="1"/>
  <c r="AB47" i="1"/>
  <c r="AK47" i="1" s="1"/>
  <c r="AB46" i="1"/>
  <c r="AB45" i="1"/>
  <c r="AK45" i="1" s="1"/>
  <c r="AB44" i="1"/>
  <c r="AB43" i="1"/>
  <c r="AB42" i="1"/>
  <c r="AB41" i="1"/>
  <c r="AK41" i="1" s="1"/>
  <c r="AB40" i="1"/>
  <c r="AB39" i="1"/>
  <c r="AB38" i="1"/>
  <c r="AB37" i="1"/>
  <c r="AB36" i="1"/>
  <c r="AB35" i="1"/>
  <c r="AB34" i="1"/>
  <c r="AB33" i="1"/>
  <c r="AK33" i="1" s="1"/>
  <c r="AB32" i="1"/>
  <c r="AB31" i="1"/>
  <c r="AK31" i="1" s="1"/>
  <c r="AB30" i="1"/>
  <c r="AB29" i="1"/>
  <c r="AK29" i="1" s="1"/>
  <c r="AB28" i="1"/>
  <c r="AB27" i="1"/>
  <c r="AB26" i="1"/>
  <c r="AB25" i="1"/>
  <c r="AK25" i="1" s="1"/>
  <c r="AB24" i="1"/>
  <c r="AB23" i="1"/>
  <c r="AB22" i="1"/>
  <c r="AB21" i="1"/>
  <c r="AB20" i="1"/>
  <c r="AB19" i="1"/>
  <c r="AB18" i="1"/>
  <c r="AB17" i="1"/>
  <c r="AB16" i="1"/>
  <c r="AB15" i="1"/>
  <c r="AK15" i="1" s="1"/>
  <c r="AB14" i="1"/>
  <c r="AB13" i="1"/>
  <c r="AO13" i="1" s="1" a="1"/>
  <c r="AO13" i="1" s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BH36" i="1" s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22" i="1"/>
  <c r="A21" i="1"/>
  <c r="A20" i="1"/>
  <c r="A19" i="1"/>
  <c r="A18" i="1"/>
  <c r="A17" i="1"/>
  <c r="A16" i="1"/>
  <c r="A15" i="1"/>
  <c r="A14" i="1"/>
  <c r="A13" i="1"/>
  <c r="AR491" i="1" l="1"/>
  <c r="AS491" i="1" s="1"/>
  <c r="AR460" i="1"/>
  <c r="AS460" i="1" s="1"/>
  <c r="AR489" i="1"/>
  <c r="AS489" i="1" s="1"/>
  <c r="AK331" i="1"/>
  <c r="AO39" i="1" a="1"/>
  <c r="AO39" i="1" s="1"/>
  <c r="AL107" i="1"/>
  <c r="AO155" i="1" a="1"/>
  <c r="AO155" i="1" s="1"/>
  <c r="AN199" i="1"/>
  <c r="AP307" i="1" a="1"/>
  <c r="AP307" i="1" s="1"/>
  <c r="AP311" i="1" a="1"/>
  <c r="AP311" i="1" s="1"/>
  <c r="AP327" i="1" a="1"/>
  <c r="AP327" i="1" s="1"/>
  <c r="AP335" i="1" a="1"/>
  <c r="AP335" i="1" s="1"/>
  <c r="AP351" i="1" a="1"/>
  <c r="AP351" i="1" s="1"/>
  <c r="AP359" i="1" a="1"/>
  <c r="AP359" i="1" s="1"/>
  <c r="AP371" i="1" a="1"/>
  <c r="AP371" i="1" s="1"/>
  <c r="AP391" i="1" a="1"/>
  <c r="AP391" i="1" s="1"/>
  <c r="AP399" i="1" a="1"/>
  <c r="AP399" i="1" s="1"/>
  <c r="AR467" i="1"/>
  <c r="AS467" i="1" s="1"/>
  <c r="AQ149" i="1"/>
  <c r="AQ177" i="1"/>
  <c r="AQ225" i="1"/>
  <c r="AQ229" i="1"/>
  <c r="AO232" i="1" a="1"/>
  <c r="AO232" i="1" s="1"/>
  <c r="AQ241" i="1"/>
  <c r="AQ245" i="1"/>
  <c r="AO252" i="1" a="1"/>
  <c r="AO252" i="1" s="1"/>
  <c r="AQ257" i="1"/>
  <c r="AP264" i="1" a="1"/>
  <c r="AP264" i="1" s="1"/>
  <c r="AL268" i="1"/>
  <c r="AP272" i="1" a="1"/>
  <c r="AP272" i="1" s="1"/>
  <c r="AP276" i="1" a="1"/>
  <c r="AP276" i="1" s="1"/>
  <c r="AL280" i="1"/>
  <c r="AP284" i="1" a="1"/>
  <c r="AP284" i="1" s="1"/>
  <c r="AP292" i="1" a="1"/>
  <c r="AP292" i="1" s="1"/>
  <c r="AP296" i="1" a="1"/>
  <c r="AP296" i="1" s="1"/>
  <c r="AL300" i="1"/>
  <c r="AP304" i="1" a="1"/>
  <c r="AP304" i="1" s="1"/>
  <c r="AP316" i="1" a="1"/>
  <c r="AP316" i="1" s="1"/>
  <c r="AP324" i="1" a="1"/>
  <c r="AP324" i="1" s="1"/>
  <c r="AP328" i="1" a="1"/>
  <c r="AP328" i="1" s="1"/>
  <c r="AL332" i="1"/>
  <c r="AP336" i="1" a="1"/>
  <c r="AP336" i="1" s="1"/>
  <c r="AL348" i="1"/>
  <c r="AP352" i="1" a="1"/>
  <c r="AP352" i="1" s="1"/>
  <c r="AP356" i="1" a="1"/>
  <c r="AP356" i="1" s="1"/>
  <c r="AL360" i="1"/>
  <c r="AP368" i="1" a="1"/>
  <c r="AP368" i="1" s="1"/>
  <c r="AP380" i="1" a="1"/>
  <c r="AP380" i="1" s="1"/>
  <c r="AP384" i="1" a="1"/>
  <c r="AP384" i="1" s="1"/>
  <c r="AP388" i="1" a="1"/>
  <c r="AP388" i="1" s="1"/>
  <c r="AP392" i="1" a="1"/>
  <c r="AP392" i="1" s="1"/>
  <c r="AL396" i="1"/>
  <c r="AP400" i="1" a="1"/>
  <c r="AP400" i="1" s="1"/>
  <c r="AR537" i="1"/>
  <c r="AS537" i="1" s="1"/>
  <c r="AM47" i="1"/>
  <c r="AN211" i="1"/>
  <c r="AP215" i="1" a="1"/>
  <c r="AP215" i="1" s="1"/>
  <c r="AP219" i="1" a="1"/>
  <c r="AP219" i="1" s="1"/>
  <c r="AN223" i="1"/>
  <c r="AP279" i="1" a="1"/>
  <c r="AP279" i="1" s="1"/>
  <c r="AP287" i="1" a="1"/>
  <c r="AP287" i="1" s="1"/>
  <c r="AP343" i="1" a="1"/>
  <c r="AP343" i="1" s="1"/>
  <c r="AP375" i="1" a="1"/>
  <c r="AP375" i="1" s="1"/>
  <c r="AK400" i="1"/>
  <c r="AR473" i="1"/>
  <c r="AS473" i="1" s="1"/>
  <c r="AK97" i="1"/>
  <c r="AP33" i="1" a="1"/>
  <c r="AP33" i="1" s="1"/>
  <c r="AP45" i="1" a="1"/>
  <c r="AP45" i="1" s="1"/>
  <c r="AN57" i="1"/>
  <c r="AM81" i="1"/>
  <c r="AO89" i="1" a="1"/>
  <c r="AO89" i="1" s="1"/>
  <c r="AL97" i="1"/>
  <c r="AO105" i="1" a="1"/>
  <c r="AO105" i="1" s="1"/>
  <c r="AP109" i="1" a="1"/>
  <c r="AP109" i="1" s="1"/>
  <c r="AL117" i="1"/>
  <c r="AM145" i="1"/>
  <c r="AM153" i="1"/>
  <c r="AL181" i="1"/>
  <c r="AM181" i="1"/>
  <c r="AL185" i="1"/>
  <c r="AM185" i="1"/>
  <c r="AL189" i="1"/>
  <c r="AL193" i="1"/>
  <c r="AN197" i="1"/>
  <c r="AK198" i="1"/>
  <c r="AM209" i="1"/>
  <c r="AK210" i="1"/>
  <c r="AK218" i="1"/>
  <c r="AP217" i="1" a="1"/>
  <c r="AP217" i="1" s="1"/>
  <c r="AM225" i="1"/>
  <c r="AK230" i="1"/>
  <c r="AM229" i="1"/>
  <c r="AM233" i="1"/>
  <c r="AM237" i="1"/>
  <c r="AM257" i="1"/>
  <c r="AK262" i="1"/>
  <c r="AM261" i="1"/>
  <c r="AL265" i="1"/>
  <c r="AM265" i="1"/>
  <c r="AL269" i="1"/>
  <c r="AM269" i="1"/>
  <c r="AP269" i="1" a="1"/>
  <c r="AP269" i="1" s="1"/>
  <c r="AL273" i="1"/>
  <c r="AP273" i="1" a="1"/>
  <c r="AP273" i="1" s="1"/>
  <c r="AK274" i="1"/>
  <c r="AL277" i="1"/>
  <c r="AP277" i="1" a="1"/>
  <c r="AP277" i="1" s="1"/>
  <c r="AL281" i="1"/>
  <c r="AP281" i="1" a="1"/>
  <c r="AP281" i="1" s="1"/>
  <c r="AK282" i="1"/>
  <c r="AL285" i="1"/>
  <c r="AK286" i="1"/>
  <c r="AL289" i="1"/>
  <c r="AM289" i="1"/>
  <c r="AL293" i="1"/>
  <c r="AK294" i="1"/>
  <c r="AM293" i="1"/>
  <c r="AL297" i="1"/>
  <c r="AM297" i="1"/>
  <c r="AL301" i="1"/>
  <c r="AM301" i="1"/>
  <c r="AP301" i="1" a="1"/>
  <c r="AP301" i="1" s="1"/>
  <c r="AL305" i="1"/>
  <c r="AP305" i="1" a="1"/>
  <c r="AP305" i="1" s="1"/>
  <c r="AK306" i="1"/>
  <c r="AL309" i="1"/>
  <c r="AP309" i="1" a="1"/>
  <c r="AP309" i="1" s="1"/>
  <c r="AL313" i="1"/>
  <c r="AP313" i="1" a="1"/>
  <c r="AP313" i="1" s="1"/>
  <c r="AK314" i="1"/>
  <c r="AL317" i="1"/>
  <c r="AK318" i="1"/>
  <c r="AL321" i="1"/>
  <c r="AM321" i="1"/>
  <c r="AL325" i="1"/>
  <c r="AK326" i="1"/>
  <c r="AM325" i="1"/>
  <c r="AL329" i="1"/>
  <c r="AM329" i="1"/>
  <c r="AL333" i="1"/>
  <c r="AM333" i="1"/>
  <c r="AP333" i="1" a="1"/>
  <c r="AP333" i="1" s="1"/>
  <c r="AK334" i="1"/>
  <c r="AL337" i="1"/>
  <c r="AP337" i="1" a="1"/>
  <c r="AP337" i="1" s="1"/>
  <c r="AL341" i="1"/>
  <c r="AP341" i="1" a="1"/>
  <c r="AP341" i="1" s="1"/>
  <c r="AK342" i="1"/>
  <c r="AL345" i="1"/>
  <c r="AP345" i="1" a="1"/>
  <c r="AP345" i="1" s="1"/>
  <c r="AL349" i="1"/>
  <c r="AL353" i="1"/>
  <c r="AK354" i="1"/>
  <c r="AM353" i="1"/>
  <c r="AL357" i="1"/>
  <c r="AM357" i="1"/>
  <c r="AL361" i="1"/>
  <c r="AK362" i="1"/>
  <c r="AM361" i="1"/>
  <c r="AL365" i="1"/>
  <c r="AM365" i="1"/>
  <c r="AP365" i="1" a="1"/>
  <c r="AP365" i="1" s="1"/>
  <c r="AL369" i="1"/>
  <c r="AP369" i="1" a="1"/>
  <c r="AP369" i="1" s="1"/>
  <c r="AK370" i="1"/>
  <c r="AL373" i="1"/>
  <c r="AP373" i="1" a="1"/>
  <c r="AP373" i="1" s="1"/>
  <c r="AL377" i="1"/>
  <c r="AP377" i="1" a="1"/>
  <c r="AP377" i="1" s="1"/>
  <c r="AK378" i="1"/>
  <c r="AL381" i="1"/>
  <c r="AK382" i="1"/>
  <c r="AL385" i="1"/>
  <c r="AM385" i="1"/>
  <c r="AL389" i="1"/>
  <c r="AK390" i="1"/>
  <c r="AM389" i="1"/>
  <c r="AL393" i="1"/>
  <c r="AM393" i="1"/>
  <c r="AL397" i="1"/>
  <c r="AM397" i="1"/>
  <c r="AP397" i="1" a="1"/>
  <c r="AP397" i="1" s="1"/>
  <c r="AK398" i="1"/>
  <c r="AL401" i="1"/>
  <c r="AP401" i="1" a="1"/>
  <c r="AP401" i="1" s="1"/>
  <c r="AQ402" i="1"/>
  <c r="AK366" i="1"/>
  <c r="AK352" i="1"/>
  <c r="AK338" i="1"/>
  <c r="AK310" i="1"/>
  <c r="AK290" i="1"/>
  <c r="AK270" i="1"/>
  <c r="AK226" i="1"/>
  <c r="AK206" i="1"/>
  <c r="AP381" i="1" a="1"/>
  <c r="AP381" i="1" s="1"/>
  <c r="AL380" i="1"/>
  <c r="AM373" i="1"/>
  <c r="AP361" i="1" a="1"/>
  <c r="AP361" i="1" s="1"/>
  <c r="AP353" i="1" a="1"/>
  <c r="AP353" i="1" s="1"/>
  <c r="AP317" i="1" a="1"/>
  <c r="AP317" i="1" s="1"/>
  <c r="AR317" i="1" s="1"/>
  <c r="AS317" i="1" s="1"/>
  <c r="AL316" i="1"/>
  <c r="AM309" i="1"/>
  <c r="AP297" i="1" a="1"/>
  <c r="AP297" i="1" s="1"/>
  <c r="AP289" i="1" a="1"/>
  <c r="AP289" i="1" s="1"/>
  <c r="AR289" i="1" s="1"/>
  <c r="AS289" i="1" s="1"/>
  <c r="AP263" i="1" a="1"/>
  <c r="AP263" i="1" s="1"/>
  <c r="AQ253" i="1"/>
  <c r="AM245" i="1"/>
  <c r="AO242" i="1" a="1"/>
  <c r="AO242" i="1" s="1"/>
  <c r="AQ233" i="1"/>
  <c r="AO100" i="1" a="1"/>
  <c r="AO100" i="1" s="1"/>
  <c r="AP180" i="1" a="1"/>
  <c r="AP180" i="1" s="1"/>
  <c r="AO236" i="1" a="1"/>
  <c r="AO236" i="1" s="1"/>
  <c r="AQ237" i="1"/>
  <c r="AO248" i="1" a="1"/>
  <c r="AO248" i="1" s="1"/>
  <c r="AQ249" i="1"/>
  <c r="AM118" i="1"/>
  <c r="AQ227" i="1"/>
  <c r="AO226" i="1" a="1"/>
  <c r="AO226" i="1" s="1"/>
  <c r="AQ239" i="1"/>
  <c r="AO238" i="1" a="1"/>
  <c r="AO238" i="1" s="1"/>
  <c r="AQ247" i="1"/>
  <c r="AQ255" i="1"/>
  <c r="AQ259" i="1"/>
  <c r="AO258" i="1" a="1"/>
  <c r="AO258" i="1" s="1"/>
  <c r="AL346" i="1"/>
  <c r="AK347" i="1"/>
  <c r="AL362" i="1"/>
  <c r="AK363" i="1"/>
  <c r="AL398" i="1"/>
  <c r="AK394" i="1"/>
  <c r="AK379" i="1"/>
  <c r="AK350" i="1"/>
  <c r="AK336" i="1"/>
  <c r="AK322" i="1"/>
  <c r="AK308" i="1"/>
  <c r="AK288" i="1"/>
  <c r="AK266" i="1"/>
  <c r="AK224" i="1"/>
  <c r="AK202" i="1"/>
  <c r="AM401" i="1"/>
  <c r="AL392" i="1"/>
  <c r="AP389" i="1" a="1"/>
  <c r="AP389" i="1" s="1"/>
  <c r="AM381" i="1"/>
  <c r="AM345" i="1"/>
  <c r="AR345" i="1" s="1"/>
  <c r="AS345" i="1" s="1"/>
  <c r="AM337" i="1"/>
  <c r="AL328" i="1"/>
  <c r="AP325" i="1" a="1"/>
  <c r="AP325" i="1" s="1"/>
  <c r="AL318" i="1"/>
  <c r="AM317" i="1"/>
  <c r="AM281" i="1"/>
  <c r="AM273" i="1"/>
  <c r="AL264" i="1"/>
  <c r="AP261" i="1" a="1"/>
  <c r="AP261" i="1" s="1"/>
  <c r="AO254" i="1" a="1"/>
  <c r="AO254" i="1" s="1"/>
  <c r="AM253" i="1"/>
  <c r="AM116" i="1"/>
  <c r="AM115" i="1"/>
  <c r="AN200" i="1"/>
  <c r="AK200" i="1"/>
  <c r="AN204" i="1"/>
  <c r="AN203" i="1"/>
  <c r="AO244" i="1" a="1"/>
  <c r="AO244" i="1" s="1"/>
  <c r="AO260" i="1" a="1"/>
  <c r="AO260" i="1" s="1"/>
  <c r="AP271" i="1" a="1"/>
  <c r="AP271" i="1" s="1"/>
  <c r="AK272" i="1"/>
  <c r="AL276" i="1"/>
  <c r="AL292" i="1"/>
  <c r="AP291" i="1" a="1"/>
  <c r="AP291" i="1" s="1"/>
  <c r="AP303" i="1" a="1"/>
  <c r="AP303" i="1" s="1"/>
  <c r="AK304" i="1"/>
  <c r="AL308" i="1"/>
  <c r="AP319" i="1" a="1"/>
  <c r="AP319" i="1" s="1"/>
  <c r="AK320" i="1"/>
  <c r="AL324" i="1"/>
  <c r="AP323" i="1" a="1"/>
  <c r="AP323" i="1" s="1"/>
  <c r="AL340" i="1"/>
  <c r="AK340" i="1"/>
  <c r="AL356" i="1"/>
  <c r="AP355" i="1" a="1"/>
  <c r="AP355" i="1" s="1"/>
  <c r="AK356" i="1"/>
  <c r="AP367" i="1" a="1"/>
  <c r="AP367" i="1" s="1"/>
  <c r="AK368" i="1"/>
  <c r="AL372" i="1"/>
  <c r="AP383" i="1" a="1"/>
  <c r="AP383" i="1" s="1"/>
  <c r="AK384" i="1"/>
  <c r="AL388" i="1"/>
  <c r="AP387" i="1" a="1"/>
  <c r="AP387" i="1" s="1"/>
  <c r="AK388" i="1"/>
  <c r="AK280" i="1"/>
  <c r="AK238" i="1"/>
  <c r="AK216" i="1"/>
  <c r="AL402" i="1"/>
  <c r="AP393" i="1" a="1"/>
  <c r="AP393" i="1" s="1"/>
  <c r="AP385" i="1" a="1"/>
  <c r="AP385" i="1" s="1"/>
  <c r="AP349" i="1" a="1"/>
  <c r="AP349" i="1" s="1"/>
  <c r="AM341" i="1"/>
  <c r="AP329" i="1" a="1"/>
  <c r="AP329" i="1" s="1"/>
  <c r="AP321" i="1" a="1"/>
  <c r="AP321" i="1" s="1"/>
  <c r="AP295" i="1" a="1"/>
  <c r="AP295" i="1" s="1"/>
  <c r="AP285" i="1" a="1"/>
  <c r="AP285" i="1" s="1"/>
  <c r="AR285" i="1" s="1"/>
  <c r="AS285" i="1" s="1"/>
  <c r="AL284" i="1"/>
  <c r="AM277" i="1"/>
  <c r="AP265" i="1" a="1"/>
  <c r="AP265" i="1" s="1"/>
  <c r="AP221" i="1" a="1"/>
  <c r="AP221" i="1" s="1"/>
  <c r="AO193" i="1" a="1"/>
  <c r="AO193" i="1" s="1"/>
  <c r="AN145" i="1"/>
  <c r="AQ13" i="1"/>
  <c r="AK13" i="1"/>
  <c r="AP184" i="1" a="1"/>
  <c r="AP184" i="1" s="1"/>
  <c r="AK185" i="1"/>
  <c r="AP312" i="1" a="1"/>
  <c r="AP312" i="1" s="1"/>
  <c r="AL312" i="1"/>
  <c r="AP344" i="1" a="1"/>
  <c r="AP344" i="1" s="1"/>
  <c r="AL344" i="1"/>
  <c r="AP364" i="1" a="1"/>
  <c r="AP364" i="1" s="1"/>
  <c r="AL364" i="1"/>
  <c r="AP376" i="1" a="1"/>
  <c r="AP376" i="1" s="1"/>
  <c r="AL376" i="1"/>
  <c r="AK372" i="1"/>
  <c r="AK143" i="1"/>
  <c r="AM377" i="1"/>
  <c r="AM369" i="1"/>
  <c r="AP357" i="1" a="1"/>
  <c r="AP357" i="1" s="1"/>
  <c r="AM349" i="1"/>
  <c r="AR349" i="1" s="1"/>
  <c r="AS349" i="1" s="1"/>
  <c r="AP339" i="1" a="1"/>
  <c r="AP339" i="1" s="1"/>
  <c r="AM313" i="1"/>
  <c r="AM305" i="1"/>
  <c r="AL296" i="1"/>
  <c r="AP293" i="1" a="1"/>
  <c r="AP293" i="1" s="1"/>
  <c r="AM285" i="1"/>
  <c r="AP275" i="1" a="1"/>
  <c r="AP275" i="1" s="1"/>
  <c r="AM249" i="1"/>
  <c r="AM241" i="1"/>
  <c r="AM189" i="1"/>
  <c r="AR474" i="1"/>
  <c r="AS474" i="1" s="1"/>
  <c r="AR505" i="1"/>
  <c r="AS505" i="1" s="1"/>
  <c r="AR539" i="1"/>
  <c r="AS539" i="1" s="1"/>
  <c r="AR490" i="1"/>
  <c r="AS490" i="1" s="1"/>
  <c r="AR462" i="1"/>
  <c r="AS462" i="1" s="1"/>
  <c r="AR507" i="1"/>
  <c r="AS507" i="1" s="1"/>
  <c r="AR499" i="1"/>
  <c r="AS499" i="1" s="1"/>
  <c r="AR497" i="1"/>
  <c r="AS497" i="1" s="1"/>
  <c r="AR495" i="1"/>
  <c r="AS495" i="1" s="1"/>
  <c r="AR493" i="1"/>
  <c r="AS493" i="1" s="1"/>
  <c r="AR492" i="1"/>
  <c r="AS492" i="1" s="1"/>
  <c r="AR531" i="1"/>
  <c r="AS531" i="1" s="1"/>
  <c r="AR529" i="1"/>
  <c r="AS529" i="1" s="1"/>
  <c r="AR527" i="1"/>
  <c r="AS527" i="1" s="1"/>
  <c r="AR525" i="1"/>
  <c r="AS525" i="1" s="1"/>
  <c r="AR524" i="1"/>
  <c r="AS524" i="1" s="1"/>
  <c r="AR483" i="1"/>
  <c r="AS483" i="1" s="1"/>
  <c r="AO18" i="1" a="1"/>
  <c r="AO18" i="1" s="1"/>
  <c r="AM18" i="1"/>
  <c r="AL18" i="1"/>
  <c r="AN18" i="1"/>
  <c r="AP18" i="1" a="1"/>
  <c r="AP18" i="1" s="1"/>
  <c r="AR18" i="1" s="1"/>
  <c r="AS18" i="1" s="1"/>
  <c r="AK19" i="1"/>
  <c r="AM26" i="1"/>
  <c r="AQ27" i="1"/>
  <c r="AP26" i="1" a="1"/>
  <c r="AP26" i="1" s="1"/>
  <c r="AR26" i="1" s="1"/>
  <c r="AS26" i="1" s="1"/>
  <c r="AO26" i="1" a="1"/>
  <c r="AO26" i="1" s="1"/>
  <c r="AL26" i="1"/>
  <c r="AN26" i="1"/>
  <c r="AK27" i="1"/>
  <c r="AN34" i="1"/>
  <c r="AP34" i="1" a="1"/>
  <c r="AP34" i="1" s="1"/>
  <c r="AQ35" i="1"/>
  <c r="AO34" i="1" a="1"/>
  <c r="AO34" i="1" s="1"/>
  <c r="AM34" i="1"/>
  <c r="AL34" i="1"/>
  <c r="AK35" i="1"/>
  <c r="AQ43" i="1"/>
  <c r="AK43" i="1"/>
  <c r="AQ51" i="1"/>
  <c r="AK51" i="1"/>
  <c r="AQ59" i="1"/>
  <c r="AM58" i="1"/>
  <c r="AK59" i="1"/>
  <c r="AN70" i="1"/>
  <c r="AO70" i="1" a="1"/>
  <c r="AO70" i="1" s="1"/>
  <c r="AM70" i="1"/>
  <c r="AL70" i="1"/>
  <c r="AP70" i="1" a="1"/>
  <c r="AP70" i="1" s="1"/>
  <c r="AK71" i="1"/>
  <c r="AO78" i="1" a="1"/>
  <c r="AO78" i="1" s="1"/>
  <c r="AP78" i="1" a="1"/>
  <c r="AP78" i="1" s="1"/>
  <c r="AQ79" i="1"/>
  <c r="AL78" i="1"/>
  <c r="AM78" i="1"/>
  <c r="AN78" i="1"/>
  <c r="AL86" i="1"/>
  <c r="AP86" i="1" a="1"/>
  <c r="AP86" i="1" s="1"/>
  <c r="AN86" i="1"/>
  <c r="AQ87" i="1"/>
  <c r="AO86" i="1" a="1"/>
  <c r="AO86" i="1" s="1"/>
  <c r="AM86" i="1"/>
  <c r="AK87" i="1"/>
  <c r="AM98" i="1"/>
  <c r="AQ99" i="1"/>
  <c r="AN98" i="1"/>
  <c r="AL98" i="1"/>
  <c r="AO98" i="1" a="1"/>
  <c r="AO98" i="1" s="1"/>
  <c r="AK99" i="1"/>
  <c r="AP98" i="1" a="1"/>
  <c r="AP98" i="1" s="1"/>
  <c r="AM110" i="1"/>
  <c r="AP110" i="1" a="1"/>
  <c r="AP110" i="1" s="1"/>
  <c r="AN110" i="1"/>
  <c r="AQ111" i="1"/>
  <c r="AL110" i="1"/>
  <c r="AO110" i="1" a="1"/>
  <c r="AO110" i="1" s="1"/>
  <c r="AQ119" i="1"/>
  <c r="AK119" i="1"/>
  <c r="AM126" i="1"/>
  <c r="AQ127" i="1"/>
  <c r="AN126" i="1"/>
  <c r="AL126" i="1"/>
  <c r="AO126" i="1" a="1"/>
  <c r="AO126" i="1" s="1"/>
  <c r="AP126" i="1" a="1"/>
  <c r="AP126" i="1" s="1"/>
  <c r="AM134" i="1"/>
  <c r="AQ135" i="1"/>
  <c r="AK135" i="1"/>
  <c r="AM146" i="1"/>
  <c r="AQ147" i="1"/>
  <c r="AK147" i="1"/>
  <c r="AN154" i="1"/>
  <c r="AP154" i="1" a="1"/>
  <c r="AP154" i="1" s="1"/>
  <c r="AQ155" i="1"/>
  <c r="AL154" i="1"/>
  <c r="AO154" i="1" a="1"/>
  <c r="AO154" i="1" s="1"/>
  <c r="AM154" i="1"/>
  <c r="AK155" i="1"/>
  <c r="AL162" i="1"/>
  <c r="AP162" i="1" a="1"/>
  <c r="AP162" i="1" s="1"/>
  <c r="AM162" i="1"/>
  <c r="AN162" i="1"/>
  <c r="AO162" i="1" a="1"/>
  <c r="AO162" i="1" s="1"/>
  <c r="AQ163" i="1"/>
  <c r="AK163" i="1"/>
  <c r="AL170" i="1"/>
  <c r="AP170" i="1" a="1"/>
  <c r="AP170" i="1" s="1"/>
  <c r="AM170" i="1"/>
  <c r="AN170" i="1"/>
  <c r="AO170" i="1" a="1"/>
  <c r="AO170" i="1" s="1"/>
  <c r="AQ171" i="1"/>
  <c r="AK171" i="1"/>
  <c r="AO178" i="1" a="1"/>
  <c r="AO178" i="1" s="1"/>
  <c r="AL178" i="1"/>
  <c r="AP178" i="1" a="1"/>
  <c r="AP178" i="1" s="1"/>
  <c r="AQ179" i="1"/>
  <c r="AK179" i="1"/>
  <c r="AM178" i="1"/>
  <c r="AN186" i="1"/>
  <c r="AO186" i="1" a="1"/>
  <c r="AO186" i="1" s="1"/>
  <c r="AL186" i="1"/>
  <c r="AM186" i="1"/>
  <c r="AQ187" i="1"/>
  <c r="AK187" i="1"/>
  <c r="AQ186" i="1"/>
  <c r="AP186" i="1" a="1"/>
  <c r="AP186" i="1" s="1"/>
  <c r="AL198" i="1"/>
  <c r="AP198" i="1" a="1"/>
  <c r="AP198" i="1" s="1"/>
  <c r="AM198" i="1"/>
  <c r="AQ199" i="1"/>
  <c r="AO198" i="1" a="1"/>
  <c r="AO198" i="1" s="1"/>
  <c r="AK199" i="1"/>
  <c r="AO206" i="1" a="1"/>
  <c r="AO206" i="1" s="1"/>
  <c r="AL206" i="1"/>
  <c r="AP206" i="1" a="1"/>
  <c r="AP206" i="1" s="1"/>
  <c r="AM206" i="1"/>
  <c r="AN206" i="1"/>
  <c r="AQ207" i="1"/>
  <c r="AQ206" i="1"/>
  <c r="AK207" i="1"/>
  <c r="AN218" i="1"/>
  <c r="AO218" i="1" a="1"/>
  <c r="AO218" i="1" s="1"/>
  <c r="AP218" i="1" a="1"/>
  <c r="AP218" i="1" s="1"/>
  <c r="AM218" i="1"/>
  <c r="AQ219" i="1"/>
  <c r="AK219" i="1"/>
  <c r="AL226" i="1"/>
  <c r="AP226" i="1" a="1"/>
  <c r="AP226" i="1" s="1"/>
  <c r="AM226" i="1"/>
  <c r="AN226" i="1"/>
  <c r="AK227" i="1"/>
  <c r="AL234" i="1"/>
  <c r="AP234" i="1" a="1"/>
  <c r="AP234" i="1" s="1"/>
  <c r="AM234" i="1"/>
  <c r="AN234" i="1"/>
  <c r="AK235" i="1"/>
  <c r="AL242" i="1"/>
  <c r="AP242" i="1" a="1"/>
  <c r="AP242" i="1" s="1"/>
  <c r="AM242" i="1"/>
  <c r="AR242" i="1" s="1"/>
  <c r="AS242" i="1" s="1"/>
  <c r="AN242" i="1"/>
  <c r="AK243" i="1"/>
  <c r="AL250" i="1"/>
  <c r="AP250" i="1" a="1"/>
  <c r="AP250" i="1" s="1"/>
  <c r="AM250" i="1"/>
  <c r="AN250" i="1"/>
  <c r="AK251" i="1"/>
  <c r="AL258" i="1"/>
  <c r="AP258" i="1" a="1"/>
  <c r="AP258" i="1" s="1"/>
  <c r="AM258" i="1"/>
  <c r="AN258" i="1"/>
  <c r="AK259" i="1"/>
  <c r="AN270" i="1"/>
  <c r="AO270" i="1" a="1"/>
  <c r="AO270" i="1" s="1"/>
  <c r="AM270" i="1"/>
  <c r="AQ271" i="1"/>
  <c r="AP270" i="1" a="1"/>
  <c r="AP270" i="1" s="1"/>
  <c r="AQ270" i="1"/>
  <c r="AK271" i="1"/>
  <c r="AN278" i="1"/>
  <c r="AO278" i="1" a="1"/>
  <c r="AO278" i="1" s="1"/>
  <c r="AM278" i="1"/>
  <c r="AQ279" i="1"/>
  <c r="AQ278" i="1"/>
  <c r="AP278" i="1" a="1"/>
  <c r="AP278" i="1" s="1"/>
  <c r="AK279" i="1"/>
  <c r="AN290" i="1"/>
  <c r="AO290" i="1" a="1"/>
  <c r="AO290" i="1" s="1"/>
  <c r="AM290" i="1"/>
  <c r="AQ291" i="1"/>
  <c r="AP290" i="1" a="1"/>
  <c r="AP290" i="1" s="1"/>
  <c r="AQ290" i="1"/>
  <c r="AK291" i="1"/>
  <c r="AN298" i="1"/>
  <c r="AO298" i="1" a="1"/>
  <c r="AO298" i="1" s="1"/>
  <c r="AM298" i="1"/>
  <c r="AQ299" i="1"/>
  <c r="AP298" i="1" a="1"/>
  <c r="AP298" i="1" s="1"/>
  <c r="AQ298" i="1"/>
  <c r="AK299" i="1"/>
  <c r="AN306" i="1"/>
  <c r="AO306" i="1" a="1"/>
  <c r="AO306" i="1" s="1"/>
  <c r="AM306" i="1"/>
  <c r="AQ307" i="1"/>
  <c r="AQ306" i="1"/>
  <c r="AP306" i="1" a="1"/>
  <c r="AP306" i="1" s="1"/>
  <c r="AN314" i="1"/>
  <c r="AO314" i="1" a="1"/>
  <c r="AO314" i="1" s="1"/>
  <c r="AM314" i="1"/>
  <c r="AQ315" i="1"/>
  <c r="AQ314" i="1"/>
  <c r="AP314" i="1" a="1"/>
  <c r="AP314" i="1" s="1"/>
  <c r="AN326" i="1"/>
  <c r="AO326" i="1" a="1"/>
  <c r="AO326" i="1" s="1"/>
  <c r="AM326" i="1"/>
  <c r="AQ327" i="1"/>
  <c r="AP326" i="1" a="1"/>
  <c r="AP326" i="1" s="1"/>
  <c r="AQ326" i="1"/>
  <c r="AN334" i="1"/>
  <c r="AO334" i="1" a="1"/>
  <c r="AO334" i="1" s="1"/>
  <c r="AM334" i="1"/>
  <c r="AQ335" i="1"/>
  <c r="AQ334" i="1"/>
  <c r="AP334" i="1" a="1"/>
  <c r="AP334" i="1" s="1"/>
  <c r="AN342" i="1"/>
  <c r="AO342" i="1" a="1"/>
  <c r="AO342" i="1" s="1"/>
  <c r="AM342" i="1"/>
  <c r="AQ343" i="1"/>
  <c r="AQ342" i="1"/>
  <c r="AP342" i="1" a="1"/>
  <c r="AP342" i="1" s="1"/>
  <c r="AN350" i="1"/>
  <c r="AO350" i="1" a="1"/>
  <c r="AO350" i="1" s="1"/>
  <c r="AM350" i="1"/>
  <c r="AQ351" i="1"/>
  <c r="AQ350" i="1"/>
  <c r="AP350" i="1" a="1"/>
  <c r="AP350" i="1" s="1"/>
  <c r="AN358" i="1"/>
  <c r="AO358" i="1" a="1"/>
  <c r="AO358" i="1" s="1"/>
  <c r="AM358" i="1"/>
  <c r="AQ359" i="1"/>
  <c r="AP358" i="1" a="1"/>
  <c r="AP358" i="1" s="1"/>
  <c r="AQ358" i="1"/>
  <c r="AN366" i="1"/>
  <c r="AO366" i="1" a="1"/>
  <c r="AO366" i="1" s="1"/>
  <c r="AM366" i="1"/>
  <c r="AQ367" i="1"/>
  <c r="AQ366" i="1"/>
  <c r="AP366" i="1" a="1"/>
  <c r="AP366" i="1" s="1"/>
  <c r="AN374" i="1"/>
  <c r="AO374" i="1" a="1"/>
  <c r="AO374" i="1" s="1"/>
  <c r="AM374" i="1"/>
  <c r="AQ375" i="1"/>
  <c r="AQ374" i="1"/>
  <c r="AP374" i="1" a="1"/>
  <c r="AP374" i="1" s="1"/>
  <c r="AN382" i="1"/>
  <c r="AO382" i="1" a="1"/>
  <c r="AO382" i="1" s="1"/>
  <c r="AM382" i="1"/>
  <c r="AQ383" i="1"/>
  <c r="AQ382" i="1"/>
  <c r="AP382" i="1" a="1"/>
  <c r="AP382" i="1" s="1"/>
  <c r="AN386" i="1"/>
  <c r="AO386" i="1" a="1"/>
  <c r="AO386" i="1" s="1"/>
  <c r="AM386" i="1"/>
  <c r="AQ387" i="1"/>
  <c r="AP386" i="1" a="1"/>
  <c r="AP386" i="1" s="1"/>
  <c r="AR386" i="1" s="1"/>
  <c r="AS386" i="1" s="1"/>
  <c r="AQ386" i="1"/>
  <c r="AN394" i="1"/>
  <c r="AO394" i="1" a="1"/>
  <c r="AO394" i="1" s="1"/>
  <c r="AM394" i="1"/>
  <c r="AR394" i="1" s="1"/>
  <c r="AS394" i="1" s="1"/>
  <c r="AQ395" i="1"/>
  <c r="AP394" i="1" a="1"/>
  <c r="AP394" i="1" s="1"/>
  <c r="AQ394" i="1"/>
  <c r="AN398" i="1"/>
  <c r="AO398" i="1" a="1"/>
  <c r="AO398" i="1" s="1"/>
  <c r="AM398" i="1"/>
  <c r="AQ399" i="1"/>
  <c r="AP398" i="1" a="1"/>
  <c r="AP398" i="1" s="1"/>
  <c r="AQ398" i="1"/>
  <c r="AK399" i="1"/>
  <c r="AK383" i="1"/>
  <c r="AK367" i="1"/>
  <c r="AK351" i="1"/>
  <c r="AK335" i="1"/>
  <c r="AL394" i="1"/>
  <c r="AL314" i="1"/>
  <c r="AL298" i="1"/>
  <c r="AO250" i="1" a="1"/>
  <c r="AO250" i="1" s="1"/>
  <c r="AO234" i="1" a="1"/>
  <c r="AO234" i="1" s="1"/>
  <c r="AQ15" i="1"/>
  <c r="AQ23" i="1"/>
  <c r="AK23" i="1"/>
  <c r="AL30" i="1" s="1"/>
  <c r="AQ31" i="1"/>
  <c r="AN38" i="1"/>
  <c r="AP38" i="1" a="1"/>
  <c r="AP38" i="1" s="1"/>
  <c r="AQ39" i="1"/>
  <c r="AO38" i="1" a="1"/>
  <c r="AO38" i="1" s="1"/>
  <c r="AL38" i="1"/>
  <c r="AM38" i="1"/>
  <c r="AK39" i="1"/>
  <c r="AO46" i="1" a="1"/>
  <c r="AO46" i="1" s="1"/>
  <c r="AP46" i="1" a="1"/>
  <c r="AP46" i="1" s="1"/>
  <c r="AQ47" i="1"/>
  <c r="AN46" i="1"/>
  <c r="AM46" i="1"/>
  <c r="AL46" i="1"/>
  <c r="AL54" i="1"/>
  <c r="AP54" i="1" a="1"/>
  <c r="AP54" i="1" s="1"/>
  <c r="AO54" i="1" a="1"/>
  <c r="AO54" i="1" s="1"/>
  <c r="AN54" i="1"/>
  <c r="AQ55" i="1"/>
  <c r="AM54" i="1"/>
  <c r="AK55" i="1"/>
  <c r="AO62" i="1" a="1"/>
  <c r="AO62" i="1" s="1"/>
  <c r="AL62" i="1"/>
  <c r="AQ63" i="1"/>
  <c r="AN62" i="1"/>
  <c r="AP62" i="1" a="1"/>
  <c r="AP62" i="1" s="1"/>
  <c r="AM62" i="1"/>
  <c r="AN66" i="1"/>
  <c r="AO66" i="1" a="1"/>
  <c r="AO66" i="1" s="1"/>
  <c r="AL66" i="1"/>
  <c r="AM66" i="1"/>
  <c r="AQ67" i="1"/>
  <c r="AP66" i="1" a="1"/>
  <c r="AP66" i="1" s="1"/>
  <c r="AQ66" i="1"/>
  <c r="AK67" i="1"/>
  <c r="AL74" i="1"/>
  <c r="AP74" i="1" a="1"/>
  <c r="AP74" i="1" s="1"/>
  <c r="AN74" i="1"/>
  <c r="AO74" i="1" a="1"/>
  <c r="AO74" i="1" s="1"/>
  <c r="AK75" i="1"/>
  <c r="AM74" i="1"/>
  <c r="AQ75" i="1"/>
  <c r="AN82" i="1"/>
  <c r="AQ83" i="1"/>
  <c r="AL82" i="1"/>
  <c r="AP82" i="1" a="1"/>
  <c r="AP82" i="1" s="1"/>
  <c r="AM82" i="1"/>
  <c r="AO82" i="1" a="1"/>
  <c r="AO82" i="1" s="1"/>
  <c r="AK83" i="1"/>
  <c r="AM90" i="1"/>
  <c r="AQ91" i="1"/>
  <c r="AK91" i="1"/>
  <c r="AL96" i="1" s="1"/>
  <c r="AN94" i="1"/>
  <c r="AO94" i="1" a="1"/>
  <c r="AO94" i="1" s="1"/>
  <c r="AP94" i="1" a="1"/>
  <c r="AP94" i="1" s="1"/>
  <c r="AM94" i="1"/>
  <c r="AQ95" i="1"/>
  <c r="AL94" i="1"/>
  <c r="AM102" i="1"/>
  <c r="AQ103" i="1"/>
  <c r="AN102" i="1"/>
  <c r="AL102" i="1"/>
  <c r="AO102" i="1" a="1"/>
  <c r="AO102" i="1" s="1"/>
  <c r="AP102" i="1" a="1"/>
  <c r="AP102" i="1" s="1"/>
  <c r="AK103" i="1"/>
  <c r="AM106" i="1"/>
  <c r="AQ107" i="1"/>
  <c r="AN106" i="1"/>
  <c r="AP106" i="1" a="1"/>
  <c r="AP106" i="1" s="1"/>
  <c r="AO106" i="1" a="1"/>
  <c r="AO106" i="1" s="1"/>
  <c r="AL106" i="1"/>
  <c r="AK107" i="1"/>
  <c r="AO114" i="1" a="1"/>
  <c r="AO114" i="1" s="1"/>
  <c r="AL114" i="1"/>
  <c r="AP114" i="1" a="1"/>
  <c r="AP114" i="1" s="1"/>
  <c r="AR114" i="1" s="1"/>
  <c r="AS114" i="1" s="1"/>
  <c r="AN114" i="1"/>
  <c r="AQ115" i="1"/>
  <c r="AK115" i="1"/>
  <c r="AN122" i="1"/>
  <c r="AO122" i="1" a="1"/>
  <c r="AO122" i="1" s="1"/>
  <c r="AM122" i="1"/>
  <c r="AQ123" i="1"/>
  <c r="AP122" i="1" a="1"/>
  <c r="AP122" i="1" s="1"/>
  <c r="AL122" i="1"/>
  <c r="AK123" i="1"/>
  <c r="AM130" i="1"/>
  <c r="AQ131" i="1"/>
  <c r="AN130" i="1"/>
  <c r="AO130" i="1" a="1"/>
  <c r="AO130" i="1" s="1"/>
  <c r="AP130" i="1" a="1"/>
  <c r="AP130" i="1" s="1"/>
  <c r="AL130" i="1"/>
  <c r="AK131" i="1"/>
  <c r="AO138" i="1" a="1"/>
  <c r="AO138" i="1" s="1"/>
  <c r="AL138" i="1"/>
  <c r="AP138" i="1" a="1"/>
  <c r="AP138" i="1" s="1"/>
  <c r="AN138" i="1"/>
  <c r="AM138" i="1"/>
  <c r="AK139" i="1"/>
  <c r="AO142" i="1" a="1"/>
  <c r="AO142" i="1" s="1"/>
  <c r="AL142" i="1"/>
  <c r="AP142" i="1" a="1"/>
  <c r="AP142" i="1" s="1"/>
  <c r="AM142" i="1"/>
  <c r="AN150" i="1"/>
  <c r="AP150" i="1" a="1"/>
  <c r="AP150" i="1" s="1"/>
  <c r="AQ151" i="1"/>
  <c r="AL150" i="1"/>
  <c r="AM150" i="1"/>
  <c r="AO150" i="1" a="1"/>
  <c r="AO150" i="1" s="1"/>
  <c r="AK151" i="1"/>
  <c r="AM158" i="1"/>
  <c r="AQ159" i="1"/>
  <c r="AL158" i="1"/>
  <c r="AN158" i="1"/>
  <c r="AO158" i="1" a="1"/>
  <c r="AO158" i="1" s="1"/>
  <c r="AP158" i="1" a="1"/>
  <c r="AP158" i="1" s="1"/>
  <c r="AL166" i="1"/>
  <c r="AP166" i="1" a="1"/>
  <c r="AP166" i="1" s="1"/>
  <c r="AM166" i="1"/>
  <c r="AN166" i="1"/>
  <c r="AO166" i="1" a="1"/>
  <c r="AO166" i="1" s="1"/>
  <c r="AQ167" i="1"/>
  <c r="AK167" i="1"/>
  <c r="AL174" i="1"/>
  <c r="AP174" i="1" a="1"/>
  <c r="AP174" i="1" s="1"/>
  <c r="AM174" i="1"/>
  <c r="AQ175" i="1"/>
  <c r="AN174" i="1"/>
  <c r="AO174" i="1" a="1"/>
  <c r="AO174" i="1" s="1"/>
  <c r="AN182" i="1"/>
  <c r="AO182" i="1" a="1"/>
  <c r="AO182" i="1" s="1"/>
  <c r="AL182" i="1"/>
  <c r="AM182" i="1"/>
  <c r="AQ183" i="1"/>
  <c r="AP182" i="1" a="1"/>
  <c r="AP182" i="1" s="1"/>
  <c r="AK183" i="1"/>
  <c r="AQ182" i="1"/>
  <c r="AN190" i="1"/>
  <c r="AO190" i="1" a="1"/>
  <c r="AO190" i="1" s="1"/>
  <c r="AL190" i="1"/>
  <c r="AM190" i="1"/>
  <c r="AQ191" i="1"/>
  <c r="AQ190" i="1"/>
  <c r="AP190" i="1" a="1"/>
  <c r="AP190" i="1" s="1"/>
  <c r="AM194" i="1"/>
  <c r="AQ195" i="1"/>
  <c r="AN194" i="1"/>
  <c r="AO194" i="1" a="1"/>
  <c r="AO194" i="1" s="1"/>
  <c r="AP194" i="1" a="1"/>
  <c r="AP194" i="1" s="1"/>
  <c r="AL194" i="1"/>
  <c r="AK195" i="1"/>
  <c r="AL202" i="1"/>
  <c r="AP202" i="1" a="1"/>
  <c r="AP202" i="1" s="1"/>
  <c r="AM202" i="1"/>
  <c r="AQ203" i="1"/>
  <c r="AO202" i="1" a="1"/>
  <c r="AO202" i="1" s="1"/>
  <c r="AK203" i="1"/>
  <c r="AO210" i="1" a="1"/>
  <c r="AO210" i="1" s="1"/>
  <c r="AL210" i="1"/>
  <c r="AP210" i="1" a="1"/>
  <c r="AP210" i="1" s="1"/>
  <c r="AM210" i="1"/>
  <c r="AN210" i="1"/>
  <c r="AQ211" i="1"/>
  <c r="AK211" i="1"/>
  <c r="AN214" i="1"/>
  <c r="AO214" i="1" a="1"/>
  <c r="AO214" i="1" s="1"/>
  <c r="AP214" i="1" a="1"/>
  <c r="AP214" i="1" s="1"/>
  <c r="AM214" i="1"/>
  <c r="AQ215" i="1"/>
  <c r="AK215" i="1"/>
  <c r="AM222" i="1"/>
  <c r="AQ223" i="1"/>
  <c r="AN222" i="1"/>
  <c r="AL222" i="1"/>
  <c r="AO222" i="1" a="1"/>
  <c r="AO222" i="1" s="1"/>
  <c r="AK223" i="1"/>
  <c r="AL230" i="1"/>
  <c r="AP230" i="1" a="1"/>
  <c r="AP230" i="1" s="1"/>
  <c r="AR230" i="1" s="1"/>
  <c r="AS230" i="1" s="1"/>
  <c r="AM230" i="1"/>
  <c r="AN230" i="1"/>
  <c r="AK231" i="1"/>
  <c r="AL238" i="1"/>
  <c r="AP238" i="1" a="1"/>
  <c r="AP238" i="1" s="1"/>
  <c r="AM238" i="1"/>
  <c r="AN238" i="1"/>
  <c r="AK239" i="1"/>
  <c r="AL246" i="1"/>
  <c r="AP246" i="1" a="1"/>
  <c r="AP246" i="1" s="1"/>
  <c r="AM246" i="1"/>
  <c r="AN246" i="1"/>
  <c r="AK247" i="1"/>
  <c r="AL254" i="1"/>
  <c r="AP254" i="1" a="1"/>
  <c r="AP254" i="1" s="1"/>
  <c r="AM254" i="1"/>
  <c r="AR254" i="1" s="1"/>
  <c r="AS254" i="1" s="1"/>
  <c r="AN254" i="1"/>
  <c r="AK255" i="1"/>
  <c r="AN262" i="1"/>
  <c r="AO262" i="1" a="1"/>
  <c r="AO262" i="1" s="1"/>
  <c r="AM262" i="1"/>
  <c r="AQ263" i="1"/>
  <c r="AP262" i="1" a="1"/>
  <c r="AP262" i="1" s="1"/>
  <c r="AQ262" i="1"/>
  <c r="AK263" i="1"/>
  <c r="AN266" i="1"/>
  <c r="AO266" i="1" a="1"/>
  <c r="AO266" i="1" s="1"/>
  <c r="AM266" i="1"/>
  <c r="AQ267" i="1"/>
  <c r="AP266" i="1" a="1"/>
  <c r="AP266" i="1" s="1"/>
  <c r="AQ266" i="1"/>
  <c r="AK267" i="1"/>
  <c r="AN274" i="1"/>
  <c r="AO274" i="1" a="1"/>
  <c r="AO274" i="1" s="1"/>
  <c r="AM274" i="1"/>
  <c r="AQ275" i="1"/>
  <c r="AK275" i="1"/>
  <c r="AP274" i="1" a="1"/>
  <c r="AP274" i="1" s="1"/>
  <c r="AQ274" i="1"/>
  <c r="AN282" i="1"/>
  <c r="AO282" i="1" a="1"/>
  <c r="AO282" i="1" s="1"/>
  <c r="AM282" i="1"/>
  <c r="AQ283" i="1"/>
  <c r="AP282" i="1" a="1"/>
  <c r="AP282" i="1" s="1"/>
  <c r="AQ282" i="1"/>
  <c r="AK283" i="1"/>
  <c r="AN286" i="1"/>
  <c r="AO286" i="1" a="1"/>
  <c r="AO286" i="1" s="1"/>
  <c r="AM286" i="1"/>
  <c r="AQ287" i="1"/>
  <c r="AP286" i="1" a="1"/>
  <c r="AP286" i="1" s="1"/>
  <c r="AQ286" i="1"/>
  <c r="AK287" i="1"/>
  <c r="AN294" i="1"/>
  <c r="AO294" i="1" a="1"/>
  <c r="AO294" i="1" s="1"/>
  <c r="AM294" i="1"/>
  <c r="AQ295" i="1"/>
  <c r="AP294" i="1" a="1"/>
  <c r="AP294" i="1" s="1"/>
  <c r="AQ294" i="1"/>
  <c r="AK295" i="1"/>
  <c r="AN302" i="1"/>
  <c r="AO302" i="1" a="1"/>
  <c r="AO302" i="1" s="1"/>
  <c r="AM302" i="1"/>
  <c r="AQ303" i="1"/>
  <c r="AK303" i="1"/>
  <c r="AP302" i="1" a="1"/>
  <c r="AP302" i="1" s="1"/>
  <c r="AQ302" i="1"/>
  <c r="AN310" i="1"/>
  <c r="AO310" i="1" a="1"/>
  <c r="AO310" i="1" s="1"/>
  <c r="AM310" i="1"/>
  <c r="AQ311" i="1"/>
  <c r="AP310" i="1" a="1"/>
  <c r="AP310" i="1" s="1"/>
  <c r="AQ310" i="1"/>
  <c r="AN318" i="1"/>
  <c r="AO318" i="1" a="1"/>
  <c r="AO318" i="1" s="1"/>
  <c r="AM318" i="1"/>
  <c r="AQ319" i="1"/>
  <c r="AP318" i="1" a="1"/>
  <c r="AP318" i="1" s="1"/>
  <c r="AQ318" i="1"/>
  <c r="AN322" i="1"/>
  <c r="AO322" i="1" a="1"/>
  <c r="AO322" i="1" s="1"/>
  <c r="AM322" i="1"/>
  <c r="AQ323" i="1"/>
  <c r="AP322" i="1" a="1"/>
  <c r="AP322" i="1" s="1"/>
  <c r="AQ322" i="1"/>
  <c r="AN330" i="1"/>
  <c r="AO330" i="1" a="1"/>
  <c r="AO330" i="1" s="1"/>
  <c r="AM330" i="1"/>
  <c r="AQ331" i="1"/>
  <c r="AP330" i="1" a="1"/>
  <c r="AP330" i="1" s="1"/>
  <c r="AQ330" i="1"/>
  <c r="AN338" i="1"/>
  <c r="AO338" i="1" a="1"/>
  <c r="AO338" i="1" s="1"/>
  <c r="AM338" i="1"/>
  <c r="AQ339" i="1"/>
  <c r="AQ338" i="1"/>
  <c r="AP338" i="1" a="1"/>
  <c r="AP338" i="1" s="1"/>
  <c r="AN346" i="1"/>
  <c r="AO346" i="1" a="1"/>
  <c r="AO346" i="1" s="1"/>
  <c r="AM346" i="1"/>
  <c r="AQ347" i="1"/>
  <c r="AP346" i="1" a="1"/>
  <c r="AP346" i="1" s="1"/>
  <c r="AQ346" i="1"/>
  <c r="AN354" i="1"/>
  <c r="AO354" i="1" a="1"/>
  <c r="AO354" i="1" s="1"/>
  <c r="AM354" i="1"/>
  <c r="AQ355" i="1"/>
  <c r="AQ354" i="1"/>
  <c r="AP354" i="1" a="1"/>
  <c r="AP354" i="1" s="1"/>
  <c r="AN362" i="1"/>
  <c r="AO362" i="1" a="1"/>
  <c r="AO362" i="1" s="1"/>
  <c r="AM362" i="1"/>
  <c r="AQ363" i="1"/>
  <c r="AP362" i="1" a="1"/>
  <c r="AP362" i="1" s="1"/>
  <c r="AQ362" i="1"/>
  <c r="AN370" i="1"/>
  <c r="AO370" i="1" a="1"/>
  <c r="AO370" i="1" s="1"/>
  <c r="AM370" i="1"/>
  <c r="AQ371" i="1"/>
  <c r="AP370" i="1" a="1"/>
  <c r="AP370" i="1" s="1"/>
  <c r="AQ370" i="1"/>
  <c r="AN378" i="1"/>
  <c r="AO378" i="1" a="1"/>
  <c r="AO378" i="1" s="1"/>
  <c r="AM378" i="1"/>
  <c r="AR378" i="1" s="1"/>
  <c r="AS378" i="1" s="1"/>
  <c r="AQ379" i="1"/>
  <c r="AQ378" i="1"/>
  <c r="AP378" i="1" a="1"/>
  <c r="AP378" i="1" s="1"/>
  <c r="AN390" i="1"/>
  <c r="AO390" i="1" a="1"/>
  <c r="AO390" i="1" s="1"/>
  <c r="AM390" i="1"/>
  <c r="AQ391" i="1"/>
  <c r="AP390" i="1" a="1"/>
  <c r="AP390" i="1" s="1"/>
  <c r="AQ390" i="1"/>
  <c r="AN15" i="1"/>
  <c r="AO15" i="1" a="1"/>
  <c r="AO15" i="1" s="1"/>
  <c r="AM15" i="1"/>
  <c r="AR15" i="1" s="1"/>
  <c r="AS15" i="1" s="1"/>
  <c r="AQ16" i="1"/>
  <c r="AL15" i="1"/>
  <c r="AP15" i="1" a="1"/>
  <c r="AP15" i="1" s="1"/>
  <c r="AK16" i="1"/>
  <c r="AQ20" i="1"/>
  <c r="AM23" i="1"/>
  <c r="AQ24" i="1"/>
  <c r="AN23" i="1"/>
  <c r="AL23" i="1"/>
  <c r="AO23" i="1" a="1"/>
  <c r="AO23" i="1" s="1"/>
  <c r="AP23" i="1" a="1"/>
  <c r="AP23" i="1" s="1"/>
  <c r="AK24" i="1"/>
  <c r="AM27" i="1"/>
  <c r="AQ28" i="1"/>
  <c r="AN27" i="1"/>
  <c r="AL27" i="1"/>
  <c r="AO27" i="1" a="1"/>
  <c r="AO27" i="1" s="1"/>
  <c r="AP27" i="1" a="1"/>
  <c r="AP27" i="1" s="1"/>
  <c r="AK28" i="1"/>
  <c r="AN31" i="1"/>
  <c r="AL31" i="1"/>
  <c r="AP31" i="1" a="1"/>
  <c r="AP31" i="1" s="1"/>
  <c r="AQ32" i="1"/>
  <c r="AM31" i="1"/>
  <c r="AO31" i="1" a="1"/>
  <c r="AO31" i="1" s="1"/>
  <c r="AK32" i="1"/>
  <c r="AL42" i="1" s="1"/>
  <c r="AN35" i="1"/>
  <c r="AL35" i="1"/>
  <c r="AP35" i="1" a="1"/>
  <c r="AP35" i="1" s="1"/>
  <c r="AQ36" i="1"/>
  <c r="AO35" i="1" a="1"/>
  <c r="AO35" i="1" s="1"/>
  <c r="AM35" i="1"/>
  <c r="AN39" i="1"/>
  <c r="AL39" i="1"/>
  <c r="AP39" i="1" a="1"/>
  <c r="AP39" i="1" s="1"/>
  <c r="AQ40" i="1"/>
  <c r="AM39" i="1"/>
  <c r="AP40" i="1" a="1"/>
  <c r="AP40" i="1" s="1"/>
  <c r="AK40" i="1"/>
  <c r="AO43" i="1" a="1"/>
  <c r="AO43" i="1" s="1"/>
  <c r="AL43" i="1"/>
  <c r="AP43" i="1" a="1"/>
  <c r="AP43" i="1" s="1"/>
  <c r="AQ44" i="1"/>
  <c r="AM43" i="1"/>
  <c r="AR43" i="1" s="1"/>
  <c r="AS43" i="1" s="1"/>
  <c r="AN43" i="1"/>
  <c r="AK44" i="1"/>
  <c r="AL50" i="1" s="1"/>
  <c r="AO47" i="1" a="1"/>
  <c r="AO47" i="1" s="1"/>
  <c r="AL47" i="1"/>
  <c r="AP47" i="1" a="1"/>
  <c r="AP47" i="1" s="1"/>
  <c r="AQ48" i="1"/>
  <c r="AN47" i="1"/>
  <c r="AK48" i="1"/>
  <c r="AL51" i="1"/>
  <c r="AP51" i="1" a="1"/>
  <c r="AP51" i="1" s="1"/>
  <c r="AM51" i="1"/>
  <c r="AO51" i="1" a="1"/>
  <c r="AO51" i="1" s="1"/>
  <c r="AQ52" i="1"/>
  <c r="AN51" i="1"/>
  <c r="AL55" i="1"/>
  <c r="AP55" i="1" a="1"/>
  <c r="AP55" i="1" s="1"/>
  <c r="AR55" i="1" s="1"/>
  <c r="AS55" i="1" s="1"/>
  <c r="AM55" i="1"/>
  <c r="AO55" i="1" a="1"/>
  <c r="AO55" i="1" s="1"/>
  <c r="AQ56" i="1"/>
  <c r="AN55" i="1"/>
  <c r="AK56" i="1"/>
  <c r="AL59" i="1"/>
  <c r="AP59" i="1" a="1"/>
  <c r="AP59" i="1" s="1"/>
  <c r="AO59" i="1" a="1"/>
  <c r="AO59" i="1" s="1"/>
  <c r="AM59" i="1"/>
  <c r="AN59" i="1"/>
  <c r="AQ60" i="1"/>
  <c r="AK60" i="1"/>
  <c r="AO63" i="1" a="1"/>
  <c r="AO63" i="1" s="1"/>
  <c r="AM63" i="1"/>
  <c r="AL63" i="1"/>
  <c r="AN63" i="1"/>
  <c r="AQ64" i="1"/>
  <c r="AP63" i="1" a="1"/>
  <c r="AP63" i="1" s="1"/>
  <c r="AR63" i="1" s="1"/>
  <c r="AS63" i="1" s="1"/>
  <c r="AK64" i="1"/>
  <c r="AN67" i="1"/>
  <c r="AP67" i="1" a="1"/>
  <c r="AP67" i="1" s="1"/>
  <c r="AQ68" i="1"/>
  <c r="AO67" i="1" a="1"/>
  <c r="AO67" i="1" s="1"/>
  <c r="AL67" i="1"/>
  <c r="AM67" i="1"/>
  <c r="AM71" i="1"/>
  <c r="AQ72" i="1"/>
  <c r="AK72" i="1"/>
  <c r="AL75" i="1"/>
  <c r="AN75" i="1"/>
  <c r="AM75" i="1"/>
  <c r="AO75" i="1" a="1"/>
  <c r="AO75" i="1" s="1"/>
  <c r="AQ76" i="1"/>
  <c r="AP75" i="1" a="1"/>
  <c r="AP75" i="1" s="1"/>
  <c r="AK76" i="1"/>
  <c r="AO79" i="1" a="1"/>
  <c r="AO79" i="1" s="1"/>
  <c r="AL79" i="1"/>
  <c r="AP79" i="1" a="1"/>
  <c r="AP79" i="1" s="1"/>
  <c r="AN79" i="1"/>
  <c r="AQ80" i="1"/>
  <c r="AM79" i="1"/>
  <c r="AK80" i="1"/>
  <c r="AM83" i="1"/>
  <c r="AN83" i="1"/>
  <c r="AO83" i="1" a="1"/>
  <c r="AO83" i="1" s="1"/>
  <c r="AP83" i="1" a="1"/>
  <c r="AP83" i="1" s="1"/>
  <c r="AL83" i="1"/>
  <c r="AL87" i="1"/>
  <c r="AP87" i="1" a="1"/>
  <c r="AP87" i="1" s="1"/>
  <c r="AM87" i="1"/>
  <c r="AN87" i="1"/>
  <c r="AO87" i="1" a="1"/>
  <c r="AO87" i="1" s="1"/>
  <c r="AQ88" i="1"/>
  <c r="AK88" i="1"/>
  <c r="AN91" i="1"/>
  <c r="AO91" i="1" a="1"/>
  <c r="AO91" i="1" s="1"/>
  <c r="AL91" i="1"/>
  <c r="AM91" i="1"/>
  <c r="AQ92" i="1"/>
  <c r="AP91" i="1" a="1"/>
  <c r="AP91" i="1" s="1"/>
  <c r="AK92" i="1"/>
  <c r="AN95" i="1"/>
  <c r="AO95" i="1" a="1"/>
  <c r="AO95" i="1" s="1"/>
  <c r="AL95" i="1"/>
  <c r="AM95" i="1"/>
  <c r="AP95" i="1" a="1"/>
  <c r="AP95" i="1" s="1"/>
  <c r="AK96" i="1"/>
  <c r="AM99" i="1"/>
  <c r="AQ100" i="1"/>
  <c r="AN99" i="1"/>
  <c r="AL99" i="1"/>
  <c r="AO99" i="1" a="1"/>
  <c r="AO99" i="1" s="1"/>
  <c r="AP99" i="1" a="1"/>
  <c r="AP99" i="1" s="1"/>
  <c r="AM103" i="1"/>
  <c r="AN103" i="1"/>
  <c r="AL103" i="1"/>
  <c r="AO103" i="1" a="1"/>
  <c r="AO103" i="1" s="1"/>
  <c r="AP103" i="1" a="1"/>
  <c r="AP103" i="1" s="1"/>
  <c r="AK104" i="1"/>
  <c r="AM107" i="1"/>
  <c r="AQ108" i="1"/>
  <c r="AN107" i="1"/>
  <c r="AO107" i="1" a="1"/>
  <c r="AO107" i="1" s="1"/>
  <c r="AP107" i="1" a="1"/>
  <c r="AP107" i="1" s="1"/>
  <c r="AR107" i="1" s="1"/>
  <c r="AS107" i="1" s="1"/>
  <c r="AP108" i="1" a="1"/>
  <c r="AP108" i="1" s="1"/>
  <c r="AK108" i="1"/>
  <c r="AL111" i="1"/>
  <c r="AP111" i="1" a="1"/>
  <c r="AP111" i="1" s="1"/>
  <c r="AR111" i="1" s="1"/>
  <c r="AS111" i="1" s="1"/>
  <c r="AM111" i="1"/>
  <c r="AO111" i="1" a="1"/>
  <c r="AO111" i="1" s="1"/>
  <c r="AN111" i="1"/>
  <c r="AK112" i="1"/>
  <c r="AO115" i="1" a="1"/>
  <c r="AO115" i="1" s="1"/>
  <c r="AL115" i="1"/>
  <c r="AN115" i="1"/>
  <c r="AQ116" i="1"/>
  <c r="AP115" i="1" a="1"/>
  <c r="AP115" i="1" s="1"/>
  <c r="AR115" i="1" s="1"/>
  <c r="AS115" i="1" s="1"/>
  <c r="AN119" i="1"/>
  <c r="AO119" i="1" a="1"/>
  <c r="AO119" i="1" s="1"/>
  <c r="AL119" i="1"/>
  <c r="AM119" i="1"/>
  <c r="AP119" i="1" a="1"/>
  <c r="AP119" i="1" s="1"/>
  <c r="AQ120" i="1"/>
  <c r="AK120" i="1"/>
  <c r="AN123" i="1"/>
  <c r="AO123" i="1" a="1"/>
  <c r="AO123" i="1" s="1"/>
  <c r="AL123" i="1"/>
  <c r="AM123" i="1"/>
  <c r="AR123" i="1" s="1"/>
  <c r="AS123" i="1" s="1"/>
  <c r="AP123" i="1" a="1"/>
  <c r="AP123" i="1" s="1"/>
  <c r="AK124" i="1"/>
  <c r="AM127" i="1"/>
  <c r="AQ128" i="1"/>
  <c r="AN127" i="1"/>
  <c r="AP127" i="1" a="1"/>
  <c r="AP127" i="1" s="1"/>
  <c r="AL127" i="1"/>
  <c r="AO127" i="1" a="1"/>
  <c r="AO127" i="1" s="1"/>
  <c r="AK128" i="1"/>
  <c r="AM131" i="1"/>
  <c r="AN131" i="1"/>
  <c r="AQ132" i="1"/>
  <c r="AL131" i="1"/>
  <c r="AO131" i="1" a="1"/>
  <c r="AO131" i="1" s="1"/>
  <c r="AP131" i="1" a="1"/>
  <c r="AP131" i="1" s="1"/>
  <c r="AL135" i="1"/>
  <c r="AM135" i="1"/>
  <c r="AP135" i="1" a="1"/>
  <c r="AP135" i="1" s="1"/>
  <c r="AN135" i="1"/>
  <c r="AO135" i="1" a="1"/>
  <c r="AO135" i="1" s="1"/>
  <c r="AQ136" i="1"/>
  <c r="AK136" i="1"/>
  <c r="AL139" i="1" s="1"/>
  <c r="AM139" i="1"/>
  <c r="AQ140" i="1"/>
  <c r="AK140" i="1"/>
  <c r="AL143" i="1" s="1"/>
  <c r="AK144" i="1"/>
  <c r="AL146" i="1" s="1"/>
  <c r="AM143" i="1"/>
  <c r="AQ144" i="1"/>
  <c r="AN147" i="1"/>
  <c r="AO147" i="1" a="1"/>
  <c r="AO147" i="1" s="1"/>
  <c r="AL147" i="1"/>
  <c r="AM147" i="1"/>
  <c r="AP147" i="1" a="1"/>
  <c r="AP147" i="1" s="1"/>
  <c r="AN151" i="1"/>
  <c r="AL151" i="1"/>
  <c r="AM151" i="1"/>
  <c r="AO151" i="1" a="1"/>
  <c r="AO151" i="1" s="1"/>
  <c r="AP151" i="1" a="1"/>
  <c r="AP151" i="1" s="1"/>
  <c r="AQ152" i="1"/>
  <c r="AK152" i="1"/>
  <c r="AN155" i="1"/>
  <c r="AQ156" i="1"/>
  <c r="AL155" i="1"/>
  <c r="AM155" i="1"/>
  <c r="AP155" i="1" a="1"/>
  <c r="AP155" i="1" s="1"/>
  <c r="AL156" i="1"/>
  <c r="AK156" i="1"/>
  <c r="AM159" i="1"/>
  <c r="AR159" i="1" s="1"/>
  <c r="AS159" i="1" s="1"/>
  <c r="AO159" i="1" a="1"/>
  <c r="AO159" i="1" s="1"/>
  <c r="AQ160" i="1"/>
  <c r="AP159" i="1" a="1"/>
  <c r="AP159" i="1" s="1"/>
  <c r="AL159" i="1"/>
  <c r="AN159" i="1"/>
  <c r="AK160" i="1"/>
  <c r="AL163" i="1"/>
  <c r="AP163" i="1" a="1"/>
  <c r="AP163" i="1" s="1"/>
  <c r="AN163" i="1"/>
  <c r="AQ164" i="1"/>
  <c r="AO163" i="1" a="1"/>
  <c r="AO163" i="1" s="1"/>
  <c r="AM163" i="1"/>
  <c r="AL167" i="1"/>
  <c r="AP167" i="1" a="1"/>
  <c r="AP167" i="1" s="1"/>
  <c r="AN167" i="1"/>
  <c r="AQ168" i="1"/>
  <c r="AO167" i="1" a="1"/>
  <c r="AO167" i="1" s="1"/>
  <c r="AM167" i="1"/>
  <c r="AK168" i="1"/>
  <c r="AL171" i="1"/>
  <c r="AP171" i="1" a="1"/>
  <c r="AP171" i="1" s="1"/>
  <c r="AN171" i="1"/>
  <c r="AO171" i="1" a="1"/>
  <c r="AO171" i="1" s="1"/>
  <c r="AQ172" i="1"/>
  <c r="AM171" i="1"/>
  <c r="AK172" i="1"/>
  <c r="AL175" i="1"/>
  <c r="AP175" i="1" a="1"/>
  <c r="AP175" i="1" s="1"/>
  <c r="AM175" i="1"/>
  <c r="AN175" i="1"/>
  <c r="AO175" i="1" a="1"/>
  <c r="AO175" i="1" s="1"/>
  <c r="AK176" i="1"/>
  <c r="AO179" i="1" a="1"/>
  <c r="AO179" i="1" s="1"/>
  <c r="AL179" i="1"/>
  <c r="AP179" i="1" a="1"/>
  <c r="AP179" i="1" s="1"/>
  <c r="AN179" i="1"/>
  <c r="AM179" i="1"/>
  <c r="AQ180" i="1"/>
  <c r="AN183" i="1"/>
  <c r="AO183" i="1" a="1"/>
  <c r="AO183" i="1" s="1"/>
  <c r="AP183" i="1" a="1"/>
  <c r="AP183" i="1" s="1"/>
  <c r="AM183" i="1"/>
  <c r="AK184" i="1"/>
  <c r="AL183" i="1"/>
  <c r="AQ184" i="1"/>
  <c r="AN187" i="1"/>
  <c r="AO187" i="1" a="1"/>
  <c r="AO187" i="1" s="1"/>
  <c r="AP187" i="1" a="1"/>
  <c r="AP187" i="1" s="1"/>
  <c r="AQ188" i="1"/>
  <c r="AL187" i="1"/>
  <c r="AK188" i="1"/>
  <c r="AM187" i="1"/>
  <c r="AN191" i="1"/>
  <c r="AQ192" i="1"/>
  <c r="AO191" i="1" a="1"/>
  <c r="AO191" i="1" s="1"/>
  <c r="AP191" i="1" a="1"/>
  <c r="AP191" i="1" s="1"/>
  <c r="AK192" i="1"/>
  <c r="AM191" i="1"/>
  <c r="AL191" i="1"/>
  <c r="AP192" i="1" a="1"/>
  <c r="AP192" i="1" s="1"/>
  <c r="AM195" i="1"/>
  <c r="AN195" i="1"/>
  <c r="AQ196" i="1"/>
  <c r="AL195" i="1"/>
  <c r="AO195" i="1" a="1"/>
  <c r="AO195" i="1" s="1"/>
  <c r="AP195" i="1" a="1"/>
  <c r="AP195" i="1" s="1"/>
  <c r="AL199" i="1"/>
  <c r="AP199" i="1" a="1"/>
  <c r="AP199" i="1" s="1"/>
  <c r="AM199" i="1"/>
  <c r="AQ200" i="1"/>
  <c r="AO199" i="1" a="1"/>
  <c r="AO199" i="1" s="1"/>
  <c r="AL203" i="1"/>
  <c r="AP203" i="1" a="1"/>
  <c r="AP203" i="1" s="1"/>
  <c r="AM203" i="1"/>
  <c r="AQ204" i="1"/>
  <c r="AO203" i="1" a="1"/>
  <c r="AO203" i="1" s="1"/>
  <c r="AO207" i="1" a="1"/>
  <c r="AO207" i="1" s="1"/>
  <c r="AL207" i="1"/>
  <c r="AP207" i="1" a="1"/>
  <c r="AP207" i="1" s="1"/>
  <c r="AQ208" i="1"/>
  <c r="AM207" i="1"/>
  <c r="AN207" i="1"/>
  <c r="AN208" i="1"/>
  <c r="AO211" i="1" a="1"/>
  <c r="AO211" i="1" s="1"/>
  <c r="AL211" i="1"/>
  <c r="AP211" i="1" a="1"/>
  <c r="AP211" i="1" s="1"/>
  <c r="AM211" i="1"/>
  <c r="AQ212" i="1"/>
  <c r="AN215" i="1"/>
  <c r="AO215" i="1" a="1"/>
  <c r="AO215" i="1" s="1"/>
  <c r="AL215" i="1"/>
  <c r="AM215" i="1"/>
  <c r="AR215" i="1" s="1"/>
  <c r="AS215" i="1" s="1"/>
  <c r="AQ216" i="1"/>
  <c r="AN219" i="1"/>
  <c r="AQ220" i="1"/>
  <c r="AO219" i="1" a="1"/>
  <c r="AO219" i="1" s="1"/>
  <c r="AL219" i="1"/>
  <c r="AM219" i="1"/>
  <c r="AM223" i="1"/>
  <c r="AO223" i="1" a="1"/>
  <c r="AO223" i="1" s="1"/>
  <c r="AQ224" i="1"/>
  <c r="AP223" i="1" a="1"/>
  <c r="AP223" i="1" s="1"/>
  <c r="AL223" i="1"/>
  <c r="AO224" i="1" a="1"/>
  <c r="AO224" i="1" s="1"/>
  <c r="AL227" i="1"/>
  <c r="AP227" i="1" a="1"/>
  <c r="AP227" i="1" s="1"/>
  <c r="AN227" i="1"/>
  <c r="AQ228" i="1"/>
  <c r="AO227" i="1" a="1"/>
  <c r="AO227" i="1" s="1"/>
  <c r="AM227" i="1"/>
  <c r="AN228" i="1"/>
  <c r="AL231" i="1"/>
  <c r="AP231" i="1" a="1"/>
  <c r="AP231" i="1" s="1"/>
  <c r="AN231" i="1"/>
  <c r="AQ232" i="1"/>
  <c r="AO231" i="1" a="1"/>
  <c r="AO231" i="1" s="1"/>
  <c r="AN232" i="1"/>
  <c r="AM231" i="1"/>
  <c r="AL235" i="1"/>
  <c r="AP235" i="1" a="1"/>
  <c r="AP235" i="1" s="1"/>
  <c r="AN235" i="1"/>
  <c r="AQ236" i="1"/>
  <c r="AO235" i="1" a="1"/>
  <c r="AO235" i="1" s="1"/>
  <c r="AM235" i="1"/>
  <c r="AN236" i="1"/>
  <c r="AL239" i="1"/>
  <c r="AP239" i="1" a="1"/>
  <c r="AP239" i="1" s="1"/>
  <c r="AN239" i="1"/>
  <c r="AQ240" i="1"/>
  <c r="AO239" i="1" a="1"/>
  <c r="AO239" i="1" s="1"/>
  <c r="AM239" i="1"/>
  <c r="AN240" i="1"/>
  <c r="AL243" i="1"/>
  <c r="AP243" i="1" a="1"/>
  <c r="AP243" i="1" s="1"/>
  <c r="AN243" i="1"/>
  <c r="AQ244" i="1"/>
  <c r="AO243" i="1" a="1"/>
  <c r="AO243" i="1" s="1"/>
  <c r="AM243" i="1"/>
  <c r="AN244" i="1"/>
  <c r="AL247" i="1"/>
  <c r="AP247" i="1" a="1"/>
  <c r="AP247" i="1" s="1"/>
  <c r="AN247" i="1"/>
  <c r="AQ248" i="1"/>
  <c r="AO247" i="1" a="1"/>
  <c r="AO247" i="1" s="1"/>
  <c r="AM247" i="1"/>
  <c r="AN248" i="1"/>
  <c r="AL251" i="1"/>
  <c r="AP251" i="1" a="1"/>
  <c r="AP251" i="1" s="1"/>
  <c r="AN251" i="1"/>
  <c r="AQ252" i="1"/>
  <c r="AO251" i="1" a="1"/>
  <c r="AO251" i="1" s="1"/>
  <c r="AM251" i="1"/>
  <c r="AN252" i="1"/>
  <c r="AL255" i="1"/>
  <c r="AP255" i="1" a="1"/>
  <c r="AP255" i="1" s="1"/>
  <c r="AN255" i="1"/>
  <c r="AQ256" i="1"/>
  <c r="AO255" i="1" a="1"/>
  <c r="AO255" i="1" s="1"/>
  <c r="AM255" i="1"/>
  <c r="AN256" i="1"/>
  <c r="AL259" i="1"/>
  <c r="AP259" i="1" a="1"/>
  <c r="AP259" i="1" s="1"/>
  <c r="AN259" i="1"/>
  <c r="AQ260" i="1"/>
  <c r="AO259" i="1" a="1"/>
  <c r="AO259" i="1" s="1"/>
  <c r="AM259" i="1"/>
  <c r="AN260" i="1"/>
  <c r="AN263" i="1"/>
  <c r="AO263" i="1" a="1"/>
  <c r="AO263" i="1" s="1"/>
  <c r="AM263" i="1"/>
  <c r="AL263" i="1"/>
  <c r="AQ264" i="1"/>
  <c r="AN267" i="1"/>
  <c r="AO267" i="1" a="1"/>
  <c r="AO267" i="1" s="1"/>
  <c r="AM267" i="1"/>
  <c r="AL267" i="1"/>
  <c r="AQ268" i="1"/>
  <c r="AN271" i="1"/>
  <c r="AO271" i="1" a="1"/>
  <c r="AO271" i="1" s="1"/>
  <c r="AM271" i="1"/>
  <c r="AR271" i="1" s="1"/>
  <c r="AS271" i="1" s="1"/>
  <c r="AL271" i="1"/>
  <c r="AQ272" i="1"/>
  <c r="AN275" i="1"/>
  <c r="AO275" i="1" a="1"/>
  <c r="AO275" i="1" s="1"/>
  <c r="AQ276" i="1"/>
  <c r="AL275" i="1"/>
  <c r="AM275" i="1"/>
  <c r="AN279" i="1"/>
  <c r="AO279" i="1" a="1"/>
  <c r="AO279" i="1" s="1"/>
  <c r="AM279" i="1"/>
  <c r="AL279" i="1"/>
  <c r="AQ280" i="1"/>
  <c r="AN283" i="1"/>
  <c r="AO283" i="1" a="1"/>
  <c r="AO283" i="1" s="1"/>
  <c r="AM283" i="1"/>
  <c r="AL283" i="1"/>
  <c r="AQ284" i="1"/>
  <c r="AN287" i="1"/>
  <c r="AO287" i="1" a="1"/>
  <c r="AO287" i="1" s="1"/>
  <c r="AM287" i="1"/>
  <c r="AR287" i="1" s="1"/>
  <c r="AS287" i="1" s="1"/>
  <c r="AL287" i="1"/>
  <c r="AQ288" i="1"/>
  <c r="AN291" i="1"/>
  <c r="AO291" i="1" a="1"/>
  <c r="AO291" i="1" s="1"/>
  <c r="AM291" i="1"/>
  <c r="AL291" i="1"/>
  <c r="AQ292" i="1"/>
  <c r="AN295" i="1"/>
  <c r="AO295" i="1" a="1"/>
  <c r="AO295" i="1" s="1"/>
  <c r="AM295" i="1"/>
  <c r="AL295" i="1"/>
  <c r="AQ296" i="1"/>
  <c r="AN299" i="1"/>
  <c r="AO299" i="1" a="1"/>
  <c r="AO299" i="1" s="1"/>
  <c r="AM299" i="1"/>
  <c r="AL299" i="1"/>
  <c r="AQ300" i="1"/>
  <c r="AN303" i="1"/>
  <c r="AO303" i="1" a="1"/>
  <c r="AO303" i="1" s="1"/>
  <c r="AQ304" i="1"/>
  <c r="AL303" i="1"/>
  <c r="AM303" i="1"/>
  <c r="AN307" i="1"/>
  <c r="AO307" i="1" a="1"/>
  <c r="AO307" i="1" s="1"/>
  <c r="AM307" i="1"/>
  <c r="AL307" i="1"/>
  <c r="AQ308" i="1"/>
  <c r="AN311" i="1"/>
  <c r="AO311" i="1" a="1"/>
  <c r="AO311" i="1" s="1"/>
  <c r="AM311" i="1"/>
  <c r="AQ312" i="1"/>
  <c r="AL311" i="1"/>
  <c r="AN315" i="1"/>
  <c r="AO315" i="1" a="1"/>
  <c r="AO315" i="1" s="1"/>
  <c r="AQ316" i="1"/>
  <c r="AL315" i="1"/>
  <c r="AM315" i="1"/>
  <c r="AN319" i="1"/>
  <c r="AO319" i="1" a="1"/>
  <c r="AO319" i="1" s="1"/>
  <c r="AM319" i="1"/>
  <c r="AR319" i="1" s="1"/>
  <c r="AS319" i="1" s="1"/>
  <c r="AL319" i="1"/>
  <c r="AQ320" i="1"/>
  <c r="AN323" i="1"/>
  <c r="AO323" i="1" a="1"/>
  <c r="AO323" i="1" s="1"/>
  <c r="AM323" i="1"/>
  <c r="AL323" i="1"/>
  <c r="AQ324" i="1"/>
  <c r="AN327" i="1"/>
  <c r="AO327" i="1" a="1"/>
  <c r="AO327" i="1" s="1"/>
  <c r="AM327" i="1"/>
  <c r="AL327" i="1"/>
  <c r="AQ328" i="1"/>
  <c r="AN331" i="1"/>
  <c r="AO331" i="1" a="1"/>
  <c r="AO331" i="1" s="1"/>
  <c r="AQ332" i="1"/>
  <c r="AL331" i="1"/>
  <c r="AM331" i="1"/>
  <c r="AN335" i="1"/>
  <c r="AO335" i="1" a="1"/>
  <c r="AO335" i="1" s="1"/>
  <c r="AQ336" i="1"/>
  <c r="AL335" i="1"/>
  <c r="AM335" i="1"/>
  <c r="AN339" i="1"/>
  <c r="AO339" i="1" a="1"/>
  <c r="AO339" i="1" s="1"/>
  <c r="AM339" i="1"/>
  <c r="AQ340" i="1"/>
  <c r="AL339" i="1"/>
  <c r="AN343" i="1"/>
  <c r="AO343" i="1" a="1"/>
  <c r="AO343" i="1" s="1"/>
  <c r="AQ344" i="1"/>
  <c r="AL343" i="1"/>
  <c r="AM343" i="1"/>
  <c r="AR343" i="1" s="1"/>
  <c r="AS343" i="1" s="1"/>
  <c r="AN347" i="1"/>
  <c r="AO347" i="1" a="1"/>
  <c r="AO347" i="1" s="1"/>
  <c r="AQ348" i="1"/>
  <c r="AL347" i="1"/>
  <c r="AM347" i="1"/>
  <c r="AN351" i="1"/>
  <c r="AO351" i="1" a="1"/>
  <c r="AO351" i="1" s="1"/>
  <c r="AM351" i="1"/>
  <c r="AR351" i="1" s="1"/>
  <c r="AS351" i="1" s="1"/>
  <c r="AQ352" i="1"/>
  <c r="AL351" i="1"/>
  <c r="AN355" i="1"/>
  <c r="AO355" i="1" a="1"/>
  <c r="AO355" i="1" s="1"/>
  <c r="AM355" i="1"/>
  <c r="AL355" i="1"/>
  <c r="AQ356" i="1"/>
  <c r="AN359" i="1"/>
  <c r="AO359" i="1" a="1"/>
  <c r="AO359" i="1" s="1"/>
  <c r="AM359" i="1"/>
  <c r="AL359" i="1"/>
  <c r="AQ360" i="1"/>
  <c r="AN363" i="1"/>
  <c r="AO363" i="1" a="1"/>
  <c r="AO363" i="1" s="1"/>
  <c r="AQ364" i="1"/>
  <c r="AL363" i="1"/>
  <c r="AM363" i="1"/>
  <c r="AN367" i="1"/>
  <c r="AO367" i="1" a="1"/>
  <c r="AO367" i="1" s="1"/>
  <c r="AM367" i="1"/>
  <c r="AR367" i="1" s="1"/>
  <c r="AS367" i="1" s="1"/>
  <c r="AL367" i="1"/>
  <c r="AQ368" i="1"/>
  <c r="AN371" i="1"/>
  <c r="AO371" i="1" a="1"/>
  <c r="AO371" i="1" s="1"/>
  <c r="AM371" i="1"/>
  <c r="AQ372" i="1"/>
  <c r="AL371" i="1"/>
  <c r="AN375" i="1"/>
  <c r="AO375" i="1" a="1"/>
  <c r="AO375" i="1" s="1"/>
  <c r="AQ376" i="1"/>
  <c r="AL375" i="1"/>
  <c r="AM375" i="1"/>
  <c r="AN379" i="1"/>
  <c r="AO379" i="1" a="1"/>
  <c r="AO379" i="1" s="1"/>
  <c r="AM379" i="1"/>
  <c r="AQ380" i="1"/>
  <c r="AL379" i="1"/>
  <c r="AN383" i="1"/>
  <c r="AO383" i="1" a="1"/>
  <c r="AO383" i="1" s="1"/>
  <c r="AM383" i="1"/>
  <c r="AR383" i="1" s="1"/>
  <c r="AS383" i="1" s="1"/>
  <c r="AL383" i="1"/>
  <c r="AQ384" i="1"/>
  <c r="AN387" i="1"/>
  <c r="AO387" i="1" a="1"/>
  <c r="AO387" i="1" s="1"/>
  <c r="AQ388" i="1"/>
  <c r="AL387" i="1"/>
  <c r="AM387" i="1"/>
  <c r="AN391" i="1"/>
  <c r="AO391" i="1" a="1"/>
  <c r="AO391" i="1" s="1"/>
  <c r="AL391" i="1"/>
  <c r="AM391" i="1"/>
  <c r="AQ392" i="1"/>
  <c r="AN395" i="1"/>
  <c r="AO395" i="1" a="1"/>
  <c r="AO395" i="1" s="1"/>
  <c r="AM395" i="1"/>
  <c r="AL395" i="1"/>
  <c r="AQ396" i="1"/>
  <c r="AN399" i="1"/>
  <c r="AO399" i="1" a="1"/>
  <c r="AO399" i="1" s="1"/>
  <c r="AM399" i="1"/>
  <c r="AL399" i="1"/>
  <c r="AQ400" i="1"/>
  <c r="AK392" i="1"/>
  <c r="AK387" i="1"/>
  <c r="AK376" i="1"/>
  <c r="AK371" i="1"/>
  <c r="AK360" i="1"/>
  <c r="AK355" i="1"/>
  <c r="AK344" i="1"/>
  <c r="AK339" i="1"/>
  <c r="AK328" i="1"/>
  <c r="AK323" i="1"/>
  <c r="AK312" i="1"/>
  <c r="AK307" i="1"/>
  <c r="AK300" i="1"/>
  <c r="AK292" i="1"/>
  <c r="AK284" i="1"/>
  <c r="AK276" i="1"/>
  <c r="AK268" i="1"/>
  <c r="AK260" i="1"/>
  <c r="AK252" i="1"/>
  <c r="AK244" i="1"/>
  <c r="AK236" i="1"/>
  <c r="AK228" i="1"/>
  <c r="AK220" i="1"/>
  <c r="AK212" i="1"/>
  <c r="AK204" i="1"/>
  <c r="AK196" i="1"/>
  <c r="AK180" i="1"/>
  <c r="AK164" i="1"/>
  <c r="AK148" i="1"/>
  <c r="AK132" i="1"/>
  <c r="AK116" i="1"/>
  <c r="AK100" i="1"/>
  <c r="AK84" i="1"/>
  <c r="AK68" i="1"/>
  <c r="AK52" i="1"/>
  <c r="AL58" i="1" s="1"/>
  <c r="AK36" i="1"/>
  <c r="AK20" i="1"/>
  <c r="AL22" i="1" s="1"/>
  <c r="AL400" i="1"/>
  <c r="AP395" i="1" a="1"/>
  <c r="AP395" i="1" s="1"/>
  <c r="AL390" i="1"/>
  <c r="AL384" i="1"/>
  <c r="AP379" i="1" a="1"/>
  <c r="AP379" i="1" s="1"/>
  <c r="AR379" i="1" s="1"/>
  <c r="AS379" i="1" s="1"/>
  <c r="AL374" i="1"/>
  <c r="AL368" i="1"/>
  <c r="AP363" i="1" a="1"/>
  <c r="AP363" i="1" s="1"/>
  <c r="AL358" i="1"/>
  <c r="AL352" i="1"/>
  <c r="AP347" i="1" a="1"/>
  <c r="AP347" i="1" s="1"/>
  <c r="AL342" i="1"/>
  <c r="AL336" i="1"/>
  <c r="AP331" i="1" a="1"/>
  <c r="AP331" i="1" s="1"/>
  <c r="AL326" i="1"/>
  <c r="AL320" i="1"/>
  <c r="AP315" i="1" a="1"/>
  <c r="AP315" i="1" s="1"/>
  <c r="AL310" i="1"/>
  <c r="AL304" i="1"/>
  <c r="AP299" i="1" a="1"/>
  <c r="AP299" i="1" s="1"/>
  <c r="AL294" i="1"/>
  <c r="AL288" i="1"/>
  <c r="AP283" i="1" a="1"/>
  <c r="AP283" i="1" s="1"/>
  <c r="AL278" i="1"/>
  <c r="AL272" i="1"/>
  <c r="AP267" i="1" a="1"/>
  <c r="AP267" i="1" s="1"/>
  <c r="AL262" i="1"/>
  <c r="AO256" i="1" a="1"/>
  <c r="AO256" i="1" s="1"/>
  <c r="AQ251" i="1"/>
  <c r="AO246" i="1" a="1"/>
  <c r="AO246" i="1" s="1"/>
  <c r="AO240" i="1" a="1"/>
  <c r="AO240" i="1" s="1"/>
  <c r="AQ235" i="1"/>
  <c r="AO230" i="1" a="1"/>
  <c r="AO230" i="1" s="1"/>
  <c r="AL220" i="1"/>
  <c r="AL216" i="1"/>
  <c r="AM212" i="1"/>
  <c r="AN178" i="1"/>
  <c r="AQ122" i="1"/>
  <c r="AN134" i="1"/>
  <c r="AN16" i="1"/>
  <c r="AP16" i="1" a="1"/>
  <c r="AP16" i="1" s="1"/>
  <c r="AR16" i="1" s="1"/>
  <c r="AS16" i="1" s="1"/>
  <c r="AO16" i="1" a="1"/>
  <c r="AO16" i="1" s="1"/>
  <c r="AL16" i="1"/>
  <c r="AM16" i="1"/>
  <c r="AM24" i="1"/>
  <c r="AR24" i="1" s="1"/>
  <c r="AS24" i="1" s="1"/>
  <c r="AQ25" i="1"/>
  <c r="AP24" i="1" a="1"/>
  <c r="AP24" i="1" s="1"/>
  <c r="AO24" i="1" a="1"/>
  <c r="AO24" i="1" s="1"/>
  <c r="AL24" i="1"/>
  <c r="AN24" i="1"/>
  <c r="AN36" i="1"/>
  <c r="AM36" i="1"/>
  <c r="AL36" i="1"/>
  <c r="AP36" i="1" a="1"/>
  <c r="AP36" i="1" s="1"/>
  <c r="AQ37" i="1"/>
  <c r="AO36" i="1" a="1"/>
  <c r="AO36" i="1" s="1"/>
  <c r="AO44" i="1" a="1"/>
  <c r="AO44" i="1" s="1"/>
  <c r="AM44" i="1"/>
  <c r="AL44" i="1"/>
  <c r="AN44" i="1"/>
  <c r="AP44" i="1" a="1"/>
  <c r="AP44" i="1" s="1"/>
  <c r="AQ45" i="1"/>
  <c r="AL56" i="1"/>
  <c r="AP56" i="1" a="1"/>
  <c r="AP56" i="1" s="1"/>
  <c r="AO56" i="1" a="1"/>
  <c r="AO56" i="1" s="1"/>
  <c r="AN56" i="1"/>
  <c r="AQ57" i="1"/>
  <c r="AM56" i="1"/>
  <c r="AN64" i="1"/>
  <c r="AM64" i="1"/>
  <c r="AP64" i="1" a="1"/>
  <c r="AP64" i="1" s="1"/>
  <c r="AL64" i="1"/>
  <c r="AO64" i="1" a="1"/>
  <c r="AO64" i="1" s="1"/>
  <c r="AO76" i="1" a="1"/>
  <c r="AO76" i="1" s="1"/>
  <c r="AN76" i="1"/>
  <c r="AP76" i="1" a="1"/>
  <c r="AP76" i="1" s="1"/>
  <c r="AL76" i="1"/>
  <c r="AM76" i="1"/>
  <c r="AM84" i="1"/>
  <c r="AQ85" i="1"/>
  <c r="AL84" i="1"/>
  <c r="AN92" i="1"/>
  <c r="AO92" i="1" a="1"/>
  <c r="AO92" i="1" s="1"/>
  <c r="AP92" i="1" a="1"/>
  <c r="AP92" i="1" s="1"/>
  <c r="AM92" i="1"/>
  <c r="AR92" i="1" s="1"/>
  <c r="AS92" i="1" s="1"/>
  <c r="AQ93" i="1"/>
  <c r="AM104" i="1"/>
  <c r="AQ105" i="1"/>
  <c r="AM112" i="1"/>
  <c r="AQ125" i="1"/>
  <c r="AM124" i="1"/>
  <c r="AM132" i="1"/>
  <c r="AP132" i="1" a="1"/>
  <c r="AP132" i="1" s="1"/>
  <c r="AN132" i="1"/>
  <c r="AQ133" i="1"/>
  <c r="AL132" i="1"/>
  <c r="AO144" i="1" a="1"/>
  <c r="AO144" i="1" s="1"/>
  <c r="AL144" i="1"/>
  <c r="AP144" i="1" a="1"/>
  <c r="AP144" i="1" s="1"/>
  <c r="AM144" i="1"/>
  <c r="AQ145" i="1"/>
  <c r="AN152" i="1"/>
  <c r="AM152" i="1"/>
  <c r="AO152" i="1" a="1"/>
  <c r="AO152" i="1" s="1"/>
  <c r="AQ153" i="1"/>
  <c r="AL152" i="1"/>
  <c r="AM160" i="1"/>
  <c r="AP160" i="1" a="1"/>
  <c r="AP160" i="1" s="1"/>
  <c r="AL160" i="1"/>
  <c r="AN160" i="1"/>
  <c r="AO160" i="1" a="1"/>
  <c r="AO160" i="1" s="1"/>
  <c r="AQ161" i="1"/>
  <c r="AL172" i="1"/>
  <c r="AP172" i="1" a="1"/>
  <c r="AP172" i="1" s="1"/>
  <c r="AM172" i="1"/>
  <c r="AQ173" i="1"/>
  <c r="AN172" i="1"/>
  <c r="AO172" i="1" a="1"/>
  <c r="AO172" i="1" s="1"/>
  <c r="AL176" i="1"/>
  <c r="AM176" i="1"/>
  <c r="AP176" i="1" a="1"/>
  <c r="AP176" i="1" s="1"/>
  <c r="AN176" i="1"/>
  <c r="AO176" i="1" a="1"/>
  <c r="AO176" i="1" s="1"/>
  <c r="AN188" i="1"/>
  <c r="AO188" i="1" a="1"/>
  <c r="AO188" i="1" s="1"/>
  <c r="AL188" i="1"/>
  <c r="AM188" i="1"/>
  <c r="AQ189" i="1"/>
  <c r="AM196" i="1"/>
  <c r="AP196" i="1" a="1"/>
  <c r="AP196" i="1" s="1"/>
  <c r="AN196" i="1"/>
  <c r="AQ197" i="1"/>
  <c r="AL196" i="1"/>
  <c r="AO208" i="1" a="1"/>
  <c r="AO208" i="1" s="1"/>
  <c r="AL208" i="1"/>
  <c r="AP208" i="1" a="1"/>
  <c r="AP208" i="1" s="1"/>
  <c r="AQ209" i="1"/>
  <c r="AN216" i="1"/>
  <c r="AO216" i="1" a="1"/>
  <c r="AO216" i="1" s="1"/>
  <c r="AP216" i="1" a="1"/>
  <c r="AP216" i="1" s="1"/>
  <c r="AL228" i="1"/>
  <c r="AP228" i="1" a="1"/>
  <c r="AP228" i="1" s="1"/>
  <c r="AM228" i="1"/>
  <c r="AL236" i="1"/>
  <c r="AP236" i="1" a="1"/>
  <c r="AP236" i="1" s="1"/>
  <c r="AM236" i="1"/>
  <c r="AL248" i="1"/>
  <c r="AP248" i="1" a="1"/>
  <c r="AP248" i="1" s="1"/>
  <c r="AM248" i="1"/>
  <c r="AR248" i="1" s="1"/>
  <c r="AS248" i="1" s="1"/>
  <c r="AL256" i="1"/>
  <c r="AP256" i="1" a="1"/>
  <c r="AP256" i="1" s="1"/>
  <c r="AM256" i="1"/>
  <c r="AN268" i="1"/>
  <c r="AO268" i="1" a="1"/>
  <c r="AO268" i="1" s="1"/>
  <c r="AN280" i="1"/>
  <c r="AO280" i="1" a="1"/>
  <c r="AO280" i="1" s="1"/>
  <c r="AN288" i="1"/>
  <c r="AO288" i="1" a="1"/>
  <c r="AO288" i="1" s="1"/>
  <c r="AN300" i="1"/>
  <c r="AO300" i="1" a="1"/>
  <c r="AO300" i="1" s="1"/>
  <c r="AN308" i="1"/>
  <c r="AO308" i="1" a="1"/>
  <c r="AO308" i="1" s="1"/>
  <c r="AN320" i="1"/>
  <c r="AO320" i="1" a="1"/>
  <c r="AO320" i="1" s="1"/>
  <c r="AN332" i="1"/>
  <c r="AO332" i="1" a="1"/>
  <c r="AO332" i="1" s="1"/>
  <c r="AN340" i="1"/>
  <c r="AO340" i="1" a="1"/>
  <c r="AO340" i="1" s="1"/>
  <c r="AN348" i="1"/>
  <c r="AO348" i="1" a="1"/>
  <c r="AO348" i="1" s="1"/>
  <c r="AN360" i="1"/>
  <c r="AO360" i="1" a="1"/>
  <c r="AO360" i="1" s="1"/>
  <c r="AN372" i="1"/>
  <c r="AO372" i="1" a="1"/>
  <c r="AO372" i="1" s="1"/>
  <c r="AN396" i="1"/>
  <c r="AO396" i="1" a="1"/>
  <c r="AO396" i="1" s="1"/>
  <c r="AK177" i="1"/>
  <c r="AK161" i="1"/>
  <c r="AK145" i="1"/>
  <c r="AK113" i="1"/>
  <c r="AL118" i="1" s="1"/>
  <c r="AK65" i="1"/>
  <c r="AK17" i="1"/>
  <c r="AL17" i="1" s="1"/>
  <c r="AP402" i="1" a="1"/>
  <c r="AP402" i="1" s="1"/>
  <c r="AP396" i="1" a="1"/>
  <c r="AP396" i="1" s="1"/>
  <c r="AP372" i="1" a="1"/>
  <c r="AP372" i="1" s="1"/>
  <c r="AP360" i="1" a="1"/>
  <c r="AP360" i="1" s="1"/>
  <c r="AP348" i="1" a="1"/>
  <c r="AP348" i="1" s="1"/>
  <c r="AP340" i="1" a="1"/>
  <c r="AP340" i="1" s="1"/>
  <c r="AP332" i="1" a="1"/>
  <c r="AP332" i="1" s="1"/>
  <c r="AP320" i="1" a="1"/>
  <c r="AP320" i="1" s="1"/>
  <c r="AP308" i="1" a="1"/>
  <c r="AP308" i="1" s="1"/>
  <c r="AP300" i="1" a="1"/>
  <c r="AP300" i="1" s="1"/>
  <c r="AP288" i="1" a="1"/>
  <c r="AP288" i="1" s="1"/>
  <c r="AP280" i="1" a="1"/>
  <c r="AP280" i="1" s="1"/>
  <c r="AP268" i="1" a="1"/>
  <c r="AP268" i="1" s="1"/>
  <c r="AM208" i="1"/>
  <c r="AP188" i="1" a="1"/>
  <c r="AP188" i="1" s="1"/>
  <c r="AN144" i="1"/>
  <c r="AO132" i="1" a="1"/>
  <c r="AO132" i="1" s="1"/>
  <c r="AR522" i="1"/>
  <c r="AS522" i="1" s="1"/>
  <c r="AL20" i="1"/>
  <c r="AP20" i="1" a="1"/>
  <c r="AP20" i="1" s="1"/>
  <c r="AO20" i="1" a="1"/>
  <c r="AO20" i="1" s="1"/>
  <c r="AM20" i="1"/>
  <c r="AN20" i="1"/>
  <c r="AQ21" i="1"/>
  <c r="AM28" i="1"/>
  <c r="AQ29" i="1"/>
  <c r="AP28" i="1" a="1"/>
  <c r="AP28" i="1" s="1"/>
  <c r="AO28" i="1" a="1"/>
  <c r="AO28" i="1" s="1"/>
  <c r="AL28" i="1"/>
  <c r="AN28" i="1"/>
  <c r="AN32" i="1"/>
  <c r="AM32" i="1"/>
  <c r="AL32" i="1"/>
  <c r="AO32" i="1" a="1"/>
  <c r="AO32" i="1" s="1"/>
  <c r="AP32" i="1" a="1"/>
  <c r="AP32" i="1" s="1"/>
  <c r="AQ33" i="1"/>
  <c r="AN40" i="1"/>
  <c r="AM40" i="1"/>
  <c r="AL40" i="1"/>
  <c r="AO40" i="1" a="1"/>
  <c r="AO40" i="1" s="1"/>
  <c r="AQ41" i="1"/>
  <c r="AO48" i="1" a="1"/>
  <c r="AO48" i="1" s="1"/>
  <c r="AM48" i="1"/>
  <c r="AL48" i="1"/>
  <c r="AP48" i="1" a="1"/>
  <c r="AP48" i="1" s="1"/>
  <c r="AQ49" i="1"/>
  <c r="AN48" i="1"/>
  <c r="AL52" i="1"/>
  <c r="AP52" i="1" a="1"/>
  <c r="AP52" i="1" s="1"/>
  <c r="AO52" i="1" a="1"/>
  <c r="AO52" i="1" s="1"/>
  <c r="AN52" i="1"/>
  <c r="AQ53" i="1"/>
  <c r="AM52" i="1"/>
  <c r="AL60" i="1"/>
  <c r="AP60" i="1" a="1"/>
  <c r="AP60" i="1" s="1"/>
  <c r="AN60" i="1"/>
  <c r="AM60" i="1"/>
  <c r="AQ61" i="1"/>
  <c r="AO60" i="1" a="1"/>
  <c r="AO60" i="1" s="1"/>
  <c r="AN68" i="1"/>
  <c r="AL68" i="1"/>
  <c r="AM68" i="1"/>
  <c r="AQ69" i="1"/>
  <c r="AO68" i="1" a="1"/>
  <c r="AO68" i="1" s="1"/>
  <c r="AP68" i="1" a="1"/>
  <c r="AP68" i="1" s="1"/>
  <c r="AM72" i="1"/>
  <c r="AL72" i="1"/>
  <c r="AN72" i="1"/>
  <c r="AQ73" i="1"/>
  <c r="AO72" i="1" a="1"/>
  <c r="AO72" i="1" s="1"/>
  <c r="AP72" i="1" a="1"/>
  <c r="AP72" i="1" s="1"/>
  <c r="AR72" i="1" s="1"/>
  <c r="AS72" i="1" s="1"/>
  <c r="AO80" i="1" a="1"/>
  <c r="AO80" i="1" s="1"/>
  <c r="AM80" i="1"/>
  <c r="AN80" i="1"/>
  <c r="AP80" i="1" a="1"/>
  <c r="AP80" i="1" s="1"/>
  <c r="AQ81" i="1"/>
  <c r="AL80" i="1"/>
  <c r="AL88" i="1"/>
  <c r="AP88" i="1" a="1"/>
  <c r="AP88" i="1" s="1"/>
  <c r="AN88" i="1"/>
  <c r="AQ89" i="1"/>
  <c r="AO88" i="1" a="1"/>
  <c r="AO88" i="1" s="1"/>
  <c r="AM88" i="1"/>
  <c r="AQ97" i="1"/>
  <c r="AM96" i="1"/>
  <c r="AM100" i="1"/>
  <c r="AQ101" i="1"/>
  <c r="AN100" i="1"/>
  <c r="AP100" i="1" a="1"/>
  <c r="AP100" i="1" s="1"/>
  <c r="AM108" i="1"/>
  <c r="AQ109" i="1"/>
  <c r="AN108" i="1"/>
  <c r="AL108" i="1"/>
  <c r="AO108" i="1" a="1"/>
  <c r="AO108" i="1" s="1"/>
  <c r="AN116" i="1"/>
  <c r="AO116" i="1" a="1"/>
  <c r="AO116" i="1" s="1"/>
  <c r="AL116" i="1"/>
  <c r="AN120" i="1"/>
  <c r="AO120" i="1" a="1"/>
  <c r="AO120" i="1" s="1"/>
  <c r="AM120" i="1"/>
  <c r="AQ121" i="1"/>
  <c r="AP120" i="1" a="1"/>
  <c r="AP120" i="1" s="1"/>
  <c r="AL120" i="1"/>
  <c r="AM128" i="1"/>
  <c r="AN128" i="1"/>
  <c r="AO128" i="1" a="1"/>
  <c r="AO128" i="1" s="1"/>
  <c r="AP128" i="1" a="1"/>
  <c r="AP128" i="1" s="1"/>
  <c r="AL128" i="1"/>
  <c r="AO136" i="1" a="1"/>
  <c r="AO136" i="1" s="1"/>
  <c r="AL136" i="1"/>
  <c r="AP136" i="1" a="1"/>
  <c r="AP136" i="1" s="1"/>
  <c r="AQ137" i="1"/>
  <c r="AM136" i="1"/>
  <c r="AN136" i="1"/>
  <c r="AO140" i="1" a="1"/>
  <c r="AO140" i="1" s="1"/>
  <c r="AL140" i="1"/>
  <c r="AP140" i="1" a="1"/>
  <c r="AP140" i="1" s="1"/>
  <c r="AN140" i="1"/>
  <c r="AQ141" i="1"/>
  <c r="AM140" i="1"/>
  <c r="AL148" i="1"/>
  <c r="AM148" i="1"/>
  <c r="AN156" i="1"/>
  <c r="AQ157" i="1"/>
  <c r="AM156" i="1"/>
  <c r="AO156" i="1" a="1"/>
  <c r="AO156" i="1" s="1"/>
  <c r="AP156" i="1" a="1"/>
  <c r="AP156" i="1" s="1"/>
  <c r="AL164" i="1"/>
  <c r="AP164" i="1" a="1"/>
  <c r="AP164" i="1" s="1"/>
  <c r="AM164" i="1"/>
  <c r="AN164" i="1"/>
  <c r="AO164" i="1" a="1"/>
  <c r="AO164" i="1" s="1"/>
  <c r="AQ165" i="1"/>
  <c r="AL168" i="1"/>
  <c r="AP168" i="1" a="1"/>
  <c r="AP168" i="1" s="1"/>
  <c r="AM168" i="1"/>
  <c r="AN168" i="1"/>
  <c r="AO168" i="1" a="1"/>
  <c r="AO168" i="1" s="1"/>
  <c r="AQ169" i="1"/>
  <c r="AO180" i="1" a="1"/>
  <c r="AO180" i="1" s="1"/>
  <c r="AL180" i="1"/>
  <c r="AM180" i="1"/>
  <c r="AR180" i="1" s="1"/>
  <c r="AS180" i="1" s="1"/>
  <c r="AN180" i="1"/>
  <c r="AQ181" i="1"/>
  <c r="AN184" i="1"/>
  <c r="AO184" i="1" a="1"/>
  <c r="AO184" i="1" s="1"/>
  <c r="AL184" i="1"/>
  <c r="AM184" i="1"/>
  <c r="AQ185" i="1"/>
  <c r="AN192" i="1"/>
  <c r="AQ193" i="1"/>
  <c r="AO192" i="1" a="1"/>
  <c r="AO192" i="1" s="1"/>
  <c r="AL192" i="1"/>
  <c r="AM192" i="1"/>
  <c r="AL200" i="1"/>
  <c r="AP200" i="1" a="1"/>
  <c r="AP200" i="1" s="1"/>
  <c r="AM200" i="1"/>
  <c r="AQ201" i="1"/>
  <c r="AL204" i="1"/>
  <c r="AM204" i="1"/>
  <c r="AP204" i="1" a="1"/>
  <c r="AP204" i="1" s="1"/>
  <c r="AQ205" i="1"/>
  <c r="AO212" i="1" a="1"/>
  <c r="AO212" i="1" s="1"/>
  <c r="AL212" i="1"/>
  <c r="AP212" i="1" a="1"/>
  <c r="AP212" i="1" s="1"/>
  <c r="AR212" i="1" s="1"/>
  <c r="AS212" i="1" s="1"/>
  <c r="AN220" i="1"/>
  <c r="AQ221" i="1"/>
  <c r="AO220" i="1" a="1"/>
  <c r="AO220" i="1" s="1"/>
  <c r="AP220" i="1" a="1"/>
  <c r="AP220" i="1" s="1"/>
  <c r="AM224" i="1"/>
  <c r="AP224" i="1" a="1"/>
  <c r="AP224" i="1" s="1"/>
  <c r="AL224" i="1"/>
  <c r="AN224" i="1"/>
  <c r="AL232" i="1"/>
  <c r="AP232" i="1" a="1"/>
  <c r="AP232" i="1" s="1"/>
  <c r="AR232" i="1" s="1"/>
  <c r="AS232" i="1" s="1"/>
  <c r="AM232" i="1"/>
  <c r="AL240" i="1"/>
  <c r="AP240" i="1" a="1"/>
  <c r="AP240" i="1" s="1"/>
  <c r="AM240" i="1"/>
  <c r="AR240" i="1" s="1"/>
  <c r="AS240" i="1" s="1"/>
  <c r="AL244" i="1"/>
  <c r="AP244" i="1" a="1"/>
  <c r="AP244" i="1" s="1"/>
  <c r="AM244" i="1"/>
  <c r="AL252" i="1"/>
  <c r="AP252" i="1" a="1"/>
  <c r="AP252" i="1" s="1"/>
  <c r="AM252" i="1"/>
  <c r="AL260" i="1"/>
  <c r="AP260" i="1" a="1"/>
  <c r="AP260" i="1" s="1"/>
  <c r="AM260" i="1"/>
  <c r="AN264" i="1"/>
  <c r="AO264" i="1" a="1"/>
  <c r="AO264" i="1" s="1"/>
  <c r="AN272" i="1"/>
  <c r="AO272" i="1" a="1"/>
  <c r="AO272" i="1" s="1"/>
  <c r="AN276" i="1"/>
  <c r="AO276" i="1" a="1"/>
  <c r="AO276" i="1" s="1"/>
  <c r="AN284" i="1"/>
  <c r="AO284" i="1" a="1"/>
  <c r="AO284" i="1" s="1"/>
  <c r="AN292" i="1"/>
  <c r="AO292" i="1" a="1"/>
  <c r="AO292" i="1" s="1"/>
  <c r="AN296" i="1"/>
  <c r="AO296" i="1" a="1"/>
  <c r="AO296" i="1" s="1"/>
  <c r="AN304" i="1"/>
  <c r="AO304" i="1" a="1"/>
  <c r="AO304" i="1" s="1"/>
  <c r="AN312" i="1"/>
  <c r="AO312" i="1" a="1"/>
  <c r="AO312" i="1" s="1"/>
  <c r="AN316" i="1"/>
  <c r="AO316" i="1" a="1"/>
  <c r="AO316" i="1" s="1"/>
  <c r="AN324" i="1"/>
  <c r="AO324" i="1" a="1"/>
  <c r="AO324" i="1" s="1"/>
  <c r="AN328" i="1"/>
  <c r="AO328" i="1" a="1"/>
  <c r="AO328" i="1" s="1"/>
  <c r="AN336" i="1"/>
  <c r="AO336" i="1" a="1"/>
  <c r="AO336" i="1" s="1"/>
  <c r="AN344" i="1"/>
  <c r="AO344" i="1" a="1"/>
  <c r="AO344" i="1" s="1"/>
  <c r="AN352" i="1"/>
  <c r="AO352" i="1" a="1"/>
  <c r="AO352" i="1" s="1"/>
  <c r="AN356" i="1"/>
  <c r="AO356" i="1" a="1"/>
  <c r="AO356" i="1" s="1"/>
  <c r="AN364" i="1"/>
  <c r="AO364" i="1" a="1"/>
  <c r="AO364" i="1" s="1"/>
  <c r="AN368" i="1"/>
  <c r="AO368" i="1" a="1"/>
  <c r="AO368" i="1" s="1"/>
  <c r="AN376" i="1"/>
  <c r="AO376" i="1" a="1"/>
  <c r="AO376" i="1" s="1"/>
  <c r="AN380" i="1"/>
  <c r="AO380" i="1" a="1"/>
  <c r="AO380" i="1" s="1"/>
  <c r="AN384" i="1"/>
  <c r="AO384" i="1" a="1"/>
  <c r="AO384" i="1" s="1"/>
  <c r="AN388" i="1"/>
  <c r="AO388" i="1" a="1"/>
  <c r="AO388" i="1" s="1"/>
  <c r="AN392" i="1"/>
  <c r="AO392" i="1" a="1"/>
  <c r="AO392" i="1" s="1"/>
  <c r="AN400" i="1"/>
  <c r="AO400" i="1" a="1"/>
  <c r="AO400" i="1" s="1"/>
  <c r="AP13" i="1" a="1"/>
  <c r="AP13" i="1" s="1"/>
  <c r="AK14" i="1"/>
  <c r="AL14" i="1" s="1"/>
  <c r="AQ18" i="1"/>
  <c r="AK18" i="1"/>
  <c r="AL19" i="1" s="1"/>
  <c r="AL21" i="1"/>
  <c r="AP21" i="1" a="1"/>
  <c r="AP21" i="1" s="1"/>
  <c r="AN21" i="1"/>
  <c r="AM21" i="1"/>
  <c r="AO21" i="1" a="1"/>
  <c r="AO21" i="1" s="1"/>
  <c r="AK22" i="1"/>
  <c r="AM25" i="1"/>
  <c r="AQ26" i="1"/>
  <c r="AN25" i="1"/>
  <c r="AL25" i="1"/>
  <c r="AO25" i="1" a="1"/>
  <c r="AO25" i="1" s="1"/>
  <c r="AK26" i="1"/>
  <c r="AP25" i="1" a="1"/>
  <c r="AP25" i="1" s="1"/>
  <c r="AR25" i="1" s="1"/>
  <c r="AS25" i="1" s="1"/>
  <c r="AM29" i="1"/>
  <c r="AN29" i="1"/>
  <c r="AL29" i="1"/>
  <c r="AO29" i="1" a="1"/>
  <c r="AO29" i="1" s="1"/>
  <c r="AK30" i="1"/>
  <c r="AP29" i="1" a="1"/>
  <c r="AP29" i="1" s="1"/>
  <c r="AN33" i="1"/>
  <c r="AO33" i="1" a="1"/>
  <c r="AO33" i="1" s="1"/>
  <c r="AM33" i="1"/>
  <c r="AQ34" i="1"/>
  <c r="AL33" i="1"/>
  <c r="AK34" i="1"/>
  <c r="AN37" i="1"/>
  <c r="AO37" i="1" a="1"/>
  <c r="AO37" i="1" s="1"/>
  <c r="AM37" i="1"/>
  <c r="AP37" i="1" a="1"/>
  <c r="AP37" i="1" s="1"/>
  <c r="AQ38" i="1"/>
  <c r="AL37" i="1"/>
  <c r="AK38" i="1"/>
  <c r="AN41" i="1"/>
  <c r="AO41" i="1" a="1"/>
  <c r="AO41" i="1" s="1"/>
  <c r="AM41" i="1"/>
  <c r="AL41" i="1"/>
  <c r="AP41" i="1" a="1"/>
  <c r="AP41" i="1" s="1"/>
  <c r="AR41" i="1" s="1"/>
  <c r="AS41" i="1" s="1"/>
  <c r="AK42" i="1"/>
  <c r="AO45" i="1" a="1"/>
  <c r="AO45" i="1" s="1"/>
  <c r="AN45" i="1"/>
  <c r="AM45" i="1"/>
  <c r="AQ46" i="1"/>
  <c r="AL45" i="1"/>
  <c r="AK46" i="1"/>
  <c r="AO49" i="1" a="1"/>
  <c r="AO49" i="1" s="1"/>
  <c r="AN49" i="1"/>
  <c r="AM49" i="1"/>
  <c r="AP49" i="1" a="1"/>
  <c r="AP49" i="1" s="1"/>
  <c r="AL49" i="1"/>
  <c r="AK50" i="1"/>
  <c r="AL53" i="1"/>
  <c r="AP53" i="1" a="1"/>
  <c r="AP53" i="1" s="1"/>
  <c r="AM53" i="1"/>
  <c r="AO53" i="1" a="1"/>
  <c r="AO53" i="1" s="1"/>
  <c r="AQ54" i="1"/>
  <c r="AN53" i="1"/>
  <c r="AK54" i="1"/>
  <c r="AL57" i="1"/>
  <c r="AP57" i="1" a="1"/>
  <c r="AP57" i="1" s="1"/>
  <c r="AM57" i="1"/>
  <c r="AO57" i="1" a="1"/>
  <c r="AO57" i="1" s="1"/>
  <c r="AK58" i="1"/>
  <c r="AL61" i="1"/>
  <c r="AP61" i="1" a="1"/>
  <c r="AP61" i="1" s="1"/>
  <c r="AQ62" i="1"/>
  <c r="AO61" i="1" a="1"/>
  <c r="AO61" i="1" s="1"/>
  <c r="AM61" i="1"/>
  <c r="AK62" i="1"/>
  <c r="AL65" i="1"/>
  <c r="AM65" i="1"/>
  <c r="AK66" i="1"/>
  <c r="AL71" i="1" s="1"/>
  <c r="AN69" i="1"/>
  <c r="AQ70" i="1"/>
  <c r="AM69" i="1"/>
  <c r="AL69" i="1"/>
  <c r="AO69" i="1" a="1"/>
  <c r="AO69" i="1" s="1"/>
  <c r="AP69" i="1" a="1"/>
  <c r="AP69" i="1" s="1"/>
  <c r="AR69" i="1" s="1"/>
  <c r="AS69" i="1" s="1"/>
  <c r="AK70" i="1"/>
  <c r="AM73" i="1"/>
  <c r="AP73" i="1" a="1"/>
  <c r="AP73" i="1" s="1"/>
  <c r="AO73" i="1" a="1"/>
  <c r="AO73" i="1" s="1"/>
  <c r="AQ74" i="1"/>
  <c r="AL73" i="1"/>
  <c r="AK74" i="1"/>
  <c r="AL77" i="1"/>
  <c r="AM77" i="1"/>
  <c r="AQ78" i="1"/>
  <c r="AK78" i="1"/>
  <c r="AN81" i="1"/>
  <c r="AQ82" i="1"/>
  <c r="AP81" i="1" a="1"/>
  <c r="AP81" i="1" s="1"/>
  <c r="AL81" i="1"/>
  <c r="AO81" i="1" a="1"/>
  <c r="AO81" i="1" s="1"/>
  <c r="AK82" i="1"/>
  <c r="AM85" i="1"/>
  <c r="AP85" i="1" a="1"/>
  <c r="AP85" i="1" s="1"/>
  <c r="AL85" i="1"/>
  <c r="AN85" i="1"/>
  <c r="AO85" i="1" a="1"/>
  <c r="AO85" i="1" s="1"/>
  <c r="AK86" i="1"/>
  <c r="AQ86" i="1"/>
  <c r="AL89" i="1"/>
  <c r="AP89" i="1" a="1"/>
  <c r="AP89" i="1" s="1"/>
  <c r="AM89" i="1"/>
  <c r="AN89" i="1"/>
  <c r="AK90" i="1"/>
  <c r="AN93" i="1"/>
  <c r="AO93" i="1" a="1"/>
  <c r="AO93" i="1" s="1"/>
  <c r="AL93" i="1"/>
  <c r="AM93" i="1"/>
  <c r="AR93" i="1" s="1"/>
  <c r="AS93" i="1" s="1"/>
  <c r="AQ94" i="1"/>
  <c r="AK94" i="1"/>
  <c r="AN97" i="1"/>
  <c r="AQ98" i="1"/>
  <c r="AO97" i="1" a="1"/>
  <c r="AO97" i="1" s="1"/>
  <c r="AP97" i="1" a="1"/>
  <c r="AP97" i="1" s="1"/>
  <c r="AM97" i="1"/>
  <c r="AK98" i="1"/>
  <c r="AM101" i="1"/>
  <c r="AQ102" i="1"/>
  <c r="AN101" i="1"/>
  <c r="AO101" i="1" a="1"/>
  <c r="AO101" i="1" s="1"/>
  <c r="AP101" i="1" a="1"/>
  <c r="AP101" i="1" s="1"/>
  <c r="AR101" i="1" s="1"/>
  <c r="AS101" i="1" s="1"/>
  <c r="AK102" i="1"/>
  <c r="AM105" i="1"/>
  <c r="AQ106" i="1"/>
  <c r="AN105" i="1"/>
  <c r="AL105" i="1"/>
  <c r="AP105" i="1" a="1"/>
  <c r="AP105" i="1" s="1"/>
  <c r="AK106" i="1"/>
  <c r="AL112" i="1" s="1"/>
  <c r="AM109" i="1"/>
  <c r="AN109" i="1"/>
  <c r="AQ110" i="1"/>
  <c r="AL109" i="1"/>
  <c r="AK110" i="1"/>
  <c r="AO109" i="1" a="1"/>
  <c r="AO109" i="1" s="1"/>
  <c r="AL113" i="1"/>
  <c r="AM113" i="1"/>
  <c r="AP113" i="1" a="1"/>
  <c r="AP113" i="1" s="1"/>
  <c r="AQ114" i="1"/>
  <c r="AN113" i="1"/>
  <c r="AK114" i="1"/>
  <c r="AN117" i="1"/>
  <c r="AO117" i="1" a="1"/>
  <c r="AO117" i="1" s="1"/>
  <c r="AM117" i="1"/>
  <c r="AR117" i="1" s="1"/>
  <c r="AS117" i="1" s="1"/>
  <c r="AP117" i="1" a="1"/>
  <c r="AP117" i="1" s="1"/>
  <c r="AK118" i="1"/>
  <c r="AN121" i="1"/>
  <c r="AO121" i="1" a="1"/>
  <c r="AO121" i="1" s="1"/>
  <c r="AL121" i="1"/>
  <c r="AK122" i="1"/>
  <c r="AL124" i="1" s="1"/>
  <c r="AM121" i="1"/>
  <c r="AN125" i="1"/>
  <c r="AQ126" i="1"/>
  <c r="AO125" i="1" a="1"/>
  <c r="AO125" i="1" s="1"/>
  <c r="AM125" i="1"/>
  <c r="AL125" i="1"/>
  <c r="AK126" i="1"/>
  <c r="AP125" i="1" a="1"/>
  <c r="AP125" i="1" s="1"/>
  <c r="AM129" i="1"/>
  <c r="AQ130" i="1"/>
  <c r="AL129" i="1"/>
  <c r="AK130" i="1"/>
  <c r="AL134" i="1" s="1"/>
  <c r="AQ134" i="1" s="1"/>
  <c r="BQ32" i="1" s="1"/>
  <c r="AL133" i="1"/>
  <c r="AP133" i="1" a="1"/>
  <c r="AP133" i="1" s="1"/>
  <c r="AM133" i="1"/>
  <c r="AO133" i="1" a="1"/>
  <c r="AO133" i="1" s="1"/>
  <c r="AK134" i="1"/>
  <c r="AO137" i="1" a="1"/>
  <c r="AO137" i="1" s="1"/>
  <c r="AL137" i="1"/>
  <c r="AP137" i="1" a="1"/>
  <c r="AP137" i="1" s="1"/>
  <c r="AQ138" i="1"/>
  <c r="AM137" i="1"/>
  <c r="AK138" i="1"/>
  <c r="AN137" i="1"/>
  <c r="AO141" i="1" a="1"/>
  <c r="AO141" i="1" s="1"/>
  <c r="AL141" i="1"/>
  <c r="AP141" i="1" a="1"/>
  <c r="AP141" i="1" s="1"/>
  <c r="AM141" i="1"/>
  <c r="AR141" i="1" s="1"/>
  <c r="AS141" i="1" s="1"/>
  <c r="AN141" i="1"/>
  <c r="AQ142" i="1"/>
  <c r="AK142" i="1"/>
  <c r="AO145" i="1" a="1"/>
  <c r="AO145" i="1" s="1"/>
  <c r="AL145" i="1"/>
  <c r="AP145" i="1" a="1"/>
  <c r="AP145" i="1" s="1"/>
  <c r="AR145" i="1" s="1"/>
  <c r="AS145" i="1" s="1"/>
  <c r="AK146" i="1"/>
  <c r="AN149" i="1"/>
  <c r="AO149" i="1" a="1"/>
  <c r="AO149" i="1" s="1"/>
  <c r="AP149" i="1" a="1"/>
  <c r="AP149" i="1" s="1"/>
  <c r="AQ150" i="1"/>
  <c r="AL149" i="1"/>
  <c r="AK150" i="1"/>
  <c r="AM149" i="1"/>
  <c r="AN153" i="1"/>
  <c r="AO153" i="1" a="1"/>
  <c r="AO153" i="1" s="1"/>
  <c r="AP153" i="1" a="1"/>
  <c r="AP153" i="1" s="1"/>
  <c r="AR153" i="1" s="1"/>
  <c r="AS153" i="1" s="1"/>
  <c r="AQ154" i="1"/>
  <c r="AK154" i="1"/>
  <c r="AM157" i="1"/>
  <c r="AQ158" i="1"/>
  <c r="AO157" i="1" a="1"/>
  <c r="AO157" i="1" s="1"/>
  <c r="AP157" i="1" a="1"/>
  <c r="AP157" i="1" s="1"/>
  <c r="AL157" i="1"/>
  <c r="AK158" i="1"/>
  <c r="AN157" i="1"/>
  <c r="AL161" i="1"/>
  <c r="AP161" i="1" a="1"/>
  <c r="AP161" i="1" s="1"/>
  <c r="AN161" i="1"/>
  <c r="AQ162" i="1"/>
  <c r="AO161" i="1" a="1"/>
  <c r="AO161" i="1" s="1"/>
  <c r="AM161" i="1"/>
  <c r="AK162" i="1"/>
  <c r="AL165" i="1"/>
  <c r="AP165" i="1" a="1"/>
  <c r="AP165" i="1" s="1"/>
  <c r="AN165" i="1"/>
  <c r="AQ166" i="1"/>
  <c r="AO165" i="1" a="1"/>
  <c r="AO165" i="1" s="1"/>
  <c r="AM165" i="1"/>
  <c r="AK166" i="1"/>
  <c r="AL169" i="1"/>
  <c r="AP169" i="1" a="1"/>
  <c r="AP169" i="1" s="1"/>
  <c r="AN169" i="1"/>
  <c r="AQ170" i="1"/>
  <c r="AO169" i="1" a="1"/>
  <c r="AO169" i="1" s="1"/>
  <c r="AM169" i="1"/>
  <c r="AK170" i="1"/>
  <c r="AL173" i="1"/>
  <c r="AP173" i="1" a="1"/>
  <c r="AP173" i="1" s="1"/>
  <c r="AM173" i="1"/>
  <c r="AQ174" i="1"/>
  <c r="AN173" i="1"/>
  <c r="AK174" i="1"/>
  <c r="AO173" i="1" a="1"/>
  <c r="AO173" i="1" s="1"/>
  <c r="AO177" i="1" a="1"/>
  <c r="AO177" i="1" s="1"/>
  <c r="AL177" i="1"/>
  <c r="AP177" i="1" a="1"/>
  <c r="AP177" i="1" s="1"/>
  <c r="AQ178" i="1"/>
  <c r="AK178" i="1"/>
  <c r="AM177" i="1"/>
  <c r="AR177" i="1" s="1"/>
  <c r="AS177" i="1" s="1"/>
  <c r="AN181" i="1"/>
  <c r="AO181" i="1" a="1"/>
  <c r="AO181" i="1" s="1"/>
  <c r="AP181" i="1" a="1"/>
  <c r="AP181" i="1" s="1"/>
  <c r="AK182" i="1"/>
  <c r="AN185" i="1"/>
  <c r="AO185" i="1" a="1"/>
  <c r="AO185" i="1" s="1"/>
  <c r="AP185" i="1" a="1"/>
  <c r="AP185" i="1" s="1"/>
  <c r="AK186" i="1"/>
  <c r="AN189" i="1"/>
  <c r="AO189" i="1" a="1"/>
  <c r="AO189" i="1" s="1"/>
  <c r="AP189" i="1" a="1"/>
  <c r="AP189" i="1" s="1"/>
  <c r="AK190" i="1"/>
  <c r="AM193" i="1"/>
  <c r="AQ194" i="1"/>
  <c r="AN193" i="1"/>
  <c r="AP193" i="1" a="1"/>
  <c r="AP193" i="1" s="1"/>
  <c r="AR193" i="1" s="1"/>
  <c r="AS193" i="1" s="1"/>
  <c r="AK194" i="1"/>
  <c r="AL197" i="1"/>
  <c r="AP197" i="1" a="1"/>
  <c r="AP197" i="1" s="1"/>
  <c r="AM197" i="1"/>
  <c r="AQ198" i="1"/>
  <c r="AL201" i="1"/>
  <c r="AP201" i="1" a="1"/>
  <c r="AP201" i="1" s="1"/>
  <c r="AM201" i="1"/>
  <c r="AR201" i="1" s="1"/>
  <c r="AS201" i="1" s="1"/>
  <c r="AQ202" i="1"/>
  <c r="AO205" i="1" a="1"/>
  <c r="AO205" i="1" s="1"/>
  <c r="AL205" i="1"/>
  <c r="AP205" i="1" a="1"/>
  <c r="AP205" i="1" s="1"/>
  <c r="AN205" i="1"/>
  <c r="AO209" i="1" a="1"/>
  <c r="AO209" i="1" s="1"/>
  <c r="AL209" i="1"/>
  <c r="AP209" i="1" a="1"/>
  <c r="AP209" i="1" s="1"/>
  <c r="AR209" i="1" s="1"/>
  <c r="AS209" i="1" s="1"/>
  <c r="AN209" i="1"/>
  <c r="AN213" i="1"/>
  <c r="AO213" i="1" a="1"/>
  <c r="AO213" i="1" s="1"/>
  <c r="AL213" i="1"/>
  <c r="AM213" i="1"/>
  <c r="AQ214" i="1"/>
  <c r="AN217" i="1"/>
  <c r="AO217" i="1" a="1"/>
  <c r="AO217" i="1" s="1"/>
  <c r="AL217" i="1"/>
  <c r="AM217" i="1"/>
  <c r="AR217" i="1" s="1"/>
  <c r="AS217" i="1" s="1"/>
  <c r="AQ218" i="1"/>
  <c r="AM221" i="1"/>
  <c r="AQ222" i="1"/>
  <c r="AN221" i="1"/>
  <c r="AL221" i="1"/>
  <c r="AO221" i="1" a="1"/>
  <c r="AO221" i="1" s="1"/>
  <c r="AL225" i="1"/>
  <c r="AP225" i="1" a="1"/>
  <c r="AP225" i="1" s="1"/>
  <c r="AR225" i="1" s="1"/>
  <c r="AS225" i="1" s="1"/>
  <c r="AN225" i="1"/>
  <c r="AQ226" i="1"/>
  <c r="AO225" i="1" a="1"/>
  <c r="AO225" i="1" s="1"/>
  <c r="AL229" i="1"/>
  <c r="AP229" i="1" a="1"/>
  <c r="AP229" i="1" s="1"/>
  <c r="AN229" i="1"/>
  <c r="AQ230" i="1"/>
  <c r="AO229" i="1" a="1"/>
  <c r="AO229" i="1" s="1"/>
  <c r="AL233" i="1"/>
  <c r="AP233" i="1" a="1"/>
  <c r="AP233" i="1" s="1"/>
  <c r="AR233" i="1" s="1"/>
  <c r="AS233" i="1" s="1"/>
  <c r="AN233" i="1"/>
  <c r="AQ234" i="1"/>
  <c r="AO233" i="1" a="1"/>
  <c r="AO233" i="1" s="1"/>
  <c r="AL237" i="1"/>
  <c r="AP237" i="1" a="1"/>
  <c r="AP237" i="1" s="1"/>
  <c r="AR237" i="1" s="1"/>
  <c r="AS237" i="1" s="1"/>
  <c r="AN237" i="1"/>
  <c r="AQ238" i="1"/>
  <c r="AO237" i="1" a="1"/>
  <c r="AO237" i="1" s="1"/>
  <c r="AL241" i="1"/>
  <c r="AP241" i="1" a="1"/>
  <c r="AP241" i="1" s="1"/>
  <c r="AN241" i="1"/>
  <c r="AQ242" i="1"/>
  <c r="AO241" i="1" a="1"/>
  <c r="AO241" i="1" s="1"/>
  <c r="AL245" i="1"/>
  <c r="AP245" i="1" a="1"/>
  <c r="AP245" i="1" s="1"/>
  <c r="AN245" i="1"/>
  <c r="AQ246" i="1"/>
  <c r="AO245" i="1" a="1"/>
  <c r="AO245" i="1" s="1"/>
  <c r="AL249" i="1"/>
  <c r="AP249" i="1" a="1"/>
  <c r="AP249" i="1" s="1"/>
  <c r="AN249" i="1"/>
  <c r="AQ250" i="1"/>
  <c r="AO249" i="1" a="1"/>
  <c r="AO249" i="1" s="1"/>
  <c r="AL253" i="1"/>
  <c r="AP253" i="1" a="1"/>
  <c r="AP253" i="1" s="1"/>
  <c r="AR253" i="1" s="1"/>
  <c r="AS253" i="1" s="1"/>
  <c r="AN253" i="1"/>
  <c r="AQ254" i="1"/>
  <c r="AO253" i="1" a="1"/>
  <c r="AO253" i="1" s="1"/>
  <c r="AL257" i="1"/>
  <c r="AP257" i="1" a="1"/>
  <c r="AP257" i="1" s="1"/>
  <c r="AN257" i="1"/>
  <c r="AQ258" i="1"/>
  <c r="AO257" i="1" a="1"/>
  <c r="AO257" i="1" s="1"/>
  <c r="AL261" i="1"/>
  <c r="AN261" i="1"/>
  <c r="AO261" i="1" a="1"/>
  <c r="AO261" i="1" s="1"/>
  <c r="AN265" i="1"/>
  <c r="AO265" i="1" a="1"/>
  <c r="AO265" i="1" s="1"/>
  <c r="AN269" i="1"/>
  <c r="AO269" i="1" a="1"/>
  <c r="AO269" i="1" s="1"/>
  <c r="AN273" i="1"/>
  <c r="AO273" i="1" a="1"/>
  <c r="AO273" i="1" s="1"/>
  <c r="AN277" i="1"/>
  <c r="AO277" i="1" a="1"/>
  <c r="AO277" i="1" s="1"/>
  <c r="AN281" i="1"/>
  <c r="AO281" i="1" a="1"/>
  <c r="AO281" i="1" s="1"/>
  <c r="AN285" i="1"/>
  <c r="AO285" i="1" a="1"/>
  <c r="AO285" i="1" s="1"/>
  <c r="AN289" i="1"/>
  <c r="AO289" i="1" a="1"/>
  <c r="AO289" i="1" s="1"/>
  <c r="AN293" i="1"/>
  <c r="AO293" i="1" a="1"/>
  <c r="AO293" i="1" s="1"/>
  <c r="AN297" i="1"/>
  <c r="AO297" i="1" a="1"/>
  <c r="AO297" i="1" s="1"/>
  <c r="AN301" i="1"/>
  <c r="AO301" i="1" a="1"/>
  <c r="AO301" i="1" s="1"/>
  <c r="AN305" i="1"/>
  <c r="AO305" i="1" a="1"/>
  <c r="AO305" i="1" s="1"/>
  <c r="AN309" i="1"/>
  <c r="AO309" i="1" a="1"/>
  <c r="AO309" i="1" s="1"/>
  <c r="AN313" i="1"/>
  <c r="AO313" i="1" a="1"/>
  <c r="AO313" i="1" s="1"/>
  <c r="AN317" i="1"/>
  <c r="AO317" i="1" a="1"/>
  <c r="AO317" i="1" s="1"/>
  <c r="AN321" i="1"/>
  <c r="AO321" i="1" a="1"/>
  <c r="AO321" i="1" s="1"/>
  <c r="AN325" i="1"/>
  <c r="AO325" i="1" a="1"/>
  <c r="AO325" i="1" s="1"/>
  <c r="AN329" i="1"/>
  <c r="AO329" i="1" a="1"/>
  <c r="AO329" i="1" s="1"/>
  <c r="AN333" i="1"/>
  <c r="AO333" i="1" a="1"/>
  <c r="AO333" i="1" s="1"/>
  <c r="AN337" i="1"/>
  <c r="AO337" i="1" a="1"/>
  <c r="AO337" i="1" s="1"/>
  <c r="AN341" i="1"/>
  <c r="AO341" i="1" a="1"/>
  <c r="AO341" i="1" s="1"/>
  <c r="AN345" i="1"/>
  <c r="AO345" i="1" a="1"/>
  <c r="AO345" i="1" s="1"/>
  <c r="AN349" i="1"/>
  <c r="AO349" i="1" a="1"/>
  <c r="AO349" i="1" s="1"/>
  <c r="AN353" i="1"/>
  <c r="AO353" i="1" a="1"/>
  <c r="AO353" i="1" s="1"/>
  <c r="AN357" i="1"/>
  <c r="AO357" i="1" a="1"/>
  <c r="AO357" i="1" s="1"/>
  <c r="AN361" i="1"/>
  <c r="AO361" i="1" a="1"/>
  <c r="AO361" i="1" s="1"/>
  <c r="AN365" i="1"/>
  <c r="AO365" i="1" a="1"/>
  <c r="AO365" i="1" s="1"/>
  <c r="AN369" i="1"/>
  <c r="AO369" i="1" a="1"/>
  <c r="AO369" i="1" s="1"/>
  <c r="AN373" i="1"/>
  <c r="AO373" i="1" a="1"/>
  <c r="AO373" i="1" s="1"/>
  <c r="AN377" i="1"/>
  <c r="AO377" i="1" a="1"/>
  <c r="AO377" i="1" s="1"/>
  <c r="AN381" i="1"/>
  <c r="AO381" i="1" a="1"/>
  <c r="AO381" i="1" s="1"/>
  <c r="AN385" i="1"/>
  <c r="AO385" i="1" a="1"/>
  <c r="AO385" i="1" s="1"/>
  <c r="AN389" i="1"/>
  <c r="AO389" i="1" a="1"/>
  <c r="AO389" i="1" s="1"/>
  <c r="AN393" i="1"/>
  <c r="AO393" i="1" a="1"/>
  <c r="AO393" i="1" s="1"/>
  <c r="AN397" i="1"/>
  <c r="AO397" i="1" a="1"/>
  <c r="AO397" i="1" s="1"/>
  <c r="AN401" i="1"/>
  <c r="AN402" i="1"/>
  <c r="AO401" i="1" a="1"/>
  <c r="AO401" i="1" s="1"/>
  <c r="AO402" i="1" a="1"/>
  <c r="AO402" i="1" s="1"/>
  <c r="AK401" i="1"/>
  <c r="AK397" i="1"/>
  <c r="AK393" i="1"/>
  <c r="AK389" i="1"/>
  <c r="AK385" i="1"/>
  <c r="AK381" i="1"/>
  <c r="AK377" i="1"/>
  <c r="AK373" i="1"/>
  <c r="AK369" i="1"/>
  <c r="AK365" i="1"/>
  <c r="AK361" i="1"/>
  <c r="AK357" i="1"/>
  <c r="AK353" i="1"/>
  <c r="AK349" i="1"/>
  <c r="AK345" i="1"/>
  <c r="AK341" i="1"/>
  <c r="AK337" i="1"/>
  <c r="AK333" i="1"/>
  <c r="AK329" i="1"/>
  <c r="AK325" i="1"/>
  <c r="AK321" i="1"/>
  <c r="AK317" i="1"/>
  <c r="AK313" i="1"/>
  <c r="AK309" i="1"/>
  <c r="AK305" i="1"/>
  <c r="AK301" i="1"/>
  <c r="AK297" i="1"/>
  <c r="AK293" i="1"/>
  <c r="AK289" i="1"/>
  <c r="AK285" i="1"/>
  <c r="AK281" i="1"/>
  <c r="AK277" i="1"/>
  <c r="AK273" i="1"/>
  <c r="AK269" i="1"/>
  <c r="AK265" i="1"/>
  <c r="AK261" i="1"/>
  <c r="AK257" i="1"/>
  <c r="AK253" i="1"/>
  <c r="AK249" i="1"/>
  <c r="AK245" i="1"/>
  <c r="AK241" i="1"/>
  <c r="AK237" i="1"/>
  <c r="AK233" i="1"/>
  <c r="AK229" i="1"/>
  <c r="AK225" i="1"/>
  <c r="AK221" i="1"/>
  <c r="AK217" i="1"/>
  <c r="AK213" i="1"/>
  <c r="AK209" i="1"/>
  <c r="AK205" i="1"/>
  <c r="AK201" i="1"/>
  <c r="AK197" i="1"/>
  <c r="AK181" i="1"/>
  <c r="AK165" i="1"/>
  <c r="AK149" i="1"/>
  <c r="AK133" i="1"/>
  <c r="AK117" i="1"/>
  <c r="AK101" i="1"/>
  <c r="AL104" i="1" s="1"/>
  <c r="AK85" i="1"/>
  <c r="AL90" i="1" s="1"/>
  <c r="AK69" i="1"/>
  <c r="AK53" i="1"/>
  <c r="AK37" i="1"/>
  <c r="AK21" i="1"/>
  <c r="AM402" i="1"/>
  <c r="AQ401" i="1"/>
  <c r="AM400" i="1"/>
  <c r="AQ397" i="1"/>
  <c r="AM396" i="1"/>
  <c r="AQ393" i="1"/>
  <c r="AM392" i="1"/>
  <c r="AR392" i="1" s="1"/>
  <c r="AS392" i="1" s="1"/>
  <c r="AQ389" i="1"/>
  <c r="AM388" i="1"/>
  <c r="AR388" i="1" s="1"/>
  <c r="AS388" i="1" s="1"/>
  <c r="AQ385" i="1"/>
  <c r="AM384" i="1"/>
  <c r="AR384" i="1" s="1"/>
  <c r="AS384" i="1" s="1"/>
  <c r="AQ381" i="1"/>
  <c r="AM380" i="1"/>
  <c r="AQ377" i="1"/>
  <c r="AM376" i="1"/>
  <c r="AR376" i="1" s="1"/>
  <c r="AS376" i="1" s="1"/>
  <c r="AQ373" i="1"/>
  <c r="AM372" i="1"/>
  <c r="AQ369" i="1"/>
  <c r="AM368" i="1"/>
  <c r="AR368" i="1" s="1"/>
  <c r="AS368" i="1" s="1"/>
  <c r="AQ365" i="1"/>
  <c r="AM364" i="1"/>
  <c r="AR364" i="1" s="1"/>
  <c r="AS364" i="1" s="1"/>
  <c r="AQ361" i="1"/>
  <c r="AM360" i="1"/>
  <c r="AR360" i="1" s="1"/>
  <c r="AS360" i="1" s="1"/>
  <c r="AQ357" i="1"/>
  <c r="AM356" i="1"/>
  <c r="AR356" i="1" s="1"/>
  <c r="AS356" i="1" s="1"/>
  <c r="AQ353" i="1"/>
  <c r="AM352" i="1"/>
  <c r="AR352" i="1" s="1"/>
  <c r="AS352" i="1" s="1"/>
  <c r="AQ349" i="1"/>
  <c r="AM348" i="1"/>
  <c r="AR348" i="1" s="1"/>
  <c r="AS348" i="1" s="1"/>
  <c r="AQ345" i="1"/>
  <c r="AM344" i="1"/>
  <c r="AQ341" i="1"/>
  <c r="AM340" i="1"/>
  <c r="AQ337" i="1"/>
  <c r="AM336" i="1"/>
  <c r="AQ333" i="1"/>
  <c r="AM332" i="1"/>
  <c r="AQ329" i="1"/>
  <c r="AM328" i="1"/>
  <c r="AQ325" i="1"/>
  <c r="AM324" i="1"/>
  <c r="AR324" i="1" s="1"/>
  <c r="AS324" i="1" s="1"/>
  <c r="AQ321" i="1"/>
  <c r="AM320" i="1"/>
  <c r="AR320" i="1" s="1"/>
  <c r="AS320" i="1" s="1"/>
  <c r="AQ317" i="1"/>
  <c r="AM316" i="1"/>
  <c r="AR316" i="1" s="1"/>
  <c r="AS316" i="1" s="1"/>
  <c r="AQ313" i="1"/>
  <c r="AM312" i="1"/>
  <c r="AQ309" i="1"/>
  <c r="AM308" i="1"/>
  <c r="AQ305" i="1"/>
  <c r="AM304" i="1"/>
  <c r="AR304" i="1" s="1"/>
  <c r="AS304" i="1" s="1"/>
  <c r="AQ301" i="1"/>
  <c r="AM300" i="1"/>
  <c r="AR300" i="1" s="1"/>
  <c r="AS300" i="1" s="1"/>
  <c r="AQ297" i="1"/>
  <c r="AM296" i="1"/>
  <c r="AR296" i="1" s="1"/>
  <c r="AS296" i="1" s="1"/>
  <c r="AQ293" i="1"/>
  <c r="AM292" i="1"/>
  <c r="AR292" i="1" s="1"/>
  <c r="AS292" i="1" s="1"/>
  <c r="AQ289" i="1"/>
  <c r="AM288" i="1"/>
  <c r="AR288" i="1" s="1"/>
  <c r="AS288" i="1" s="1"/>
  <c r="AQ285" i="1"/>
  <c r="AM284" i="1"/>
  <c r="AR284" i="1" s="1"/>
  <c r="AS284" i="1" s="1"/>
  <c r="AQ281" i="1"/>
  <c r="AM280" i="1"/>
  <c r="AQ277" i="1"/>
  <c r="AM276" i="1"/>
  <c r="AQ273" i="1"/>
  <c r="AM272" i="1"/>
  <c r="AQ269" i="1"/>
  <c r="AM268" i="1"/>
  <c r="AR268" i="1" s="1"/>
  <c r="AS268" i="1" s="1"/>
  <c r="AQ265" i="1"/>
  <c r="AM264" i="1"/>
  <c r="AQ261" i="1"/>
  <c r="AM220" i="1"/>
  <c r="AQ217" i="1"/>
  <c r="AM216" i="1"/>
  <c r="AR216" i="1" s="1"/>
  <c r="AS216" i="1" s="1"/>
  <c r="AQ213" i="1"/>
  <c r="AN212" i="1"/>
  <c r="AQ210" i="1"/>
  <c r="AO204" i="1" a="1"/>
  <c r="AO204" i="1" s="1"/>
  <c r="AO201" i="1" a="1"/>
  <c r="AO201" i="1" s="1"/>
  <c r="AO200" i="1" a="1"/>
  <c r="AO200" i="1" s="1"/>
  <c r="AO197" i="1" a="1"/>
  <c r="AO197" i="1" s="1"/>
  <c r="AL153" i="1"/>
  <c r="AP152" i="1" a="1"/>
  <c r="AP152" i="1" s="1"/>
  <c r="AR152" i="1" s="1"/>
  <c r="AS152" i="1" s="1"/>
  <c r="AN133" i="1"/>
  <c r="AP121" i="1" a="1"/>
  <c r="AP121" i="1" s="1"/>
  <c r="AQ117" i="1"/>
  <c r="AP116" i="1" a="1"/>
  <c r="AP116" i="1" s="1"/>
  <c r="AQ113" i="1"/>
  <c r="AL101" i="1"/>
  <c r="AL100" i="1"/>
  <c r="AR545" i="1"/>
  <c r="AS545" i="1" s="1"/>
  <c r="AR543" i="1"/>
  <c r="AS543" i="1" s="1"/>
  <c r="AR541" i="1"/>
  <c r="AS541" i="1" s="1"/>
  <c r="AR540" i="1"/>
  <c r="AS540" i="1" s="1"/>
  <c r="AR515" i="1"/>
  <c r="AS515" i="1" s="1"/>
  <c r="AR513" i="1"/>
  <c r="AS513" i="1" s="1"/>
  <c r="AR511" i="1"/>
  <c r="AS511" i="1" s="1"/>
  <c r="AR509" i="1"/>
  <c r="AS509" i="1" s="1"/>
  <c r="AR508" i="1"/>
  <c r="AS508" i="1" s="1"/>
  <c r="AR465" i="1"/>
  <c r="AS465" i="1" s="1"/>
  <c r="AR551" i="1"/>
  <c r="AS551" i="1" s="1"/>
  <c r="AR549" i="1"/>
  <c r="AS549" i="1" s="1"/>
  <c r="AR538" i="1"/>
  <c r="AS538" i="1" s="1"/>
  <c r="AR506" i="1"/>
  <c r="AS506" i="1" s="1"/>
  <c r="AR481" i="1"/>
  <c r="AS481" i="1" s="1"/>
  <c r="AR461" i="1"/>
  <c r="AS461" i="1" s="1"/>
  <c r="AN112" i="1"/>
  <c r="AN65" i="1"/>
  <c r="AN129" i="1"/>
  <c r="AM22" i="1"/>
  <c r="AN148" i="1"/>
  <c r="AN124" i="1"/>
  <c r="AN143" i="1"/>
  <c r="AN139" i="1"/>
  <c r="AN118" i="1"/>
  <c r="AN77" i="1"/>
  <c r="AN42" i="1"/>
  <c r="AM30" i="1"/>
  <c r="AN71" i="1"/>
  <c r="AM50" i="1"/>
  <c r="AN84" i="1"/>
  <c r="AM42" i="1"/>
  <c r="AR552" i="1"/>
  <c r="AS552" i="1" s="1"/>
  <c r="AR516" i="1"/>
  <c r="AS516" i="1" s="1"/>
  <c r="AR503" i="1"/>
  <c r="AS503" i="1" s="1"/>
  <c r="AR532" i="1"/>
  <c r="AS532" i="1" s="1"/>
  <c r="AR519" i="1"/>
  <c r="AS519" i="1" s="1"/>
  <c r="AR517" i="1"/>
  <c r="AS517" i="1" s="1"/>
  <c r="AR500" i="1"/>
  <c r="AS500" i="1" s="1"/>
  <c r="AR485" i="1"/>
  <c r="AS485" i="1" s="1"/>
  <c r="AR468" i="1"/>
  <c r="AS468" i="1" s="1"/>
  <c r="AR130" i="1"/>
  <c r="AS130" i="1" s="1"/>
  <c r="AR126" i="1"/>
  <c r="AS126" i="1" s="1"/>
  <c r="AR550" i="1"/>
  <c r="AS550" i="1" s="1"/>
  <c r="AR546" i="1"/>
  <c r="AS546" i="1" s="1"/>
  <c r="AR530" i="1"/>
  <c r="AS530" i="1" s="1"/>
  <c r="AR514" i="1"/>
  <c r="AS514" i="1" s="1"/>
  <c r="AR498" i="1"/>
  <c r="AS498" i="1" s="1"/>
  <c r="AR482" i="1"/>
  <c r="AS482" i="1" s="1"/>
  <c r="AR466" i="1"/>
  <c r="AS466" i="1" s="1"/>
  <c r="AR211" i="1"/>
  <c r="AS211" i="1" s="1"/>
  <c r="AR144" i="1"/>
  <c r="AS144" i="1" s="1"/>
  <c r="AR108" i="1"/>
  <c r="AS108" i="1" s="1"/>
  <c r="AR68" i="1"/>
  <c r="AS68" i="1" s="1"/>
  <c r="AR535" i="1"/>
  <c r="AS535" i="1" s="1"/>
  <c r="AR533" i="1"/>
  <c r="AS533" i="1" s="1"/>
  <c r="AR501" i="1"/>
  <c r="AS501" i="1" s="1"/>
  <c r="AR487" i="1"/>
  <c r="AS487" i="1" s="1"/>
  <c r="AR484" i="1"/>
  <c r="AS484" i="1" s="1"/>
  <c r="AR471" i="1"/>
  <c r="AS471" i="1" s="1"/>
  <c r="AR469" i="1"/>
  <c r="AS469" i="1" s="1"/>
  <c r="AR195" i="1"/>
  <c r="AS195" i="1" s="1"/>
  <c r="AR83" i="1"/>
  <c r="AS83" i="1" s="1"/>
  <c r="AR479" i="1"/>
  <c r="AS479" i="1" s="1"/>
  <c r="AR477" i="1"/>
  <c r="AS477" i="1" s="1"/>
  <c r="AR476" i="1"/>
  <c r="AS476" i="1" s="1"/>
  <c r="AR463" i="1"/>
  <c r="AS463" i="1" s="1"/>
  <c r="AR227" i="1"/>
  <c r="AS227" i="1" s="1"/>
  <c r="AR184" i="1"/>
  <c r="AS184" i="1" s="1"/>
  <c r="AR140" i="1"/>
  <c r="AS140" i="1" s="1"/>
  <c r="AR120" i="1"/>
  <c r="AS120" i="1" s="1"/>
  <c r="AR100" i="1"/>
  <c r="AS100" i="1" s="1"/>
  <c r="AR78" i="1"/>
  <c r="AS78" i="1" s="1"/>
  <c r="BH17" i="1"/>
  <c r="BH21" i="1"/>
  <c r="BH25" i="1"/>
  <c r="BH29" i="1"/>
  <c r="BH33" i="1"/>
  <c r="BH18" i="1"/>
  <c r="BH22" i="1"/>
  <c r="BH26" i="1"/>
  <c r="BH30" i="1"/>
  <c r="BH34" i="1"/>
  <c r="BD36" i="1"/>
  <c r="BE36" i="1" s="1"/>
  <c r="BF36" i="1" s="1"/>
  <c r="BH19" i="1"/>
  <c r="BH23" i="1"/>
  <c r="BH27" i="1"/>
  <c r="BH31" i="1"/>
  <c r="BH35" i="1"/>
  <c r="BH16" i="1"/>
  <c r="BH20" i="1"/>
  <c r="BH24" i="1"/>
  <c r="BH28" i="1"/>
  <c r="BH32" i="1"/>
  <c r="AR544" i="1"/>
  <c r="AS544" i="1" s="1"/>
  <c r="AR528" i="1"/>
  <c r="AS528" i="1" s="1"/>
  <c r="AR496" i="1"/>
  <c r="AS496" i="1" s="1"/>
  <c r="AR488" i="1"/>
  <c r="AS488" i="1" s="1"/>
  <c r="AR480" i="1"/>
  <c r="AS480" i="1" s="1"/>
  <c r="AR472" i="1"/>
  <c r="AS472" i="1" s="1"/>
  <c r="AR464" i="1"/>
  <c r="AS464" i="1" s="1"/>
  <c r="AR207" i="1"/>
  <c r="AS207" i="1" s="1"/>
  <c r="AR62" i="1"/>
  <c r="AS62" i="1" s="1"/>
  <c r="AR542" i="1"/>
  <c r="AS542" i="1" s="1"/>
  <c r="AR534" i="1"/>
  <c r="AS534" i="1" s="1"/>
  <c r="AR526" i="1"/>
  <c r="AS526" i="1" s="1"/>
  <c r="AR518" i="1"/>
  <c r="AS518" i="1" s="1"/>
  <c r="AR510" i="1"/>
  <c r="AS510" i="1" s="1"/>
  <c r="AR502" i="1"/>
  <c r="AS502" i="1" s="1"/>
  <c r="AR494" i="1"/>
  <c r="AS494" i="1" s="1"/>
  <c r="AR486" i="1"/>
  <c r="AS486" i="1" s="1"/>
  <c r="AR478" i="1"/>
  <c r="AS478" i="1" s="1"/>
  <c r="AR470" i="1"/>
  <c r="AS470" i="1" s="1"/>
  <c r="AR219" i="1"/>
  <c r="AS219" i="1" s="1"/>
  <c r="AR203" i="1"/>
  <c r="AS203" i="1" s="1"/>
  <c r="AR171" i="1"/>
  <c r="AS171" i="1" s="1"/>
  <c r="AR138" i="1"/>
  <c r="AS138" i="1" s="1"/>
  <c r="AR109" i="1"/>
  <c r="AS109" i="1" s="1"/>
  <c r="AR79" i="1"/>
  <c r="AS79" i="1" s="1"/>
  <c r="AR548" i="1"/>
  <c r="AS548" i="1" s="1"/>
  <c r="AR536" i="1"/>
  <c r="AS536" i="1" s="1"/>
  <c r="AR520" i="1"/>
  <c r="AS520" i="1" s="1"/>
  <c r="AR512" i="1"/>
  <c r="AS512" i="1" s="1"/>
  <c r="AR504" i="1"/>
  <c r="AS504" i="1" s="1"/>
  <c r="AR223" i="1"/>
  <c r="AS223" i="1" s="1"/>
  <c r="AR94" i="1"/>
  <c r="AS94" i="1" s="1"/>
  <c r="AR81" i="1"/>
  <c r="AS81" i="1" s="1"/>
  <c r="AN547" i="1"/>
  <c r="AR183" i="1"/>
  <c r="AS183" i="1" s="1"/>
  <c r="AR167" i="1"/>
  <c r="AS167" i="1" s="1"/>
  <c r="AR76" i="1"/>
  <c r="AS76" i="1" s="1"/>
  <c r="AR67" i="1"/>
  <c r="AS67" i="1" s="1"/>
  <c r="AR53" i="1"/>
  <c r="AS53" i="1" s="1"/>
  <c r="AR459" i="1"/>
  <c r="AS459" i="1" s="1"/>
  <c r="AO22" i="1" a="1"/>
  <c r="AO22" i="1" s="1"/>
  <c r="AO19" i="1" a="1"/>
  <c r="AO19" i="1" s="1"/>
  <c r="AN14" i="1"/>
  <c r="AR275" i="1"/>
  <c r="AS275" i="1" s="1"/>
  <c r="AR298" i="1"/>
  <c r="AS298" i="1" s="1"/>
  <c r="AR297" i="1"/>
  <c r="AS297" i="1" s="1"/>
  <c r="AR295" i="1"/>
  <c r="AS295" i="1" s="1"/>
  <c r="AR252" i="1"/>
  <c r="AS252" i="1" s="1"/>
  <c r="AR246" i="1"/>
  <c r="AS246" i="1" s="1"/>
  <c r="AR210" i="1"/>
  <c r="AS210" i="1" s="1"/>
  <c r="AR194" i="1"/>
  <c r="AS194" i="1" s="1"/>
  <c r="AR186" i="1"/>
  <c r="AS186" i="1" s="1"/>
  <c r="AR185" i="1"/>
  <c r="AS185" i="1" s="1"/>
  <c r="AR178" i="1"/>
  <c r="AS178" i="1" s="1"/>
  <c r="AR154" i="1"/>
  <c r="AS154" i="1" s="1"/>
  <c r="AR64" i="1"/>
  <c r="AS64" i="1" s="1"/>
  <c r="AR395" i="1"/>
  <c r="AS395" i="1" s="1"/>
  <c r="AR374" i="1"/>
  <c r="AS374" i="1" s="1"/>
  <c r="AR371" i="1"/>
  <c r="AS371" i="1" s="1"/>
  <c r="AR365" i="1"/>
  <c r="AS365" i="1" s="1"/>
  <c r="AR282" i="1"/>
  <c r="AS282" i="1" s="1"/>
  <c r="AR49" i="1"/>
  <c r="AS49" i="1" s="1"/>
  <c r="AR47" i="1"/>
  <c r="AS47" i="1" s="1"/>
  <c r="AR431" i="1"/>
  <c r="AS431" i="1" s="1"/>
  <c r="AR429" i="1"/>
  <c r="AS429" i="1" s="1"/>
  <c r="AR427" i="1"/>
  <c r="AS427" i="1" s="1"/>
  <c r="AR426" i="1"/>
  <c r="AS426" i="1" s="1"/>
  <c r="AR303" i="1"/>
  <c r="AS303" i="1" s="1"/>
  <c r="AR302" i="1"/>
  <c r="AS302" i="1" s="1"/>
  <c r="AR301" i="1"/>
  <c r="AS301" i="1" s="1"/>
  <c r="AR286" i="1"/>
  <c r="AS286" i="1" s="1"/>
  <c r="AR283" i="1"/>
  <c r="AS283" i="1" s="1"/>
  <c r="AR262" i="1"/>
  <c r="AS262" i="1" s="1"/>
  <c r="AR451" i="1"/>
  <c r="AS451" i="1" s="1"/>
  <c r="AR290" i="1"/>
  <c r="AS290" i="1" s="1"/>
  <c r="AR238" i="1"/>
  <c r="AS238" i="1" s="1"/>
  <c r="AR54" i="1"/>
  <c r="AS54" i="1" s="1"/>
  <c r="AM17" i="1"/>
  <c r="AR446" i="1"/>
  <c r="AS446" i="1" s="1"/>
  <c r="AR443" i="1"/>
  <c r="AS443" i="1" s="1"/>
  <c r="AR441" i="1"/>
  <c r="AS441" i="1" s="1"/>
  <c r="AR439" i="1"/>
  <c r="AS439" i="1" s="1"/>
  <c r="AR437" i="1"/>
  <c r="AS437" i="1" s="1"/>
  <c r="AR435" i="1"/>
  <c r="AS435" i="1" s="1"/>
  <c r="AR433" i="1"/>
  <c r="AS433" i="1" s="1"/>
  <c r="AR361" i="1"/>
  <c r="AS361" i="1" s="1"/>
  <c r="AR359" i="1"/>
  <c r="AS359" i="1" s="1"/>
  <c r="AR355" i="1"/>
  <c r="AS355" i="1" s="1"/>
  <c r="AR354" i="1"/>
  <c r="AS354" i="1" s="1"/>
  <c r="AR353" i="1"/>
  <c r="AS353" i="1" s="1"/>
  <c r="AR347" i="1"/>
  <c r="AS347" i="1" s="1"/>
  <c r="AR344" i="1"/>
  <c r="AS344" i="1" s="1"/>
  <c r="AR342" i="1"/>
  <c r="AS342" i="1" s="1"/>
  <c r="AR323" i="1"/>
  <c r="AS323" i="1" s="1"/>
  <c r="AR278" i="1"/>
  <c r="AS278" i="1" s="1"/>
  <c r="AR277" i="1"/>
  <c r="AS277" i="1" s="1"/>
  <c r="AR265" i="1"/>
  <c r="AS265" i="1" s="1"/>
  <c r="AR263" i="1"/>
  <c r="AS263" i="1" s="1"/>
  <c r="AR247" i="1"/>
  <c r="AS247" i="1" s="1"/>
  <c r="AR234" i="1"/>
  <c r="AS234" i="1" s="1"/>
  <c r="AR231" i="1"/>
  <c r="AS231" i="1" s="1"/>
  <c r="AR105" i="1"/>
  <c r="AS105" i="1" s="1"/>
  <c r="AR103" i="1"/>
  <c r="AS103" i="1" s="1"/>
  <c r="AR102" i="1"/>
  <c r="AS102" i="1" s="1"/>
  <c r="AR52" i="1"/>
  <c r="AS52" i="1" s="1"/>
  <c r="AR36" i="1"/>
  <c r="AS36" i="1" s="1"/>
  <c r="AR34" i="1"/>
  <c r="AS34" i="1" s="1"/>
  <c r="AR29" i="1"/>
  <c r="AS29" i="1" s="1"/>
  <c r="AR28" i="1"/>
  <c r="AS28" i="1" s="1"/>
  <c r="AR27" i="1"/>
  <c r="AS27" i="1" s="1"/>
  <c r="AR457" i="1"/>
  <c r="AS457" i="1" s="1"/>
  <c r="AR455" i="1"/>
  <c r="AS455" i="1" s="1"/>
  <c r="AR389" i="1"/>
  <c r="AS389" i="1" s="1"/>
  <c r="AR387" i="1"/>
  <c r="AS387" i="1" s="1"/>
  <c r="AR385" i="1"/>
  <c r="AS385" i="1" s="1"/>
  <c r="AR381" i="1"/>
  <c r="AS381" i="1" s="1"/>
  <c r="AR314" i="1"/>
  <c r="AS314" i="1" s="1"/>
  <c r="AR313" i="1"/>
  <c r="AS313" i="1" s="1"/>
  <c r="AR293" i="1"/>
  <c r="AS293" i="1" s="1"/>
  <c r="AR257" i="1"/>
  <c r="AS257" i="1" s="1"/>
  <c r="AR256" i="1"/>
  <c r="AS256" i="1" s="1"/>
  <c r="AR255" i="1"/>
  <c r="AS255" i="1" s="1"/>
  <c r="AR241" i="1"/>
  <c r="AS241" i="1" s="1"/>
  <c r="AR239" i="1"/>
  <c r="AS239" i="1" s="1"/>
  <c r="BM13" i="1"/>
  <c r="BM14" i="1"/>
  <c r="BN14" i="1" s="1"/>
  <c r="BO14" i="1" s="1"/>
  <c r="BM15" i="1"/>
  <c r="BN15" i="1" s="1"/>
  <c r="BO15" i="1" s="1"/>
  <c r="BM16" i="1"/>
  <c r="BN16" i="1" s="1"/>
  <c r="BO16" i="1" s="1"/>
  <c r="BM17" i="1"/>
  <c r="BN17" i="1" s="1"/>
  <c r="BO17" i="1" s="1"/>
  <c r="BM18" i="1"/>
  <c r="BN18" i="1" s="1"/>
  <c r="BO18" i="1" s="1"/>
  <c r="BM19" i="1"/>
  <c r="BN19" i="1" s="1"/>
  <c r="BO19" i="1" s="1"/>
  <c r="BM20" i="1"/>
  <c r="BN20" i="1" s="1"/>
  <c r="BO20" i="1" s="1"/>
  <c r="BM21" i="1"/>
  <c r="BN21" i="1" s="1"/>
  <c r="BO21" i="1" s="1"/>
  <c r="BM22" i="1"/>
  <c r="BN22" i="1" s="1"/>
  <c r="BO22" i="1" s="1"/>
  <c r="BM23" i="1"/>
  <c r="BN23" i="1" s="1"/>
  <c r="BO23" i="1" s="1"/>
  <c r="BM24" i="1"/>
  <c r="BN24" i="1" s="1"/>
  <c r="BO24" i="1" s="1"/>
  <c r="BM25" i="1"/>
  <c r="BN25" i="1" s="1"/>
  <c r="BO25" i="1" s="1"/>
  <c r="BM26" i="1"/>
  <c r="BN26" i="1" s="1"/>
  <c r="BO26" i="1" s="1"/>
  <c r="BM27" i="1"/>
  <c r="BN27" i="1" s="1"/>
  <c r="BO27" i="1" s="1"/>
  <c r="BM28" i="1"/>
  <c r="BN28" i="1" s="1"/>
  <c r="BO28" i="1" s="1"/>
  <c r="BM29" i="1"/>
  <c r="BN29" i="1" s="1"/>
  <c r="BO29" i="1" s="1"/>
  <c r="BM30" i="1"/>
  <c r="BN30" i="1" s="1"/>
  <c r="BO30" i="1" s="1"/>
  <c r="BM31" i="1"/>
  <c r="BN31" i="1" s="1"/>
  <c r="BO31" i="1" s="1"/>
  <c r="BM32" i="1"/>
  <c r="BN32" i="1" s="1"/>
  <c r="BO32" i="1" s="1"/>
  <c r="BM33" i="1"/>
  <c r="BN33" i="1" s="1"/>
  <c r="BO33" i="1" s="1"/>
  <c r="BM34" i="1"/>
  <c r="BN34" i="1" s="1"/>
  <c r="BO34" i="1" s="1"/>
  <c r="BM35" i="1"/>
  <c r="BN35" i="1" s="1"/>
  <c r="BO35" i="1" s="1"/>
  <c r="BD13" i="1"/>
  <c r="BD14" i="1"/>
  <c r="BD15" i="1"/>
  <c r="BD16" i="1"/>
  <c r="BD17" i="1"/>
  <c r="BE17" i="1" s="1"/>
  <c r="BF17" i="1" s="1"/>
  <c r="BD18" i="1"/>
  <c r="BE18" i="1" s="1"/>
  <c r="BF18" i="1" s="1"/>
  <c r="BD19" i="1"/>
  <c r="BE19" i="1" s="1"/>
  <c r="BF19" i="1" s="1"/>
  <c r="BD20" i="1"/>
  <c r="BE20" i="1" s="1"/>
  <c r="BF20" i="1" s="1"/>
  <c r="BD21" i="1"/>
  <c r="BE21" i="1" s="1"/>
  <c r="BF21" i="1" s="1"/>
  <c r="BD22" i="1"/>
  <c r="BE22" i="1" s="1"/>
  <c r="BF22" i="1" s="1"/>
  <c r="BD23" i="1"/>
  <c r="BE23" i="1" s="1"/>
  <c r="BF23" i="1" s="1"/>
  <c r="BD24" i="1"/>
  <c r="BE24" i="1" s="1"/>
  <c r="BF24" i="1" s="1"/>
  <c r="BD25" i="1"/>
  <c r="BE25" i="1" s="1"/>
  <c r="BF25" i="1" s="1"/>
  <c r="BD26" i="1"/>
  <c r="BE26" i="1" s="1"/>
  <c r="BF26" i="1" s="1"/>
  <c r="BD27" i="1"/>
  <c r="BE27" i="1" s="1"/>
  <c r="BF27" i="1" s="1"/>
  <c r="BD28" i="1"/>
  <c r="BE28" i="1" s="1"/>
  <c r="BF28" i="1" s="1"/>
  <c r="BD29" i="1"/>
  <c r="BE29" i="1" s="1"/>
  <c r="BF29" i="1" s="1"/>
  <c r="BD30" i="1"/>
  <c r="BE30" i="1" s="1"/>
  <c r="BF30" i="1" s="1"/>
  <c r="BD31" i="1"/>
  <c r="BE31" i="1" s="1"/>
  <c r="BF31" i="1" s="1"/>
  <c r="BD32" i="1"/>
  <c r="BE32" i="1" s="1"/>
  <c r="BF32" i="1" s="1"/>
  <c r="BD33" i="1"/>
  <c r="BE33" i="1" s="1"/>
  <c r="BF33" i="1" s="1"/>
  <c r="BD34" i="1"/>
  <c r="BE34" i="1" s="1"/>
  <c r="BF34" i="1" s="1"/>
  <c r="BD35" i="1"/>
  <c r="BE35" i="1" s="1"/>
  <c r="BF35" i="1" s="1"/>
  <c r="AR447" i="1"/>
  <c r="AS447" i="1" s="1"/>
  <c r="AR393" i="1"/>
  <c r="AS393" i="1" s="1"/>
  <c r="AR377" i="1"/>
  <c r="AS377" i="1" s="1"/>
  <c r="AR375" i="1"/>
  <c r="AS375" i="1" s="1"/>
  <c r="AR363" i="1"/>
  <c r="AS363" i="1" s="1"/>
  <c r="AR269" i="1"/>
  <c r="AS269" i="1" s="1"/>
  <c r="AR261" i="1"/>
  <c r="AS261" i="1" s="1"/>
  <c r="AR245" i="1"/>
  <c r="AS245" i="1" s="1"/>
  <c r="AR214" i="1"/>
  <c r="AS214" i="1" s="1"/>
  <c r="AR182" i="1"/>
  <c r="AS182" i="1" s="1"/>
  <c r="AR150" i="1"/>
  <c r="AS150" i="1" s="1"/>
  <c r="AR56" i="1"/>
  <c r="AS56" i="1" s="1"/>
  <c r="AR38" i="1"/>
  <c r="AS38" i="1" s="1"/>
  <c r="AR321" i="1"/>
  <c r="AS321" i="1" s="1"/>
  <c r="AR267" i="1"/>
  <c r="AS267" i="1" s="1"/>
  <c r="AR259" i="1"/>
  <c r="AS259" i="1" s="1"/>
  <c r="AR251" i="1"/>
  <c r="AS251" i="1" s="1"/>
  <c r="AR243" i="1"/>
  <c r="AS243" i="1" s="1"/>
  <c r="AR312" i="1"/>
  <c r="AS312" i="1" s="1"/>
  <c r="AP139" i="1" a="1"/>
  <c r="AP139" i="1" s="1"/>
  <c r="AR139" i="1" s="1"/>
  <c r="AS139" i="1" s="1"/>
  <c r="BP33" i="1" s="1"/>
  <c r="AM19" i="1"/>
  <c r="AR453" i="1"/>
  <c r="AS453" i="1" s="1"/>
  <c r="AP134" i="1" a="1"/>
  <c r="AP134" i="1" s="1"/>
  <c r="AR134" i="1" s="1"/>
  <c r="AS134" i="1" s="1"/>
  <c r="BP32" i="1" s="1"/>
  <c r="AP17" i="1" a="1"/>
  <c r="AP17" i="1" s="1"/>
  <c r="AR17" i="1" s="1"/>
  <c r="AP58" i="1" a="1"/>
  <c r="AP58" i="1" s="1"/>
  <c r="AR58" i="1" s="1"/>
  <c r="AS58" i="1" s="1"/>
  <c r="BP20" i="1" s="1"/>
  <c r="AP96" i="1" a="1"/>
  <c r="AP96" i="1" s="1"/>
  <c r="AR96" i="1" s="1"/>
  <c r="AS96" i="1" s="1"/>
  <c r="BP26" i="1" s="1"/>
  <c r="AP118" i="1" a="1"/>
  <c r="AP118" i="1" s="1"/>
  <c r="AR118" i="1" s="1"/>
  <c r="AS118" i="1" s="1"/>
  <c r="BP29" i="1" s="1"/>
  <c r="AP129" i="1" a="1"/>
  <c r="AP129" i="1" s="1"/>
  <c r="AP19" i="1" a="1"/>
  <c r="AP19" i="1" s="1"/>
  <c r="AR19" i="1" s="1"/>
  <c r="AP84" i="1" a="1"/>
  <c r="AP84" i="1" s="1"/>
  <c r="AR84" i="1" s="1"/>
  <c r="AS84" i="1" s="1"/>
  <c r="BP24" i="1" s="1"/>
  <c r="AP90" i="1" a="1"/>
  <c r="AP90" i="1" s="1"/>
  <c r="AR90" i="1" s="1"/>
  <c r="AS90" i="1" s="1"/>
  <c r="BP25" i="1" s="1"/>
  <c r="AP104" i="1" a="1"/>
  <c r="AP104" i="1" s="1"/>
  <c r="AR104" i="1" s="1"/>
  <c r="AS104" i="1" s="1"/>
  <c r="BP27" i="1" s="1"/>
  <c r="AP124" i="1" a="1"/>
  <c r="AP124" i="1" s="1"/>
  <c r="AR124" i="1" s="1"/>
  <c r="AS124" i="1" s="1"/>
  <c r="BP30" i="1" s="1"/>
  <c r="AP148" i="1" a="1"/>
  <c r="AP148" i="1" s="1"/>
  <c r="AR148" i="1" s="1"/>
  <c r="AS148" i="1" s="1"/>
  <c r="BP36" i="1" s="1"/>
  <c r="AP22" i="1" a="1"/>
  <c r="AP22" i="1" s="1"/>
  <c r="AR22" i="1" s="1"/>
  <c r="AS22" i="1" s="1"/>
  <c r="BP16" i="1" s="1"/>
  <c r="AP65" i="1" a="1"/>
  <c r="AP65" i="1" s="1"/>
  <c r="AR65" i="1" s="1"/>
  <c r="AS65" i="1" s="1"/>
  <c r="BP21" i="1" s="1"/>
  <c r="AP143" i="1" a="1"/>
  <c r="AP143" i="1" s="1"/>
  <c r="AR143" i="1" s="1"/>
  <c r="AS143" i="1" s="1"/>
  <c r="BP34" i="1" s="1"/>
  <c r="AR281" i="1"/>
  <c r="AS281" i="1" s="1"/>
  <c r="AR244" i="1"/>
  <c r="AS244" i="1" s="1"/>
  <c r="AP112" i="1" a="1"/>
  <c r="AP112" i="1" s="1"/>
  <c r="AR112" i="1" s="1"/>
  <c r="AS112" i="1" s="1"/>
  <c r="BP28" i="1" s="1"/>
  <c r="AP77" i="1" a="1"/>
  <c r="AP77" i="1" s="1"/>
  <c r="AR77" i="1" s="1"/>
  <c r="AS77" i="1" s="1"/>
  <c r="BP23" i="1" s="1"/>
  <c r="AP30" i="1" a="1"/>
  <c r="AP30" i="1" s="1"/>
  <c r="AR30" i="1" s="1"/>
  <c r="AS30" i="1" s="1"/>
  <c r="BP17" i="1" s="1"/>
  <c r="AR449" i="1"/>
  <c r="AS449" i="1" s="1"/>
  <c r="AR445" i="1"/>
  <c r="AS445" i="1" s="1"/>
  <c r="AR373" i="1"/>
  <c r="AS373" i="1" s="1"/>
  <c r="AR299" i="1"/>
  <c r="AS299" i="1" s="1"/>
  <c r="AR89" i="1"/>
  <c r="AS89" i="1" s="1"/>
  <c r="AR424" i="1"/>
  <c r="AS424" i="1" s="1"/>
  <c r="AR423" i="1"/>
  <c r="AS423" i="1" s="1"/>
  <c r="AR422" i="1"/>
  <c r="AS422" i="1" s="1"/>
  <c r="AR421" i="1"/>
  <c r="AS421" i="1" s="1"/>
  <c r="AR420" i="1"/>
  <c r="AS420" i="1" s="1"/>
  <c r="AR419" i="1"/>
  <c r="AS419" i="1" s="1"/>
  <c r="AR418" i="1"/>
  <c r="AS418" i="1" s="1"/>
  <c r="AR417" i="1"/>
  <c r="AS417" i="1" s="1"/>
  <c r="AR416" i="1"/>
  <c r="AS416" i="1" s="1"/>
  <c r="AR415" i="1"/>
  <c r="AS415" i="1" s="1"/>
  <c r="AR414" i="1"/>
  <c r="AS414" i="1" s="1"/>
  <c r="AR413" i="1"/>
  <c r="AS413" i="1" s="1"/>
  <c r="AR412" i="1"/>
  <c r="AS412" i="1" s="1"/>
  <c r="AR411" i="1"/>
  <c r="AS411" i="1" s="1"/>
  <c r="AR410" i="1"/>
  <c r="AS410" i="1" s="1"/>
  <c r="AR409" i="1"/>
  <c r="AS409" i="1" s="1"/>
  <c r="AR408" i="1"/>
  <c r="AS408" i="1" s="1"/>
  <c r="AR407" i="1"/>
  <c r="AS407" i="1" s="1"/>
  <c r="AR406" i="1"/>
  <c r="AS406" i="1" s="1"/>
  <c r="AR405" i="1"/>
  <c r="AS405" i="1" s="1"/>
  <c r="AR404" i="1"/>
  <c r="AS404" i="1" s="1"/>
  <c r="AR403" i="1"/>
  <c r="AS403" i="1" s="1"/>
  <c r="AR402" i="1"/>
  <c r="AS402" i="1" s="1"/>
  <c r="AR401" i="1"/>
  <c r="AS401" i="1" s="1"/>
  <c r="AR400" i="1"/>
  <c r="AS400" i="1" s="1"/>
  <c r="AR399" i="1"/>
  <c r="AS399" i="1" s="1"/>
  <c r="AR398" i="1"/>
  <c r="AS398" i="1" s="1"/>
  <c r="AR397" i="1"/>
  <c r="AS397" i="1" s="1"/>
  <c r="AR396" i="1"/>
  <c r="AS396" i="1" s="1"/>
  <c r="AR222" i="1"/>
  <c r="AS222" i="1" s="1"/>
  <c r="AR206" i="1"/>
  <c r="AS206" i="1" s="1"/>
  <c r="AR190" i="1"/>
  <c r="AS190" i="1" s="1"/>
  <c r="AR174" i="1"/>
  <c r="AS174" i="1" s="1"/>
  <c r="AR158" i="1"/>
  <c r="AS158" i="1" s="1"/>
  <c r="AP146" i="1" a="1"/>
  <c r="AP146" i="1" s="1"/>
  <c r="AR146" i="1" s="1"/>
  <c r="AS146" i="1" s="1"/>
  <c r="BP35" i="1" s="1"/>
  <c r="AR99" i="1"/>
  <c r="AS99" i="1" s="1"/>
  <c r="AP71" i="1" a="1"/>
  <c r="AP71" i="1" s="1"/>
  <c r="AR71" i="1" s="1"/>
  <c r="AS71" i="1" s="1"/>
  <c r="BP22" i="1" s="1"/>
  <c r="AR276" i="1"/>
  <c r="AS276" i="1" s="1"/>
  <c r="AR272" i="1"/>
  <c r="AS272" i="1" s="1"/>
  <c r="AM547" i="1"/>
  <c r="AR221" i="1"/>
  <c r="AS221" i="1" s="1"/>
  <c r="AR205" i="1"/>
  <c r="AS205" i="1" s="1"/>
  <c r="AR189" i="1"/>
  <c r="AS189" i="1" s="1"/>
  <c r="AR173" i="1"/>
  <c r="AS173" i="1" s="1"/>
  <c r="AR157" i="1"/>
  <c r="AS157" i="1" s="1"/>
  <c r="AP50" i="1" a="1"/>
  <c r="AP50" i="1" s="1"/>
  <c r="AR50" i="1" s="1"/>
  <c r="AS50" i="1" s="1"/>
  <c r="BP19" i="1" s="1"/>
  <c r="AR46" i="1"/>
  <c r="AS46" i="1" s="1"/>
  <c r="AR40" i="1"/>
  <c r="AS40" i="1" s="1"/>
  <c r="AR32" i="1"/>
  <c r="AS32" i="1" s="1"/>
  <c r="AR31" i="1"/>
  <c r="AS31" i="1" s="1"/>
  <c r="AP42" i="1" a="1"/>
  <c r="AP42" i="1" s="1"/>
  <c r="AR42" i="1" s="1"/>
  <c r="AS42" i="1" s="1"/>
  <c r="BP18" i="1" s="1"/>
  <c r="AM14" i="1"/>
  <c r="AR341" i="1"/>
  <c r="AS341" i="1" s="1"/>
  <c r="AR340" i="1"/>
  <c r="AS340" i="1" s="1"/>
  <c r="AR339" i="1"/>
  <c r="AS339" i="1" s="1"/>
  <c r="AR338" i="1"/>
  <c r="AS338" i="1" s="1"/>
  <c r="AR337" i="1"/>
  <c r="AS337" i="1" s="1"/>
  <c r="AR336" i="1"/>
  <c r="AS336" i="1" s="1"/>
  <c r="AR335" i="1"/>
  <c r="AS335" i="1" s="1"/>
  <c r="AR334" i="1"/>
  <c r="AS334" i="1" s="1"/>
  <c r="AR333" i="1"/>
  <c r="AS333" i="1" s="1"/>
  <c r="AR332" i="1"/>
  <c r="AS332" i="1" s="1"/>
  <c r="AR331" i="1"/>
  <c r="AS331" i="1" s="1"/>
  <c r="AR330" i="1"/>
  <c r="AS330" i="1" s="1"/>
  <c r="AR329" i="1"/>
  <c r="AS329" i="1" s="1"/>
  <c r="AR328" i="1"/>
  <c r="AS328" i="1" s="1"/>
  <c r="AR327" i="1"/>
  <c r="AS327" i="1" s="1"/>
  <c r="AR326" i="1"/>
  <c r="AS326" i="1" s="1"/>
  <c r="AR325" i="1"/>
  <c r="AS325" i="1" s="1"/>
  <c r="AR311" i="1"/>
  <c r="AS311" i="1" s="1"/>
  <c r="AR310" i="1"/>
  <c r="AS310" i="1" s="1"/>
  <c r="AR309" i="1"/>
  <c r="AS309" i="1" s="1"/>
  <c r="AR308" i="1"/>
  <c r="AS308" i="1" s="1"/>
  <c r="AR307" i="1"/>
  <c r="AS307" i="1" s="1"/>
  <c r="AR306" i="1"/>
  <c r="AS306" i="1" s="1"/>
  <c r="AR274" i="1"/>
  <c r="AS274" i="1" s="1"/>
  <c r="AR270" i="1"/>
  <c r="AS270" i="1" s="1"/>
  <c r="AR229" i="1"/>
  <c r="AS229" i="1" s="1"/>
  <c r="AR213" i="1"/>
  <c r="AS213" i="1" s="1"/>
  <c r="AR197" i="1"/>
  <c r="AS197" i="1" s="1"/>
  <c r="AR181" i="1"/>
  <c r="AS181" i="1" s="1"/>
  <c r="AR165" i="1"/>
  <c r="AS165" i="1" s="1"/>
  <c r="AR149" i="1"/>
  <c r="AS149" i="1" s="1"/>
  <c r="AR44" i="1"/>
  <c r="AS44" i="1" s="1"/>
  <c r="AR21" i="1"/>
  <c r="AS21" i="1" s="1"/>
  <c r="AR20" i="1"/>
  <c r="AS20" i="1" s="1"/>
  <c r="AR452" i="1"/>
  <c r="AS452" i="1" s="1"/>
  <c r="AR448" i="1"/>
  <c r="AS448" i="1" s="1"/>
  <c r="AR444" i="1"/>
  <c r="AS444" i="1" s="1"/>
  <c r="AR442" i="1"/>
  <c r="AS442" i="1" s="1"/>
  <c r="AR430" i="1"/>
  <c r="AS430" i="1" s="1"/>
  <c r="AO547" i="1" a="1"/>
  <c r="AO547" i="1" s="1"/>
  <c r="AR458" i="1"/>
  <c r="AS458" i="1" s="1"/>
  <c r="AR456" i="1"/>
  <c r="AS456" i="1" s="1"/>
  <c r="AR450" i="1"/>
  <c r="AS450" i="1" s="1"/>
  <c r="AR440" i="1"/>
  <c r="AS440" i="1" s="1"/>
  <c r="AR432" i="1"/>
  <c r="AS432" i="1" s="1"/>
  <c r="AR428" i="1"/>
  <c r="AS428" i="1" s="1"/>
  <c r="AR425" i="1"/>
  <c r="AS425" i="1" s="1"/>
  <c r="AR454" i="1"/>
  <c r="AS454" i="1" s="1"/>
  <c r="AR438" i="1"/>
  <c r="AS438" i="1" s="1"/>
  <c r="AR436" i="1"/>
  <c r="AS436" i="1" s="1"/>
  <c r="AR434" i="1"/>
  <c r="AS434" i="1" s="1"/>
  <c r="AP547" i="1" a="1"/>
  <c r="AP547" i="1" s="1"/>
  <c r="AR547" i="1" s="1"/>
  <c r="AO148" i="1" a="1"/>
  <c r="AO148" i="1" s="1"/>
  <c r="AQ148" i="1" s="1"/>
  <c r="BQ36" i="1" s="1"/>
  <c r="AN146" i="1"/>
  <c r="AN96" i="1"/>
  <c r="AO58" i="1" a="1"/>
  <c r="AO58" i="1" s="1"/>
  <c r="AO65" i="1" a="1"/>
  <c r="AO65" i="1" s="1"/>
  <c r="AQ65" i="1" s="1"/>
  <c r="BQ21" i="1" s="1"/>
  <c r="AO71" i="1" a="1"/>
  <c r="AO71" i="1" s="1"/>
  <c r="AO77" i="1" a="1"/>
  <c r="AO77" i="1" s="1"/>
  <c r="AO84" i="1" a="1"/>
  <c r="AO84" i="1" s="1"/>
  <c r="AQ84" i="1" s="1"/>
  <c r="BQ24" i="1" s="1"/>
  <c r="AO30" i="1" a="1"/>
  <c r="AO30" i="1" s="1"/>
  <c r="AO42" i="1" a="1"/>
  <c r="AO42" i="1" s="1"/>
  <c r="AO50" i="1" a="1"/>
  <c r="AO50" i="1" s="1"/>
  <c r="AO90" i="1" a="1"/>
  <c r="AO90" i="1" s="1"/>
  <c r="AO104" i="1" a="1"/>
  <c r="AO104" i="1" s="1"/>
  <c r="AO96" i="1" a="1"/>
  <c r="AO96" i="1" s="1"/>
  <c r="AO112" i="1" a="1"/>
  <c r="AO112" i="1" s="1"/>
  <c r="AO118" i="1" a="1"/>
  <c r="AO118" i="1" s="1"/>
  <c r="AO124" i="1" a="1"/>
  <c r="AO124" i="1" s="1"/>
  <c r="AO129" i="1" a="1"/>
  <c r="AO129" i="1" s="1"/>
  <c r="AQ129" i="1" s="1"/>
  <c r="BQ31" i="1" s="1"/>
  <c r="AO134" i="1" a="1"/>
  <c r="AO134" i="1" s="1"/>
  <c r="AO139" i="1" a="1"/>
  <c r="AO139" i="1" s="1"/>
  <c r="AO143" i="1" a="1"/>
  <c r="AO143" i="1" s="1"/>
  <c r="AO146" i="1" a="1"/>
  <c r="AO146" i="1" s="1"/>
  <c r="AN90" i="1"/>
  <c r="AN104" i="1"/>
  <c r="AQ77" i="1"/>
  <c r="BQ23" i="1" s="1"/>
  <c r="AN58" i="1"/>
  <c r="AN50" i="1"/>
  <c r="AR33" i="1"/>
  <c r="AS33" i="1" s="1"/>
  <c r="AN19" i="1"/>
  <c r="AO17" i="1" a="1"/>
  <c r="AO17" i="1" s="1"/>
  <c r="AN22" i="1"/>
  <c r="AO14" i="1" a="1"/>
  <c r="AO14" i="1" s="1"/>
  <c r="AN30" i="1"/>
  <c r="AN17" i="1"/>
  <c r="AP14" i="1" a="1"/>
  <c r="AP14" i="1" s="1"/>
  <c r="AL13" i="1"/>
  <c r="AM13" i="1"/>
  <c r="AR13" i="1" s="1"/>
  <c r="AS13" i="1" s="1"/>
  <c r="AX13" i="1" s="1"/>
  <c r="AN13" i="1"/>
  <c r="K13" i="1"/>
  <c r="AR169" i="1" l="1"/>
  <c r="AS169" i="1" s="1"/>
  <c r="AR35" i="1"/>
  <c r="AS35" i="1" s="1"/>
  <c r="AR249" i="1"/>
  <c r="AS249" i="1" s="1"/>
  <c r="AR291" i="1"/>
  <c r="AS291" i="1" s="1"/>
  <c r="AR369" i="1"/>
  <c r="AS369" i="1" s="1"/>
  <c r="AR357" i="1"/>
  <c r="AS357" i="1" s="1"/>
  <c r="AR305" i="1"/>
  <c r="AS305" i="1" s="1"/>
  <c r="AR273" i="1"/>
  <c r="AS273" i="1" s="1"/>
  <c r="AR45" i="1"/>
  <c r="AS45" i="1" s="1"/>
  <c r="AR279" i="1"/>
  <c r="AS279" i="1" s="1"/>
  <c r="AR264" i="1"/>
  <c r="AS264" i="1" s="1"/>
  <c r="AR391" i="1"/>
  <c r="AS391" i="1" s="1"/>
  <c r="AR358" i="1"/>
  <c r="AS358" i="1" s="1"/>
  <c r="AR51" i="1"/>
  <c r="AS51" i="1" s="1"/>
  <c r="AR23" i="1"/>
  <c r="AS23" i="1" s="1"/>
  <c r="AR372" i="1"/>
  <c r="AS372" i="1" s="1"/>
  <c r="AR380" i="1"/>
  <c r="AS380" i="1" s="1"/>
  <c r="AR161" i="1"/>
  <c r="AS161" i="1" s="1"/>
  <c r="AR137" i="1"/>
  <c r="AS137" i="1" s="1"/>
  <c r="AR116" i="1"/>
  <c r="AS116" i="1" s="1"/>
  <c r="AR135" i="1"/>
  <c r="AS135" i="1" s="1"/>
  <c r="AR119" i="1"/>
  <c r="AS119" i="1" s="1"/>
  <c r="AR95" i="1"/>
  <c r="AS95" i="1" s="1"/>
  <c r="AR236" i="1"/>
  <c r="AS236" i="1" s="1"/>
  <c r="AR196" i="1"/>
  <c r="AS196" i="1" s="1"/>
  <c r="AR14" i="1"/>
  <c r="AQ14" i="1"/>
  <c r="AQ104" i="1"/>
  <c r="BQ27" i="1" s="1"/>
  <c r="AQ143" i="1"/>
  <c r="BQ34" i="1" s="1"/>
  <c r="AQ124" i="1"/>
  <c r="BQ30" i="1" s="1"/>
  <c r="AQ22" i="1"/>
  <c r="BQ16" i="1" s="1"/>
  <c r="AQ50" i="1"/>
  <c r="BQ19" i="1" s="1"/>
  <c r="AQ90" i="1"/>
  <c r="BQ25" i="1" s="1"/>
  <c r="AQ139" i="1"/>
  <c r="BQ33" i="1" s="1"/>
  <c r="AQ118" i="1"/>
  <c r="BQ29" i="1" s="1"/>
  <c r="AQ112" i="1"/>
  <c r="BQ28" i="1" s="1"/>
  <c r="AQ19" i="1"/>
  <c r="AQ42" i="1"/>
  <c r="BQ18" i="1" s="1"/>
  <c r="AQ71" i="1"/>
  <c r="BQ22" i="1" s="1"/>
  <c r="AR164" i="1"/>
  <c r="AS164" i="1" s="1"/>
  <c r="AR382" i="1"/>
  <c r="AS382" i="1" s="1"/>
  <c r="AR366" i="1"/>
  <c r="AS366" i="1" s="1"/>
  <c r="AR350" i="1"/>
  <c r="AS350" i="1" s="1"/>
  <c r="AR250" i="1"/>
  <c r="AS250" i="1" s="1"/>
  <c r="AR218" i="1"/>
  <c r="AS218" i="1" s="1"/>
  <c r="AR170" i="1"/>
  <c r="AS170" i="1" s="1"/>
  <c r="AL547" i="1"/>
  <c r="AQ547" i="1" s="1"/>
  <c r="BQ13" i="1" s="1"/>
  <c r="AR97" i="1"/>
  <c r="AS97" i="1" s="1"/>
  <c r="AR37" i="1"/>
  <c r="AS37" i="1" s="1"/>
  <c r="AR260" i="1"/>
  <c r="AS260" i="1" s="1"/>
  <c r="AR168" i="1"/>
  <c r="AS168" i="1" s="1"/>
  <c r="AR228" i="1"/>
  <c r="AS228" i="1" s="1"/>
  <c r="AR172" i="1"/>
  <c r="AS172" i="1" s="1"/>
  <c r="AR315" i="1"/>
  <c r="AS315" i="1" s="1"/>
  <c r="AR199" i="1"/>
  <c r="AS199" i="1" s="1"/>
  <c r="AR191" i="1"/>
  <c r="AS191" i="1" s="1"/>
  <c r="AR175" i="1"/>
  <c r="AS175" i="1" s="1"/>
  <c r="AR155" i="1"/>
  <c r="AS155" i="1" s="1"/>
  <c r="AR151" i="1"/>
  <c r="AS151" i="1" s="1"/>
  <c r="AR147" i="1"/>
  <c r="AS147" i="1" s="1"/>
  <c r="AR131" i="1"/>
  <c r="AS131" i="1" s="1"/>
  <c r="AR127" i="1"/>
  <c r="AS127" i="1" s="1"/>
  <c r="AR91" i="1"/>
  <c r="AS91" i="1" s="1"/>
  <c r="AR75" i="1"/>
  <c r="AS75" i="1" s="1"/>
  <c r="AR59" i="1"/>
  <c r="AS59" i="1" s="1"/>
  <c r="AR39" i="1"/>
  <c r="AS39" i="1" s="1"/>
  <c r="AR390" i="1"/>
  <c r="AS390" i="1" s="1"/>
  <c r="AR370" i="1"/>
  <c r="AS370" i="1" s="1"/>
  <c r="AR362" i="1"/>
  <c r="AS362" i="1" s="1"/>
  <c r="AR346" i="1"/>
  <c r="AS346" i="1" s="1"/>
  <c r="AR322" i="1"/>
  <c r="AS322" i="1" s="1"/>
  <c r="AR318" i="1"/>
  <c r="AS318" i="1" s="1"/>
  <c r="AR294" i="1"/>
  <c r="AS294" i="1" s="1"/>
  <c r="AR266" i="1"/>
  <c r="AS266" i="1" s="1"/>
  <c r="AR202" i="1"/>
  <c r="AS202" i="1" s="1"/>
  <c r="AR85" i="1"/>
  <c r="AS85" i="1" s="1"/>
  <c r="AR73" i="1"/>
  <c r="AS73" i="1" s="1"/>
  <c r="AR61" i="1"/>
  <c r="AS61" i="1" s="1"/>
  <c r="AR57" i="1"/>
  <c r="AS57" i="1" s="1"/>
  <c r="AR224" i="1"/>
  <c r="AS224" i="1" s="1"/>
  <c r="AR156" i="1"/>
  <c r="AS156" i="1" s="1"/>
  <c r="AR136" i="1"/>
  <c r="AS136" i="1" s="1"/>
  <c r="AR80" i="1"/>
  <c r="AS80" i="1" s="1"/>
  <c r="AR60" i="1"/>
  <c r="AS60" i="1" s="1"/>
  <c r="AR280" i="1"/>
  <c r="AS280" i="1" s="1"/>
  <c r="AR235" i="1"/>
  <c r="AS235" i="1" s="1"/>
  <c r="AR192" i="1"/>
  <c r="AS192" i="1" s="1"/>
  <c r="AR187" i="1"/>
  <c r="AS187" i="1" s="1"/>
  <c r="AR163" i="1"/>
  <c r="AS163" i="1" s="1"/>
  <c r="AR166" i="1"/>
  <c r="AS166" i="1" s="1"/>
  <c r="AR142" i="1"/>
  <c r="AS142" i="1" s="1"/>
  <c r="AR106" i="1"/>
  <c r="AS106" i="1" s="1"/>
  <c r="AR82" i="1"/>
  <c r="AS82" i="1" s="1"/>
  <c r="AR258" i="1"/>
  <c r="AS258" i="1" s="1"/>
  <c r="AR226" i="1"/>
  <c r="AS226" i="1" s="1"/>
  <c r="AR198" i="1"/>
  <c r="AS198" i="1" s="1"/>
  <c r="AR162" i="1"/>
  <c r="AS162" i="1" s="1"/>
  <c r="AR98" i="1"/>
  <c r="AS98" i="1" s="1"/>
  <c r="AR121" i="1"/>
  <c r="AS121" i="1" s="1"/>
  <c r="AR128" i="1"/>
  <c r="AS128" i="1" s="1"/>
  <c r="AR88" i="1"/>
  <c r="AS88" i="1" s="1"/>
  <c r="AR48" i="1"/>
  <c r="AS48" i="1" s="1"/>
  <c r="AR110" i="1"/>
  <c r="AS110" i="1" s="1"/>
  <c r="AR86" i="1"/>
  <c r="AS86" i="1" s="1"/>
  <c r="AR125" i="1"/>
  <c r="AS125" i="1" s="1"/>
  <c r="AR113" i="1"/>
  <c r="AS113" i="1" s="1"/>
  <c r="AR188" i="1"/>
  <c r="AS188" i="1" s="1"/>
  <c r="AR176" i="1"/>
  <c r="AS176" i="1" s="1"/>
  <c r="AR132" i="1"/>
  <c r="AS132" i="1" s="1"/>
  <c r="AR179" i="1"/>
  <c r="AS179" i="1" s="1"/>
  <c r="AR87" i="1"/>
  <c r="AS87" i="1" s="1"/>
  <c r="AR74" i="1"/>
  <c r="AS74" i="1" s="1"/>
  <c r="AR66" i="1"/>
  <c r="AS66" i="1" s="1"/>
  <c r="AR70" i="1"/>
  <c r="AS70" i="1" s="1"/>
  <c r="AR129" i="1"/>
  <c r="AS129" i="1" s="1"/>
  <c r="BP31" i="1" s="1"/>
  <c r="AR220" i="1"/>
  <c r="AS220" i="1" s="1"/>
  <c r="AR204" i="1"/>
  <c r="AS204" i="1" s="1"/>
  <c r="AR208" i="1"/>
  <c r="AS208" i="1" s="1"/>
  <c r="AR160" i="1"/>
  <c r="AS160" i="1" s="1"/>
  <c r="AR122" i="1"/>
  <c r="AS122" i="1" s="1"/>
  <c r="AR133" i="1"/>
  <c r="AS133" i="1" s="1"/>
  <c r="AR200" i="1"/>
  <c r="AS200" i="1" s="1"/>
  <c r="AS14" i="1"/>
  <c r="AX14" i="1" s="1"/>
  <c r="AX15" i="1" s="1"/>
  <c r="AX16" i="1" s="1"/>
  <c r="AQ146" i="1"/>
  <c r="BQ35" i="1" s="1"/>
  <c r="AS19" i="1"/>
  <c r="BP15" i="1" s="1"/>
  <c r="BQ15" i="1"/>
  <c r="BD40" i="1"/>
  <c r="BN13" i="1"/>
  <c r="BM40" i="1"/>
  <c r="AQ30" i="1"/>
  <c r="BQ17" i="1" s="1"/>
  <c r="AQ58" i="1"/>
  <c r="BQ20" i="1" s="1"/>
  <c r="AQ17" i="1"/>
  <c r="AQ96" i="1"/>
  <c r="BQ26" i="1" s="1"/>
  <c r="AS547" i="1" l="1"/>
  <c r="BP13" i="1" s="1"/>
  <c r="AS17" i="1"/>
  <c r="BP14" i="1" s="1"/>
  <c r="BQ14" i="1"/>
  <c r="BN40" i="1"/>
  <c r="BO40" i="1" s="1"/>
  <c r="BO13" i="1"/>
  <c r="BP40" i="1" l="1"/>
  <c r="BQ40" i="1" a="1"/>
  <c r="BQ40" i="1" s="1"/>
  <c r="BR40" i="1" s="1"/>
  <c r="AX17" i="1"/>
  <c r="AX18" i="1" s="1"/>
  <c r="AX19" i="1" s="1"/>
  <c r="AX20" i="1" s="1"/>
  <c r="AX21" i="1" s="1"/>
  <c r="AX22" i="1" s="1"/>
  <c r="AX23" i="1" s="1"/>
  <c r="AX24" i="1" s="1"/>
  <c r="AX25" i="1" s="1"/>
  <c r="AX26" i="1" s="1"/>
  <c r="AX27" i="1" s="1"/>
  <c r="AX28" i="1" s="1"/>
  <c r="AX29" i="1" s="1"/>
  <c r="AX30" i="1" s="1"/>
  <c r="AX31" i="1" s="1"/>
  <c r="AX32" i="1" s="1"/>
  <c r="AX33" i="1" s="1"/>
  <c r="AX34" i="1" s="1"/>
  <c r="AX35" i="1" s="1"/>
  <c r="AX36" i="1" s="1"/>
  <c r="AX37" i="1" s="1"/>
  <c r="AX38" i="1" s="1"/>
  <c r="AX39" i="1" s="1"/>
  <c r="AX40" i="1" s="1"/>
  <c r="AX41" i="1" s="1"/>
  <c r="AX42" i="1" s="1"/>
  <c r="AX43" i="1" s="1"/>
  <c r="AX44" i="1" s="1"/>
  <c r="AX45" i="1" s="1"/>
  <c r="AX46" i="1" s="1"/>
  <c r="AX47" i="1" s="1"/>
  <c r="AX48" i="1" s="1"/>
  <c r="AX49" i="1" s="1"/>
  <c r="AX50" i="1" s="1"/>
  <c r="AX51" i="1" s="1"/>
  <c r="AX52" i="1" s="1"/>
  <c r="AX53" i="1" s="1"/>
  <c r="AX54" i="1" s="1"/>
  <c r="AX55" i="1" s="1"/>
  <c r="AX56" i="1" s="1"/>
  <c r="AX57" i="1" s="1"/>
  <c r="AX58" i="1" s="1"/>
  <c r="AX59" i="1" s="1"/>
  <c r="AX60" i="1" s="1"/>
  <c r="AX61" i="1" s="1"/>
  <c r="AX62" i="1" s="1"/>
  <c r="AX63" i="1" s="1"/>
  <c r="AX64" i="1" s="1"/>
  <c r="AX65" i="1" s="1"/>
  <c r="AX66" i="1" s="1"/>
  <c r="AX67" i="1" s="1"/>
  <c r="AX68" i="1" s="1"/>
  <c r="AX69" i="1" s="1"/>
  <c r="AX70" i="1" s="1"/>
  <c r="AX71" i="1" s="1"/>
  <c r="AX72" i="1" s="1"/>
  <c r="AX73" i="1" s="1"/>
  <c r="AX74" i="1" s="1"/>
  <c r="AX75" i="1" s="1"/>
  <c r="AX76" i="1" s="1"/>
  <c r="AX77" i="1" s="1"/>
  <c r="AX78" i="1" s="1"/>
  <c r="AX79" i="1" s="1"/>
  <c r="AX80" i="1" s="1"/>
  <c r="AX81" i="1" s="1"/>
  <c r="AX82" i="1" s="1"/>
  <c r="AX83" i="1" s="1"/>
  <c r="AX84" i="1" s="1"/>
  <c r="AX85" i="1" s="1"/>
  <c r="AX86" i="1" s="1"/>
  <c r="AX87" i="1" s="1"/>
  <c r="AX88" i="1" s="1"/>
  <c r="AX89" i="1" s="1"/>
  <c r="AX90" i="1" s="1"/>
  <c r="AX91" i="1" s="1"/>
  <c r="AX92" i="1" s="1"/>
  <c r="AX93" i="1" s="1"/>
  <c r="AX94" i="1" s="1"/>
  <c r="AX95" i="1" s="1"/>
  <c r="AX96" i="1" s="1"/>
  <c r="AX97" i="1" s="1"/>
  <c r="AX98" i="1" s="1"/>
  <c r="AX99" i="1" s="1"/>
  <c r="AX100" i="1" s="1"/>
  <c r="AX101" i="1" s="1"/>
  <c r="AX102" i="1" s="1"/>
  <c r="AX103" i="1" s="1"/>
  <c r="AX104" i="1" s="1"/>
  <c r="AX105" i="1" s="1"/>
  <c r="AX106" i="1" s="1"/>
  <c r="AX107" i="1" s="1"/>
  <c r="AX108" i="1" s="1"/>
  <c r="AX109" i="1" s="1"/>
  <c r="AX110" i="1" s="1"/>
  <c r="AX111" i="1" s="1"/>
  <c r="AX112" i="1" s="1"/>
  <c r="AX113" i="1" s="1"/>
  <c r="AX114" i="1" s="1"/>
  <c r="AX115" i="1" s="1"/>
  <c r="AX116" i="1" s="1"/>
  <c r="AX117" i="1" s="1"/>
  <c r="AX118" i="1" s="1"/>
  <c r="AX119" i="1" s="1"/>
  <c r="AX120" i="1" s="1"/>
  <c r="AX121" i="1" s="1"/>
  <c r="AX122" i="1" s="1"/>
  <c r="AX123" i="1" s="1"/>
  <c r="AX124" i="1" s="1"/>
  <c r="AX125" i="1" s="1"/>
  <c r="AX126" i="1" s="1"/>
  <c r="AX127" i="1" s="1"/>
  <c r="AX128" i="1" s="1"/>
  <c r="AX129" i="1" s="1"/>
  <c r="AX130" i="1" s="1"/>
  <c r="AX131" i="1" s="1"/>
  <c r="AX132" i="1" s="1"/>
  <c r="AX133" i="1" s="1"/>
  <c r="AX134" i="1" s="1"/>
  <c r="AX135" i="1" s="1"/>
  <c r="AX136" i="1" s="1"/>
  <c r="AX137" i="1" s="1"/>
  <c r="AX138" i="1" s="1"/>
  <c r="AX139" i="1" s="1"/>
  <c r="AX140" i="1" s="1"/>
  <c r="AX141" i="1" s="1"/>
  <c r="AX142" i="1" s="1"/>
  <c r="AX143" i="1" s="1"/>
  <c r="AX144" i="1" s="1"/>
  <c r="AX145" i="1" s="1"/>
  <c r="AX146" i="1" s="1"/>
  <c r="AX147" i="1" s="1"/>
  <c r="AX148" i="1" s="1"/>
  <c r="J14" i="1" l="1"/>
  <c r="S14" i="1"/>
  <c r="T14" i="1"/>
  <c r="J15" i="1"/>
  <c r="K15" i="1"/>
  <c r="L15" i="1"/>
  <c r="M15" i="1"/>
  <c r="N15" i="1" a="1"/>
  <c r="N15" i="1" s="1"/>
  <c r="O15" i="1" a="1"/>
  <c r="O15" i="1" s="1"/>
  <c r="P15" i="1"/>
  <c r="S15" i="1"/>
  <c r="T15" i="1"/>
  <c r="J16" i="1"/>
  <c r="K16" i="1"/>
  <c r="L16" i="1"/>
  <c r="M16" i="1"/>
  <c r="N16" i="1" a="1"/>
  <c r="N16" i="1" s="1"/>
  <c r="O16" i="1" a="1"/>
  <c r="O16" i="1" s="1"/>
  <c r="P16" i="1"/>
  <c r="S16" i="1"/>
  <c r="T16" i="1"/>
  <c r="M17" i="1" s="1"/>
  <c r="J17" i="1"/>
  <c r="S17" i="1"/>
  <c r="T17" i="1"/>
  <c r="J18" i="1"/>
  <c r="K19" i="1" s="1"/>
  <c r="K18" i="1"/>
  <c r="L18" i="1"/>
  <c r="O18" i="1" a="1"/>
  <c r="O18" i="1" s="1"/>
  <c r="S18" i="1"/>
  <c r="L19" i="1" s="1"/>
  <c r="T18" i="1"/>
  <c r="M18" i="1" s="1"/>
  <c r="J19" i="1"/>
  <c r="S19" i="1"/>
  <c r="T19" i="1"/>
  <c r="J20" i="1"/>
  <c r="K22" i="1" s="1"/>
  <c r="K20" i="1"/>
  <c r="L20" i="1"/>
  <c r="M20" i="1"/>
  <c r="N20" i="1" a="1"/>
  <c r="N20" i="1" s="1"/>
  <c r="O20" i="1" a="1"/>
  <c r="O20" i="1" s="1"/>
  <c r="P20" i="1"/>
  <c r="S20" i="1"/>
  <c r="T20" i="1"/>
  <c r="J21" i="1"/>
  <c r="K21" i="1"/>
  <c r="L21" i="1"/>
  <c r="M21" i="1"/>
  <c r="N21" i="1" a="1"/>
  <c r="N21" i="1" s="1"/>
  <c r="O21" i="1" a="1"/>
  <c r="O21" i="1" s="1"/>
  <c r="P21" i="1"/>
  <c r="S21" i="1"/>
  <c r="T21" i="1"/>
  <c r="M22" i="1" s="1"/>
  <c r="J22" i="1"/>
  <c r="S22" i="1"/>
  <c r="T22" i="1"/>
  <c r="J23" i="1"/>
  <c r="K30" i="1" s="1"/>
  <c r="K23" i="1"/>
  <c r="L23" i="1"/>
  <c r="M23" i="1"/>
  <c r="N23" i="1" a="1"/>
  <c r="N23" i="1" s="1"/>
  <c r="O23" i="1" a="1"/>
  <c r="O23" i="1" s="1"/>
  <c r="P23" i="1"/>
  <c r="S23" i="1"/>
  <c r="T23" i="1"/>
  <c r="J24" i="1"/>
  <c r="K24" i="1"/>
  <c r="L24" i="1"/>
  <c r="M24" i="1"/>
  <c r="N24" i="1" a="1"/>
  <c r="N24" i="1" s="1"/>
  <c r="O24" i="1" a="1"/>
  <c r="O24" i="1" s="1"/>
  <c r="P24" i="1"/>
  <c r="S24" i="1"/>
  <c r="T24" i="1"/>
  <c r="J25" i="1"/>
  <c r="K25" i="1"/>
  <c r="L25" i="1"/>
  <c r="M25" i="1"/>
  <c r="N25" i="1" a="1"/>
  <c r="N25" i="1" s="1"/>
  <c r="O25" i="1" a="1"/>
  <c r="O25" i="1" s="1"/>
  <c r="P25" i="1"/>
  <c r="S25" i="1"/>
  <c r="L28" i="1" s="1"/>
  <c r="T25" i="1"/>
  <c r="J26" i="1"/>
  <c r="K26" i="1"/>
  <c r="L26" i="1"/>
  <c r="M26" i="1"/>
  <c r="N26" i="1" a="1"/>
  <c r="N26" i="1" s="1"/>
  <c r="O26" i="1" a="1"/>
  <c r="O26" i="1" s="1"/>
  <c r="P26" i="1"/>
  <c r="S26" i="1"/>
  <c r="T26" i="1"/>
  <c r="J27" i="1"/>
  <c r="K27" i="1"/>
  <c r="L27" i="1"/>
  <c r="M27" i="1"/>
  <c r="N27" i="1" a="1"/>
  <c r="N27" i="1" s="1"/>
  <c r="O27" i="1" a="1"/>
  <c r="O27" i="1" s="1"/>
  <c r="P27" i="1"/>
  <c r="S27" i="1"/>
  <c r="T27" i="1"/>
  <c r="J28" i="1"/>
  <c r="K28" i="1"/>
  <c r="S28" i="1"/>
  <c r="T28" i="1"/>
  <c r="J29" i="1"/>
  <c r="K29" i="1"/>
  <c r="L29" i="1"/>
  <c r="M29" i="1"/>
  <c r="N29" i="1" a="1"/>
  <c r="N29" i="1" s="1"/>
  <c r="O29" i="1" a="1"/>
  <c r="O29" i="1" s="1"/>
  <c r="P29" i="1"/>
  <c r="S29" i="1"/>
  <c r="T29" i="1"/>
  <c r="J30" i="1"/>
  <c r="S30" i="1"/>
  <c r="T30" i="1"/>
  <c r="J31" i="1"/>
  <c r="K31" i="1"/>
  <c r="L31" i="1"/>
  <c r="M31" i="1"/>
  <c r="N31" i="1" a="1"/>
  <c r="N31" i="1" s="1"/>
  <c r="O31" i="1" a="1"/>
  <c r="O31" i="1" s="1"/>
  <c r="P31" i="1"/>
  <c r="S31" i="1"/>
  <c r="T31" i="1"/>
  <c r="J32" i="1"/>
  <c r="K42" i="1" s="1"/>
  <c r="K32" i="1"/>
  <c r="L32" i="1"/>
  <c r="M32" i="1"/>
  <c r="N32" i="1" a="1"/>
  <c r="N32" i="1" s="1"/>
  <c r="O32" i="1" a="1"/>
  <c r="O32" i="1" s="1"/>
  <c r="P32" i="1"/>
  <c r="S32" i="1"/>
  <c r="T32" i="1"/>
  <c r="J33" i="1"/>
  <c r="K33" i="1"/>
  <c r="L33" i="1"/>
  <c r="M33" i="1"/>
  <c r="N33" i="1" a="1"/>
  <c r="N33" i="1" s="1"/>
  <c r="O33" i="1" a="1"/>
  <c r="O33" i="1" s="1"/>
  <c r="P33" i="1"/>
  <c r="S33" i="1"/>
  <c r="T33" i="1"/>
  <c r="J34" i="1"/>
  <c r="K34" i="1"/>
  <c r="L34" i="1"/>
  <c r="M34" i="1"/>
  <c r="N34" i="1" a="1"/>
  <c r="N34" i="1" s="1"/>
  <c r="O34" i="1" a="1"/>
  <c r="O34" i="1" s="1"/>
  <c r="P34" i="1"/>
  <c r="S34" i="1"/>
  <c r="T34" i="1"/>
  <c r="M42" i="1" s="1"/>
  <c r="J35" i="1"/>
  <c r="K35" i="1"/>
  <c r="L35" i="1"/>
  <c r="M35" i="1"/>
  <c r="N35" i="1" a="1"/>
  <c r="N35" i="1" s="1"/>
  <c r="O35" i="1" a="1"/>
  <c r="O35" i="1" s="1"/>
  <c r="P35" i="1"/>
  <c r="S35" i="1"/>
  <c r="T35" i="1"/>
  <c r="J36" i="1"/>
  <c r="K36" i="1"/>
  <c r="L36" i="1"/>
  <c r="M36" i="1"/>
  <c r="N36" i="1" a="1"/>
  <c r="N36" i="1" s="1"/>
  <c r="O36" i="1" a="1"/>
  <c r="O36" i="1" s="1"/>
  <c r="P36" i="1"/>
  <c r="S36" i="1"/>
  <c r="T36" i="1"/>
  <c r="J37" i="1"/>
  <c r="K37" i="1"/>
  <c r="L37" i="1"/>
  <c r="M37" i="1"/>
  <c r="N37" i="1" a="1"/>
  <c r="N37" i="1" s="1"/>
  <c r="O37" i="1" a="1"/>
  <c r="O37" i="1" s="1"/>
  <c r="P37" i="1"/>
  <c r="S37" i="1"/>
  <c r="T37" i="1"/>
  <c r="J38" i="1"/>
  <c r="K38" i="1"/>
  <c r="L38" i="1"/>
  <c r="M38" i="1"/>
  <c r="N38" i="1" a="1"/>
  <c r="N38" i="1" s="1"/>
  <c r="O38" i="1" a="1"/>
  <c r="O38" i="1" s="1"/>
  <c r="P38" i="1"/>
  <c r="S38" i="1"/>
  <c r="T38" i="1"/>
  <c r="J39" i="1"/>
  <c r="K39" i="1"/>
  <c r="L39" i="1"/>
  <c r="M39" i="1"/>
  <c r="N39" i="1" a="1"/>
  <c r="N39" i="1" s="1"/>
  <c r="O39" i="1" a="1"/>
  <c r="O39" i="1" s="1"/>
  <c r="P39" i="1"/>
  <c r="S39" i="1"/>
  <c r="T39" i="1"/>
  <c r="J40" i="1"/>
  <c r="K40" i="1"/>
  <c r="L40" i="1"/>
  <c r="M40" i="1"/>
  <c r="N40" i="1" a="1"/>
  <c r="N40" i="1" s="1"/>
  <c r="O40" i="1" a="1"/>
  <c r="O40" i="1" s="1"/>
  <c r="P40" i="1"/>
  <c r="S40" i="1"/>
  <c r="T40" i="1"/>
  <c r="J41" i="1"/>
  <c r="K41" i="1"/>
  <c r="L41" i="1"/>
  <c r="M41" i="1"/>
  <c r="N41" i="1" a="1"/>
  <c r="N41" i="1" s="1"/>
  <c r="O41" i="1" a="1"/>
  <c r="O41" i="1" s="1"/>
  <c r="P41" i="1"/>
  <c r="S41" i="1"/>
  <c r="T41" i="1"/>
  <c r="J42" i="1"/>
  <c r="S42" i="1"/>
  <c r="T42" i="1"/>
  <c r="J43" i="1"/>
  <c r="K43" i="1"/>
  <c r="L43" i="1"/>
  <c r="M43" i="1"/>
  <c r="N43" i="1" a="1"/>
  <c r="N43" i="1" s="1"/>
  <c r="O43" i="1" a="1"/>
  <c r="O43" i="1" s="1"/>
  <c r="P43" i="1"/>
  <c r="S43" i="1"/>
  <c r="T43" i="1"/>
  <c r="J44" i="1"/>
  <c r="K50" i="1" s="1"/>
  <c r="K44" i="1"/>
  <c r="L44" i="1"/>
  <c r="M44" i="1"/>
  <c r="N44" i="1" a="1"/>
  <c r="N44" i="1" s="1"/>
  <c r="O44" i="1" a="1"/>
  <c r="O44" i="1" s="1"/>
  <c r="P44" i="1"/>
  <c r="S44" i="1"/>
  <c r="T44" i="1"/>
  <c r="J45" i="1"/>
  <c r="K45" i="1"/>
  <c r="L45" i="1"/>
  <c r="M45" i="1"/>
  <c r="N45" i="1" a="1"/>
  <c r="N45" i="1" s="1"/>
  <c r="O45" i="1" a="1"/>
  <c r="O45" i="1" s="1"/>
  <c r="P45" i="1"/>
  <c r="S45" i="1"/>
  <c r="T45" i="1"/>
  <c r="J46" i="1"/>
  <c r="K46" i="1"/>
  <c r="L46" i="1"/>
  <c r="M46" i="1"/>
  <c r="N46" i="1" a="1"/>
  <c r="N46" i="1" s="1"/>
  <c r="O46" i="1" a="1"/>
  <c r="O46" i="1" s="1"/>
  <c r="P46" i="1"/>
  <c r="S46" i="1"/>
  <c r="T46" i="1"/>
  <c r="J47" i="1"/>
  <c r="K47" i="1"/>
  <c r="L47" i="1"/>
  <c r="M47" i="1"/>
  <c r="N47" i="1" a="1"/>
  <c r="N47" i="1" s="1"/>
  <c r="O47" i="1" a="1"/>
  <c r="O47" i="1" s="1"/>
  <c r="P47" i="1"/>
  <c r="S47" i="1"/>
  <c r="T47" i="1"/>
  <c r="J48" i="1"/>
  <c r="K48" i="1"/>
  <c r="L48" i="1"/>
  <c r="M48" i="1"/>
  <c r="N48" i="1" a="1"/>
  <c r="N48" i="1" s="1"/>
  <c r="O48" i="1" a="1"/>
  <c r="O48" i="1" s="1"/>
  <c r="P48" i="1"/>
  <c r="S48" i="1"/>
  <c r="T48" i="1"/>
  <c r="J49" i="1"/>
  <c r="K49" i="1"/>
  <c r="L49" i="1"/>
  <c r="M49" i="1"/>
  <c r="N49" i="1" a="1"/>
  <c r="N49" i="1" s="1"/>
  <c r="O49" i="1" a="1"/>
  <c r="O49" i="1" s="1"/>
  <c r="P49" i="1"/>
  <c r="S49" i="1"/>
  <c r="T49" i="1"/>
  <c r="J50" i="1"/>
  <c r="M50" i="1"/>
  <c r="S50" i="1"/>
  <c r="T50" i="1"/>
  <c r="J51" i="1"/>
  <c r="K51" i="1"/>
  <c r="L51" i="1"/>
  <c r="M51" i="1"/>
  <c r="N51" i="1" a="1"/>
  <c r="N51" i="1" s="1"/>
  <c r="O51" i="1" a="1"/>
  <c r="O51" i="1" s="1"/>
  <c r="P51" i="1"/>
  <c r="S51" i="1"/>
  <c r="T51" i="1"/>
  <c r="J52" i="1"/>
  <c r="K58" i="1" s="1"/>
  <c r="K52" i="1"/>
  <c r="L52" i="1"/>
  <c r="M52" i="1"/>
  <c r="N52" i="1" a="1"/>
  <c r="N52" i="1" s="1"/>
  <c r="O52" i="1" a="1"/>
  <c r="O52" i="1" s="1"/>
  <c r="P52" i="1"/>
  <c r="S52" i="1"/>
  <c r="T52" i="1"/>
  <c r="M58" i="1" s="1"/>
  <c r="J53" i="1"/>
  <c r="K53" i="1"/>
  <c r="L53" i="1"/>
  <c r="M53" i="1"/>
  <c r="N53" i="1" a="1"/>
  <c r="N53" i="1" s="1"/>
  <c r="O53" i="1" a="1"/>
  <c r="O53" i="1" s="1"/>
  <c r="P53" i="1"/>
  <c r="S53" i="1"/>
  <c r="T53" i="1"/>
  <c r="J54" i="1"/>
  <c r="K54" i="1"/>
  <c r="L54" i="1"/>
  <c r="M54" i="1"/>
  <c r="N54" i="1" a="1"/>
  <c r="N54" i="1" s="1"/>
  <c r="O54" i="1" a="1"/>
  <c r="O54" i="1" s="1"/>
  <c r="P54" i="1"/>
  <c r="S54" i="1"/>
  <c r="T54" i="1"/>
  <c r="J55" i="1"/>
  <c r="K55" i="1"/>
  <c r="L55" i="1"/>
  <c r="M55" i="1"/>
  <c r="N55" i="1" a="1"/>
  <c r="N55" i="1" s="1"/>
  <c r="O55" i="1" a="1"/>
  <c r="O55" i="1" s="1"/>
  <c r="P55" i="1"/>
  <c r="S55" i="1"/>
  <c r="T55" i="1"/>
  <c r="J56" i="1"/>
  <c r="K56" i="1"/>
  <c r="L56" i="1"/>
  <c r="M56" i="1"/>
  <c r="N56" i="1" a="1"/>
  <c r="N56" i="1" s="1"/>
  <c r="O56" i="1" a="1"/>
  <c r="O56" i="1" s="1"/>
  <c r="P56" i="1"/>
  <c r="S56" i="1"/>
  <c r="T56" i="1"/>
  <c r="J57" i="1"/>
  <c r="K57" i="1"/>
  <c r="L57" i="1"/>
  <c r="M57" i="1"/>
  <c r="N57" i="1" a="1"/>
  <c r="N57" i="1" s="1"/>
  <c r="O57" i="1" a="1"/>
  <c r="O57" i="1" s="1"/>
  <c r="P57" i="1"/>
  <c r="S57" i="1"/>
  <c r="T57" i="1"/>
  <c r="J58" i="1"/>
  <c r="S58" i="1"/>
  <c r="T58" i="1"/>
  <c r="J59" i="1"/>
  <c r="K65" i="1" s="1"/>
  <c r="K59" i="1"/>
  <c r="L59" i="1"/>
  <c r="M59" i="1"/>
  <c r="N59" i="1" a="1"/>
  <c r="N59" i="1" s="1"/>
  <c r="O59" i="1" a="1"/>
  <c r="O59" i="1" s="1"/>
  <c r="P59" i="1"/>
  <c r="S59" i="1"/>
  <c r="T59" i="1"/>
  <c r="J60" i="1"/>
  <c r="K60" i="1"/>
  <c r="L60" i="1"/>
  <c r="M60" i="1"/>
  <c r="N60" i="1" a="1"/>
  <c r="N60" i="1" s="1"/>
  <c r="O60" i="1" a="1"/>
  <c r="O60" i="1" s="1"/>
  <c r="P60" i="1"/>
  <c r="S60" i="1"/>
  <c r="T60" i="1"/>
  <c r="J61" i="1"/>
  <c r="K61" i="1"/>
  <c r="L61" i="1"/>
  <c r="M61" i="1"/>
  <c r="N61" i="1" a="1"/>
  <c r="N61" i="1" s="1"/>
  <c r="O61" i="1" a="1"/>
  <c r="O61" i="1" s="1"/>
  <c r="P61" i="1"/>
  <c r="S61" i="1"/>
  <c r="T61" i="1"/>
  <c r="M65" i="1" s="1"/>
  <c r="J62" i="1"/>
  <c r="K62" i="1"/>
  <c r="L62" i="1"/>
  <c r="M62" i="1"/>
  <c r="N62" i="1" a="1"/>
  <c r="N62" i="1" s="1"/>
  <c r="O62" i="1" a="1"/>
  <c r="O62" i="1" s="1"/>
  <c r="P62" i="1"/>
  <c r="S62" i="1"/>
  <c r="T62" i="1"/>
  <c r="J63" i="1"/>
  <c r="K63" i="1"/>
  <c r="L63" i="1"/>
  <c r="M63" i="1"/>
  <c r="N63" i="1" a="1"/>
  <c r="N63" i="1" s="1"/>
  <c r="O63" i="1" a="1"/>
  <c r="O63" i="1" s="1"/>
  <c r="P63" i="1"/>
  <c r="S63" i="1"/>
  <c r="T63" i="1"/>
  <c r="J64" i="1"/>
  <c r="K64" i="1"/>
  <c r="L64" i="1"/>
  <c r="M64" i="1"/>
  <c r="N64" i="1" a="1"/>
  <c r="N64" i="1" s="1"/>
  <c r="O64" i="1" a="1"/>
  <c r="O64" i="1" s="1"/>
  <c r="P64" i="1"/>
  <c r="S64" i="1"/>
  <c r="T64" i="1"/>
  <c r="J65" i="1"/>
  <c r="S65" i="1"/>
  <c r="T65" i="1"/>
  <c r="J66" i="1"/>
  <c r="K66" i="1"/>
  <c r="L66" i="1"/>
  <c r="M66" i="1"/>
  <c r="N66" i="1" a="1"/>
  <c r="N66" i="1" s="1"/>
  <c r="O66" i="1" a="1"/>
  <c r="O66" i="1" s="1"/>
  <c r="P66" i="1"/>
  <c r="S66" i="1"/>
  <c r="T66" i="1"/>
  <c r="M71" i="1" s="1"/>
  <c r="J67" i="1"/>
  <c r="K67" i="1"/>
  <c r="L67" i="1"/>
  <c r="M67" i="1"/>
  <c r="N67" i="1" a="1"/>
  <c r="N67" i="1" s="1"/>
  <c r="O67" i="1" a="1"/>
  <c r="O67" i="1" s="1"/>
  <c r="P67" i="1"/>
  <c r="S67" i="1"/>
  <c r="T67" i="1"/>
  <c r="J68" i="1"/>
  <c r="K68" i="1"/>
  <c r="L68" i="1"/>
  <c r="M68" i="1"/>
  <c r="N68" i="1" a="1"/>
  <c r="N68" i="1" s="1"/>
  <c r="O68" i="1" a="1"/>
  <c r="O68" i="1" s="1"/>
  <c r="P68" i="1"/>
  <c r="S68" i="1"/>
  <c r="T68" i="1"/>
  <c r="J69" i="1"/>
  <c r="K69" i="1"/>
  <c r="L69" i="1"/>
  <c r="M69" i="1"/>
  <c r="N69" i="1" a="1"/>
  <c r="N69" i="1" s="1"/>
  <c r="O69" i="1" a="1"/>
  <c r="O69" i="1" s="1"/>
  <c r="P69" i="1"/>
  <c r="S69" i="1"/>
  <c r="T69" i="1"/>
  <c r="J70" i="1"/>
  <c r="K70" i="1"/>
  <c r="L70" i="1"/>
  <c r="M70" i="1"/>
  <c r="N70" i="1" a="1"/>
  <c r="N70" i="1" s="1"/>
  <c r="O70" i="1" a="1"/>
  <c r="O70" i="1" s="1"/>
  <c r="P70" i="1"/>
  <c r="S70" i="1"/>
  <c r="T70" i="1"/>
  <c r="J71" i="1"/>
  <c r="K71" i="1"/>
  <c r="S71" i="1"/>
  <c r="T71" i="1"/>
  <c r="J72" i="1"/>
  <c r="K77" i="1" s="1"/>
  <c r="K72" i="1"/>
  <c r="L72" i="1"/>
  <c r="M72" i="1"/>
  <c r="N72" i="1" a="1"/>
  <c r="N72" i="1" s="1"/>
  <c r="O72" i="1" a="1"/>
  <c r="O72" i="1" s="1"/>
  <c r="P72" i="1"/>
  <c r="S72" i="1"/>
  <c r="T72" i="1"/>
  <c r="J73" i="1"/>
  <c r="K73" i="1"/>
  <c r="L73" i="1"/>
  <c r="M73" i="1"/>
  <c r="N73" i="1" a="1"/>
  <c r="N73" i="1" s="1"/>
  <c r="O73" i="1" a="1"/>
  <c r="O73" i="1" s="1"/>
  <c r="P73" i="1"/>
  <c r="S73" i="1"/>
  <c r="L77" i="1" s="1"/>
  <c r="T73" i="1"/>
  <c r="J74" i="1"/>
  <c r="K74" i="1"/>
  <c r="L74" i="1"/>
  <c r="M74" i="1"/>
  <c r="N74" i="1" a="1"/>
  <c r="N74" i="1" s="1"/>
  <c r="O74" i="1" a="1"/>
  <c r="O74" i="1" s="1"/>
  <c r="P74" i="1"/>
  <c r="S74" i="1"/>
  <c r="T74" i="1"/>
  <c r="J75" i="1"/>
  <c r="K75" i="1"/>
  <c r="L75" i="1"/>
  <c r="M75" i="1"/>
  <c r="N75" i="1" a="1"/>
  <c r="N75" i="1" s="1"/>
  <c r="O75" i="1" a="1"/>
  <c r="O75" i="1" s="1"/>
  <c r="P75" i="1"/>
  <c r="S75" i="1"/>
  <c r="T75" i="1"/>
  <c r="J76" i="1"/>
  <c r="K76" i="1"/>
  <c r="L76" i="1"/>
  <c r="M76" i="1"/>
  <c r="N76" i="1" a="1"/>
  <c r="N76" i="1" s="1"/>
  <c r="O76" i="1" a="1"/>
  <c r="O76" i="1" s="1"/>
  <c r="P76" i="1"/>
  <c r="S76" i="1"/>
  <c r="T76" i="1"/>
  <c r="J77" i="1"/>
  <c r="S77" i="1"/>
  <c r="T77" i="1"/>
  <c r="J78" i="1"/>
  <c r="K78" i="1"/>
  <c r="L78" i="1"/>
  <c r="M78" i="1"/>
  <c r="N78" i="1" a="1"/>
  <c r="N78" i="1" s="1"/>
  <c r="O78" i="1" a="1"/>
  <c r="O78" i="1" s="1"/>
  <c r="P78" i="1"/>
  <c r="S78" i="1"/>
  <c r="T78" i="1"/>
  <c r="J79" i="1"/>
  <c r="K79" i="1"/>
  <c r="L79" i="1"/>
  <c r="M79" i="1"/>
  <c r="N79" i="1" a="1"/>
  <c r="N79" i="1" s="1"/>
  <c r="O79" i="1" a="1"/>
  <c r="O79" i="1" s="1"/>
  <c r="P79" i="1"/>
  <c r="S79" i="1"/>
  <c r="L84" i="1" s="1"/>
  <c r="T79" i="1"/>
  <c r="J80" i="1"/>
  <c r="K84" i="1" s="1"/>
  <c r="K80" i="1"/>
  <c r="L80" i="1"/>
  <c r="M80" i="1"/>
  <c r="N80" i="1" a="1"/>
  <c r="N80" i="1" s="1"/>
  <c r="O80" i="1" a="1"/>
  <c r="O80" i="1" s="1"/>
  <c r="P80" i="1"/>
  <c r="S80" i="1"/>
  <c r="T80" i="1"/>
  <c r="J81" i="1"/>
  <c r="K81" i="1"/>
  <c r="L81" i="1"/>
  <c r="M81" i="1"/>
  <c r="N81" i="1" a="1"/>
  <c r="N81" i="1" s="1"/>
  <c r="O81" i="1" a="1"/>
  <c r="O81" i="1" s="1"/>
  <c r="P81" i="1"/>
  <c r="S81" i="1"/>
  <c r="T81" i="1"/>
  <c r="J82" i="1"/>
  <c r="K82" i="1"/>
  <c r="L82" i="1"/>
  <c r="M82" i="1"/>
  <c r="N82" i="1" a="1"/>
  <c r="N82" i="1" s="1"/>
  <c r="O82" i="1" a="1"/>
  <c r="O82" i="1" s="1"/>
  <c r="P82" i="1"/>
  <c r="S82" i="1"/>
  <c r="T82" i="1"/>
  <c r="J83" i="1"/>
  <c r="K83" i="1"/>
  <c r="L83" i="1"/>
  <c r="M83" i="1"/>
  <c r="N83" i="1" a="1"/>
  <c r="N83" i="1" s="1"/>
  <c r="O83" i="1" a="1"/>
  <c r="O83" i="1" s="1"/>
  <c r="P83" i="1"/>
  <c r="S83" i="1"/>
  <c r="T83" i="1"/>
  <c r="J84" i="1"/>
  <c r="S84" i="1"/>
  <c r="T84" i="1"/>
  <c r="J85" i="1"/>
  <c r="K85" i="1"/>
  <c r="L85" i="1"/>
  <c r="M85" i="1"/>
  <c r="N85" i="1" a="1"/>
  <c r="N85" i="1" s="1"/>
  <c r="O85" i="1" a="1"/>
  <c r="O85" i="1" s="1"/>
  <c r="P85" i="1"/>
  <c r="S85" i="1"/>
  <c r="T85" i="1"/>
  <c r="J86" i="1"/>
  <c r="K86" i="1"/>
  <c r="L86" i="1"/>
  <c r="M86" i="1"/>
  <c r="N86" i="1" a="1"/>
  <c r="N86" i="1" s="1"/>
  <c r="O86" i="1" a="1"/>
  <c r="O86" i="1" s="1"/>
  <c r="P86" i="1"/>
  <c r="S86" i="1"/>
  <c r="T86" i="1"/>
  <c r="J87" i="1"/>
  <c r="K87" i="1"/>
  <c r="L87" i="1"/>
  <c r="M87" i="1"/>
  <c r="N87" i="1" a="1"/>
  <c r="N87" i="1" s="1"/>
  <c r="O87" i="1" a="1"/>
  <c r="O87" i="1" s="1"/>
  <c r="P87" i="1"/>
  <c r="S87" i="1"/>
  <c r="T87" i="1"/>
  <c r="J88" i="1"/>
  <c r="K90" i="1" s="1"/>
  <c r="K88" i="1"/>
  <c r="L88" i="1"/>
  <c r="M88" i="1"/>
  <c r="N88" i="1" a="1"/>
  <c r="N88" i="1" s="1"/>
  <c r="O88" i="1" a="1"/>
  <c r="O88" i="1" s="1"/>
  <c r="P88" i="1"/>
  <c r="S88" i="1"/>
  <c r="T88" i="1"/>
  <c r="J89" i="1"/>
  <c r="K89" i="1"/>
  <c r="L89" i="1"/>
  <c r="M89" i="1"/>
  <c r="N89" i="1" a="1"/>
  <c r="N89" i="1" s="1"/>
  <c r="O89" i="1" a="1"/>
  <c r="O89" i="1" s="1"/>
  <c r="P89" i="1"/>
  <c r="S89" i="1"/>
  <c r="T89" i="1"/>
  <c r="M90" i="1" s="1"/>
  <c r="J90" i="1"/>
  <c r="S90" i="1"/>
  <c r="T90" i="1"/>
  <c r="J91" i="1"/>
  <c r="K91" i="1"/>
  <c r="L91" i="1"/>
  <c r="M91" i="1"/>
  <c r="N91" i="1" a="1"/>
  <c r="N91" i="1" s="1"/>
  <c r="O91" i="1" a="1"/>
  <c r="O91" i="1" s="1"/>
  <c r="P91" i="1"/>
  <c r="S91" i="1"/>
  <c r="T91" i="1"/>
  <c r="J92" i="1"/>
  <c r="K96" i="1" s="1"/>
  <c r="K92" i="1"/>
  <c r="L92" i="1"/>
  <c r="M92" i="1"/>
  <c r="N92" i="1" a="1"/>
  <c r="N92" i="1" s="1"/>
  <c r="O92" i="1" a="1"/>
  <c r="O92" i="1" s="1"/>
  <c r="P92" i="1"/>
  <c r="S92" i="1"/>
  <c r="T92" i="1"/>
  <c r="J93" i="1"/>
  <c r="K93" i="1"/>
  <c r="L93" i="1"/>
  <c r="M93" i="1"/>
  <c r="N93" i="1" a="1"/>
  <c r="N93" i="1" s="1"/>
  <c r="O93" i="1" a="1"/>
  <c r="O93" i="1" s="1"/>
  <c r="P93" i="1"/>
  <c r="S93" i="1"/>
  <c r="T93" i="1"/>
  <c r="J94" i="1"/>
  <c r="K94" i="1"/>
  <c r="L94" i="1"/>
  <c r="M94" i="1"/>
  <c r="N94" i="1" a="1"/>
  <c r="N94" i="1" s="1"/>
  <c r="O94" i="1" a="1"/>
  <c r="O94" i="1" s="1"/>
  <c r="P94" i="1"/>
  <c r="S94" i="1"/>
  <c r="T94" i="1"/>
  <c r="J95" i="1"/>
  <c r="K95" i="1"/>
  <c r="L95" i="1"/>
  <c r="M95" i="1"/>
  <c r="N95" i="1" a="1"/>
  <c r="N95" i="1" s="1"/>
  <c r="O95" i="1" a="1"/>
  <c r="O95" i="1" s="1"/>
  <c r="P95" i="1"/>
  <c r="S95" i="1"/>
  <c r="T95" i="1"/>
  <c r="J96" i="1"/>
  <c r="L96" i="1"/>
  <c r="S96" i="1"/>
  <c r="T96" i="1"/>
  <c r="J97" i="1"/>
  <c r="K97" i="1"/>
  <c r="L97" i="1"/>
  <c r="M97" i="1"/>
  <c r="N97" i="1" a="1"/>
  <c r="N97" i="1" s="1"/>
  <c r="O97" i="1" a="1"/>
  <c r="O97" i="1" s="1"/>
  <c r="P97" i="1"/>
  <c r="S97" i="1"/>
  <c r="T97" i="1"/>
  <c r="J98" i="1"/>
  <c r="K98" i="1"/>
  <c r="L98" i="1"/>
  <c r="M98" i="1"/>
  <c r="N98" i="1" a="1"/>
  <c r="N98" i="1" s="1"/>
  <c r="O98" i="1" a="1"/>
  <c r="O98" i="1" s="1"/>
  <c r="P98" i="1"/>
  <c r="S98" i="1"/>
  <c r="T98" i="1"/>
  <c r="M104" i="1" s="1"/>
  <c r="J99" i="1"/>
  <c r="K99" i="1"/>
  <c r="L99" i="1"/>
  <c r="M99" i="1"/>
  <c r="N99" i="1" a="1"/>
  <c r="N99" i="1" s="1"/>
  <c r="O99" i="1" a="1"/>
  <c r="O99" i="1" s="1"/>
  <c r="P99" i="1"/>
  <c r="S99" i="1"/>
  <c r="T99" i="1"/>
  <c r="J100" i="1"/>
  <c r="K104" i="1" s="1"/>
  <c r="K100" i="1"/>
  <c r="L100" i="1"/>
  <c r="M100" i="1"/>
  <c r="N100" i="1" a="1"/>
  <c r="N100" i="1" s="1"/>
  <c r="O100" i="1" a="1"/>
  <c r="O100" i="1" s="1"/>
  <c r="P100" i="1"/>
  <c r="S100" i="1"/>
  <c r="T100" i="1"/>
  <c r="J101" i="1"/>
  <c r="K101" i="1"/>
  <c r="L101" i="1"/>
  <c r="M101" i="1"/>
  <c r="N101" i="1" a="1"/>
  <c r="N101" i="1" s="1"/>
  <c r="O101" i="1" a="1"/>
  <c r="O101" i="1" s="1"/>
  <c r="P101" i="1"/>
  <c r="S101" i="1"/>
  <c r="T101" i="1"/>
  <c r="J102" i="1"/>
  <c r="K102" i="1"/>
  <c r="L102" i="1"/>
  <c r="M102" i="1"/>
  <c r="N102" i="1" a="1"/>
  <c r="N102" i="1" s="1"/>
  <c r="O102" i="1" a="1"/>
  <c r="O102" i="1" s="1"/>
  <c r="P102" i="1"/>
  <c r="S102" i="1"/>
  <c r="T102" i="1"/>
  <c r="J103" i="1"/>
  <c r="K103" i="1"/>
  <c r="L103" i="1"/>
  <c r="M103" i="1"/>
  <c r="N103" i="1" a="1"/>
  <c r="N103" i="1" s="1"/>
  <c r="O103" i="1" a="1"/>
  <c r="O103" i="1" s="1"/>
  <c r="P103" i="1"/>
  <c r="S103" i="1"/>
  <c r="T103" i="1"/>
  <c r="J104" i="1"/>
  <c r="S104" i="1"/>
  <c r="T104" i="1"/>
  <c r="J105" i="1"/>
  <c r="K105" i="1"/>
  <c r="L105" i="1"/>
  <c r="M105" i="1"/>
  <c r="N105" i="1" a="1"/>
  <c r="N105" i="1" s="1"/>
  <c r="O105" i="1" a="1"/>
  <c r="O105" i="1" s="1"/>
  <c r="P105" i="1"/>
  <c r="S105" i="1"/>
  <c r="T105" i="1"/>
  <c r="J106" i="1"/>
  <c r="K106" i="1"/>
  <c r="L106" i="1"/>
  <c r="M106" i="1"/>
  <c r="N106" i="1" a="1"/>
  <c r="N106" i="1" s="1"/>
  <c r="O106" i="1" a="1"/>
  <c r="O106" i="1" s="1"/>
  <c r="P106" i="1"/>
  <c r="S106" i="1"/>
  <c r="T106" i="1"/>
  <c r="J107" i="1"/>
  <c r="K107" i="1"/>
  <c r="L107" i="1"/>
  <c r="M107" i="1"/>
  <c r="N107" i="1" a="1"/>
  <c r="N107" i="1" s="1"/>
  <c r="O107" i="1" a="1"/>
  <c r="O107" i="1" s="1"/>
  <c r="P107" i="1"/>
  <c r="S107" i="1"/>
  <c r="T107" i="1"/>
  <c r="J108" i="1"/>
  <c r="K112" i="1" s="1"/>
  <c r="K108" i="1"/>
  <c r="L108" i="1"/>
  <c r="M108" i="1"/>
  <c r="N108" i="1" a="1"/>
  <c r="N108" i="1" s="1"/>
  <c r="O108" i="1" a="1"/>
  <c r="O108" i="1" s="1"/>
  <c r="P108" i="1"/>
  <c r="S108" i="1"/>
  <c r="T108" i="1"/>
  <c r="J109" i="1"/>
  <c r="K109" i="1"/>
  <c r="L109" i="1"/>
  <c r="M109" i="1"/>
  <c r="N109" i="1" a="1"/>
  <c r="N109" i="1" s="1"/>
  <c r="O109" i="1" a="1"/>
  <c r="O109" i="1" s="1"/>
  <c r="P109" i="1"/>
  <c r="S109" i="1"/>
  <c r="T109" i="1"/>
  <c r="J110" i="1"/>
  <c r="K110" i="1"/>
  <c r="L110" i="1"/>
  <c r="M110" i="1"/>
  <c r="N110" i="1" a="1"/>
  <c r="N110" i="1" s="1"/>
  <c r="O110" i="1" a="1"/>
  <c r="O110" i="1" s="1"/>
  <c r="P110" i="1"/>
  <c r="S110" i="1"/>
  <c r="T110" i="1"/>
  <c r="J111" i="1"/>
  <c r="K111" i="1"/>
  <c r="L111" i="1"/>
  <c r="M111" i="1"/>
  <c r="N111" i="1" a="1"/>
  <c r="N111" i="1" s="1"/>
  <c r="O111" i="1" a="1"/>
  <c r="O111" i="1" s="1"/>
  <c r="P111" i="1"/>
  <c r="S111" i="1"/>
  <c r="T111" i="1"/>
  <c r="M112" i="1" s="1"/>
  <c r="J112" i="1"/>
  <c r="S112" i="1"/>
  <c r="T112" i="1"/>
  <c r="J113" i="1"/>
  <c r="K118" i="1" s="1"/>
  <c r="K113" i="1"/>
  <c r="L113" i="1"/>
  <c r="M113" i="1"/>
  <c r="N113" i="1" a="1"/>
  <c r="N113" i="1" s="1"/>
  <c r="O113" i="1" a="1"/>
  <c r="O113" i="1" s="1"/>
  <c r="P113" i="1"/>
  <c r="S113" i="1"/>
  <c r="T113" i="1"/>
  <c r="J114" i="1"/>
  <c r="K114" i="1"/>
  <c r="L114" i="1"/>
  <c r="M114" i="1"/>
  <c r="N114" i="1" a="1"/>
  <c r="N114" i="1" s="1"/>
  <c r="O114" i="1" a="1"/>
  <c r="O114" i="1" s="1"/>
  <c r="P114" i="1"/>
  <c r="S114" i="1"/>
  <c r="T114" i="1"/>
  <c r="J115" i="1"/>
  <c r="K115" i="1"/>
  <c r="L115" i="1"/>
  <c r="M115" i="1"/>
  <c r="N115" i="1" a="1"/>
  <c r="N115" i="1" s="1"/>
  <c r="O115" i="1" a="1"/>
  <c r="O115" i="1" s="1"/>
  <c r="P115" i="1"/>
  <c r="S115" i="1"/>
  <c r="L118" i="1" s="1"/>
  <c r="T115" i="1"/>
  <c r="J116" i="1"/>
  <c r="K116" i="1"/>
  <c r="L116" i="1"/>
  <c r="M116" i="1"/>
  <c r="N116" i="1" a="1"/>
  <c r="N116" i="1" s="1"/>
  <c r="O116" i="1" a="1"/>
  <c r="O116" i="1" s="1"/>
  <c r="P116" i="1"/>
  <c r="S116" i="1"/>
  <c r="T116" i="1"/>
  <c r="J117" i="1"/>
  <c r="K117" i="1"/>
  <c r="L117" i="1"/>
  <c r="M117" i="1"/>
  <c r="N117" i="1" a="1"/>
  <c r="N117" i="1" s="1"/>
  <c r="O117" i="1" a="1"/>
  <c r="O117" i="1" s="1"/>
  <c r="P117" i="1"/>
  <c r="S117" i="1"/>
  <c r="T117" i="1"/>
  <c r="J118" i="1"/>
  <c r="S118" i="1"/>
  <c r="T118" i="1"/>
  <c r="J119" i="1"/>
  <c r="K119" i="1"/>
  <c r="L119" i="1"/>
  <c r="M119" i="1"/>
  <c r="N119" i="1" a="1"/>
  <c r="N119" i="1" s="1"/>
  <c r="O119" i="1" a="1"/>
  <c r="O119" i="1" s="1"/>
  <c r="P119" i="1"/>
  <c r="S119" i="1"/>
  <c r="T119" i="1"/>
  <c r="J120" i="1"/>
  <c r="K124" i="1" s="1"/>
  <c r="K120" i="1"/>
  <c r="L120" i="1"/>
  <c r="M120" i="1"/>
  <c r="N120" i="1" a="1"/>
  <c r="N120" i="1" s="1"/>
  <c r="O120" i="1" a="1"/>
  <c r="O120" i="1" s="1"/>
  <c r="P120" i="1"/>
  <c r="S120" i="1"/>
  <c r="T120" i="1"/>
  <c r="M124" i="1" s="1"/>
  <c r="J121" i="1"/>
  <c r="K121" i="1"/>
  <c r="L121" i="1"/>
  <c r="M121" i="1"/>
  <c r="N121" i="1" a="1"/>
  <c r="N121" i="1" s="1"/>
  <c r="O121" i="1" a="1"/>
  <c r="O121" i="1" s="1"/>
  <c r="P121" i="1"/>
  <c r="S121" i="1"/>
  <c r="T121" i="1"/>
  <c r="J122" i="1"/>
  <c r="K122" i="1"/>
  <c r="L122" i="1"/>
  <c r="M122" i="1"/>
  <c r="N122" i="1" a="1"/>
  <c r="N122" i="1" s="1"/>
  <c r="O122" i="1" a="1"/>
  <c r="O122" i="1" s="1"/>
  <c r="P122" i="1"/>
  <c r="S122" i="1"/>
  <c r="T122" i="1"/>
  <c r="J123" i="1"/>
  <c r="K123" i="1"/>
  <c r="L123" i="1"/>
  <c r="M123" i="1"/>
  <c r="N123" i="1" a="1"/>
  <c r="N123" i="1" s="1"/>
  <c r="O123" i="1" a="1"/>
  <c r="O123" i="1" s="1"/>
  <c r="P123" i="1"/>
  <c r="S123" i="1"/>
  <c r="T123" i="1"/>
  <c r="J124" i="1"/>
  <c r="S124" i="1"/>
  <c r="T124" i="1"/>
  <c r="J125" i="1"/>
  <c r="K129" i="1" s="1"/>
  <c r="K125" i="1"/>
  <c r="L125" i="1"/>
  <c r="M125" i="1"/>
  <c r="N125" i="1" a="1"/>
  <c r="N125" i="1" s="1"/>
  <c r="O125" i="1" a="1"/>
  <c r="O125" i="1" s="1"/>
  <c r="P125" i="1"/>
  <c r="S125" i="1"/>
  <c r="T125" i="1"/>
  <c r="J126" i="1"/>
  <c r="K126" i="1"/>
  <c r="L126" i="1"/>
  <c r="M126" i="1"/>
  <c r="N126" i="1" a="1"/>
  <c r="N126" i="1" s="1"/>
  <c r="O126" i="1" a="1"/>
  <c r="O126" i="1" s="1"/>
  <c r="P126" i="1"/>
  <c r="S126" i="1"/>
  <c r="L129" i="1" s="1"/>
  <c r="T126" i="1"/>
  <c r="J127" i="1"/>
  <c r="K127" i="1"/>
  <c r="L127" i="1"/>
  <c r="M127" i="1"/>
  <c r="N127" i="1" a="1"/>
  <c r="N127" i="1" s="1"/>
  <c r="O127" i="1" a="1"/>
  <c r="O127" i="1" s="1"/>
  <c r="P127" i="1"/>
  <c r="S127" i="1"/>
  <c r="T127" i="1"/>
  <c r="J128" i="1"/>
  <c r="K128" i="1"/>
  <c r="L128" i="1"/>
  <c r="M128" i="1"/>
  <c r="N128" i="1" a="1"/>
  <c r="N128" i="1" s="1"/>
  <c r="O128" i="1" a="1"/>
  <c r="O128" i="1" s="1"/>
  <c r="P128" i="1"/>
  <c r="S128" i="1"/>
  <c r="T128" i="1"/>
  <c r="J129" i="1"/>
  <c r="S129" i="1"/>
  <c r="T129" i="1"/>
  <c r="J130" i="1"/>
  <c r="K130" i="1"/>
  <c r="L130" i="1"/>
  <c r="M130" i="1"/>
  <c r="N130" i="1" a="1"/>
  <c r="N130" i="1" s="1"/>
  <c r="O130" i="1" a="1"/>
  <c r="O130" i="1" s="1"/>
  <c r="P130" i="1"/>
  <c r="S130" i="1"/>
  <c r="T130" i="1"/>
  <c r="J131" i="1"/>
  <c r="K131" i="1"/>
  <c r="L131" i="1"/>
  <c r="M131" i="1"/>
  <c r="N131" i="1" a="1"/>
  <c r="N131" i="1" s="1"/>
  <c r="O131" i="1" a="1"/>
  <c r="O131" i="1" s="1"/>
  <c r="P131" i="1"/>
  <c r="S131" i="1"/>
  <c r="T131" i="1"/>
  <c r="J132" i="1"/>
  <c r="K134" i="1" s="1"/>
  <c r="K132" i="1"/>
  <c r="L132" i="1"/>
  <c r="M132" i="1"/>
  <c r="N132" i="1" a="1"/>
  <c r="N132" i="1" s="1"/>
  <c r="O132" i="1" a="1"/>
  <c r="O132" i="1" s="1"/>
  <c r="P132" i="1"/>
  <c r="S132" i="1"/>
  <c r="T132" i="1"/>
  <c r="J133" i="1"/>
  <c r="K133" i="1"/>
  <c r="L133" i="1"/>
  <c r="M133" i="1"/>
  <c r="N133" i="1" a="1"/>
  <c r="N133" i="1" s="1"/>
  <c r="O133" i="1" a="1"/>
  <c r="O133" i="1" s="1"/>
  <c r="P133" i="1"/>
  <c r="S133" i="1"/>
  <c r="T133" i="1"/>
  <c r="J134" i="1"/>
  <c r="S134" i="1"/>
  <c r="T134" i="1"/>
  <c r="J135" i="1"/>
  <c r="K135" i="1"/>
  <c r="L135" i="1"/>
  <c r="M135" i="1"/>
  <c r="N135" i="1" a="1"/>
  <c r="N135" i="1" s="1"/>
  <c r="O135" i="1" a="1"/>
  <c r="O135" i="1" s="1"/>
  <c r="P135" i="1"/>
  <c r="S135" i="1"/>
  <c r="T135" i="1"/>
  <c r="J136" i="1"/>
  <c r="K136" i="1"/>
  <c r="L136" i="1"/>
  <c r="M136" i="1"/>
  <c r="N136" i="1" a="1"/>
  <c r="N136" i="1" s="1"/>
  <c r="O136" i="1" a="1"/>
  <c r="O136" i="1" s="1"/>
  <c r="P136" i="1"/>
  <c r="S136" i="1"/>
  <c r="T136" i="1"/>
  <c r="J137" i="1"/>
  <c r="K137" i="1"/>
  <c r="L137" i="1"/>
  <c r="M137" i="1"/>
  <c r="N137" i="1" a="1"/>
  <c r="N137" i="1" s="1"/>
  <c r="O137" i="1" a="1"/>
  <c r="O137" i="1" s="1"/>
  <c r="P137" i="1"/>
  <c r="S137" i="1"/>
  <c r="T137" i="1"/>
  <c r="J138" i="1"/>
  <c r="K138" i="1"/>
  <c r="L138" i="1"/>
  <c r="M138" i="1"/>
  <c r="N138" i="1" a="1"/>
  <c r="N138" i="1" s="1"/>
  <c r="O138" i="1" a="1"/>
  <c r="O138" i="1" s="1"/>
  <c r="P138" i="1"/>
  <c r="S138" i="1"/>
  <c r="T138" i="1"/>
  <c r="J139" i="1"/>
  <c r="K139" i="1"/>
  <c r="S139" i="1"/>
  <c r="T139" i="1"/>
  <c r="J140" i="1"/>
  <c r="K140" i="1"/>
  <c r="L140" i="1"/>
  <c r="M140" i="1"/>
  <c r="N140" i="1" a="1"/>
  <c r="N140" i="1" s="1"/>
  <c r="O140" i="1" a="1"/>
  <c r="O140" i="1" s="1"/>
  <c r="P140" i="1"/>
  <c r="S140" i="1"/>
  <c r="T140" i="1"/>
  <c r="J141" i="1"/>
  <c r="K141" i="1"/>
  <c r="L141" i="1"/>
  <c r="M141" i="1"/>
  <c r="N141" i="1" a="1"/>
  <c r="N141" i="1" s="1"/>
  <c r="O141" i="1" a="1"/>
  <c r="O141" i="1" s="1"/>
  <c r="P141" i="1"/>
  <c r="S141" i="1"/>
  <c r="L143" i="1" s="1"/>
  <c r="T141" i="1"/>
  <c r="J142" i="1"/>
  <c r="K142" i="1"/>
  <c r="L142" i="1"/>
  <c r="M142" i="1"/>
  <c r="N142" i="1" a="1"/>
  <c r="N142" i="1" s="1"/>
  <c r="O142" i="1" a="1"/>
  <c r="O142" i="1" s="1"/>
  <c r="P142" i="1"/>
  <c r="S142" i="1"/>
  <c r="T142" i="1"/>
  <c r="J143" i="1"/>
  <c r="K143" i="1"/>
  <c r="M143" i="1"/>
  <c r="S143" i="1"/>
  <c r="T143" i="1"/>
  <c r="J144" i="1"/>
  <c r="K146" i="1" s="1"/>
  <c r="K144" i="1"/>
  <c r="L144" i="1"/>
  <c r="M144" i="1"/>
  <c r="N144" i="1" a="1"/>
  <c r="N144" i="1" s="1"/>
  <c r="O144" i="1" a="1"/>
  <c r="O144" i="1" s="1"/>
  <c r="P144" i="1"/>
  <c r="S144" i="1"/>
  <c r="T144" i="1"/>
  <c r="J145" i="1"/>
  <c r="K145" i="1"/>
  <c r="L145" i="1"/>
  <c r="M145" i="1"/>
  <c r="N145" i="1" a="1"/>
  <c r="N145" i="1" s="1"/>
  <c r="O145" i="1" a="1"/>
  <c r="O145" i="1" s="1"/>
  <c r="P145" i="1"/>
  <c r="S145" i="1"/>
  <c r="T145" i="1"/>
  <c r="M146" i="1" s="1"/>
  <c r="J146" i="1"/>
  <c r="S146" i="1"/>
  <c r="L146" i="1" s="1"/>
  <c r="T146" i="1"/>
  <c r="J147" i="1"/>
  <c r="K148" i="1" s="1"/>
  <c r="K147" i="1"/>
  <c r="L147" i="1"/>
  <c r="M147" i="1"/>
  <c r="N147" i="1" a="1"/>
  <c r="N147" i="1" s="1"/>
  <c r="O147" i="1" a="1"/>
  <c r="O147" i="1" s="1"/>
  <c r="P147" i="1"/>
  <c r="S147" i="1"/>
  <c r="T147" i="1"/>
  <c r="J148" i="1"/>
  <c r="L148" i="1"/>
  <c r="S148" i="1"/>
  <c r="T148" i="1"/>
  <c r="J149" i="1"/>
  <c r="K149" i="1"/>
  <c r="L149" i="1"/>
  <c r="M149" i="1"/>
  <c r="N149" i="1" a="1"/>
  <c r="N149" i="1" s="1"/>
  <c r="O149" i="1" a="1"/>
  <c r="O149" i="1" s="1"/>
  <c r="P149" i="1"/>
  <c r="S149" i="1"/>
  <c r="T149" i="1"/>
  <c r="J150" i="1"/>
  <c r="K150" i="1"/>
  <c r="L150" i="1"/>
  <c r="M150" i="1"/>
  <c r="N150" i="1" a="1"/>
  <c r="N150" i="1" s="1"/>
  <c r="O150" i="1" a="1"/>
  <c r="O150" i="1" s="1"/>
  <c r="P150" i="1"/>
  <c r="S150" i="1"/>
  <c r="T150" i="1"/>
  <c r="J151" i="1"/>
  <c r="K151" i="1"/>
  <c r="L151" i="1"/>
  <c r="M151" i="1"/>
  <c r="N151" i="1" a="1"/>
  <c r="N151" i="1" s="1"/>
  <c r="O151" i="1" a="1"/>
  <c r="O151" i="1" s="1"/>
  <c r="P151" i="1"/>
  <c r="S151" i="1"/>
  <c r="T151" i="1"/>
  <c r="J152" i="1"/>
  <c r="K152" i="1"/>
  <c r="L152" i="1"/>
  <c r="M152" i="1"/>
  <c r="N152" i="1" a="1"/>
  <c r="N152" i="1" s="1"/>
  <c r="O152" i="1" a="1"/>
  <c r="O152" i="1" s="1"/>
  <c r="P152" i="1"/>
  <c r="S152" i="1"/>
  <c r="T152" i="1"/>
  <c r="J153" i="1"/>
  <c r="K153" i="1"/>
  <c r="L153" i="1"/>
  <c r="M153" i="1"/>
  <c r="N153" i="1" a="1"/>
  <c r="N153" i="1" s="1"/>
  <c r="O153" i="1" a="1"/>
  <c r="O153" i="1" s="1"/>
  <c r="P153" i="1"/>
  <c r="S153" i="1"/>
  <c r="T153" i="1"/>
  <c r="J154" i="1"/>
  <c r="K154" i="1"/>
  <c r="L154" i="1"/>
  <c r="M154" i="1"/>
  <c r="N154" i="1" a="1"/>
  <c r="N154" i="1" s="1"/>
  <c r="O154" i="1" a="1"/>
  <c r="O154" i="1" s="1"/>
  <c r="P154" i="1"/>
  <c r="S154" i="1"/>
  <c r="T154" i="1"/>
  <c r="J155" i="1"/>
  <c r="K155" i="1"/>
  <c r="L155" i="1"/>
  <c r="M155" i="1"/>
  <c r="N155" i="1" a="1"/>
  <c r="N155" i="1" s="1"/>
  <c r="O155" i="1" a="1"/>
  <c r="O155" i="1" s="1"/>
  <c r="P155" i="1"/>
  <c r="S155" i="1"/>
  <c r="T155" i="1"/>
  <c r="J156" i="1"/>
  <c r="K156" i="1"/>
  <c r="L156" i="1"/>
  <c r="M156" i="1"/>
  <c r="N156" i="1" a="1"/>
  <c r="N156" i="1" s="1"/>
  <c r="O156" i="1" a="1"/>
  <c r="O156" i="1" s="1"/>
  <c r="P156" i="1"/>
  <c r="S156" i="1"/>
  <c r="T156" i="1"/>
  <c r="J157" i="1"/>
  <c r="K157" i="1"/>
  <c r="L157" i="1"/>
  <c r="M157" i="1"/>
  <c r="N157" i="1" a="1"/>
  <c r="N157" i="1" s="1"/>
  <c r="O157" i="1" a="1"/>
  <c r="O157" i="1" s="1"/>
  <c r="P157" i="1"/>
  <c r="S157" i="1"/>
  <c r="T157" i="1"/>
  <c r="J158" i="1"/>
  <c r="K158" i="1"/>
  <c r="L158" i="1"/>
  <c r="M158" i="1"/>
  <c r="N158" i="1" a="1"/>
  <c r="N158" i="1" s="1"/>
  <c r="O158" i="1" a="1"/>
  <c r="O158" i="1" s="1"/>
  <c r="P158" i="1"/>
  <c r="S158" i="1"/>
  <c r="T158" i="1"/>
  <c r="J159" i="1"/>
  <c r="K159" i="1"/>
  <c r="L159" i="1"/>
  <c r="M159" i="1"/>
  <c r="N159" i="1" a="1"/>
  <c r="N159" i="1" s="1"/>
  <c r="O159" i="1" a="1"/>
  <c r="O159" i="1" s="1"/>
  <c r="P159" i="1"/>
  <c r="S159" i="1"/>
  <c r="T159" i="1"/>
  <c r="J160" i="1"/>
  <c r="K160" i="1"/>
  <c r="L160" i="1"/>
  <c r="M160" i="1"/>
  <c r="N160" i="1" a="1"/>
  <c r="N160" i="1" s="1"/>
  <c r="O160" i="1" a="1"/>
  <c r="O160" i="1" s="1"/>
  <c r="P160" i="1"/>
  <c r="S160" i="1"/>
  <c r="T160" i="1"/>
  <c r="J161" i="1"/>
  <c r="K161" i="1"/>
  <c r="L161" i="1"/>
  <c r="M161" i="1"/>
  <c r="N161" i="1" a="1"/>
  <c r="N161" i="1" s="1"/>
  <c r="O161" i="1" a="1"/>
  <c r="O161" i="1" s="1"/>
  <c r="P161" i="1"/>
  <c r="S161" i="1"/>
  <c r="T161" i="1"/>
  <c r="J162" i="1"/>
  <c r="K162" i="1"/>
  <c r="L162" i="1"/>
  <c r="M162" i="1"/>
  <c r="N162" i="1" a="1"/>
  <c r="N162" i="1" s="1"/>
  <c r="O162" i="1" a="1"/>
  <c r="O162" i="1" s="1"/>
  <c r="P162" i="1"/>
  <c r="S162" i="1"/>
  <c r="T162" i="1"/>
  <c r="J163" i="1"/>
  <c r="K163" i="1"/>
  <c r="L163" i="1"/>
  <c r="M163" i="1"/>
  <c r="N163" i="1" a="1"/>
  <c r="N163" i="1" s="1"/>
  <c r="O163" i="1" a="1"/>
  <c r="O163" i="1" s="1"/>
  <c r="P163" i="1"/>
  <c r="S163" i="1"/>
  <c r="T163" i="1"/>
  <c r="J164" i="1"/>
  <c r="K164" i="1"/>
  <c r="L164" i="1"/>
  <c r="M164" i="1"/>
  <c r="N164" i="1" a="1"/>
  <c r="N164" i="1" s="1"/>
  <c r="O164" i="1" a="1"/>
  <c r="O164" i="1" s="1"/>
  <c r="P164" i="1"/>
  <c r="S164" i="1"/>
  <c r="T164" i="1"/>
  <c r="J165" i="1"/>
  <c r="K165" i="1"/>
  <c r="L165" i="1"/>
  <c r="M165" i="1"/>
  <c r="N165" i="1" a="1"/>
  <c r="N165" i="1" s="1"/>
  <c r="O165" i="1" a="1"/>
  <c r="O165" i="1" s="1"/>
  <c r="P165" i="1"/>
  <c r="S165" i="1"/>
  <c r="T165" i="1"/>
  <c r="J166" i="1"/>
  <c r="K166" i="1"/>
  <c r="L166" i="1"/>
  <c r="M166" i="1"/>
  <c r="N166" i="1" a="1"/>
  <c r="N166" i="1" s="1"/>
  <c r="O166" i="1" a="1"/>
  <c r="O166" i="1" s="1"/>
  <c r="P166" i="1"/>
  <c r="S166" i="1"/>
  <c r="T166" i="1"/>
  <c r="J167" i="1"/>
  <c r="K167" i="1"/>
  <c r="L167" i="1"/>
  <c r="M167" i="1"/>
  <c r="N167" i="1" a="1"/>
  <c r="N167" i="1" s="1"/>
  <c r="O167" i="1" a="1"/>
  <c r="O167" i="1" s="1"/>
  <c r="P167" i="1"/>
  <c r="S167" i="1"/>
  <c r="T167" i="1"/>
  <c r="J168" i="1"/>
  <c r="K168" i="1"/>
  <c r="L168" i="1"/>
  <c r="M168" i="1"/>
  <c r="N168" i="1" a="1"/>
  <c r="N168" i="1" s="1"/>
  <c r="O168" i="1" a="1"/>
  <c r="O168" i="1" s="1"/>
  <c r="P168" i="1"/>
  <c r="S168" i="1"/>
  <c r="T168" i="1"/>
  <c r="J169" i="1"/>
  <c r="K169" i="1"/>
  <c r="L169" i="1"/>
  <c r="M169" i="1"/>
  <c r="N169" i="1" a="1"/>
  <c r="N169" i="1" s="1"/>
  <c r="O169" i="1" a="1"/>
  <c r="O169" i="1" s="1"/>
  <c r="P169" i="1"/>
  <c r="S169" i="1"/>
  <c r="T169" i="1"/>
  <c r="J170" i="1"/>
  <c r="K170" i="1"/>
  <c r="L170" i="1"/>
  <c r="M170" i="1"/>
  <c r="N170" i="1" a="1"/>
  <c r="N170" i="1" s="1"/>
  <c r="O170" i="1" a="1"/>
  <c r="O170" i="1" s="1"/>
  <c r="P170" i="1"/>
  <c r="S170" i="1"/>
  <c r="T170" i="1"/>
  <c r="J171" i="1"/>
  <c r="K171" i="1"/>
  <c r="L171" i="1"/>
  <c r="M171" i="1"/>
  <c r="N171" i="1" a="1"/>
  <c r="N171" i="1" s="1"/>
  <c r="O171" i="1" a="1"/>
  <c r="O171" i="1" s="1"/>
  <c r="P171" i="1"/>
  <c r="S171" i="1"/>
  <c r="T171" i="1"/>
  <c r="J172" i="1"/>
  <c r="K172" i="1"/>
  <c r="L172" i="1"/>
  <c r="M172" i="1"/>
  <c r="N172" i="1" a="1"/>
  <c r="N172" i="1" s="1"/>
  <c r="O172" i="1" a="1"/>
  <c r="O172" i="1" s="1"/>
  <c r="P172" i="1"/>
  <c r="S172" i="1"/>
  <c r="T172" i="1"/>
  <c r="J173" i="1"/>
  <c r="K173" i="1"/>
  <c r="L173" i="1"/>
  <c r="M173" i="1"/>
  <c r="N173" i="1" a="1"/>
  <c r="N173" i="1" s="1"/>
  <c r="O173" i="1" a="1"/>
  <c r="O173" i="1" s="1"/>
  <c r="P173" i="1"/>
  <c r="S173" i="1"/>
  <c r="T173" i="1"/>
  <c r="J174" i="1"/>
  <c r="K174" i="1"/>
  <c r="L174" i="1"/>
  <c r="M174" i="1"/>
  <c r="N174" i="1" a="1"/>
  <c r="N174" i="1" s="1"/>
  <c r="O174" i="1" a="1"/>
  <c r="O174" i="1" s="1"/>
  <c r="P174" i="1"/>
  <c r="S174" i="1"/>
  <c r="T174" i="1"/>
  <c r="J175" i="1"/>
  <c r="K175" i="1"/>
  <c r="L175" i="1"/>
  <c r="M175" i="1"/>
  <c r="N175" i="1" a="1"/>
  <c r="N175" i="1" s="1"/>
  <c r="O175" i="1" a="1"/>
  <c r="O175" i="1" s="1"/>
  <c r="P175" i="1"/>
  <c r="S175" i="1"/>
  <c r="T175" i="1"/>
  <c r="J176" i="1"/>
  <c r="K176" i="1"/>
  <c r="L176" i="1"/>
  <c r="M176" i="1"/>
  <c r="N176" i="1" a="1"/>
  <c r="N176" i="1" s="1"/>
  <c r="O176" i="1" a="1"/>
  <c r="O176" i="1" s="1"/>
  <c r="P176" i="1"/>
  <c r="S176" i="1"/>
  <c r="T176" i="1"/>
  <c r="J177" i="1"/>
  <c r="K177" i="1"/>
  <c r="L177" i="1"/>
  <c r="M177" i="1"/>
  <c r="N177" i="1" a="1"/>
  <c r="N177" i="1" s="1"/>
  <c r="O177" i="1" a="1"/>
  <c r="O177" i="1" s="1"/>
  <c r="P177" i="1"/>
  <c r="S177" i="1"/>
  <c r="T177" i="1"/>
  <c r="J178" i="1"/>
  <c r="K178" i="1"/>
  <c r="L178" i="1"/>
  <c r="M178" i="1"/>
  <c r="N178" i="1" a="1"/>
  <c r="N178" i="1" s="1"/>
  <c r="O178" i="1" a="1"/>
  <c r="O178" i="1" s="1"/>
  <c r="P178" i="1"/>
  <c r="S178" i="1"/>
  <c r="T178" i="1"/>
  <c r="J179" i="1"/>
  <c r="K179" i="1"/>
  <c r="L179" i="1"/>
  <c r="M179" i="1"/>
  <c r="N179" i="1" a="1"/>
  <c r="N179" i="1" s="1"/>
  <c r="O179" i="1" a="1"/>
  <c r="O179" i="1" s="1"/>
  <c r="P179" i="1"/>
  <c r="S179" i="1"/>
  <c r="T179" i="1"/>
  <c r="J180" i="1"/>
  <c r="K180" i="1"/>
  <c r="L180" i="1"/>
  <c r="M180" i="1"/>
  <c r="N180" i="1" a="1"/>
  <c r="N180" i="1" s="1"/>
  <c r="O180" i="1" a="1"/>
  <c r="O180" i="1" s="1"/>
  <c r="P180" i="1"/>
  <c r="S180" i="1"/>
  <c r="T180" i="1"/>
  <c r="J181" i="1"/>
  <c r="K181" i="1"/>
  <c r="L181" i="1"/>
  <c r="M181" i="1"/>
  <c r="N181" i="1" a="1"/>
  <c r="N181" i="1" s="1"/>
  <c r="O181" i="1" a="1"/>
  <c r="O181" i="1" s="1"/>
  <c r="P181" i="1"/>
  <c r="S181" i="1"/>
  <c r="T181" i="1"/>
  <c r="J182" i="1"/>
  <c r="K182" i="1"/>
  <c r="L182" i="1"/>
  <c r="M182" i="1"/>
  <c r="N182" i="1" a="1"/>
  <c r="N182" i="1" s="1"/>
  <c r="O182" i="1" a="1"/>
  <c r="O182" i="1" s="1"/>
  <c r="P182" i="1"/>
  <c r="S182" i="1"/>
  <c r="T182" i="1"/>
  <c r="J183" i="1"/>
  <c r="K183" i="1"/>
  <c r="L183" i="1"/>
  <c r="M183" i="1"/>
  <c r="N183" i="1" a="1"/>
  <c r="N183" i="1" s="1"/>
  <c r="O183" i="1" a="1"/>
  <c r="O183" i="1" s="1"/>
  <c r="P183" i="1"/>
  <c r="S183" i="1"/>
  <c r="T183" i="1"/>
  <c r="J184" i="1"/>
  <c r="K184" i="1"/>
  <c r="L184" i="1"/>
  <c r="M184" i="1"/>
  <c r="N184" i="1" a="1"/>
  <c r="N184" i="1" s="1"/>
  <c r="O184" i="1" a="1"/>
  <c r="O184" i="1" s="1"/>
  <c r="P184" i="1"/>
  <c r="S184" i="1"/>
  <c r="T184" i="1"/>
  <c r="J185" i="1"/>
  <c r="K185" i="1"/>
  <c r="L185" i="1"/>
  <c r="M185" i="1"/>
  <c r="N185" i="1" a="1"/>
  <c r="N185" i="1" s="1"/>
  <c r="O185" i="1" a="1"/>
  <c r="O185" i="1" s="1"/>
  <c r="P185" i="1"/>
  <c r="S185" i="1"/>
  <c r="T185" i="1"/>
  <c r="J186" i="1"/>
  <c r="K186" i="1"/>
  <c r="L186" i="1"/>
  <c r="M186" i="1"/>
  <c r="N186" i="1" a="1"/>
  <c r="N186" i="1" s="1"/>
  <c r="O186" i="1" a="1"/>
  <c r="O186" i="1" s="1"/>
  <c r="P186" i="1"/>
  <c r="S186" i="1"/>
  <c r="T186" i="1"/>
  <c r="J187" i="1"/>
  <c r="K187" i="1"/>
  <c r="L187" i="1"/>
  <c r="M187" i="1"/>
  <c r="N187" i="1" a="1"/>
  <c r="N187" i="1" s="1"/>
  <c r="O187" i="1" a="1"/>
  <c r="O187" i="1" s="1"/>
  <c r="P187" i="1"/>
  <c r="S187" i="1"/>
  <c r="T187" i="1"/>
  <c r="J188" i="1"/>
  <c r="K188" i="1"/>
  <c r="L188" i="1"/>
  <c r="M188" i="1"/>
  <c r="N188" i="1" a="1"/>
  <c r="N188" i="1" s="1"/>
  <c r="O188" i="1" a="1"/>
  <c r="O188" i="1" s="1"/>
  <c r="P188" i="1"/>
  <c r="S188" i="1"/>
  <c r="T188" i="1"/>
  <c r="J189" i="1"/>
  <c r="K189" i="1"/>
  <c r="L189" i="1"/>
  <c r="M189" i="1"/>
  <c r="N189" i="1" a="1"/>
  <c r="N189" i="1" s="1"/>
  <c r="O189" i="1" a="1"/>
  <c r="O189" i="1" s="1"/>
  <c r="P189" i="1"/>
  <c r="S189" i="1"/>
  <c r="T189" i="1"/>
  <c r="J190" i="1"/>
  <c r="K190" i="1"/>
  <c r="L190" i="1"/>
  <c r="M190" i="1"/>
  <c r="N190" i="1" a="1"/>
  <c r="N190" i="1" s="1"/>
  <c r="O190" i="1" a="1"/>
  <c r="O190" i="1" s="1"/>
  <c r="P190" i="1"/>
  <c r="S190" i="1"/>
  <c r="T190" i="1"/>
  <c r="J191" i="1"/>
  <c r="K191" i="1"/>
  <c r="L191" i="1"/>
  <c r="M191" i="1"/>
  <c r="N191" i="1" a="1"/>
  <c r="N191" i="1" s="1"/>
  <c r="O191" i="1" a="1"/>
  <c r="O191" i="1" s="1"/>
  <c r="P191" i="1"/>
  <c r="S191" i="1"/>
  <c r="T191" i="1"/>
  <c r="J192" i="1"/>
  <c r="K192" i="1"/>
  <c r="L192" i="1"/>
  <c r="M192" i="1"/>
  <c r="N192" i="1" a="1"/>
  <c r="N192" i="1" s="1"/>
  <c r="O192" i="1" a="1"/>
  <c r="O192" i="1" s="1"/>
  <c r="P192" i="1"/>
  <c r="S192" i="1"/>
  <c r="T192" i="1"/>
  <c r="J193" i="1"/>
  <c r="K193" i="1"/>
  <c r="L193" i="1"/>
  <c r="M193" i="1"/>
  <c r="N193" i="1" a="1"/>
  <c r="N193" i="1" s="1"/>
  <c r="O193" i="1" a="1"/>
  <c r="O193" i="1" s="1"/>
  <c r="P193" i="1"/>
  <c r="S193" i="1"/>
  <c r="T193" i="1"/>
  <c r="J194" i="1"/>
  <c r="K194" i="1"/>
  <c r="L194" i="1"/>
  <c r="M194" i="1"/>
  <c r="N194" i="1" a="1"/>
  <c r="N194" i="1" s="1"/>
  <c r="O194" i="1" a="1"/>
  <c r="O194" i="1" s="1"/>
  <c r="P194" i="1"/>
  <c r="S194" i="1"/>
  <c r="T194" i="1"/>
  <c r="J195" i="1"/>
  <c r="K195" i="1"/>
  <c r="L195" i="1"/>
  <c r="M195" i="1"/>
  <c r="N195" i="1" a="1"/>
  <c r="N195" i="1" s="1"/>
  <c r="O195" i="1" a="1"/>
  <c r="O195" i="1" s="1"/>
  <c r="P195" i="1"/>
  <c r="S195" i="1"/>
  <c r="T195" i="1"/>
  <c r="J196" i="1"/>
  <c r="K196" i="1"/>
  <c r="L196" i="1"/>
  <c r="M196" i="1"/>
  <c r="N196" i="1" a="1"/>
  <c r="N196" i="1" s="1"/>
  <c r="O196" i="1" a="1"/>
  <c r="O196" i="1" s="1"/>
  <c r="P196" i="1"/>
  <c r="S196" i="1"/>
  <c r="T196" i="1"/>
  <c r="J197" i="1"/>
  <c r="K197" i="1"/>
  <c r="L197" i="1"/>
  <c r="M197" i="1"/>
  <c r="N197" i="1" a="1"/>
  <c r="N197" i="1" s="1"/>
  <c r="O197" i="1" a="1"/>
  <c r="O197" i="1" s="1"/>
  <c r="P197" i="1"/>
  <c r="S197" i="1"/>
  <c r="T197" i="1"/>
  <c r="J198" i="1"/>
  <c r="K198" i="1"/>
  <c r="L198" i="1"/>
  <c r="M198" i="1"/>
  <c r="N198" i="1" a="1"/>
  <c r="N198" i="1" s="1"/>
  <c r="O198" i="1" a="1"/>
  <c r="O198" i="1" s="1"/>
  <c r="P198" i="1"/>
  <c r="S198" i="1"/>
  <c r="T198" i="1"/>
  <c r="J199" i="1"/>
  <c r="K199" i="1"/>
  <c r="L199" i="1"/>
  <c r="M199" i="1"/>
  <c r="N199" i="1" a="1"/>
  <c r="N199" i="1" s="1"/>
  <c r="O199" i="1" a="1"/>
  <c r="O199" i="1" s="1"/>
  <c r="P199" i="1"/>
  <c r="S199" i="1"/>
  <c r="T199" i="1"/>
  <c r="J200" i="1"/>
  <c r="K200" i="1"/>
  <c r="L200" i="1"/>
  <c r="M200" i="1"/>
  <c r="N200" i="1" a="1"/>
  <c r="N200" i="1" s="1"/>
  <c r="O200" i="1" a="1"/>
  <c r="O200" i="1" s="1"/>
  <c r="P200" i="1"/>
  <c r="S200" i="1"/>
  <c r="T200" i="1"/>
  <c r="J201" i="1"/>
  <c r="K201" i="1"/>
  <c r="L201" i="1"/>
  <c r="M201" i="1"/>
  <c r="N201" i="1" a="1"/>
  <c r="N201" i="1" s="1"/>
  <c r="O201" i="1" a="1"/>
  <c r="O201" i="1" s="1"/>
  <c r="P201" i="1"/>
  <c r="S201" i="1"/>
  <c r="T201" i="1"/>
  <c r="J202" i="1"/>
  <c r="K202" i="1"/>
  <c r="L202" i="1"/>
  <c r="M202" i="1"/>
  <c r="N202" i="1" a="1"/>
  <c r="N202" i="1" s="1"/>
  <c r="O202" i="1" a="1"/>
  <c r="O202" i="1" s="1"/>
  <c r="P202" i="1"/>
  <c r="S202" i="1"/>
  <c r="T202" i="1"/>
  <c r="J203" i="1"/>
  <c r="K203" i="1"/>
  <c r="L203" i="1"/>
  <c r="M203" i="1"/>
  <c r="N203" i="1" a="1"/>
  <c r="N203" i="1" s="1"/>
  <c r="O203" i="1" a="1"/>
  <c r="O203" i="1" s="1"/>
  <c r="P203" i="1"/>
  <c r="S203" i="1"/>
  <c r="T203" i="1"/>
  <c r="J204" i="1"/>
  <c r="K204" i="1"/>
  <c r="L204" i="1"/>
  <c r="M204" i="1"/>
  <c r="N204" i="1" a="1"/>
  <c r="N204" i="1" s="1"/>
  <c r="O204" i="1" a="1"/>
  <c r="O204" i="1" s="1"/>
  <c r="P204" i="1"/>
  <c r="S204" i="1"/>
  <c r="T204" i="1"/>
  <c r="J205" i="1"/>
  <c r="K205" i="1"/>
  <c r="L205" i="1"/>
  <c r="M205" i="1"/>
  <c r="N205" i="1" a="1"/>
  <c r="N205" i="1" s="1"/>
  <c r="O205" i="1" a="1"/>
  <c r="O205" i="1" s="1"/>
  <c r="P205" i="1"/>
  <c r="S205" i="1"/>
  <c r="T205" i="1"/>
  <c r="J206" i="1"/>
  <c r="K206" i="1"/>
  <c r="L206" i="1"/>
  <c r="M206" i="1"/>
  <c r="N206" i="1" a="1"/>
  <c r="N206" i="1" s="1"/>
  <c r="O206" i="1" a="1"/>
  <c r="O206" i="1" s="1"/>
  <c r="P206" i="1"/>
  <c r="S206" i="1"/>
  <c r="T206" i="1"/>
  <c r="J207" i="1"/>
  <c r="K207" i="1"/>
  <c r="L207" i="1"/>
  <c r="M207" i="1"/>
  <c r="N207" i="1" a="1"/>
  <c r="N207" i="1" s="1"/>
  <c r="O207" i="1" a="1"/>
  <c r="O207" i="1" s="1"/>
  <c r="P207" i="1"/>
  <c r="S207" i="1"/>
  <c r="T207" i="1"/>
  <c r="J208" i="1"/>
  <c r="K208" i="1"/>
  <c r="L208" i="1"/>
  <c r="M208" i="1"/>
  <c r="N208" i="1" a="1"/>
  <c r="N208" i="1" s="1"/>
  <c r="O208" i="1" a="1"/>
  <c r="O208" i="1" s="1"/>
  <c r="P208" i="1"/>
  <c r="S208" i="1"/>
  <c r="T208" i="1"/>
  <c r="J209" i="1"/>
  <c r="K209" i="1"/>
  <c r="L209" i="1"/>
  <c r="M209" i="1"/>
  <c r="N209" i="1" a="1"/>
  <c r="N209" i="1" s="1"/>
  <c r="O209" i="1" a="1"/>
  <c r="O209" i="1" s="1"/>
  <c r="P209" i="1"/>
  <c r="S209" i="1"/>
  <c r="T209" i="1"/>
  <c r="J210" i="1"/>
  <c r="K210" i="1"/>
  <c r="L210" i="1"/>
  <c r="M210" i="1"/>
  <c r="N210" i="1" a="1"/>
  <c r="N210" i="1" s="1"/>
  <c r="O210" i="1" a="1"/>
  <c r="O210" i="1" s="1"/>
  <c r="P210" i="1"/>
  <c r="S210" i="1"/>
  <c r="T210" i="1"/>
  <c r="J211" i="1"/>
  <c r="K211" i="1"/>
  <c r="L211" i="1"/>
  <c r="M211" i="1"/>
  <c r="N211" i="1" a="1"/>
  <c r="N211" i="1" s="1"/>
  <c r="O211" i="1" a="1"/>
  <c r="O211" i="1" s="1"/>
  <c r="P211" i="1"/>
  <c r="S211" i="1"/>
  <c r="T211" i="1"/>
  <c r="J212" i="1"/>
  <c r="K212" i="1"/>
  <c r="L212" i="1"/>
  <c r="M212" i="1"/>
  <c r="N212" i="1" a="1"/>
  <c r="N212" i="1" s="1"/>
  <c r="O212" i="1" a="1"/>
  <c r="O212" i="1" s="1"/>
  <c r="P212" i="1"/>
  <c r="S212" i="1"/>
  <c r="T212" i="1"/>
  <c r="J213" i="1"/>
  <c r="K213" i="1"/>
  <c r="L213" i="1"/>
  <c r="M213" i="1"/>
  <c r="N213" i="1" a="1"/>
  <c r="N213" i="1" s="1"/>
  <c r="O213" i="1" a="1"/>
  <c r="O213" i="1" s="1"/>
  <c r="P213" i="1"/>
  <c r="S213" i="1"/>
  <c r="T213" i="1"/>
  <c r="J214" i="1"/>
  <c r="K214" i="1"/>
  <c r="L214" i="1"/>
  <c r="M214" i="1"/>
  <c r="N214" i="1" a="1"/>
  <c r="N214" i="1" s="1"/>
  <c r="O214" i="1" a="1"/>
  <c r="O214" i="1" s="1"/>
  <c r="P214" i="1"/>
  <c r="S214" i="1"/>
  <c r="T214" i="1"/>
  <c r="J215" i="1"/>
  <c r="K215" i="1"/>
  <c r="L215" i="1"/>
  <c r="M215" i="1"/>
  <c r="N215" i="1" a="1"/>
  <c r="N215" i="1" s="1"/>
  <c r="O215" i="1" a="1"/>
  <c r="O215" i="1" s="1"/>
  <c r="P215" i="1"/>
  <c r="S215" i="1"/>
  <c r="T215" i="1"/>
  <c r="J216" i="1"/>
  <c r="K216" i="1"/>
  <c r="L216" i="1"/>
  <c r="M216" i="1"/>
  <c r="N216" i="1" a="1"/>
  <c r="N216" i="1" s="1"/>
  <c r="O216" i="1" a="1"/>
  <c r="O216" i="1" s="1"/>
  <c r="P216" i="1"/>
  <c r="S216" i="1"/>
  <c r="T216" i="1"/>
  <c r="J217" i="1"/>
  <c r="K217" i="1"/>
  <c r="L217" i="1"/>
  <c r="M217" i="1"/>
  <c r="N217" i="1" a="1"/>
  <c r="N217" i="1" s="1"/>
  <c r="O217" i="1" a="1"/>
  <c r="O217" i="1" s="1"/>
  <c r="P217" i="1"/>
  <c r="S217" i="1"/>
  <c r="T217" i="1"/>
  <c r="J218" i="1"/>
  <c r="K218" i="1"/>
  <c r="L218" i="1"/>
  <c r="M218" i="1"/>
  <c r="N218" i="1" a="1"/>
  <c r="N218" i="1" s="1"/>
  <c r="O218" i="1" a="1"/>
  <c r="O218" i="1" s="1"/>
  <c r="P218" i="1"/>
  <c r="S218" i="1"/>
  <c r="T218" i="1"/>
  <c r="J219" i="1"/>
  <c r="K219" i="1"/>
  <c r="L219" i="1"/>
  <c r="M219" i="1"/>
  <c r="N219" i="1" a="1"/>
  <c r="N219" i="1" s="1"/>
  <c r="O219" i="1" a="1"/>
  <c r="O219" i="1" s="1"/>
  <c r="P219" i="1"/>
  <c r="S219" i="1"/>
  <c r="T219" i="1"/>
  <c r="J220" i="1"/>
  <c r="K220" i="1"/>
  <c r="L220" i="1"/>
  <c r="M220" i="1"/>
  <c r="N220" i="1" a="1"/>
  <c r="N220" i="1" s="1"/>
  <c r="O220" i="1" a="1"/>
  <c r="O220" i="1" s="1"/>
  <c r="P220" i="1"/>
  <c r="S220" i="1"/>
  <c r="T220" i="1"/>
  <c r="J221" i="1"/>
  <c r="K221" i="1"/>
  <c r="L221" i="1"/>
  <c r="M221" i="1"/>
  <c r="N221" i="1" a="1"/>
  <c r="N221" i="1" s="1"/>
  <c r="O221" i="1" a="1"/>
  <c r="O221" i="1" s="1"/>
  <c r="P221" i="1"/>
  <c r="S221" i="1"/>
  <c r="T221" i="1"/>
  <c r="J222" i="1"/>
  <c r="K222" i="1"/>
  <c r="L222" i="1"/>
  <c r="M222" i="1"/>
  <c r="N222" i="1" a="1"/>
  <c r="N222" i="1" s="1"/>
  <c r="O222" i="1" a="1"/>
  <c r="O222" i="1" s="1"/>
  <c r="P222" i="1"/>
  <c r="S222" i="1"/>
  <c r="T222" i="1"/>
  <c r="J223" i="1"/>
  <c r="K223" i="1"/>
  <c r="L223" i="1"/>
  <c r="M223" i="1"/>
  <c r="N223" i="1" a="1"/>
  <c r="N223" i="1" s="1"/>
  <c r="O223" i="1" a="1"/>
  <c r="O223" i="1" s="1"/>
  <c r="P223" i="1"/>
  <c r="S223" i="1"/>
  <c r="T223" i="1"/>
  <c r="J224" i="1"/>
  <c r="K224" i="1"/>
  <c r="L224" i="1"/>
  <c r="M224" i="1"/>
  <c r="N224" i="1" a="1"/>
  <c r="N224" i="1" s="1"/>
  <c r="O224" i="1" a="1"/>
  <c r="O224" i="1" s="1"/>
  <c r="P224" i="1"/>
  <c r="S224" i="1"/>
  <c r="T224" i="1"/>
  <c r="J225" i="1"/>
  <c r="K225" i="1"/>
  <c r="L225" i="1"/>
  <c r="M225" i="1"/>
  <c r="N225" i="1" a="1"/>
  <c r="N225" i="1" s="1"/>
  <c r="O225" i="1" a="1"/>
  <c r="O225" i="1" s="1"/>
  <c r="P225" i="1"/>
  <c r="S225" i="1"/>
  <c r="T225" i="1"/>
  <c r="J226" i="1"/>
  <c r="K226" i="1"/>
  <c r="L226" i="1"/>
  <c r="M226" i="1"/>
  <c r="N226" i="1" a="1"/>
  <c r="N226" i="1" s="1"/>
  <c r="O226" i="1" a="1"/>
  <c r="O226" i="1" s="1"/>
  <c r="P226" i="1"/>
  <c r="S226" i="1"/>
  <c r="T226" i="1"/>
  <c r="J227" i="1"/>
  <c r="K227" i="1"/>
  <c r="L227" i="1"/>
  <c r="M227" i="1"/>
  <c r="N227" i="1" a="1"/>
  <c r="N227" i="1" s="1"/>
  <c r="O227" i="1" a="1"/>
  <c r="O227" i="1" s="1"/>
  <c r="P227" i="1"/>
  <c r="S227" i="1"/>
  <c r="T227" i="1"/>
  <c r="J228" i="1"/>
  <c r="K228" i="1"/>
  <c r="L228" i="1"/>
  <c r="M228" i="1"/>
  <c r="N228" i="1" a="1"/>
  <c r="N228" i="1" s="1"/>
  <c r="O228" i="1" a="1"/>
  <c r="O228" i="1" s="1"/>
  <c r="P228" i="1"/>
  <c r="S228" i="1"/>
  <c r="T228" i="1"/>
  <c r="J229" i="1"/>
  <c r="K229" i="1"/>
  <c r="L229" i="1"/>
  <c r="M229" i="1"/>
  <c r="N229" i="1" a="1"/>
  <c r="N229" i="1" s="1"/>
  <c r="O229" i="1" a="1"/>
  <c r="O229" i="1" s="1"/>
  <c r="P229" i="1"/>
  <c r="S229" i="1"/>
  <c r="T229" i="1"/>
  <c r="J230" i="1"/>
  <c r="K230" i="1"/>
  <c r="L230" i="1"/>
  <c r="M230" i="1"/>
  <c r="N230" i="1" a="1"/>
  <c r="N230" i="1" s="1"/>
  <c r="O230" i="1" a="1"/>
  <c r="O230" i="1" s="1"/>
  <c r="P230" i="1"/>
  <c r="S230" i="1"/>
  <c r="T230" i="1"/>
  <c r="J231" i="1"/>
  <c r="K231" i="1"/>
  <c r="L231" i="1"/>
  <c r="M231" i="1"/>
  <c r="N231" i="1" a="1"/>
  <c r="N231" i="1" s="1"/>
  <c r="O231" i="1" a="1"/>
  <c r="O231" i="1" s="1"/>
  <c r="P231" i="1"/>
  <c r="S231" i="1"/>
  <c r="T231" i="1"/>
  <c r="J232" i="1"/>
  <c r="K232" i="1"/>
  <c r="L232" i="1"/>
  <c r="M232" i="1"/>
  <c r="N232" i="1" a="1"/>
  <c r="N232" i="1" s="1"/>
  <c r="O232" i="1" a="1"/>
  <c r="O232" i="1" s="1"/>
  <c r="P232" i="1"/>
  <c r="S232" i="1"/>
  <c r="T232" i="1"/>
  <c r="J233" i="1"/>
  <c r="K233" i="1"/>
  <c r="L233" i="1"/>
  <c r="M233" i="1"/>
  <c r="N233" i="1" a="1"/>
  <c r="N233" i="1" s="1"/>
  <c r="O233" i="1" a="1"/>
  <c r="O233" i="1" s="1"/>
  <c r="P233" i="1"/>
  <c r="S233" i="1"/>
  <c r="T233" i="1"/>
  <c r="J234" i="1"/>
  <c r="K234" i="1"/>
  <c r="L234" i="1"/>
  <c r="M234" i="1"/>
  <c r="N234" i="1" a="1"/>
  <c r="N234" i="1" s="1"/>
  <c r="O234" i="1" a="1"/>
  <c r="O234" i="1" s="1"/>
  <c r="P234" i="1"/>
  <c r="S234" i="1"/>
  <c r="T234" i="1"/>
  <c r="J235" i="1"/>
  <c r="K235" i="1"/>
  <c r="L235" i="1"/>
  <c r="M235" i="1"/>
  <c r="N235" i="1" a="1"/>
  <c r="N235" i="1" s="1"/>
  <c r="O235" i="1" a="1"/>
  <c r="O235" i="1" s="1"/>
  <c r="P235" i="1"/>
  <c r="S235" i="1"/>
  <c r="T235" i="1"/>
  <c r="J236" i="1"/>
  <c r="K236" i="1"/>
  <c r="L236" i="1"/>
  <c r="M236" i="1"/>
  <c r="N236" i="1" a="1"/>
  <c r="N236" i="1" s="1"/>
  <c r="O236" i="1" a="1"/>
  <c r="O236" i="1" s="1"/>
  <c r="P236" i="1"/>
  <c r="S236" i="1"/>
  <c r="T236" i="1"/>
  <c r="J237" i="1"/>
  <c r="K237" i="1"/>
  <c r="L237" i="1"/>
  <c r="M237" i="1"/>
  <c r="N237" i="1" a="1"/>
  <c r="N237" i="1" s="1"/>
  <c r="O237" i="1" a="1"/>
  <c r="O237" i="1" s="1"/>
  <c r="P237" i="1"/>
  <c r="S237" i="1"/>
  <c r="T237" i="1"/>
  <c r="J238" i="1"/>
  <c r="K238" i="1"/>
  <c r="L238" i="1"/>
  <c r="M238" i="1"/>
  <c r="N238" i="1" a="1"/>
  <c r="N238" i="1" s="1"/>
  <c r="O238" i="1" a="1"/>
  <c r="O238" i="1" s="1"/>
  <c r="P238" i="1"/>
  <c r="S238" i="1"/>
  <c r="T238" i="1"/>
  <c r="J239" i="1"/>
  <c r="K239" i="1"/>
  <c r="L239" i="1"/>
  <c r="M239" i="1"/>
  <c r="N239" i="1" a="1"/>
  <c r="N239" i="1" s="1"/>
  <c r="O239" i="1" a="1"/>
  <c r="O239" i="1" s="1"/>
  <c r="P239" i="1"/>
  <c r="S239" i="1"/>
  <c r="T239" i="1"/>
  <c r="J240" i="1"/>
  <c r="K240" i="1"/>
  <c r="L240" i="1"/>
  <c r="M240" i="1"/>
  <c r="N240" i="1" a="1"/>
  <c r="N240" i="1" s="1"/>
  <c r="O240" i="1" a="1"/>
  <c r="O240" i="1" s="1"/>
  <c r="P240" i="1"/>
  <c r="S240" i="1"/>
  <c r="T240" i="1"/>
  <c r="J241" i="1"/>
  <c r="K241" i="1"/>
  <c r="L241" i="1"/>
  <c r="M241" i="1"/>
  <c r="N241" i="1" a="1"/>
  <c r="N241" i="1" s="1"/>
  <c r="O241" i="1" a="1"/>
  <c r="O241" i="1" s="1"/>
  <c r="P241" i="1"/>
  <c r="S241" i="1"/>
  <c r="T241" i="1"/>
  <c r="J242" i="1"/>
  <c r="K242" i="1"/>
  <c r="L242" i="1"/>
  <c r="M242" i="1"/>
  <c r="N242" i="1" a="1"/>
  <c r="N242" i="1" s="1"/>
  <c r="O242" i="1" a="1"/>
  <c r="O242" i="1" s="1"/>
  <c r="P242" i="1"/>
  <c r="S242" i="1"/>
  <c r="T242" i="1"/>
  <c r="J243" i="1"/>
  <c r="K243" i="1"/>
  <c r="L243" i="1"/>
  <c r="M243" i="1"/>
  <c r="N243" i="1" a="1"/>
  <c r="N243" i="1" s="1"/>
  <c r="O243" i="1" a="1"/>
  <c r="O243" i="1" s="1"/>
  <c r="P243" i="1"/>
  <c r="S243" i="1"/>
  <c r="T243" i="1"/>
  <c r="J244" i="1"/>
  <c r="K244" i="1"/>
  <c r="L244" i="1"/>
  <c r="M244" i="1"/>
  <c r="N244" i="1" a="1"/>
  <c r="N244" i="1" s="1"/>
  <c r="O244" i="1" a="1"/>
  <c r="O244" i="1" s="1"/>
  <c r="P244" i="1"/>
  <c r="S244" i="1"/>
  <c r="T244" i="1"/>
  <c r="J245" i="1"/>
  <c r="K245" i="1"/>
  <c r="L245" i="1"/>
  <c r="M245" i="1"/>
  <c r="N245" i="1" a="1"/>
  <c r="N245" i="1" s="1"/>
  <c r="O245" i="1" a="1"/>
  <c r="O245" i="1" s="1"/>
  <c r="P245" i="1"/>
  <c r="S245" i="1"/>
  <c r="T245" i="1"/>
  <c r="J246" i="1"/>
  <c r="K246" i="1"/>
  <c r="L246" i="1"/>
  <c r="M246" i="1"/>
  <c r="N246" i="1" a="1"/>
  <c r="N246" i="1" s="1"/>
  <c r="O246" i="1" a="1"/>
  <c r="O246" i="1" s="1"/>
  <c r="P246" i="1"/>
  <c r="S246" i="1"/>
  <c r="T246" i="1"/>
  <c r="J247" i="1"/>
  <c r="K247" i="1"/>
  <c r="L247" i="1"/>
  <c r="M247" i="1"/>
  <c r="N247" i="1" a="1"/>
  <c r="N247" i="1" s="1"/>
  <c r="O247" i="1" a="1"/>
  <c r="O247" i="1" s="1"/>
  <c r="P247" i="1"/>
  <c r="S247" i="1"/>
  <c r="T247" i="1"/>
  <c r="J248" i="1"/>
  <c r="K248" i="1"/>
  <c r="L248" i="1"/>
  <c r="M248" i="1"/>
  <c r="N248" i="1" a="1"/>
  <c r="N248" i="1" s="1"/>
  <c r="O248" i="1" a="1"/>
  <c r="O248" i="1" s="1"/>
  <c r="P248" i="1"/>
  <c r="S248" i="1"/>
  <c r="T248" i="1"/>
  <c r="J249" i="1"/>
  <c r="K249" i="1"/>
  <c r="L249" i="1"/>
  <c r="M249" i="1"/>
  <c r="N249" i="1" a="1"/>
  <c r="N249" i="1" s="1"/>
  <c r="O249" i="1" a="1"/>
  <c r="O249" i="1" s="1"/>
  <c r="P249" i="1"/>
  <c r="S249" i="1"/>
  <c r="T249" i="1"/>
  <c r="J250" i="1"/>
  <c r="K250" i="1"/>
  <c r="L250" i="1"/>
  <c r="M250" i="1"/>
  <c r="N250" i="1" a="1"/>
  <c r="N250" i="1" s="1"/>
  <c r="O250" i="1" a="1"/>
  <c r="O250" i="1" s="1"/>
  <c r="P250" i="1"/>
  <c r="S250" i="1"/>
  <c r="T250" i="1"/>
  <c r="J251" i="1"/>
  <c r="K251" i="1"/>
  <c r="L251" i="1"/>
  <c r="M251" i="1"/>
  <c r="N251" i="1" a="1"/>
  <c r="N251" i="1" s="1"/>
  <c r="O251" i="1" a="1"/>
  <c r="O251" i="1" s="1"/>
  <c r="P251" i="1"/>
  <c r="S251" i="1"/>
  <c r="T251" i="1"/>
  <c r="J252" i="1"/>
  <c r="K252" i="1"/>
  <c r="L252" i="1"/>
  <c r="M252" i="1"/>
  <c r="N252" i="1" a="1"/>
  <c r="N252" i="1" s="1"/>
  <c r="O252" i="1" a="1"/>
  <c r="O252" i="1" s="1"/>
  <c r="P252" i="1"/>
  <c r="S252" i="1"/>
  <c r="T252" i="1"/>
  <c r="J253" i="1"/>
  <c r="K253" i="1"/>
  <c r="L253" i="1"/>
  <c r="M253" i="1"/>
  <c r="N253" i="1" a="1"/>
  <c r="N253" i="1" s="1"/>
  <c r="O253" i="1" a="1"/>
  <c r="O253" i="1" s="1"/>
  <c r="P253" i="1"/>
  <c r="S253" i="1"/>
  <c r="T253" i="1"/>
  <c r="J254" i="1"/>
  <c r="K254" i="1"/>
  <c r="L254" i="1"/>
  <c r="M254" i="1"/>
  <c r="N254" i="1" a="1"/>
  <c r="N254" i="1" s="1"/>
  <c r="O254" i="1" a="1"/>
  <c r="O254" i="1" s="1"/>
  <c r="P254" i="1"/>
  <c r="S254" i="1"/>
  <c r="T254" i="1"/>
  <c r="J255" i="1"/>
  <c r="K255" i="1"/>
  <c r="L255" i="1"/>
  <c r="M255" i="1"/>
  <c r="N255" i="1" a="1"/>
  <c r="N255" i="1" s="1"/>
  <c r="O255" i="1" a="1"/>
  <c r="O255" i="1" s="1"/>
  <c r="P255" i="1"/>
  <c r="S255" i="1"/>
  <c r="T255" i="1"/>
  <c r="J256" i="1"/>
  <c r="K256" i="1"/>
  <c r="L256" i="1"/>
  <c r="M256" i="1"/>
  <c r="N256" i="1" a="1"/>
  <c r="N256" i="1" s="1"/>
  <c r="O256" i="1" a="1"/>
  <c r="O256" i="1" s="1"/>
  <c r="P256" i="1"/>
  <c r="S256" i="1"/>
  <c r="T256" i="1"/>
  <c r="J257" i="1"/>
  <c r="K257" i="1"/>
  <c r="L257" i="1"/>
  <c r="M257" i="1"/>
  <c r="N257" i="1" a="1"/>
  <c r="N257" i="1" s="1"/>
  <c r="O257" i="1" a="1"/>
  <c r="O257" i="1" s="1"/>
  <c r="P257" i="1"/>
  <c r="S257" i="1"/>
  <c r="T257" i="1"/>
  <c r="J258" i="1"/>
  <c r="K258" i="1"/>
  <c r="L258" i="1"/>
  <c r="M258" i="1"/>
  <c r="N258" i="1" a="1"/>
  <c r="N258" i="1" s="1"/>
  <c r="O258" i="1" a="1"/>
  <c r="O258" i="1" s="1"/>
  <c r="P258" i="1"/>
  <c r="S258" i="1"/>
  <c r="T258" i="1"/>
  <c r="J259" i="1"/>
  <c r="K259" i="1"/>
  <c r="L259" i="1"/>
  <c r="M259" i="1"/>
  <c r="N259" i="1" a="1"/>
  <c r="N259" i="1" s="1"/>
  <c r="O259" i="1" a="1"/>
  <c r="O259" i="1" s="1"/>
  <c r="P259" i="1"/>
  <c r="S259" i="1"/>
  <c r="T259" i="1"/>
  <c r="J260" i="1"/>
  <c r="K260" i="1"/>
  <c r="L260" i="1"/>
  <c r="M260" i="1"/>
  <c r="N260" i="1" a="1"/>
  <c r="N260" i="1" s="1"/>
  <c r="O260" i="1" a="1"/>
  <c r="O260" i="1" s="1"/>
  <c r="P260" i="1"/>
  <c r="S260" i="1"/>
  <c r="T260" i="1"/>
  <c r="J261" i="1"/>
  <c r="K261" i="1"/>
  <c r="L261" i="1"/>
  <c r="M261" i="1"/>
  <c r="N261" i="1" a="1"/>
  <c r="N261" i="1" s="1"/>
  <c r="O261" i="1" a="1"/>
  <c r="O261" i="1" s="1"/>
  <c r="P261" i="1"/>
  <c r="S261" i="1"/>
  <c r="T261" i="1"/>
  <c r="J262" i="1"/>
  <c r="K262" i="1"/>
  <c r="L262" i="1"/>
  <c r="M262" i="1"/>
  <c r="N262" i="1" a="1"/>
  <c r="N262" i="1" s="1"/>
  <c r="O262" i="1" a="1"/>
  <c r="O262" i="1" s="1"/>
  <c r="P262" i="1"/>
  <c r="S262" i="1"/>
  <c r="T262" i="1"/>
  <c r="J263" i="1"/>
  <c r="K263" i="1"/>
  <c r="L263" i="1"/>
  <c r="M263" i="1"/>
  <c r="N263" i="1" a="1"/>
  <c r="N263" i="1" s="1"/>
  <c r="O263" i="1" a="1"/>
  <c r="O263" i="1" s="1"/>
  <c r="P263" i="1"/>
  <c r="S263" i="1"/>
  <c r="T263" i="1"/>
  <c r="J264" i="1"/>
  <c r="K264" i="1"/>
  <c r="L264" i="1"/>
  <c r="M264" i="1"/>
  <c r="N264" i="1" a="1"/>
  <c r="N264" i="1" s="1"/>
  <c r="O264" i="1" a="1"/>
  <c r="O264" i="1" s="1"/>
  <c r="P264" i="1"/>
  <c r="S264" i="1"/>
  <c r="T264" i="1"/>
  <c r="J265" i="1"/>
  <c r="K265" i="1"/>
  <c r="L265" i="1"/>
  <c r="M265" i="1"/>
  <c r="N265" i="1" a="1"/>
  <c r="N265" i="1" s="1"/>
  <c r="O265" i="1" a="1"/>
  <c r="O265" i="1" s="1"/>
  <c r="P265" i="1"/>
  <c r="S265" i="1"/>
  <c r="T265" i="1"/>
  <c r="J266" i="1"/>
  <c r="K266" i="1"/>
  <c r="L266" i="1"/>
  <c r="M266" i="1"/>
  <c r="N266" i="1" a="1"/>
  <c r="N266" i="1" s="1"/>
  <c r="O266" i="1" a="1"/>
  <c r="O266" i="1" s="1"/>
  <c r="P266" i="1"/>
  <c r="S266" i="1"/>
  <c r="T266" i="1"/>
  <c r="J267" i="1"/>
  <c r="K267" i="1"/>
  <c r="L267" i="1"/>
  <c r="M267" i="1"/>
  <c r="N267" i="1" a="1"/>
  <c r="N267" i="1" s="1"/>
  <c r="O267" i="1" a="1"/>
  <c r="O267" i="1" s="1"/>
  <c r="P267" i="1"/>
  <c r="S267" i="1"/>
  <c r="T267" i="1"/>
  <c r="J268" i="1"/>
  <c r="K268" i="1"/>
  <c r="L268" i="1"/>
  <c r="M268" i="1"/>
  <c r="N268" i="1" a="1"/>
  <c r="N268" i="1" s="1"/>
  <c r="O268" i="1" a="1"/>
  <c r="O268" i="1" s="1"/>
  <c r="P268" i="1"/>
  <c r="S268" i="1"/>
  <c r="T268" i="1"/>
  <c r="J269" i="1"/>
  <c r="K269" i="1"/>
  <c r="L269" i="1"/>
  <c r="M269" i="1"/>
  <c r="N269" i="1" a="1"/>
  <c r="N269" i="1" s="1"/>
  <c r="O269" i="1" a="1"/>
  <c r="O269" i="1" s="1"/>
  <c r="P269" i="1"/>
  <c r="S269" i="1"/>
  <c r="T269" i="1"/>
  <c r="J270" i="1"/>
  <c r="K270" i="1"/>
  <c r="L270" i="1"/>
  <c r="M270" i="1"/>
  <c r="N270" i="1" a="1"/>
  <c r="N270" i="1" s="1"/>
  <c r="O270" i="1" a="1"/>
  <c r="O270" i="1" s="1"/>
  <c r="P270" i="1"/>
  <c r="S270" i="1"/>
  <c r="T270" i="1"/>
  <c r="J271" i="1"/>
  <c r="K271" i="1"/>
  <c r="L271" i="1"/>
  <c r="M271" i="1"/>
  <c r="N271" i="1" a="1"/>
  <c r="N271" i="1" s="1"/>
  <c r="O271" i="1" a="1"/>
  <c r="O271" i="1" s="1"/>
  <c r="P271" i="1"/>
  <c r="S271" i="1"/>
  <c r="T271" i="1"/>
  <c r="J272" i="1"/>
  <c r="K272" i="1"/>
  <c r="L272" i="1"/>
  <c r="M272" i="1"/>
  <c r="N272" i="1" a="1"/>
  <c r="N272" i="1" s="1"/>
  <c r="O272" i="1" a="1"/>
  <c r="O272" i="1" s="1"/>
  <c r="P272" i="1"/>
  <c r="S272" i="1"/>
  <c r="T272" i="1"/>
  <c r="J273" i="1"/>
  <c r="K273" i="1"/>
  <c r="L273" i="1"/>
  <c r="M273" i="1"/>
  <c r="N273" i="1" a="1"/>
  <c r="N273" i="1" s="1"/>
  <c r="O273" i="1" a="1"/>
  <c r="O273" i="1" s="1"/>
  <c r="P273" i="1"/>
  <c r="S273" i="1"/>
  <c r="T273" i="1"/>
  <c r="J274" i="1"/>
  <c r="K274" i="1"/>
  <c r="L274" i="1"/>
  <c r="M274" i="1"/>
  <c r="N274" i="1" a="1"/>
  <c r="N274" i="1" s="1"/>
  <c r="O274" i="1" a="1"/>
  <c r="O274" i="1" s="1"/>
  <c r="P274" i="1"/>
  <c r="S274" i="1"/>
  <c r="T274" i="1"/>
  <c r="J275" i="1"/>
  <c r="K275" i="1"/>
  <c r="L275" i="1"/>
  <c r="M275" i="1"/>
  <c r="N275" i="1" a="1"/>
  <c r="N275" i="1" s="1"/>
  <c r="O275" i="1" a="1"/>
  <c r="O275" i="1" s="1"/>
  <c r="P275" i="1"/>
  <c r="S275" i="1"/>
  <c r="T275" i="1"/>
  <c r="J276" i="1"/>
  <c r="K276" i="1"/>
  <c r="L276" i="1"/>
  <c r="M276" i="1"/>
  <c r="N276" i="1" a="1"/>
  <c r="N276" i="1" s="1"/>
  <c r="O276" i="1" a="1"/>
  <c r="O276" i="1" s="1"/>
  <c r="P276" i="1"/>
  <c r="S276" i="1"/>
  <c r="T276" i="1"/>
  <c r="J277" i="1"/>
  <c r="K277" i="1"/>
  <c r="L277" i="1"/>
  <c r="M277" i="1"/>
  <c r="N277" i="1" a="1"/>
  <c r="N277" i="1" s="1"/>
  <c r="O277" i="1" a="1"/>
  <c r="O277" i="1" s="1"/>
  <c r="P277" i="1"/>
  <c r="S277" i="1"/>
  <c r="T277" i="1"/>
  <c r="J278" i="1"/>
  <c r="K278" i="1"/>
  <c r="L278" i="1"/>
  <c r="M278" i="1"/>
  <c r="N278" i="1" a="1"/>
  <c r="N278" i="1" s="1"/>
  <c r="O278" i="1" a="1"/>
  <c r="O278" i="1" s="1"/>
  <c r="P278" i="1"/>
  <c r="S278" i="1"/>
  <c r="T278" i="1"/>
  <c r="J279" i="1"/>
  <c r="K279" i="1"/>
  <c r="L279" i="1"/>
  <c r="M279" i="1"/>
  <c r="N279" i="1" a="1"/>
  <c r="N279" i="1" s="1"/>
  <c r="O279" i="1" a="1"/>
  <c r="O279" i="1" s="1"/>
  <c r="P279" i="1"/>
  <c r="S279" i="1"/>
  <c r="T279" i="1"/>
  <c r="J280" i="1"/>
  <c r="K280" i="1"/>
  <c r="L280" i="1"/>
  <c r="M280" i="1"/>
  <c r="N280" i="1" a="1"/>
  <c r="N280" i="1" s="1"/>
  <c r="O280" i="1" a="1"/>
  <c r="O280" i="1" s="1"/>
  <c r="P280" i="1"/>
  <c r="S280" i="1"/>
  <c r="T280" i="1"/>
  <c r="J281" i="1"/>
  <c r="K281" i="1"/>
  <c r="L281" i="1"/>
  <c r="M281" i="1"/>
  <c r="N281" i="1" a="1"/>
  <c r="N281" i="1" s="1"/>
  <c r="O281" i="1" a="1"/>
  <c r="O281" i="1" s="1"/>
  <c r="P281" i="1"/>
  <c r="S281" i="1"/>
  <c r="T281" i="1"/>
  <c r="J282" i="1"/>
  <c r="K282" i="1"/>
  <c r="L282" i="1"/>
  <c r="M282" i="1"/>
  <c r="N282" i="1" a="1"/>
  <c r="N282" i="1" s="1"/>
  <c r="O282" i="1" a="1"/>
  <c r="O282" i="1" s="1"/>
  <c r="P282" i="1"/>
  <c r="S282" i="1"/>
  <c r="T282" i="1"/>
  <c r="J283" i="1"/>
  <c r="K283" i="1"/>
  <c r="L283" i="1"/>
  <c r="M283" i="1"/>
  <c r="N283" i="1" a="1"/>
  <c r="N283" i="1" s="1"/>
  <c r="O283" i="1" a="1"/>
  <c r="O283" i="1" s="1"/>
  <c r="P283" i="1"/>
  <c r="S283" i="1"/>
  <c r="T283" i="1"/>
  <c r="J284" i="1"/>
  <c r="K284" i="1"/>
  <c r="L284" i="1"/>
  <c r="M284" i="1"/>
  <c r="N284" i="1" a="1"/>
  <c r="N284" i="1" s="1"/>
  <c r="O284" i="1" a="1"/>
  <c r="O284" i="1" s="1"/>
  <c r="P284" i="1"/>
  <c r="S284" i="1"/>
  <c r="T284" i="1"/>
  <c r="J285" i="1"/>
  <c r="K285" i="1"/>
  <c r="L285" i="1"/>
  <c r="M285" i="1"/>
  <c r="N285" i="1" a="1"/>
  <c r="N285" i="1" s="1"/>
  <c r="O285" i="1" a="1"/>
  <c r="O285" i="1" s="1"/>
  <c r="P285" i="1"/>
  <c r="S285" i="1"/>
  <c r="T285" i="1"/>
  <c r="J286" i="1"/>
  <c r="K286" i="1"/>
  <c r="L286" i="1"/>
  <c r="M286" i="1"/>
  <c r="N286" i="1" a="1"/>
  <c r="N286" i="1" s="1"/>
  <c r="O286" i="1" a="1"/>
  <c r="O286" i="1" s="1"/>
  <c r="P286" i="1"/>
  <c r="S286" i="1"/>
  <c r="T286" i="1"/>
  <c r="J287" i="1"/>
  <c r="K287" i="1"/>
  <c r="L287" i="1"/>
  <c r="M287" i="1"/>
  <c r="N287" i="1" a="1"/>
  <c r="N287" i="1" s="1"/>
  <c r="O287" i="1" a="1"/>
  <c r="O287" i="1" s="1"/>
  <c r="P287" i="1"/>
  <c r="S287" i="1"/>
  <c r="T287" i="1"/>
  <c r="J288" i="1"/>
  <c r="K288" i="1"/>
  <c r="L288" i="1"/>
  <c r="M288" i="1"/>
  <c r="N288" i="1" a="1"/>
  <c r="N288" i="1" s="1"/>
  <c r="O288" i="1" a="1"/>
  <c r="O288" i="1" s="1"/>
  <c r="P288" i="1"/>
  <c r="S288" i="1"/>
  <c r="T288" i="1"/>
  <c r="J289" i="1"/>
  <c r="K289" i="1"/>
  <c r="L289" i="1"/>
  <c r="M289" i="1"/>
  <c r="N289" i="1" a="1"/>
  <c r="N289" i="1" s="1"/>
  <c r="O289" i="1" a="1"/>
  <c r="O289" i="1" s="1"/>
  <c r="P289" i="1"/>
  <c r="S289" i="1"/>
  <c r="T289" i="1"/>
  <c r="J290" i="1"/>
  <c r="K290" i="1"/>
  <c r="L290" i="1"/>
  <c r="M290" i="1"/>
  <c r="N290" i="1" a="1"/>
  <c r="N290" i="1" s="1"/>
  <c r="O290" i="1" a="1"/>
  <c r="O290" i="1" s="1"/>
  <c r="P290" i="1"/>
  <c r="S290" i="1"/>
  <c r="T290" i="1"/>
  <c r="J291" i="1"/>
  <c r="K291" i="1"/>
  <c r="L291" i="1"/>
  <c r="M291" i="1"/>
  <c r="N291" i="1" a="1"/>
  <c r="N291" i="1" s="1"/>
  <c r="O291" i="1" a="1"/>
  <c r="O291" i="1" s="1"/>
  <c r="P291" i="1"/>
  <c r="S291" i="1"/>
  <c r="T291" i="1"/>
  <c r="J292" i="1"/>
  <c r="K292" i="1"/>
  <c r="L292" i="1"/>
  <c r="M292" i="1"/>
  <c r="N292" i="1" a="1"/>
  <c r="N292" i="1" s="1"/>
  <c r="O292" i="1" a="1"/>
  <c r="O292" i="1" s="1"/>
  <c r="P292" i="1"/>
  <c r="S292" i="1"/>
  <c r="T292" i="1"/>
  <c r="J293" i="1"/>
  <c r="K293" i="1"/>
  <c r="L293" i="1"/>
  <c r="M293" i="1"/>
  <c r="N293" i="1" a="1"/>
  <c r="N293" i="1" s="1"/>
  <c r="O293" i="1" a="1"/>
  <c r="O293" i="1" s="1"/>
  <c r="P293" i="1"/>
  <c r="S293" i="1"/>
  <c r="T293" i="1"/>
  <c r="J294" i="1"/>
  <c r="K294" i="1"/>
  <c r="L294" i="1"/>
  <c r="M294" i="1"/>
  <c r="N294" i="1" a="1"/>
  <c r="N294" i="1" s="1"/>
  <c r="O294" i="1" a="1"/>
  <c r="O294" i="1" s="1"/>
  <c r="P294" i="1"/>
  <c r="S294" i="1"/>
  <c r="T294" i="1"/>
  <c r="J295" i="1"/>
  <c r="K295" i="1"/>
  <c r="L295" i="1"/>
  <c r="M295" i="1"/>
  <c r="N295" i="1" a="1"/>
  <c r="N295" i="1" s="1"/>
  <c r="O295" i="1" a="1"/>
  <c r="O295" i="1" s="1"/>
  <c r="P295" i="1"/>
  <c r="S295" i="1"/>
  <c r="T295" i="1"/>
  <c r="J296" i="1"/>
  <c r="K296" i="1"/>
  <c r="L296" i="1"/>
  <c r="M296" i="1"/>
  <c r="N296" i="1" a="1"/>
  <c r="N296" i="1" s="1"/>
  <c r="O296" i="1" a="1"/>
  <c r="O296" i="1" s="1"/>
  <c r="P296" i="1"/>
  <c r="S296" i="1"/>
  <c r="T296" i="1"/>
  <c r="J297" i="1"/>
  <c r="K297" i="1"/>
  <c r="L297" i="1"/>
  <c r="M297" i="1"/>
  <c r="N297" i="1" a="1"/>
  <c r="N297" i="1" s="1"/>
  <c r="O297" i="1" a="1"/>
  <c r="O297" i="1" s="1"/>
  <c r="P297" i="1"/>
  <c r="S297" i="1"/>
  <c r="T297" i="1"/>
  <c r="J298" i="1"/>
  <c r="K298" i="1"/>
  <c r="L298" i="1"/>
  <c r="M298" i="1"/>
  <c r="N298" i="1" a="1"/>
  <c r="N298" i="1" s="1"/>
  <c r="O298" i="1" a="1"/>
  <c r="O298" i="1" s="1"/>
  <c r="P298" i="1"/>
  <c r="S298" i="1"/>
  <c r="T298" i="1"/>
  <c r="J299" i="1"/>
  <c r="K299" i="1"/>
  <c r="L299" i="1"/>
  <c r="M299" i="1"/>
  <c r="N299" i="1" a="1"/>
  <c r="N299" i="1" s="1"/>
  <c r="O299" i="1" a="1"/>
  <c r="O299" i="1" s="1"/>
  <c r="P299" i="1"/>
  <c r="S299" i="1"/>
  <c r="T299" i="1"/>
  <c r="J300" i="1"/>
  <c r="K300" i="1"/>
  <c r="L300" i="1"/>
  <c r="M300" i="1"/>
  <c r="N300" i="1" a="1"/>
  <c r="N300" i="1" s="1"/>
  <c r="O300" i="1" a="1"/>
  <c r="O300" i="1" s="1"/>
  <c r="P300" i="1"/>
  <c r="S300" i="1"/>
  <c r="T300" i="1"/>
  <c r="J301" i="1"/>
  <c r="K301" i="1"/>
  <c r="L301" i="1"/>
  <c r="M301" i="1"/>
  <c r="N301" i="1" a="1"/>
  <c r="N301" i="1" s="1"/>
  <c r="O301" i="1" a="1"/>
  <c r="O301" i="1" s="1"/>
  <c r="P301" i="1"/>
  <c r="S301" i="1"/>
  <c r="T301" i="1"/>
  <c r="J302" i="1"/>
  <c r="K302" i="1"/>
  <c r="L302" i="1"/>
  <c r="M302" i="1"/>
  <c r="N302" i="1" a="1"/>
  <c r="N302" i="1" s="1"/>
  <c r="O302" i="1" a="1"/>
  <c r="O302" i="1" s="1"/>
  <c r="P302" i="1"/>
  <c r="S302" i="1"/>
  <c r="T302" i="1"/>
  <c r="J303" i="1"/>
  <c r="K303" i="1"/>
  <c r="L303" i="1"/>
  <c r="M303" i="1"/>
  <c r="N303" i="1" a="1"/>
  <c r="N303" i="1" s="1"/>
  <c r="O303" i="1" a="1"/>
  <c r="O303" i="1" s="1"/>
  <c r="P303" i="1"/>
  <c r="S303" i="1"/>
  <c r="T303" i="1"/>
  <c r="J304" i="1"/>
  <c r="K304" i="1"/>
  <c r="L304" i="1"/>
  <c r="M304" i="1"/>
  <c r="N304" i="1" a="1"/>
  <c r="N304" i="1" s="1"/>
  <c r="O304" i="1" a="1"/>
  <c r="O304" i="1" s="1"/>
  <c r="P304" i="1"/>
  <c r="S304" i="1"/>
  <c r="T304" i="1"/>
  <c r="J305" i="1"/>
  <c r="K305" i="1"/>
  <c r="L305" i="1"/>
  <c r="M305" i="1"/>
  <c r="N305" i="1" a="1"/>
  <c r="N305" i="1" s="1"/>
  <c r="O305" i="1" a="1"/>
  <c r="O305" i="1" s="1"/>
  <c r="P305" i="1"/>
  <c r="S305" i="1"/>
  <c r="T305" i="1"/>
  <c r="J306" i="1"/>
  <c r="K306" i="1"/>
  <c r="L306" i="1"/>
  <c r="M306" i="1"/>
  <c r="N306" i="1" a="1"/>
  <c r="N306" i="1" s="1"/>
  <c r="O306" i="1" a="1"/>
  <c r="O306" i="1" s="1"/>
  <c r="P306" i="1"/>
  <c r="S306" i="1"/>
  <c r="T306" i="1"/>
  <c r="J307" i="1"/>
  <c r="K307" i="1"/>
  <c r="L307" i="1"/>
  <c r="M307" i="1"/>
  <c r="N307" i="1" a="1"/>
  <c r="N307" i="1" s="1"/>
  <c r="O307" i="1" a="1"/>
  <c r="O307" i="1" s="1"/>
  <c r="P307" i="1"/>
  <c r="S307" i="1"/>
  <c r="T307" i="1"/>
  <c r="J308" i="1"/>
  <c r="K308" i="1"/>
  <c r="L308" i="1"/>
  <c r="M308" i="1"/>
  <c r="N308" i="1" a="1"/>
  <c r="N308" i="1" s="1"/>
  <c r="O308" i="1" a="1"/>
  <c r="O308" i="1" s="1"/>
  <c r="P308" i="1"/>
  <c r="S308" i="1"/>
  <c r="T308" i="1"/>
  <c r="J309" i="1"/>
  <c r="K309" i="1"/>
  <c r="L309" i="1"/>
  <c r="M309" i="1"/>
  <c r="N309" i="1" a="1"/>
  <c r="N309" i="1" s="1"/>
  <c r="O309" i="1" a="1"/>
  <c r="O309" i="1" s="1"/>
  <c r="P309" i="1"/>
  <c r="S309" i="1"/>
  <c r="T309" i="1"/>
  <c r="J310" i="1"/>
  <c r="K310" i="1"/>
  <c r="L310" i="1"/>
  <c r="M310" i="1"/>
  <c r="N310" i="1" a="1"/>
  <c r="N310" i="1" s="1"/>
  <c r="O310" i="1" a="1"/>
  <c r="O310" i="1" s="1"/>
  <c r="P310" i="1"/>
  <c r="S310" i="1"/>
  <c r="T310" i="1"/>
  <c r="J311" i="1"/>
  <c r="K311" i="1"/>
  <c r="L311" i="1"/>
  <c r="M311" i="1"/>
  <c r="N311" i="1" a="1"/>
  <c r="N311" i="1" s="1"/>
  <c r="O311" i="1" a="1"/>
  <c r="O311" i="1" s="1"/>
  <c r="P311" i="1"/>
  <c r="S311" i="1"/>
  <c r="T311" i="1"/>
  <c r="J312" i="1"/>
  <c r="K312" i="1"/>
  <c r="L312" i="1"/>
  <c r="M312" i="1"/>
  <c r="N312" i="1" a="1"/>
  <c r="N312" i="1" s="1"/>
  <c r="O312" i="1" a="1"/>
  <c r="O312" i="1" s="1"/>
  <c r="P312" i="1"/>
  <c r="S312" i="1"/>
  <c r="T312" i="1"/>
  <c r="J313" i="1"/>
  <c r="K313" i="1"/>
  <c r="L313" i="1"/>
  <c r="M313" i="1"/>
  <c r="N313" i="1" a="1"/>
  <c r="N313" i="1" s="1"/>
  <c r="O313" i="1" a="1"/>
  <c r="O313" i="1" s="1"/>
  <c r="P313" i="1"/>
  <c r="S313" i="1"/>
  <c r="T313" i="1"/>
  <c r="J314" i="1"/>
  <c r="K314" i="1"/>
  <c r="L314" i="1"/>
  <c r="M314" i="1"/>
  <c r="N314" i="1" a="1"/>
  <c r="N314" i="1" s="1"/>
  <c r="O314" i="1" a="1"/>
  <c r="O314" i="1" s="1"/>
  <c r="P314" i="1"/>
  <c r="S314" i="1"/>
  <c r="T314" i="1"/>
  <c r="J315" i="1"/>
  <c r="K315" i="1"/>
  <c r="L315" i="1"/>
  <c r="M315" i="1"/>
  <c r="N315" i="1" a="1"/>
  <c r="N315" i="1" s="1"/>
  <c r="O315" i="1" a="1"/>
  <c r="O315" i="1" s="1"/>
  <c r="P315" i="1"/>
  <c r="S315" i="1"/>
  <c r="T315" i="1"/>
  <c r="J316" i="1"/>
  <c r="K316" i="1"/>
  <c r="L316" i="1"/>
  <c r="M316" i="1"/>
  <c r="N316" i="1" a="1"/>
  <c r="N316" i="1" s="1"/>
  <c r="O316" i="1" a="1"/>
  <c r="O316" i="1" s="1"/>
  <c r="P316" i="1"/>
  <c r="S316" i="1"/>
  <c r="T316" i="1"/>
  <c r="J317" i="1"/>
  <c r="K317" i="1"/>
  <c r="L317" i="1"/>
  <c r="M317" i="1"/>
  <c r="N317" i="1" a="1"/>
  <c r="N317" i="1" s="1"/>
  <c r="O317" i="1" a="1"/>
  <c r="O317" i="1" s="1"/>
  <c r="P317" i="1"/>
  <c r="S317" i="1"/>
  <c r="T317" i="1"/>
  <c r="J318" i="1"/>
  <c r="K318" i="1"/>
  <c r="L318" i="1"/>
  <c r="M318" i="1"/>
  <c r="N318" i="1" a="1"/>
  <c r="N318" i="1" s="1"/>
  <c r="O318" i="1" a="1"/>
  <c r="O318" i="1" s="1"/>
  <c r="P318" i="1"/>
  <c r="S318" i="1"/>
  <c r="T318" i="1"/>
  <c r="J319" i="1"/>
  <c r="K319" i="1"/>
  <c r="L319" i="1"/>
  <c r="M319" i="1"/>
  <c r="N319" i="1" a="1"/>
  <c r="N319" i="1" s="1"/>
  <c r="O319" i="1" a="1"/>
  <c r="O319" i="1" s="1"/>
  <c r="P319" i="1"/>
  <c r="S319" i="1"/>
  <c r="T319" i="1"/>
  <c r="J320" i="1"/>
  <c r="K320" i="1"/>
  <c r="L320" i="1"/>
  <c r="M320" i="1"/>
  <c r="N320" i="1" a="1"/>
  <c r="N320" i="1" s="1"/>
  <c r="O320" i="1" a="1"/>
  <c r="O320" i="1" s="1"/>
  <c r="P320" i="1"/>
  <c r="S320" i="1"/>
  <c r="T320" i="1"/>
  <c r="J321" i="1"/>
  <c r="K321" i="1"/>
  <c r="L321" i="1"/>
  <c r="M321" i="1"/>
  <c r="N321" i="1" a="1"/>
  <c r="N321" i="1" s="1"/>
  <c r="O321" i="1" a="1"/>
  <c r="O321" i="1" s="1"/>
  <c r="P321" i="1"/>
  <c r="S321" i="1"/>
  <c r="T321" i="1"/>
  <c r="J322" i="1"/>
  <c r="K322" i="1"/>
  <c r="L322" i="1"/>
  <c r="M322" i="1"/>
  <c r="N322" i="1" a="1"/>
  <c r="N322" i="1" s="1"/>
  <c r="O322" i="1" a="1"/>
  <c r="O322" i="1" s="1"/>
  <c r="P322" i="1"/>
  <c r="S322" i="1"/>
  <c r="T322" i="1"/>
  <c r="J323" i="1"/>
  <c r="K323" i="1"/>
  <c r="L323" i="1"/>
  <c r="M323" i="1"/>
  <c r="N323" i="1" a="1"/>
  <c r="N323" i="1" s="1"/>
  <c r="O323" i="1" a="1"/>
  <c r="O323" i="1" s="1"/>
  <c r="P323" i="1"/>
  <c r="S323" i="1"/>
  <c r="T323" i="1"/>
  <c r="J324" i="1"/>
  <c r="K324" i="1"/>
  <c r="L324" i="1"/>
  <c r="M324" i="1"/>
  <c r="N324" i="1" a="1"/>
  <c r="N324" i="1" s="1"/>
  <c r="O324" i="1" a="1"/>
  <c r="O324" i="1" s="1"/>
  <c r="P324" i="1"/>
  <c r="S324" i="1"/>
  <c r="T324" i="1"/>
  <c r="J325" i="1"/>
  <c r="K325" i="1"/>
  <c r="L325" i="1"/>
  <c r="M325" i="1"/>
  <c r="N325" i="1" a="1"/>
  <c r="N325" i="1" s="1"/>
  <c r="O325" i="1" a="1"/>
  <c r="O325" i="1" s="1"/>
  <c r="P325" i="1"/>
  <c r="S325" i="1"/>
  <c r="T325" i="1"/>
  <c r="J326" i="1"/>
  <c r="K326" i="1"/>
  <c r="L326" i="1"/>
  <c r="M326" i="1"/>
  <c r="N326" i="1" a="1"/>
  <c r="N326" i="1" s="1"/>
  <c r="O326" i="1" a="1"/>
  <c r="O326" i="1" s="1"/>
  <c r="P326" i="1"/>
  <c r="S326" i="1"/>
  <c r="T326" i="1"/>
  <c r="J327" i="1"/>
  <c r="K327" i="1"/>
  <c r="L327" i="1"/>
  <c r="M327" i="1"/>
  <c r="N327" i="1" a="1"/>
  <c r="N327" i="1" s="1"/>
  <c r="O327" i="1" a="1"/>
  <c r="O327" i="1" s="1"/>
  <c r="P327" i="1"/>
  <c r="S327" i="1"/>
  <c r="T327" i="1"/>
  <c r="J328" i="1"/>
  <c r="K328" i="1"/>
  <c r="L328" i="1"/>
  <c r="M328" i="1"/>
  <c r="N328" i="1" a="1"/>
  <c r="N328" i="1" s="1"/>
  <c r="O328" i="1" a="1"/>
  <c r="O328" i="1" s="1"/>
  <c r="P328" i="1"/>
  <c r="S328" i="1"/>
  <c r="T328" i="1"/>
  <c r="J329" i="1"/>
  <c r="K329" i="1"/>
  <c r="L329" i="1"/>
  <c r="M329" i="1"/>
  <c r="N329" i="1" a="1"/>
  <c r="N329" i="1" s="1"/>
  <c r="O329" i="1" a="1"/>
  <c r="O329" i="1" s="1"/>
  <c r="P329" i="1"/>
  <c r="S329" i="1"/>
  <c r="T329" i="1"/>
  <c r="J330" i="1"/>
  <c r="K330" i="1"/>
  <c r="L330" i="1"/>
  <c r="M330" i="1"/>
  <c r="N330" i="1" a="1"/>
  <c r="N330" i="1" s="1"/>
  <c r="O330" i="1" a="1"/>
  <c r="O330" i="1" s="1"/>
  <c r="P330" i="1"/>
  <c r="S330" i="1"/>
  <c r="T330" i="1"/>
  <c r="J331" i="1"/>
  <c r="K331" i="1"/>
  <c r="L331" i="1"/>
  <c r="M331" i="1"/>
  <c r="N331" i="1" a="1"/>
  <c r="N331" i="1" s="1"/>
  <c r="O331" i="1" a="1"/>
  <c r="O331" i="1" s="1"/>
  <c r="P331" i="1"/>
  <c r="S331" i="1"/>
  <c r="T331" i="1"/>
  <c r="J332" i="1"/>
  <c r="K332" i="1"/>
  <c r="L332" i="1"/>
  <c r="M332" i="1"/>
  <c r="N332" i="1" a="1"/>
  <c r="N332" i="1" s="1"/>
  <c r="O332" i="1" a="1"/>
  <c r="O332" i="1" s="1"/>
  <c r="P332" i="1"/>
  <c r="S332" i="1"/>
  <c r="T332" i="1"/>
  <c r="J333" i="1"/>
  <c r="K333" i="1"/>
  <c r="L333" i="1"/>
  <c r="M333" i="1"/>
  <c r="N333" i="1" a="1"/>
  <c r="N333" i="1" s="1"/>
  <c r="O333" i="1" a="1"/>
  <c r="O333" i="1" s="1"/>
  <c r="P333" i="1"/>
  <c r="S333" i="1"/>
  <c r="T333" i="1"/>
  <c r="J334" i="1"/>
  <c r="K334" i="1"/>
  <c r="L334" i="1"/>
  <c r="M334" i="1"/>
  <c r="N334" i="1" a="1"/>
  <c r="N334" i="1" s="1"/>
  <c r="O334" i="1" a="1"/>
  <c r="O334" i="1" s="1"/>
  <c r="P334" i="1"/>
  <c r="S334" i="1"/>
  <c r="T334" i="1"/>
  <c r="J335" i="1"/>
  <c r="K335" i="1"/>
  <c r="L335" i="1"/>
  <c r="M335" i="1"/>
  <c r="N335" i="1" a="1"/>
  <c r="N335" i="1" s="1"/>
  <c r="O335" i="1" a="1"/>
  <c r="O335" i="1" s="1"/>
  <c r="P335" i="1"/>
  <c r="S335" i="1"/>
  <c r="T335" i="1"/>
  <c r="J336" i="1"/>
  <c r="K336" i="1"/>
  <c r="L336" i="1"/>
  <c r="M336" i="1"/>
  <c r="N336" i="1" a="1"/>
  <c r="N336" i="1" s="1"/>
  <c r="O336" i="1" a="1"/>
  <c r="O336" i="1" s="1"/>
  <c r="P336" i="1"/>
  <c r="S336" i="1"/>
  <c r="T336" i="1"/>
  <c r="J337" i="1"/>
  <c r="K337" i="1"/>
  <c r="L337" i="1"/>
  <c r="M337" i="1"/>
  <c r="N337" i="1" a="1"/>
  <c r="N337" i="1" s="1"/>
  <c r="O337" i="1" a="1"/>
  <c r="O337" i="1" s="1"/>
  <c r="P337" i="1"/>
  <c r="S337" i="1"/>
  <c r="T337" i="1"/>
  <c r="J338" i="1"/>
  <c r="K338" i="1"/>
  <c r="L338" i="1"/>
  <c r="M338" i="1"/>
  <c r="N338" i="1" a="1"/>
  <c r="N338" i="1" s="1"/>
  <c r="O338" i="1" a="1"/>
  <c r="O338" i="1" s="1"/>
  <c r="P338" i="1"/>
  <c r="S338" i="1"/>
  <c r="T338" i="1"/>
  <c r="J339" i="1"/>
  <c r="K339" i="1"/>
  <c r="L339" i="1"/>
  <c r="M339" i="1"/>
  <c r="N339" i="1" a="1"/>
  <c r="N339" i="1" s="1"/>
  <c r="O339" i="1" a="1"/>
  <c r="O339" i="1" s="1"/>
  <c r="P339" i="1"/>
  <c r="S339" i="1"/>
  <c r="T339" i="1"/>
  <c r="J340" i="1"/>
  <c r="K340" i="1"/>
  <c r="L340" i="1"/>
  <c r="M340" i="1"/>
  <c r="N340" i="1" a="1"/>
  <c r="N340" i="1" s="1"/>
  <c r="O340" i="1" a="1"/>
  <c r="O340" i="1" s="1"/>
  <c r="P340" i="1"/>
  <c r="S340" i="1"/>
  <c r="T340" i="1"/>
  <c r="J341" i="1"/>
  <c r="K341" i="1"/>
  <c r="L341" i="1"/>
  <c r="M341" i="1"/>
  <c r="N341" i="1" a="1"/>
  <c r="N341" i="1" s="1"/>
  <c r="O341" i="1" a="1"/>
  <c r="O341" i="1" s="1"/>
  <c r="P341" i="1"/>
  <c r="S341" i="1"/>
  <c r="T341" i="1"/>
  <c r="J342" i="1"/>
  <c r="K342" i="1"/>
  <c r="L342" i="1"/>
  <c r="M342" i="1"/>
  <c r="N342" i="1" a="1"/>
  <c r="N342" i="1" s="1"/>
  <c r="O342" i="1" a="1"/>
  <c r="O342" i="1" s="1"/>
  <c r="P342" i="1"/>
  <c r="S342" i="1"/>
  <c r="T342" i="1"/>
  <c r="J343" i="1"/>
  <c r="K343" i="1"/>
  <c r="L343" i="1"/>
  <c r="M343" i="1"/>
  <c r="N343" i="1" a="1"/>
  <c r="N343" i="1" s="1"/>
  <c r="O343" i="1" a="1"/>
  <c r="O343" i="1" s="1"/>
  <c r="P343" i="1"/>
  <c r="S343" i="1"/>
  <c r="T343" i="1"/>
  <c r="J344" i="1"/>
  <c r="K344" i="1"/>
  <c r="L344" i="1"/>
  <c r="M344" i="1"/>
  <c r="N344" i="1" a="1"/>
  <c r="N344" i="1" s="1"/>
  <c r="O344" i="1" a="1"/>
  <c r="O344" i="1" s="1"/>
  <c r="P344" i="1"/>
  <c r="S344" i="1"/>
  <c r="T344" i="1"/>
  <c r="J345" i="1"/>
  <c r="K345" i="1"/>
  <c r="L345" i="1"/>
  <c r="M345" i="1"/>
  <c r="N345" i="1" a="1"/>
  <c r="N345" i="1" s="1"/>
  <c r="O345" i="1" a="1"/>
  <c r="O345" i="1" s="1"/>
  <c r="P345" i="1"/>
  <c r="S345" i="1"/>
  <c r="T345" i="1"/>
  <c r="J346" i="1"/>
  <c r="K346" i="1"/>
  <c r="L346" i="1"/>
  <c r="M346" i="1"/>
  <c r="N346" i="1" a="1"/>
  <c r="N346" i="1" s="1"/>
  <c r="O346" i="1" a="1"/>
  <c r="O346" i="1" s="1"/>
  <c r="P346" i="1"/>
  <c r="S346" i="1"/>
  <c r="T346" i="1"/>
  <c r="J347" i="1"/>
  <c r="K347" i="1"/>
  <c r="L347" i="1"/>
  <c r="M347" i="1"/>
  <c r="N347" i="1" a="1"/>
  <c r="N347" i="1" s="1"/>
  <c r="O347" i="1" a="1"/>
  <c r="O347" i="1" s="1"/>
  <c r="P347" i="1"/>
  <c r="S347" i="1"/>
  <c r="T347" i="1"/>
  <c r="J348" i="1"/>
  <c r="K348" i="1"/>
  <c r="L348" i="1"/>
  <c r="M348" i="1"/>
  <c r="N348" i="1" a="1"/>
  <c r="N348" i="1" s="1"/>
  <c r="O348" i="1" a="1"/>
  <c r="O348" i="1" s="1"/>
  <c r="P348" i="1"/>
  <c r="S348" i="1"/>
  <c r="T348" i="1"/>
  <c r="J349" i="1"/>
  <c r="K349" i="1"/>
  <c r="L349" i="1"/>
  <c r="M349" i="1"/>
  <c r="N349" i="1" a="1"/>
  <c r="N349" i="1" s="1"/>
  <c r="O349" i="1" a="1"/>
  <c r="O349" i="1" s="1"/>
  <c r="P349" i="1"/>
  <c r="S349" i="1"/>
  <c r="T349" i="1"/>
  <c r="J350" i="1"/>
  <c r="K350" i="1"/>
  <c r="L350" i="1"/>
  <c r="M350" i="1"/>
  <c r="N350" i="1" a="1"/>
  <c r="N350" i="1" s="1"/>
  <c r="O350" i="1" a="1"/>
  <c r="O350" i="1" s="1"/>
  <c r="P350" i="1"/>
  <c r="S350" i="1"/>
  <c r="T350" i="1"/>
  <c r="J351" i="1"/>
  <c r="K351" i="1"/>
  <c r="L351" i="1"/>
  <c r="M351" i="1"/>
  <c r="N351" i="1" a="1"/>
  <c r="N351" i="1" s="1"/>
  <c r="O351" i="1" a="1"/>
  <c r="O351" i="1" s="1"/>
  <c r="P351" i="1"/>
  <c r="S351" i="1"/>
  <c r="T351" i="1"/>
  <c r="J352" i="1"/>
  <c r="K352" i="1"/>
  <c r="L352" i="1"/>
  <c r="M352" i="1"/>
  <c r="N352" i="1" a="1"/>
  <c r="N352" i="1" s="1"/>
  <c r="O352" i="1" a="1"/>
  <c r="O352" i="1" s="1"/>
  <c r="P352" i="1"/>
  <c r="S352" i="1"/>
  <c r="T352" i="1"/>
  <c r="J353" i="1"/>
  <c r="K353" i="1"/>
  <c r="L353" i="1"/>
  <c r="M353" i="1"/>
  <c r="N353" i="1" a="1"/>
  <c r="N353" i="1" s="1"/>
  <c r="O353" i="1" a="1"/>
  <c r="O353" i="1" s="1"/>
  <c r="P353" i="1"/>
  <c r="S353" i="1"/>
  <c r="T353" i="1"/>
  <c r="J354" i="1"/>
  <c r="K354" i="1"/>
  <c r="L354" i="1"/>
  <c r="M354" i="1"/>
  <c r="N354" i="1" a="1"/>
  <c r="N354" i="1" s="1"/>
  <c r="O354" i="1" a="1"/>
  <c r="O354" i="1" s="1"/>
  <c r="P354" i="1"/>
  <c r="S354" i="1"/>
  <c r="T354" i="1"/>
  <c r="J355" i="1"/>
  <c r="K355" i="1"/>
  <c r="L355" i="1"/>
  <c r="M355" i="1"/>
  <c r="N355" i="1" a="1"/>
  <c r="N355" i="1" s="1"/>
  <c r="O355" i="1" a="1"/>
  <c r="O355" i="1" s="1"/>
  <c r="P355" i="1"/>
  <c r="S355" i="1"/>
  <c r="T355" i="1"/>
  <c r="J356" i="1"/>
  <c r="K356" i="1"/>
  <c r="L356" i="1"/>
  <c r="M356" i="1"/>
  <c r="N356" i="1" a="1"/>
  <c r="N356" i="1" s="1"/>
  <c r="O356" i="1" a="1"/>
  <c r="O356" i="1" s="1"/>
  <c r="P356" i="1"/>
  <c r="S356" i="1"/>
  <c r="T356" i="1"/>
  <c r="J357" i="1"/>
  <c r="K357" i="1"/>
  <c r="L357" i="1"/>
  <c r="M357" i="1"/>
  <c r="N357" i="1" a="1"/>
  <c r="N357" i="1" s="1"/>
  <c r="O357" i="1" a="1"/>
  <c r="O357" i="1" s="1"/>
  <c r="P357" i="1"/>
  <c r="S357" i="1"/>
  <c r="T357" i="1"/>
  <c r="J358" i="1"/>
  <c r="K358" i="1"/>
  <c r="L358" i="1"/>
  <c r="M358" i="1"/>
  <c r="N358" i="1" a="1"/>
  <c r="N358" i="1" s="1"/>
  <c r="O358" i="1" a="1"/>
  <c r="O358" i="1" s="1"/>
  <c r="P358" i="1"/>
  <c r="S358" i="1"/>
  <c r="T358" i="1"/>
  <c r="J359" i="1"/>
  <c r="K359" i="1"/>
  <c r="L359" i="1"/>
  <c r="M359" i="1"/>
  <c r="N359" i="1" a="1"/>
  <c r="N359" i="1" s="1"/>
  <c r="O359" i="1" a="1"/>
  <c r="O359" i="1" s="1"/>
  <c r="P359" i="1"/>
  <c r="S359" i="1"/>
  <c r="T359" i="1"/>
  <c r="J360" i="1"/>
  <c r="K360" i="1"/>
  <c r="L360" i="1"/>
  <c r="M360" i="1"/>
  <c r="N360" i="1" a="1"/>
  <c r="N360" i="1" s="1"/>
  <c r="O360" i="1" a="1"/>
  <c r="O360" i="1" s="1"/>
  <c r="P360" i="1"/>
  <c r="S360" i="1"/>
  <c r="T360" i="1"/>
  <c r="J361" i="1"/>
  <c r="K361" i="1"/>
  <c r="L361" i="1"/>
  <c r="M361" i="1"/>
  <c r="N361" i="1" a="1"/>
  <c r="N361" i="1" s="1"/>
  <c r="O361" i="1" a="1"/>
  <c r="O361" i="1" s="1"/>
  <c r="P361" i="1"/>
  <c r="S361" i="1"/>
  <c r="T361" i="1"/>
  <c r="J362" i="1"/>
  <c r="K362" i="1"/>
  <c r="L362" i="1"/>
  <c r="M362" i="1"/>
  <c r="N362" i="1" a="1"/>
  <c r="N362" i="1" s="1"/>
  <c r="O362" i="1" a="1"/>
  <c r="O362" i="1" s="1"/>
  <c r="P362" i="1"/>
  <c r="S362" i="1"/>
  <c r="T362" i="1"/>
  <c r="J363" i="1"/>
  <c r="K363" i="1"/>
  <c r="L363" i="1"/>
  <c r="M363" i="1"/>
  <c r="N363" i="1" a="1"/>
  <c r="N363" i="1" s="1"/>
  <c r="O363" i="1" a="1"/>
  <c r="O363" i="1" s="1"/>
  <c r="P363" i="1"/>
  <c r="S363" i="1"/>
  <c r="T363" i="1"/>
  <c r="J364" i="1"/>
  <c r="K364" i="1"/>
  <c r="L364" i="1"/>
  <c r="M364" i="1"/>
  <c r="N364" i="1" a="1"/>
  <c r="N364" i="1" s="1"/>
  <c r="O364" i="1" a="1"/>
  <c r="O364" i="1" s="1"/>
  <c r="P364" i="1"/>
  <c r="S364" i="1"/>
  <c r="T364" i="1"/>
  <c r="J365" i="1"/>
  <c r="K365" i="1"/>
  <c r="L365" i="1"/>
  <c r="M365" i="1"/>
  <c r="N365" i="1" a="1"/>
  <c r="N365" i="1" s="1"/>
  <c r="O365" i="1" a="1"/>
  <c r="O365" i="1" s="1"/>
  <c r="P365" i="1"/>
  <c r="S365" i="1"/>
  <c r="T365" i="1"/>
  <c r="J366" i="1"/>
  <c r="K366" i="1"/>
  <c r="L366" i="1"/>
  <c r="M366" i="1"/>
  <c r="N366" i="1" a="1"/>
  <c r="N366" i="1" s="1"/>
  <c r="O366" i="1" a="1"/>
  <c r="O366" i="1" s="1"/>
  <c r="P366" i="1"/>
  <c r="S366" i="1"/>
  <c r="T366" i="1"/>
  <c r="J367" i="1"/>
  <c r="K367" i="1"/>
  <c r="L367" i="1"/>
  <c r="M367" i="1"/>
  <c r="N367" i="1" a="1"/>
  <c r="N367" i="1" s="1"/>
  <c r="O367" i="1" a="1"/>
  <c r="O367" i="1" s="1"/>
  <c r="P367" i="1"/>
  <c r="S367" i="1"/>
  <c r="T367" i="1"/>
  <c r="J368" i="1"/>
  <c r="K368" i="1"/>
  <c r="L368" i="1"/>
  <c r="M368" i="1"/>
  <c r="N368" i="1" a="1"/>
  <c r="N368" i="1" s="1"/>
  <c r="O368" i="1" a="1"/>
  <c r="O368" i="1" s="1"/>
  <c r="P368" i="1"/>
  <c r="S368" i="1"/>
  <c r="T368" i="1"/>
  <c r="J369" i="1"/>
  <c r="K369" i="1"/>
  <c r="L369" i="1"/>
  <c r="M369" i="1"/>
  <c r="N369" i="1" a="1"/>
  <c r="N369" i="1" s="1"/>
  <c r="O369" i="1" a="1"/>
  <c r="O369" i="1" s="1"/>
  <c r="P369" i="1"/>
  <c r="S369" i="1"/>
  <c r="T369" i="1"/>
  <c r="J370" i="1"/>
  <c r="K370" i="1"/>
  <c r="L370" i="1"/>
  <c r="M370" i="1"/>
  <c r="N370" i="1" a="1"/>
  <c r="N370" i="1" s="1"/>
  <c r="O370" i="1" a="1"/>
  <c r="O370" i="1" s="1"/>
  <c r="P370" i="1"/>
  <c r="S370" i="1"/>
  <c r="T370" i="1"/>
  <c r="J371" i="1"/>
  <c r="K371" i="1"/>
  <c r="L371" i="1"/>
  <c r="M371" i="1"/>
  <c r="N371" i="1" a="1"/>
  <c r="N371" i="1" s="1"/>
  <c r="O371" i="1" a="1"/>
  <c r="O371" i="1" s="1"/>
  <c r="P371" i="1"/>
  <c r="S371" i="1"/>
  <c r="T371" i="1"/>
  <c r="J372" i="1"/>
  <c r="K372" i="1"/>
  <c r="L372" i="1"/>
  <c r="M372" i="1"/>
  <c r="N372" i="1" a="1"/>
  <c r="N372" i="1" s="1"/>
  <c r="O372" i="1" a="1"/>
  <c r="O372" i="1" s="1"/>
  <c r="P372" i="1"/>
  <c r="S372" i="1"/>
  <c r="T372" i="1"/>
  <c r="J373" i="1"/>
  <c r="K373" i="1"/>
  <c r="L373" i="1"/>
  <c r="M373" i="1"/>
  <c r="N373" i="1" a="1"/>
  <c r="N373" i="1" s="1"/>
  <c r="O373" i="1" a="1"/>
  <c r="O373" i="1" s="1"/>
  <c r="P373" i="1"/>
  <c r="S373" i="1"/>
  <c r="T373" i="1"/>
  <c r="J374" i="1"/>
  <c r="K374" i="1"/>
  <c r="L374" i="1"/>
  <c r="M374" i="1"/>
  <c r="N374" i="1" a="1"/>
  <c r="N374" i="1" s="1"/>
  <c r="O374" i="1" a="1"/>
  <c r="O374" i="1" s="1"/>
  <c r="P374" i="1"/>
  <c r="S374" i="1"/>
  <c r="T374" i="1"/>
  <c r="J375" i="1"/>
  <c r="K375" i="1"/>
  <c r="L375" i="1"/>
  <c r="M375" i="1"/>
  <c r="N375" i="1" a="1"/>
  <c r="N375" i="1" s="1"/>
  <c r="O375" i="1" a="1"/>
  <c r="O375" i="1" s="1"/>
  <c r="P375" i="1"/>
  <c r="S375" i="1"/>
  <c r="T375" i="1"/>
  <c r="J376" i="1"/>
  <c r="K376" i="1"/>
  <c r="L376" i="1"/>
  <c r="M376" i="1"/>
  <c r="N376" i="1" a="1"/>
  <c r="N376" i="1" s="1"/>
  <c r="O376" i="1" a="1"/>
  <c r="O376" i="1" s="1"/>
  <c r="P376" i="1"/>
  <c r="S376" i="1"/>
  <c r="T376" i="1"/>
  <c r="J377" i="1"/>
  <c r="K377" i="1"/>
  <c r="L377" i="1"/>
  <c r="M377" i="1"/>
  <c r="N377" i="1" a="1"/>
  <c r="N377" i="1" s="1"/>
  <c r="O377" i="1" a="1"/>
  <c r="O377" i="1" s="1"/>
  <c r="P377" i="1"/>
  <c r="S377" i="1"/>
  <c r="T377" i="1"/>
  <c r="J378" i="1"/>
  <c r="K378" i="1"/>
  <c r="L378" i="1"/>
  <c r="M378" i="1"/>
  <c r="N378" i="1" a="1"/>
  <c r="N378" i="1" s="1"/>
  <c r="O378" i="1" a="1"/>
  <c r="O378" i="1" s="1"/>
  <c r="P378" i="1"/>
  <c r="S378" i="1"/>
  <c r="T378" i="1"/>
  <c r="J379" i="1"/>
  <c r="K379" i="1"/>
  <c r="L379" i="1"/>
  <c r="M379" i="1"/>
  <c r="N379" i="1" a="1"/>
  <c r="N379" i="1" s="1"/>
  <c r="O379" i="1" a="1"/>
  <c r="O379" i="1" s="1"/>
  <c r="P379" i="1"/>
  <c r="S379" i="1"/>
  <c r="T379" i="1"/>
  <c r="J380" i="1"/>
  <c r="K380" i="1"/>
  <c r="L380" i="1"/>
  <c r="M380" i="1"/>
  <c r="N380" i="1" a="1"/>
  <c r="N380" i="1" s="1"/>
  <c r="O380" i="1" a="1"/>
  <c r="O380" i="1" s="1"/>
  <c r="P380" i="1"/>
  <c r="S380" i="1"/>
  <c r="T380" i="1"/>
  <c r="J381" i="1"/>
  <c r="K381" i="1"/>
  <c r="L381" i="1"/>
  <c r="M381" i="1"/>
  <c r="N381" i="1" a="1"/>
  <c r="N381" i="1" s="1"/>
  <c r="O381" i="1" a="1"/>
  <c r="O381" i="1" s="1"/>
  <c r="P381" i="1"/>
  <c r="S381" i="1"/>
  <c r="T381" i="1"/>
  <c r="J382" i="1"/>
  <c r="K382" i="1"/>
  <c r="L382" i="1"/>
  <c r="M382" i="1"/>
  <c r="N382" i="1" a="1"/>
  <c r="N382" i="1" s="1"/>
  <c r="O382" i="1" a="1"/>
  <c r="O382" i="1" s="1"/>
  <c r="P382" i="1"/>
  <c r="S382" i="1"/>
  <c r="T382" i="1"/>
  <c r="J383" i="1"/>
  <c r="K383" i="1"/>
  <c r="L383" i="1"/>
  <c r="M383" i="1"/>
  <c r="N383" i="1" a="1"/>
  <c r="N383" i="1" s="1"/>
  <c r="O383" i="1" a="1"/>
  <c r="O383" i="1" s="1"/>
  <c r="P383" i="1"/>
  <c r="S383" i="1"/>
  <c r="T383" i="1"/>
  <c r="J384" i="1"/>
  <c r="K384" i="1"/>
  <c r="L384" i="1"/>
  <c r="M384" i="1"/>
  <c r="N384" i="1" a="1"/>
  <c r="N384" i="1" s="1"/>
  <c r="O384" i="1" a="1"/>
  <c r="O384" i="1" s="1"/>
  <c r="P384" i="1"/>
  <c r="S384" i="1"/>
  <c r="T384" i="1"/>
  <c r="J385" i="1"/>
  <c r="K385" i="1"/>
  <c r="L385" i="1"/>
  <c r="M385" i="1"/>
  <c r="N385" i="1" a="1"/>
  <c r="N385" i="1" s="1"/>
  <c r="O385" i="1" a="1"/>
  <c r="O385" i="1" s="1"/>
  <c r="P385" i="1"/>
  <c r="S385" i="1"/>
  <c r="T385" i="1"/>
  <c r="J386" i="1"/>
  <c r="K386" i="1"/>
  <c r="L386" i="1"/>
  <c r="M386" i="1"/>
  <c r="N386" i="1" a="1"/>
  <c r="N386" i="1" s="1"/>
  <c r="O386" i="1" a="1"/>
  <c r="O386" i="1" s="1"/>
  <c r="P386" i="1"/>
  <c r="S386" i="1"/>
  <c r="T386" i="1"/>
  <c r="J387" i="1"/>
  <c r="K387" i="1"/>
  <c r="L387" i="1"/>
  <c r="M387" i="1"/>
  <c r="N387" i="1" a="1"/>
  <c r="N387" i="1" s="1"/>
  <c r="O387" i="1" a="1"/>
  <c r="O387" i="1" s="1"/>
  <c r="P387" i="1"/>
  <c r="S387" i="1"/>
  <c r="T387" i="1"/>
  <c r="J388" i="1"/>
  <c r="K388" i="1"/>
  <c r="L388" i="1"/>
  <c r="M388" i="1"/>
  <c r="N388" i="1" a="1"/>
  <c r="N388" i="1" s="1"/>
  <c r="O388" i="1" a="1"/>
  <c r="O388" i="1" s="1"/>
  <c r="P388" i="1"/>
  <c r="S388" i="1"/>
  <c r="T388" i="1"/>
  <c r="J389" i="1"/>
  <c r="K389" i="1"/>
  <c r="L389" i="1"/>
  <c r="M389" i="1"/>
  <c r="N389" i="1" a="1"/>
  <c r="N389" i="1" s="1"/>
  <c r="O389" i="1" a="1"/>
  <c r="O389" i="1" s="1"/>
  <c r="P389" i="1"/>
  <c r="S389" i="1"/>
  <c r="T389" i="1"/>
  <c r="J390" i="1"/>
  <c r="K390" i="1"/>
  <c r="L390" i="1"/>
  <c r="M390" i="1"/>
  <c r="N390" i="1" a="1"/>
  <c r="N390" i="1" s="1"/>
  <c r="O390" i="1" a="1"/>
  <c r="O390" i="1" s="1"/>
  <c r="P390" i="1"/>
  <c r="S390" i="1"/>
  <c r="T390" i="1"/>
  <c r="J391" i="1"/>
  <c r="K391" i="1"/>
  <c r="L391" i="1"/>
  <c r="M391" i="1"/>
  <c r="N391" i="1" a="1"/>
  <c r="N391" i="1" s="1"/>
  <c r="O391" i="1" a="1"/>
  <c r="O391" i="1" s="1"/>
  <c r="P391" i="1"/>
  <c r="S391" i="1"/>
  <c r="T391" i="1"/>
  <c r="J392" i="1"/>
  <c r="K392" i="1"/>
  <c r="L392" i="1"/>
  <c r="M392" i="1"/>
  <c r="N392" i="1" a="1"/>
  <c r="N392" i="1" s="1"/>
  <c r="O392" i="1" a="1"/>
  <c r="O392" i="1" s="1"/>
  <c r="P392" i="1"/>
  <c r="S392" i="1"/>
  <c r="T392" i="1"/>
  <c r="J393" i="1"/>
  <c r="K393" i="1"/>
  <c r="L393" i="1"/>
  <c r="M393" i="1"/>
  <c r="N393" i="1" a="1"/>
  <c r="N393" i="1" s="1"/>
  <c r="O393" i="1" a="1"/>
  <c r="O393" i="1" s="1"/>
  <c r="P393" i="1"/>
  <c r="S393" i="1"/>
  <c r="T393" i="1"/>
  <c r="J394" i="1"/>
  <c r="K394" i="1"/>
  <c r="L394" i="1"/>
  <c r="M394" i="1"/>
  <c r="N394" i="1" a="1"/>
  <c r="N394" i="1" s="1"/>
  <c r="O394" i="1" a="1"/>
  <c r="O394" i="1" s="1"/>
  <c r="P394" i="1"/>
  <c r="S394" i="1"/>
  <c r="T394" i="1"/>
  <c r="J395" i="1"/>
  <c r="K395" i="1"/>
  <c r="L395" i="1"/>
  <c r="M395" i="1"/>
  <c r="N395" i="1" a="1"/>
  <c r="N395" i="1" s="1"/>
  <c r="O395" i="1" a="1"/>
  <c r="O395" i="1" s="1"/>
  <c r="P395" i="1"/>
  <c r="S395" i="1"/>
  <c r="T395" i="1"/>
  <c r="J396" i="1"/>
  <c r="K396" i="1"/>
  <c r="L396" i="1"/>
  <c r="M396" i="1"/>
  <c r="N396" i="1" a="1"/>
  <c r="N396" i="1" s="1"/>
  <c r="O396" i="1" a="1"/>
  <c r="O396" i="1" s="1"/>
  <c r="P396" i="1"/>
  <c r="S396" i="1"/>
  <c r="T396" i="1"/>
  <c r="J397" i="1"/>
  <c r="K397" i="1"/>
  <c r="L397" i="1"/>
  <c r="M397" i="1"/>
  <c r="N397" i="1" a="1"/>
  <c r="N397" i="1" s="1"/>
  <c r="O397" i="1" a="1"/>
  <c r="O397" i="1" s="1"/>
  <c r="P397" i="1"/>
  <c r="S397" i="1"/>
  <c r="T397" i="1"/>
  <c r="J398" i="1"/>
  <c r="K398" i="1"/>
  <c r="L398" i="1"/>
  <c r="M398" i="1"/>
  <c r="N398" i="1" a="1"/>
  <c r="N398" i="1" s="1"/>
  <c r="O398" i="1" a="1"/>
  <c r="O398" i="1" s="1"/>
  <c r="P398" i="1"/>
  <c r="S398" i="1"/>
  <c r="T398" i="1"/>
  <c r="J399" i="1"/>
  <c r="K399" i="1"/>
  <c r="L399" i="1"/>
  <c r="M399" i="1"/>
  <c r="N399" i="1" a="1"/>
  <c r="N399" i="1" s="1"/>
  <c r="O399" i="1" a="1"/>
  <c r="O399" i="1" s="1"/>
  <c r="P399" i="1"/>
  <c r="S399" i="1"/>
  <c r="T399" i="1"/>
  <c r="J400" i="1"/>
  <c r="K400" i="1"/>
  <c r="L400" i="1"/>
  <c r="M400" i="1"/>
  <c r="N400" i="1" a="1"/>
  <c r="N400" i="1" s="1"/>
  <c r="O400" i="1" a="1"/>
  <c r="O400" i="1" s="1"/>
  <c r="P400" i="1"/>
  <c r="S400" i="1"/>
  <c r="T400" i="1"/>
  <c r="J401" i="1"/>
  <c r="K401" i="1"/>
  <c r="L401" i="1"/>
  <c r="M401" i="1"/>
  <c r="N401" i="1" a="1"/>
  <c r="N401" i="1" s="1"/>
  <c r="O401" i="1" a="1"/>
  <c r="O401" i="1" s="1"/>
  <c r="P401" i="1"/>
  <c r="S401" i="1"/>
  <c r="T401" i="1"/>
  <c r="J402" i="1"/>
  <c r="K402" i="1"/>
  <c r="L402" i="1"/>
  <c r="M402" i="1"/>
  <c r="N402" i="1" a="1"/>
  <c r="N402" i="1" s="1"/>
  <c r="O402" i="1" a="1"/>
  <c r="O402" i="1" s="1"/>
  <c r="P402" i="1"/>
  <c r="S402" i="1"/>
  <c r="T402" i="1"/>
  <c r="J403" i="1"/>
  <c r="K403" i="1"/>
  <c r="L403" i="1"/>
  <c r="M403" i="1"/>
  <c r="N403" i="1" a="1"/>
  <c r="N403" i="1" s="1"/>
  <c r="O403" i="1" a="1"/>
  <c r="O403" i="1" s="1"/>
  <c r="P403" i="1"/>
  <c r="S403" i="1"/>
  <c r="T403" i="1"/>
  <c r="J404" i="1"/>
  <c r="K404" i="1"/>
  <c r="L404" i="1"/>
  <c r="M404" i="1"/>
  <c r="N404" i="1" a="1"/>
  <c r="N404" i="1" s="1"/>
  <c r="O404" i="1" a="1"/>
  <c r="O404" i="1" s="1"/>
  <c r="P404" i="1"/>
  <c r="S404" i="1"/>
  <c r="T404" i="1"/>
  <c r="J405" i="1"/>
  <c r="K405" i="1"/>
  <c r="L405" i="1"/>
  <c r="M405" i="1"/>
  <c r="N405" i="1" a="1"/>
  <c r="N405" i="1" s="1"/>
  <c r="O405" i="1" a="1"/>
  <c r="O405" i="1" s="1"/>
  <c r="P405" i="1"/>
  <c r="S405" i="1"/>
  <c r="T405" i="1"/>
  <c r="J406" i="1"/>
  <c r="K406" i="1"/>
  <c r="L406" i="1"/>
  <c r="M406" i="1"/>
  <c r="N406" i="1" a="1"/>
  <c r="N406" i="1" s="1"/>
  <c r="O406" i="1" a="1"/>
  <c r="O406" i="1" s="1"/>
  <c r="P406" i="1"/>
  <c r="S406" i="1"/>
  <c r="T406" i="1"/>
  <c r="J407" i="1"/>
  <c r="K407" i="1"/>
  <c r="L407" i="1"/>
  <c r="M407" i="1"/>
  <c r="N407" i="1" a="1"/>
  <c r="N407" i="1" s="1"/>
  <c r="O407" i="1" a="1"/>
  <c r="O407" i="1" s="1"/>
  <c r="P407" i="1"/>
  <c r="S407" i="1"/>
  <c r="T407" i="1"/>
  <c r="J408" i="1"/>
  <c r="K408" i="1"/>
  <c r="L408" i="1"/>
  <c r="M408" i="1"/>
  <c r="N408" i="1" a="1"/>
  <c r="N408" i="1" s="1"/>
  <c r="O408" i="1" a="1"/>
  <c r="O408" i="1" s="1"/>
  <c r="P408" i="1"/>
  <c r="S408" i="1"/>
  <c r="T408" i="1"/>
  <c r="J409" i="1"/>
  <c r="K409" i="1"/>
  <c r="L409" i="1"/>
  <c r="M409" i="1"/>
  <c r="N409" i="1" a="1"/>
  <c r="N409" i="1" s="1"/>
  <c r="O409" i="1" a="1"/>
  <c r="O409" i="1" s="1"/>
  <c r="P409" i="1"/>
  <c r="S409" i="1"/>
  <c r="T409" i="1"/>
  <c r="J410" i="1"/>
  <c r="K410" i="1"/>
  <c r="L410" i="1"/>
  <c r="M410" i="1"/>
  <c r="N410" i="1" a="1"/>
  <c r="N410" i="1" s="1"/>
  <c r="O410" i="1" a="1"/>
  <c r="O410" i="1" s="1"/>
  <c r="P410" i="1"/>
  <c r="S410" i="1"/>
  <c r="T410" i="1"/>
  <c r="J411" i="1"/>
  <c r="K411" i="1"/>
  <c r="L411" i="1"/>
  <c r="M411" i="1"/>
  <c r="N411" i="1" a="1"/>
  <c r="N411" i="1" s="1"/>
  <c r="O411" i="1" a="1"/>
  <c r="O411" i="1" s="1"/>
  <c r="P411" i="1"/>
  <c r="S411" i="1"/>
  <c r="T411" i="1"/>
  <c r="J412" i="1"/>
  <c r="K412" i="1"/>
  <c r="L412" i="1"/>
  <c r="M412" i="1"/>
  <c r="N412" i="1" a="1"/>
  <c r="N412" i="1" s="1"/>
  <c r="O412" i="1" a="1"/>
  <c r="O412" i="1" s="1"/>
  <c r="P412" i="1"/>
  <c r="S412" i="1"/>
  <c r="T412" i="1"/>
  <c r="J413" i="1"/>
  <c r="K413" i="1"/>
  <c r="L413" i="1"/>
  <c r="M413" i="1"/>
  <c r="N413" i="1" a="1"/>
  <c r="N413" i="1" s="1"/>
  <c r="O413" i="1" a="1"/>
  <c r="O413" i="1" s="1"/>
  <c r="P413" i="1"/>
  <c r="S413" i="1"/>
  <c r="T413" i="1"/>
  <c r="J414" i="1"/>
  <c r="K414" i="1"/>
  <c r="L414" i="1"/>
  <c r="M414" i="1"/>
  <c r="N414" i="1" a="1"/>
  <c r="N414" i="1" s="1"/>
  <c r="O414" i="1" a="1"/>
  <c r="O414" i="1" s="1"/>
  <c r="P414" i="1"/>
  <c r="S414" i="1"/>
  <c r="T414" i="1"/>
  <c r="J415" i="1"/>
  <c r="K415" i="1"/>
  <c r="L415" i="1"/>
  <c r="M415" i="1"/>
  <c r="N415" i="1" a="1"/>
  <c r="N415" i="1" s="1"/>
  <c r="O415" i="1" a="1"/>
  <c r="O415" i="1" s="1"/>
  <c r="P415" i="1"/>
  <c r="S415" i="1"/>
  <c r="T415" i="1"/>
  <c r="J416" i="1"/>
  <c r="K416" i="1"/>
  <c r="L416" i="1"/>
  <c r="M416" i="1"/>
  <c r="N416" i="1" a="1"/>
  <c r="N416" i="1" s="1"/>
  <c r="O416" i="1" a="1"/>
  <c r="O416" i="1" s="1"/>
  <c r="P416" i="1"/>
  <c r="S416" i="1"/>
  <c r="T416" i="1"/>
  <c r="J417" i="1"/>
  <c r="K417" i="1"/>
  <c r="L417" i="1"/>
  <c r="M417" i="1"/>
  <c r="N417" i="1" a="1"/>
  <c r="N417" i="1" s="1"/>
  <c r="O417" i="1" a="1"/>
  <c r="O417" i="1" s="1"/>
  <c r="P417" i="1"/>
  <c r="S417" i="1"/>
  <c r="T417" i="1"/>
  <c r="J418" i="1"/>
  <c r="K418" i="1"/>
  <c r="L418" i="1"/>
  <c r="M418" i="1"/>
  <c r="N418" i="1" a="1"/>
  <c r="N418" i="1" s="1"/>
  <c r="O418" i="1" a="1"/>
  <c r="O418" i="1" s="1"/>
  <c r="P418" i="1"/>
  <c r="S418" i="1"/>
  <c r="T418" i="1"/>
  <c r="J419" i="1"/>
  <c r="K419" i="1"/>
  <c r="L419" i="1"/>
  <c r="M419" i="1"/>
  <c r="N419" i="1" a="1"/>
  <c r="N419" i="1" s="1"/>
  <c r="O419" i="1" a="1"/>
  <c r="O419" i="1" s="1"/>
  <c r="P419" i="1"/>
  <c r="S419" i="1"/>
  <c r="T419" i="1"/>
  <c r="J420" i="1"/>
  <c r="K420" i="1"/>
  <c r="L420" i="1"/>
  <c r="M420" i="1"/>
  <c r="N420" i="1" a="1"/>
  <c r="N420" i="1" s="1"/>
  <c r="O420" i="1" a="1"/>
  <c r="O420" i="1" s="1"/>
  <c r="P420" i="1"/>
  <c r="S420" i="1"/>
  <c r="T420" i="1"/>
  <c r="J421" i="1"/>
  <c r="K421" i="1"/>
  <c r="L421" i="1"/>
  <c r="M421" i="1"/>
  <c r="N421" i="1" a="1"/>
  <c r="N421" i="1" s="1"/>
  <c r="O421" i="1" a="1"/>
  <c r="O421" i="1" s="1"/>
  <c r="P421" i="1"/>
  <c r="S421" i="1"/>
  <c r="T421" i="1"/>
  <c r="J422" i="1"/>
  <c r="K422" i="1"/>
  <c r="L422" i="1"/>
  <c r="M422" i="1"/>
  <c r="N422" i="1" a="1"/>
  <c r="N422" i="1" s="1"/>
  <c r="O422" i="1" a="1"/>
  <c r="O422" i="1" s="1"/>
  <c r="P422" i="1"/>
  <c r="S422" i="1"/>
  <c r="T422" i="1"/>
  <c r="J423" i="1"/>
  <c r="K423" i="1"/>
  <c r="L423" i="1"/>
  <c r="M423" i="1"/>
  <c r="N423" i="1" a="1"/>
  <c r="N423" i="1" s="1"/>
  <c r="O423" i="1" a="1"/>
  <c r="O423" i="1" s="1"/>
  <c r="P423" i="1"/>
  <c r="S423" i="1"/>
  <c r="T423" i="1"/>
  <c r="J424" i="1"/>
  <c r="K424" i="1"/>
  <c r="L424" i="1"/>
  <c r="M424" i="1"/>
  <c r="N424" i="1" a="1"/>
  <c r="N424" i="1" s="1"/>
  <c r="O424" i="1" a="1"/>
  <c r="O424" i="1" s="1"/>
  <c r="P424" i="1"/>
  <c r="S424" i="1"/>
  <c r="T424" i="1"/>
  <c r="J425" i="1"/>
  <c r="K425" i="1"/>
  <c r="L425" i="1"/>
  <c r="M425" i="1"/>
  <c r="N425" i="1" a="1"/>
  <c r="N425" i="1" s="1"/>
  <c r="O425" i="1" a="1"/>
  <c r="O425" i="1" s="1"/>
  <c r="P425" i="1"/>
  <c r="S425" i="1"/>
  <c r="T425" i="1"/>
  <c r="J426" i="1"/>
  <c r="K426" i="1"/>
  <c r="L426" i="1"/>
  <c r="M426" i="1"/>
  <c r="N426" i="1" a="1"/>
  <c r="N426" i="1" s="1"/>
  <c r="O426" i="1" a="1"/>
  <c r="O426" i="1" s="1"/>
  <c r="P426" i="1"/>
  <c r="S426" i="1"/>
  <c r="T426" i="1"/>
  <c r="J427" i="1"/>
  <c r="K427" i="1"/>
  <c r="L427" i="1"/>
  <c r="M427" i="1"/>
  <c r="N427" i="1" a="1"/>
  <c r="N427" i="1" s="1"/>
  <c r="O427" i="1" a="1"/>
  <c r="O427" i="1" s="1"/>
  <c r="P427" i="1"/>
  <c r="S427" i="1"/>
  <c r="T427" i="1"/>
  <c r="J428" i="1"/>
  <c r="K428" i="1"/>
  <c r="L428" i="1"/>
  <c r="M428" i="1"/>
  <c r="N428" i="1" a="1"/>
  <c r="N428" i="1" s="1"/>
  <c r="O428" i="1" a="1"/>
  <c r="O428" i="1" s="1"/>
  <c r="P428" i="1"/>
  <c r="S428" i="1"/>
  <c r="T428" i="1"/>
  <c r="J429" i="1"/>
  <c r="K429" i="1"/>
  <c r="L429" i="1"/>
  <c r="M429" i="1"/>
  <c r="N429" i="1" a="1"/>
  <c r="N429" i="1" s="1"/>
  <c r="O429" i="1" a="1"/>
  <c r="O429" i="1" s="1"/>
  <c r="P429" i="1"/>
  <c r="S429" i="1"/>
  <c r="T429" i="1"/>
  <c r="J430" i="1"/>
  <c r="K430" i="1"/>
  <c r="L430" i="1"/>
  <c r="M430" i="1"/>
  <c r="N430" i="1" a="1"/>
  <c r="N430" i="1" s="1"/>
  <c r="O430" i="1" a="1"/>
  <c r="O430" i="1" s="1"/>
  <c r="P430" i="1"/>
  <c r="S430" i="1"/>
  <c r="T430" i="1"/>
  <c r="J431" i="1"/>
  <c r="K431" i="1"/>
  <c r="L431" i="1"/>
  <c r="M431" i="1"/>
  <c r="N431" i="1" a="1"/>
  <c r="N431" i="1" s="1"/>
  <c r="O431" i="1" a="1"/>
  <c r="O431" i="1" s="1"/>
  <c r="P431" i="1"/>
  <c r="S431" i="1"/>
  <c r="T431" i="1"/>
  <c r="J432" i="1"/>
  <c r="K432" i="1"/>
  <c r="L432" i="1"/>
  <c r="M432" i="1"/>
  <c r="N432" i="1" a="1"/>
  <c r="N432" i="1" s="1"/>
  <c r="O432" i="1" a="1"/>
  <c r="O432" i="1" s="1"/>
  <c r="P432" i="1"/>
  <c r="S432" i="1"/>
  <c r="T432" i="1"/>
  <c r="J433" i="1"/>
  <c r="K433" i="1"/>
  <c r="L433" i="1"/>
  <c r="M433" i="1"/>
  <c r="N433" i="1" a="1"/>
  <c r="N433" i="1" s="1"/>
  <c r="O433" i="1" a="1"/>
  <c r="O433" i="1" s="1"/>
  <c r="P433" i="1"/>
  <c r="S433" i="1"/>
  <c r="T433" i="1"/>
  <c r="J434" i="1"/>
  <c r="K434" i="1"/>
  <c r="L434" i="1"/>
  <c r="M434" i="1"/>
  <c r="N434" i="1" a="1"/>
  <c r="N434" i="1" s="1"/>
  <c r="O434" i="1" a="1"/>
  <c r="O434" i="1" s="1"/>
  <c r="P434" i="1"/>
  <c r="S434" i="1"/>
  <c r="T434" i="1"/>
  <c r="J435" i="1"/>
  <c r="K435" i="1"/>
  <c r="L435" i="1"/>
  <c r="M435" i="1"/>
  <c r="N435" i="1" a="1"/>
  <c r="N435" i="1" s="1"/>
  <c r="O435" i="1" a="1"/>
  <c r="O435" i="1" s="1"/>
  <c r="P435" i="1"/>
  <c r="S435" i="1"/>
  <c r="T435" i="1"/>
  <c r="J436" i="1"/>
  <c r="K436" i="1"/>
  <c r="L436" i="1"/>
  <c r="M436" i="1"/>
  <c r="N436" i="1" a="1"/>
  <c r="N436" i="1" s="1"/>
  <c r="O436" i="1" a="1"/>
  <c r="O436" i="1" s="1"/>
  <c r="P436" i="1"/>
  <c r="S436" i="1"/>
  <c r="T436" i="1"/>
  <c r="J437" i="1"/>
  <c r="K437" i="1"/>
  <c r="L437" i="1"/>
  <c r="M437" i="1"/>
  <c r="N437" i="1" a="1"/>
  <c r="N437" i="1" s="1"/>
  <c r="O437" i="1" a="1"/>
  <c r="O437" i="1" s="1"/>
  <c r="P437" i="1"/>
  <c r="S437" i="1"/>
  <c r="T437" i="1"/>
  <c r="J438" i="1"/>
  <c r="K438" i="1"/>
  <c r="L438" i="1"/>
  <c r="M438" i="1"/>
  <c r="N438" i="1" a="1"/>
  <c r="N438" i="1" s="1"/>
  <c r="O438" i="1" a="1"/>
  <c r="O438" i="1" s="1"/>
  <c r="P438" i="1"/>
  <c r="S438" i="1"/>
  <c r="T438" i="1"/>
  <c r="J439" i="1"/>
  <c r="K439" i="1"/>
  <c r="L439" i="1"/>
  <c r="M439" i="1"/>
  <c r="N439" i="1" a="1"/>
  <c r="N439" i="1" s="1"/>
  <c r="O439" i="1" a="1"/>
  <c r="O439" i="1" s="1"/>
  <c r="P439" i="1"/>
  <c r="S439" i="1"/>
  <c r="T439" i="1"/>
  <c r="J440" i="1"/>
  <c r="K440" i="1"/>
  <c r="L440" i="1"/>
  <c r="M440" i="1"/>
  <c r="N440" i="1" a="1"/>
  <c r="N440" i="1" s="1"/>
  <c r="O440" i="1" a="1"/>
  <c r="O440" i="1" s="1"/>
  <c r="P440" i="1"/>
  <c r="S440" i="1"/>
  <c r="T440" i="1"/>
  <c r="J441" i="1"/>
  <c r="K441" i="1"/>
  <c r="L441" i="1"/>
  <c r="M441" i="1"/>
  <c r="N441" i="1" a="1"/>
  <c r="N441" i="1" s="1"/>
  <c r="O441" i="1" a="1"/>
  <c r="O441" i="1" s="1"/>
  <c r="P441" i="1"/>
  <c r="S441" i="1"/>
  <c r="T441" i="1"/>
  <c r="J442" i="1"/>
  <c r="K442" i="1"/>
  <c r="L442" i="1"/>
  <c r="M442" i="1"/>
  <c r="N442" i="1" a="1"/>
  <c r="N442" i="1" s="1"/>
  <c r="O442" i="1" a="1"/>
  <c r="O442" i="1" s="1"/>
  <c r="P442" i="1"/>
  <c r="S442" i="1"/>
  <c r="T442" i="1"/>
  <c r="J443" i="1"/>
  <c r="K443" i="1"/>
  <c r="L443" i="1"/>
  <c r="M443" i="1"/>
  <c r="N443" i="1" a="1"/>
  <c r="N443" i="1" s="1"/>
  <c r="O443" i="1" a="1"/>
  <c r="O443" i="1" s="1"/>
  <c r="P443" i="1"/>
  <c r="S443" i="1"/>
  <c r="T443" i="1"/>
  <c r="J444" i="1"/>
  <c r="K444" i="1"/>
  <c r="L444" i="1"/>
  <c r="M444" i="1"/>
  <c r="N444" i="1" a="1"/>
  <c r="N444" i="1" s="1"/>
  <c r="O444" i="1" a="1"/>
  <c r="O444" i="1" s="1"/>
  <c r="P444" i="1"/>
  <c r="S444" i="1"/>
  <c r="T444" i="1"/>
  <c r="J445" i="1"/>
  <c r="K445" i="1"/>
  <c r="L445" i="1"/>
  <c r="M445" i="1"/>
  <c r="N445" i="1" a="1"/>
  <c r="N445" i="1" s="1"/>
  <c r="O445" i="1" a="1"/>
  <c r="O445" i="1" s="1"/>
  <c r="P445" i="1"/>
  <c r="S445" i="1"/>
  <c r="T445" i="1"/>
  <c r="J446" i="1"/>
  <c r="K446" i="1"/>
  <c r="L446" i="1"/>
  <c r="M446" i="1"/>
  <c r="N446" i="1" a="1"/>
  <c r="N446" i="1" s="1"/>
  <c r="O446" i="1" a="1"/>
  <c r="O446" i="1" s="1"/>
  <c r="P446" i="1"/>
  <c r="S446" i="1"/>
  <c r="T446" i="1"/>
  <c r="J447" i="1"/>
  <c r="K447" i="1"/>
  <c r="L447" i="1"/>
  <c r="M447" i="1"/>
  <c r="N447" i="1" a="1"/>
  <c r="N447" i="1" s="1"/>
  <c r="O447" i="1" a="1"/>
  <c r="O447" i="1" s="1"/>
  <c r="P447" i="1"/>
  <c r="S447" i="1"/>
  <c r="T447" i="1"/>
  <c r="J448" i="1"/>
  <c r="K448" i="1"/>
  <c r="L448" i="1"/>
  <c r="M448" i="1"/>
  <c r="N448" i="1" a="1"/>
  <c r="N448" i="1" s="1"/>
  <c r="O448" i="1" a="1"/>
  <c r="O448" i="1" s="1"/>
  <c r="P448" i="1"/>
  <c r="S448" i="1"/>
  <c r="T448" i="1"/>
  <c r="J449" i="1"/>
  <c r="K449" i="1"/>
  <c r="L449" i="1"/>
  <c r="M449" i="1"/>
  <c r="N449" i="1" a="1"/>
  <c r="N449" i="1" s="1"/>
  <c r="O449" i="1" a="1"/>
  <c r="O449" i="1" s="1"/>
  <c r="P449" i="1"/>
  <c r="S449" i="1"/>
  <c r="T449" i="1"/>
  <c r="J450" i="1"/>
  <c r="K450" i="1"/>
  <c r="L450" i="1"/>
  <c r="M450" i="1"/>
  <c r="N450" i="1" a="1"/>
  <c r="N450" i="1" s="1"/>
  <c r="O450" i="1" a="1"/>
  <c r="O450" i="1" s="1"/>
  <c r="P450" i="1"/>
  <c r="S450" i="1"/>
  <c r="T450" i="1"/>
  <c r="J451" i="1"/>
  <c r="K451" i="1"/>
  <c r="L451" i="1"/>
  <c r="M451" i="1"/>
  <c r="N451" i="1" a="1"/>
  <c r="N451" i="1" s="1"/>
  <c r="O451" i="1" a="1"/>
  <c r="O451" i="1" s="1"/>
  <c r="P451" i="1"/>
  <c r="S451" i="1"/>
  <c r="T451" i="1"/>
  <c r="J452" i="1"/>
  <c r="K452" i="1"/>
  <c r="L452" i="1"/>
  <c r="M452" i="1"/>
  <c r="N452" i="1" a="1"/>
  <c r="N452" i="1" s="1"/>
  <c r="O452" i="1" a="1"/>
  <c r="O452" i="1" s="1"/>
  <c r="P452" i="1"/>
  <c r="S452" i="1"/>
  <c r="T452" i="1"/>
  <c r="J453" i="1"/>
  <c r="K453" i="1"/>
  <c r="L453" i="1"/>
  <c r="M453" i="1"/>
  <c r="N453" i="1" a="1"/>
  <c r="N453" i="1" s="1"/>
  <c r="O453" i="1" a="1"/>
  <c r="O453" i="1" s="1"/>
  <c r="P453" i="1"/>
  <c r="S453" i="1"/>
  <c r="T453" i="1"/>
  <c r="J454" i="1"/>
  <c r="K454" i="1"/>
  <c r="L454" i="1"/>
  <c r="M454" i="1"/>
  <c r="N454" i="1" a="1"/>
  <c r="N454" i="1" s="1"/>
  <c r="O454" i="1" a="1"/>
  <c r="O454" i="1" s="1"/>
  <c r="P454" i="1"/>
  <c r="S454" i="1"/>
  <c r="T454" i="1"/>
  <c r="J455" i="1"/>
  <c r="K455" i="1"/>
  <c r="L455" i="1"/>
  <c r="M455" i="1"/>
  <c r="N455" i="1" a="1"/>
  <c r="N455" i="1" s="1"/>
  <c r="O455" i="1" a="1"/>
  <c r="O455" i="1" s="1"/>
  <c r="P455" i="1"/>
  <c r="S455" i="1"/>
  <c r="T455" i="1"/>
  <c r="J456" i="1"/>
  <c r="K456" i="1"/>
  <c r="L456" i="1"/>
  <c r="M456" i="1"/>
  <c r="N456" i="1" a="1"/>
  <c r="N456" i="1" s="1"/>
  <c r="O456" i="1" a="1"/>
  <c r="O456" i="1" s="1"/>
  <c r="P456" i="1"/>
  <c r="S456" i="1"/>
  <c r="T456" i="1"/>
  <c r="J457" i="1"/>
  <c r="K457" i="1"/>
  <c r="L457" i="1"/>
  <c r="M457" i="1"/>
  <c r="N457" i="1" a="1"/>
  <c r="N457" i="1" s="1"/>
  <c r="O457" i="1" a="1"/>
  <c r="O457" i="1" s="1"/>
  <c r="P457" i="1"/>
  <c r="S457" i="1"/>
  <c r="T457" i="1"/>
  <c r="J458" i="1"/>
  <c r="K458" i="1"/>
  <c r="L458" i="1"/>
  <c r="M458" i="1"/>
  <c r="N458" i="1" a="1"/>
  <c r="N458" i="1" s="1"/>
  <c r="O458" i="1" a="1"/>
  <c r="O458" i="1" s="1"/>
  <c r="P458" i="1"/>
  <c r="S458" i="1"/>
  <c r="T458" i="1"/>
  <c r="J459" i="1"/>
  <c r="K459" i="1"/>
  <c r="L459" i="1"/>
  <c r="M459" i="1"/>
  <c r="N459" i="1" a="1"/>
  <c r="N459" i="1" s="1"/>
  <c r="O459" i="1" a="1"/>
  <c r="O459" i="1" s="1"/>
  <c r="P459" i="1"/>
  <c r="S459" i="1"/>
  <c r="T459" i="1"/>
  <c r="J460" i="1"/>
  <c r="K460" i="1"/>
  <c r="L460" i="1"/>
  <c r="M460" i="1"/>
  <c r="N460" i="1" a="1"/>
  <c r="N460" i="1" s="1"/>
  <c r="O460" i="1" a="1"/>
  <c r="O460" i="1" s="1"/>
  <c r="P460" i="1"/>
  <c r="S460" i="1"/>
  <c r="T460" i="1"/>
  <c r="J461" i="1"/>
  <c r="K461" i="1"/>
  <c r="L461" i="1"/>
  <c r="M461" i="1"/>
  <c r="N461" i="1" a="1"/>
  <c r="N461" i="1" s="1"/>
  <c r="O461" i="1" a="1"/>
  <c r="O461" i="1" s="1"/>
  <c r="P461" i="1"/>
  <c r="S461" i="1"/>
  <c r="T461" i="1"/>
  <c r="J462" i="1"/>
  <c r="K462" i="1"/>
  <c r="L462" i="1"/>
  <c r="M462" i="1"/>
  <c r="N462" i="1" a="1"/>
  <c r="N462" i="1" s="1"/>
  <c r="O462" i="1" a="1"/>
  <c r="O462" i="1" s="1"/>
  <c r="P462" i="1"/>
  <c r="S462" i="1"/>
  <c r="T462" i="1"/>
  <c r="J463" i="1"/>
  <c r="K463" i="1"/>
  <c r="L463" i="1"/>
  <c r="M463" i="1"/>
  <c r="N463" i="1" a="1"/>
  <c r="N463" i="1" s="1"/>
  <c r="O463" i="1" a="1"/>
  <c r="O463" i="1" s="1"/>
  <c r="P463" i="1"/>
  <c r="S463" i="1"/>
  <c r="T463" i="1"/>
  <c r="J464" i="1"/>
  <c r="K464" i="1"/>
  <c r="L464" i="1"/>
  <c r="M464" i="1"/>
  <c r="N464" i="1" a="1"/>
  <c r="N464" i="1" s="1"/>
  <c r="O464" i="1" a="1"/>
  <c r="O464" i="1" s="1"/>
  <c r="P464" i="1"/>
  <c r="S464" i="1"/>
  <c r="T464" i="1"/>
  <c r="J465" i="1"/>
  <c r="K465" i="1"/>
  <c r="L465" i="1"/>
  <c r="M465" i="1"/>
  <c r="N465" i="1" a="1"/>
  <c r="N465" i="1" s="1"/>
  <c r="O465" i="1" a="1"/>
  <c r="O465" i="1" s="1"/>
  <c r="P465" i="1"/>
  <c r="S465" i="1"/>
  <c r="T465" i="1"/>
  <c r="J466" i="1"/>
  <c r="K466" i="1"/>
  <c r="L466" i="1"/>
  <c r="M466" i="1"/>
  <c r="N466" i="1" a="1"/>
  <c r="N466" i="1" s="1"/>
  <c r="O466" i="1" a="1"/>
  <c r="O466" i="1" s="1"/>
  <c r="P466" i="1"/>
  <c r="S466" i="1"/>
  <c r="T466" i="1"/>
  <c r="J467" i="1"/>
  <c r="K467" i="1"/>
  <c r="L467" i="1"/>
  <c r="M467" i="1"/>
  <c r="N467" i="1" a="1"/>
  <c r="N467" i="1" s="1"/>
  <c r="O467" i="1" a="1"/>
  <c r="O467" i="1" s="1"/>
  <c r="P467" i="1"/>
  <c r="S467" i="1"/>
  <c r="T467" i="1"/>
  <c r="J468" i="1"/>
  <c r="K468" i="1"/>
  <c r="L468" i="1"/>
  <c r="M468" i="1"/>
  <c r="N468" i="1" a="1"/>
  <c r="N468" i="1" s="1"/>
  <c r="O468" i="1" a="1"/>
  <c r="O468" i="1" s="1"/>
  <c r="P468" i="1"/>
  <c r="S468" i="1"/>
  <c r="T468" i="1"/>
  <c r="J469" i="1"/>
  <c r="K469" i="1"/>
  <c r="L469" i="1"/>
  <c r="M469" i="1"/>
  <c r="N469" i="1" a="1"/>
  <c r="N469" i="1" s="1"/>
  <c r="O469" i="1" a="1"/>
  <c r="O469" i="1" s="1"/>
  <c r="P469" i="1"/>
  <c r="S469" i="1"/>
  <c r="T469" i="1"/>
  <c r="J470" i="1"/>
  <c r="K470" i="1"/>
  <c r="L470" i="1"/>
  <c r="M470" i="1"/>
  <c r="N470" i="1" a="1"/>
  <c r="N470" i="1" s="1"/>
  <c r="O470" i="1" a="1"/>
  <c r="O470" i="1" s="1"/>
  <c r="P470" i="1"/>
  <c r="S470" i="1"/>
  <c r="T470" i="1"/>
  <c r="J471" i="1"/>
  <c r="K471" i="1"/>
  <c r="L471" i="1"/>
  <c r="M471" i="1"/>
  <c r="N471" i="1" a="1"/>
  <c r="N471" i="1" s="1"/>
  <c r="O471" i="1" a="1"/>
  <c r="O471" i="1" s="1"/>
  <c r="P471" i="1"/>
  <c r="S471" i="1"/>
  <c r="T471" i="1"/>
  <c r="J472" i="1"/>
  <c r="K472" i="1"/>
  <c r="L472" i="1"/>
  <c r="M472" i="1"/>
  <c r="N472" i="1" a="1"/>
  <c r="N472" i="1" s="1"/>
  <c r="O472" i="1" a="1"/>
  <c r="O472" i="1" s="1"/>
  <c r="P472" i="1"/>
  <c r="S472" i="1"/>
  <c r="T472" i="1"/>
  <c r="J473" i="1"/>
  <c r="K473" i="1"/>
  <c r="L473" i="1"/>
  <c r="M473" i="1"/>
  <c r="N473" i="1" a="1"/>
  <c r="N473" i="1" s="1"/>
  <c r="O473" i="1" a="1"/>
  <c r="O473" i="1" s="1"/>
  <c r="P473" i="1"/>
  <c r="S473" i="1"/>
  <c r="T473" i="1"/>
  <c r="J474" i="1"/>
  <c r="K474" i="1"/>
  <c r="L474" i="1"/>
  <c r="M474" i="1"/>
  <c r="N474" i="1" a="1"/>
  <c r="N474" i="1" s="1"/>
  <c r="O474" i="1" a="1"/>
  <c r="O474" i="1" s="1"/>
  <c r="P474" i="1"/>
  <c r="S474" i="1"/>
  <c r="T474" i="1"/>
  <c r="J475" i="1"/>
  <c r="K475" i="1"/>
  <c r="L475" i="1"/>
  <c r="M475" i="1"/>
  <c r="N475" i="1" a="1"/>
  <c r="N475" i="1" s="1"/>
  <c r="O475" i="1" a="1"/>
  <c r="O475" i="1" s="1"/>
  <c r="P475" i="1"/>
  <c r="S475" i="1"/>
  <c r="T475" i="1"/>
  <c r="J476" i="1"/>
  <c r="K476" i="1"/>
  <c r="L476" i="1"/>
  <c r="M476" i="1"/>
  <c r="N476" i="1" a="1"/>
  <c r="N476" i="1" s="1"/>
  <c r="O476" i="1" a="1"/>
  <c r="O476" i="1" s="1"/>
  <c r="P476" i="1"/>
  <c r="S476" i="1"/>
  <c r="T476" i="1"/>
  <c r="J477" i="1"/>
  <c r="K477" i="1"/>
  <c r="L477" i="1"/>
  <c r="M477" i="1"/>
  <c r="N477" i="1" a="1"/>
  <c r="N477" i="1" s="1"/>
  <c r="O477" i="1" a="1"/>
  <c r="O477" i="1" s="1"/>
  <c r="P477" i="1"/>
  <c r="S477" i="1"/>
  <c r="T477" i="1"/>
  <c r="J478" i="1"/>
  <c r="K478" i="1"/>
  <c r="L478" i="1"/>
  <c r="M478" i="1"/>
  <c r="N478" i="1" a="1"/>
  <c r="N478" i="1" s="1"/>
  <c r="O478" i="1" a="1"/>
  <c r="O478" i="1" s="1"/>
  <c r="P478" i="1"/>
  <c r="S478" i="1"/>
  <c r="T478" i="1"/>
  <c r="J479" i="1"/>
  <c r="K479" i="1"/>
  <c r="L479" i="1"/>
  <c r="M479" i="1"/>
  <c r="N479" i="1" a="1"/>
  <c r="N479" i="1" s="1"/>
  <c r="O479" i="1" a="1"/>
  <c r="O479" i="1" s="1"/>
  <c r="P479" i="1"/>
  <c r="S479" i="1"/>
  <c r="T479" i="1"/>
  <c r="J480" i="1"/>
  <c r="K480" i="1"/>
  <c r="L480" i="1"/>
  <c r="M480" i="1"/>
  <c r="N480" i="1" a="1"/>
  <c r="N480" i="1" s="1"/>
  <c r="O480" i="1" a="1"/>
  <c r="O480" i="1" s="1"/>
  <c r="P480" i="1"/>
  <c r="S480" i="1"/>
  <c r="T480" i="1"/>
  <c r="J481" i="1"/>
  <c r="K481" i="1"/>
  <c r="L481" i="1"/>
  <c r="M481" i="1"/>
  <c r="N481" i="1" a="1"/>
  <c r="N481" i="1" s="1"/>
  <c r="O481" i="1" a="1"/>
  <c r="O481" i="1" s="1"/>
  <c r="P481" i="1"/>
  <c r="S481" i="1"/>
  <c r="T481" i="1"/>
  <c r="J482" i="1"/>
  <c r="K482" i="1"/>
  <c r="L482" i="1"/>
  <c r="M482" i="1"/>
  <c r="N482" i="1" a="1"/>
  <c r="N482" i="1" s="1"/>
  <c r="O482" i="1" a="1"/>
  <c r="O482" i="1" s="1"/>
  <c r="P482" i="1"/>
  <c r="S482" i="1"/>
  <c r="T482" i="1"/>
  <c r="J483" i="1"/>
  <c r="K483" i="1"/>
  <c r="L483" i="1"/>
  <c r="M483" i="1"/>
  <c r="N483" i="1" a="1"/>
  <c r="N483" i="1" s="1"/>
  <c r="O483" i="1" a="1"/>
  <c r="O483" i="1" s="1"/>
  <c r="P483" i="1"/>
  <c r="S483" i="1"/>
  <c r="T483" i="1"/>
  <c r="J484" i="1"/>
  <c r="K484" i="1"/>
  <c r="L484" i="1"/>
  <c r="M484" i="1"/>
  <c r="N484" i="1" a="1"/>
  <c r="N484" i="1" s="1"/>
  <c r="O484" i="1" a="1"/>
  <c r="O484" i="1" s="1"/>
  <c r="P484" i="1"/>
  <c r="S484" i="1"/>
  <c r="T484" i="1"/>
  <c r="J485" i="1"/>
  <c r="K485" i="1"/>
  <c r="L485" i="1"/>
  <c r="M485" i="1"/>
  <c r="N485" i="1" a="1"/>
  <c r="N485" i="1" s="1"/>
  <c r="O485" i="1" a="1"/>
  <c r="O485" i="1" s="1"/>
  <c r="P485" i="1"/>
  <c r="S485" i="1"/>
  <c r="T485" i="1"/>
  <c r="J486" i="1"/>
  <c r="K486" i="1"/>
  <c r="L486" i="1"/>
  <c r="M486" i="1"/>
  <c r="N486" i="1" a="1"/>
  <c r="N486" i="1" s="1"/>
  <c r="O486" i="1" a="1"/>
  <c r="O486" i="1" s="1"/>
  <c r="P486" i="1"/>
  <c r="S486" i="1"/>
  <c r="T486" i="1"/>
  <c r="J487" i="1"/>
  <c r="K487" i="1"/>
  <c r="L487" i="1"/>
  <c r="M487" i="1"/>
  <c r="N487" i="1" a="1"/>
  <c r="N487" i="1" s="1"/>
  <c r="O487" i="1" a="1"/>
  <c r="O487" i="1" s="1"/>
  <c r="P487" i="1"/>
  <c r="S487" i="1"/>
  <c r="T487" i="1"/>
  <c r="J488" i="1"/>
  <c r="K488" i="1"/>
  <c r="L488" i="1"/>
  <c r="M488" i="1"/>
  <c r="N488" i="1" a="1"/>
  <c r="N488" i="1" s="1"/>
  <c r="O488" i="1" a="1"/>
  <c r="O488" i="1" s="1"/>
  <c r="P488" i="1"/>
  <c r="S488" i="1"/>
  <c r="T488" i="1"/>
  <c r="J489" i="1"/>
  <c r="K489" i="1"/>
  <c r="L489" i="1"/>
  <c r="M489" i="1"/>
  <c r="N489" i="1" a="1"/>
  <c r="N489" i="1" s="1"/>
  <c r="O489" i="1" a="1"/>
  <c r="O489" i="1" s="1"/>
  <c r="P489" i="1"/>
  <c r="S489" i="1"/>
  <c r="T489" i="1"/>
  <c r="J490" i="1"/>
  <c r="K490" i="1"/>
  <c r="L490" i="1"/>
  <c r="M490" i="1"/>
  <c r="N490" i="1" a="1"/>
  <c r="N490" i="1" s="1"/>
  <c r="O490" i="1" a="1"/>
  <c r="O490" i="1" s="1"/>
  <c r="P490" i="1"/>
  <c r="S490" i="1"/>
  <c r="T490" i="1"/>
  <c r="J491" i="1"/>
  <c r="K491" i="1"/>
  <c r="L491" i="1"/>
  <c r="M491" i="1"/>
  <c r="N491" i="1" a="1"/>
  <c r="N491" i="1" s="1"/>
  <c r="O491" i="1" a="1"/>
  <c r="O491" i="1" s="1"/>
  <c r="P491" i="1"/>
  <c r="S491" i="1"/>
  <c r="T491" i="1"/>
  <c r="J492" i="1"/>
  <c r="K492" i="1"/>
  <c r="L492" i="1"/>
  <c r="M492" i="1"/>
  <c r="N492" i="1" a="1"/>
  <c r="N492" i="1" s="1"/>
  <c r="O492" i="1" a="1"/>
  <c r="O492" i="1" s="1"/>
  <c r="P492" i="1"/>
  <c r="S492" i="1"/>
  <c r="T492" i="1"/>
  <c r="J493" i="1"/>
  <c r="K493" i="1"/>
  <c r="L493" i="1"/>
  <c r="M493" i="1"/>
  <c r="N493" i="1" a="1"/>
  <c r="N493" i="1" s="1"/>
  <c r="O493" i="1" a="1"/>
  <c r="O493" i="1" s="1"/>
  <c r="P493" i="1"/>
  <c r="S493" i="1"/>
  <c r="T493" i="1"/>
  <c r="J494" i="1"/>
  <c r="K494" i="1"/>
  <c r="L494" i="1"/>
  <c r="M494" i="1"/>
  <c r="N494" i="1" a="1"/>
  <c r="N494" i="1" s="1"/>
  <c r="O494" i="1" a="1"/>
  <c r="O494" i="1" s="1"/>
  <c r="P494" i="1"/>
  <c r="S494" i="1"/>
  <c r="T494" i="1"/>
  <c r="J495" i="1"/>
  <c r="K495" i="1"/>
  <c r="L495" i="1"/>
  <c r="M495" i="1"/>
  <c r="N495" i="1" a="1"/>
  <c r="N495" i="1" s="1"/>
  <c r="O495" i="1" a="1"/>
  <c r="O495" i="1" s="1"/>
  <c r="P495" i="1"/>
  <c r="S495" i="1"/>
  <c r="T495" i="1"/>
  <c r="J496" i="1"/>
  <c r="K496" i="1"/>
  <c r="L496" i="1"/>
  <c r="M496" i="1"/>
  <c r="N496" i="1" a="1"/>
  <c r="N496" i="1" s="1"/>
  <c r="O496" i="1" a="1"/>
  <c r="O496" i="1" s="1"/>
  <c r="P496" i="1"/>
  <c r="S496" i="1"/>
  <c r="T496" i="1"/>
  <c r="J497" i="1"/>
  <c r="K497" i="1"/>
  <c r="L497" i="1"/>
  <c r="M497" i="1"/>
  <c r="N497" i="1" a="1"/>
  <c r="N497" i="1" s="1"/>
  <c r="O497" i="1" a="1"/>
  <c r="O497" i="1" s="1"/>
  <c r="P497" i="1"/>
  <c r="S497" i="1"/>
  <c r="T497" i="1"/>
  <c r="J498" i="1"/>
  <c r="K498" i="1"/>
  <c r="L498" i="1"/>
  <c r="M498" i="1"/>
  <c r="N498" i="1" a="1"/>
  <c r="N498" i="1" s="1"/>
  <c r="O498" i="1" a="1"/>
  <c r="O498" i="1" s="1"/>
  <c r="P498" i="1"/>
  <c r="S498" i="1"/>
  <c r="T498" i="1"/>
  <c r="J499" i="1"/>
  <c r="K499" i="1"/>
  <c r="L499" i="1"/>
  <c r="M499" i="1"/>
  <c r="N499" i="1" a="1"/>
  <c r="N499" i="1" s="1"/>
  <c r="O499" i="1" a="1"/>
  <c r="O499" i="1" s="1"/>
  <c r="P499" i="1"/>
  <c r="S499" i="1"/>
  <c r="T499" i="1"/>
  <c r="J500" i="1"/>
  <c r="K500" i="1"/>
  <c r="L500" i="1"/>
  <c r="M500" i="1"/>
  <c r="N500" i="1" a="1"/>
  <c r="N500" i="1" s="1"/>
  <c r="O500" i="1" a="1"/>
  <c r="O500" i="1" s="1"/>
  <c r="P500" i="1"/>
  <c r="S500" i="1"/>
  <c r="T500" i="1"/>
  <c r="J501" i="1"/>
  <c r="K501" i="1"/>
  <c r="L501" i="1"/>
  <c r="M501" i="1"/>
  <c r="N501" i="1" a="1"/>
  <c r="N501" i="1" s="1"/>
  <c r="O501" i="1" a="1"/>
  <c r="O501" i="1" s="1"/>
  <c r="P501" i="1"/>
  <c r="S501" i="1"/>
  <c r="T501" i="1"/>
  <c r="J502" i="1"/>
  <c r="K502" i="1"/>
  <c r="L502" i="1"/>
  <c r="M502" i="1"/>
  <c r="N502" i="1" a="1"/>
  <c r="N502" i="1" s="1"/>
  <c r="O502" i="1" a="1"/>
  <c r="O502" i="1" s="1"/>
  <c r="P502" i="1"/>
  <c r="S502" i="1"/>
  <c r="T502" i="1"/>
  <c r="J503" i="1"/>
  <c r="K503" i="1"/>
  <c r="L503" i="1"/>
  <c r="M503" i="1"/>
  <c r="N503" i="1" a="1"/>
  <c r="N503" i="1" s="1"/>
  <c r="O503" i="1" a="1"/>
  <c r="O503" i="1" s="1"/>
  <c r="P503" i="1"/>
  <c r="S503" i="1"/>
  <c r="T503" i="1"/>
  <c r="J504" i="1"/>
  <c r="K504" i="1"/>
  <c r="L504" i="1"/>
  <c r="M504" i="1"/>
  <c r="N504" i="1" a="1"/>
  <c r="N504" i="1" s="1"/>
  <c r="O504" i="1" a="1"/>
  <c r="O504" i="1" s="1"/>
  <c r="P504" i="1"/>
  <c r="S504" i="1"/>
  <c r="T504" i="1"/>
  <c r="J505" i="1"/>
  <c r="K505" i="1"/>
  <c r="L505" i="1"/>
  <c r="M505" i="1"/>
  <c r="N505" i="1" a="1"/>
  <c r="N505" i="1" s="1"/>
  <c r="O505" i="1" a="1"/>
  <c r="O505" i="1" s="1"/>
  <c r="P505" i="1"/>
  <c r="S505" i="1"/>
  <c r="T505" i="1"/>
  <c r="J506" i="1"/>
  <c r="K506" i="1"/>
  <c r="L506" i="1"/>
  <c r="M506" i="1"/>
  <c r="N506" i="1" a="1"/>
  <c r="N506" i="1" s="1"/>
  <c r="O506" i="1" a="1"/>
  <c r="O506" i="1" s="1"/>
  <c r="P506" i="1"/>
  <c r="S506" i="1"/>
  <c r="T506" i="1"/>
  <c r="J507" i="1"/>
  <c r="K507" i="1"/>
  <c r="L507" i="1"/>
  <c r="M507" i="1"/>
  <c r="N507" i="1" a="1"/>
  <c r="N507" i="1" s="1"/>
  <c r="O507" i="1" a="1"/>
  <c r="O507" i="1" s="1"/>
  <c r="P507" i="1"/>
  <c r="S507" i="1"/>
  <c r="T507" i="1"/>
  <c r="J508" i="1"/>
  <c r="K508" i="1"/>
  <c r="L508" i="1"/>
  <c r="M508" i="1"/>
  <c r="N508" i="1" a="1"/>
  <c r="N508" i="1" s="1"/>
  <c r="O508" i="1" a="1"/>
  <c r="O508" i="1" s="1"/>
  <c r="P508" i="1"/>
  <c r="S508" i="1"/>
  <c r="T508" i="1"/>
  <c r="J509" i="1"/>
  <c r="K509" i="1"/>
  <c r="L509" i="1"/>
  <c r="M509" i="1"/>
  <c r="N509" i="1" a="1"/>
  <c r="N509" i="1" s="1"/>
  <c r="O509" i="1" a="1"/>
  <c r="O509" i="1" s="1"/>
  <c r="P509" i="1"/>
  <c r="S509" i="1"/>
  <c r="T509" i="1"/>
  <c r="J510" i="1"/>
  <c r="K510" i="1"/>
  <c r="L510" i="1"/>
  <c r="M510" i="1"/>
  <c r="N510" i="1" a="1"/>
  <c r="N510" i="1" s="1"/>
  <c r="O510" i="1" a="1"/>
  <c r="O510" i="1" s="1"/>
  <c r="P510" i="1"/>
  <c r="S510" i="1"/>
  <c r="T510" i="1"/>
  <c r="J511" i="1"/>
  <c r="K511" i="1"/>
  <c r="L511" i="1"/>
  <c r="M511" i="1"/>
  <c r="N511" i="1" a="1"/>
  <c r="N511" i="1" s="1"/>
  <c r="O511" i="1" a="1"/>
  <c r="O511" i="1" s="1"/>
  <c r="P511" i="1"/>
  <c r="S511" i="1"/>
  <c r="T511" i="1"/>
  <c r="J512" i="1"/>
  <c r="K512" i="1"/>
  <c r="L512" i="1"/>
  <c r="M512" i="1"/>
  <c r="N512" i="1" a="1"/>
  <c r="N512" i="1" s="1"/>
  <c r="O512" i="1" a="1"/>
  <c r="O512" i="1" s="1"/>
  <c r="P512" i="1"/>
  <c r="S512" i="1"/>
  <c r="T512" i="1"/>
  <c r="J513" i="1"/>
  <c r="K513" i="1"/>
  <c r="L513" i="1"/>
  <c r="M513" i="1"/>
  <c r="N513" i="1" a="1"/>
  <c r="N513" i="1" s="1"/>
  <c r="O513" i="1" a="1"/>
  <c r="O513" i="1" s="1"/>
  <c r="P513" i="1"/>
  <c r="S513" i="1"/>
  <c r="T513" i="1"/>
  <c r="J514" i="1"/>
  <c r="K514" i="1"/>
  <c r="L514" i="1"/>
  <c r="M514" i="1"/>
  <c r="N514" i="1" a="1"/>
  <c r="N514" i="1" s="1"/>
  <c r="O514" i="1" a="1"/>
  <c r="O514" i="1" s="1"/>
  <c r="P514" i="1"/>
  <c r="S514" i="1"/>
  <c r="T514" i="1"/>
  <c r="J515" i="1"/>
  <c r="K515" i="1"/>
  <c r="L515" i="1"/>
  <c r="M515" i="1"/>
  <c r="N515" i="1" a="1"/>
  <c r="N515" i="1" s="1"/>
  <c r="O515" i="1" a="1"/>
  <c r="O515" i="1" s="1"/>
  <c r="P515" i="1"/>
  <c r="S515" i="1"/>
  <c r="T515" i="1"/>
  <c r="J516" i="1"/>
  <c r="K516" i="1"/>
  <c r="L516" i="1"/>
  <c r="M516" i="1"/>
  <c r="N516" i="1" a="1"/>
  <c r="N516" i="1" s="1"/>
  <c r="O516" i="1" a="1"/>
  <c r="O516" i="1" s="1"/>
  <c r="P516" i="1"/>
  <c r="S516" i="1"/>
  <c r="T516" i="1"/>
  <c r="J517" i="1"/>
  <c r="K517" i="1"/>
  <c r="L517" i="1"/>
  <c r="M517" i="1"/>
  <c r="N517" i="1" a="1"/>
  <c r="N517" i="1" s="1"/>
  <c r="O517" i="1" a="1"/>
  <c r="O517" i="1" s="1"/>
  <c r="P517" i="1"/>
  <c r="S517" i="1"/>
  <c r="T517" i="1"/>
  <c r="J518" i="1"/>
  <c r="K518" i="1"/>
  <c r="L518" i="1"/>
  <c r="M518" i="1"/>
  <c r="N518" i="1" a="1"/>
  <c r="N518" i="1" s="1"/>
  <c r="O518" i="1" a="1"/>
  <c r="O518" i="1" s="1"/>
  <c r="P518" i="1"/>
  <c r="S518" i="1"/>
  <c r="T518" i="1"/>
  <c r="J519" i="1"/>
  <c r="K519" i="1"/>
  <c r="L519" i="1"/>
  <c r="M519" i="1"/>
  <c r="N519" i="1" a="1"/>
  <c r="N519" i="1" s="1"/>
  <c r="O519" i="1" a="1"/>
  <c r="O519" i="1" s="1"/>
  <c r="P519" i="1"/>
  <c r="S519" i="1"/>
  <c r="T519" i="1"/>
  <c r="J520" i="1"/>
  <c r="K520" i="1"/>
  <c r="L520" i="1"/>
  <c r="M520" i="1"/>
  <c r="N520" i="1" a="1"/>
  <c r="N520" i="1" s="1"/>
  <c r="O520" i="1" a="1"/>
  <c r="O520" i="1" s="1"/>
  <c r="P520" i="1"/>
  <c r="S520" i="1"/>
  <c r="T520" i="1"/>
  <c r="J521" i="1"/>
  <c r="K521" i="1"/>
  <c r="L521" i="1"/>
  <c r="M521" i="1"/>
  <c r="N521" i="1" a="1"/>
  <c r="N521" i="1" s="1"/>
  <c r="O521" i="1" a="1"/>
  <c r="O521" i="1" s="1"/>
  <c r="P521" i="1"/>
  <c r="S521" i="1"/>
  <c r="T521" i="1"/>
  <c r="J522" i="1"/>
  <c r="K522" i="1"/>
  <c r="L522" i="1"/>
  <c r="M522" i="1"/>
  <c r="N522" i="1" a="1"/>
  <c r="N522" i="1" s="1"/>
  <c r="O522" i="1" a="1"/>
  <c r="O522" i="1" s="1"/>
  <c r="P522" i="1"/>
  <c r="S522" i="1"/>
  <c r="T522" i="1"/>
  <c r="J523" i="1"/>
  <c r="K523" i="1"/>
  <c r="L523" i="1"/>
  <c r="M523" i="1"/>
  <c r="N523" i="1" a="1"/>
  <c r="N523" i="1" s="1"/>
  <c r="O523" i="1" a="1"/>
  <c r="O523" i="1" s="1"/>
  <c r="P523" i="1"/>
  <c r="S523" i="1"/>
  <c r="T523" i="1"/>
  <c r="J524" i="1"/>
  <c r="K524" i="1"/>
  <c r="L524" i="1"/>
  <c r="M524" i="1"/>
  <c r="N524" i="1" a="1"/>
  <c r="N524" i="1" s="1"/>
  <c r="O524" i="1" a="1"/>
  <c r="O524" i="1" s="1"/>
  <c r="P524" i="1"/>
  <c r="S524" i="1"/>
  <c r="T524" i="1"/>
  <c r="J525" i="1"/>
  <c r="K525" i="1"/>
  <c r="L525" i="1"/>
  <c r="M525" i="1"/>
  <c r="N525" i="1" a="1"/>
  <c r="N525" i="1" s="1"/>
  <c r="O525" i="1" a="1"/>
  <c r="O525" i="1" s="1"/>
  <c r="P525" i="1"/>
  <c r="S525" i="1"/>
  <c r="T525" i="1"/>
  <c r="J526" i="1"/>
  <c r="K526" i="1"/>
  <c r="L526" i="1"/>
  <c r="M526" i="1"/>
  <c r="N526" i="1" a="1"/>
  <c r="N526" i="1" s="1"/>
  <c r="O526" i="1" a="1"/>
  <c r="O526" i="1" s="1"/>
  <c r="P526" i="1"/>
  <c r="S526" i="1"/>
  <c r="T526" i="1"/>
  <c r="J527" i="1"/>
  <c r="K527" i="1"/>
  <c r="L527" i="1"/>
  <c r="M527" i="1"/>
  <c r="N527" i="1" a="1"/>
  <c r="N527" i="1" s="1"/>
  <c r="O527" i="1" a="1"/>
  <c r="O527" i="1" s="1"/>
  <c r="P527" i="1"/>
  <c r="S527" i="1"/>
  <c r="T527" i="1"/>
  <c r="J528" i="1"/>
  <c r="K528" i="1"/>
  <c r="L528" i="1"/>
  <c r="M528" i="1"/>
  <c r="N528" i="1" a="1"/>
  <c r="N528" i="1" s="1"/>
  <c r="O528" i="1" a="1"/>
  <c r="O528" i="1" s="1"/>
  <c r="P528" i="1"/>
  <c r="S528" i="1"/>
  <c r="T528" i="1"/>
  <c r="J529" i="1"/>
  <c r="K529" i="1"/>
  <c r="L529" i="1"/>
  <c r="M529" i="1"/>
  <c r="N529" i="1" a="1"/>
  <c r="N529" i="1" s="1"/>
  <c r="O529" i="1" a="1"/>
  <c r="O529" i="1" s="1"/>
  <c r="P529" i="1"/>
  <c r="S529" i="1"/>
  <c r="T529" i="1"/>
  <c r="J530" i="1"/>
  <c r="K530" i="1"/>
  <c r="L530" i="1"/>
  <c r="M530" i="1"/>
  <c r="N530" i="1" a="1"/>
  <c r="N530" i="1" s="1"/>
  <c r="O530" i="1" a="1"/>
  <c r="O530" i="1" s="1"/>
  <c r="P530" i="1"/>
  <c r="S530" i="1"/>
  <c r="T530" i="1"/>
  <c r="J531" i="1"/>
  <c r="K531" i="1"/>
  <c r="L531" i="1"/>
  <c r="M531" i="1"/>
  <c r="N531" i="1" a="1"/>
  <c r="N531" i="1" s="1"/>
  <c r="O531" i="1" a="1"/>
  <c r="O531" i="1" s="1"/>
  <c r="P531" i="1"/>
  <c r="S531" i="1"/>
  <c r="T531" i="1"/>
  <c r="J532" i="1"/>
  <c r="K532" i="1"/>
  <c r="L532" i="1"/>
  <c r="M532" i="1"/>
  <c r="N532" i="1" a="1"/>
  <c r="N532" i="1" s="1"/>
  <c r="O532" i="1" a="1"/>
  <c r="O532" i="1" s="1"/>
  <c r="P532" i="1"/>
  <c r="S532" i="1"/>
  <c r="T532" i="1"/>
  <c r="J533" i="1"/>
  <c r="K533" i="1"/>
  <c r="L533" i="1"/>
  <c r="M533" i="1"/>
  <c r="N533" i="1" a="1"/>
  <c r="N533" i="1" s="1"/>
  <c r="O533" i="1" a="1"/>
  <c r="O533" i="1" s="1"/>
  <c r="P533" i="1"/>
  <c r="S533" i="1"/>
  <c r="T533" i="1"/>
  <c r="J534" i="1"/>
  <c r="K534" i="1"/>
  <c r="L534" i="1"/>
  <c r="M534" i="1"/>
  <c r="N534" i="1" a="1"/>
  <c r="N534" i="1" s="1"/>
  <c r="O534" i="1" a="1"/>
  <c r="O534" i="1" s="1"/>
  <c r="P534" i="1"/>
  <c r="S534" i="1"/>
  <c r="T534" i="1"/>
  <c r="J535" i="1"/>
  <c r="K535" i="1"/>
  <c r="L535" i="1"/>
  <c r="M535" i="1"/>
  <c r="N535" i="1" a="1"/>
  <c r="N535" i="1" s="1"/>
  <c r="O535" i="1" a="1"/>
  <c r="O535" i="1" s="1"/>
  <c r="P535" i="1"/>
  <c r="S535" i="1"/>
  <c r="T535" i="1"/>
  <c r="J536" i="1"/>
  <c r="K536" i="1"/>
  <c r="L536" i="1"/>
  <c r="M536" i="1"/>
  <c r="N536" i="1" a="1"/>
  <c r="N536" i="1" s="1"/>
  <c r="O536" i="1" a="1"/>
  <c r="O536" i="1" s="1"/>
  <c r="P536" i="1"/>
  <c r="S536" i="1"/>
  <c r="T536" i="1"/>
  <c r="J537" i="1"/>
  <c r="K537" i="1"/>
  <c r="L537" i="1"/>
  <c r="M537" i="1"/>
  <c r="N537" i="1" a="1"/>
  <c r="N537" i="1" s="1"/>
  <c r="O537" i="1" a="1"/>
  <c r="O537" i="1" s="1"/>
  <c r="P537" i="1"/>
  <c r="S537" i="1"/>
  <c r="T537" i="1"/>
  <c r="J538" i="1"/>
  <c r="K538" i="1"/>
  <c r="L538" i="1"/>
  <c r="M538" i="1"/>
  <c r="N538" i="1" a="1"/>
  <c r="N538" i="1" s="1"/>
  <c r="O538" i="1" a="1"/>
  <c r="O538" i="1" s="1"/>
  <c r="P538" i="1"/>
  <c r="S538" i="1"/>
  <c r="T538" i="1"/>
  <c r="J539" i="1"/>
  <c r="K539" i="1"/>
  <c r="L539" i="1"/>
  <c r="M539" i="1"/>
  <c r="N539" i="1" a="1"/>
  <c r="N539" i="1" s="1"/>
  <c r="O539" i="1" a="1"/>
  <c r="O539" i="1" s="1"/>
  <c r="P539" i="1"/>
  <c r="S539" i="1"/>
  <c r="T539" i="1"/>
  <c r="J540" i="1"/>
  <c r="K540" i="1"/>
  <c r="L540" i="1"/>
  <c r="M540" i="1"/>
  <c r="N540" i="1" a="1"/>
  <c r="N540" i="1" s="1"/>
  <c r="O540" i="1" a="1"/>
  <c r="O540" i="1" s="1"/>
  <c r="P540" i="1"/>
  <c r="S540" i="1"/>
  <c r="T540" i="1"/>
  <c r="J541" i="1"/>
  <c r="K541" i="1"/>
  <c r="L541" i="1"/>
  <c r="M541" i="1"/>
  <c r="N541" i="1" a="1"/>
  <c r="N541" i="1" s="1"/>
  <c r="O541" i="1" a="1"/>
  <c r="O541" i="1" s="1"/>
  <c r="P541" i="1"/>
  <c r="S541" i="1"/>
  <c r="T541" i="1"/>
  <c r="J542" i="1"/>
  <c r="K542" i="1"/>
  <c r="L542" i="1"/>
  <c r="M542" i="1"/>
  <c r="N542" i="1" a="1"/>
  <c r="N542" i="1" s="1"/>
  <c r="O542" i="1" a="1"/>
  <c r="O542" i="1" s="1"/>
  <c r="P542" i="1"/>
  <c r="S542" i="1"/>
  <c r="T542" i="1"/>
  <c r="J543" i="1"/>
  <c r="K543" i="1"/>
  <c r="L543" i="1"/>
  <c r="M543" i="1"/>
  <c r="N543" i="1" a="1"/>
  <c r="N543" i="1" s="1"/>
  <c r="O543" i="1" a="1"/>
  <c r="O543" i="1" s="1"/>
  <c r="P543" i="1"/>
  <c r="S543" i="1"/>
  <c r="T543" i="1"/>
  <c r="J544" i="1"/>
  <c r="K544" i="1"/>
  <c r="L544" i="1"/>
  <c r="M544" i="1"/>
  <c r="N544" i="1" a="1"/>
  <c r="N544" i="1" s="1"/>
  <c r="O544" i="1" a="1"/>
  <c r="O544" i="1" s="1"/>
  <c r="P544" i="1"/>
  <c r="S544" i="1"/>
  <c r="T544" i="1"/>
  <c r="J545" i="1"/>
  <c r="K545" i="1"/>
  <c r="L545" i="1"/>
  <c r="M545" i="1"/>
  <c r="N545" i="1" a="1"/>
  <c r="N545" i="1" s="1"/>
  <c r="O545" i="1" a="1"/>
  <c r="O545" i="1" s="1"/>
  <c r="P545" i="1"/>
  <c r="S545" i="1"/>
  <c r="T545" i="1"/>
  <c r="J546" i="1"/>
  <c r="K546" i="1"/>
  <c r="L546" i="1"/>
  <c r="M546" i="1"/>
  <c r="N546" i="1" a="1"/>
  <c r="N546" i="1" s="1"/>
  <c r="O546" i="1" a="1"/>
  <c r="O546" i="1" s="1"/>
  <c r="P546" i="1"/>
  <c r="S546" i="1"/>
  <c r="T546" i="1"/>
  <c r="J547" i="1"/>
  <c r="S547" i="1"/>
  <c r="T547" i="1"/>
  <c r="J548" i="1"/>
  <c r="K548" i="1"/>
  <c r="L548" i="1"/>
  <c r="M548" i="1"/>
  <c r="N548" i="1" a="1"/>
  <c r="N548" i="1" s="1"/>
  <c r="O548" i="1" a="1"/>
  <c r="O548" i="1" s="1"/>
  <c r="P548" i="1"/>
  <c r="S548" i="1"/>
  <c r="T548" i="1"/>
  <c r="J549" i="1"/>
  <c r="K549" i="1"/>
  <c r="L549" i="1"/>
  <c r="M549" i="1"/>
  <c r="N549" i="1" a="1"/>
  <c r="N549" i="1" s="1"/>
  <c r="O549" i="1" a="1"/>
  <c r="O549" i="1" s="1"/>
  <c r="P549" i="1"/>
  <c r="S549" i="1"/>
  <c r="T549" i="1"/>
  <c r="J550" i="1"/>
  <c r="K550" i="1"/>
  <c r="L550" i="1"/>
  <c r="M550" i="1"/>
  <c r="N550" i="1" a="1"/>
  <c r="N550" i="1" s="1"/>
  <c r="O550" i="1" a="1"/>
  <c r="O550" i="1" s="1"/>
  <c r="P550" i="1"/>
  <c r="S550" i="1"/>
  <c r="T550" i="1"/>
  <c r="J551" i="1"/>
  <c r="K551" i="1"/>
  <c r="L551" i="1"/>
  <c r="M551" i="1"/>
  <c r="N551" i="1" a="1"/>
  <c r="N551" i="1" s="1"/>
  <c r="O551" i="1" a="1"/>
  <c r="O551" i="1" s="1"/>
  <c r="P551" i="1"/>
  <c r="S551" i="1"/>
  <c r="T551" i="1"/>
  <c r="J552" i="1"/>
  <c r="K552" i="1"/>
  <c r="L552" i="1"/>
  <c r="M552" i="1"/>
  <c r="N552" i="1" a="1"/>
  <c r="N552" i="1" s="1"/>
  <c r="O552" i="1" a="1"/>
  <c r="O552" i="1" s="1"/>
  <c r="P552" i="1"/>
  <c r="S552" i="1"/>
  <c r="T552" i="1"/>
  <c r="J553" i="1"/>
  <c r="K553" i="1"/>
  <c r="L553" i="1"/>
  <c r="M553" i="1"/>
  <c r="N553" i="1" a="1"/>
  <c r="N553" i="1" s="1"/>
  <c r="O553" i="1" a="1"/>
  <c r="O553" i="1" s="1"/>
  <c r="P553" i="1"/>
  <c r="S553" i="1"/>
  <c r="T553" i="1"/>
  <c r="J554" i="1"/>
  <c r="K554" i="1"/>
  <c r="L554" i="1"/>
  <c r="M554" i="1"/>
  <c r="N554" i="1" a="1"/>
  <c r="N554" i="1" s="1"/>
  <c r="O554" i="1" a="1"/>
  <c r="O554" i="1" s="1"/>
  <c r="P554" i="1"/>
  <c r="S554" i="1"/>
  <c r="T554" i="1"/>
  <c r="J555" i="1"/>
  <c r="K555" i="1"/>
  <c r="L555" i="1"/>
  <c r="M555" i="1"/>
  <c r="N555" i="1" a="1"/>
  <c r="N555" i="1" s="1"/>
  <c r="O555" i="1" a="1"/>
  <c r="O555" i="1" s="1"/>
  <c r="P555" i="1"/>
  <c r="S555" i="1"/>
  <c r="T555" i="1"/>
  <c r="J556" i="1"/>
  <c r="K556" i="1"/>
  <c r="L556" i="1"/>
  <c r="M556" i="1"/>
  <c r="N556" i="1" a="1"/>
  <c r="N556" i="1" s="1"/>
  <c r="O556" i="1" a="1"/>
  <c r="O556" i="1" s="1"/>
  <c r="P556" i="1"/>
  <c r="S556" i="1"/>
  <c r="T556" i="1"/>
  <c r="J557" i="1"/>
  <c r="K557" i="1"/>
  <c r="L557" i="1"/>
  <c r="M557" i="1"/>
  <c r="N557" i="1" a="1"/>
  <c r="N557" i="1" s="1"/>
  <c r="O557" i="1" a="1"/>
  <c r="O557" i="1" s="1"/>
  <c r="P557" i="1"/>
  <c r="S557" i="1"/>
  <c r="T557" i="1"/>
  <c r="J558" i="1"/>
  <c r="K558" i="1"/>
  <c r="L558" i="1"/>
  <c r="M558" i="1"/>
  <c r="N558" i="1" a="1"/>
  <c r="N558" i="1" s="1"/>
  <c r="O558" i="1" a="1"/>
  <c r="O558" i="1" s="1"/>
  <c r="P558" i="1"/>
  <c r="S558" i="1"/>
  <c r="T558" i="1"/>
  <c r="J559" i="1"/>
  <c r="K559" i="1"/>
  <c r="L559" i="1"/>
  <c r="M559" i="1"/>
  <c r="N559" i="1" a="1"/>
  <c r="N559" i="1" s="1"/>
  <c r="O559" i="1" a="1"/>
  <c r="O559" i="1" s="1"/>
  <c r="P559" i="1"/>
  <c r="S559" i="1"/>
  <c r="T559" i="1"/>
  <c r="J560" i="1"/>
  <c r="K560" i="1"/>
  <c r="L560" i="1"/>
  <c r="M560" i="1"/>
  <c r="N560" i="1" a="1"/>
  <c r="N560" i="1" s="1"/>
  <c r="O560" i="1" a="1"/>
  <c r="O560" i="1" s="1"/>
  <c r="P560" i="1"/>
  <c r="S560" i="1"/>
  <c r="T560" i="1"/>
  <c r="J561" i="1"/>
  <c r="K561" i="1"/>
  <c r="L561" i="1"/>
  <c r="M561" i="1"/>
  <c r="N561" i="1" a="1"/>
  <c r="N561" i="1" s="1"/>
  <c r="O561" i="1" a="1"/>
  <c r="O561" i="1" s="1"/>
  <c r="P561" i="1"/>
  <c r="S561" i="1"/>
  <c r="T561" i="1"/>
  <c r="J562" i="1"/>
  <c r="K562" i="1"/>
  <c r="L562" i="1"/>
  <c r="M562" i="1"/>
  <c r="N562" i="1" a="1"/>
  <c r="N562" i="1" s="1"/>
  <c r="O562" i="1" a="1"/>
  <c r="O562" i="1" s="1"/>
  <c r="P562" i="1"/>
  <c r="S562" i="1"/>
  <c r="T562" i="1"/>
  <c r="J563" i="1"/>
  <c r="K563" i="1"/>
  <c r="L563" i="1"/>
  <c r="M563" i="1"/>
  <c r="N563" i="1" a="1"/>
  <c r="N563" i="1" s="1"/>
  <c r="O563" i="1" a="1"/>
  <c r="O563" i="1" s="1"/>
  <c r="P563" i="1"/>
  <c r="S563" i="1"/>
  <c r="T563" i="1"/>
  <c r="J564" i="1"/>
  <c r="K564" i="1"/>
  <c r="L564" i="1"/>
  <c r="M564" i="1"/>
  <c r="N564" i="1" a="1"/>
  <c r="N564" i="1" s="1"/>
  <c r="O564" i="1" a="1"/>
  <c r="O564" i="1" s="1"/>
  <c r="P564" i="1"/>
  <c r="S564" i="1"/>
  <c r="T564" i="1"/>
  <c r="J565" i="1"/>
  <c r="K565" i="1"/>
  <c r="L565" i="1"/>
  <c r="M565" i="1"/>
  <c r="N565" i="1" a="1"/>
  <c r="N565" i="1" s="1"/>
  <c r="O565" i="1" a="1"/>
  <c r="O565" i="1" s="1"/>
  <c r="P565" i="1"/>
  <c r="S565" i="1"/>
  <c r="T565" i="1"/>
  <c r="J566" i="1"/>
  <c r="K566" i="1"/>
  <c r="L566" i="1"/>
  <c r="M566" i="1"/>
  <c r="N566" i="1" a="1"/>
  <c r="N566" i="1" s="1"/>
  <c r="O566" i="1" a="1"/>
  <c r="O566" i="1" s="1"/>
  <c r="P566" i="1"/>
  <c r="S566" i="1"/>
  <c r="T566" i="1"/>
  <c r="J567" i="1"/>
  <c r="K567" i="1"/>
  <c r="L567" i="1"/>
  <c r="M567" i="1"/>
  <c r="N567" i="1" a="1"/>
  <c r="N567" i="1" s="1"/>
  <c r="O567" i="1" a="1"/>
  <c r="O567" i="1" s="1"/>
  <c r="P567" i="1"/>
  <c r="S567" i="1"/>
  <c r="T567" i="1"/>
  <c r="J568" i="1"/>
  <c r="K568" i="1"/>
  <c r="L568" i="1"/>
  <c r="M568" i="1"/>
  <c r="N568" i="1" a="1"/>
  <c r="N568" i="1" s="1"/>
  <c r="O568" i="1" a="1"/>
  <c r="O568" i="1" s="1"/>
  <c r="P568" i="1"/>
  <c r="S568" i="1"/>
  <c r="T568" i="1"/>
  <c r="J569" i="1"/>
  <c r="K569" i="1"/>
  <c r="L569" i="1"/>
  <c r="M569" i="1"/>
  <c r="N569" i="1" a="1"/>
  <c r="N569" i="1" s="1"/>
  <c r="O569" i="1" a="1"/>
  <c r="O569" i="1" s="1"/>
  <c r="P569" i="1"/>
  <c r="S569" i="1"/>
  <c r="T569" i="1"/>
  <c r="J570" i="1"/>
  <c r="K570" i="1"/>
  <c r="L570" i="1"/>
  <c r="M570" i="1"/>
  <c r="N570" i="1" a="1"/>
  <c r="N570" i="1" s="1"/>
  <c r="O570" i="1" a="1"/>
  <c r="O570" i="1" s="1"/>
  <c r="P570" i="1"/>
  <c r="S570" i="1"/>
  <c r="T570" i="1"/>
  <c r="J571" i="1"/>
  <c r="K571" i="1"/>
  <c r="L571" i="1"/>
  <c r="M571" i="1"/>
  <c r="N571" i="1" a="1"/>
  <c r="N571" i="1" s="1"/>
  <c r="O571" i="1" a="1"/>
  <c r="O571" i="1" s="1"/>
  <c r="P571" i="1"/>
  <c r="S571" i="1"/>
  <c r="T571" i="1"/>
  <c r="J572" i="1"/>
  <c r="K572" i="1"/>
  <c r="L572" i="1"/>
  <c r="M572" i="1"/>
  <c r="N572" i="1" a="1"/>
  <c r="N572" i="1" s="1"/>
  <c r="O572" i="1" a="1"/>
  <c r="O572" i="1" s="1"/>
  <c r="P572" i="1"/>
  <c r="S572" i="1"/>
  <c r="T572" i="1"/>
  <c r="J573" i="1"/>
  <c r="K573" i="1"/>
  <c r="L573" i="1"/>
  <c r="M573" i="1"/>
  <c r="N573" i="1" a="1"/>
  <c r="N573" i="1" s="1"/>
  <c r="O573" i="1" a="1"/>
  <c r="O573" i="1" s="1"/>
  <c r="P573" i="1"/>
  <c r="S573" i="1"/>
  <c r="T573" i="1"/>
  <c r="J574" i="1"/>
  <c r="K574" i="1"/>
  <c r="L574" i="1"/>
  <c r="M574" i="1"/>
  <c r="N574" i="1" a="1"/>
  <c r="N574" i="1" s="1"/>
  <c r="O574" i="1" a="1"/>
  <c r="O574" i="1" s="1"/>
  <c r="P574" i="1"/>
  <c r="S574" i="1"/>
  <c r="T574" i="1"/>
  <c r="J575" i="1"/>
  <c r="K575" i="1"/>
  <c r="L575" i="1"/>
  <c r="M575" i="1"/>
  <c r="N575" i="1" a="1"/>
  <c r="N575" i="1" s="1"/>
  <c r="O575" i="1" a="1"/>
  <c r="O575" i="1" s="1"/>
  <c r="P575" i="1"/>
  <c r="S575" i="1"/>
  <c r="T575" i="1"/>
  <c r="T13" i="1"/>
  <c r="M14" i="1" s="1"/>
  <c r="S13" i="1"/>
  <c r="O547" i="1" s="1" a="1"/>
  <c r="O547" i="1" s="1"/>
  <c r="P13" i="1"/>
  <c r="O13" i="1" a="1"/>
  <c r="O13" i="1" s="1"/>
  <c r="N13" i="1" a="1"/>
  <c r="N13" i="1" s="1"/>
  <c r="M13" i="1"/>
  <c r="L13" i="1"/>
  <c r="J13" i="1"/>
  <c r="K14" i="1" s="1"/>
  <c r="L17" i="1" l="1"/>
  <c r="M148" i="1"/>
  <c r="M129" i="1"/>
  <c r="M118" i="1"/>
  <c r="M84" i="1"/>
  <c r="L71" i="1"/>
  <c r="L58" i="1"/>
  <c r="M30" i="1"/>
  <c r="M139" i="1"/>
  <c r="M134" i="1"/>
  <c r="L90" i="1"/>
  <c r="L134" i="1"/>
  <c r="L124" i="1"/>
  <c r="L104" i="1"/>
  <c r="M77" i="1"/>
  <c r="L65" i="1"/>
  <c r="L42" i="1"/>
  <c r="L139" i="1"/>
  <c r="L112" i="1"/>
  <c r="M96" i="1"/>
  <c r="L50" i="1"/>
  <c r="N134" i="1" a="1"/>
  <c r="N134" i="1" s="1"/>
  <c r="N96" i="1" a="1"/>
  <c r="N96" i="1" s="1"/>
  <c r="N139" i="1" a="1"/>
  <c r="N139" i="1" s="1"/>
  <c r="P139" i="1" s="1"/>
  <c r="O14" i="1" a="1"/>
  <c r="O14" i="1" s="1"/>
  <c r="N148" i="1" a="1"/>
  <c r="N148" i="1" s="1"/>
  <c r="N71" i="1" a="1"/>
  <c r="N71" i="1" s="1"/>
  <c r="P71" i="1" s="1"/>
  <c r="N65" i="1" a="1"/>
  <c r="N65" i="1" s="1"/>
  <c r="N58" i="1" a="1"/>
  <c r="N58" i="1" s="1"/>
  <c r="N124" i="1" a="1"/>
  <c r="N124" i="1" s="1"/>
  <c r="N30" i="1" a="1"/>
  <c r="N30" i="1" s="1"/>
  <c r="L30" i="1"/>
  <c r="O17" i="1" a="1"/>
  <c r="O17" i="1" s="1"/>
  <c r="L14" i="1"/>
  <c r="P30" i="1"/>
  <c r="P96" i="1"/>
  <c r="N129" i="1" a="1"/>
  <c r="N129" i="1" s="1"/>
  <c r="P129" i="1" s="1"/>
  <c r="N112" i="1" a="1"/>
  <c r="N112" i="1" s="1"/>
  <c r="P112" i="1" s="1"/>
  <c r="N84" i="1" a="1"/>
  <c r="N84" i="1" s="1"/>
  <c r="N77" i="1" a="1"/>
  <c r="N77" i="1" s="1"/>
  <c r="P77" i="1" s="1"/>
  <c r="P65" i="1"/>
  <c r="P58" i="1"/>
  <c r="N50" i="1" a="1"/>
  <c r="N50" i="1" s="1"/>
  <c r="N17" i="1" a="1"/>
  <c r="N17" i="1" s="1"/>
  <c r="P134" i="1"/>
  <c r="N146" i="1" a="1"/>
  <c r="N146" i="1" s="1"/>
  <c r="P146" i="1" s="1"/>
  <c r="N143" i="1" a="1"/>
  <c r="N143" i="1" s="1"/>
  <c r="P143" i="1" s="1"/>
  <c r="N118" i="1" a="1"/>
  <c r="N118" i="1" s="1"/>
  <c r="P118" i="1" s="1"/>
  <c r="N104" i="1" a="1"/>
  <c r="N104" i="1" s="1"/>
  <c r="P104" i="1" s="1"/>
  <c r="N90" i="1" a="1"/>
  <c r="N90" i="1" s="1"/>
  <c r="P90" i="1" s="1"/>
  <c r="P84" i="1"/>
  <c r="P50" i="1"/>
  <c r="N42" i="1" a="1"/>
  <c r="N42" i="1" s="1"/>
  <c r="P42" i="1" s="1"/>
  <c r="O65" i="1" a="1"/>
  <c r="O65" i="1" s="1"/>
  <c r="O96" i="1" a="1"/>
  <c r="O96" i="1" s="1"/>
  <c r="O90" i="1" a="1"/>
  <c r="O90" i="1" s="1"/>
  <c r="Q90" i="1" s="1"/>
  <c r="R90" i="1" s="1"/>
  <c r="BG25" i="1" s="1"/>
  <c r="O84" i="1" a="1"/>
  <c r="O84" i="1" s="1"/>
  <c r="O58" i="1" a="1"/>
  <c r="O58" i="1" s="1"/>
  <c r="O143" i="1" a="1"/>
  <c r="O143" i="1" s="1"/>
  <c r="O42" i="1" a="1"/>
  <c r="O42" i="1" s="1"/>
  <c r="O124" i="1" a="1"/>
  <c r="O124" i="1" s="1"/>
  <c r="O118" i="1" a="1"/>
  <c r="O118" i="1" s="1"/>
  <c r="O112" i="1" a="1"/>
  <c r="O112" i="1" s="1"/>
  <c r="O129" i="1" a="1"/>
  <c r="O129" i="1" s="1"/>
  <c r="Q129" i="1" s="1"/>
  <c r="R129" i="1" s="1"/>
  <c r="BG31" i="1" s="1"/>
  <c r="O77" i="1" a="1"/>
  <c r="O77" i="1" s="1"/>
  <c r="Q77" i="1" s="1"/>
  <c r="R77" i="1" s="1"/>
  <c r="BG23" i="1" s="1"/>
  <c r="O71" i="1" a="1"/>
  <c r="O71" i="1" s="1"/>
  <c r="O50" i="1" a="1"/>
  <c r="O50" i="1" s="1"/>
  <c r="Q50" i="1" s="1"/>
  <c r="R50" i="1" s="1"/>
  <c r="BG19" i="1" s="1"/>
  <c r="O30" i="1" a="1"/>
  <c r="O30" i="1" s="1"/>
  <c r="Q30" i="1" s="1"/>
  <c r="R30" i="1" s="1"/>
  <c r="BG17" i="1" s="1"/>
  <c r="L22" i="1"/>
  <c r="O148" i="1" a="1"/>
  <c r="O148" i="1" s="1"/>
  <c r="Q148" i="1" s="1"/>
  <c r="R148" i="1" s="1"/>
  <c r="BG36" i="1" s="1"/>
  <c r="O146" i="1" a="1"/>
  <c r="O146" i="1" s="1"/>
  <c r="Q146" i="1" s="1"/>
  <c r="R146" i="1" s="1"/>
  <c r="BG35" i="1" s="1"/>
  <c r="O139" i="1" a="1"/>
  <c r="O139" i="1" s="1"/>
  <c r="Q139" i="1" s="1"/>
  <c r="R139" i="1" s="1"/>
  <c r="BG33" i="1" s="1"/>
  <c r="O134" i="1" a="1"/>
  <c r="O134" i="1" s="1"/>
  <c r="Q134" i="1" s="1"/>
  <c r="R134" i="1" s="1"/>
  <c r="BG32" i="1" s="1"/>
  <c r="O104" i="1" a="1"/>
  <c r="O104" i="1" s="1"/>
  <c r="Q104" i="1" s="1"/>
  <c r="R104" i="1" s="1"/>
  <c r="BG27" i="1" s="1"/>
  <c r="O19" i="1" a="1"/>
  <c r="O19" i="1" s="1"/>
  <c r="Q19" i="1" s="1"/>
  <c r="P148" i="1"/>
  <c r="P124" i="1"/>
  <c r="M28" i="1"/>
  <c r="O22" i="1" a="1"/>
  <c r="O22" i="1" s="1"/>
  <c r="Q269" i="1"/>
  <c r="R269" i="1" s="1"/>
  <c r="O28" i="1" a="1"/>
  <c r="O28" i="1" s="1"/>
  <c r="Q28" i="1" s="1"/>
  <c r="R28" i="1" s="1"/>
  <c r="M19" i="1"/>
  <c r="P17" i="1"/>
  <c r="N28" i="1" a="1"/>
  <c r="N28" i="1" s="1"/>
  <c r="P28" i="1" s="1"/>
  <c r="K17" i="1"/>
  <c r="N19" i="1" a="1"/>
  <c r="N19" i="1" s="1"/>
  <c r="P19" i="1" s="1"/>
  <c r="N14" i="1" a="1"/>
  <c r="N14" i="1" s="1"/>
  <c r="P14" i="1" s="1"/>
  <c r="N22" i="1" a="1"/>
  <c r="N22" i="1" s="1"/>
  <c r="P22" i="1" s="1"/>
  <c r="N18" i="1" a="1"/>
  <c r="N18" i="1" s="1"/>
  <c r="P18" i="1" s="1"/>
  <c r="Q311" i="1"/>
  <c r="R311" i="1" s="1"/>
  <c r="Q251" i="1"/>
  <c r="R251" i="1" s="1"/>
  <c r="Q231" i="1"/>
  <c r="R231" i="1" s="1"/>
  <c r="Q526" i="1"/>
  <c r="R526" i="1" s="1"/>
  <c r="Q518" i="1"/>
  <c r="R518" i="1" s="1"/>
  <c r="Q454" i="1"/>
  <c r="R454" i="1" s="1"/>
  <c r="Q422" i="1"/>
  <c r="R422" i="1" s="1"/>
  <c r="Q281" i="1"/>
  <c r="R281" i="1" s="1"/>
  <c r="Q273" i="1"/>
  <c r="R273" i="1" s="1"/>
  <c r="Q528" i="1"/>
  <c r="R528" i="1" s="1"/>
  <c r="Q500" i="1"/>
  <c r="R500" i="1" s="1"/>
  <c r="Q121" i="1"/>
  <c r="R121" i="1" s="1"/>
  <c r="K547" i="1"/>
  <c r="Q80" i="1"/>
  <c r="R80" i="1" s="1"/>
  <c r="Q56" i="1"/>
  <c r="R56" i="1" s="1"/>
  <c r="Q48" i="1"/>
  <c r="R48" i="1" s="1"/>
  <c r="Q44" i="1"/>
  <c r="R44" i="1" s="1"/>
  <c r="Q527" i="1"/>
  <c r="R527" i="1" s="1"/>
  <c r="Q301" i="1"/>
  <c r="R301" i="1" s="1"/>
  <c r="Q293" i="1"/>
  <c r="R293" i="1" s="1"/>
  <c r="Q177" i="1"/>
  <c r="R177" i="1" s="1"/>
  <c r="Q94" i="1"/>
  <c r="R94" i="1" s="1"/>
  <c r="Q347" i="1"/>
  <c r="R347" i="1" s="1"/>
  <c r="Q208" i="1"/>
  <c r="R208" i="1" s="1"/>
  <c r="Q188" i="1"/>
  <c r="R188" i="1" s="1"/>
  <c r="Q492" i="1"/>
  <c r="R492" i="1" s="1"/>
  <c r="Q484" i="1"/>
  <c r="R484" i="1" s="1"/>
  <c r="Q480" i="1"/>
  <c r="R480" i="1" s="1"/>
  <c r="Q476" i="1"/>
  <c r="R476" i="1" s="1"/>
  <c r="Q472" i="1"/>
  <c r="R472" i="1" s="1"/>
  <c r="Q464" i="1"/>
  <c r="R464" i="1" s="1"/>
  <c r="Q182" i="1"/>
  <c r="R182" i="1" s="1"/>
  <c r="Q444" i="1"/>
  <c r="R444" i="1" s="1"/>
  <c r="Q172" i="1"/>
  <c r="R172" i="1" s="1"/>
  <c r="Q156" i="1"/>
  <c r="R156" i="1" s="1"/>
  <c r="Q72" i="1"/>
  <c r="R72" i="1" s="1"/>
  <c r="Q524" i="1"/>
  <c r="R524" i="1" s="1"/>
  <c r="Q470" i="1"/>
  <c r="R470" i="1" s="1"/>
  <c r="Q462" i="1"/>
  <c r="R462" i="1" s="1"/>
  <c r="Q408" i="1"/>
  <c r="R408" i="1" s="1"/>
  <c r="Q357" i="1"/>
  <c r="R357" i="1" s="1"/>
  <c r="Q331" i="1"/>
  <c r="R331" i="1" s="1"/>
  <c r="Q285" i="1"/>
  <c r="R285" i="1" s="1"/>
  <c r="Q271" i="1"/>
  <c r="R271" i="1" s="1"/>
  <c r="Q241" i="1"/>
  <c r="R241" i="1" s="1"/>
  <c r="Q210" i="1"/>
  <c r="R210" i="1" s="1"/>
  <c r="Q68" i="1"/>
  <c r="R68" i="1" s="1"/>
  <c r="Q446" i="1"/>
  <c r="R446" i="1" s="1"/>
  <c r="Q442" i="1"/>
  <c r="R442" i="1" s="1"/>
  <c r="Q438" i="1"/>
  <c r="R438" i="1" s="1"/>
  <c r="Q379" i="1"/>
  <c r="R379" i="1" s="1"/>
  <c r="Q359" i="1"/>
  <c r="R359" i="1" s="1"/>
  <c r="Q355" i="1"/>
  <c r="R355" i="1" s="1"/>
  <c r="Q345" i="1"/>
  <c r="R345" i="1" s="1"/>
  <c r="Q341" i="1"/>
  <c r="R341" i="1" s="1"/>
  <c r="Q337" i="1"/>
  <c r="R337" i="1" s="1"/>
  <c r="Q353" i="1"/>
  <c r="R353" i="1" s="1"/>
  <c r="Q542" i="1"/>
  <c r="R542" i="1" s="1"/>
  <c r="Q510" i="1"/>
  <c r="R510" i="1" s="1"/>
  <c r="Q452" i="1"/>
  <c r="R452" i="1" s="1"/>
  <c r="Q448" i="1"/>
  <c r="R448" i="1" s="1"/>
  <c r="Q406" i="1"/>
  <c r="R406" i="1" s="1"/>
  <c r="Q295" i="1"/>
  <c r="R295" i="1" s="1"/>
  <c r="Q267" i="1"/>
  <c r="R267" i="1" s="1"/>
  <c r="Q225" i="1"/>
  <c r="R225" i="1" s="1"/>
  <c r="Q217" i="1"/>
  <c r="R217" i="1" s="1"/>
  <c r="Q213" i="1"/>
  <c r="R213" i="1" s="1"/>
  <c r="Q174" i="1"/>
  <c r="R174" i="1" s="1"/>
  <c r="Q123" i="1"/>
  <c r="R123" i="1" s="1"/>
  <c r="Q81" i="1"/>
  <c r="R81" i="1" s="1"/>
  <c r="Q78" i="1"/>
  <c r="R78" i="1" s="1"/>
  <c r="Q385" i="1"/>
  <c r="R385" i="1" s="1"/>
  <c r="Q57" i="1"/>
  <c r="R57" i="1" s="1"/>
  <c r="Q54" i="1"/>
  <c r="R54" i="1" s="1"/>
  <c r="Q557" i="1"/>
  <c r="R557" i="1" s="1"/>
  <c r="Q544" i="1"/>
  <c r="R544" i="1" s="1"/>
  <c r="Q516" i="1"/>
  <c r="R516" i="1" s="1"/>
  <c r="Q390" i="1"/>
  <c r="R390" i="1" s="1"/>
  <c r="Q375" i="1"/>
  <c r="R375" i="1" s="1"/>
  <c r="Q303" i="1"/>
  <c r="R303" i="1" s="1"/>
  <c r="Q247" i="1"/>
  <c r="R247" i="1" s="1"/>
  <c r="Q178" i="1"/>
  <c r="R178" i="1" s="1"/>
  <c r="Q175" i="1"/>
  <c r="R175" i="1" s="1"/>
  <c r="Q171" i="1"/>
  <c r="R171" i="1" s="1"/>
  <c r="Q155" i="1"/>
  <c r="R155" i="1" s="1"/>
  <c r="Q131" i="1"/>
  <c r="R131" i="1" s="1"/>
  <c r="Q86" i="1"/>
  <c r="R86" i="1" s="1"/>
  <c r="Q45" i="1"/>
  <c r="R45" i="1" s="1"/>
  <c r="Q42" i="1"/>
  <c r="R42" i="1" s="1"/>
  <c r="BG18" i="1" s="1"/>
  <c r="Q543" i="1"/>
  <c r="R543" i="1" s="1"/>
  <c r="Q373" i="1"/>
  <c r="R373" i="1" s="1"/>
  <c r="Q180" i="1"/>
  <c r="R180" i="1" s="1"/>
  <c r="Q95" i="1"/>
  <c r="R95" i="1" s="1"/>
  <c r="Q384" i="1"/>
  <c r="R384" i="1" s="1"/>
  <c r="Q380" i="1"/>
  <c r="R380" i="1" s="1"/>
  <c r="Q367" i="1"/>
  <c r="R367" i="1" s="1"/>
  <c r="Q325" i="1"/>
  <c r="R325" i="1" s="1"/>
  <c r="Q98" i="1"/>
  <c r="R98" i="1" s="1"/>
  <c r="Q554" i="1"/>
  <c r="R554" i="1" s="1"/>
  <c r="Q536" i="1"/>
  <c r="R536" i="1" s="1"/>
  <c r="Q531" i="1"/>
  <c r="R531" i="1" s="1"/>
  <c r="Q410" i="1"/>
  <c r="R410" i="1" s="1"/>
  <c r="Q387" i="1"/>
  <c r="R387" i="1" s="1"/>
  <c r="Q377" i="1"/>
  <c r="R377" i="1" s="1"/>
  <c r="Q371" i="1"/>
  <c r="R371" i="1" s="1"/>
  <c r="Q329" i="1"/>
  <c r="R329" i="1" s="1"/>
  <c r="Q91" i="1"/>
  <c r="R91" i="1" s="1"/>
  <c r="Q338" i="1"/>
  <c r="R338" i="1" s="1"/>
  <c r="Q335" i="1"/>
  <c r="R335" i="1" s="1"/>
  <c r="Q289" i="1"/>
  <c r="R289" i="1" s="1"/>
  <c r="Q259" i="1"/>
  <c r="R259" i="1" s="1"/>
  <c r="Q255" i="1"/>
  <c r="R255" i="1" s="1"/>
  <c r="Q233" i="1"/>
  <c r="R233" i="1" s="1"/>
  <c r="Q230" i="1"/>
  <c r="R230" i="1" s="1"/>
  <c r="Q226" i="1"/>
  <c r="R226" i="1" s="1"/>
  <c r="Q204" i="1"/>
  <c r="R204" i="1" s="1"/>
  <c r="Q192" i="1"/>
  <c r="R192" i="1" s="1"/>
  <c r="Q153" i="1"/>
  <c r="R153" i="1" s="1"/>
  <c r="Q145" i="1"/>
  <c r="R145" i="1" s="1"/>
  <c r="Q137" i="1"/>
  <c r="R137" i="1" s="1"/>
  <c r="Q113" i="1"/>
  <c r="R113" i="1" s="1"/>
  <c r="Q560" i="1"/>
  <c r="R560" i="1" s="1"/>
  <c r="Q494" i="1"/>
  <c r="R494" i="1" s="1"/>
  <c r="Q305" i="1"/>
  <c r="R305" i="1" s="1"/>
  <c r="Q261" i="1"/>
  <c r="R261" i="1" s="1"/>
  <c r="Q198" i="1"/>
  <c r="R198" i="1" s="1"/>
  <c r="Q185" i="1"/>
  <c r="R185" i="1" s="1"/>
  <c r="Q147" i="1"/>
  <c r="R147" i="1" s="1"/>
  <c r="Q105" i="1"/>
  <c r="R105" i="1" s="1"/>
  <c r="Q73" i="1"/>
  <c r="R73" i="1" s="1"/>
  <c r="Q575" i="1"/>
  <c r="R575" i="1" s="1"/>
  <c r="Q537" i="1"/>
  <c r="R537" i="1" s="1"/>
  <c r="Q530" i="1"/>
  <c r="R530" i="1" s="1"/>
  <c r="Q522" i="1"/>
  <c r="R522" i="1" s="1"/>
  <c r="Q514" i="1"/>
  <c r="R514" i="1" s="1"/>
  <c r="Q426" i="1"/>
  <c r="R426" i="1" s="1"/>
  <c r="Q319" i="1"/>
  <c r="R319" i="1" s="1"/>
  <c r="Q315" i="1"/>
  <c r="R315" i="1" s="1"/>
  <c r="Q245" i="1"/>
  <c r="R245" i="1" s="1"/>
  <c r="Q215" i="1"/>
  <c r="R215" i="1" s="1"/>
  <c r="Q212" i="1"/>
  <c r="R212" i="1" s="1"/>
  <c r="Q205" i="1"/>
  <c r="R205" i="1" s="1"/>
  <c r="Q197" i="1"/>
  <c r="R197" i="1" s="1"/>
  <c r="Q169" i="1"/>
  <c r="R169" i="1" s="1"/>
  <c r="Q115" i="1"/>
  <c r="R115" i="1" s="1"/>
  <c r="Q93" i="1"/>
  <c r="R93" i="1" s="1"/>
  <c r="Q89" i="1"/>
  <c r="R89" i="1" s="1"/>
  <c r="Q70" i="1"/>
  <c r="R70" i="1" s="1"/>
  <c r="Q508" i="1"/>
  <c r="R508" i="1" s="1"/>
  <c r="Q396" i="1"/>
  <c r="R396" i="1" s="1"/>
  <c r="Q253" i="1"/>
  <c r="R253" i="1" s="1"/>
  <c r="Q235" i="1"/>
  <c r="R235" i="1" s="1"/>
  <c r="Q224" i="1"/>
  <c r="R224" i="1" s="1"/>
  <c r="Q209" i="1"/>
  <c r="R209" i="1" s="1"/>
  <c r="Q202" i="1"/>
  <c r="R202" i="1" s="1"/>
  <c r="Q194" i="1"/>
  <c r="R194" i="1" s="1"/>
  <c r="Q108" i="1"/>
  <c r="R108" i="1" s="1"/>
  <c r="Q101" i="1"/>
  <c r="R101" i="1" s="1"/>
  <c r="Q439" i="1"/>
  <c r="R439" i="1" s="1"/>
  <c r="Q436" i="1"/>
  <c r="R436" i="1" s="1"/>
  <c r="Q432" i="1"/>
  <c r="R432" i="1" s="1"/>
  <c r="Q317" i="1"/>
  <c r="R317" i="1" s="1"/>
  <c r="Q222" i="1"/>
  <c r="R222" i="1" s="1"/>
  <c r="Q218" i="1"/>
  <c r="R218" i="1" s="1"/>
  <c r="Q428" i="1"/>
  <c r="R428" i="1" s="1"/>
  <c r="Q398" i="1"/>
  <c r="R398" i="1" s="1"/>
  <c r="Q392" i="1"/>
  <c r="R392" i="1" s="1"/>
  <c r="Q388" i="1"/>
  <c r="R388" i="1" s="1"/>
  <c r="Q351" i="1"/>
  <c r="R351" i="1" s="1"/>
  <c r="Q64" i="1"/>
  <c r="R64" i="1" s="1"/>
  <c r="Q566" i="1"/>
  <c r="R566" i="1" s="1"/>
  <c r="Q562" i="1"/>
  <c r="R562" i="1" s="1"/>
  <c r="Q559" i="1"/>
  <c r="R559" i="1" s="1"/>
  <c r="Q556" i="1"/>
  <c r="R556" i="1" s="1"/>
  <c r="Q553" i="1"/>
  <c r="R553" i="1" s="1"/>
  <c r="Q549" i="1"/>
  <c r="R549" i="1" s="1"/>
  <c r="Q468" i="1"/>
  <c r="R468" i="1" s="1"/>
  <c r="Q418" i="1"/>
  <c r="R418" i="1" s="1"/>
  <c r="Q414" i="1"/>
  <c r="R414" i="1" s="1"/>
  <c r="Q383" i="1"/>
  <c r="R383" i="1" s="1"/>
  <c r="Q376" i="1"/>
  <c r="R376" i="1" s="1"/>
  <c r="Q363" i="1"/>
  <c r="R363" i="1" s="1"/>
  <c r="Q321" i="1"/>
  <c r="R321" i="1" s="1"/>
  <c r="Q318" i="1"/>
  <c r="R318" i="1" s="1"/>
  <c r="Q307" i="1"/>
  <c r="R307" i="1" s="1"/>
  <c r="Q277" i="1"/>
  <c r="R277" i="1" s="1"/>
  <c r="Q257" i="1"/>
  <c r="R257" i="1" s="1"/>
  <c r="Q254" i="1"/>
  <c r="R254" i="1" s="1"/>
  <c r="Q249" i="1"/>
  <c r="R249" i="1" s="1"/>
  <c r="Q246" i="1"/>
  <c r="R246" i="1" s="1"/>
  <c r="Q237" i="1"/>
  <c r="R237" i="1" s="1"/>
  <c r="Q234" i="1"/>
  <c r="R234" i="1" s="1"/>
  <c r="Q199" i="1"/>
  <c r="R199" i="1" s="1"/>
  <c r="Q196" i="1"/>
  <c r="R196" i="1" s="1"/>
  <c r="Q163" i="1"/>
  <c r="R163" i="1" s="1"/>
  <c r="Q132" i="1"/>
  <c r="R132" i="1" s="1"/>
  <c r="Q117" i="1"/>
  <c r="R117" i="1" s="1"/>
  <c r="Q111" i="1"/>
  <c r="R111" i="1" s="1"/>
  <c r="Q97" i="1"/>
  <c r="R97" i="1" s="1"/>
  <c r="Q92" i="1"/>
  <c r="R92" i="1" s="1"/>
  <c r="Q51" i="1"/>
  <c r="R51" i="1" s="1"/>
  <c r="Q38" i="1"/>
  <c r="R38" i="1" s="1"/>
  <c r="Q34" i="1"/>
  <c r="R34" i="1" s="1"/>
  <c r="Q18" i="1"/>
  <c r="R18" i="1" s="1"/>
  <c r="Q458" i="1"/>
  <c r="R458" i="1" s="1"/>
  <c r="Q539" i="1"/>
  <c r="R539" i="1" s="1"/>
  <c r="Q520" i="1"/>
  <c r="R520" i="1" s="1"/>
  <c r="Q512" i="1"/>
  <c r="R512" i="1" s="1"/>
  <c r="Q502" i="1"/>
  <c r="R502" i="1" s="1"/>
  <c r="Q496" i="1"/>
  <c r="R496" i="1" s="1"/>
  <c r="Q490" i="1"/>
  <c r="R490" i="1" s="1"/>
  <c r="Q486" i="1"/>
  <c r="R486" i="1" s="1"/>
  <c r="Q478" i="1"/>
  <c r="R478" i="1" s="1"/>
  <c r="Q474" i="1"/>
  <c r="R474" i="1" s="1"/>
  <c r="Q460" i="1"/>
  <c r="R460" i="1" s="1"/>
  <c r="Q430" i="1"/>
  <c r="R430" i="1" s="1"/>
  <c r="Q427" i="1"/>
  <c r="R427" i="1" s="1"/>
  <c r="Q424" i="1"/>
  <c r="R424" i="1" s="1"/>
  <c r="Q394" i="1"/>
  <c r="R394" i="1" s="1"/>
  <c r="Q391" i="1"/>
  <c r="R391" i="1" s="1"/>
  <c r="Q283" i="1"/>
  <c r="R283" i="1" s="1"/>
  <c r="Q243" i="1"/>
  <c r="R243" i="1" s="1"/>
  <c r="Q201" i="1"/>
  <c r="R201" i="1" s="1"/>
  <c r="Q99" i="1"/>
  <c r="R99" i="1" s="1"/>
  <c r="Q37" i="1"/>
  <c r="R37" i="1" s="1"/>
  <c r="Q21" i="1"/>
  <c r="R21" i="1" s="1"/>
  <c r="Q190" i="1"/>
  <c r="R190" i="1" s="1"/>
  <c r="Q176" i="1"/>
  <c r="R176" i="1" s="1"/>
  <c r="Q570" i="1"/>
  <c r="R570" i="1" s="1"/>
  <c r="Q573" i="1"/>
  <c r="R573" i="1" s="1"/>
  <c r="Q569" i="1"/>
  <c r="R569" i="1" s="1"/>
  <c r="Q565" i="1"/>
  <c r="R565" i="1" s="1"/>
  <c r="Q561" i="1"/>
  <c r="R561" i="1" s="1"/>
  <c r="Q558" i="1"/>
  <c r="R558" i="1" s="1"/>
  <c r="Q555" i="1"/>
  <c r="R555" i="1" s="1"/>
  <c r="Q552" i="1"/>
  <c r="R552" i="1" s="1"/>
  <c r="Q548" i="1"/>
  <c r="R548" i="1" s="1"/>
  <c r="Q572" i="1"/>
  <c r="R572" i="1" s="1"/>
  <c r="Q535" i="1"/>
  <c r="R535" i="1" s="1"/>
  <c r="Q466" i="1"/>
  <c r="R466" i="1" s="1"/>
  <c r="Q456" i="1"/>
  <c r="R456" i="1" s="1"/>
  <c r="Q440" i="1"/>
  <c r="R440" i="1" s="1"/>
  <c r="Q412" i="1"/>
  <c r="R412" i="1" s="1"/>
  <c r="Q368" i="1"/>
  <c r="R368" i="1" s="1"/>
  <c r="Q365" i="1"/>
  <c r="R365" i="1" s="1"/>
  <c r="Q339" i="1"/>
  <c r="R339" i="1" s="1"/>
  <c r="Q333" i="1"/>
  <c r="R333" i="1" s="1"/>
  <c r="Q323" i="1"/>
  <c r="R323" i="1" s="1"/>
  <c r="Q309" i="1"/>
  <c r="R309" i="1" s="1"/>
  <c r="Q291" i="1"/>
  <c r="R291" i="1" s="1"/>
  <c r="Q275" i="1"/>
  <c r="R275" i="1" s="1"/>
  <c r="Q161" i="1"/>
  <c r="R161" i="1" s="1"/>
  <c r="Q151" i="1"/>
  <c r="R151" i="1" s="1"/>
  <c r="Q62" i="1"/>
  <c r="R62" i="1" s="1"/>
  <c r="Q58" i="1"/>
  <c r="R58" i="1" s="1"/>
  <c r="BG20" i="1" s="1"/>
  <c r="Q46" i="1"/>
  <c r="R46" i="1" s="1"/>
  <c r="Q43" i="1"/>
  <c r="R43" i="1" s="1"/>
  <c r="Q40" i="1"/>
  <c r="R40" i="1" s="1"/>
  <c r="Q107" i="1"/>
  <c r="R107" i="1" s="1"/>
  <c r="Q574" i="1"/>
  <c r="R574" i="1" s="1"/>
  <c r="Q571" i="1"/>
  <c r="R571" i="1" s="1"/>
  <c r="Q564" i="1"/>
  <c r="R564" i="1" s="1"/>
  <c r="Q546" i="1"/>
  <c r="R546" i="1" s="1"/>
  <c r="Q504" i="1"/>
  <c r="R504" i="1" s="1"/>
  <c r="Q165" i="1"/>
  <c r="R165" i="1" s="1"/>
  <c r="Q116" i="1"/>
  <c r="R116" i="1" s="1"/>
  <c r="Q229" i="1"/>
  <c r="R229" i="1" s="1"/>
  <c r="Q299" i="1"/>
  <c r="R299" i="1" s="1"/>
  <c r="Q287" i="1"/>
  <c r="R287" i="1" s="1"/>
  <c r="Q13" i="1"/>
  <c r="R13" i="1" s="1"/>
  <c r="W13" i="1" s="1"/>
  <c r="Q568" i="1"/>
  <c r="R568" i="1" s="1"/>
  <c r="Q551" i="1"/>
  <c r="R551" i="1" s="1"/>
  <c r="Q498" i="1"/>
  <c r="R498" i="1" s="1"/>
  <c r="Q265" i="1"/>
  <c r="R265" i="1" s="1"/>
  <c r="Q179" i="1"/>
  <c r="R179" i="1" s="1"/>
  <c r="Q135" i="1"/>
  <c r="R135" i="1" s="1"/>
  <c r="Q124" i="1"/>
  <c r="R124" i="1" s="1"/>
  <c r="BG30" i="1" s="1"/>
  <c r="Q76" i="1"/>
  <c r="R76" i="1" s="1"/>
  <c r="Q24" i="1"/>
  <c r="R24" i="1" s="1"/>
  <c r="Q567" i="1"/>
  <c r="R567" i="1" s="1"/>
  <c r="Q563" i="1"/>
  <c r="R563" i="1" s="1"/>
  <c r="Q550" i="1"/>
  <c r="R550" i="1" s="1"/>
  <c r="Q545" i="1"/>
  <c r="R545" i="1" s="1"/>
  <c r="Q538" i="1"/>
  <c r="R538" i="1" s="1"/>
  <c r="Q532" i="1"/>
  <c r="R532" i="1" s="1"/>
  <c r="Q529" i="1"/>
  <c r="R529" i="1" s="1"/>
  <c r="Q450" i="1"/>
  <c r="R450" i="1" s="1"/>
  <c r="Q411" i="1"/>
  <c r="R411" i="1" s="1"/>
  <c r="Q402" i="1"/>
  <c r="R402" i="1" s="1"/>
  <c r="Q221" i="1"/>
  <c r="R221" i="1" s="1"/>
  <c r="Q214" i="1"/>
  <c r="R214" i="1" s="1"/>
  <c r="Q193" i="1"/>
  <c r="R193" i="1" s="1"/>
  <c r="Q141" i="1"/>
  <c r="R141" i="1" s="1"/>
  <c r="Q96" i="1"/>
  <c r="R96" i="1" s="1"/>
  <c r="BG26" i="1" s="1"/>
  <c r="Q423" i="1"/>
  <c r="R423" i="1" s="1"/>
  <c r="Q420" i="1"/>
  <c r="R420" i="1" s="1"/>
  <c r="Q416" i="1"/>
  <c r="R416" i="1" s="1"/>
  <c r="Q381" i="1"/>
  <c r="R381" i="1" s="1"/>
  <c r="Q364" i="1"/>
  <c r="R364" i="1" s="1"/>
  <c r="Q361" i="1"/>
  <c r="R361" i="1" s="1"/>
  <c r="Q343" i="1"/>
  <c r="R343" i="1" s="1"/>
  <c r="Q322" i="1"/>
  <c r="R322" i="1" s="1"/>
  <c r="Q279" i="1"/>
  <c r="R279" i="1" s="1"/>
  <c r="Q239" i="1"/>
  <c r="R239" i="1" s="1"/>
  <c r="Q220" i="1"/>
  <c r="R220" i="1" s="1"/>
  <c r="Q211" i="1"/>
  <c r="R211" i="1" s="1"/>
  <c r="Q203" i="1"/>
  <c r="R203" i="1" s="1"/>
  <c r="Q195" i="1"/>
  <c r="R195" i="1" s="1"/>
  <c r="Q187" i="1"/>
  <c r="R187" i="1" s="1"/>
  <c r="Q183" i="1"/>
  <c r="R183" i="1" s="1"/>
  <c r="Q164" i="1"/>
  <c r="R164" i="1" s="1"/>
  <c r="Q149" i="1"/>
  <c r="R149" i="1" s="1"/>
  <c r="Q140" i="1"/>
  <c r="R140" i="1" s="1"/>
  <c r="Q119" i="1"/>
  <c r="R119" i="1" s="1"/>
  <c r="Q100" i="1"/>
  <c r="R100" i="1" s="1"/>
  <c r="Q66" i="1"/>
  <c r="R66" i="1" s="1"/>
  <c r="Q60" i="1"/>
  <c r="R60" i="1" s="1"/>
  <c r="Q49" i="1"/>
  <c r="R49" i="1" s="1"/>
  <c r="Q39" i="1"/>
  <c r="R39" i="1" s="1"/>
  <c r="Q36" i="1"/>
  <c r="R36" i="1" s="1"/>
  <c r="Q26" i="1"/>
  <c r="R26" i="1" s="1"/>
  <c r="Q23" i="1"/>
  <c r="R23" i="1" s="1"/>
  <c r="Q20" i="1"/>
  <c r="R20" i="1" s="1"/>
  <c r="Q540" i="1"/>
  <c r="R540" i="1" s="1"/>
  <c r="Q534" i="1"/>
  <c r="R534" i="1" s="1"/>
  <c r="Q506" i="1"/>
  <c r="R506" i="1" s="1"/>
  <c r="Q488" i="1"/>
  <c r="R488" i="1" s="1"/>
  <c r="Q482" i="1"/>
  <c r="R482" i="1" s="1"/>
  <c r="Q434" i="1"/>
  <c r="R434" i="1" s="1"/>
  <c r="Q407" i="1"/>
  <c r="R407" i="1" s="1"/>
  <c r="Q404" i="1"/>
  <c r="R404" i="1" s="1"/>
  <c r="Q400" i="1"/>
  <c r="R400" i="1" s="1"/>
  <c r="Q372" i="1"/>
  <c r="R372" i="1" s="1"/>
  <c r="Q369" i="1"/>
  <c r="R369" i="1" s="1"/>
  <c r="Q360" i="1"/>
  <c r="R360" i="1" s="1"/>
  <c r="Q349" i="1"/>
  <c r="R349" i="1" s="1"/>
  <c r="Q334" i="1"/>
  <c r="R334" i="1" s="1"/>
  <c r="Q327" i="1"/>
  <c r="R327" i="1" s="1"/>
  <c r="Q313" i="1"/>
  <c r="R313" i="1" s="1"/>
  <c r="Q302" i="1"/>
  <c r="R302" i="1" s="1"/>
  <c r="Q297" i="1"/>
  <c r="R297" i="1" s="1"/>
  <c r="Q286" i="1"/>
  <c r="R286" i="1" s="1"/>
  <c r="Q270" i="1"/>
  <c r="R270" i="1" s="1"/>
  <c r="Q263" i="1"/>
  <c r="R263" i="1" s="1"/>
  <c r="Q227" i="1"/>
  <c r="R227" i="1" s="1"/>
  <c r="Q219" i="1"/>
  <c r="R219" i="1" s="1"/>
  <c r="Q206" i="1"/>
  <c r="R206" i="1" s="1"/>
  <c r="Q200" i="1"/>
  <c r="R200" i="1" s="1"/>
  <c r="Q189" i="1"/>
  <c r="R189" i="1" s="1"/>
  <c r="Q186" i="1"/>
  <c r="R186" i="1" s="1"/>
  <c r="Q173" i="1"/>
  <c r="R173" i="1" s="1"/>
  <c r="Q167" i="1"/>
  <c r="R167" i="1" s="1"/>
  <c r="Q143" i="1"/>
  <c r="R143" i="1" s="1"/>
  <c r="BG34" i="1" s="1"/>
  <c r="Q133" i="1"/>
  <c r="R133" i="1" s="1"/>
  <c r="Q109" i="1"/>
  <c r="R109" i="1" s="1"/>
  <c r="Q103" i="1"/>
  <c r="R103" i="1" s="1"/>
  <c r="Q88" i="1"/>
  <c r="R88" i="1" s="1"/>
  <c r="Q74" i="1"/>
  <c r="R74" i="1" s="1"/>
  <c r="Q65" i="1"/>
  <c r="R65" i="1" s="1"/>
  <c r="BG21" i="1" s="1"/>
  <c r="Q41" i="1"/>
  <c r="R41" i="1" s="1"/>
  <c r="Q32" i="1"/>
  <c r="R32" i="1" s="1"/>
  <c r="Q25" i="1"/>
  <c r="R25" i="1" s="1"/>
  <c r="Q16" i="1"/>
  <c r="R16" i="1" s="1"/>
  <c r="N547" i="1" a="1"/>
  <c r="N547" i="1" s="1"/>
  <c r="Q541" i="1"/>
  <c r="R541" i="1" s="1"/>
  <c r="Q533" i="1"/>
  <c r="R533" i="1" s="1"/>
  <c r="Q435" i="1"/>
  <c r="R435" i="1" s="1"/>
  <c r="Q419" i="1"/>
  <c r="R419" i="1" s="1"/>
  <c r="Q403" i="1"/>
  <c r="R403" i="1" s="1"/>
  <c r="Q330" i="1"/>
  <c r="R330" i="1" s="1"/>
  <c r="Q314" i="1"/>
  <c r="R314" i="1" s="1"/>
  <c r="Q298" i="1"/>
  <c r="R298" i="1" s="1"/>
  <c r="Q282" i="1"/>
  <c r="R282" i="1" s="1"/>
  <c r="Q266" i="1"/>
  <c r="R266" i="1" s="1"/>
  <c r="Q242" i="1"/>
  <c r="R242" i="1" s="1"/>
  <c r="Q236" i="1"/>
  <c r="R236" i="1" s="1"/>
  <c r="Q207" i="1"/>
  <c r="R207" i="1" s="1"/>
  <c r="Q184" i="1"/>
  <c r="R184" i="1" s="1"/>
  <c r="Q159" i="1"/>
  <c r="R159" i="1" s="1"/>
  <c r="Q125" i="1"/>
  <c r="R125" i="1" s="1"/>
  <c r="Q84" i="1"/>
  <c r="R84" i="1" s="1"/>
  <c r="BG24" i="1" s="1"/>
  <c r="Q431" i="1"/>
  <c r="R431" i="1" s="1"/>
  <c r="Q415" i="1"/>
  <c r="R415" i="1" s="1"/>
  <c r="Q399" i="1"/>
  <c r="R399" i="1" s="1"/>
  <c r="Q386" i="1"/>
  <c r="R386" i="1" s="1"/>
  <c r="Q382" i="1"/>
  <c r="R382" i="1" s="1"/>
  <c r="Q378" i="1"/>
  <c r="R378" i="1" s="1"/>
  <c r="Q374" i="1"/>
  <c r="R374" i="1" s="1"/>
  <c r="Q370" i="1"/>
  <c r="R370" i="1" s="1"/>
  <c r="Q366" i="1"/>
  <c r="R366" i="1" s="1"/>
  <c r="Q362" i="1"/>
  <c r="R362" i="1" s="1"/>
  <c r="Q342" i="1"/>
  <c r="R342" i="1" s="1"/>
  <c r="Q326" i="1"/>
  <c r="R326" i="1" s="1"/>
  <c r="Q310" i="1"/>
  <c r="R310" i="1" s="1"/>
  <c r="Q294" i="1"/>
  <c r="R294" i="1" s="1"/>
  <c r="Q278" i="1"/>
  <c r="R278" i="1" s="1"/>
  <c r="Q262" i="1"/>
  <c r="R262" i="1" s="1"/>
  <c r="Q244" i="1"/>
  <c r="R244" i="1" s="1"/>
  <c r="Q232" i="1"/>
  <c r="R232" i="1" s="1"/>
  <c r="Q181" i="1"/>
  <c r="R181" i="1" s="1"/>
  <c r="Q395" i="1"/>
  <c r="R395" i="1" s="1"/>
  <c r="Q306" i="1"/>
  <c r="R306" i="1" s="1"/>
  <c r="Q290" i="1"/>
  <c r="R290" i="1" s="1"/>
  <c r="Q274" i="1"/>
  <c r="R274" i="1" s="1"/>
  <c r="Q258" i="1"/>
  <c r="R258" i="1" s="1"/>
  <c r="Q223" i="1"/>
  <c r="R223" i="1" s="1"/>
  <c r="Q216" i="1"/>
  <c r="R216" i="1" s="1"/>
  <c r="Q191" i="1"/>
  <c r="R191" i="1" s="1"/>
  <c r="Q157" i="1"/>
  <c r="R157" i="1" s="1"/>
  <c r="Q127" i="1"/>
  <c r="R127" i="1" s="1"/>
  <c r="Q82" i="1"/>
  <c r="R82" i="1" s="1"/>
  <c r="Q52" i="1"/>
  <c r="R52" i="1" s="1"/>
  <c r="Q252" i="1"/>
  <c r="R252" i="1" s="1"/>
  <c r="Q250" i="1"/>
  <c r="R250" i="1" s="1"/>
  <c r="Q238" i="1"/>
  <c r="R238" i="1" s="1"/>
  <c r="Q160" i="1"/>
  <c r="R160" i="1" s="1"/>
  <c r="Q144" i="1"/>
  <c r="R144" i="1" s="1"/>
  <c r="Q130" i="1"/>
  <c r="R130" i="1" s="1"/>
  <c r="Q128" i="1"/>
  <c r="R128" i="1" s="1"/>
  <c r="Q114" i="1"/>
  <c r="R114" i="1" s="1"/>
  <c r="Q112" i="1"/>
  <c r="R112" i="1" s="1"/>
  <c r="BG28" i="1" s="1"/>
  <c r="Q85" i="1"/>
  <c r="R85" i="1" s="1"/>
  <c r="Q69" i="1"/>
  <c r="R69" i="1" s="1"/>
  <c r="Q53" i="1"/>
  <c r="R53" i="1" s="1"/>
  <c r="Q29" i="1"/>
  <c r="R29" i="1" s="1"/>
  <c r="Q27" i="1"/>
  <c r="R27" i="1" s="1"/>
  <c r="L547" i="1"/>
  <c r="Q547" i="1" s="1"/>
  <c r="Q33" i="1"/>
  <c r="R33" i="1" s="1"/>
  <c r="Q31" i="1"/>
  <c r="R31" i="1" s="1"/>
  <c r="Q17" i="1"/>
  <c r="Q15" i="1"/>
  <c r="R15" i="1" s="1"/>
  <c r="Q168" i="1"/>
  <c r="R168" i="1" s="1"/>
  <c r="Q154" i="1"/>
  <c r="R154" i="1" s="1"/>
  <c r="Q152" i="1"/>
  <c r="R152" i="1" s="1"/>
  <c r="Q138" i="1"/>
  <c r="R138" i="1" s="1"/>
  <c r="Q136" i="1"/>
  <c r="R136" i="1" s="1"/>
  <c r="Q122" i="1"/>
  <c r="R122" i="1" s="1"/>
  <c r="Q120" i="1"/>
  <c r="R120" i="1" s="1"/>
  <c r="Q106" i="1"/>
  <c r="R106" i="1" s="1"/>
  <c r="Q61" i="1"/>
  <c r="R61" i="1" s="1"/>
  <c r="Q35" i="1"/>
  <c r="R35" i="1" s="1"/>
  <c r="M547" i="1"/>
  <c r="Q523" i="1"/>
  <c r="R523" i="1" s="1"/>
  <c r="Q519" i="1"/>
  <c r="R519" i="1" s="1"/>
  <c r="Q515" i="1"/>
  <c r="R515" i="1" s="1"/>
  <c r="Q511" i="1"/>
  <c r="R511" i="1" s="1"/>
  <c r="Q507" i="1"/>
  <c r="R507" i="1" s="1"/>
  <c r="Q503" i="1"/>
  <c r="R503" i="1" s="1"/>
  <c r="Q499" i="1"/>
  <c r="R499" i="1" s="1"/>
  <c r="Q495" i="1"/>
  <c r="R495" i="1" s="1"/>
  <c r="Q491" i="1"/>
  <c r="R491" i="1" s="1"/>
  <c r="Q487" i="1"/>
  <c r="R487" i="1" s="1"/>
  <c r="Q483" i="1"/>
  <c r="R483" i="1" s="1"/>
  <c r="Q479" i="1"/>
  <c r="R479" i="1" s="1"/>
  <c r="Q475" i="1"/>
  <c r="R475" i="1" s="1"/>
  <c r="Q471" i="1"/>
  <c r="R471" i="1" s="1"/>
  <c r="Q467" i="1"/>
  <c r="R467" i="1" s="1"/>
  <c r="Q463" i="1"/>
  <c r="R463" i="1" s="1"/>
  <c r="Q459" i="1"/>
  <c r="R459" i="1" s="1"/>
  <c r="Q455" i="1"/>
  <c r="R455" i="1" s="1"/>
  <c r="Q451" i="1"/>
  <c r="R451" i="1" s="1"/>
  <c r="Q447" i="1"/>
  <c r="R447" i="1" s="1"/>
  <c r="Q443" i="1"/>
  <c r="R443" i="1" s="1"/>
  <c r="Q437" i="1"/>
  <c r="R437" i="1" s="1"/>
  <c r="Q429" i="1"/>
  <c r="R429" i="1" s="1"/>
  <c r="Q421" i="1"/>
  <c r="R421" i="1" s="1"/>
  <c r="Q413" i="1"/>
  <c r="R413" i="1" s="1"/>
  <c r="Q405" i="1"/>
  <c r="R405" i="1" s="1"/>
  <c r="Q397" i="1"/>
  <c r="R397" i="1" s="1"/>
  <c r="Q389" i="1"/>
  <c r="R389" i="1" s="1"/>
  <c r="Q525" i="1"/>
  <c r="R525" i="1" s="1"/>
  <c r="Q521" i="1"/>
  <c r="R521" i="1" s="1"/>
  <c r="Q517" i="1"/>
  <c r="R517" i="1" s="1"/>
  <c r="Q513" i="1"/>
  <c r="R513" i="1" s="1"/>
  <c r="Q509" i="1"/>
  <c r="R509" i="1" s="1"/>
  <c r="Q505" i="1"/>
  <c r="R505" i="1" s="1"/>
  <c r="Q501" i="1"/>
  <c r="R501" i="1" s="1"/>
  <c r="Q497" i="1"/>
  <c r="R497" i="1" s="1"/>
  <c r="Q493" i="1"/>
  <c r="R493" i="1" s="1"/>
  <c r="Q489" i="1"/>
  <c r="R489" i="1" s="1"/>
  <c r="Q485" i="1"/>
  <c r="R485" i="1" s="1"/>
  <c r="Q481" i="1"/>
  <c r="R481" i="1" s="1"/>
  <c r="Q477" i="1"/>
  <c r="R477" i="1" s="1"/>
  <c r="Q473" i="1"/>
  <c r="R473" i="1" s="1"/>
  <c r="Q469" i="1"/>
  <c r="R469" i="1" s="1"/>
  <c r="Q465" i="1"/>
  <c r="R465" i="1" s="1"/>
  <c r="Q461" i="1"/>
  <c r="R461" i="1" s="1"/>
  <c r="Q457" i="1"/>
  <c r="R457" i="1" s="1"/>
  <c r="Q453" i="1"/>
  <c r="R453" i="1" s="1"/>
  <c r="Q449" i="1"/>
  <c r="R449" i="1" s="1"/>
  <c r="Q445" i="1"/>
  <c r="R445" i="1" s="1"/>
  <c r="Q441" i="1"/>
  <c r="R441" i="1" s="1"/>
  <c r="Q433" i="1"/>
  <c r="R433" i="1" s="1"/>
  <c r="Q425" i="1"/>
  <c r="R425" i="1" s="1"/>
  <c r="Q417" i="1"/>
  <c r="R417" i="1" s="1"/>
  <c r="Q409" i="1"/>
  <c r="R409" i="1" s="1"/>
  <c r="Q401" i="1"/>
  <c r="R401" i="1" s="1"/>
  <c r="Q393" i="1"/>
  <c r="R393" i="1" s="1"/>
  <c r="Q356" i="1"/>
  <c r="R356" i="1" s="1"/>
  <c r="Q352" i="1"/>
  <c r="R352" i="1" s="1"/>
  <c r="Q348" i="1"/>
  <c r="R348" i="1" s="1"/>
  <c r="Q344" i="1"/>
  <c r="R344" i="1" s="1"/>
  <c r="Q336" i="1"/>
  <c r="R336" i="1" s="1"/>
  <c r="Q328" i="1"/>
  <c r="R328" i="1" s="1"/>
  <c r="Q320" i="1"/>
  <c r="R320" i="1" s="1"/>
  <c r="Q312" i="1"/>
  <c r="R312" i="1" s="1"/>
  <c r="Q304" i="1"/>
  <c r="R304" i="1" s="1"/>
  <c r="Q296" i="1"/>
  <c r="R296" i="1" s="1"/>
  <c r="Q288" i="1"/>
  <c r="R288" i="1" s="1"/>
  <c r="Q280" i="1"/>
  <c r="R280" i="1" s="1"/>
  <c r="Q272" i="1"/>
  <c r="R272" i="1" s="1"/>
  <c r="Q264" i="1"/>
  <c r="R264" i="1" s="1"/>
  <c r="Q256" i="1"/>
  <c r="R256" i="1" s="1"/>
  <c r="Q248" i="1"/>
  <c r="R248" i="1" s="1"/>
  <c r="Q240" i="1"/>
  <c r="R240" i="1" s="1"/>
  <c r="Q228" i="1"/>
  <c r="R228" i="1" s="1"/>
  <c r="Q358" i="1"/>
  <c r="R358" i="1" s="1"/>
  <c r="Q354" i="1"/>
  <c r="R354" i="1" s="1"/>
  <c r="Q350" i="1"/>
  <c r="R350" i="1" s="1"/>
  <c r="Q346" i="1"/>
  <c r="R346" i="1" s="1"/>
  <c r="Q340" i="1"/>
  <c r="R340" i="1" s="1"/>
  <c r="Q332" i="1"/>
  <c r="R332" i="1" s="1"/>
  <c r="Q324" i="1"/>
  <c r="R324" i="1" s="1"/>
  <c r="Q316" i="1"/>
  <c r="R316" i="1" s="1"/>
  <c r="Q308" i="1"/>
  <c r="R308" i="1" s="1"/>
  <c r="Q300" i="1"/>
  <c r="R300" i="1" s="1"/>
  <c r="Q292" i="1"/>
  <c r="R292" i="1" s="1"/>
  <c r="Q284" i="1"/>
  <c r="R284" i="1" s="1"/>
  <c r="Q276" i="1"/>
  <c r="R276" i="1" s="1"/>
  <c r="Q268" i="1"/>
  <c r="R268" i="1" s="1"/>
  <c r="Q260" i="1"/>
  <c r="R260" i="1" s="1"/>
  <c r="Q170" i="1"/>
  <c r="R170" i="1" s="1"/>
  <c r="Q166" i="1"/>
  <c r="R166" i="1" s="1"/>
  <c r="Q162" i="1"/>
  <c r="R162" i="1" s="1"/>
  <c r="Q158" i="1"/>
  <c r="R158" i="1" s="1"/>
  <c r="Q150" i="1"/>
  <c r="R150" i="1" s="1"/>
  <c r="Q142" i="1"/>
  <c r="R142" i="1" s="1"/>
  <c r="Q126" i="1"/>
  <c r="R126" i="1" s="1"/>
  <c r="Q118" i="1"/>
  <c r="R118" i="1" s="1"/>
  <c r="BG29" i="1" s="1"/>
  <c r="Q110" i="1"/>
  <c r="R110" i="1" s="1"/>
  <c r="Q102" i="1"/>
  <c r="R102" i="1" s="1"/>
  <c r="Q87" i="1"/>
  <c r="R87" i="1" s="1"/>
  <c r="Q79" i="1"/>
  <c r="R79" i="1" s="1"/>
  <c r="Q71" i="1"/>
  <c r="R71" i="1" s="1"/>
  <c r="BG22" i="1" s="1"/>
  <c r="Q63" i="1"/>
  <c r="R63" i="1" s="1"/>
  <c r="Q55" i="1"/>
  <c r="R55" i="1" s="1"/>
  <c r="Q47" i="1"/>
  <c r="R47" i="1" s="1"/>
  <c r="Q83" i="1"/>
  <c r="R83" i="1" s="1"/>
  <c r="Q75" i="1"/>
  <c r="R75" i="1" s="1"/>
  <c r="Q67" i="1"/>
  <c r="R67" i="1" s="1"/>
  <c r="Q59" i="1"/>
  <c r="R59" i="1" s="1"/>
  <c r="H14" i="1"/>
  <c r="H15" i="1"/>
  <c r="BE14" i="1" s="1"/>
  <c r="BF14" i="1" s="1"/>
  <c r="H16" i="1"/>
  <c r="H17" i="1"/>
  <c r="H18" i="1"/>
  <c r="H19" i="1"/>
  <c r="H20" i="1"/>
  <c r="BE16" i="1" s="1"/>
  <c r="BF16" i="1" s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13" i="1"/>
  <c r="FP1741" i="1"/>
  <c r="FP1740" i="1"/>
  <c r="FP1739" i="1"/>
  <c r="FP1738" i="1"/>
  <c r="FP1737" i="1"/>
  <c r="FP1736" i="1"/>
  <c r="FP1735" i="1"/>
  <c r="FP1734" i="1"/>
  <c r="FP1733" i="1"/>
  <c r="FP1732" i="1"/>
  <c r="FP1731" i="1"/>
  <c r="FP1730" i="1"/>
  <c r="FP1729" i="1"/>
  <c r="FP1728" i="1"/>
  <c r="FP1727" i="1"/>
  <c r="FP1726" i="1"/>
  <c r="FP1725" i="1"/>
  <c r="FP1724" i="1"/>
  <c r="FP1723" i="1"/>
  <c r="FP1722" i="1"/>
  <c r="FP1721" i="1"/>
  <c r="FP1720" i="1"/>
  <c r="FP1719" i="1"/>
  <c r="FP1718" i="1"/>
  <c r="FP1717" i="1"/>
  <c r="FP1716" i="1"/>
  <c r="FP1715" i="1"/>
  <c r="FP1714" i="1"/>
  <c r="FP1713" i="1"/>
  <c r="FP1712" i="1"/>
  <c r="FP1711" i="1"/>
  <c r="FP1710" i="1"/>
  <c r="FP1709" i="1"/>
  <c r="FP1708" i="1"/>
  <c r="FP1707" i="1"/>
  <c r="FP1706" i="1"/>
  <c r="FP1705" i="1"/>
  <c r="FP1704" i="1"/>
  <c r="FP1703" i="1"/>
  <c r="FP1702" i="1"/>
  <c r="FP1701" i="1"/>
  <c r="FP1700" i="1"/>
  <c r="FP1699" i="1"/>
  <c r="FP1698" i="1"/>
  <c r="FP1697" i="1"/>
  <c r="FP1696" i="1"/>
  <c r="FP1695" i="1"/>
  <c r="FP1694" i="1"/>
  <c r="FP1693" i="1"/>
  <c r="FP1692" i="1"/>
  <c r="FP1691" i="1"/>
  <c r="FP1690" i="1"/>
  <c r="FP1689" i="1"/>
  <c r="FP1688" i="1"/>
  <c r="FP1687" i="1"/>
  <c r="FP1686" i="1"/>
  <c r="FP1685" i="1"/>
  <c r="FP1684" i="1"/>
  <c r="FP1683" i="1"/>
  <c r="FP1682" i="1"/>
  <c r="FP1681" i="1"/>
  <c r="FP1680" i="1"/>
  <c r="FP1679" i="1"/>
  <c r="FP1678" i="1"/>
  <c r="FP1677" i="1"/>
  <c r="FP1676" i="1"/>
  <c r="FP1675" i="1"/>
  <c r="FP1674" i="1"/>
  <c r="FP1673" i="1"/>
  <c r="FP1672" i="1"/>
  <c r="FP1671" i="1"/>
  <c r="FP1670" i="1"/>
  <c r="FP1669" i="1"/>
  <c r="FP1668" i="1"/>
  <c r="FP1667" i="1"/>
  <c r="FP1666" i="1"/>
  <c r="FP1665" i="1"/>
  <c r="FP1664" i="1"/>
  <c r="FP1663" i="1"/>
  <c r="FP1662" i="1"/>
  <c r="FP1661" i="1"/>
  <c r="FP1660" i="1"/>
  <c r="FP1659" i="1"/>
  <c r="FP1658" i="1"/>
  <c r="FP1657" i="1"/>
  <c r="FP1656" i="1"/>
  <c r="FP1655" i="1"/>
  <c r="FP1654" i="1"/>
  <c r="FP1653" i="1"/>
  <c r="FP1652" i="1"/>
  <c r="FP1651" i="1"/>
  <c r="FP1650" i="1"/>
  <c r="FP1649" i="1"/>
  <c r="FP1648" i="1"/>
  <c r="FP1647" i="1"/>
  <c r="FP1646" i="1"/>
  <c r="FP1645" i="1"/>
  <c r="FP1644" i="1"/>
  <c r="FP1643" i="1"/>
  <c r="FP1642" i="1"/>
  <c r="FP1641" i="1"/>
  <c r="FP1640" i="1"/>
  <c r="FP1639" i="1"/>
  <c r="FP1638" i="1"/>
  <c r="FP1637" i="1"/>
  <c r="FP1636" i="1"/>
  <c r="FP1635" i="1"/>
  <c r="FP1634" i="1"/>
  <c r="FP1633" i="1"/>
  <c r="FP1632" i="1"/>
  <c r="FP1631" i="1"/>
  <c r="FP1630" i="1"/>
  <c r="FP1629" i="1"/>
  <c r="FP1628" i="1"/>
  <c r="FP1627" i="1"/>
  <c r="FP1626" i="1"/>
  <c r="FP1625" i="1"/>
  <c r="FP1624" i="1"/>
  <c r="FP1623" i="1"/>
  <c r="FP1622" i="1"/>
  <c r="FP1621" i="1"/>
  <c r="FP1620" i="1"/>
  <c r="FP1619" i="1"/>
  <c r="FP1618" i="1"/>
  <c r="FP1617" i="1"/>
  <c r="FP1616" i="1"/>
  <c r="FP1615" i="1"/>
  <c r="FP1614" i="1"/>
  <c r="FP1613" i="1"/>
  <c r="FP1612" i="1"/>
  <c r="FP1611" i="1"/>
  <c r="FP1610" i="1"/>
  <c r="FP1609" i="1"/>
  <c r="FP1608" i="1"/>
  <c r="FP1607" i="1"/>
  <c r="FP1606" i="1"/>
  <c r="FP1605" i="1"/>
  <c r="FP1604" i="1"/>
  <c r="FP1603" i="1"/>
  <c r="FP1602" i="1"/>
  <c r="FP1601" i="1"/>
  <c r="FP1600" i="1"/>
  <c r="FP1599" i="1"/>
  <c r="FP1598" i="1"/>
  <c r="FP1597" i="1"/>
  <c r="FP1596" i="1"/>
  <c r="FP1595" i="1"/>
  <c r="FP1594" i="1"/>
  <c r="FP1593" i="1"/>
  <c r="FP1592" i="1"/>
  <c r="FP1591" i="1"/>
  <c r="FP1590" i="1"/>
  <c r="FP1589" i="1"/>
  <c r="FP1588" i="1"/>
  <c r="FP1587" i="1"/>
  <c r="FP1586" i="1"/>
  <c r="FP1585" i="1"/>
  <c r="FP1584" i="1"/>
  <c r="FP1583" i="1"/>
  <c r="FP1582" i="1"/>
  <c r="FP1581" i="1"/>
  <c r="FP1580" i="1"/>
  <c r="FP1579" i="1"/>
  <c r="FP1578" i="1"/>
  <c r="FP1577" i="1"/>
  <c r="FP1576" i="1"/>
  <c r="FP1575" i="1"/>
  <c r="FP1574" i="1"/>
  <c r="FP1573" i="1"/>
  <c r="FP1572" i="1"/>
  <c r="FP1571" i="1"/>
  <c r="FP1570" i="1"/>
  <c r="FP1569" i="1"/>
  <c r="FP1568" i="1"/>
  <c r="FP1567" i="1"/>
  <c r="FP1566" i="1"/>
  <c r="FP1565" i="1"/>
  <c r="FP1564" i="1"/>
  <c r="FP1563" i="1"/>
  <c r="FP1562" i="1"/>
  <c r="FP1561" i="1"/>
  <c r="FP1560" i="1"/>
  <c r="FP1559" i="1"/>
  <c r="FP1558" i="1"/>
  <c r="FP1557" i="1"/>
  <c r="FP1556" i="1"/>
  <c r="FP1555" i="1"/>
  <c r="FP1554" i="1"/>
  <c r="FP1553" i="1"/>
  <c r="FP1552" i="1"/>
  <c r="FP1551" i="1"/>
  <c r="FP1550" i="1"/>
  <c r="FP1549" i="1"/>
  <c r="FP1548" i="1"/>
  <c r="FP1547" i="1"/>
  <c r="FP1546" i="1"/>
  <c r="FP1545" i="1"/>
  <c r="FP1544" i="1"/>
  <c r="FP1543" i="1"/>
  <c r="FP1542" i="1"/>
  <c r="FP1541" i="1"/>
  <c r="FP1540" i="1"/>
  <c r="FP1539" i="1"/>
  <c r="FP1538" i="1"/>
  <c r="FP1537" i="1"/>
  <c r="FP1536" i="1"/>
  <c r="FP1535" i="1"/>
  <c r="FP1534" i="1"/>
  <c r="FP1533" i="1"/>
  <c r="FP1532" i="1"/>
  <c r="FP1531" i="1"/>
  <c r="FP1530" i="1"/>
  <c r="FP1529" i="1"/>
  <c r="FP1528" i="1"/>
  <c r="FP1527" i="1"/>
  <c r="FP1526" i="1"/>
  <c r="FP1525" i="1"/>
  <c r="FP1524" i="1"/>
  <c r="FP1523" i="1"/>
  <c r="FP1522" i="1"/>
  <c r="FP1521" i="1"/>
  <c r="FP1520" i="1"/>
  <c r="FP1519" i="1"/>
  <c r="FP1518" i="1"/>
  <c r="FP1517" i="1"/>
  <c r="FP1516" i="1"/>
  <c r="FP1515" i="1"/>
  <c r="FP1514" i="1"/>
  <c r="FP1513" i="1"/>
  <c r="FP1512" i="1"/>
  <c r="FP1511" i="1"/>
  <c r="FP1510" i="1"/>
  <c r="FP1509" i="1"/>
  <c r="FP1508" i="1"/>
  <c r="FP1507" i="1"/>
  <c r="FP1506" i="1"/>
  <c r="FP1505" i="1"/>
  <c r="FP1504" i="1"/>
  <c r="FP1503" i="1"/>
  <c r="FP1502" i="1"/>
  <c r="FP1501" i="1"/>
  <c r="FP1500" i="1"/>
  <c r="FP1499" i="1"/>
  <c r="FP1498" i="1"/>
  <c r="FP1497" i="1"/>
  <c r="FP1496" i="1"/>
  <c r="FP1495" i="1"/>
  <c r="FP1494" i="1"/>
  <c r="FP1493" i="1"/>
  <c r="FP1492" i="1"/>
  <c r="FP1491" i="1"/>
  <c r="FP1490" i="1"/>
  <c r="FP1489" i="1"/>
  <c r="FP1488" i="1"/>
  <c r="FP1487" i="1"/>
  <c r="FP1486" i="1"/>
  <c r="FP1485" i="1"/>
  <c r="FP1484" i="1"/>
  <c r="FP1483" i="1"/>
  <c r="FP1482" i="1"/>
  <c r="FP1481" i="1"/>
  <c r="FP1480" i="1"/>
  <c r="FP1479" i="1"/>
  <c r="FP1478" i="1"/>
  <c r="FP1477" i="1"/>
  <c r="FP1476" i="1"/>
  <c r="FP1475" i="1"/>
  <c r="FP1474" i="1"/>
  <c r="FP1473" i="1"/>
  <c r="FP1472" i="1"/>
  <c r="FP1471" i="1"/>
  <c r="FP1470" i="1"/>
  <c r="FP1469" i="1"/>
  <c r="FP1468" i="1"/>
  <c r="FP1467" i="1"/>
  <c r="FP1466" i="1"/>
  <c r="FP1465" i="1"/>
  <c r="FP1464" i="1"/>
  <c r="FP1463" i="1"/>
  <c r="FP1462" i="1"/>
  <c r="FP1461" i="1"/>
  <c r="FP1460" i="1"/>
  <c r="FP1459" i="1"/>
  <c r="FP1458" i="1"/>
  <c r="FP1457" i="1"/>
  <c r="FP1456" i="1"/>
  <c r="FP1455" i="1"/>
  <c r="FP1454" i="1"/>
  <c r="FP1453" i="1"/>
  <c r="FP1452" i="1"/>
  <c r="FP1451" i="1"/>
  <c r="FP1450" i="1"/>
  <c r="FP1449" i="1"/>
  <c r="FP1448" i="1"/>
  <c r="FP1447" i="1"/>
  <c r="FP1446" i="1"/>
  <c r="FP1445" i="1"/>
  <c r="FP1444" i="1"/>
  <c r="FP1443" i="1"/>
  <c r="FP1442" i="1"/>
  <c r="FP1441" i="1"/>
  <c r="FP1440" i="1"/>
  <c r="FP1439" i="1"/>
  <c r="FP1438" i="1"/>
  <c r="FP1437" i="1"/>
  <c r="FP1436" i="1"/>
  <c r="FP1435" i="1"/>
  <c r="FP1434" i="1"/>
  <c r="FP1433" i="1"/>
  <c r="FP1432" i="1"/>
  <c r="FP1431" i="1"/>
  <c r="FP1430" i="1"/>
  <c r="FP1429" i="1"/>
  <c r="FP1428" i="1"/>
  <c r="FP1427" i="1"/>
  <c r="FP1426" i="1"/>
  <c r="FP1425" i="1"/>
  <c r="FP1424" i="1"/>
  <c r="FP1423" i="1"/>
  <c r="FP1422" i="1"/>
  <c r="FP1421" i="1"/>
  <c r="FP1420" i="1"/>
  <c r="FP1419" i="1"/>
  <c r="FP1418" i="1"/>
  <c r="FP1417" i="1"/>
  <c r="FP1416" i="1"/>
  <c r="FP1415" i="1"/>
  <c r="FP1414" i="1"/>
  <c r="FP1413" i="1"/>
  <c r="FP1412" i="1"/>
  <c r="FP1411" i="1"/>
  <c r="FP1410" i="1"/>
  <c r="FP1409" i="1"/>
  <c r="FP1408" i="1"/>
  <c r="FP1407" i="1"/>
  <c r="FP1406" i="1"/>
  <c r="FP1405" i="1"/>
  <c r="FP1404" i="1"/>
  <c r="FP1403" i="1"/>
  <c r="FP1402" i="1"/>
  <c r="FP1401" i="1"/>
  <c r="FP1400" i="1"/>
  <c r="FP1399" i="1"/>
  <c r="FP1398" i="1"/>
  <c r="FP1397" i="1"/>
  <c r="FP1396" i="1"/>
  <c r="FP1395" i="1"/>
  <c r="FP1394" i="1"/>
  <c r="FP1393" i="1"/>
  <c r="FP1392" i="1"/>
  <c r="FP1391" i="1"/>
  <c r="FP1390" i="1"/>
  <c r="FP1389" i="1"/>
  <c r="FP1388" i="1"/>
  <c r="FP1387" i="1"/>
  <c r="FP1386" i="1"/>
  <c r="FP1385" i="1"/>
  <c r="FP1384" i="1"/>
  <c r="FP1383" i="1"/>
  <c r="FP1382" i="1"/>
  <c r="FP1381" i="1"/>
  <c r="FP1380" i="1"/>
  <c r="FP1379" i="1"/>
  <c r="FP1378" i="1"/>
  <c r="FP1377" i="1"/>
  <c r="FP1376" i="1"/>
  <c r="FP1375" i="1"/>
  <c r="FP1374" i="1"/>
  <c r="FP1373" i="1"/>
  <c r="FP1372" i="1"/>
  <c r="FP1371" i="1"/>
  <c r="FP1370" i="1"/>
  <c r="FP1369" i="1"/>
  <c r="FP1368" i="1"/>
  <c r="FP1367" i="1"/>
  <c r="FP1366" i="1"/>
  <c r="FP1365" i="1"/>
  <c r="FP1364" i="1"/>
  <c r="FP1363" i="1"/>
  <c r="FP1362" i="1"/>
  <c r="FP1361" i="1"/>
  <c r="FP1360" i="1"/>
  <c r="FP1359" i="1"/>
  <c r="FP1358" i="1"/>
  <c r="FP1357" i="1"/>
  <c r="FP1356" i="1"/>
  <c r="FP1355" i="1"/>
  <c r="FP1354" i="1"/>
  <c r="FP1353" i="1"/>
  <c r="FP1352" i="1"/>
  <c r="FP1351" i="1"/>
  <c r="FP1350" i="1"/>
  <c r="FP1349" i="1"/>
  <c r="FP1348" i="1"/>
  <c r="FP1347" i="1"/>
  <c r="FP1346" i="1"/>
  <c r="FP1345" i="1"/>
  <c r="FP1344" i="1"/>
  <c r="FP1343" i="1"/>
  <c r="FP1342" i="1"/>
  <c r="FP1341" i="1"/>
  <c r="FP1340" i="1"/>
  <c r="FP1339" i="1"/>
  <c r="FP1338" i="1"/>
  <c r="FP1337" i="1"/>
  <c r="FP1336" i="1"/>
  <c r="FP1335" i="1"/>
  <c r="FP1334" i="1"/>
  <c r="FP1333" i="1"/>
  <c r="FP1332" i="1"/>
  <c r="FP1331" i="1"/>
  <c r="FP1330" i="1"/>
  <c r="FP1329" i="1"/>
  <c r="FP1328" i="1"/>
  <c r="FP1327" i="1"/>
  <c r="FP1326" i="1"/>
  <c r="FP1325" i="1"/>
  <c r="FP1324" i="1"/>
  <c r="FP1323" i="1"/>
  <c r="FP1322" i="1"/>
  <c r="FP1321" i="1"/>
  <c r="FP1320" i="1"/>
  <c r="FP1319" i="1"/>
  <c r="FP1318" i="1"/>
  <c r="FP1317" i="1"/>
  <c r="FP1316" i="1"/>
  <c r="FP1315" i="1"/>
  <c r="FP1314" i="1"/>
  <c r="FP1313" i="1"/>
  <c r="FP1312" i="1"/>
  <c r="FP1311" i="1"/>
  <c r="FP1310" i="1"/>
  <c r="FP1309" i="1"/>
  <c r="FP1308" i="1"/>
  <c r="FP1307" i="1"/>
  <c r="FP1306" i="1"/>
  <c r="FP1305" i="1"/>
  <c r="FP1304" i="1"/>
  <c r="FP1303" i="1"/>
  <c r="FP1302" i="1"/>
  <c r="FP1301" i="1"/>
  <c r="FP1300" i="1"/>
  <c r="FP1299" i="1"/>
  <c r="FP1298" i="1"/>
  <c r="FP1297" i="1"/>
  <c r="FP1296" i="1"/>
  <c r="FP1295" i="1"/>
  <c r="FP1294" i="1"/>
  <c r="FP1293" i="1"/>
  <c r="FP1292" i="1"/>
  <c r="FP1291" i="1"/>
  <c r="FP1290" i="1"/>
  <c r="FP1289" i="1"/>
  <c r="FP1288" i="1"/>
  <c r="FP1287" i="1"/>
  <c r="FP1286" i="1"/>
  <c r="FP1285" i="1"/>
  <c r="FP1284" i="1"/>
  <c r="FP1283" i="1"/>
  <c r="FP1282" i="1"/>
  <c r="FP1281" i="1"/>
  <c r="FP1280" i="1"/>
  <c r="FP1279" i="1"/>
  <c r="FP1278" i="1"/>
  <c r="FP1277" i="1"/>
  <c r="FP1276" i="1"/>
  <c r="FP1275" i="1"/>
  <c r="FP1274" i="1"/>
  <c r="FP1273" i="1"/>
  <c r="FP1272" i="1"/>
  <c r="FP1271" i="1"/>
  <c r="FP1270" i="1"/>
  <c r="FP1269" i="1"/>
  <c r="FP1268" i="1"/>
  <c r="FP1267" i="1"/>
  <c r="FP1266" i="1"/>
  <c r="FP1265" i="1"/>
  <c r="FP1264" i="1"/>
  <c r="FP1263" i="1"/>
  <c r="FP1262" i="1"/>
  <c r="FP1261" i="1"/>
  <c r="FP1260" i="1"/>
  <c r="FP1259" i="1"/>
  <c r="FP1258" i="1"/>
  <c r="FP1257" i="1"/>
  <c r="FP1256" i="1"/>
  <c r="FP1255" i="1"/>
  <c r="FP1254" i="1"/>
  <c r="FP1253" i="1"/>
  <c r="FP1252" i="1"/>
  <c r="FP1251" i="1"/>
  <c r="FP1250" i="1"/>
  <c r="FP1249" i="1"/>
  <c r="FP1248" i="1"/>
  <c r="FP1247" i="1"/>
  <c r="FP1246" i="1"/>
  <c r="FP1245" i="1"/>
  <c r="FP1244" i="1"/>
  <c r="FP1243" i="1"/>
  <c r="FP1242" i="1"/>
  <c r="FP1241" i="1"/>
  <c r="FP1240" i="1"/>
  <c r="FP1239" i="1"/>
  <c r="FP1238" i="1"/>
  <c r="FP1237" i="1"/>
  <c r="FP1236" i="1"/>
  <c r="FP1235" i="1"/>
  <c r="FP1234" i="1"/>
  <c r="FP1233" i="1"/>
  <c r="FP1232" i="1"/>
  <c r="FP1231" i="1"/>
  <c r="FP1230" i="1"/>
  <c r="FP1229" i="1"/>
  <c r="FP1228" i="1"/>
  <c r="FP1227" i="1"/>
  <c r="FP1226" i="1"/>
  <c r="FP1225" i="1"/>
  <c r="FP1224" i="1"/>
  <c r="FP1223" i="1"/>
  <c r="FP1222" i="1"/>
  <c r="FP1221" i="1"/>
  <c r="FP1220" i="1"/>
  <c r="FP1219" i="1"/>
  <c r="FP1218" i="1"/>
  <c r="FP1217" i="1"/>
  <c r="FP1216" i="1"/>
  <c r="FP1215" i="1"/>
  <c r="FP1214" i="1"/>
  <c r="FP1213" i="1"/>
  <c r="FP1212" i="1"/>
  <c r="FP1211" i="1"/>
  <c r="FP1210" i="1"/>
  <c r="FP1209" i="1"/>
  <c r="FP1208" i="1"/>
  <c r="FP1207" i="1"/>
  <c r="FP1206" i="1"/>
  <c r="FP1205" i="1"/>
  <c r="FP1204" i="1"/>
  <c r="FP1203" i="1"/>
  <c r="FP1202" i="1"/>
  <c r="FP1201" i="1"/>
  <c r="FP1200" i="1"/>
  <c r="FP1199" i="1"/>
  <c r="FP1198" i="1"/>
  <c r="FP1197" i="1"/>
  <c r="FP1196" i="1"/>
  <c r="FP1195" i="1"/>
  <c r="FP1194" i="1"/>
  <c r="FP1193" i="1"/>
  <c r="FP1192" i="1"/>
  <c r="FP1191" i="1"/>
  <c r="FP1190" i="1"/>
  <c r="FP1189" i="1"/>
  <c r="FP1188" i="1"/>
  <c r="FP1187" i="1"/>
  <c r="FP1186" i="1"/>
  <c r="FP1185" i="1"/>
  <c r="FP1184" i="1"/>
  <c r="FP1183" i="1"/>
  <c r="FP1182" i="1"/>
  <c r="FP1181" i="1"/>
  <c r="FP1180" i="1"/>
  <c r="FP1179" i="1"/>
  <c r="FP1178" i="1"/>
  <c r="FP1177" i="1"/>
  <c r="FP1176" i="1"/>
  <c r="FP1175" i="1"/>
  <c r="FP1174" i="1"/>
  <c r="FP1173" i="1"/>
  <c r="FP1172" i="1"/>
  <c r="FP1171" i="1"/>
  <c r="FP1170" i="1"/>
  <c r="FP1169" i="1"/>
  <c r="FP1168" i="1"/>
  <c r="FP1167" i="1"/>
  <c r="FP1166" i="1"/>
  <c r="FP1165" i="1"/>
  <c r="FP1164" i="1"/>
  <c r="FP1163" i="1"/>
  <c r="FP1162" i="1"/>
  <c r="FP1161" i="1"/>
  <c r="FP1160" i="1"/>
  <c r="FP1159" i="1"/>
  <c r="FP1158" i="1"/>
  <c r="FP1157" i="1"/>
  <c r="FP1156" i="1"/>
  <c r="FP1155" i="1"/>
  <c r="FP1154" i="1"/>
  <c r="FP1153" i="1"/>
  <c r="FP1152" i="1"/>
  <c r="FP1151" i="1"/>
  <c r="FP1150" i="1"/>
  <c r="FP1149" i="1"/>
  <c r="FP1148" i="1"/>
  <c r="FP1147" i="1"/>
  <c r="FP1146" i="1"/>
  <c r="FP1145" i="1"/>
  <c r="FP1144" i="1"/>
  <c r="FP1143" i="1"/>
  <c r="FP1142" i="1"/>
  <c r="FP1141" i="1"/>
  <c r="FP1140" i="1"/>
  <c r="FP1139" i="1"/>
  <c r="FP1138" i="1"/>
  <c r="FP1137" i="1"/>
  <c r="FP1136" i="1"/>
  <c r="FP1135" i="1"/>
  <c r="FP1134" i="1"/>
  <c r="FP1133" i="1"/>
  <c r="FP1132" i="1"/>
  <c r="FP1131" i="1"/>
  <c r="FP1130" i="1"/>
  <c r="FP1129" i="1"/>
  <c r="FP1128" i="1"/>
  <c r="FP1127" i="1"/>
  <c r="FP1126" i="1"/>
  <c r="FP1125" i="1"/>
  <c r="FP1124" i="1"/>
  <c r="FP1123" i="1"/>
  <c r="FP1122" i="1"/>
  <c r="FP1121" i="1"/>
  <c r="FP1120" i="1"/>
  <c r="FP1119" i="1"/>
  <c r="FP1118" i="1"/>
  <c r="FP1117" i="1"/>
  <c r="FP1116" i="1"/>
  <c r="FP1115" i="1"/>
  <c r="FP1114" i="1"/>
  <c r="FP1113" i="1"/>
  <c r="FP1112" i="1"/>
  <c r="FP1111" i="1"/>
  <c r="FP1110" i="1"/>
  <c r="FP1109" i="1"/>
  <c r="FP1108" i="1"/>
  <c r="FP1107" i="1"/>
  <c r="FP1106" i="1"/>
  <c r="FP1105" i="1"/>
  <c r="FP1104" i="1"/>
  <c r="FP1103" i="1"/>
  <c r="FP1102" i="1"/>
  <c r="FP1101" i="1"/>
  <c r="FP1100" i="1"/>
  <c r="FP1099" i="1"/>
  <c r="FP1098" i="1"/>
  <c r="FP1097" i="1"/>
  <c r="FP1096" i="1"/>
  <c r="FP1095" i="1"/>
  <c r="FP1094" i="1"/>
  <c r="FP1093" i="1"/>
  <c r="FP1092" i="1"/>
  <c r="FP1091" i="1"/>
  <c r="FP1090" i="1"/>
  <c r="FP1089" i="1"/>
  <c r="FP1088" i="1"/>
  <c r="FP1087" i="1"/>
  <c r="FP1086" i="1"/>
  <c r="FP1085" i="1"/>
  <c r="FP1084" i="1"/>
  <c r="FP1083" i="1"/>
  <c r="FP1082" i="1"/>
  <c r="FP1081" i="1"/>
  <c r="FP1080" i="1"/>
  <c r="FP1079" i="1"/>
  <c r="FP1078" i="1"/>
  <c r="FP1077" i="1"/>
  <c r="FP1076" i="1"/>
  <c r="FP1075" i="1"/>
  <c r="FP1074" i="1"/>
  <c r="FP1073" i="1"/>
  <c r="FP1072" i="1"/>
  <c r="FP1071" i="1"/>
  <c r="FP1070" i="1"/>
  <c r="FP1069" i="1"/>
  <c r="FP1068" i="1"/>
  <c r="FP1067" i="1"/>
  <c r="FP1066" i="1"/>
  <c r="FP1065" i="1"/>
  <c r="FP1064" i="1"/>
  <c r="FP1063" i="1"/>
  <c r="FP1062" i="1"/>
  <c r="FP1061" i="1"/>
  <c r="FP1060" i="1"/>
  <c r="FP1059" i="1"/>
  <c r="FP1058" i="1"/>
  <c r="FP1057" i="1"/>
  <c r="FP1056" i="1"/>
  <c r="FP1055" i="1"/>
  <c r="FP1054" i="1"/>
  <c r="FP1053" i="1"/>
  <c r="FP1052" i="1"/>
  <c r="FP1051" i="1"/>
  <c r="FP1050" i="1"/>
  <c r="FP1049" i="1"/>
  <c r="FP1048" i="1"/>
  <c r="FP1047" i="1"/>
  <c r="FP1046" i="1"/>
  <c r="FP1045" i="1"/>
  <c r="FP1044" i="1"/>
  <c r="FP1043" i="1"/>
  <c r="FP1042" i="1"/>
  <c r="FP1041" i="1"/>
  <c r="FP1040" i="1"/>
  <c r="FP1039" i="1"/>
  <c r="FP1038" i="1"/>
  <c r="FP1037" i="1"/>
  <c r="FP1036" i="1"/>
  <c r="FP1035" i="1"/>
  <c r="FP1034" i="1"/>
  <c r="FP1033" i="1"/>
  <c r="FP1032" i="1"/>
  <c r="FP1031" i="1"/>
  <c r="FP1030" i="1"/>
  <c r="FP1029" i="1"/>
  <c r="FP1028" i="1"/>
  <c r="FP1027" i="1"/>
  <c r="FP1026" i="1"/>
  <c r="FP1025" i="1"/>
  <c r="FP1024" i="1"/>
  <c r="FP1023" i="1"/>
  <c r="FP1022" i="1"/>
  <c r="FP1021" i="1"/>
  <c r="FP1020" i="1"/>
  <c r="FP1019" i="1"/>
  <c r="FP1018" i="1"/>
  <c r="FP1017" i="1"/>
  <c r="FP1016" i="1"/>
  <c r="FP1015" i="1"/>
  <c r="FP1014" i="1"/>
  <c r="FP1013" i="1"/>
  <c r="FP1012" i="1"/>
  <c r="FP1011" i="1"/>
  <c r="FP1010" i="1"/>
  <c r="FP1009" i="1"/>
  <c r="FP1008" i="1"/>
  <c r="FP1007" i="1"/>
  <c r="FP1006" i="1"/>
  <c r="FP1005" i="1"/>
  <c r="FP1004" i="1"/>
  <c r="FP1003" i="1"/>
  <c r="FP1002" i="1"/>
  <c r="FP1001" i="1"/>
  <c r="FP1000" i="1"/>
  <c r="FP999" i="1"/>
  <c r="FP998" i="1"/>
  <c r="FP997" i="1"/>
  <c r="FP996" i="1"/>
  <c r="FP995" i="1"/>
  <c r="FP994" i="1"/>
  <c r="FP993" i="1"/>
  <c r="FP992" i="1"/>
  <c r="FP991" i="1"/>
  <c r="FP990" i="1"/>
  <c r="FP989" i="1"/>
  <c r="FP988" i="1"/>
  <c r="FP987" i="1"/>
  <c r="FP986" i="1"/>
  <c r="FP985" i="1"/>
  <c r="FP984" i="1"/>
  <c r="FP983" i="1"/>
  <c r="FP982" i="1"/>
  <c r="FP981" i="1"/>
  <c r="FP980" i="1"/>
  <c r="FP979" i="1"/>
  <c r="FP978" i="1"/>
  <c r="FP977" i="1"/>
  <c r="FP976" i="1"/>
  <c r="FP975" i="1"/>
  <c r="FP974" i="1"/>
  <c r="FP973" i="1"/>
  <c r="FP972" i="1"/>
  <c r="FP971" i="1"/>
  <c r="FP970" i="1"/>
  <c r="FP969" i="1"/>
  <c r="FP968" i="1"/>
  <c r="FP967" i="1"/>
  <c r="FP966" i="1"/>
  <c r="FP965" i="1"/>
  <c r="FP964" i="1"/>
  <c r="FP963" i="1"/>
  <c r="FP962" i="1"/>
  <c r="FP961" i="1"/>
  <c r="FP960" i="1"/>
  <c r="FP959" i="1"/>
  <c r="FP958" i="1"/>
  <c r="FP957" i="1"/>
  <c r="FP956" i="1"/>
  <c r="FP955" i="1"/>
  <c r="FP954" i="1"/>
  <c r="FP953" i="1"/>
  <c r="FP952" i="1"/>
  <c r="FP951" i="1"/>
  <c r="FP950" i="1"/>
  <c r="FP949" i="1"/>
  <c r="FP948" i="1"/>
  <c r="FP947" i="1"/>
  <c r="FP946" i="1"/>
  <c r="FP945" i="1"/>
  <c r="FP944" i="1"/>
  <c r="FP943" i="1"/>
  <c r="FP942" i="1"/>
  <c r="FP941" i="1"/>
  <c r="FP940" i="1"/>
  <c r="FP939" i="1"/>
  <c r="FP938" i="1"/>
  <c r="FP937" i="1"/>
  <c r="FP936" i="1"/>
  <c r="FP935" i="1"/>
  <c r="FP934" i="1"/>
  <c r="FP933" i="1"/>
  <c r="FP932" i="1"/>
  <c r="FP931" i="1"/>
  <c r="FP930" i="1"/>
  <c r="FP929" i="1"/>
  <c r="FP928" i="1"/>
  <c r="FP927" i="1"/>
  <c r="FP926" i="1"/>
  <c r="FP925" i="1"/>
  <c r="FP924" i="1"/>
  <c r="FP923" i="1"/>
  <c r="FP922" i="1"/>
  <c r="FP921" i="1"/>
  <c r="FP920" i="1"/>
  <c r="FP919" i="1"/>
  <c r="FP918" i="1"/>
  <c r="FP917" i="1"/>
  <c r="FP916" i="1"/>
  <c r="FP915" i="1"/>
  <c r="FP914" i="1"/>
  <c r="FP913" i="1"/>
  <c r="FP912" i="1"/>
  <c r="FP911" i="1"/>
  <c r="FP910" i="1"/>
  <c r="FP909" i="1"/>
  <c r="FP908" i="1"/>
  <c r="FP907" i="1"/>
  <c r="FP906" i="1"/>
  <c r="FP905" i="1"/>
  <c r="FP904" i="1"/>
  <c r="FP903" i="1"/>
  <c r="FP902" i="1"/>
  <c r="FP901" i="1"/>
  <c r="FP900" i="1"/>
  <c r="FP899" i="1"/>
  <c r="FP898" i="1"/>
  <c r="FP897" i="1"/>
  <c r="FP896" i="1"/>
  <c r="FP895" i="1"/>
  <c r="FP894" i="1"/>
  <c r="FP893" i="1"/>
  <c r="FP892" i="1"/>
  <c r="FP891" i="1"/>
  <c r="FP890" i="1"/>
  <c r="FP889" i="1"/>
  <c r="FP888" i="1"/>
  <c r="FP887" i="1"/>
  <c r="FP886" i="1"/>
  <c r="FP885" i="1"/>
  <c r="FP884" i="1"/>
  <c r="FP883" i="1"/>
  <c r="FP882" i="1"/>
  <c r="FP881" i="1"/>
  <c r="FP880" i="1"/>
  <c r="FP879" i="1"/>
  <c r="FP878" i="1"/>
  <c r="FP877" i="1"/>
  <c r="FP876" i="1"/>
  <c r="FP875" i="1"/>
  <c r="FP874" i="1"/>
  <c r="FP873" i="1"/>
  <c r="FP872" i="1"/>
  <c r="FP871" i="1"/>
  <c r="FP870" i="1"/>
  <c r="FP869" i="1"/>
  <c r="FP868" i="1"/>
  <c r="FP867" i="1"/>
  <c r="FP866" i="1"/>
  <c r="FP865" i="1"/>
  <c r="FP864" i="1"/>
  <c r="FP863" i="1"/>
  <c r="FP862" i="1"/>
  <c r="FP861" i="1"/>
  <c r="FP860" i="1"/>
  <c r="FP859" i="1"/>
  <c r="FP858" i="1"/>
  <c r="FP857" i="1"/>
  <c r="FP856" i="1"/>
  <c r="FP855" i="1"/>
  <c r="FP854" i="1"/>
  <c r="FP853" i="1"/>
  <c r="FP852" i="1"/>
  <c r="FP851" i="1"/>
  <c r="FP850" i="1"/>
  <c r="FP849" i="1"/>
  <c r="FP848" i="1"/>
  <c r="FP847" i="1"/>
  <c r="FP846" i="1"/>
  <c r="FP845" i="1"/>
  <c r="FP844" i="1"/>
  <c r="FP843" i="1"/>
  <c r="FP842" i="1"/>
  <c r="FP841" i="1"/>
  <c r="FP840" i="1"/>
  <c r="FP839" i="1"/>
  <c r="FP838" i="1"/>
  <c r="FP837" i="1"/>
  <c r="FP836" i="1"/>
  <c r="FP835" i="1"/>
  <c r="FP834" i="1"/>
  <c r="FP833" i="1"/>
  <c r="FP832" i="1"/>
  <c r="FP831" i="1"/>
  <c r="FP830" i="1"/>
  <c r="FP829" i="1"/>
  <c r="FP828" i="1"/>
  <c r="FP827" i="1"/>
  <c r="FP826" i="1"/>
  <c r="FP825" i="1"/>
  <c r="FP824" i="1"/>
  <c r="FP823" i="1"/>
  <c r="FP822" i="1"/>
  <c r="FP821" i="1"/>
  <c r="FP820" i="1"/>
  <c r="FP819" i="1"/>
  <c r="FP818" i="1"/>
  <c r="FP817" i="1"/>
  <c r="FP816" i="1"/>
  <c r="FP815" i="1"/>
  <c r="FP814" i="1"/>
  <c r="FP813" i="1"/>
  <c r="FP812" i="1"/>
  <c r="FP811" i="1"/>
  <c r="FP810" i="1"/>
  <c r="FP809" i="1"/>
  <c r="FP808" i="1"/>
  <c r="FP807" i="1"/>
  <c r="FP806" i="1"/>
  <c r="FP805" i="1"/>
  <c r="FP804" i="1"/>
  <c r="FP803" i="1"/>
  <c r="FP802" i="1"/>
  <c r="FP801" i="1"/>
  <c r="FP800" i="1"/>
  <c r="FP799" i="1"/>
  <c r="FP798" i="1"/>
  <c r="FP797" i="1"/>
  <c r="FP796" i="1"/>
  <c r="FP795" i="1"/>
  <c r="FP794" i="1"/>
  <c r="FP793" i="1"/>
  <c r="FP792" i="1"/>
  <c r="FP791" i="1"/>
  <c r="FP790" i="1"/>
  <c r="FP789" i="1"/>
  <c r="FP788" i="1"/>
  <c r="FP787" i="1"/>
  <c r="FP786" i="1"/>
  <c r="FP785" i="1"/>
  <c r="FP784" i="1"/>
  <c r="FP783" i="1"/>
  <c r="FP782" i="1"/>
  <c r="FP781" i="1"/>
  <c r="FP780" i="1"/>
  <c r="FP779" i="1"/>
  <c r="FP778" i="1"/>
  <c r="FP777" i="1"/>
  <c r="FP776" i="1"/>
  <c r="FP775" i="1"/>
  <c r="FP774" i="1"/>
  <c r="FP773" i="1"/>
  <c r="FP772" i="1"/>
  <c r="FP771" i="1"/>
  <c r="FP770" i="1"/>
  <c r="FP769" i="1"/>
  <c r="FP768" i="1"/>
  <c r="FP767" i="1"/>
  <c r="FP766" i="1"/>
  <c r="FP765" i="1"/>
  <c r="FP764" i="1"/>
  <c r="FP763" i="1"/>
  <c r="FP762" i="1"/>
  <c r="FP761" i="1"/>
  <c r="FP760" i="1"/>
  <c r="FP759" i="1"/>
  <c r="FP758" i="1"/>
  <c r="FP757" i="1"/>
  <c r="FP756" i="1"/>
  <c r="FP755" i="1"/>
  <c r="FP754" i="1"/>
  <c r="FP753" i="1"/>
  <c r="FP752" i="1"/>
  <c r="FP751" i="1"/>
  <c r="FP750" i="1"/>
  <c r="FP749" i="1"/>
  <c r="FP748" i="1"/>
  <c r="FP747" i="1"/>
  <c r="FP746" i="1"/>
  <c r="FP745" i="1"/>
  <c r="FP744" i="1"/>
  <c r="FP743" i="1"/>
  <c r="FP742" i="1"/>
  <c r="FP741" i="1"/>
  <c r="FP740" i="1"/>
  <c r="FP739" i="1"/>
  <c r="FP738" i="1"/>
  <c r="FP737" i="1"/>
  <c r="FP736" i="1"/>
  <c r="FP735" i="1"/>
  <c r="FP734" i="1"/>
  <c r="FP733" i="1"/>
  <c r="FP732" i="1"/>
  <c r="FP731" i="1"/>
  <c r="FP730" i="1"/>
  <c r="FP729" i="1"/>
  <c r="FP728" i="1"/>
  <c r="FP727" i="1"/>
  <c r="FP726" i="1"/>
  <c r="FP725" i="1"/>
  <c r="FP724" i="1"/>
  <c r="FP723" i="1"/>
  <c r="FP722" i="1"/>
  <c r="FP721" i="1"/>
  <c r="FP720" i="1"/>
  <c r="FP719" i="1"/>
  <c r="FP718" i="1"/>
  <c r="FP717" i="1"/>
  <c r="FP716" i="1"/>
  <c r="FP715" i="1"/>
  <c r="FP714" i="1"/>
  <c r="FP713" i="1"/>
  <c r="FP712" i="1"/>
  <c r="FP711" i="1"/>
  <c r="FP710" i="1"/>
  <c r="FP709" i="1"/>
  <c r="FP708" i="1"/>
  <c r="FP707" i="1"/>
  <c r="FP706" i="1"/>
  <c r="FP705" i="1"/>
  <c r="FP704" i="1"/>
  <c r="FP703" i="1"/>
  <c r="FP702" i="1"/>
  <c r="FP701" i="1"/>
  <c r="FP700" i="1"/>
  <c r="FP699" i="1"/>
  <c r="FP698" i="1"/>
  <c r="FP697" i="1"/>
  <c r="FP696" i="1"/>
  <c r="FP695" i="1"/>
  <c r="FP694" i="1"/>
  <c r="FP693" i="1"/>
  <c r="FP692" i="1"/>
  <c r="FP691" i="1"/>
  <c r="FP690" i="1"/>
  <c r="FP689" i="1"/>
  <c r="FP688" i="1"/>
  <c r="FP687" i="1"/>
  <c r="FP686" i="1"/>
  <c r="FP685" i="1"/>
  <c r="FP684" i="1"/>
  <c r="FP683" i="1"/>
  <c r="FP682" i="1"/>
  <c r="FP681" i="1"/>
  <c r="FP680" i="1"/>
  <c r="FP679" i="1"/>
  <c r="FP678" i="1"/>
  <c r="FP677" i="1"/>
  <c r="FP676" i="1"/>
  <c r="FP675" i="1"/>
  <c r="FP674" i="1"/>
  <c r="FP673" i="1"/>
  <c r="FP672" i="1"/>
  <c r="FP671" i="1"/>
  <c r="FP670" i="1"/>
  <c r="FP669" i="1"/>
  <c r="FP668" i="1"/>
  <c r="FP667" i="1"/>
  <c r="FP666" i="1"/>
  <c r="FP665" i="1"/>
  <c r="FP664" i="1"/>
  <c r="FP663" i="1"/>
  <c r="FP662" i="1"/>
  <c r="FP661" i="1"/>
  <c r="FP660" i="1"/>
  <c r="FP659" i="1"/>
  <c r="FP658" i="1"/>
  <c r="FP657" i="1"/>
  <c r="FP656" i="1"/>
  <c r="FP655" i="1"/>
  <c r="FP654" i="1"/>
  <c r="FP653" i="1"/>
  <c r="FP652" i="1"/>
  <c r="FP651" i="1"/>
  <c r="FP650" i="1"/>
  <c r="FP649" i="1"/>
  <c r="FP648" i="1"/>
  <c r="FP647" i="1"/>
  <c r="FP646" i="1"/>
  <c r="FP645" i="1"/>
  <c r="FP644" i="1"/>
  <c r="FP643" i="1"/>
  <c r="FP642" i="1"/>
  <c r="FP641" i="1"/>
  <c r="FP640" i="1"/>
  <c r="FP639" i="1"/>
  <c r="FP638" i="1"/>
  <c r="FP637" i="1"/>
  <c r="FP636" i="1"/>
  <c r="FP635" i="1"/>
  <c r="FP634" i="1"/>
  <c r="FP633" i="1"/>
  <c r="FP632" i="1"/>
  <c r="FP631" i="1"/>
  <c r="FP630" i="1"/>
  <c r="FP629" i="1"/>
  <c r="FP628" i="1"/>
  <c r="FP627" i="1"/>
  <c r="FP626" i="1"/>
  <c r="FP625" i="1"/>
  <c r="FP624" i="1"/>
  <c r="FP623" i="1"/>
  <c r="FP622" i="1"/>
  <c r="FP621" i="1"/>
  <c r="FP620" i="1"/>
  <c r="FP619" i="1"/>
  <c r="FP618" i="1"/>
  <c r="FP617" i="1"/>
  <c r="FP616" i="1"/>
  <c r="FP615" i="1"/>
  <c r="FP614" i="1"/>
  <c r="FP613" i="1"/>
  <c r="FP612" i="1"/>
  <c r="FP611" i="1"/>
  <c r="FP610" i="1"/>
  <c r="FP609" i="1"/>
  <c r="FP608" i="1"/>
  <c r="FP607" i="1"/>
  <c r="FP606" i="1"/>
  <c r="FP605" i="1"/>
  <c r="FP604" i="1"/>
  <c r="FP603" i="1"/>
  <c r="FP602" i="1"/>
  <c r="FP601" i="1"/>
  <c r="FP600" i="1"/>
  <c r="FP599" i="1"/>
  <c r="FP598" i="1"/>
  <c r="FP597" i="1"/>
  <c r="FP596" i="1"/>
  <c r="FP595" i="1"/>
  <c r="FP594" i="1"/>
  <c r="FP593" i="1"/>
  <c r="FP592" i="1"/>
  <c r="FP591" i="1"/>
  <c r="FP590" i="1"/>
  <c r="FP589" i="1"/>
  <c r="FP588" i="1"/>
  <c r="FP587" i="1"/>
  <c r="FP586" i="1"/>
  <c r="FP585" i="1"/>
  <c r="FP584" i="1"/>
  <c r="FP583" i="1"/>
  <c r="FP582" i="1"/>
  <c r="FP581" i="1"/>
  <c r="FP580" i="1"/>
  <c r="FP579" i="1"/>
  <c r="FP578" i="1"/>
  <c r="FP577" i="1"/>
  <c r="FP576" i="1"/>
  <c r="FP575" i="1"/>
  <c r="FP574" i="1"/>
  <c r="FP573" i="1"/>
  <c r="FP572" i="1"/>
  <c r="FP571" i="1"/>
  <c r="FP570" i="1"/>
  <c r="FP569" i="1"/>
  <c r="FP568" i="1"/>
  <c r="FP567" i="1"/>
  <c r="FP566" i="1"/>
  <c r="FP565" i="1"/>
  <c r="FP564" i="1"/>
  <c r="FP563" i="1"/>
  <c r="FP562" i="1"/>
  <c r="FP561" i="1"/>
  <c r="FP560" i="1"/>
  <c r="FP559" i="1"/>
  <c r="FP558" i="1"/>
  <c r="FP557" i="1"/>
  <c r="FP556" i="1"/>
  <c r="FP555" i="1"/>
  <c r="FP554" i="1"/>
  <c r="FP553" i="1"/>
  <c r="FP552" i="1"/>
  <c r="FP551" i="1"/>
  <c r="FP550" i="1"/>
  <c r="FP549" i="1"/>
  <c r="FP548" i="1"/>
  <c r="FP547" i="1"/>
  <c r="FP546" i="1"/>
  <c r="FP545" i="1"/>
  <c r="FP544" i="1"/>
  <c r="FP543" i="1"/>
  <c r="FP542" i="1"/>
  <c r="FP541" i="1"/>
  <c r="FP540" i="1"/>
  <c r="FP539" i="1"/>
  <c r="FP538" i="1"/>
  <c r="FP537" i="1"/>
  <c r="FP536" i="1"/>
  <c r="FP535" i="1"/>
  <c r="FP534" i="1"/>
  <c r="FP533" i="1"/>
  <c r="FP532" i="1"/>
  <c r="FP531" i="1"/>
  <c r="FP530" i="1"/>
  <c r="FP529" i="1"/>
  <c r="FP528" i="1"/>
  <c r="FP527" i="1"/>
  <c r="FP526" i="1"/>
  <c r="FP525" i="1"/>
  <c r="FP524" i="1"/>
  <c r="FP523" i="1"/>
  <c r="FP522" i="1"/>
  <c r="FP521" i="1"/>
  <c r="FP520" i="1"/>
  <c r="FP519" i="1"/>
  <c r="FP518" i="1"/>
  <c r="FP517" i="1"/>
  <c r="FP516" i="1"/>
  <c r="FP515" i="1"/>
  <c r="FP514" i="1"/>
  <c r="FP513" i="1"/>
  <c r="FP512" i="1"/>
  <c r="FP511" i="1"/>
  <c r="FP510" i="1"/>
  <c r="FP509" i="1"/>
  <c r="FP508" i="1"/>
  <c r="FP507" i="1"/>
  <c r="FP506" i="1"/>
  <c r="FP505" i="1"/>
  <c r="FP504" i="1"/>
  <c r="FP503" i="1"/>
  <c r="FP502" i="1"/>
  <c r="FP501" i="1"/>
  <c r="FP500" i="1"/>
  <c r="FP499" i="1"/>
  <c r="FP498" i="1"/>
  <c r="FP497" i="1"/>
  <c r="FP496" i="1"/>
  <c r="FP495" i="1"/>
  <c r="FP494" i="1"/>
  <c r="FP493" i="1"/>
  <c r="FP492" i="1"/>
  <c r="FP491" i="1"/>
  <c r="FP490" i="1"/>
  <c r="FP489" i="1"/>
  <c r="FP488" i="1"/>
  <c r="FP487" i="1"/>
  <c r="FP486" i="1"/>
  <c r="FP485" i="1"/>
  <c r="FP484" i="1"/>
  <c r="FP483" i="1"/>
  <c r="FP482" i="1"/>
  <c r="FP481" i="1"/>
  <c r="FP480" i="1"/>
  <c r="FP479" i="1"/>
  <c r="FP478" i="1"/>
  <c r="FP477" i="1"/>
  <c r="FP476" i="1"/>
  <c r="FP475" i="1"/>
  <c r="FP474" i="1"/>
  <c r="FP473" i="1"/>
  <c r="FP472" i="1"/>
  <c r="FP471" i="1"/>
  <c r="FP470" i="1"/>
  <c r="FP469" i="1"/>
  <c r="FP468" i="1"/>
  <c r="FP467" i="1"/>
  <c r="FP466" i="1"/>
  <c r="FP465" i="1"/>
  <c r="FP464" i="1"/>
  <c r="FP463" i="1"/>
  <c r="FP462" i="1"/>
  <c r="FP461" i="1"/>
  <c r="FP460" i="1"/>
  <c r="FP459" i="1"/>
  <c r="FP458" i="1"/>
  <c r="FP457" i="1"/>
  <c r="FP456" i="1"/>
  <c r="FP455" i="1"/>
  <c r="FP454" i="1"/>
  <c r="FP453" i="1"/>
  <c r="FP452" i="1"/>
  <c r="FP451" i="1"/>
  <c r="FP450" i="1"/>
  <c r="FP449" i="1"/>
  <c r="FP448" i="1"/>
  <c r="FP447" i="1"/>
  <c r="FP446" i="1"/>
  <c r="FP445" i="1"/>
  <c r="FP444" i="1"/>
  <c r="FP443" i="1"/>
  <c r="FP442" i="1"/>
  <c r="FP441" i="1"/>
  <c r="FP440" i="1"/>
  <c r="FP439" i="1"/>
  <c r="FP438" i="1"/>
  <c r="FP437" i="1"/>
  <c r="FP436" i="1"/>
  <c r="FP435" i="1"/>
  <c r="FP434" i="1"/>
  <c r="FP433" i="1"/>
  <c r="FP432" i="1"/>
  <c r="FP431" i="1"/>
  <c r="FP430" i="1"/>
  <c r="FP429" i="1"/>
  <c r="FP428" i="1"/>
  <c r="FP427" i="1"/>
  <c r="FP426" i="1"/>
  <c r="FP425" i="1"/>
  <c r="FP424" i="1"/>
  <c r="FP423" i="1"/>
  <c r="FP422" i="1"/>
  <c r="FP421" i="1"/>
  <c r="FP420" i="1"/>
  <c r="FP419" i="1"/>
  <c r="FP418" i="1"/>
  <c r="FP417" i="1"/>
  <c r="FP416" i="1"/>
  <c r="FP415" i="1"/>
  <c r="FP414" i="1"/>
  <c r="FP413" i="1"/>
  <c r="FP412" i="1"/>
  <c r="FP411" i="1"/>
  <c r="FP410" i="1"/>
  <c r="FP409" i="1"/>
  <c r="FP408" i="1"/>
  <c r="FP407" i="1"/>
  <c r="FP406" i="1"/>
  <c r="FP405" i="1"/>
  <c r="FP404" i="1"/>
  <c r="FP403" i="1"/>
  <c r="FP402" i="1"/>
  <c r="FP401" i="1"/>
  <c r="FP400" i="1"/>
  <c r="FP399" i="1"/>
  <c r="FP398" i="1"/>
  <c r="FP397" i="1"/>
  <c r="FP396" i="1"/>
  <c r="FP395" i="1"/>
  <c r="FP394" i="1"/>
  <c r="FP393" i="1"/>
  <c r="FP392" i="1"/>
  <c r="FP391" i="1"/>
  <c r="FP390" i="1"/>
  <c r="FP389" i="1"/>
  <c r="FP388" i="1"/>
  <c r="FP387" i="1"/>
  <c r="FP386" i="1"/>
  <c r="FP385" i="1"/>
  <c r="FP384" i="1"/>
  <c r="FP383" i="1"/>
  <c r="FP382" i="1"/>
  <c r="FP381" i="1"/>
  <c r="FP380" i="1"/>
  <c r="FP379" i="1"/>
  <c r="FP378" i="1"/>
  <c r="FP377" i="1"/>
  <c r="FP376" i="1"/>
  <c r="FP375" i="1"/>
  <c r="FP374" i="1"/>
  <c r="FP373" i="1"/>
  <c r="FP372" i="1"/>
  <c r="FP371" i="1"/>
  <c r="FP370" i="1"/>
  <c r="FP369" i="1"/>
  <c r="FP368" i="1"/>
  <c r="FP367" i="1"/>
  <c r="FP366" i="1"/>
  <c r="FP365" i="1"/>
  <c r="FP364" i="1"/>
  <c r="FP363" i="1"/>
  <c r="FP362" i="1"/>
  <c r="FP361" i="1"/>
  <c r="FP360" i="1"/>
  <c r="FP359" i="1"/>
  <c r="FP358" i="1"/>
  <c r="FP357" i="1"/>
  <c r="FP356" i="1"/>
  <c r="FP355" i="1"/>
  <c r="FP354" i="1"/>
  <c r="FP353" i="1"/>
  <c r="FP352" i="1"/>
  <c r="FP351" i="1"/>
  <c r="FP350" i="1"/>
  <c r="FP349" i="1"/>
  <c r="FP348" i="1"/>
  <c r="FP347" i="1"/>
  <c r="FP346" i="1"/>
  <c r="FP345" i="1"/>
  <c r="FP344" i="1"/>
  <c r="FP343" i="1"/>
  <c r="FP342" i="1"/>
  <c r="FP341" i="1"/>
  <c r="FP340" i="1"/>
  <c r="FP339" i="1"/>
  <c r="FP338" i="1"/>
  <c r="FP337" i="1"/>
  <c r="FP336" i="1"/>
  <c r="FP335" i="1"/>
  <c r="FP334" i="1"/>
  <c r="FP333" i="1"/>
  <c r="FP332" i="1"/>
  <c r="FP331" i="1"/>
  <c r="FP330" i="1"/>
  <c r="FP329" i="1"/>
  <c r="FP328" i="1"/>
  <c r="FP327" i="1"/>
  <c r="FP326" i="1"/>
  <c r="FP325" i="1"/>
  <c r="FP324" i="1"/>
  <c r="FP323" i="1"/>
  <c r="FP322" i="1"/>
  <c r="FP321" i="1"/>
  <c r="FP320" i="1"/>
  <c r="FP319" i="1"/>
  <c r="FP318" i="1"/>
  <c r="FP317" i="1"/>
  <c r="FP316" i="1"/>
  <c r="FP315" i="1"/>
  <c r="FP314" i="1"/>
  <c r="FP313" i="1"/>
  <c r="FP312" i="1"/>
  <c r="FP311" i="1"/>
  <c r="FP310" i="1"/>
  <c r="FP309" i="1"/>
  <c r="FP308" i="1"/>
  <c r="FP307" i="1"/>
  <c r="FP306" i="1"/>
  <c r="FP305" i="1"/>
  <c r="FP304" i="1"/>
  <c r="FP303" i="1"/>
  <c r="FP302" i="1"/>
  <c r="FP301" i="1"/>
  <c r="FP300" i="1"/>
  <c r="FP299" i="1"/>
  <c r="FP298" i="1"/>
  <c r="FP297" i="1"/>
  <c r="FP296" i="1"/>
  <c r="FP295" i="1"/>
  <c r="FP294" i="1"/>
  <c r="FP293" i="1"/>
  <c r="FP292" i="1"/>
  <c r="FP291" i="1"/>
  <c r="FP290" i="1"/>
  <c r="FP289" i="1"/>
  <c r="FP288" i="1"/>
  <c r="FP287" i="1"/>
  <c r="FP286" i="1"/>
  <c r="FP285" i="1"/>
  <c r="FP284" i="1"/>
  <c r="FP283" i="1"/>
  <c r="FP282" i="1"/>
  <c r="FP281" i="1"/>
  <c r="FP280" i="1"/>
  <c r="FP279" i="1"/>
  <c r="FP278" i="1"/>
  <c r="FP277" i="1"/>
  <c r="FP276" i="1"/>
  <c r="FP275" i="1"/>
  <c r="FP274" i="1"/>
  <c r="FP273" i="1"/>
  <c r="FP272" i="1"/>
  <c r="FP271" i="1"/>
  <c r="FP270" i="1"/>
  <c r="FP269" i="1"/>
  <c r="FP268" i="1"/>
  <c r="FP267" i="1"/>
  <c r="FP266" i="1"/>
  <c r="FP265" i="1"/>
  <c r="FP264" i="1"/>
  <c r="FP263" i="1"/>
  <c r="FP262" i="1"/>
  <c r="FP261" i="1"/>
  <c r="FP260" i="1"/>
  <c r="FP259" i="1"/>
  <c r="FP258" i="1"/>
  <c r="FP257" i="1"/>
  <c r="FP256" i="1"/>
  <c r="FP255" i="1"/>
  <c r="FP254" i="1"/>
  <c r="FP253" i="1"/>
  <c r="FP252" i="1"/>
  <c r="FP251" i="1"/>
  <c r="FP250" i="1"/>
  <c r="FP249" i="1"/>
  <c r="FP248" i="1"/>
  <c r="FP247" i="1"/>
  <c r="FP246" i="1"/>
  <c r="FP245" i="1"/>
  <c r="FP244" i="1"/>
  <c r="FP243" i="1"/>
  <c r="FP242" i="1"/>
  <c r="FP241" i="1"/>
  <c r="FP240" i="1"/>
  <c r="FP239" i="1"/>
  <c r="FP238" i="1"/>
  <c r="FP237" i="1"/>
  <c r="FP236" i="1"/>
  <c r="FP235" i="1"/>
  <c r="FP234" i="1"/>
  <c r="FP233" i="1"/>
  <c r="FP232" i="1"/>
  <c r="FP231" i="1"/>
  <c r="FP230" i="1"/>
  <c r="FP229" i="1"/>
  <c r="FP228" i="1"/>
  <c r="FP227" i="1"/>
  <c r="FP226" i="1"/>
  <c r="FP225" i="1"/>
  <c r="FP224" i="1"/>
  <c r="FP223" i="1"/>
  <c r="FP222" i="1"/>
  <c r="FP221" i="1"/>
  <c r="FP220" i="1"/>
  <c r="FP219" i="1"/>
  <c r="FP218" i="1"/>
  <c r="FP217" i="1"/>
  <c r="FP216" i="1"/>
  <c r="FP215" i="1"/>
  <c r="FP214" i="1"/>
  <c r="FP213" i="1"/>
  <c r="FP212" i="1"/>
  <c r="FP211" i="1"/>
  <c r="FP210" i="1"/>
  <c r="FP209" i="1"/>
  <c r="FP208" i="1"/>
  <c r="FP207" i="1"/>
  <c r="FP206" i="1"/>
  <c r="FP205" i="1"/>
  <c r="FP204" i="1"/>
  <c r="FP203" i="1"/>
  <c r="FP202" i="1"/>
  <c r="FP201" i="1"/>
  <c r="FP200" i="1"/>
  <c r="FP199" i="1"/>
  <c r="FP198" i="1"/>
  <c r="FP197" i="1"/>
  <c r="FP196" i="1"/>
  <c r="FP195" i="1"/>
  <c r="FP194" i="1"/>
  <c r="FP193" i="1"/>
  <c r="FP192" i="1"/>
  <c r="FP191" i="1"/>
  <c r="FP190" i="1"/>
  <c r="FP189" i="1"/>
  <c r="FP188" i="1"/>
  <c r="FP187" i="1"/>
  <c r="FP186" i="1"/>
  <c r="FP185" i="1"/>
  <c r="FP184" i="1"/>
  <c r="FP183" i="1"/>
  <c r="FP182" i="1"/>
  <c r="FP181" i="1"/>
  <c r="FP180" i="1"/>
  <c r="FP179" i="1"/>
  <c r="FP178" i="1"/>
  <c r="FP177" i="1"/>
  <c r="FP176" i="1"/>
  <c r="FP175" i="1"/>
  <c r="FP174" i="1"/>
  <c r="FP173" i="1"/>
  <c r="FP172" i="1"/>
  <c r="FP171" i="1"/>
  <c r="FP170" i="1"/>
  <c r="FP169" i="1"/>
  <c r="FP168" i="1"/>
  <c r="FP167" i="1"/>
  <c r="FP166" i="1"/>
  <c r="FP165" i="1"/>
  <c r="FP164" i="1"/>
  <c r="FP163" i="1"/>
  <c r="FP162" i="1"/>
  <c r="FP161" i="1"/>
  <c r="FP160" i="1"/>
  <c r="FP159" i="1"/>
  <c r="FP158" i="1"/>
  <c r="FP157" i="1"/>
  <c r="FP156" i="1"/>
  <c r="FP155" i="1"/>
  <c r="FP154" i="1"/>
  <c r="FP153" i="1"/>
  <c r="FP152" i="1"/>
  <c r="FP151" i="1"/>
  <c r="FP150" i="1"/>
  <c r="FP149" i="1"/>
  <c r="FP148" i="1"/>
  <c r="FP147" i="1"/>
  <c r="FP146" i="1"/>
  <c r="FP145" i="1"/>
  <c r="FP144" i="1"/>
  <c r="FP143" i="1"/>
  <c r="FP142" i="1"/>
  <c r="FP141" i="1"/>
  <c r="FP140" i="1"/>
  <c r="FP139" i="1"/>
  <c r="FP138" i="1"/>
  <c r="FP137" i="1"/>
  <c r="FP136" i="1"/>
  <c r="FP135" i="1"/>
  <c r="FP134" i="1"/>
  <c r="FP133" i="1"/>
  <c r="FP132" i="1"/>
  <c r="FP131" i="1"/>
  <c r="FP130" i="1"/>
  <c r="FP129" i="1"/>
  <c r="FP128" i="1"/>
  <c r="FP127" i="1"/>
  <c r="FP126" i="1"/>
  <c r="FP125" i="1"/>
  <c r="FP124" i="1"/>
  <c r="FP123" i="1"/>
  <c r="FP122" i="1"/>
  <c r="FP121" i="1"/>
  <c r="FP120" i="1"/>
  <c r="FP119" i="1"/>
  <c r="FP118" i="1"/>
  <c r="FP117" i="1"/>
  <c r="FP116" i="1"/>
  <c r="FP115" i="1"/>
  <c r="FP114" i="1"/>
  <c r="FP113" i="1"/>
  <c r="FP112" i="1"/>
  <c r="FP111" i="1"/>
  <c r="FP110" i="1"/>
  <c r="FP109" i="1"/>
  <c r="FP108" i="1"/>
  <c r="FP107" i="1"/>
  <c r="FP106" i="1"/>
  <c r="FP105" i="1"/>
  <c r="FP104" i="1"/>
  <c r="FP103" i="1"/>
  <c r="FP102" i="1"/>
  <c r="FP101" i="1"/>
  <c r="FP100" i="1"/>
  <c r="FP99" i="1"/>
  <c r="FP98" i="1"/>
  <c r="FP97" i="1"/>
  <c r="FP96" i="1"/>
  <c r="FP95" i="1"/>
  <c r="FP94" i="1"/>
  <c r="FP93" i="1"/>
  <c r="FP92" i="1"/>
  <c r="FP91" i="1"/>
  <c r="FP90" i="1"/>
  <c r="FP89" i="1"/>
  <c r="FP88" i="1"/>
  <c r="FP87" i="1"/>
  <c r="FP86" i="1"/>
  <c r="FP85" i="1"/>
  <c r="FP84" i="1"/>
  <c r="FP83" i="1"/>
  <c r="FP82" i="1"/>
  <c r="FP81" i="1"/>
  <c r="FP80" i="1"/>
  <c r="FP79" i="1"/>
  <c r="FP78" i="1"/>
  <c r="FP77" i="1"/>
  <c r="FP76" i="1"/>
  <c r="FP75" i="1"/>
  <c r="FP74" i="1"/>
  <c r="FP73" i="1"/>
  <c r="FP72" i="1"/>
  <c r="FP71" i="1"/>
  <c r="FP70" i="1"/>
  <c r="FP69" i="1"/>
  <c r="FP68" i="1"/>
  <c r="FP67" i="1"/>
  <c r="FP66" i="1"/>
  <c r="FP65" i="1"/>
  <c r="FP64" i="1"/>
  <c r="FP63" i="1"/>
  <c r="FP62" i="1"/>
  <c r="FP61" i="1"/>
  <c r="FP60" i="1"/>
  <c r="FP59" i="1"/>
  <c r="FP58" i="1"/>
  <c r="FP57" i="1"/>
  <c r="FP56" i="1"/>
  <c r="FP55" i="1"/>
  <c r="FP54" i="1"/>
  <c r="FP53" i="1"/>
  <c r="FP52" i="1"/>
  <c r="FP51" i="1"/>
  <c r="FP50" i="1"/>
  <c r="FP49" i="1"/>
  <c r="FP48" i="1"/>
  <c r="FP47" i="1"/>
  <c r="FP46" i="1"/>
  <c r="FP45" i="1"/>
  <c r="FP44" i="1"/>
  <c r="FP43" i="1"/>
  <c r="FP42" i="1"/>
  <c r="FP41" i="1"/>
  <c r="FP40" i="1"/>
  <c r="FP39" i="1"/>
  <c r="FP38" i="1"/>
  <c r="FP37" i="1"/>
  <c r="FP36" i="1"/>
  <c r="FP35" i="1"/>
  <c r="FP34" i="1"/>
  <c r="FP33" i="1"/>
  <c r="FP32" i="1"/>
  <c r="FP31" i="1"/>
  <c r="FP30" i="1"/>
  <c r="FP29" i="1"/>
  <c r="FP28" i="1"/>
  <c r="FP27" i="1"/>
  <c r="FP26" i="1"/>
  <c r="FP25" i="1"/>
  <c r="FP24" i="1"/>
  <c r="FP23" i="1"/>
  <c r="FP22" i="1"/>
  <c r="FP21" i="1"/>
  <c r="FP20" i="1"/>
  <c r="FP19" i="1"/>
  <c r="FP18" i="1"/>
  <c r="FP17" i="1"/>
  <c r="FP16" i="1"/>
  <c r="FP15" i="1"/>
  <c r="FP14" i="1"/>
  <c r="FP13" i="1"/>
  <c r="FP12" i="1"/>
  <c r="FP11" i="1"/>
  <c r="FP10" i="1"/>
  <c r="FP9" i="1"/>
  <c r="FP8" i="1"/>
  <c r="FP7" i="1"/>
  <c r="FP6" i="1"/>
  <c r="FP5" i="1"/>
  <c r="FP4" i="1"/>
  <c r="FP3" i="1"/>
  <c r="FP2" i="1"/>
  <c r="FP1" i="1"/>
  <c r="BE13" i="1" l="1"/>
  <c r="BF13" i="1" s="1"/>
  <c r="BE15" i="1"/>
  <c r="BF15" i="1" s="1"/>
  <c r="Q14" i="1"/>
  <c r="Q22" i="1"/>
  <c r="R22" i="1" s="1"/>
  <c r="BG16" i="1" s="1"/>
  <c r="R19" i="1"/>
  <c r="BG15" i="1" s="1"/>
  <c r="R17" i="1"/>
  <c r="R14" i="1"/>
  <c r="W14" i="1" s="1"/>
  <c r="P547" i="1"/>
  <c r="BH13" i="1" s="1"/>
  <c r="R547" i="1" l="1"/>
  <c r="BG13" i="1" s="1"/>
  <c r="W15" i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BE40" i="1"/>
  <c r="BF40" i="1" s="1"/>
  <c r="BI14" i="1"/>
  <c r="BH40" i="1" l="1" a="1"/>
  <c r="BH40" i="1" s="1"/>
  <c r="BI40" i="1" s="1"/>
  <c r="BG40" i="1"/>
  <c r="BI15" i="1"/>
  <c r="BI16" i="1" l="1"/>
  <c r="BI17" i="1" l="1"/>
  <c r="BR14" i="1"/>
  <c r="BI18" i="1" l="1"/>
  <c r="BR15" i="1"/>
  <c r="BI19" i="1" l="1"/>
  <c r="BR16" i="1"/>
  <c r="BI20" i="1" l="1"/>
  <c r="BI21" i="1" l="1"/>
  <c r="BI22" i="1" l="1"/>
  <c r="BI23" i="1" l="1"/>
  <c r="BI24" i="1" l="1"/>
  <c r="BI25" i="1" l="1"/>
  <c r="BR17" i="1"/>
  <c r="BI26" i="1" l="1"/>
  <c r="BI27" i="1" l="1"/>
  <c r="BI28" i="1" l="1"/>
  <c r="BI29" i="1" l="1"/>
  <c r="BI30" i="1" l="1"/>
  <c r="BI31" i="1" l="1"/>
  <c r="BI32" i="1" l="1"/>
  <c r="BI33" i="1" l="1"/>
  <c r="BI34" i="1" l="1"/>
  <c r="BR18" i="1"/>
  <c r="BI36" i="1" l="1"/>
  <c r="BI35" i="1"/>
  <c r="AV12" i="1" l="1"/>
  <c r="AH12" i="1"/>
  <c r="U12" i="1"/>
  <c r="G12" i="1"/>
  <c r="BR19" i="1" l="1"/>
  <c r="BR20" i="1" l="1"/>
  <c r="BR21" i="1" l="1"/>
  <c r="BR22" i="1" l="1"/>
  <c r="BR23" i="1" l="1"/>
  <c r="BR24" i="1" l="1"/>
  <c r="BR25" i="1" l="1"/>
  <c r="BR26" i="1" l="1"/>
  <c r="BR27" i="1" l="1"/>
  <c r="BR28" i="1" l="1"/>
  <c r="BR29" i="1" l="1"/>
  <c r="BR30" i="1" l="1"/>
  <c r="BR31" i="1" l="1"/>
  <c r="BR32" i="1" l="1"/>
  <c r="BR33" i="1" l="1"/>
  <c r="BR34" i="1" l="1"/>
  <c r="BR36" i="1" l="1"/>
  <c r="BR3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<sst xmlns="http://schemas.openxmlformats.org/spreadsheetml/2006/main" count="78789" uniqueCount="7462">
  <si>
    <t>Terminal</t>
  </si>
  <si>
    <t>Servicio</t>
  </si>
  <si>
    <t>Sentido</t>
  </si>
  <si>
    <t>tipo de día</t>
  </si>
  <si>
    <t>Periodo</t>
  </si>
  <si>
    <t>TB Programado</t>
  </si>
  <si>
    <t>Tipo de Salida</t>
  </si>
  <si>
    <t>Cumple TB</t>
  </si>
  <si>
    <t>Bus</t>
  </si>
  <si>
    <t>Media Hora despacho</t>
  </si>
  <si>
    <t>Cumple despacho</t>
  </si>
  <si>
    <t>H. Sale Real</t>
  </si>
  <si>
    <t>KM PERIODO</t>
  </si>
  <si>
    <t>KM PROMEDIO</t>
  </si>
  <si>
    <t>IR_REAL_PROM</t>
  </si>
  <si>
    <t>IR_PROG_PROM</t>
  </si>
  <si>
    <t>IR_PROG_DESVEST</t>
  </si>
  <si>
    <t>IR_REAL_DESVEST</t>
  </si>
  <si>
    <t>TE_IDEAL</t>
  </si>
  <si>
    <t>TE_OBS</t>
  </si>
  <si>
    <t>TE_OBS_NET</t>
  </si>
  <si>
    <t>IR_REAL</t>
  </si>
  <si>
    <t>IR_PROG</t>
  </si>
  <si>
    <t>Hora de Llegada Real</t>
  </si>
  <si>
    <t>IE</t>
  </si>
  <si>
    <t>Causa Perdidas</t>
  </si>
  <si>
    <t>observación</t>
  </si>
  <si>
    <t>Media Hora despcaho</t>
  </si>
  <si>
    <t>Hora de Legada Real</t>
  </si>
  <si>
    <t>Diccio</t>
  </si>
  <si>
    <t>N° Interno</t>
  </si>
  <si>
    <t>N° Chasis</t>
  </si>
  <si>
    <t>N Motor</t>
  </si>
  <si>
    <t>Marca chasis</t>
  </si>
  <si>
    <t>Modelo Chasis</t>
  </si>
  <si>
    <t>Marca Carrocería</t>
  </si>
  <si>
    <t>Modelo Carrocería</t>
  </si>
  <si>
    <t>Año</t>
  </si>
  <si>
    <t>Tipo de Bus</t>
  </si>
  <si>
    <t>Nombre Terminal Asignado</t>
  </si>
  <si>
    <t xml:space="preserve">Dirección Terminal </t>
  </si>
  <si>
    <t xml:space="preserve">Comuna </t>
  </si>
  <si>
    <t>Tipo de bus</t>
  </si>
  <si>
    <t>3003 / SFWZ-16|</t>
  </si>
  <si>
    <t>SFWZ-16|</t>
  </si>
  <si>
    <t>SFWZ-16</t>
  </si>
  <si>
    <t>Diccionario 1</t>
  </si>
  <si>
    <t/>
  </si>
  <si>
    <t>De Baja</t>
  </si>
  <si>
    <t>D8478292K2PL</t>
  </si>
  <si>
    <t>YV3T7U524KA195142</t>
  </si>
  <si>
    <t>Volvo</t>
  </si>
  <si>
    <t>B8R</t>
  </si>
  <si>
    <t>MARCOPOLO</t>
  </si>
  <si>
    <t>TORINO</t>
  </si>
  <si>
    <t>B2PAL</t>
  </si>
  <si>
    <t>LOS LIBERTADORES</t>
  </si>
  <si>
    <t>Los Liberadores 6450, Lote 4A</t>
  </si>
  <si>
    <t>Huechuraba</t>
  </si>
  <si>
    <t>B</t>
  </si>
  <si>
    <t>D8482685K2PL</t>
  </si>
  <si>
    <t>YV3T7U521KA195230</t>
  </si>
  <si>
    <t>D8483833K2PL</t>
  </si>
  <si>
    <t>YV3T7U520KA195641</t>
  </si>
  <si>
    <t>D8483530K2PL</t>
  </si>
  <si>
    <t>YV3T7U522KA195642</t>
  </si>
  <si>
    <t>3004 / SFWZ-31|</t>
  </si>
  <si>
    <t>SFWZ-31|</t>
  </si>
  <si>
    <t>SFWZ-31</t>
  </si>
  <si>
    <t>D8483789K2PL</t>
  </si>
  <si>
    <t>YV3T7U524KA195643</t>
  </si>
  <si>
    <t>SAN JOSE</t>
  </si>
  <si>
    <t>San José 030 (José Besa 669)</t>
  </si>
  <si>
    <t>San Bernardo</t>
  </si>
  <si>
    <t>D8484480K2PL</t>
  </si>
  <si>
    <t>YV3T7U524KA195688</t>
  </si>
  <si>
    <t>D8484637K2PL</t>
  </si>
  <si>
    <t>YV3T7U528KA195712</t>
  </si>
  <si>
    <t>D8484676K2PL</t>
  </si>
  <si>
    <t>YV3T7U52XKA195713</t>
  </si>
  <si>
    <t>D8484733K2PL</t>
  </si>
  <si>
    <t>YV3T7U526KA195742</t>
  </si>
  <si>
    <t>D8481621K2PL</t>
  </si>
  <si>
    <t>YV3T7U528KA195175</t>
  </si>
  <si>
    <t>D8482769K2PL</t>
  </si>
  <si>
    <t>YV3T7U522KA195303</t>
  </si>
  <si>
    <t>D8478205K2PL</t>
  </si>
  <si>
    <t>YV3T7U520KA195140</t>
  </si>
  <si>
    <t>3005 / SFWZ-39|</t>
  </si>
  <si>
    <t>SFWZ-39|</t>
  </si>
  <si>
    <t>SFWZ-39</t>
  </si>
  <si>
    <t>D8481556K2PL</t>
  </si>
  <si>
    <t>YV3T7U521KA195177</t>
  </si>
  <si>
    <t>D8482482K2PL</t>
  </si>
  <si>
    <t>YV3T7U523KA195326</t>
  </si>
  <si>
    <t>D8482478K2PL</t>
  </si>
  <si>
    <t>YV3T7U525KA195327</t>
  </si>
  <si>
    <t>D8482400K2PL</t>
  </si>
  <si>
    <t>YV3T7U527KA195328</t>
  </si>
  <si>
    <t>D8482554K2PL</t>
  </si>
  <si>
    <t>YV3T7U520KA195350</t>
  </si>
  <si>
    <t>D8482519K2PL</t>
  </si>
  <si>
    <t>YV3T7U522KA195351</t>
  </si>
  <si>
    <t>D8482509K2PL</t>
  </si>
  <si>
    <t>YV3T7U524KA195352</t>
  </si>
  <si>
    <t>D8478282K2PL</t>
  </si>
  <si>
    <t>YV3T7U526KA195143</t>
  </si>
  <si>
    <t>3006 / SFVZ-94|</t>
  </si>
  <si>
    <t>SFVZ-94|</t>
  </si>
  <si>
    <t>SFVZ-94</t>
  </si>
  <si>
    <t>D8482576K2PL</t>
  </si>
  <si>
    <t>YV3T7U523KA195357</t>
  </si>
  <si>
    <t>D8482502K2PL</t>
  </si>
  <si>
    <t>YV3T7U523KA195360</t>
  </si>
  <si>
    <t>D8482597K2PL</t>
  </si>
  <si>
    <t>YV3T7U525KA195361</t>
  </si>
  <si>
    <t>D8481798K2PL</t>
  </si>
  <si>
    <t>YV3T7U527KA195460</t>
  </si>
  <si>
    <t>D8481794K2PL</t>
  </si>
  <si>
    <t>YV3T7U529KA195461</t>
  </si>
  <si>
    <t>3007 / SFWB-50|</t>
  </si>
  <si>
    <t>SFWB-50|</t>
  </si>
  <si>
    <t>SFWB-50</t>
  </si>
  <si>
    <t>D8483045K2PL</t>
  </si>
  <si>
    <t>YV3T7U520KA195462</t>
  </si>
  <si>
    <t>D8483063K2PL</t>
  </si>
  <si>
    <t>YV3T7U522KA195463</t>
  </si>
  <si>
    <t>D8483109K2PL</t>
  </si>
  <si>
    <t>YV3T7U523KA195486</t>
  </si>
  <si>
    <t>D8483197K2PL</t>
  </si>
  <si>
    <t>YV3T7U526KA195532</t>
  </si>
  <si>
    <t>D8483194K2PL</t>
  </si>
  <si>
    <t>YV3T7U528KA195533</t>
  </si>
  <si>
    <t>3008 / SFWB-58|</t>
  </si>
  <si>
    <t>SFWB-58|</t>
  </si>
  <si>
    <t>SFWB-58</t>
  </si>
  <si>
    <t>D8478297K2PL</t>
  </si>
  <si>
    <t>YV3T7U528KA195144</t>
  </si>
  <si>
    <t>D8483221K2PL</t>
  </si>
  <si>
    <t>YV3T7U521KA195535</t>
  </si>
  <si>
    <t>3009 / SFVZ-87|</t>
  </si>
  <si>
    <t>SFVZ-87|</t>
  </si>
  <si>
    <t>SFVZ-87</t>
  </si>
  <si>
    <t>D89303077</t>
  </si>
  <si>
    <t>YV3T7U523KA195553</t>
  </si>
  <si>
    <t>D8483453K2PL</t>
  </si>
  <si>
    <t>YV3T7U527KA195572</t>
  </si>
  <si>
    <t>D8483890K2PL</t>
  </si>
  <si>
    <t>YV3T7U520KA195574</t>
  </si>
  <si>
    <t>D8478276K2PL</t>
  </si>
  <si>
    <t>YV3T7U522KA195141</t>
  </si>
  <si>
    <t>3011 / SFWB-46|</t>
  </si>
  <si>
    <t>SFWB-46|</t>
  </si>
  <si>
    <t>SFWB-46</t>
  </si>
  <si>
    <t>D8481604K2PL</t>
  </si>
  <si>
    <t>YV3T7U52XKA195145</t>
  </si>
  <si>
    <t>D8481609K2PL</t>
  </si>
  <si>
    <t>YV3T7U521KA195146</t>
  </si>
  <si>
    <t>D8478221K2PL</t>
  </si>
  <si>
    <t>YV3T7U523KA195147</t>
  </si>
  <si>
    <t>D8478290K2PL</t>
  </si>
  <si>
    <t>YV3T7U525KA195148</t>
  </si>
  <si>
    <t>3012 / SFWB-72|</t>
  </si>
  <si>
    <t>SFWB-72|</t>
  </si>
  <si>
    <t>SFWB-72</t>
  </si>
  <si>
    <t>D8481517K2PL</t>
  </si>
  <si>
    <t>YV3T7U520KA195171</t>
  </si>
  <si>
    <t>D8481625K2PL</t>
  </si>
  <si>
    <t>YV3T7U526KA195174</t>
  </si>
  <si>
    <t>D8481615K2PL</t>
  </si>
  <si>
    <t>YV3T7U524KA195173</t>
  </si>
  <si>
    <t>D8481618K2PL</t>
  </si>
  <si>
    <t>YV3T7U52XKA195176</t>
  </si>
  <si>
    <t>D8481639K2PL</t>
  </si>
  <si>
    <t>YV3T7U523KA195178</t>
  </si>
  <si>
    <t>D8481597K2PL</t>
  </si>
  <si>
    <t>YV3T7U523KA195181</t>
  </si>
  <si>
    <t>3013 / SFWZ-18|</t>
  </si>
  <si>
    <t>SFWZ-18|</t>
  </si>
  <si>
    <t>SFWZ-18</t>
  </si>
  <si>
    <t>D8481673K2PL</t>
  </si>
  <si>
    <t>YV3T7U524KA195190</t>
  </si>
  <si>
    <t>D8481885K2PL</t>
  </si>
  <si>
    <t>YV3T7U526KA195191</t>
  </si>
  <si>
    <t>D8481866K2PL</t>
  </si>
  <si>
    <t>YV3T7U528KA195192</t>
  </si>
  <si>
    <t>3014 / SFWZ-26|</t>
  </si>
  <si>
    <t>SFWZ-26|</t>
  </si>
  <si>
    <t>SFWZ-26</t>
  </si>
  <si>
    <t>D8481887K2PL</t>
  </si>
  <si>
    <t>YV3T7U52XKA195193</t>
  </si>
  <si>
    <t>D8481478K2PL</t>
  </si>
  <si>
    <t>YV3T7U527KA195197</t>
  </si>
  <si>
    <t>D8481635K2PL</t>
  </si>
  <si>
    <t>YV3T7U529KA195198</t>
  </si>
  <si>
    <t>D8481607K2PL</t>
  </si>
  <si>
    <t>YV3T7U521KA195180</t>
  </si>
  <si>
    <t>3015 / SFVZ-63|</t>
  </si>
  <si>
    <t>SFVZ-63|</t>
  </si>
  <si>
    <t>SFVZ-63</t>
  </si>
  <si>
    <t>D8481488K2PL</t>
  </si>
  <si>
    <t>YV3T7U525KA195229</t>
  </si>
  <si>
    <t>D8482670K2PL</t>
  </si>
  <si>
    <t>YV3T7U523KA195231</t>
  </si>
  <si>
    <t>D8481984K2PL</t>
  </si>
  <si>
    <t>YV3T7U524KA195268</t>
  </si>
  <si>
    <t>3016 / SFWB-28|</t>
  </si>
  <si>
    <t>SFWB-28|</t>
  </si>
  <si>
    <t>SFWB-28</t>
  </si>
  <si>
    <t>D8481907K2PL</t>
  </si>
  <si>
    <t>YV3T7U526KA195269</t>
  </si>
  <si>
    <t>D8481955K2PL</t>
  </si>
  <si>
    <t>YV3T7U522KA195270</t>
  </si>
  <si>
    <t>D8482733K2PL</t>
  </si>
  <si>
    <t>YV3T7U524KA195299</t>
  </si>
  <si>
    <t>D8482727K2PL</t>
  </si>
  <si>
    <t>YV3T7U527KA195300</t>
  </si>
  <si>
    <t>3017 / SFWB-29|</t>
  </si>
  <si>
    <t>SFWB-29|</t>
  </si>
  <si>
    <t>SFWB-29</t>
  </si>
  <si>
    <t>D8482362K2PL</t>
  </si>
  <si>
    <t>YV3T7U526KA195286</t>
  </si>
  <si>
    <t>D8482765K2PL</t>
  </si>
  <si>
    <t>YV3T7U520KA195302</t>
  </si>
  <si>
    <t>D8482772K2PL</t>
  </si>
  <si>
    <t>YV3T7U526KA195305</t>
  </si>
  <si>
    <t>3019 / SFWB-44|</t>
  </si>
  <si>
    <t>SFWB-44|</t>
  </si>
  <si>
    <t>SFWB-44</t>
  </si>
  <si>
    <t>D8481853K2PL</t>
  </si>
  <si>
    <t>YV3T7U523KA195195</t>
  </si>
  <si>
    <t>D8482473K2PL</t>
  </si>
  <si>
    <t>YV3T7U520KA195316</t>
  </si>
  <si>
    <t>D8484011K2PL</t>
  </si>
  <si>
    <t>YV3T7U522KA195592</t>
  </si>
  <si>
    <t>D8483863K2PL</t>
  </si>
  <si>
    <t>YV3T7U526KA195594</t>
  </si>
  <si>
    <t>D8452415K2PL</t>
  </si>
  <si>
    <t>YV3T7U529JA189190</t>
  </si>
  <si>
    <t>D8481542K2PL</t>
  </si>
  <si>
    <t>YV3T7U522KA195172</t>
  </si>
  <si>
    <t>D8482361K2PL</t>
  </si>
  <si>
    <t>YV3T7U528KA195287</t>
  </si>
  <si>
    <t>D8482775K2PL</t>
  </si>
  <si>
    <t>YV3T7U528KA195306</t>
  </si>
  <si>
    <t>3020 / SFWZ-20|</t>
  </si>
  <si>
    <t>SFWZ-20|</t>
  </si>
  <si>
    <t>SFWZ-20</t>
  </si>
  <si>
    <t>D8482721K2PL</t>
  </si>
  <si>
    <t>YV3T7U52XKA195307</t>
  </si>
  <si>
    <t>D8482748K2PL</t>
  </si>
  <si>
    <t>YV3T7U521KA195308</t>
  </si>
  <si>
    <t>D8482485K2PL</t>
  </si>
  <si>
    <t>YV3T7U522KA195317</t>
  </si>
  <si>
    <t>D8481452K2PL</t>
  </si>
  <si>
    <t>YV3T7U525KA195196</t>
  </si>
  <si>
    <t>D8482455K2PL</t>
  </si>
  <si>
    <t>YV3T7U524KA195318</t>
  </si>
  <si>
    <t>3021 / SFWZ-36|</t>
  </si>
  <si>
    <t>SFWZ-36|</t>
  </si>
  <si>
    <t>SFWZ-36</t>
  </si>
  <si>
    <t>D8482471K2PL</t>
  </si>
  <si>
    <t>YV3T7U526KA195319</t>
  </si>
  <si>
    <t>D8482458K2PL</t>
  </si>
  <si>
    <t>YV3T7U522KA195320</t>
  </si>
  <si>
    <t>D8482397K2PL</t>
  </si>
  <si>
    <t>YV3T7U524KA195321</t>
  </si>
  <si>
    <t>D8482405K2PL</t>
  </si>
  <si>
    <t>YV3T7U526KA195322</t>
  </si>
  <si>
    <t>D8482402K2PL</t>
  </si>
  <si>
    <t>YV3T7U528KA195323</t>
  </si>
  <si>
    <t>3022 / SFWB-31|</t>
  </si>
  <si>
    <t>SFWB-31|</t>
  </si>
  <si>
    <t>SFWB-31</t>
  </si>
  <si>
    <t>D8482422K2PL</t>
  </si>
  <si>
    <t>YV3T7U521KA195325</t>
  </si>
  <si>
    <t>D8482534K2PL</t>
  </si>
  <si>
    <t>YV3T7U527KA195359</t>
  </si>
  <si>
    <t>3023 / SFWB-33|</t>
  </si>
  <si>
    <t>SFWB-33|</t>
  </si>
  <si>
    <t>SFWB-33</t>
  </si>
  <si>
    <t>D8482872K2PL</t>
  </si>
  <si>
    <t>YV3T7U52XKA195405</t>
  </si>
  <si>
    <t>D8482892K2PL</t>
  </si>
  <si>
    <t>YV3T7U521KA195406</t>
  </si>
  <si>
    <t>D8481676K2PL</t>
  </si>
  <si>
    <t>YV3T7U520KA195199</t>
  </si>
  <si>
    <t>D8481773K2PL</t>
  </si>
  <si>
    <t>YV3T7U522KA195429</t>
  </si>
  <si>
    <t>D8483496K2PL</t>
  </si>
  <si>
    <t>YV3T7U52XKA195551</t>
  </si>
  <si>
    <t>D8483527K2PL</t>
  </si>
  <si>
    <t>YV3T7U521KA195552</t>
  </si>
  <si>
    <t>D8483438K2PL</t>
  </si>
  <si>
    <t>YV3T7U525KA195554</t>
  </si>
  <si>
    <t>3024 / SFWB-76|</t>
  </si>
  <si>
    <t>SFWB-76|</t>
  </si>
  <si>
    <t>SFWB-76</t>
  </si>
  <si>
    <t>D8484688K2PL</t>
  </si>
  <si>
    <t>YV3T7U521KA195714</t>
  </si>
  <si>
    <t>D8482515K2PL</t>
  </si>
  <si>
    <t>YV3T7U524KA195349</t>
  </si>
  <si>
    <t>D8482526K2PL</t>
  </si>
  <si>
    <t>YV3T7U526KA195353</t>
  </si>
  <si>
    <t>D8482598K2PL</t>
  </si>
  <si>
    <t>YV3T7U52XKA195355</t>
  </si>
  <si>
    <t>D8483001K2PL</t>
  </si>
  <si>
    <t>YV3T7U526KA195403</t>
  </si>
  <si>
    <t>3025 / SFVZ-44|</t>
  </si>
  <si>
    <t>SFVZ-44|</t>
  </si>
  <si>
    <t>SFVZ-44</t>
  </si>
  <si>
    <t>D8483444K2PL</t>
  </si>
  <si>
    <t>YV3T7U528KA195404</t>
  </si>
  <si>
    <t>D8481462K2PL</t>
  </si>
  <si>
    <t>YV3T7U523KA195200</t>
  </si>
  <si>
    <t>D8481807K2PL</t>
  </si>
  <si>
    <t>YV3T7U520KA195428</t>
  </si>
  <si>
    <t>D8481802K2PL</t>
  </si>
  <si>
    <t>YV3T7U529KA195430</t>
  </si>
  <si>
    <t>3026 / SFVZ-81|</t>
  </si>
  <si>
    <t>SFVZ-81|</t>
  </si>
  <si>
    <t>SFVZ-81</t>
  </si>
  <si>
    <t>D8481788K2PL</t>
  </si>
  <si>
    <t>YV3T7U520KA195431</t>
  </si>
  <si>
    <t>D8483123K2PL</t>
  </si>
  <si>
    <t>YV3T7U525KA195487</t>
  </si>
  <si>
    <t>D8483090K2PL</t>
  </si>
  <si>
    <t>YV3T7U527KA195488</t>
  </si>
  <si>
    <t>D8483468K2PL</t>
  </si>
  <si>
    <t>YV3T7U525KA195571</t>
  </si>
  <si>
    <t>D8483819K2PL</t>
  </si>
  <si>
    <t>YV3T7U520KA195686</t>
  </si>
  <si>
    <t>D8481869K2PL</t>
  </si>
  <si>
    <t>YV3T7U521KA195194</t>
  </si>
  <si>
    <t>D8483079K2PL</t>
  </si>
  <si>
    <t>YV3T7U529KA195489</t>
  </si>
  <si>
    <t>D8483914K2PL</t>
  </si>
  <si>
    <t>YV3T7U524KA195593</t>
  </si>
  <si>
    <t>3027 / SFVZ-85|</t>
  </si>
  <si>
    <t>SFVZ-85|</t>
  </si>
  <si>
    <t>SFVZ-85</t>
  </si>
  <si>
    <t>LDYECS31XS0043931</t>
  </si>
  <si>
    <t>MDN35025010058</t>
  </si>
  <si>
    <t>Zhong Tong</t>
  </si>
  <si>
    <t>Lck6122evg</t>
  </si>
  <si>
    <t>ZHONGTONG</t>
  </si>
  <si>
    <t>LCK6122EVG</t>
  </si>
  <si>
    <t>3028 / SFWB-75|</t>
  </si>
  <si>
    <t>SFWB-75|</t>
  </si>
  <si>
    <t>SFWB-75</t>
  </si>
  <si>
    <t>LDYECS315S0043917</t>
  </si>
  <si>
    <t>MDN35025010105</t>
  </si>
  <si>
    <t>LDYECS319S0043970</t>
  </si>
  <si>
    <t>MDN35025010061</t>
  </si>
  <si>
    <t>LDYECS318S0043930</t>
  </si>
  <si>
    <t>MDN35025010059</t>
  </si>
  <si>
    <t>LDYECS319S0043919</t>
  </si>
  <si>
    <t>MDN35025010112</t>
  </si>
  <si>
    <t>LDYECS314S0043908</t>
  </si>
  <si>
    <t>MDN35025010130</t>
  </si>
  <si>
    <t>3030 / SFWZ-14|</t>
  </si>
  <si>
    <t>SFWZ-14|</t>
  </si>
  <si>
    <t>SFWZ-14</t>
  </si>
  <si>
    <t>LDYECS312S0043924</t>
  </si>
  <si>
    <t>MDN35025010050</t>
  </si>
  <si>
    <t>LDYECS311S0043946</t>
  </si>
  <si>
    <t>MDN35025010056</t>
  </si>
  <si>
    <t>LDYECS318S0043913</t>
  </si>
  <si>
    <t>MDN35025010045</t>
  </si>
  <si>
    <t>LDYECS31XS0043895</t>
  </si>
  <si>
    <t>MDN35025010235</t>
  </si>
  <si>
    <t>LDYECS317S0043935</t>
  </si>
  <si>
    <t>MDN35025010210</t>
  </si>
  <si>
    <t>LDYECS316S0043926</t>
  </si>
  <si>
    <t>MDN35025010044</t>
  </si>
  <si>
    <t>3031 / SFWZ-33|</t>
  </si>
  <si>
    <t>SFWZ-33|</t>
  </si>
  <si>
    <t>SFWZ-33</t>
  </si>
  <si>
    <t>LDYECS31XS0043914</t>
  </si>
  <si>
    <t>MDN35025010074</t>
  </si>
  <si>
    <t>LDYECS310S0043906</t>
  </si>
  <si>
    <t>MDN35025010080</t>
  </si>
  <si>
    <t>LDYECS31XS0043928</t>
  </si>
  <si>
    <t>MDN35025010051</t>
  </si>
  <si>
    <t>LDYECS315S0043934</t>
  </si>
  <si>
    <t>MDN35025010214</t>
  </si>
  <si>
    <t>CERRILLOS</t>
  </si>
  <si>
    <t>Calle Uno 7371</t>
  </si>
  <si>
    <t>LDYECS317S0043983</t>
  </si>
  <si>
    <t>MDN35025020100</t>
  </si>
  <si>
    <t>LDYECS315S0043979</t>
  </si>
  <si>
    <t>MDN35025020094</t>
  </si>
  <si>
    <t>LDYECS314S0043956</t>
  </si>
  <si>
    <t>MDN35025020090</t>
  </si>
  <si>
    <t>LDYECS316S0043957</t>
  </si>
  <si>
    <t>MDN35025020069</t>
  </si>
  <si>
    <t>3032 / SFWZ-34|</t>
  </si>
  <si>
    <t>SFWZ-34|</t>
  </si>
  <si>
    <t>SFWZ-34</t>
  </si>
  <si>
    <t>LDYECS319S0043953</t>
  </si>
  <si>
    <t>MDN35025020052</t>
  </si>
  <si>
    <t>LDYECS310S0043954</t>
  </si>
  <si>
    <t>MDN35025020088</t>
  </si>
  <si>
    <t>LDYECS311S0043915</t>
  </si>
  <si>
    <t>MDN35025010066</t>
  </si>
  <si>
    <t>LDYECS319S0043984</t>
  </si>
  <si>
    <t>MDN35025020097</t>
  </si>
  <si>
    <t>Cerrillos</t>
  </si>
  <si>
    <t>LDYECS314S0043987</t>
  </si>
  <si>
    <t>MDN35025020056</t>
  </si>
  <si>
    <t>LDYECS314S0043973</t>
  </si>
  <si>
    <t>MDN35025020087</t>
  </si>
  <si>
    <t>3033 / SFVZ-29|</t>
  </si>
  <si>
    <t>SFVZ-29|</t>
  </si>
  <si>
    <t>SFVZ-29</t>
  </si>
  <si>
    <t>LDYECS316S0043974</t>
  </si>
  <si>
    <t>MDN35025020079</t>
  </si>
  <si>
    <t>LDYECS311S0043980</t>
  </si>
  <si>
    <t>MDN35025020095</t>
  </si>
  <si>
    <t>LDYECS319S0044004</t>
  </si>
  <si>
    <t>MDN35025020057</t>
  </si>
  <si>
    <t>LDYECS312S0043955</t>
  </si>
  <si>
    <t>MDN35025020084</t>
  </si>
  <si>
    <t>LDYECS318S0043989</t>
  </si>
  <si>
    <t>MDN35025020060</t>
  </si>
  <si>
    <t>3035 / SFWB-64|</t>
  </si>
  <si>
    <t>SFWB-64|</t>
  </si>
  <si>
    <t>SFWB-64</t>
  </si>
  <si>
    <t>LDYECS311S0043977</t>
  </si>
  <si>
    <t>MDN35025020058</t>
  </si>
  <si>
    <t>LDYECS318S0043975</t>
  </si>
  <si>
    <t>MDN35025020063</t>
  </si>
  <si>
    <t>LDYECS312S0043910</t>
  </si>
  <si>
    <t>MDN35025010079</t>
  </si>
  <si>
    <t>LDYECS316S0043991</t>
  </si>
  <si>
    <t>MDN35025020122</t>
  </si>
  <si>
    <t>3036 / SFWB-77|</t>
  </si>
  <si>
    <t>SFWB-77|</t>
  </si>
  <si>
    <t>SFWB-77</t>
  </si>
  <si>
    <t>LDYECS317S0044115</t>
  </si>
  <si>
    <t>MDN35025010018</t>
  </si>
  <si>
    <t>LDYECS315S0043996</t>
  </si>
  <si>
    <t>MDN35025020055</t>
  </si>
  <si>
    <t>LDYECS313S0043978</t>
  </si>
  <si>
    <t>MDN35025020093</t>
  </si>
  <si>
    <t>LDYECS31XS0044027</t>
  </si>
  <si>
    <t>MDN35025020112</t>
  </si>
  <si>
    <t>LDYECS315S0043982</t>
  </si>
  <si>
    <t>MDN35025020067</t>
  </si>
  <si>
    <t>LDYECS317S0043997</t>
  </si>
  <si>
    <t>MDN35025020022</t>
  </si>
  <si>
    <t>3037 / SFWB-87|</t>
  </si>
  <si>
    <t>SFWB-87|</t>
  </si>
  <si>
    <t>SFWB-87</t>
  </si>
  <si>
    <t>LDYECS314S0043911</t>
  </si>
  <si>
    <t>MDN35025010115</t>
  </si>
  <si>
    <t>LDYECS314S0043925</t>
  </si>
  <si>
    <t>MDN35025010120</t>
  </si>
  <si>
    <t>LDYECS315S0043898</t>
  </si>
  <si>
    <t>MDN35025010184</t>
  </si>
  <si>
    <t>LDYECS316S0043909</t>
  </si>
  <si>
    <t>MDN35025010068</t>
  </si>
  <si>
    <t>3038 / SFWB-90|</t>
  </si>
  <si>
    <t>SFWB-90|</t>
  </si>
  <si>
    <t>SFWB-90</t>
  </si>
  <si>
    <t>LDYECS316S0043943</t>
  </si>
  <si>
    <t>MDN35025010049</t>
  </si>
  <si>
    <t>Estacion Central</t>
  </si>
  <si>
    <t>LDYECS319S0043905</t>
  </si>
  <si>
    <t>MDN35025010108</t>
  </si>
  <si>
    <t>SAN ALFONSO</t>
  </si>
  <si>
    <t>San Alfonso 2141 (Ramón Subercaseaux 3060)</t>
  </si>
  <si>
    <t>YV3T7U520JA189191</t>
  </si>
  <si>
    <t>B8RLEA</t>
  </si>
  <si>
    <t>C</t>
  </si>
  <si>
    <t>YV3T7U523LA201711</t>
  </si>
  <si>
    <t>GRAN VIALE</t>
  </si>
  <si>
    <t>PIE ANDINO</t>
  </si>
  <si>
    <t>Pie Andino 31 (Pie Andino 383)</t>
  </si>
  <si>
    <t>Puente Alto</t>
  </si>
  <si>
    <t>3040 / SFWZ-27|</t>
  </si>
  <si>
    <t>SFWZ-27|</t>
  </si>
  <si>
    <t>SFWZ-27</t>
  </si>
  <si>
    <t>YV3T7U527LA201923</t>
  </si>
  <si>
    <t>3041 / SFVZ-49|</t>
  </si>
  <si>
    <t>SFVZ-49|</t>
  </si>
  <si>
    <t>SFVZ-49</t>
  </si>
  <si>
    <t>YV3T7U525LA201709</t>
  </si>
  <si>
    <t>YV3T7U520LA201665</t>
  </si>
  <si>
    <t>YV3T7U521LA201710</t>
  </si>
  <si>
    <t>YV3T7U526LA201699</t>
  </si>
  <si>
    <t>YV3T7U522LA201697</t>
  </si>
  <si>
    <t>YV3T7U524LA201698</t>
  </si>
  <si>
    <t>YV3T7U523LA198728</t>
  </si>
  <si>
    <t>YV3T7U526LA201623</t>
  </si>
  <si>
    <t>YV3T7U52XLA198726</t>
  </si>
  <si>
    <t>YV3T7U526LA198724</t>
  </si>
  <si>
    <t>3042 / SFVZ-56|</t>
  </si>
  <si>
    <t>SFVZ-56|</t>
  </si>
  <si>
    <t>SFVZ-56</t>
  </si>
  <si>
    <t>YV3T7U521LA201500</t>
  </si>
  <si>
    <t>YV3T7U522LA198722</t>
  </si>
  <si>
    <t>3044 / SFVZ-67|</t>
  </si>
  <si>
    <t>SFVZ-67|</t>
  </si>
  <si>
    <t>SFVZ-67</t>
  </si>
  <si>
    <t>YV3T7U520LA201696</t>
  </si>
  <si>
    <t>YV3T7U52XLA201608</t>
  </si>
  <si>
    <t>YV3T7U521LA201545</t>
  </si>
  <si>
    <t>YV3T7U528LA201543</t>
  </si>
  <si>
    <t>YV3T7U528LA201624</t>
  </si>
  <si>
    <t>3045 / SFWB-48|</t>
  </si>
  <si>
    <t>SFWB-48|</t>
  </si>
  <si>
    <t>SFWB-48</t>
  </si>
  <si>
    <t>YV3T7U525LA198729</t>
  </si>
  <si>
    <t>YV3T7U526LA201542</t>
  </si>
  <si>
    <t>YV3T7U524LA201622</t>
  </si>
  <si>
    <t>YV3T7U52XLA201544</t>
  </si>
  <si>
    <t>YV3T7U528LA198725</t>
  </si>
  <si>
    <t>YV3T7U524LA201667</t>
  </si>
  <si>
    <t>3046 / SFWB-98|</t>
  </si>
  <si>
    <t>SFWB-98|</t>
  </si>
  <si>
    <t>SFWB-98</t>
  </si>
  <si>
    <t>YV3T7U524LA201670</t>
  </si>
  <si>
    <t>YV3T7U52XLA201625</t>
  </si>
  <si>
    <t>YV3T7U520LA201620</t>
  </si>
  <si>
    <t>YV3T7U526LA201606</t>
  </si>
  <si>
    <t>YV3T7U527LA201498</t>
  </si>
  <si>
    <t>YV3T7U522LA201540</t>
  </si>
  <si>
    <t>3047 / SFVZ-39|</t>
  </si>
  <si>
    <t>SFVZ-39|</t>
  </si>
  <si>
    <t>SFVZ-39</t>
  </si>
  <si>
    <t>YV3T7U526LA201668</t>
  </si>
  <si>
    <t>YV3T7U529LA201695</t>
  </si>
  <si>
    <t>YV3T7U521LA201609</t>
  </si>
  <si>
    <t>YV3T7U522LA201621</t>
  </si>
  <si>
    <t>YV3T7U528LA201607</t>
  </si>
  <si>
    <t>YV3T7U527LA201694</t>
  </si>
  <si>
    <t>3048 / SFVZ-96|</t>
  </si>
  <si>
    <t>SFVZ-96|</t>
  </si>
  <si>
    <t>SFVZ-96</t>
  </si>
  <si>
    <t>YV3T7U528LA201610</t>
  </si>
  <si>
    <t>YV3T7U525LA201922</t>
  </si>
  <si>
    <t>YV3T7U527LA201906</t>
  </si>
  <si>
    <t>YV3T7U528LA201848</t>
  </si>
  <si>
    <t>YV3T7U523LA201708</t>
  </si>
  <si>
    <t>YV3T7U525LA201905</t>
  </si>
  <si>
    <t>YV3T7U520LA201908</t>
  </si>
  <si>
    <t>3049 / SFWZ-13|</t>
  </si>
  <si>
    <t>SFWZ-13|</t>
  </si>
  <si>
    <t>SFWZ-13</t>
  </si>
  <si>
    <t>YV3T7U529LA201907</t>
  </si>
  <si>
    <t>YV3T7U526LA201802</t>
  </si>
  <si>
    <t>YV3T7U523LA201904</t>
  </si>
  <si>
    <t>YV3T7U525LA201712</t>
  </si>
  <si>
    <t>3050 / SFWB-82|</t>
  </si>
  <si>
    <t>SFWB-82|</t>
  </si>
  <si>
    <t>SFWB-82</t>
  </si>
  <si>
    <t>YV3T7U526LA201847</t>
  </si>
  <si>
    <t>YV3T7U528LA201851</t>
  </si>
  <si>
    <t>3051 / SFVZ-80|</t>
  </si>
  <si>
    <t>SFVZ-80|</t>
  </si>
  <si>
    <t>SFVZ-80</t>
  </si>
  <si>
    <t>YV3T7U529LA201499</t>
  </si>
  <si>
    <t>3052 / SFVZ-86|</t>
  </si>
  <si>
    <t>SFVZ-86|</t>
  </si>
  <si>
    <t>SFVZ-86</t>
  </si>
  <si>
    <t>YV3T7U524LA201541</t>
  </si>
  <si>
    <t>YV3T7U524LA198723</t>
  </si>
  <si>
    <t>YV3T7U528KA194902</t>
  </si>
  <si>
    <t>MONDEGO II</t>
  </si>
  <si>
    <t>YV3T7U52XNA207976</t>
  </si>
  <si>
    <t>YV3T7U52XNA207895</t>
  </si>
  <si>
    <t>YV3T7U528NA207894</t>
  </si>
  <si>
    <t>3053 / SFWB-21|</t>
  </si>
  <si>
    <t>SFWB-21|</t>
  </si>
  <si>
    <t>SFWB-21</t>
  </si>
  <si>
    <t>YV3T7U526NA207893</t>
  </si>
  <si>
    <t>YV3T7U525NA207884</t>
  </si>
  <si>
    <t>3054 / SFWB-24|</t>
  </si>
  <si>
    <t>SFWB-24|</t>
  </si>
  <si>
    <t>SFWB-24</t>
  </si>
  <si>
    <t>YV3T7U523NA207995</t>
  </si>
  <si>
    <t>YV3T7U521NA207834</t>
  </si>
  <si>
    <t>YV3T7U529NA207967</t>
  </si>
  <si>
    <t>YV3T7U528NA207930</t>
  </si>
  <si>
    <t>YV3T7U522NA207891</t>
  </si>
  <si>
    <t>3055 / SFWB-51|</t>
  </si>
  <si>
    <t>SFWB-51|</t>
  </si>
  <si>
    <t>SFWB-51</t>
  </si>
  <si>
    <t>YV3T7U52XNA207881</t>
  </si>
  <si>
    <t>YV3T7U527NA207837</t>
  </si>
  <si>
    <t>YV3T7U527NA207935</t>
  </si>
  <si>
    <t>YV3T7U524NA207892</t>
  </si>
  <si>
    <t>3056 / SFWB-61|</t>
  </si>
  <si>
    <t>SFWB-61|</t>
  </si>
  <si>
    <t>SFWB-61</t>
  </si>
  <si>
    <t>YV3T7U523NA207835</t>
  </si>
  <si>
    <t>YV3T7U52XNA207833</t>
  </si>
  <si>
    <t>3057 / SFWB-16|</t>
  </si>
  <si>
    <t>SFWB-16|</t>
  </si>
  <si>
    <t>SFWB-16</t>
  </si>
  <si>
    <t>YV3T7U520NA207937</t>
  </si>
  <si>
    <t>YV3T7U523NA207978</t>
  </si>
  <si>
    <t>YV3T7U525NA207934</t>
  </si>
  <si>
    <t>3058 / SFWB-85|</t>
  </si>
  <si>
    <t>SFWB-85|</t>
  </si>
  <si>
    <t>SFWB-85</t>
  </si>
  <si>
    <t>YV3T7U523NA207933</t>
  </si>
  <si>
    <t>YV3T7U521NA207932</t>
  </si>
  <si>
    <t>YV3T7U52XNA207931</t>
  </si>
  <si>
    <t>3060 / SFWB-14|</t>
  </si>
  <si>
    <t>SFWB-14|</t>
  </si>
  <si>
    <t>SFWB-14</t>
  </si>
  <si>
    <t>YV3T7U52XNA207928</t>
  </si>
  <si>
    <t>YV3T7U528NA207927</t>
  </si>
  <si>
    <t>3061 / SFWB-68|</t>
  </si>
  <si>
    <t>SFWB-68|</t>
  </si>
  <si>
    <t>SFWB-68</t>
  </si>
  <si>
    <t>YV3T7U521NA208143</t>
  </si>
  <si>
    <t>YV3T7U523NA208144</t>
  </si>
  <si>
    <t>YV3T7U522NA208152</t>
  </si>
  <si>
    <t>YV3T7U527NA208163</t>
  </si>
  <si>
    <t>YV3T7U528NA208169</t>
  </si>
  <si>
    <t>YV3T7U525NA208193</t>
  </si>
  <si>
    <t>3062 / SFWZ-10|</t>
  </si>
  <si>
    <t>SFWZ-10|</t>
  </si>
  <si>
    <t>SFWZ-10</t>
  </si>
  <si>
    <t>YV3T7U529RA212110</t>
  </si>
  <si>
    <t>YV3T7U522RA212109</t>
  </si>
  <si>
    <t>YV3T7U521RA211954</t>
  </si>
  <si>
    <t>YV3T7U527RA211988</t>
  </si>
  <si>
    <t>YV3T7U529RA211989</t>
  </si>
  <si>
    <t>YV3T7U525RA211990</t>
  </si>
  <si>
    <t>YV3T7U527RA211991</t>
  </si>
  <si>
    <t>YV3T7U529RA211992</t>
  </si>
  <si>
    <t>YV3T7U520RA211993</t>
  </si>
  <si>
    <t>3063 / SFWZ-21|</t>
  </si>
  <si>
    <t>SFWZ-21|</t>
  </si>
  <si>
    <t>SFWZ-21</t>
  </si>
  <si>
    <t>YV3T7U529RA212107</t>
  </si>
  <si>
    <t>MDN35025020059</t>
  </si>
  <si>
    <t>LDYECS312S0043986</t>
  </si>
  <si>
    <t>MDN35025020068</t>
  </si>
  <si>
    <t>LDYECS318S0044009</t>
  </si>
  <si>
    <t>MDN35025020104</t>
  </si>
  <si>
    <t>LDYECS315S0044016</t>
  </si>
  <si>
    <t>MDN35025020124</t>
  </si>
  <si>
    <t>LDYECS311S0044014</t>
  </si>
  <si>
    <t>MDN35025020027</t>
  </si>
  <si>
    <t>LDYECS317S0044003</t>
  </si>
  <si>
    <t>MDN35025020086</t>
  </si>
  <si>
    <t>LDYECS31XS0043976</t>
  </si>
  <si>
    <t>3064 / SFWZ-61|</t>
  </si>
  <si>
    <t>SFWZ-61|</t>
  </si>
  <si>
    <t>SFWZ-61</t>
  </si>
  <si>
    <t>MDN35025020119</t>
  </si>
  <si>
    <t>LDYECS313S0043981</t>
  </si>
  <si>
    <t>MDN35025020092</t>
  </si>
  <si>
    <t>LDYECS319S0043998</t>
  </si>
  <si>
    <t>MDN35025020153</t>
  </si>
  <si>
    <t>LDYECS310S0043999</t>
  </si>
  <si>
    <t>MDN35025010097</t>
  </si>
  <si>
    <t>LDYECS318S0044110</t>
  </si>
  <si>
    <t>MDN35025020026</t>
  </si>
  <si>
    <t>LDYECS31XS0043993</t>
  </si>
  <si>
    <t xml:space="preserve">3064 / SFWZ-61| </t>
  </si>
  <si>
    <t xml:space="preserve">FWZ-61| </t>
  </si>
  <si>
    <t>FWZ-61|</t>
  </si>
  <si>
    <t>MDN35025020048</t>
  </si>
  <si>
    <t>LDYECS316S0043988</t>
  </si>
  <si>
    <t>3065 / SFVZ-40|</t>
  </si>
  <si>
    <t>SFVZ-40|</t>
  </si>
  <si>
    <t>SFVZ-40</t>
  </si>
  <si>
    <t>MDN35025020053</t>
  </si>
  <si>
    <t>LDYECS310S0043985</t>
  </si>
  <si>
    <t>MDN35025020080</t>
  </si>
  <si>
    <t>LDYECS314S0043990</t>
  </si>
  <si>
    <t>MDN35025020046</t>
  </si>
  <si>
    <t>LDYECS311S0043994</t>
  </si>
  <si>
    <t>MDN35025020061</t>
  </si>
  <si>
    <t>LDYECS318S0043992</t>
  </si>
  <si>
    <t>MDN35025020044</t>
  </si>
  <si>
    <t>LDYECS31XS0044058</t>
  </si>
  <si>
    <t>MDN35025020113</t>
  </si>
  <si>
    <t>LDYECS318S0044012</t>
  </si>
  <si>
    <t>3066 / SFWB-10|</t>
  </si>
  <si>
    <t>SFWB-10|</t>
  </si>
  <si>
    <t>SFWB-10</t>
  </si>
  <si>
    <t>MDN35025020051</t>
  </si>
  <si>
    <t>LDYECS310S0044019</t>
  </si>
  <si>
    <t>MDN35025020130</t>
  </si>
  <si>
    <t>LDYECS319S0044021</t>
  </si>
  <si>
    <t>MDN35025020025</t>
  </si>
  <si>
    <t>LDYECS313S0044001</t>
  </si>
  <si>
    <t>MDN35025020054</t>
  </si>
  <si>
    <t>LDYECS311S0044000</t>
  </si>
  <si>
    <t>MDN35025020154</t>
  </si>
  <si>
    <t>LDYECS315S0044002</t>
  </si>
  <si>
    <t>3067 / SFWB-73|</t>
  </si>
  <si>
    <t>SFWB-73|</t>
  </si>
  <si>
    <t>SFWB-73</t>
  </si>
  <si>
    <t>MDN35025020121</t>
  </si>
  <si>
    <t>LDYECS314S0044007</t>
  </si>
  <si>
    <t>MDN35025020096</t>
  </si>
  <si>
    <t>LDYECS318S0044060</t>
  </si>
  <si>
    <t>3068 / SFWB-84|</t>
  </si>
  <si>
    <t>SFWB-84|</t>
  </si>
  <si>
    <t>SFWB-84</t>
  </si>
  <si>
    <t>MDN35025020045</t>
  </si>
  <si>
    <t>LDYECS312S0044023</t>
  </si>
  <si>
    <t>3069 / SFWZ-32|</t>
  </si>
  <si>
    <t>SFWZ-32|</t>
  </si>
  <si>
    <t>SFWZ-32</t>
  </si>
  <si>
    <t>MDN35025020128</t>
  </si>
  <si>
    <t>LDYECS31XS0044030</t>
  </si>
  <si>
    <t>MDN35025010019</t>
  </si>
  <si>
    <t>LDYECS319S0044116</t>
  </si>
  <si>
    <t>MDN35025020127</t>
  </si>
  <si>
    <t>LDYECS313S0044029</t>
  </si>
  <si>
    <t>MDN35025020123</t>
  </si>
  <si>
    <t>LDYECS314S0044010</t>
  </si>
  <si>
    <t>MDN35025020070</t>
  </si>
  <si>
    <t>LDYECS313S0043995</t>
  </si>
  <si>
    <t>3070 / SFWZ-38|</t>
  </si>
  <si>
    <t>SFWZ-38|</t>
  </si>
  <si>
    <t>SFWZ-38</t>
  </si>
  <si>
    <t>MDN35025020109</t>
  </si>
  <si>
    <t>LDYECS314S0044024</t>
  </si>
  <si>
    <t>3071 / SFWZ-29|</t>
  </si>
  <si>
    <t>SFWZ-29|</t>
  </si>
  <si>
    <t>SFWZ-29</t>
  </si>
  <si>
    <t>MDN35025020024</t>
  </si>
  <si>
    <t>LDYECS318S0044026</t>
  </si>
  <si>
    <t>MDN35025020049</t>
  </si>
  <si>
    <t>LDYECS310S0044005</t>
  </si>
  <si>
    <t>3072 / SFWB-89|</t>
  </si>
  <si>
    <t>SFWB-89|</t>
  </si>
  <si>
    <t>SFWB-89</t>
  </si>
  <si>
    <t>MDN35025020108</t>
  </si>
  <si>
    <t>LDYECS31XS0044061</t>
  </si>
  <si>
    <t>MDN35025020064</t>
  </si>
  <si>
    <t>LDYECS316S0044008</t>
  </si>
  <si>
    <t>MDN35025020103</t>
  </si>
  <si>
    <t>LDYECS313S0044015</t>
  </si>
  <si>
    <t>3073 / SFWB-96|</t>
  </si>
  <si>
    <t>SFWB-96|</t>
  </si>
  <si>
    <t>SFWB-96</t>
  </si>
  <si>
    <t>MDN35025020131</t>
  </si>
  <si>
    <t>LDYECS317S0044017</t>
  </si>
  <si>
    <t>3074 / SFWZ-17|</t>
  </si>
  <si>
    <t>SFWZ-17|</t>
  </si>
  <si>
    <t>SFWZ-17</t>
  </si>
  <si>
    <t>MDN35025020115</t>
  </si>
  <si>
    <t>LDYECS319S0044018</t>
  </si>
  <si>
    <t>MDN35025020019</t>
  </si>
  <si>
    <t>LDYECS313S0044094</t>
  </si>
  <si>
    <t>MDN35025010038</t>
  </si>
  <si>
    <t>LDYECS315S0044114</t>
  </si>
  <si>
    <t>MDN35025020028</t>
  </si>
  <si>
    <t>LDYECS314S0044041</t>
  </si>
  <si>
    <t>MDN35025020111</t>
  </si>
  <si>
    <t>LDYECS31XS0044013</t>
  </si>
  <si>
    <t>MDN35025020125</t>
  </si>
  <si>
    <t>LDYECS313S0044032</t>
  </si>
  <si>
    <t>MDN35025020117</t>
  </si>
  <si>
    <t>LDYECS310S0044022</t>
  </si>
  <si>
    <t>MDN35025020006</t>
  </si>
  <si>
    <t>LDYECS316S0044073</t>
  </si>
  <si>
    <t>MDN35025020062</t>
  </si>
  <si>
    <t>LDYECS312S0044006</t>
  </si>
  <si>
    <t>3075 / SFWZ-64|</t>
  </si>
  <si>
    <t>SFWZ-64|</t>
  </si>
  <si>
    <t>SFWZ-64</t>
  </si>
  <si>
    <t>MDN35025020116</t>
  </si>
  <si>
    <t>LDYECS317S0044020</t>
  </si>
  <si>
    <t>3076 / SFWZ-53|</t>
  </si>
  <si>
    <t>SFWZ-53|</t>
  </si>
  <si>
    <t>SFWZ-53</t>
  </si>
  <si>
    <t>MDN35025020106</t>
  </si>
  <si>
    <t>LDYECS316S0044025</t>
  </si>
  <si>
    <t>MDN35025020110</t>
  </si>
  <si>
    <t>LDYECS317S0044034</t>
  </si>
  <si>
    <t>MDN35025020035</t>
  </si>
  <si>
    <t>LDYECS319S0044052</t>
  </si>
  <si>
    <t>3077 / SFWZ-55|</t>
  </si>
  <si>
    <t>SFWZ-55|</t>
  </si>
  <si>
    <t>SFWZ-55</t>
  </si>
  <si>
    <t>MDN35025020077</t>
  </si>
  <si>
    <t>LDYECS312S0044037</t>
  </si>
  <si>
    <t>MDN35025020033</t>
  </si>
  <si>
    <t>LDYECS318S0044088</t>
  </si>
  <si>
    <t>MDN35025010021</t>
  </si>
  <si>
    <t>LDYECS313S0044113</t>
  </si>
  <si>
    <t>MDN35025020120</t>
  </si>
  <si>
    <t>LDYECS316S0044011</t>
  </si>
  <si>
    <t>3078 / SFWZ-69|</t>
  </si>
  <si>
    <t>SFWZ-69|</t>
  </si>
  <si>
    <t>SFWZ-69</t>
  </si>
  <si>
    <t>MDN35025020101</t>
  </si>
  <si>
    <t>LDYECS315S0044047</t>
  </si>
  <si>
    <t>MDN35025020071</t>
  </si>
  <si>
    <t>LDYECS316S0044039</t>
  </si>
  <si>
    <t>MDN35025010192</t>
  </si>
  <si>
    <t>LDYECS312S0044054</t>
  </si>
  <si>
    <t>MDN35025010191</t>
  </si>
  <si>
    <t>LDYECS316S0044056</t>
  </si>
  <si>
    <t>MDN35025010217</t>
  </si>
  <si>
    <t>LDYECS319S0044083</t>
  </si>
  <si>
    <t>3079 / SFWZ-62|</t>
  </si>
  <si>
    <t>SFWZ-62|</t>
  </si>
  <si>
    <t>SFWZ-62</t>
  </si>
  <si>
    <t>MDN35025020132</t>
  </si>
  <si>
    <t>LDYECS318S0044057</t>
  </si>
  <si>
    <t>MDN35025020073</t>
  </si>
  <si>
    <t>LDYECS315S0044050</t>
  </si>
  <si>
    <t>MDN35025010190</t>
  </si>
  <si>
    <t>LDYECS310S0044084</t>
  </si>
  <si>
    <t>3080 / SFWZ-65|</t>
  </si>
  <si>
    <t>SFWZ-65|</t>
  </si>
  <si>
    <t>SFWZ-65</t>
  </si>
  <si>
    <t>MDN35025020029</t>
  </si>
  <si>
    <t>LDYECS311S0044045</t>
  </si>
  <si>
    <t>MDN35025010198</t>
  </si>
  <si>
    <t>LDYECS314S0044038</t>
  </si>
  <si>
    <t>MDN35025020050</t>
  </si>
  <si>
    <t>LDYECS311S0044028</t>
  </si>
  <si>
    <t>MDN35025020099</t>
  </si>
  <si>
    <t>LDYECS311S0044031</t>
  </si>
  <si>
    <t>MDN35025010246</t>
  </si>
  <si>
    <t>LDYECS314S0044055</t>
  </si>
  <si>
    <t>MDN35025020047</t>
  </si>
  <si>
    <t>LDYECS310S0044036</t>
  </si>
  <si>
    <t>MDN35025020114</t>
  </si>
  <si>
    <t>LDYECS315S0044033</t>
  </si>
  <si>
    <t>3082 / SFWZ-56|</t>
  </si>
  <si>
    <t>SFWZ-56|</t>
  </si>
  <si>
    <t>SFWZ-56</t>
  </si>
  <si>
    <t>MDN35025020031</t>
  </si>
  <si>
    <t>LDYECS319S0044049</t>
  </si>
  <si>
    <t>MDN35025020072</t>
  </si>
  <si>
    <t>LDYECS317S0044051</t>
  </si>
  <si>
    <t>3083 / SFWZ-70|</t>
  </si>
  <si>
    <t>SFWZ-70|</t>
  </si>
  <si>
    <t>SFWZ-70</t>
  </si>
  <si>
    <t>MDN35025020042</t>
  </si>
  <si>
    <t>LDYECS315S0044078</t>
  </si>
  <si>
    <t>3085 / SFWZ-48|</t>
  </si>
  <si>
    <t>SFWZ-48|</t>
  </si>
  <si>
    <t>SFWZ-48</t>
  </si>
  <si>
    <t>MDN35025020105</t>
  </si>
  <si>
    <t>LDYECS312S0044040</t>
  </si>
  <si>
    <t>MDN35025020129</t>
  </si>
  <si>
    <t>LDYECS319S0044035</t>
  </si>
  <si>
    <t>MDN35025020107</t>
  </si>
  <si>
    <t>LDYECS313S0044063</t>
  </si>
  <si>
    <t>3088 / SFWZ-81|</t>
  </si>
  <si>
    <t>SFWZ-81|</t>
  </si>
  <si>
    <t>SFWZ-81</t>
  </si>
  <si>
    <t>MDN35025010243</t>
  </si>
  <si>
    <t>LDYECS310S0044053</t>
  </si>
  <si>
    <t>MDN35025020034</t>
  </si>
  <si>
    <t>LDYECS315S0044064</t>
  </si>
  <si>
    <t>MDN35025010187</t>
  </si>
  <si>
    <t>LDYECS318S0044043</t>
  </si>
  <si>
    <t>MDN35025010199</t>
  </si>
  <si>
    <t>LDYECS316S0044042</t>
  </si>
  <si>
    <t>MDN35025020089</t>
  </si>
  <si>
    <t>LDYECS317S0044048</t>
  </si>
  <si>
    <t>3089 / SFWZ-73|</t>
  </si>
  <si>
    <t>SFWZ-73|</t>
  </si>
  <si>
    <t>SFWZ-73</t>
  </si>
  <si>
    <t>MDN35025020078</t>
  </si>
  <si>
    <t>LDYECS311S0044062</t>
  </si>
  <si>
    <t>MDN35025020036</t>
  </si>
  <si>
    <t>LDYECS319S0044066</t>
  </si>
  <si>
    <t>MDN35025020126</t>
  </si>
  <si>
    <t>LDYECS318S0044074</t>
  </si>
  <si>
    <t>MDN35025010041</t>
  </si>
  <si>
    <t>LDYECS315S0043819</t>
  </si>
  <si>
    <t>MDN35025020021</t>
  </si>
  <si>
    <t>LDYECS316S0044106</t>
  </si>
  <si>
    <t>MDN35025020102</t>
  </si>
  <si>
    <t>LDYECS31XS0044044</t>
  </si>
  <si>
    <t>MDN35025020003</t>
  </si>
  <si>
    <t>LDYECS314S0044069</t>
  </si>
  <si>
    <t>MDN35025020091</t>
  </si>
  <si>
    <t>LDYECS313S0044046</t>
  </si>
  <si>
    <t>3091 / SFWZ-49|</t>
  </si>
  <si>
    <t>SFWZ-49|</t>
  </si>
  <si>
    <t>SFWZ-49</t>
  </si>
  <si>
    <t>MDN35025020039</t>
  </si>
  <si>
    <t>LDYECS312S0044071</t>
  </si>
  <si>
    <t>MDN35025020085</t>
  </si>
  <si>
    <t>LDYECS311S0044076</t>
  </si>
  <si>
    <t>MDN35025010194</t>
  </si>
  <si>
    <t>LDYECS311S0044059</t>
  </si>
  <si>
    <t>MDN35025010098</t>
  </si>
  <si>
    <t>LDYECS31XS0044111</t>
  </si>
  <si>
    <t>3092 / SFWZ-67|</t>
  </si>
  <si>
    <t>SFWZ-67|</t>
  </si>
  <si>
    <t>SFWZ-67</t>
  </si>
  <si>
    <t>MDN35025020037</t>
  </si>
  <si>
    <t>LDYECS310S0044070</t>
  </si>
  <si>
    <t>MDN35025020023</t>
  </si>
  <si>
    <t>LDYECS310S0044067</t>
  </si>
  <si>
    <t>MDN35025010218</t>
  </si>
  <si>
    <t>LDYECS316S0044087</t>
  </si>
  <si>
    <t>MDN35025020098</t>
  </si>
  <si>
    <t>LDYECS315S0044095</t>
  </si>
  <si>
    <t>MDN35025020038</t>
  </si>
  <si>
    <t>LDYECS317S0044065</t>
  </si>
  <si>
    <t>3093 / SFWZ-82|</t>
  </si>
  <si>
    <t>SFWZ-82|</t>
  </si>
  <si>
    <t>SFWZ-82</t>
  </si>
  <si>
    <t>MDN35025010188</t>
  </si>
  <si>
    <t>LDYECS314S0044072</t>
  </si>
  <si>
    <t>MDN35025010203</t>
  </si>
  <si>
    <t>LDYECS311S0044109</t>
  </si>
  <si>
    <t>MDN35025010193</t>
  </si>
  <si>
    <t>LDYECS312S0044068</t>
  </si>
  <si>
    <t>MDN35025020011</t>
  </si>
  <si>
    <t>LDYECS316S0044090</t>
  </si>
  <si>
    <t>3094 / SFWZ-40|</t>
  </si>
  <si>
    <t>SFWZ-40|</t>
  </si>
  <si>
    <t>SFWZ-40</t>
  </si>
  <si>
    <t>MDN35025010208</t>
  </si>
  <si>
    <t>LDYECS317S0044082</t>
  </si>
  <si>
    <t>MDN35025020043</t>
  </si>
  <si>
    <t>LDYECS31XS0044075</t>
  </si>
  <si>
    <t>MDN35025020017</t>
  </si>
  <si>
    <t>LDYECS312S0044085</t>
  </si>
  <si>
    <t>MDN35025020001</t>
  </si>
  <si>
    <t>LDYECS313S0044077</t>
  </si>
  <si>
    <t>MDN35025010028</t>
  </si>
  <si>
    <t>LDYECS311S0044112</t>
  </si>
  <si>
    <t>MDN35025020032</t>
  </si>
  <si>
    <t>LDYECS319S0044102</t>
  </si>
  <si>
    <t>MDN35025020030</t>
  </si>
  <si>
    <t>LDYECS31XS0044089</t>
  </si>
  <si>
    <t>MDN35025010247</t>
  </si>
  <si>
    <t>LDYECS312S0044104</t>
  </si>
  <si>
    <t>3095 / SFWZ-58|</t>
  </si>
  <si>
    <t>SFWZ-58|</t>
  </si>
  <si>
    <t>SFWZ-58</t>
  </si>
  <si>
    <t>MDN35025010213</t>
  </si>
  <si>
    <t>LDYECS315S0044081</t>
  </si>
  <si>
    <t>MDN35025010226</t>
  </si>
  <si>
    <t>LDYECS313S0044080</t>
  </si>
  <si>
    <t>MDN35025010225</t>
  </si>
  <si>
    <t>LDYECS317S0044079</t>
  </si>
  <si>
    <t>3096 / SFWZ-74|</t>
  </si>
  <si>
    <t>SFWZ-74|</t>
  </si>
  <si>
    <t>SFWZ-74</t>
  </si>
  <si>
    <t>MDN35025010204</t>
  </si>
  <si>
    <t>LDYECS31XS0044108</t>
  </si>
  <si>
    <t>MDN35025020040</t>
  </si>
  <si>
    <t>LDYECS314S0044086</t>
  </si>
  <si>
    <t>MDN35025020018</t>
  </si>
  <si>
    <t>LDYECS315S0044100</t>
  </si>
  <si>
    <t>MDN35025010216</t>
  </si>
  <si>
    <t>LDYECS318S0044107</t>
  </si>
  <si>
    <t>3097 / SFWZ-77|</t>
  </si>
  <si>
    <t>SFWZ-77|</t>
  </si>
  <si>
    <t>SFWZ-77</t>
  </si>
  <si>
    <t>MDN35025010249</t>
  </si>
  <si>
    <t>LDYECS31XS0044092</t>
  </si>
  <si>
    <t>MDN35025020118</t>
  </si>
  <si>
    <t>LDYECS317S0044096</t>
  </si>
  <si>
    <t>MDN35025010242</t>
  </si>
  <si>
    <t>LDYECS317S0044101</t>
  </si>
  <si>
    <t>MDN35025020008</t>
  </si>
  <si>
    <t>LDYECS310S0044103</t>
  </si>
  <si>
    <t>MDN35025020020</t>
  </si>
  <si>
    <t>LDYECS310S0044098</t>
  </si>
  <si>
    <t>MDN35025010252</t>
  </si>
  <si>
    <t>LDYECS311S0044093</t>
  </si>
  <si>
    <t>MDN35025020014</t>
  </si>
  <si>
    <t>LDYECS318S0044091</t>
  </si>
  <si>
    <t>MDN35025020004</t>
  </si>
  <si>
    <t>LDYECS314S0044105</t>
  </si>
  <si>
    <t>MDN35025010245</t>
  </si>
  <si>
    <t>LDYECS312S0044099</t>
  </si>
  <si>
    <t>3099 / SFWZ-37|</t>
  </si>
  <si>
    <t>SFWZ-37|</t>
  </si>
  <si>
    <t>SFWZ-37</t>
  </si>
  <si>
    <t>MDN35025010043</t>
  </si>
  <si>
    <t>LDYECS316S0043831</t>
  </si>
  <si>
    <t>MDN35025010020</t>
  </si>
  <si>
    <t>LDYECS31XS0043833</t>
  </si>
  <si>
    <t>MDN35025010239</t>
  </si>
  <si>
    <t>LDYECS311S0043834</t>
  </si>
  <si>
    <t>MDN35025010027</t>
  </si>
  <si>
    <t>LDYECS314S0043830</t>
  </si>
  <si>
    <t>MDN35025010024</t>
  </si>
  <si>
    <t>LDYECS319S0043824</t>
  </si>
  <si>
    <t>3100 / SFWZ-83|</t>
  </si>
  <si>
    <t>SFWZ-83|</t>
  </si>
  <si>
    <t>SFWZ-83</t>
  </si>
  <si>
    <t>MDN35025010042</t>
  </si>
  <si>
    <t>LDYECS317S0043823</t>
  </si>
  <si>
    <t>MDN35025010034</t>
  </si>
  <si>
    <t>LDYECS310S0043839</t>
  </si>
  <si>
    <t>MDN35025020016</t>
  </si>
  <si>
    <t>LDYECS311S0043820</t>
  </si>
  <si>
    <t>MDN35025010090</t>
  </si>
  <si>
    <t>LDYECS315S0043822</t>
  </si>
  <si>
    <t>MDN35025020041</t>
  </si>
  <si>
    <t>LDYECS319S0044097</t>
  </si>
  <si>
    <t>3102 / SFWZ-59|</t>
  </si>
  <si>
    <t>SFWZ-59|</t>
  </si>
  <si>
    <t>SFWZ-59</t>
  </si>
  <si>
    <t>MDN35025010093</t>
  </si>
  <si>
    <t>LDYECS318S0043846</t>
  </si>
  <si>
    <t>MDN35025010087</t>
  </si>
  <si>
    <t>LDYECS318S0043829</t>
  </si>
  <si>
    <t>MDN35025010031</t>
  </si>
  <si>
    <t>LDYECS318S0043832</t>
  </si>
  <si>
    <t>3103 / SFWZ-78|</t>
  </si>
  <si>
    <t>SFWZ-78|</t>
  </si>
  <si>
    <t>SFWZ-78</t>
  </si>
  <si>
    <t>MDN35025010251</t>
  </si>
  <si>
    <t>LDYECS314S0043844</t>
  </si>
  <si>
    <t>MDN35025010092</t>
  </si>
  <si>
    <t>LDYECS316S0043828</t>
  </si>
  <si>
    <t>MDN35025010241</t>
  </si>
  <si>
    <t>LDYECS312S0043843</t>
  </si>
  <si>
    <t>MDN35025010100</t>
  </si>
  <si>
    <t>LDYECS319S0043841</t>
  </si>
  <si>
    <t>MDN35025010022</t>
  </si>
  <si>
    <t>LDYECS312S0043826</t>
  </si>
  <si>
    <t>MDN35025010032</t>
  </si>
  <si>
    <t>LDYECS315S0043836</t>
  </si>
  <si>
    <t>MDN35025010096</t>
  </si>
  <si>
    <t>LDYECS310S0043825</t>
  </si>
  <si>
    <t>3104 / SFWZ-52|</t>
  </si>
  <si>
    <t>SFWZ-52|</t>
  </si>
  <si>
    <t>SFWZ-52</t>
  </si>
  <si>
    <t>MDN35025010133</t>
  </si>
  <si>
    <t>LDYECS310S0043842</t>
  </si>
  <si>
    <t>MDN35025020065</t>
  </si>
  <si>
    <t>LDYECS317S0043854</t>
  </si>
  <si>
    <t>MDN35025020066</t>
  </si>
  <si>
    <t>LDYECS313S0043849</t>
  </si>
  <si>
    <t>MDN35025010238</t>
  </si>
  <si>
    <t>LDYECS311S0043848</t>
  </si>
  <si>
    <t>MDN35025010109</t>
  </si>
  <si>
    <t>LDYECS31XS0043847</t>
  </si>
  <si>
    <t>MDN35025010035</t>
  </si>
  <si>
    <t>LDYECS314S0043827</t>
  </si>
  <si>
    <t>MDN35025010026</t>
  </si>
  <si>
    <t>LDYECS313S0043835</t>
  </si>
  <si>
    <t>MDN35025020082</t>
  </si>
  <si>
    <t>LDYECS315S0043853</t>
  </si>
  <si>
    <t>MDN35025010099</t>
  </si>
  <si>
    <t>LDYECS317S0043837</t>
  </si>
  <si>
    <t>MDN35025020081</t>
  </si>
  <si>
    <t>LDYECS313S0043852</t>
  </si>
  <si>
    <t>MDN35025010250</t>
  </si>
  <si>
    <t>LDYECS316S0043845</t>
  </si>
  <si>
    <t>3105 / SFWZ-54|</t>
  </si>
  <si>
    <t>SFWZ-54|</t>
  </si>
  <si>
    <t>SFWZ-54</t>
  </si>
  <si>
    <t>MDN35025010138</t>
  </si>
  <si>
    <t>LDYECS31XS0043850</t>
  </si>
  <si>
    <t>MDN35025020236</t>
  </si>
  <si>
    <t>LDYECS310S0043856</t>
  </si>
  <si>
    <t>MDN35025010240</t>
  </si>
  <si>
    <t>LDYECS317S0043840</t>
  </si>
  <si>
    <t>MDN35025010141</t>
  </si>
  <si>
    <t>LDYECS319S0043855</t>
  </si>
  <si>
    <t>MDN35025010088</t>
  </si>
  <si>
    <t>LDYECS319S0043838</t>
  </si>
  <si>
    <t>MDN35025010137</t>
  </si>
  <si>
    <t>LDYECS311S0043851</t>
  </si>
  <si>
    <t>MDN35025010142</t>
  </si>
  <si>
    <t>LDYECS312S0043857</t>
  </si>
  <si>
    <t>MDN35025030025</t>
  </si>
  <si>
    <t>LDYECS317S0044373</t>
  </si>
  <si>
    <t>MDN35025030153</t>
  </si>
  <si>
    <t>LDYECS310S0044327</t>
  </si>
  <si>
    <t>MDN35025030021</t>
  </si>
  <si>
    <t>LDYECS31XS0044304</t>
  </si>
  <si>
    <t>3106 / SFWZ-68|</t>
  </si>
  <si>
    <t>SFWZ-68|</t>
  </si>
  <si>
    <t>SFWZ-68</t>
  </si>
  <si>
    <t>MDN35025030136</t>
  </si>
  <si>
    <t>LDYECS315S0044324</t>
  </si>
  <si>
    <t>MDN35025030073</t>
  </si>
  <si>
    <t>LDYECS311S0044305</t>
  </si>
  <si>
    <t>MDN35025030018</t>
  </si>
  <si>
    <t>LDYECS31XS0044383</t>
  </si>
  <si>
    <t>MDN35025010127</t>
  </si>
  <si>
    <t>LDYECS319S0044388</t>
  </si>
  <si>
    <t>MDN35025030199</t>
  </si>
  <si>
    <t>LDYECS317S0044325</t>
  </si>
  <si>
    <t>MDN35025030042</t>
  </si>
  <si>
    <t>LDYECS318S0044379</t>
  </si>
  <si>
    <t>MDN35025030041</t>
  </si>
  <si>
    <t>LDYECS313S0044385</t>
  </si>
  <si>
    <t>3107 / SFWZ-85|</t>
  </si>
  <si>
    <t>SFWZ-85|</t>
  </si>
  <si>
    <t>SFWZ-85</t>
  </si>
  <si>
    <t>MDN35025030011</t>
  </si>
  <si>
    <t>LDYECS311S0044384</t>
  </si>
  <si>
    <t>MDN35025030056</t>
  </si>
  <si>
    <t>LDYECS313S0044371</t>
  </si>
  <si>
    <t>LDYECS834S0045636</t>
  </si>
  <si>
    <t>MJJ20025010047</t>
  </si>
  <si>
    <t>LCK6850evg</t>
  </si>
  <si>
    <t>A</t>
  </si>
  <si>
    <t>LDYECS832S0045635</t>
  </si>
  <si>
    <t>MJJ20025010001</t>
  </si>
  <si>
    <t>LDYECS836S0045637</t>
  </si>
  <si>
    <t>MJJ20025010040</t>
  </si>
  <si>
    <t>LDYECS83XS0045611</t>
  </si>
  <si>
    <t>MJJ20025010028</t>
  </si>
  <si>
    <t>LDYECS833S0045630</t>
  </si>
  <si>
    <t>MJJ20025010012</t>
  </si>
  <si>
    <t>LDYECS837S0045632</t>
  </si>
  <si>
    <t>MJJ20025010003</t>
  </si>
  <si>
    <t>7739 / GCBC-26|</t>
  </si>
  <si>
    <t>GCBC-26|</t>
  </si>
  <si>
    <t>GCBC-26</t>
  </si>
  <si>
    <t>LDYECS833S0045627</t>
  </si>
  <si>
    <t>MJJ20025010013</t>
  </si>
  <si>
    <t>7747 / GCBC-34|</t>
  </si>
  <si>
    <t>GCBC-34|</t>
  </si>
  <si>
    <t>GCBC-34</t>
  </si>
  <si>
    <t>LDYECS839S0045633</t>
  </si>
  <si>
    <t>MJJ20025010010</t>
  </si>
  <si>
    <t>LDYECS830S0045648</t>
  </si>
  <si>
    <t>MJJ20025010016</t>
  </si>
  <si>
    <t>9925 / SXKV-97|</t>
  </si>
  <si>
    <t>SXKV-97|</t>
  </si>
  <si>
    <t>SXKV-97</t>
  </si>
  <si>
    <t>LDYECS838S0045624</t>
  </si>
  <si>
    <t>MJJ20025010023</t>
  </si>
  <si>
    <t>LDYECS835S0045631</t>
  </si>
  <si>
    <t>MJJ20025010015</t>
  </si>
  <si>
    <t>LDYECS83XS0045639</t>
  </si>
  <si>
    <t>MJJ20025010020</t>
  </si>
  <si>
    <t>LDYECS831S0045626</t>
  </si>
  <si>
    <t>MJJ20025010058</t>
  </si>
  <si>
    <t>LDYECS833S0045644</t>
  </si>
  <si>
    <t>MJJ20025010033</t>
  </si>
  <si>
    <t>LDYECS837S0045646</t>
  </si>
  <si>
    <t>MJJ20025010007</t>
  </si>
  <si>
    <t>LDYECS836S0045640</t>
  </si>
  <si>
    <t>MJJ20025010019</t>
  </si>
  <si>
    <t>LDYECS83XS0045625</t>
  </si>
  <si>
    <t>MJJ20025010014</t>
  </si>
  <si>
    <t>LDYECS832S0045599</t>
  </si>
  <si>
    <t>MJJ20025010048</t>
  </si>
  <si>
    <t>9929 / SXKV-98|</t>
  </si>
  <si>
    <t>SXKV-98|</t>
  </si>
  <si>
    <t>SXKV-98</t>
  </si>
  <si>
    <t>LDYECS836S0045602</t>
  </si>
  <si>
    <t>MJJ20025010046</t>
  </si>
  <si>
    <t>LDYECS837S0045629</t>
  </si>
  <si>
    <t>MJJ20025010011</t>
  </si>
  <si>
    <t>LDYECS839S0045616</t>
  </si>
  <si>
    <t>MJJ20025010037</t>
  </si>
  <si>
    <t>9930 / SXKV-99|</t>
  </si>
  <si>
    <t>SXKV-99|</t>
  </si>
  <si>
    <t>SXKV-99</t>
  </si>
  <si>
    <t>LDYECS838S0045610</t>
  </si>
  <si>
    <t>MJJ20025030024</t>
  </si>
  <si>
    <t>LDYECS830S0045620</t>
  </si>
  <si>
    <t>MJJ20025010025</t>
  </si>
  <si>
    <t>LDYECS832S0045618</t>
  </si>
  <si>
    <t>MJJ20025010030</t>
  </si>
  <si>
    <t>LDYECS831S0045609</t>
  </si>
  <si>
    <t>MJJ20025010029</t>
  </si>
  <si>
    <t>9951 / TBZB-24|</t>
  </si>
  <si>
    <t>TBZB-24|</t>
  </si>
  <si>
    <t>TBZB-24</t>
  </si>
  <si>
    <t>LDYECS830S0045634</t>
  </si>
  <si>
    <t>MJJ20025010004</t>
  </si>
  <si>
    <t>LDYECS834S0045622</t>
  </si>
  <si>
    <t>MJJ20025030025</t>
  </si>
  <si>
    <t>LDYECS831S0045612</t>
  </si>
  <si>
    <t>MJJ20025010043</t>
  </si>
  <si>
    <t>LDYECS834S0045619</t>
  </si>
  <si>
    <t>MJJ2002503018</t>
  </si>
  <si>
    <t>LDYECS83XS0045608</t>
  </si>
  <si>
    <t>MJJ20025030023</t>
  </si>
  <si>
    <t>LDYECS832S0045649</t>
  </si>
  <si>
    <t>MJJ20025010008</t>
  </si>
  <si>
    <t>LDYECS836S0045623</t>
  </si>
  <si>
    <t>MJJ20025010021</t>
  </si>
  <si>
    <t>LDYECS312S0044409</t>
  </si>
  <si>
    <t>MDN35025030111</t>
  </si>
  <si>
    <t>Zhong Thong</t>
  </si>
  <si>
    <t>Recoleta</t>
  </si>
  <si>
    <t>LZPS-20|</t>
  </si>
  <si>
    <t>LZPS-20</t>
  </si>
  <si>
    <t>LDYECS313S0044323</t>
  </si>
  <si>
    <t>MDN35025030135</t>
  </si>
  <si>
    <t>LZPG-25|</t>
  </si>
  <si>
    <t>LZPG-25</t>
  </si>
  <si>
    <t>LDYECS310S0044392</t>
  </si>
  <si>
    <t>MDN35025030180</t>
  </si>
  <si>
    <t>VJZB-57|</t>
  </si>
  <si>
    <t>VJZB-57</t>
  </si>
  <si>
    <t>LDYECS311S0044398</t>
  </si>
  <si>
    <t>MDN35025030205</t>
  </si>
  <si>
    <t>VJKV-14|</t>
  </si>
  <si>
    <t>VJKV-14</t>
  </si>
  <si>
    <t>LDYECS317S0044339</t>
  </si>
  <si>
    <t>MDN35025030142</t>
  </si>
  <si>
    <t>Lo Blanco</t>
  </si>
  <si>
    <t>LZPT-69|</t>
  </si>
  <si>
    <t>LZPT-69</t>
  </si>
  <si>
    <t>LDYECS312S0044331</t>
  </si>
  <si>
    <t>MDN35025030246</t>
  </si>
  <si>
    <t>LZPR-79|</t>
  </si>
  <si>
    <t>LZPR-79</t>
  </si>
  <si>
    <t>LDYECS319S0044407</t>
  </si>
  <si>
    <t>MDN35025030112</t>
  </si>
  <si>
    <t>LDYECS313S0044340</t>
  </si>
  <si>
    <t>MDN35025010149</t>
  </si>
  <si>
    <t>LZPS-14|</t>
  </si>
  <si>
    <t>LZPS-14</t>
  </si>
  <si>
    <t>LDYECS314S0044332</t>
  </si>
  <si>
    <t>MDN35025030178</t>
  </si>
  <si>
    <t>VJKV-88|</t>
  </si>
  <si>
    <t>VJKV-88</t>
  </si>
  <si>
    <t>LDYECS313S0044399</t>
  </si>
  <si>
    <t>MDN35025030198</t>
  </si>
  <si>
    <t>LZPT-66|</t>
  </si>
  <si>
    <t>LZPT-66</t>
  </si>
  <si>
    <t>LDYECS313S0044337</t>
  </si>
  <si>
    <t>MDN350250138</t>
  </si>
  <si>
    <t>LZPR-83|</t>
  </si>
  <si>
    <t>LZPR-83</t>
  </si>
  <si>
    <t>LDYECS313S0044404</t>
  </si>
  <si>
    <t>MDN35025030001</t>
  </si>
  <si>
    <t>LXWT-87|</t>
  </si>
  <si>
    <t>LXWT-87</t>
  </si>
  <si>
    <t>LDYECS310S0044408</t>
  </si>
  <si>
    <t>MDN35025020174</t>
  </si>
  <si>
    <t>Ducaud</t>
  </si>
  <si>
    <t>LZPT-48|</t>
  </si>
  <si>
    <t>LZPT-48</t>
  </si>
  <si>
    <t>LDYECS315S0044405</t>
  </si>
  <si>
    <t>MDN35025020253</t>
  </si>
  <si>
    <t>LDYECS316S0044414</t>
  </si>
  <si>
    <t>MDN35025020075</t>
  </si>
  <si>
    <t>LZPT-56|</t>
  </si>
  <si>
    <t>LZPT-56</t>
  </si>
  <si>
    <t>LDYECS313S0044239</t>
  </si>
  <si>
    <t>MDN35025020137</t>
  </si>
  <si>
    <t>LZPG-20|</t>
  </si>
  <si>
    <t>LZPG-20</t>
  </si>
  <si>
    <t>LDYECS316S0044381</t>
  </si>
  <si>
    <t>MDN35025030006</t>
  </si>
  <si>
    <t>LXWT-92|</t>
  </si>
  <si>
    <t>LXWT-92</t>
  </si>
  <si>
    <t>LDYECS311S0044319</t>
  </si>
  <si>
    <t>MDN35025010158</t>
  </si>
  <si>
    <t>LZPT-74|</t>
  </si>
  <si>
    <t>LZPT-74</t>
  </si>
  <si>
    <t>LDYECS318S0044334</t>
  </si>
  <si>
    <t>MDN35025030245</t>
  </si>
  <si>
    <t>LZRB-82|</t>
  </si>
  <si>
    <t>LZRB-82</t>
  </si>
  <si>
    <t>LDYECS312S0044328</t>
  </si>
  <si>
    <t>MDN35025030204</t>
  </si>
  <si>
    <t>LZPW-15</t>
  </si>
  <si>
    <t>LDYECS310S0044389</t>
  </si>
  <si>
    <t>MDN35025010119</t>
  </si>
  <si>
    <t>LDYECS31XS0044321</t>
  </si>
  <si>
    <t>MDN35025010152</t>
  </si>
  <si>
    <t>LZPT-43</t>
  </si>
  <si>
    <t>LDYECS318S0044396</t>
  </si>
  <si>
    <t>MDN35025010167</t>
  </si>
  <si>
    <t>LDYECS315S0044341</t>
  </si>
  <si>
    <t>MDN35025030185</t>
  </si>
  <si>
    <t>LZPW-22</t>
  </si>
  <si>
    <t>LDYECS316S0044333</t>
  </si>
  <si>
    <t>MDN35025030188</t>
  </si>
  <si>
    <t>LDYECS311S0044417</t>
  </si>
  <si>
    <t>MDN35025030119</t>
  </si>
  <si>
    <t>GCBF-53</t>
  </si>
  <si>
    <t>LDYECS31XS0044416</t>
  </si>
  <si>
    <t>MDN35025020083</t>
  </si>
  <si>
    <t>LZPT-70</t>
  </si>
  <si>
    <t>LDYECS318S0044401</t>
  </si>
  <si>
    <t>MDN35025030148</t>
  </si>
  <si>
    <t>LZPT-43|</t>
  </si>
  <si>
    <t>LDYECS31XS0044402</t>
  </si>
  <si>
    <t>MDN35025030252</t>
  </si>
  <si>
    <t>LZPT-64|</t>
  </si>
  <si>
    <t>LZPT-64</t>
  </si>
  <si>
    <t>LDYECS318S0044415</t>
  </si>
  <si>
    <t>MDN35025030034</t>
  </si>
  <si>
    <t>LDYECS314S0044413</t>
  </si>
  <si>
    <t>MDN35025030256</t>
  </si>
  <si>
    <t>LZPT-61|</t>
  </si>
  <si>
    <t>LZPT-61</t>
  </si>
  <si>
    <t>LDYECS312S0044412</t>
  </si>
  <si>
    <t>MDN35025020183</t>
  </si>
  <si>
    <t>LDYECS315S0044162</t>
  </si>
  <si>
    <t>MDN35025020184</t>
  </si>
  <si>
    <t>LDYECS311S0044174</t>
  </si>
  <si>
    <t>MDN35025020232</t>
  </si>
  <si>
    <t>LZPT-54|</t>
  </si>
  <si>
    <t>LZPT-54</t>
  </si>
  <si>
    <t>LDYECS310S0044179</t>
  </si>
  <si>
    <t>MDN35025020240</t>
  </si>
  <si>
    <t>LDYECS316S0044171</t>
  </si>
  <si>
    <t>MDN35025020235</t>
  </si>
  <si>
    <t>LDYECS315S0044226</t>
  </si>
  <si>
    <t>MDN35025020140</t>
  </si>
  <si>
    <t>LDYECS311S0044241</t>
  </si>
  <si>
    <t>MDN35025020192</t>
  </si>
  <si>
    <t>LDYECS310S0044148</t>
  </si>
  <si>
    <t>MDN35025030010</t>
  </si>
  <si>
    <t>LDYECS315S0044159</t>
  </si>
  <si>
    <t>MDN35025020161</t>
  </si>
  <si>
    <t>LDYECS310S0044232</t>
  </si>
  <si>
    <t>MDN35025030039</t>
  </si>
  <si>
    <t>LDYECS311S0044157</t>
  </si>
  <si>
    <t>MDN35025020182</t>
  </si>
  <si>
    <t>LDYECS319S0044150</t>
  </si>
  <si>
    <t>MDN35025030054</t>
  </si>
  <si>
    <t>LDYECS319S0044164</t>
  </si>
  <si>
    <t>MDN35025020178</t>
  </si>
  <si>
    <t>LXWT-83|</t>
  </si>
  <si>
    <t>LXWT-83</t>
  </si>
  <si>
    <t>LDTECS314S0044234</t>
  </si>
  <si>
    <t>MDN35025020193</t>
  </si>
  <si>
    <t>VJYJ-15|</t>
  </si>
  <si>
    <t>VJYJ-15</t>
  </si>
  <si>
    <t>LDYECS31XS0044254</t>
  </si>
  <si>
    <t>MDN35025020258</t>
  </si>
  <si>
    <t>LDYECS313S0044256</t>
  </si>
  <si>
    <t>MDN35025020180</t>
  </si>
  <si>
    <t>LDYECS316S0044252</t>
  </si>
  <si>
    <t>MDN35025020172</t>
  </si>
  <si>
    <t>LZPR-86</t>
  </si>
  <si>
    <t>LDYECS318S0044253</t>
  </si>
  <si>
    <t>MDN35025010248</t>
  </si>
  <si>
    <t>LZPG-17</t>
  </si>
  <si>
    <t>LDYECS318S0044186</t>
  </si>
  <si>
    <t>MDN35025020159</t>
  </si>
  <si>
    <t>VJXC-75|</t>
  </si>
  <si>
    <t>VJXC-75</t>
  </si>
  <si>
    <t>LDYECS310S0044196</t>
  </si>
  <si>
    <t>MDN35025020243</t>
  </si>
  <si>
    <t>LZPR-80|</t>
  </si>
  <si>
    <t>LZPR-80</t>
  </si>
  <si>
    <t>LDYECS317S0044308</t>
  </si>
  <si>
    <t>MDN35025010207</t>
  </si>
  <si>
    <t>LZPG-22|</t>
  </si>
  <si>
    <t>LZPG-22</t>
  </si>
  <si>
    <t>LDYECS31XS0044366</t>
  </si>
  <si>
    <t>MDN35025010076</t>
  </si>
  <si>
    <t>LZPT-73|</t>
  </si>
  <si>
    <t>LZPT-73</t>
  </si>
  <si>
    <t>LDYECS310S0044411</t>
  </si>
  <si>
    <t>MDN35025010155</t>
  </si>
  <si>
    <t>LZPW-14|</t>
  </si>
  <si>
    <t>LZPW-14</t>
  </si>
  <si>
    <t>LDYECS318S0044382</t>
  </si>
  <si>
    <t>MDN35025030032</t>
  </si>
  <si>
    <t>LZPS-19|</t>
  </si>
  <si>
    <t>LZPS-19</t>
  </si>
  <si>
    <t>LDYECS316S0044316</t>
  </si>
  <si>
    <t>MDN35025030023</t>
  </si>
  <si>
    <t>GCBF-52|</t>
  </si>
  <si>
    <t>GCBF-52</t>
  </si>
  <si>
    <t>LDYECS316S0044168</t>
  </si>
  <si>
    <t>MDN35025020215</t>
  </si>
  <si>
    <t>LZPW-18|</t>
  </si>
  <si>
    <t>LZPW-18</t>
  </si>
  <si>
    <t>LDYECS311S0044160</t>
  </si>
  <si>
    <t>MDN35025020177</t>
  </si>
  <si>
    <t>LZPT-52|</t>
  </si>
  <si>
    <t>LZPT-52</t>
  </si>
  <si>
    <t>LDYECS310S0044277</t>
  </si>
  <si>
    <t>MDN35025020175</t>
  </si>
  <si>
    <t>LDYECS312S0044166</t>
  </si>
  <si>
    <t>MDN35025020222</t>
  </si>
  <si>
    <t>LZPR-96|</t>
  </si>
  <si>
    <t>LZPR-96</t>
  </si>
  <si>
    <t>LDYECS314S0044217</t>
  </si>
  <si>
    <t>MDN35025010179</t>
  </si>
  <si>
    <t>LZPT-44|</t>
  </si>
  <si>
    <t>LZPT-44</t>
  </si>
  <si>
    <t>LDYECS313S0044273</t>
  </si>
  <si>
    <t>MDN5025020155</t>
  </si>
  <si>
    <t>LXWT-93|</t>
  </si>
  <si>
    <t>LXWT-93</t>
  </si>
  <si>
    <t>LDYECS317S0044213</t>
  </si>
  <si>
    <t>MDN35025030110</t>
  </si>
  <si>
    <t>LDYECS311S0044210</t>
  </si>
  <si>
    <t>MDN35025030109</t>
  </si>
  <si>
    <t>LDYECS31XS0044285</t>
  </si>
  <si>
    <t>MDN35025020245</t>
  </si>
  <si>
    <t>LDYECS316S0044218</t>
  </si>
  <si>
    <t>MDN35025010180</t>
  </si>
  <si>
    <t>LDYECS315S0044291</t>
  </si>
  <si>
    <t>MDN35025010116</t>
  </si>
  <si>
    <t>LZPT-42|</t>
  </si>
  <si>
    <t>LZPT-42</t>
  </si>
  <si>
    <t>LDYECS31XS0044335</t>
  </si>
  <si>
    <t>MDN35025030151</t>
  </si>
  <si>
    <t>LZPT-75|</t>
  </si>
  <si>
    <t>LZPT-75</t>
  </si>
  <si>
    <t>LDYECS317S0044342</t>
  </si>
  <si>
    <t>MDN35025010144</t>
  </si>
  <si>
    <t>LDYECS313S0044368</t>
  </si>
  <si>
    <t>MDN35025010047</t>
  </si>
  <si>
    <t>LDYECS316S0044364</t>
  </si>
  <si>
    <t>MDN35025030062</t>
  </si>
  <si>
    <t>LDYECS312S0044295</t>
  </si>
  <si>
    <t>MDN35025020211</t>
  </si>
  <si>
    <t>LZPS-18|</t>
  </si>
  <si>
    <t>LZPS-18</t>
  </si>
  <si>
    <t>LDYECS312S0044362</t>
  </si>
  <si>
    <t>MDN35025010110</t>
  </si>
  <si>
    <t>LDYECS314S0044380</t>
  </si>
  <si>
    <t>MDN35025030033</t>
  </si>
  <si>
    <t>LDYECS312S0044300</t>
  </si>
  <si>
    <t>MDN350025010178</t>
  </si>
  <si>
    <t>LZPS-24|</t>
  </si>
  <si>
    <t>LZPS-24</t>
  </si>
  <si>
    <t>LDYECS313S0044290</t>
  </si>
  <si>
    <t>MDN35025020214</t>
  </si>
  <si>
    <t>LDYECS317S0044356</t>
  </si>
  <si>
    <t>MDN35025010073</t>
  </si>
  <si>
    <t>LDYECS31XS0044139</t>
  </si>
  <si>
    <t>MDN35025030088</t>
  </si>
  <si>
    <t>LDYECS315S0044145</t>
  </si>
  <si>
    <t>MDN35025030096</t>
  </si>
  <si>
    <t>LDYECS316S0044140</t>
  </si>
  <si>
    <t>MDN35025030038</t>
  </si>
  <si>
    <t>LDYECS317S0044230</t>
  </si>
  <si>
    <t>MDN35025020272</t>
  </si>
  <si>
    <t>LDYECS317S0044227</t>
  </si>
  <si>
    <t>MDN35025020261</t>
  </si>
  <si>
    <t>LDYECS315S0044288</t>
  </si>
  <si>
    <t>MDN35025020208</t>
  </si>
  <si>
    <t>LDYECS313S0044192</t>
  </si>
  <si>
    <t>MDN35025020256</t>
  </si>
  <si>
    <t>LDYECS315S0044193</t>
  </si>
  <si>
    <t>MDN35025020248</t>
  </si>
  <si>
    <t>LDYECS31XS0044271</t>
  </si>
  <si>
    <t>MDN35025020210</t>
  </si>
  <si>
    <t>SFWZ-75</t>
  </si>
  <si>
    <t>LDYECS31XS0044268</t>
  </si>
  <si>
    <t>MDN3502520269</t>
  </si>
  <si>
    <t>LDYECS319S0044262</t>
  </si>
  <si>
    <t>MDN35025020247</t>
  </si>
  <si>
    <t>LDYECS311S0044269</t>
  </si>
  <si>
    <t>MDN35025020266</t>
  </si>
  <si>
    <t>LDYECS311S0044272</t>
  </si>
  <si>
    <t>MDN35025020270</t>
  </si>
  <si>
    <t>LDYECS317S0044258</t>
  </si>
  <si>
    <t>MDN35025020200</t>
  </si>
  <si>
    <t>LDYECS315S0044274</t>
  </si>
  <si>
    <t>LDM35025020202</t>
  </si>
  <si>
    <t>LDYECS314S0044279</t>
  </si>
  <si>
    <t>MDN35025020206</t>
  </si>
  <si>
    <t>LDYECS316S0044204</t>
  </si>
  <si>
    <t>MDN35025020198</t>
  </si>
  <si>
    <t>LDYECS312S0044359</t>
  </si>
  <si>
    <t>MDN35025020203</t>
  </si>
  <si>
    <t>LDYECS314S0044363</t>
  </si>
  <si>
    <t>MDN35025010121</t>
  </si>
  <si>
    <t>LDYECS315S0044307</t>
  </si>
  <si>
    <t>MDN35025030028</t>
  </si>
  <si>
    <t>LDYECS317S0044311</t>
  </si>
  <si>
    <t>MDN35025030043</t>
  </si>
  <si>
    <t>LDYECS31XS44318</t>
  </si>
  <si>
    <t>MDN35025010176</t>
  </si>
  <si>
    <t>LDYECS312S0044314</t>
  </si>
  <si>
    <t>MDN35025030094</t>
  </si>
  <si>
    <t>LDYECS319S0044391</t>
  </si>
  <si>
    <t>MDN35025010114</t>
  </si>
  <si>
    <t>LDYECS317S0044387</t>
  </si>
  <si>
    <t>MDN35025010083</t>
  </si>
  <si>
    <t>VJKT-63|</t>
  </si>
  <si>
    <t>VJKT-63</t>
  </si>
  <si>
    <t>LDYECS314S0044315</t>
  </si>
  <si>
    <t>MDN35025010082</t>
  </si>
  <si>
    <t>LDYECS312S0044393</t>
  </si>
  <si>
    <t>MDN35025030149</t>
  </si>
  <si>
    <t>MDYECS315S0044386</t>
  </si>
  <si>
    <t>MDN35025010084</t>
  </si>
  <si>
    <t>LZPR-78|</t>
  </si>
  <si>
    <t>LZPR-78</t>
  </si>
  <si>
    <t>LDYECS318S0044320</t>
  </si>
  <si>
    <t>MDN35025010160</t>
  </si>
  <si>
    <t>LDYECS316S0044395</t>
  </si>
  <si>
    <t>MDN35025010172</t>
  </si>
  <si>
    <t>GCBF-47|</t>
  </si>
  <si>
    <t>GCBF-47</t>
  </si>
  <si>
    <t>LDYECS314S0044329</t>
  </si>
  <si>
    <t>MDN35025010145</t>
  </si>
  <si>
    <t>LDYECS319S0044326</t>
  </si>
  <si>
    <t>MDN35025030181</t>
  </si>
  <si>
    <t>LDYECS310S0044330</t>
  </si>
  <si>
    <t>MDN35025030253</t>
  </si>
  <si>
    <t>LDYECS319S0044410</t>
  </si>
  <si>
    <t>MDN35025030046</t>
  </si>
  <si>
    <t>LDYECS31XS0044397</t>
  </si>
  <si>
    <t>MDN35025030184</t>
  </si>
  <si>
    <t>LDYECS316S0044400</t>
  </si>
  <si>
    <t>MDN35025030146</t>
  </si>
  <si>
    <t>LZPR-90|</t>
  </si>
  <si>
    <t>LZPR-90</t>
  </si>
  <si>
    <t>LDYECS311S0044336</t>
  </si>
  <si>
    <t>MDN35025030152</t>
  </si>
  <si>
    <t>LDYECS315S0044338</t>
  </si>
  <si>
    <t>MDN35025010150</t>
  </si>
  <si>
    <t>LDYECS311S0044403</t>
  </si>
  <si>
    <t>MDN35025030154</t>
  </si>
  <si>
    <t>LDYECS319S0044309</t>
  </si>
  <si>
    <t>MDN35025030008</t>
  </si>
  <si>
    <t>LDYECS31XS0044190</t>
  </si>
  <si>
    <t>MDN35025020179</t>
  </si>
  <si>
    <t>LDYECS312S0044264</t>
  </si>
  <si>
    <t>MDN35025030090</t>
  </si>
  <si>
    <t>LZPT-57|</t>
  </si>
  <si>
    <t>LZPT-57</t>
  </si>
  <si>
    <t>LDYECS315S0044355</t>
  </si>
  <si>
    <t>MDN35025010086</t>
  </si>
  <si>
    <t>LZPG-24|</t>
  </si>
  <si>
    <t>LZPG-24</t>
  </si>
  <si>
    <t>LDYECS311S0044367</t>
  </si>
  <si>
    <t>MDN35025010046</t>
  </si>
  <si>
    <t>LDYECS311S0045762</t>
  </si>
  <si>
    <t>MDN35025030168</t>
  </si>
  <si>
    <t>LDYECS318S0045760</t>
  </si>
  <si>
    <t>MDN35025030276</t>
  </si>
  <si>
    <t>LDYECS313S0045763</t>
  </si>
  <si>
    <t>MDN35025030156</t>
  </si>
  <si>
    <t>LDYECS314S0044394</t>
  </si>
  <si>
    <t>MDN35025030249</t>
  </si>
  <si>
    <t>LDYECS315S0044257</t>
  </si>
  <si>
    <t>MDN35025020147</t>
  </si>
  <si>
    <t>LDYECS31XS0045758</t>
  </si>
  <si>
    <t>MDN35025030172</t>
  </si>
  <si>
    <t>LDYECS311S0045857</t>
  </si>
  <si>
    <t>MDN35025030292</t>
  </si>
  <si>
    <t>LZPS-22|</t>
  </si>
  <si>
    <t>LZPS-22</t>
  </si>
  <si>
    <t>LDYECS315S0045764</t>
  </si>
  <si>
    <t>MDN35025030157</t>
  </si>
  <si>
    <t>LZPR-95</t>
  </si>
  <si>
    <t>LDYECS315S0045862</t>
  </si>
  <si>
    <t>MDN35025030216</t>
  </si>
  <si>
    <t>LZPS-11</t>
  </si>
  <si>
    <t>LDYECS318S0044155</t>
  </si>
  <si>
    <t>MDN35025020268</t>
  </si>
  <si>
    <t>LDYECS315S0045781</t>
  </si>
  <si>
    <t>MDN35025030229</t>
  </si>
  <si>
    <t>LDYECS317S0045765</t>
  </si>
  <si>
    <t>MDN35025030272</t>
  </si>
  <si>
    <t>LDYECS319S0045752</t>
  </si>
  <si>
    <t>MDN35025030131</t>
  </si>
  <si>
    <t>LDYECS313S0045861</t>
  </si>
  <si>
    <t>MDN35025030174</t>
  </si>
  <si>
    <t>LDYECS316S0045773</t>
  </si>
  <si>
    <t>MDN35025030170</t>
  </si>
  <si>
    <t>LDYECS312S0045771</t>
  </si>
  <si>
    <t>MDN35025030182</t>
  </si>
  <si>
    <t>LDYECS314S0045870</t>
  </si>
  <si>
    <t>MDN35025030202</t>
  </si>
  <si>
    <t>LDYECS312S0045866</t>
  </si>
  <si>
    <t>MDN35025030296</t>
  </si>
  <si>
    <t>LDYECS314S0045867</t>
  </si>
  <si>
    <t>MDN35025030263</t>
  </si>
  <si>
    <t>LXWT-88|</t>
  </si>
  <si>
    <t>LXWT-88</t>
  </si>
  <si>
    <t>LDYECS318S0045872</t>
  </si>
  <si>
    <t>MDN35025030208</t>
  </si>
  <si>
    <t>LDYECS310S0045770</t>
  </si>
  <si>
    <t>MDN35025030277</t>
  </si>
  <si>
    <t>LZPS-11|</t>
  </si>
  <si>
    <t>LDYECS31XS0045713</t>
  </si>
  <si>
    <t>MDN35025030118</t>
  </si>
  <si>
    <t>Las Acacias</t>
  </si>
  <si>
    <t>LDYECS31XS0045808</t>
  </si>
  <si>
    <t>MDN35025030192</t>
  </si>
  <si>
    <t>8LDYECS314S004578</t>
  </si>
  <si>
    <t>MDN35025030194</t>
  </si>
  <si>
    <t>GCBF-45</t>
  </si>
  <si>
    <t>LDYECS310S0045705</t>
  </si>
  <si>
    <t>MDN35025030236</t>
  </si>
  <si>
    <t>GCBF53</t>
  </si>
  <si>
    <t>LDYECS318S0045774</t>
  </si>
  <si>
    <t>MDN35025030173</t>
  </si>
  <si>
    <t>LDYECS310S0045784</t>
  </si>
  <si>
    <t>MDN35025030197</t>
  </si>
  <si>
    <t>LZPR-98</t>
  </si>
  <si>
    <t>LDYECS311S0045700</t>
  </si>
  <si>
    <t>MDN35025030297</t>
  </si>
  <si>
    <t>LDYECS316S0045871</t>
  </si>
  <si>
    <t>MDN35025030288</t>
  </si>
  <si>
    <t>LDYECS312S0045768</t>
  </si>
  <si>
    <t>MDN35025030284</t>
  </si>
  <si>
    <t>LDYECS311S0045874</t>
  </si>
  <si>
    <t>MDN35025030278</t>
  </si>
  <si>
    <t>LDYECS311S0045759</t>
  </si>
  <si>
    <t>MDN35025030145</t>
  </si>
  <si>
    <t>LZPW-21</t>
  </si>
  <si>
    <t>LDYECS839S0045647</t>
  </si>
  <si>
    <t>MJJ20025010022</t>
  </si>
  <si>
    <t>Lck6850evg</t>
  </si>
  <si>
    <t>LDYECS83XS0045642</t>
  </si>
  <si>
    <t>MJJ20025010017</t>
  </si>
  <si>
    <t>LDYECS835S0045645</t>
  </si>
  <si>
    <t>MJJ20025010002</t>
  </si>
  <si>
    <t>LZPW-13</t>
  </si>
  <si>
    <t>LDYECS838S0045638</t>
  </si>
  <si>
    <t>MJJ20025010018</t>
  </si>
  <si>
    <t>LDYECS838S0045641</t>
  </si>
  <si>
    <t>MJJ20025010006</t>
  </si>
  <si>
    <t>GCBF-45|</t>
  </si>
  <si>
    <t>LDYECS831S0045643</t>
  </si>
  <si>
    <t>MJJ20025010055</t>
  </si>
  <si>
    <t>LZPR-95|</t>
  </si>
  <si>
    <t>LDYECS835S0044527</t>
  </si>
  <si>
    <t>MJJ20025010038</t>
  </si>
  <si>
    <t>LZPT-67|</t>
  </si>
  <si>
    <t>LZPT-67</t>
  </si>
  <si>
    <t>LDYECS837S0044528</t>
  </si>
  <si>
    <t>MJJ20025010031</t>
  </si>
  <si>
    <t>GCBF-53|</t>
  </si>
  <si>
    <t>LDYECS835S0045614</t>
  </si>
  <si>
    <t>MJJ20025010009</t>
  </si>
  <si>
    <t>LDYECS319S0045797</t>
  </si>
  <si>
    <t>MDN35025030308</t>
  </si>
  <si>
    <t>LZPR-98|</t>
  </si>
  <si>
    <t>LDYECS315S0045800</t>
  </si>
  <si>
    <t>MDN35025030258</t>
  </si>
  <si>
    <t>LDYECS315S0045795</t>
  </si>
  <si>
    <t>MDN35025030264</t>
  </si>
  <si>
    <t>LDYECS310S0045722</t>
  </si>
  <si>
    <t>MDN35025030123</t>
  </si>
  <si>
    <t>LDYECS310S0045798</t>
  </si>
  <si>
    <t>MDN35025030250</t>
  </si>
  <si>
    <t>LDYECS313S0045813</t>
  </si>
  <si>
    <t>MDN35025030268</t>
  </si>
  <si>
    <t>LZPW-21|</t>
  </si>
  <si>
    <t>LDYECS315S0045814</t>
  </si>
  <si>
    <t>MDN35025030040</t>
  </si>
  <si>
    <t>LDYECS317S0045779</t>
  </si>
  <si>
    <t>MDN35025030160</t>
  </si>
  <si>
    <t>LDYECS311S0045809</t>
  </si>
  <si>
    <t>MDN35025030257</t>
  </si>
  <si>
    <t>LDYECS314S0045724</t>
  </si>
  <si>
    <t>MDN35025030060</t>
  </si>
  <si>
    <t>LZPW-13|</t>
  </si>
  <si>
    <t>LDYECS318S0045810</t>
  </si>
  <si>
    <t>MDN35025030195</t>
  </si>
  <si>
    <t>LDYECS31XS0045727</t>
  </si>
  <si>
    <t>MDN35025030224</t>
  </si>
  <si>
    <t>LDYECS31XS0045811</t>
  </si>
  <si>
    <t>MDN35025030077</t>
  </si>
  <si>
    <t>LDYECS314S0045819</t>
  </si>
  <si>
    <t>MDN35025030081</t>
  </si>
  <si>
    <t>LDYECS311S0045728</t>
  </si>
  <si>
    <t>MDN35025030126</t>
  </si>
  <si>
    <t>LDYECS316S0045840</t>
  </si>
  <si>
    <t>MDN35025030254</t>
  </si>
  <si>
    <t>LDYECS314S0045822</t>
  </si>
  <si>
    <t>MDN35025030089</t>
  </si>
  <si>
    <t>LDYECS315S0045828</t>
  </si>
  <si>
    <t>MDN35025030269</t>
  </si>
  <si>
    <t>LDYECS31XS0045825</t>
  </si>
  <si>
    <t>MDN35025030210</t>
  </si>
  <si>
    <t>FWB-84|</t>
  </si>
  <si>
    <t>LDYECS317S0045734</t>
  </si>
  <si>
    <t>MDN35025030214</t>
  </si>
  <si>
    <t>LDYECS311S0045731</t>
  </si>
  <si>
    <t>MDN35025030130</t>
  </si>
  <si>
    <t>LDYECS312S0045835</t>
  </si>
  <si>
    <t>MDN35025030316</t>
  </si>
  <si>
    <t>LDYECS314S0045738</t>
  </si>
  <si>
    <t>MDN35025030247</t>
  </si>
  <si>
    <t>LDYECS318S0045824</t>
  </si>
  <si>
    <t>MDN35025030189</t>
  </si>
  <si>
    <t>LDYECS310S0045851</t>
  </si>
  <si>
    <t>MDN35025030193</t>
  </si>
  <si>
    <t>LDYECS319S0045850</t>
  </si>
  <si>
    <t>MDN35025030244</t>
  </si>
  <si>
    <t>LDYECS318S0045841</t>
  </si>
  <si>
    <t>MDN35025030300</t>
  </si>
  <si>
    <t>LDYECS318S0045838</t>
  </si>
  <si>
    <t>MDN35025030084</t>
  </si>
  <si>
    <t>LDYECS31XS0045744</t>
  </si>
  <si>
    <t>MDN35025030099</t>
  </si>
  <si>
    <t>LDYECS311S0045843</t>
  </si>
  <si>
    <t>MDN35025030281</t>
  </si>
  <si>
    <t>LDYECS31XS0045887</t>
  </si>
  <si>
    <t>MDN35025010014</t>
  </si>
  <si>
    <t>LDYECS314S0045755</t>
  </si>
  <si>
    <t>MDN35025030243</t>
  </si>
  <si>
    <t>LDYECS319S0045847</t>
  </si>
  <si>
    <t>MDN35025030242</t>
  </si>
  <si>
    <t>LDYECS316S0045854</t>
  </si>
  <si>
    <t>MDN35025030125</t>
  </si>
  <si>
    <t>LZPW-12|</t>
  </si>
  <si>
    <t>LZPW-12</t>
  </si>
  <si>
    <t>LDYECS318S0045757</t>
  </si>
  <si>
    <t>MDN35025030175</t>
  </si>
  <si>
    <t>LDYECS31XS0045856</t>
  </si>
  <si>
    <t>MDN35025030127</t>
  </si>
  <si>
    <t>LDYECS312S0045849</t>
  </si>
  <si>
    <t>MDN35025030294</t>
  </si>
  <si>
    <t>LDYECS312S0045754</t>
  </si>
  <si>
    <t>MDN35025030177</t>
  </si>
  <si>
    <t>LDYECS310S0045865</t>
  </si>
  <si>
    <t>MDN35025030267</t>
  </si>
  <si>
    <t>GCBF-48|</t>
  </si>
  <si>
    <t>GCBF-48</t>
  </si>
  <si>
    <t>LC9LC30F5JALA6109</t>
  </si>
  <si>
    <t>G174J60001</t>
  </si>
  <si>
    <t>KING LONG</t>
  </si>
  <si>
    <t>XMQ 6127</t>
  </si>
  <si>
    <t>XMQ 6127G E TECH</t>
  </si>
  <si>
    <t>YV3T7U52XKA195288</t>
  </si>
  <si>
    <t>VOLVO</t>
  </si>
  <si>
    <t>BPAL</t>
  </si>
  <si>
    <t>Santa Rosa</t>
  </si>
  <si>
    <t>YV3T7U520KA195591</t>
  </si>
  <si>
    <t>LZPT-72|</t>
  </si>
  <si>
    <t>LZPT-72</t>
  </si>
  <si>
    <t>YV3T7U529KA195640</t>
  </si>
  <si>
    <t>YV3T7U526KA195689</t>
  </si>
  <si>
    <t>YV3T7U528KA195189</t>
  </si>
  <si>
    <t>LZPV-98|</t>
  </si>
  <si>
    <t>LZPV-98</t>
  </si>
  <si>
    <t>YV3T7U527KA195149</t>
  </si>
  <si>
    <t>LZPT-49|</t>
  </si>
  <si>
    <t>LZPT-49</t>
  </si>
  <si>
    <t>YV3T7U528KA195354</t>
  </si>
  <si>
    <t>LZPW-10|</t>
  </si>
  <si>
    <t>LZPW-10</t>
  </si>
  <si>
    <t>YV3T7U525KA195358</t>
  </si>
  <si>
    <t>LZPV-99|</t>
  </si>
  <si>
    <t>LZPV-99</t>
  </si>
  <si>
    <t>YV3T7U529KA195573</t>
  </si>
  <si>
    <t>YV3T7U526KA195711</t>
  </si>
  <si>
    <t>YV3T7U522KA195687</t>
  </si>
  <si>
    <t>YV3T7U520LA200970</t>
  </si>
  <si>
    <t>GCBF-43|</t>
  </si>
  <si>
    <t>GCBF-43</t>
  </si>
  <si>
    <t>YV3T7U524LA200874</t>
  </si>
  <si>
    <t>LZPT-65|</t>
  </si>
  <si>
    <t>LZPT-65</t>
  </si>
  <si>
    <t>YV3T7U526LA200875</t>
  </si>
  <si>
    <t>LZPW-20|</t>
  </si>
  <si>
    <t>LZPW-20</t>
  </si>
  <si>
    <t>YV3T7U528LA200876</t>
  </si>
  <si>
    <t>LZPS-23|</t>
  </si>
  <si>
    <t>LZPS-23</t>
  </si>
  <si>
    <t>YV3T7U520LA200886</t>
  </si>
  <si>
    <t>LXWT-96|</t>
  </si>
  <si>
    <t>LXWT-96</t>
  </si>
  <si>
    <t>YV3T7U522LA200887</t>
  </si>
  <si>
    <t>LZPR-97|</t>
  </si>
  <si>
    <t>LZPR-97</t>
  </si>
  <si>
    <t>YV3T7U526LA200925</t>
  </si>
  <si>
    <t>LZPS-10|</t>
  </si>
  <si>
    <t>LZPS-10</t>
  </si>
  <si>
    <t>YV3T7U527LA200934</t>
  </si>
  <si>
    <t>LXWT-95|</t>
  </si>
  <si>
    <t>LXWT-95</t>
  </si>
  <si>
    <t>YV3T7U529LA200935</t>
  </si>
  <si>
    <t>LXWT-82|</t>
  </si>
  <si>
    <t>LXWT-82</t>
  </si>
  <si>
    <t>YV3T7U520LA200936</t>
  </si>
  <si>
    <t>LZPT-77|</t>
  </si>
  <si>
    <t>LZPT-77</t>
  </si>
  <si>
    <t>YV3T7U524LA200969</t>
  </si>
  <si>
    <t>YV3T7U524LA200924</t>
  </si>
  <si>
    <t>LZPT-62|</t>
  </si>
  <si>
    <t>LZPT-62</t>
  </si>
  <si>
    <t>YV3T7U522LA200873</t>
  </si>
  <si>
    <t>LZPS-17|</t>
  </si>
  <si>
    <t>LZPS-17</t>
  </si>
  <si>
    <t>YV3T7U520LA198721</t>
  </si>
  <si>
    <t>LXWT-85|</t>
  </si>
  <si>
    <t>LXWT-85</t>
  </si>
  <si>
    <t>YV3T7U52XLA200832</t>
  </si>
  <si>
    <t>LZPG-16|</t>
  </si>
  <si>
    <t>LZPG-16</t>
  </si>
  <si>
    <t>YV3T7U52XLA200863</t>
  </si>
  <si>
    <t>YV3T7U528LA200831</t>
  </si>
  <si>
    <t>LZPT-59|</t>
  </si>
  <si>
    <t>LZPT-59</t>
  </si>
  <si>
    <t>YV3T7U528LA200862</t>
  </si>
  <si>
    <t>LZPS-25|</t>
  </si>
  <si>
    <t>LZPS-25</t>
  </si>
  <si>
    <t>YV3T7U521LA201271</t>
  </si>
  <si>
    <t>LZPG-27|</t>
  </si>
  <si>
    <t>LZPG-27</t>
  </si>
  <si>
    <t>YV3T7U525LA201208</t>
  </si>
  <si>
    <t>YV3T7U524LA200888</t>
  </si>
  <si>
    <t>LZPR-93|</t>
  </si>
  <si>
    <t>LZPR-93</t>
  </si>
  <si>
    <t>YV3T7U522LA200923</t>
  </si>
  <si>
    <t>LZPW-17|</t>
  </si>
  <si>
    <t>LZPW-17</t>
  </si>
  <si>
    <t>YV3T7U525LA201211</t>
  </si>
  <si>
    <t>YV3T7U52XLA201317</t>
  </si>
  <si>
    <t>LZPG-15|</t>
  </si>
  <si>
    <t>LZPG-15</t>
  </si>
  <si>
    <t>YV3T7U523LA201269</t>
  </si>
  <si>
    <t>LZRB-84|</t>
  </si>
  <si>
    <t>LZRB-84</t>
  </si>
  <si>
    <t>YV3T7U528LA201252</t>
  </si>
  <si>
    <t>LZRB-85|</t>
  </si>
  <si>
    <t>LZRB-85</t>
  </si>
  <si>
    <t>YV3T7U523LA201210</t>
  </si>
  <si>
    <t>YV3T7U522LA201182</t>
  </si>
  <si>
    <t>LZPG-23|</t>
  </si>
  <si>
    <t>LZPG-23</t>
  </si>
  <si>
    <t>YV3T7U527LA201212</t>
  </si>
  <si>
    <t>YV3T7U521LA201254</t>
  </si>
  <si>
    <t>LXWT-99|</t>
  </si>
  <si>
    <t>LXWT-99</t>
  </si>
  <si>
    <t>YV3T7U523LA201255</t>
  </si>
  <si>
    <t>YV3T7U527LA201257</t>
  </si>
  <si>
    <t>YV3T7U520LA198718</t>
  </si>
  <si>
    <t>YV3T7U522LA198719</t>
  </si>
  <si>
    <t>YV3T7U52XLA200989</t>
  </si>
  <si>
    <t>YV3T7U529LA198717</t>
  </si>
  <si>
    <t>LZPR-82|</t>
  </si>
  <si>
    <t>LZPR-82</t>
  </si>
  <si>
    <t>YV3T7U529LA198720</t>
  </si>
  <si>
    <t>LZPG-14|</t>
  </si>
  <si>
    <t>LZPG-14</t>
  </si>
  <si>
    <t>YV3T7U525LA201256</t>
  </si>
  <si>
    <t>LZPR-81|</t>
  </si>
  <si>
    <t>LZPR-81</t>
  </si>
  <si>
    <t>YV3T7U528LA200988</t>
  </si>
  <si>
    <t>YV3T7U525LA201032</t>
  </si>
  <si>
    <t>LZPW-22|</t>
  </si>
  <si>
    <t>YV3T7U528LA201266</t>
  </si>
  <si>
    <t>LXWT-91|</t>
  </si>
  <si>
    <t>LXWT-91</t>
  </si>
  <si>
    <t>YV3T7U523LA201272</t>
  </si>
  <si>
    <t>LZPG-21|</t>
  </si>
  <si>
    <t>LZPG-21</t>
  </si>
  <si>
    <t>YV3T7U526LA200990</t>
  </si>
  <si>
    <t>LZRB-88|</t>
  </si>
  <si>
    <t>LZRB-88</t>
  </si>
  <si>
    <t>YV3T7U528LA200991</t>
  </si>
  <si>
    <t>YV3T7U52XLA201267</t>
  </si>
  <si>
    <t>LZPR-92|</t>
  </si>
  <si>
    <t>LZPR-92</t>
  </si>
  <si>
    <t>YV3T7U521LA201268</t>
  </si>
  <si>
    <t>YV3T7U520LA200922</t>
  </si>
  <si>
    <t>YV3T7U52XLA201253</t>
  </si>
  <si>
    <t>LZPT-47|</t>
  </si>
  <si>
    <t>LZPT-47</t>
  </si>
  <si>
    <t>YV3T7U521LA201044</t>
  </si>
  <si>
    <t>YV3T7U528LA201171</t>
  </si>
  <si>
    <t>LZPR-94</t>
  </si>
  <si>
    <t>YV3T7U526LA201167</t>
  </si>
  <si>
    <t>YV3T7U528LA201168</t>
  </si>
  <si>
    <t>LXWT-97</t>
  </si>
  <si>
    <t>YV3T7U525LA201144</t>
  </si>
  <si>
    <t>YV3T7U520LA201035</t>
  </si>
  <si>
    <t>YV3T7U527LA201209</t>
  </si>
  <si>
    <t>YV3T7U52XLA201186</t>
  </si>
  <si>
    <t>YV3T7U528LA201185</t>
  </si>
  <si>
    <t>YV3T7U523LA201059</t>
  </si>
  <si>
    <t>LZPW-19</t>
  </si>
  <si>
    <t>YV3T7U527LA201033</t>
  </si>
  <si>
    <t>YV3T7U52XLA200992</t>
  </si>
  <si>
    <t>LZPT-71|</t>
  </si>
  <si>
    <t>LZPT-71</t>
  </si>
  <si>
    <t>YV3T7U522LA200971</t>
  </si>
  <si>
    <t>YV3T7U525LA201046</t>
  </si>
  <si>
    <t>YV3T7U521LA201156</t>
  </si>
  <si>
    <t>LZPR-87|</t>
  </si>
  <si>
    <t>LZPR-87</t>
  </si>
  <si>
    <t>YV3T7U521LA201058</t>
  </si>
  <si>
    <t>YV3T7U528LA201073</t>
  </si>
  <si>
    <t>GCBF-46|</t>
  </si>
  <si>
    <t>GCBF-46</t>
  </si>
  <si>
    <t>YV3T7U524LA201071</t>
  </si>
  <si>
    <t>YV3T7U529LA201048</t>
  </si>
  <si>
    <t>YV3T7U52XLA201155</t>
  </si>
  <si>
    <t>YV3T7U527LA201100</t>
  </si>
  <si>
    <t>YV3T7U521LA201142</t>
  </si>
  <si>
    <t>YV3T7U52XLA201141</t>
  </si>
  <si>
    <t>LZPW-11|</t>
  </si>
  <si>
    <t>LZPW-11</t>
  </si>
  <si>
    <t>YV3T7U526LA201153</t>
  </si>
  <si>
    <t>LZRB-86|</t>
  </si>
  <si>
    <t>LZRB-86</t>
  </si>
  <si>
    <t>YV3T7U529LA201034</t>
  </si>
  <si>
    <t>LZPT-55|</t>
  </si>
  <si>
    <t>LZPT-55</t>
  </si>
  <si>
    <t>YV3T7U523LA201045</t>
  </si>
  <si>
    <t>YV3T7U52XLA201074</t>
  </si>
  <si>
    <t>YV3T7U526LA201072</t>
  </si>
  <si>
    <t>YV3T7U520LA201181</t>
  </si>
  <si>
    <t>LZPR-84|</t>
  </si>
  <si>
    <t>LZPR-84</t>
  </si>
  <si>
    <t>YV3T7U522LA201098</t>
  </si>
  <si>
    <t>LZPW-15|</t>
  </si>
  <si>
    <t>YV3T7U52XLA201060</t>
  </si>
  <si>
    <t>LZPT-41|</t>
  </si>
  <si>
    <t>LZPT-41</t>
  </si>
  <si>
    <t>YV3T7U523LA201143</t>
  </si>
  <si>
    <t>LZPG-12|</t>
  </si>
  <si>
    <t>LZPG-12</t>
  </si>
  <si>
    <t>YV3T7U52XLA201169</t>
  </si>
  <si>
    <t>YV3T7U524LA201099</t>
  </si>
  <si>
    <t>YV3T7U52XLA201270</t>
  </si>
  <si>
    <t>YV3T7U521LA201061</t>
  </si>
  <si>
    <t>VJXC-42|</t>
  </si>
  <si>
    <t>VJXC-42</t>
  </si>
  <si>
    <t>YV3T7U526LA201184</t>
  </si>
  <si>
    <t>YV3T7U524LA201183</t>
  </si>
  <si>
    <t>YV3T7U523LA201157</t>
  </si>
  <si>
    <t>YV3T7U526LA201170</t>
  </si>
  <si>
    <t>LZPG-26|</t>
  </si>
  <si>
    <t>LZPG-26</t>
  </si>
  <si>
    <t>YV3T7U528LA201140</t>
  </si>
  <si>
    <t>LZPR-86|</t>
  </si>
  <si>
    <t>YV3T7U521LA201075</t>
  </si>
  <si>
    <t>LXWT-97|</t>
  </si>
  <si>
    <t>YV3T7U529LA201101</t>
  </si>
  <si>
    <t>LZPT-45|</t>
  </si>
  <si>
    <t>LZPT-45</t>
  </si>
  <si>
    <t>YV3T7U526LA201850</t>
  </si>
  <si>
    <t>YV3T7U527LA201713</t>
  </si>
  <si>
    <t>LXWT-84|</t>
  </si>
  <si>
    <t>LXWT-84</t>
  </si>
  <si>
    <t>YV3T7U524LA201801</t>
  </si>
  <si>
    <t>YV3T7U529LA201812</t>
  </si>
  <si>
    <t>YV3T7U520LA201813</t>
  </si>
  <si>
    <t>LZPS-15|</t>
  </si>
  <si>
    <t>LZPS-15</t>
  </si>
  <si>
    <t>YV3T7U522LA201814</t>
  </si>
  <si>
    <t>GCBF-50|</t>
  </si>
  <si>
    <t>GCBF-50</t>
  </si>
  <si>
    <t>YV3T7U52XLA201849</t>
  </si>
  <si>
    <t>YV3T7U527LA201811</t>
  </si>
  <si>
    <t>YV3T7U526LA201475</t>
  </si>
  <si>
    <t>YV3T7U525LA201404</t>
  </si>
  <si>
    <t>LXWT-94|</t>
  </si>
  <si>
    <t>LXWT-94</t>
  </si>
  <si>
    <t>YV3T7U524LA201460</t>
  </si>
  <si>
    <t>YV3T7U526LA201346</t>
  </si>
  <si>
    <t>LZPG-13|</t>
  </si>
  <si>
    <t>LZPG-13</t>
  </si>
  <si>
    <t>YV3T7U520LA201388</t>
  </si>
  <si>
    <t>YV3T7U528LA201459</t>
  </si>
  <si>
    <t>YV3T7U522LA201456</t>
  </si>
  <si>
    <t>YV3T7U522LA201408</t>
  </si>
  <si>
    <t>YV3T7U520LA201472</t>
  </si>
  <si>
    <t>YV3T7U524LA201474</t>
  </si>
  <si>
    <t>YV3T7U526LA201458</t>
  </si>
  <si>
    <t>YV3T7U522LA201473</t>
  </si>
  <si>
    <t>YV3T7U521LA201495</t>
  </si>
  <si>
    <t>YV3T7U525LA201497</t>
  </si>
  <si>
    <t>YV3T7U52XLA201320</t>
  </si>
  <si>
    <t>YV3T7U521LA201402</t>
  </si>
  <si>
    <t>YV3T7U526LA201461</t>
  </si>
  <si>
    <t>YV3T7U522LA201392</t>
  </si>
  <si>
    <t>YV3T7U524LA201457</t>
  </si>
  <si>
    <t>YV3T7U522LA201389</t>
  </si>
  <si>
    <t>YV3T7U524LA201345</t>
  </si>
  <si>
    <t>YV3T7U529LA201471</t>
  </si>
  <si>
    <t>YV3T7U529LA201406</t>
  </si>
  <si>
    <t>YV3T7U524LA201393</t>
  </si>
  <si>
    <t>LZPS-16|</t>
  </si>
  <si>
    <t>LZPS-16</t>
  </si>
  <si>
    <t>YV3T7U527LA201047</t>
  </si>
  <si>
    <t>YV3T7U528LA201347</t>
  </si>
  <si>
    <t>YV3T7U529LA201390</t>
  </si>
  <si>
    <t>YV3T7U520LA201407</t>
  </si>
  <si>
    <t>YV3T7U523LA201496</t>
  </si>
  <si>
    <t>YV3T7U526LA201816</t>
  </si>
  <si>
    <t>YV3T7U528LA201154</t>
  </si>
  <si>
    <t>YV3T7U521LA201318</t>
  </si>
  <si>
    <t>YV3T7U523LA201319</t>
  </si>
  <si>
    <t>YV3T7U521LA201321</t>
  </si>
  <si>
    <t>YV3T7U52XLA201348</t>
  </si>
  <si>
    <t>YV3T7U527LA201405</t>
  </si>
  <si>
    <t>YV3T7U521LA198727</t>
  </si>
  <si>
    <t>YV3T7U528LA201669</t>
  </si>
  <si>
    <t>YV3T7U520LA201391</t>
  </si>
  <si>
    <t>YV3T7U520LA201097</t>
  </si>
  <si>
    <t>YV3T7U528LA201476</t>
  </si>
  <si>
    <t>YV3T7U524LA201815</t>
  </si>
  <si>
    <t>YV3T7U522LA201666</t>
  </si>
  <si>
    <t>YV3T7U529LA201924</t>
  </si>
  <si>
    <t>YV3T7U521LA201903</t>
  </si>
  <si>
    <t>YV3T7U523LA201921</t>
  </si>
  <si>
    <t>LVCB4L4DXMM003870</t>
  </si>
  <si>
    <t>M221100546</t>
  </si>
  <si>
    <t>FOTON</t>
  </si>
  <si>
    <t>EBUS U12 SC</t>
  </si>
  <si>
    <t>LVCB4L4D5MM003646</t>
  </si>
  <si>
    <t>M221100541</t>
  </si>
  <si>
    <t>LVCB4L4D3MM003872</t>
  </si>
  <si>
    <t>M221100304</t>
  </si>
  <si>
    <t>LVCB4L4D9MM003875</t>
  </si>
  <si>
    <t>M221100438</t>
  </si>
  <si>
    <t>LVCB4L4D0MM003876</t>
  </si>
  <si>
    <t>M221100544</t>
  </si>
  <si>
    <t>LVCB4L4D2MM003877</t>
  </si>
  <si>
    <t>M221100558</t>
  </si>
  <si>
    <t>LVCB4L4D6MM003879</t>
  </si>
  <si>
    <t>M221110022</t>
  </si>
  <si>
    <t>LVCB4L4D2MM003880</t>
  </si>
  <si>
    <t>M221100408</t>
  </si>
  <si>
    <t>LVCB4L4D4MM003881</t>
  </si>
  <si>
    <t>M221110108</t>
  </si>
  <si>
    <t>GCBF-49|</t>
  </si>
  <si>
    <t>GCBF-49</t>
  </si>
  <si>
    <t>LVCB4L4D6MM003882</t>
  </si>
  <si>
    <t>M221100437</t>
  </si>
  <si>
    <t>LVCB4L4D8MM003883</t>
  </si>
  <si>
    <t>M221100477</t>
  </si>
  <si>
    <t>LVCB4L4D1MM003885</t>
  </si>
  <si>
    <t>M221100475</t>
  </si>
  <si>
    <t>LVCB4L4D3MM003886</t>
  </si>
  <si>
    <t>M221100543</t>
  </si>
  <si>
    <t>LVCB4L4D5MM003887</t>
  </si>
  <si>
    <t>M221110021</t>
  </si>
  <si>
    <t>LVCB4L4D7MM003888</t>
  </si>
  <si>
    <t>M221100297</t>
  </si>
  <si>
    <t>LVCB4L4D9MM003889</t>
  </si>
  <si>
    <t>M221100396</t>
  </si>
  <si>
    <t>LVCB4L4D5MM003890</t>
  </si>
  <si>
    <t>M221100305</t>
  </si>
  <si>
    <t>LVCB4L4D9MM003892</t>
  </si>
  <si>
    <t>M221110101</t>
  </si>
  <si>
    <t>LVCB4L4D0MM003893</t>
  </si>
  <si>
    <t>M221100547</t>
  </si>
  <si>
    <t>LVCB4L4D4MM003895</t>
  </si>
  <si>
    <t>M221100515</t>
  </si>
  <si>
    <t>LVCB4L4DXMM003898</t>
  </si>
  <si>
    <t>M221110024</t>
  </si>
  <si>
    <t>LVCB4L4D1MM003899</t>
  </si>
  <si>
    <t>M221100443</t>
  </si>
  <si>
    <t>LVCB4L4D8MM003902</t>
  </si>
  <si>
    <t>M221100309</t>
  </si>
  <si>
    <t>LVCB4L4DXMM003903</t>
  </si>
  <si>
    <t>M221110578</t>
  </si>
  <si>
    <t>LVCB4L4D3MM003905</t>
  </si>
  <si>
    <t>M221100400</t>
  </si>
  <si>
    <t>LVCB4L4D5MM003906</t>
  </si>
  <si>
    <t>M221100516</t>
  </si>
  <si>
    <t>LVCB4L4D7MM003907</t>
  </si>
  <si>
    <t>M221100306</t>
  </si>
  <si>
    <t>LVCB4L4D0MM003909</t>
  </si>
  <si>
    <t>M221110025</t>
  </si>
  <si>
    <t>LVCB4L4D9MM003911</t>
  </si>
  <si>
    <t>M221100549</t>
  </si>
  <si>
    <t>LVCB4L4D3MM003631</t>
  </si>
  <si>
    <t>M221100523</t>
  </si>
  <si>
    <t>LVCB4L4D8MM003916</t>
  </si>
  <si>
    <t>M221100441</t>
  </si>
  <si>
    <t>LVCB4L4D3MM003919</t>
  </si>
  <si>
    <t>M221110656</t>
  </si>
  <si>
    <t>LVCB4L4D1MM003921</t>
  </si>
  <si>
    <t>M221100522</t>
  </si>
  <si>
    <t>LZPR-94|</t>
  </si>
  <si>
    <t>LVCB4L4D3MM003922</t>
  </si>
  <si>
    <t>M221100487</t>
  </si>
  <si>
    <t>LVCB4L4D2MM003927</t>
  </si>
  <si>
    <t>M221100560</t>
  </si>
  <si>
    <t>LVCB4L4D4MM003928</t>
  </si>
  <si>
    <t>M221110528</t>
  </si>
  <si>
    <t>LVCB4L4D6MM003929</t>
  </si>
  <si>
    <t>M221100439</t>
  </si>
  <si>
    <t>LVCB4L4D2MM003930</t>
  </si>
  <si>
    <t>M221100374</t>
  </si>
  <si>
    <t>LZPT-53|</t>
  </si>
  <si>
    <t>LZPT-53</t>
  </si>
  <si>
    <t>LVCB4L4D4MM003931</t>
  </si>
  <si>
    <t>M221100407</t>
  </si>
  <si>
    <t>LVCB4L4D8MM003933</t>
  </si>
  <si>
    <t>M221110652</t>
  </si>
  <si>
    <t>LVCB4L4D3MM003936</t>
  </si>
  <si>
    <t>M221110487</t>
  </si>
  <si>
    <t>LVCB4L4D5MM003937</t>
  </si>
  <si>
    <t>M221120003</t>
  </si>
  <si>
    <t>LVCB4L4D7MM003938</t>
  </si>
  <si>
    <t>M221100406</t>
  </si>
  <si>
    <t>LZPW-19|</t>
  </si>
  <si>
    <t>LVCB4L4D9MM003939</t>
  </si>
  <si>
    <t>M221100435</t>
  </si>
  <si>
    <t>LVCB4L4D5MM003940</t>
  </si>
  <si>
    <t>M221100409</t>
  </si>
  <si>
    <t>LVCB4L4D7MM003941</t>
  </si>
  <si>
    <t>M221110529</t>
  </si>
  <si>
    <t>LVCB4L4D0MM003943</t>
  </si>
  <si>
    <t>M221100548</t>
  </si>
  <si>
    <t>LVCB4L4D8MM003947</t>
  </si>
  <si>
    <t>M221110648</t>
  </si>
  <si>
    <t>LVCB4L4D8MM003950</t>
  </si>
  <si>
    <t>M221100399</t>
  </si>
  <si>
    <t>LVCB4L4DXMM003951</t>
  </si>
  <si>
    <t>M221110650</t>
  </si>
  <si>
    <t>LVCB4L4D1MM003952</t>
  </si>
  <si>
    <t>M221100302</t>
  </si>
  <si>
    <t>LVCB4L4D3MM003953</t>
  </si>
  <si>
    <t>M221100373</t>
  </si>
  <si>
    <t>LVCB4L4D7MM003955</t>
  </si>
  <si>
    <t>M221100404</t>
  </si>
  <si>
    <t>LVCB4L4D2MM003958</t>
  </si>
  <si>
    <t>M221100512</t>
  </si>
  <si>
    <t>LVCB4L4D0MM003960</t>
  </si>
  <si>
    <t>M221110581</t>
  </si>
  <si>
    <t>LVCB4L4D2MM003961</t>
  </si>
  <si>
    <t>M221100478</t>
  </si>
  <si>
    <t>LVCB4L4D4MM003962</t>
  </si>
  <si>
    <t>M221100440</t>
  </si>
  <si>
    <t>LVCB4L4D3MM003967</t>
  </si>
  <si>
    <t>M221110579</t>
  </si>
  <si>
    <t>LVCB4L4D5MM003968</t>
  </si>
  <si>
    <t>M221110110</t>
  </si>
  <si>
    <t>LVCB4L4D7MM003969</t>
  </si>
  <si>
    <t>M221100513</t>
  </si>
  <si>
    <t>LVCB4L4D3MM003970</t>
  </si>
  <si>
    <t>M221110654</t>
  </si>
  <si>
    <t>LVCB4L4D5MM003971</t>
  </si>
  <si>
    <t>M221100476</t>
  </si>
  <si>
    <t>LVCB4L4D9MM003973</t>
  </si>
  <si>
    <t>M221100410</t>
  </si>
  <si>
    <t>LVCB4L4D4MM003976</t>
  </si>
  <si>
    <t>M221120001</t>
  </si>
  <si>
    <t>LVCB4L4D6MM003977</t>
  </si>
  <si>
    <t>M221110536</t>
  </si>
  <si>
    <t>LZPR-89|</t>
  </si>
  <si>
    <t>LZPR-89</t>
  </si>
  <si>
    <t>LVCB4L4DXMM003979</t>
  </si>
  <si>
    <t>M221110535</t>
  </si>
  <si>
    <t>LVCB4L4D8MM003981</t>
  </si>
  <si>
    <t>M221100514</t>
  </si>
  <si>
    <t>LVCB4L4DXMM003982</t>
  </si>
  <si>
    <t>M221110115</t>
  </si>
  <si>
    <t>LVCB4L4D5MM003985</t>
  </si>
  <si>
    <t>M221100525</t>
  </si>
  <si>
    <t>LVCB4L4D8NM002640</t>
  </si>
  <si>
    <t>M221100490</t>
  </si>
  <si>
    <t>LVCB4L4D7MM003986</t>
  </si>
  <si>
    <t>M221120002</t>
  </si>
  <si>
    <t>LVCB4L4D9MM003987</t>
  </si>
  <si>
    <t>M221110655</t>
  </si>
  <si>
    <t>LVCB4L4D7NM002631</t>
  </si>
  <si>
    <t>M221110657</t>
  </si>
  <si>
    <t>LVCB4L4D9NM002632</t>
  </si>
  <si>
    <t>M221100550</t>
  </si>
  <si>
    <t>LVCB4L4D0NM002633</t>
  </si>
  <si>
    <t>M221110538</t>
  </si>
  <si>
    <t>LVCB4L4D4NM002635</t>
  </si>
  <si>
    <t>M221110653</t>
  </si>
  <si>
    <t>LVCB4L4D6NM002636</t>
  </si>
  <si>
    <t>M221110109</t>
  </si>
  <si>
    <t>LVCB4L4D8NM002637</t>
  </si>
  <si>
    <t>M221100545</t>
  </si>
  <si>
    <t>LVCB4L4DXNM002638</t>
  </si>
  <si>
    <t>M221110095</t>
  </si>
  <si>
    <t>LVCB4L4D1NM002639</t>
  </si>
  <si>
    <t>M221110580</t>
  </si>
  <si>
    <t>LVCB4L4DXNM002641</t>
  </si>
  <si>
    <t>M221100298</t>
  </si>
  <si>
    <t>LVCB4L4D1NM002642</t>
  </si>
  <si>
    <t>M221100436</t>
  </si>
  <si>
    <t>LVCB4L4D3NM002643</t>
  </si>
  <si>
    <t>M221100488</t>
  </si>
  <si>
    <t>LVCB4L4D7NM002645</t>
  </si>
  <si>
    <t>M221100401</t>
  </si>
  <si>
    <t>LVCB4L4D9NM002646</t>
  </si>
  <si>
    <t>M221110103</t>
  </si>
  <si>
    <t>LVCB4L4D0NM002647</t>
  </si>
  <si>
    <t>M221100524</t>
  </si>
  <si>
    <t>LVCB4L4D2NM002648</t>
  </si>
  <si>
    <t>M221100442</t>
  </si>
  <si>
    <t>LVCB4L4D4NM002649</t>
  </si>
  <si>
    <t>M221100412</t>
  </si>
  <si>
    <t>LVCB4L4D0NM002650</t>
  </si>
  <si>
    <t>M221110537</t>
  </si>
  <si>
    <t>LVCB4L4D2NM002651</t>
  </si>
  <si>
    <t>M221100486</t>
  </si>
  <si>
    <t>LVCB4L4D4NM002652</t>
  </si>
  <si>
    <t>M221110530</t>
  </si>
  <si>
    <t>LVCB4L4D6NM002653</t>
  </si>
  <si>
    <t>M221100474</t>
  </si>
  <si>
    <t>LVCB4L4DXNM002655</t>
  </si>
  <si>
    <t>M221100411</t>
  </si>
  <si>
    <t>LVCB4L4D1NM002656</t>
  </si>
  <si>
    <t>M221100301</t>
  </si>
  <si>
    <t>LVCB4L4D3NM002657</t>
  </si>
  <si>
    <t>M221110532</t>
  </si>
  <si>
    <t>LVCB4L4D5NM002658</t>
  </si>
  <si>
    <t>M221100527</t>
  </si>
  <si>
    <t>LVCB4L4D7NM002659</t>
  </si>
  <si>
    <t>M221100403</t>
  </si>
  <si>
    <t>LVCB4L4D3NM002660</t>
  </si>
  <si>
    <t>M221100542</t>
  </si>
  <si>
    <t>LZPT-50|</t>
  </si>
  <si>
    <t>LZPT-50</t>
  </si>
  <si>
    <t>LVCB4L4D5NM002661</t>
  </si>
  <si>
    <t>M221110527</t>
  </si>
  <si>
    <t>LVCB4L4D7NM002662</t>
  </si>
  <si>
    <t>M221100402</t>
  </si>
  <si>
    <t>LVCB4L4D9NM002663</t>
  </si>
  <si>
    <t>M221110019</t>
  </si>
  <si>
    <t>LVCB4L4D2NM002665</t>
  </si>
  <si>
    <t>M221100489</t>
  </si>
  <si>
    <t>LVCB4L4D4NM002666</t>
  </si>
  <si>
    <t>M221110651</t>
  </si>
  <si>
    <t>LVCB4L4D6NM002667</t>
  </si>
  <si>
    <t>M221100405</t>
  </si>
  <si>
    <t>LVCB4L4D8NM002668</t>
  </si>
  <si>
    <t>M221100526</t>
  </si>
  <si>
    <t>LVCB4L4DXNM002669</t>
  </si>
  <si>
    <t>M221110534</t>
  </si>
  <si>
    <t>YV3T7U520RA212108</t>
  </si>
  <si>
    <t>YV3T7U522RA212112</t>
  </si>
  <si>
    <t>YV3T7U525RA212217</t>
  </si>
  <si>
    <t>YV3T7U523RA212314</t>
  </si>
  <si>
    <t>LDYECS315S0045859</t>
  </si>
  <si>
    <t>MDN35025030200</t>
  </si>
  <si>
    <t>LDYECS313S0045858</t>
  </si>
  <si>
    <t>MDN35025030201</t>
  </si>
  <si>
    <t>LDYECS313S0045777</t>
  </si>
  <si>
    <t>MDN35025030141</t>
  </si>
  <si>
    <t>LDYECS314S0045772</t>
  </si>
  <si>
    <t>MDN35025030143</t>
  </si>
  <si>
    <t>LDYECS318S0045869</t>
  </si>
  <si>
    <t>MDN35025030203</t>
  </si>
  <si>
    <t>LDYECS311S0045860</t>
  </si>
  <si>
    <t>MDN35025030275</t>
  </si>
  <si>
    <t>LDYECS316S0045868</t>
  </si>
  <si>
    <t>MDN35025030262</t>
  </si>
  <si>
    <t>LDYECS312S0045785</t>
  </si>
  <si>
    <t>MDN35025030159</t>
  </si>
  <si>
    <t>LZPT-39|</t>
  </si>
  <si>
    <t>LZPT-39</t>
  </si>
  <si>
    <t>LDYECS31XS0045873</t>
  </si>
  <si>
    <t>MDN35025030290</t>
  </si>
  <si>
    <t>LDYECS319S0045783</t>
  </si>
  <si>
    <t>MDN35025030314</t>
  </si>
  <si>
    <t>LZPT-46|</t>
  </si>
  <si>
    <t>LZPT-46</t>
  </si>
  <si>
    <t>LDYECS315S0045778</t>
  </si>
  <si>
    <t>MDN35025030280</t>
  </si>
  <si>
    <t>LDYECS316S0045787</t>
  </si>
  <si>
    <t>MDN35025030176</t>
  </si>
  <si>
    <t>LDYECS313S0045780</t>
  </si>
  <si>
    <t>MDN35025030190</t>
  </si>
  <si>
    <t>LZPT-76|</t>
  </si>
  <si>
    <t>LZPT-76</t>
  </si>
  <si>
    <t>LDYECS311S0045776</t>
  </si>
  <si>
    <t>MDN35025030167</t>
  </si>
  <si>
    <t>LDYECS317S0045782</t>
  </si>
  <si>
    <t>MDN35025030212</t>
  </si>
  <si>
    <t>LDYECS316S0045885</t>
  </si>
  <si>
    <t>MDN35025030187</t>
  </si>
  <si>
    <t>LDYECS311S0045745</t>
  </si>
  <si>
    <t>MDN35025030007</t>
  </si>
  <si>
    <t>LDYECS31XS0045789</t>
  </si>
  <si>
    <t>MDN35025030164</t>
  </si>
  <si>
    <t>LZPG-18|</t>
  </si>
  <si>
    <t>LZPG-18</t>
  </si>
  <si>
    <t>LDYECS311S0045888</t>
  </si>
  <si>
    <t>MDN35025010010</t>
  </si>
  <si>
    <t>LDYECS312S0045883</t>
  </si>
  <si>
    <t>MDN35025010007</t>
  </si>
  <si>
    <t>LDYECS315S0045876</t>
  </si>
  <si>
    <t>MDN35025030057</t>
  </si>
  <si>
    <t>LDYECS319S0045881</t>
  </si>
  <si>
    <t>MDN35025030161</t>
  </si>
  <si>
    <t>LDYECS318S0045788</t>
  </si>
  <si>
    <t>MDN35025030139</t>
  </si>
  <si>
    <t>LDYECS317S0045877</t>
  </si>
  <si>
    <t>MDN35025030162</t>
  </si>
  <si>
    <t>LDYECS313S0045875</t>
  </si>
  <si>
    <t>MDN35025030129</t>
  </si>
  <si>
    <t>LDYECS314S0045884</t>
  </si>
  <si>
    <t>MDN35025030150</t>
  </si>
  <si>
    <t>LDYECS310S0045879</t>
  </si>
  <si>
    <t>MDN35025030061</t>
  </si>
  <si>
    <t>LDYECS317S0045880</t>
  </si>
  <si>
    <t>MDN35025030304</t>
  </si>
  <si>
    <t>LDYECS319S0045878</t>
  </si>
  <si>
    <t>MDN35025030083</t>
  </si>
  <si>
    <t>LDYECS310S0045882</t>
  </si>
  <si>
    <t>MDN35025030289</t>
  </si>
  <si>
    <t>LDYECS316S0045899</t>
  </si>
  <si>
    <t>MDN35025030166</t>
  </si>
  <si>
    <t>LDYECS311S0045891</t>
  </si>
  <si>
    <t>MDN35025030095</t>
  </si>
  <si>
    <t>LZPT-58|</t>
  </si>
  <si>
    <t>LZPT-58</t>
  </si>
  <si>
    <t>LDYECS312S0045897</t>
  </si>
  <si>
    <t>MDN35025030274</t>
  </si>
  <si>
    <t>LDYECS313S0045892</t>
  </si>
  <si>
    <t>MDN35025010003</t>
  </si>
  <si>
    <t>LZPT-38|</t>
  </si>
  <si>
    <t>LZPT-38</t>
  </si>
  <si>
    <t>LDYECS319S0045900</t>
  </si>
  <si>
    <t>MDN35025030309</t>
  </si>
  <si>
    <t>LDYECS310S0045901</t>
  </si>
  <si>
    <t>MDN35025030140</t>
  </si>
  <si>
    <t>LDYECS317S0045894</t>
  </si>
  <si>
    <t>MDN35025010015</t>
  </si>
  <si>
    <t>GCBF-51|</t>
  </si>
  <si>
    <t>GCBF-51</t>
  </si>
  <si>
    <t>LDYECS310S0045896</t>
  </si>
  <si>
    <t>MDN35025030169</t>
  </si>
  <si>
    <t>LDYECS319S0045895</t>
  </si>
  <si>
    <t>MDN35025030282</t>
  </si>
  <si>
    <t>LZPT-40|</t>
  </si>
  <si>
    <t>LZPT-40</t>
  </si>
  <si>
    <t>LDYECS313S0045889</t>
  </si>
  <si>
    <t>MDN35025010009</t>
  </si>
  <si>
    <t>LDYECS314S0045898</t>
  </si>
  <si>
    <t>MDN35025030165</t>
  </si>
  <si>
    <t>LDYECS318S0045886</t>
  </si>
  <si>
    <t>MDN35025010011</t>
  </si>
  <si>
    <t>LDYECS310S0040231</t>
  </si>
  <si>
    <t>MDN35024090002</t>
  </si>
  <si>
    <t>LDYECS315S0045893</t>
  </si>
  <si>
    <t>MDN35025010002</t>
  </si>
  <si>
    <t>LDYECS31XS0045890</t>
  </si>
  <si>
    <t>MDN35025030147</t>
  </si>
  <si>
    <t>LXWT-89|</t>
  </si>
  <si>
    <t>LXWT-89</t>
  </si>
  <si>
    <t>-</t>
  </si>
  <si>
    <t>ppuguion</t>
  </si>
  <si>
    <t>Diccionario 2</t>
  </si>
  <si>
    <t>GCBB-15</t>
  </si>
  <si>
    <t>FLXZ-94</t>
  </si>
  <si>
    <t>GCBB-13</t>
  </si>
  <si>
    <t>GCBC-16</t>
  </si>
  <si>
    <t>GCBC-17</t>
  </si>
  <si>
    <t>GCBC-18</t>
  </si>
  <si>
    <t>GCBC-19</t>
  </si>
  <si>
    <t>GCBC-20</t>
  </si>
  <si>
    <t>GCBC-21</t>
  </si>
  <si>
    <t>GCBC-22</t>
  </si>
  <si>
    <t>GCBC-23</t>
  </si>
  <si>
    <t>LZPW-16|</t>
  </si>
  <si>
    <t>LZPW-16</t>
  </si>
  <si>
    <t>GCBB-16</t>
  </si>
  <si>
    <t>GCBB-17</t>
  </si>
  <si>
    <t>GCBB-18</t>
  </si>
  <si>
    <t>GCBB-19</t>
  </si>
  <si>
    <t>GCBB-20</t>
  </si>
  <si>
    <t>GCBB-21</t>
  </si>
  <si>
    <t>GCBB-22</t>
  </si>
  <si>
    <t>GCBB-23</t>
  </si>
  <si>
    <t>GCBB-24</t>
  </si>
  <si>
    <t>FLXZ-96</t>
  </si>
  <si>
    <t>GCBB-25</t>
  </si>
  <si>
    <t>LZPR-85|</t>
  </si>
  <si>
    <t>LZPR-85</t>
  </si>
  <si>
    <t>GCBB-26</t>
  </si>
  <si>
    <t>GCBB-27</t>
  </si>
  <si>
    <t>GCBB-28</t>
  </si>
  <si>
    <t>GCBB-29</t>
  </si>
  <si>
    <t>GCBB-30</t>
  </si>
  <si>
    <t>GCBB-31</t>
  </si>
  <si>
    <t>GCBB-32</t>
  </si>
  <si>
    <t>GCBC-33</t>
  </si>
  <si>
    <t>GCBB-34</t>
  </si>
  <si>
    <t>FLXZ-97</t>
  </si>
  <si>
    <t>GCBB-35</t>
  </si>
  <si>
    <t>GCBB-36</t>
  </si>
  <si>
    <t>GCBB-37</t>
  </si>
  <si>
    <t>LZRB-83|</t>
  </si>
  <si>
    <t>LZRB-83</t>
  </si>
  <si>
    <t>GCBB-38</t>
  </si>
  <si>
    <t>GCBB-39</t>
  </si>
  <si>
    <t>GCBB-40</t>
  </si>
  <si>
    <t>GCBB-41</t>
  </si>
  <si>
    <t>GCBB-42</t>
  </si>
  <si>
    <t>GCBB-43</t>
  </si>
  <si>
    <t>GCBB-44</t>
  </si>
  <si>
    <t>GCBF-44|</t>
  </si>
  <si>
    <t>GCBF-44</t>
  </si>
  <si>
    <t>FLXZ-98</t>
  </si>
  <si>
    <t>GCBB-45</t>
  </si>
  <si>
    <t>GCBB-46</t>
  </si>
  <si>
    <t>GCBB-47</t>
  </si>
  <si>
    <t>GCBB-48</t>
  </si>
  <si>
    <t>GCBB-49</t>
  </si>
  <si>
    <t>GCBB-50</t>
  </si>
  <si>
    <t>GCBB-51</t>
  </si>
  <si>
    <t>LZRB-87|</t>
  </si>
  <si>
    <t>LZRB-87</t>
  </si>
  <si>
    <t>GCBB-52</t>
  </si>
  <si>
    <t>GCBB-53</t>
  </si>
  <si>
    <t>GCBB-54</t>
  </si>
  <si>
    <t>FLXZ-99</t>
  </si>
  <si>
    <t>GCBB-55</t>
  </si>
  <si>
    <t>GCBB-56</t>
  </si>
  <si>
    <t>GCBB-57</t>
  </si>
  <si>
    <t>GCBB-58</t>
  </si>
  <si>
    <t>GCBB-59</t>
  </si>
  <si>
    <t>GCBB-60</t>
  </si>
  <si>
    <t>GCBB-61</t>
  </si>
  <si>
    <t>GCBB-62</t>
  </si>
  <si>
    <t>LZPG-17|</t>
  </si>
  <si>
    <t>GCBB-63</t>
  </si>
  <si>
    <t>LZPR-88|</t>
  </si>
  <si>
    <t>LZPR-88</t>
  </si>
  <si>
    <t>GCBB-64</t>
  </si>
  <si>
    <t>GCBB-10</t>
  </si>
  <si>
    <t>GCBB-65</t>
  </si>
  <si>
    <t>GCBB-66</t>
  </si>
  <si>
    <t>GCBB-67</t>
  </si>
  <si>
    <t>LZPG-10|</t>
  </si>
  <si>
    <t>LZPG-10</t>
  </si>
  <si>
    <t>GCBB-68</t>
  </si>
  <si>
    <t>GCBB-69</t>
  </si>
  <si>
    <t>GCBB-70</t>
  </si>
  <si>
    <t>GCBB-71</t>
  </si>
  <si>
    <t>LZPT-63|</t>
  </si>
  <si>
    <t>LZPT-63</t>
  </si>
  <si>
    <t>GCBB-72</t>
  </si>
  <si>
    <t>GCBB-73</t>
  </si>
  <si>
    <t>GCBB-74</t>
  </si>
  <si>
    <t>GCBB-11</t>
  </si>
  <si>
    <t>GCBB-75</t>
  </si>
  <si>
    <t>GCBB-76</t>
  </si>
  <si>
    <t>GCBB-77</t>
  </si>
  <si>
    <t>GCBB-78</t>
  </si>
  <si>
    <t>GCBB-79</t>
  </si>
  <si>
    <t>GCBB-80</t>
  </si>
  <si>
    <t>GCBB-81</t>
  </si>
  <si>
    <t>GCBB-82</t>
  </si>
  <si>
    <t>GCBB-83</t>
  </si>
  <si>
    <t>GCBB-84</t>
  </si>
  <si>
    <t>GCBB-12</t>
  </si>
  <si>
    <t>GCBB-85</t>
  </si>
  <si>
    <t>GCBB-86</t>
  </si>
  <si>
    <t>GCBB-87</t>
  </si>
  <si>
    <t>GCBB-88</t>
  </si>
  <si>
    <t>GCBB-89</t>
  </si>
  <si>
    <t>GCBB-91</t>
  </si>
  <si>
    <t>GCBB-92</t>
  </si>
  <si>
    <t>GCBB-93</t>
  </si>
  <si>
    <t>GCBB-94</t>
  </si>
  <si>
    <t>GCBB-95</t>
  </si>
  <si>
    <t>LZPT-60|</t>
  </si>
  <si>
    <t>LZPT-60</t>
  </si>
  <si>
    <t>GCBB-96</t>
  </si>
  <si>
    <t>GCBB-97</t>
  </si>
  <si>
    <t>GCBB-98</t>
  </si>
  <si>
    <t>GCBB-33</t>
  </si>
  <si>
    <t>GCBC-10</t>
  </si>
  <si>
    <t>GCBC-11</t>
  </si>
  <si>
    <t>GCBC-12</t>
  </si>
  <si>
    <t>GCBC-13</t>
  </si>
  <si>
    <t>GCBC-14</t>
  </si>
  <si>
    <t>GCBC-15</t>
  </si>
  <si>
    <t>VFHJ-88</t>
  </si>
  <si>
    <t>VFHL-33</t>
  </si>
  <si>
    <t>VFHL-39</t>
  </si>
  <si>
    <t>LZPS-12|</t>
  </si>
  <si>
    <t>LZPS-12</t>
  </si>
  <si>
    <t>VFHL-46</t>
  </si>
  <si>
    <t>VFHL-56</t>
  </si>
  <si>
    <t>VFHG-99</t>
  </si>
  <si>
    <t>VFHH-49</t>
  </si>
  <si>
    <t>VFHH-65</t>
  </si>
  <si>
    <t>VFHJ-21</t>
  </si>
  <si>
    <t>VFHJ-43</t>
  </si>
  <si>
    <t>VFHJ-59</t>
  </si>
  <si>
    <t>VFHJ-92</t>
  </si>
  <si>
    <t>VFHJ-69</t>
  </si>
  <si>
    <t>VFHJ-77</t>
  </si>
  <si>
    <t>VFHL-62</t>
  </si>
  <si>
    <t>VFHL-66</t>
  </si>
  <si>
    <t>VFHL-81</t>
  </si>
  <si>
    <t>VFHS-85</t>
  </si>
  <si>
    <t>VFHS-95</t>
  </si>
  <si>
    <t>VFHS-98</t>
  </si>
  <si>
    <t>VFHT-45</t>
  </si>
  <si>
    <t>VFHT-55</t>
  </si>
  <si>
    <t>VFHK-16</t>
  </si>
  <si>
    <t>LZPG-11|</t>
  </si>
  <si>
    <t>LZPG-11</t>
  </si>
  <si>
    <t>VFHT-73</t>
  </si>
  <si>
    <t>VFHT-80</t>
  </si>
  <si>
    <t>VFHT-81</t>
  </si>
  <si>
    <t>VFHV-57</t>
  </si>
  <si>
    <t>VFHV-67</t>
  </si>
  <si>
    <t>VJKD-70|</t>
  </si>
  <si>
    <t>VJKD-70</t>
  </si>
  <si>
    <t>VFHV-82</t>
  </si>
  <si>
    <t>VFHV-87</t>
  </si>
  <si>
    <t>VFHW-46</t>
  </si>
  <si>
    <t>VFHW-51</t>
  </si>
  <si>
    <t>VFHW-63</t>
  </si>
  <si>
    <t>VFHK-27</t>
  </si>
  <si>
    <t>VFPB-70</t>
  </si>
  <si>
    <t>VFPC-10</t>
  </si>
  <si>
    <t>VJKG-16|</t>
  </si>
  <si>
    <t>VJKG-16</t>
  </si>
  <si>
    <t>VFPC-31</t>
  </si>
  <si>
    <t>VFPC-80</t>
  </si>
  <si>
    <t>VFPC-51</t>
  </si>
  <si>
    <t>VFPD-84</t>
  </si>
  <si>
    <t>VFPD-94</t>
  </si>
  <si>
    <t>VFHL-60</t>
  </si>
  <si>
    <t>VFHK-31</t>
  </si>
  <si>
    <t>VFHK-58</t>
  </si>
  <si>
    <t>VFHK-69</t>
  </si>
  <si>
    <t>VFHK-89</t>
  </si>
  <si>
    <t>VFHK-96</t>
  </si>
  <si>
    <t>GCBF-42</t>
  </si>
  <si>
    <t>LZRB-89</t>
  </si>
  <si>
    <t>LZRB-90</t>
  </si>
  <si>
    <t>LZRB-91</t>
  </si>
  <si>
    <t>LZRB-92</t>
  </si>
  <si>
    <t>LZRB-93</t>
  </si>
  <si>
    <t>LZRB-94</t>
  </si>
  <si>
    <t>LZRB-95</t>
  </si>
  <si>
    <t>LZRB-96</t>
  </si>
  <si>
    <t>LZRD-61</t>
  </si>
  <si>
    <t>LZRD-62</t>
  </si>
  <si>
    <t>LZRD-63</t>
  </si>
  <si>
    <t>LZRD-64</t>
  </si>
  <si>
    <t>LZRD-65</t>
  </si>
  <si>
    <t>LZRD-66</t>
  </si>
  <si>
    <t>LZRD-67</t>
  </si>
  <si>
    <t>LZRD-68</t>
  </si>
  <si>
    <t>LZRD-69</t>
  </si>
  <si>
    <t>LZRD-70</t>
  </si>
  <si>
    <t>LZRD-71</t>
  </si>
  <si>
    <t>LZRD-72</t>
  </si>
  <si>
    <t>LZRD-73</t>
  </si>
  <si>
    <t>LZRD-74</t>
  </si>
  <si>
    <t>LZRD-75</t>
  </si>
  <si>
    <t>LZRD-76</t>
  </si>
  <si>
    <t>LZRD-77</t>
  </si>
  <si>
    <t>LZRD-78</t>
  </si>
  <si>
    <t>LZRD-79</t>
  </si>
  <si>
    <t>LZRD-80</t>
  </si>
  <si>
    <t>LZRD-81</t>
  </si>
  <si>
    <t>LZRD-82</t>
  </si>
  <si>
    <t>LZRD-83</t>
  </si>
  <si>
    <t>LZRD-84</t>
  </si>
  <si>
    <t>LZRD-85</t>
  </si>
  <si>
    <t>LZRD-86</t>
  </si>
  <si>
    <t>LZRD-87</t>
  </si>
  <si>
    <t>LZRD-88</t>
  </si>
  <si>
    <t>LZRD-89</t>
  </si>
  <si>
    <t>LZRD-90</t>
  </si>
  <si>
    <t>LZRD-91</t>
  </si>
  <si>
    <t>LZRD-92</t>
  </si>
  <si>
    <t>LZRD-94</t>
  </si>
  <si>
    <t>LZRD-95</t>
  </si>
  <si>
    <t>LZRD-96</t>
  </si>
  <si>
    <t>LZRD-97</t>
  </si>
  <si>
    <t>LZRD-98</t>
  </si>
  <si>
    <t>LZRD-99</t>
  </si>
  <si>
    <t>LZRF-10</t>
  </si>
  <si>
    <t>LZRF-11</t>
  </si>
  <si>
    <t>LZRF-12</t>
  </si>
  <si>
    <t>LZRF-13</t>
  </si>
  <si>
    <t>LZRF-14</t>
  </si>
  <si>
    <t>LZRF-15</t>
  </si>
  <si>
    <t>RJXT-26</t>
  </si>
  <si>
    <t>RWTP-78</t>
  </si>
  <si>
    <t>RWTP-79</t>
  </si>
  <si>
    <t>RWTP-80</t>
  </si>
  <si>
    <t>RWTP-81</t>
  </si>
  <si>
    <t>RWTP-82</t>
  </si>
  <si>
    <t>RWTP-83</t>
  </si>
  <si>
    <t>RWTP-84</t>
  </si>
  <si>
    <t>RWTP-85</t>
  </si>
  <si>
    <t>RWTP-86</t>
  </si>
  <si>
    <t>RWTP-87</t>
  </si>
  <si>
    <t>RWTP-88</t>
  </si>
  <si>
    <t>RWTP-89</t>
  </si>
  <si>
    <t>RWTP-90</t>
  </si>
  <si>
    <t>RWTP-91</t>
  </si>
  <si>
    <t>RWTP-92</t>
  </si>
  <si>
    <t>RWTP-93</t>
  </si>
  <si>
    <t>RWTP-94</t>
  </si>
  <si>
    <t>RWTP-95</t>
  </si>
  <si>
    <t>RWTP-96</t>
  </si>
  <si>
    <t>RWTP-97</t>
  </si>
  <si>
    <t>RWTP-98</t>
  </si>
  <si>
    <t>RWTP-99</t>
  </si>
  <si>
    <t>RWTR-10</t>
  </si>
  <si>
    <t>RWTR-11</t>
  </si>
  <si>
    <t>RYJG-90</t>
  </si>
  <si>
    <t>RYJG-91</t>
  </si>
  <si>
    <t>RYJG-92</t>
  </si>
  <si>
    <t>RYJG-93</t>
  </si>
  <si>
    <t>RYJG-94</t>
  </si>
  <si>
    <t>RYJG-95</t>
  </si>
  <si>
    <t>SXKV-87</t>
  </si>
  <si>
    <t>SXKV-88</t>
  </si>
  <si>
    <t>SXKV-89</t>
  </si>
  <si>
    <t>SXKV-90</t>
  </si>
  <si>
    <t>SXKV-91</t>
  </si>
  <si>
    <t>SXKV-92</t>
  </si>
  <si>
    <t>SXKV-93</t>
  </si>
  <si>
    <t>SXKV-94</t>
  </si>
  <si>
    <t>SXKV-95</t>
  </si>
  <si>
    <t>SXKV-96</t>
  </si>
  <si>
    <t>VFPB-75</t>
  </si>
  <si>
    <t>VFPB-85</t>
  </si>
  <si>
    <t>VFPC-59</t>
  </si>
  <si>
    <t>VFPC-66</t>
  </si>
  <si>
    <t>VFPC-69</t>
  </si>
  <si>
    <t>VFPD-10</t>
  </si>
  <si>
    <t>VFPD-41</t>
  </si>
  <si>
    <t>VFPD-51</t>
  </si>
  <si>
    <t>VFPD-61</t>
  </si>
  <si>
    <t>SFWZ-66</t>
  </si>
  <si>
    <t>VFPD-71</t>
  </si>
  <si>
    <t>VFPD-81</t>
  </si>
  <si>
    <t>VFPF-21</t>
  </si>
  <si>
    <t>VJZB-67</t>
  </si>
  <si>
    <t>VFPF-31</t>
  </si>
  <si>
    <t>SFWZ-63</t>
  </si>
  <si>
    <t>VFPF-51</t>
  </si>
  <si>
    <t>VFPF-54</t>
  </si>
  <si>
    <t>VFPF-61</t>
  </si>
  <si>
    <t>VJXC-53</t>
  </si>
  <si>
    <t>VFPG-48</t>
  </si>
  <si>
    <t>VJKX-18</t>
  </si>
  <si>
    <t>VFPG-58</t>
  </si>
  <si>
    <t>VFPG-91</t>
  </si>
  <si>
    <t>VJKD-94</t>
  </si>
  <si>
    <t>VFPH-21</t>
  </si>
  <si>
    <t>VFPH-35</t>
  </si>
  <si>
    <t>VFPH-51</t>
  </si>
  <si>
    <t>VJKF-55</t>
  </si>
  <si>
    <t>VFPH-66</t>
  </si>
  <si>
    <t>VFPH-79</t>
  </si>
  <si>
    <t>VFPH-81</t>
  </si>
  <si>
    <t>VJWZ-95</t>
  </si>
  <si>
    <t>VFPH-91</t>
  </si>
  <si>
    <t>VFPH-98</t>
  </si>
  <si>
    <t>VFPJ-11</t>
  </si>
  <si>
    <t>SFWZ-76</t>
  </si>
  <si>
    <t>VFPJ-25</t>
  </si>
  <si>
    <t>VFPJ-28</t>
  </si>
  <si>
    <t>VFPJ-31</t>
  </si>
  <si>
    <t>VFPJ-51</t>
  </si>
  <si>
    <t>VFPJ-53</t>
  </si>
  <si>
    <t>VFPJ-61</t>
  </si>
  <si>
    <t>VJKT-45</t>
  </si>
  <si>
    <t>VFPJ-66</t>
  </si>
  <si>
    <t>VFPJ-68</t>
  </si>
  <si>
    <t>VJKX-38</t>
  </si>
  <si>
    <t>VFPJ-71</t>
  </si>
  <si>
    <t>PERDIDA</t>
  </si>
  <si>
    <t>VFPJ-77</t>
  </si>
  <si>
    <t>VFPK-64</t>
  </si>
  <si>
    <t>VFPK-81</t>
  </si>
  <si>
    <t>VFPK-91</t>
  </si>
  <si>
    <t>VFPL-11</t>
  </si>
  <si>
    <t>VFPL-15</t>
  </si>
  <si>
    <t>VFPL-21</t>
  </si>
  <si>
    <t>VFPL-31</t>
  </si>
  <si>
    <t>VJZB-37|</t>
  </si>
  <si>
    <t>VJZB-37</t>
  </si>
  <si>
    <t>VFPL-35</t>
  </si>
  <si>
    <t>VFPL-41</t>
  </si>
  <si>
    <t>VFPL-46</t>
  </si>
  <si>
    <t>VJKT-92|</t>
  </si>
  <si>
    <t>VJKT-92</t>
  </si>
  <si>
    <t>VFPL-57</t>
  </si>
  <si>
    <t>VFPL-61</t>
  </si>
  <si>
    <t>VFPL-63</t>
  </si>
  <si>
    <t>VFPL-71</t>
  </si>
  <si>
    <t>VFPL-73</t>
  </si>
  <si>
    <t>VFPL-74</t>
  </si>
  <si>
    <t>VFPL-81</t>
  </si>
  <si>
    <t>VFPL-87</t>
  </si>
  <si>
    <t>VFPL-88</t>
  </si>
  <si>
    <t>VFPL-92</t>
  </si>
  <si>
    <t>VFPP-11</t>
  </si>
  <si>
    <t>VFPS-39</t>
  </si>
  <si>
    <t>VFPS-47</t>
  </si>
  <si>
    <t>VFPS-48</t>
  </si>
  <si>
    <t>VFPS-56</t>
  </si>
  <si>
    <t>VFPS-65</t>
  </si>
  <si>
    <t>VFPS-69</t>
  </si>
  <si>
    <t>VFPS-74</t>
  </si>
  <si>
    <t>VFPS-78</t>
  </si>
  <si>
    <t>VFPS-85</t>
  </si>
  <si>
    <t>VFPS-86</t>
  </si>
  <si>
    <t>VFPS-87</t>
  </si>
  <si>
    <t>VFPS-89</t>
  </si>
  <si>
    <t>VFPS-94</t>
  </si>
  <si>
    <t>VFPS-99</t>
  </si>
  <si>
    <t>VFPT-23</t>
  </si>
  <si>
    <t>VFPT-27</t>
  </si>
  <si>
    <t>VJZB-67|</t>
  </si>
  <si>
    <t>VFPT-47</t>
  </si>
  <si>
    <t>VFPT-63</t>
  </si>
  <si>
    <t>VFPT-64</t>
  </si>
  <si>
    <t>VFPT-65</t>
  </si>
  <si>
    <t>VJKX-38|</t>
  </si>
  <si>
    <t>VFPV-53</t>
  </si>
  <si>
    <t>VFPV-63</t>
  </si>
  <si>
    <t>VFPV-73</t>
  </si>
  <si>
    <t>VFPV-83</t>
  </si>
  <si>
    <t>VFPV-93</t>
  </si>
  <si>
    <t>VFPW-13</t>
  </si>
  <si>
    <t>VJKG-36|</t>
  </si>
  <si>
    <t>VJKG-36</t>
  </si>
  <si>
    <t>VFPW-23</t>
  </si>
  <si>
    <t>VFPW-33</t>
  </si>
  <si>
    <t>VJYH-63|</t>
  </si>
  <si>
    <t>VJYH-63</t>
  </si>
  <si>
    <t>VFPW-63</t>
  </si>
  <si>
    <t>VFPW-73</t>
  </si>
  <si>
    <t>VFPX-13</t>
  </si>
  <si>
    <t>VFPX-33</t>
  </si>
  <si>
    <t>VFPX-53</t>
  </si>
  <si>
    <t>VJXB-27|</t>
  </si>
  <si>
    <t>VJXB-27</t>
  </si>
  <si>
    <t>VFPX-63</t>
  </si>
  <si>
    <t>VFPX-83</t>
  </si>
  <si>
    <t>VFPX-93</t>
  </si>
  <si>
    <t>VFPY-13</t>
  </si>
  <si>
    <t>VFPY-23</t>
  </si>
  <si>
    <t>VFPY-33</t>
  </si>
  <si>
    <t>VFPY-43</t>
  </si>
  <si>
    <t>VFPZ-27</t>
  </si>
  <si>
    <t>VJKG-75|</t>
  </si>
  <si>
    <t>VJKG-75</t>
  </si>
  <si>
    <t>VFPZ-38</t>
  </si>
  <si>
    <t>VFPZ-39</t>
  </si>
  <si>
    <t>VFPZ-55</t>
  </si>
  <si>
    <t>VJKF-29|</t>
  </si>
  <si>
    <t>VJKF-29</t>
  </si>
  <si>
    <t>VFPZ-56</t>
  </si>
  <si>
    <t>VFPZ-74</t>
  </si>
  <si>
    <t>VFPZ-78</t>
  </si>
  <si>
    <t>VJZB-77|</t>
  </si>
  <si>
    <t>VJZB-77</t>
  </si>
  <si>
    <t>VFPZ-88</t>
  </si>
  <si>
    <t>VFPZ-89</t>
  </si>
  <si>
    <t>VFPZ-92</t>
  </si>
  <si>
    <t>VFPZ-97</t>
  </si>
  <si>
    <t>VFPZ-98</t>
  </si>
  <si>
    <t>VJWZ-74|</t>
  </si>
  <si>
    <t>VJWZ-74</t>
  </si>
  <si>
    <t>VFRB-13</t>
  </si>
  <si>
    <t>VJKD-85|</t>
  </si>
  <si>
    <t>VJKD-85</t>
  </si>
  <si>
    <t>VFRB-15</t>
  </si>
  <si>
    <t>VFRB-54</t>
  </si>
  <si>
    <t>VFRB-56</t>
  </si>
  <si>
    <t>VFRB-63</t>
  </si>
  <si>
    <t>VFRB-67</t>
  </si>
  <si>
    <t>VJKY-58|</t>
  </si>
  <si>
    <t>VJKY-58</t>
  </si>
  <si>
    <t>VFRB-68</t>
  </si>
  <si>
    <t>VFRB-81</t>
  </si>
  <si>
    <t>VFRC-75</t>
  </si>
  <si>
    <t>VFRD-35</t>
  </si>
  <si>
    <t>VFRD-45</t>
  </si>
  <si>
    <t>VFRD-55</t>
  </si>
  <si>
    <t>VFRD-65</t>
  </si>
  <si>
    <t>VFRD-75</t>
  </si>
  <si>
    <t>VFRD-85</t>
  </si>
  <si>
    <t>VFRD-95</t>
  </si>
  <si>
    <t>VFRF-15</t>
  </si>
  <si>
    <t>VFRF-35</t>
  </si>
  <si>
    <t>VFRF-55</t>
  </si>
  <si>
    <t>VJKX-78|</t>
  </si>
  <si>
    <t>VJKX-78</t>
  </si>
  <si>
    <t>VFRF-65</t>
  </si>
  <si>
    <t>VJXC-26|</t>
  </si>
  <si>
    <t>VJXC-26</t>
  </si>
  <si>
    <t>VFRF-75</t>
  </si>
  <si>
    <t>VFRF-85</t>
  </si>
  <si>
    <t>VFRF-95</t>
  </si>
  <si>
    <t>VFRG-15</t>
  </si>
  <si>
    <t>VJKV-58|</t>
  </si>
  <si>
    <t>VJKV-58</t>
  </si>
  <si>
    <t>VFRG-25</t>
  </si>
  <si>
    <t>VFRG-35</t>
  </si>
  <si>
    <t>VFRG-45</t>
  </si>
  <si>
    <t>VJKZ-38|</t>
  </si>
  <si>
    <t>VJKZ-38</t>
  </si>
  <si>
    <t>VGBS-15</t>
  </si>
  <si>
    <t>VGBV-29</t>
  </si>
  <si>
    <t>VJKF-66|</t>
  </si>
  <si>
    <t>VJKF-66</t>
  </si>
  <si>
    <t>VGBV-35</t>
  </si>
  <si>
    <t>VGBV-36</t>
  </si>
  <si>
    <t>VGBV-41</t>
  </si>
  <si>
    <t>VJKG-37|</t>
  </si>
  <si>
    <t>VJKG-37</t>
  </si>
  <si>
    <t>VGBV-51</t>
  </si>
  <si>
    <t>VGBV-55</t>
  </si>
  <si>
    <t>VJXB-87|</t>
  </si>
  <si>
    <t>VJXB-87</t>
  </si>
  <si>
    <t>VGBV-69</t>
  </si>
  <si>
    <t>VJKY-18|</t>
  </si>
  <si>
    <t>VJKY-18</t>
  </si>
  <si>
    <t>VGBV-79</t>
  </si>
  <si>
    <t>VGBV-99</t>
  </si>
  <si>
    <t>VGBW-19</t>
  </si>
  <si>
    <t>VGBW-29</t>
  </si>
  <si>
    <t>VGBW-39</t>
  </si>
  <si>
    <t>VGBW-48</t>
  </si>
  <si>
    <t>VGBW-58</t>
  </si>
  <si>
    <t>VGBW-68</t>
  </si>
  <si>
    <t>VGBW-98</t>
  </si>
  <si>
    <t>VJKG-25|</t>
  </si>
  <si>
    <t>VJKG-25</t>
  </si>
  <si>
    <t>VGBW-99</t>
  </si>
  <si>
    <t>VGBX-29</t>
  </si>
  <si>
    <t>VJXB-56|</t>
  </si>
  <si>
    <t>VJXB-56</t>
  </si>
  <si>
    <t>VGBX-48</t>
  </si>
  <si>
    <t>VGBX-49</t>
  </si>
  <si>
    <t>VGBX-58</t>
  </si>
  <si>
    <t>VGBX-59</t>
  </si>
  <si>
    <t>VGBX-78</t>
  </si>
  <si>
    <t>VGCB-39</t>
  </si>
  <si>
    <t>VGCB-59</t>
  </si>
  <si>
    <t>VGKX-42</t>
  </si>
  <si>
    <t>VGKX-52</t>
  </si>
  <si>
    <t>VGKX-62</t>
  </si>
  <si>
    <t>VGKX-82</t>
  </si>
  <si>
    <t>VGKY-12</t>
  </si>
  <si>
    <t>VJKW-68|</t>
  </si>
  <si>
    <t>VJKW-68</t>
  </si>
  <si>
    <t>VGKY-22</t>
  </si>
  <si>
    <t>VGKY-42</t>
  </si>
  <si>
    <t>VGKY-72</t>
  </si>
  <si>
    <t>VGKY-82</t>
  </si>
  <si>
    <t>VGKZ-62</t>
  </si>
  <si>
    <t>VGKZ-82</t>
  </si>
  <si>
    <t>VGKZ-92</t>
  </si>
  <si>
    <t>VGLZ-33</t>
  </si>
  <si>
    <t>VGLZ-43</t>
  </si>
  <si>
    <t>VGRB-23</t>
  </si>
  <si>
    <t>VGRB-24</t>
  </si>
  <si>
    <t>VGRB-33</t>
  </si>
  <si>
    <t>VGRB-63</t>
  </si>
  <si>
    <t>VGRB-73</t>
  </si>
  <si>
    <t>VGRB-93</t>
  </si>
  <si>
    <t>VGRC-13</t>
  </si>
  <si>
    <t>VGRC-23</t>
  </si>
  <si>
    <t>VGRC-33</t>
  </si>
  <si>
    <t>VGRC-43</t>
  </si>
  <si>
    <t>VGRC-53</t>
  </si>
  <si>
    <t>VGRC-73</t>
  </si>
  <si>
    <t>VGRC-83</t>
  </si>
  <si>
    <t>VGRC-93</t>
  </si>
  <si>
    <t>VGRD-25</t>
  </si>
  <si>
    <t>VGRD-35</t>
  </si>
  <si>
    <t>VGRD-55</t>
  </si>
  <si>
    <t>VGRF-45</t>
  </si>
  <si>
    <t>VGRF-55</t>
  </si>
  <si>
    <t>VGRF-65</t>
  </si>
  <si>
    <t>VGRF-75</t>
  </si>
  <si>
    <t>VGRF-84</t>
  </si>
  <si>
    <t>VGRF-85</t>
  </si>
  <si>
    <t>VGRF-94</t>
  </si>
  <si>
    <t>VGRG-14</t>
  </si>
  <si>
    <t>VGRG-24</t>
  </si>
  <si>
    <t>VGRG-34</t>
  </si>
  <si>
    <t>VGRG-44</t>
  </si>
  <si>
    <t>VGRG-45</t>
  </si>
  <si>
    <t>VGRG-54</t>
  </si>
  <si>
    <t>VJKF-44</t>
  </si>
  <si>
    <t>VJKF-46</t>
  </si>
  <si>
    <t>VJKF-61</t>
  </si>
  <si>
    <t>VJKG-66</t>
  </si>
  <si>
    <t>VJKG-85</t>
  </si>
  <si>
    <t>VJKT-55</t>
  </si>
  <si>
    <t>VJKT-83</t>
  </si>
  <si>
    <t>VJKZ-78|</t>
  </si>
  <si>
    <t>VJKZ-78</t>
  </si>
  <si>
    <t>VJKV-78</t>
  </si>
  <si>
    <t>VJLH-14</t>
  </si>
  <si>
    <t>VJLH-24</t>
  </si>
  <si>
    <t>VJLH-33</t>
  </si>
  <si>
    <t>VJZB-47|</t>
  </si>
  <si>
    <t>VJZB-47</t>
  </si>
  <si>
    <t>VJXC-91</t>
  </si>
  <si>
    <t>VJXD-48</t>
  </si>
  <si>
    <t>VJXD-86</t>
  </si>
  <si>
    <t>VJXH-88</t>
  </si>
  <si>
    <t>VJXJ-27</t>
  </si>
  <si>
    <t>VJXJ-39</t>
  </si>
  <si>
    <t>VJXJ-44</t>
  </si>
  <si>
    <t>VJXJ-46</t>
  </si>
  <si>
    <t>VJXJ-94</t>
  </si>
  <si>
    <t>VJXC-91|</t>
  </si>
  <si>
    <t>VJXK-14</t>
  </si>
  <si>
    <t>VJXK-15</t>
  </si>
  <si>
    <t>VJKF-61|</t>
  </si>
  <si>
    <t>VJYJ-22</t>
  </si>
  <si>
    <t>VJYJ-35</t>
  </si>
  <si>
    <t>VJYJ-37</t>
  </si>
  <si>
    <t>VJYJ-44</t>
  </si>
  <si>
    <t>VJYJ-46</t>
  </si>
  <si>
    <t>VJYJ-68</t>
  </si>
  <si>
    <t>VJYJ-75</t>
  </si>
  <si>
    <t>VJYJ-84</t>
  </si>
  <si>
    <t>VJYK-73</t>
  </si>
  <si>
    <t>VJYK-82</t>
  </si>
  <si>
    <t>VJYK-83</t>
  </si>
  <si>
    <t>VJYK-86</t>
  </si>
  <si>
    <t>VJYK-89</t>
  </si>
  <si>
    <t>VJYK-91</t>
  </si>
  <si>
    <t>VJYK-95</t>
  </si>
  <si>
    <t>VJYK-97</t>
  </si>
  <si>
    <t>VJYK-98</t>
  </si>
  <si>
    <t>VJYL-12</t>
  </si>
  <si>
    <t>VJYL-17</t>
  </si>
  <si>
    <t>VJZB-87</t>
  </si>
  <si>
    <t>VJZB-97</t>
  </si>
  <si>
    <t>VJZC-57</t>
  </si>
  <si>
    <t>VJZH-87</t>
  </si>
  <si>
    <t>VJZH-97</t>
  </si>
  <si>
    <t>VJZJ-56</t>
  </si>
  <si>
    <t>VJZJ-66</t>
  </si>
  <si>
    <t>VKFW-93</t>
  </si>
  <si>
    <t>VKFX-13</t>
  </si>
  <si>
    <t>VKFX-33</t>
  </si>
  <si>
    <t>VKFX-63</t>
  </si>
  <si>
    <t>VKFX-73</t>
  </si>
  <si>
    <t>VKFX-93</t>
  </si>
  <si>
    <t>VKFZ-33</t>
  </si>
  <si>
    <t>VKFZ-53</t>
  </si>
  <si>
    <t>VKFZ-93</t>
  </si>
  <si>
    <t>VKGB-43</t>
  </si>
  <si>
    <t>VKGB-83</t>
  </si>
  <si>
    <t>VKGC-23</t>
  </si>
  <si>
    <t>VKGC-63</t>
  </si>
  <si>
    <t>VKGC-73</t>
  </si>
  <si>
    <t>VKGD-33</t>
  </si>
  <si>
    <t>VKGD-43</t>
  </si>
  <si>
    <t>VKGF-93</t>
  </si>
  <si>
    <t>VKGG-13</t>
  </si>
  <si>
    <t>VKGG-23</t>
  </si>
  <si>
    <t>VKGG-33</t>
  </si>
  <si>
    <t>VKGG-53</t>
  </si>
  <si>
    <t>VKGG-73</t>
  </si>
  <si>
    <t>VKGG-83</t>
  </si>
  <si>
    <t>VKGG-93</t>
  </si>
  <si>
    <t>VKGH-13</t>
  </si>
  <si>
    <t>VKGH-23</t>
  </si>
  <si>
    <t>VKGH-33</t>
  </si>
  <si>
    <t>VJYJ-35|</t>
  </si>
  <si>
    <t>VKGL-84</t>
  </si>
  <si>
    <t>VKGP-35</t>
  </si>
  <si>
    <t>VKGP-45</t>
  </si>
  <si>
    <t>VKGP-55</t>
  </si>
  <si>
    <t>VKGP-75</t>
  </si>
  <si>
    <t>VLBP-23</t>
  </si>
  <si>
    <t>VLBP-73</t>
  </si>
  <si>
    <t>VLBZ-78</t>
  </si>
  <si>
    <t>VLBZ-96</t>
  </si>
  <si>
    <t>VLCB-26</t>
  </si>
  <si>
    <t>VLCB-56</t>
  </si>
  <si>
    <t>VLCC-16</t>
  </si>
  <si>
    <t>VLCC-36</t>
  </si>
  <si>
    <t>VLCD-56</t>
  </si>
  <si>
    <t>VLCD-65</t>
  </si>
  <si>
    <t>VLCF-18</t>
  </si>
  <si>
    <t>VLCF-76</t>
  </si>
  <si>
    <t>VJKF-46|</t>
  </si>
  <si>
    <t>VLCG-67</t>
  </si>
  <si>
    <t>VLCK-37</t>
  </si>
  <si>
    <t>VLCK-77</t>
  </si>
  <si>
    <t>VLFG-56</t>
  </si>
  <si>
    <t>VLFG-69</t>
  </si>
  <si>
    <t>VLFG-78</t>
  </si>
  <si>
    <t>VLFG-89</t>
  </si>
  <si>
    <t>VLFH-16</t>
  </si>
  <si>
    <t>VLFH-46</t>
  </si>
  <si>
    <t>VLFH-48</t>
  </si>
  <si>
    <t>VLFH-56</t>
  </si>
  <si>
    <t>VLFH-63</t>
  </si>
  <si>
    <t>VLFJ-57</t>
  </si>
  <si>
    <t>VLFJ-62</t>
  </si>
  <si>
    <t>VLFJ-65</t>
  </si>
  <si>
    <t>VLFJ-82</t>
  </si>
  <si>
    <t>VLFJ-85</t>
  </si>
  <si>
    <t>VLLY-27</t>
  </si>
  <si>
    <t>VLPD-24</t>
  </si>
  <si>
    <t>VLRS-46</t>
  </si>
  <si>
    <t>VLSD-60</t>
  </si>
  <si>
    <t>VLSD-66</t>
  </si>
  <si>
    <t>VLSD-67</t>
  </si>
  <si>
    <t>VLSD-68</t>
  </si>
  <si>
    <t>VLSD-70</t>
  </si>
  <si>
    <t>VLSD-77</t>
  </si>
  <si>
    <t>VLSJ-88</t>
  </si>
  <si>
    <t>VLSK-17</t>
  </si>
  <si>
    <t>VLSK-18</t>
  </si>
  <si>
    <t>VLSK-19</t>
  </si>
  <si>
    <t>VLSK-23</t>
  </si>
  <si>
    <t>VLSK-25</t>
  </si>
  <si>
    <t>VLSK-26</t>
  </si>
  <si>
    <t>VLSK-29</t>
  </si>
  <si>
    <t>VLSK-30</t>
  </si>
  <si>
    <t>VJKF-44|</t>
  </si>
  <si>
    <t>VLSK-39</t>
  </si>
  <si>
    <t>VLSK-44</t>
  </si>
  <si>
    <t>VLSK-46</t>
  </si>
  <si>
    <t>VLSK-53</t>
  </si>
  <si>
    <t>VLSK-64</t>
  </si>
  <si>
    <t>VLSK-70</t>
  </si>
  <si>
    <t>VLSK-77</t>
  </si>
  <si>
    <t>VLSK-86</t>
  </si>
  <si>
    <t>VLSK-93</t>
  </si>
  <si>
    <t>VLSK-95</t>
  </si>
  <si>
    <t>VLSK-99</t>
  </si>
  <si>
    <t>VLSL-10</t>
  </si>
  <si>
    <t>VLSL-16</t>
  </si>
  <si>
    <t>VLSL-25</t>
  </si>
  <si>
    <t>VLSS-34</t>
  </si>
  <si>
    <t>VLSS-37</t>
  </si>
  <si>
    <t>VLSS-45</t>
  </si>
  <si>
    <t>VLSS-69</t>
  </si>
  <si>
    <t>VLSS-88</t>
  </si>
  <si>
    <t>VLST-15</t>
  </si>
  <si>
    <t>VLST-23</t>
  </si>
  <si>
    <t>VLST-92</t>
  </si>
  <si>
    <t>VLSV-15</t>
  </si>
  <si>
    <t>VLSV-32</t>
  </si>
  <si>
    <t>VLSW-32</t>
  </si>
  <si>
    <t>VLSY-93</t>
  </si>
  <si>
    <t>VLSY-95</t>
  </si>
  <si>
    <t>VLSY-96</t>
  </si>
  <si>
    <t>VLSY-97</t>
  </si>
  <si>
    <t>VLSY-98</t>
  </si>
  <si>
    <t>VLSZ-15</t>
  </si>
  <si>
    <t>VLSZ-16</t>
  </si>
  <si>
    <t>VLSZ-23</t>
  </si>
  <si>
    <t>FLXZ-95</t>
  </si>
  <si>
    <t>GCBC-24</t>
  </si>
  <si>
    <t>GCBC-25</t>
  </si>
  <si>
    <t>GCBC-27</t>
  </si>
  <si>
    <t>GCBC-28</t>
  </si>
  <si>
    <t>GCBC-29</t>
  </si>
  <si>
    <t>GCBC-30</t>
  </si>
  <si>
    <t>GCBC-31</t>
  </si>
  <si>
    <t>GCBC-35</t>
  </si>
  <si>
    <t>LXWT-86</t>
  </si>
  <si>
    <t>LXWT-90</t>
  </si>
  <si>
    <t>LXWT-98</t>
  </si>
  <si>
    <t>LZPG-19</t>
  </si>
  <si>
    <t>LZPR-99</t>
  </si>
  <si>
    <t>LZPS-13</t>
  </si>
  <si>
    <t>LZPS-21</t>
  </si>
  <si>
    <t>LZPT-51</t>
  </si>
  <si>
    <t>SFVZ-60</t>
  </si>
  <si>
    <t>SFVZ-70</t>
  </si>
  <si>
    <t>SFWB-35</t>
  </si>
  <si>
    <t>SFWB-42</t>
  </si>
  <si>
    <t>SFWB-95</t>
  </si>
  <si>
    <t>SFWZ-23</t>
  </si>
  <si>
    <t>SFWZ-25</t>
  </si>
  <si>
    <t>SFWZ-42</t>
  </si>
  <si>
    <t>SFWZ-45</t>
  </si>
  <si>
    <t>SFWZ-50</t>
  </si>
  <si>
    <t>SFWZ-80</t>
  </si>
  <si>
    <t>VLSZ-25</t>
  </si>
  <si>
    <t>VLSZ-26</t>
  </si>
  <si>
    <t>VLSZ-46</t>
  </si>
  <si>
    <t>VLSZ-52</t>
  </si>
  <si>
    <t>VLSZ-54</t>
  </si>
  <si>
    <t>VLSZ-65</t>
  </si>
  <si>
    <t>VLSZ-68</t>
  </si>
  <si>
    <t>VLSZ-75</t>
  </si>
  <si>
    <t>VLTB-15</t>
  </si>
  <si>
    <t>VLTB-35</t>
  </si>
  <si>
    <t>VLTB-43</t>
  </si>
  <si>
    <t>VLTB-85</t>
  </si>
  <si>
    <t>VLTB-93</t>
  </si>
  <si>
    <t>VLTB-94</t>
  </si>
  <si>
    <t>VLTC-16</t>
  </si>
  <si>
    <t>VLTC-17</t>
  </si>
  <si>
    <t>VLTC-21</t>
  </si>
  <si>
    <t>VLTC-23</t>
  </si>
  <si>
    <t>VLTC-32</t>
  </si>
  <si>
    <t>VLTC-33</t>
  </si>
  <si>
    <t>VLTC-34</t>
  </si>
  <si>
    <t>VLTC-35</t>
  </si>
  <si>
    <t>VLTC-36</t>
  </si>
  <si>
    <t>VLTC-37</t>
  </si>
  <si>
    <t>VLTC-43</t>
  </si>
  <si>
    <t>VLTC-44</t>
  </si>
  <si>
    <t>VLTC-45</t>
  </si>
  <si>
    <t>VLTC-53</t>
  </si>
  <si>
    <t>VLTC-62</t>
  </si>
  <si>
    <t>VLTC-92</t>
  </si>
  <si>
    <t>VPBC-75</t>
  </si>
  <si>
    <t>VPBD-15</t>
  </si>
  <si>
    <t>VPBD-25</t>
  </si>
  <si>
    <t>VPBD-64</t>
  </si>
  <si>
    <t>VPBD-84</t>
  </si>
  <si>
    <t>VPBF-11</t>
  </si>
  <si>
    <t>VPBF-13</t>
  </si>
  <si>
    <t>VPBF-14</t>
  </si>
  <si>
    <t>VPBF-41</t>
  </si>
  <si>
    <t>VPBF-51</t>
  </si>
  <si>
    <t>VPBF-63</t>
  </si>
  <si>
    <t>VPBF-71</t>
  </si>
  <si>
    <t>VPBF-93</t>
  </si>
  <si>
    <t>VPBG-88</t>
  </si>
  <si>
    <t>VPBK-91</t>
  </si>
  <si>
    <t>PPU</t>
  </si>
  <si>
    <t>Diccionario 3</t>
  </si>
  <si>
    <t>GCBB15</t>
  </si>
  <si>
    <t>FLXZ94</t>
  </si>
  <si>
    <t>GCBB13</t>
  </si>
  <si>
    <t>GCBC16</t>
  </si>
  <si>
    <t>GCBC17</t>
  </si>
  <si>
    <t>GCBC18</t>
  </si>
  <si>
    <t>GCBC19</t>
  </si>
  <si>
    <t>GCBC20</t>
  </si>
  <si>
    <t>GCBC21</t>
  </si>
  <si>
    <t>GCBC22</t>
  </si>
  <si>
    <t>GCBC23</t>
  </si>
  <si>
    <t>GCBB16</t>
  </si>
  <si>
    <t>GCBB17</t>
  </si>
  <si>
    <t>GCBB18</t>
  </si>
  <si>
    <t>GCBB19</t>
  </si>
  <si>
    <t>GCBB20</t>
  </si>
  <si>
    <t>GCBB21</t>
  </si>
  <si>
    <t>GCBB22</t>
  </si>
  <si>
    <t>GCBB23</t>
  </si>
  <si>
    <t>GCBB24</t>
  </si>
  <si>
    <t>FLXZ96</t>
  </si>
  <si>
    <t>GCBB25</t>
  </si>
  <si>
    <t>GCBB26</t>
  </si>
  <si>
    <t>GCBB27</t>
  </si>
  <si>
    <t>GCBB28</t>
  </si>
  <si>
    <t>GCBB29</t>
  </si>
  <si>
    <t>GCBB30</t>
  </si>
  <si>
    <t>GCBB31</t>
  </si>
  <si>
    <t>GCBB32</t>
  </si>
  <si>
    <t>GCBC33</t>
  </si>
  <si>
    <t>GCBB34</t>
  </si>
  <si>
    <t>FLXZ97</t>
  </si>
  <si>
    <t>GCBB35</t>
  </si>
  <si>
    <t>GCBB36</t>
  </si>
  <si>
    <t>GCBB37</t>
  </si>
  <si>
    <t>GCBB38</t>
  </si>
  <si>
    <t>GCBB39</t>
  </si>
  <si>
    <t>GCBB40</t>
  </si>
  <si>
    <t>GCBB41</t>
  </si>
  <si>
    <t>GCBB42</t>
  </si>
  <si>
    <t>GCBB43</t>
  </si>
  <si>
    <t>GCBB44</t>
  </si>
  <si>
    <t>FLXZ98</t>
  </si>
  <si>
    <t>GCBB45</t>
  </si>
  <si>
    <t>GCBB46</t>
  </si>
  <si>
    <t>GCBB47</t>
  </si>
  <si>
    <t>GCBB48</t>
  </si>
  <si>
    <t>GCBB49</t>
  </si>
  <si>
    <t>GCBB50</t>
  </si>
  <si>
    <t>GCBB51</t>
  </si>
  <si>
    <t>GCBB52</t>
  </si>
  <si>
    <t>GCBB53</t>
  </si>
  <si>
    <t>GCBB54</t>
  </si>
  <si>
    <t>FLXZ99</t>
  </si>
  <si>
    <t>GCBB55</t>
  </si>
  <si>
    <t>GCBB56</t>
  </si>
  <si>
    <t>GCBB57</t>
  </si>
  <si>
    <t>GCBB58</t>
  </si>
  <si>
    <t>GCBB59</t>
  </si>
  <si>
    <t>GCBB60</t>
  </si>
  <si>
    <t>GCBB61</t>
  </si>
  <si>
    <t>GCBB62</t>
  </si>
  <si>
    <t>GCBB63</t>
  </si>
  <si>
    <t>GCBB64</t>
  </si>
  <si>
    <t>GCBB10</t>
  </si>
  <si>
    <t>GCBB65</t>
  </si>
  <si>
    <t>GCBB66</t>
  </si>
  <si>
    <t>GCBB67</t>
  </si>
  <si>
    <t>GCBB68</t>
  </si>
  <si>
    <t>GCBB69</t>
  </si>
  <si>
    <t>GCBB70</t>
  </si>
  <si>
    <t>GCBB71</t>
  </si>
  <si>
    <t>GCBB72</t>
  </si>
  <si>
    <t>GCBB73</t>
  </si>
  <si>
    <t>GCBB74</t>
  </si>
  <si>
    <t>GCBB11</t>
  </si>
  <si>
    <t>GCBB75</t>
  </si>
  <si>
    <t>GCBB76</t>
  </si>
  <si>
    <t>GCBB77</t>
  </si>
  <si>
    <t>GCBB78</t>
  </si>
  <si>
    <t>GCBB79</t>
  </si>
  <si>
    <t>GCBB80</t>
  </si>
  <si>
    <t>GCBB81</t>
  </si>
  <si>
    <t>GCBB82</t>
  </si>
  <si>
    <t>GCBB83</t>
  </si>
  <si>
    <t>GCBB84</t>
  </si>
  <si>
    <t>GCBB12</t>
  </si>
  <si>
    <t>GCBB85</t>
  </si>
  <si>
    <t>GCBB86</t>
  </si>
  <si>
    <t>GCBB87</t>
  </si>
  <si>
    <t>GCBB88</t>
  </si>
  <si>
    <t>GCBB89</t>
  </si>
  <si>
    <t>GCBB91</t>
  </si>
  <si>
    <t>GCBB92</t>
  </si>
  <si>
    <t>GCBB93</t>
  </si>
  <si>
    <t>GCBB94</t>
  </si>
  <si>
    <t>GCBB95</t>
  </si>
  <si>
    <t>GCBB96</t>
  </si>
  <si>
    <t>GCBB97</t>
  </si>
  <si>
    <t>GCBB98</t>
  </si>
  <si>
    <t>GCBB33</t>
  </si>
  <si>
    <t>GCBC10</t>
  </si>
  <si>
    <t>GCBC11</t>
  </si>
  <si>
    <t>GCBC12</t>
  </si>
  <si>
    <t>GCBC13</t>
  </si>
  <si>
    <t>GCBC14</t>
  </si>
  <si>
    <t>GCBC15</t>
  </si>
  <si>
    <t>VFHJ88</t>
  </si>
  <si>
    <t>VFHL33</t>
  </si>
  <si>
    <t>VFHL39</t>
  </si>
  <si>
    <t>VFHL46</t>
  </si>
  <si>
    <t>VFHL56</t>
  </si>
  <si>
    <t>VFHG99</t>
  </si>
  <si>
    <t>VFHH49</t>
  </si>
  <si>
    <t>VFHH65</t>
  </si>
  <si>
    <t>VFHJ21</t>
  </si>
  <si>
    <t>VFHJ43</t>
  </si>
  <si>
    <t>VFHJ59</t>
  </si>
  <si>
    <t>VFHJ92</t>
  </si>
  <si>
    <t>VFHJ69</t>
  </si>
  <si>
    <t>VFHJ77</t>
  </si>
  <si>
    <t>VFHL62</t>
  </si>
  <si>
    <t>VFHL66</t>
  </si>
  <si>
    <t>VFHL81</t>
  </si>
  <si>
    <t>VFHS85</t>
  </si>
  <si>
    <t>VFHS95</t>
  </si>
  <si>
    <t>VFHS98</t>
  </si>
  <si>
    <t>VFHT45</t>
  </si>
  <si>
    <t>VFHT55</t>
  </si>
  <si>
    <t>VFHK16</t>
  </si>
  <si>
    <t>VFHT73</t>
  </si>
  <si>
    <t>VFHT80</t>
  </si>
  <si>
    <t>VFHT81</t>
  </si>
  <si>
    <t>VFHV57</t>
  </si>
  <si>
    <t>VFHV67</t>
  </si>
  <si>
    <t>VFHV82</t>
  </si>
  <si>
    <t>VFHV87</t>
  </si>
  <si>
    <t>VFHW46</t>
  </si>
  <si>
    <t>VFHW51</t>
  </si>
  <si>
    <t>VFHW63</t>
  </si>
  <si>
    <t>VFHK27</t>
  </si>
  <si>
    <t>VFPB70</t>
  </si>
  <si>
    <t>VFPC10</t>
  </si>
  <si>
    <t>VFPC31</t>
  </si>
  <si>
    <t>VFPC80</t>
  </si>
  <si>
    <t>VFPC51</t>
  </si>
  <si>
    <t>VFPD84</t>
  </si>
  <si>
    <t>VFPD94</t>
  </si>
  <si>
    <t>VFHL60</t>
  </si>
  <si>
    <t>VFHK31</t>
  </si>
  <si>
    <t>VFHK58</t>
  </si>
  <si>
    <t>VFHK69</t>
  </si>
  <si>
    <t>VFHK89</t>
  </si>
  <si>
    <t>VFHK96</t>
  </si>
  <si>
    <t>GCBF42</t>
  </si>
  <si>
    <t>LZRB89</t>
  </si>
  <si>
    <t>LZRB90</t>
  </si>
  <si>
    <t>LZRB91</t>
  </si>
  <si>
    <t>LZRB92</t>
  </si>
  <si>
    <t>LZRB93</t>
  </si>
  <si>
    <t>LZRB94</t>
  </si>
  <si>
    <t>LZRB95</t>
  </si>
  <si>
    <t>LZRB96</t>
  </si>
  <si>
    <t>LZRD61</t>
  </si>
  <si>
    <t>LZRD62</t>
  </si>
  <si>
    <t>LZRD63</t>
  </si>
  <si>
    <t>LZRD64</t>
  </si>
  <si>
    <t>LZRD65</t>
  </si>
  <si>
    <t>LZRD66</t>
  </si>
  <si>
    <t>LZRD67</t>
  </si>
  <si>
    <t>LZRD68</t>
  </si>
  <si>
    <t>LZRD69</t>
  </si>
  <si>
    <t>LZRD70</t>
  </si>
  <si>
    <t>LZRD71</t>
  </si>
  <si>
    <t>LZRD72</t>
  </si>
  <si>
    <t>LZRD73</t>
  </si>
  <si>
    <t>LZRD74</t>
  </si>
  <si>
    <t>LZRD75</t>
  </si>
  <si>
    <t>LZRD76</t>
  </si>
  <si>
    <t>LZRD77</t>
  </si>
  <si>
    <t>LZRD78</t>
  </si>
  <si>
    <t>LZRD79</t>
  </si>
  <si>
    <t>LZRD80</t>
  </si>
  <si>
    <t>LZRD81</t>
  </si>
  <si>
    <t>LZRD82</t>
  </si>
  <si>
    <t>LZRD83</t>
  </si>
  <si>
    <t>LZRD84</t>
  </si>
  <si>
    <t>LZRD85</t>
  </si>
  <si>
    <t>LZRD86</t>
  </si>
  <si>
    <t>LZRD87</t>
  </si>
  <si>
    <t>LZRD88</t>
  </si>
  <si>
    <t>LZRD89</t>
  </si>
  <si>
    <t>LZRD90</t>
  </si>
  <si>
    <t>LZRD91</t>
  </si>
  <si>
    <t>LZRD92</t>
  </si>
  <si>
    <t>LZRD94</t>
  </si>
  <si>
    <t>LZRD95</t>
  </si>
  <si>
    <t>LZRD96</t>
  </si>
  <si>
    <t>LZRD97</t>
  </si>
  <si>
    <t>LZRD98</t>
  </si>
  <si>
    <t>LZRD99</t>
  </si>
  <si>
    <t>LZRF10</t>
  </si>
  <si>
    <t>LZRF11</t>
  </si>
  <si>
    <t>LZRF12</t>
  </si>
  <si>
    <t>LZRF13</t>
  </si>
  <si>
    <t>LZRF14</t>
  </si>
  <si>
    <t>LZRF15</t>
  </si>
  <si>
    <t>RJXT26</t>
  </si>
  <si>
    <t>RWTP78</t>
  </si>
  <si>
    <t>RWTP79</t>
  </si>
  <si>
    <t>RWTP80</t>
  </si>
  <si>
    <t>RWTP81</t>
  </si>
  <si>
    <t>RWTP82</t>
  </si>
  <si>
    <t>RWTP83</t>
  </si>
  <si>
    <t>RWTP84</t>
  </si>
  <si>
    <t>RWTP85</t>
  </si>
  <si>
    <t>RWTP86</t>
  </si>
  <si>
    <t>RWTP87</t>
  </si>
  <si>
    <t>RWTP88</t>
  </si>
  <si>
    <t>RWTP89</t>
  </si>
  <si>
    <t>RWTP90</t>
  </si>
  <si>
    <t>RWTP91</t>
  </si>
  <si>
    <t>RWTP92</t>
  </si>
  <si>
    <t>RWTP93</t>
  </si>
  <si>
    <t>RWTP94</t>
  </si>
  <si>
    <t>RWTP95</t>
  </si>
  <si>
    <t>RWTP96</t>
  </si>
  <si>
    <t>RWTP97</t>
  </si>
  <si>
    <t>RWTP98</t>
  </si>
  <si>
    <t>RWTP99</t>
  </si>
  <si>
    <t>RWTR10</t>
  </si>
  <si>
    <t>RWTR11</t>
  </si>
  <si>
    <t>RYJG90</t>
  </si>
  <si>
    <t>RYJG91</t>
  </si>
  <si>
    <t>RYJG92</t>
  </si>
  <si>
    <t>RYJG93</t>
  </si>
  <si>
    <t>RYJG94</t>
  </si>
  <si>
    <t>RYJG95</t>
  </si>
  <si>
    <t>SXKV87</t>
  </si>
  <si>
    <t>SXKV88</t>
  </si>
  <si>
    <t>SXKV89</t>
  </si>
  <si>
    <t>SXKV90</t>
  </si>
  <si>
    <t>SXKV91</t>
  </si>
  <si>
    <t>SXKV92</t>
  </si>
  <si>
    <t>SXKV93</t>
  </si>
  <si>
    <t>SXKV94</t>
  </si>
  <si>
    <t>SXKV95</t>
  </si>
  <si>
    <t>SXKV96</t>
  </si>
  <si>
    <t>VFPB75</t>
  </si>
  <si>
    <t>VFPB85</t>
  </si>
  <si>
    <t>VFPC59</t>
  </si>
  <si>
    <t>VFPC66</t>
  </si>
  <si>
    <t>VFPC69</t>
  </si>
  <si>
    <t>VFPD10</t>
  </si>
  <si>
    <t>VFPD41</t>
  </si>
  <si>
    <t>VFPD51</t>
  </si>
  <si>
    <t>VFPD61</t>
  </si>
  <si>
    <t>VFPD71</t>
  </si>
  <si>
    <t>VFPD81</t>
  </si>
  <si>
    <t>VFPF21</t>
  </si>
  <si>
    <t>VFPF31</t>
  </si>
  <si>
    <t>VFPF51</t>
  </si>
  <si>
    <t>VFPF54</t>
  </si>
  <si>
    <t>VFPF61</t>
  </si>
  <si>
    <t>VFPG48</t>
  </si>
  <si>
    <t>VFPG58</t>
  </si>
  <si>
    <t>VFPG91</t>
  </si>
  <si>
    <t>VFPH21</t>
  </si>
  <si>
    <t>VFPH35</t>
  </si>
  <si>
    <t>VFPH51</t>
  </si>
  <si>
    <t>VFPH66</t>
  </si>
  <si>
    <t>VFPH79</t>
  </si>
  <si>
    <t>VFPH81</t>
  </si>
  <si>
    <t>VFPH91</t>
  </si>
  <si>
    <t>VFPH98</t>
  </si>
  <si>
    <t>VFPJ11</t>
  </si>
  <si>
    <t>VFPJ25</t>
  </si>
  <si>
    <t>VFPJ28</t>
  </si>
  <si>
    <t>VFPJ31</t>
  </si>
  <si>
    <t>VFPJ51</t>
  </si>
  <si>
    <t>VFPJ53</t>
  </si>
  <si>
    <t>VFPJ61</t>
  </si>
  <si>
    <t>VFPJ66</t>
  </si>
  <si>
    <t>VFPJ68</t>
  </si>
  <si>
    <t>VFPJ71</t>
  </si>
  <si>
    <t>VFPJ77</t>
  </si>
  <si>
    <t>VFPK64</t>
  </si>
  <si>
    <t>VFPK81</t>
  </si>
  <si>
    <t>VFPK91</t>
  </si>
  <si>
    <t>VFPL11</t>
  </si>
  <si>
    <t>VFPL15</t>
  </si>
  <si>
    <t>VFPL21</t>
  </si>
  <si>
    <t>VFPL31</t>
  </si>
  <si>
    <t>VFPL35</t>
  </si>
  <si>
    <t>VFPL41</t>
  </si>
  <si>
    <t>VFPL46</t>
  </si>
  <si>
    <t>VFPL57</t>
  </si>
  <si>
    <t>VFPL61</t>
  </si>
  <si>
    <t>VFPL63</t>
  </si>
  <si>
    <t>VFPL71</t>
  </si>
  <si>
    <t>VFPL73</t>
  </si>
  <si>
    <t>VFPL74</t>
  </si>
  <si>
    <t>VFPL81</t>
  </si>
  <si>
    <t>VFPL87</t>
  </si>
  <si>
    <t>VFPL88</t>
  </si>
  <si>
    <t>VFPL92</t>
  </si>
  <si>
    <t>VFPP11</t>
  </si>
  <si>
    <t>VFPS39</t>
  </si>
  <si>
    <t>VFPS47</t>
  </si>
  <si>
    <t>VFPS48</t>
  </si>
  <si>
    <t>VFPS56</t>
  </si>
  <si>
    <t>VFPS65</t>
  </si>
  <si>
    <t>VFPS69</t>
  </si>
  <si>
    <t>VFPS74</t>
  </si>
  <si>
    <t>VFPS78</t>
  </si>
  <si>
    <t>VFPS85</t>
  </si>
  <si>
    <t>VFPS86</t>
  </si>
  <si>
    <t>VFPS87</t>
  </si>
  <si>
    <t>VFPS89</t>
  </si>
  <si>
    <t>VFPS94</t>
  </si>
  <si>
    <t>VFPS99</t>
  </si>
  <si>
    <t>VFPT23</t>
  </si>
  <si>
    <t>VFPT27</t>
  </si>
  <si>
    <t>VFPT47</t>
  </si>
  <si>
    <t>VFPT63</t>
  </si>
  <si>
    <t>VFPT64</t>
  </si>
  <si>
    <t>VFPT65</t>
  </si>
  <si>
    <t>VFPV53</t>
  </si>
  <si>
    <t>VFPV63</t>
  </si>
  <si>
    <t>VFPV73</t>
  </si>
  <si>
    <t>VFPV83</t>
  </si>
  <si>
    <t>VFPV93</t>
  </si>
  <si>
    <t>VFPW13</t>
  </si>
  <si>
    <t>VFPW23</t>
  </si>
  <si>
    <t>VFPW33</t>
  </si>
  <si>
    <t>VFPW63</t>
  </si>
  <si>
    <t>VFPW73</t>
  </si>
  <si>
    <t>VFPX13</t>
  </si>
  <si>
    <t>VFPX33</t>
  </si>
  <si>
    <t>VFPX53</t>
  </si>
  <si>
    <t>VFPX63</t>
  </si>
  <si>
    <t>VFPX83</t>
  </si>
  <si>
    <t>VFPX93</t>
  </si>
  <si>
    <t>VFPY13</t>
  </si>
  <si>
    <t>VFPY23</t>
  </si>
  <si>
    <t>VFPY33</t>
  </si>
  <si>
    <t>VFPY43</t>
  </si>
  <si>
    <t>VFPZ27</t>
  </si>
  <si>
    <t>VFPZ38</t>
  </si>
  <si>
    <t>VFPZ39</t>
  </si>
  <si>
    <t>VFPZ55</t>
  </si>
  <si>
    <t>VFPZ56</t>
  </si>
  <si>
    <t>VFPZ74</t>
  </si>
  <si>
    <t>VFPZ78</t>
  </si>
  <si>
    <t>VFPZ88</t>
  </si>
  <si>
    <t>VFPZ89</t>
  </si>
  <si>
    <t>VFPZ92</t>
  </si>
  <si>
    <t>VFPZ97</t>
  </si>
  <si>
    <t>VFPZ98</t>
  </si>
  <si>
    <t>VFRB13</t>
  </si>
  <si>
    <t>VFRB15</t>
  </si>
  <si>
    <t>VFRB54</t>
  </si>
  <si>
    <t>VFRB56</t>
  </si>
  <si>
    <t>VFRB63</t>
  </si>
  <si>
    <t>VFRB67</t>
  </si>
  <si>
    <t>VFRB68</t>
  </si>
  <si>
    <t>VFRB81</t>
  </si>
  <si>
    <t>VFRC75</t>
  </si>
  <si>
    <t>VFRD35</t>
  </si>
  <si>
    <t>VFRD45</t>
  </si>
  <si>
    <t>VFRD55</t>
  </si>
  <si>
    <t>VFRD65</t>
  </si>
  <si>
    <t>VFRD75</t>
  </si>
  <si>
    <t>VFRD85</t>
  </si>
  <si>
    <t>VFRD95</t>
  </si>
  <si>
    <t>VFRF15</t>
  </si>
  <si>
    <t>VFRF35</t>
  </si>
  <si>
    <t>VFRF55</t>
  </si>
  <si>
    <t>VFRF65</t>
  </si>
  <si>
    <t>VFRF75</t>
  </si>
  <si>
    <t>VFRF85</t>
  </si>
  <si>
    <t>VFRF95</t>
  </si>
  <si>
    <t>VFRG15</t>
  </si>
  <si>
    <t>VFRG25</t>
  </si>
  <si>
    <t>VFRG35</t>
  </si>
  <si>
    <t>VFRG45</t>
  </si>
  <si>
    <t>VGBS15</t>
  </si>
  <si>
    <t>VGBV29</t>
  </si>
  <si>
    <t>VGBV35</t>
  </si>
  <si>
    <t>VGBV36</t>
  </si>
  <si>
    <t>VGBV41</t>
  </si>
  <si>
    <t>VGBV51</t>
  </si>
  <si>
    <t>VGBV55</t>
  </si>
  <si>
    <t>VGBV69</t>
  </si>
  <si>
    <t>VGBV79</t>
  </si>
  <si>
    <t>VGBV99</t>
  </si>
  <si>
    <t>VGBW19</t>
  </si>
  <si>
    <t>VGBW29</t>
  </si>
  <si>
    <t>VGBW39</t>
  </si>
  <si>
    <t>VGBW48</t>
  </si>
  <si>
    <t>VGBW58</t>
  </si>
  <si>
    <t>VGBW68</t>
  </si>
  <si>
    <t>VGBW98</t>
  </si>
  <si>
    <t>VGBW99</t>
  </si>
  <si>
    <t>VGBX29</t>
  </si>
  <si>
    <t>VGBX48</t>
  </si>
  <si>
    <t>VGBX49</t>
  </si>
  <si>
    <t>VGBX58</t>
  </si>
  <si>
    <t>VGBX59</t>
  </si>
  <si>
    <t>VGBX78</t>
  </si>
  <si>
    <t>VGCB39</t>
  </si>
  <si>
    <t>VGCB59</t>
  </si>
  <si>
    <t>VGKX42</t>
  </si>
  <si>
    <t>VGKX52</t>
  </si>
  <si>
    <t>VGKX62</t>
  </si>
  <si>
    <t>VGKX82</t>
  </si>
  <si>
    <t>VGKY12</t>
  </si>
  <si>
    <t>VGKY22</t>
  </si>
  <si>
    <t>VGKY42</t>
  </si>
  <si>
    <t>VGKY72</t>
  </si>
  <si>
    <t>VGKY82</t>
  </si>
  <si>
    <t>VGKZ62</t>
  </si>
  <si>
    <t>VGKZ82</t>
  </si>
  <si>
    <t>VGKZ92</t>
  </si>
  <si>
    <t>VGLZ33</t>
  </si>
  <si>
    <t>VGLZ43</t>
  </si>
  <si>
    <t>VGRB23</t>
  </si>
  <si>
    <t>VGRB24</t>
  </si>
  <si>
    <t>VGRB33</t>
  </si>
  <si>
    <t>VGRB63</t>
  </si>
  <si>
    <t>VGRB73</t>
  </si>
  <si>
    <t>VGRB93</t>
  </si>
  <si>
    <t>VGRC13</t>
  </si>
  <si>
    <t>VGRC23</t>
  </si>
  <si>
    <t>VGRC33</t>
  </si>
  <si>
    <t>VGRC43</t>
  </si>
  <si>
    <t>VGRC53</t>
  </si>
  <si>
    <t>VGRC73</t>
  </si>
  <si>
    <t>VGRC83</t>
  </si>
  <si>
    <t>VGRC93</t>
  </si>
  <si>
    <t>VGRD25</t>
  </si>
  <si>
    <t>VGRD35</t>
  </si>
  <si>
    <t>VGRD55</t>
  </si>
  <si>
    <t>VGRF45</t>
  </si>
  <si>
    <t>VGRF55</t>
  </si>
  <si>
    <t>VGRF65</t>
  </si>
  <si>
    <t>VGRF75</t>
  </si>
  <si>
    <t>VGRF84</t>
  </si>
  <si>
    <t>VGRF85</t>
  </si>
  <si>
    <t>VGRF94</t>
  </si>
  <si>
    <t>VGRG14</t>
  </si>
  <si>
    <t>VGRG24</t>
  </si>
  <si>
    <t>VGRG34</t>
  </si>
  <si>
    <t>VGRG44</t>
  </si>
  <si>
    <t>VGRG45</t>
  </si>
  <si>
    <t>VGRG54</t>
  </si>
  <si>
    <t>VJKD70</t>
  </si>
  <si>
    <t>VJKD85</t>
  </si>
  <si>
    <t>VJKD94</t>
  </si>
  <si>
    <t>VJKF29</t>
  </si>
  <si>
    <t>VJKF44</t>
  </si>
  <si>
    <t>VJKF46</t>
  </si>
  <si>
    <t>VJKF55</t>
  </si>
  <si>
    <t>VJKF61</t>
  </si>
  <si>
    <t>VJKF66</t>
  </si>
  <si>
    <t>VJKG16</t>
  </si>
  <si>
    <t>VJKG25</t>
  </si>
  <si>
    <t>VJKG36</t>
  </si>
  <si>
    <t>VJKG37</t>
  </si>
  <si>
    <t>VJKG66</t>
  </si>
  <si>
    <t>VJKG75</t>
  </si>
  <si>
    <t>VJKG85</t>
  </si>
  <si>
    <t>VJKT45</t>
  </si>
  <si>
    <t>VJKT55</t>
  </si>
  <si>
    <t>VJKT63</t>
  </si>
  <si>
    <t>VJKT83</t>
  </si>
  <si>
    <t>VJKT92</t>
  </si>
  <si>
    <t>VJKV14</t>
  </si>
  <si>
    <t>VJKV58</t>
  </si>
  <si>
    <t>VJKV78</t>
  </si>
  <si>
    <t>VJKV88</t>
  </si>
  <si>
    <t>VJKW68</t>
  </si>
  <si>
    <t>VJKX18</t>
  </si>
  <si>
    <t>VJKX38</t>
  </si>
  <si>
    <t>VJKX78</t>
  </si>
  <si>
    <t>VJKY18</t>
  </si>
  <si>
    <t>VJKY58</t>
  </si>
  <si>
    <t>VJKZ38</t>
  </si>
  <si>
    <t>VJKZ78</t>
  </si>
  <si>
    <t>VJLH14</t>
  </si>
  <si>
    <t>VJLH24</t>
  </si>
  <si>
    <t>VJLH33</t>
  </si>
  <si>
    <t>VJWZ74</t>
  </si>
  <si>
    <t>VJWZ95</t>
  </si>
  <si>
    <t>VJXB27</t>
  </si>
  <si>
    <t>VJXB56</t>
  </si>
  <si>
    <t>VJXB87</t>
  </si>
  <si>
    <t>VJXC26</t>
  </si>
  <si>
    <t>VJXC42</t>
  </si>
  <si>
    <t>VJXC53</t>
  </si>
  <si>
    <t>VJXC75</t>
  </si>
  <si>
    <t>VJXC91</t>
  </si>
  <si>
    <t>VJXD48</t>
  </si>
  <si>
    <t>VJXD86</t>
  </si>
  <si>
    <t>VJXH88</t>
  </si>
  <si>
    <t>VJXJ27</t>
  </si>
  <si>
    <t>VJXJ39</t>
  </si>
  <si>
    <t>VJXJ44</t>
  </si>
  <si>
    <t>VJXJ46</t>
  </si>
  <si>
    <t>VJXJ94</t>
  </si>
  <si>
    <t>VJXK14</t>
  </si>
  <si>
    <t>VJXK15</t>
  </si>
  <si>
    <t>VJYH63</t>
  </si>
  <si>
    <t>VJYJ15</t>
  </si>
  <si>
    <t>VJYJ22</t>
  </si>
  <si>
    <t>VJYJ35</t>
  </si>
  <si>
    <t>VJYJ37</t>
  </si>
  <si>
    <t>VJYJ44</t>
  </si>
  <si>
    <t>VJYJ46</t>
  </si>
  <si>
    <t>VJYJ68</t>
  </si>
  <si>
    <t>VJYJ75</t>
  </si>
  <si>
    <t>VJYJ84</t>
  </si>
  <si>
    <t>VJYK73</t>
  </si>
  <si>
    <t>VJYK82</t>
  </si>
  <si>
    <t>VJYK83</t>
  </si>
  <si>
    <t>VJYK86</t>
  </si>
  <si>
    <t>VJYK89</t>
  </si>
  <si>
    <t>VJYK91</t>
  </si>
  <si>
    <t>VJYK95</t>
  </si>
  <si>
    <t>VJYK97</t>
  </si>
  <si>
    <t>VJYK98</t>
  </si>
  <si>
    <t>VJYL12</t>
  </si>
  <si>
    <t>VJYL17</t>
  </si>
  <si>
    <t>VJZB37</t>
  </si>
  <si>
    <t>VJZB47</t>
  </si>
  <si>
    <t>VJZB57</t>
  </si>
  <si>
    <t>VJZB67</t>
  </si>
  <si>
    <t>VJZB77</t>
  </si>
  <si>
    <t>VJZB87</t>
  </si>
  <si>
    <t>VJZB97</t>
  </si>
  <si>
    <t>VJZC57</t>
  </si>
  <si>
    <t>VJZH87</t>
  </si>
  <si>
    <t>VJZH97</t>
  </si>
  <si>
    <t>VJZJ56</t>
  </si>
  <si>
    <t>VJZJ66</t>
  </si>
  <si>
    <t>VKFW93</t>
  </si>
  <si>
    <t>VKFX13</t>
  </si>
  <si>
    <t>VKFX33</t>
  </si>
  <si>
    <t>VKFX63</t>
  </si>
  <si>
    <t>VKFX73</t>
  </si>
  <si>
    <t>VKFX93</t>
  </si>
  <si>
    <t>VKFZ33</t>
  </si>
  <si>
    <t>VKFZ53</t>
  </si>
  <si>
    <t>VKFZ93</t>
  </si>
  <si>
    <t>VKGB43</t>
  </si>
  <si>
    <t>VKGB83</t>
  </si>
  <si>
    <t>VKGC23</t>
  </si>
  <si>
    <t>VKGC63</t>
  </si>
  <si>
    <t>VKGC73</t>
  </si>
  <si>
    <t>VKGD33</t>
  </si>
  <si>
    <t>VKGD43</t>
  </si>
  <si>
    <t>VKGF93</t>
  </si>
  <si>
    <t>VKGG13</t>
  </si>
  <si>
    <t>VKGG23</t>
  </si>
  <si>
    <t>VKGG33</t>
  </si>
  <si>
    <t>VKGG53</t>
  </si>
  <si>
    <t>VKGG73</t>
  </si>
  <si>
    <t>VKGG83</t>
  </si>
  <si>
    <t>VKGG93</t>
  </si>
  <si>
    <t>VKGH13</t>
  </si>
  <si>
    <t>VKGH23</t>
  </si>
  <si>
    <t>VKGH33</t>
  </si>
  <si>
    <t>VKGL84</t>
  </si>
  <si>
    <t>VKGP35</t>
  </si>
  <si>
    <t>VKGP45</t>
  </si>
  <si>
    <t>VKGP55</t>
  </si>
  <si>
    <t>VKGP75</t>
  </si>
  <si>
    <t>VLBP23</t>
  </si>
  <si>
    <t>VLBP73</t>
  </si>
  <si>
    <t>VLBZ78</t>
  </si>
  <si>
    <t>VLBZ96</t>
  </si>
  <si>
    <t>VLCB26</t>
  </si>
  <si>
    <t>VLCB56</t>
  </si>
  <si>
    <t>VLCC16</t>
  </si>
  <si>
    <t>VLCC36</t>
  </si>
  <si>
    <t>VLCD56</t>
  </si>
  <si>
    <t>VLCD65</t>
  </si>
  <si>
    <t>VLCF18</t>
  </si>
  <si>
    <t>VLCF76</t>
  </si>
  <si>
    <t>VLCG67</t>
  </si>
  <si>
    <t>VLCK37</t>
  </si>
  <si>
    <t>VLCK77</t>
  </si>
  <si>
    <t>VLFG56</t>
  </si>
  <si>
    <t>VLFG69</t>
  </si>
  <si>
    <t>VLFG78</t>
  </si>
  <si>
    <t>VLFG89</t>
  </si>
  <si>
    <t>VLFH16</t>
  </si>
  <si>
    <t>VLFH46</t>
  </si>
  <si>
    <t>VLFH48</t>
  </si>
  <si>
    <t>VLFH56</t>
  </si>
  <si>
    <t>VLFH63</t>
  </si>
  <si>
    <t>VLFJ57</t>
  </si>
  <si>
    <t>VLFJ62</t>
  </si>
  <si>
    <t>VLFJ65</t>
  </si>
  <si>
    <t>VLFJ82</t>
  </si>
  <si>
    <t>VLFJ85</t>
  </si>
  <si>
    <t>VLLY27</t>
  </si>
  <si>
    <t>VLPD24</t>
  </si>
  <si>
    <t>VLRS46</t>
  </si>
  <si>
    <t>VLSD60</t>
  </si>
  <si>
    <t>VLSD66</t>
  </si>
  <si>
    <t>VLSD67</t>
  </si>
  <si>
    <t>VLSD68</t>
  </si>
  <si>
    <t>VLSD70</t>
  </si>
  <si>
    <t>VLSD77</t>
  </si>
  <si>
    <t>VLSJ88</t>
  </si>
  <si>
    <t>VLSK17</t>
  </si>
  <si>
    <t>VLSK18</t>
  </si>
  <si>
    <t>VLSK19</t>
  </si>
  <si>
    <t>VLSK23</t>
  </si>
  <si>
    <t>VLSK25</t>
  </si>
  <si>
    <t>VLSK26</t>
  </si>
  <si>
    <t>VLSK29</t>
  </si>
  <si>
    <t>VLSK30</t>
  </si>
  <si>
    <t>VLSK39</t>
  </si>
  <si>
    <t>VLSK44</t>
  </si>
  <si>
    <t>VLSK46</t>
  </si>
  <si>
    <t>VLSK53</t>
  </si>
  <si>
    <t>VLSK64</t>
  </si>
  <si>
    <t>VLSK70</t>
  </si>
  <si>
    <t>VLSK77</t>
  </si>
  <si>
    <t>VLSK86</t>
  </si>
  <si>
    <t>VLSK93</t>
  </si>
  <si>
    <t>VLSK95</t>
  </si>
  <si>
    <t>VLSK99</t>
  </si>
  <si>
    <t>VLSL10</t>
  </si>
  <si>
    <t>VLSL16</t>
  </si>
  <si>
    <t>VLSL25</t>
  </si>
  <si>
    <t>VLSS34</t>
  </si>
  <si>
    <t>VLSS37</t>
  </si>
  <si>
    <t>VLSS45</t>
  </si>
  <si>
    <t>VLSS69</t>
  </si>
  <si>
    <t>VLSS88</t>
  </si>
  <si>
    <t>VLST15</t>
  </si>
  <si>
    <t>VLST23</t>
  </si>
  <si>
    <t>VLST92</t>
  </si>
  <si>
    <t>VLSV15</t>
  </si>
  <si>
    <t>VLSV32</t>
  </si>
  <si>
    <t>VLSW32</t>
  </si>
  <si>
    <t>VLSY93</t>
  </si>
  <si>
    <t>VLSY95</t>
  </si>
  <si>
    <t>VLSY96</t>
  </si>
  <si>
    <t>VLSY97</t>
  </si>
  <si>
    <t>VLSY98</t>
  </si>
  <si>
    <t>VLSZ15</t>
  </si>
  <si>
    <t>VLSZ16</t>
  </si>
  <si>
    <t>VLSZ23</t>
  </si>
  <si>
    <t>FLXZ95</t>
  </si>
  <si>
    <t>GCBC24</t>
  </si>
  <si>
    <t>GCBC25</t>
  </si>
  <si>
    <t>GCBC26</t>
  </si>
  <si>
    <t>GCBC27</t>
  </si>
  <si>
    <t>GCBC28</t>
  </si>
  <si>
    <t>GCBC29</t>
  </si>
  <si>
    <t>GCBC30</t>
  </si>
  <si>
    <t>GCBC31</t>
  </si>
  <si>
    <t>GCBC34</t>
  </si>
  <si>
    <t>GCBC35</t>
  </si>
  <si>
    <t>GCBF43</t>
  </si>
  <si>
    <t>GCBF44</t>
  </si>
  <si>
    <t>GCBF45</t>
  </si>
  <si>
    <t>GCBF46</t>
  </si>
  <si>
    <t>GCBF47</t>
  </si>
  <si>
    <t>GCBF48</t>
  </si>
  <si>
    <t>GCBF49</t>
  </si>
  <si>
    <t>GCBF50</t>
  </si>
  <si>
    <t>GCBF51</t>
  </si>
  <si>
    <t>GCBF52</t>
  </si>
  <si>
    <t>LXWT82</t>
  </si>
  <si>
    <t>LXWT83</t>
  </si>
  <si>
    <t>LXWT84</t>
  </si>
  <si>
    <t>LXWT85</t>
  </si>
  <si>
    <t>LXWT86</t>
  </si>
  <si>
    <t>LXWT87</t>
  </si>
  <si>
    <t>LXWT88</t>
  </si>
  <si>
    <t>LXWT89</t>
  </si>
  <si>
    <t>LXWT90</t>
  </si>
  <si>
    <t>LXWT91</t>
  </si>
  <si>
    <t>LXWT92</t>
  </si>
  <si>
    <t>LXWT93</t>
  </si>
  <si>
    <t>LXWT94</t>
  </si>
  <si>
    <t>LXWT95</t>
  </si>
  <si>
    <t>LXWT96</t>
  </si>
  <si>
    <t>LXWT97</t>
  </si>
  <si>
    <t>LXWT98</t>
  </si>
  <si>
    <t>LXWT99</t>
  </si>
  <si>
    <t>LZPG10</t>
  </si>
  <si>
    <t>LZPG11</t>
  </si>
  <si>
    <t>LZPG12</t>
  </si>
  <si>
    <t>LZPG13</t>
  </si>
  <si>
    <t>LZPG14</t>
  </si>
  <si>
    <t>LZPG15</t>
  </si>
  <si>
    <t>LZPG16</t>
  </si>
  <si>
    <t>LZPG17</t>
  </si>
  <si>
    <t>LZPG18</t>
  </si>
  <si>
    <t>LZPG19</t>
  </si>
  <si>
    <t>LZPG20</t>
  </si>
  <si>
    <t>LZPG21</t>
  </si>
  <si>
    <t>LZPG22</t>
  </si>
  <si>
    <t>LZPG23</t>
  </si>
  <si>
    <t>LZPG24</t>
  </si>
  <si>
    <t>LZPG25</t>
  </si>
  <si>
    <t>LZPG26</t>
  </si>
  <si>
    <t>LZPG27</t>
  </si>
  <si>
    <t>LZPR78</t>
  </si>
  <si>
    <t>LZPR79</t>
  </si>
  <si>
    <t>LZPR80</t>
  </si>
  <si>
    <t>LZPR81</t>
  </si>
  <si>
    <t>LZPR82</t>
  </si>
  <si>
    <t>LZPR83</t>
  </si>
  <si>
    <t>LZPR84</t>
  </si>
  <si>
    <t>LZPR85</t>
  </si>
  <si>
    <t>LZPR86</t>
  </si>
  <si>
    <t>LZPR87</t>
  </si>
  <si>
    <t>LZPR88</t>
  </si>
  <si>
    <t>LZPR89</t>
  </si>
  <si>
    <t>LZPR90</t>
  </si>
  <si>
    <t>LZPR92</t>
  </si>
  <si>
    <t>LZPR93</t>
  </si>
  <si>
    <t>LZPR94</t>
  </si>
  <si>
    <t>LZPR95</t>
  </si>
  <si>
    <t>LZPR96</t>
  </si>
  <si>
    <t>LZPR97</t>
  </si>
  <si>
    <t>LZPR98</t>
  </si>
  <si>
    <t>LZPR99</t>
  </si>
  <si>
    <t>LZPS10</t>
  </si>
  <si>
    <t>LZPS11</t>
  </si>
  <si>
    <t>LZPS12</t>
  </si>
  <si>
    <t>LZPS13</t>
  </si>
  <si>
    <t>LZPS14</t>
  </si>
  <si>
    <t>LZPS15</t>
  </si>
  <si>
    <t>LZPS16</t>
  </si>
  <si>
    <t>LZPS17</t>
  </si>
  <si>
    <t>LZPS18</t>
  </si>
  <si>
    <t>LZPS19</t>
  </si>
  <si>
    <t>LZPS20</t>
  </si>
  <si>
    <t>LZPS21</t>
  </si>
  <si>
    <t>LZPS22</t>
  </si>
  <si>
    <t>LZPS23</t>
  </si>
  <si>
    <t>LZPS24</t>
  </si>
  <si>
    <t>LZPS25</t>
  </si>
  <si>
    <t>LZPT38</t>
  </si>
  <si>
    <t>LZPT39</t>
  </si>
  <si>
    <t>LZPT40</t>
  </si>
  <si>
    <t>LZPT41</t>
  </si>
  <si>
    <t>LZPT42</t>
  </si>
  <si>
    <t>LZPT43</t>
  </si>
  <si>
    <t>LZPT44</t>
  </si>
  <si>
    <t>LZPT45</t>
  </si>
  <si>
    <t>LZPT46</t>
  </si>
  <si>
    <t>LZPT47</t>
  </si>
  <si>
    <t>LZPT48</t>
  </si>
  <si>
    <t>LZPT49</t>
  </si>
  <si>
    <t>LZPT50</t>
  </si>
  <si>
    <t>LZPT51</t>
  </si>
  <si>
    <t>LZPT52</t>
  </si>
  <si>
    <t>LZPT53</t>
  </si>
  <si>
    <t>LZPT54</t>
  </si>
  <si>
    <t>LZPT55</t>
  </si>
  <si>
    <t>LZPT56</t>
  </si>
  <si>
    <t>LZPT57</t>
  </si>
  <si>
    <t>LZPT58</t>
  </si>
  <si>
    <t>LZPT59</t>
  </si>
  <si>
    <t>LZPT60</t>
  </si>
  <si>
    <t>LZPT61</t>
  </si>
  <si>
    <t>LZPT62</t>
  </si>
  <si>
    <t>LZPT63</t>
  </si>
  <si>
    <t>LZPT64</t>
  </si>
  <si>
    <t>LZPT65</t>
  </si>
  <si>
    <t>LZPT66</t>
  </si>
  <si>
    <t>LZPT67</t>
  </si>
  <si>
    <t>LZPT69</t>
  </si>
  <si>
    <t>LZPT70</t>
  </si>
  <si>
    <t>LZPT71</t>
  </si>
  <si>
    <t>LZPT72</t>
  </si>
  <si>
    <t>LZPT73</t>
  </si>
  <si>
    <t>LZPT74</t>
  </si>
  <si>
    <t>LZPT75</t>
  </si>
  <si>
    <t>LZPT76</t>
  </si>
  <si>
    <t>LZPT77</t>
  </si>
  <si>
    <t>LZPV98</t>
  </si>
  <si>
    <t>LZPV99</t>
  </si>
  <si>
    <t>LZPW10</t>
  </si>
  <si>
    <t>LZPW11</t>
  </si>
  <si>
    <t>LZPW12</t>
  </si>
  <si>
    <t>LZPW13</t>
  </si>
  <si>
    <t>LZPW14</t>
  </si>
  <si>
    <t>LZPW15</t>
  </si>
  <si>
    <t>LZPW16</t>
  </si>
  <si>
    <t>LZPW17</t>
  </si>
  <si>
    <t>LZPW18</t>
  </si>
  <si>
    <t>LZPW19</t>
  </si>
  <si>
    <t>LZPW20</t>
  </si>
  <si>
    <t>LZPW21</t>
  </si>
  <si>
    <t>LZPW22</t>
  </si>
  <si>
    <t>LZRB82</t>
  </si>
  <si>
    <t>LZRB83</t>
  </si>
  <si>
    <t>LZRB84</t>
  </si>
  <si>
    <t>LZRB85</t>
  </si>
  <si>
    <t>LZRB86</t>
  </si>
  <si>
    <t>LZRB87</t>
  </si>
  <si>
    <t>LZRB88</t>
  </si>
  <si>
    <t>SFVZ29</t>
  </si>
  <si>
    <t>SFVZ39</t>
  </si>
  <si>
    <t>SFVZ40</t>
  </si>
  <si>
    <t>SFVZ44</t>
  </si>
  <si>
    <t>SFVZ49</t>
  </si>
  <si>
    <t>SFVZ56</t>
  </si>
  <si>
    <t>SFVZ60</t>
  </si>
  <si>
    <t>SFVZ63</t>
  </si>
  <si>
    <t>SFVZ67</t>
  </si>
  <si>
    <t>SFVZ70</t>
  </si>
  <si>
    <t>SFVZ80</t>
  </si>
  <si>
    <t>SFVZ81</t>
  </si>
  <si>
    <t>SFVZ85</t>
  </si>
  <si>
    <t>SFVZ86</t>
  </si>
  <si>
    <t>SFVZ87</t>
  </si>
  <si>
    <t>SFVZ94</t>
  </si>
  <si>
    <t>SFVZ96</t>
  </si>
  <si>
    <t>SFWB10</t>
  </si>
  <si>
    <t>SFWB14</t>
  </si>
  <si>
    <t>SFWB16</t>
  </si>
  <si>
    <t>SFWB21</t>
  </si>
  <si>
    <t>SFWB24</t>
  </si>
  <si>
    <t>SFWB28</t>
  </si>
  <si>
    <t>SFWB29</t>
  </si>
  <si>
    <t>SFWB31</t>
  </si>
  <si>
    <t>SFWB33</t>
  </si>
  <si>
    <t>SFWB35</t>
  </si>
  <si>
    <t>SFWB42</t>
  </si>
  <si>
    <t>SFWB44</t>
  </si>
  <si>
    <t>SFWB46</t>
  </si>
  <si>
    <t>SFWB48</t>
  </si>
  <si>
    <t>SFWB50</t>
  </si>
  <si>
    <t>SFWB51</t>
  </si>
  <si>
    <t>SFWB58</t>
  </si>
  <si>
    <t>SFWB61</t>
  </si>
  <si>
    <t>SFWB64</t>
  </si>
  <si>
    <t>SFWB68</t>
  </si>
  <si>
    <t>SFWB72</t>
  </si>
  <si>
    <t>SFWB73</t>
  </si>
  <si>
    <t>SFWB75</t>
  </si>
  <si>
    <t>SFWB76</t>
  </si>
  <si>
    <t>SFWB77</t>
  </si>
  <si>
    <t>SFWB82</t>
  </si>
  <si>
    <t>SFWB84</t>
  </si>
  <si>
    <t>SFWB85</t>
  </si>
  <si>
    <t>SFWB87</t>
  </si>
  <si>
    <t>SFWB89</t>
  </si>
  <si>
    <t>SFWB90</t>
  </si>
  <si>
    <t>SFWB95</t>
  </si>
  <si>
    <t>SFWB96</t>
  </si>
  <si>
    <t>SFWB98</t>
  </si>
  <si>
    <t>SFWZ10</t>
  </si>
  <si>
    <t>SFWZ13</t>
  </si>
  <si>
    <t>SFWZ14</t>
  </si>
  <si>
    <t>SFWZ16</t>
  </si>
  <si>
    <t>SFWZ17</t>
  </si>
  <si>
    <t>SFWZ18</t>
  </si>
  <si>
    <t>SFWZ20</t>
  </si>
  <si>
    <t>SFWZ21</t>
  </si>
  <si>
    <t>SFWZ23</t>
  </si>
  <si>
    <t>SFWZ25</t>
  </si>
  <si>
    <t>SFWZ26</t>
  </si>
  <si>
    <t>SFWZ27</t>
  </si>
  <si>
    <t>SFWZ29</t>
  </si>
  <si>
    <t>SFWZ31</t>
  </si>
  <si>
    <t>SFWZ32</t>
  </si>
  <si>
    <t>SFWZ33</t>
  </si>
  <si>
    <t>SFWZ34</t>
  </si>
  <si>
    <t>SFWZ36</t>
  </si>
  <si>
    <t>SFWZ37</t>
  </si>
  <si>
    <t>SFWZ38</t>
  </si>
  <si>
    <t>SFWZ39</t>
  </si>
  <si>
    <t>SFWZ40</t>
  </si>
  <si>
    <t>SFWZ42</t>
  </si>
  <si>
    <t>SFWZ45</t>
  </si>
  <si>
    <t>SFWZ48</t>
  </si>
  <si>
    <t>SFWZ49</t>
  </si>
  <si>
    <t>SFWZ50</t>
  </si>
  <si>
    <t>SFWZ52</t>
  </si>
  <si>
    <t>SFWZ53</t>
  </si>
  <si>
    <t>SFWZ54</t>
  </si>
  <si>
    <t>SFWZ55</t>
  </si>
  <si>
    <t>SFWZ56</t>
  </si>
  <si>
    <t>SFWZ58</t>
  </si>
  <si>
    <t>SFWZ59</t>
  </si>
  <si>
    <t>SFWZ61</t>
  </si>
  <si>
    <t>SFWZ62</t>
  </si>
  <si>
    <t>SFWZ63</t>
  </si>
  <si>
    <t>SFWZ64</t>
  </si>
  <si>
    <t>SFWZ65</t>
  </si>
  <si>
    <t>SFWZ66</t>
  </si>
  <si>
    <t>SFWZ67</t>
  </si>
  <si>
    <t>SFWZ68</t>
  </si>
  <si>
    <t>SFWZ69</t>
  </si>
  <si>
    <t>SFWZ70</t>
  </si>
  <si>
    <t>SFWZ73</t>
  </si>
  <si>
    <t>SFWZ74</t>
  </si>
  <si>
    <t>SFWZ75</t>
  </si>
  <si>
    <t>SFWZ76</t>
  </si>
  <si>
    <t>SFWZ77</t>
  </si>
  <si>
    <t>SFWZ78</t>
  </si>
  <si>
    <t>SFWZ80</t>
  </si>
  <si>
    <t>SFWZ81</t>
  </si>
  <si>
    <t>SFWZ82</t>
  </si>
  <si>
    <t>SFWZ83</t>
  </si>
  <si>
    <t>SFWZ85</t>
  </si>
  <si>
    <t>SXKV97</t>
  </si>
  <si>
    <t>SXKV98</t>
  </si>
  <si>
    <t>SXKV99</t>
  </si>
  <si>
    <t>TBZB24</t>
  </si>
  <si>
    <t>VLSZ25</t>
  </si>
  <si>
    <t>VLSZ26</t>
  </si>
  <si>
    <t>VLSZ46</t>
  </si>
  <si>
    <t>VLSZ52</t>
  </si>
  <si>
    <t>VLSZ54</t>
  </si>
  <si>
    <t>VLSZ65</t>
  </si>
  <si>
    <t>VLSZ68</t>
  </si>
  <si>
    <t>VLSZ75</t>
  </si>
  <si>
    <t>VLTB15</t>
  </si>
  <si>
    <t>VLTB35</t>
  </si>
  <si>
    <t>VLTB43</t>
  </si>
  <si>
    <t>VLTB85</t>
  </si>
  <si>
    <t>VLTB93</t>
  </si>
  <si>
    <t>VLTB94</t>
  </si>
  <si>
    <t>VLTC16</t>
  </si>
  <si>
    <t>VLTC17</t>
  </si>
  <si>
    <t>VLTC21</t>
  </si>
  <si>
    <t>VLTC23</t>
  </si>
  <si>
    <t>VLTC32</t>
  </si>
  <si>
    <t>VLTC33</t>
  </si>
  <si>
    <t>VLTC34</t>
  </si>
  <si>
    <t>VLTC35</t>
  </si>
  <si>
    <t>VLTC36</t>
  </si>
  <si>
    <t>VLTC37</t>
  </si>
  <si>
    <t>VLTC43</t>
  </si>
  <si>
    <t>VLTC44</t>
  </si>
  <si>
    <t>VLTC45</t>
  </si>
  <si>
    <t>VLTC53</t>
  </si>
  <si>
    <t>VLTC62</t>
  </si>
  <si>
    <t>VLTC92</t>
  </si>
  <si>
    <t>VPBC75</t>
  </si>
  <si>
    <t>VPBD15</t>
  </si>
  <si>
    <t>VPBD25</t>
  </si>
  <si>
    <t>VPBD64</t>
  </si>
  <si>
    <t>VPBD84</t>
  </si>
  <si>
    <t>VPBF11</t>
  </si>
  <si>
    <t>VPBF13</t>
  </si>
  <si>
    <t>VPBF14</t>
  </si>
  <si>
    <t>VPBF41</t>
  </si>
  <si>
    <t>VPBF51</t>
  </si>
  <si>
    <t>VPBF63</t>
  </si>
  <si>
    <t>VPBF71</t>
  </si>
  <si>
    <t>VPBF93</t>
  </si>
  <si>
    <t>VPBG88</t>
  </si>
  <si>
    <t>VPBK91</t>
  </si>
  <si>
    <t>Forma</t>
  </si>
  <si>
    <t>Diccionario 4</t>
  </si>
  <si>
    <t>GCBB-15|</t>
  </si>
  <si>
    <t>1000 / FLXZ-94|</t>
  </si>
  <si>
    <t>1096 / GCBB-13|</t>
  </si>
  <si>
    <t>1002 / GCBC-16|</t>
  </si>
  <si>
    <t>1003 / GCBC-17|</t>
  </si>
  <si>
    <t>1004 / GCBC-18|</t>
  </si>
  <si>
    <t>1005 / GCBC-19|</t>
  </si>
  <si>
    <t>1006 / GCBC-20|</t>
  </si>
  <si>
    <t>1007 / GCBC-21|</t>
  </si>
  <si>
    <t>1008 / GCBC-22|</t>
  </si>
  <si>
    <t>1009 / GCBC-23|</t>
  </si>
  <si>
    <t>1010 / GCBB-16|</t>
  </si>
  <si>
    <t>1011 / GCBB-17|</t>
  </si>
  <si>
    <t>1012 / GCBB-18|</t>
  </si>
  <si>
    <t>1013 / GCBB-19|</t>
  </si>
  <si>
    <t>1014 / GCBB-20|</t>
  </si>
  <si>
    <t>1015 / GCBB-21|</t>
  </si>
  <si>
    <t>1016 / GCBB-22|</t>
  </si>
  <si>
    <t>1017 / GCBB-23|</t>
  </si>
  <si>
    <t>1018 / GCBB-24|</t>
  </si>
  <si>
    <t>1019 / FLXZ-96|</t>
  </si>
  <si>
    <t>1020 / GCBB-25|</t>
  </si>
  <si>
    <t>1021 / GCBB-26|</t>
  </si>
  <si>
    <t>1022 / GCBB-27|</t>
  </si>
  <si>
    <t>1023 / GCBB-28|</t>
  </si>
  <si>
    <t>1024 / GCBB-29|</t>
  </si>
  <si>
    <t>1025 / GCBB-30|</t>
  </si>
  <si>
    <t>1026 / GCBB-31|</t>
  </si>
  <si>
    <t>1027 / GCBB-32|</t>
  </si>
  <si>
    <t>GCBC-33|</t>
  </si>
  <si>
    <t>1029 / GCBB-34|</t>
  </si>
  <si>
    <t>1030 / FLXZ-97|</t>
  </si>
  <si>
    <t>1031 / GCBB-35|</t>
  </si>
  <si>
    <t>1032 / GCBB-36|</t>
  </si>
  <si>
    <t>1033 / GCBB-37|</t>
  </si>
  <si>
    <t>1034 / GCBB-38|</t>
  </si>
  <si>
    <t>1035 / GCBB-39|</t>
  </si>
  <si>
    <t>1036 / GCBB-40|</t>
  </si>
  <si>
    <t>1037 / GCBB-41|</t>
  </si>
  <si>
    <t>1038 / GCBB-42|</t>
  </si>
  <si>
    <t>1039 / GCBB-43|</t>
  </si>
  <si>
    <t>1040 / GCBB-44|</t>
  </si>
  <si>
    <t>1041 / FLXZ-98|</t>
  </si>
  <si>
    <t>1042 / GCBB-45|</t>
  </si>
  <si>
    <t>1043 / GCBB-46|</t>
  </si>
  <si>
    <t>1044 / GCBB-47|</t>
  </si>
  <si>
    <t>1045 / GCBB-48|</t>
  </si>
  <si>
    <t>1046 / GCBB-49|</t>
  </si>
  <si>
    <t>1047 / GCBB-50|</t>
  </si>
  <si>
    <t>1048 / GCBB-51|</t>
  </si>
  <si>
    <t>1049 / GCBB-52|</t>
  </si>
  <si>
    <t>1050 / GCBB-53|</t>
  </si>
  <si>
    <t>1051 / GCBB-54|</t>
  </si>
  <si>
    <t>1052 / FLXZ-99|</t>
  </si>
  <si>
    <t>1053 / GCBB-55|</t>
  </si>
  <si>
    <t>1054 / GCBB-56|</t>
  </si>
  <si>
    <t>1055 / GCBB-57|</t>
  </si>
  <si>
    <t>1056 / GCBB-58|</t>
  </si>
  <si>
    <t>1057 / GCBB-59|</t>
  </si>
  <si>
    <t>1058 / GCBB-60|</t>
  </si>
  <si>
    <t>1059 / GCBB-61|</t>
  </si>
  <si>
    <t>1060 / GCBB-62|</t>
  </si>
  <si>
    <t>1061 / GCBB-63|</t>
  </si>
  <si>
    <t>1062 / GCBB-64|</t>
  </si>
  <si>
    <t>1063 / GCBB-10|</t>
  </si>
  <si>
    <t>1064 / GCBB-65|</t>
  </si>
  <si>
    <t>1065 / GCBB-66|</t>
  </si>
  <si>
    <t>1066 / GCBB-67|</t>
  </si>
  <si>
    <t>1067 / GCBB-68|</t>
  </si>
  <si>
    <t>1068 / GCBB-69|</t>
  </si>
  <si>
    <t>1069 / GCBB-70|</t>
  </si>
  <si>
    <t>1070 / GCBB-71|</t>
  </si>
  <si>
    <t>1071 / GCBB-72|</t>
  </si>
  <si>
    <t>1072 / GCBB-73|</t>
  </si>
  <si>
    <t>1073 / GCBB-74|</t>
  </si>
  <si>
    <t>1074 / GCBB-11|</t>
  </si>
  <si>
    <t>1075 / GCBB-75|</t>
  </si>
  <si>
    <t>1076 / GCBB-76|</t>
  </si>
  <si>
    <t>1077 / GCBB-77|</t>
  </si>
  <si>
    <t>1078 / GCBB-78|</t>
  </si>
  <si>
    <t>1079 / GCBB-79|</t>
  </si>
  <si>
    <t>1080 / GCBB-80|</t>
  </si>
  <si>
    <t>1081 / GCBB-81|</t>
  </si>
  <si>
    <t>1082 / GCBB-82|</t>
  </si>
  <si>
    <t>1083 / GCBB-83|</t>
  </si>
  <si>
    <t>1084 / GCBB-84|</t>
  </si>
  <si>
    <t>1085 / GCBB-12|</t>
  </si>
  <si>
    <t>1086 / GCBB-85|</t>
  </si>
  <si>
    <t>1087 / GCBB-86|</t>
  </si>
  <si>
    <t>1088 / GCBB-87|</t>
  </si>
  <si>
    <t>1089 / GCBB-88|</t>
  </si>
  <si>
    <t>1090 / GCBB-89|</t>
  </si>
  <si>
    <t>1091 / GCBB-91|</t>
  </si>
  <si>
    <t>1092 / GCBB-92|</t>
  </si>
  <si>
    <t>1093 / GCBB-93|</t>
  </si>
  <si>
    <t>1094 / GCBB-94|</t>
  </si>
  <si>
    <t>1095 / GCBB-95|</t>
  </si>
  <si>
    <t>1097 / GCBB-96|</t>
  </si>
  <si>
    <t>1098 / GCBB-97|</t>
  </si>
  <si>
    <t>1099 / GCBB-98|</t>
  </si>
  <si>
    <t>1028 / GCBB-33|</t>
  </si>
  <si>
    <t>1101 / GCBC-10|</t>
  </si>
  <si>
    <t>1102 / GCBC-11|</t>
  </si>
  <si>
    <t>1103 / GCBC-12|</t>
  </si>
  <si>
    <t>1104 / GCBC-13|</t>
  </si>
  <si>
    <t>1105 / GCBC-14|</t>
  </si>
  <si>
    <t>1106 / GCBC-15|</t>
  </si>
  <si>
    <t>1107 / VFHJ-88|</t>
  </si>
  <si>
    <t>1108 / VFHL-33|</t>
  </si>
  <si>
    <t>1109 / VFHL-39|</t>
  </si>
  <si>
    <t>1110 / VFHL-46|</t>
  </si>
  <si>
    <t>1111 / VFHL-56|</t>
  </si>
  <si>
    <t>1112 / VFHG-99|</t>
  </si>
  <si>
    <t>1113 / VFHH-49|</t>
  </si>
  <si>
    <t>1114 / VFHH-65|</t>
  </si>
  <si>
    <t>1115 / VFHJ-21|</t>
  </si>
  <si>
    <t>1116 / VFHJ-43|</t>
  </si>
  <si>
    <t>1117 / VFHJ-59|</t>
  </si>
  <si>
    <t>1118 / VFHJ-92|</t>
  </si>
  <si>
    <t>1119 / VFHJ-69|</t>
  </si>
  <si>
    <t>1120 / VFHJ-77|</t>
  </si>
  <si>
    <t>1121 / VFHL-62|</t>
  </si>
  <si>
    <t>1122 / VFHL-66|</t>
  </si>
  <si>
    <t>1123 / VFHL-81|</t>
  </si>
  <si>
    <t>1124 / VFHS-85|</t>
  </si>
  <si>
    <t>1125 / VFHS-95|</t>
  </si>
  <si>
    <t>1126 / VFHS-98|</t>
  </si>
  <si>
    <t>1127 / VFHT-45|</t>
  </si>
  <si>
    <t>1128 / VFHT-55|</t>
  </si>
  <si>
    <t>1129 / VFHK-16|</t>
  </si>
  <si>
    <t>1130 / VFHT-73|</t>
  </si>
  <si>
    <t>1131 / VFHT-80|</t>
  </si>
  <si>
    <t>1132 / VFHT-81|</t>
  </si>
  <si>
    <t>1133 / VFHV-57|</t>
  </si>
  <si>
    <t>1134 / VFHV-67|</t>
  </si>
  <si>
    <t>1135 / VFHV-82|</t>
  </si>
  <si>
    <t>1136 / VFHV-87|</t>
  </si>
  <si>
    <t>1137 / VFHW-46|</t>
  </si>
  <si>
    <t>1138 / VFHW-51|</t>
  </si>
  <si>
    <t>1139 / VFHW-63|</t>
  </si>
  <si>
    <t>1140 / VFHK-27|</t>
  </si>
  <si>
    <t>1141 / VFPB-70|</t>
  </si>
  <si>
    <t>1142 / VFPC-10|</t>
  </si>
  <si>
    <t>1143 / VFPC-31|</t>
  </si>
  <si>
    <t>1144 / VFPC-80|</t>
  </si>
  <si>
    <t>1145 / VFPC-51|</t>
  </si>
  <si>
    <t>1146 / VFPD-84|</t>
  </si>
  <si>
    <t>1147 / VFPD-94|</t>
  </si>
  <si>
    <t>1148 / VFHL-60|</t>
  </si>
  <si>
    <t>1149 / VFHK-31|</t>
  </si>
  <si>
    <t>1150 / VFHK-58|</t>
  </si>
  <si>
    <t>1151 / VFHK-69|</t>
  </si>
  <si>
    <t>1152 / VFHK-89|</t>
  </si>
  <si>
    <t>1153 / VFHK-96|</t>
  </si>
  <si>
    <t>1225 / GCBF-42|</t>
  </si>
  <si>
    <t>1154 / LZRB-89|</t>
  </si>
  <si>
    <t>1155 / LZRB-90|</t>
  </si>
  <si>
    <t>1156 / LZRB-91|</t>
  </si>
  <si>
    <t>1157 / LZRB-92|</t>
  </si>
  <si>
    <t>1158 / LZRB-93|</t>
  </si>
  <si>
    <t>1159 / LZRB-94|</t>
  </si>
  <si>
    <t>1160 / LZRB-95|</t>
  </si>
  <si>
    <t>1161 / LZRB-96|</t>
  </si>
  <si>
    <t>1162 / LZRD-61|</t>
  </si>
  <si>
    <t>1163 / LZRD-62|</t>
  </si>
  <si>
    <t>1164 / LZRD-63|</t>
  </si>
  <si>
    <t>1165 / LZRD-64|</t>
  </si>
  <si>
    <t>1166 / LZRD-65|</t>
  </si>
  <si>
    <t>1167 / LZRD-66|</t>
  </si>
  <si>
    <t>1226 / LZRD-67|</t>
  </si>
  <si>
    <t>1168 / LZRD-68|</t>
  </si>
  <si>
    <t>1169 / LZRD-69|</t>
  </si>
  <si>
    <t>1170 / LZRD-70|</t>
  </si>
  <si>
    <t>1171 / LZRD-71|</t>
  </si>
  <si>
    <t>1172 / LZRD-72|</t>
  </si>
  <si>
    <t>1173 / LZRD-73|</t>
  </si>
  <si>
    <t>1174 / LZRD-74|</t>
  </si>
  <si>
    <t>1227 / LZRD-75|</t>
  </si>
  <si>
    <t>1228 / LZRD-76|</t>
  </si>
  <si>
    <t>1175 / LZRD-77|</t>
  </si>
  <si>
    <t>1229 / LZRD-78|</t>
  </si>
  <si>
    <t>1176 / LZRD-79|</t>
  </si>
  <si>
    <t>1177 / LZRD-80|</t>
  </si>
  <si>
    <t>1178 / LZRD-81|</t>
  </si>
  <si>
    <t>1179 / LZRD-82|</t>
  </si>
  <si>
    <t>1230 / LZRD-83|</t>
  </si>
  <si>
    <t>1180 / LZRD-84|</t>
  </si>
  <si>
    <t>1181 / LZRD-85|</t>
  </si>
  <si>
    <t>1182 / LZRD-86|</t>
  </si>
  <si>
    <t>1183 / LZRD-87|</t>
  </si>
  <si>
    <t>1231 / LZRD-88|</t>
  </si>
  <si>
    <t>1184 / LZRD-89|</t>
  </si>
  <si>
    <t>1185 / LZRD-90|</t>
  </si>
  <si>
    <t>1232 / LZRD-91|</t>
  </si>
  <si>
    <t>1233 / LZRD-92|</t>
  </si>
  <si>
    <t>1187 / LZRD-94|</t>
  </si>
  <si>
    <t>1188 / LZRD-95|</t>
  </si>
  <si>
    <t>1189 / LZRD-96|</t>
  </si>
  <si>
    <t>1190 / LZRD-97|</t>
  </si>
  <si>
    <t>1191 / LZRD-98|</t>
  </si>
  <si>
    <t>1192 / LZRD-99|</t>
  </si>
  <si>
    <t>1193 / LZRF-10|</t>
  </si>
  <si>
    <t>1194 / LZRF-11|</t>
  </si>
  <si>
    <t>1195 / LZRF-12|</t>
  </si>
  <si>
    <t>1196 / LZRF-13|</t>
  </si>
  <si>
    <t>1197 / LZRF-14|</t>
  </si>
  <si>
    <t>1198 / LZRF-15|</t>
  </si>
  <si>
    <t>1199 / RJXT-26|</t>
  </si>
  <si>
    <t>1200 / RWTP-78|</t>
  </si>
  <si>
    <t>1234 / RWTP-79|</t>
  </si>
  <si>
    <t>1235 / RWTP-80|</t>
  </si>
  <si>
    <t>1236 / RWTP-81|</t>
  </si>
  <si>
    <t>1237 / RWTP-82|</t>
  </si>
  <si>
    <t>1201 / RWTP-83|</t>
  </si>
  <si>
    <t>1238 / RWTP-84|</t>
  </si>
  <si>
    <t>1202 / RWTP-85|</t>
  </si>
  <si>
    <t>1203 / RWTP-86|</t>
  </si>
  <si>
    <t>1239 / RWTP-87|</t>
  </si>
  <si>
    <t>1240 / RWTP-88|</t>
  </si>
  <si>
    <t>1241 / RWTP-89|</t>
  </si>
  <si>
    <t>1204 / RWTP-90|</t>
  </si>
  <si>
    <t>1242 / RWTP-91|</t>
  </si>
  <si>
    <t>1243 / RWTP-92|</t>
  </si>
  <si>
    <t>1244 / RWTP-93|</t>
  </si>
  <si>
    <t>1205 / RWTP-94|</t>
  </si>
  <si>
    <t>1206 / RWTP-95|</t>
  </si>
  <si>
    <t>1207 / RWTP-96|</t>
  </si>
  <si>
    <t>1208 / RWTP-97|</t>
  </si>
  <si>
    <t>1209 / RWTP-98|</t>
  </si>
  <si>
    <t>1210 / RWTP-99|</t>
  </si>
  <si>
    <t>1245 / RWTR-10|</t>
  </si>
  <si>
    <t>1246 / RWTR-11|</t>
  </si>
  <si>
    <t>1211 / RYJG-90|</t>
  </si>
  <si>
    <t>1212 / RYJG-91|</t>
  </si>
  <si>
    <t>1213 / RYJG-92|</t>
  </si>
  <si>
    <t>1214 / RYJG-93|</t>
  </si>
  <si>
    <t>1215 / RYJG-94|</t>
  </si>
  <si>
    <t>1216 / RYJG-95|</t>
  </si>
  <si>
    <t>1217 / SXKV-87|</t>
  </si>
  <si>
    <t>1218 / SXKV-88|</t>
  </si>
  <si>
    <t>1247 / SXKV-89|</t>
  </si>
  <si>
    <t>1248 / SXKV-90|</t>
  </si>
  <si>
    <t>1219 / SXKV-91|</t>
  </si>
  <si>
    <t>1220 / SXKV-92|</t>
  </si>
  <si>
    <t>1221 / SXKV-93|</t>
  </si>
  <si>
    <t>1222 / SXKV-94|</t>
  </si>
  <si>
    <t>1223 / SXKV-95|</t>
  </si>
  <si>
    <t>1224 / SXKV-96|</t>
  </si>
  <si>
    <t>1251 / VFPB-75|</t>
  </si>
  <si>
    <t>1252 / VFPB-85|</t>
  </si>
  <si>
    <t>1253 / VFPC-59|</t>
  </si>
  <si>
    <t>1254 / VFPC-66|</t>
  </si>
  <si>
    <t>1255 / VFPC-69|</t>
  </si>
  <si>
    <t>1256 / VFPD-10|</t>
  </si>
  <si>
    <t>1257 / VFPD-41|</t>
  </si>
  <si>
    <t>1258 / VFPD-51|</t>
  </si>
  <si>
    <t>1259 / VFPD-61|</t>
  </si>
  <si>
    <t>1260 / VFPD-71|</t>
  </si>
  <si>
    <t>1261 / VFPD-81|</t>
  </si>
  <si>
    <t>1262 / VFPF-21|</t>
  </si>
  <si>
    <t>1263 / VFPF-31|</t>
  </si>
  <si>
    <t>1264 / VFPF-51|</t>
  </si>
  <si>
    <t>1265 / VFPF-54|</t>
  </si>
  <si>
    <t>1266 / VFPF-61|</t>
  </si>
  <si>
    <t>1267 / VFPG-48|</t>
  </si>
  <si>
    <t>1268 / VFPG-58|</t>
  </si>
  <si>
    <t>1269 / VFPG-91|</t>
  </si>
  <si>
    <t>1270 / VFPH-21|</t>
  </si>
  <si>
    <t>1271 / VFPH-35|</t>
  </si>
  <si>
    <t>1272 / VFPH-51|</t>
  </si>
  <si>
    <t>1273 / VFPH-66|</t>
  </si>
  <si>
    <t>1274 / VFPH-79|</t>
  </si>
  <si>
    <t>1275 / VFPH-81|</t>
  </si>
  <si>
    <t>1276 / VFPH-91|</t>
  </si>
  <si>
    <t>1277 / VFPH-98|</t>
  </si>
  <si>
    <t>1278 / VFPJ-11|</t>
  </si>
  <si>
    <t>1279 / VFPJ-25|</t>
  </si>
  <si>
    <t>1280 / VFPJ-28|</t>
  </si>
  <si>
    <t>1281 / VFPJ-31|</t>
  </si>
  <si>
    <t>1282 / VFPJ-51|</t>
  </si>
  <si>
    <t>1283 / VFPJ-53|</t>
  </si>
  <si>
    <t>1284 / VFPJ-61|</t>
  </si>
  <si>
    <t>1285 / VFPJ-66|</t>
  </si>
  <si>
    <t>1286 / VFPJ-68|</t>
  </si>
  <si>
    <t>1287 / VFPJ-71|</t>
  </si>
  <si>
    <t>1288 / VFPJ-77|</t>
  </si>
  <si>
    <t>1289 / VFPK-64|</t>
  </si>
  <si>
    <t>1290 / VFPK-81|</t>
  </si>
  <si>
    <t>1291 / VFPK-91|</t>
  </si>
  <si>
    <t>1292 / VFPL-11|</t>
  </si>
  <si>
    <t>1293 / VFPL-15|</t>
  </si>
  <si>
    <t>1294 / VFPL-21|</t>
  </si>
  <si>
    <t>1295 / VFPL-31|</t>
  </si>
  <si>
    <t>1296 / VFPL-35|</t>
  </si>
  <si>
    <t>1297 / VFPL-41|</t>
  </si>
  <si>
    <t>1298 / VFPL-46|</t>
  </si>
  <si>
    <t>1299 / VFPL-57|</t>
  </si>
  <si>
    <t>1300 / VFPL-61|</t>
  </si>
  <si>
    <t>1301 / VFPL-63|</t>
  </si>
  <si>
    <t>1302 / VFPL-71|</t>
  </si>
  <si>
    <t>1303 / VFPL-73|</t>
  </si>
  <si>
    <t>1304 / VFPL-74|</t>
  </si>
  <si>
    <t>1305 / VFPL-81|</t>
  </si>
  <si>
    <t>1306 / VFPL-87|</t>
  </si>
  <si>
    <t>1307 / VFPL-88|</t>
  </si>
  <si>
    <t>1308 / VFPL-92|</t>
  </si>
  <si>
    <t>1309 / VFPP-11|</t>
  </si>
  <si>
    <t>1310 / VFPS-39|</t>
  </si>
  <si>
    <t>1311 / VFPS-47|</t>
  </si>
  <si>
    <t>1312 / VFPS-48|</t>
  </si>
  <si>
    <t>1313 / VFPS-56|</t>
  </si>
  <si>
    <t>1314 / VFPS-65|</t>
  </si>
  <si>
    <t>1315 / VFPS-69|</t>
  </si>
  <si>
    <t>1316 / VFPS-74|</t>
  </si>
  <si>
    <t>1317 / VFPS-78|</t>
  </si>
  <si>
    <t>1318 / VFPS-85|</t>
  </si>
  <si>
    <t>1319 / VFPS-86|</t>
  </si>
  <si>
    <t>1320 / VFPS-87|</t>
  </si>
  <si>
    <t>1321 / VFPS-89|</t>
  </si>
  <si>
    <t>1322 / VFPS-94|</t>
  </si>
  <si>
    <t>1323 / VFPS-99|</t>
  </si>
  <si>
    <t>1324 / VFPT-23|</t>
  </si>
  <si>
    <t>1325 / VFPT-27|</t>
  </si>
  <si>
    <t>1326 / VFPT-47|</t>
  </si>
  <si>
    <t>1327 / VFPT-63|</t>
  </si>
  <si>
    <t>1328 / VFPT-64|</t>
  </si>
  <si>
    <t>1329 / VFPT-65|</t>
  </si>
  <si>
    <t>1330 / VFPV-53|</t>
  </si>
  <si>
    <t>1331 / VFPV-63|</t>
  </si>
  <si>
    <t>1332 / VFPV-73|</t>
  </si>
  <si>
    <t>1333 / VFPV-83|</t>
  </si>
  <si>
    <t>1334 / VFPV-93|</t>
  </si>
  <si>
    <t>1335 / VFPW-13|</t>
  </si>
  <si>
    <t>1336 / VFPW-23|</t>
  </si>
  <si>
    <t>1337 / VFPW-33|</t>
  </si>
  <si>
    <t>1338 / VFPW-63|</t>
  </si>
  <si>
    <t>1339 / VFPW-73|</t>
  </si>
  <si>
    <t>1340 / VFPX-13|</t>
  </si>
  <si>
    <t>1341 / VFPX-33|</t>
  </si>
  <si>
    <t>1342 / VFPX-53|</t>
  </si>
  <si>
    <t>1343 / VFPX-63|</t>
  </si>
  <si>
    <t>1344 / VFPX-83|</t>
  </si>
  <si>
    <t>1345 / VFPX-93|</t>
  </si>
  <si>
    <t>1346 / VFPY-13|</t>
  </si>
  <si>
    <t>1347 / VFPY-23|</t>
  </si>
  <si>
    <t>1348 / VFPY-33|</t>
  </si>
  <si>
    <t>1349 / VFPY-43|</t>
  </si>
  <si>
    <t>1350 / VFPZ-27|</t>
  </si>
  <si>
    <t>1351 / VFPZ-38|</t>
  </si>
  <si>
    <t>1352 / VFPZ-39|</t>
  </si>
  <si>
    <t>1353 / VFPZ-55|</t>
  </si>
  <si>
    <t>1354 / VFPZ-56|</t>
  </si>
  <si>
    <t>1355 / VFPZ-74|</t>
  </si>
  <si>
    <t>1356 / VFPZ-78|</t>
  </si>
  <si>
    <t>1357 / VFPZ-88|</t>
  </si>
  <si>
    <t>1358 / VFPZ-89|</t>
  </si>
  <si>
    <t>1359 / VFPZ-92|</t>
  </si>
  <si>
    <t>1360 / VFPZ-97|</t>
  </si>
  <si>
    <t>1361 / VFPZ-98|</t>
  </si>
  <si>
    <t>1362 / VFRB-13|</t>
  </si>
  <si>
    <t>1363 / VFRB-15|</t>
  </si>
  <si>
    <t>1364 / VFRB-54|</t>
  </si>
  <si>
    <t>1365 / VFRB-56|</t>
  </si>
  <si>
    <t>1366 / VFRB-63|</t>
  </si>
  <si>
    <t>1367 / VFRB-67|</t>
  </si>
  <si>
    <t>1368 / VFRB-68|</t>
  </si>
  <si>
    <t>1369 / VFRB-81|</t>
  </si>
  <si>
    <t>1370 / VFRC-75|</t>
  </si>
  <si>
    <t>1371 / VFRD-35|</t>
  </si>
  <si>
    <t>1372 / VFRD-45|</t>
  </si>
  <si>
    <t>1373 / VFRD-55|</t>
  </si>
  <si>
    <t>1374 / VFRD-65|</t>
  </si>
  <si>
    <t>1375 / VFRD-75|</t>
  </si>
  <si>
    <t>1376 / VFRD-85|</t>
  </si>
  <si>
    <t>1377 / VFRD-95|</t>
  </si>
  <si>
    <t>1378 / VFRF-15|</t>
  </si>
  <si>
    <t>1379 / VFRF-35|</t>
  </si>
  <si>
    <t>1380 / VFRF-55|</t>
  </si>
  <si>
    <t>1381 / VFRF-65|</t>
  </si>
  <si>
    <t>1382 / VFRF-75|</t>
  </si>
  <si>
    <t>1383 / VFRF-85|</t>
  </si>
  <si>
    <t>1384 / VFRF-95|</t>
  </si>
  <si>
    <t>1385 / VFRG-15|</t>
  </si>
  <si>
    <t>1386 / VFRG-25|</t>
  </si>
  <si>
    <t>1387 / VFRG-35|</t>
  </si>
  <si>
    <t>1388 / VFRG-45|</t>
  </si>
  <si>
    <t>1389 / VGBS-15|</t>
  </si>
  <si>
    <t>1390 / VGBV-29|</t>
  </si>
  <si>
    <t>1391 / VGBV-35|</t>
  </si>
  <si>
    <t>1392 / VGBV-36|</t>
  </si>
  <si>
    <t>1393 / VGBV-41|</t>
  </si>
  <si>
    <t>1394 / VGBV-51|</t>
  </si>
  <si>
    <t>1395 / VGBV-55|</t>
  </si>
  <si>
    <t>1396 / VGBV-69|</t>
  </si>
  <si>
    <t>1397 / VGBV-79|</t>
  </si>
  <si>
    <t>1398 / VGBV-99|</t>
  </si>
  <si>
    <t>1399 / VGBW-19|</t>
  </si>
  <si>
    <t>1400 / VGBW-29|</t>
  </si>
  <si>
    <t>1401 / VGBW-39|</t>
  </si>
  <si>
    <t>1402 / VGBW-48|</t>
  </si>
  <si>
    <t>1403 / VGBW-58|</t>
  </si>
  <si>
    <t>1404 / VGBW-68|</t>
  </si>
  <si>
    <t>1405 / VGBW-98|</t>
  </si>
  <si>
    <t>1406 / VGBW-99|</t>
  </si>
  <si>
    <t>1407 / VGBX-29|</t>
  </si>
  <si>
    <t>1408 / VGBX-48|</t>
  </si>
  <si>
    <t>1409 / VGBX-49|</t>
  </si>
  <si>
    <t>1410 / VGBX-58|</t>
  </si>
  <si>
    <t>1411 / VGBX-59|</t>
  </si>
  <si>
    <t>1412 / VGBX-78|</t>
  </si>
  <si>
    <t>1413 / VGCB-39|</t>
  </si>
  <si>
    <t>1414 / VGCB-59|</t>
  </si>
  <si>
    <t>1415 / VGKX-42|</t>
  </si>
  <si>
    <t>1416 / VGKX-52|</t>
  </si>
  <si>
    <t>1417 / VGKX-62|</t>
  </si>
  <si>
    <t>1418 / VGKX-82|</t>
  </si>
  <si>
    <t>1419 / VGKY-12|</t>
  </si>
  <si>
    <t>1420 / VGKY-22|</t>
  </si>
  <si>
    <t>1421 / VGKY-42|</t>
  </si>
  <si>
    <t>1422 / VGKY-72|</t>
  </si>
  <si>
    <t>1423 / VGKY-82|</t>
  </si>
  <si>
    <t>1424 / VGKZ-62|</t>
  </si>
  <si>
    <t>1425 / VGKZ-82|</t>
  </si>
  <si>
    <t>1426 / VGKZ-92|</t>
  </si>
  <si>
    <t>VGLZ-33|</t>
  </si>
  <si>
    <t>VGLZ-43|</t>
  </si>
  <si>
    <t>VGRB-23|</t>
  </si>
  <si>
    <t>VGRB-24|</t>
  </si>
  <si>
    <t>VGRB-33|</t>
  </si>
  <si>
    <t>VGRB-63|</t>
  </si>
  <si>
    <t>VGRB-73|</t>
  </si>
  <si>
    <t>VGRB-93|</t>
  </si>
  <si>
    <t>VGRC-13|</t>
  </si>
  <si>
    <t>VGRC-23|</t>
  </si>
  <si>
    <t>VGRC-33|</t>
  </si>
  <si>
    <t>VGRC-43|</t>
  </si>
  <si>
    <t>VGRC-53|</t>
  </si>
  <si>
    <t>VGRC-73|</t>
  </si>
  <si>
    <t>VGRC-83|</t>
  </si>
  <si>
    <t>VGRC-93|</t>
  </si>
  <si>
    <t>VGRD-25|</t>
  </si>
  <si>
    <t>VGRD-35|</t>
  </si>
  <si>
    <t>VGRD-55|</t>
  </si>
  <si>
    <t>VGRF-45|</t>
  </si>
  <si>
    <t>VGRF-55|</t>
  </si>
  <si>
    <t>VGRF-65|</t>
  </si>
  <si>
    <t>VGRF-75|</t>
  </si>
  <si>
    <t>VGRF-84|</t>
  </si>
  <si>
    <t>VGRF-85|</t>
  </si>
  <si>
    <t>VGRF-94|</t>
  </si>
  <si>
    <t>VGRG-14|</t>
  </si>
  <si>
    <t>VGRG-24|</t>
  </si>
  <si>
    <t>VGRG-34|</t>
  </si>
  <si>
    <t>VGRG-44|</t>
  </si>
  <si>
    <t>VGRG-45|</t>
  </si>
  <si>
    <t>VGRG-54|</t>
  </si>
  <si>
    <t>VJKD-94|</t>
  </si>
  <si>
    <t>VJKF-55|</t>
  </si>
  <si>
    <t>VJKG-66|</t>
  </si>
  <si>
    <t>VJKG-85|</t>
  </si>
  <si>
    <t>VJKT-45|</t>
  </si>
  <si>
    <t>VJKT-55|</t>
  </si>
  <si>
    <t>VJKT-83|</t>
  </si>
  <si>
    <t>VJKV-78|</t>
  </si>
  <si>
    <t>VJKX-18|</t>
  </si>
  <si>
    <t>VJLH-14|</t>
  </si>
  <si>
    <t>VJLH-24|</t>
  </si>
  <si>
    <t>VJLH-33|</t>
  </si>
  <si>
    <t>VJWZ-95|</t>
  </si>
  <si>
    <t>VJXC-53|</t>
  </si>
  <si>
    <t>VJXD-48|</t>
  </si>
  <si>
    <t>VJXD-86|</t>
  </si>
  <si>
    <t>VJXH-88|</t>
  </si>
  <si>
    <t>VJXJ-27|</t>
  </si>
  <si>
    <t>VJXJ-39|</t>
  </si>
  <si>
    <t>VJXJ-44|</t>
  </si>
  <si>
    <t>VJXJ-46|</t>
  </si>
  <si>
    <t>VJXJ-94|</t>
  </si>
  <si>
    <t>VJXK-14|</t>
  </si>
  <si>
    <t>VJXK-15|</t>
  </si>
  <si>
    <t>VJYJ-22|</t>
  </si>
  <si>
    <t>VJYJ-37|</t>
  </si>
  <si>
    <t>VJYJ-44|</t>
  </si>
  <si>
    <t>VJYJ-46|</t>
  </si>
  <si>
    <t>VJYJ-68|</t>
  </si>
  <si>
    <t>VJYJ-75|</t>
  </si>
  <si>
    <t>VJYJ-84|</t>
  </si>
  <si>
    <t>VJYK-73|</t>
  </si>
  <si>
    <t>VJYK-82|</t>
  </si>
  <si>
    <t>VJYK-83|</t>
  </si>
  <si>
    <t>VJYK-86|</t>
  </si>
  <si>
    <t>VJYK-89|</t>
  </si>
  <si>
    <t>VJYK-91|</t>
  </si>
  <si>
    <t>VJYK-95|</t>
  </si>
  <si>
    <t>VJYK-97|</t>
  </si>
  <si>
    <t>VJYK-98|</t>
  </si>
  <si>
    <t>VJYL-12|</t>
  </si>
  <si>
    <t>VJYL-17|</t>
  </si>
  <si>
    <t>VJZB-87|</t>
  </si>
  <si>
    <t>VJZB-97|</t>
  </si>
  <si>
    <t>VJZC-57|</t>
  </si>
  <si>
    <t>VJZH-87|</t>
  </si>
  <si>
    <t>VJZH-97|</t>
  </si>
  <si>
    <t>VJZJ-56|</t>
  </si>
  <si>
    <t>VJZJ-66|</t>
  </si>
  <si>
    <t>VKFW-93|</t>
  </si>
  <si>
    <t>VKFX-13|</t>
  </si>
  <si>
    <t>VKFX-33|</t>
  </si>
  <si>
    <t>VKFX-63|</t>
  </si>
  <si>
    <t>VKFX-73|</t>
  </si>
  <si>
    <t>VKFX-93|</t>
  </si>
  <si>
    <t>VKFZ-33|</t>
  </si>
  <si>
    <t>VKFZ-53|</t>
  </si>
  <si>
    <t>VKFZ-93|</t>
  </si>
  <si>
    <t>VKGB-43|</t>
  </si>
  <si>
    <t>VKGB-83|</t>
  </si>
  <si>
    <t>VKGC-23|</t>
  </si>
  <si>
    <t>VKGC-63|</t>
  </si>
  <si>
    <t>VKGC-73|</t>
  </si>
  <si>
    <t>VKGD-33|</t>
  </si>
  <si>
    <t>VKGD-43|</t>
  </si>
  <si>
    <t>VKGF-93|</t>
  </si>
  <si>
    <t>VKGG-13|</t>
  </si>
  <si>
    <t>VKGG-23|</t>
  </si>
  <si>
    <t>VKGG-33|</t>
  </si>
  <si>
    <t>VKGG-53|</t>
  </si>
  <si>
    <t>VKGG-73|</t>
  </si>
  <si>
    <t>VKGG-83|</t>
  </si>
  <si>
    <t>VKGG-93|</t>
  </si>
  <si>
    <t>VKGH-13|</t>
  </si>
  <si>
    <t>VKGH-23|</t>
  </si>
  <si>
    <t>VKGH-33|</t>
  </si>
  <si>
    <t>VKGL-84|</t>
  </si>
  <si>
    <t>VKGP-35|</t>
  </si>
  <si>
    <t>VKGP-45|</t>
  </si>
  <si>
    <t>VKGP-55|</t>
  </si>
  <si>
    <t>VKGP-75|</t>
  </si>
  <si>
    <t>VLBP-23|</t>
  </si>
  <si>
    <t>VLBP-73|</t>
  </si>
  <si>
    <t>VLBZ-78|</t>
  </si>
  <si>
    <t>VLBZ-96|</t>
  </si>
  <si>
    <t>VLCB-26|</t>
  </si>
  <si>
    <t>VLCB-56|</t>
  </si>
  <si>
    <t>VLCC-16|</t>
  </si>
  <si>
    <t>VLCC-36|</t>
  </si>
  <si>
    <t>VLCD-56|</t>
  </si>
  <si>
    <t>VLCD-65|</t>
  </si>
  <si>
    <t>VLCF-18|</t>
  </si>
  <si>
    <t>VLCF-76|</t>
  </si>
  <si>
    <t>VLCG-67|</t>
  </si>
  <si>
    <t>VLCK-37|</t>
  </si>
  <si>
    <t>VLCK-77|</t>
  </si>
  <si>
    <t>VLFG-56|</t>
  </si>
  <si>
    <t>VLFG-69|</t>
  </si>
  <si>
    <t>VLFG-78|</t>
  </si>
  <si>
    <t>VLFG-89|</t>
  </si>
  <si>
    <t>VLFH-16|</t>
  </si>
  <si>
    <t>VLFH-46|</t>
  </si>
  <si>
    <t>VLFH-48|</t>
  </si>
  <si>
    <t>VLFH-56|</t>
  </si>
  <si>
    <t>VLFH-63|</t>
  </si>
  <si>
    <t>VLFJ-57|</t>
  </si>
  <si>
    <t>VLFJ-62|</t>
  </si>
  <si>
    <t>VLFJ-65|</t>
  </si>
  <si>
    <t>VLFJ-82|</t>
  </si>
  <si>
    <t>VLFJ-85|</t>
  </si>
  <si>
    <t>VLLY-27|</t>
  </si>
  <si>
    <t>VLPD-24|</t>
  </si>
  <si>
    <t>VLRS-46|</t>
  </si>
  <si>
    <t>VLSD-60|</t>
  </si>
  <si>
    <t>VLSD-66|</t>
  </si>
  <si>
    <t>VLSD-67|</t>
  </si>
  <si>
    <t>VLSD-68|</t>
  </si>
  <si>
    <t>VLSD-70|</t>
  </si>
  <si>
    <t>VLSD-77|</t>
  </si>
  <si>
    <t>VLSJ-88|</t>
  </si>
  <si>
    <t>VLSK-17|</t>
  </si>
  <si>
    <t>VLSK-18|</t>
  </si>
  <si>
    <t>VLSK-19|</t>
  </si>
  <si>
    <t>VLSK-23|</t>
  </si>
  <si>
    <t>VLSK-25|</t>
  </si>
  <si>
    <t>VLSK-26|</t>
  </si>
  <si>
    <t>VLSK-29|</t>
  </si>
  <si>
    <t>VLSK-30|</t>
  </si>
  <si>
    <t>VLSK-39|</t>
  </si>
  <si>
    <t>VLSK-44|</t>
  </si>
  <si>
    <t>VLSK-46|</t>
  </si>
  <si>
    <t>VLSK-53|</t>
  </si>
  <si>
    <t>VLSK-64|</t>
  </si>
  <si>
    <t>VLSK-70|</t>
  </si>
  <si>
    <t>VLSK-77|</t>
  </si>
  <si>
    <t>VLSK-86|</t>
  </si>
  <si>
    <t>VLSK-93|</t>
  </si>
  <si>
    <t>VLSK-95|</t>
  </si>
  <si>
    <t>VLSK-99|</t>
  </si>
  <si>
    <t>VLSL-10|</t>
  </si>
  <si>
    <t>VLSL-16|</t>
  </si>
  <si>
    <t>VLSL-25|</t>
  </si>
  <si>
    <t>VLSS-34|</t>
  </si>
  <si>
    <t>VLSS-37|</t>
  </si>
  <si>
    <t>VLSS-45|</t>
  </si>
  <si>
    <t>VLSS-69|</t>
  </si>
  <si>
    <t>VLSS-88|</t>
  </si>
  <si>
    <t>VLST-15|</t>
  </si>
  <si>
    <t>VLST-23|</t>
  </si>
  <si>
    <t>VLST-92|</t>
  </si>
  <si>
    <t>VLSV-15|</t>
  </si>
  <si>
    <t>VLSV-32|</t>
  </si>
  <si>
    <t>VLSW-32|</t>
  </si>
  <si>
    <t>VLSY-93|</t>
  </si>
  <si>
    <t>VLSY-95|</t>
  </si>
  <si>
    <t>VLSY-96|</t>
  </si>
  <si>
    <t>VLSY-97|</t>
  </si>
  <si>
    <t>VLSY-98|</t>
  </si>
  <si>
    <t>VLSZ-15|</t>
  </si>
  <si>
    <t>VLSZ-16|</t>
  </si>
  <si>
    <t>VLSZ-23|</t>
  </si>
  <si>
    <t>FLXZ-95|</t>
  </si>
  <si>
    <t>GCBC-24|</t>
  </si>
  <si>
    <t>GCBC-25|</t>
  </si>
  <si>
    <t>GCBC-27|</t>
  </si>
  <si>
    <t>GCBC-28|</t>
  </si>
  <si>
    <t>GCBC-29|</t>
  </si>
  <si>
    <t>GCBC-30|</t>
  </si>
  <si>
    <t>GCBC-31|</t>
  </si>
  <si>
    <t>GCBC-35|</t>
  </si>
  <si>
    <t>LXWT-86|</t>
  </si>
  <si>
    <t>LXWT-90|</t>
  </si>
  <si>
    <t>LXWT-98|</t>
  </si>
  <si>
    <t>LZPG-19|</t>
  </si>
  <si>
    <t>LZPR-99|</t>
  </si>
  <si>
    <t>LZPS-13|</t>
  </si>
  <si>
    <t>LZPS-21|</t>
  </si>
  <si>
    <t>LZPT-51|</t>
  </si>
  <si>
    <t>LZPT-70|</t>
  </si>
  <si>
    <t>SFVZ-60|</t>
  </si>
  <si>
    <t>SFVZ-70|</t>
  </si>
  <si>
    <t>SFWB-35|</t>
  </si>
  <si>
    <t>SFWB-42|</t>
  </si>
  <si>
    <t>SFWB-95|</t>
  </si>
  <si>
    <t>SFWZ-23|</t>
  </si>
  <si>
    <t>SFWZ-25|</t>
  </si>
  <si>
    <t>SFWZ-42|</t>
  </si>
  <si>
    <t>SFWZ-45|</t>
  </si>
  <si>
    <t>SFWZ-50|</t>
  </si>
  <si>
    <t>SFWZ-63|</t>
  </si>
  <si>
    <t>SFWZ-66|</t>
  </si>
  <si>
    <t>SFWZ-75|</t>
  </si>
  <si>
    <t>SFWZ-76|</t>
  </si>
  <si>
    <t>SFWZ-80|</t>
  </si>
  <si>
    <t>VLSZ-25|</t>
  </si>
  <si>
    <t>VLSZ-26|</t>
  </si>
  <si>
    <t>VLSZ-46|</t>
  </si>
  <si>
    <t>VLSZ-52|</t>
  </si>
  <si>
    <t>VLSZ-54|</t>
  </si>
  <si>
    <t>VLSZ-65|</t>
  </si>
  <si>
    <t>VLSZ-68|</t>
  </si>
  <si>
    <t>VLSZ-75|</t>
  </si>
  <si>
    <t>VLTB-15|</t>
  </si>
  <si>
    <t>VLTB-35|</t>
  </si>
  <si>
    <t>VLTB-43|</t>
  </si>
  <si>
    <t>VLTB-85|</t>
  </si>
  <si>
    <t>VLTB-93|</t>
  </si>
  <si>
    <t>VLTB-94|</t>
  </si>
  <si>
    <t>VLTC-16|</t>
  </si>
  <si>
    <t>VLTC-17|</t>
  </si>
  <si>
    <t>VLTC-21|</t>
  </si>
  <si>
    <t>VLTC-23|</t>
  </si>
  <si>
    <t>VLTC-32|</t>
  </si>
  <si>
    <t>VLTC-33|</t>
  </si>
  <si>
    <t>VLTC-34|</t>
  </si>
  <si>
    <t>VLTC-35|</t>
  </si>
  <si>
    <t>VLTC-36|</t>
  </si>
  <si>
    <t>VLTC-37|</t>
  </si>
  <si>
    <t>VLTC-43|</t>
  </si>
  <si>
    <t>VLTC-44|</t>
  </si>
  <si>
    <t>VLTC-45|</t>
  </si>
  <si>
    <t>VLTC-53|</t>
  </si>
  <si>
    <t>VLTC-62|</t>
  </si>
  <si>
    <t>VLTC-92|</t>
  </si>
  <si>
    <t>VPBC-75|</t>
  </si>
  <si>
    <t>VPBD-15|</t>
  </si>
  <si>
    <t>VPBD-25|</t>
  </si>
  <si>
    <t>VPBD-64|</t>
  </si>
  <si>
    <t>VPBD-84|</t>
  </si>
  <si>
    <t>VPBF-11|</t>
  </si>
  <si>
    <t>VPBF-13|</t>
  </si>
  <si>
    <t>VPBF-14|</t>
  </si>
  <si>
    <t>VPBF-41|</t>
  </si>
  <si>
    <t>VPBF-51|</t>
  </si>
  <si>
    <t>VPBF-63|</t>
  </si>
  <si>
    <t>VPBF-71|</t>
  </si>
  <si>
    <t>VPBF-93|</t>
  </si>
  <si>
    <t>VPBG-88|</t>
  </si>
  <si>
    <t>VPBK-91|</t>
  </si>
  <si>
    <t>FLXZ-94|</t>
  </si>
  <si>
    <t>GCBB-13|</t>
  </si>
  <si>
    <t>GCBC-16|</t>
  </si>
  <si>
    <t>GCBC-17|</t>
  </si>
  <si>
    <t>GCBC-18|</t>
  </si>
  <si>
    <t>GCBC-19|</t>
  </si>
  <si>
    <t>GCBC-20|</t>
  </si>
  <si>
    <t>GCBC-21|</t>
  </si>
  <si>
    <t>GCBC-22|</t>
  </si>
  <si>
    <t>GCBC-23|</t>
  </si>
  <si>
    <t>GCBB-16|</t>
  </si>
  <si>
    <t>GCBB-17|</t>
  </si>
  <si>
    <t>GCBB-18|</t>
  </si>
  <si>
    <t>GCBB-19|</t>
  </si>
  <si>
    <t>GCBB-20|</t>
  </si>
  <si>
    <t>GCBB-21|</t>
  </si>
  <si>
    <t>GCBB-22|</t>
  </si>
  <si>
    <t>GCBB-23|</t>
  </si>
  <si>
    <t>GCBB-24|</t>
  </si>
  <si>
    <t>FLXZ-96|</t>
  </si>
  <si>
    <t>GCBB-25|</t>
  </si>
  <si>
    <t>GCBB-26|</t>
  </si>
  <si>
    <t>GCBB-27|</t>
  </si>
  <si>
    <t>GCBB-28|</t>
  </si>
  <si>
    <t>GCBB-29|</t>
  </si>
  <si>
    <t>GCBB-30|</t>
  </si>
  <si>
    <t>GCBB-31|</t>
  </si>
  <si>
    <t>GCBB-32|</t>
  </si>
  <si>
    <t>GCBB-34|</t>
  </si>
  <si>
    <t>FLXZ-97|</t>
  </si>
  <si>
    <t>GCBB-35|</t>
  </si>
  <si>
    <t>GCBB-36|</t>
  </si>
  <si>
    <t>GCBB-37|</t>
  </si>
  <si>
    <t>GCBB-38|</t>
  </si>
  <si>
    <t>GCBB-39|</t>
  </si>
  <si>
    <t>GCBB-40|</t>
  </si>
  <si>
    <t>GCBB-41|</t>
  </si>
  <si>
    <t>GCBB-42|</t>
  </si>
  <si>
    <t>GCBB-43|</t>
  </si>
  <si>
    <t>GCBB-44|</t>
  </si>
  <si>
    <t>FLXZ-98|</t>
  </si>
  <si>
    <t>GCBB-45|</t>
  </si>
  <si>
    <t>GCBB-46|</t>
  </si>
  <si>
    <t>GCBB-47|</t>
  </si>
  <si>
    <t>GCBB-48|</t>
  </si>
  <si>
    <t>GCBB-49|</t>
  </si>
  <si>
    <t>GCBB-50|</t>
  </si>
  <si>
    <t>GCBB-51|</t>
  </si>
  <si>
    <t>GCBB-52|</t>
  </si>
  <si>
    <t>GCBB-53|</t>
  </si>
  <si>
    <t>GCBB-54|</t>
  </si>
  <si>
    <t>FLXZ-99|</t>
  </si>
  <si>
    <t>GCBB-55|</t>
  </si>
  <si>
    <t>GCBB-56|</t>
  </si>
  <si>
    <t>GCBB-57|</t>
  </si>
  <si>
    <t>GCBB-58|</t>
  </si>
  <si>
    <t>GCBB-59|</t>
  </si>
  <si>
    <t>GCBB-60|</t>
  </si>
  <si>
    <t>GCBB-61|</t>
  </si>
  <si>
    <t>GCBB-62|</t>
  </si>
  <si>
    <t>GCBB-63|</t>
  </si>
  <si>
    <t>GCBB-64|</t>
  </si>
  <si>
    <t>GCBB-10|</t>
  </si>
  <si>
    <t>GCBB-65|</t>
  </si>
  <si>
    <t>GCBB-66|</t>
  </si>
  <si>
    <t>GCBB-67|</t>
  </si>
  <si>
    <t>GCBB-68|</t>
  </si>
  <si>
    <t>GCBB-69|</t>
  </si>
  <si>
    <t>GCBB-70|</t>
  </si>
  <si>
    <t>GCBB-71|</t>
  </si>
  <si>
    <t>GCBB-72|</t>
  </si>
  <si>
    <t>GCBB-73|</t>
  </si>
  <si>
    <t>GCBB-74|</t>
  </si>
  <si>
    <t>GCBB-11|</t>
  </si>
  <si>
    <t>GCBB-75|</t>
  </si>
  <si>
    <t>GCBB-76|</t>
  </si>
  <si>
    <t>GCBB-77|</t>
  </si>
  <si>
    <t>GCBB-78|</t>
  </si>
  <si>
    <t>GCBB-79|</t>
  </si>
  <si>
    <t>GCBB-80|</t>
  </si>
  <si>
    <t>GCBB-81|</t>
  </si>
  <si>
    <t>GCBB-82|</t>
  </si>
  <si>
    <t>GCBB-83|</t>
  </si>
  <si>
    <t>GCBB-84|</t>
  </si>
  <si>
    <t>GCBB-12|</t>
  </si>
  <si>
    <t>GCBB-85|</t>
  </si>
  <si>
    <t>GCBB-86|</t>
  </si>
  <si>
    <t>GCBB-87|</t>
  </si>
  <si>
    <t>GCBB-88|</t>
  </si>
  <si>
    <t>GCBB-89|</t>
  </si>
  <si>
    <t>GCBB-91|</t>
  </si>
  <si>
    <t>GCBB-92|</t>
  </si>
  <si>
    <t>GCBB-93|</t>
  </si>
  <si>
    <t>GCBB-94|</t>
  </si>
  <si>
    <t>GCBB-95|</t>
  </si>
  <si>
    <t>GCBB-96|</t>
  </si>
  <si>
    <t>GCBB-97|</t>
  </si>
  <si>
    <t>GCBB-98|</t>
  </si>
  <si>
    <t>GCBB-33|</t>
  </si>
  <si>
    <t>GCBC-10|</t>
  </si>
  <si>
    <t>GCBC-11|</t>
  </si>
  <si>
    <t>GCBC-12|</t>
  </si>
  <si>
    <t>GCBC-13|</t>
  </si>
  <si>
    <t>GCBC-14|</t>
  </si>
  <si>
    <t>GCBC-15|</t>
  </si>
  <si>
    <t>VFHJ-88|</t>
  </si>
  <si>
    <t>VFHL-33|</t>
  </si>
  <si>
    <t>VFHL-39|</t>
  </si>
  <si>
    <t>VFHL-46|</t>
  </si>
  <si>
    <t>VFHL-56|</t>
  </si>
  <si>
    <t>VFHG-99|</t>
  </si>
  <si>
    <t>VFHH-49|</t>
  </si>
  <si>
    <t>VFHH-65|</t>
  </si>
  <si>
    <t>VFHJ-21|</t>
  </si>
  <si>
    <t>VFHJ-43|</t>
  </si>
  <si>
    <t>VFHJ-59|</t>
  </si>
  <si>
    <t>VFHJ-92|</t>
  </si>
  <si>
    <t>VFHJ-69|</t>
  </si>
  <si>
    <t>VFHJ-77|</t>
  </si>
  <si>
    <t>VFHL-62|</t>
  </si>
  <si>
    <t>VFHL-66|</t>
  </si>
  <si>
    <t>VFHL-81|</t>
  </si>
  <si>
    <t>VFHS-85|</t>
  </si>
  <si>
    <t>VFHS-95|</t>
  </si>
  <si>
    <t>VFHS-98|</t>
  </si>
  <si>
    <t>VFHT-45|</t>
  </si>
  <si>
    <t>VFHT-55|</t>
  </si>
  <si>
    <t>VFHK-16|</t>
  </si>
  <si>
    <t>VFHT-73|</t>
  </si>
  <si>
    <t>VFHT-80|</t>
  </si>
  <si>
    <t>VFHT-81|</t>
  </si>
  <si>
    <t>VFHV-57|</t>
  </si>
  <si>
    <t>VFHV-67|</t>
  </si>
  <si>
    <t>VFHV-82|</t>
  </si>
  <si>
    <t>VFHV-87|</t>
  </si>
  <si>
    <t>VFHW-46|</t>
  </si>
  <si>
    <t>VFHW-51|</t>
  </si>
  <si>
    <t>VFHW-63|</t>
  </si>
  <si>
    <t>VFHK-27|</t>
  </si>
  <si>
    <t>VFPB-70|</t>
  </si>
  <si>
    <t>VFPC-10|</t>
  </si>
  <si>
    <t>VFPC-31|</t>
  </si>
  <si>
    <t>VFPC-80|</t>
  </si>
  <si>
    <t>VFPC-51|</t>
  </si>
  <si>
    <t>VFPD-84|</t>
  </si>
  <si>
    <t>VFPD-94|</t>
  </si>
  <si>
    <t>VFHL-60|</t>
  </si>
  <si>
    <t>VFHK-31|</t>
  </si>
  <si>
    <t>VFHK-58|</t>
  </si>
  <si>
    <t>VFHK-69|</t>
  </si>
  <si>
    <t>VFHK-89|</t>
  </si>
  <si>
    <t>VFHK-96|</t>
  </si>
  <si>
    <t>GCBF-42|</t>
  </si>
  <si>
    <t>LZRB-89|</t>
  </si>
  <si>
    <t>LZRB-90|</t>
  </si>
  <si>
    <t>LZRB-91|</t>
  </si>
  <si>
    <t>LZRB-92|</t>
  </si>
  <si>
    <t>LZRB-93|</t>
  </si>
  <si>
    <t>LZRB-94|</t>
  </si>
  <si>
    <t>LZRB-95|</t>
  </si>
  <si>
    <t>LZRB-96|</t>
  </si>
  <si>
    <t>LZRD-61|</t>
  </si>
  <si>
    <t>LZRD-62|</t>
  </si>
  <si>
    <t>LZRD-63|</t>
  </si>
  <si>
    <t>LZRD-64|</t>
  </si>
  <si>
    <t>LZRD-65|</t>
  </si>
  <si>
    <t>LZRD-66|</t>
  </si>
  <si>
    <t>LZRD-67|</t>
  </si>
  <si>
    <t>LZRD-68|</t>
  </si>
  <si>
    <t>LZRD-69|</t>
  </si>
  <si>
    <t>LZRD-70|</t>
  </si>
  <si>
    <t>LZRD-71|</t>
  </si>
  <si>
    <t>LZRD-72|</t>
  </si>
  <si>
    <t>LZRD-73|</t>
  </si>
  <si>
    <t>LZRD-74|</t>
  </si>
  <si>
    <t>LZRD-75|</t>
  </si>
  <si>
    <t>LZRD-76|</t>
  </si>
  <si>
    <t>LZRD-77|</t>
  </si>
  <si>
    <t>LZRD-78|</t>
  </si>
  <si>
    <t>LZRD-79|</t>
  </si>
  <si>
    <t>LZRD-80|</t>
  </si>
  <si>
    <t>LZRD-81|</t>
  </si>
  <si>
    <t>LZRD-82|</t>
  </si>
  <si>
    <t>LZRD-83|</t>
  </si>
  <si>
    <t>LZRD-84|</t>
  </si>
  <si>
    <t>LZRD-85|</t>
  </si>
  <si>
    <t>LZRD-86|</t>
  </si>
  <si>
    <t>LZRD-87|</t>
  </si>
  <si>
    <t>LZRD-88|</t>
  </si>
  <si>
    <t>LZRD-89|</t>
  </si>
  <si>
    <t>LZRD-90|</t>
  </si>
  <si>
    <t>LZRD-91|</t>
  </si>
  <si>
    <t>LZRD-92|</t>
  </si>
  <si>
    <t>LZRD-94|</t>
  </si>
  <si>
    <t>LZRD-95|</t>
  </si>
  <si>
    <t>LZRD-96|</t>
  </si>
  <si>
    <t>LZRD-97|</t>
  </si>
  <si>
    <t>LZRD-98|</t>
  </si>
  <si>
    <t>LZRD-99|</t>
  </si>
  <si>
    <t>LZRF-10|</t>
  </si>
  <si>
    <t>LZRF-11|</t>
  </si>
  <si>
    <t>LZRF-12|</t>
  </si>
  <si>
    <t>LZRF-13|</t>
  </si>
  <si>
    <t>LZRF-14|</t>
  </si>
  <si>
    <t>LZRF-15|</t>
  </si>
  <si>
    <t>RJXT-26|</t>
  </si>
  <si>
    <t>RWTP-78|</t>
  </si>
  <si>
    <t>RWTP-79|</t>
  </si>
  <si>
    <t>RWTP-80|</t>
  </si>
  <si>
    <t>RWTP-81|</t>
  </si>
  <si>
    <t>RWTP-82|</t>
  </si>
  <si>
    <t>RWTP-83|</t>
  </si>
  <si>
    <t>RWTP-84|</t>
  </si>
  <si>
    <t>RWTP-85|</t>
  </si>
  <si>
    <t>RWTP-86|</t>
  </si>
  <si>
    <t>RWTP-87|</t>
  </si>
  <si>
    <t>RWTP-88|</t>
  </si>
  <si>
    <t>RWTP-89|</t>
  </si>
  <si>
    <t>RWTP-90|</t>
  </si>
  <si>
    <t>RWTP-91|</t>
  </si>
  <si>
    <t>RWTP-92|</t>
  </si>
  <si>
    <t>RWTP-93|</t>
  </si>
  <si>
    <t>RWTP-94|</t>
  </si>
  <si>
    <t>RWTP-95|</t>
  </si>
  <si>
    <t>RWTP-96|</t>
  </si>
  <si>
    <t>RWTP-97|</t>
  </si>
  <si>
    <t>RWTP-98|</t>
  </si>
  <si>
    <t>RWTP-99|</t>
  </si>
  <si>
    <t>RWTR-10|</t>
  </si>
  <si>
    <t>RWTR-11|</t>
  </si>
  <si>
    <t>RYJG-90|</t>
  </si>
  <si>
    <t>RYJG-91|</t>
  </si>
  <si>
    <t>RYJG-92|</t>
  </si>
  <si>
    <t>RYJG-93|</t>
  </si>
  <si>
    <t>RYJG-94|</t>
  </si>
  <si>
    <t>RYJG-95|</t>
  </si>
  <si>
    <t>SXKV-87|</t>
  </si>
  <si>
    <t>SXKV-88|</t>
  </si>
  <si>
    <t>SXKV-89|</t>
  </si>
  <si>
    <t>SXKV-90|</t>
  </si>
  <si>
    <t>SXKV-91|</t>
  </si>
  <si>
    <t>SXKV-92|</t>
  </si>
  <si>
    <t>SXKV-93|</t>
  </si>
  <si>
    <t>SXKV-94|</t>
  </si>
  <si>
    <t>SXKV-95|</t>
  </si>
  <si>
    <t>SXKV-96|</t>
  </si>
  <si>
    <t>VFPB-75|</t>
  </si>
  <si>
    <t>VFPB-85|</t>
  </si>
  <si>
    <t>VFPC-59|</t>
  </si>
  <si>
    <t>VFPC-66|</t>
  </si>
  <si>
    <t>VFPC-69|</t>
  </si>
  <si>
    <t>VFPD-10|</t>
  </si>
  <si>
    <t>VFPD-41|</t>
  </si>
  <si>
    <t>VFPD-51|</t>
  </si>
  <si>
    <t>VFPD-61|</t>
  </si>
  <si>
    <t>VFPD-71|</t>
  </si>
  <si>
    <t>VFPD-81|</t>
  </si>
  <si>
    <t>VFPF-21|</t>
  </si>
  <si>
    <t>VFPF-31|</t>
  </si>
  <si>
    <t>VFPF-51|</t>
  </si>
  <si>
    <t>VFPF-54|</t>
  </si>
  <si>
    <t>VFPF-61|</t>
  </si>
  <si>
    <t>VFPG-48|</t>
  </si>
  <si>
    <t>VFPG-58|</t>
  </si>
  <si>
    <t>VFPG-91|</t>
  </si>
  <si>
    <t>VFPH-21|</t>
  </si>
  <si>
    <t>VFPH-35|</t>
  </si>
  <si>
    <t>VFPH-51|</t>
  </si>
  <si>
    <t>VFPH-66|</t>
  </si>
  <si>
    <t>VFPH-79|</t>
  </si>
  <si>
    <t>VFPH-81|</t>
  </si>
  <si>
    <t>VFPH-91|</t>
  </si>
  <si>
    <t>VFPH-98|</t>
  </si>
  <si>
    <t>VFPJ-11|</t>
  </si>
  <si>
    <t>VFPJ-25|</t>
  </si>
  <si>
    <t>VFPJ-28|</t>
  </si>
  <si>
    <t>VFPJ-31|</t>
  </si>
  <si>
    <t>VFPJ-51|</t>
  </si>
  <si>
    <t>VFPJ-53|</t>
  </si>
  <si>
    <t>VFPJ-61|</t>
  </si>
  <si>
    <t>VFPJ-66|</t>
  </si>
  <si>
    <t>VFPJ-68|</t>
  </si>
  <si>
    <t>VFPJ-71|</t>
  </si>
  <si>
    <t>VFPJ-77|</t>
  </si>
  <si>
    <t>VFPK-64|</t>
  </si>
  <si>
    <t>VFPK-81|</t>
  </si>
  <si>
    <t>VFPK-91|</t>
  </si>
  <si>
    <t>VFPL-11|</t>
  </si>
  <si>
    <t>VFPL-15|</t>
  </si>
  <si>
    <t>VFPL-21|</t>
  </si>
  <si>
    <t>VFPL-31|</t>
  </si>
  <si>
    <t>VFPL-35|</t>
  </si>
  <si>
    <t>VFPL-41|</t>
  </si>
  <si>
    <t>VFPL-46|</t>
  </si>
  <si>
    <t>VFPL-57|</t>
  </si>
  <si>
    <t>VFPL-61|</t>
  </si>
  <si>
    <t>VFPL-63|</t>
  </si>
  <si>
    <t>VFPL-71|</t>
  </si>
  <si>
    <t>VFPL-73|</t>
  </si>
  <si>
    <t>VFPL-74|</t>
  </si>
  <si>
    <t>VFPL-81|</t>
  </si>
  <si>
    <t>VFPL-87|</t>
  </si>
  <si>
    <t>VFPL-88|</t>
  </si>
  <si>
    <t>VFPL-92|</t>
  </si>
  <si>
    <t>VFPP-11|</t>
  </si>
  <si>
    <t>VFPS-39|</t>
  </si>
  <si>
    <t>VFPS-47|</t>
  </si>
  <si>
    <t>VFPS-48|</t>
  </si>
  <si>
    <t>VFPS-56|</t>
  </si>
  <si>
    <t>VFPS-65|</t>
  </si>
  <si>
    <t>VFPS-69|</t>
  </si>
  <si>
    <t>VFPS-74|</t>
  </si>
  <si>
    <t>VFPS-78|</t>
  </si>
  <si>
    <t>VFPS-85|</t>
  </si>
  <si>
    <t>VFPS-86|</t>
  </si>
  <si>
    <t>VFPS-87|</t>
  </si>
  <si>
    <t>VFPS-89|</t>
  </si>
  <si>
    <t>VFPS-94|</t>
  </si>
  <si>
    <t>VFPS-99|</t>
  </si>
  <si>
    <t>VFPT-23|</t>
  </si>
  <si>
    <t>VFPT-27|</t>
  </si>
  <si>
    <t>VFPT-47|</t>
  </si>
  <si>
    <t>VFPT-63|</t>
  </si>
  <si>
    <t>VFPT-64|</t>
  </si>
  <si>
    <t>VFPT-65|</t>
  </si>
  <si>
    <t>VFPV-53|</t>
  </si>
  <si>
    <t>VFPV-63|</t>
  </si>
  <si>
    <t>VFPV-73|</t>
  </si>
  <si>
    <t>VFPV-83|</t>
  </si>
  <si>
    <t>VFPV-93|</t>
  </si>
  <si>
    <t>VFPW-13|</t>
  </si>
  <si>
    <t>VFPW-23|</t>
  </si>
  <si>
    <t>VFPW-33|</t>
  </si>
  <si>
    <t>VFPW-63|</t>
  </si>
  <si>
    <t>VFPW-73|</t>
  </si>
  <si>
    <t>VFPX-13|</t>
  </si>
  <si>
    <t>VFPX-33|</t>
  </si>
  <si>
    <t>VFPX-53|</t>
  </si>
  <si>
    <t>VFPX-63|</t>
  </si>
  <si>
    <t>VFPX-83|</t>
  </si>
  <si>
    <t>VFPX-93|</t>
  </si>
  <si>
    <t>VFPY-13|</t>
  </si>
  <si>
    <t>VFPY-23|</t>
  </si>
  <si>
    <t>VFPY-33|</t>
  </si>
  <si>
    <t>VFPY-43|</t>
  </si>
  <si>
    <t>VFPZ-27|</t>
  </si>
  <si>
    <t>VFPZ-38|</t>
  </si>
  <si>
    <t>VFPZ-39|</t>
  </si>
  <si>
    <t>VFPZ-55|</t>
  </si>
  <si>
    <t>VFPZ-56|</t>
  </si>
  <si>
    <t>VFPZ-74|</t>
  </si>
  <si>
    <t>VFPZ-78|</t>
  </si>
  <si>
    <t>VFPZ-88|</t>
  </si>
  <si>
    <t>VFPZ-89|</t>
  </si>
  <si>
    <t>VFPZ-92|</t>
  </si>
  <si>
    <t>VFPZ-97|</t>
  </si>
  <si>
    <t>VFPZ-98|</t>
  </si>
  <si>
    <t>VFRB-13|</t>
  </si>
  <si>
    <t>VFRB-15|</t>
  </si>
  <si>
    <t>VFRB-54|</t>
  </si>
  <si>
    <t>VFRB-56|</t>
  </si>
  <si>
    <t>VFRB-63|</t>
  </si>
  <si>
    <t>VFRB-67|</t>
  </si>
  <si>
    <t>VFRB-68|</t>
  </si>
  <si>
    <t>VFRB-81|</t>
  </si>
  <si>
    <t>VFRC-75|</t>
  </si>
  <si>
    <t>VFRD-35|</t>
  </si>
  <si>
    <t>VFRD-45|</t>
  </si>
  <si>
    <t>VFRD-55|</t>
  </si>
  <si>
    <t>VFRD-65|</t>
  </si>
  <si>
    <t>VFRD-75|</t>
  </si>
  <si>
    <t>VFRD-85|</t>
  </si>
  <si>
    <t>VFRD-95|</t>
  </si>
  <si>
    <t>VFRF-15|</t>
  </si>
  <si>
    <t>VFRF-35|</t>
  </si>
  <si>
    <t>VFRF-55|</t>
  </si>
  <si>
    <t>VFRF-65|</t>
  </si>
  <si>
    <t>VFRF-75|</t>
  </si>
  <si>
    <t>VFRF-85|</t>
  </si>
  <si>
    <t>VFRF-95|</t>
  </si>
  <si>
    <t>VFRG-15|</t>
  </si>
  <si>
    <t>VFRG-25|</t>
  </si>
  <si>
    <t>VFRG-35|</t>
  </si>
  <si>
    <t>VFRG-45|</t>
  </si>
  <si>
    <t>VGBS-15|</t>
  </si>
  <si>
    <t>VGBV-29|</t>
  </si>
  <si>
    <t>VGBV-35|</t>
  </si>
  <si>
    <t>VGBV-36|</t>
  </si>
  <si>
    <t>VGBV-41|</t>
  </si>
  <si>
    <t>VGBV-51|</t>
  </si>
  <si>
    <t>VGBV-55|</t>
  </si>
  <si>
    <t>VGBV-69|</t>
  </si>
  <si>
    <t>VGBV-79|</t>
  </si>
  <si>
    <t>VGBV-99|</t>
  </si>
  <si>
    <t>VGBW-19|</t>
  </si>
  <si>
    <t>VGBW-29|</t>
  </si>
  <si>
    <t>VGBW-39|</t>
  </si>
  <si>
    <t>VGBW-48|</t>
  </si>
  <si>
    <t>VGBW-58|</t>
  </si>
  <si>
    <t>VGBW-68|</t>
  </si>
  <si>
    <t>VGBW-98|</t>
  </si>
  <si>
    <t>VGBW-99|</t>
  </si>
  <si>
    <t>VGBX-29|</t>
  </si>
  <si>
    <t>VGBX-48|</t>
  </si>
  <si>
    <t>VGBX-49|</t>
  </si>
  <si>
    <t>VGBX-58|</t>
  </si>
  <si>
    <t>VGBX-59|</t>
  </si>
  <si>
    <t>VGBX-78|</t>
  </si>
  <si>
    <t>VGCB-39|</t>
  </si>
  <si>
    <t>VGCB-59|</t>
  </si>
  <si>
    <t>VGKX-42|</t>
  </si>
  <si>
    <t>VGKX-52|</t>
  </si>
  <si>
    <t>VGKX-62|</t>
  </si>
  <si>
    <t>VGKX-82|</t>
  </si>
  <si>
    <t>VGKY-12|</t>
  </si>
  <si>
    <t>VGKY-22|</t>
  </si>
  <si>
    <t>VGKY-42|</t>
  </si>
  <si>
    <t>VGKY-72|</t>
  </si>
  <si>
    <t>VGKY-82|</t>
  </si>
  <si>
    <t>VGKZ-62|</t>
  </si>
  <si>
    <t>VGKZ-82|</t>
  </si>
  <si>
    <t>VGKZ-92|</t>
  </si>
  <si>
    <t>Diccionario 5</t>
  </si>
  <si>
    <t>Diccionario 6</t>
  </si>
  <si>
    <t>LL-BP1000</t>
  </si>
  <si>
    <t>LL-BP1002</t>
  </si>
  <si>
    <t>LL-BP1003</t>
  </si>
  <si>
    <t>SJ-BP1004</t>
  </si>
  <si>
    <t>SJ-BP1005</t>
  </si>
  <si>
    <t>SJ-BP1006</t>
  </si>
  <si>
    <t>LL-BP1007</t>
  </si>
  <si>
    <t>LL-BP1008</t>
  </si>
  <si>
    <t>LL-BP1009</t>
  </si>
  <si>
    <t>LL-BP1010</t>
  </si>
  <si>
    <t>LL-BP1011</t>
  </si>
  <si>
    <t>SJ-BP1012</t>
  </si>
  <si>
    <t>LL-BP1013</t>
  </si>
  <si>
    <t>LL-BP1014</t>
  </si>
  <si>
    <t>LL-BP1015</t>
  </si>
  <si>
    <t>LL-BP1016</t>
  </si>
  <si>
    <t>LL-BP1017</t>
  </si>
  <si>
    <t>LL-BP1018</t>
  </si>
  <si>
    <t>LL-BP1019</t>
  </si>
  <si>
    <t>LL-BP1020</t>
  </si>
  <si>
    <t>LL-BP1021</t>
  </si>
  <si>
    <t>LL-BP1022</t>
  </si>
  <si>
    <t>LL-BP1023</t>
  </si>
  <si>
    <t>LL-BP1024</t>
  </si>
  <si>
    <t>LL-BP1025</t>
  </si>
  <si>
    <t>LL-BP1026</t>
  </si>
  <si>
    <t>LL-BP1027</t>
  </si>
  <si>
    <t>SJ-BP1028</t>
  </si>
  <si>
    <t>LL-BP1029</t>
  </si>
  <si>
    <t>LL-BP1030</t>
  </si>
  <si>
    <t>LL-BP1031</t>
  </si>
  <si>
    <t>LL-BP1032</t>
  </si>
  <si>
    <t>LL-BP1033</t>
  </si>
  <si>
    <t>LL-BP1034</t>
  </si>
  <si>
    <t>LL-BP1035</t>
  </si>
  <si>
    <t>LL-BP1036</t>
  </si>
  <si>
    <t>LL-BP1037</t>
  </si>
  <si>
    <t>LL-BP1038</t>
  </si>
  <si>
    <t>LL-BP1039</t>
  </si>
  <si>
    <t>LL-BP1040</t>
  </si>
  <si>
    <t>LL-BP1041</t>
  </si>
  <si>
    <t>LL-BP1042</t>
  </si>
  <si>
    <t>LL-BP1043</t>
  </si>
  <si>
    <t>LL-BP1044</t>
  </si>
  <si>
    <t>LL-BP1045</t>
  </si>
  <si>
    <t>LL-BP1046</t>
  </si>
  <si>
    <t>LL-BP1047</t>
  </si>
  <si>
    <t>LL-BP1048</t>
  </si>
  <si>
    <t>LL-BP1049</t>
  </si>
  <si>
    <t>LL-BP1050</t>
  </si>
  <si>
    <t>LL-BP1051</t>
  </si>
  <si>
    <t>LL-BP1052</t>
  </si>
  <si>
    <t>LL-BP1053</t>
  </si>
  <si>
    <t>LL-BP1054</t>
  </si>
  <si>
    <t>LL-BP1055</t>
  </si>
  <si>
    <t>LL-BP1056</t>
  </si>
  <si>
    <t>LL-BP1057</t>
  </si>
  <si>
    <t>LL-BP1058</t>
  </si>
  <si>
    <t>LL-BP1059</t>
  </si>
  <si>
    <t>LL-BP1060</t>
  </si>
  <si>
    <t>LL-BP1061</t>
  </si>
  <si>
    <t>LL-BP1062</t>
  </si>
  <si>
    <t>LL-BP1063</t>
  </si>
  <si>
    <t>LL-BP1064</t>
  </si>
  <si>
    <t>LL-BP1065</t>
  </si>
  <si>
    <t>LL-BP1066</t>
  </si>
  <si>
    <t>SJ-BP1067</t>
  </si>
  <si>
    <t>LL-BP1068</t>
  </si>
  <si>
    <t>LL-BP1069</t>
  </si>
  <si>
    <t>LL-BP1070</t>
  </si>
  <si>
    <t>LL-BP1071</t>
  </si>
  <si>
    <t>SJ-BP1072</t>
  </si>
  <si>
    <t>LL-BP1073</t>
  </si>
  <si>
    <t>LL-BP1074</t>
  </si>
  <si>
    <t>LL-BP1075</t>
  </si>
  <si>
    <t>SJ-BP1076</t>
  </si>
  <si>
    <t>LL-BP1077</t>
  </si>
  <si>
    <t>LL-BP1078</t>
  </si>
  <si>
    <t>SJ-BP1079</t>
  </si>
  <si>
    <t>SJ-BP1080</t>
  </si>
  <si>
    <t>SJ-BP1081</t>
  </si>
  <si>
    <t>SJ-BP1082</t>
  </si>
  <si>
    <t>LL-BP1083</t>
  </si>
  <si>
    <t>SJ-BP1084</t>
  </si>
  <si>
    <t>LL-BP1085</t>
  </si>
  <si>
    <t>LL-BP1086</t>
  </si>
  <si>
    <t>SJ-BP1087</t>
  </si>
  <si>
    <t>SJ-BP1088</t>
  </si>
  <si>
    <t>SJ-BP1089</t>
  </si>
  <si>
    <t>SJ-BP1090</t>
  </si>
  <si>
    <t>LL-BP1091</t>
  </si>
  <si>
    <t>SJ-BP1092</t>
  </si>
  <si>
    <t>SJ-BP1093</t>
  </si>
  <si>
    <t>LL-BP1094</t>
  </si>
  <si>
    <t>SJ-BP1095</t>
  </si>
  <si>
    <t>LL-BP1096</t>
  </si>
  <si>
    <t>SJ-BP1097</t>
  </si>
  <si>
    <t>SJ-BP1098</t>
  </si>
  <si>
    <t>SJ-BP1099</t>
  </si>
  <si>
    <t>SJ-BP1101</t>
  </si>
  <si>
    <t>SJ-BP1102</t>
  </si>
  <si>
    <t>SJ-BP1103</t>
  </si>
  <si>
    <t>SJ-BP1104</t>
  </si>
  <si>
    <t>SJ-BP1105</t>
  </si>
  <si>
    <t>SJ-BP1106</t>
  </si>
  <si>
    <t>SJ-B1107</t>
  </si>
  <si>
    <t>SJ-B1108</t>
  </si>
  <si>
    <t>SJ-B1109</t>
  </si>
  <si>
    <t>SJ-B1110</t>
  </si>
  <si>
    <t>SJ-B1111</t>
  </si>
  <si>
    <t>SJ-B1112</t>
  </si>
  <si>
    <t>SJ-B1113</t>
  </si>
  <si>
    <t>SJ-B1114</t>
  </si>
  <si>
    <t>SJ-B1115</t>
  </si>
  <si>
    <t>SJ-B1116</t>
  </si>
  <si>
    <t>SJ-B1117</t>
  </si>
  <si>
    <t>SJ-B1118</t>
  </si>
  <si>
    <t>SJ-B1119</t>
  </si>
  <si>
    <t>SJ-B1120</t>
  </si>
  <si>
    <t>SJ-B1121</t>
  </si>
  <si>
    <t>CER-B1122</t>
  </si>
  <si>
    <t>LL-B1123</t>
  </si>
  <si>
    <t>LL-B1124</t>
  </si>
  <si>
    <t>LL-B1125</t>
  </si>
  <si>
    <t>SJ-B1126</t>
  </si>
  <si>
    <t>SJ-B1127</t>
  </si>
  <si>
    <t>SJ-B1128</t>
  </si>
  <si>
    <t>SJ-B1129</t>
  </si>
  <si>
    <t>CER-B1130</t>
  </si>
  <si>
    <t>LL-B1131</t>
  </si>
  <si>
    <t>LL-B1132</t>
  </si>
  <si>
    <t>LL-B1133</t>
  </si>
  <si>
    <t>LL-B1134</t>
  </si>
  <si>
    <t>LL-B1135</t>
  </si>
  <si>
    <t>LL-B1136</t>
  </si>
  <si>
    <t>LL-B1137</t>
  </si>
  <si>
    <t>LL-B1138</t>
  </si>
  <si>
    <t>LL-B1139</t>
  </si>
  <si>
    <t>SJ-B1140</t>
  </si>
  <si>
    <t>LL-B1141</t>
  </si>
  <si>
    <t>LL-B1142</t>
  </si>
  <si>
    <t>LL-B1143</t>
  </si>
  <si>
    <t>LL-B1144</t>
  </si>
  <si>
    <t>LL-B1145</t>
  </si>
  <si>
    <t>LL-B1146</t>
  </si>
  <si>
    <t>LL-B1147</t>
  </si>
  <si>
    <t>LL-B1148</t>
  </si>
  <si>
    <t>SJ-B1149</t>
  </si>
  <si>
    <t>SJ-B1150</t>
  </si>
  <si>
    <t>SJ-B1151</t>
  </si>
  <si>
    <t>CER-B1152</t>
  </si>
  <si>
    <t>SA-B1153</t>
  </si>
  <si>
    <t>PA-C1154</t>
  </si>
  <si>
    <t>PA-C1155</t>
  </si>
  <si>
    <t>PA-C1156</t>
  </si>
  <si>
    <t>PA-C1157</t>
  </si>
  <si>
    <t>PA-C1158</t>
  </si>
  <si>
    <t>PA-C1159</t>
  </si>
  <si>
    <t>PA-C1160</t>
  </si>
  <si>
    <t>PA-C1161</t>
  </si>
  <si>
    <t>PA-C1162</t>
  </si>
  <si>
    <t>PA-C1163</t>
  </si>
  <si>
    <t>PA-C1164</t>
  </si>
  <si>
    <t>PA-C1165</t>
  </si>
  <si>
    <t>PA-C1166</t>
  </si>
  <si>
    <t>PA-C1167</t>
  </si>
  <si>
    <t>PA-C1168</t>
  </si>
  <si>
    <t>PA-C1169</t>
  </si>
  <si>
    <t>PA-C1170</t>
  </si>
  <si>
    <t>PA-C1171</t>
  </si>
  <si>
    <t>PA-C1172</t>
  </si>
  <si>
    <t>PA-C1173</t>
  </si>
  <si>
    <t>PA-C1174</t>
  </si>
  <si>
    <t>PA-C1175</t>
  </si>
  <si>
    <t>PA-C1176</t>
  </si>
  <si>
    <t>PA-C1177</t>
  </si>
  <si>
    <t>PA-C1178</t>
  </si>
  <si>
    <t>PA-C1179</t>
  </si>
  <si>
    <t>PA-C1180</t>
  </si>
  <si>
    <t>PA-C1181</t>
  </si>
  <si>
    <t>PA-C1182</t>
  </si>
  <si>
    <t>PA-C1183</t>
  </si>
  <si>
    <t>PA-C1184</t>
  </si>
  <si>
    <t>PA-C1185</t>
  </si>
  <si>
    <t>PA-C1187</t>
  </si>
  <si>
    <t>PA-C1188</t>
  </si>
  <si>
    <t>PA-C1189</t>
  </si>
  <si>
    <t>PA-C1190</t>
  </si>
  <si>
    <t>PA-C1191</t>
  </si>
  <si>
    <t>PA-C1192</t>
  </si>
  <si>
    <t>PA-C1193</t>
  </si>
  <si>
    <t>PA-C1194</t>
  </si>
  <si>
    <t>PA-C1195</t>
  </si>
  <si>
    <t>PA-C1196</t>
  </si>
  <si>
    <t>PA-C1197</t>
  </si>
  <si>
    <t>PA-C1198</t>
  </si>
  <si>
    <t>PA-C1199</t>
  </si>
  <si>
    <t>PA-C1200</t>
  </si>
  <si>
    <t>PA-C1201</t>
  </si>
  <si>
    <t>PA-C1202</t>
  </si>
  <si>
    <t>PA-C1203</t>
  </si>
  <si>
    <t>PA-C1204</t>
  </si>
  <si>
    <t>PA-C1205</t>
  </si>
  <si>
    <t>PA-C1206</t>
  </si>
  <si>
    <t>PA-C1207</t>
  </si>
  <si>
    <t>PA-C1208</t>
  </si>
  <si>
    <t>PA-C1209</t>
  </si>
  <si>
    <t>PA-C1210</t>
  </si>
  <si>
    <t>PA-C1211</t>
  </si>
  <si>
    <t>PA-C1212</t>
  </si>
  <si>
    <t>SA-C1213</t>
  </si>
  <si>
    <t>SA-C1214</t>
  </si>
  <si>
    <t>SA-C1215</t>
  </si>
  <si>
    <t>SA-C1216</t>
  </si>
  <si>
    <t>SA-C1217</t>
  </si>
  <si>
    <t>SA-C1218</t>
  </si>
  <si>
    <t>SA-C1219</t>
  </si>
  <si>
    <t>SA-C1220</t>
  </si>
  <si>
    <t>SA-C1221</t>
  </si>
  <si>
    <t>SA-C1222</t>
  </si>
  <si>
    <t>SA-C1223</t>
  </si>
  <si>
    <t>SA-C1224</t>
  </si>
  <si>
    <t>SA-C1225</t>
  </si>
  <si>
    <t>SA-C1226</t>
  </si>
  <si>
    <t>SA-C1227</t>
  </si>
  <si>
    <t>SA-C1228</t>
  </si>
  <si>
    <t>SA-C1229</t>
  </si>
  <si>
    <t>SA-C1230</t>
  </si>
  <si>
    <t>SA-C1231</t>
  </si>
  <si>
    <t>SA-C1232</t>
  </si>
  <si>
    <t>SA-C1233</t>
  </si>
  <si>
    <t>SA-C1234</t>
  </si>
  <si>
    <t>SA-C1235</t>
  </si>
  <si>
    <t>SA-C1236</t>
  </si>
  <si>
    <t>SA-C1237</t>
  </si>
  <si>
    <t>SA-C1238</t>
  </si>
  <si>
    <t>SA-C1239</t>
  </si>
  <si>
    <t>SA-C1240</t>
  </si>
  <si>
    <t>SA-C1241</t>
  </si>
  <si>
    <t>SA-C1242</t>
  </si>
  <si>
    <t>SA-C1243</t>
  </si>
  <si>
    <t>SA-C1244</t>
  </si>
  <si>
    <t>SA-C1245</t>
  </si>
  <si>
    <t>SA-C1246</t>
  </si>
  <si>
    <t>SA-C1247</t>
  </si>
  <si>
    <t>SA-C1248</t>
  </si>
  <si>
    <t>CER-B1251</t>
  </si>
  <si>
    <t>PA-B1252</t>
  </si>
  <si>
    <t>SA-B1253</t>
  </si>
  <si>
    <t>SA-B1254</t>
  </si>
  <si>
    <t>PA-B1255</t>
  </si>
  <si>
    <t>CER-B1256</t>
  </si>
  <si>
    <t>PA-B1257</t>
  </si>
  <si>
    <t>CER-B1258</t>
  </si>
  <si>
    <t>CER-B1259</t>
  </si>
  <si>
    <t>CER-B1260</t>
  </si>
  <si>
    <t>CER-B1261</t>
  </si>
  <si>
    <t>PA-B1262</t>
  </si>
  <si>
    <t>CER-B1263</t>
  </si>
  <si>
    <t>CER-B1264</t>
  </si>
  <si>
    <t>PA-B1265</t>
  </si>
  <si>
    <t>SA-B1266</t>
  </si>
  <si>
    <t>CER-B1267</t>
  </si>
  <si>
    <t>CER-B1268</t>
  </si>
  <si>
    <t>PA-B1269</t>
  </si>
  <si>
    <t>PA-B1270</t>
  </si>
  <si>
    <t>CER-B1271</t>
  </si>
  <si>
    <t>PA-B1272</t>
  </si>
  <si>
    <t>CER-B1273</t>
  </si>
  <si>
    <t>PA-B1274</t>
  </si>
  <si>
    <t>PA-B1275</t>
  </si>
  <si>
    <t>PA-B1276</t>
  </si>
  <si>
    <t>SA-B1277</t>
  </si>
  <si>
    <t>CER-B1278</t>
  </si>
  <si>
    <t>PA-B1279</t>
  </si>
  <si>
    <t>PA-B1280</t>
  </si>
  <si>
    <t>CER-B1281</t>
  </si>
  <si>
    <t>PA-B1282</t>
  </si>
  <si>
    <t>CER-B1283</t>
  </si>
  <si>
    <t>PA-B1284</t>
  </si>
  <si>
    <t>CER-B1285</t>
  </si>
  <si>
    <t>PA-B1286</t>
  </si>
  <si>
    <t>CER-B1287</t>
  </si>
  <si>
    <t>PA-B1288</t>
  </si>
  <si>
    <t>CER-B1289</t>
  </si>
  <si>
    <t>PA-B1290</t>
  </si>
  <si>
    <t>PA-B1291</t>
  </si>
  <si>
    <t>PA-B1292</t>
  </si>
  <si>
    <t>PA-B1293</t>
  </si>
  <si>
    <t>PA-B1294</t>
  </si>
  <si>
    <t>PA-B1295</t>
  </si>
  <si>
    <t>PA-B1296</t>
  </si>
  <si>
    <t>SA-B1297</t>
  </si>
  <si>
    <t>SA-B1298</t>
  </si>
  <si>
    <t>CER-B1299</t>
  </si>
  <si>
    <t>CER-B1300</t>
  </si>
  <si>
    <t>CER-B1301</t>
  </si>
  <si>
    <t>CER-B1302</t>
  </si>
  <si>
    <t>PA-B1303</t>
  </si>
  <si>
    <t>CER-B1304</t>
  </si>
  <si>
    <t>CER-B1305</t>
  </si>
  <si>
    <t>CER-B1306</t>
  </si>
  <si>
    <t>PA-B1307</t>
  </si>
  <si>
    <t>PA-B1308</t>
  </si>
  <si>
    <t>PA-B1309</t>
  </si>
  <si>
    <t>CER-B1310</t>
  </si>
  <si>
    <t>CER-B1311</t>
  </si>
  <si>
    <t>PA-B1312</t>
  </si>
  <si>
    <t>PA-B1313</t>
  </si>
  <si>
    <t>CER-B1314</t>
  </si>
  <si>
    <t>CER-B1315</t>
  </si>
  <si>
    <t>PA-B1316</t>
  </si>
  <si>
    <t>PA-B1317</t>
  </si>
  <si>
    <t>PA-B1318</t>
  </si>
  <si>
    <t>PA-B1319</t>
  </si>
  <si>
    <t>CER-B1320</t>
  </si>
  <si>
    <t>PA-B1321</t>
  </si>
  <si>
    <t>PA-B1322</t>
  </si>
  <si>
    <t>PA-B1323</t>
  </si>
  <si>
    <t>SA-B1324</t>
  </si>
  <si>
    <t>SA-B1325</t>
  </si>
  <si>
    <t>PA-B1326</t>
  </si>
  <si>
    <t>PA-B1327</t>
  </si>
  <si>
    <t>PA-B1328</t>
  </si>
  <si>
    <t>PA-B1329</t>
  </si>
  <si>
    <t>PA-B1330</t>
  </si>
  <si>
    <t>SA-B1331</t>
  </si>
  <si>
    <t>SA-B1332</t>
  </si>
  <si>
    <t>PA-B1333</t>
  </si>
  <si>
    <t>PA-B1334</t>
  </si>
  <si>
    <t>SA-B1335</t>
  </si>
  <si>
    <t>SA-B1336</t>
  </si>
  <si>
    <t>SA-B1337</t>
  </si>
  <si>
    <t>PA-B1338</t>
  </si>
  <si>
    <t>SA-B1339</t>
  </si>
  <si>
    <t>SA-B1340</t>
  </si>
  <si>
    <t>SA-B1341</t>
  </si>
  <si>
    <t>PA-B1342</t>
  </si>
  <si>
    <t>PA-B1343</t>
  </si>
  <si>
    <t>PA-B1344</t>
  </si>
  <si>
    <t>PA-B1345</t>
  </si>
  <si>
    <t>SA-B1346</t>
  </si>
  <si>
    <t>PA-B1347</t>
  </si>
  <si>
    <t>PA-B1348</t>
  </si>
  <si>
    <t>SA-B1349</t>
  </si>
  <si>
    <t>SA-B1350</t>
  </si>
  <si>
    <t>SA-B1351</t>
  </si>
  <si>
    <t>SA-B1352</t>
  </si>
  <si>
    <t>SA-B1353</t>
  </si>
  <si>
    <t>PA-B1354</t>
  </si>
  <si>
    <t>PA-B1355</t>
  </si>
  <si>
    <t>PA-B1356</t>
  </si>
  <si>
    <t>SA-B1357</t>
  </si>
  <si>
    <t>SA-B1358</t>
  </si>
  <si>
    <t>SA-B1359</t>
  </si>
  <si>
    <t>SA-B1360</t>
  </si>
  <si>
    <t>SA-B1361</t>
  </si>
  <si>
    <t>PA-B1362</t>
  </si>
  <si>
    <t>SA-B1363</t>
  </si>
  <si>
    <t>SA-B1364</t>
  </si>
  <si>
    <t>PA-B1365</t>
  </si>
  <si>
    <t>SA-B1366</t>
  </si>
  <si>
    <t>SA-B1367</t>
  </si>
  <si>
    <t>PA-B1368</t>
  </si>
  <si>
    <t>SA-B1369</t>
  </si>
  <si>
    <t>SA-B1370</t>
  </si>
  <si>
    <t>PA-B1371</t>
  </si>
  <si>
    <t>SA-B1372</t>
  </si>
  <si>
    <t>PA-B1373</t>
  </si>
  <si>
    <t>PA-B1374</t>
  </si>
  <si>
    <t>SA-B1375</t>
  </si>
  <si>
    <t>PA-B1376</t>
  </si>
  <si>
    <t>PA-B1377</t>
  </si>
  <si>
    <t>CER-B1378</t>
  </si>
  <si>
    <t>PA-B1379</t>
  </si>
  <si>
    <t>CER-B1380</t>
  </si>
  <si>
    <t>PA-B1381</t>
  </si>
  <si>
    <t>PA-B1382</t>
  </si>
  <si>
    <t>PA-B1383</t>
  </si>
  <si>
    <t>PA-B1384</t>
  </si>
  <si>
    <t>CER-B1385</t>
  </si>
  <si>
    <t>PA-B1386</t>
  </si>
  <si>
    <t>PA-B1387</t>
  </si>
  <si>
    <t>PA-B1388</t>
  </si>
  <si>
    <t>SA-B1389</t>
  </si>
  <si>
    <t>SA-B1390</t>
  </si>
  <si>
    <t>SA-B1391</t>
  </si>
  <si>
    <t>PA-B1392</t>
  </si>
  <si>
    <t>CER-B1393</t>
  </si>
  <si>
    <t>SA-B1394</t>
  </si>
  <si>
    <t>PA-B1395</t>
  </si>
  <si>
    <t>SA-B1396</t>
  </si>
  <si>
    <t>SA-B1397</t>
  </si>
  <si>
    <t>PA-B1398</t>
  </si>
  <si>
    <t>PA-B1399</t>
  </si>
  <si>
    <t>PA-B1400</t>
  </si>
  <si>
    <t>SA-B1401</t>
  </si>
  <si>
    <t>PA-B1402</t>
  </si>
  <si>
    <t>PA-B1403</t>
  </si>
  <si>
    <t>CER-B1404</t>
  </si>
  <si>
    <t>SA-B1405</t>
  </si>
  <si>
    <t>SA-B1406</t>
  </si>
  <si>
    <t>PA-B1407</t>
  </si>
  <si>
    <t>PA-B1408</t>
  </si>
  <si>
    <t>PA-B1409</t>
  </si>
  <si>
    <t>PA-B1410</t>
  </si>
  <si>
    <t>LL-B1411</t>
  </si>
  <si>
    <t>LL-B1412</t>
  </si>
  <si>
    <t>LL-B1413</t>
  </si>
  <si>
    <t>CER-B1414</t>
  </si>
  <si>
    <t>PA-B1415</t>
  </si>
  <si>
    <t>SA-B1416</t>
  </si>
  <si>
    <t>CER-B1417</t>
  </si>
  <si>
    <t>PA-B1418</t>
  </si>
  <si>
    <t>CER-B1419</t>
  </si>
  <si>
    <t>PA-B1420</t>
  </si>
  <si>
    <t>PA-B1421</t>
  </si>
  <si>
    <t>PA-B1422</t>
  </si>
  <si>
    <t>PA-B1423</t>
  </si>
  <si>
    <t>PA-B1424</t>
  </si>
  <si>
    <t>PA-B1425</t>
  </si>
  <si>
    <t>PA-B1426</t>
  </si>
  <si>
    <t>RC-B1427</t>
  </si>
  <si>
    <t>SR-BP1428</t>
  </si>
  <si>
    <t>RC-BP1429</t>
  </si>
  <si>
    <t>RC-BP7739</t>
  </si>
  <si>
    <t>RC-BP1431</t>
  </si>
  <si>
    <t>SR-BP1432</t>
  </si>
  <si>
    <t>SR-BP1433</t>
  </si>
  <si>
    <t>SR-BP1434</t>
  </si>
  <si>
    <t>SR-BP1435</t>
  </si>
  <si>
    <t>LL-BP1436</t>
  </si>
  <si>
    <t>RC-BP1437</t>
  </si>
  <si>
    <t>RC-BP7747</t>
  </si>
  <si>
    <t>RC-BP1439</t>
  </si>
  <si>
    <t>RC-C1440</t>
  </si>
  <si>
    <t>RC-C1441</t>
  </si>
  <si>
    <t>LB-C1442</t>
  </si>
  <si>
    <t>RC-C1443</t>
  </si>
  <si>
    <t>RC-C1444</t>
  </si>
  <si>
    <t>RC-C1445</t>
  </si>
  <si>
    <t>RC-C1446</t>
  </si>
  <si>
    <t>RC-C1447</t>
  </si>
  <si>
    <t>RC-C1448</t>
  </si>
  <si>
    <t>RC-C1449</t>
  </si>
  <si>
    <t>RC-C1450</t>
  </si>
  <si>
    <t>RC-C1451</t>
  </si>
  <si>
    <t>RC-C1452</t>
  </si>
  <si>
    <t>LB-C1453</t>
  </si>
  <si>
    <t>RC-C1454</t>
  </si>
  <si>
    <t>RC-C1455</t>
  </si>
  <si>
    <t>RC-C1456</t>
  </si>
  <si>
    <t>RC-C1457</t>
  </si>
  <si>
    <t>LB-C1458</t>
  </si>
  <si>
    <t>LB-C1459</t>
  </si>
  <si>
    <t>RC-C1460</t>
  </si>
  <si>
    <t>LB-C1461</t>
  </si>
  <si>
    <t>LB-C1462</t>
  </si>
  <si>
    <t>LB-C1463</t>
  </si>
  <si>
    <t>LB-C1464</t>
  </si>
  <si>
    <t>LB-C1465</t>
  </si>
  <si>
    <t>LB-C1466</t>
  </si>
  <si>
    <t>LB-C1467</t>
  </si>
  <si>
    <t>LB-C1468</t>
  </si>
  <si>
    <t>LB-C1469</t>
  </si>
  <si>
    <t>LB-C1470</t>
  </si>
  <si>
    <t>LB-C1471</t>
  </si>
  <si>
    <t>LB-C1472</t>
  </si>
  <si>
    <t>LB-C1473</t>
  </si>
  <si>
    <t>RC-C1474</t>
  </si>
  <si>
    <t>RC-C1475</t>
  </si>
  <si>
    <t>LB-C1476</t>
  </si>
  <si>
    <t>LB-C1477</t>
  </si>
  <si>
    <t>LB-C1478</t>
  </si>
  <si>
    <t>LB-C1479</t>
  </si>
  <si>
    <t>LB-C1480</t>
  </si>
  <si>
    <t>LB-C1481</t>
  </si>
  <si>
    <t>RC-C1482</t>
  </si>
  <si>
    <t>LB-C1483</t>
  </si>
  <si>
    <t>LB-C1484</t>
  </si>
  <si>
    <t>LB-C1485</t>
  </si>
  <si>
    <t>LB-C1486</t>
  </si>
  <si>
    <t>RC-C1487</t>
  </si>
  <si>
    <t>RC-C1488</t>
  </si>
  <si>
    <t>RC-C1489</t>
  </si>
  <si>
    <t>RC-C1490</t>
  </si>
  <si>
    <t>RC-C1491</t>
  </si>
  <si>
    <t>RC-C1492</t>
  </si>
  <si>
    <t>RC-C1493</t>
  </si>
  <si>
    <t>RC-C1494</t>
  </si>
  <si>
    <t>RC-C1495</t>
  </si>
  <si>
    <t>RC-C1496</t>
  </si>
  <si>
    <t>RC-C1497</t>
  </si>
  <si>
    <t>RC-C1498</t>
  </si>
  <si>
    <t>RC-C1499</t>
  </si>
  <si>
    <t>RC-C1500</t>
  </si>
  <si>
    <t>RC-C1501</t>
  </si>
  <si>
    <t>RC-C1502</t>
  </si>
  <si>
    <t>RC-C1503</t>
  </si>
  <si>
    <t>RC-C1504</t>
  </si>
  <si>
    <t>RC-C1505</t>
  </si>
  <si>
    <t>RC-C1506</t>
  </si>
  <si>
    <t>RC-C1507</t>
  </si>
  <si>
    <t>RC-C1508</t>
  </si>
  <si>
    <t>RC-C1509</t>
  </si>
  <si>
    <t>RC-C1510</t>
  </si>
  <si>
    <t>RC-C1511</t>
  </si>
  <si>
    <t>RC-C1512</t>
  </si>
  <si>
    <t>RC-C1513</t>
  </si>
  <si>
    <t>RC-C1514</t>
  </si>
  <si>
    <t>RC-C1515</t>
  </si>
  <si>
    <t>SR-C1516</t>
  </si>
  <si>
    <t>RC-C1517</t>
  </si>
  <si>
    <t>SR-C1518</t>
  </si>
  <si>
    <t>RC-C1519</t>
  </si>
  <si>
    <t>SR-C1520</t>
  </si>
  <si>
    <t>RC-C1521</t>
  </si>
  <si>
    <t>SR-C1522</t>
  </si>
  <si>
    <t>RC-C1523</t>
  </si>
  <si>
    <t>SR-C1524</t>
  </si>
  <si>
    <t>SR-C1525</t>
  </si>
  <si>
    <t>SR-C1526</t>
  </si>
  <si>
    <t>SR-C1527</t>
  </si>
  <si>
    <t>SR-C1528</t>
  </si>
  <si>
    <t>RC-C1529</t>
  </si>
  <si>
    <t>RC-C1530</t>
  </si>
  <si>
    <t>SR-C1531</t>
  </si>
  <si>
    <t>RC-C1532</t>
  </si>
  <si>
    <t>RC-C1533</t>
  </si>
  <si>
    <t>RC-C1534</t>
  </si>
  <si>
    <t>SR-C1535</t>
  </si>
  <si>
    <t>RC-C1536</t>
  </si>
  <si>
    <t>SR-C1537</t>
  </si>
  <si>
    <t>RC-C1538</t>
  </si>
  <si>
    <t>SR-C1539</t>
  </si>
  <si>
    <t>SR-C1540</t>
  </si>
  <si>
    <t>SR-C1541</t>
  </si>
  <si>
    <t>SR-C1542</t>
  </si>
  <si>
    <t>SR-C1543</t>
  </si>
  <si>
    <t>SR-C1544</t>
  </si>
  <si>
    <t>SR-C1545</t>
  </si>
  <si>
    <t>SR-C1546</t>
  </si>
  <si>
    <t>SR-C1547</t>
  </si>
  <si>
    <t>SR-C1548</t>
  </si>
  <si>
    <t>SR-C1549</t>
  </si>
  <si>
    <t>SR-C1550</t>
  </si>
  <si>
    <t>SR-C1551</t>
  </si>
  <si>
    <t>SR-C1552</t>
  </si>
  <si>
    <t>SR-C1553</t>
  </si>
  <si>
    <t>SR-C1554</t>
  </si>
  <si>
    <t>SR-C1555</t>
  </si>
  <si>
    <t>SR-C1556</t>
  </si>
  <si>
    <t>SR-C1557</t>
  </si>
  <si>
    <t>SR-C1558</t>
  </si>
  <si>
    <t>SR-C1559</t>
  </si>
  <si>
    <t>SR-C1560</t>
  </si>
  <si>
    <t>SR-C1561</t>
  </si>
  <si>
    <t>SR-C1562</t>
  </si>
  <si>
    <t>RC-C1563</t>
  </si>
  <si>
    <t>SR-C1564</t>
  </si>
  <si>
    <t>SR-C1565</t>
  </si>
  <si>
    <t>SR-C1566</t>
  </si>
  <si>
    <t>SR-C1567</t>
  </si>
  <si>
    <t>SR-C1568</t>
  </si>
  <si>
    <t>RC-C1569</t>
  </si>
  <si>
    <t>SR-C1570</t>
  </si>
  <si>
    <t>SR-C1571</t>
  </si>
  <si>
    <t>SR-C1572</t>
  </si>
  <si>
    <t>SR-C1573</t>
  </si>
  <si>
    <t>SR-C1574</t>
  </si>
  <si>
    <t>SR-C1575</t>
  </si>
  <si>
    <t>SR-C1576</t>
  </si>
  <si>
    <t>SR-C1577</t>
  </si>
  <si>
    <t>RC-C1578</t>
  </si>
  <si>
    <t>SR-C1579</t>
  </si>
  <si>
    <t>SR-C1580</t>
  </si>
  <si>
    <t>SR-C1581</t>
  </si>
  <si>
    <t>SR-C1582</t>
  </si>
  <si>
    <t>SR-C1583</t>
  </si>
  <si>
    <t>SR-C1584</t>
  </si>
  <si>
    <t>DC-B3033</t>
  </si>
  <si>
    <t>DC-B3047</t>
  </si>
  <si>
    <t>SR-B3065</t>
  </si>
  <si>
    <t>SR-B3025</t>
  </si>
  <si>
    <t>SR-B3041</t>
  </si>
  <si>
    <t>SR-B3042</t>
  </si>
  <si>
    <t>LB-B1591</t>
  </si>
  <si>
    <t>SR-B3015</t>
  </si>
  <si>
    <t>SR-B3044</t>
  </si>
  <si>
    <t>SR-B1594</t>
  </si>
  <si>
    <t>SR-B3051</t>
  </si>
  <si>
    <t>SR-B3026</t>
  </si>
  <si>
    <t>SR-B3027</t>
  </si>
  <si>
    <t>SR-B3052</t>
  </si>
  <si>
    <t>LB-B3009</t>
  </si>
  <si>
    <t>RC-B3006</t>
  </si>
  <si>
    <t>SR-B3048</t>
  </si>
  <si>
    <t>RC-B3066</t>
  </si>
  <si>
    <t>SR-B3060</t>
  </si>
  <si>
    <t>RC-B3057</t>
  </si>
  <si>
    <t>SR-B3053</t>
  </si>
  <si>
    <t>SR-B3054</t>
  </si>
  <si>
    <t>SR-B3016</t>
  </si>
  <si>
    <t>SR-B3017</t>
  </si>
  <si>
    <t>RC-B3022</t>
  </si>
  <si>
    <t>SR-B3023</t>
  </si>
  <si>
    <t>RC-B1611</t>
  </si>
  <si>
    <t>SR-B1612</t>
  </si>
  <si>
    <t>SR-B3019</t>
  </si>
  <si>
    <t>SR-B3011</t>
  </si>
  <si>
    <t>SR-B3045</t>
  </si>
  <si>
    <t>RC-B3007</t>
  </si>
  <si>
    <t>SR-B3055</t>
  </si>
  <si>
    <t>RC-B3008</t>
  </si>
  <si>
    <t>SR-B3056</t>
  </si>
  <si>
    <t>SR-B3035</t>
  </si>
  <si>
    <t>RC-B3061</t>
  </si>
  <si>
    <t>SR-B3012</t>
  </si>
  <si>
    <t>SR-B3067</t>
  </si>
  <si>
    <t>SR-B3028</t>
  </si>
  <si>
    <t>SR-B3024</t>
  </si>
  <si>
    <t>SR-B3036</t>
  </si>
  <si>
    <t>SR-B3050</t>
  </si>
  <si>
    <t>RC-B3068</t>
  </si>
  <si>
    <t>SR-B3058</t>
  </si>
  <si>
    <t>SR-B3037</t>
  </si>
  <si>
    <t>RC-B3072</t>
  </si>
  <si>
    <t>SR-B3038</t>
  </si>
  <si>
    <t>SR-B1633</t>
  </si>
  <si>
    <t>SR-B3073</t>
  </si>
  <si>
    <t>SR-B3046</t>
  </si>
  <si>
    <t>SR-B3062</t>
  </si>
  <si>
    <t>SR-B3049</t>
  </si>
  <si>
    <t>SR-B3030</t>
  </si>
  <si>
    <t>RC-B3003</t>
  </si>
  <si>
    <t>RC-B3074</t>
  </si>
  <si>
    <t>SR-B3013</t>
  </si>
  <si>
    <t>SR-B3020</t>
  </si>
  <si>
    <t>SR-B3063</t>
  </si>
  <si>
    <t>SR-B1644</t>
  </si>
  <si>
    <t>SR-B1645</t>
  </si>
  <si>
    <t>SR-B3014</t>
  </si>
  <si>
    <t>RC-B3040</t>
  </si>
  <si>
    <t>RC-B3071</t>
  </si>
  <si>
    <t>RC-B3004</t>
  </si>
  <si>
    <t>SR-B3069</t>
  </si>
  <si>
    <t>RC-B3031</t>
  </si>
  <si>
    <t>SR-B3032</t>
  </si>
  <si>
    <t>SR-B3021</t>
  </si>
  <si>
    <t>RC-B3099</t>
  </si>
  <si>
    <t>SR-B3070</t>
  </si>
  <si>
    <t>RC-B3005</t>
  </si>
  <si>
    <t>SR-B3094</t>
  </si>
  <si>
    <t>RC-B1658</t>
  </si>
  <si>
    <t>SR-B1659</t>
  </si>
  <si>
    <t>RC-B3085</t>
  </si>
  <si>
    <t>RC-B3091</t>
  </si>
  <si>
    <t>RC-B1662</t>
  </si>
  <si>
    <t>RC-B3104</t>
  </si>
  <si>
    <t>RC-B3076</t>
  </si>
  <si>
    <t>RC-B3105</t>
  </si>
  <si>
    <t>RC-B3077</t>
  </si>
  <si>
    <t>RC-B3082</t>
  </si>
  <si>
    <t>SR-B3095</t>
  </si>
  <si>
    <t>RC-B3102</t>
  </si>
  <si>
    <t>RC-B3064</t>
  </si>
  <si>
    <t>RC-B3079</t>
  </si>
  <si>
    <t>SR-B1672</t>
  </si>
  <si>
    <t>RC-B3075</t>
  </si>
  <si>
    <t>RC-B3080</t>
  </si>
  <si>
    <t>RC-B1675</t>
  </si>
  <si>
    <t>SR-B3092</t>
  </si>
  <si>
    <t>SR-B3106</t>
  </si>
  <si>
    <t>RC-B3078</t>
  </si>
  <si>
    <t>SR-B3083</t>
  </si>
  <si>
    <t>RC-B3089</t>
  </si>
  <si>
    <t>SR-B3096</t>
  </si>
  <si>
    <t>SR-B1682</t>
  </si>
  <si>
    <t>SR-B1683</t>
  </si>
  <si>
    <t>SR-B3097</t>
  </si>
  <si>
    <t>SR-B3103</t>
  </si>
  <si>
    <t>RC-B1686</t>
  </si>
  <si>
    <t>RC-B3088</t>
  </si>
  <si>
    <t>RC-B3093</t>
  </si>
  <si>
    <t>RC-B3100</t>
  </si>
  <si>
    <t>SR-B3107</t>
  </si>
  <si>
    <t>SR-C9925</t>
  </si>
  <si>
    <t>SR-C9929</t>
  </si>
  <si>
    <t>SR-C9930</t>
  </si>
  <si>
    <t>SR-C9951</t>
  </si>
  <si>
    <t>CER-A1695</t>
  </si>
  <si>
    <t>CER-A1696</t>
  </si>
  <si>
    <t>CER-A1697</t>
  </si>
  <si>
    <t>CER-A1698</t>
  </si>
  <si>
    <t>CER-A1699</t>
  </si>
  <si>
    <t>CER-A1700</t>
  </si>
  <si>
    <t>CER-A1701</t>
  </si>
  <si>
    <t>CER-A1702</t>
  </si>
  <si>
    <t>CER-A1703</t>
  </si>
  <si>
    <t>CER-A1704</t>
  </si>
  <si>
    <t>CER-A1705</t>
  </si>
  <si>
    <t>CER-A1706</t>
  </si>
  <si>
    <t>CER-A1707</t>
  </si>
  <si>
    <t>CER-A1708</t>
  </si>
  <si>
    <t>CER-A1709</t>
  </si>
  <si>
    <t>CER-A1710</t>
  </si>
  <si>
    <t>CER-A1711</t>
  </si>
  <si>
    <t>CER-A1712</t>
  </si>
  <si>
    <t>CER-A1713</t>
  </si>
  <si>
    <t>CER-A1714</t>
  </si>
  <si>
    <t>CER-A1715</t>
  </si>
  <si>
    <t>CER-A1716</t>
  </si>
  <si>
    <t>CER-A1717</t>
  </si>
  <si>
    <t>CER-A1718</t>
  </si>
  <si>
    <t>CER-A1719</t>
  </si>
  <si>
    <t>CER-A1720</t>
  </si>
  <si>
    <t>CER-A1721</t>
  </si>
  <si>
    <t>CER-A1722</t>
  </si>
  <si>
    <t>CER-A1723</t>
  </si>
  <si>
    <t>CER-A1724</t>
  </si>
  <si>
    <t>CER-A1725</t>
  </si>
  <si>
    <t>CER-A1726</t>
  </si>
  <si>
    <t>RC-B1727</t>
  </si>
  <si>
    <t>RC-B1728</t>
  </si>
  <si>
    <t>RC-B1729</t>
  </si>
  <si>
    <t>RC-B1730</t>
  </si>
  <si>
    <t>LB-B1731</t>
  </si>
  <si>
    <t>RC-B1732</t>
  </si>
  <si>
    <t>RC-B1733</t>
  </si>
  <si>
    <t>RC-B1734</t>
  </si>
  <si>
    <t>RC-B1735</t>
  </si>
  <si>
    <t>RC-B1736</t>
  </si>
  <si>
    <t>RC-B1737</t>
  </si>
  <si>
    <t>RC-B1738</t>
  </si>
  <si>
    <t>DC-B1739</t>
  </si>
  <si>
    <t>DC-B1740</t>
  </si>
  <si>
    <t>DC-B1741</t>
  </si>
  <si>
    <t>DC-B1742</t>
  </si>
  <si>
    <t>DC-B1743</t>
  </si>
  <si>
    <t>DC-B1744</t>
  </si>
  <si>
    <t>DC-B1745</t>
  </si>
  <si>
    <t>RC-B1746</t>
  </si>
  <si>
    <t>LB-B1747</t>
  </si>
  <si>
    <t>LB-B1748</t>
  </si>
  <si>
    <t>LB-B1749</t>
  </si>
  <si>
    <t>LB-B1750</t>
  </si>
  <si>
    <t>LB-B1751</t>
  </si>
  <si>
    <t>LB-B1752</t>
  </si>
  <si>
    <t>LB-B1753</t>
  </si>
  <si>
    <t>LB-B1754</t>
  </si>
  <si>
    <t>LB-B1755</t>
  </si>
  <si>
    <t>LB-B1756</t>
  </si>
  <si>
    <t>LB-B1757</t>
  </si>
  <si>
    <t>LB-B1758</t>
  </si>
  <si>
    <t>LB-B1759</t>
  </si>
  <si>
    <t>DC-B1760</t>
  </si>
  <si>
    <t>DC-B1761</t>
  </si>
  <si>
    <t>DC-B1762</t>
  </si>
  <si>
    <t>LB-B1763</t>
  </si>
  <si>
    <t>LB-B1764</t>
  </si>
  <si>
    <t>LB-B1765</t>
  </si>
  <si>
    <t>LB-B1766</t>
  </si>
  <si>
    <t>LB-B1767</t>
  </si>
  <si>
    <t>LB-B1768</t>
  </si>
  <si>
    <t>LB-B1769</t>
  </si>
  <si>
    <t>LB-B1770</t>
  </si>
  <si>
    <t>LB-B1771</t>
  </si>
  <si>
    <t>LB-B1772</t>
  </si>
  <si>
    <t>DC-B1773</t>
  </si>
  <si>
    <t>DC-B1774</t>
  </si>
  <si>
    <t>DC-B1775</t>
  </si>
  <si>
    <t>DC-B1776</t>
  </si>
  <si>
    <t>DC-B1777</t>
  </si>
  <si>
    <t>DC-B1778</t>
  </si>
  <si>
    <t>DC-B1779</t>
  </si>
  <si>
    <t>DC-B1780</t>
  </si>
  <si>
    <t>DC-B1781</t>
  </si>
  <si>
    <t>DC-B1782</t>
  </si>
  <si>
    <t>LB-B1783</t>
  </si>
  <si>
    <t>LB-B1784</t>
  </si>
  <si>
    <t>DC-B1785</t>
  </si>
  <si>
    <t>LB-B1786</t>
  </si>
  <si>
    <t>DC-B1787</t>
  </si>
  <si>
    <t>DC-B1788</t>
  </si>
  <si>
    <t>DC-B1789</t>
  </si>
  <si>
    <t>DC-B1790</t>
  </si>
  <si>
    <t>DC-B1791</t>
  </si>
  <si>
    <t>DC-B1792</t>
  </si>
  <si>
    <t>DC-B1793</t>
  </si>
  <si>
    <t>DC-B1794</t>
  </si>
  <si>
    <t>DC-B1795</t>
  </si>
  <si>
    <t>DC-B1796</t>
  </si>
  <si>
    <t>DC-B1797</t>
  </si>
  <si>
    <t>DC-B1798</t>
  </si>
  <si>
    <t>DC-B1799</t>
  </si>
  <si>
    <t>DC-B1800</t>
  </si>
  <si>
    <t>DC-B1801</t>
  </si>
  <si>
    <t>DC-B1802</t>
  </si>
  <si>
    <t>DC-B1803</t>
  </si>
  <si>
    <t>LB-B1804</t>
  </si>
  <si>
    <t>LB-B1805</t>
  </si>
  <si>
    <t>LB-B1806</t>
  </si>
  <si>
    <t>LB-B1807</t>
  </si>
  <si>
    <t>LB-B1808</t>
  </si>
  <si>
    <t>DC-B1809</t>
  </si>
  <si>
    <t>DC-B1810</t>
  </si>
  <si>
    <t>DC-B1811</t>
  </si>
  <si>
    <t>DC-B1812</t>
  </si>
  <si>
    <t>DC-B1813</t>
  </si>
  <si>
    <t>DC-B1814</t>
  </si>
  <si>
    <t>DC-B1815</t>
  </si>
  <si>
    <t>DC-B1816</t>
  </si>
  <si>
    <t>DC-B1817</t>
  </si>
  <si>
    <t>DC-B1818</t>
  </si>
  <si>
    <t>DC-B1819</t>
  </si>
  <si>
    <t>DC-B1820</t>
  </si>
  <si>
    <t>DC-B1821</t>
  </si>
  <si>
    <t>DC-B1822</t>
  </si>
  <si>
    <t>DC-B1823</t>
  </si>
  <si>
    <t>DC-B1824</t>
  </si>
  <si>
    <t>DC-B1825</t>
  </si>
  <si>
    <t>DC-B1826</t>
  </si>
  <si>
    <t>DC-B1827</t>
  </si>
  <si>
    <t>DC-B1828</t>
  </si>
  <si>
    <t>DC-B1829</t>
  </si>
  <si>
    <t>DC-B1830</t>
  </si>
  <si>
    <t>DC-B1831</t>
  </si>
  <si>
    <t>DC-B1832</t>
  </si>
  <si>
    <t>DC-B1833</t>
  </si>
  <si>
    <t>DC-B1834</t>
  </si>
  <si>
    <t>DC-B1835</t>
  </si>
  <si>
    <t>DC-B1836</t>
  </si>
  <si>
    <t>DC-B1837</t>
  </si>
  <si>
    <t>DC-B1838</t>
  </si>
  <si>
    <t>DC-B1839</t>
  </si>
  <si>
    <t>DC-B1840</t>
  </si>
  <si>
    <t>DC-B1841</t>
  </si>
  <si>
    <t>DC-B1842</t>
  </si>
  <si>
    <t>DC-B1843</t>
  </si>
  <si>
    <t>DC-B1844</t>
  </si>
  <si>
    <t>DC-B1845</t>
  </si>
  <si>
    <t>DC-B1846</t>
  </si>
  <si>
    <t>DC-B1847</t>
  </si>
  <si>
    <t>DC-B1848</t>
  </si>
  <si>
    <t>DC-B1849</t>
  </si>
  <si>
    <t>DC-B1850</t>
  </si>
  <si>
    <t>DC-B1851</t>
  </si>
  <si>
    <t>DC-B1852</t>
  </si>
  <si>
    <t>DC-B1853</t>
  </si>
  <si>
    <t>DC-B1854</t>
  </si>
  <si>
    <t>DC-B1855</t>
  </si>
  <si>
    <t>DC-B1856</t>
  </si>
  <si>
    <t>DC-B1857</t>
  </si>
  <si>
    <t>DC-B1858</t>
  </si>
  <si>
    <t>DC-B1859</t>
  </si>
  <si>
    <t>DC-B1860</t>
  </si>
  <si>
    <t>DC-B1861</t>
  </si>
  <si>
    <t>DC-B1862</t>
  </si>
  <si>
    <t>DC-B1863</t>
  </si>
  <si>
    <t>DC-B1864</t>
  </si>
  <si>
    <t>DC-B1865</t>
  </si>
  <si>
    <t>DC-B1866</t>
  </si>
  <si>
    <t>DC-B1867</t>
  </si>
  <si>
    <t>DC-B1868</t>
  </si>
  <si>
    <t>LA-B1869</t>
  </si>
  <si>
    <t>LA-B1870</t>
  </si>
  <si>
    <t>LA-B1871</t>
  </si>
  <si>
    <t>LA-B1872</t>
  </si>
  <si>
    <t>LA-B1873</t>
  </si>
  <si>
    <t>LA-B1874</t>
  </si>
  <si>
    <t>LA-B1875</t>
  </si>
  <si>
    <t>LA-B1876</t>
  </si>
  <si>
    <t>LA-B1877</t>
  </si>
  <si>
    <t>LA-B1878</t>
  </si>
  <si>
    <t>LA-B1879</t>
  </si>
  <si>
    <t>LA-A1880</t>
  </si>
  <si>
    <t>LA-A1881</t>
  </si>
  <si>
    <t>LA-A1882</t>
  </si>
  <si>
    <t>LA-A1883</t>
  </si>
  <si>
    <t>LA-A1884</t>
  </si>
  <si>
    <t>LA-A1885</t>
  </si>
  <si>
    <t>LA-A1886</t>
  </si>
  <si>
    <t>LA-A1887</t>
  </si>
  <si>
    <t>LA-A1888</t>
  </si>
  <si>
    <t>LA-B1889</t>
  </si>
  <si>
    <t>LA-B1890</t>
  </si>
  <si>
    <t>LA-B1891</t>
  </si>
  <si>
    <t>LA-B1892</t>
  </si>
  <si>
    <t>LA-B1893</t>
  </si>
  <si>
    <t>LA-B1894</t>
  </si>
  <si>
    <t>LA-B1895</t>
  </si>
  <si>
    <t>LA-B1896</t>
  </si>
  <si>
    <t>LA-B1897</t>
  </si>
  <si>
    <t>LA-B1898</t>
  </si>
  <si>
    <t>LA-B1899</t>
  </si>
  <si>
    <t>LA-B1900</t>
  </si>
  <si>
    <t>LA-B1901</t>
  </si>
  <si>
    <t>LA-B1902</t>
  </si>
  <si>
    <t>LA-B1903</t>
  </si>
  <si>
    <t>LA-B1904</t>
  </si>
  <si>
    <t>LA-B1905</t>
  </si>
  <si>
    <t>LA-B1906</t>
  </si>
  <si>
    <t>LA-B1907</t>
  </si>
  <si>
    <t>LA-B1908</t>
  </si>
  <si>
    <t>LA-B1909</t>
  </si>
  <si>
    <t>LA-B1910</t>
  </si>
  <si>
    <t>LA-B1911</t>
  </si>
  <si>
    <t>LA-B1912</t>
  </si>
  <si>
    <t>LA-B1913</t>
  </si>
  <si>
    <t>LA-B1914</t>
  </si>
  <si>
    <t>LA-B1915</t>
  </si>
  <si>
    <t>LA-B1916</t>
  </si>
  <si>
    <t>LA-B1917</t>
  </si>
  <si>
    <t>LA-B1918</t>
  </si>
  <si>
    <t>LA-B1919</t>
  </si>
  <si>
    <t>LA-B1920</t>
  </si>
  <si>
    <t>LA-B1921</t>
  </si>
  <si>
    <t>LA-B1922</t>
  </si>
  <si>
    <t>LA-B1923</t>
  </si>
  <si>
    <t>LA-B1924</t>
  </si>
  <si>
    <t>LA-B1925</t>
  </si>
  <si>
    <t>LA-B1926</t>
  </si>
  <si>
    <t>LA-B1927</t>
  </si>
  <si>
    <t>LA-B1928</t>
  </si>
  <si>
    <t>LA-B1929</t>
  </si>
  <si>
    <t>LA-B1930</t>
  </si>
  <si>
    <t>LA-B1931</t>
  </si>
  <si>
    <t>LA-B1932</t>
  </si>
  <si>
    <t>LA-B1933</t>
  </si>
  <si>
    <t>LA-B1934</t>
  </si>
  <si>
    <t>LA-B1935</t>
  </si>
  <si>
    <t>LA-B1936</t>
  </si>
  <si>
    <t>LA-B1937</t>
  </si>
  <si>
    <t>LA-B1938</t>
  </si>
  <si>
    <t>LA-B1939</t>
  </si>
  <si>
    <t>LA-B1940</t>
  </si>
  <si>
    <t>LA-B1941</t>
  </si>
  <si>
    <t>LA-B1942</t>
  </si>
  <si>
    <t>LA-B1943</t>
  </si>
  <si>
    <t>LA-B1944</t>
  </si>
  <si>
    <t>LA-B1945</t>
  </si>
  <si>
    <t>LA-B1946</t>
  </si>
  <si>
    <t>LA-B1947</t>
  </si>
  <si>
    <t>LA-B1948</t>
  </si>
  <si>
    <t>LA-B1949</t>
  </si>
  <si>
    <t>LA-B1950</t>
  </si>
  <si>
    <t>LA-B1951</t>
  </si>
  <si>
    <t>LA-B1952</t>
  </si>
  <si>
    <t>LA-B1953</t>
  </si>
  <si>
    <t>LA-B1954</t>
  </si>
  <si>
    <t>LA-B1955</t>
  </si>
  <si>
    <t>LA-B1956</t>
  </si>
  <si>
    <t>LA-B1957</t>
  </si>
  <si>
    <t>LA-B1958</t>
  </si>
  <si>
    <t>LA-B1959</t>
  </si>
  <si>
    <t>LA-B1960</t>
  </si>
  <si>
    <t>LA-B1961</t>
  </si>
  <si>
    <t>SJ-BP1012 / GCBB-18|</t>
  </si>
  <si>
    <t>LA-B1962</t>
  </si>
  <si>
    <t>LA-B1963</t>
  </si>
  <si>
    <t>LA-B1964</t>
  </si>
  <si>
    <t>LA-B1965</t>
  </si>
  <si>
    <t>LA-B1966</t>
  </si>
  <si>
    <t>LA-B1967</t>
  </si>
  <si>
    <t>LA-B1968</t>
  </si>
  <si>
    <t>LA-B1969</t>
  </si>
  <si>
    <t>LA-B1970</t>
  </si>
  <si>
    <t>LA-B1971</t>
  </si>
  <si>
    <t>LA-B1972</t>
  </si>
  <si>
    <t>Diccionario 7</t>
  </si>
  <si>
    <t>RC-BP1430</t>
  </si>
  <si>
    <t>RC-BP1438</t>
  </si>
  <si>
    <t>DC-B1585</t>
  </si>
  <si>
    <t>DC-B1586</t>
  </si>
  <si>
    <t>SR-B1587</t>
  </si>
  <si>
    <t>SR-B1588</t>
  </si>
  <si>
    <t>SR-B1589</t>
  </si>
  <si>
    <t>SR-B1590</t>
  </si>
  <si>
    <t>SR-B1592</t>
  </si>
  <si>
    <t>SR-B1593</t>
  </si>
  <si>
    <t>SR-B1595</t>
  </si>
  <si>
    <t>SR-B1596</t>
  </si>
  <si>
    <t>SR-B1597</t>
  </si>
  <si>
    <t>SR-B1598</t>
  </si>
  <si>
    <t>LB-B1599</t>
  </si>
  <si>
    <t>RC-B1600</t>
  </si>
  <si>
    <t>SR-B1601</t>
  </si>
  <si>
    <t>RC-B1602</t>
  </si>
  <si>
    <t>SR-B1603</t>
  </si>
  <si>
    <t>RC-B1604</t>
  </si>
  <si>
    <t>SR-B1605</t>
  </si>
  <si>
    <t>SR-B1606</t>
  </si>
  <si>
    <t>SR-B1607</t>
  </si>
  <si>
    <t>SR-B1608</t>
  </si>
  <si>
    <t>RC-B1609</t>
  </si>
  <si>
    <t>SR-B1610</t>
  </si>
  <si>
    <t>SR-B1613</t>
  </si>
  <si>
    <t>SR-B1614</t>
  </si>
  <si>
    <t>SR-B1615</t>
  </si>
  <si>
    <t>RC-B1616</t>
  </si>
  <si>
    <t>SR-B1617</t>
  </si>
  <si>
    <t>RC-B1618</t>
  </si>
  <si>
    <t>SR-B1619</t>
  </si>
  <si>
    <t>SR-B1620</t>
  </si>
  <si>
    <t>RC-B1621</t>
  </si>
  <si>
    <t>SR-B1622</t>
  </si>
  <si>
    <t>SR-B1623</t>
  </si>
  <si>
    <t>SR-B1624</t>
  </si>
  <si>
    <t>SR-B1625</t>
  </si>
  <si>
    <t>SR-B1626</t>
  </si>
  <si>
    <t>SR-B1627</t>
  </si>
  <si>
    <t>RC-B1628</t>
  </si>
  <si>
    <t>SR-B1629</t>
  </si>
  <si>
    <t>SR-B1630</t>
  </si>
  <si>
    <t>RC-B1631</t>
  </si>
  <si>
    <t>SR-B1632</t>
  </si>
  <si>
    <t>SR-B1634</t>
  </si>
  <si>
    <t>SR-B1635</t>
  </si>
  <si>
    <t>SR-B1636</t>
  </si>
  <si>
    <t>SR-B1637</t>
  </si>
  <si>
    <t>SR-B1638</t>
  </si>
  <si>
    <t>RC-B1639</t>
  </si>
  <si>
    <t>RC-B1640</t>
  </si>
  <si>
    <t>SR-B1641</t>
  </si>
  <si>
    <t>SR-B1642</t>
  </si>
  <si>
    <t>SR-B1643</t>
  </si>
  <si>
    <t>SR-B1646</t>
  </si>
  <si>
    <t>RC-B1647</t>
  </si>
  <si>
    <t>RC-B1648</t>
  </si>
  <si>
    <t>RC-B1649</t>
  </si>
  <si>
    <t>SR-B1650</t>
  </si>
  <si>
    <t>RC-B1651</t>
  </si>
  <si>
    <t>SR-B1652</t>
  </si>
  <si>
    <t>SR-B1653</t>
  </si>
  <si>
    <t>RC-B1654</t>
  </si>
  <si>
    <t>SR-B1655</t>
  </si>
  <si>
    <t>RC-B1656</t>
  </si>
  <si>
    <t>SR-B1657</t>
  </si>
  <si>
    <t>RC-B1660</t>
  </si>
  <si>
    <t>RC-B1661</t>
  </si>
  <si>
    <t>RC-B1663</t>
  </si>
  <si>
    <t>RC-B1664</t>
  </si>
  <si>
    <t>RC-B1665</t>
  </si>
  <si>
    <t>RC-B1666</t>
  </si>
  <si>
    <t>RC-B1667</t>
  </si>
  <si>
    <t>SR-B1668</t>
  </si>
  <si>
    <t>RC-B1669</t>
  </si>
  <si>
    <t>RC-B1670</t>
  </si>
  <si>
    <t>RC-B1671</t>
  </si>
  <si>
    <t>RC-B1673</t>
  </si>
  <si>
    <t>RC-B1674</t>
  </si>
  <si>
    <t>SR-B1676</t>
  </si>
  <si>
    <t>SR-B1677</t>
  </si>
  <si>
    <t>RC-B1678</t>
  </si>
  <si>
    <t>SR-B1679</t>
  </si>
  <si>
    <t>RC-B1680</t>
  </si>
  <si>
    <t>SR-B1681</t>
  </si>
  <si>
    <t>SR-B1684</t>
  </si>
  <si>
    <t>SR-B1685</t>
  </si>
  <si>
    <t>RC-B1687</t>
  </si>
  <si>
    <t>RC-B1688</t>
  </si>
  <si>
    <t>RC-B1689</t>
  </si>
  <si>
    <t>SR-B1690</t>
  </si>
  <si>
    <t>SR-C1691</t>
  </si>
  <si>
    <t>SR-C1692</t>
  </si>
  <si>
    <t>SR-C1693</t>
  </si>
  <si>
    <t>SR-C1694</t>
  </si>
  <si>
    <t>LL-B1148 / VFHL-60|</t>
  </si>
  <si>
    <t>Diccionario 8</t>
  </si>
  <si>
    <t>LL-BP1000 / FLXZ-94|</t>
  </si>
  <si>
    <t>LL-BP1002 / GCBC-16|</t>
  </si>
  <si>
    <t>LL-BP1003 / GCBC-17|</t>
  </si>
  <si>
    <t>SJ-BP1004 / GCBC-18|</t>
  </si>
  <si>
    <t>SJ-BP1005 / GCBC-19|</t>
  </si>
  <si>
    <t>SJ-BP1006 / GCBC-20|</t>
  </si>
  <si>
    <t>LL-BP1007 / GCBC-21|</t>
  </si>
  <si>
    <t>LL-BP1008 / GCBC-22|</t>
  </si>
  <si>
    <t>LL-BP1009 / GCBC-23|</t>
  </si>
  <si>
    <t>LL-BP1010 / GCBB-16|</t>
  </si>
  <si>
    <t>LL-BP1011 / GCBB-17|</t>
  </si>
  <si>
    <t>LL-BP1013 / GCBB-19|</t>
  </si>
  <si>
    <t>LL-BP1014 / GCBB-20|</t>
  </si>
  <si>
    <t>LL-BP1015 / GCBB-21|</t>
  </si>
  <si>
    <t>LL-BP1016 / GCBB-22|</t>
  </si>
  <si>
    <t>LL-BP1017 / GCBB-23|</t>
  </si>
  <si>
    <t>LL-BP1018 / GCBB-24|</t>
  </si>
  <si>
    <t>LL-BP1019 / FLXZ-96|</t>
  </si>
  <si>
    <t>LL-BP1020 / GCBB-25|</t>
  </si>
  <si>
    <t>LL-BP1021 / GCBB-26|</t>
  </si>
  <si>
    <t>LL-BP1022 / GCBB-27|</t>
  </si>
  <si>
    <t>LL-BP1023 / GCBB-28|</t>
  </si>
  <si>
    <t>LL-BP1024 / GCBB-29|</t>
  </si>
  <si>
    <t>LL-BP1025 / GCBB-30|</t>
  </si>
  <si>
    <t>LL-BP1026 / GCBB-31|</t>
  </si>
  <si>
    <t>LL-BP1027 / GCBB-32|</t>
  </si>
  <si>
    <t>SJ-BP1028 / GCBB-33|</t>
  </si>
  <si>
    <t>LL-BP1029 / GCBB-34|</t>
  </si>
  <si>
    <t>LL-BP1030 / FLXZ-97|</t>
  </si>
  <si>
    <t>LL-BP1031 / GCBB-35|</t>
  </si>
  <si>
    <t>LL-BP1032 / GCBB-36|</t>
  </si>
  <si>
    <t>LL-BP1033 / GCBB-37|</t>
  </si>
  <si>
    <t>LL-BP1034 / GCBB-38|</t>
  </si>
  <si>
    <t>LL-BP1035 / GCBB-39|</t>
  </si>
  <si>
    <t>LL-BP1036 / GCBB-40|</t>
  </si>
  <si>
    <t>LL-BP1037 / GCBB-41|</t>
  </si>
  <si>
    <t>LL-BP1038 / GCBB-42|</t>
  </si>
  <si>
    <t>LL-BP1039 / GCBB-43|</t>
  </si>
  <si>
    <t>LL-BP1040 / GCBB-44|</t>
  </si>
  <si>
    <t>LL-BP1041 / FLXZ-98|</t>
  </si>
  <si>
    <t>LL-BP1042 / GCBB-45|</t>
  </si>
  <si>
    <t>LL-BP1043 / GCBB-46|</t>
  </si>
  <si>
    <t>LL-BP1044 / GCBB-47|</t>
  </si>
  <si>
    <t>LL-BP1045 / GCBB-48|</t>
  </si>
  <si>
    <t>LL-BP1046 / GCBB-49|</t>
  </si>
  <si>
    <t>LL-BP1047 / GCBB-50|</t>
  </si>
  <si>
    <t>LL-BP1048 / GCBB-51|</t>
  </si>
  <si>
    <t>LL-BP1049 / GCBB-52|</t>
  </si>
  <si>
    <t>LL-BP1050 / GCBB-53|</t>
  </si>
  <si>
    <t>LL-BP1051 / GCBB-54|</t>
  </si>
  <si>
    <t>LL-BP1052 / FLXZ-99|</t>
  </si>
  <si>
    <t>LL-BP1053 / GCBB-55|</t>
  </si>
  <si>
    <t>LL-BP1054 / GCBB-56|</t>
  </si>
  <si>
    <t>LL-BP1055 / GCBB-57|</t>
  </si>
  <si>
    <t>LL-BP1056 / GCBB-58|</t>
  </si>
  <si>
    <t>LL-BP1057 / GCBB-59|</t>
  </si>
  <si>
    <t>LL-BP1058 / GCBB-60|</t>
  </si>
  <si>
    <t>LL-BP1059 / GCBB-61|</t>
  </si>
  <si>
    <t>LL-BP1060 / GCBB-62|</t>
  </si>
  <si>
    <t>LL-BP1061 / GCBB-63|</t>
  </si>
  <si>
    <t>LL-BP1062 / GCBB-64|</t>
  </si>
  <si>
    <t>LL-BP1063 / GCBB-10|</t>
  </si>
  <si>
    <t>LL-BP1064 / GCBB-65|</t>
  </si>
  <si>
    <t>LL-BP1065 / GCBB-66|</t>
  </si>
  <si>
    <t>LL-BP1066 / GCBB-67|</t>
  </si>
  <si>
    <t>SJ-BP1067 / GCBB-68|</t>
  </si>
  <si>
    <t>LL-BP1068 / GCBB-69|</t>
  </si>
  <si>
    <t>LL-BP1069 / GCBB-70|</t>
  </si>
  <si>
    <t>LL-BP1070 / GCBB-71|</t>
  </si>
  <si>
    <t>LL-BP1071 / GCBB-72|</t>
  </si>
  <si>
    <t>SJ-BP1072 / GCBB-73|</t>
  </si>
  <si>
    <t>LL-BP1073 / GCBB-74|</t>
  </si>
  <si>
    <t>LL-BP1074 / GCBB-11|</t>
  </si>
  <si>
    <t>LL-BP1075 / GCBB-75|</t>
  </si>
  <si>
    <t>SJ-BP1076 / GCBB-76|</t>
  </si>
  <si>
    <t>LL-BP1077 / GCBB-77|</t>
  </si>
  <si>
    <t>LL-BP1078 / GCBB-78|</t>
  </si>
  <si>
    <t>SJ-BP1079 / GCBB-79|</t>
  </si>
  <si>
    <t>SJ-BP1080 / GCBB-80|</t>
  </si>
  <si>
    <t>SJ-BP1081 / GCBB-81|</t>
  </si>
  <si>
    <t>SJ-BP1082 / GCBB-82|</t>
  </si>
  <si>
    <t>LL-BP1083 / GCBB-83|</t>
  </si>
  <si>
    <t>SJ-BP1084 / GCBB-84|</t>
  </si>
  <si>
    <t>LL-BP1085 / GCBB-12|</t>
  </si>
  <si>
    <t>LL-BP1086 / GCBB-85|</t>
  </si>
  <si>
    <t>SJ-BP1087 / GCBB-86|</t>
  </si>
  <si>
    <t>SJ-BP1088 / GCBB-87|</t>
  </si>
  <si>
    <t>SJ-BP1089 / GCBB-88|</t>
  </si>
  <si>
    <t>SJ-BP1090 / GCBB-89|</t>
  </si>
  <si>
    <t>LL-BP1091 / GCBB-91|</t>
  </si>
  <si>
    <t>SJ-BP1092 / GCBB-92|</t>
  </si>
  <si>
    <t>SJ-BP1093 / GCBB-93|</t>
  </si>
  <si>
    <t>LL-BP1094 / GCBB-94|</t>
  </si>
  <si>
    <t>SJ-BP1095 / GCBB-95|</t>
  </si>
  <si>
    <t>LL-BP1096 / GCBB-13|</t>
  </si>
  <si>
    <t>SJ-BP1097 / GCBB-96|</t>
  </si>
  <si>
    <t>SJ-BP1098 / GCBB-97|</t>
  </si>
  <si>
    <t>SJ-BP1099 / GCBB-98|</t>
  </si>
  <si>
    <t>SJ-BP1101 / GCBC-10|</t>
  </si>
  <si>
    <t>SJ-BP1102 / GCBC-11|</t>
  </si>
  <si>
    <t>SJ-BP1103 / GCBC-12|</t>
  </si>
  <si>
    <t>SJ-BP1104 / GCBC-13|</t>
  </si>
  <si>
    <t>SJ-BP1105 / GCBC-14|</t>
  </si>
  <si>
    <t>SJ-BP1106 / GCBC-15|</t>
  </si>
  <si>
    <t>SJ-B1107 / VFHJ-88|</t>
  </si>
  <si>
    <t>SJ-B1108 / VFHL-33|</t>
  </si>
  <si>
    <t>SJ-B1109 / VFHL-39|</t>
  </si>
  <si>
    <t>SJ-B1110 / VFHL-46|</t>
  </si>
  <si>
    <t>SJ-B1111 / VFHL-56|</t>
  </si>
  <si>
    <t>SJ-B1112 / VFHG-99|</t>
  </si>
  <si>
    <t>SJ-B1113 / VFHH-49|</t>
  </si>
  <si>
    <t>SJ-B1114 / VFHH-65|</t>
  </si>
  <si>
    <t>SJ-B1115 / VFHJ-21|</t>
  </si>
  <si>
    <t>SJ-B1116 / VFHJ-43|</t>
  </si>
  <si>
    <t>SJ-B1117 / VFHJ-59|</t>
  </si>
  <si>
    <t>SJ-B1118 / VFHJ-92|</t>
  </si>
  <si>
    <t>SJ-B1119 / VFHJ-69|</t>
  </si>
  <si>
    <t>SJ-B1120 / VFHJ-77|</t>
  </si>
  <si>
    <t>SJ-B1121 / VFHL-62|</t>
  </si>
  <si>
    <t>CER-B1122 / VFHL-66|</t>
  </si>
  <si>
    <t>LL-B1123 / VFHL-81|</t>
  </si>
  <si>
    <t>LL-B1124 / VFHS-85|</t>
  </si>
  <si>
    <t>LL-B1125 / VFHS-95|</t>
  </si>
  <si>
    <t>SJ-B1126 / VFHS-98|</t>
  </si>
  <si>
    <t>SJ-B1127 / VFHT-45|</t>
  </si>
  <si>
    <t>SJ-B1128 / VFHT-55|</t>
  </si>
  <si>
    <t>SJ-B1129 / VFHK-16|</t>
  </si>
  <si>
    <t>CER-B1130 / VFHT-73|</t>
  </si>
  <si>
    <t>LL-B1131 / VFHT-80|</t>
  </si>
  <si>
    <t>LL-B1132 / VFHT-81|</t>
  </si>
  <si>
    <t>LL-B1133 / VFHV-57|</t>
  </si>
  <si>
    <t>LL-B1134 / VFHV-67|</t>
  </si>
  <si>
    <t>LL-B1135 / VFHV-82|</t>
  </si>
  <si>
    <t>LL-B1136 / VFHV-87|</t>
  </si>
  <si>
    <t>LL-B1137 / VFHW-46|</t>
  </si>
  <si>
    <t>LL-B1138 / VFHW-51|</t>
  </si>
  <si>
    <t>LL-B1139 / VFHW-63|</t>
  </si>
  <si>
    <t>SJ-B1140 / VFHK-27|</t>
  </si>
  <si>
    <t>LL-B1141 / VFPB-70|</t>
  </si>
  <si>
    <t>LL-B1142 / VFPC-10|</t>
  </si>
  <si>
    <t>LL-B1143 / VFPC-31|</t>
  </si>
  <si>
    <t>LL-B1144 / VFPC-80|</t>
  </si>
  <si>
    <t>LL-B1145 / VFPC-51|</t>
  </si>
  <si>
    <t>LL-B1146 / VFPD-84|</t>
  </si>
  <si>
    <t>LL-B1147 / VFPD-94|</t>
  </si>
  <si>
    <t>SJ-B1149 / VFHK-31|</t>
  </si>
  <si>
    <t>SJ-B1150 / VFHK-58|</t>
  </si>
  <si>
    <t>SJ-B1151 / VFHK-69|</t>
  </si>
  <si>
    <t>CER-B1152 / VFHK-89|</t>
  </si>
  <si>
    <t>SA-B1153 / VFHK-96|</t>
  </si>
  <si>
    <t>PA-C1154 / LZRB-89|</t>
  </si>
  <si>
    <t>PA-C1155 / LZRB-90|</t>
  </si>
  <si>
    <t>PA-C1156 / LZRB-91|</t>
  </si>
  <si>
    <t>PA-C1157 / LZRB-92|</t>
  </si>
  <si>
    <t>PA-C1158 / LZRB-93|</t>
  </si>
  <si>
    <t>PA-C1159 / LZRB-94|</t>
  </si>
  <si>
    <t>PA-C1160 / LZRB-95|</t>
  </si>
  <si>
    <t>PA-C1161 / LZRB-96|</t>
  </si>
  <si>
    <t>PA-C1162 / LZRD-61|</t>
  </si>
  <si>
    <t>PA-C1163 / LZRD-62|</t>
  </si>
  <si>
    <t>PA-C1164 / LZRD-63|</t>
  </si>
  <si>
    <t>PA-C1165 / LZRD-64|</t>
  </si>
  <si>
    <t>PA-C1166 / LZRD-65|</t>
  </si>
  <si>
    <t>PA-C1167 / LZRD-66|</t>
  </si>
  <si>
    <t>PA-C1168 / LZRD-68|</t>
  </si>
  <si>
    <t>PA-C1169 / LZRD-69|</t>
  </si>
  <si>
    <t>PA-C1170 / LZRD-70|</t>
  </si>
  <si>
    <t>PA-C1171 / LZRD-71|</t>
  </si>
  <si>
    <t>PA-C1172 / LZRD-72|</t>
  </si>
  <si>
    <t>PA-C1173 / LZRD-73|</t>
  </si>
  <si>
    <t>PA-C1174 / LZRD-74|</t>
  </si>
  <si>
    <t>PA-C1175 / LZRD-77|</t>
  </si>
  <si>
    <t>PA-C1176 / LZRD-79|</t>
  </si>
  <si>
    <t>PA-C1177 / LZRD-80|</t>
  </si>
  <si>
    <t>PA-C1178 / LZRD-81|</t>
  </si>
  <si>
    <t>PA-C1179 / LZRD-82|</t>
  </si>
  <si>
    <t>PA-C1180 / LZRD-84|</t>
  </si>
  <si>
    <t>PA-C1181 / LZRD-85|</t>
  </si>
  <si>
    <t>PA-C1182 / LZRD-86|</t>
  </si>
  <si>
    <t>PA-C1183 / LZRD-87|</t>
  </si>
  <si>
    <t>PA-C1184 / LZRD-89|</t>
  </si>
  <si>
    <t>PA-C1185 / LZRD-90|</t>
  </si>
  <si>
    <t>PA-C1187 / LZRD-94|</t>
  </si>
  <si>
    <t>PA-C1188 / LZRD-95|</t>
  </si>
  <si>
    <t>PA-C1189 / LZRD-96|</t>
  </si>
  <si>
    <t>PA-C1190 / LZRD-97|</t>
  </si>
  <si>
    <t>PA-C1191 / LZRD-98|</t>
  </si>
  <si>
    <t>PA-C1192 / LZRD-99|</t>
  </si>
  <si>
    <t>PA-C1193 / LZRF-10|</t>
  </si>
  <si>
    <t>PA-C1194 / LZRF-11|</t>
  </si>
  <si>
    <t>PA-C1195 / LZRF-12|</t>
  </si>
  <si>
    <t>PA-C1196 / LZRF-13|</t>
  </si>
  <si>
    <t>PA-C1197 / LZRF-14|</t>
  </si>
  <si>
    <t>PA-C1198 / LZRF-15|</t>
  </si>
  <si>
    <t>PA-C1199 / RJXT-26|</t>
  </si>
  <si>
    <t>PA-C1200 / RWTP-78|</t>
  </si>
  <si>
    <t>PA-C1201 / RWTP-83|</t>
  </si>
  <si>
    <t>PA-C1202 / RWTP-85|</t>
  </si>
  <si>
    <t>PA-C1203 / RWTP-86|</t>
  </si>
  <si>
    <t>PA-C1204 / RWTP-90|</t>
  </si>
  <si>
    <t>PA-C1205 / RWTP-94|</t>
  </si>
  <si>
    <t>PA-C1206 / RWTP-95|</t>
  </si>
  <si>
    <t>PA-C1207 / RWTP-96|</t>
  </si>
  <si>
    <t>PA-C1208 / RWTP-97|</t>
  </si>
  <si>
    <t>PA-C1209 / RWTP-98|</t>
  </si>
  <si>
    <t>PA-C1210 / RWTP-99|</t>
  </si>
  <si>
    <t>PA-C1211 / RYJG-90|</t>
  </si>
  <si>
    <t>PA-C1212 / RYJG-91|</t>
  </si>
  <si>
    <t>SA-C1213 / RYJG-92|</t>
  </si>
  <si>
    <t>SA-C1214 / RYJG-93|</t>
  </si>
  <si>
    <t>SA-C1215 / RYJG-94|</t>
  </si>
  <si>
    <t>SA-C1216 / RYJG-95|</t>
  </si>
  <si>
    <t>SA-C1217 / SXKV-87|</t>
  </si>
  <si>
    <t>SA-C1218 / SXKV-88|</t>
  </si>
  <si>
    <t>SA-C1219 / SXKV-91|</t>
  </si>
  <si>
    <t>SA-C1220 / SXKV-92|</t>
  </si>
  <si>
    <t>SA-C1221 / SXKV-93|</t>
  </si>
  <si>
    <t>SA-C1222 / SXKV-94|</t>
  </si>
  <si>
    <t>SA-C1223 / SXKV-95|</t>
  </si>
  <si>
    <t>SA-C1224 / SXKV-96|</t>
  </si>
  <si>
    <t>SA-C1225 / GCBF-42|</t>
  </si>
  <si>
    <t>SA-C1226 / LZRD-67|</t>
  </si>
  <si>
    <t>SA-C1227 / LZRD-75|</t>
  </si>
  <si>
    <t>SA-C1228 / LZRD-76|</t>
  </si>
  <si>
    <t>SA-C1229 / LZRD-78|</t>
  </si>
  <si>
    <t>SA-C1230 / LZRD-83|</t>
  </si>
  <si>
    <t>SA-C1231 / LZRD-88|</t>
  </si>
  <si>
    <t>SA-C1232 / LZRD-91|</t>
  </si>
  <si>
    <t>SA-C1233 / LZRD-92|</t>
  </si>
  <si>
    <t>SA-C1234 / RWTP-79|</t>
  </si>
  <si>
    <t>SA-C1235 / RWTP-80|</t>
  </si>
  <si>
    <t>SA-C1236 / RWTP-81|</t>
  </si>
  <si>
    <t>SA-C1237 / RWTP-82|</t>
  </si>
  <si>
    <t>SA-C1238 / RWTP-84|</t>
  </si>
  <si>
    <t>SA-C1239 / RWTP-87|</t>
  </si>
  <si>
    <t>SA-C1240 / RWTP-88|</t>
  </si>
  <si>
    <t>SA-C1241 / RWTP-89|</t>
  </si>
  <si>
    <t>SA-C1242 / RWTP-91|</t>
  </si>
  <si>
    <t>SA-C1243 / RWTP-92|</t>
  </si>
  <si>
    <t>SA-C1244 / RWTP-93|</t>
  </si>
  <si>
    <t>SA-C1245 / RWTR-10|</t>
  </si>
  <si>
    <t>SA-C1246 / RWTR-11|</t>
  </si>
  <si>
    <t>SA-C1247 / SXKV-89|</t>
  </si>
  <si>
    <t>SA-C1248 / SXKV-90|</t>
  </si>
  <si>
    <t>CER-B1251 / VFPB-75|</t>
  </si>
  <si>
    <t>PA-B1252 / VFPB-85|</t>
  </si>
  <si>
    <t>SA-B1253 / VFPC-59|</t>
  </si>
  <si>
    <t>SA-B1254 / VFPC-66|</t>
  </si>
  <si>
    <t>PA-B1255 / VFPC-69|</t>
  </si>
  <si>
    <t>CER-B1256 / VFPD-10|</t>
  </si>
  <si>
    <t>PA-B1257 / VFPD-41|</t>
  </si>
  <si>
    <t>CER-B1258 / VFPD-51|</t>
  </si>
  <si>
    <t>CER-B1259 / VFPD-61|</t>
  </si>
  <si>
    <t>CER-B1260 / VFPD-71|</t>
  </si>
  <si>
    <t>CER-B1261 / VFPD-81|</t>
  </si>
  <si>
    <t>PA-B1262 / VFPF-21|</t>
  </si>
  <si>
    <t>CER-B1263 / VFPF-31|</t>
  </si>
  <si>
    <t>CER-B1264 / VFPF-51|</t>
  </si>
  <si>
    <t>PA-B1265 / VFPF-54|</t>
  </si>
  <si>
    <t>SA-B1266 / VFPF-61|</t>
  </si>
  <si>
    <t>CER-B1267 / VFPG-48|</t>
  </si>
  <si>
    <t>CER-B1268 / VFPG-58|</t>
  </si>
  <si>
    <t>PA-B1269 / VFPG-91|</t>
  </si>
  <si>
    <t>PA-B1270 / VFPH-21|</t>
  </si>
  <si>
    <t>CER-B1271 / VFPH-35|</t>
  </si>
  <si>
    <t>PA-B1272 / VFPH-51|</t>
  </si>
  <si>
    <t>CER-B1273 / VFPH-66|</t>
  </si>
  <si>
    <t>PA-B1274 / VFPH-79|</t>
  </si>
  <si>
    <t>PA-B1275 / VFPH-81|</t>
  </si>
  <si>
    <t>PA-B1276 / VFPH-91|</t>
  </si>
  <si>
    <t>SA-B1277 / VFPH-98|</t>
  </si>
  <si>
    <t>CER-B1278 / VFPJ-11|</t>
  </si>
  <si>
    <t>PA-B1279 / VFPJ-25|</t>
  </si>
  <si>
    <t>PA-B1280 / VFPJ-28|</t>
  </si>
  <si>
    <t>CER-B1281 / VFPJ-31|</t>
  </si>
  <si>
    <t>PA-B1282 / VFPJ-51|</t>
  </si>
  <si>
    <t>CER-B1283 / VFPJ-53|</t>
  </si>
  <si>
    <t>PA-B1284 / VFPJ-61|</t>
  </si>
  <si>
    <t>CER-B1285 / VFPJ-66|</t>
  </si>
  <si>
    <t>PA-B1286 / VFPJ-68|</t>
  </si>
  <si>
    <t>CER-B1287 / VFPJ-71|</t>
  </si>
  <si>
    <t>PA-B1288 / VFPJ-77|</t>
  </si>
  <si>
    <t>CER-B1289 / VFPK-64|</t>
  </si>
  <si>
    <t>PA-B1290 / VFPK-81|</t>
  </si>
  <si>
    <t>PA-B1291 / VFPK-91|</t>
  </si>
  <si>
    <t>PA-B1292 / VFPL-11|</t>
  </si>
  <si>
    <t>PA-B1293 / VFPL-15|</t>
  </si>
  <si>
    <t>PA-B1294 / VFPL-21|</t>
  </si>
  <si>
    <t>PA-B1295 / VFPL-31|</t>
  </si>
  <si>
    <t>PA-B1296 / VFPL-35|</t>
  </si>
  <si>
    <t>SA-B1297 / VFPL-41|</t>
  </si>
  <si>
    <t>SA-B1298 / VFPL-46|</t>
  </si>
  <si>
    <t>CER-B1299 / VFPL-57|</t>
  </si>
  <si>
    <t>CER-B1300 / VFPL-61|</t>
  </si>
  <si>
    <t>CER-B1301 / VFPL-63|</t>
  </si>
  <si>
    <t>CER-B1302 / VFPL-71|</t>
  </si>
  <si>
    <t>PA-B1303 / VFPL-73|</t>
  </si>
  <si>
    <t>CER-B1304 / VFPL-74|</t>
  </si>
  <si>
    <t>CER-B1305 / VFPL-81|</t>
  </si>
  <si>
    <t>CER-B1306 / VFPL-87|</t>
  </si>
  <si>
    <t>PA-B1307 / VFPL-88|</t>
  </si>
  <si>
    <t>PA-B1308 / VFPL-92|</t>
  </si>
  <si>
    <t>PA-B1309 / VFPP-11|</t>
  </si>
  <si>
    <t>CER-B1310 / VFPS-39|</t>
  </si>
  <si>
    <t>CER-B1311 / VFPS-47|</t>
  </si>
  <si>
    <t>PA-B1312 / VFPS-48|</t>
  </si>
  <si>
    <t>PA-B1313 / VFPS-56|</t>
  </si>
  <si>
    <t>CER-B1314 / VFPS-65|</t>
  </si>
  <si>
    <t>CER-B1315 / VFPS-69|</t>
  </si>
  <si>
    <t>PA-B1316 / VFPS-74|</t>
  </si>
  <si>
    <t>PA-B1317 / VFPS-78|</t>
  </si>
  <si>
    <t>PA-B1318 / VFPS-85|</t>
  </si>
  <si>
    <t>PA-B1319 / VFPS-86|</t>
  </si>
  <si>
    <t>CER-B1320 / VFPS-87|</t>
  </si>
  <si>
    <t>PA-B1321 / VFPS-89|</t>
  </si>
  <si>
    <t>PA-B1322 / VFPS-94|</t>
  </si>
  <si>
    <t>PA-B1323 / VFPS-99|</t>
  </si>
  <si>
    <t>SA-B1324 / VFPT-23|</t>
  </si>
  <si>
    <t>SA-B1325 / VFPT-27|</t>
  </si>
  <si>
    <t>PA-B1326 / VFPT-47|</t>
  </si>
  <si>
    <t>PA-B1327 / VFPT-63|</t>
  </si>
  <si>
    <t>PA-B1328 / VFPT-64|</t>
  </si>
  <si>
    <t>PA-B1329 / VFPT-65|</t>
  </si>
  <si>
    <t>PA-B1330 / VFPV-53|</t>
  </si>
  <si>
    <t>SA-B1331 / VFPV-63|</t>
  </si>
  <si>
    <t>SA-B1332 / VFPV-73|</t>
  </si>
  <si>
    <t>PA-B1333 / VFPV-83|</t>
  </si>
  <si>
    <t>PA-B1334 / VFPV-93|</t>
  </si>
  <si>
    <t>SA-B1335 / VFPW-13|</t>
  </si>
  <si>
    <t>SA-B1336 / VFPW-23|</t>
  </si>
  <si>
    <t>SA-B1337 / VFPW-33|</t>
  </si>
  <si>
    <t>PA-B1338 / VFPW-63|</t>
  </si>
  <si>
    <t>SA-B1339 / VFPW-73|</t>
  </si>
  <si>
    <t>SA-B1340 / VFPX-13|</t>
  </si>
  <si>
    <t>SA-B1341 / VFPX-33|</t>
  </si>
  <si>
    <t>PA-B1342 / VFPX-53|</t>
  </si>
  <si>
    <t>PA-B1343 / VFPX-63|</t>
  </si>
  <si>
    <t>PA-B1344 / VFPX-83|</t>
  </si>
  <si>
    <t>PA-B1345 / VFPX-93|</t>
  </si>
  <si>
    <t>SA-B1346 / VFPY-13|</t>
  </si>
  <si>
    <t>PA-B1347 / VFPY-23|</t>
  </si>
  <si>
    <t>PA-B1348 / VFPY-33|</t>
  </si>
  <si>
    <t>SA-B1349 / VFPY-43|</t>
  </si>
  <si>
    <t>SA-B1350 / VFPZ-27|</t>
  </si>
  <si>
    <t>SA-B1351 / VFPZ-38|</t>
  </si>
  <si>
    <t>SA-B1352 / VFPZ-39|</t>
  </si>
  <si>
    <t>SA-B1353 / VFPZ-55|</t>
  </si>
  <si>
    <t>PA-B1354 / VFPZ-56|</t>
  </si>
  <si>
    <t>PA-B1355 / VFPZ-74|</t>
  </si>
  <si>
    <t>PA-B1356 / VFPZ-78|</t>
  </si>
  <si>
    <t>SA-B1357 / VFPZ-88|</t>
  </si>
  <si>
    <t>SA-B1358 / VFPZ-89|</t>
  </si>
  <si>
    <t>SA-B1359 / VFPZ-92|</t>
  </si>
  <si>
    <t>SA-B1360 / VFPZ-97|</t>
  </si>
  <si>
    <t>SA-B1361 / VFPZ-98|</t>
  </si>
  <si>
    <t>PA-B1362 / VFRB-13|</t>
  </si>
  <si>
    <t>SA-B1363 / VFRB-15|</t>
  </si>
  <si>
    <t>SA-B1364 / VFRB-54|</t>
  </si>
  <si>
    <t>PA-B1365 / VFRB-56|</t>
  </si>
  <si>
    <t>SA-B1366 / VFRB-63|</t>
  </si>
  <si>
    <t>SA-B1367 / VFRB-67|</t>
  </si>
  <si>
    <t>PA-B1368 / VFRB-68|</t>
  </si>
  <si>
    <t>SA-B1369 / VFRB-81|</t>
  </si>
  <si>
    <t>SA-B1370 / VFRC-75|</t>
  </si>
  <si>
    <t>PA-B1371 / VFRD-35|</t>
  </si>
  <si>
    <t>SA-B1372 / VFRD-45|</t>
  </si>
  <si>
    <t>PA-B1373 / VFRD-55|</t>
  </si>
  <si>
    <t>PA-B1374 / VFRD-65|</t>
  </si>
  <si>
    <t>SA-B1375 / VFRD-75|</t>
  </si>
  <si>
    <t>PA-B1376 / VFRD-85|</t>
  </si>
  <si>
    <t>PA-B1377 / VFRD-95|</t>
  </si>
  <si>
    <t>CER-B1378 / VFRF-15|</t>
  </si>
  <si>
    <t>PA-B1379 / VFRF-35|</t>
  </si>
  <si>
    <t>CER-B1380 / VFRF-55|</t>
  </si>
  <si>
    <t>PA-B1381 / VFRF-65|</t>
  </si>
  <si>
    <t>PA-B1382 / VFRF-75|</t>
  </si>
  <si>
    <t>PA-B1383 / VFRF-85|</t>
  </si>
  <si>
    <t>PA-B1384 / VFRF-95|</t>
  </si>
  <si>
    <t>CER-B1385 / VFRG-15|</t>
  </si>
  <si>
    <t>PA-B1386 / VFRG-25|</t>
  </si>
  <si>
    <t>PA-B1387 / VFRG-35|</t>
  </si>
  <si>
    <t>PA-B1388 / VFRG-45|</t>
  </si>
  <si>
    <t>SA-B1389 / VGBS-15|</t>
  </si>
  <si>
    <t>SA-B1390 / VGBV-29|</t>
  </si>
  <si>
    <t>SA-B1391 / VGBV-35|</t>
  </si>
  <si>
    <t>PA-B1392 / VGBV-36|</t>
  </si>
  <si>
    <t>CER-B1393 / VGBV-41|</t>
  </si>
  <si>
    <t>SA-B1394 / VGBV-51|</t>
  </si>
  <si>
    <t>PA-B1395 / VGBV-55|</t>
  </si>
  <si>
    <t>SA-B1396 / VGBV-69|</t>
  </si>
  <si>
    <t>SA-B1397 / VGBV-79|</t>
  </si>
  <si>
    <t>PA-B1398 / VGBV-99|</t>
  </si>
  <si>
    <t>PA-B1399 / VGBW-19|</t>
  </si>
  <si>
    <t>PA-B1400 / VGBW-29|</t>
  </si>
  <si>
    <t>SA-B1401 / VGBW-39|</t>
  </si>
  <si>
    <t>PA-B1402 / VGBW-48|</t>
  </si>
  <si>
    <t>PA-B1403 / VGBW-58|</t>
  </si>
  <si>
    <t>CER-B1404 / VGBW-68|</t>
  </si>
  <si>
    <t>SA-B1405 / VGBW-98|</t>
  </si>
  <si>
    <t>SA-B1406 / VGBW-99|</t>
  </si>
  <si>
    <t>PA-B1407 / VGBX-29|</t>
  </si>
  <si>
    <t>PA-B1408 / VGBX-48|</t>
  </si>
  <si>
    <t>PA-B1409 / VGBX-49|</t>
  </si>
  <si>
    <t>PA-B1410 / VGBX-58|</t>
  </si>
  <si>
    <t>LL-B1411 / VGBX-59|</t>
  </si>
  <si>
    <t>LL-B1412 / VGBX-78|</t>
  </si>
  <si>
    <t>LL-B1413 / VGCB-39|</t>
  </si>
  <si>
    <t>CER-B1414 / VGCB-59|</t>
  </si>
  <si>
    <t>PA-B1415 / VGKX-42|</t>
  </si>
  <si>
    <t>SA-B1416 / VGKX-52|</t>
  </si>
  <si>
    <t>CER-B1417 / VGKX-62|</t>
  </si>
  <si>
    <t>PA-B1418 / VGKX-82|</t>
  </si>
  <si>
    <t>CER-B1419 / VGKY-12|</t>
  </si>
  <si>
    <t>PA-B1420 / VGKY-22|</t>
  </si>
  <si>
    <t>PA-B1421 / VGKY-42|</t>
  </si>
  <si>
    <t>PA-B1422 / VGKY-72|</t>
  </si>
  <si>
    <t>PA-B1423 / VGKY-82|</t>
  </si>
  <si>
    <t>PA-B1424 / VGKZ-62|</t>
  </si>
  <si>
    <t>PA-B1425 / VGKZ-82|</t>
  </si>
  <si>
    <t>PA-B1426 / VGKZ-92|</t>
  </si>
  <si>
    <t>RC-B1427 / FLXZ-95|</t>
  </si>
  <si>
    <t>SR-BP1428 / GCBC-24|</t>
  </si>
  <si>
    <t>RC-BP1429 / GCBC-25|</t>
  </si>
  <si>
    <t>RC-BP7739 / GCBC-26|</t>
  </si>
  <si>
    <t>RC-BP1431 / GCBC-27|</t>
  </si>
  <si>
    <t>SR-BP1432 / GCBC-28|</t>
  </si>
  <si>
    <t>SR-BP1433 / GCBC-29|</t>
  </si>
  <si>
    <t>SR-BP1434 / GCBC-30|</t>
  </si>
  <si>
    <t>SR-BP1435 / GCBC-31|</t>
  </si>
  <si>
    <t>LL-BP1436 / GCBc-33|</t>
  </si>
  <si>
    <t>RC-BP1437 / GCBC-33|</t>
  </si>
  <si>
    <t>RC-BP7747 / GCBC-34|</t>
  </si>
  <si>
    <t>RC-BP1439 / GCBC-35|</t>
  </si>
  <si>
    <t>RC-C1440 / GCBF-43|</t>
  </si>
  <si>
    <t>RC-C1441 / GCBF-44|</t>
  </si>
  <si>
    <t>LB-C1442 / GCBF-45|</t>
  </si>
  <si>
    <t>RC-C1443 / GCBF-46|</t>
  </si>
  <si>
    <t>RC-C1444 / GCBF-47|</t>
  </si>
  <si>
    <t>RC-C1445 / GCBF-48|</t>
  </si>
  <si>
    <t>RC-C1446 / GCBF-49|</t>
  </si>
  <si>
    <t>RC-C1447 / GCBF-50|</t>
  </si>
  <si>
    <t>RC-C1448 / GCBF-51|</t>
  </si>
  <si>
    <t>RC-C1449 / GCBF-52|</t>
  </si>
  <si>
    <t>RC-C1450 / GCBF-53|</t>
  </si>
  <si>
    <t>RC-C1451 / LXWT-82|</t>
  </si>
  <si>
    <t>RC-C1452 / LXWT-83|</t>
  </si>
  <si>
    <t>LB-C1453 / LXWT-84|</t>
  </si>
  <si>
    <t>RC-C1454 / LXWT-85|</t>
  </si>
  <si>
    <t>RC-C1455 / LXWT-86|</t>
  </si>
  <si>
    <t>RC-C1456 / LXWT-87|</t>
  </si>
  <si>
    <t>RC-C1457 / LXWT-88|</t>
  </si>
  <si>
    <t>LB-C1458 / LXWT-89|</t>
  </si>
  <si>
    <t>LB-C1459 / LXWT-90|</t>
  </si>
  <si>
    <t>RC-C1460 / LXWT-91|</t>
  </si>
  <si>
    <t>LB-C1461 / LXWT-92|</t>
  </si>
  <si>
    <t>LB-C1462 / LXWT-93|</t>
  </si>
  <si>
    <t>LB-C1463 / LXWT-94|</t>
  </si>
  <si>
    <t>LB-C1464 / LXWT-95|</t>
  </si>
  <si>
    <t>LB-C1465 / LXWT-96|</t>
  </si>
  <si>
    <t>LB-C1466 / LXWT-97|</t>
  </si>
  <si>
    <t>LB-C1467 / LXWT-98|</t>
  </si>
  <si>
    <t>LB-C1468 / LXWT-99|</t>
  </si>
  <si>
    <t>LB-C1469 / LZPG-10|</t>
  </si>
  <si>
    <t>LB-C1470 / LZPG-11|</t>
  </si>
  <si>
    <t>LB-C1471 / LZPG-12|</t>
  </si>
  <si>
    <t>LB-C1472 / LZPG-13|</t>
  </si>
  <si>
    <t>LB-C1473 / LZPG-14|</t>
  </si>
  <si>
    <t>RC-C1474 / LZPG-15|</t>
  </si>
  <si>
    <t>RC-C1475 / LZPG-16|</t>
  </si>
  <si>
    <t>LB-C1476 / LZPG-17|</t>
  </si>
  <si>
    <t>LB-C1477 / LZPG-18|</t>
  </si>
  <si>
    <t>LB-C1478 / LZPG-19|</t>
  </si>
  <si>
    <t>LB-C1479 / LZPG-20|</t>
  </si>
  <si>
    <t>LB-C1480 / LZPG-21|</t>
  </si>
  <si>
    <t>LB-C1481 / LZPG-22|</t>
  </si>
  <si>
    <t>RC-C1482 / LZPG-23|</t>
  </si>
  <si>
    <t>LB-C1483 / LZPG-24|</t>
  </si>
  <si>
    <t>LB-C1484 / LZPG-25|</t>
  </si>
  <si>
    <t>LB-C1485 / LZPG-26|</t>
  </si>
  <si>
    <t>LB-C1486 / LZPG-27|</t>
  </si>
  <si>
    <t>RC-C1487 / LZPR-78|</t>
  </si>
  <si>
    <t>RC-C1488 / LZPR-79|</t>
  </si>
  <si>
    <t>RC-C1489 / LZPR-80|</t>
  </si>
  <si>
    <t>RC-C1490 / LZPR-81|</t>
  </si>
  <si>
    <t>RC-C1491 / LZPR-82|</t>
  </si>
  <si>
    <t>RC-C1492 / LZPR-83|</t>
  </si>
  <si>
    <t>RC-C1493 / LZPR-84|</t>
  </si>
  <si>
    <t>RC-C1494 / LZPR-85|</t>
  </si>
  <si>
    <t>RC-C1495 / LZPR-86|</t>
  </si>
  <si>
    <t>RC-C1496 / LZPR-87|</t>
  </si>
  <si>
    <t>RC-C1497 / LZPR-88|</t>
  </si>
  <si>
    <t>RC-C1498 / LZPR-89|</t>
  </si>
  <si>
    <t>RC-C1499 / LZPR-90|</t>
  </si>
  <si>
    <t>RC-C1500 / LZPR-92|</t>
  </si>
  <si>
    <t>RC-C1501 / LZPR-93|</t>
  </si>
  <si>
    <t>RC-C1502 / LZPR-94|</t>
  </si>
  <si>
    <t>RC-C1503 / LZPR-95|</t>
  </si>
  <si>
    <t>RC-C1504 / LZPR-96|</t>
  </si>
  <si>
    <t>RC-C1505 / LZPR-97|</t>
  </si>
  <si>
    <t>RC-C1506 / LZPR-98|</t>
  </si>
  <si>
    <t>RC-C1507 / LZPR-99|</t>
  </si>
  <si>
    <t>RC-C1508 / LZPS-10|</t>
  </si>
  <si>
    <t>RC-C1509 / LZPS-11|</t>
  </si>
  <si>
    <t>RC-C1510 / LZPS-12|</t>
  </si>
  <si>
    <t>RC-C1511 / LZPS-13|</t>
  </si>
  <si>
    <t>RC-C1512 / LZPS-14|</t>
  </si>
  <si>
    <t>RC-C1513 / LZPS-15|</t>
  </si>
  <si>
    <t>RC-C1514 / LZPS-16|</t>
  </si>
  <si>
    <t>RC-C1515 / LZPS-17|</t>
  </si>
  <si>
    <t>SR-C1516 / LZPS-18|</t>
  </si>
  <si>
    <t>RC-C1517 / LZPS-19|</t>
  </si>
  <si>
    <t>SR-C1518 / LZPS-20|</t>
  </si>
  <si>
    <t>RC-C1519 / LZPS-21|</t>
  </si>
  <si>
    <t>SR-C1520 / LZPS-22|</t>
  </si>
  <si>
    <t>RC-C1521 / LZPS-23|</t>
  </si>
  <si>
    <t>SR-C1522 / LZPS-24|</t>
  </si>
  <si>
    <t>RC-C1523 / LZPS-25|</t>
  </si>
  <si>
    <t>SR-C1524 / LZPT-38|</t>
  </si>
  <si>
    <t>SR-C1525 / LZPT-39|</t>
  </si>
  <si>
    <t>SR-C1526 / LZPT-40|</t>
  </si>
  <si>
    <t>SR-C1527 / LZPT-41|</t>
  </si>
  <si>
    <t>SR-C1528 / LZPT-42|</t>
  </si>
  <si>
    <t>RC-C1529 / LZPT-43|</t>
  </si>
  <si>
    <t>RC-C1530 / LZPT-44|</t>
  </si>
  <si>
    <t>SR-C1531 / LZPT-45|</t>
  </si>
  <si>
    <t>RC-C1532 / LZPT-46|</t>
  </si>
  <si>
    <t>RC-C1533 / LZPT-47|</t>
  </si>
  <si>
    <t>RC-C1534 / LZPT-48|</t>
  </si>
  <si>
    <t>SR-C1535 / LZPT-49|</t>
  </si>
  <si>
    <t>RC-C1536 / LZPT-50|</t>
  </si>
  <si>
    <t>SR-C1537 / LZPT-51|</t>
  </si>
  <si>
    <t>RC-C1538 / LZPT-52|</t>
  </si>
  <si>
    <t>SR-C1539 / LZPT-53|</t>
  </si>
  <si>
    <t>SR-C1540 / LZPT-54|</t>
  </si>
  <si>
    <t>SR-C1541 / LZPT-55|</t>
  </si>
  <si>
    <t>SR-C1542 / LZPT-56|</t>
  </si>
  <si>
    <t>SR-C1543 / LZPT-57|</t>
  </si>
  <si>
    <t>SR-C1544 / LZPT-58|</t>
  </si>
  <si>
    <t>SR-C1545 / LZPT-59|</t>
  </si>
  <si>
    <t>SR-C1546 / LZPT-60|</t>
  </si>
  <si>
    <t>SR-C1547 / LZPT-61|</t>
  </si>
  <si>
    <t>SR-C1548 / LZPT-62|</t>
  </si>
  <si>
    <t>SR-C1549 / LZPT-63|</t>
  </si>
  <si>
    <t>SR-C1550 / LZPT-64|</t>
  </si>
  <si>
    <t>SR-C1551 / LZPT-65|</t>
  </si>
  <si>
    <t>SR-C1552 / LZPT-66|</t>
  </si>
  <si>
    <t>SR-C1553 / LZPT-67|</t>
  </si>
  <si>
    <t>SR-C1554 / LZPT-69|</t>
  </si>
  <si>
    <t>SR-C1555 / LZPT-70|</t>
  </si>
  <si>
    <t>SR-C1556 / LZPT-71|</t>
  </si>
  <si>
    <t>SR-C1557 / LZPT-72|</t>
  </si>
  <si>
    <t>SR-C1558 / LZPT-73|</t>
  </si>
  <si>
    <t>SR-C1559 / LZPT-74|</t>
  </si>
  <si>
    <t>SR-C1560 / LZPT-75|</t>
  </si>
  <si>
    <t>SR-C1561 / LZPT-76|</t>
  </si>
  <si>
    <t>SR-C1562 / LZPT-77|</t>
  </si>
  <si>
    <t>RC-C1563 / LZPV-98|</t>
  </si>
  <si>
    <t>SR-C1564 / LZPV-99|</t>
  </si>
  <si>
    <t>SR-C1565 / LZPW-10|</t>
  </si>
  <si>
    <t>SR-C1566 / LZPW-11|</t>
  </si>
  <si>
    <t>SR-C1567 / LZPW-12|</t>
  </si>
  <si>
    <t>SR-C1568 / LZPW-13|</t>
  </si>
  <si>
    <t>RC-C1569 / LZPW-14|</t>
  </si>
  <si>
    <t>SR-C1570 / LZPW-15|</t>
  </si>
  <si>
    <t>SR-C1571 / LZPW-16|</t>
  </si>
  <si>
    <t>SR-C1572 / LZPW-17|</t>
  </si>
  <si>
    <t>SR-C1573 / LZPW-18|</t>
  </si>
  <si>
    <t>SR-C1574 / LZPW-19|</t>
  </si>
  <si>
    <t>SR-C1575 / LZPW-20|</t>
  </si>
  <si>
    <t>SR-C1576 / LZPW-21|</t>
  </si>
  <si>
    <t>SR-C1577 / LZPW-22|</t>
  </si>
  <si>
    <t>RC-C1578 / LZRB-82|</t>
  </si>
  <si>
    <t>SR-C1579 / LZRB-83|</t>
  </si>
  <si>
    <t>SR-C1580 / LZRB-84|</t>
  </si>
  <si>
    <t>SR-C1581 / LZRB-85|</t>
  </si>
  <si>
    <t>SR-C1582 / LZRB-86|</t>
  </si>
  <si>
    <t>SR-C1583 / LZRB-87|</t>
  </si>
  <si>
    <t>SR-C1584 / LZRB-88|</t>
  </si>
  <si>
    <t>DC-B3033 / SFVZ-29|</t>
  </si>
  <si>
    <t>DC-B3047 / SFVZ-39|</t>
  </si>
  <si>
    <t>SR-B3065 / SFVZ-40|</t>
  </si>
  <si>
    <t>SR-B3025 / SFVZ-44|</t>
  </si>
  <si>
    <t>SR-B3041 / SFVZ-49|</t>
  </si>
  <si>
    <t>SR-B3042 / SFVZ-56|</t>
  </si>
  <si>
    <t>LB-B1591 / SFVZ-60|</t>
  </si>
  <si>
    <t>SR-B3015 / SFVZ-63|</t>
  </si>
  <si>
    <t>SR-B3044 / SFVZ-67|</t>
  </si>
  <si>
    <t>SR-B1594 / SFVZ-70|</t>
  </si>
  <si>
    <t>SR-B3051 / SFVZ-80|</t>
  </si>
  <si>
    <t>SR-B3026 / SFVZ-81|</t>
  </si>
  <si>
    <t>SR-B3027 / SFVZ-85|</t>
  </si>
  <si>
    <t>SR-B3052 / SFVZ-86|</t>
  </si>
  <si>
    <t>LB-B3009 / SFVZ-87|</t>
  </si>
  <si>
    <t>RC-B3006 / SFVZ-94|</t>
  </si>
  <si>
    <t>SR-B3048 / SFVZ-96|</t>
  </si>
  <si>
    <t>RC-B3066 / SFWB-10|</t>
  </si>
  <si>
    <t>SR-B3060 / SFWB-14|</t>
  </si>
  <si>
    <t>RC-B3057 / SFWB-16|</t>
  </si>
  <si>
    <t>SR-B3053 / SFWB-21|</t>
  </si>
  <si>
    <t>SR-B3054 / SFWB-24|</t>
  </si>
  <si>
    <t>SR-B3016 / SFWB-28|</t>
  </si>
  <si>
    <t>SR-B3017 / SFWB-29|</t>
  </si>
  <si>
    <t>RC-B3022 / SFWB-31|</t>
  </si>
  <si>
    <t>SR-B3023 / SFWB-33|</t>
  </si>
  <si>
    <t>RC-B1611 / SFWB-35|</t>
  </si>
  <si>
    <t>SR-B1612 / SFWB-42|</t>
  </si>
  <si>
    <t>SR-B3019 / SFWB-44|</t>
  </si>
  <si>
    <t>SR-B3011 / SFWB-46|</t>
  </si>
  <si>
    <t>SR-B3045 / SFWB-48|</t>
  </si>
  <si>
    <t>RC-B3007 / SFWB-50|</t>
  </si>
  <si>
    <t>SR-B3055 / SFWB-51|</t>
  </si>
  <si>
    <t>RC-B3008 / SFWB-58|</t>
  </si>
  <si>
    <t>SR-B3056 / SFWB-61|</t>
  </si>
  <si>
    <t>SR-B3035 / SFWB-64|</t>
  </si>
  <si>
    <t>RC-B3061 / SFWB-68|</t>
  </si>
  <si>
    <t>SR-B3012 / SFWB-72|</t>
  </si>
  <si>
    <t>SR-B3067 / SFWB-73|</t>
  </si>
  <si>
    <t>SR-B3028 / SFWB-75|</t>
  </si>
  <si>
    <t>SR-B3024 / SFWB-76|</t>
  </si>
  <si>
    <t>SR-B3036 / SFWB-77|</t>
  </si>
  <si>
    <t>SR-B3050 / SFWB-82|</t>
  </si>
  <si>
    <t>RC-B3068 / SFWB-84|</t>
  </si>
  <si>
    <t>SR-B3058 / SFWB-85|</t>
  </si>
  <si>
    <t>SR-B3037 / SFWB-87|</t>
  </si>
  <si>
    <t>RC-B3072 / SFWB-89|</t>
  </si>
  <si>
    <t>SR-B3038 / SFWB-90|</t>
  </si>
  <si>
    <t>SR-B1633 / SFWB-95|</t>
  </si>
  <si>
    <t>SR-B3073 / SFWB-96|</t>
  </si>
  <si>
    <t>SR-B3046 / SFWB-98|</t>
  </si>
  <si>
    <t>SR-B3062 / SFWZ-10|</t>
  </si>
  <si>
    <t>SR-B3049 / SFWZ-13|</t>
  </si>
  <si>
    <t>SR-B3030 / SFWZ-14|</t>
  </si>
  <si>
    <t>RC-B3003 / SFWZ-16|</t>
  </si>
  <si>
    <t>RC-B3074 / SFWZ-17|</t>
  </si>
  <si>
    <t>SR-B3013 / SFWZ-18|</t>
  </si>
  <si>
    <t>SR-B3020 / SFWZ-20|</t>
  </si>
  <si>
    <t>SR-B3063 / SFWZ-21|</t>
  </si>
  <si>
    <t>SR-B1644 / SFWZ-23|</t>
  </si>
  <si>
    <t>SR-B1645 / SFWZ-25|</t>
  </si>
  <si>
    <t>SR-B3014 / SFWZ-26|</t>
  </si>
  <si>
    <t>RC-B3040 / SFWZ-27|</t>
  </si>
  <si>
    <t>RC-B3071 / SFWZ-29|</t>
  </si>
  <si>
    <t>RC-B3004 / SFWZ-31|</t>
  </si>
  <si>
    <t>SR-B3069 / SFWZ-32|</t>
  </si>
  <si>
    <t>RC-B3031 / SFWZ-33|</t>
  </si>
  <si>
    <t>SR-B3032 / SFWZ-34|</t>
  </si>
  <si>
    <t>SR-B3021 / SFWZ-36|</t>
  </si>
  <si>
    <t>RC-B3099 / SFWZ-37|</t>
  </si>
  <si>
    <t>SR-B3070 / SFWZ-38|</t>
  </si>
  <si>
    <t>RC-B3005 / SFWZ-39|</t>
  </si>
  <si>
    <t>SR-B3094 / SFWZ-40|</t>
  </si>
  <si>
    <t>RC-B1658 / SFWZ-42|</t>
  </si>
  <si>
    <t>SR-B1659 / SFWZ-45|</t>
  </si>
  <si>
    <t>RC-B3085 / SFWZ-48|</t>
  </si>
  <si>
    <t>RC-B3091 / SFWZ-49|</t>
  </si>
  <si>
    <t>RC-B1662 / SFWZ-50|</t>
  </si>
  <si>
    <t>RC-B3104 / SFWZ-52|</t>
  </si>
  <si>
    <t>RC-B3076 / SFWZ-53|</t>
  </si>
  <si>
    <t>RC-B3105 / SFWZ-54|</t>
  </si>
  <si>
    <t>RC-B3077 / SFWZ-55|</t>
  </si>
  <si>
    <t>RC-B3082 / SFWZ-56|</t>
  </si>
  <si>
    <t>SR-B3095 / SFWZ-58|</t>
  </si>
  <si>
    <t>RC-B3102 / SFWZ-59|</t>
  </si>
  <si>
    <t>RC-B3064 / SFWZ-61|</t>
  </si>
  <si>
    <t>RC-B3079 / SFWZ-62|</t>
  </si>
  <si>
    <t>SR-B1672 / SFWZ-63|</t>
  </si>
  <si>
    <t>RC-B3075 / SFWZ-64|</t>
  </si>
  <si>
    <t>RC-B3080 / SFWZ-65|</t>
  </si>
  <si>
    <t>RC-B1675 / SFWZ-66|</t>
  </si>
  <si>
    <t>SR-B3092 / SFWZ-67|</t>
  </si>
  <si>
    <t>SR-B3106 / SFWZ-68|</t>
  </si>
  <si>
    <t>RC-B3078 / SFWZ-69|</t>
  </si>
  <si>
    <t>SR-B3083 / SFWZ-70|</t>
  </si>
  <si>
    <t>RC-B3089 / SFWZ-73|</t>
  </si>
  <si>
    <t>SR-B3096 / SFWZ-74|</t>
  </si>
  <si>
    <t>SR-B1682 / SFWZ-75|</t>
  </si>
  <si>
    <t>SR-B1683 / SFWZ-76|</t>
  </si>
  <si>
    <t>SR-B3097 / SFWZ-77|</t>
  </si>
  <si>
    <t>SR-B3103 / SFWZ-78|</t>
  </si>
  <si>
    <t>RC-B1686 / SFWZ-80|</t>
  </si>
  <si>
    <t>RC-B3088 / SFWZ-81|</t>
  </si>
  <si>
    <t>RC-B3093 / SFWZ-82|</t>
  </si>
  <si>
    <t>RC-B3100 / SFWZ-83|</t>
  </si>
  <si>
    <t>SR-B3107 / SFWZ-85|</t>
  </si>
  <si>
    <t>SR-C9925 / SXKV-97|</t>
  </si>
  <si>
    <t>SR-C9929 / SXKV-98|</t>
  </si>
  <si>
    <t>SR-C9930 / SXKV-99|</t>
  </si>
  <si>
    <t>SR-C9951 / TBZB-24|</t>
  </si>
  <si>
    <t>CER-A1695 / VGLZ-33|</t>
  </si>
  <si>
    <t>CER-A1696 / VGLZ-43|</t>
  </si>
  <si>
    <t>CER-A1697 / VGRB-23|</t>
  </si>
  <si>
    <t>CER-A1698 / VGRB-24|</t>
  </si>
  <si>
    <t>CER-A1699 / VGRB-33|</t>
  </si>
  <si>
    <t>CER-A1700 / VGRB-63|</t>
  </si>
  <si>
    <t>CER-A1701 / VGRB-73|</t>
  </si>
  <si>
    <t>CER-A1702 / VGRB-93|</t>
  </si>
  <si>
    <t>CER-A1703 / VGRC-13|</t>
  </si>
  <si>
    <t>CER-A1704 / VGRC-23|</t>
  </si>
  <si>
    <t>CER-A1705 / VGRC-33|</t>
  </si>
  <si>
    <t>CER-A1706 / VGRC-43|</t>
  </si>
  <si>
    <t>CER-A1707 / VGRC-53|</t>
  </si>
  <si>
    <t>CER-A1708 / VGRC-73|</t>
  </si>
  <si>
    <t>CER-A1709 / VGRC-83|</t>
  </si>
  <si>
    <t>CER-A1710 / VGRC-93|</t>
  </si>
  <si>
    <t>CER-A1711 / VGRD-25|</t>
  </si>
  <si>
    <t>CER-A1712 / VGRD-35|</t>
  </si>
  <si>
    <t>CER-A1713 / VGRD-55|</t>
  </si>
  <si>
    <t>CER-A1714 / VGRF-45|</t>
  </si>
  <si>
    <t>CER-A1715 / VGRF-55|</t>
  </si>
  <si>
    <t>CER-A1716 / VGRF-65|</t>
  </si>
  <si>
    <t>CER-A1717 / VGRF-75|</t>
  </si>
  <si>
    <t>CER-A1718 / VGRF-84|</t>
  </si>
  <si>
    <t>CER-A1719 / VGRF-85|</t>
  </si>
  <si>
    <t>CER-A1720 / VGRF-94|</t>
  </si>
  <si>
    <t>CER-A1721 / VGRG-14|</t>
  </si>
  <si>
    <t>CER-A1722 / VGRG-24|</t>
  </si>
  <si>
    <t>CER-A1723 / VGRG-34|</t>
  </si>
  <si>
    <t>CER-A1724 / VGRG-44|</t>
  </si>
  <si>
    <t>CER-A1725 / VGRG-45|</t>
  </si>
  <si>
    <t>CER-A1726 / VGRG-54|</t>
  </si>
  <si>
    <t>RC-B1727 / VJKD-70|</t>
  </si>
  <si>
    <t>RC-B1728 / VJKD-85|</t>
  </si>
  <si>
    <t>RC-B1729 / VJKD-94|</t>
  </si>
  <si>
    <t>RC-B1730 / VJKF-29|</t>
  </si>
  <si>
    <t>LB-B1731 / VJKF-44|</t>
  </si>
  <si>
    <t>RC-B1732 / VJKF-46|</t>
  </si>
  <si>
    <t>RC-B1733 / VJKF-55|</t>
  </si>
  <si>
    <t>RC-B1734 / VJKF-61|</t>
  </si>
  <si>
    <t>RC-B1735 / VJKF-66|</t>
  </si>
  <si>
    <t>RC-B1736 / VJKG-16|</t>
  </si>
  <si>
    <t>RC-B1737 / VJKG-25|</t>
  </si>
  <si>
    <t>RC-B1738 / VJKG-36|</t>
  </si>
  <si>
    <t>DC-B1739 / VJKG-37|</t>
  </si>
  <si>
    <t>DC-B1740 / VJKG-66|</t>
  </si>
  <si>
    <t>DC-B1741 / VJKG-75|</t>
  </si>
  <si>
    <t>DC-B1742 / VJKG-85|</t>
  </si>
  <si>
    <t>DC-B1743 / VJKT-45|</t>
  </si>
  <si>
    <t>DC-B1744 / VJKT-55|</t>
  </si>
  <si>
    <t>DC-B1745 / VJKT-63|</t>
  </si>
  <si>
    <t>RC-B1746 / VJKT-83|</t>
  </si>
  <si>
    <t>LB-B1747 / VJKT-92|</t>
  </si>
  <si>
    <t>LB-B1748 / VJKV-14|</t>
  </si>
  <si>
    <t>LB-B1749 / VJKV-58|</t>
  </si>
  <si>
    <t>LB-B1750 / VJKV-78|</t>
  </si>
  <si>
    <t>LB-B1751 / VJKV-88|</t>
  </si>
  <si>
    <t>LB-B1752 / VJKW-68|</t>
  </si>
  <si>
    <t>LB-B1753 / VJKX-18|</t>
  </si>
  <si>
    <t>LB-B1754 / VJKX-38|</t>
  </si>
  <si>
    <t>LB-B1755 / VJKX-78|</t>
  </si>
  <si>
    <t>LB-B1756 / VJKY-18|</t>
  </si>
  <si>
    <t>LB-B1757 / VJKY-58|</t>
  </si>
  <si>
    <t>LB-B1758 / VJKZ-38|</t>
  </si>
  <si>
    <t>LB-B1759 / VJKZ-78|</t>
  </si>
  <si>
    <t>DC-B1760 / VJLH-14|</t>
  </si>
  <si>
    <t>DC-B1761 / VJLH-24|</t>
  </si>
  <si>
    <t>DC-B1762 / VJLH-33|</t>
  </si>
  <si>
    <t>LB-B1763 / VJWZ-74|</t>
  </si>
  <si>
    <t>LB-B1764 / VJWZ-95|</t>
  </si>
  <si>
    <t>LB-B1765 / VJXB-27|</t>
  </si>
  <si>
    <t>LB-B1766 / VJXB-56|</t>
  </si>
  <si>
    <t>LB-B1767 / VJXB-87|</t>
  </si>
  <si>
    <t>LB-B1768 / VJXC-26|</t>
  </si>
  <si>
    <t>LB-B1769 / VJXC-42|</t>
  </si>
  <si>
    <t>LB-B1770 / VJXC-53|</t>
  </si>
  <si>
    <t>LB-B1771 / VJXC-75|</t>
  </si>
  <si>
    <t>LB-B1772 / VJXC-91|</t>
  </si>
  <si>
    <t>DC-B1773 / VJXD-48|</t>
  </si>
  <si>
    <t>DC-B1774 / VJXD-86|</t>
  </si>
  <si>
    <t>DC-B1775 / VJXH-88|</t>
  </si>
  <si>
    <t>DC-B1776 / VJXJ-27|</t>
  </si>
  <si>
    <t>DC-B1777 / VJXJ-39|</t>
  </si>
  <si>
    <t>DC-B1778 / VJXJ-44|</t>
  </si>
  <si>
    <t>DC-B1779 / VJXJ-46|</t>
  </si>
  <si>
    <t>DC-B1780 / VJXJ-94|</t>
  </si>
  <si>
    <t>DC-B1781 / VJXK-14|</t>
  </si>
  <si>
    <t>DC-B1782 / VJXK-15|</t>
  </si>
  <si>
    <t>LB-B1783 / VJYH-63|</t>
  </si>
  <si>
    <t>LB-B1784 / VJYJ-15|</t>
  </si>
  <si>
    <t>DC-B1785 / VJYJ-22|</t>
  </si>
  <si>
    <t>LB-B1786 / VJYJ-35|</t>
  </si>
  <si>
    <t>DC-B1787 / VJYJ-37|</t>
  </si>
  <si>
    <t>DC-B1788 / VJYJ-44|</t>
  </si>
  <si>
    <t>DC-B1789 / VJYJ-46|</t>
  </si>
  <si>
    <t>DC-B1790 / VJYJ-68|</t>
  </si>
  <si>
    <t>DC-B1791 / VJYJ-75|</t>
  </si>
  <si>
    <t>DC-B1792 / VJYJ-84|</t>
  </si>
  <si>
    <t>DC-B1793 / VJYK-73|</t>
  </si>
  <si>
    <t>DC-B1794 / VJYK-82|</t>
  </si>
  <si>
    <t>DC-B1795 / VJYK-83|</t>
  </si>
  <si>
    <t>DC-B1796 / VJYK-86|</t>
  </si>
  <si>
    <t>DC-B1797 / VJYK-89|</t>
  </si>
  <si>
    <t>DC-B1798 / VJYK-91|</t>
  </si>
  <si>
    <t>DC-B1799 / VJYK-95|</t>
  </si>
  <si>
    <t>DC-B1800 / VJYK-97|</t>
  </si>
  <si>
    <t>DC-B1801 / VJYK-98|</t>
  </si>
  <si>
    <t>DC-B1802 / VJYL-12|</t>
  </si>
  <si>
    <t>DC-B1803 / VJYL-17|</t>
  </si>
  <si>
    <t>LB-B1804 / VJZB-37|</t>
  </si>
  <si>
    <t>LB-B1805 / VJZB-47|</t>
  </si>
  <si>
    <t>LB-B1806 / VJZB-57|</t>
  </si>
  <si>
    <t>LB-B1807 / VJZB-67|</t>
  </si>
  <si>
    <t>LB-B1808 / VJZB-77|</t>
  </si>
  <si>
    <t>DC-B1809 / VJZB-87|</t>
  </si>
  <si>
    <t>DC-B1810 / VJZB-97|</t>
  </si>
  <si>
    <t>DC-B1811 / VJZC-57|</t>
  </si>
  <si>
    <t>DC-B1812 / VJZH-87|</t>
  </si>
  <si>
    <t>DC-B1813 / VJZH-97|</t>
  </si>
  <si>
    <t>DC-B1814 / VJZJ-56|</t>
  </si>
  <si>
    <t>DC-B1815 / VJZJ-66|</t>
  </si>
  <si>
    <t>DC-B1816 / VKFW-93|</t>
  </si>
  <si>
    <t>DC-B1817 / VKFX-13|</t>
  </si>
  <si>
    <t>DC-B1818 / VKFX-33|</t>
  </si>
  <si>
    <t>DC-B1819 / VKFX-63|</t>
  </si>
  <si>
    <t>DC-B1820 / VKFX-73|</t>
  </si>
  <si>
    <t>DC-B1821 / VKFX-93|</t>
  </si>
  <si>
    <t>DC-B1822 / VKFZ-33|</t>
  </si>
  <si>
    <t>DC-B1823 / VKFZ-53|</t>
  </si>
  <si>
    <t>DC-B1824 / VKFZ-93|</t>
  </si>
  <si>
    <t>DC-B1825 / VKGB-43|</t>
  </si>
  <si>
    <t>DC-B1826 / VKGB-83|</t>
  </si>
  <si>
    <t>DC-B1827 / VKGC-23|</t>
  </si>
  <si>
    <t>DC-B1828 / VKGC-63|</t>
  </si>
  <si>
    <t>DC-B1829 / VKGC-73|</t>
  </si>
  <si>
    <t>DC-B1830 / VKGD-33|</t>
  </si>
  <si>
    <t>DC-B1831 / VKGD-43|</t>
  </si>
  <si>
    <t>DC-B1832 / VKGF-93|</t>
  </si>
  <si>
    <t>DC-B1833 / VKGG-13|</t>
  </si>
  <si>
    <t>DC-B1834 / VKGG-23|</t>
  </si>
  <si>
    <t>DC-B1835 / VKGG-33|</t>
  </si>
  <si>
    <t>DC-B1836 / VKGG-53|</t>
  </si>
  <si>
    <t>DC-B1837 / VKGG-73|</t>
  </si>
  <si>
    <t>DC-B1838 / VKGG-83|</t>
  </si>
  <si>
    <t>DC-B1839 / VKGG-93|</t>
  </si>
  <si>
    <t>DC-B1840 / VKGH-13|</t>
  </si>
  <si>
    <t>DC-B1841 / VKGH-23|</t>
  </si>
  <si>
    <t>DC-B1842 / VKGH-33|</t>
  </si>
  <si>
    <t>DC-B1843 / VKGL-84|</t>
  </si>
  <si>
    <t>DC-B1844 / VKGP-35|</t>
  </si>
  <si>
    <t>DC-B1845 / VKGP-45|</t>
  </si>
  <si>
    <t>DC-B1846 / VKGP-55|</t>
  </si>
  <si>
    <t>DC-B1847 / VKGP-75|</t>
  </si>
  <si>
    <t>DC-B1848 / VLBP-23|</t>
  </si>
  <si>
    <t>DC-B1849 / VLBP-73|</t>
  </si>
  <si>
    <t>DC-B1850 / VLBZ-78|</t>
  </si>
  <si>
    <t>DC-B1851 / VLBZ-96|</t>
  </si>
  <si>
    <t>DC-B1852 / VLCB-26|</t>
  </si>
  <si>
    <t>DC-B1853 / VLCB-56|</t>
  </si>
  <si>
    <t>DC-B1854 / VLCC-16|</t>
  </si>
  <si>
    <t>DC-B1855 / VLCC-36|</t>
  </si>
  <si>
    <t>DC-B1856 / VLCD-56|</t>
  </si>
  <si>
    <t>DC-B1857 / VLCD-65|</t>
  </si>
  <si>
    <t>DC-B1858 / VLCF-18|</t>
  </si>
  <si>
    <t>DC-B1859 / VLCF-76|</t>
  </si>
  <si>
    <t>DC-B1860 / VLCG-67|</t>
  </si>
  <si>
    <t>DC-B1861 / VLCK-37|</t>
  </si>
  <si>
    <t>DC-B1862 / VLCK-77|</t>
  </si>
  <si>
    <t>DC-B1863 / VLFG-56|</t>
  </si>
  <si>
    <t>DC-B1864 / VLFG-69|</t>
  </si>
  <si>
    <t>DC-B1865 / VLFG-78|</t>
  </si>
  <si>
    <t>DC-B1866 / VLFG-89|</t>
  </si>
  <si>
    <t>DC-B1867 / VLFH-16|</t>
  </si>
  <si>
    <t>DC-B1868 / VLFH-46|</t>
  </si>
  <si>
    <t>LA-B1869 / VLFH-48|</t>
  </si>
  <si>
    <t>LA-B1870 / VLFH-56|</t>
  </si>
  <si>
    <t>LA-B1871 / VLFH-63|</t>
  </si>
  <si>
    <t>LA-B1872 / VLFJ-57|</t>
  </si>
  <si>
    <t>LA-B1873 / VLFJ-62|</t>
  </si>
  <si>
    <t>LA-B1874 / VLFJ-65|</t>
  </si>
  <si>
    <t>LA-B1875 / VLFJ-82|</t>
  </si>
  <si>
    <t>LA-B1876 / VLFJ-85|</t>
  </si>
  <si>
    <t>LA-B1877 / VLLY-27|</t>
  </si>
  <si>
    <t>LA-B1878 / VLPD-24|</t>
  </si>
  <si>
    <t>LA-B1879 / VLRS-46|</t>
  </si>
  <si>
    <t>LA-A1880 / VLSD-60|</t>
  </si>
  <si>
    <t>LA-A1881 / VLSD-66|</t>
  </si>
  <si>
    <t>LA-A1882 / VLSD-67|</t>
  </si>
  <si>
    <t>LA-A1883 / VLSD-68|</t>
  </si>
  <si>
    <t>LA-A1884 / VLSD-70|</t>
  </si>
  <si>
    <t>LA-A1885 / VLSD-77|</t>
  </si>
  <si>
    <t>LA-A1886 / VLSJ-88|</t>
  </si>
  <si>
    <t>LA-A1887 / VLSK-17|</t>
  </si>
  <si>
    <t>LA-A1888 / VLSK-18|</t>
  </si>
  <si>
    <t>LA-B1889 / VLSK-19|</t>
  </si>
  <si>
    <t>LA-B1890 / VLSK-23|</t>
  </si>
  <si>
    <t>LA-B1891 / VLSK-25|</t>
  </si>
  <si>
    <t>LA-B1892 / VLSK-26|</t>
  </si>
  <si>
    <t>LA-B1893 / VLSK-29|</t>
  </si>
  <si>
    <t>LA-B1894 / VLSK-30|</t>
  </si>
  <si>
    <t>LA-B1895 / VLSK-39|</t>
  </si>
  <si>
    <t>LA-B1896 / VLSK-44|</t>
  </si>
  <si>
    <t>LA-B1897 / VLSK-46|</t>
  </si>
  <si>
    <t>LA-B1898 / VLSK-53|</t>
  </si>
  <si>
    <t>LA-B1899 / VLSK-64|</t>
  </si>
  <si>
    <t>LA-B1900 / VLSK-70|</t>
  </si>
  <si>
    <t>LA-B1901 / VLSK-77|</t>
  </si>
  <si>
    <t>LA-B1902 / VLSK-86|</t>
  </si>
  <si>
    <t>LA-B1903 / VLSK-93|</t>
  </si>
  <si>
    <t>LA-B1904 / VLSK-95|</t>
  </si>
  <si>
    <t>LA-B1905 / VLSK-99|</t>
  </si>
  <si>
    <t>LA-B1906 / VLSL-10|</t>
  </si>
  <si>
    <t>LA-B1907 / VLSL-16|</t>
  </si>
  <si>
    <t>LA-B1908 / VLSL-25|</t>
  </si>
  <si>
    <t>LA-B1909 / VLSS-34|</t>
  </si>
  <si>
    <t>LA-B1910 / VLSS-37|</t>
  </si>
  <si>
    <t>LA-B1911 / VLSS-45|</t>
  </si>
  <si>
    <t>LA-B1912 / VLSS-69|</t>
  </si>
  <si>
    <t>LA-B1913 / VLSS-88|</t>
  </si>
  <si>
    <t>LA-B1914 / VLST-15|</t>
  </si>
  <si>
    <t>LA-B1915 / VLST-23|</t>
  </si>
  <si>
    <t>LA-B1916 / VLST-92|</t>
  </si>
  <si>
    <t>LA-B1917 / VLSV-15|</t>
  </si>
  <si>
    <t>LA-B1918 / VLSV-32|</t>
  </si>
  <si>
    <t>LA-B1919 / VLSW-32|</t>
  </si>
  <si>
    <t>LA-B1920 / VLSY-93|</t>
  </si>
  <si>
    <t>LA-B1921 / VLSY-95|</t>
  </si>
  <si>
    <t>LA-B1922 / VLSY-96|</t>
  </si>
  <si>
    <t>LA-B1923 / VLSY-97|</t>
  </si>
  <si>
    <t>LA-B1924 / VLSY-98|</t>
  </si>
  <si>
    <t>LA-B1925 / VLSZ-15|</t>
  </si>
  <si>
    <t>LA-B1926 / VLSZ-16|</t>
  </si>
  <si>
    <t>LA-B1927 / VLSZ-23|</t>
  </si>
  <si>
    <t>LA-B1928 / VLSZ-25|</t>
  </si>
  <si>
    <t>LA-B1929 / VLSZ-26|</t>
  </si>
  <si>
    <t>LA-B1930 / VLSZ-46|</t>
  </si>
  <si>
    <t>LA-B1931 / VLSZ-52|</t>
  </si>
  <si>
    <t>LA-B1932 / VLSZ-54|</t>
  </si>
  <si>
    <t>LA-B1933 / VLSZ-65|</t>
  </si>
  <si>
    <t>LA-B1934 / VLSZ-68|</t>
  </si>
  <si>
    <t>LA-B1935 / VLSZ-75|</t>
  </si>
  <si>
    <t>LA-B1936 / VLTB-15|</t>
  </si>
  <si>
    <t>LA-B1937 / VLTB-35|</t>
  </si>
  <si>
    <t>LA-B1938 / VLTB-43|</t>
  </si>
  <si>
    <t>LA-B1939 / VLTB-85|</t>
  </si>
  <si>
    <t>LA-B1940 / VLTB-93|</t>
  </si>
  <si>
    <t>LA-B1941 / VLTB-94|</t>
  </si>
  <si>
    <t>LA-B1942 / VLTC-16|</t>
  </si>
  <si>
    <t>LA-B1943 / VLTC-17|</t>
  </si>
  <si>
    <t>LA-B1944 / VLTC-21|</t>
  </si>
  <si>
    <t>LA-B1945 / VLTC-23|</t>
  </si>
  <si>
    <t>LA-B1946 / VLTC-32|</t>
  </si>
  <si>
    <t>LA-B1947 / VLTC-33|</t>
  </si>
  <si>
    <t>LA-B1948 / VLTC-34|</t>
  </si>
  <si>
    <t>LA-B1949 / VLTC-35|</t>
  </si>
  <si>
    <t>LA-B1950 / VLTC-36|</t>
  </si>
  <si>
    <t>LA-B1951 / VLTC-37|</t>
  </si>
  <si>
    <t>LA-B1952 / VLTC-43|</t>
  </si>
  <si>
    <t>LA-B1953 / VLTC-44|</t>
  </si>
  <si>
    <t>LA-B1954 / VLTC-45|</t>
  </si>
  <si>
    <t>LA-B1955 / VLTC-53|</t>
  </si>
  <si>
    <t>LA-B1956 / VLTC-62|</t>
  </si>
  <si>
    <t>LA-B1957 / VLTC-92|</t>
  </si>
  <si>
    <t>LA-B1958 / VPBC-75|</t>
  </si>
  <si>
    <t>LA-B1959 / VPBD-15|</t>
  </si>
  <si>
    <t>LA-B1960 / VPBD-25|</t>
  </si>
  <si>
    <t>LA-B1961 / VPBD-64|</t>
  </si>
  <si>
    <t>LA-B1962 / VPBD-84|</t>
  </si>
  <si>
    <t>LA-B1963 / VPBF-11|</t>
  </si>
  <si>
    <t>LA-B1964 / VPBF-13|</t>
  </si>
  <si>
    <t>LA-B1965 / VPBF-14|</t>
  </si>
  <si>
    <t>LA-B1966 / VPBF-41|</t>
  </si>
  <si>
    <t>LA-B1967 / VPBF-51|</t>
  </si>
  <si>
    <t>LA-B1968 / VPBF-63|</t>
  </si>
  <si>
    <t>LA-B1969 / VPBF-71|</t>
  </si>
  <si>
    <t>LA-B1970 / VPBF-93|</t>
  </si>
  <si>
    <t>LA-B1971 / VPBG-88|</t>
  </si>
  <si>
    <t>LA-B1972 / VPBK-91|</t>
  </si>
  <si>
    <t>Diccionario 9</t>
  </si>
  <si>
    <t>RC-BP1430 / GCBC-26|</t>
  </si>
  <si>
    <t>RC-BP1438 / GCBC-34|</t>
  </si>
  <si>
    <t>DC-B1585 / SFVZ-29|</t>
  </si>
  <si>
    <t>DC-B1586 / SFVZ-39|</t>
  </si>
  <si>
    <t>SR-B1587 / SFVZ-40|</t>
  </si>
  <si>
    <t>SR-B1588 / SFVZ-44|</t>
  </si>
  <si>
    <t>SR-B1589 / SFVZ-49|</t>
  </si>
  <si>
    <t>SR-B1590 / SFVZ-56|</t>
  </si>
  <si>
    <t>SR-B1592 / SFVZ-63|</t>
  </si>
  <si>
    <t>SR-B1593 / SFVZ-67|</t>
  </si>
  <si>
    <t>SR-B1595 / SFVZ-80|</t>
  </si>
  <si>
    <t>SR-B1596 / SFVZ-81|</t>
  </si>
  <si>
    <t>SR-B1597 / SFVZ-85|</t>
  </si>
  <si>
    <t>SR-B1598 / SFVZ-86|</t>
  </si>
  <si>
    <t>LB-B1599 / SFVZ-87|</t>
  </si>
  <si>
    <t>RC-B1600 / SFVZ-94|</t>
  </si>
  <si>
    <t>SR-B1601 / SFVZ-96|</t>
  </si>
  <si>
    <t>RC-B1602 / SFWB-10|</t>
  </si>
  <si>
    <t>SR-B1603 / SFWB-14|</t>
  </si>
  <si>
    <t>RC-B1604 / SFWB-16|</t>
  </si>
  <si>
    <t>SR-B1605 / SFWB-21|</t>
  </si>
  <si>
    <t>SR-B1606 / SFWB-24|</t>
  </si>
  <si>
    <t>SR-B1607 / SFWB-28|</t>
  </si>
  <si>
    <t>SR-B1608 / SFWB-29|</t>
  </si>
  <si>
    <t>RC-B1609 / SFWB-31|</t>
  </si>
  <si>
    <t>SR-B1610 / SFWB-33|</t>
  </si>
  <si>
    <t>SR-B1613 / SFWB-44|</t>
  </si>
  <si>
    <t>SR-B1614 / SFWB-46|</t>
  </si>
  <si>
    <t>SR-B1615 / SFWB-48|</t>
  </si>
  <si>
    <t>RC-B1616 / SFWB-50|</t>
  </si>
  <si>
    <t>SR-B1617 / SFWB-51|</t>
  </si>
  <si>
    <t>RC-B1618 / SFWB-58|</t>
  </si>
  <si>
    <t>SR-B1619 / SFWB-61|</t>
  </si>
  <si>
    <t>SR-B1620 / SFWB-64|</t>
  </si>
  <si>
    <t>RC-B1621 / SFWB-68|</t>
  </si>
  <si>
    <t>SR-B1622 / SFWB-72|</t>
  </si>
  <si>
    <t>SR-B1623 / SFWB-73|</t>
  </si>
  <si>
    <t>SR-B1624 / SFWB-75|</t>
  </si>
  <si>
    <t>SR-B1625 / SFWB-76|</t>
  </si>
  <si>
    <t>SR-B1626 / SFWB-77|</t>
  </si>
  <si>
    <t>SR-B1627 / SFWB-82|</t>
  </si>
  <si>
    <t>RC-B1628 / SFWB-84|</t>
  </si>
  <si>
    <t>SR-B1629 / SFWB-85|</t>
  </si>
  <si>
    <t>SR-B1630 / SFWB-87|</t>
  </si>
  <si>
    <t>RC-B1631 / SFWB-89|</t>
  </si>
  <si>
    <t>SR-B1632 / SFWB-90|</t>
  </si>
  <si>
    <t>SR-B1634 / SFWB-96|</t>
  </si>
  <si>
    <t>SR-B1635 / SFWB-98|</t>
  </si>
  <si>
    <t>SR-B1636 / SFWZ-10|</t>
  </si>
  <si>
    <t>SR-B1637 / SFWZ-13|</t>
  </si>
  <si>
    <t>SR-B1638 / SFWZ-14|</t>
  </si>
  <si>
    <t>RC-B1639 / SFWZ-16|</t>
  </si>
  <si>
    <t>RC-B1640 / SFWZ-17|</t>
  </si>
  <si>
    <t>SR-B1641 / SFWZ-18|</t>
  </si>
  <si>
    <t>SR-B1642 / SFWZ-20|</t>
  </si>
  <si>
    <t>SR-B1643 / SFWZ-21|</t>
  </si>
  <si>
    <t>SR-B1646 / SFWZ-26|</t>
  </si>
  <si>
    <t>RC-B1647 / SFWZ-27|</t>
  </si>
  <si>
    <t>RC-B1648 / SFWZ-29|</t>
  </si>
  <si>
    <t>RC-B1649 / SFWZ-31|</t>
  </si>
  <si>
    <t>SR-B1650 / SFWZ-32|</t>
  </si>
  <si>
    <t>RC-B1651 / SFWZ-33|</t>
  </si>
  <si>
    <t>SR-B1652 / SFWZ-34|</t>
  </si>
  <si>
    <t>SR-B1653 / SFWZ-36|</t>
  </si>
  <si>
    <t>RC-B1654 / SFWZ-37|</t>
  </si>
  <si>
    <t>SR-B1655 / SFWZ-38|</t>
  </si>
  <si>
    <t>RC-B1656 / SFWZ-39|</t>
  </si>
  <si>
    <t>SR-B1657 / SFWZ-40|</t>
  </si>
  <si>
    <t>RC-B1660 / SFWZ-48|</t>
  </si>
  <si>
    <t>RC-B1661 / SFWZ-49|</t>
  </si>
  <si>
    <t>RC-B1663 / SFWZ-52|</t>
  </si>
  <si>
    <t>RC-B1664 / SFWZ-53|</t>
  </si>
  <si>
    <t>RC-B1665 / SFWZ-54|</t>
  </si>
  <si>
    <t>RC-B1666 / SFWZ-55|</t>
  </si>
  <si>
    <t>RC-B1667 / SFWZ-56|</t>
  </si>
  <si>
    <t>SR-B1668 / SFWZ-58|</t>
  </si>
  <si>
    <t>RC-B1669 / SFWZ-59|</t>
  </si>
  <si>
    <t>RC-B1670 / SFWZ-61|</t>
  </si>
  <si>
    <t>RC-B1671 / SFWZ-62|</t>
  </si>
  <si>
    <t>RC-B1673 / SFWZ-64|</t>
  </si>
  <si>
    <t>RC-B1674 / SFWZ-65|</t>
  </si>
  <si>
    <t>SR-B1676 / SFWZ-67|</t>
  </si>
  <si>
    <t>SR-B1677 / SFWZ-68|</t>
  </si>
  <si>
    <t>RC-B1678 / SFWZ-69|</t>
  </si>
  <si>
    <t>SR-B1679 / SFWZ-70|</t>
  </si>
  <si>
    <t>RC-B1680 / SFWZ-73|</t>
  </si>
  <si>
    <t>SR-B1681 / SFWZ-74|</t>
  </si>
  <si>
    <t>SR-B1684 / SFWZ-77|</t>
  </si>
  <si>
    <t>SR-B1685 / SFWZ-78|</t>
  </si>
  <si>
    <t>RC-B1687 / SFWZ-81|</t>
  </si>
  <si>
    <t>RC-B1688 / SFWZ-82|</t>
  </si>
  <si>
    <t>RC-B1689 / SFWZ-83|</t>
  </si>
  <si>
    <t>SR-B1690 / SFWZ-85|</t>
  </si>
  <si>
    <t>SR-C1691 / SXKV-97|</t>
  </si>
  <si>
    <t>SR-C1692 / SXKV-98|</t>
  </si>
  <si>
    <t>SR-C1693 / SXKV-99|</t>
  </si>
  <si>
    <t>SR-C1694 / TBZB-24|</t>
  </si>
  <si>
    <t>Diccionario Aparte</t>
  </si>
  <si>
    <t>ZTS</t>
  </si>
  <si>
    <t>SERVICIO TS</t>
  </si>
  <si>
    <t>SERVICIO UN</t>
  </si>
  <si>
    <t>POS</t>
  </si>
  <si>
    <t>INTERVALO PROGRAMADO</t>
  </si>
  <si>
    <t>LABORAL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</si>
  <si>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</si>
  <si>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</si>
  <si>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</si>
  <si>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</si>
  <si>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</si>
  <si>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</si>
  <si>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</si>
  <si>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</si>
  <si>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</si>
  <si>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</si>
  <si>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</si>
  <si>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</si>
  <si>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</si>
  <si>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</si>
  <si>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</si>
  <si>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</si>
  <si>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</si>
  <si>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</si>
  <si>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</si>
  <si>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</si>
  <si>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</si>
  <si>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</si>
  <si>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</si>
  <si>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</si>
  <si>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MH</t>
  </si>
  <si>
    <t>LP</t>
  </si>
  <si>
    <t>SABADO</t>
  </si>
  <si>
    <t>DOMINGO</t>
  </si>
  <si>
    <t>unidad</t>
  </si>
  <si>
    <t>servicio</t>
  </si>
  <si>
    <t>CODIGO TS SERVICIO</t>
  </si>
  <si>
    <t>AlfaU9</t>
  </si>
  <si>
    <t>Condell</t>
  </si>
  <si>
    <t>410e</t>
  </si>
  <si>
    <t>841e</t>
  </si>
  <si>
    <t>B01</t>
  </si>
  <si>
    <t>B17</t>
  </si>
  <si>
    <t>B24</t>
  </si>
  <si>
    <t>B28</t>
  </si>
  <si>
    <t>105c</t>
  </si>
  <si>
    <t>Santa Margarita</t>
  </si>
  <si>
    <t>805c</t>
  </si>
  <si>
    <t>El Retiro</t>
  </si>
  <si>
    <t>B03</t>
  </si>
  <si>
    <t>B09</t>
  </si>
  <si>
    <t>B20</t>
  </si>
  <si>
    <t>B29</t>
  </si>
  <si>
    <t>B30n</t>
  </si>
  <si>
    <t>830N</t>
  </si>
  <si>
    <t>Santa Marta</t>
  </si>
  <si>
    <t>B07</t>
  </si>
  <si>
    <t>B08</t>
  </si>
  <si>
    <t>B10</t>
  </si>
  <si>
    <t>B13</t>
  </si>
  <si>
    <t>B16</t>
  </si>
  <si>
    <t>B18</t>
  </si>
  <si>
    <t>B18e</t>
  </si>
  <si>
    <t>818e</t>
  </si>
  <si>
    <t>B25</t>
  </si>
  <si>
    <t>B26</t>
  </si>
  <si>
    <t>B32</t>
  </si>
  <si>
    <t>B36</t>
  </si>
  <si>
    <t>B37</t>
  </si>
  <si>
    <t>410y</t>
  </si>
  <si>
    <t>841y</t>
  </si>
  <si>
    <t>OmegaU8</t>
  </si>
  <si>
    <t>B02</t>
  </si>
  <si>
    <t>Aguirre Luco</t>
  </si>
  <si>
    <t>B02n</t>
  </si>
  <si>
    <t>902N</t>
  </si>
  <si>
    <t>B04</t>
  </si>
  <si>
    <t>B19</t>
  </si>
  <si>
    <t>B33</t>
  </si>
  <si>
    <t>C18</t>
  </si>
  <si>
    <t>Juanita</t>
  </si>
  <si>
    <t>213e</t>
  </si>
  <si>
    <t>963e</t>
  </si>
  <si>
    <t>F10c</t>
  </si>
  <si>
    <t>930c</t>
  </si>
  <si>
    <t>F12</t>
  </si>
  <si>
    <t>F12c</t>
  </si>
  <si>
    <t>932c</t>
  </si>
  <si>
    <t>F15</t>
  </si>
  <si>
    <t>F18</t>
  </si>
  <si>
    <t>F25</t>
  </si>
  <si>
    <t>F25e</t>
  </si>
  <si>
    <t>945e</t>
  </si>
  <si>
    <t>F30n</t>
  </si>
  <si>
    <t>950N</t>
  </si>
  <si>
    <t>F33</t>
  </si>
  <si>
    <t>Pie Andino</t>
  </si>
  <si>
    <t>F02</t>
  </si>
  <si>
    <t>F03c</t>
  </si>
  <si>
    <t>923c</t>
  </si>
  <si>
    <t>F05</t>
  </si>
  <si>
    <t>F06</t>
  </si>
  <si>
    <t>F09</t>
  </si>
  <si>
    <t>F20</t>
  </si>
  <si>
    <t>B07y</t>
  </si>
  <si>
    <t>807y</t>
  </si>
  <si>
    <t>U9</t>
  </si>
  <si>
    <t>U8</t>
  </si>
  <si>
    <t>SI(A13&lt;&gt;"";BUSCARH(VALOR(TEXTO(G13;"h:mm:ss"));SI($C$6="Laboral";$FT$4:$GR$227;SI($C$6="Sábado";$FT$231:$GR$452;$FT$456:$GR$656));BUSCARV($C$4;Input!$GZ$2:$HB$99;3;0)+SI(C$5="Ida";0;1);1);"")</t>
  </si>
  <si>
    <t>Teórico</t>
  </si>
  <si>
    <t>Real</t>
  </si>
  <si>
    <t>ICF-P</t>
  </si>
  <si>
    <t>TE Obs</t>
  </si>
  <si>
    <t>TE Ideal</t>
  </si>
  <si>
    <t>ICF-P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</si>
</sst>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"/>
    <numFmt numFmtId="166" formatCode="h:mm;@"/>
    <numFmt numFmtId="167" formatCode="0.0%"/>
    <numFmt numFmtId="169" formatCode="hh:m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rgb="FF00B050"/>
      <name val="Arial"/>
      <family val="2"/>
    </font>
    <font>
      <sz val="9"/>
      <color theme="0"/>
      <name val="Arial"/>
      <family val="2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9BBB5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1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5" fillId="2" borderId="5" xfId="2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65" fontId="0" fillId="5" borderId="7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5" fontId="0" fillId="6" borderId="7" xfId="0" applyNumberFormat="1" applyFill="1" applyBorder="1" applyAlignment="1">
      <alignment horizontal="center" vertical="center"/>
    </xf>
    <xf numFmtId="166" fontId="0" fillId="5" borderId="7" xfId="0" applyNumberFormat="1" applyFill="1" applyBorder="1" applyAlignment="1">
      <alignment horizontal="center" vertical="center"/>
    </xf>
    <xf numFmtId="167" fontId="0" fillId="5" borderId="7" xfId="1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8" fillId="4" borderId="7" xfId="0" applyFont="1" applyFill="1" applyBorder="1"/>
    <xf numFmtId="0" fontId="0" fillId="0" borderId="0" xfId="0" applyAlignment="1">
      <alignment horizontal="center"/>
    </xf>
    <xf numFmtId="0" fontId="9" fillId="0" borderId="7" xfId="0" applyFont="1" applyBorder="1"/>
    <xf numFmtId="0" fontId="9" fillId="0" borderId="14" xfId="0" applyFont="1" applyBorder="1"/>
    <xf numFmtId="0" fontId="9" fillId="0" borderId="6" xfId="0" applyFont="1" applyBorder="1"/>
    <xf numFmtId="0" fontId="9" fillId="0" borderId="15" xfId="0" applyFont="1" applyBorder="1"/>
    <xf numFmtId="0" fontId="9" fillId="7" borderId="7" xfId="0" applyFont="1" applyFill="1" applyBorder="1"/>
    <xf numFmtId="0" fontId="10" fillId="0" borderId="7" xfId="0" applyFont="1" applyBorder="1"/>
    <xf numFmtId="0" fontId="0" fillId="0" borderId="16" xfId="0" applyBorder="1" applyAlignment="1">
      <alignment horizontal="center" wrapText="1"/>
    </xf>
    <xf numFmtId="0" fontId="9" fillId="8" borderId="7" xfId="0" applyFont="1" applyFill="1" applyBorder="1"/>
    <xf numFmtId="0" fontId="10" fillId="0" borderId="6" xfId="0" applyFont="1" applyBorder="1"/>
    <xf numFmtId="0" fontId="9" fillId="9" borderId="6" xfId="0" applyFont="1" applyFill="1" applyBorder="1"/>
    <xf numFmtId="0" fontId="9" fillId="8" borderId="6" xfId="0" applyFont="1" applyFill="1" applyBorder="1"/>
    <xf numFmtId="0" fontId="0" fillId="0" borderId="7" xfId="0" applyBorder="1"/>
    <xf numFmtId="0" fontId="0" fillId="10" borderId="7" xfId="0" applyFill="1" applyBorder="1"/>
    <xf numFmtId="165" fontId="0" fillId="5" borderId="6" xfId="0" applyNumberFormat="1" applyFill="1" applyBorder="1" applyAlignment="1">
      <alignment horizontal="center" vertical="center"/>
    </xf>
    <xf numFmtId="165" fontId="0" fillId="6" borderId="6" xfId="0" applyNumberFormat="1" applyFill="1" applyBorder="1" applyAlignment="1">
      <alignment horizontal="center" vertical="center"/>
    </xf>
    <xf numFmtId="166" fontId="0" fillId="5" borderId="6" xfId="0" applyNumberFormat="1" applyFill="1" applyBorder="1" applyAlignment="1">
      <alignment horizontal="center" vertical="center"/>
    </xf>
    <xf numFmtId="167" fontId="0" fillId="5" borderId="6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0" fontId="12" fillId="3" borderId="0" xfId="0" applyFont="1" applyFill="1"/>
    <xf numFmtId="0" fontId="0" fillId="3" borderId="0" xfId="0" applyFill="1"/>
    <xf numFmtId="0" fontId="13" fillId="0" borderId="0" xfId="0" applyFont="1"/>
    <xf numFmtId="20" fontId="14" fillId="3" borderId="0" xfId="0" applyNumberFormat="1" applyFont="1" applyFill="1"/>
    <xf numFmtId="0" fontId="15" fillId="0" borderId="0" xfId="0" applyFont="1"/>
    <xf numFmtId="0" fontId="16" fillId="0" borderId="0" xfId="0" applyFont="1"/>
    <xf numFmtId="164" fontId="14" fillId="3" borderId="0" xfId="0" applyNumberFormat="1" applyFont="1" applyFill="1" applyAlignment="1">
      <alignment horizontal="center" vertical="center"/>
    </xf>
    <xf numFmtId="20" fontId="15" fillId="11" borderId="0" xfId="0" applyNumberFormat="1" applyFont="1" applyFill="1"/>
    <xf numFmtId="0" fontId="14" fillId="3" borderId="0" xfId="0" applyFont="1" applyFill="1"/>
    <xf numFmtId="165" fontId="4" fillId="0" borderId="0" xfId="0" applyNumberFormat="1" applyFont="1"/>
    <xf numFmtId="0" fontId="0" fillId="0" borderId="0" xfId="0" applyAlignment="1">
      <alignment horizontal="center" vertical="center"/>
    </xf>
    <xf numFmtId="0" fontId="3" fillId="12" borderId="7" xfId="0" applyFont="1" applyFill="1" applyBorder="1"/>
    <xf numFmtId="0" fontId="17" fillId="13" borderId="1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right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14" fillId="3" borderId="0" xfId="0" applyFont="1" applyFill="1" applyAlignment="1">
      <alignment horizontal="center" wrapText="1"/>
    </xf>
    <xf numFmtId="0" fontId="0" fillId="0" borderId="7" xfId="0" applyBorder="1" applyAlignment="1">
      <alignment horizontal="center"/>
    </xf>
    <xf numFmtId="169" fontId="0" fillId="3" borderId="7" xfId="0" applyNumberForma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9" fontId="0" fillId="0" borderId="7" xfId="1" applyFon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65" fontId="0" fillId="0" borderId="7" xfId="1" applyNumberFormat="1" applyFont="1" applyBorder="1" applyAlignment="1">
      <alignment horizontal="center" vertical="center"/>
    </xf>
    <xf numFmtId="167" fontId="0" fillId="0" borderId="7" xfId="1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5" fillId="15" borderId="7" xfId="2" applyFont="1" applyFill="1" applyBorder="1" applyAlignment="1">
      <alignment horizontal="center" vertical="center" wrapText="1"/>
    </xf>
    <xf numFmtId="164" fontId="0" fillId="16" borderId="7" xfId="0" applyNumberFormat="1" applyFill="1" applyBorder="1" applyAlignment="1">
      <alignment horizontal="center" vertical="center"/>
    </xf>
    <xf numFmtId="164" fontId="0" fillId="16" borderId="10" xfId="0" applyNumberFormat="1" applyFill="1" applyBorder="1" applyAlignment="1">
      <alignment horizontal="center" vertical="center"/>
    </xf>
    <xf numFmtId="165" fontId="0" fillId="5" borderId="10" xfId="0" applyNumberFormat="1" applyFill="1" applyBorder="1" applyAlignment="1">
      <alignment horizontal="center" vertical="center"/>
    </xf>
    <xf numFmtId="164" fontId="0" fillId="5" borderId="10" xfId="0" applyNumberFormat="1" applyFill="1" applyBorder="1" applyAlignment="1">
      <alignment horizontal="center" vertical="center"/>
    </xf>
    <xf numFmtId="165" fontId="0" fillId="6" borderId="10" xfId="0" applyNumberFormat="1" applyFill="1" applyBorder="1" applyAlignment="1">
      <alignment horizontal="center" vertical="center"/>
    </xf>
    <xf numFmtId="166" fontId="0" fillId="5" borderId="10" xfId="0" applyNumberFormat="1" applyFill="1" applyBorder="1" applyAlignment="1">
      <alignment horizontal="center" vertical="center"/>
    </xf>
    <xf numFmtId="164" fontId="0" fillId="16" borderId="12" xfId="0" applyNumberFormat="1" applyFill="1" applyBorder="1" applyAlignment="1">
      <alignment horizontal="center" vertical="center"/>
    </xf>
    <xf numFmtId="165" fontId="0" fillId="5" borderId="12" xfId="0" applyNumberFormat="1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165" fontId="0" fillId="6" borderId="12" xfId="0" applyNumberFormat="1" applyFill="1" applyBorder="1" applyAlignment="1">
      <alignment horizontal="center" vertical="center"/>
    </xf>
    <xf numFmtId="166" fontId="0" fillId="5" borderId="12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169" fontId="0" fillId="3" borderId="10" xfId="0" applyNumberFormat="1" applyFill="1" applyBorder="1" applyAlignment="1">
      <alignment horizontal="center" vertical="center"/>
    </xf>
    <xf numFmtId="0" fontId="6" fillId="3" borderId="3" xfId="0" applyNumberFormat="1" applyFont="1" applyFill="1" applyBorder="1" applyAlignment="1">
      <alignment horizontal="center" vertical="center"/>
    </xf>
    <xf numFmtId="0" fontId="6" fillId="3" borderId="11" xfId="0" applyNumberFormat="1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5" fillId="15" borderId="8" xfId="2" applyFont="1" applyFill="1" applyBorder="1" applyAlignment="1">
      <alignment horizontal="center" vertical="center" wrapText="1"/>
    </xf>
    <xf numFmtId="0" fontId="5" fillId="15" borderId="5" xfId="2" applyFont="1" applyFill="1" applyBorder="1" applyAlignment="1">
      <alignment horizontal="center" vertical="center" wrapText="1"/>
    </xf>
    <xf numFmtId="0" fontId="5" fillId="15" borderId="9" xfId="2" applyFont="1" applyFill="1" applyBorder="1" applyAlignment="1">
      <alignment horizontal="center" vertical="center" wrapText="1"/>
    </xf>
    <xf numFmtId="9" fontId="0" fillId="0" borderId="6" xfId="1" applyFon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5" fillId="15" borderId="1" xfId="2" applyFont="1" applyFill="1" applyBorder="1" applyAlignment="1">
      <alignment horizontal="center" vertical="center" wrapText="1"/>
    </xf>
    <xf numFmtId="0" fontId="5" fillId="15" borderId="10" xfId="2" applyFont="1" applyFill="1" applyBorder="1" applyAlignment="1">
      <alignment horizontal="center" vertical="center" wrapText="1"/>
    </xf>
    <xf numFmtId="0" fontId="5" fillId="15" borderId="2" xfId="2" applyFont="1" applyFill="1" applyBorder="1" applyAlignment="1">
      <alignment horizontal="center" vertical="center" wrapText="1"/>
    </xf>
    <xf numFmtId="0" fontId="5" fillId="15" borderId="11" xfId="2" applyFont="1" applyFill="1" applyBorder="1" applyAlignment="1">
      <alignment horizontal="center" vertical="center" wrapText="1"/>
    </xf>
    <xf numFmtId="0" fontId="5" fillId="15" borderId="12" xfId="2" applyFont="1" applyFill="1" applyBorder="1" applyAlignment="1">
      <alignment horizontal="center" vertical="center" wrapText="1"/>
    </xf>
    <xf numFmtId="0" fontId="5" fillId="15" borderId="13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6A241A95-E274-4C05-9030-FA9CCBDEEA62}"/>
    <cellStyle name="Porcentaje" xfId="1" builtinId="5"/>
  </cellStyles>
  <dxfs count="7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theme="7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theme="7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theme="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26B0A"/>
      <color rgb="FF9BBB59"/>
      <color rgb="FFFF6600"/>
      <color rgb="FFFF9E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11545</xdr:rowOff>
    </xdr:from>
    <xdr:to>
      <xdr:col>2</xdr:col>
      <xdr:colOff>311726</xdr:colOff>
      <xdr:row>0</xdr:row>
      <xdr:rowOff>679870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74695D-6653-4F82-905E-50611EA9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545"/>
          <a:ext cx="2297544" cy="668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EB12D-434B-496D-B3B6-2A588C9BB848}">
  <dimension ref="A1:HI9933"/>
  <sheetViews>
    <sheetView showGridLines="0" tabSelected="1" zoomScale="55" zoomScaleNormal="55" workbookViewId="0">
      <selection activeCell="X3" sqref="X3"/>
    </sheetView>
  </sheetViews>
  <sheetFormatPr baseColWidth="10" defaultRowHeight="14.5" x14ac:dyDescent="0.35"/>
  <cols>
    <col min="2" max="2" width="17.453125" bestFit="1" customWidth="1"/>
    <col min="3" max="3" width="18.36328125" customWidth="1"/>
    <col min="4" max="4" width="12.81640625" bestFit="1" customWidth="1"/>
    <col min="6" max="6" width="8.90625" hidden="1" customWidth="1"/>
    <col min="10" max="20" width="0" hidden="1" customWidth="1"/>
    <col min="29" max="29" width="17.453125" bestFit="1" customWidth="1"/>
    <col min="30" max="30" width="23.6328125" customWidth="1"/>
    <col min="33" max="33" width="0" hidden="1" customWidth="1"/>
    <col min="37" max="47" width="10.90625" hidden="1" customWidth="1"/>
    <col min="52" max="52" width="16.81640625" customWidth="1"/>
    <col min="55" max="70" width="11.453125" style="61"/>
    <col min="153" max="153" width="16.26953125" hidden="1" customWidth="1"/>
    <col min="154" max="154" width="20.54296875" hidden="1" customWidth="1"/>
    <col min="155" max="155" width="21.54296875" hidden="1" customWidth="1"/>
    <col min="156" max="156" width="20.26953125" hidden="1" customWidth="1"/>
    <col min="157" max="157" width="14.81640625" hidden="1" customWidth="1"/>
    <col min="158" max="158" width="16.453125" hidden="1" customWidth="1"/>
    <col min="159" max="159" width="18.7265625" hidden="1" customWidth="1"/>
    <col min="160" max="160" width="19.90625" hidden="1" customWidth="1"/>
    <col min="161" max="161" width="7.7265625" hidden="1" customWidth="1"/>
    <col min="162" max="162" width="13.81640625" hidden="1" customWidth="1"/>
    <col min="163" max="163" width="29.6328125" hidden="1" customWidth="1"/>
    <col min="164" max="164" width="41.7265625" hidden="1" customWidth="1"/>
    <col min="165" max="165" width="19.6328125" hidden="1" customWidth="1"/>
    <col min="166" max="166" width="13.6328125" hidden="1" customWidth="1"/>
    <col min="167" max="167" width="8.36328125" hidden="1" customWidth="1"/>
    <col min="168" max="168" width="0" hidden="1" customWidth="1"/>
    <col min="169" max="169" width="20.54296875" hidden="1" customWidth="1"/>
    <col min="170" max="170" width="9.81640625" hidden="1" customWidth="1"/>
    <col min="171" max="171" width="8.81640625" hidden="1" customWidth="1"/>
    <col min="172" max="172" width="5.36328125" hidden="1" customWidth="1"/>
    <col min="173" max="175" width="0" hidden="1" customWidth="1"/>
    <col min="176" max="176" width="27.1796875" style="32" hidden="1" customWidth="1"/>
    <col min="177" max="177" width="8.54296875" hidden="1" customWidth="1"/>
    <col min="178" max="178" width="8.1796875" hidden="1" customWidth="1"/>
    <col min="179" max="186" width="8.54296875" hidden="1" customWidth="1"/>
    <col min="187" max="187" width="9.36328125" hidden="1" customWidth="1"/>
    <col min="188" max="188" width="9" hidden="1" customWidth="1"/>
    <col min="189" max="196" width="9.36328125" hidden="1" customWidth="1"/>
    <col min="197" max="197" width="9.6328125" hidden="1" customWidth="1"/>
    <col min="198" max="198" width="9.36328125" hidden="1" customWidth="1"/>
    <col min="199" max="200" width="9.6328125" hidden="1" customWidth="1"/>
    <col min="201" max="202" width="8.26953125" hidden="1" customWidth="1"/>
    <col min="203" max="203" width="4.7265625" style="53" hidden="1" customWidth="1"/>
    <col min="204" max="204" width="5.453125" style="53" hidden="1" customWidth="1"/>
    <col min="205" max="205" width="5.7265625" hidden="1" customWidth="1"/>
    <col min="206" max="206" width="0" hidden="1" customWidth="1"/>
    <col min="207" max="207" width="5" hidden="1" customWidth="1"/>
    <col min="208" max="208" width="0" hidden="1" customWidth="1"/>
    <col min="209" max="209" width="15.453125" hidden="1" customWidth="1"/>
    <col min="210" max="210" width="0" style="32" hidden="1" customWidth="1"/>
    <col min="211" max="215" width="0" hidden="1" customWidth="1"/>
    <col min="216" max="216" width="26.453125" hidden="1" customWidth="1"/>
    <col min="217" max="229" width="0" hidden="1" customWidth="1"/>
  </cols>
  <sheetData>
    <row r="1" spans="1:217" ht="54" customHeight="1" x14ac:dyDescent="0.35">
      <c r="BB1" s="61"/>
      <c r="EW1" s="31" t="s">
        <v>29</v>
      </c>
      <c r="EX1" s="31" t="s">
        <v>30</v>
      </c>
      <c r="EY1" s="31" t="s">
        <v>31</v>
      </c>
      <c r="EZ1" s="31" t="s">
        <v>32</v>
      </c>
      <c r="FA1" s="31" t="s">
        <v>33</v>
      </c>
      <c r="FB1" s="31" t="s">
        <v>34</v>
      </c>
      <c r="FC1" s="31" t="s">
        <v>35</v>
      </c>
      <c r="FD1" s="31" t="s">
        <v>36</v>
      </c>
      <c r="FE1" s="31" t="s">
        <v>37</v>
      </c>
      <c r="FF1" s="31" t="s">
        <v>38</v>
      </c>
      <c r="FG1" s="31" t="s">
        <v>39</v>
      </c>
      <c r="FH1" s="31" t="s">
        <v>40</v>
      </c>
      <c r="FI1" s="31" t="s">
        <v>41</v>
      </c>
      <c r="FJ1" s="31" t="s">
        <v>42</v>
      </c>
      <c r="FM1" s="32" t="s">
        <v>43</v>
      </c>
      <c r="FN1" t="s">
        <v>44</v>
      </c>
      <c r="FO1" t="s">
        <v>45</v>
      </c>
      <c r="FP1" t="str">
        <f t="shared" ref="FP1:FP64" si="0">VLOOKUP(FO1,EX:FF,9,0)</f>
        <v>B</v>
      </c>
      <c r="FT1" s="66"/>
      <c r="FU1" s="50" t="s">
        <v>7455</v>
      </c>
      <c r="FV1" s="50"/>
      <c r="FW1" s="50"/>
      <c r="FX1" s="50"/>
      <c r="FY1" s="50"/>
      <c r="FZ1" s="50"/>
      <c r="GA1" s="50"/>
      <c r="GB1" s="50"/>
      <c r="GC1" s="50"/>
      <c r="GD1" s="50"/>
      <c r="GE1" s="50"/>
      <c r="GF1" s="50"/>
      <c r="GG1" s="50"/>
      <c r="GH1" s="50"/>
      <c r="GI1" s="50"/>
      <c r="GJ1" s="50"/>
      <c r="GK1" s="50"/>
      <c r="GL1" s="50"/>
      <c r="GM1" s="50"/>
      <c r="GN1" s="50"/>
      <c r="GO1" s="50"/>
      <c r="GP1" s="50"/>
      <c r="GQ1" s="50"/>
      <c r="GR1" s="50"/>
      <c r="GS1" s="50"/>
      <c r="GT1" s="50"/>
      <c r="GU1" s="50">
        <v>84</v>
      </c>
      <c r="GV1" s="50">
        <v>85</v>
      </c>
      <c r="GW1" s="50">
        <v>86</v>
      </c>
      <c r="GY1" t="s">
        <v>7347</v>
      </c>
      <c r="GZ1" t="s">
        <v>7348</v>
      </c>
      <c r="HA1" t="s">
        <v>7349</v>
      </c>
      <c r="HB1" s="32" t="s">
        <v>7350</v>
      </c>
      <c r="HF1" t="s">
        <v>7381</v>
      </c>
      <c r="HG1" t="s">
        <v>7382</v>
      </c>
      <c r="HH1" s="62" t="s">
        <v>0</v>
      </c>
      <c r="HI1" s="63" t="s">
        <v>7383</v>
      </c>
    </row>
    <row r="2" spans="1:217" ht="15" thickBot="1" x14ac:dyDescent="0.4">
      <c r="BB2" s="61"/>
      <c r="EW2" t="s">
        <v>46</v>
      </c>
      <c r="EX2" s="33" t="s">
        <v>47</v>
      </c>
      <c r="EY2" s="33" t="s">
        <v>48</v>
      </c>
      <c r="EZ2" s="33" t="s">
        <v>48</v>
      </c>
      <c r="FA2" s="33" t="s">
        <v>48</v>
      </c>
      <c r="FB2" s="33" t="s">
        <v>48</v>
      </c>
      <c r="FC2" s="33" t="s">
        <v>48</v>
      </c>
      <c r="FD2" s="33" t="s">
        <v>48</v>
      </c>
      <c r="FE2" s="33" t="s">
        <v>48</v>
      </c>
      <c r="FF2" s="33" t="s">
        <v>48</v>
      </c>
      <c r="FG2" s="33" t="s">
        <v>48</v>
      </c>
      <c r="FH2" s="33" t="s">
        <v>48</v>
      </c>
      <c r="FI2" s="33" t="s">
        <v>48</v>
      </c>
      <c r="FM2" s="32" t="s">
        <v>43</v>
      </c>
      <c r="FN2" t="s">
        <v>44</v>
      </c>
      <c r="FO2" t="s">
        <v>45</v>
      </c>
      <c r="FP2" t="str">
        <f t="shared" si="0"/>
        <v>B</v>
      </c>
      <c r="FT2" s="67" t="s">
        <v>7351</v>
      </c>
      <c r="FU2" s="51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Y2" t="s">
        <v>7453</v>
      </c>
      <c r="GZ2" s="64" t="s">
        <v>7388</v>
      </c>
      <c r="HA2" s="64" t="s">
        <v>7388</v>
      </c>
      <c r="HB2" s="65">
        <v>3</v>
      </c>
      <c r="HF2" t="s">
        <v>7384</v>
      </c>
      <c r="HG2" s="64" t="s">
        <v>7388</v>
      </c>
      <c r="HH2" s="44" t="s">
        <v>7385</v>
      </c>
      <c r="HI2" s="32">
        <v>801</v>
      </c>
    </row>
    <row r="3" spans="1:217" x14ac:dyDescent="0.35">
      <c r="B3" s="78" t="s">
        <v>0</v>
      </c>
      <c r="C3" s="1"/>
      <c r="AC3" s="78" t="s">
        <v>0</v>
      </c>
      <c r="AD3" s="1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EW3" t="s">
        <v>46</v>
      </c>
      <c r="EX3" s="33">
        <v>1000</v>
      </c>
      <c r="EY3" s="33" t="s">
        <v>49</v>
      </c>
      <c r="EZ3" s="33" t="s">
        <v>50</v>
      </c>
      <c r="FA3" s="33" t="s">
        <v>51</v>
      </c>
      <c r="FB3" s="33" t="s">
        <v>52</v>
      </c>
      <c r="FC3" s="33" t="s">
        <v>53</v>
      </c>
      <c r="FD3" s="33" t="s">
        <v>54</v>
      </c>
      <c r="FE3" s="33">
        <v>2019</v>
      </c>
      <c r="FF3" s="33" t="s">
        <v>55</v>
      </c>
      <c r="FG3" s="33" t="s">
        <v>56</v>
      </c>
      <c r="FH3" s="33" t="s">
        <v>57</v>
      </c>
      <c r="FI3" s="33" t="s">
        <v>58</v>
      </c>
      <c r="FJ3" s="34" t="s">
        <v>59</v>
      </c>
      <c r="FM3" s="32" t="s">
        <v>43</v>
      </c>
      <c r="FN3" t="s">
        <v>44</v>
      </c>
      <c r="FO3" t="s">
        <v>45</v>
      </c>
      <c r="FP3" t="str">
        <f t="shared" si="0"/>
        <v>B</v>
      </c>
      <c r="FT3" s="68" t="s">
        <v>7352</v>
      </c>
      <c r="FU3" s="54" t="s">
        <v>7353</v>
      </c>
      <c r="FV3" s="54" t="s">
        <v>7354</v>
      </c>
      <c r="FW3" s="54" t="s">
        <v>7355</v>
      </c>
      <c r="FX3" s="54" t="s">
        <v>7356</v>
      </c>
      <c r="FY3" s="54" t="s">
        <v>7357</v>
      </c>
      <c r="FZ3" s="54" t="s">
        <v>7358</v>
      </c>
      <c r="GA3" s="54" t="s">
        <v>7359</v>
      </c>
      <c r="GB3" s="54" t="s">
        <v>7360</v>
      </c>
      <c r="GC3" s="54" t="s">
        <v>7361</v>
      </c>
      <c r="GD3" s="54" t="s">
        <v>7362</v>
      </c>
      <c r="GE3" s="54" t="s">
        <v>7363</v>
      </c>
      <c r="GF3" s="54" t="s">
        <v>7364</v>
      </c>
      <c r="GG3" s="54" t="s">
        <v>7365</v>
      </c>
      <c r="GH3" s="54" t="s">
        <v>7366</v>
      </c>
      <c r="GI3" s="54" t="s">
        <v>7367</v>
      </c>
      <c r="GJ3" s="54" t="s">
        <v>7368</v>
      </c>
      <c r="GK3" s="54" t="s">
        <v>7369</v>
      </c>
      <c r="GL3" s="54" t="s">
        <v>7370</v>
      </c>
      <c r="GM3" s="54" t="s">
        <v>7371</v>
      </c>
      <c r="GN3" s="54" t="s">
        <v>7372</v>
      </c>
      <c r="GO3" s="54" t="s">
        <v>7373</v>
      </c>
      <c r="GP3" s="54" t="s">
        <v>7374</v>
      </c>
      <c r="GQ3" s="54" t="s">
        <v>7375</v>
      </c>
      <c r="GR3" s="54" t="s">
        <v>7376</v>
      </c>
      <c r="GS3" s="55"/>
      <c r="GT3" s="55"/>
      <c r="GV3" s="56"/>
      <c r="GW3" s="55"/>
      <c r="GX3" s="55"/>
      <c r="GY3" t="s">
        <v>7453</v>
      </c>
      <c r="GZ3" s="64" t="s">
        <v>7396</v>
      </c>
      <c r="HA3" s="64" t="s">
        <v>7396</v>
      </c>
      <c r="HB3" s="32">
        <v>4</v>
      </c>
      <c r="HF3" t="s">
        <v>7384</v>
      </c>
      <c r="HG3" s="64" t="s">
        <v>7396</v>
      </c>
      <c r="HH3" s="44" t="s">
        <v>7395</v>
      </c>
      <c r="HI3" s="32">
        <v>803</v>
      </c>
    </row>
    <row r="4" spans="1:217" x14ac:dyDescent="0.35">
      <c r="B4" s="79" t="s">
        <v>1</v>
      </c>
      <c r="C4" s="2"/>
      <c r="AC4" s="79" t="s">
        <v>1</v>
      </c>
      <c r="AD4" s="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EW4" t="s">
        <v>46</v>
      </c>
      <c r="EX4" s="33">
        <v>1096</v>
      </c>
      <c r="EY4" s="33" t="s">
        <v>60</v>
      </c>
      <c r="EZ4" s="33" t="s">
        <v>61</v>
      </c>
      <c r="FA4" s="33" t="s">
        <v>51</v>
      </c>
      <c r="FB4" s="33" t="s">
        <v>52</v>
      </c>
      <c r="FC4" s="33" t="s">
        <v>53</v>
      </c>
      <c r="FD4" s="33" t="s">
        <v>54</v>
      </c>
      <c r="FE4" s="33">
        <v>2019</v>
      </c>
      <c r="FF4" s="33" t="s">
        <v>55</v>
      </c>
      <c r="FG4" s="33" t="s">
        <v>56</v>
      </c>
      <c r="FH4" s="33" t="s">
        <v>57</v>
      </c>
      <c r="FI4" s="33" t="s">
        <v>58</v>
      </c>
      <c r="FJ4" t="s">
        <v>59</v>
      </c>
      <c r="FM4" s="32" t="s">
        <v>43</v>
      </c>
      <c r="FN4" t="s">
        <v>44</v>
      </c>
      <c r="FO4" t="s">
        <v>45</v>
      </c>
      <c r="FP4" t="str">
        <f t="shared" si="0"/>
        <v>B</v>
      </c>
      <c r="FT4" s="68" t="s">
        <v>7377</v>
      </c>
      <c r="FU4" s="57">
        <v>0</v>
      </c>
      <c r="FV4" s="57">
        <v>4.1666666666666664E-2</v>
      </c>
      <c r="FW4" s="57">
        <v>8.3333333333333301E-2</v>
      </c>
      <c r="FX4" s="57">
        <v>0.125</v>
      </c>
      <c r="FY4" s="57">
        <v>0.16666666666666699</v>
      </c>
      <c r="FZ4" s="57">
        <v>0.20833333333333301</v>
      </c>
      <c r="GA4" s="57">
        <v>0.25</v>
      </c>
      <c r="GB4" s="57">
        <v>0.29166666666666669</v>
      </c>
      <c r="GC4" s="57">
        <v>0.33333333333333298</v>
      </c>
      <c r="GD4" s="57">
        <v>0.375</v>
      </c>
      <c r="GE4" s="57">
        <v>0.41666666666666702</v>
      </c>
      <c r="GF4" s="57">
        <v>0.45833333333333298</v>
      </c>
      <c r="GG4" s="57">
        <v>0.5</v>
      </c>
      <c r="GH4" s="57">
        <v>0.54166666666666696</v>
      </c>
      <c r="GI4" s="57">
        <v>0.58333333333333304</v>
      </c>
      <c r="GJ4" s="57">
        <v>0.625</v>
      </c>
      <c r="GK4" s="57">
        <v>0.66666666666666696</v>
      </c>
      <c r="GL4" s="57">
        <v>0.70833333333333304</v>
      </c>
      <c r="GM4" s="57">
        <v>0.75</v>
      </c>
      <c r="GN4" s="57">
        <v>0.79166666666666696</v>
      </c>
      <c r="GO4" s="57">
        <v>0.83333333333333304</v>
      </c>
      <c r="GP4" s="57">
        <v>0.875</v>
      </c>
      <c r="GQ4" s="57">
        <v>0.91666666666666696</v>
      </c>
      <c r="GR4" s="57">
        <v>0.95833333333333304</v>
      </c>
      <c r="GS4" s="58"/>
      <c r="GT4" s="58"/>
      <c r="GU4" s="53">
        <v>1</v>
      </c>
      <c r="GV4" s="56"/>
      <c r="GW4" s="55"/>
      <c r="GX4" s="55"/>
      <c r="GY4" t="s">
        <v>7453</v>
      </c>
      <c r="GZ4" s="64">
        <v>105</v>
      </c>
      <c r="HA4" s="64">
        <v>105</v>
      </c>
      <c r="HB4" s="32">
        <v>5</v>
      </c>
      <c r="HF4" t="s">
        <v>7384</v>
      </c>
      <c r="HG4" s="64">
        <v>105</v>
      </c>
      <c r="HH4" s="44" t="s">
        <v>7395</v>
      </c>
      <c r="HI4" s="32">
        <v>805</v>
      </c>
    </row>
    <row r="5" spans="1:217" x14ac:dyDescent="0.35">
      <c r="B5" s="79" t="s">
        <v>2</v>
      </c>
      <c r="C5" s="2"/>
      <c r="AC5" s="79" t="s">
        <v>2</v>
      </c>
      <c r="AD5" s="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EW5" t="s">
        <v>46</v>
      </c>
      <c r="EX5" s="33">
        <v>1002</v>
      </c>
      <c r="EY5" s="33" t="s">
        <v>62</v>
      </c>
      <c r="EZ5" s="33" t="s">
        <v>63</v>
      </c>
      <c r="FA5" s="33" t="s">
        <v>51</v>
      </c>
      <c r="FB5" s="33" t="s">
        <v>52</v>
      </c>
      <c r="FC5" s="33" t="s">
        <v>53</v>
      </c>
      <c r="FD5" s="33" t="s">
        <v>54</v>
      </c>
      <c r="FE5" s="33">
        <v>2019</v>
      </c>
      <c r="FF5" s="33" t="s">
        <v>55</v>
      </c>
      <c r="FG5" s="33" t="s">
        <v>56</v>
      </c>
      <c r="FH5" s="33" t="s">
        <v>57</v>
      </c>
      <c r="FI5" s="33" t="s">
        <v>58</v>
      </c>
      <c r="FJ5" t="s">
        <v>59</v>
      </c>
      <c r="FM5" s="32" t="s">
        <v>43</v>
      </c>
      <c r="FN5" t="s">
        <v>44</v>
      </c>
      <c r="FO5" t="s">
        <v>45</v>
      </c>
      <c r="FP5" t="str">
        <f t="shared" si="0"/>
        <v>B</v>
      </c>
      <c r="FT5" s="68" t="s">
        <v>7378</v>
      </c>
      <c r="FU5" s="59">
        <v>1</v>
      </c>
      <c r="FV5" s="59">
        <v>1</v>
      </c>
      <c r="FW5" s="59">
        <v>1</v>
      </c>
      <c r="FX5" s="59">
        <v>1</v>
      </c>
      <c r="FY5" s="59">
        <v>1</v>
      </c>
      <c r="FZ5" s="59">
        <v>1</v>
      </c>
      <c r="GA5" s="59">
        <v>1</v>
      </c>
      <c r="GB5" s="59">
        <v>1</v>
      </c>
      <c r="GC5" s="59">
        <v>1</v>
      </c>
      <c r="GD5" s="59">
        <v>1</v>
      </c>
      <c r="GE5" s="59">
        <v>1</v>
      </c>
      <c r="GF5" s="59">
        <v>1</v>
      </c>
      <c r="GG5" s="59">
        <v>1</v>
      </c>
      <c r="GH5" s="59">
        <v>1</v>
      </c>
      <c r="GI5" s="59">
        <v>1</v>
      </c>
      <c r="GJ5" s="59">
        <v>1</v>
      </c>
      <c r="GK5" s="59">
        <v>1</v>
      </c>
      <c r="GL5" s="59">
        <v>1</v>
      </c>
      <c r="GM5" s="59">
        <v>1</v>
      </c>
      <c r="GN5" s="59">
        <v>1</v>
      </c>
      <c r="GO5" s="59">
        <v>1</v>
      </c>
      <c r="GP5" s="59">
        <v>1</v>
      </c>
      <c r="GQ5" s="59">
        <v>1</v>
      </c>
      <c r="GR5" s="59">
        <v>1</v>
      </c>
      <c r="GS5" s="55"/>
      <c r="GT5" s="55"/>
      <c r="GU5" s="53">
        <v>2</v>
      </c>
      <c r="GV5" s="56"/>
      <c r="GW5" s="55"/>
      <c r="GX5" s="55"/>
      <c r="GY5" t="s">
        <v>7453</v>
      </c>
      <c r="GZ5" s="64" t="s">
        <v>7403</v>
      </c>
      <c r="HA5" s="64" t="s">
        <v>7403</v>
      </c>
      <c r="HB5" s="32">
        <v>8</v>
      </c>
      <c r="HF5" t="s">
        <v>7384</v>
      </c>
      <c r="HG5" s="64" t="s">
        <v>7403</v>
      </c>
      <c r="HH5" s="44" t="s">
        <v>7402</v>
      </c>
      <c r="HI5" s="32">
        <v>807</v>
      </c>
    </row>
    <row r="6" spans="1:217" ht="15" thickBot="1" x14ac:dyDescent="0.4">
      <c r="B6" s="99" t="s">
        <v>3</v>
      </c>
      <c r="C6" s="98"/>
      <c r="AC6" s="99" t="s">
        <v>3</v>
      </c>
      <c r="AD6" s="98"/>
      <c r="BC6" s="72"/>
      <c r="BD6" s="72"/>
      <c r="BE6" s="72"/>
      <c r="BF6" s="72"/>
      <c r="BG6" s="72"/>
      <c r="BH6" s="72"/>
      <c r="BI6" s="72"/>
      <c r="BJ6" s="72"/>
      <c r="BK6" s="72"/>
      <c r="BL6" s="72"/>
      <c r="BM6" s="72"/>
      <c r="BN6" s="72"/>
      <c r="BO6" s="72"/>
      <c r="BP6" s="72"/>
      <c r="BQ6" s="72"/>
      <c r="BR6" s="72"/>
      <c r="EW6" t="s">
        <v>46</v>
      </c>
      <c r="EX6" s="33">
        <v>1003</v>
      </c>
      <c r="EY6" s="33" t="s">
        <v>64</v>
      </c>
      <c r="EZ6" s="33" t="s">
        <v>65</v>
      </c>
      <c r="FA6" s="33" t="s">
        <v>51</v>
      </c>
      <c r="FB6" s="33" t="s">
        <v>52</v>
      </c>
      <c r="FC6" s="33" t="s">
        <v>53</v>
      </c>
      <c r="FD6" s="33" t="s">
        <v>54</v>
      </c>
      <c r="FE6" s="33">
        <v>2019</v>
      </c>
      <c r="FF6" s="33" t="s">
        <v>55</v>
      </c>
      <c r="FG6" s="33" t="s">
        <v>56</v>
      </c>
      <c r="FH6" s="33" t="s">
        <v>57</v>
      </c>
      <c r="FI6" s="33" t="s">
        <v>58</v>
      </c>
      <c r="FJ6" t="s">
        <v>59</v>
      </c>
      <c r="FM6" s="32" t="s">
        <v>66</v>
      </c>
      <c r="FN6" t="s">
        <v>67</v>
      </c>
      <c r="FO6" t="s">
        <v>68</v>
      </c>
      <c r="FP6" t="str">
        <f t="shared" si="0"/>
        <v>B</v>
      </c>
      <c r="FT6" s="69" t="s">
        <v>7388</v>
      </c>
      <c r="FU6" s="60">
        <v>28.92</v>
      </c>
      <c r="FV6" s="60">
        <v>0</v>
      </c>
      <c r="FW6" s="60">
        <v>0</v>
      </c>
      <c r="FX6" s="60">
        <v>0</v>
      </c>
      <c r="FY6" s="60">
        <v>0</v>
      </c>
      <c r="FZ6" s="60">
        <v>8.85</v>
      </c>
      <c r="GA6" s="60">
        <v>15.76</v>
      </c>
      <c r="GB6" s="32">
        <v>13.79</v>
      </c>
      <c r="GC6" s="32">
        <v>14.870000000000001</v>
      </c>
      <c r="GD6" s="32">
        <v>16.63</v>
      </c>
      <c r="GE6" s="60">
        <v>16.95</v>
      </c>
      <c r="GF6" s="60">
        <v>16.38</v>
      </c>
      <c r="GG6" s="60">
        <v>15.68</v>
      </c>
      <c r="GH6" s="60">
        <v>15.93</v>
      </c>
      <c r="GI6" s="60">
        <v>16.02</v>
      </c>
      <c r="GJ6" s="60">
        <v>15.484999999999999</v>
      </c>
      <c r="GK6" s="60">
        <v>14.684999999999999</v>
      </c>
      <c r="GL6" s="60">
        <v>13.585000000000001</v>
      </c>
      <c r="GM6" s="60">
        <v>14.309999999999999</v>
      </c>
      <c r="GN6" s="60">
        <v>16.509999999999998</v>
      </c>
      <c r="GO6" s="60">
        <v>18.045000000000002</v>
      </c>
      <c r="GP6" s="60">
        <v>19.45</v>
      </c>
      <c r="GQ6" s="60">
        <v>22.085000000000001</v>
      </c>
      <c r="GR6" s="60">
        <v>24.734999999999999</v>
      </c>
      <c r="GU6" s="53">
        <v>3</v>
      </c>
      <c r="GY6" t="s">
        <v>7453</v>
      </c>
      <c r="GZ6" s="64" t="s">
        <v>7404</v>
      </c>
      <c r="HA6" s="64" t="s">
        <v>7404</v>
      </c>
      <c r="HB6" s="32">
        <v>10</v>
      </c>
      <c r="HF6" t="s">
        <v>7384</v>
      </c>
      <c r="HG6" s="64" t="s">
        <v>7404</v>
      </c>
      <c r="HH6" s="44" t="s">
        <v>7402</v>
      </c>
      <c r="HI6" s="32">
        <v>808</v>
      </c>
    </row>
    <row r="7" spans="1:217" x14ac:dyDescent="0.35">
      <c r="BC7" s="72"/>
      <c r="BD7" s="72"/>
      <c r="BE7" s="72"/>
      <c r="BF7" s="72"/>
      <c r="BG7" s="72"/>
      <c r="BH7" s="72"/>
      <c r="BI7" s="72"/>
      <c r="BJ7" s="72"/>
      <c r="BK7" s="72"/>
      <c r="BL7" s="72"/>
      <c r="BM7" s="72"/>
      <c r="BN7" s="72"/>
      <c r="BO7" s="72"/>
      <c r="BP7" s="72"/>
      <c r="BQ7" s="72"/>
      <c r="BR7" s="72"/>
      <c r="EW7" t="s">
        <v>46</v>
      </c>
      <c r="EX7" s="33">
        <v>1004</v>
      </c>
      <c r="EY7" s="33" t="s">
        <v>69</v>
      </c>
      <c r="EZ7" s="33" t="s">
        <v>70</v>
      </c>
      <c r="FA7" s="33" t="s">
        <v>51</v>
      </c>
      <c r="FB7" s="33" t="s">
        <v>52</v>
      </c>
      <c r="FC7" s="33" t="s">
        <v>53</v>
      </c>
      <c r="FD7" s="33" t="s">
        <v>54</v>
      </c>
      <c r="FE7" s="33">
        <v>2019</v>
      </c>
      <c r="FF7" s="33" t="s">
        <v>55</v>
      </c>
      <c r="FG7" s="33" t="s">
        <v>71</v>
      </c>
      <c r="FH7" s="33" t="s">
        <v>72</v>
      </c>
      <c r="FI7" s="33" t="s">
        <v>73</v>
      </c>
      <c r="FJ7" t="s">
        <v>59</v>
      </c>
      <c r="FM7" s="32" t="s">
        <v>66</v>
      </c>
      <c r="FN7" t="s">
        <v>67</v>
      </c>
      <c r="FO7" t="s">
        <v>68</v>
      </c>
      <c r="FP7" t="str">
        <f t="shared" si="0"/>
        <v>B</v>
      </c>
      <c r="FT7" s="69" t="s">
        <v>7396</v>
      </c>
      <c r="FU7" s="60">
        <v>0</v>
      </c>
      <c r="FV7" s="60">
        <v>0</v>
      </c>
      <c r="FW7" s="60">
        <v>0</v>
      </c>
      <c r="FX7" s="60">
        <v>0</v>
      </c>
      <c r="FY7" s="60">
        <v>0</v>
      </c>
      <c r="FZ7" s="60">
        <v>17.585000000000001</v>
      </c>
      <c r="GA7" s="60">
        <v>14.574999999999999</v>
      </c>
      <c r="GB7" s="32">
        <v>14.64</v>
      </c>
      <c r="GC7" s="32">
        <v>15.78</v>
      </c>
      <c r="GD7" s="32">
        <v>16.399999999999999</v>
      </c>
      <c r="GE7" s="60">
        <v>16.009999999999998</v>
      </c>
      <c r="GF7" s="60">
        <v>15.555</v>
      </c>
      <c r="GG7" s="60">
        <v>15.34</v>
      </c>
      <c r="GH7" s="60">
        <v>15.045</v>
      </c>
      <c r="GI7" s="60">
        <v>14.625</v>
      </c>
      <c r="GJ7" s="60">
        <v>14.175000000000001</v>
      </c>
      <c r="GK7" s="60">
        <v>13.545</v>
      </c>
      <c r="GL7" s="60">
        <v>13.395</v>
      </c>
      <c r="GM7" s="60">
        <v>15.2</v>
      </c>
      <c r="GN7" s="60">
        <v>16.954999999999998</v>
      </c>
      <c r="GO7" s="60">
        <v>18.274999999999999</v>
      </c>
      <c r="GP7" s="60">
        <v>19.905000000000001</v>
      </c>
      <c r="GQ7" s="60">
        <v>21.615000000000002</v>
      </c>
      <c r="GR7" s="60">
        <v>0</v>
      </c>
      <c r="GU7" s="53">
        <v>4</v>
      </c>
      <c r="GV7" s="53">
        <v>1</v>
      </c>
      <c r="GY7" t="s">
        <v>7453</v>
      </c>
      <c r="GZ7" s="64" t="s">
        <v>7397</v>
      </c>
      <c r="HA7" s="64" t="s">
        <v>7397</v>
      </c>
      <c r="HB7" s="32">
        <v>12</v>
      </c>
      <c r="HF7" t="s">
        <v>7384</v>
      </c>
      <c r="HG7" s="64" t="s">
        <v>7397</v>
      </c>
      <c r="HH7" s="44" t="s">
        <v>7395</v>
      </c>
      <c r="HI7" s="32">
        <v>809</v>
      </c>
    </row>
    <row r="8" spans="1:217" x14ac:dyDescent="0.35"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2"/>
      <c r="BQ8" s="72"/>
      <c r="BR8" s="72"/>
      <c r="EW8" t="s">
        <v>46</v>
      </c>
      <c r="EX8" s="33">
        <v>1005</v>
      </c>
      <c r="EY8" s="33" t="s">
        <v>74</v>
      </c>
      <c r="EZ8" s="33" t="s">
        <v>75</v>
      </c>
      <c r="FA8" s="33" t="s">
        <v>51</v>
      </c>
      <c r="FB8" s="33" t="s">
        <v>52</v>
      </c>
      <c r="FC8" s="33" t="s">
        <v>53</v>
      </c>
      <c r="FD8" s="33" t="s">
        <v>54</v>
      </c>
      <c r="FE8" s="33">
        <v>2019</v>
      </c>
      <c r="FF8" s="33" t="s">
        <v>55</v>
      </c>
      <c r="FG8" s="33" t="s">
        <v>71</v>
      </c>
      <c r="FH8" s="33" t="s">
        <v>72</v>
      </c>
      <c r="FI8" s="33" t="s">
        <v>73</v>
      </c>
      <c r="FJ8" t="s">
        <v>59</v>
      </c>
      <c r="FM8" s="32" t="s">
        <v>66</v>
      </c>
      <c r="FN8" t="s">
        <v>67</v>
      </c>
      <c r="FO8" t="s">
        <v>68</v>
      </c>
      <c r="FP8" t="str">
        <f t="shared" si="0"/>
        <v>B</v>
      </c>
      <c r="FT8" s="69">
        <v>105</v>
      </c>
      <c r="FU8" s="60">
        <v>0</v>
      </c>
      <c r="FV8" s="60">
        <v>0</v>
      </c>
      <c r="FW8" s="60">
        <v>0</v>
      </c>
      <c r="FX8" s="60">
        <v>0</v>
      </c>
      <c r="FY8" s="60">
        <v>0</v>
      </c>
      <c r="FZ8" s="60">
        <v>18.435000000000002</v>
      </c>
      <c r="GA8" s="60">
        <v>15.275</v>
      </c>
      <c r="GB8" s="60">
        <v>14.620000000000001</v>
      </c>
      <c r="GC8" s="60">
        <v>16.634999999999998</v>
      </c>
      <c r="GD8" s="60">
        <v>17.049999999999997</v>
      </c>
      <c r="GE8" s="60">
        <v>16.82</v>
      </c>
      <c r="GF8" s="60">
        <v>16.61</v>
      </c>
      <c r="GG8" s="60">
        <v>16.310000000000002</v>
      </c>
      <c r="GH8" s="60">
        <v>16.055</v>
      </c>
      <c r="GI8" s="60">
        <v>15.29</v>
      </c>
      <c r="GJ8" s="60">
        <v>14.71</v>
      </c>
      <c r="GK8" s="60">
        <v>13.055</v>
      </c>
      <c r="GL8" s="60">
        <v>12.495000000000001</v>
      </c>
      <c r="GM8" s="60">
        <v>14.34</v>
      </c>
      <c r="GN8" s="60">
        <v>16.700000000000003</v>
      </c>
      <c r="GO8" s="60">
        <v>18.440000000000001</v>
      </c>
      <c r="GP8" s="60">
        <v>19.865000000000002</v>
      </c>
      <c r="GQ8" s="60">
        <v>21.83</v>
      </c>
      <c r="GR8" s="60">
        <v>23.994999999999997</v>
      </c>
      <c r="GU8" s="53">
        <v>5</v>
      </c>
      <c r="GV8" s="53">
        <v>2</v>
      </c>
      <c r="GY8" t="s">
        <v>7453</v>
      </c>
      <c r="GZ8" s="64" t="s">
        <v>7405</v>
      </c>
      <c r="HA8" s="64" t="s">
        <v>7405</v>
      </c>
      <c r="HB8" s="32">
        <v>13</v>
      </c>
      <c r="HF8" t="s">
        <v>7384</v>
      </c>
      <c r="HG8" s="64" t="s">
        <v>7405</v>
      </c>
      <c r="HH8" s="44" t="s">
        <v>7402</v>
      </c>
      <c r="HI8" s="32">
        <v>810</v>
      </c>
    </row>
    <row r="9" spans="1:217" x14ac:dyDescent="0.35"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EW9" t="s">
        <v>46</v>
      </c>
      <c r="EX9" s="33">
        <v>1006</v>
      </c>
      <c r="EY9" s="33" t="s">
        <v>76</v>
      </c>
      <c r="EZ9" s="33" t="s">
        <v>77</v>
      </c>
      <c r="FA9" s="33" t="s">
        <v>51</v>
      </c>
      <c r="FB9" s="33" t="s">
        <v>52</v>
      </c>
      <c r="FC9" s="33" t="s">
        <v>53</v>
      </c>
      <c r="FD9" s="33" t="s">
        <v>54</v>
      </c>
      <c r="FE9" s="33">
        <v>2019</v>
      </c>
      <c r="FF9" s="33" t="s">
        <v>55</v>
      </c>
      <c r="FG9" s="33" t="s">
        <v>71</v>
      </c>
      <c r="FH9" s="33" t="s">
        <v>72</v>
      </c>
      <c r="FI9" s="33" t="s">
        <v>73</v>
      </c>
      <c r="FJ9" t="s">
        <v>59</v>
      </c>
      <c r="FM9" s="32" t="s">
        <v>66</v>
      </c>
      <c r="FN9" t="s">
        <v>67</v>
      </c>
      <c r="FO9" t="s">
        <v>68</v>
      </c>
      <c r="FP9" t="str">
        <f t="shared" si="0"/>
        <v>B</v>
      </c>
      <c r="FT9" s="69">
        <v>105</v>
      </c>
      <c r="FU9" s="60">
        <v>0</v>
      </c>
      <c r="FV9" s="60">
        <v>0</v>
      </c>
      <c r="FW9" s="60">
        <v>0</v>
      </c>
      <c r="FX9" s="60">
        <v>0</v>
      </c>
      <c r="FY9" s="60">
        <v>0</v>
      </c>
      <c r="FZ9" s="60">
        <v>19.510000000000002</v>
      </c>
      <c r="GA9" s="60">
        <v>15.234999999999999</v>
      </c>
      <c r="GB9" s="60">
        <v>14.655000000000001</v>
      </c>
      <c r="GC9" s="60">
        <v>16.619999999999997</v>
      </c>
      <c r="GD9" s="60">
        <v>17.48</v>
      </c>
      <c r="GE9" s="60">
        <v>17.009999999999998</v>
      </c>
      <c r="GF9" s="60">
        <v>16.145</v>
      </c>
      <c r="GG9" s="60">
        <v>15.605</v>
      </c>
      <c r="GH9" s="60">
        <v>16.079999999999998</v>
      </c>
      <c r="GI9" s="60">
        <v>15.86</v>
      </c>
      <c r="GJ9" s="60">
        <v>15.355</v>
      </c>
      <c r="GK9" s="60">
        <v>14.66</v>
      </c>
      <c r="GL9" s="60">
        <v>13.605</v>
      </c>
      <c r="GM9" s="60">
        <v>14.395</v>
      </c>
      <c r="GN9" s="60">
        <v>17.055</v>
      </c>
      <c r="GO9" s="60">
        <v>18.48</v>
      </c>
      <c r="GP9" s="60">
        <v>19.234999999999999</v>
      </c>
      <c r="GQ9" s="60">
        <v>20.844999999999999</v>
      </c>
      <c r="GR9" s="60">
        <v>22.865000000000002</v>
      </c>
      <c r="GU9" s="53">
        <v>6</v>
      </c>
      <c r="GV9" s="53">
        <v>3</v>
      </c>
      <c r="GY9" t="s">
        <v>7453</v>
      </c>
      <c r="GZ9" s="64">
        <v>120</v>
      </c>
      <c r="HA9" s="64">
        <v>120</v>
      </c>
      <c r="HB9" s="32">
        <v>14</v>
      </c>
      <c r="HF9" t="s">
        <v>7384</v>
      </c>
      <c r="HG9" s="64">
        <v>120</v>
      </c>
      <c r="HH9" s="44" t="s">
        <v>7385</v>
      </c>
      <c r="HI9" s="32">
        <v>812</v>
      </c>
    </row>
    <row r="10" spans="1:217" ht="15" thickBot="1" x14ac:dyDescent="0.4">
      <c r="BC10" s="72"/>
      <c r="BD10" s="72"/>
      <c r="BE10" s="72"/>
      <c r="BF10" s="72"/>
      <c r="BG10" s="72"/>
      <c r="BH10" s="72"/>
      <c r="BI10" s="72"/>
      <c r="BJ10" s="72"/>
      <c r="BK10" s="72"/>
      <c r="BL10" s="72"/>
      <c r="BM10" s="72"/>
      <c r="BN10" s="72"/>
      <c r="BO10" s="72"/>
      <c r="BP10" s="72"/>
      <c r="BQ10" s="72"/>
      <c r="BR10" s="72"/>
      <c r="EW10" t="s">
        <v>46</v>
      </c>
      <c r="EX10" s="33">
        <v>1007</v>
      </c>
      <c r="EY10" s="33" t="s">
        <v>78</v>
      </c>
      <c r="EZ10" s="33" t="s">
        <v>79</v>
      </c>
      <c r="FA10" s="33" t="s">
        <v>51</v>
      </c>
      <c r="FB10" s="33" t="s">
        <v>52</v>
      </c>
      <c r="FC10" s="33" t="s">
        <v>53</v>
      </c>
      <c r="FD10" s="33" t="s">
        <v>54</v>
      </c>
      <c r="FE10" s="33">
        <v>2019</v>
      </c>
      <c r="FF10" s="33" t="s">
        <v>55</v>
      </c>
      <c r="FG10" s="33" t="s">
        <v>56</v>
      </c>
      <c r="FH10" s="33" t="s">
        <v>57</v>
      </c>
      <c r="FI10" s="33" t="s">
        <v>58</v>
      </c>
      <c r="FJ10" t="s">
        <v>59</v>
      </c>
      <c r="FM10" s="32" t="s">
        <v>66</v>
      </c>
      <c r="FN10" t="s">
        <v>67</v>
      </c>
      <c r="FO10" t="s">
        <v>68</v>
      </c>
      <c r="FP10" t="str">
        <f t="shared" si="0"/>
        <v>B</v>
      </c>
      <c r="FT10" s="69" t="s">
        <v>7392</v>
      </c>
      <c r="FU10" s="60">
        <v>0</v>
      </c>
      <c r="FV10" s="60">
        <v>0</v>
      </c>
      <c r="FW10" s="60">
        <v>0</v>
      </c>
      <c r="FX10" s="60">
        <v>0</v>
      </c>
      <c r="FY10" s="60">
        <v>0</v>
      </c>
      <c r="FZ10" s="60">
        <v>10.78</v>
      </c>
      <c r="GA10" s="60">
        <v>19.005000000000003</v>
      </c>
      <c r="GB10" s="60">
        <v>16.43</v>
      </c>
      <c r="GC10" s="60">
        <v>18.565000000000001</v>
      </c>
      <c r="GD10" s="60">
        <v>9.8049999999999997</v>
      </c>
      <c r="GE10" s="60">
        <v>0</v>
      </c>
      <c r="GF10" s="60">
        <v>0</v>
      </c>
      <c r="GG10" s="60">
        <v>0</v>
      </c>
      <c r="GH10" s="60">
        <v>0</v>
      </c>
      <c r="GI10" s="60">
        <v>0</v>
      </c>
      <c r="GJ10" s="60">
        <v>0</v>
      </c>
      <c r="GK10" s="60">
        <v>8.1150000000000002</v>
      </c>
      <c r="GL10" s="60">
        <v>14.65</v>
      </c>
      <c r="GM10" s="60">
        <v>15.24</v>
      </c>
      <c r="GN10" s="60">
        <v>18.094999999999999</v>
      </c>
      <c r="GO10" s="60">
        <v>19.5</v>
      </c>
      <c r="GP10" s="60">
        <v>0</v>
      </c>
      <c r="GQ10" s="60">
        <v>0</v>
      </c>
      <c r="GR10" s="60">
        <v>0</v>
      </c>
      <c r="GU10" s="53">
        <v>7</v>
      </c>
      <c r="GV10" s="53">
        <v>4</v>
      </c>
      <c r="GY10" t="s">
        <v>7453</v>
      </c>
      <c r="GZ10" s="64" t="s">
        <v>7406</v>
      </c>
      <c r="HA10" s="64" t="s">
        <v>7406</v>
      </c>
      <c r="HB10" s="32">
        <v>16</v>
      </c>
      <c r="HF10" t="s">
        <v>7384</v>
      </c>
      <c r="HG10" s="64" t="s">
        <v>7406</v>
      </c>
      <c r="HH10" s="44" t="s">
        <v>7402</v>
      </c>
      <c r="HI10" s="32">
        <v>813</v>
      </c>
    </row>
    <row r="11" spans="1:217" ht="15" thickBot="1" x14ac:dyDescent="0.4">
      <c r="BC11" s="106" t="str">
        <f>C4&amp;" "&amp;C5</f>
        <v xml:space="preserve"> </v>
      </c>
      <c r="BD11" s="107"/>
      <c r="BE11" s="107"/>
      <c r="BF11" s="107"/>
      <c r="BG11" s="107"/>
      <c r="BH11" s="107"/>
      <c r="BI11" s="108"/>
      <c r="BL11" s="106" t="str">
        <f>AD4&amp;" "&amp;MID(AD5,1,3)</f>
        <v xml:space="preserve"> </v>
      </c>
      <c r="BM11" s="107"/>
      <c r="BN11" s="107"/>
      <c r="BO11" s="107"/>
      <c r="BP11" s="107"/>
      <c r="BQ11" s="107"/>
      <c r="BR11" s="108"/>
      <c r="EW11" t="s">
        <v>46</v>
      </c>
      <c r="EX11" s="33">
        <v>1008</v>
      </c>
      <c r="EY11" s="33" t="s">
        <v>80</v>
      </c>
      <c r="EZ11" s="33" t="s">
        <v>81</v>
      </c>
      <c r="FA11" s="33" t="s">
        <v>51</v>
      </c>
      <c r="FB11" s="33" t="s">
        <v>52</v>
      </c>
      <c r="FC11" s="33" t="s">
        <v>53</v>
      </c>
      <c r="FD11" s="33" t="s">
        <v>54</v>
      </c>
      <c r="FE11" s="33">
        <v>2019</v>
      </c>
      <c r="FF11" s="33" t="s">
        <v>55</v>
      </c>
      <c r="FG11" s="33" t="s">
        <v>56</v>
      </c>
      <c r="FH11" s="33" t="s">
        <v>57</v>
      </c>
      <c r="FI11" s="33" t="s">
        <v>58</v>
      </c>
      <c r="FJ11" t="s">
        <v>59</v>
      </c>
      <c r="FM11" s="32" t="s">
        <v>66</v>
      </c>
      <c r="FN11" t="s">
        <v>67</v>
      </c>
      <c r="FO11" t="s">
        <v>68</v>
      </c>
      <c r="FP11" t="str">
        <f t="shared" si="0"/>
        <v>B</v>
      </c>
      <c r="FT11" s="69" t="s">
        <v>7403</v>
      </c>
      <c r="FU11" s="60">
        <v>0</v>
      </c>
      <c r="FV11" s="60">
        <v>0</v>
      </c>
      <c r="FW11" s="60">
        <v>0</v>
      </c>
      <c r="FX11" s="60">
        <v>0</v>
      </c>
      <c r="FY11" s="60">
        <v>0</v>
      </c>
      <c r="FZ11" s="60">
        <v>12.58</v>
      </c>
      <c r="GA11" s="60">
        <v>20.03</v>
      </c>
      <c r="GB11" s="60">
        <v>17.86</v>
      </c>
      <c r="GC11" s="60">
        <v>21.28</v>
      </c>
      <c r="GD11" s="60">
        <v>23.914999999999999</v>
      </c>
      <c r="GE11" s="60">
        <v>24.295000000000002</v>
      </c>
      <c r="GF11" s="60">
        <v>24.33</v>
      </c>
      <c r="GG11" s="60">
        <v>24.31</v>
      </c>
      <c r="GH11" s="60">
        <v>24.125</v>
      </c>
      <c r="GI11" s="60">
        <v>24.314999999999998</v>
      </c>
      <c r="GJ11" s="60">
        <v>23.335000000000001</v>
      </c>
      <c r="GK11" s="60">
        <v>19.745000000000001</v>
      </c>
      <c r="GL11" s="60">
        <v>15.08</v>
      </c>
      <c r="GM11" s="60">
        <v>17.465</v>
      </c>
      <c r="GN11" s="60">
        <v>23.745000000000001</v>
      </c>
      <c r="GO11" s="60">
        <v>27.27</v>
      </c>
      <c r="GP11" s="60">
        <v>29.185000000000002</v>
      </c>
      <c r="GQ11" s="60">
        <v>28.615000000000002</v>
      </c>
      <c r="GR11" s="60">
        <v>0</v>
      </c>
      <c r="GU11" s="53">
        <v>8</v>
      </c>
      <c r="GV11" s="53">
        <v>5</v>
      </c>
      <c r="GY11" t="s">
        <v>7453</v>
      </c>
      <c r="GZ11" s="64" t="s">
        <v>7407</v>
      </c>
      <c r="HA11" s="64" t="s">
        <v>7407</v>
      </c>
      <c r="HB11" s="32">
        <v>17</v>
      </c>
      <c r="HF11" t="s">
        <v>7384</v>
      </c>
      <c r="HG11" s="64" t="s">
        <v>7407</v>
      </c>
      <c r="HH11" s="44" t="s">
        <v>7402</v>
      </c>
      <c r="HI11" s="32">
        <v>816</v>
      </c>
    </row>
    <row r="12" spans="1:217" ht="52.5" thickBot="1" x14ac:dyDescent="0.4">
      <c r="A12" s="100" t="s">
        <v>4</v>
      </c>
      <c r="B12" s="101" t="s">
        <v>5</v>
      </c>
      <c r="C12" s="101" t="s">
        <v>6</v>
      </c>
      <c r="D12" s="101" t="s">
        <v>7</v>
      </c>
      <c r="E12" s="101" t="s">
        <v>8</v>
      </c>
      <c r="F12" s="101" t="s">
        <v>9</v>
      </c>
      <c r="G12" s="101" t="str">
        <f>"H Sale Terminal"&amp;""&amp;C3</f>
        <v>H Sale Terminal</v>
      </c>
      <c r="H12" s="101" t="s">
        <v>10</v>
      </c>
      <c r="I12" s="101" t="s">
        <v>11</v>
      </c>
      <c r="J12" s="101" t="s">
        <v>12</v>
      </c>
      <c r="K12" s="101" t="s">
        <v>13</v>
      </c>
      <c r="L12" s="101" t="s">
        <v>14</v>
      </c>
      <c r="M12" s="101" t="s">
        <v>15</v>
      </c>
      <c r="N12" s="101" t="s">
        <v>16</v>
      </c>
      <c r="O12" s="101" t="s">
        <v>17</v>
      </c>
      <c r="P12" s="101" t="s">
        <v>18</v>
      </c>
      <c r="Q12" s="101" t="s">
        <v>19</v>
      </c>
      <c r="R12" s="101" t="s">
        <v>20</v>
      </c>
      <c r="S12" s="101" t="s">
        <v>21</v>
      </c>
      <c r="T12" s="101" t="s">
        <v>22</v>
      </c>
      <c r="U12" s="101" t="str">
        <f>"H llegada Terminal"&amp;""&amp;AD3</f>
        <v>H llegada Terminal</v>
      </c>
      <c r="V12" s="101" t="s">
        <v>23</v>
      </c>
      <c r="W12" s="3" t="s">
        <v>24</v>
      </c>
      <c r="X12" s="101" t="s">
        <v>25</v>
      </c>
      <c r="Y12" s="102" t="s">
        <v>26</v>
      </c>
      <c r="AB12" s="100" t="s">
        <v>4</v>
      </c>
      <c r="AC12" s="101" t="s">
        <v>5</v>
      </c>
      <c r="AD12" s="101" t="s">
        <v>6</v>
      </c>
      <c r="AE12" s="101" t="s">
        <v>7</v>
      </c>
      <c r="AF12" s="101" t="s">
        <v>8</v>
      </c>
      <c r="AG12" s="101" t="s">
        <v>27</v>
      </c>
      <c r="AH12" s="101" t="str">
        <f>"H Sale Terminal"&amp;""&amp;AD3</f>
        <v>H Sale Terminal</v>
      </c>
      <c r="AI12" s="101" t="s">
        <v>10</v>
      </c>
      <c r="AJ12" s="101" t="s">
        <v>11</v>
      </c>
      <c r="AK12" s="101" t="s">
        <v>12</v>
      </c>
      <c r="AL12" s="101" t="s">
        <v>13</v>
      </c>
      <c r="AM12" s="101" t="s">
        <v>14</v>
      </c>
      <c r="AN12" s="101" t="s">
        <v>15</v>
      </c>
      <c r="AO12" s="101" t="s">
        <v>16</v>
      </c>
      <c r="AP12" s="101" t="s">
        <v>16</v>
      </c>
      <c r="AQ12" s="101" t="s">
        <v>18</v>
      </c>
      <c r="AR12" s="101" t="s">
        <v>19</v>
      </c>
      <c r="AS12" s="101" t="s">
        <v>20</v>
      </c>
      <c r="AT12" s="101" t="s">
        <v>21</v>
      </c>
      <c r="AU12" s="101" t="s">
        <v>22</v>
      </c>
      <c r="AV12" s="101" t="str">
        <f>"H llegada Terminal"&amp;""&amp;C3</f>
        <v>H llegada Terminal</v>
      </c>
      <c r="AW12" s="101" t="s">
        <v>28</v>
      </c>
      <c r="AX12" s="3" t="s">
        <v>24</v>
      </c>
      <c r="AY12" s="101" t="s">
        <v>25</v>
      </c>
      <c r="AZ12" s="102" t="s">
        <v>26</v>
      </c>
      <c r="BC12" s="109" t="s">
        <v>4</v>
      </c>
      <c r="BD12" s="110" t="s">
        <v>7456</v>
      </c>
      <c r="BE12" s="110" t="s">
        <v>7457</v>
      </c>
      <c r="BF12" s="110" t="s">
        <v>7458</v>
      </c>
      <c r="BG12" s="110" t="s">
        <v>7459</v>
      </c>
      <c r="BH12" s="110" t="s">
        <v>7460</v>
      </c>
      <c r="BI12" s="111" t="s">
        <v>24</v>
      </c>
      <c r="BL12" s="109" t="s">
        <v>4</v>
      </c>
      <c r="BM12" s="110" t="s">
        <v>7456</v>
      </c>
      <c r="BN12" s="110" t="s">
        <v>7457</v>
      </c>
      <c r="BO12" s="110" t="s">
        <v>7458</v>
      </c>
      <c r="BP12" s="110" t="s">
        <v>7459</v>
      </c>
      <c r="BQ12" s="110" t="s">
        <v>7460</v>
      </c>
      <c r="BR12" s="111" t="s">
        <v>24</v>
      </c>
      <c r="EW12" t="s">
        <v>46</v>
      </c>
      <c r="EX12" s="33">
        <v>1009</v>
      </c>
      <c r="EY12" s="33" t="s">
        <v>82</v>
      </c>
      <c r="EZ12" s="33" t="s">
        <v>83</v>
      </c>
      <c r="FA12" s="33" t="s">
        <v>51</v>
      </c>
      <c r="FB12" s="33" t="s">
        <v>52</v>
      </c>
      <c r="FC12" s="33" t="s">
        <v>53</v>
      </c>
      <c r="FD12" s="33" t="s">
        <v>54</v>
      </c>
      <c r="FE12" s="33">
        <v>2019</v>
      </c>
      <c r="FF12" s="33" t="s">
        <v>55</v>
      </c>
      <c r="FG12" s="33" t="s">
        <v>56</v>
      </c>
      <c r="FH12" s="33" t="s">
        <v>57</v>
      </c>
      <c r="FI12" s="33" t="s">
        <v>58</v>
      </c>
      <c r="FJ12" t="s">
        <v>59</v>
      </c>
      <c r="FM12" s="32" t="s">
        <v>66</v>
      </c>
      <c r="FN12" t="s">
        <v>67</v>
      </c>
      <c r="FO12" t="s">
        <v>68</v>
      </c>
      <c r="FP12" t="str">
        <f t="shared" si="0"/>
        <v>B</v>
      </c>
      <c r="FT12" s="69" t="s">
        <v>7451</v>
      </c>
      <c r="FU12" s="60">
        <v>0</v>
      </c>
      <c r="FV12" s="60">
        <v>0</v>
      </c>
      <c r="FW12" s="60">
        <v>0</v>
      </c>
      <c r="FX12" s="60">
        <v>0</v>
      </c>
      <c r="FY12" s="60">
        <v>0</v>
      </c>
      <c r="FZ12" s="60">
        <v>0</v>
      </c>
      <c r="GA12" s="60">
        <v>11.345000000000001</v>
      </c>
      <c r="GB12" s="60">
        <v>10.845000000000001</v>
      </c>
      <c r="GC12" s="60">
        <v>0</v>
      </c>
      <c r="GD12" s="60">
        <v>0</v>
      </c>
      <c r="GE12" s="60">
        <v>0</v>
      </c>
      <c r="GF12" s="60">
        <v>0</v>
      </c>
      <c r="GG12" s="60">
        <v>0</v>
      </c>
      <c r="GH12" s="60">
        <v>0</v>
      </c>
      <c r="GI12" s="60">
        <v>0</v>
      </c>
      <c r="GJ12" s="60">
        <v>0</v>
      </c>
      <c r="GK12" s="60">
        <v>0</v>
      </c>
      <c r="GL12" s="60">
        <v>0</v>
      </c>
      <c r="GM12" s="60">
        <v>0</v>
      </c>
      <c r="GN12" s="60">
        <v>0</v>
      </c>
      <c r="GO12" s="60">
        <v>0</v>
      </c>
      <c r="GP12" s="60">
        <v>0</v>
      </c>
      <c r="GQ12" s="60">
        <v>0</v>
      </c>
      <c r="GR12" s="60">
        <v>0</v>
      </c>
      <c r="GU12" s="53">
        <v>9</v>
      </c>
      <c r="GV12" s="53">
        <v>6</v>
      </c>
      <c r="GY12" t="s">
        <v>7453</v>
      </c>
      <c r="GZ12" s="64" t="s">
        <v>7389</v>
      </c>
      <c r="HA12" s="64" t="s">
        <v>7389</v>
      </c>
      <c r="HB12" s="32">
        <v>19</v>
      </c>
      <c r="HF12" t="s">
        <v>7384</v>
      </c>
      <c r="HG12" s="64" t="s">
        <v>7389</v>
      </c>
      <c r="HH12" s="44" t="s">
        <v>7385</v>
      </c>
      <c r="HI12" s="32">
        <v>817</v>
      </c>
    </row>
    <row r="13" spans="1:217" ht="15.5" x14ac:dyDescent="0.35">
      <c r="A13" s="71">
        <f>HOUR(G13)+1</f>
        <v>1</v>
      </c>
      <c r="B13" s="16"/>
      <c r="C13" s="16"/>
      <c r="D13" s="93" t="str">
        <f>IFERROR(
IF(AND(OR(Planilla!B13="C",Planilla!B13="c"), VLOOKUP(E13,EX:FJ,13,0)="C"), "OK",IF(AND(OR(Planilla!B13="C",Planilla!B13="c"), OR(VLOOKUP(E13,EX:FJ,13,0)="B", VLOOKUP(E13,EX:FJ,13,0)="A")), "DEFICIT",IF(
AND(OR(Planilla!B13="B", Planilla!B13="BPAL"), VLOOKUP(E13,EX:FJ,13,0)="B"), "OK",IF(AND(OR(Planilla!B13="B", Planilla!B13="BPAL"), VLOOKUP(E13,EX:FJ,13,0)="A"), "DEFICIT",IF(AND(OR(Planilla!B13="B", Planilla!B13="BPAL"), VLOOKUP(E13,EX:FJ,13,0)="C"), "SOBREOFERTA",IF(AND(Planilla!B13="A", VLOOKUP(E13,EX:FJ,13,0)="A"), "OK",IF(
AND(Planilla!B13="A", OR(VLOOKUP(E13,EX:FJ,13,0)="B", VLOOKUP(E13,EX:FJ,13,0)="C")), "SOBREOFERTA",""
))))))),"")</f>
        <v/>
      </c>
      <c r="E13" s="17"/>
      <c r="F13" s="18"/>
      <c r="G13" s="94"/>
      <c r="H13" s="82" t="str">
        <f>IF(I13="","",IF(AND((I13-G13)&gt;=TIME(0,0,0),(I13-G13)&lt;TIME(0,3,0)),"OK",IF(AND((I13-G13)&gt;=TIME(0,3,0),(I13-G13)&lt;TIME(0,5,0)),"RETRASO DE 3-5 MIN",IF(AND((I13-G13)&gt;=TIME(0,5,0),(I13-G13)&lt;TIME(0,10,0)),"RETRASO DE 5-10 MIN",IF((I13-G13)&gt;=TIME(0,10,0),"RETRASO &gt;10 MIN",         IF(AND((G13-I13)&gt;=TIME(0,0,0),(G13-I13)&lt;TIME(0,3,0)),"OK",IF((G13-I13)&gt;=TIME(0,3,0),"ADELANTADO")))))))</f>
        <v/>
      </c>
      <c r="I13" s="84"/>
      <c r="J13" s="83" t="e">
        <f>IF(A13&lt;&gt;"",HLOOKUP(VALUE(TEXT(G13,"h:mm:ss")),IF($C$6="Laboral",$FT$4:$GR$227,IF($C$6="Sábado",$FT$231:$GR$452,$FT$456:$GR$656)),VLOOKUP($C$4,$GZ$2:$HB$99,3,0)+IF(C$5="Ida",0,1),1),"")</f>
        <v>#N/A</v>
      </c>
      <c r="K13" s="83" t="str">
        <f>IF(A14&lt;&gt;A13,AVERAGEIF(A$9:A13,A13,J$9:J13),"")</f>
        <v/>
      </c>
      <c r="L13" s="84" t="str">
        <f>IFERROR(IF(A14&lt;&gt;A13,AVERAGEIF(A$9:A13,A13,S$9:S13),""),"")</f>
        <v/>
      </c>
      <c r="M13" s="84" t="str">
        <f>IFERROR(IF(A14&lt;&gt;A13,AVERAGEIF(A$9:A13,A13,T$9:T13),""),"")</f>
        <v/>
      </c>
      <c r="N13" s="84" t="str" cm="1">
        <f t="array" ref="N13">IFERROR(IF(A14&lt;&gt;A13,_xlfn.STDEV.P(IF(A$9:A13=A13,T$9:T13)),""),"")</f>
        <v/>
      </c>
      <c r="O13" s="84" t="str" cm="1">
        <f t="array" ref="O13">IFERROR(IF(A14&lt;&gt;A13,_xlfn.STDEV.P(IF(A$9:A13=A13,S$9:S13)),""),"")</f>
        <v/>
      </c>
      <c r="P13" s="85" t="str">
        <f t="shared" ref="P13" si="1">IFERROR(IF(A13&lt;&gt;A14,MAX((((M13*24*60)/2)*(1+POWER((((N13*24*60) / (M13*24*60) )),2))) + ((M13*24*60 )*-0.1 + (K13*0.015)) +1,(((M13*24*60)/2)*(1+POWER((((N13*24*60) / (M13*24*60 ))),2)))),""),"")</f>
        <v/>
      </c>
      <c r="Q13" s="85" t="str">
        <f t="shared" ref="Q13" si="2">IF(AND(O13&lt;&gt;"",L13&lt;&gt;""),IF(A13&lt;&gt;A14,((L13*24*60) / 2 ) * (1 + POWER(((O13*24*60) / (L13*24*60)),2)),""),"")</f>
        <v/>
      </c>
      <c r="R13" s="85" t="str">
        <f>IF(Q13&lt;&gt;"",MAX(P13,Q13),"")</f>
        <v/>
      </c>
      <c r="S13" s="86" t="str">
        <f t="shared" ref="S13" si="3">IF(I13&lt;&gt;"H. Sale Real",IF(AND(I14&lt;&gt;"",LEFT(C14,2)&lt;&gt;"NC"),IF(AND(I13&lt;&gt;"",LEFT(C13,2)&lt;&gt;"NC",I13&lt;&gt;"H. Sale Real"),IF(I14-I13&lt;0.208333333333333,I14-I13,""),IF(AND(I12&lt;&gt;"",LEFT(C12,2)&lt;&gt;"NC",I12&lt;&gt;"H. Sale Real"),IF(I14-I12&lt;0.208333333333333,I14-I12,""),IF(AND(I11&lt;&gt;"",LEFT(C11,2)&lt;&gt;"NC",I11&lt;&gt;"H. Sale Real"),IF(I14-I11&lt;0.208333333333333,I14-I11,""),IF(AND(I10&lt;&gt;"",LEFT(C10,2)&lt;&gt;"NC",I10&lt;&gt;"H. Sale Real"),IF(I14-I10&lt;0.208333333333333,I14-I10,""),IF(AND(I9&lt;&gt;"",LEFT(C9,2)&lt;&gt;"NC",I9&lt;&gt;"H. Sale Real"),IF(I14-I9&lt;0.208333333333333,I14-I9,""),""))))),""),"")</f>
        <v/>
      </c>
      <c r="T13" s="86" t="str">
        <f t="shared" ref="T13" si="4">IF(G13&lt;&gt;"H. Sale Real",IF(AND(G14&lt;&gt;"",LEFT(C14,2)&lt;&gt;"NC"),IF(AND(G13&lt;&gt;"",LEFT(C13,2)&lt;&gt;"NC",G13&lt;&gt;"H. Sale Real"),IF(G14-G13&lt;0.208333333333333,G14-G13,""),IF(AND(G12&lt;&gt;"",LEFT(C12,2)&lt;&gt;"NC",G12&lt;&gt;"H. Sale Real"),IF(G14-G12&lt;0.208333333333333,G14-G12,""),IF(AND(G11&lt;&gt;"",LEFT(C11,2)&lt;&gt;"NC",G11&lt;&gt;"H. Sale Real"),IF(G14-G11&lt;0.208333333333333,G14-G11,""),IF(AND(G10&lt;&gt;"",LEFT(C10,2)&lt;&gt;"NC",G10&lt;&gt;"H. Sale Real"),IF(G14-G10&lt;0.208333333333333,G14-G10,""),IF(AND(G9&lt;&gt;"",LEFT(C9,2)&lt;&gt;"NC",G9&lt;&gt;"H. Sale Real"),IF(G14-G9&lt;0.208333333333333,G14-G9,""),""))))),""),"")</f>
        <v/>
      </c>
      <c r="U13" s="19">
        <v>5.5555555555555552E-2</v>
      </c>
      <c r="V13" s="20"/>
      <c r="W13" s="19" t="str">
        <f>IF(G13&lt;&gt;"",IF(AND(W12&lt;&gt;"IE",P13&lt;&gt;0,R13&lt;&gt;""),IF(IFERROR((P13/R13),0) &lt;=1,IFERROR(P13/R13,""),1),""),"")</f>
        <v/>
      </c>
      <c r="X13" s="20"/>
      <c r="Y13" s="1"/>
      <c r="AB13" s="71">
        <f>HOUR(AH13)+1</f>
        <v>1</v>
      </c>
      <c r="AC13" s="16"/>
      <c r="AD13" s="16"/>
      <c r="AE13" s="18"/>
      <c r="AF13" s="17"/>
      <c r="AG13" s="18"/>
      <c r="AH13" s="19"/>
      <c r="AI13" s="82" t="str">
        <f>IF(AJ13="","",IF(AND((AJ13-AH13)&gt;=TIME(0,0,0),(AJ13-AH13)&lt;TIME(0,3,0)),"OK",IF(AND((AJ13-AH13)&gt;=TIME(0,3,0),(AJ13-AH13)&lt;TIME(0,5,0)),"RETRASO DE 3-5 MIN",IF(AND((AJ13-AH13)&gt;=TIME(0,5,0),(AJ13-AH13)&lt;TIME(0,10,0)),"RETRASO DE 5-10 MIN",IF((AJ13-AH13)&gt;=TIME(0,10,0),"RETRASO &gt;10 MIN",         IF(AND((AH13-AJ13)&gt;=TIME(0,0,0),(AH13-AJ13)&lt;TIME(0,3,0)),"OK",IF((AH13-AJ13)&gt;=TIME(0,3,0),"ADELANTADO")))))))</f>
        <v/>
      </c>
      <c r="AJ13" s="20"/>
      <c r="AK13" s="83" t="e">
        <f>IF(AB13&lt;&gt;"",HLOOKUP(VALUE(TEXT(AH13,"h:mm:ss")),IF($C$6="Laboral",$FT$4:$GR$227,IF($C$6="Sábado",$FT$231:$GR$452,$FT$456:$GR$656)),VLOOKUP($C$4,$GZ$2:$HB$99,3,0)+IF(AD$5="Ida",0,1),1),"")</f>
        <v>#N/A</v>
      </c>
      <c r="AL13" s="83" t="str">
        <f>IF(AB14&lt;&gt;AB13,AVERAGEIF(AB$9:AB13,AB13,AK$9:AK13),"")</f>
        <v/>
      </c>
      <c r="AM13" s="84" t="str">
        <f>IFERROR(IF(AB14&lt;&gt;AB13,AVERAGEIF(AB$9:AB13,AB13,AT$9:AT13),""),"")</f>
        <v/>
      </c>
      <c r="AN13" s="84" t="str">
        <f>IFERROR(IF(AB14&lt;&gt;AB13,AVERAGEIF(AB$9:AB13,AB13,AU$9:AU13),""),"")</f>
        <v/>
      </c>
      <c r="AO13" s="84" t="str" cm="1">
        <f t="array" ref="AO13">IFERROR(IF(AB14&lt;&gt;AB13,_xlfn.STDEV.P(IF(AB$9:AB13=AB13,AU$9:AU13)),""),"")</f>
        <v/>
      </c>
      <c r="AP13" s="84" t="str" cm="1">
        <f t="array" ref="AP13">IFERROR(IF(AB14&lt;&gt;AB13,_xlfn.STDEV.P(IF(AB$9:AB13=AB13,AT$9:AT13)),""),"")</f>
        <v/>
      </c>
      <c r="AQ13" s="85" t="str">
        <f t="shared" ref="AQ13" si="5">IFERROR(IF(AB13&lt;&gt;AB14,MAX((((AN13*24*60)/2)*(1+POWER((((AO13*24*60) / (AN13*24*60) )),2))) + ((AN13*24*60 )*-0.1 + (AL13*0.015)) +1,(((AN13*24*60)/2)*(1+POWER((((AO13*24*60) / (AN13*24*60 ))),2)))),""),"")</f>
        <v/>
      </c>
      <c r="AR13" s="85" t="str">
        <f t="shared" ref="AR13" si="6">IF(AND(AP13&lt;&gt;"",AM13&lt;&gt;""),IF(AB13&lt;&gt;AB14,((AM13*24*60) / 2 ) * (1 + POWER(((AP13*24*60) / (AM13*24*60)),2)),""),"")</f>
        <v/>
      </c>
      <c r="AS13" s="85" t="str">
        <f>IF(AR13&lt;&gt;"",MAX(AQ13,AR13),"")</f>
        <v/>
      </c>
      <c r="AT13" s="86" t="str">
        <f t="shared" ref="AT13" si="7">IF(AJ13&lt;&gt;"H. Sale Real",IF(AND(AJ14&lt;&gt;"",LEFT(AD14,2)&lt;&gt;"NC"),IF(AND(AJ13&lt;&gt;"",LEFT(AD13,2)&lt;&gt;"NC",AJ13&lt;&gt;"H. Sale Real"),IF(AJ14-AJ13&lt;0.208333333333333,AJ14-AJ13,""),IF(AND(AJ12&lt;&gt;"",LEFT(AD12,2)&lt;&gt;"NC",AJ12&lt;&gt;"H. Sale Real"),IF(AJ14-AJ12&lt;0.208333333333333,AJ14-AJ12,""),IF(AND(AJ11&lt;&gt;"",LEFT(AD11,2)&lt;&gt;"NC",AJ11&lt;&gt;"H. Sale Real"),IF(AJ14-AJ11&lt;0.208333333333333,AJ14-AJ11,""),IF(AND(AJ10&lt;&gt;"",LEFT(AD10,2)&lt;&gt;"NC",AJ10&lt;&gt;"H. Sale Real"),IF(AJ14-AJ10&lt;0.208333333333333,AJ14-AJ10,""),IF(AND(AJ9&lt;&gt;"",LEFT(AD9,2)&lt;&gt;"NC",AJ9&lt;&gt;"H. Sale Real"),IF(AJ14-AJ9&lt;0.208333333333333,AJ14-AJ9,""),""))))),""),"")</f>
        <v/>
      </c>
      <c r="AU13" s="86" t="str">
        <f t="shared" ref="AU13" si="8">IF(AH13&lt;&gt;"H. Sale Real",IF(AND(AH14&lt;&gt;"",LEFT(AD14,2)&lt;&gt;"NC"),IF(AND(AH13&lt;&gt;"",LEFT(AD13,2)&lt;&gt;"NC",AH13&lt;&gt;"H. Sale Real"),IF(AH14-AH13&lt;0.208333333333333,AH14-AH13,""),IF(AND(AH12&lt;&gt;"",LEFT(AD12,2)&lt;&gt;"NC",AH12&lt;&gt;"H. Sale Real"),IF(AH14-AH12&lt;0.208333333333333,AH14-AH12,""),IF(AND(AH11&lt;&gt;"",LEFT(AD11,2)&lt;&gt;"NC",AH11&lt;&gt;"H. Sale Real"),IF(AH14-AH11&lt;0.208333333333333,AH14-AH11,""),IF(AND(AH10&lt;&gt;"",LEFT(AD10,2)&lt;&gt;"NC",AH10&lt;&gt;"H. Sale Real"),IF(AH14-AH10&lt;0.208333333333333,AH14-AH10,""),IF(AND(AH9&lt;&gt;"",LEFT(AD9,2)&lt;&gt;"NC",AH9&lt;&gt;"H. Sale Real"),IF(AH14-AH9&lt;0.208333333333333,AH14-AH9,""),""))))),""),"")</f>
        <v/>
      </c>
      <c r="AV13" s="19"/>
      <c r="AW13" s="20"/>
      <c r="AX13" s="19" t="str">
        <f>IF(AH13&lt;&gt;"",IF(AND(AX12&lt;&gt;"IE",AQ13&lt;&gt;0,AS13&lt;&gt;""),IF(IFERROR((AQ13/AS13),0) &lt;=1,IFERROR(AQ13/AS13,""),1),""),"")</f>
        <v/>
      </c>
      <c r="AY13" s="20"/>
      <c r="AZ13" s="21"/>
      <c r="BC13" s="4">
        <v>1</v>
      </c>
      <c r="BD13" s="4">
        <f t="shared" ref="BD13:BD36" si="9">COUNTIFS($A:$A,$BC13,$C:$C,$BC$11)</f>
        <v>0</v>
      </c>
      <c r="BE13" s="4">
        <f t="shared" ref="BE13:BE36" si="10">BD13-COUNTIFS($A:$A,$BC13,$C:$C,$BC$11,$H:$H,"")</f>
        <v>0</v>
      </c>
      <c r="BF13" s="103" t="str">
        <f>IFERROR((BE13/BD13),"")</f>
        <v/>
      </c>
      <c r="BG13" s="104" t="str">
        <f>_xlfn.XLOOKUP(BC13,$A:$A,$R:$R,"0",0,-1)</f>
        <v/>
      </c>
      <c r="BH13" s="105" t="str">
        <f t="shared" ref="BH13" si="11">_xlfn.XLOOKUP(BC13,$A:$A,$P:$P,"0",0,-1)</f>
        <v/>
      </c>
      <c r="BI13" s="49" t="str">
        <f>_xlfn.XLOOKUP(BC13,$A:$A,$W:$W,"",0,-1)</f>
        <v/>
      </c>
      <c r="BL13" s="4">
        <v>1</v>
      </c>
      <c r="BM13" s="4">
        <f t="shared" ref="BM13:BM36" si="12">COUNTIFS($AB:$AB,$BL13,$AD:$AD,$BL$11)</f>
        <v>0</v>
      </c>
      <c r="BN13" s="4">
        <f t="shared" ref="BN13:BN36" si="13">BM13-COUNTIFS($AB:$AB,$BL13,$AD:$AD,$BL$11,$AI:$AI,"")</f>
        <v>0</v>
      </c>
      <c r="BO13" s="103" t="str">
        <f>IFERROR((BN13/BM13),"")</f>
        <v/>
      </c>
      <c r="BP13" s="4" t="str">
        <f t="shared" ref="BP13:BP36" si="14">_xlfn.XLOOKUP(BL13,$AB:$AB,$AS:$AS,"0",0,-1)</f>
        <v/>
      </c>
      <c r="BQ13" s="105" t="str">
        <f t="shared" ref="BQ13:BQ36" si="15">_xlfn.XLOOKUP(BL13,$AB:$AB,$AQ:$AQ,"0",0,-1)</f>
        <v/>
      </c>
      <c r="BR13" s="49" t="str">
        <f>_xlfn.XLOOKUP(BL13,$AB:$AB,$AX:$AX,"",0,-1)</f>
        <v/>
      </c>
      <c r="EW13" t="s">
        <v>46</v>
      </c>
      <c r="EX13" s="33">
        <v>1010</v>
      </c>
      <c r="EY13" s="33" t="s">
        <v>84</v>
      </c>
      <c r="EZ13" s="33" t="s">
        <v>85</v>
      </c>
      <c r="FA13" s="33" t="s">
        <v>51</v>
      </c>
      <c r="FB13" s="33" t="s">
        <v>52</v>
      </c>
      <c r="FC13" s="33" t="s">
        <v>53</v>
      </c>
      <c r="FD13" s="33" t="s">
        <v>54</v>
      </c>
      <c r="FE13" s="33">
        <v>2019</v>
      </c>
      <c r="FF13" s="33" t="s">
        <v>55</v>
      </c>
      <c r="FG13" s="33" t="s">
        <v>56</v>
      </c>
      <c r="FH13" s="33" t="s">
        <v>57</v>
      </c>
      <c r="FI13" s="33" t="s">
        <v>58</v>
      </c>
      <c r="FJ13" t="s">
        <v>59</v>
      </c>
      <c r="FM13" s="32" t="s">
        <v>66</v>
      </c>
      <c r="FN13" t="s">
        <v>67</v>
      </c>
      <c r="FO13" t="s">
        <v>68</v>
      </c>
      <c r="FP13" t="str">
        <f t="shared" si="0"/>
        <v>B</v>
      </c>
      <c r="FT13" s="69" t="s">
        <v>7404</v>
      </c>
      <c r="FU13" s="60">
        <v>14.46</v>
      </c>
      <c r="FV13" s="60">
        <v>0</v>
      </c>
      <c r="FW13" s="60">
        <v>0</v>
      </c>
      <c r="FX13" s="60">
        <v>0</v>
      </c>
      <c r="FY13" s="60">
        <v>0</v>
      </c>
      <c r="FZ13" s="60">
        <v>9.73</v>
      </c>
      <c r="GA13" s="60">
        <v>14.469999999999999</v>
      </c>
      <c r="GB13" s="60">
        <v>12.280000000000001</v>
      </c>
      <c r="GC13" s="60">
        <v>14.715</v>
      </c>
      <c r="GD13" s="60">
        <v>16.954999999999998</v>
      </c>
      <c r="GE13" s="60">
        <v>17.62</v>
      </c>
      <c r="GF13" s="60">
        <v>17.204999999999998</v>
      </c>
      <c r="GG13" s="60">
        <v>16.905000000000001</v>
      </c>
      <c r="GH13" s="60">
        <v>16.73</v>
      </c>
      <c r="GI13" s="60">
        <v>17.195</v>
      </c>
      <c r="GJ13" s="60">
        <v>16.89</v>
      </c>
      <c r="GK13" s="60">
        <v>15.54</v>
      </c>
      <c r="GL13" s="60">
        <v>12.46</v>
      </c>
      <c r="GM13" s="60">
        <v>13.01</v>
      </c>
      <c r="GN13" s="60">
        <v>17.045000000000002</v>
      </c>
      <c r="GO13" s="60">
        <v>20.16</v>
      </c>
      <c r="GP13" s="60">
        <v>22.21</v>
      </c>
      <c r="GQ13" s="60">
        <v>24.049999999999997</v>
      </c>
      <c r="GR13" s="60">
        <v>26.41</v>
      </c>
      <c r="GU13" s="53">
        <v>10</v>
      </c>
      <c r="GV13" s="53">
        <v>7</v>
      </c>
      <c r="GY13" t="s">
        <v>7453</v>
      </c>
      <c r="GZ13" s="64" t="s">
        <v>7408</v>
      </c>
      <c r="HA13" s="64" t="s">
        <v>7408</v>
      </c>
      <c r="HB13" s="32">
        <v>20</v>
      </c>
      <c r="HF13" t="s">
        <v>7384</v>
      </c>
      <c r="HG13" s="64" t="s">
        <v>7408</v>
      </c>
      <c r="HH13" s="44" t="s">
        <v>7402</v>
      </c>
      <c r="HI13" s="32">
        <v>818</v>
      </c>
    </row>
    <row r="14" spans="1:217" ht="15.5" x14ac:dyDescent="0.35">
      <c r="A14" s="95">
        <f t="shared" ref="A14:A77" si="16">HOUR(G14)+1</f>
        <v>1</v>
      </c>
      <c r="B14" s="11"/>
      <c r="C14" s="11"/>
      <c r="D14" s="92" t="str">
        <f>IFERROR(
IF(AND(OR(Planilla!B14="C",Planilla!B14="c"), VLOOKUP(E14,EX:FJ,13,0)="C"), "OK",IF(AND(OR(Planilla!B14="C",Planilla!B14="c"), OR(VLOOKUP(E14,EX:FJ,13,0)="B", VLOOKUP(E14,EX:FJ,13,0)="A")), "DEFICIT",IF(
AND(OR(Planilla!B14="B", Planilla!B14="BPAL"), VLOOKUP(E14,EX:FJ,13,0)="B"), "OK",IF(AND(OR(Planilla!B14="B", Planilla!B14="BPAL"), VLOOKUP(E14,EX:FJ,13,0)="A"), "DEFICIT",IF(AND(OR(Planilla!B14="B", Planilla!B14="BPAL"), VLOOKUP(E14,EX:FJ,13,0)="C"), "SOBREOFERTA",IF(AND(Planilla!B14="A", VLOOKUP(E14,EX:FJ,13,0)="A"), "OK",IF(
AND(Planilla!B14="A", OR(VLOOKUP(E14,EX:FJ,13,0)="B", VLOOKUP(E14,EX:FJ,13,0)="C")), "SOBREOFERTA",""
))))))),"")</f>
        <v/>
      </c>
      <c r="E14" s="12"/>
      <c r="F14" s="13"/>
      <c r="G14" s="70"/>
      <c r="H14" s="81" t="str">
        <f t="shared" ref="H14:H77" si="17">IF(I14="","",IF(AND((I14-G14)&gt;=TIME(0,0,0),(I14-G14)&lt;TIME(0,3,0)),"OK",IF(AND((I14-G14)&gt;=TIME(0,3,0),(I14-G14)&lt;TIME(0,5,0)),"RETRASO DE 3-5 MIN",IF(AND((I14-G14)&gt;=TIME(0,5,0),(I14-G14)&lt;TIME(0,10,0)),"RETRASO DE 5-10 MIN",IF((I14-G14)&gt;=TIME(0,10,0),"RETRASO &gt;10 MIN",         IF(AND((G14-I14)&gt;=TIME(0,0,0),(G14-I14)&lt;TIME(0,3,0)),"OK",IF((G14-I14)&gt;=TIME(0,3,0),"ADELANTADO")))))))</f>
        <v/>
      </c>
      <c r="I14" s="7"/>
      <c r="J14" s="6" t="e">
        <f t="shared" ref="J14:J77" si="18">IF(A14&lt;&gt;"",HLOOKUP(VALUE(TEXT(G14,"h:mm:ss")),IF($C$6="Laboral",$FT$4:$GR$227,IF($C$6="Sábado",$FT$231:$GR$452,$FT$456:$GR$656)),VLOOKUP($C$4,$GZ$2:$HB$99,3,0)+IF(C$5="Ida",0,1),1),"")</f>
        <v>#N/A</v>
      </c>
      <c r="K14" s="6" t="str">
        <f>IF(A15&lt;&gt;A14,AVERAGEIF(A$9:A14,A14,J$9:J14),"")</f>
        <v/>
      </c>
      <c r="L14" s="7" t="str">
        <f>IFERROR(IF(A15&lt;&gt;A14,AVERAGEIF(A$9:A14,A14,S$9:S14),""),"")</f>
        <v/>
      </c>
      <c r="M14" s="7" t="str">
        <f>IFERROR(IF(A15&lt;&gt;A14,AVERAGEIF(A$9:A14,A14,T$9:T14),""),"")</f>
        <v/>
      </c>
      <c r="N14" s="7" t="str" cm="1">
        <f t="array" ref="N14">IFERROR(IF(A15&lt;&gt;A14,_xlfn.STDEV.P(IF(A$9:A14=A14,T$9:T14)),""),"")</f>
        <v/>
      </c>
      <c r="O14" s="7" t="str" cm="1">
        <f t="array" ref="O14">IFERROR(IF(A15&lt;&gt;A14,_xlfn.STDEV.P(IF(A$9:A14=A14,S$9:S14)),""),"")</f>
        <v/>
      </c>
      <c r="P14" s="8" t="str">
        <f t="shared" ref="P14:P77" si="19">IFERROR(IF(A14&lt;&gt;A15,MAX((((M14*24*60)/2)*(1+POWER((((N14*24*60) / (M14*24*60) )),2))) + ((M14*24*60 )*-0.1 + (K14*0.015)) +1,(((M14*24*60)/2)*(1+POWER((((N14*24*60) / (M14*24*60 ))),2)))),""),"")</f>
        <v/>
      </c>
      <c r="Q14" s="8" t="str">
        <f t="shared" ref="Q14:Q77" si="20">IF(AND(O14&lt;&gt;"",L14&lt;&gt;""),IF(A14&lt;&gt;A15,((L14*24*60) / 2 ) * (1 + POWER(((O14*24*60) / (L14*24*60)),2)),""),"")</f>
        <v/>
      </c>
      <c r="R14" s="8" t="str">
        <f t="shared" ref="R14:R77" si="21">IF(Q14&lt;&gt;"",MAX(P14,Q14),"")</f>
        <v/>
      </c>
      <c r="S14" s="9" t="str">
        <f t="shared" ref="S14:S77" si="22">IF(I14&lt;&gt;"H. Sale Real",IF(AND(I15&lt;&gt;"",LEFT(C15,2)&lt;&gt;"NC"),IF(AND(I14&lt;&gt;"",LEFT(C14,2)&lt;&gt;"NC",I14&lt;&gt;"H. Sale Real"),IF(I15-I14&lt;0.208333333333333,I15-I14,""),IF(AND(I13&lt;&gt;"",LEFT(C13,2)&lt;&gt;"NC",I13&lt;&gt;"H. Sale Real"),IF(I15-I13&lt;0.208333333333333,I15-I13,""),IF(AND(I12&lt;&gt;"",LEFT(C12,2)&lt;&gt;"NC",I12&lt;&gt;"H. Sale Real"),IF(I15-I12&lt;0.208333333333333,I15-I12,""),IF(AND(I11&lt;&gt;"",LEFT(C11,2)&lt;&gt;"NC",I11&lt;&gt;"H. Sale Real"),IF(I15-I11&lt;0.208333333333333,I15-I11,""),IF(AND(I10&lt;&gt;"",LEFT(C10,2)&lt;&gt;"NC",I10&lt;&gt;"H. Sale Real"),IF(I15-I10&lt;0.208333333333333,I15-I10,""),""))))),""),"")</f>
        <v/>
      </c>
      <c r="T14" s="9" t="str">
        <f t="shared" ref="T14:T77" si="23">IF(G14&lt;&gt;"H. Sale Real",IF(AND(G15&lt;&gt;"",LEFT(C15,2)&lt;&gt;"NC"),IF(AND(G14&lt;&gt;"",LEFT(C14,2)&lt;&gt;"NC",G14&lt;&gt;"H. Sale Real"),IF(G15-G14&lt;0.208333333333333,G15-G14,""),IF(AND(G13&lt;&gt;"",LEFT(C13,2)&lt;&gt;"NC",G13&lt;&gt;"H. Sale Real"),IF(G15-G13&lt;0.208333333333333,G15-G13,""),IF(AND(G12&lt;&gt;"",LEFT(C12,2)&lt;&gt;"NC",G12&lt;&gt;"H. Sale Real"),IF(G15-G12&lt;0.208333333333333,G15-G12,""),IF(AND(G11&lt;&gt;"",LEFT(C11,2)&lt;&gt;"NC",G11&lt;&gt;"H. Sale Real"),IF(G15-G11&lt;0.208333333333333,G15-G11,""),IF(AND(G10&lt;&gt;"",LEFT(C10,2)&lt;&gt;"NC",G10&lt;&gt;"H. Sale Real"),IF(G15-G10&lt;0.208333333333333,G15-G10,""),""))))),""),"")</f>
        <v/>
      </c>
      <c r="U14" s="14">
        <v>7.3611111111111113E-2</v>
      </c>
      <c r="V14" s="15"/>
      <c r="W14" s="14" t="str">
        <f>IF(G14&lt;&gt;"",IF(AND(W13&lt;&gt;"IE",P14&lt;&gt;0,R14&lt;&gt;""),IF(IFERROR((P14/R14),0) &lt;=1,IFERROR(P14/R14,""),1),""),"")</f>
        <v/>
      </c>
      <c r="X14" s="15"/>
      <c r="Y14" s="2"/>
      <c r="AB14" s="22">
        <f t="shared" ref="AB14:AB77" si="24">HOUR(AH14)+1</f>
        <v>1</v>
      </c>
      <c r="AC14" s="11"/>
      <c r="AD14" s="11"/>
      <c r="AE14" s="13"/>
      <c r="AF14" s="12"/>
      <c r="AG14" s="13"/>
      <c r="AH14" s="14"/>
      <c r="AI14" s="81" t="str">
        <f t="shared" ref="AI14:AI77" si="25">IF(AJ14="","",IF(AND((AJ14-AH14)&gt;=TIME(0,0,0),(AJ14-AH14)&lt;TIME(0,3,0)),"OK",IF(AND((AJ14-AH14)&gt;=TIME(0,3,0),(AJ14-AH14)&lt;TIME(0,5,0)),"RETRASO DE 3-5 MIN",IF(AND((AJ14-AH14)&gt;=TIME(0,5,0),(AJ14-AH14)&lt;TIME(0,10,0)),"RETRASO DE 5-10 MIN",IF((AJ14-AH14)&gt;=TIME(0,10,0),"RETRASO &gt;10 MIN",         IF(AND((AH14-AJ14)&gt;=TIME(0,0,0),(AH14-AJ14)&lt;TIME(0,3,0)),"OK",IF((AH14-AJ14)&gt;=TIME(0,3,0),"ADELANTADO")))))))</f>
        <v/>
      </c>
      <c r="AJ14" s="15"/>
      <c r="AK14" s="6" t="e">
        <f t="shared" ref="AK14:AK77" si="26">IF(AB14&lt;&gt;"",HLOOKUP(VALUE(TEXT(AH14,"h:mm:ss")),IF($C$6="Laboral",$FT$4:$GR$227,IF($C$6="Sábado",$FT$231:$GR$452,$FT$456:$GR$656)),VLOOKUP($C$4,$GZ$2:$HB$99,3,0)+IF(AD$5="Ida",0,1),1),"")</f>
        <v>#N/A</v>
      </c>
      <c r="AL14" s="6" t="str">
        <f>IF(AB15&lt;&gt;AB14,AVERAGEIF(AB$9:AB14,AB14,AK$9:AK14),"")</f>
        <v/>
      </c>
      <c r="AM14" s="7" t="str">
        <f>IFERROR(IF(AB15&lt;&gt;AB14,AVERAGEIF(AB$9:AB14,AB14,AT$9:AT14),""),"")</f>
        <v/>
      </c>
      <c r="AN14" s="7" t="str">
        <f>IFERROR(IF(AB15&lt;&gt;AB14,AVERAGEIF(AB$9:AB14,AB14,AU$9:AU14),""),"")</f>
        <v/>
      </c>
      <c r="AO14" s="7" t="str" cm="1">
        <f t="array" ref="AO14">IFERROR(IF(AB15&lt;&gt;AB14,_xlfn.STDEV.P(IF(AB$9:AB14=AB14,AU$9:AU14)),""),"")</f>
        <v/>
      </c>
      <c r="AP14" s="7" t="str" cm="1">
        <f t="array" ref="AP14">IFERROR(IF(AB15&lt;&gt;AB14,_xlfn.STDEV.P(IF(AB$9:AB14=AB14,AT$9:AT14)),""),"")</f>
        <v/>
      </c>
      <c r="AQ14" s="8" t="str">
        <f t="shared" ref="AQ14:AQ77" si="27">IFERROR(IF(AB14&lt;&gt;AB15,MAX((((AN14*24*60)/2)*(1+POWER((((AO14*24*60) / (AN14*24*60) )),2))) + ((AN14*24*60 )*-0.1 + (AL14*0.015)) +1,(((AN14*24*60)/2)*(1+POWER((((AO14*24*60) / (AN14*24*60 ))),2)))),""),"")</f>
        <v/>
      </c>
      <c r="AR14" s="8" t="str">
        <f t="shared" ref="AR14:AR77" si="28">IF(AND(AP14&lt;&gt;"",AM14&lt;&gt;""),IF(AB14&lt;&gt;AB15,((AM14*24*60) / 2 ) * (1 + POWER(((AP14*24*60) / (AM14*24*60)),2)),""),"")</f>
        <v/>
      </c>
      <c r="AS14" s="8" t="str">
        <f t="shared" ref="AS14:AS77" si="29">IF(AR14&lt;&gt;"",MAX(AQ14,AR14),"")</f>
        <v/>
      </c>
      <c r="AT14" s="9" t="str">
        <f t="shared" ref="AT14:AT77" si="30">IF(AJ14&lt;&gt;"H. Sale Real",IF(AND(AJ15&lt;&gt;"",LEFT(AD15,2)&lt;&gt;"NC"),IF(AND(AJ14&lt;&gt;"",LEFT(AD14,2)&lt;&gt;"NC",AJ14&lt;&gt;"H. Sale Real"),IF(AJ15-AJ14&lt;0.208333333333333,AJ15-AJ14,""),IF(AND(AJ13&lt;&gt;"",LEFT(AD13,2)&lt;&gt;"NC",AJ13&lt;&gt;"H. Sale Real"),IF(AJ15-AJ13&lt;0.208333333333333,AJ15-AJ13,""),IF(AND(AJ12&lt;&gt;"",LEFT(AD12,2)&lt;&gt;"NC",AJ12&lt;&gt;"H. Sale Real"),IF(AJ15-AJ12&lt;0.208333333333333,AJ15-AJ12,""),IF(AND(AJ11&lt;&gt;"",LEFT(AD11,2)&lt;&gt;"NC",AJ11&lt;&gt;"H. Sale Real"),IF(AJ15-AJ11&lt;0.208333333333333,AJ15-AJ11,""),IF(AND(AJ10&lt;&gt;"",LEFT(AD10,2)&lt;&gt;"NC",AJ10&lt;&gt;"H. Sale Real"),IF(AJ15-AJ10&lt;0.208333333333333,AJ15-AJ10,""),""))))),""),"")</f>
        <v/>
      </c>
      <c r="AU14" s="9" t="str">
        <f t="shared" ref="AU14:AU77" si="31">IF(AH14&lt;&gt;"H. Sale Real",IF(AND(AH15&lt;&gt;"",LEFT(AD15,2)&lt;&gt;"NC"),IF(AND(AH14&lt;&gt;"",LEFT(AD14,2)&lt;&gt;"NC",AH14&lt;&gt;"H. Sale Real"),IF(AH15-AH14&lt;0.208333333333333,AH15-AH14,""),IF(AND(AH13&lt;&gt;"",LEFT(AD13,2)&lt;&gt;"NC",AH13&lt;&gt;"H. Sale Real"),IF(AH15-AH13&lt;0.208333333333333,AH15-AH13,""),IF(AND(AH12&lt;&gt;"",LEFT(AD12,2)&lt;&gt;"NC",AH12&lt;&gt;"H. Sale Real"),IF(AH15-AH12&lt;0.208333333333333,AH15-AH12,""),IF(AND(AH11&lt;&gt;"",LEFT(AD11,2)&lt;&gt;"NC",AH11&lt;&gt;"H. Sale Real"),IF(AH15-AH11&lt;0.208333333333333,AH15-AH11,""),IF(AND(AH10&lt;&gt;"",LEFT(AD10,2)&lt;&gt;"NC",AH10&lt;&gt;"H. Sale Real"),IF(AH15-AH10&lt;0.208333333333333,AH15-AH10,""),""))))),""),"")</f>
        <v/>
      </c>
      <c r="AV14" s="14"/>
      <c r="AW14" s="15"/>
      <c r="AX14" s="14" t="str">
        <f t="shared" ref="AX14:AX77" si="32">IF(AH14&lt;&gt;"",IF(AND(AX13&lt;&gt;"IE",AQ14&lt;&gt;0,AS14&lt;&gt;""),IF(IFERROR((AQ14/AS14),0) &lt;=1,IFERROR(AQ14/AS14,""),1),""),"")</f>
        <v/>
      </c>
      <c r="AY14" s="15"/>
      <c r="AZ14" s="23"/>
      <c r="BC14" s="12">
        <v>2</v>
      </c>
      <c r="BD14" s="12">
        <f t="shared" si="9"/>
        <v>0</v>
      </c>
      <c r="BE14" s="12">
        <f t="shared" si="10"/>
        <v>0</v>
      </c>
      <c r="BF14" s="73" t="str">
        <f t="shared" ref="BF14:BF36" si="33">IFERROR((BE14/BD14),"")</f>
        <v/>
      </c>
      <c r="BG14" s="77" t="str">
        <f>_xlfn.XLOOKUP(BC14,$A:$A,$R:$R,"0",0,-1)</f>
        <v>0</v>
      </c>
      <c r="BH14" s="74" t="str">
        <f t="shared" ref="BH13:BH36" si="34">_xlfn.XLOOKUP(BC14,$A:$A,$P:$P,"0",0,-1)</f>
        <v>0</v>
      </c>
      <c r="BI14" s="10" t="str">
        <f t="shared" ref="BI13:BI36" si="35">_xlfn.XLOOKUP(BC14,$A:$A,$W:$W,"",0,-1)</f>
        <v/>
      </c>
      <c r="BL14" s="12">
        <v>2</v>
      </c>
      <c r="BM14" s="12">
        <f t="shared" si="12"/>
        <v>0</v>
      </c>
      <c r="BN14" s="12">
        <f t="shared" si="13"/>
        <v>0</v>
      </c>
      <c r="BO14" s="73" t="str">
        <f t="shared" ref="BO14:BO36" si="36">IFERROR((BN14/BM14),"")</f>
        <v/>
      </c>
      <c r="BP14" s="12" t="str">
        <f t="shared" si="14"/>
        <v>0</v>
      </c>
      <c r="BQ14" s="74" t="str">
        <f t="shared" si="15"/>
        <v>0</v>
      </c>
      <c r="BR14" s="10" t="str">
        <f t="shared" ref="BR13:BR36" si="37">_xlfn.XLOOKUP(BL14,$AB:$AB,$AX:$AX,"",0,-1)</f>
        <v/>
      </c>
      <c r="EW14" t="s">
        <v>46</v>
      </c>
      <c r="EX14" s="33">
        <v>1011</v>
      </c>
      <c r="EY14" s="33" t="s">
        <v>86</v>
      </c>
      <c r="EZ14" s="33" t="s">
        <v>87</v>
      </c>
      <c r="FA14" s="33" t="s">
        <v>51</v>
      </c>
      <c r="FB14" s="33" t="s">
        <v>52</v>
      </c>
      <c r="FC14" s="33" t="s">
        <v>53</v>
      </c>
      <c r="FD14" s="33" t="s">
        <v>54</v>
      </c>
      <c r="FE14" s="33">
        <v>2019</v>
      </c>
      <c r="FF14" s="33" t="s">
        <v>55</v>
      </c>
      <c r="FG14" s="33" t="s">
        <v>56</v>
      </c>
      <c r="FH14" s="33" t="s">
        <v>57</v>
      </c>
      <c r="FI14" s="33" t="s">
        <v>58</v>
      </c>
      <c r="FJ14" t="s">
        <v>59</v>
      </c>
      <c r="FM14" s="32" t="s">
        <v>88</v>
      </c>
      <c r="FN14" t="s">
        <v>89</v>
      </c>
      <c r="FO14" t="s">
        <v>90</v>
      </c>
      <c r="FP14" t="str">
        <f t="shared" si="0"/>
        <v>B</v>
      </c>
      <c r="FT14" s="69" t="s">
        <v>7404</v>
      </c>
      <c r="FU14" s="60">
        <v>0</v>
      </c>
      <c r="FV14" s="60">
        <v>0</v>
      </c>
      <c r="FW14" s="60">
        <v>0</v>
      </c>
      <c r="FX14" s="60">
        <v>0</v>
      </c>
      <c r="FY14" s="60">
        <v>14.545</v>
      </c>
      <c r="FZ14" s="60">
        <v>26.045000000000002</v>
      </c>
      <c r="GA14" s="60">
        <v>18.89</v>
      </c>
      <c r="GB14" s="60">
        <v>13.08</v>
      </c>
      <c r="GC14" s="60">
        <v>16.899999999999999</v>
      </c>
      <c r="GD14" s="60">
        <v>18.97</v>
      </c>
      <c r="GE14" s="60">
        <v>18.605</v>
      </c>
      <c r="GF14" s="60">
        <v>18.11</v>
      </c>
      <c r="GG14" s="60">
        <v>17.29</v>
      </c>
      <c r="GH14" s="60">
        <v>17.27</v>
      </c>
      <c r="GI14" s="60">
        <v>17.100000000000001</v>
      </c>
      <c r="GJ14" s="60">
        <v>16.02</v>
      </c>
      <c r="GK14" s="60">
        <v>15.145</v>
      </c>
      <c r="GL14" s="60">
        <v>13.705</v>
      </c>
      <c r="GM14" s="60">
        <v>13.454999999999998</v>
      </c>
      <c r="GN14" s="60">
        <v>16.795000000000002</v>
      </c>
      <c r="GO14" s="60">
        <v>19.670000000000002</v>
      </c>
      <c r="GP14" s="60">
        <v>21.5</v>
      </c>
      <c r="GQ14" s="60">
        <v>23.315000000000001</v>
      </c>
      <c r="GR14" s="60">
        <v>26.9</v>
      </c>
      <c r="GU14" s="53">
        <v>11</v>
      </c>
      <c r="GV14" s="53">
        <v>8</v>
      </c>
      <c r="GY14" t="s">
        <v>7453</v>
      </c>
      <c r="GZ14" s="64" t="s">
        <v>7398</v>
      </c>
      <c r="HA14" s="64" t="s">
        <v>7398</v>
      </c>
      <c r="HB14" s="32">
        <v>24</v>
      </c>
      <c r="HF14" t="s">
        <v>7384</v>
      </c>
      <c r="HG14" s="64" t="s">
        <v>7398</v>
      </c>
      <c r="HH14" s="44" t="s">
        <v>7395</v>
      </c>
      <c r="HI14" s="32">
        <v>820</v>
      </c>
    </row>
    <row r="15" spans="1:217" ht="15.5" x14ac:dyDescent="0.35">
      <c r="A15" s="95">
        <f t="shared" si="16"/>
        <v>1</v>
      </c>
      <c r="B15" s="11"/>
      <c r="C15" s="11"/>
      <c r="D15" s="92" t="str">
        <f>IFERROR(
IF(AND(OR(Planilla!B15="C",Planilla!B15="c"), VLOOKUP(E15,EX:FJ,13,0)="C"), "OK",IF(AND(OR(Planilla!B15="C",Planilla!B15="c"), OR(VLOOKUP(E15,EX:FJ,13,0)="B", VLOOKUP(E15,EX:FJ,13,0)="A")), "DEFICIT",IF(
AND(OR(Planilla!B15="B", Planilla!B15="BPAL"), VLOOKUP(E15,EX:FJ,13,0)="B"), "OK",IF(AND(OR(Planilla!B15="B", Planilla!B15="BPAL"), VLOOKUP(E15,EX:FJ,13,0)="A"), "DEFICIT",IF(AND(OR(Planilla!B15="B", Planilla!B15="BPAL"), VLOOKUP(E15,EX:FJ,13,0)="C"), "SOBREOFERTA",IF(AND(Planilla!B15="A", VLOOKUP(E15,EX:FJ,13,0)="A"), "OK",IF(
AND(Planilla!B15="A", OR(VLOOKUP(E15,EX:FJ,13,0)="B", VLOOKUP(E15,EX:FJ,13,0)="C")), "SOBREOFERTA",""
))))))),"")</f>
        <v/>
      </c>
      <c r="E15" s="12"/>
      <c r="F15" s="13"/>
      <c r="G15" s="70"/>
      <c r="H15" s="81" t="str">
        <f t="shared" si="17"/>
        <v/>
      </c>
      <c r="I15" s="7"/>
      <c r="J15" s="6" t="e">
        <f t="shared" si="18"/>
        <v>#N/A</v>
      </c>
      <c r="K15" s="6" t="str">
        <f>IF(A16&lt;&gt;A15,AVERAGEIF(A$9:A15,A15,J$9:J15),"")</f>
        <v/>
      </c>
      <c r="L15" s="7" t="str">
        <f>IFERROR(IF(A16&lt;&gt;A15,AVERAGEIF(A$9:A15,A15,S$9:S15),""),"")</f>
        <v/>
      </c>
      <c r="M15" s="7" t="str">
        <f>IFERROR(IF(A16&lt;&gt;A15,AVERAGEIF(A$9:A15,A15,T$9:T15),""),"")</f>
        <v/>
      </c>
      <c r="N15" s="7" t="str" cm="1">
        <f t="array" ref="N15">IFERROR(IF(A16&lt;&gt;A15,_xlfn.STDEV.P(IF(A$9:A15=A15,T$9:T15)),""),"")</f>
        <v/>
      </c>
      <c r="O15" s="7" t="str" cm="1">
        <f t="array" ref="O15">IFERROR(IF(A16&lt;&gt;A15,_xlfn.STDEV.P(IF(A$9:A15=A15,S$9:S15)),""),"")</f>
        <v/>
      </c>
      <c r="P15" s="8" t="str">
        <f t="shared" si="19"/>
        <v/>
      </c>
      <c r="Q15" s="8" t="str">
        <f t="shared" si="20"/>
        <v/>
      </c>
      <c r="R15" s="8" t="str">
        <f t="shared" si="21"/>
        <v/>
      </c>
      <c r="S15" s="9" t="str">
        <f t="shared" si="22"/>
        <v/>
      </c>
      <c r="T15" s="9" t="str">
        <f t="shared" si="23"/>
        <v/>
      </c>
      <c r="U15" s="14">
        <v>9.4444444444444442E-2</v>
      </c>
      <c r="V15" s="15"/>
      <c r="W15" s="14" t="str">
        <f t="shared" ref="W14:W77" si="38">IF(G15&lt;&gt;"",IF(AND(W14&lt;&gt;"IE",P15&lt;&gt;0,R15&lt;&gt;""),IF(IFERROR((P15/R15),0) &lt;=1,IFERROR(P15/R15,""),1),""),"")</f>
        <v/>
      </c>
      <c r="X15" s="15"/>
      <c r="Y15" s="2"/>
      <c r="AB15" s="22">
        <f t="shared" si="24"/>
        <v>1</v>
      </c>
      <c r="AC15" s="11"/>
      <c r="AD15" s="11"/>
      <c r="AE15" s="13"/>
      <c r="AF15" s="12"/>
      <c r="AG15" s="13"/>
      <c r="AH15" s="14"/>
      <c r="AI15" s="81" t="str">
        <f t="shared" si="25"/>
        <v/>
      </c>
      <c r="AJ15" s="15"/>
      <c r="AK15" s="6" t="e">
        <f t="shared" si="26"/>
        <v>#N/A</v>
      </c>
      <c r="AL15" s="6" t="str">
        <f>IF(AB16&lt;&gt;AB15,AVERAGEIF(AB$9:AB15,AB15,AK$9:AK15),"")</f>
        <v/>
      </c>
      <c r="AM15" s="7" t="str">
        <f>IFERROR(IF(AB16&lt;&gt;AB15,AVERAGEIF(AB$9:AB15,AB15,AT$9:AT15),""),"")</f>
        <v/>
      </c>
      <c r="AN15" s="7" t="str">
        <f>IFERROR(IF(AB16&lt;&gt;AB15,AVERAGEIF(AB$9:AB15,AB15,AU$9:AU15),""),"")</f>
        <v/>
      </c>
      <c r="AO15" s="7" t="str" cm="1">
        <f t="array" ref="AO15">IFERROR(IF(AB16&lt;&gt;AB15,_xlfn.STDEV.P(IF(AB$9:AB15=AB15,AU$9:AU15)),""),"")</f>
        <v/>
      </c>
      <c r="AP15" s="7" t="str" cm="1">
        <f t="array" ref="AP15">IFERROR(IF(AB16&lt;&gt;AB15,_xlfn.STDEV.P(IF(AB$9:AB15=AB15,AT$9:AT15)),""),"")</f>
        <v/>
      </c>
      <c r="AQ15" s="8" t="str">
        <f t="shared" si="27"/>
        <v/>
      </c>
      <c r="AR15" s="8" t="str">
        <f t="shared" si="28"/>
        <v/>
      </c>
      <c r="AS15" s="8" t="str">
        <f t="shared" si="29"/>
        <v/>
      </c>
      <c r="AT15" s="9" t="str">
        <f t="shared" si="30"/>
        <v/>
      </c>
      <c r="AU15" s="9" t="str">
        <f t="shared" si="31"/>
        <v/>
      </c>
      <c r="AV15" s="14"/>
      <c r="AW15" s="15"/>
      <c r="AX15" s="14" t="str">
        <f t="shared" si="32"/>
        <v/>
      </c>
      <c r="AY15" s="15"/>
      <c r="AZ15" s="23"/>
      <c r="BC15" s="12">
        <v>3</v>
      </c>
      <c r="BD15" s="12">
        <f t="shared" si="9"/>
        <v>0</v>
      </c>
      <c r="BE15" s="12">
        <f t="shared" si="10"/>
        <v>0</v>
      </c>
      <c r="BF15" s="73" t="str">
        <f t="shared" si="33"/>
        <v/>
      </c>
      <c r="BG15" s="77" t="str">
        <f t="shared" ref="BG13:BG36" si="39">_xlfn.XLOOKUP(BC15,$A:$A,$R:$R,"0",0,-1)</f>
        <v>0</v>
      </c>
      <c r="BH15" s="74" t="str">
        <f t="shared" si="34"/>
        <v>0</v>
      </c>
      <c r="BI15" s="10" t="str">
        <f t="shared" si="35"/>
        <v/>
      </c>
      <c r="BL15" s="12">
        <v>3</v>
      </c>
      <c r="BM15" s="12">
        <f t="shared" si="12"/>
        <v>0</v>
      </c>
      <c r="BN15" s="12">
        <f t="shared" si="13"/>
        <v>0</v>
      </c>
      <c r="BO15" s="73" t="str">
        <f t="shared" si="36"/>
        <v/>
      </c>
      <c r="BP15" s="12" t="str">
        <f t="shared" si="14"/>
        <v>0</v>
      </c>
      <c r="BQ15" s="74" t="str">
        <f t="shared" si="15"/>
        <v>0</v>
      </c>
      <c r="BR15" s="10" t="str">
        <f t="shared" si="37"/>
        <v/>
      </c>
      <c r="EW15" t="s">
        <v>46</v>
      </c>
      <c r="EX15" s="33">
        <v>1012</v>
      </c>
      <c r="EY15" s="33" t="s">
        <v>91</v>
      </c>
      <c r="EZ15" s="33" t="s">
        <v>92</v>
      </c>
      <c r="FA15" s="33" t="s">
        <v>51</v>
      </c>
      <c r="FB15" s="33" t="s">
        <v>52</v>
      </c>
      <c r="FC15" s="33" t="s">
        <v>53</v>
      </c>
      <c r="FD15" s="33" t="s">
        <v>54</v>
      </c>
      <c r="FE15" s="33">
        <v>2019</v>
      </c>
      <c r="FF15" s="33" t="s">
        <v>55</v>
      </c>
      <c r="FG15" s="33" t="s">
        <v>71</v>
      </c>
      <c r="FH15" s="33" t="s">
        <v>72</v>
      </c>
      <c r="FI15" s="33" t="s">
        <v>73</v>
      </c>
      <c r="FJ15" t="s">
        <v>59</v>
      </c>
      <c r="FM15" s="32" t="s">
        <v>88</v>
      </c>
      <c r="FN15" t="s">
        <v>89</v>
      </c>
      <c r="FO15" t="s">
        <v>90</v>
      </c>
      <c r="FP15" t="str">
        <f t="shared" si="0"/>
        <v>B</v>
      </c>
      <c r="FT15" s="69" t="s">
        <v>7397</v>
      </c>
      <c r="FU15" s="60">
        <v>0</v>
      </c>
      <c r="FV15" s="60">
        <v>0</v>
      </c>
      <c r="FW15" s="60">
        <v>0</v>
      </c>
      <c r="FX15" s="60">
        <v>0</v>
      </c>
      <c r="FY15" s="60">
        <v>13.244999999999999</v>
      </c>
      <c r="FZ15" s="60">
        <v>23.725000000000001</v>
      </c>
      <c r="GA15" s="60">
        <v>18.46</v>
      </c>
      <c r="GB15" s="60">
        <v>17.055</v>
      </c>
      <c r="GC15" s="60">
        <v>20.3</v>
      </c>
      <c r="GD15" s="60">
        <v>21.73</v>
      </c>
      <c r="GE15" s="60">
        <v>21.454999999999998</v>
      </c>
      <c r="GF15" s="60">
        <v>20.605</v>
      </c>
      <c r="GG15" s="60">
        <v>19.164999999999999</v>
      </c>
      <c r="GH15" s="60">
        <v>18.745000000000001</v>
      </c>
      <c r="GI15" s="60">
        <v>18.564999999999998</v>
      </c>
      <c r="GJ15" s="60">
        <v>17.68</v>
      </c>
      <c r="GK15" s="60">
        <v>17.115000000000002</v>
      </c>
      <c r="GL15" s="60">
        <v>16.725000000000001</v>
      </c>
      <c r="GM15" s="60">
        <v>18.5</v>
      </c>
      <c r="GN15" s="60">
        <v>21.009999999999998</v>
      </c>
      <c r="GO15" s="60">
        <v>23.134999999999998</v>
      </c>
      <c r="GP15" s="60">
        <v>25.074999999999999</v>
      </c>
      <c r="GQ15" s="60">
        <v>26.45</v>
      </c>
      <c r="GR15" s="60">
        <v>0</v>
      </c>
      <c r="GU15" s="53">
        <v>12</v>
      </c>
      <c r="GV15" s="53">
        <v>9</v>
      </c>
      <c r="GY15" t="s">
        <v>7453</v>
      </c>
      <c r="GZ15" s="64">
        <v>722</v>
      </c>
      <c r="HA15" s="64">
        <v>722</v>
      </c>
      <c r="HB15" s="32">
        <v>25</v>
      </c>
      <c r="HF15" t="s">
        <v>7384</v>
      </c>
      <c r="HG15" s="64">
        <v>722</v>
      </c>
      <c r="HH15" s="44" t="s">
        <v>7402</v>
      </c>
      <c r="HI15" s="32">
        <v>822</v>
      </c>
    </row>
    <row r="16" spans="1:217" ht="15.5" x14ac:dyDescent="0.35">
      <c r="A16" s="95">
        <f t="shared" si="16"/>
        <v>1</v>
      </c>
      <c r="B16" s="11"/>
      <c r="C16" s="11"/>
      <c r="D16" s="92" t="str">
        <f>IFERROR(
IF(AND(OR(Planilla!B16="C",Planilla!B16="c"), VLOOKUP(E16,EX:FJ,13,0)="C"), "OK",IF(AND(OR(Planilla!B16="C",Planilla!B16="c"), OR(VLOOKUP(E16,EX:FJ,13,0)="B", VLOOKUP(E16,EX:FJ,13,0)="A")), "DEFICIT",IF(
AND(OR(Planilla!B16="B", Planilla!B16="BPAL"), VLOOKUP(E16,EX:FJ,13,0)="B"), "OK",IF(AND(OR(Planilla!B16="B", Planilla!B16="BPAL"), VLOOKUP(E16,EX:FJ,13,0)="A"), "DEFICIT",IF(AND(OR(Planilla!B16="B", Planilla!B16="BPAL"), VLOOKUP(E16,EX:FJ,13,0)="C"), "SOBREOFERTA",IF(AND(Planilla!B16="A", VLOOKUP(E16,EX:FJ,13,0)="A"), "OK",IF(
AND(Planilla!B16="A", OR(VLOOKUP(E16,EX:FJ,13,0)="B", VLOOKUP(E16,EX:FJ,13,0)="C")), "SOBREOFERTA",""
))))))),"")</f>
        <v/>
      </c>
      <c r="E16" s="12"/>
      <c r="F16" s="13"/>
      <c r="G16" s="70"/>
      <c r="H16" s="81" t="str">
        <f t="shared" si="17"/>
        <v/>
      </c>
      <c r="I16" s="7"/>
      <c r="J16" s="6" t="e">
        <f t="shared" si="18"/>
        <v>#N/A</v>
      </c>
      <c r="K16" s="6" t="str">
        <f>IF(A17&lt;&gt;A16,AVERAGEIF(A$9:A16,A16,J$9:J16),"")</f>
        <v/>
      </c>
      <c r="L16" s="7" t="str">
        <f>IFERROR(IF(A17&lt;&gt;A16,AVERAGEIF(A$9:A16,A16,S$9:S16),""),"")</f>
        <v/>
      </c>
      <c r="M16" s="7" t="str">
        <f>IFERROR(IF(A17&lt;&gt;A16,AVERAGEIF(A$9:A16,A16,T$9:T16),""),"")</f>
        <v/>
      </c>
      <c r="N16" s="7" t="str" cm="1">
        <f t="array" ref="N16">IFERROR(IF(A17&lt;&gt;A16,_xlfn.STDEV.P(IF(A$9:A16=A16,T$9:T16)),""),"")</f>
        <v/>
      </c>
      <c r="O16" s="7" t="str" cm="1">
        <f t="array" ref="O16">IFERROR(IF(A17&lt;&gt;A16,_xlfn.STDEV.P(IF(A$9:A16=A16,S$9:S16)),""),"")</f>
        <v/>
      </c>
      <c r="P16" s="8" t="str">
        <f t="shared" si="19"/>
        <v/>
      </c>
      <c r="Q16" s="8" t="str">
        <f t="shared" si="20"/>
        <v/>
      </c>
      <c r="R16" s="8" t="str">
        <f t="shared" si="21"/>
        <v/>
      </c>
      <c r="S16" s="9" t="str">
        <f t="shared" si="22"/>
        <v/>
      </c>
      <c r="T16" s="9" t="str">
        <f t="shared" si="23"/>
        <v/>
      </c>
      <c r="U16" s="14">
        <v>0.10833333333333334</v>
      </c>
      <c r="V16" s="15"/>
      <c r="W16" s="14" t="str">
        <f t="shared" si="38"/>
        <v/>
      </c>
      <c r="X16" s="15"/>
      <c r="Y16" s="2"/>
      <c r="AB16" s="22">
        <f t="shared" si="24"/>
        <v>1</v>
      </c>
      <c r="AC16" s="11"/>
      <c r="AD16" s="11"/>
      <c r="AE16" s="13"/>
      <c r="AF16" s="12"/>
      <c r="AG16" s="13"/>
      <c r="AH16" s="14"/>
      <c r="AI16" s="81" t="str">
        <f t="shared" si="25"/>
        <v/>
      </c>
      <c r="AJ16" s="15"/>
      <c r="AK16" s="6" t="e">
        <f t="shared" si="26"/>
        <v>#N/A</v>
      </c>
      <c r="AL16" s="6" t="str">
        <f>IF(AB17&lt;&gt;AB16,AVERAGEIF(AB$9:AB16,AB16,AK$9:AK16),"")</f>
        <v/>
      </c>
      <c r="AM16" s="7" t="str">
        <f>IFERROR(IF(AB17&lt;&gt;AB16,AVERAGEIF(AB$9:AB16,AB16,AT$9:AT16),""),"")</f>
        <v/>
      </c>
      <c r="AN16" s="7" t="str">
        <f>IFERROR(IF(AB17&lt;&gt;AB16,AVERAGEIF(AB$9:AB16,AB16,AU$9:AU16),""),"")</f>
        <v/>
      </c>
      <c r="AO16" s="7" t="str" cm="1">
        <f t="array" ref="AO16">IFERROR(IF(AB17&lt;&gt;AB16,_xlfn.STDEV.P(IF(AB$9:AB16=AB16,AU$9:AU16)),""),"")</f>
        <v/>
      </c>
      <c r="AP16" s="7" t="str" cm="1">
        <f t="array" ref="AP16">IFERROR(IF(AB17&lt;&gt;AB16,_xlfn.STDEV.P(IF(AB$9:AB16=AB16,AT$9:AT16)),""),"")</f>
        <v/>
      </c>
      <c r="AQ16" s="8" t="str">
        <f t="shared" si="27"/>
        <v/>
      </c>
      <c r="AR16" s="8" t="str">
        <f t="shared" si="28"/>
        <v/>
      </c>
      <c r="AS16" s="8" t="str">
        <f t="shared" si="29"/>
        <v/>
      </c>
      <c r="AT16" s="9" t="str">
        <f t="shared" si="30"/>
        <v/>
      </c>
      <c r="AU16" s="9" t="str">
        <f t="shared" si="31"/>
        <v/>
      </c>
      <c r="AV16" s="14"/>
      <c r="AW16" s="15"/>
      <c r="AX16" s="14" t="str">
        <f t="shared" si="32"/>
        <v/>
      </c>
      <c r="AY16" s="15"/>
      <c r="AZ16" s="23"/>
      <c r="BC16" s="12">
        <v>4</v>
      </c>
      <c r="BD16" s="12">
        <f t="shared" si="9"/>
        <v>0</v>
      </c>
      <c r="BE16" s="12">
        <f t="shared" si="10"/>
        <v>0</v>
      </c>
      <c r="BF16" s="73" t="str">
        <f t="shared" si="33"/>
        <v/>
      </c>
      <c r="BG16" s="77" t="str">
        <f t="shared" si="39"/>
        <v>0</v>
      </c>
      <c r="BH16" s="74" t="str">
        <f t="shared" si="34"/>
        <v>0</v>
      </c>
      <c r="BI16" s="10" t="str">
        <f t="shared" si="35"/>
        <v/>
      </c>
      <c r="BL16" s="12">
        <v>4</v>
      </c>
      <c r="BM16" s="12">
        <f t="shared" si="12"/>
        <v>0</v>
      </c>
      <c r="BN16" s="12">
        <f t="shared" si="13"/>
        <v>0</v>
      </c>
      <c r="BO16" s="73" t="str">
        <f t="shared" si="36"/>
        <v/>
      </c>
      <c r="BP16" s="12" t="str">
        <f t="shared" si="14"/>
        <v>0</v>
      </c>
      <c r="BQ16" s="74" t="str">
        <f t="shared" si="15"/>
        <v>0</v>
      </c>
      <c r="BR16" s="10" t="str">
        <f t="shared" si="37"/>
        <v/>
      </c>
      <c r="EW16" t="s">
        <v>46</v>
      </c>
      <c r="EX16" s="33">
        <v>1013</v>
      </c>
      <c r="EY16" s="33" t="s">
        <v>93</v>
      </c>
      <c r="EZ16" s="33" t="s">
        <v>94</v>
      </c>
      <c r="FA16" s="33" t="s">
        <v>51</v>
      </c>
      <c r="FB16" s="33" t="s">
        <v>52</v>
      </c>
      <c r="FC16" s="33" t="s">
        <v>53</v>
      </c>
      <c r="FD16" s="33" t="s">
        <v>54</v>
      </c>
      <c r="FE16" s="33">
        <v>2019</v>
      </c>
      <c r="FF16" s="33" t="s">
        <v>55</v>
      </c>
      <c r="FG16" s="33" t="s">
        <v>56</v>
      </c>
      <c r="FH16" s="33" t="s">
        <v>57</v>
      </c>
      <c r="FI16" s="33" t="s">
        <v>58</v>
      </c>
      <c r="FJ16" t="s">
        <v>59</v>
      </c>
      <c r="FM16" s="32" t="s">
        <v>88</v>
      </c>
      <c r="FN16" t="s">
        <v>89</v>
      </c>
      <c r="FO16" t="s">
        <v>90</v>
      </c>
      <c r="FP16" t="str">
        <f t="shared" si="0"/>
        <v>B</v>
      </c>
      <c r="FT16" s="69" t="s">
        <v>7405</v>
      </c>
      <c r="FU16" s="60">
        <v>0</v>
      </c>
      <c r="FV16" s="60">
        <v>0</v>
      </c>
      <c r="FW16" s="60">
        <v>0</v>
      </c>
      <c r="FX16" s="60">
        <v>0</v>
      </c>
      <c r="FY16" s="60">
        <v>0</v>
      </c>
      <c r="FZ16" s="60">
        <v>9.58</v>
      </c>
      <c r="GA16" s="60">
        <v>15.145</v>
      </c>
      <c r="GB16" s="60">
        <v>12.605</v>
      </c>
      <c r="GC16" s="60">
        <v>14.385</v>
      </c>
      <c r="GD16" s="60">
        <v>15.190000000000001</v>
      </c>
      <c r="GE16" s="60">
        <v>15.085000000000001</v>
      </c>
      <c r="GF16" s="60">
        <v>14.8</v>
      </c>
      <c r="GG16" s="60">
        <v>14.43</v>
      </c>
      <c r="GH16" s="60">
        <v>14.59</v>
      </c>
      <c r="GI16" s="60">
        <v>14.42</v>
      </c>
      <c r="GJ16" s="60">
        <v>13.86</v>
      </c>
      <c r="GK16" s="60">
        <v>12.754999999999999</v>
      </c>
      <c r="GL16" s="60">
        <v>11.79</v>
      </c>
      <c r="GM16" s="60">
        <v>12.895</v>
      </c>
      <c r="GN16" s="60">
        <v>14.885</v>
      </c>
      <c r="GO16" s="60">
        <v>16.585000000000001</v>
      </c>
      <c r="GP16" s="60">
        <v>17.96</v>
      </c>
      <c r="GQ16" s="60">
        <v>20.450000000000003</v>
      </c>
      <c r="GR16" s="60">
        <v>23.575000000000003</v>
      </c>
      <c r="GU16" s="53">
        <v>13</v>
      </c>
      <c r="GV16" s="53">
        <v>10</v>
      </c>
      <c r="GY16" t="s">
        <v>7453</v>
      </c>
      <c r="GZ16" s="64" t="s">
        <v>7390</v>
      </c>
      <c r="HA16" s="64" t="s">
        <v>7390</v>
      </c>
      <c r="HB16" s="32">
        <v>27</v>
      </c>
      <c r="HF16" t="s">
        <v>7384</v>
      </c>
      <c r="HG16" s="64" t="s">
        <v>7390</v>
      </c>
      <c r="HH16" s="44" t="s">
        <v>7385</v>
      </c>
      <c r="HI16" s="32">
        <v>824</v>
      </c>
    </row>
    <row r="17" spans="1:217" ht="15.5" x14ac:dyDescent="0.35">
      <c r="A17" s="95">
        <f t="shared" si="16"/>
        <v>1</v>
      </c>
      <c r="B17" s="11"/>
      <c r="C17" s="11"/>
      <c r="D17" s="92" t="str">
        <f>IFERROR(
IF(AND(OR(Planilla!B17="C",Planilla!B17="c"), VLOOKUP(E17,EX:FJ,13,0)="C"), "OK",IF(AND(OR(Planilla!B17="C",Planilla!B17="c"), OR(VLOOKUP(E17,EX:FJ,13,0)="B", VLOOKUP(E17,EX:FJ,13,0)="A")), "DEFICIT",IF(
AND(OR(Planilla!B17="B", Planilla!B17="BPAL"), VLOOKUP(E17,EX:FJ,13,0)="B"), "OK",IF(AND(OR(Planilla!B17="B", Planilla!B17="BPAL"), VLOOKUP(E17,EX:FJ,13,0)="A"), "DEFICIT",IF(AND(OR(Planilla!B17="B", Planilla!B17="BPAL"), VLOOKUP(E17,EX:FJ,13,0)="C"), "SOBREOFERTA",IF(AND(Planilla!B17="A", VLOOKUP(E17,EX:FJ,13,0)="A"), "OK",IF(
AND(Planilla!B17="A", OR(VLOOKUP(E17,EX:FJ,13,0)="B", VLOOKUP(E17,EX:FJ,13,0)="C")), "SOBREOFERTA",""
))))))),"")</f>
        <v/>
      </c>
      <c r="E17" s="12"/>
      <c r="F17" s="13"/>
      <c r="G17" s="70"/>
      <c r="H17" s="81" t="str">
        <f t="shared" si="17"/>
        <v/>
      </c>
      <c r="I17" s="7"/>
      <c r="J17" s="6" t="e">
        <f t="shared" si="18"/>
        <v>#N/A</v>
      </c>
      <c r="K17" s="6" t="str">
        <f>IF(A18&lt;&gt;A17,AVERAGEIF(A$9:A17,A17,J$9:J17),"")</f>
        <v/>
      </c>
      <c r="L17" s="7" t="str">
        <f>IFERROR(IF(A18&lt;&gt;A17,AVERAGEIF(A$9:A17,A17,S$9:S17),""),"")</f>
        <v/>
      </c>
      <c r="M17" s="7" t="str">
        <f>IFERROR(IF(A18&lt;&gt;A17,AVERAGEIF(A$9:A17,A17,T$9:T17),""),"")</f>
        <v/>
      </c>
      <c r="N17" s="7" t="str" cm="1">
        <f t="array" ref="N17">IFERROR(IF(A18&lt;&gt;A17,_xlfn.STDEV.P(IF(A$9:A17=A17,T$9:T17)),""),"")</f>
        <v/>
      </c>
      <c r="O17" s="7" t="str" cm="1">
        <f t="array" ref="O17">IFERROR(IF(A18&lt;&gt;A17,_xlfn.STDEV.P(IF(A$9:A17=A17,S$9:S17)),""),"")</f>
        <v/>
      </c>
      <c r="P17" s="8" t="str">
        <f t="shared" si="19"/>
        <v/>
      </c>
      <c r="Q17" s="8" t="str">
        <f t="shared" si="20"/>
        <v/>
      </c>
      <c r="R17" s="8" t="str">
        <f t="shared" si="21"/>
        <v/>
      </c>
      <c r="S17" s="9" t="str">
        <f t="shared" si="22"/>
        <v/>
      </c>
      <c r="T17" s="9" t="str">
        <f t="shared" si="23"/>
        <v/>
      </c>
      <c r="U17" s="14">
        <v>0.12083333333333333</v>
      </c>
      <c r="V17" s="15"/>
      <c r="W17" s="14" t="str">
        <f t="shared" si="38"/>
        <v/>
      </c>
      <c r="X17" s="15"/>
      <c r="Y17" s="2"/>
      <c r="AB17" s="22">
        <f t="shared" si="24"/>
        <v>1</v>
      </c>
      <c r="AC17" s="11"/>
      <c r="AD17" s="11"/>
      <c r="AE17" s="13"/>
      <c r="AF17" s="12"/>
      <c r="AG17" s="13"/>
      <c r="AH17" s="14"/>
      <c r="AI17" s="81" t="str">
        <f t="shared" si="25"/>
        <v/>
      </c>
      <c r="AJ17" s="15"/>
      <c r="AK17" s="6" t="e">
        <f t="shared" si="26"/>
        <v>#N/A</v>
      </c>
      <c r="AL17" s="6" t="str">
        <f>IF(AB18&lt;&gt;AB17,AVERAGEIF(AB$9:AB17,AB17,AK$9:AK17),"")</f>
        <v/>
      </c>
      <c r="AM17" s="7" t="str">
        <f>IFERROR(IF(AB18&lt;&gt;AB17,AVERAGEIF(AB$9:AB17,AB17,AT$9:AT17),""),"")</f>
        <v/>
      </c>
      <c r="AN17" s="7" t="str">
        <f>IFERROR(IF(AB18&lt;&gt;AB17,AVERAGEIF(AB$9:AB17,AB17,AU$9:AU17),""),"")</f>
        <v/>
      </c>
      <c r="AO17" s="7" t="str" cm="1">
        <f t="array" ref="AO17">IFERROR(IF(AB18&lt;&gt;AB17,_xlfn.STDEV.P(IF(AB$9:AB17=AB17,AU$9:AU17)),""),"")</f>
        <v/>
      </c>
      <c r="AP17" s="7" t="str" cm="1">
        <f t="array" ref="AP17">IFERROR(IF(AB18&lt;&gt;AB17,_xlfn.STDEV.P(IF(AB$9:AB17=AB17,AT$9:AT17)),""),"")</f>
        <v/>
      </c>
      <c r="AQ17" s="8" t="str">
        <f t="shared" si="27"/>
        <v/>
      </c>
      <c r="AR17" s="8" t="str">
        <f t="shared" si="28"/>
        <v/>
      </c>
      <c r="AS17" s="8" t="str">
        <f t="shared" si="29"/>
        <v/>
      </c>
      <c r="AT17" s="9" t="str">
        <f t="shared" si="30"/>
        <v/>
      </c>
      <c r="AU17" s="9" t="str">
        <f t="shared" si="31"/>
        <v/>
      </c>
      <c r="AV17" s="14"/>
      <c r="AW17" s="15"/>
      <c r="AX17" s="14" t="str">
        <f t="shared" si="32"/>
        <v/>
      </c>
      <c r="AY17" s="15"/>
      <c r="AZ17" s="23"/>
      <c r="BC17" s="12">
        <v>5</v>
      </c>
      <c r="BD17" s="12">
        <f t="shared" si="9"/>
        <v>0</v>
      </c>
      <c r="BE17" s="12">
        <f t="shared" si="10"/>
        <v>0</v>
      </c>
      <c r="BF17" s="73" t="str">
        <f t="shared" si="33"/>
        <v/>
      </c>
      <c r="BG17" s="77" t="str">
        <f t="shared" si="39"/>
        <v>0</v>
      </c>
      <c r="BH17" s="74" t="str">
        <f t="shared" si="34"/>
        <v>0</v>
      </c>
      <c r="BI17" s="10" t="str">
        <f t="shared" si="35"/>
        <v/>
      </c>
      <c r="BL17" s="12">
        <v>5</v>
      </c>
      <c r="BM17" s="12">
        <f t="shared" si="12"/>
        <v>0</v>
      </c>
      <c r="BN17" s="12">
        <f t="shared" si="13"/>
        <v>0</v>
      </c>
      <c r="BO17" s="73" t="str">
        <f t="shared" si="36"/>
        <v/>
      </c>
      <c r="BP17" s="12" t="str">
        <f t="shared" si="14"/>
        <v>0</v>
      </c>
      <c r="BQ17" s="74" t="str">
        <f t="shared" si="15"/>
        <v>0</v>
      </c>
      <c r="BR17" s="10" t="str">
        <f t="shared" si="37"/>
        <v/>
      </c>
      <c r="EW17" t="s">
        <v>46</v>
      </c>
      <c r="EX17" s="33">
        <v>1014</v>
      </c>
      <c r="EY17" s="33" t="s">
        <v>95</v>
      </c>
      <c r="EZ17" s="33" t="s">
        <v>96</v>
      </c>
      <c r="FA17" s="33" t="s">
        <v>51</v>
      </c>
      <c r="FB17" s="33" t="s">
        <v>52</v>
      </c>
      <c r="FC17" s="33" t="s">
        <v>53</v>
      </c>
      <c r="FD17" s="33" t="s">
        <v>54</v>
      </c>
      <c r="FE17" s="33">
        <v>2019</v>
      </c>
      <c r="FF17" s="33" t="s">
        <v>55</v>
      </c>
      <c r="FG17" s="33" t="s">
        <v>56</v>
      </c>
      <c r="FH17" s="33" t="s">
        <v>57</v>
      </c>
      <c r="FI17" s="33" t="s">
        <v>58</v>
      </c>
      <c r="FJ17" t="s">
        <v>59</v>
      </c>
      <c r="FM17" s="32" t="s">
        <v>88</v>
      </c>
      <c r="FN17" t="s">
        <v>89</v>
      </c>
      <c r="FO17" t="s">
        <v>90</v>
      </c>
      <c r="FP17" t="str">
        <f t="shared" si="0"/>
        <v>B</v>
      </c>
      <c r="FT17" s="69">
        <v>120</v>
      </c>
      <c r="FU17" s="60">
        <v>0</v>
      </c>
      <c r="FV17" s="60">
        <v>0</v>
      </c>
      <c r="FW17" s="60">
        <v>0</v>
      </c>
      <c r="FX17" s="60">
        <v>0</v>
      </c>
      <c r="FY17" s="60">
        <v>27.31</v>
      </c>
      <c r="FZ17" s="60">
        <v>22.005000000000003</v>
      </c>
      <c r="GA17" s="60">
        <v>16.685000000000002</v>
      </c>
      <c r="GB17" s="60">
        <v>14.945</v>
      </c>
      <c r="GC17" s="60">
        <v>16.829999999999998</v>
      </c>
      <c r="GD17" s="60">
        <v>17.984999999999999</v>
      </c>
      <c r="GE17" s="60">
        <v>18.065000000000001</v>
      </c>
      <c r="GF17" s="60">
        <v>17.725000000000001</v>
      </c>
      <c r="GG17" s="60">
        <v>17.03</v>
      </c>
      <c r="GH17" s="60">
        <v>17.105</v>
      </c>
      <c r="GI17" s="60">
        <v>16.605</v>
      </c>
      <c r="GJ17" s="60">
        <v>15.620000000000001</v>
      </c>
      <c r="GK17" s="60">
        <v>13.25</v>
      </c>
      <c r="GL17" s="60">
        <v>11.98</v>
      </c>
      <c r="GM17" s="60">
        <v>14.1</v>
      </c>
      <c r="GN17" s="60">
        <v>17.32</v>
      </c>
      <c r="GO17" s="60">
        <v>19.920000000000002</v>
      </c>
      <c r="GP17" s="60">
        <v>21.765000000000001</v>
      </c>
      <c r="GQ17" s="60">
        <v>23.685000000000002</v>
      </c>
      <c r="GR17" s="60">
        <v>25.535</v>
      </c>
      <c r="GU17" s="53">
        <v>14</v>
      </c>
      <c r="GV17" s="53">
        <v>11</v>
      </c>
      <c r="GY17" t="s">
        <v>7453</v>
      </c>
      <c r="GZ17" s="64" t="s">
        <v>7411</v>
      </c>
      <c r="HA17" s="64" t="s">
        <v>7411</v>
      </c>
      <c r="HB17" s="32">
        <v>28</v>
      </c>
      <c r="HF17" t="s">
        <v>7384</v>
      </c>
      <c r="HG17" s="64" t="s">
        <v>7411</v>
      </c>
      <c r="HH17" s="44" t="s">
        <v>7402</v>
      </c>
      <c r="HI17" s="32">
        <v>825</v>
      </c>
    </row>
    <row r="18" spans="1:217" ht="15.5" x14ac:dyDescent="0.35">
      <c r="A18" s="95">
        <f t="shared" si="16"/>
        <v>1</v>
      </c>
      <c r="B18" s="11"/>
      <c r="C18" s="11"/>
      <c r="D18" s="92" t="str">
        <f>IFERROR(
IF(AND(OR(Planilla!B18="C",Planilla!B18="c"), VLOOKUP(E18,EX:FJ,13,0)="C"), "OK",IF(AND(OR(Planilla!B18="C",Planilla!B18="c"), OR(VLOOKUP(E18,EX:FJ,13,0)="B", VLOOKUP(E18,EX:FJ,13,0)="A")), "DEFICIT",IF(
AND(OR(Planilla!B18="B", Planilla!B18="BPAL"), VLOOKUP(E18,EX:FJ,13,0)="B"), "OK",IF(AND(OR(Planilla!B18="B", Planilla!B18="BPAL"), VLOOKUP(E18,EX:FJ,13,0)="A"), "DEFICIT",IF(AND(OR(Planilla!B18="B", Planilla!B18="BPAL"), VLOOKUP(E18,EX:FJ,13,0)="C"), "SOBREOFERTA",IF(AND(Planilla!B18="A", VLOOKUP(E18,EX:FJ,13,0)="A"), "OK",IF(
AND(Planilla!B18="A", OR(VLOOKUP(E18,EX:FJ,13,0)="B", VLOOKUP(E18,EX:FJ,13,0)="C")), "SOBREOFERTA",""
))))))),"")</f>
        <v/>
      </c>
      <c r="E18" s="12"/>
      <c r="F18" s="13"/>
      <c r="G18" s="14"/>
      <c r="H18" s="81" t="str">
        <f t="shared" si="17"/>
        <v/>
      </c>
      <c r="I18" s="7"/>
      <c r="J18" s="6" t="e">
        <f t="shared" si="18"/>
        <v>#N/A</v>
      </c>
      <c r="K18" s="6" t="str">
        <f>IF(A19&lt;&gt;A18,AVERAGEIF(A$9:A18,A18,J$9:J18),"")</f>
        <v/>
      </c>
      <c r="L18" s="7" t="str">
        <f>IFERROR(IF(A19&lt;&gt;A18,AVERAGEIF(A$9:A18,A18,S$9:S18),""),"")</f>
        <v/>
      </c>
      <c r="M18" s="7" t="str">
        <f>IFERROR(IF(A19&lt;&gt;A18,AVERAGEIF(A$9:A18,A18,T$9:T18),""),"")</f>
        <v/>
      </c>
      <c r="N18" s="7" t="str" cm="1">
        <f t="array" ref="N18">IFERROR(IF(A19&lt;&gt;A18,_xlfn.STDEV.P(IF(A$9:A18=A18,T$9:T18)),""),"")</f>
        <v/>
      </c>
      <c r="O18" s="7" t="str" cm="1">
        <f t="array" ref="O18">IFERROR(IF(A19&lt;&gt;A18,_xlfn.STDEV.P(IF(A$9:A18=A18,S$9:S18)),""),"")</f>
        <v/>
      </c>
      <c r="P18" s="8" t="str">
        <f t="shared" si="19"/>
        <v/>
      </c>
      <c r="Q18" s="8" t="str">
        <f t="shared" si="20"/>
        <v/>
      </c>
      <c r="R18" s="8" t="str">
        <f t="shared" si="21"/>
        <v/>
      </c>
      <c r="S18" s="9" t="str">
        <f t="shared" si="22"/>
        <v/>
      </c>
      <c r="T18" s="9" t="str">
        <f t="shared" si="23"/>
        <v/>
      </c>
      <c r="U18" s="14">
        <v>0.13472222222222222</v>
      </c>
      <c r="V18" s="15"/>
      <c r="W18" s="14" t="str">
        <f t="shared" si="38"/>
        <v/>
      </c>
      <c r="X18" s="15"/>
      <c r="Y18" s="2"/>
      <c r="AB18" s="22">
        <f t="shared" si="24"/>
        <v>1</v>
      </c>
      <c r="AC18" s="11"/>
      <c r="AD18" s="11"/>
      <c r="AE18" s="13"/>
      <c r="AF18" s="12"/>
      <c r="AG18" s="13"/>
      <c r="AH18" s="14"/>
      <c r="AI18" s="81" t="str">
        <f t="shared" si="25"/>
        <v/>
      </c>
      <c r="AJ18" s="15"/>
      <c r="AK18" s="6" t="e">
        <f t="shared" si="26"/>
        <v>#N/A</v>
      </c>
      <c r="AL18" s="6" t="str">
        <f>IF(AB19&lt;&gt;AB18,AVERAGEIF(AB$9:AB18,AB18,AK$9:AK18),"")</f>
        <v/>
      </c>
      <c r="AM18" s="7" t="str">
        <f>IFERROR(IF(AB19&lt;&gt;AB18,AVERAGEIF(AB$9:AB18,AB18,AT$9:AT18),""),"")</f>
        <v/>
      </c>
      <c r="AN18" s="7" t="str">
        <f>IFERROR(IF(AB19&lt;&gt;AB18,AVERAGEIF(AB$9:AB18,AB18,AU$9:AU18),""),"")</f>
        <v/>
      </c>
      <c r="AO18" s="7" t="str" cm="1">
        <f t="array" ref="AO18">IFERROR(IF(AB19&lt;&gt;AB18,_xlfn.STDEV.P(IF(AB$9:AB18=AB18,AU$9:AU18)),""),"")</f>
        <v/>
      </c>
      <c r="AP18" s="7" t="str" cm="1">
        <f t="array" ref="AP18">IFERROR(IF(AB19&lt;&gt;AB18,_xlfn.STDEV.P(IF(AB$9:AB18=AB18,AT$9:AT18)),""),"")</f>
        <v/>
      </c>
      <c r="AQ18" s="8" t="str">
        <f t="shared" si="27"/>
        <v/>
      </c>
      <c r="AR18" s="8" t="str">
        <f t="shared" si="28"/>
        <v/>
      </c>
      <c r="AS18" s="8" t="str">
        <f t="shared" si="29"/>
        <v/>
      </c>
      <c r="AT18" s="9" t="str">
        <f t="shared" si="30"/>
        <v/>
      </c>
      <c r="AU18" s="9" t="str">
        <f t="shared" si="31"/>
        <v/>
      </c>
      <c r="AV18" s="14"/>
      <c r="AW18" s="15"/>
      <c r="AX18" s="14" t="str">
        <f t="shared" si="32"/>
        <v/>
      </c>
      <c r="AY18" s="15"/>
      <c r="AZ18" s="23"/>
      <c r="BC18" s="12">
        <v>6</v>
      </c>
      <c r="BD18" s="12">
        <f t="shared" si="9"/>
        <v>0</v>
      </c>
      <c r="BE18" s="12">
        <f t="shared" si="10"/>
        <v>0</v>
      </c>
      <c r="BF18" s="73" t="str">
        <f t="shared" si="33"/>
        <v/>
      </c>
      <c r="BG18" s="77" t="str">
        <f t="shared" si="39"/>
        <v>0</v>
      </c>
      <c r="BH18" s="74" t="str">
        <f t="shared" si="34"/>
        <v>0</v>
      </c>
      <c r="BI18" s="10" t="str">
        <f t="shared" si="35"/>
        <v/>
      </c>
      <c r="BL18" s="12">
        <v>6</v>
      </c>
      <c r="BM18" s="12">
        <f t="shared" si="12"/>
        <v>0</v>
      </c>
      <c r="BN18" s="12">
        <f t="shared" si="13"/>
        <v>0</v>
      </c>
      <c r="BO18" s="73" t="str">
        <f t="shared" si="36"/>
        <v/>
      </c>
      <c r="BP18" s="12" t="str">
        <f t="shared" si="14"/>
        <v>0</v>
      </c>
      <c r="BQ18" s="74" t="str">
        <f t="shared" si="15"/>
        <v>0</v>
      </c>
      <c r="BR18" s="10" t="str">
        <f t="shared" si="37"/>
        <v/>
      </c>
      <c r="EW18" t="s">
        <v>46</v>
      </c>
      <c r="EX18" s="33">
        <v>1015</v>
      </c>
      <c r="EY18" s="33" t="s">
        <v>97</v>
      </c>
      <c r="EZ18" s="33" t="s">
        <v>98</v>
      </c>
      <c r="FA18" s="33" t="s">
        <v>51</v>
      </c>
      <c r="FB18" s="33" t="s">
        <v>52</v>
      </c>
      <c r="FC18" s="33" t="s">
        <v>53</v>
      </c>
      <c r="FD18" s="33" t="s">
        <v>54</v>
      </c>
      <c r="FE18" s="33">
        <v>2019</v>
      </c>
      <c r="FF18" s="33" t="s">
        <v>55</v>
      </c>
      <c r="FG18" s="33" t="s">
        <v>56</v>
      </c>
      <c r="FH18" s="33" t="s">
        <v>57</v>
      </c>
      <c r="FI18" s="33" t="s">
        <v>58</v>
      </c>
      <c r="FJ18" t="s">
        <v>59</v>
      </c>
      <c r="FM18" s="32" t="s">
        <v>88</v>
      </c>
      <c r="FN18" t="s">
        <v>89</v>
      </c>
      <c r="FO18" t="s">
        <v>90</v>
      </c>
      <c r="FP18" t="str">
        <f t="shared" si="0"/>
        <v>B</v>
      </c>
      <c r="FT18" s="69">
        <v>120</v>
      </c>
      <c r="FU18" s="60">
        <v>28.4</v>
      </c>
      <c r="FV18" s="60">
        <v>0</v>
      </c>
      <c r="FW18" s="60">
        <v>0</v>
      </c>
      <c r="FX18" s="60">
        <v>0</v>
      </c>
      <c r="FY18" s="60">
        <v>0</v>
      </c>
      <c r="FZ18" s="60">
        <v>9.81</v>
      </c>
      <c r="GA18" s="60">
        <v>16.66</v>
      </c>
      <c r="GB18" s="60">
        <v>14.92</v>
      </c>
      <c r="GC18" s="60">
        <v>16.59</v>
      </c>
      <c r="GD18" s="60">
        <v>17.284999999999997</v>
      </c>
      <c r="GE18" s="60">
        <v>17.34</v>
      </c>
      <c r="GF18" s="60">
        <v>17.32</v>
      </c>
      <c r="GG18" s="60">
        <v>16.869999999999997</v>
      </c>
      <c r="GH18" s="60">
        <v>16.990000000000002</v>
      </c>
      <c r="GI18" s="60">
        <v>16.855</v>
      </c>
      <c r="GJ18" s="60">
        <v>16.600000000000001</v>
      </c>
      <c r="GK18" s="60">
        <v>16.175000000000001</v>
      </c>
      <c r="GL18" s="60">
        <v>14.875</v>
      </c>
      <c r="GM18" s="60">
        <v>15.675000000000001</v>
      </c>
      <c r="GN18" s="60">
        <v>17.97</v>
      </c>
      <c r="GO18" s="60">
        <v>19.545000000000002</v>
      </c>
      <c r="GP18" s="60">
        <v>20.605</v>
      </c>
      <c r="GQ18" s="60">
        <v>23.055</v>
      </c>
      <c r="GR18" s="60">
        <v>25.725000000000001</v>
      </c>
      <c r="GU18" s="53">
        <v>15</v>
      </c>
      <c r="GV18" s="53">
        <v>12</v>
      </c>
      <c r="GY18" t="s">
        <v>7453</v>
      </c>
      <c r="GZ18" s="64" t="s">
        <v>7412</v>
      </c>
      <c r="HA18" s="64" t="s">
        <v>7412</v>
      </c>
      <c r="HB18" s="32">
        <v>29</v>
      </c>
      <c r="HF18" t="s">
        <v>7384</v>
      </c>
      <c r="HG18" s="64" t="s">
        <v>7412</v>
      </c>
      <c r="HH18" s="44" t="s">
        <v>7402</v>
      </c>
      <c r="HI18" s="32">
        <v>826</v>
      </c>
    </row>
    <row r="19" spans="1:217" ht="15.5" x14ac:dyDescent="0.35">
      <c r="A19" s="95">
        <f t="shared" si="16"/>
        <v>1</v>
      </c>
      <c r="B19" s="11"/>
      <c r="C19" s="11"/>
      <c r="D19" s="92" t="str">
        <f>IFERROR(
IF(AND(OR(Planilla!B19="C",Planilla!B19="c"), VLOOKUP(E19,EX:FJ,13,0)="C"), "OK",IF(AND(OR(Planilla!B19="C",Planilla!B19="c"), OR(VLOOKUP(E19,EX:FJ,13,0)="B", VLOOKUP(E19,EX:FJ,13,0)="A")), "DEFICIT",IF(
AND(OR(Planilla!B19="B", Planilla!B19="BPAL"), VLOOKUP(E19,EX:FJ,13,0)="B"), "OK",IF(AND(OR(Planilla!B19="B", Planilla!B19="BPAL"), VLOOKUP(E19,EX:FJ,13,0)="A"), "DEFICIT",IF(AND(OR(Planilla!B19="B", Planilla!B19="BPAL"), VLOOKUP(E19,EX:FJ,13,0)="C"), "SOBREOFERTA",IF(AND(Planilla!B19="A", VLOOKUP(E19,EX:FJ,13,0)="A"), "OK",IF(
AND(Planilla!B19="A", OR(VLOOKUP(E19,EX:FJ,13,0)="B", VLOOKUP(E19,EX:FJ,13,0)="C")), "SOBREOFERTA",""
))))))),"")</f>
        <v/>
      </c>
      <c r="E19" s="12"/>
      <c r="F19" s="13"/>
      <c r="G19" s="14"/>
      <c r="H19" s="81" t="str">
        <f t="shared" si="17"/>
        <v/>
      </c>
      <c r="I19" s="7"/>
      <c r="J19" s="6" t="e">
        <f t="shared" si="18"/>
        <v>#N/A</v>
      </c>
      <c r="K19" s="6" t="str">
        <f>IF(A20&lt;&gt;A19,AVERAGEIF(A$9:A19,A19,J$9:J19),"")</f>
        <v/>
      </c>
      <c r="L19" s="7" t="str">
        <f>IFERROR(IF(A20&lt;&gt;A19,AVERAGEIF(A$9:A19,A19,S$9:S19),""),"")</f>
        <v/>
      </c>
      <c r="M19" s="7" t="str">
        <f>IFERROR(IF(A20&lt;&gt;A19,AVERAGEIF(A$9:A19,A19,T$9:T19),""),"")</f>
        <v/>
      </c>
      <c r="N19" s="7" t="str" cm="1">
        <f t="array" ref="N19">IFERROR(IF(A20&lt;&gt;A19,_xlfn.STDEV.P(IF(A$9:A19=A19,T$9:T19)),""),"")</f>
        <v/>
      </c>
      <c r="O19" s="7" t="str" cm="1">
        <f t="array" ref="O19">IFERROR(IF(A20&lt;&gt;A19,_xlfn.STDEV.P(IF(A$9:A19=A19,S$9:S19)),""),"")</f>
        <v/>
      </c>
      <c r="P19" s="8" t="str">
        <f t="shared" si="19"/>
        <v/>
      </c>
      <c r="Q19" s="8" t="str">
        <f t="shared" si="20"/>
        <v/>
      </c>
      <c r="R19" s="8" t="str">
        <f t="shared" si="21"/>
        <v/>
      </c>
      <c r="S19" s="9" t="str">
        <f t="shared" si="22"/>
        <v/>
      </c>
      <c r="T19" s="9" t="str">
        <f t="shared" si="23"/>
        <v/>
      </c>
      <c r="U19" s="14">
        <v>0.15625</v>
      </c>
      <c r="V19" s="15"/>
      <c r="W19" s="14" t="str">
        <f t="shared" si="38"/>
        <v/>
      </c>
      <c r="X19" s="15"/>
      <c r="Y19" s="2"/>
      <c r="AB19" s="22">
        <f t="shared" si="24"/>
        <v>1</v>
      </c>
      <c r="AC19" s="11"/>
      <c r="AD19" s="11"/>
      <c r="AE19" s="13"/>
      <c r="AF19" s="12"/>
      <c r="AG19" s="13"/>
      <c r="AH19" s="14"/>
      <c r="AI19" s="81" t="str">
        <f t="shared" si="25"/>
        <v/>
      </c>
      <c r="AJ19" s="15"/>
      <c r="AK19" s="6" t="e">
        <f t="shared" si="26"/>
        <v>#N/A</v>
      </c>
      <c r="AL19" s="6" t="str">
        <f>IF(AB20&lt;&gt;AB19,AVERAGEIF(AB$9:AB19,AB19,AK$9:AK19),"")</f>
        <v/>
      </c>
      <c r="AM19" s="7" t="str">
        <f>IFERROR(IF(AB20&lt;&gt;AB19,AVERAGEIF(AB$9:AB19,AB19,AT$9:AT19),""),"")</f>
        <v/>
      </c>
      <c r="AN19" s="7" t="str">
        <f>IFERROR(IF(AB20&lt;&gt;AB19,AVERAGEIF(AB$9:AB19,AB19,AU$9:AU19),""),"")</f>
        <v/>
      </c>
      <c r="AO19" s="7" t="str" cm="1">
        <f t="array" ref="AO19">IFERROR(IF(AB20&lt;&gt;AB19,_xlfn.STDEV.P(IF(AB$9:AB19=AB19,AU$9:AU19)),""),"")</f>
        <v/>
      </c>
      <c r="AP19" s="7" t="str" cm="1">
        <f t="array" ref="AP19">IFERROR(IF(AB20&lt;&gt;AB19,_xlfn.STDEV.P(IF(AB$9:AB19=AB19,AT$9:AT19)),""),"")</f>
        <v/>
      </c>
      <c r="AQ19" s="8" t="str">
        <f t="shared" si="27"/>
        <v/>
      </c>
      <c r="AR19" s="8" t="str">
        <f t="shared" si="28"/>
        <v/>
      </c>
      <c r="AS19" s="8" t="str">
        <f t="shared" si="29"/>
        <v/>
      </c>
      <c r="AT19" s="9" t="str">
        <f t="shared" si="30"/>
        <v/>
      </c>
      <c r="AU19" s="9" t="str">
        <f t="shared" si="31"/>
        <v/>
      </c>
      <c r="AV19" s="14"/>
      <c r="AW19" s="15"/>
      <c r="AX19" s="14" t="str">
        <f t="shared" si="32"/>
        <v/>
      </c>
      <c r="AY19" s="15"/>
      <c r="AZ19" s="23"/>
      <c r="BC19" s="12">
        <v>7</v>
      </c>
      <c r="BD19" s="12">
        <f t="shared" si="9"/>
        <v>0</v>
      </c>
      <c r="BE19" s="12">
        <f t="shared" si="10"/>
        <v>0</v>
      </c>
      <c r="BF19" s="73" t="str">
        <f t="shared" si="33"/>
        <v/>
      </c>
      <c r="BG19" s="77" t="str">
        <f t="shared" si="39"/>
        <v>0</v>
      </c>
      <c r="BH19" s="74" t="str">
        <f t="shared" si="34"/>
        <v>0</v>
      </c>
      <c r="BI19" s="10" t="str">
        <f t="shared" si="35"/>
        <v/>
      </c>
      <c r="BL19" s="12">
        <v>7</v>
      </c>
      <c r="BM19" s="12">
        <f t="shared" si="12"/>
        <v>0</v>
      </c>
      <c r="BN19" s="12">
        <f t="shared" si="13"/>
        <v>0</v>
      </c>
      <c r="BO19" s="73" t="str">
        <f t="shared" si="36"/>
        <v/>
      </c>
      <c r="BP19" s="12" t="str">
        <f t="shared" si="14"/>
        <v>0</v>
      </c>
      <c r="BQ19" s="74" t="str">
        <f t="shared" si="15"/>
        <v>0</v>
      </c>
      <c r="BR19" s="10" t="str">
        <f t="shared" si="37"/>
        <v/>
      </c>
      <c r="EW19" t="s">
        <v>46</v>
      </c>
      <c r="EX19" s="33">
        <v>1016</v>
      </c>
      <c r="EY19" s="33" t="s">
        <v>99</v>
      </c>
      <c r="EZ19" s="33" t="s">
        <v>100</v>
      </c>
      <c r="FA19" s="33" t="s">
        <v>51</v>
      </c>
      <c r="FB19" s="33" t="s">
        <v>52</v>
      </c>
      <c r="FC19" s="33" t="s">
        <v>53</v>
      </c>
      <c r="FD19" s="33" t="s">
        <v>54</v>
      </c>
      <c r="FE19" s="33">
        <v>2019</v>
      </c>
      <c r="FF19" s="33" t="s">
        <v>55</v>
      </c>
      <c r="FG19" s="33" t="s">
        <v>56</v>
      </c>
      <c r="FH19" s="33" t="s">
        <v>57</v>
      </c>
      <c r="FI19" s="33" t="s">
        <v>58</v>
      </c>
      <c r="FJ19" t="s">
        <v>59</v>
      </c>
      <c r="FM19" s="32" t="s">
        <v>88</v>
      </c>
      <c r="FN19" t="s">
        <v>89</v>
      </c>
      <c r="FO19" t="s">
        <v>90</v>
      </c>
      <c r="FP19" t="str">
        <f t="shared" si="0"/>
        <v>B</v>
      </c>
      <c r="FT19" s="69" t="s">
        <v>7406</v>
      </c>
      <c r="FU19" s="60">
        <v>0</v>
      </c>
      <c r="FV19" s="60">
        <v>0</v>
      </c>
      <c r="FW19" s="60">
        <v>0</v>
      </c>
      <c r="FX19" s="60">
        <v>0</v>
      </c>
      <c r="FY19" s="60">
        <v>0</v>
      </c>
      <c r="FZ19" s="60">
        <v>10.95</v>
      </c>
      <c r="GA19" s="60">
        <v>17.215</v>
      </c>
      <c r="GB19" s="60">
        <v>15.91</v>
      </c>
      <c r="GC19" s="60">
        <v>20.64</v>
      </c>
      <c r="GD19" s="60">
        <v>21.68</v>
      </c>
      <c r="GE19" s="60">
        <v>21.71</v>
      </c>
      <c r="GF19" s="60">
        <v>21.15</v>
      </c>
      <c r="GG19" s="60">
        <v>20.03</v>
      </c>
      <c r="GH19" s="60">
        <v>19.739999999999998</v>
      </c>
      <c r="GI19" s="60">
        <v>19.425000000000001</v>
      </c>
      <c r="GJ19" s="60">
        <v>18.245000000000001</v>
      </c>
      <c r="GK19" s="60">
        <v>17.18</v>
      </c>
      <c r="GL19" s="60">
        <v>15.395</v>
      </c>
      <c r="GM19" s="60">
        <v>16.515000000000001</v>
      </c>
      <c r="GN19" s="60">
        <v>19.520000000000003</v>
      </c>
      <c r="GO19" s="60">
        <v>21.55</v>
      </c>
      <c r="GP19" s="60">
        <v>23.33</v>
      </c>
      <c r="GQ19" s="60">
        <v>25.055</v>
      </c>
      <c r="GR19" s="60">
        <v>26.630000000000003</v>
      </c>
      <c r="GU19" s="53">
        <v>16</v>
      </c>
      <c r="GV19" s="53">
        <v>13</v>
      </c>
      <c r="GY19" t="s">
        <v>7453</v>
      </c>
      <c r="GZ19" s="64" t="s">
        <v>7391</v>
      </c>
      <c r="HA19" s="64" t="s">
        <v>7391</v>
      </c>
      <c r="HB19" s="32">
        <v>31</v>
      </c>
      <c r="HF19" t="s">
        <v>7384</v>
      </c>
      <c r="HG19" s="64" t="s">
        <v>7391</v>
      </c>
      <c r="HH19" s="44" t="s">
        <v>7385</v>
      </c>
      <c r="HI19" s="32">
        <v>828</v>
      </c>
    </row>
    <row r="20" spans="1:217" ht="15.5" x14ac:dyDescent="0.35">
      <c r="A20" s="95">
        <f t="shared" si="16"/>
        <v>1</v>
      </c>
      <c r="B20" s="11"/>
      <c r="C20" s="11"/>
      <c r="D20" s="92" t="str">
        <f>IFERROR(
IF(AND(OR(Planilla!B20="C",Planilla!B20="c"), VLOOKUP(E20,EX:FJ,13,0)="C"), "OK",IF(AND(OR(Planilla!B20="C",Planilla!B20="c"), OR(VLOOKUP(E20,EX:FJ,13,0)="B", VLOOKUP(E20,EX:FJ,13,0)="A")), "DEFICIT",IF(
AND(OR(Planilla!B20="B", Planilla!B20="BPAL"), VLOOKUP(E20,EX:FJ,13,0)="B"), "OK",IF(AND(OR(Planilla!B20="B", Planilla!B20="BPAL"), VLOOKUP(E20,EX:FJ,13,0)="A"), "DEFICIT",IF(AND(OR(Planilla!B20="B", Planilla!B20="BPAL"), VLOOKUP(E20,EX:FJ,13,0)="C"), "SOBREOFERTA",IF(AND(Planilla!B20="A", VLOOKUP(E20,EX:FJ,13,0)="A"), "OK",IF(
AND(Planilla!B20="A", OR(VLOOKUP(E20,EX:FJ,13,0)="B", VLOOKUP(E20,EX:FJ,13,0)="C")), "SOBREOFERTA",""
))))))),"")</f>
        <v/>
      </c>
      <c r="E20" s="12"/>
      <c r="F20" s="13"/>
      <c r="G20" s="14"/>
      <c r="H20" s="81" t="str">
        <f t="shared" si="17"/>
        <v/>
      </c>
      <c r="I20" s="7"/>
      <c r="J20" s="6" t="e">
        <f t="shared" si="18"/>
        <v>#N/A</v>
      </c>
      <c r="K20" s="6" t="str">
        <f>IF(A21&lt;&gt;A20,AVERAGEIF(A$9:A20,A20,J$9:J20),"")</f>
        <v/>
      </c>
      <c r="L20" s="7" t="str">
        <f>IFERROR(IF(A21&lt;&gt;A20,AVERAGEIF(A$9:A20,A20,S$9:S20),""),"")</f>
        <v/>
      </c>
      <c r="M20" s="7" t="str">
        <f>IFERROR(IF(A21&lt;&gt;A20,AVERAGEIF(A$9:A20,A20,T$9:T20),""),"")</f>
        <v/>
      </c>
      <c r="N20" s="7" t="str" cm="1">
        <f t="array" ref="N20">IFERROR(IF(A21&lt;&gt;A20,_xlfn.STDEV.P(IF(A$9:A20=A20,T$9:T20)),""),"")</f>
        <v/>
      </c>
      <c r="O20" s="7" t="str" cm="1">
        <f t="array" ref="O20">IFERROR(IF(A21&lt;&gt;A20,_xlfn.STDEV.P(IF(A$9:A20=A20,S$9:S20)),""),"")</f>
        <v/>
      </c>
      <c r="P20" s="8" t="str">
        <f t="shared" si="19"/>
        <v/>
      </c>
      <c r="Q20" s="8" t="str">
        <f t="shared" si="20"/>
        <v/>
      </c>
      <c r="R20" s="8" t="str">
        <f t="shared" si="21"/>
        <v/>
      </c>
      <c r="S20" s="9" t="str">
        <f t="shared" si="22"/>
        <v/>
      </c>
      <c r="T20" s="9" t="str">
        <f t="shared" si="23"/>
        <v/>
      </c>
      <c r="U20" s="14">
        <v>0.17847222222222223</v>
      </c>
      <c r="V20" s="15"/>
      <c r="W20" s="14" t="str">
        <f t="shared" si="38"/>
        <v/>
      </c>
      <c r="X20" s="15"/>
      <c r="Y20" s="2"/>
      <c r="AB20" s="22">
        <f t="shared" si="24"/>
        <v>1</v>
      </c>
      <c r="AC20" s="11"/>
      <c r="AD20" s="11"/>
      <c r="AE20" s="13"/>
      <c r="AF20" s="12"/>
      <c r="AG20" s="13"/>
      <c r="AH20" s="14"/>
      <c r="AI20" s="81" t="str">
        <f t="shared" si="25"/>
        <v/>
      </c>
      <c r="AJ20" s="15"/>
      <c r="AK20" s="6" t="e">
        <f t="shared" si="26"/>
        <v>#N/A</v>
      </c>
      <c r="AL20" s="6" t="str">
        <f>IF(AB21&lt;&gt;AB20,AVERAGEIF(AB$9:AB20,AB20,AK$9:AK20),"")</f>
        <v/>
      </c>
      <c r="AM20" s="7" t="str">
        <f>IFERROR(IF(AB21&lt;&gt;AB20,AVERAGEIF(AB$9:AB20,AB20,AT$9:AT20),""),"")</f>
        <v/>
      </c>
      <c r="AN20" s="7" t="str">
        <f>IFERROR(IF(AB21&lt;&gt;AB20,AVERAGEIF(AB$9:AB20,AB20,AU$9:AU20),""),"")</f>
        <v/>
      </c>
      <c r="AO20" s="7" t="str" cm="1">
        <f t="array" ref="AO20">IFERROR(IF(AB21&lt;&gt;AB20,_xlfn.STDEV.P(IF(AB$9:AB20=AB20,AU$9:AU20)),""),"")</f>
        <v/>
      </c>
      <c r="AP20" s="7" t="str" cm="1">
        <f t="array" ref="AP20">IFERROR(IF(AB21&lt;&gt;AB20,_xlfn.STDEV.P(IF(AB$9:AB20=AB20,AT$9:AT20)),""),"")</f>
        <v/>
      </c>
      <c r="AQ20" s="8" t="str">
        <f t="shared" si="27"/>
        <v/>
      </c>
      <c r="AR20" s="8" t="str">
        <f t="shared" si="28"/>
        <v/>
      </c>
      <c r="AS20" s="8" t="str">
        <f t="shared" si="29"/>
        <v/>
      </c>
      <c r="AT20" s="9" t="str">
        <f t="shared" si="30"/>
        <v/>
      </c>
      <c r="AU20" s="9" t="str">
        <f t="shared" si="31"/>
        <v/>
      </c>
      <c r="AV20" s="14"/>
      <c r="AW20" s="15"/>
      <c r="AX20" s="14" t="str">
        <f t="shared" si="32"/>
        <v/>
      </c>
      <c r="AY20" s="15"/>
      <c r="AZ20" s="23"/>
      <c r="BC20" s="12">
        <v>8</v>
      </c>
      <c r="BD20" s="12">
        <f t="shared" si="9"/>
        <v>0</v>
      </c>
      <c r="BE20" s="12">
        <f t="shared" si="10"/>
        <v>0</v>
      </c>
      <c r="BF20" s="73" t="str">
        <f t="shared" si="33"/>
        <v/>
      </c>
      <c r="BG20" s="77" t="str">
        <f t="shared" si="39"/>
        <v>0</v>
      </c>
      <c r="BH20" s="74" t="str">
        <f t="shared" si="34"/>
        <v>0</v>
      </c>
      <c r="BI20" s="10" t="str">
        <f t="shared" si="35"/>
        <v/>
      </c>
      <c r="BL20" s="12">
        <v>8</v>
      </c>
      <c r="BM20" s="12">
        <f t="shared" si="12"/>
        <v>0</v>
      </c>
      <c r="BN20" s="12">
        <f t="shared" si="13"/>
        <v>0</v>
      </c>
      <c r="BO20" s="73" t="str">
        <f t="shared" si="36"/>
        <v/>
      </c>
      <c r="BP20" s="12" t="str">
        <f t="shared" si="14"/>
        <v>0</v>
      </c>
      <c r="BQ20" s="74" t="str">
        <f t="shared" si="15"/>
        <v>0</v>
      </c>
      <c r="BR20" s="10" t="str">
        <f t="shared" si="37"/>
        <v/>
      </c>
      <c r="EW20" t="s">
        <v>46</v>
      </c>
      <c r="EX20" s="33">
        <v>1017</v>
      </c>
      <c r="EY20" s="33" t="s">
        <v>101</v>
      </c>
      <c r="EZ20" s="33" t="s">
        <v>102</v>
      </c>
      <c r="FA20" s="33" t="s">
        <v>51</v>
      </c>
      <c r="FB20" s="33" t="s">
        <v>52</v>
      </c>
      <c r="FC20" s="33" t="s">
        <v>53</v>
      </c>
      <c r="FD20" s="33" t="s">
        <v>54</v>
      </c>
      <c r="FE20" s="33">
        <v>2019</v>
      </c>
      <c r="FF20" s="33" t="s">
        <v>55</v>
      </c>
      <c r="FG20" s="33" t="s">
        <v>56</v>
      </c>
      <c r="FH20" s="33" t="s">
        <v>57</v>
      </c>
      <c r="FI20" s="33" t="s">
        <v>58</v>
      </c>
      <c r="FJ20" t="s">
        <v>59</v>
      </c>
      <c r="FM20" s="32" t="s">
        <v>88</v>
      </c>
      <c r="FN20" t="s">
        <v>89</v>
      </c>
      <c r="FO20" t="s">
        <v>90</v>
      </c>
      <c r="FP20" t="str">
        <f t="shared" si="0"/>
        <v>B</v>
      </c>
      <c r="FT20" s="69" t="s">
        <v>7407</v>
      </c>
      <c r="FU20" s="60">
        <v>0</v>
      </c>
      <c r="FV20" s="60">
        <v>0</v>
      </c>
      <c r="FW20" s="60">
        <v>0</v>
      </c>
      <c r="FX20" s="60">
        <v>0</v>
      </c>
      <c r="FY20" s="60">
        <v>0</v>
      </c>
      <c r="FZ20" s="60">
        <v>24.86</v>
      </c>
      <c r="GA20" s="60">
        <v>18.844999999999999</v>
      </c>
      <c r="GB20" s="60">
        <v>13.46</v>
      </c>
      <c r="GC20" s="60">
        <v>16.78</v>
      </c>
      <c r="GD20" s="60">
        <v>18.18</v>
      </c>
      <c r="GE20" s="60">
        <v>18.21</v>
      </c>
      <c r="GF20" s="60">
        <v>18.439999999999998</v>
      </c>
      <c r="GG20" s="60">
        <v>18.355</v>
      </c>
      <c r="GH20" s="60">
        <v>18.035</v>
      </c>
      <c r="GI20" s="60">
        <v>17.520000000000003</v>
      </c>
      <c r="GJ20" s="60">
        <v>16.245000000000001</v>
      </c>
      <c r="GK20" s="60">
        <v>14.92</v>
      </c>
      <c r="GL20" s="60">
        <v>13.635</v>
      </c>
      <c r="GM20" s="60">
        <v>13.734999999999999</v>
      </c>
      <c r="GN20" s="60">
        <v>15.734999999999999</v>
      </c>
      <c r="GO20" s="60">
        <v>19.16</v>
      </c>
      <c r="GP20" s="60">
        <v>20.954999999999998</v>
      </c>
      <c r="GQ20" s="60">
        <v>22.95</v>
      </c>
      <c r="GR20" s="60">
        <v>25.494999999999997</v>
      </c>
      <c r="GU20" s="53">
        <v>17</v>
      </c>
      <c r="GV20" s="53">
        <v>14</v>
      </c>
      <c r="GY20" t="s">
        <v>7453</v>
      </c>
      <c r="GZ20" s="64" t="s">
        <v>7399</v>
      </c>
      <c r="HA20" s="64" t="s">
        <v>7399</v>
      </c>
      <c r="HB20" s="32">
        <v>32</v>
      </c>
      <c r="HF20" t="s">
        <v>7384</v>
      </c>
      <c r="HG20" s="64" t="s">
        <v>7399</v>
      </c>
      <c r="HH20" s="44" t="s">
        <v>7395</v>
      </c>
      <c r="HI20" s="32">
        <v>829</v>
      </c>
    </row>
    <row r="21" spans="1:217" ht="15.5" x14ac:dyDescent="0.35">
      <c r="A21" s="95">
        <f t="shared" si="16"/>
        <v>1</v>
      </c>
      <c r="B21" s="11"/>
      <c r="C21" s="11"/>
      <c r="D21" s="92" t="str">
        <f>IFERROR(
IF(AND(OR(Planilla!B21="C",Planilla!B21="c"), VLOOKUP(E21,EX:FJ,13,0)="C"), "OK",IF(AND(OR(Planilla!B21="C",Planilla!B21="c"), OR(VLOOKUP(E21,EX:FJ,13,0)="B", VLOOKUP(E21,EX:FJ,13,0)="A")), "DEFICIT",IF(
AND(OR(Planilla!B21="B", Planilla!B21="BPAL"), VLOOKUP(E21,EX:FJ,13,0)="B"), "OK",IF(AND(OR(Planilla!B21="B", Planilla!B21="BPAL"), VLOOKUP(E21,EX:FJ,13,0)="A"), "DEFICIT",IF(AND(OR(Planilla!B21="B", Planilla!B21="BPAL"), VLOOKUP(E21,EX:FJ,13,0)="C"), "SOBREOFERTA",IF(AND(Planilla!B21="A", VLOOKUP(E21,EX:FJ,13,0)="A"), "OK",IF(
AND(Planilla!B21="A", OR(VLOOKUP(E21,EX:FJ,13,0)="B", VLOOKUP(E21,EX:FJ,13,0)="C")), "SOBREOFERTA",""
))))))),"")</f>
        <v/>
      </c>
      <c r="E21" s="12"/>
      <c r="F21" s="13"/>
      <c r="G21" s="14"/>
      <c r="H21" s="81" t="str">
        <f t="shared" si="17"/>
        <v/>
      </c>
      <c r="I21" s="7"/>
      <c r="J21" s="6" t="e">
        <f t="shared" si="18"/>
        <v>#N/A</v>
      </c>
      <c r="K21" s="6" t="str">
        <f>IF(A22&lt;&gt;A21,AVERAGEIF(A$9:A21,A21,J$9:J21),"")</f>
        <v/>
      </c>
      <c r="L21" s="7" t="str">
        <f>IFERROR(IF(A22&lt;&gt;A21,AVERAGEIF(A$9:A21,A21,S$9:S21),""),"")</f>
        <v/>
      </c>
      <c r="M21" s="7" t="str">
        <f>IFERROR(IF(A22&lt;&gt;A21,AVERAGEIF(A$9:A21,A21,T$9:T21),""),"")</f>
        <v/>
      </c>
      <c r="N21" s="7" t="str" cm="1">
        <f t="array" ref="N21">IFERROR(IF(A22&lt;&gt;A21,_xlfn.STDEV.P(IF(A$9:A21=A21,T$9:T21)),""),"")</f>
        <v/>
      </c>
      <c r="O21" s="7" t="str" cm="1">
        <f t="array" ref="O21">IFERROR(IF(A22&lt;&gt;A21,_xlfn.STDEV.P(IF(A$9:A21=A21,S$9:S21)),""),"")</f>
        <v/>
      </c>
      <c r="P21" s="8" t="str">
        <f t="shared" si="19"/>
        <v/>
      </c>
      <c r="Q21" s="8" t="str">
        <f t="shared" si="20"/>
        <v/>
      </c>
      <c r="R21" s="8" t="str">
        <f t="shared" si="21"/>
        <v/>
      </c>
      <c r="S21" s="9" t="str">
        <f t="shared" si="22"/>
        <v/>
      </c>
      <c r="T21" s="9" t="str">
        <f t="shared" si="23"/>
        <v/>
      </c>
      <c r="U21" s="14">
        <v>0.20069444444444445</v>
      </c>
      <c r="V21" s="15"/>
      <c r="W21" s="14" t="str">
        <f t="shared" si="38"/>
        <v/>
      </c>
      <c r="X21" s="15"/>
      <c r="Y21" s="2"/>
      <c r="AB21" s="22">
        <f t="shared" si="24"/>
        <v>1</v>
      </c>
      <c r="AC21" s="11"/>
      <c r="AD21" s="11"/>
      <c r="AE21" s="13"/>
      <c r="AF21" s="12"/>
      <c r="AG21" s="13"/>
      <c r="AH21" s="14"/>
      <c r="AI21" s="81" t="str">
        <f t="shared" si="25"/>
        <v/>
      </c>
      <c r="AJ21" s="15"/>
      <c r="AK21" s="6" t="e">
        <f t="shared" si="26"/>
        <v>#N/A</v>
      </c>
      <c r="AL21" s="6" t="str">
        <f>IF(AB22&lt;&gt;AB21,AVERAGEIF(AB$9:AB21,AB21,AK$9:AK21),"")</f>
        <v/>
      </c>
      <c r="AM21" s="7" t="str">
        <f>IFERROR(IF(AB22&lt;&gt;AB21,AVERAGEIF(AB$9:AB21,AB21,AT$9:AT21),""),"")</f>
        <v/>
      </c>
      <c r="AN21" s="7" t="str">
        <f>IFERROR(IF(AB22&lt;&gt;AB21,AVERAGEIF(AB$9:AB21,AB21,AU$9:AU21),""),"")</f>
        <v/>
      </c>
      <c r="AO21" s="7" t="str" cm="1">
        <f t="array" ref="AO21">IFERROR(IF(AB22&lt;&gt;AB21,_xlfn.STDEV.P(IF(AB$9:AB21=AB21,AU$9:AU21)),""),"")</f>
        <v/>
      </c>
      <c r="AP21" s="7" t="str" cm="1">
        <f t="array" ref="AP21">IFERROR(IF(AB22&lt;&gt;AB21,_xlfn.STDEV.P(IF(AB$9:AB21=AB21,AT$9:AT21)),""),"")</f>
        <v/>
      </c>
      <c r="AQ21" s="8" t="str">
        <f t="shared" si="27"/>
        <v/>
      </c>
      <c r="AR21" s="8" t="str">
        <f t="shared" si="28"/>
        <v/>
      </c>
      <c r="AS21" s="8" t="str">
        <f t="shared" si="29"/>
        <v/>
      </c>
      <c r="AT21" s="9" t="str">
        <f t="shared" si="30"/>
        <v/>
      </c>
      <c r="AU21" s="9" t="str">
        <f t="shared" si="31"/>
        <v/>
      </c>
      <c r="AV21" s="14"/>
      <c r="AW21" s="15"/>
      <c r="AX21" s="14" t="str">
        <f t="shared" si="32"/>
        <v/>
      </c>
      <c r="AY21" s="15"/>
      <c r="AZ21" s="23"/>
      <c r="BC21" s="12">
        <v>9</v>
      </c>
      <c r="BD21" s="12">
        <f t="shared" si="9"/>
        <v>0</v>
      </c>
      <c r="BE21" s="12">
        <f t="shared" si="10"/>
        <v>0</v>
      </c>
      <c r="BF21" s="73" t="str">
        <f t="shared" si="33"/>
        <v/>
      </c>
      <c r="BG21" s="77" t="str">
        <f t="shared" si="39"/>
        <v>0</v>
      </c>
      <c r="BH21" s="74" t="str">
        <f t="shared" si="34"/>
        <v>0</v>
      </c>
      <c r="BI21" s="10" t="str">
        <f t="shared" si="35"/>
        <v/>
      </c>
      <c r="BL21" s="12">
        <v>9</v>
      </c>
      <c r="BM21" s="12">
        <f t="shared" si="12"/>
        <v>0</v>
      </c>
      <c r="BN21" s="12">
        <f t="shared" si="13"/>
        <v>0</v>
      </c>
      <c r="BO21" s="73" t="str">
        <f t="shared" si="36"/>
        <v/>
      </c>
      <c r="BP21" s="12" t="str">
        <f t="shared" si="14"/>
        <v>0</v>
      </c>
      <c r="BQ21" s="74" t="str">
        <f t="shared" si="15"/>
        <v>0</v>
      </c>
      <c r="BR21" s="10" t="str">
        <f t="shared" si="37"/>
        <v/>
      </c>
      <c r="EW21" t="s">
        <v>46</v>
      </c>
      <c r="EX21" s="33">
        <v>1018</v>
      </c>
      <c r="EY21" s="33" t="s">
        <v>103</v>
      </c>
      <c r="EZ21" s="33" t="s">
        <v>104</v>
      </c>
      <c r="FA21" s="33" t="s">
        <v>51</v>
      </c>
      <c r="FB21" s="33" t="s">
        <v>52</v>
      </c>
      <c r="FC21" s="33" t="s">
        <v>53</v>
      </c>
      <c r="FD21" s="33" t="s">
        <v>54</v>
      </c>
      <c r="FE21" s="33">
        <v>2019</v>
      </c>
      <c r="FF21" s="33" t="s">
        <v>55</v>
      </c>
      <c r="FG21" s="33" t="s">
        <v>56</v>
      </c>
      <c r="FH21" s="33" t="s">
        <v>57</v>
      </c>
      <c r="FI21" s="33" t="s">
        <v>58</v>
      </c>
      <c r="FJ21" t="s">
        <v>59</v>
      </c>
      <c r="FM21" s="32" t="s">
        <v>88</v>
      </c>
      <c r="FN21" t="s">
        <v>89</v>
      </c>
      <c r="FO21" t="s">
        <v>90</v>
      </c>
      <c r="FP21" t="str">
        <f t="shared" si="0"/>
        <v>B</v>
      </c>
      <c r="FT21" s="69" t="s">
        <v>7407</v>
      </c>
      <c r="FU21" s="60">
        <v>0</v>
      </c>
      <c r="FV21" s="60">
        <v>0</v>
      </c>
      <c r="FW21" s="60">
        <v>0</v>
      </c>
      <c r="FX21" s="60">
        <v>0</v>
      </c>
      <c r="FY21" s="60">
        <v>0</v>
      </c>
      <c r="FZ21" s="60">
        <v>13.945</v>
      </c>
      <c r="GA21" s="60">
        <v>22.27</v>
      </c>
      <c r="GB21" s="60">
        <v>14.425000000000001</v>
      </c>
      <c r="GC21" s="60">
        <v>16.579999999999998</v>
      </c>
      <c r="GD21" s="60">
        <v>17.490000000000002</v>
      </c>
      <c r="GE21" s="60">
        <v>17.899999999999999</v>
      </c>
      <c r="GF21" s="60">
        <v>17.810000000000002</v>
      </c>
      <c r="GG21" s="60">
        <v>17.285</v>
      </c>
      <c r="GH21" s="60">
        <v>16.465</v>
      </c>
      <c r="GI21" s="60">
        <v>16.53</v>
      </c>
      <c r="GJ21" s="60">
        <v>16.385000000000002</v>
      </c>
      <c r="GK21" s="60">
        <v>15.719999999999999</v>
      </c>
      <c r="GL21" s="60">
        <v>14.105</v>
      </c>
      <c r="GM21" s="60">
        <v>11.91</v>
      </c>
      <c r="GN21" s="60">
        <v>12.745000000000001</v>
      </c>
      <c r="GO21" s="60">
        <v>16.27</v>
      </c>
      <c r="GP21" s="60">
        <v>19.015000000000001</v>
      </c>
      <c r="GQ21" s="60">
        <v>22</v>
      </c>
      <c r="GR21" s="60">
        <v>25.2</v>
      </c>
      <c r="GU21" s="53">
        <v>18</v>
      </c>
      <c r="GV21" s="53">
        <v>15</v>
      </c>
      <c r="GY21" t="s">
        <v>7453</v>
      </c>
      <c r="GZ21" s="64" t="s">
        <v>7413</v>
      </c>
      <c r="HA21" s="64" t="s">
        <v>7413</v>
      </c>
      <c r="HB21" s="32">
        <v>34</v>
      </c>
      <c r="HF21" t="s">
        <v>7384</v>
      </c>
      <c r="HG21" s="64" t="s">
        <v>7413</v>
      </c>
      <c r="HH21" s="44" t="s">
        <v>7402</v>
      </c>
      <c r="HI21" s="32">
        <v>832</v>
      </c>
    </row>
    <row r="22" spans="1:217" ht="15.5" x14ac:dyDescent="0.35">
      <c r="A22" s="95">
        <f t="shared" si="16"/>
        <v>1</v>
      </c>
      <c r="B22" s="11"/>
      <c r="C22" s="11"/>
      <c r="D22" s="92" t="str">
        <f>IFERROR(
IF(AND(OR(Planilla!B22="C",Planilla!B22="c"), VLOOKUP(E22,EX:FJ,13,0)="C"), "OK",IF(AND(OR(Planilla!B22="C",Planilla!B22="c"), OR(VLOOKUP(E22,EX:FJ,13,0)="B", VLOOKUP(E22,EX:FJ,13,0)="A")), "DEFICIT",IF(
AND(OR(Planilla!B22="B", Planilla!B22="BPAL"), VLOOKUP(E22,EX:FJ,13,0)="B"), "OK",IF(AND(OR(Planilla!B22="B", Planilla!B22="BPAL"), VLOOKUP(E22,EX:FJ,13,0)="A"), "DEFICIT",IF(AND(OR(Planilla!B22="B", Planilla!B22="BPAL"), VLOOKUP(E22,EX:FJ,13,0)="C"), "SOBREOFERTA",IF(AND(Planilla!B22="A", VLOOKUP(E22,EX:FJ,13,0)="A"), "OK",IF(
AND(Planilla!B22="A", OR(VLOOKUP(E22,EX:FJ,13,0)="B", VLOOKUP(E22,EX:FJ,13,0)="C")), "SOBREOFERTA",""
))))))),"")</f>
        <v/>
      </c>
      <c r="E22" s="12"/>
      <c r="F22" s="13"/>
      <c r="G22" s="14"/>
      <c r="H22" s="81" t="str">
        <f t="shared" si="17"/>
        <v/>
      </c>
      <c r="I22" s="7"/>
      <c r="J22" s="6" t="e">
        <f t="shared" si="18"/>
        <v>#N/A</v>
      </c>
      <c r="K22" s="6" t="str">
        <f>IF(A23&lt;&gt;A22,AVERAGEIF(A$9:A22,A22,J$9:J22),"")</f>
        <v/>
      </c>
      <c r="L22" s="7" t="str">
        <f>IFERROR(IF(A23&lt;&gt;A22,AVERAGEIF(A$9:A22,A22,S$9:S22),""),"")</f>
        <v/>
      </c>
      <c r="M22" s="7" t="str">
        <f>IFERROR(IF(A23&lt;&gt;A22,AVERAGEIF(A$9:A22,A22,T$9:T22),""),"")</f>
        <v/>
      </c>
      <c r="N22" s="7" t="str" cm="1">
        <f t="array" ref="N22">IFERROR(IF(A23&lt;&gt;A22,_xlfn.STDEV.P(IF(A$9:A22=A22,T$9:T22)),""),"")</f>
        <v/>
      </c>
      <c r="O22" s="7" t="str" cm="1">
        <f t="array" ref="O22">IFERROR(IF(A23&lt;&gt;A22,_xlfn.STDEV.P(IF(A$9:A22=A22,S$9:S22)),""),"")</f>
        <v/>
      </c>
      <c r="P22" s="8" t="str">
        <f t="shared" si="19"/>
        <v/>
      </c>
      <c r="Q22" s="8" t="str">
        <f t="shared" si="20"/>
        <v/>
      </c>
      <c r="R22" s="8" t="str">
        <f t="shared" si="21"/>
        <v/>
      </c>
      <c r="S22" s="9" t="str">
        <f t="shared" si="22"/>
        <v/>
      </c>
      <c r="T22" s="9" t="str">
        <f t="shared" si="23"/>
        <v/>
      </c>
      <c r="U22" s="14">
        <v>0.21111111111111111</v>
      </c>
      <c r="V22" s="15"/>
      <c r="W22" s="14" t="str">
        <f t="shared" si="38"/>
        <v/>
      </c>
      <c r="X22" s="15"/>
      <c r="Y22" s="2"/>
      <c r="AB22" s="22">
        <f t="shared" si="24"/>
        <v>1</v>
      </c>
      <c r="AC22" s="11"/>
      <c r="AD22" s="11"/>
      <c r="AE22" s="13"/>
      <c r="AF22" s="12"/>
      <c r="AG22" s="13"/>
      <c r="AH22" s="14"/>
      <c r="AI22" s="81" t="str">
        <f t="shared" si="25"/>
        <v/>
      </c>
      <c r="AJ22" s="15"/>
      <c r="AK22" s="6" t="e">
        <f t="shared" si="26"/>
        <v>#N/A</v>
      </c>
      <c r="AL22" s="6" t="str">
        <f>IF(AB23&lt;&gt;AB22,AVERAGEIF(AB$9:AB22,AB22,AK$9:AK22),"")</f>
        <v/>
      </c>
      <c r="AM22" s="7" t="str">
        <f>IFERROR(IF(AB23&lt;&gt;AB22,AVERAGEIF(AB$9:AB22,AB22,AT$9:AT22),""),"")</f>
        <v/>
      </c>
      <c r="AN22" s="7" t="str">
        <f>IFERROR(IF(AB23&lt;&gt;AB22,AVERAGEIF(AB$9:AB22,AB22,AU$9:AU22),""),"")</f>
        <v/>
      </c>
      <c r="AO22" s="7" t="str" cm="1">
        <f t="array" ref="AO22">IFERROR(IF(AB23&lt;&gt;AB22,_xlfn.STDEV.P(IF(AB$9:AB22=AB22,AU$9:AU22)),""),"")</f>
        <v/>
      </c>
      <c r="AP22" s="7" t="str" cm="1">
        <f t="array" ref="AP22">IFERROR(IF(AB23&lt;&gt;AB22,_xlfn.STDEV.P(IF(AB$9:AB22=AB22,AT$9:AT22)),""),"")</f>
        <v/>
      </c>
      <c r="AQ22" s="8" t="str">
        <f t="shared" si="27"/>
        <v/>
      </c>
      <c r="AR22" s="8" t="str">
        <f t="shared" si="28"/>
        <v/>
      </c>
      <c r="AS22" s="8" t="str">
        <f t="shared" si="29"/>
        <v/>
      </c>
      <c r="AT22" s="9" t="str">
        <f t="shared" si="30"/>
        <v/>
      </c>
      <c r="AU22" s="9" t="str">
        <f t="shared" si="31"/>
        <v/>
      </c>
      <c r="AV22" s="14"/>
      <c r="AW22" s="15"/>
      <c r="AX22" s="14" t="str">
        <f t="shared" si="32"/>
        <v/>
      </c>
      <c r="AY22" s="15"/>
      <c r="AZ22" s="23"/>
      <c r="BC22" s="12">
        <v>10</v>
      </c>
      <c r="BD22" s="12">
        <f t="shared" si="9"/>
        <v>0</v>
      </c>
      <c r="BE22" s="12">
        <f t="shared" si="10"/>
        <v>0</v>
      </c>
      <c r="BF22" s="73" t="str">
        <f t="shared" si="33"/>
        <v/>
      </c>
      <c r="BG22" s="77" t="str">
        <f t="shared" si="39"/>
        <v>0</v>
      </c>
      <c r="BH22" s="74" t="str">
        <f t="shared" si="34"/>
        <v>0</v>
      </c>
      <c r="BI22" s="10" t="str">
        <f t="shared" si="35"/>
        <v/>
      </c>
      <c r="BL22" s="12">
        <v>10</v>
      </c>
      <c r="BM22" s="12">
        <f t="shared" si="12"/>
        <v>0</v>
      </c>
      <c r="BN22" s="12">
        <f t="shared" si="13"/>
        <v>0</v>
      </c>
      <c r="BO22" s="73" t="str">
        <f t="shared" si="36"/>
        <v/>
      </c>
      <c r="BP22" s="12" t="str">
        <f t="shared" si="14"/>
        <v>0</v>
      </c>
      <c r="BQ22" s="74" t="str">
        <f t="shared" si="15"/>
        <v>0</v>
      </c>
      <c r="BR22" s="10" t="str">
        <f t="shared" si="37"/>
        <v/>
      </c>
      <c r="EW22" t="s">
        <v>46</v>
      </c>
      <c r="EX22" s="33">
        <v>1019</v>
      </c>
      <c r="EY22" s="33" t="s">
        <v>105</v>
      </c>
      <c r="EZ22" s="33" t="s">
        <v>106</v>
      </c>
      <c r="FA22" s="33" t="s">
        <v>51</v>
      </c>
      <c r="FB22" s="33" t="s">
        <v>52</v>
      </c>
      <c r="FC22" s="33" t="s">
        <v>53</v>
      </c>
      <c r="FD22" s="33" t="s">
        <v>54</v>
      </c>
      <c r="FE22" s="33">
        <v>2019</v>
      </c>
      <c r="FF22" s="33" t="s">
        <v>55</v>
      </c>
      <c r="FG22" s="33" t="s">
        <v>56</v>
      </c>
      <c r="FH22" s="33" t="s">
        <v>57</v>
      </c>
      <c r="FI22" s="33" t="s">
        <v>58</v>
      </c>
      <c r="FJ22" t="s">
        <v>59</v>
      </c>
      <c r="FM22" s="32" t="s">
        <v>107</v>
      </c>
      <c r="FN22" t="s">
        <v>108</v>
      </c>
      <c r="FO22" t="s">
        <v>109</v>
      </c>
      <c r="FP22" t="str">
        <f t="shared" si="0"/>
        <v>B</v>
      </c>
      <c r="FT22" s="69" t="s">
        <v>7389</v>
      </c>
      <c r="FU22" s="60">
        <v>0</v>
      </c>
      <c r="FV22" s="60">
        <v>0</v>
      </c>
      <c r="FW22" s="60">
        <v>0</v>
      </c>
      <c r="FX22" s="60">
        <v>0</v>
      </c>
      <c r="FY22" s="60">
        <v>0</v>
      </c>
      <c r="FZ22" s="60">
        <v>19.515000000000001</v>
      </c>
      <c r="GA22" s="60">
        <v>15.71</v>
      </c>
      <c r="GB22" s="60">
        <v>13.254999999999999</v>
      </c>
      <c r="GC22" s="60">
        <v>14.734999999999999</v>
      </c>
      <c r="GD22" s="60">
        <v>15.74</v>
      </c>
      <c r="GE22" s="60">
        <v>15.465</v>
      </c>
      <c r="GF22" s="60">
        <v>15.135000000000002</v>
      </c>
      <c r="GG22" s="60">
        <v>15.295</v>
      </c>
      <c r="GH22" s="60">
        <v>15.625</v>
      </c>
      <c r="GI22" s="60">
        <v>15.64</v>
      </c>
      <c r="GJ22" s="60">
        <v>15.085000000000001</v>
      </c>
      <c r="GK22" s="60">
        <v>14.175000000000001</v>
      </c>
      <c r="GL22" s="60">
        <v>13.67</v>
      </c>
      <c r="GM22" s="60">
        <v>14.765000000000001</v>
      </c>
      <c r="GN22" s="60">
        <v>16.579999999999998</v>
      </c>
      <c r="GO22" s="60">
        <v>18.86</v>
      </c>
      <c r="GP22" s="60">
        <v>20.130000000000003</v>
      </c>
      <c r="GQ22" s="60">
        <v>21.71</v>
      </c>
      <c r="GR22" s="60">
        <v>23.564999999999998</v>
      </c>
      <c r="GU22" s="53">
        <v>19</v>
      </c>
      <c r="GV22" s="53">
        <v>16</v>
      </c>
      <c r="GY22" t="s">
        <v>7453</v>
      </c>
      <c r="GZ22" s="64" t="s">
        <v>7414</v>
      </c>
      <c r="HA22" s="64" t="s">
        <v>7414</v>
      </c>
      <c r="HB22" s="32">
        <v>35</v>
      </c>
      <c r="HF22" t="s">
        <v>7384</v>
      </c>
      <c r="HG22" s="64" t="s">
        <v>7414</v>
      </c>
      <c r="HH22" s="44" t="s">
        <v>7402</v>
      </c>
      <c r="HI22" s="32">
        <v>836</v>
      </c>
    </row>
    <row r="23" spans="1:217" ht="15.5" x14ac:dyDescent="0.35">
      <c r="A23" s="95">
        <f t="shared" si="16"/>
        <v>1</v>
      </c>
      <c r="B23" s="11"/>
      <c r="C23" s="11"/>
      <c r="D23" s="92" t="str">
        <f>IFERROR(
IF(AND(OR(Planilla!B23="C",Planilla!B23="c"), VLOOKUP(E23,EX:FJ,13,0)="C"), "OK",IF(AND(OR(Planilla!B23="C",Planilla!B23="c"), OR(VLOOKUP(E23,EX:FJ,13,0)="B", VLOOKUP(E23,EX:FJ,13,0)="A")), "DEFICIT",IF(
AND(OR(Planilla!B23="B", Planilla!B23="BPAL"), VLOOKUP(E23,EX:FJ,13,0)="B"), "OK",IF(AND(OR(Planilla!B23="B", Planilla!B23="BPAL"), VLOOKUP(E23,EX:FJ,13,0)="A"), "DEFICIT",IF(AND(OR(Planilla!B23="B", Planilla!B23="BPAL"), VLOOKUP(E23,EX:FJ,13,0)="C"), "SOBREOFERTA",IF(AND(Planilla!B23="A", VLOOKUP(E23,EX:FJ,13,0)="A"), "OK",IF(
AND(Planilla!B23="A", OR(VLOOKUP(E23,EX:FJ,13,0)="B", VLOOKUP(E23,EX:FJ,13,0)="C")), "SOBREOFERTA",""
))))))),"")</f>
        <v/>
      </c>
      <c r="E23" s="12"/>
      <c r="F23" s="13"/>
      <c r="G23" s="14"/>
      <c r="H23" s="81" t="str">
        <f t="shared" si="17"/>
        <v/>
      </c>
      <c r="I23" s="7"/>
      <c r="J23" s="6" t="e">
        <f t="shared" si="18"/>
        <v>#N/A</v>
      </c>
      <c r="K23" s="6" t="str">
        <f>IF(A24&lt;&gt;A23,AVERAGEIF(A$9:A23,A23,J$9:J23),"")</f>
        <v/>
      </c>
      <c r="L23" s="7" t="str">
        <f>IFERROR(IF(A24&lt;&gt;A23,AVERAGEIF(A$9:A23,A23,S$9:S23),""),"")</f>
        <v/>
      </c>
      <c r="M23" s="7" t="str">
        <f>IFERROR(IF(A24&lt;&gt;A23,AVERAGEIF(A$9:A23,A23,T$9:T23),""),"")</f>
        <v/>
      </c>
      <c r="N23" s="7" t="str" cm="1">
        <f t="array" ref="N23">IFERROR(IF(A24&lt;&gt;A23,_xlfn.STDEV.P(IF(A$9:A23=A23,T$9:T23)),""),"")</f>
        <v/>
      </c>
      <c r="O23" s="7" t="str" cm="1">
        <f t="array" ref="O23">IFERROR(IF(A24&lt;&gt;A23,_xlfn.STDEV.P(IF(A$9:A23=A23,S$9:S23)),""),"")</f>
        <v/>
      </c>
      <c r="P23" s="8" t="str">
        <f t="shared" si="19"/>
        <v/>
      </c>
      <c r="Q23" s="8" t="str">
        <f t="shared" si="20"/>
        <v/>
      </c>
      <c r="R23" s="8" t="str">
        <f t="shared" si="21"/>
        <v/>
      </c>
      <c r="S23" s="9" t="str">
        <f t="shared" si="22"/>
        <v/>
      </c>
      <c r="T23" s="9" t="str">
        <f t="shared" si="23"/>
        <v/>
      </c>
      <c r="U23" s="14">
        <v>0.22569444444444445</v>
      </c>
      <c r="V23" s="15"/>
      <c r="W23" s="14" t="str">
        <f t="shared" si="38"/>
        <v/>
      </c>
      <c r="X23" s="15"/>
      <c r="Y23" s="2"/>
      <c r="AB23" s="22">
        <f t="shared" si="24"/>
        <v>1</v>
      </c>
      <c r="AC23" s="11"/>
      <c r="AD23" s="11"/>
      <c r="AE23" s="13"/>
      <c r="AF23" s="12"/>
      <c r="AG23" s="13"/>
      <c r="AH23" s="14"/>
      <c r="AI23" s="81" t="str">
        <f t="shared" si="25"/>
        <v/>
      </c>
      <c r="AJ23" s="15"/>
      <c r="AK23" s="6" t="e">
        <f t="shared" si="26"/>
        <v>#N/A</v>
      </c>
      <c r="AL23" s="6" t="str">
        <f>IF(AB24&lt;&gt;AB23,AVERAGEIF(AB$9:AB23,AB23,AK$9:AK23),"")</f>
        <v/>
      </c>
      <c r="AM23" s="7" t="str">
        <f>IFERROR(IF(AB24&lt;&gt;AB23,AVERAGEIF(AB$9:AB23,AB23,AT$9:AT23),""),"")</f>
        <v/>
      </c>
      <c r="AN23" s="7" t="str">
        <f>IFERROR(IF(AB24&lt;&gt;AB23,AVERAGEIF(AB$9:AB23,AB23,AU$9:AU23),""),"")</f>
        <v/>
      </c>
      <c r="AO23" s="7" t="str" cm="1">
        <f t="array" ref="AO23">IFERROR(IF(AB24&lt;&gt;AB23,_xlfn.STDEV.P(IF(AB$9:AB23=AB23,AU$9:AU23)),""),"")</f>
        <v/>
      </c>
      <c r="AP23" s="7" t="str" cm="1">
        <f t="array" ref="AP23">IFERROR(IF(AB24&lt;&gt;AB23,_xlfn.STDEV.P(IF(AB$9:AB23=AB23,AT$9:AT23)),""),"")</f>
        <v/>
      </c>
      <c r="AQ23" s="8" t="str">
        <f t="shared" si="27"/>
        <v/>
      </c>
      <c r="AR23" s="8" t="str">
        <f t="shared" si="28"/>
        <v/>
      </c>
      <c r="AS23" s="8" t="str">
        <f t="shared" si="29"/>
        <v/>
      </c>
      <c r="AT23" s="9" t="str">
        <f t="shared" si="30"/>
        <v/>
      </c>
      <c r="AU23" s="9" t="str">
        <f t="shared" si="31"/>
        <v/>
      </c>
      <c r="AV23" s="14"/>
      <c r="AW23" s="15"/>
      <c r="AX23" s="14" t="str">
        <f t="shared" si="32"/>
        <v/>
      </c>
      <c r="AY23" s="15"/>
      <c r="AZ23" s="23"/>
      <c r="BC23" s="12">
        <v>11</v>
      </c>
      <c r="BD23" s="12">
        <f t="shared" si="9"/>
        <v>0</v>
      </c>
      <c r="BE23" s="12">
        <f t="shared" si="10"/>
        <v>0</v>
      </c>
      <c r="BF23" s="73" t="str">
        <f t="shared" si="33"/>
        <v/>
      </c>
      <c r="BG23" s="77" t="str">
        <f t="shared" si="39"/>
        <v>0</v>
      </c>
      <c r="BH23" s="74" t="str">
        <f t="shared" si="34"/>
        <v>0</v>
      </c>
      <c r="BI23" s="10" t="str">
        <f t="shared" si="35"/>
        <v/>
      </c>
      <c r="BL23" s="12">
        <v>11</v>
      </c>
      <c r="BM23" s="12">
        <f t="shared" si="12"/>
        <v>0</v>
      </c>
      <c r="BN23" s="12">
        <f t="shared" si="13"/>
        <v>0</v>
      </c>
      <c r="BO23" s="73" t="str">
        <f t="shared" si="36"/>
        <v/>
      </c>
      <c r="BP23" s="12" t="str">
        <f t="shared" si="14"/>
        <v>0</v>
      </c>
      <c r="BQ23" s="74" t="str">
        <f t="shared" si="15"/>
        <v>0</v>
      </c>
      <c r="BR23" s="10" t="str">
        <f t="shared" si="37"/>
        <v/>
      </c>
      <c r="EW23" t="s">
        <v>46</v>
      </c>
      <c r="EX23" s="33">
        <v>1020</v>
      </c>
      <c r="EY23" s="33" t="s">
        <v>110</v>
      </c>
      <c r="EZ23" s="33" t="s">
        <v>111</v>
      </c>
      <c r="FA23" s="33" t="s">
        <v>51</v>
      </c>
      <c r="FB23" s="33" t="s">
        <v>52</v>
      </c>
      <c r="FC23" s="33" t="s">
        <v>53</v>
      </c>
      <c r="FD23" s="33" t="s">
        <v>54</v>
      </c>
      <c r="FE23" s="33">
        <v>2019</v>
      </c>
      <c r="FF23" s="33" t="s">
        <v>55</v>
      </c>
      <c r="FG23" s="33" t="s">
        <v>56</v>
      </c>
      <c r="FH23" s="33" t="s">
        <v>57</v>
      </c>
      <c r="FI23" s="33" t="s">
        <v>58</v>
      </c>
      <c r="FJ23" t="s">
        <v>59</v>
      </c>
      <c r="FM23" s="32" t="s">
        <v>107</v>
      </c>
      <c r="FN23" t="s">
        <v>108</v>
      </c>
      <c r="FO23" t="s">
        <v>109</v>
      </c>
      <c r="FP23" t="str">
        <f t="shared" si="0"/>
        <v>B</v>
      </c>
      <c r="FT23" s="69" t="s">
        <v>7408</v>
      </c>
      <c r="FU23" s="60">
        <v>18.21</v>
      </c>
      <c r="FV23" s="60">
        <v>0</v>
      </c>
      <c r="FW23" s="60">
        <v>0</v>
      </c>
      <c r="FX23" s="60">
        <v>0</v>
      </c>
      <c r="FY23" s="60">
        <v>0</v>
      </c>
      <c r="FZ23" s="60">
        <v>11.705</v>
      </c>
      <c r="GA23" s="60">
        <v>19.09</v>
      </c>
      <c r="GB23" s="60">
        <v>15.434999999999999</v>
      </c>
      <c r="GC23" s="60">
        <v>18.54</v>
      </c>
      <c r="GD23" s="60">
        <v>21.87</v>
      </c>
      <c r="GE23" s="60">
        <v>23.254999999999999</v>
      </c>
      <c r="GF23" s="60">
        <v>23.18</v>
      </c>
      <c r="GG23" s="60">
        <v>23.15</v>
      </c>
      <c r="GH23" s="60">
        <v>23.46</v>
      </c>
      <c r="GI23" s="60">
        <v>23.914999999999999</v>
      </c>
      <c r="GJ23" s="60">
        <v>23.770000000000003</v>
      </c>
      <c r="GK23" s="60">
        <v>22.61</v>
      </c>
      <c r="GL23" s="60">
        <v>17.535</v>
      </c>
      <c r="GM23" s="60">
        <v>16.815000000000001</v>
      </c>
      <c r="GN23" s="60">
        <v>21.704999999999998</v>
      </c>
      <c r="GO23" s="60">
        <v>26.009999999999998</v>
      </c>
      <c r="GP23" s="60">
        <v>28.9</v>
      </c>
      <c r="GQ23" s="60">
        <v>31.125</v>
      </c>
      <c r="GR23" s="60">
        <v>31.125</v>
      </c>
      <c r="GU23" s="53">
        <v>20</v>
      </c>
      <c r="GV23" s="53">
        <v>17</v>
      </c>
      <c r="GY23" t="s">
        <v>7453</v>
      </c>
      <c r="GZ23" s="64" t="s">
        <v>7415</v>
      </c>
      <c r="HA23" s="64" t="s">
        <v>7415</v>
      </c>
      <c r="HB23" s="32">
        <v>30</v>
      </c>
      <c r="HF23" t="s">
        <v>7384</v>
      </c>
      <c r="HG23" s="64" t="s">
        <v>7415</v>
      </c>
      <c r="HH23" s="44" t="s">
        <v>7402</v>
      </c>
      <c r="HI23" s="32">
        <v>837</v>
      </c>
    </row>
    <row r="24" spans="1:217" ht="15.5" x14ac:dyDescent="0.35">
      <c r="A24" s="95">
        <f t="shared" si="16"/>
        <v>1</v>
      </c>
      <c r="B24" s="11"/>
      <c r="C24" s="11"/>
      <c r="D24" s="92" t="str">
        <f>IFERROR(
IF(AND(OR(Planilla!B24="C",Planilla!B24="c"), VLOOKUP(E24,EX:FJ,13,0)="C"), "OK",IF(AND(OR(Planilla!B24="C",Planilla!B24="c"), OR(VLOOKUP(E24,EX:FJ,13,0)="B", VLOOKUP(E24,EX:FJ,13,0)="A")), "DEFICIT",IF(
AND(OR(Planilla!B24="B", Planilla!B24="BPAL"), VLOOKUP(E24,EX:FJ,13,0)="B"), "OK",IF(AND(OR(Planilla!B24="B", Planilla!B24="BPAL"), VLOOKUP(E24,EX:FJ,13,0)="A"), "DEFICIT",IF(AND(OR(Planilla!B24="B", Planilla!B24="BPAL"), VLOOKUP(E24,EX:FJ,13,0)="C"), "SOBREOFERTA",IF(AND(Planilla!B24="A", VLOOKUP(E24,EX:FJ,13,0)="A"), "OK",IF(
AND(Planilla!B24="A", OR(VLOOKUP(E24,EX:FJ,13,0)="B", VLOOKUP(E24,EX:FJ,13,0)="C")), "SOBREOFERTA",""
))))))),"")</f>
        <v/>
      </c>
      <c r="E24" s="12"/>
      <c r="F24" s="13"/>
      <c r="G24" s="14"/>
      <c r="H24" s="81" t="str">
        <f t="shared" si="17"/>
        <v/>
      </c>
      <c r="I24" s="7"/>
      <c r="J24" s="6" t="e">
        <f t="shared" si="18"/>
        <v>#N/A</v>
      </c>
      <c r="K24" s="6" t="str">
        <f>IF(A25&lt;&gt;A24,AVERAGEIF(A$9:A24,A24,J$9:J24),"")</f>
        <v/>
      </c>
      <c r="L24" s="7" t="str">
        <f>IFERROR(IF(A25&lt;&gt;A24,AVERAGEIF(A$9:A24,A24,S$9:S24),""),"")</f>
        <v/>
      </c>
      <c r="M24" s="7" t="str">
        <f>IFERROR(IF(A25&lt;&gt;A24,AVERAGEIF(A$9:A24,A24,T$9:T24),""),"")</f>
        <v/>
      </c>
      <c r="N24" s="7" t="str" cm="1">
        <f t="array" ref="N24">IFERROR(IF(A25&lt;&gt;A24,_xlfn.STDEV.P(IF(A$9:A24=A24,T$9:T24)),""),"")</f>
        <v/>
      </c>
      <c r="O24" s="7" t="str" cm="1">
        <f t="array" ref="O24">IFERROR(IF(A25&lt;&gt;A24,_xlfn.STDEV.P(IF(A$9:A24=A24,S$9:S24)),""),"")</f>
        <v/>
      </c>
      <c r="P24" s="8" t="str">
        <f t="shared" si="19"/>
        <v/>
      </c>
      <c r="Q24" s="8" t="str">
        <f t="shared" si="20"/>
        <v/>
      </c>
      <c r="R24" s="8" t="str">
        <f t="shared" si="21"/>
        <v/>
      </c>
      <c r="S24" s="9" t="str">
        <f t="shared" si="22"/>
        <v/>
      </c>
      <c r="T24" s="9" t="str">
        <f t="shared" si="23"/>
        <v/>
      </c>
      <c r="U24" s="14">
        <v>0.2326388888888889</v>
      </c>
      <c r="V24" s="15"/>
      <c r="W24" s="14" t="str">
        <f t="shared" si="38"/>
        <v/>
      </c>
      <c r="X24" s="15"/>
      <c r="Y24" s="2"/>
      <c r="AB24" s="22">
        <f t="shared" si="24"/>
        <v>1</v>
      </c>
      <c r="AC24" s="11"/>
      <c r="AD24" s="11"/>
      <c r="AE24" s="13"/>
      <c r="AF24" s="12"/>
      <c r="AG24" s="13"/>
      <c r="AH24" s="14"/>
      <c r="AI24" s="81" t="str">
        <f t="shared" si="25"/>
        <v/>
      </c>
      <c r="AJ24" s="15"/>
      <c r="AK24" s="6" t="e">
        <f t="shared" si="26"/>
        <v>#N/A</v>
      </c>
      <c r="AL24" s="6" t="str">
        <f>IF(AB25&lt;&gt;AB24,AVERAGEIF(AB$9:AB24,AB24,AK$9:AK24),"")</f>
        <v/>
      </c>
      <c r="AM24" s="7" t="str">
        <f>IFERROR(IF(AB25&lt;&gt;AB24,AVERAGEIF(AB$9:AB24,AB24,AT$9:AT24),""),"")</f>
        <v/>
      </c>
      <c r="AN24" s="7" t="str">
        <f>IFERROR(IF(AB25&lt;&gt;AB24,AVERAGEIF(AB$9:AB24,AB24,AU$9:AU24),""),"")</f>
        <v/>
      </c>
      <c r="AO24" s="7" t="str" cm="1">
        <f t="array" ref="AO24">IFERROR(IF(AB25&lt;&gt;AB24,_xlfn.STDEV.P(IF(AB$9:AB24=AB24,AU$9:AU24)),""),"")</f>
        <v/>
      </c>
      <c r="AP24" s="7" t="str" cm="1">
        <f t="array" ref="AP24">IFERROR(IF(AB25&lt;&gt;AB24,_xlfn.STDEV.P(IF(AB$9:AB24=AB24,AT$9:AT24)),""),"")</f>
        <v/>
      </c>
      <c r="AQ24" s="8" t="str">
        <f t="shared" si="27"/>
        <v/>
      </c>
      <c r="AR24" s="8" t="str">
        <f t="shared" si="28"/>
        <v/>
      </c>
      <c r="AS24" s="8" t="str">
        <f t="shared" si="29"/>
        <v/>
      </c>
      <c r="AT24" s="9" t="str">
        <f t="shared" si="30"/>
        <v/>
      </c>
      <c r="AU24" s="9" t="str">
        <f t="shared" si="31"/>
        <v/>
      </c>
      <c r="AV24" s="14"/>
      <c r="AW24" s="15"/>
      <c r="AX24" s="14" t="str">
        <f t="shared" si="32"/>
        <v/>
      </c>
      <c r="AY24" s="15"/>
      <c r="AZ24" s="23"/>
      <c r="BC24" s="12">
        <v>12</v>
      </c>
      <c r="BD24" s="12">
        <f t="shared" si="9"/>
        <v>0</v>
      </c>
      <c r="BE24" s="12">
        <f t="shared" si="10"/>
        <v>0</v>
      </c>
      <c r="BF24" s="73" t="str">
        <f t="shared" si="33"/>
        <v/>
      </c>
      <c r="BG24" s="77" t="str">
        <f t="shared" si="39"/>
        <v>0</v>
      </c>
      <c r="BH24" s="74" t="str">
        <f t="shared" si="34"/>
        <v>0</v>
      </c>
      <c r="BI24" s="10" t="str">
        <f t="shared" si="35"/>
        <v/>
      </c>
      <c r="BL24" s="12">
        <v>12</v>
      </c>
      <c r="BM24" s="12">
        <f t="shared" si="12"/>
        <v>0</v>
      </c>
      <c r="BN24" s="12">
        <f t="shared" si="13"/>
        <v>0</v>
      </c>
      <c r="BO24" s="73" t="str">
        <f t="shared" si="36"/>
        <v/>
      </c>
      <c r="BP24" s="12" t="str">
        <f t="shared" si="14"/>
        <v>0</v>
      </c>
      <c r="BQ24" s="74" t="str">
        <f t="shared" si="15"/>
        <v>0</v>
      </c>
      <c r="BR24" s="10" t="str">
        <f t="shared" si="37"/>
        <v/>
      </c>
      <c r="EW24" t="s">
        <v>46</v>
      </c>
      <c r="EX24" s="33">
        <v>1021</v>
      </c>
      <c r="EY24" s="33" t="s">
        <v>112</v>
      </c>
      <c r="EZ24" s="33" t="s">
        <v>113</v>
      </c>
      <c r="FA24" s="33" t="s">
        <v>51</v>
      </c>
      <c r="FB24" s="33" t="s">
        <v>52</v>
      </c>
      <c r="FC24" s="33" t="s">
        <v>53</v>
      </c>
      <c r="FD24" s="33" t="s">
        <v>54</v>
      </c>
      <c r="FE24" s="33">
        <v>2019</v>
      </c>
      <c r="FF24" s="33" t="s">
        <v>55</v>
      </c>
      <c r="FG24" s="33" t="s">
        <v>56</v>
      </c>
      <c r="FH24" s="33" t="s">
        <v>57</v>
      </c>
      <c r="FI24" s="33" t="s">
        <v>58</v>
      </c>
      <c r="FJ24" t="s">
        <v>59</v>
      </c>
      <c r="FM24" s="32" t="s">
        <v>107</v>
      </c>
      <c r="FN24" t="s">
        <v>108</v>
      </c>
      <c r="FO24" t="s">
        <v>109</v>
      </c>
      <c r="FP24" t="str">
        <f t="shared" si="0"/>
        <v>B</v>
      </c>
      <c r="FT24" s="69" t="s">
        <v>7408</v>
      </c>
      <c r="FU24" s="60">
        <v>0</v>
      </c>
      <c r="FV24" s="60">
        <v>0</v>
      </c>
      <c r="FW24" s="60">
        <v>0</v>
      </c>
      <c r="FX24" s="60">
        <v>0</v>
      </c>
      <c r="FY24" s="60">
        <v>0</v>
      </c>
      <c r="FZ24" s="60">
        <v>25.504999999999999</v>
      </c>
      <c r="GA24" s="60">
        <v>18.240000000000002</v>
      </c>
      <c r="GB24" s="60">
        <v>13.375</v>
      </c>
      <c r="GC24" s="60">
        <v>16.310000000000002</v>
      </c>
      <c r="GD24" s="60">
        <v>18.185000000000002</v>
      </c>
      <c r="GE24" s="60">
        <v>18.57</v>
      </c>
      <c r="GF24" s="60">
        <v>18.21</v>
      </c>
      <c r="GG24" s="60">
        <v>17.125</v>
      </c>
      <c r="GH24" s="60">
        <v>17.22</v>
      </c>
      <c r="GI24" s="60">
        <v>17.465</v>
      </c>
      <c r="GJ24" s="60">
        <v>16.484999999999999</v>
      </c>
      <c r="GK24" s="60">
        <v>15.45</v>
      </c>
      <c r="GL24" s="60">
        <v>13.52</v>
      </c>
      <c r="GM24" s="60">
        <v>12.96</v>
      </c>
      <c r="GN24" s="60">
        <v>15.920000000000002</v>
      </c>
      <c r="GO24" s="60">
        <v>19.524999999999999</v>
      </c>
      <c r="GP24" s="60">
        <v>21.65</v>
      </c>
      <c r="GQ24" s="60">
        <v>23.63</v>
      </c>
      <c r="GR24" s="60">
        <v>26.020000000000003</v>
      </c>
      <c r="GU24" s="53">
        <v>21</v>
      </c>
      <c r="GV24" s="53">
        <v>18</v>
      </c>
      <c r="GY24" t="s">
        <v>7453</v>
      </c>
      <c r="GZ24" s="64">
        <v>410</v>
      </c>
      <c r="HA24" s="64">
        <v>410</v>
      </c>
      <c r="HB24" s="32">
        <v>36</v>
      </c>
      <c r="HF24" t="s">
        <v>7384</v>
      </c>
      <c r="HG24" s="64">
        <v>410</v>
      </c>
      <c r="HH24" s="44" t="s">
        <v>7385</v>
      </c>
      <c r="HI24" s="32">
        <v>841</v>
      </c>
    </row>
    <row r="25" spans="1:217" ht="15.5" x14ac:dyDescent="0.35">
      <c r="A25" s="95">
        <f t="shared" si="16"/>
        <v>1</v>
      </c>
      <c r="B25" s="11"/>
      <c r="C25" s="11"/>
      <c r="D25" s="92" t="str">
        <f>IFERROR(
IF(AND(OR(Planilla!B25="C",Planilla!B25="c"), VLOOKUP(E25,EX:FJ,13,0)="C"), "OK",IF(AND(OR(Planilla!B25="C",Planilla!B25="c"), OR(VLOOKUP(E25,EX:FJ,13,0)="B", VLOOKUP(E25,EX:FJ,13,0)="A")), "DEFICIT",IF(
AND(OR(Planilla!B25="B", Planilla!B25="BPAL"), VLOOKUP(E25,EX:FJ,13,0)="B"), "OK",IF(AND(OR(Planilla!B25="B", Planilla!B25="BPAL"), VLOOKUP(E25,EX:FJ,13,0)="A"), "DEFICIT",IF(AND(OR(Planilla!B25="B", Planilla!B25="BPAL"), VLOOKUP(E25,EX:FJ,13,0)="C"), "SOBREOFERTA",IF(AND(Planilla!B25="A", VLOOKUP(E25,EX:FJ,13,0)="A"), "OK",IF(
AND(Planilla!B25="A", OR(VLOOKUP(E25,EX:FJ,13,0)="B", VLOOKUP(E25,EX:FJ,13,0)="C")), "SOBREOFERTA",""
))))))),"")</f>
        <v/>
      </c>
      <c r="E25" s="12"/>
      <c r="F25" s="13"/>
      <c r="G25" s="14"/>
      <c r="H25" s="81" t="str">
        <f t="shared" si="17"/>
        <v/>
      </c>
      <c r="I25" s="7"/>
      <c r="J25" s="6" t="e">
        <f t="shared" si="18"/>
        <v>#N/A</v>
      </c>
      <c r="K25" s="6" t="str">
        <f>IF(A26&lt;&gt;A25,AVERAGEIF(A$9:A25,A25,J$9:J25),"")</f>
        <v/>
      </c>
      <c r="L25" s="7" t="str">
        <f>IFERROR(IF(A26&lt;&gt;A25,AVERAGEIF(A$9:A25,A25,S$9:S25),""),"")</f>
        <v/>
      </c>
      <c r="M25" s="7" t="str">
        <f>IFERROR(IF(A26&lt;&gt;A25,AVERAGEIF(A$9:A25,A25,T$9:T25),""),"")</f>
        <v/>
      </c>
      <c r="N25" s="7" t="str" cm="1">
        <f t="array" ref="N25">IFERROR(IF(A26&lt;&gt;A25,_xlfn.STDEV.P(IF(A$9:A25=A25,T$9:T25)),""),"")</f>
        <v/>
      </c>
      <c r="O25" s="7" t="str" cm="1">
        <f t="array" ref="O25">IFERROR(IF(A26&lt;&gt;A25,_xlfn.STDEV.P(IF(A$9:A25=A25,S$9:S25)),""),"")</f>
        <v/>
      </c>
      <c r="P25" s="8" t="str">
        <f t="shared" si="19"/>
        <v/>
      </c>
      <c r="Q25" s="8" t="str">
        <f t="shared" si="20"/>
        <v/>
      </c>
      <c r="R25" s="8" t="str">
        <f t="shared" si="21"/>
        <v/>
      </c>
      <c r="S25" s="9" t="str">
        <f t="shared" si="22"/>
        <v/>
      </c>
      <c r="T25" s="9" t="str">
        <f t="shared" si="23"/>
        <v/>
      </c>
      <c r="U25" s="14">
        <v>0.23958333333333334</v>
      </c>
      <c r="V25" s="15"/>
      <c r="W25" s="14" t="str">
        <f t="shared" si="38"/>
        <v/>
      </c>
      <c r="X25" s="15"/>
      <c r="Y25" s="2"/>
      <c r="AB25" s="22">
        <f t="shared" si="24"/>
        <v>1</v>
      </c>
      <c r="AC25" s="11"/>
      <c r="AD25" s="11"/>
      <c r="AE25" s="13"/>
      <c r="AF25" s="12"/>
      <c r="AG25" s="13"/>
      <c r="AH25" s="14"/>
      <c r="AI25" s="81" t="str">
        <f t="shared" si="25"/>
        <v/>
      </c>
      <c r="AJ25" s="15"/>
      <c r="AK25" s="6" t="e">
        <f t="shared" si="26"/>
        <v>#N/A</v>
      </c>
      <c r="AL25" s="6" t="str">
        <f>IF(AB26&lt;&gt;AB25,AVERAGEIF(AB$9:AB25,AB25,AK$9:AK25),"")</f>
        <v/>
      </c>
      <c r="AM25" s="7" t="str">
        <f>IFERROR(IF(AB26&lt;&gt;AB25,AVERAGEIF(AB$9:AB25,AB25,AT$9:AT25),""),"")</f>
        <v/>
      </c>
      <c r="AN25" s="7" t="str">
        <f>IFERROR(IF(AB26&lt;&gt;AB25,AVERAGEIF(AB$9:AB25,AB25,AU$9:AU25),""),"")</f>
        <v/>
      </c>
      <c r="AO25" s="7" t="str" cm="1">
        <f t="array" ref="AO25">IFERROR(IF(AB26&lt;&gt;AB25,_xlfn.STDEV.P(IF(AB$9:AB25=AB25,AU$9:AU25)),""),"")</f>
        <v/>
      </c>
      <c r="AP25" s="7" t="str" cm="1">
        <f t="array" ref="AP25">IFERROR(IF(AB26&lt;&gt;AB25,_xlfn.STDEV.P(IF(AB$9:AB25=AB25,AT$9:AT25)),""),"")</f>
        <v/>
      </c>
      <c r="AQ25" s="8" t="str">
        <f t="shared" si="27"/>
        <v/>
      </c>
      <c r="AR25" s="8" t="str">
        <f t="shared" si="28"/>
        <v/>
      </c>
      <c r="AS25" s="8" t="str">
        <f t="shared" si="29"/>
        <v/>
      </c>
      <c r="AT25" s="9" t="str">
        <f t="shared" si="30"/>
        <v/>
      </c>
      <c r="AU25" s="9" t="str">
        <f t="shared" si="31"/>
        <v/>
      </c>
      <c r="AV25" s="14"/>
      <c r="AW25" s="15"/>
      <c r="AX25" s="14" t="str">
        <f t="shared" si="32"/>
        <v/>
      </c>
      <c r="AY25" s="15"/>
      <c r="AZ25" s="23"/>
      <c r="BC25" s="12">
        <v>13</v>
      </c>
      <c r="BD25" s="12">
        <f t="shared" si="9"/>
        <v>0</v>
      </c>
      <c r="BE25" s="12">
        <f t="shared" si="10"/>
        <v>0</v>
      </c>
      <c r="BF25" s="73" t="str">
        <f t="shared" si="33"/>
        <v/>
      </c>
      <c r="BG25" s="77" t="str">
        <f t="shared" si="39"/>
        <v>0</v>
      </c>
      <c r="BH25" s="74" t="str">
        <f t="shared" si="34"/>
        <v>0</v>
      </c>
      <c r="BI25" s="10" t="str">
        <f t="shared" si="35"/>
        <v/>
      </c>
      <c r="BL25" s="12">
        <v>13</v>
      </c>
      <c r="BM25" s="12">
        <f t="shared" si="12"/>
        <v>0</v>
      </c>
      <c r="BN25" s="12">
        <f t="shared" si="13"/>
        <v>0</v>
      </c>
      <c r="BO25" s="73" t="str">
        <f t="shared" si="36"/>
        <v/>
      </c>
      <c r="BP25" s="12" t="str">
        <f t="shared" si="14"/>
        <v>0</v>
      </c>
      <c r="BQ25" s="74" t="str">
        <f t="shared" si="15"/>
        <v>0</v>
      </c>
      <c r="BR25" s="10" t="str">
        <f t="shared" si="37"/>
        <v/>
      </c>
      <c r="EW25" t="s">
        <v>46</v>
      </c>
      <c r="EX25" s="33">
        <v>1022</v>
      </c>
      <c r="EY25" s="33" t="s">
        <v>114</v>
      </c>
      <c r="EZ25" s="33" t="s">
        <v>115</v>
      </c>
      <c r="FA25" s="33" t="s">
        <v>51</v>
      </c>
      <c r="FB25" s="33" t="s">
        <v>52</v>
      </c>
      <c r="FC25" s="33" t="s">
        <v>53</v>
      </c>
      <c r="FD25" s="33" t="s">
        <v>54</v>
      </c>
      <c r="FE25" s="33">
        <v>2019</v>
      </c>
      <c r="FF25" s="33" t="s">
        <v>55</v>
      </c>
      <c r="FG25" s="33" t="s">
        <v>56</v>
      </c>
      <c r="FH25" s="33" t="s">
        <v>57</v>
      </c>
      <c r="FI25" s="33" t="s">
        <v>58</v>
      </c>
      <c r="FJ25" t="s">
        <v>59</v>
      </c>
      <c r="FM25" s="32" t="s">
        <v>107</v>
      </c>
      <c r="FN25" t="s">
        <v>108</v>
      </c>
      <c r="FO25" t="s">
        <v>109</v>
      </c>
      <c r="FP25" t="str">
        <f t="shared" si="0"/>
        <v>B</v>
      </c>
      <c r="FT25" s="69" t="s">
        <v>7409</v>
      </c>
      <c r="FU25" s="60">
        <v>0</v>
      </c>
      <c r="FV25" s="60">
        <v>0</v>
      </c>
      <c r="FW25" s="60">
        <v>0</v>
      </c>
      <c r="FX25" s="60">
        <v>0</v>
      </c>
      <c r="FY25" s="60">
        <v>0</v>
      </c>
      <c r="FZ25" s="60">
        <v>8.8650000000000002</v>
      </c>
      <c r="GA25" s="60">
        <v>16.89</v>
      </c>
      <c r="GB25" s="60">
        <v>14.370000000000001</v>
      </c>
      <c r="GC25" s="60">
        <v>18.21</v>
      </c>
      <c r="GD25" s="60">
        <v>21.704999999999998</v>
      </c>
      <c r="GE25" s="60">
        <v>22.92</v>
      </c>
      <c r="GF25" s="60">
        <v>22.89</v>
      </c>
      <c r="GG25" s="60">
        <v>22.844999999999999</v>
      </c>
      <c r="GH25" s="60">
        <v>22.64</v>
      </c>
      <c r="GI25" s="60">
        <v>22.905000000000001</v>
      </c>
      <c r="GJ25" s="60">
        <v>23.225000000000001</v>
      </c>
      <c r="GK25" s="60">
        <v>22.125</v>
      </c>
      <c r="GL25" s="60">
        <v>18.355</v>
      </c>
      <c r="GM25" s="60">
        <v>17.675000000000001</v>
      </c>
      <c r="GN25" s="60">
        <v>21</v>
      </c>
      <c r="GO25" s="60">
        <v>25.715</v>
      </c>
      <c r="GP25" s="60">
        <v>29.594999999999999</v>
      </c>
      <c r="GQ25" s="60">
        <v>32.284999999999997</v>
      </c>
      <c r="GR25" s="60">
        <v>16.829999999999998</v>
      </c>
      <c r="GU25" s="53">
        <v>22</v>
      </c>
      <c r="GV25" s="53">
        <v>19</v>
      </c>
      <c r="GY25" t="s">
        <v>7454</v>
      </c>
      <c r="GZ25" s="64" t="s">
        <v>7419</v>
      </c>
      <c r="HA25" s="64" t="s">
        <v>7419</v>
      </c>
      <c r="HB25" s="32">
        <v>40</v>
      </c>
      <c r="HF25" t="s">
        <v>7418</v>
      </c>
      <c r="HG25" s="64" t="s">
        <v>7419</v>
      </c>
      <c r="HH25" s="44" t="s">
        <v>7420</v>
      </c>
      <c r="HI25" s="32">
        <v>902</v>
      </c>
    </row>
    <row r="26" spans="1:217" ht="15.5" x14ac:dyDescent="0.35">
      <c r="A26" s="95">
        <f t="shared" si="16"/>
        <v>1</v>
      </c>
      <c r="B26" s="11"/>
      <c r="C26" s="11"/>
      <c r="D26" s="92" t="str">
        <f>IFERROR(
IF(AND(OR(Planilla!B26="C",Planilla!B26="c"), VLOOKUP(E26,EX:FJ,13,0)="C"), "OK",IF(AND(OR(Planilla!B26="C",Planilla!B26="c"), OR(VLOOKUP(E26,EX:FJ,13,0)="B", VLOOKUP(E26,EX:FJ,13,0)="A")), "DEFICIT",IF(
AND(OR(Planilla!B26="B", Planilla!B26="BPAL"), VLOOKUP(E26,EX:FJ,13,0)="B"), "OK",IF(AND(OR(Planilla!B26="B", Planilla!B26="BPAL"), VLOOKUP(E26,EX:FJ,13,0)="A"), "DEFICIT",IF(AND(OR(Planilla!B26="B", Planilla!B26="BPAL"), VLOOKUP(E26,EX:FJ,13,0)="C"), "SOBREOFERTA",IF(AND(Planilla!B26="A", VLOOKUP(E26,EX:FJ,13,0)="A"), "OK",IF(
AND(Planilla!B26="A", OR(VLOOKUP(E26,EX:FJ,13,0)="B", VLOOKUP(E26,EX:FJ,13,0)="C")), "SOBREOFERTA",""
))))))),"")</f>
        <v/>
      </c>
      <c r="E26" s="12"/>
      <c r="F26" s="13"/>
      <c r="G26" s="14"/>
      <c r="H26" s="81" t="str">
        <f t="shared" si="17"/>
        <v/>
      </c>
      <c r="I26" s="7"/>
      <c r="J26" s="6" t="e">
        <f t="shared" si="18"/>
        <v>#N/A</v>
      </c>
      <c r="K26" s="6" t="str">
        <f>IF(A27&lt;&gt;A26,AVERAGEIF(A$9:A26,A26,J$9:J26),"")</f>
        <v/>
      </c>
      <c r="L26" s="7" t="str">
        <f>IFERROR(IF(A27&lt;&gt;A26,AVERAGEIF(A$9:A26,A26,S$9:S26),""),"")</f>
        <v/>
      </c>
      <c r="M26" s="7" t="str">
        <f>IFERROR(IF(A27&lt;&gt;A26,AVERAGEIF(A$9:A26,A26,T$9:T26),""),"")</f>
        <v/>
      </c>
      <c r="N26" s="7" t="str" cm="1">
        <f t="array" ref="N26">IFERROR(IF(A27&lt;&gt;A26,_xlfn.STDEV.P(IF(A$9:A26=A26,T$9:T26)),""),"")</f>
        <v/>
      </c>
      <c r="O26" s="7" t="str" cm="1">
        <f t="array" ref="O26">IFERROR(IF(A27&lt;&gt;A26,_xlfn.STDEV.P(IF(A$9:A26=A26,S$9:S26)),""),"")</f>
        <v/>
      </c>
      <c r="P26" s="8" t="str">
        <f t="shared" si="19"/>
        <v/>
      </c>
      <c r="Q26" s="8" t="str">
        <f t="shared" si="20"/>
        <v/>
      </c>
      <c r="R26" s="8" t="str">
        <f t="shared" si="21"/>
        <v/>
      </c>
      <c r="S26" s="9" t="str">
        <f t="shared" si="22"/>
        <v/>
      </c>
      <c r="T26" s="9" t="str">
        <f t="shared" si="23"/>
        <v/>
      </c>
      <c r="U26" s="14">
        <v>0.25</v>
      </c>
      <c r="V26" s="15"/>
      <c r="W26" s="14" t="str">
        <f t="shared" si="38"/>
        <v/>
      </c>
      <c r="X26" s="15"/>
      <c r="Y26" s="2"/>
      <c r="AB26" s="22">
        <f t="shared" si="24"/>
        <v>1</v>
      </c>
      <c r="AC26" s="11"/>
      <c r="AD26" s="11"/>
      <c r="AE26" s="13"/>
      <c r="AF26" s="12"/>
      <c r="AG26" s="13"/>
      <c r="AH26" s="14"/>
      <c r="AI26" s="81" t="str">
        <f t="shared" si="25"/>
        <v/>
      </c>
      <c r="AJ26" s="15"/>
      <c r="AK26" s="6" t="e">
        <f t="shared" si="26"/>
        <v>#N/A</v>
      </c>
      <c r="AL26" s="6" t="str">
        <f>IF(AB27&lt;&gt;AB26,AVERAGEIF(AB$9:AB26,AB26,AK$9:AK26),"")</f>
        <v/>
      </c>
      <c r="AM26" s="7" t="str">
        <f>IFERROR(IF(AB27&lt;&gt;AB26,AVERAGEIF(AB$9:AB26,AB26,AT$9:AT26),""),"")</f>
        <v/>
      </c>
      <c r="AN26" s="7" t="str">
        <f>IFERROR(IF(AB27&lt;&gt;AB26,AVERAGEIF(AB$9:AB26,AB26,AU$9:AU26),""),"")</f>
        <v/>
      </c>
      <c r="AO26" s="7" t="str" cm="1">
        <f t="array" ref="AO26">IFERROR(IF(AB27&lt;&gt;AB26,_xlfn.STDEV.P(IF(AB$9:AB26=AB26,AU$9:AU26)),""),"")</f>
        <v/>
      </c>
      <c r="AP26" s="7" t="str" cm="1">
        <f t="array" ref="AP26">IFERROR(IF(AB27&lt;&gt;AB26,_xlfn.STDEV.P(IF(AB$9:AB26=AB26,AT$9:AT26)),""),"")</f>
        <v/>
      </c>
      <c r="AQ26" s="8" t="str">
        <f t="shared" si="27"/>
        <v/>
      </c>
      <c r="AR26" s="8" t="str">
        <f t="shared" si="28"/>
        <v/>
      </c>
      <c r="AS26" s="8" t="str">
        <f t="shared" si="29"/>
        <v/>
      </c>
      <c r="AT26" s="9" t="str">
        <f t="shared" si="30"/>
        <v/>
      </c>
      <c r="AU26" s="9" t="str">
        <f t="shared" si="31"/>
        <v/>
      </c>
      <c r="AV26" s="14"/>
      <c r="AW26" s="15"/>
      <c r="AX26" s="14" t="str">
        <f t="shared" si="32"/>
        <v/>
      </c>
      <c r="AY26" s="15"/>
      <c r="AZ26" s="23"/>
      <c r="BC26" s="12">
        <v>14</v>
      </c>
      <c r="BD26" s="12">
        <f t="shared" si="9"/>
        <v>0</v>
      </c>
      <c r="BE26" s="12">
        <f t="shared" si="10"/>
        <v>0</v>
      </c>
      <c r="BF26" s="73" t="str">
        <f t="shared" si="33"/>
        <v/>
      </c>
      <c r="BG26" s="77" t="str">
        <f t="shared" si="39"/>
        <v>0</v>
      </c>
      <c r="BH26" s="74" t="str">
        <f t="shared" si="34"/>
        <v>0</v>
      </c>
      <c r="BI26" s="10" t="str">
        <f t="shared" si="35"/>
        <v/>
      </c>
      <c r="BL26" s="12">
        <v>14</v>
      </c>
      <c r="BM26" s="12">
        <f t="shared" si="12"/>
        <v>0</v>
      </c>
      <c r="BN26" s="12">
        <f t="shared" si="13"/>
        <v>0</v>
      </c>
      <c r="BO26" s="73" t="str">
        <f t="shared" si="36"/>
        <v/>
      </c>
      <c r="BP26" s="12" t="str">
        <f t="shared" si="14"/>
        <v>0</v>
      </c>
      <c r="BQ26" s="74" t="str">
        <f t="shared" si="15"/>
        <v>0</v>
      </c>
      <c r="BR26" s="10" t="str">
        <f t="shared" si="37"/>
        <v/>
      </c>
      <c r="EW26" t="s">
        <v>46</v>
      </c>
      <c r="EX26" s="33">
        <v>1023</v>
      </c>
      <c r="EY26" s="33" t="s">
        <v>116</v>
      </c>
      <c r="EZ26" s="33" t="s">
        <v>117</v>
      </c>
      <c r="FA26" s="33" t="s">
        <v>51</v>
      </c>
      <c r="FB26" s="33" t="s">
        <v>52</v>
      </c>
      <c r="FC26" s="33" t="s">
        <v>53</v>
      </c>
      <c r="FD26" s="33" t="s">
        <v>54</v>
      </c>
      <c r="FE26" s="33">
        <v>2019</v>
      </c>
      <c r="FF26" s="33" t="s">
        <v>55</v>
      </c>
      <c r="FG26" s="33" t="s">
        <v>56</v>
      </c>
      <c r="FH26" s="33" t="s">
        <v>57</v>
      </c>
      <c r="FI26" s="33" t="s">
        <v>58</v>
      </c>
      <c r="FJ26" t="s">
        <v>59</v>
      </c>
      <c r="FM26" s="32" t="s">
        <v>107</v>
      </c>
      <c r="FN26" t="s">
        <v>108</v>
      </c>
      <c r="FO26" t="s">
        <v>109</v>
      </c>
      <c r="FP26" t="str">
        <f t="shared" si="0"/>
        <v>B</v>
      </c>
      <c r="FT26" s="69" t="s">
        <v>7409</v>
      </c>
      <c r="FU26" s="60">
        <v>0</v>
      </c>
      <c r="FV26" s="60">
        <v>0</v>
      </c>
      <c r="FW26" s="60">
        <v>0</v>
      </c>
      <c r="FX26" s="60">
        <v>0</v>
      </c>
      <c r="FY26" s="60">
        <v>0</v>
      </c>
      <c r="FZ26" s="60">
        <v>34.159999999999997</v>
      </c>
      <c r="GA26" s="60">
        <v>22</v>
      </c>
      <c r="GB26" s="60">
        <v>14.010000000000002</v>
      </c>
      <c r="GC26" s="60">
        <v>16.555</v>
      </c>
      <c r="GD26" s="60">
        <v>22.46</v>
      </c>
      <c r="GE26" s="60">
        <v>23.895</v>
      </c>
      <c r="GF26" s="60">
        <v>23.1</v>
      </c>
      <c r="GG26" s="60">
        <v>21.965</v>
      </c>
      <c r="GH26" s="60">
        <v>21.425000000000001</v>
      </c>
      <c r="GI26" s="60">
        <v>20.77</v>
      </c>
      <c r="GJ26" s="60">
        <v>20.369999999999997</v>
      </c>
      <c r="GK26" s="60">
        <v>19.344999999999999</v>
      </c>
      <c r="GL26" s="60">
        <v>17.09</v>
      </c>
      <c r="GM26" s="60">
        <v>15.43</v>
      </c>
      <c r="GN26" s="60">
        <v>17.509999999999998</v>
      </c>
      <c r="GO26" s="60">
        <v>20.47</v>
      </c>
      <c r="GP26" s="60">
        <v>23.225000000000001</v>
      </c>
      <c r="GQ26" s="60">
        <v>24.445</v>
      </c>
      <c r="GR26" s="60">
        <v>0</v>
      </c>
      <c r="GU26" s="53">
        <v>23</v>
      </c>
      <c r="GV26" s="53">
        <v>20</v>
      </c>
      <c r="GY26" t="s">
        <v>7454</v>
      </c>
      <c r="GZ26" s="64" t="s">
        <v>7423</v>
      </c>
      <c r="HA26" s="64" t="s">
        <v>7423</v>
      </c>
      <c r="HB26" s="32">
        <v>42</v>
      </c>
      <c r="HF26" t="s">
        <v>7418</v>
      </c>
      <c r="HG26" s="64" t="s">
        <v>7423</v>
      </c>
      <c r="HH26" s="44" t="s">
        <v>7420</v>
      </c>
      <c r="HI26" s="32">
        <v>904</v>
      </c>
    </row>
    <row r="27" spans="1:217" ht="15.5" x14ac:dyDescent="0.35">
      <c r="A27" s="95">
        <f t="shared" si="16"/>
        <v>1</v>
      </c>
      <c r="B27" s="11"/>
      <c r="C27" s="11"/>
      <c r="D27" s="92" t="str">
        <f>IFERROR(
IF(AND(OR(Planilla!B27="C",Planilla!B27="c"), VLOOKUP(E27,EX:FJ,13,0)="C"), "OK",IF(AND(OR(Planilla!B27="C",Planilla!B27="c"), OR(VLOOKUP(E27,EX:FJ,13,0)="B", VLOOKUP(E27,EX:FJ,13,0)="A")), "DEFICIT",IF(
AND(OR(Planilla!B27="B", Planilla!B27="BPAL"), VLOOKUP(E27,EX:FJ,13,0)="B"), "OK",IF(AND(OR(Planilla!B27="B", Planilla!B27="BPAL"), VLOOKUP(E27,EX:FJ,13,0)="A"), "DEFICIT",IF(AND(OR(Planilla!B27="B", Planilla!B27="BPAL"), VLOOKUP(E27,EX:FJ,13,0)="C"), "SOBREOFERTA",IF(AND(Planilla!B27="A", VLOOKUP(E27,EX:FJ,13,0)="A"), "OK",IF(
AND(Planilla!B27="A", OR(VLOOKUP(E27,EX:FJ,13,0)="B", VLOOKUP(E27,EX:FJ,13,0)="C")), "SOBREOFERTA",""
))))))),"")</f>
        <v/>
      </c>
      <c r="E27" s="12"/>
      <c r="F27" s="13"/>
      <c r="G27" s="14"/>
      <c r="H27" s="81" t="str">
        <f t="shared" si="17"/>
        <v/>
      </c>
      <c r="I27" s="7"/>
      <c r="J27" s="6" t="e">
        <f t="shared" si="18"/>
        <v>#N/A</v>
      </c>
      <c r="K27" s="6" t="str">
        <f>IF(A28&lt;&gt;A27,AVERAGEIF(A$9:A27,A27,J$9:J27),"")</f>
        <v/>
      </c>
      <c r="L27" s="7" t="str">
        <f>IFERROR(IF(A28&lt;&gt;A27,AVERAGEIF(A$9:A27,A27,S$9:S27),""),"")</f>
        <v/>
      </c>
      <c r="M27" s="7" t="str">
        <f>IFERROR(IF(A28&lt;&gt;A27,AVERAGEIF(A$9:A27,A27,T$9:T27),""),"")</f>
        <v/>
      </c>
      <c r="N27" s="7" t="str" cm="1">
        <f t="array" ref="N27">IFERROR(IF(A28&lt;&gt;A27,_xlfn.STDEV.P(IF(A$9:A27=A27,T$9:T27)),""),"")</f>
        <v/>
      </c>
      <c r="O27" s="7" t="str" cm="1">
        <f t="array" ref="O27">IFERROR(IF(A28&lt;&gt;A27,_xlfn.STDEV.P(IF(A$9:A27=A27,S$9:S27)),""),"")</f>
        <v/>
      </c>
      <c r="P27" s="8" t="str">
        <f t="shared" si="19"/>
        <v/>
      </c>
      <c r="Q27" s="8" t="str">
        <f t="shared" si="20"/>
        <v/>
      </c>
      <c r="R27" s="8" t="str">
        <f t="shared" si="21"/>
        <v/>
      </c>
      <c r="S27" s="9" t="str">
        <f t="shared" si="22"/>
        <v/>
      </c>
      <c r="T27" s="9" t="str">
        <f t="shared" si="23"/>
        <v/>
      </c>
      <c r="U27" s="14">
        <v>0.25347222222222221</v>
      </c>
      <c r="V27" s="15"/>
      <c r="W27" s="14" t="str">
        <f t="shared" si="38"/>
        <v/>
      </c>
      <c r="X27" s="15"/>
      <c r="Y27" s="2"/>
      <c r="AB27" s="22">
        <f t="shared" si="24"/>
        <v>1</v>
      </c>
      <c r="AC27" s="11"/>
      <c r="AD27" s="11"/>
      <c r="AE27" s="13"/>
      <c r="AF27" s="12"/>
      <c r="AG27" s="13"/>
      <c r="AH27" s="14"/>
      <c r="AI27" s="81" t="str">
        <f t="shared" si="25"/>
        <v/>
      </c>
      <c r="AJ27" s="15"/>
      <c r="AK27" s="6" t="e">
        <f t="shared" si="26"/>
        <v>#N/A</v>
      </c>
      <c r="AL27" s="6" t="str">
        <f>IF(AB28&lt;&gt;AB27,AVERAGEIF(AB$9:AB27,AB27,AK$9:AK27),"")</f>
        <v/>
      </c>
      <c r="AM27" s="7" t="str">
        <f>IFERROR(IF(AB28&lt;&gt;AB27,AVERAGEIF(AB$9:AB27,AB27,AT$9:AT27),""),"")</f>
        <v/>
      </c>
      <c r="AN27" s="7" t="str">
        <f>IFERROR(IF(AB28&lt;&gt;AB27,AVERAGEIF(AB$9:AB27,AB27,AU$9:AU27),""),"")</f>
        <v/>
      </c>
      <c r="AO27" s="7" t="str" cm="1">
        <f t="array" ref="AO27">IFERROR(IF(AB28&lt;&gt;AB27,_xlfn.STDEV.P(IF(AB$9:AB27=AB27,AU$9:AU27)),""),"")</f>
        <v/>
      </c>
      <c r="AP27" s="7" t="str" cm="1">
        <f t="array" ref="AP27">IFERROR(IF(AB28&lt;&gt;AB27,_xlfn.STDEV.P(IF(AB$9:AB27=AB27,AT$9:AT27)),""),"")</f>
        <v/>
      </c>
      <c r="AQ27" s="8" t="str">
        <f t="shared" si="27"/>
        <v/>
      </c>
      <c r="AR27" s="8" t="str">
        <f t="shared" si="28"/>
        <v/>
      </c>
      <c r="AS27" s="8" t="str">
        <f t="shared" si="29"/>
        <v/>
      </c>
      <c r="AT27" s="9" t="str">
        <f t="shared" si="30"/>
        <v/>
      </c>
      <c r="AU27" s="9" t="str">
        <f t="shared" si="31"/>
        <v/>
      </c>
      <c r="AV27" s="14"/>
      <c r="AW27" s="15"/>
      <c r="AX27" s="14" t="str">
        <f t="shared" si="32"/>
        <v/>
      </c>
      <c r="AY27" s="15"/>
      <c r="AZ27" s="23"/>
      <c r="BC27" s="12">
        <v>15</v>
      </c>
      <c r="BD27" s="12">
        <f t="shared" si="9"/>
        <v>0</v>
      </c>
      <c r="BE27" s="12">
        <f t="shared" si="10"/>
        <v>0</v>
      </c>
      <c r="BF27" s="73" t="str">
        <f t="shared" si="33"/>
        <v/>
      </c>
      <c r="BG27" s="77" t="str">
        <f t="shared" si="39"/>
        <v>0</v>
      </c>
      <c r="BH27" s="74" t="str">
        <f t="shared" si="34"/>
        <v>0</v>
      </c>
      <c r="BI27" s="10" t="str">
        <f t="shared" si="35"/>
        <v/>
      </c>
      <c r="BL27" s="12">
        <v>15</v>
      </c>
      <c r="BM27" s="12">
        <f t="shared" si="12"/>
        <v>0</v>
      </c>
      <c r="BN27" s="12">
        <f t="shared" si="13"/>
        <v>0</v>
      </c>
      <c r="BO27" s="73" t="str">
        <f t="shared" si="36"/>
        <v/>
      </c>
      <c r="BP27" s="12" t="str">
        <f t="shared" si="14"/>
        <v>0</v>
      </c>
      <c r="BQ27" s="74" t="str">
        <f t="shared" si="15"/>
        <v>0</v>
      </c>
      <c r="BR27" s="10" t="str">
        <f t="shared" si="37"/>
        <v/>
      </c>
      <c r="EW27" t="s">
        <v>46</v>
      </c>
      <c r="EX27" s="33">
        <v>1024</v>
      </c>
      <c r="EY27" s="33" t="s">
        <v>118</v>
      </c>
      <c r="EZ27" s="33" t="s">
        <v>119</v>
      </c>
      <c r="FA27" s="33" t="s">
        <v>51</v>
      </c>
      <c r="FB27" s="33" t="s">
        <v>52</v>
      </c>
      <c r="FC27" s="33" t="s">
        <v>53</v>
      </c>
      <c r="FD27" s="33" t="s">
        <v>54</v>
      </c>
      <c r="FE27" s="33">
        <v>2019</v>
      </c>
      <c r="FF27" s="33" t="s">
        <v>55</v>
      </c>
      <c r="FG27" s="33" t="s">
        <v>56</v>
      </c>
      <c r="FH27" s="33" t="s">
        <v>57</v>
      </c>
      <c r="FI27" s="33" t="s">
        <v>58</v>
      </c>
      <c r="FJ27" t="s">
        <v>59</v>
      </c>
      <c r="FM27" s="32" t="s">
        <v>120</v>
      </c>
      <c r="FN27" t="s">
        <v>121</v>
      </c>
      <c r="FO27" t="s">
        <v>122</v>
      </c>
      <c r="FP27" t="str">
        <f t="shared" si="0"/>
        <v>B</v>
      </c>
      <c r="FT27" s="69" t="s">
        <v>7398</v>
      </c>
      <c r="FU27" s="60">
        <v>0</v>
      </c>
      <c r="FV27" s="60">
        <v>0</v>
      </c>
      <c r="FW27" s="60">
        <v>0</v>
      </c>
      <c r="FX27" s="60">
        <v>0</v>
      </c>
      <c r="FY27" s="60">
        <v>0</v>
      </c>
      <c r="FZ27" s="60">
        <v>8.9250000000000007</v>
      </c>
      <c r="GA27" s="60">
        <v>16.07</v>
      </c>
      <c r="GB27" s="60">
        <v>16.024999999999999</v>
      </c>
      <c r="GC27" s="60">
        <v>17.375</v>
      </c>
      <c r="GD27" s="60">
        <v>18.3</v>
      </c>
      <c r="GE27" s="60">
        <v>17.954999999999998</v>
      </c>
      <c r="GF27" s="60">
        <v>17.630000000000003</v>
      </c>
      <c r="GG27" s="60">
        <v>17.614999999999998</v>
      </c>
      <c r="GH27" s="60">
        <v>17.754999999999999</v>
      </c>
      <c r="GI27" s="60">
        <v>17.295000000000002</v>
      </c>
      <c r="GJ27" s="60">
        <v>16.814999999999998</v>
      </c>
      <c r="GK27" s="60">
        <v>15.605</v>
      </c>
      <c r="GL27" s="60">
        <v>14.895</v>
      </c>
      <c r="GM27" s="60">
        <v>16.64</v>
      </c>
      <c r="GN27" s="60">
        <v>19.024999999999999</v>
      </c>
      <c r="GO27" s="60">
        <v>20.635000000000002</v>
      </c>
      <c r="GP27" s="60">
        <v>22.509999999999998</v>
      </c>
      <c r="GQ27" s="60">
        <v>24.189999999999998</v>
      </c>
      <c r="GR27" s="60">
        <v>0</v>
      </c>
      <c r="GU27" s="53">
        <v>24</v>
      </c>
      <c r="GV27" s="53">
        <v>21</v>
      </c>
      <c r="GY27" t="s">
        <v>7454</v>
      </c>
      <c r="GZ27" s="64" t="s">
        <v>7426</v>
      </c>
      <c r="HA27" s="64" t="s">
        <v>7426</v>
      </c>
      <c r="HB27" s="32">
        <v>43</v>
      </c>
      <c r="HF27" t="s">
        <v>7418</v>
      </c>
      <c r="HG27" s="64" t="s">
        <v>7426</v>
      </c>
      <c r="HH27" s="44" t="s">
        <v>7420</v>
      </c>
      <c r="HI27" s="32">
        <v>918</v>
      </c>
    </row>
    <row r="28" spans="1:217" ht="15.5" x14ac:dyDescent="0.35">
      <c r="A28" s="95">
        <f t="shared" si="16"/>
        <v>1</v>
      </c>
      <c r="B28" s="11"/>
      <c r="C28" s="11"/>
      <c r="D28" s="92" t="str">
        <f>IFERROR(
IF(AND(OR(Planilla!B28="C",Planilla!B28="c"), VLOOKUP(E28,EX:FJ,13,0)="C"), "OK",IF(AND(OR(Planilla!B28="C",Planilla!B28="c"), OR(VLOOKUP(E28,EX:FJ,13,0)="B", VLOOKUP(E28,EX:FJ,13,0)="A")), "DEFICIT",IF(
AND(OR(Planilla!B28="B", Planilla!B28="BPAL"), VLOOKUP(E28,EX:FJ,13,0)="B"), "OK",IF(AND(OR(Planilla!B28="B", Planilla!B28="BPAL"), VLOOKUP(E28,EX:FJ,13,0)="A"), "DEFICIT",IF(AND(OR(Planilla!B28="B", Planilla!B28="BPAL"), VLOOKUP(E28,EX:FJ,13,0)="C"), "SOBREOFERTA",IF(AND(Planilla!B28="A", VLOOKUP(E28,EX:FJ,13,0)="A"), "OK",IF(
AND(Planilla!B28="A", OR(VLOOKUP(E28,EX:FJ,13,0)="B", VLOOKUP(E28,EX:FJ,13,0)="C")), "SOBREOFERTA",""
))))))),"")</f>
        <v/>
      </c>
      <c r="E28" s="12"/>
      <c r="F28" s="13"/>
      <c r="G28" s="14"/>
      <c r="H28" s="81" t="str">
        <f t="shared" si="17"/>
        <v/>
      </c>
      <c r="I28" s="7"/>
      <c r="J28" s="6" t="e">
        <f t="shared" si="18"/>
        <v>#N/A</v>
      </c>
      <c r="K28" s="6" t="str">
        <f>IF(A29&lt;&gt;A28,AVERAGEIF(A$9:A28,A28,J$9:J28),"")</f>
        <v/>
      </c>
      <c r="L28" s="7" t="str">
        <f>IFERROR(IF(A29&lt;&gt;A28,AVERAGEIF(A$9:A28,A28,S$9:S28),""),"")</f>
        <v/>
      </c>
      <c r="M28" s="7" t="str">
        <f>IFERROR(IF(A29&lt;&gt;A28,AVERAGEIF(A$9:A28,A28,T$9:T28),""),"")</f>
        <v/>
      </c>
      <c r="N28" s="7" t="str" cm="1">
        <f t="array" ref="N28">IFERROR(IF(A29&lt;&gt;A28,_xlfn.STDEV.P(IF(A$9:A28=A28,T$9:T28)),""),"")</f>
        <v/>
      </c>
      <c r="O28" s="7" t="str" cm="1">
        <f t="array" ref="O28">IFERROR(IF(A29&lt;&gt;A28,_xlfn.STDEV.P(IF(A$9:A28=A28,S$9:S28)),""),"")</f>
        <v/>
      </c>
      <c r="P28" s="8" t="str">
        <f t="shared" si="19"/>
        <v/>
      </c>
      <c r="Q28" s="8" t="str">
        <f t="shared" si="20"/>
        <v/>
      </c>
      <c r="R28" s="8" t="str">
        <f t="shared" si="21"/>
        <v/>
      </c>
      <c r="S28" s="9" t="str">
        <f t="shared" si="22"/>
        <v/>
      </c>
      <c r="T28" s="9" t="str">
        <f t="shared" si="23"/>
        <v/>
      </c>
      <c r="U28" s="14">
        <v>0.26041666666666669</v>
      </c>
      <c r="V28" s="15"/>
      <c r="W28" s="14" t="str">
        <f t="shared" si="38"/>
        <v/>
      </c>
      <c r="X28" s="15"/>
      <c r="Y28" s="2"/>
      <c r="AB28" s="22">
        <f t="shared" si="24"/>
        <v>1</v>
      </c>
      <c r="AC28" s="11"/>
      <c r="AD28" s="11"/>
      <c r="AE28" s="13"/>
      <c r="AF28" s="12"/>
      <c r="AG28" s="13"/>
      <c r="AH28" s="14"/>
      <c r="AI28" s="81" t="str">
        <f t="shared" si="25"/>
        <v/>
      </c>
      <c r="AJ28" s="15"/>
      <c r="AK28" s="6" t="e">
        <f t="shared" si="26"/>
        <v>#N/A</v>
      </c>
      <c r="AL28" s="6" t="str">
        <f>IF(AB29&lt;&gt;AB28,AVERAGEIF(AB$9:AB28,AB28,AK$9:AK28),"")</f>
        <v/>
      </c>
      <c r="AM28" s="7" t="str">
        <f>IFERROR(IF(AB29&lt;&gt;AB28,AVERAGEIF(AB$9:AB28,AB28,AT$9:AT28),""),"")</f>
        <v/>
      </c>
      <c r="AN28" s="7" t="str">
        <f>IFERROR(IF(AB29&lt;&gt;AB28,AVERAGEIF(AB$9:AB28,AB28,AU$9:AU28),""),"")</f>
        <v/>
      </c>
      <c r="AO28" s="7" t="str" cm="1">
        <f t="array" ref="AO28">IFERROR(IF(AB29&lt;&gt;AB28,_xlfn.STDEV.P(IF(AB$9:AB28=AB28,AU$9:AU28)),""),"")</f>
        <v/>
      </c>
      <c r="AP28" s="7" t="str" cm="1">
        <f t="array" ref="AP28">IFERROR(IF(AB29&lt;&gt;AB28,_xlfn.STDEV.P(IF(AB$9:AB28=AB28,AT$9:AT28)),""),"")</f>
        <v/>
      </c>
      <c r="AQ28" s="8" t="str">
        <f t="shared" si="27"/>
        <v/>
      </c>
      <c r="AR28" s="8" t="str">
        <f t="shared" si="28"/>
        <v/>
      </c>
      <c r="AS28" s="8" t="str">
        <f t="shared" si="29"/>
        <v/>
      </c>
      <c r="AT28" s="9" t="str">
        <f t="shared" si="30"/>
        <v/>
      </c>
      <c r="AU28" s="9" t="str">
        <f t="shared" si="31"/>
        <v/>
      </c>
      <c r="AV28" s="14"/>
      <c r="AW28" s="15"/>
      <c r="AX28" s="14" t="str">
        <f t="shared" si="32"/>
        <v/>
      </c>
      <c r="AY28" s="15"/>
      <c r="AZ28" s="23"/>
      <c r="BC28" s="12">
        <v>16</v>
      </c>
      <c r="BD28" s="12">
        <f t="shared" si="9"/>
        <v>0</v>
      </c>
      <c r="BE28" s="12">
        <f t="shared" si="10"/>
        <v>0</v>
      </c>
      <c r="BF28" s="73" t="str">
        <f t="shared" si="33"/>
        <v/>
      </c>
      <c r="BG28" s="77" t="str">
        <f t="shared" si="39"/>
        <v>0</v>
      </c>
      <c r="BH28" s="74" t="str">
        <f t="shared" si="34"/>
        <v>0</v>
      </c>
      <c r="BI28" s="10" t="str">
        <f t="shared" si="35"/>
        <v/>
      </c>
      <c r="BL28" s="12">
        <v>16</v>
      </c>
      <c r="BM28" s="12">
        <f t="shared" si="12"/>
        <v>0</v>
      </c>
      <c r="BN28" s="12">
        <f t="shared" si="13"/>
        <v>0</v>
      </c>
      <c r="BO28" s="73" t="str">
        <f t="shared" si="36"/>
        <v/>
      </c>
      <c r="BP28" s="12" t="str">
        <f t="shared" si="14"/>
        <v>0</v>
      </c>
      <c r="BQ28" s="74" t="str">
        <f t="shared" si="15"/>
        <v>0</v>
      </c>
      <c r="BR28" s="10" t="str">
        <f t="shared" si="37"/>
        <v/>
      </c>
      <c r="EW28" t="s">
        <v>46</v>
      </c>
      <c r="EX28" s="33">
        <v>1025</v>
      </c>
      <c r="EY28" s="33" t="s">
        <v>123</v>
      </c>
      <c r="EZ28" s="33" t="s">
        <v>124</v>
      </c>
      <c r="FA28" s="33" t="s">
        <v>51</v>
      </c>
      <c r="FB28" s="33" t="s">
        <v>52</v>
      </c>
      <c r="FC28" s="33" t="s">
        <v>53</v>
      </c>
      <c r="FD28" s="33" t="s">
        <v>54</v>
      </c>
      <c r="FE28" s="33">
        <v>2019</v>
      </c>
      <c r="FF28" s="33" t="s">
        <v>55</v>
      </c>
      <c r="FG28" s="33" t="s">
        <v>56</v>
      </c>
      <c r="FH28" s="33" t="s">
        <v>57</v>
      </c>
      <c r="FI28" s="33" t="s">
        <v>58</v>
      </c>
      <c r="FJ28" t="s">
        <v>59</v>
      </c>
      <c r="FM28" s="32" t="s">
        <v>120</v>
      </c>
      <c r="FN28" t="s">
        <v>121</v>
      </c>
      <c r="FO28" t="s">
        <v>122</v>
      </c>
      <c r="FP28" t="str">
        <f t="shared" si="0"/>
        <v>B</v>
      </c>
      <c r="FT28" s="69">
        <v>722</v>
      </c>
      <c r="FU28" s="60">
        <v>0</v>
      </c>
      <c r="FV28" s="60">
        <v>0</v>
      </c>
      <c r="FW28" s="60">
        <v>0</v>
      </c>
      <c r="FX28" s="60">
        <v>0</v>
      </c>
      <c r="FY28" s="60">
        <v>33.349999999999994</v>
      </c>
      <c r="FZ28" s="60">
        <v>28.914999999999999</v>
      </c>
      <c r="GA28" s="60">
        <v>20.484999999999999</v>
      </c>
      <c r="GB28" s="60">
        <v>15.51</v>
      </c>
      <c r="GC28" s="60">
        <v>16.905000000000001</v>
      </c>
      <c r="GD28" s="60">
        <v>19.284999999999997</v>
      </c>
      <c r="GE28" s="60">
        <v>20.875</v>
      </c>
      <c r="GF28" s="60">
        <v>20.729999999999997</v>
      </c>
      <c r="GG28" s="60">
        <v>19.905000000000001</v>
      </c>
      <c r="GH28" s="60">
        <v>19.655000000000001</v>
      </c>
      <c r="GI28" s="60">
        <v>19.46</v>
      </c>
      <c r="GJ28" s="60">
        <v>18.504999999999999</v>
      </c>
      <c r="GK28" s="60">
        <v>17.405000000000001</v>
      </c>
      <c r="GL28" s="60">
        <v>16.310000000000002</v>
      </c>
      <c r="GM28" s="60">
        <v>16.535</v>
      </c>
      <c r="GN28" s="60">
        <v>19.545000000000002</v>
      </c>
      <c r="GO28" s="60">
        <v>21.92</v>
      </c>
      <c r="GP28" s="60">
        <v>23.85</v>
      </c>
      <c r="GQ28" s="60">
        <v>25.92</v>
      </c>
      <c r="GR28" s="60">
        <v>27.725000000000001</v>
      </c>
      <c r="GU28" s="53">
        <v>25</v>
      </c>
      <c r="GV28" s="53">
        <v>22</v>
      </c>
      <c r="GY28" t="s">
        <v>7454</v>
      </c>
      <c r="GZ28" s="64" t="s">
        <v>7424</v>
      </c>
      <c r="HA28" s="64" t="s">
        <v>7424</v>
      </c>
      <c r="HB28" s="32">
        <v>45</v>
      </c>
      <c r="HF28" t="s">
        <v>7418</v>
      </c>
      <c r="HG28" s="64" t="s">
        <v>7424</v>
      </c>
      <c r="HH28" s="44" t="s">
        <v>7420</v>
      </c>
      <c r="HI28" s="32">
        <v>919</v>
      </c>
    </row>
    <row r="29" spans="1:217" ht="15.5" x14ac:dyDescent="0.35">
      <c r="A29" s="95">
        <f t="shared" si="16"/>
        <v>1</v>
      </c>
      <c r="B29" s="11"/>
      <c r="C29" s="11"/>
      <c r="D29" s="92" t="str">
        <f>IFERROR(
IF(AND(OR(Planilla!B29="C",Planilla!B29="c"), VLOOKUP(E29,EX:FJ,13,0)="C"), "OK",IF(AND(OR(Planilla!B29="C",Planilla!B29="c"), OR(VLOOKUP(E29,EX:FJ,13,0)="B", VLOOKUP(E29,EX:FJ,13,0)="A")), "DEFICIT",IF(
AND(OR(Planilla!B29="B", Planilla!B29="BPAL"), VLOOKUP(E29,EX:FJ,13,0)="B"), "OK",IF(AND(OR(Planilla!B29="B", Planilla!B29="BPAL"), VLOOKUP(E29,EX:FJ,13,0)="A"), "DEFICIT",IF(AND(OR(Planilla!B29="B", Planilla!B29="BPAL"), VLOOKUP(E29,EX:FJ,13,0)="C"), "SOBREOFERTA",IF(AND(Planilla!B29="A", VLOOKUP(E29,EX:FJ,13,0)="A"), "OK",IF(
AND(Planilla!B29="A", OR(VLOOKUP(E29,EX:FJ,13,0)="B", VLOOKUP(E29,EX:FJ,13,0)="C")), "SOBREOFERTA",""
))))))),"")</f>
        <v/>
      </c>
      <c r="E29" s="12"/>
      <c r="F29" s="13"/>
      <c r="G29" s="14"/>
      <c r="H29" s="81" t="str">
        <f t="shared" si="17"/>
        <v/>
      </c>
      <c r="I29" s="7"/>
      <c r="J29" s="6" t="e">
        <f t="shared" si="18"/>
        <v>#N/A</v>
      </c>
      <c r="K29" s="6" t="str">
        <f>IF(A30&lt;&gt;A29,AVERAGEIF(A$9:A29,A29,J$9:J29),"")</f>
        <v/>
      </c>
      <c r="L29" s="7" t="str">
        <f>IFERROR(IF(A30&lt;&gt;A29,AVERAGEIF(A$9:A29,A29,S$9:S29),""),"")</f>
        <v/>
      </c>
      <c r="M29" s="7" t="str">
        <f>IFERROR(IF(A30&lt;&gt;A29,AVERAGEIF(A$9:A29,A29,T$9:T29),""),"")</f>
        <v/>
      </c>
      <c r="N29" s="7" t="str" cm="1">
        <f t="array" ref="N29">IFERROR(IF(A30&lt;&gt;A29,_xlfn.STDEV.P(IF(A$9:A29=A29,T$9:T29)),""),"")</f>
        <v/>
      </c>
      <c r="O29" s="7" t="str" cm="1">
        <f t="array" ref="O29">IFERROR(IF(A30&lt;&gt;A29,_xlfn.STDEV.P(IF(A$9:A29=A29,S$9:S29)),""),"")</f>
        <v/>
      </c>
      <c r="P29" s="8" t="str">
        <f t="shared" si="19"/>
        <v/>
      </c>
      <c r="Q29" s="8" t="str">
        <f t="shared" si="20"/>
        <v/>
      </c>
      <c r="R29" s="8" t="str">
        <f t="shared" si="21"/>
        <v/>
      </c>
      <c r="S29" s="9" t="str">
        <f t="shared" si="22"/>
        <v/>
      </c>
      <c r="T29" s="9" t="str">
        <f t="shared" si="23"/>
        <v/>
      </c>
      <c r="U29" s="14">
        <v>0.2673611111111111</v>
      </c>
      <c r="V29" s="15"/>
      <c r="W29" s="14" t="str">
        <f t="shared" si="38"/>
        <v/>
      </c>
      <c r="X29" s="15"/>
      <c r="Y29" s="2"/>
      <c r="AB29" s="22">
        <f t="shared" si="24"/>
        <v>1</v>
      </c>
      <c r="AC29" s="11"/>
      <c r="AD29" s="11"/>
      <c r="AE29" s="13"/>
      <c r="AF29" s="12"/>
      <c r="AG29" s="13"/>
      <c r="AH29" s="14"/>
      <c r="AI29" s="81" t="str">
        <f t="shared" si="25"/>
        <v/>
      </c>
      <c r="AJ29" s="15"/>
      <c r="AK29" s="6" t="e">
        <f t="shared" si="26"/>
        <v>#N/A</v>
      </c>
      <c r="AL29" s="6" t="str">
        <f>IF(AB30&lt;&gt;AB29,AVERAGEIF(AB$9:AB29,AB29,AK$9:AK29),"")</f>
        <v/>
      </c>
      <c r="AM29" s="7" t="str">
        <f>IFERROR(IF(AB30&lt;&gt;AB29,AVERAGEIF(AB$9:AB29,AB29,AT$9:AT29),""),"")</f>
        <v/>
      </c>
      <c r="AN29" s="7" t="str">
        <f>IFERROR(IF(AB30&lt;&gt;AB29,AVERAGEIF(AB$9:AB29,AB29,AU$9:AU29),""),"")</f>
        <v/>
      </c>
      <c r="AO29" s="7" t="str" cm="1">
        <f t="array" ref="AO29">IFERROR(IF(AB30&lt;&gt;AB29,_xlfn.STDEV.P(IF(AB$9:AB29=AB29,AU$9:AU29)),""),"")</f>
        <v/>
      </c>
      <c r="AP29" s="7" t="str" cm="1">
        <f t="array" ref="AP29">IFERROR(IF(AB30&lt;&gt;AB29,_xlfn.STDEV.P(IF(AB$9:AB29=AB29,AT$9:AT29)),""),"")</f>
        <v/>
      </c>
      <c r="AQ29" s="8" t="str">
        <f t="shared" si="27"/>
        <v/>
      </c>
      <c r="AR29" s="8" t="str">
        <f t="shared" si="28"/>
        <v/>
      </c>
      <c r="AS29" s="8" t="str">
        <f t="shared" si="29"/>
        <v/>
      </c>
      <c r="AT29" s="9" t="str">
        <f t="shared" si="30"/>
        <v/>
      </c>
      <c r="AU29" s="9" t="str">
        <f t="shared" si="31"/>
        <v/>
      </c>
      <c r="AV29" s="14"/>
      <c r="AW29" s="15"/>
      <c r="AX29" s="14" t="str">
        <f t="shared" si="32"/>
        <v/>
      </c>
      <c r="AY29" s="15"/>
      <c r="AZ29" s="23"/>
      <c r="BC29" s="12">
        <v>17</v>
      </c>
      <c r="BD29" s="12">
        <f t="shared" si="9"/>
        <v>0</v>
      </c>
      <c r="BE29" s="12">
        <f t="shared" si="10"/>
        <v>0</v>
      </c>
      <c r="BF29" s="73" t="str">
        <f t="shared" si="33"/>
        <v/>
      </c>
      <c r="BG29" s="77" t="str">
        <f t="shared" si="39"/>
        <v>0</v>
      </c>
      <c r="BH29" s="74" t="str">
        <f t="shared" si="34"/>
        <v>0</v>
      </c>
      <c r="BI29" s="10" t="str">
        <f t="shared" si="35"/>
        <v/>
      </c>
      <c r="BL29" s="12">
        <v>17</v>
      </c>
      <c r="BM29" s="12">
        <f t="shared" si="12"/>
        <v>0</v>
      </c>
      <c r="BN29" s="12">
        <f t="shared" si="13"/>
        <v>0</v>
      </c>
      <c r="BO29" s="73" t="str">
        <f t="shared" si="36"/>
        <v/>
      </c>
      <c r="BP29" s="12" t="str">
        <f t="shared" si="14"/>
        <v>0</v>
      </c>
      <c r="BQ29" s="74" t="str">
        <f t="shared" si="15"/>
        <v>0</v>
      </c>
      <c r="BR29" s="10" t="str">
        <f t="shared" si="37"/>
        <v/>
      </c>
      <c r="EW29" t="s">
        <v>46</v>
      </c>
      <c r="EX29" s="33">
        <v>1026</v>
      </c>
      <c r="EY29" s="33" t="s">
        <v>125</v>
      </c>
      <c r="EZ29" s="33" t="s">
        <v>126</v>
      </c>
      <c r="FA29" s="33" t="s">
        <v>51</v>
      </c>
      <c r="FB29" s="33" t="s">
        <v>52</v>
      </c>
      <c r="FC29" s="33" t="s">
        <v>53</v>
      </c>
      <c r="FD29" s="33" t="s">
        <v>54</v>
      </c>
      <c r="FE29" s="33">
        <v>2019</v>
      </c>
      <c r="FF29" s="33" t="s">
        <v>55</v>
      </c>
      <c r="FG29" s="33" t="s">
        <v>56</v>
      </c>
      <c r="FH29" s="33" t="s">
        <v>57</v>
      </c>
      <c r="FI29" s="33" t="s">
        <v>58</v>
      </c>
      <c r="FJ29" t="s">
        <v>59</v>
      </c>
      <c r="FM29" s="32" t="s">
        <v>120</v>
      </c>
      <c r="FN29" t="s">
        <v>121</v>
      </c>
      <c r="FO29" t="s">
        <v>122</v>
      </c>
      <c r="FP29" t="str">
        <f t="shared" si="0"/>
        <v>B</v>
      </c>
      <c r="FT29" s="69">
        <v>722</v>
      </c>
      <c r="FU29" s="60">
        <v>31.884999999999998</v>
      </c>
      <c r="FV29" s="60">
        <v>16.594999999999999</v>
      </c>
      <c r="FW29" s="60">
        <v>0</v>
      </c>
      <c r="FX29" s="60">
        <v>0</v>
      </c>
      <c r="FY29" s="60">
        <v>0</v>
      </c>
      <c r="FZ29" s="60">
        <v>31.7</v>
      </c>
      <c r="GA29" s="60">
        <v>24.445</v>
      </c>
      <c r="GB29" s="60">
        <v>17.905000000000001</v>
      </c>
      <c r="GC29" s="60">
        <v>18.37</v>
      </c>
      <c r="GD29" s="60">
        <v>21.83</v>
      </c>
      <c r="GE29" s="60">
        <v>23.075000000000003</v>
      </c>
      <c r="GF29" s="60">
        <v>22.29</v>
      </c>
      <c r="GG29" s="60">
        <v>20.965</v>
      </c>
      <c r="GH29" s="60">
        <v>20.16</v>
      </c>
      <c r="GI29" s="60">
        <v>19.785</v>
      </c>
      <c r="GJ29" s="60">
        <v>18.25</v>
      </c>
      <c r="GK29" s="60">
        <v>16.440000000000001</v>
      </c>
      <c r="GL29" s="60">
        <v>14.33</v>
      </c>
      <c r="GM29" s="60">
        <v>15.940000000000001</v>
      </c>
      <c r="GN29" s="60">
        <v>19.189999999999998</v>
      </c>
      <c r="GO29" s="60">
        <v>21.990000000000002</v>
      </c>
      <c r="GP29" s="60">
        <v>24.335000000000001</v>
      </c>
      <c r="GQ29" s="60">
        <v>26.729999999999997</v>
      </c>
      <c r="GR29" s="60">
        <v>28.725000000000001</v>
      </c>
      <c r="GU29" s="53">
        <v>26</v>
      </c>
      <c r="GV29" s="53">
        <v>23</v>
      </c>
      <c r="GY29" t="s">
        <v>7454</v>
      </c>
      <c r="GZ29" s="64" t="s">
        <v>7444</v>
      </c>
      <c r="HA29" s="64" t="s">
        <v>7444</v>
      </c>
      <c r="HB29" s="32">
        <v>46</v>
      </c>
      <c r="HF29" t="s">
        <v>7418</v>
      </c>
      <c r="HG29" s="64" t="s">
        <v>7444</v>
      </c>
      <c r="HH29" s="44" t="s">
        <v>7443</v>
      </c>
      <c r="HI29" s="32">
        <v>922</v>
      </c>
    </row>
    <row r="30" spans="1:217" ht="15.5" x14ac:dyDescent="0.35">
      <c r="A30" s="95">
        <f t="shared" si="16"/>
        <v>1</v>
      </c>
      <c r="B30" s="11"/>
      <c r="C30" s="11"/>
      <c r="D30" s="92" t="str">
        <f>IFERROR(
IF(AND(OR(Planilla!B30="C",Planilla!B30="c"), VLOOKUP(E30,EX:FJ,13,0)="C"), "OK",IF(AND(OR(Planilla!B30="C",Planilla!B30="c"), OR(VLOOKUP(E30,EX:FJ,13,0)="B", VLOOKUP(E30,EX:FJ,13,0)="A")), "DEFICIT",IF(
AND(OR(Planilla!B30="B", Planilla!B30="BPAL"), VLOOKUP(E30,EX:FJ,13,0)="B"), "OK",IF(AND(OR(Planilla!B30="B", Planilla!B30="BPAL"), VLOOKUP(E30,EX:FJ,13,0)="A"), "DEFICIT",IF(AND(OR(Planilla!B30="B", Planilla!B30="BPAL"), VLOOKUP(E30,EX:FJ,13,0)="C"), "SOBREOFERTA",IF(AND(Planilla!B30="A", VLOOKUP(E30,EX:FJ,13,0)="A"), "OK",IF(
AND(Planilla!B30="A", OR(VLOOKUP(E30,EX:FJ,13,0)="B", VLOOKUP(E30,EX:FJ,13,0)="C")), "SOBREOFERTA",""
))))))),"")</f>
        <v/>
      </c>
      <c r="E30" s="12"/>
      <c r="F30" s="13"/>
      <c r="G30" s="14"/>
      <c r="H30" s="81" t="str">
        <f t="shared" si="17"/>
        <v/>
      </c>
      <c r="I30" s="7"/>
      <c r="J30" s="6" t="e">
        <f t="shared" si="18"/>
        <v>#N/A</v>
      </c>
      <c r="K30" s="6" t="str">
        <f>IF(A31&lt;&gt;A30,AVERAGEIF(A$9:A30,A30,J$9:J30),"")</f>
        <v/>
      </c>
      <c r="L30" s="7" t="str">
        <f>IFERROR(IF(A31&lt;&gt;A30,AVERAGEIF(A$9:A30,A30,S$9:S30),""),"")</f>
        <v/>
      </c>
      <c r="M30" s="7" t="str">
        <f>IFERROR(IF(A31&lt;&gt;A30,AVERAGEIF(A$9:A30,A30,T$9:T30),""),"")</f>
        <v/>
      </c>
      <c r="N30" s="7" t="str" cm="1">
        <f t="array" ref="N30">IFERROR(IF(A31&lt;&gt;A30,_xlfn.STDEV.P(IF(A$9:A30=A30,T$9:T30)),""),"")</f>
        <v/>
      </c>
      <c r="O30" s="7" t="str" cm="1">
        <f t="array" ref="O30">IFERROR(IF(A31&lt;&gt;A30,_xlfn.STDEV.P(IF(A$9:A30=A30,S$9:S30)),""),"")</f>
        <v/>
      </c>
      <c r="P30" s="8" t="str">
        <f t="shared" si="19"/>
        <v/>
      </c>
      <c r="Q30" s="8" t="str">
        <f t="shared" si="20"/>
        <v/>
      </c>
      <c r="R30" s="8" t="str">
        <f t="shared" si="21"/>
        <v/>
      </c>
      <c r="S30" s="9" t="str">
        <f t="shared" si="22"/>
        <v/>
      </c>
      <c r="T30" s="9" t="str">
        <f t="shared" si="23"/>
        <v/>
      </c>
      <c r="U30" s="14">
        <v>0.28333333333333333</v>
      </c>
      <c r="V30" s="15"/>
      <c r="W30" s="14" t="str">
        <f t="shared" si="38"/>
        <v/>
      </c>
      <c r="X30" s="15"/>
      <c r="Y30" s="2"/>
      <c r="AB30" s="22">
        <f t="shared" si="24"/>
        <v>1</v>
      </c>
      <c r="AC30" s="11"/>
      <c r="AD30" s="11"/>
      <c r="AE30" s="13"/>
      <c r="AF30" s="12"/>
      <c r="AG30" s="13"/>
      <c r="AH30" s="14"/>
      <c r="AI30" s="81" t="str">
        <f t="shared" si="25"/>
        <v/>
      </c>
      <c r="AJ30" s="15"/>
      <c r="AK30" s="6" t="e">
        <f t="shared" si="26"/>
        <v>#N/A</v>
      </c>
      <c r="AL30" s="6" t="str">
        <f>IF(AB31&lt;&gt;AB30,AVERAGEIF(AB$9:AB30,AB30,AK$9:AK30),"")</f>
        <v/>
      </c>
      <c r="AM30" s="7" t="str">
        <f>IFERROR(IF(AB31&lt;&gt;AB30,AVERAGEIF(AB$9:AB30,AB30,AT$9:AT30),""),"")</f>
        <v/>
      </c>
      <c r="AN30" s="7" t="str">
        <f>IFERROR(IF(AB31&lt;&gt;AB30,AVERAGEIF(AB$9:AB30,AB30,AU$9:AU30),""),"")</f>
        <v/>
      </c>
      <c r="AO30" s="7" t="str" cm="1">
        <f t="array" ref="AO30">IFERROR(IF(AB31&lt;&gt;AB30,_xlfn.STDEV.P(IF(AB$9:AB30=AB30,AU$9:AU30)),""),"")</f>
        <v/>
      </c>
      <c r="AP30" s="7" t="str" cm="1">
        <f t="array" ref="AP30">IFERROR(IF(AB31&lt;&gt;AB30,_xlfn.STDEV.P(IF(AB$9:AB30=AB30,AT$9:AT30)),""),"")</f>
        <v/>
      </c>
      <c r="AQ30" s="8" t="str">
        <f t="shared" si="27"/>
        <v/>
      </c>
      <c r="AR30" s="8" t="str">
        <f t="shared" si="28"/>
        <v/>
      </c>
      <c r="AS30" s="8" t="str">
        <f t="shared" si="29"/>
        <v/>
      </c>
      <c r="AT30" s="9" t="str">
        <f t="shared" si="30"/>
        <v/>
      </c>
      <c r="AU30" s="9" t="str">
        <f t="shared" si="31"/>
        <v/>
      </c>
      <c r="AV30" s="14"/>
      <c r="AW30" s="15"/>
      <c r="AX30" s="14" t="str">
        <f t="shared" si="32"/>
        <v/>
      </c>
      <c r="AY30" s="15"/>
      <c r="AZ30" s="23"/>
      <c r="BC30" s="12">
        <v>18</v>
      </c>
      <c r="BD30" s="12">
        <f t="shared" si="9"/>
        <v>0</v>
      </c>
      <c r="BE30" s="12">
        <f t="shared" si="10"/>
        <v>0</v>
      </c>
      <c r="BF30" s="73" t="str">
        <f t="shared" si="33"/>
        <v/>
      </c>
      <c r="BG30" s="77" t="str">
        <f t="shared" si="39"/>
        <v>0</v>
      </c>
      <c r="BH30" s="74" t="str">
        <f t="shared" si="34"/>
        <v>0</v>
      </c>
      <c r="BI30" s="10" t="str">
        <f t="shared" si="35"/>
        <v/>
      </c>
      <c r="BL30" s="12">
        <v>18</v>
      </c>
      <c r="BM30" s="12">
        <f t="shared" si="12"/>
        <v>0</v>
      </c>
      <c r="BN30" s="12">
        <f t="shared" si="13"/>
        <v>0</v>
      </c>
      <c r="BO30" s="73" t="str">
        <f t="shared" si="36"/>
        <v/>
      </c>
      <c r="BP30" s="12" t="str">
        <f t="shared" si="14"/>
        <v>0</v>
      </c>
      <c r="BQ30" s="74" t="str">
        <f t="shared" si="15"/>
        <v>0</v>
      </c>
      <c r="BR30" s="10" t="str">
        <f t="shared" si="37"/>
        <v/>
      </c>
      <c r="EW30" t="s">
        <v>46</v>
      </c>
      <c r="EX30" s="33">
        <v>1027</v>
      </c>
      <c r="EY30" s="33" t="s">
        <v>127</v>
      </c>
      <c r="EZ30" s="33" t="s">
        <v>128</v>
      </c>
      <c r="FA30" s="33" t="s">
        <v>51</v>
      </c>
      <c r="FB30" s="33" t="s">
        <v>52</v>
      </c>
      <c r="FC30" s="33" t="s">
        <v>53</v>
      </c>
      <c r="FD30" s="33" t="s">
        <v>54</v>
      </c>
      <c r="FE30" s="33">
        <v>2019</v>
      </c>
      <c r="FF30" s="33" t="s">
        <v>55</v>
      </c>
      <c r="FG30" s="33" t="s">
        <v>56</v>
      </c>
      <c r="FH30" s="33" t="s">
        <v>57</v>
      </c>
      <c r="FI30" s="33" t="s">
        <v>58</v>
      </c>
      <c r="FJ30" t="s">
        <v>59</v>
      </c>
      <c r="FM30" s="32" t="s">
        <v>120</v>
      </c>
      <c r="FN30" t="s">
        <v>121</v>
      </c>
      <c r="FO30" t="s">
        <v>122</v>
      </c>
      <c r="FP30" t="str">
        <f t="shared" si="0"/>
        <v>B</v>
      </c>
      <c r="FT30" s="69" t="s">
        <v>7390</v>
      </c>
      <c r="FU30" s="60">
        <v>0</v>
      </c>
      <c r="FV30" s="60">
        <v>0</v>
      </c>
      <c r="FW30" s="60">
        <v>0</v>
      </c>
      <c r="FX30" s="60">
        <v>0</v>
      </c>
      <c r="FY30" s="60">
        <v>0</v>
      </c>
      <c r="FZ30" s="60">
        <v>8.42</v>
      </c>
      <c r="GA30" s="60">
        <v>14.68</v>
      </c>
      <c r="GB30" s="60">
        <v>13.504999999999999</v>
      </c>
      <c r="GC30" s="60">
        <v>14.504999999999999</v>
      </c>
      <c r="GD30" s="60">
        <v>15.18</v>
      </c>
      <c r="GE30" s="60">
        <v>14.885</v>
      </c>
      <c r="GF30" s="60">
        <v>14.41</v>
      </c>
      <c r="GG30" s="60">
        <v>14.24</v>
      </c>
      <c r="GH30" s="60">
        <v>14.649999999999999</v>
      </c>
      <c r="GI30" s="60">
        <v>14.555</v>
      </c>
      <c r="GJ30" s="60">
        <v>14.030000000000001</v>
      </c>
      <c r="GK30" s="60">
        <v>13.07</v>
      </c>
      <c r="GL30" s="60">
        <v>12.885</v>
      </c>
      <c r="GM30" s="60">
        <v>14.365</v>
      </c>
      <c r="GN30" s="60">
        <v>16.175000000000001</v>
      </c>
      <c r="GO30" s="60">
        <v>17.535</v>
      </c>
      <c r="GP30" s="60">
        <v>19.54</v>
      </c>
      <c r="GQ30" s="60">
        <v>21.274999999999999</v>
      </c>
      <c r="GR30" s="60">
        <v>0</v>
      </c>
      <c r="GU30" s="53">
        <v>27</v>
      </c>
      <c r="GV30" s="53">
        <v>24</v>
      </c>
      <c r="GY30" t="s">
        <v>7454</v>
      </c>
      <c r="GZ30" s="64" t="s">
        <v>7447</v>
      </c>
      <c r="HA30" s="64" t="s">
        <v>7447</v>
      </c>
      <c r="HB30" s="32">
        <v>48</v>
      </c>
      <c r="HF30" t="s">
        <v>7418</v>
      </c>
      <c r="HG30" s="64" t="s">
        <v>7447</v>
      </c>
      <c r="HH30" s="44" t="s">
        <v>7443</v>
      </c>
      <c r="HI30" s="32">
        <v>925</v>
      </c>
    </row>
    <row r="31" spans="1:217" ht="15.5" x14ac:dyDescent="0.35">
      <c r="A31" s="95">
        <f t="shared" si="16"/>
        <v>1</v>
      </c>
      <c r="B31" s="11"/>
      <c r="C31" s="11"/>
      <c r="D31" s="92" t="str">
        <f>IFERROR(
IF(AND(OR(Planilla!B31="C",Planilla!B31="c"), VLOOKUP(E31,EX:FJ,13,0)="C"), "OK",IF(AND(OR(Planilla!B31="C",Planilla!B31="c"), OR(VLOOKUP(E31,EX:FJ,13,0)="B", VLOOKUP(E31,EX:FJ,13,0)="A")), "DEFICIT",IF(
AND(OR(Planilla!B31="B", Planilla!B31="BPAL"), VLOOKUP(E31,EX:FJ,13,0)="B"), "OK",IF(AND(OR(Planilla!B31="B", Planilla!B31="BPAL"), VLOOKUP(E31,EX:FJ,13,0)="A"), "DEFICIT",IF(AND(OR(Planilla!B31="B", Planilla!B31="BPAL"), VLOOKUP(E31,EX:FJ,13,0)="C"), "SOBREOFERTA",IF(AND(Planilla!B31="A", VLOOKUP(E31,EX:FJ,13,0)="A"), "OK",IF(
AND(Planilla!B31="A", OR(VLOOKUP(E31,EX:FJ,13,0)="B", VLOOKUP(E31,EX:FJ,13,0)="C")), "SOBREOFERTA",""
))))))),"")</f>
        <v/>
      </c>
      <c r="E31" s="12"/>
      <c r="F31" s="13"/>
      <c r="G31" s="14"/>
      <c r="H31" s="81" t="str">
        <f t="shared" si="17"/>
        <v/>
      </c>
      <c r="I31" s="7"/>
      <c r="J31" s="6" t="e">
        <f t="shared" si="18"/>
        <v>#N/A</v>
      </c>
      <c r="K31" s="6" t="str">
        <f>IF(A32&lt;&gt;A31,AVERAGEIF(A$9:A31,A31,J$9:J31),"")</f>
        <v/>
      </c>
      <c r="L31" s="7" t="str">
        <f>IFERROR(IF(A32&lt;&gt;A31,AVERAGEIF(A$9:A31,A31,S$9:S31),""),"")</f>
        <v/>
      </c>
      <c r="M31" s="7" t="str">
        <f>IFERROR(IF(A32&lt;&gt;A31,AVERAGEIF(A$9:A31,A31,T$9:T31),""),"")</f>
        <v/>
      </c>
      <c r="N31" s="7" t="str" cm="1">
        <f t="array" ref="N31">IFERROR(IF(A32&lt;&gt;A31,_xlfn.STDEV.P(IF(A$9:A31=A31,T$9:T31)),""),"")</f>
        <v/>
      </c>
      <c r="O31" s="7" t="str" cm="1">
        <f t="array" ref="O31">IFERROR(IF(A32&lt;&gt;A31,_xlfn.STDEV.P(IF(A$9:A31=A31,S$9:S31)),""),"")</f>
        <v/>
      </c>
      <c r="P31" s="8" t="str">
        <f t="shared" si="19"/>
        <v/>
      </c>
      <c r="Q31" s="8" t="str">
        <f t="shared" si="20"/>
        <v/>
      </c>
      <c r="R31" s="8" t="str">
        <f t="shared" si="21"/>
        <v/>
      </c>
      <c r="S31" s="9" t="str">
        <f t="shared" si="22"/>
        <v/>
      </c>
      <c r="T31" s="9" t="str">
        <f t="shared" si="23"/>
        <v/>
      </c>
      <c r="U31" s="14">
        <v>0.28680555555555554</v>
      </c>
      <c r="V31" s="15"/>
      <c r="W31" s="14" t="str">
        <f t="shared" si="38"/>
        <v/>
      </c>
      <c r="X31" s="15"/>
      <c r="Y31" s="2"/>
      <c r="AB31" s="22">
        <f t="shared" si="24"/>
        <v>1</v>
      </c>
      <c r="AC31" s="11"/>
      <c r="AD31" s="11"/>
      <c r="AE31" s="13"/>
      <c r="AF31" s="12"/>
      <c r="AG31" s="13"/>
      <c r="AH31" s="14"/>
      <c r="AI31" s="81" t="str">
        <f t="shared" si="25"/>
        <v/>
      </c>
      <c r="AJ31" s="15"/>
      <c r="AK31" s="6" t="e">
        <f t="shared" si="26"/>
        <v>#N/A</v>
      </c>
      <c r="AL31" s="6" t="str">
        <f>IF(AB32&lt;&gt;AB31,AVERAGEIF(AB$9:AB31,AB31,AK$9:AK31),"")</f>
        <v/>
      </c>
      <c r="AM31" s="7" t="str">
        <f>IFERROR(IF(AB32&lt;&gt;AB31,AVERAGEIF(AB$9:AB31,AB31,AT$9:AT31),""),"")</f>
        <v/>
      </c>
      <c r="AN31" s="7" t="str">
        <f>IFERROR(IF(AB32&lt;&gt;AB31,AVERAGEIF(AB$9:AB31,AB31,AU$9:AU31),""),"")</f>
        <v/>
      </c>
      <c r="AO31" s="7" t="str" cm="1">
        <f t="array" ref="AO31">IFERROR(IF(AB32&lt;&gt;AB31,_xlfn.STDEV.P(IF(AB$9:AB31=AB31,AU$9:AU31)),""),"")</f>
        <v/>
      </c>
      <c r="AP31" s="7" t="str" cm="1">
        <f t="array" ref="AP31">IFERROR(IF(AB32&lt;&gt;AB31,_xlfn.STDEV.P(IF(AB$9:AB31=AB31,AT$9:AT31)),""),"")</f>
        <v/>
      </c>
      <c r="AQ31" s="8" t="str">
        <f t="shared" si="27"/>
        <v/>
      </c>
      <c r="AR31" s="8" t="str">
        <f t="shared" si="28"/>
        <v/>
      </c>
      <c r="AS31" s="8" t="str">
        <f t="shared" si="29"/>
        <v/>
      </c>
      <c r="AT31" s="9" t="str">
        <f t="shared" si="30"/>
        <v/>
      </c>
      <c r="AU31" s="9" t="str">
        <f t="shared" si="31"/>
        <v/>
      </c>
      <c r="AV31" s="14"/>
      <c r="AW31" s="15"/>
      <c r="AX31" s="14" t="str">
        <f t="shared" si="32"/>
        <v/>
      </c>
      <c r="AY31" s="15"/>
      <c r="AZ31" s="23"/>
      <c r="BC31" s="12">
        <v>19</v>
      </c>
      <c r="BD31" s="12">
        <f t="shared" si="9"/>
        <v>0</v>
      </c>
      <c r="BE31" s="12">
        <f t="shared" si="10"/>
        <v>0</v>
      </c>
      <c r="BF31" s="73" t="str">
        <f t="shared" si="33"/>
        <v/>
      </c>
      <c r="BG31" s="77" t="str">
        <f t="shared" si="39"/>
        <v>0</v>
      </c>
      <c r="BH31" s="74" t="str">
        <f t="shared" si="34"/>
        <v>0</v>
      </c>
      <c r="BI31" s="10" t="str">
        <f t="shared" si="35"/>
        <v/>
      </c>
      <c r="BL31" s="12">
        <v>19</v>
      </c>
      <c r="BM31" s="12">
        <f t="shared" si="12"/>
        <v>0</v>
      </c>
      <c r="BN31" s="12">
        <f t="shared" si="13"/>
        <v>0</v>
      </c>
      <c r="BO31" s="73" t="str">
        <f t="shared" si="36"/>
        <v/>
      </c>
      <c r="BP31" s="12" t="str">
        <f t="shared" si="14"/>
        <v>0</v>
      </c>
      <c r="BQ31" s="74" t="str">
        <f t="shared" si="15"/>
        <v>0</v>
      </c>
      <c r="BR31" s="10" t="str">
        <f t="shared" si="37"/>
        <v/>
      </c>
      <c r="EW31" t="s">
        <v>46</v>
      </c>
      <c r="EX31" s="33" t="s">
        <v>47</v>
      </c>
      <c r="EY31" s="33" t="s">
        <v>129</v>
      </c>
      <c r="EZ31" s="33" t="s">
        <v>130</v>
      </c>
      <c r="FA31" s="33" t="s">
        <v>51</v>
      </c>
      <c r="FB31" s="33" t="s">
        <v>52</v>
      </c>
      <c r="FC31" s="33" t="s">
        <v>53</v>
      </c>
      <c r="FD31" s="33" t="s">
        <v>54</v>
      </c>
      <c r="FE31" s="33">
        <v>2019</v>
      </c>
      <c r="FF31" s="33" t="s">
        <v>55</v>
      </c>
      <c r="FG31" s="33" t="s">
        <v>56</v>
      </c>
      <c r="FH31" s="33" t="s">
        <v>57</v>
      </c>
      <c r="FI31" s="33" t="s">
        <v>58</v>
      </c>
      <c r="FJ31" t="s">
        <v>59</v>
      </c>
      <c r="FM31" s="32" t="s">
        <v>120</v>
      </c>
      <c r="FN31" t="s">
        <v>121</v>
      </c>
      <c r="FO31" t="s">
        <v>122</v>
      </c>
      <c r="FP31" t="str">
        <f t="shared" si="0"/>
        <v>B</v>
      </c>
      <c r="FT31" s="69" t="s">
        <v>7411</v>
      </c>
      <c r="FU31" s="60">
        <v>0</v>
      </c>
      <c r="FV31" s="60">
        <v>0</v>
      </c>
      <c r="FW31" s="60">
        <v>0</v>
      </c>
      <c r="FX31" s="60">
        <v>0</v>
      </c>
      <c r="FY31" s="60">
        <v>0</v>
      </c>
      <c r="FZ31" s="60">
        <v>24.68</v>
      </c>
      <c r="GA31" s="60">
        <v>18.954999999999998</v>
      </c>
      <c r="GB31" s="60">
        <v>13.84</v>
      </c>
      <c r="GC31" s="60">
        <v>15.39</v>
      </c>
      <c r="GD31" s="60">
        <v>16.61</v>
      </c>
      <c r="GE31" s="60">
        <v>17.034999999999997</v>
      </c>
      <c r="GF31" s="60">
        <v>16.835000000000001</v>
      </c>
      <c r="GG31" s="60">
        <v>16.45</v>
      </c>
      <c r="GH31" s="60">
        <v>16.125</v>
      </c>
      <c r="GI31" s="60">
        <v>15.79</v>
      </c>
      <c r="GJ31" s="60">
        <v>15.615</v>
      </c>
      <c r="GK31" s="60">
        <v>15.41</v>
      </c>
      <c r="GL31" s="60">
        <v>15.515000000000001</v>
      </c>
      <c r="GM31" s="60">
        <v>16.07</v>
      </c>
      <c r="GN31" s="60">
        <v>17.365000000000002</v>
      </c>
      <c r="GO31" s="60">
        <v>19.574999999999999</v>
      </c>
      <c r="GP31" s="60">
        <v>21.48</v>
      </c>
      <c r="GQ31" s="60">
        <v>23.475000000000001</v>
      </c>
      <c r="GR31" s="60">
        <v>24.195</v>
      </c>
      <c r="GU31" s="53">
        <v>28</v>
      </c>
      <c r="GV31" s="53">
        <v>25</v>
      </c>
      <c r="GY31" t="s">
        <v>7454</v>
      </c>
      <c r="GZ31" s="64" t="s">
        <v>7448</v>
      </c>
      <c r="HA31" s="64" t="s">
        <v>7448</v>
      </c>
      <c r="HB31" s="32">
        <v>50</v>
      </c>
      <c r="HF31" t="s">
        <v>7418</v>
      </c>
      <c r="HG31" s="64" t="s">
        <v>7448</v>
      </c>
      <c r="HH31" s="44" t="s">
        <v>7443</v>
      </c>
      <c r="HI31" s="32">
        <v>926</v>
      </c>
    </row>
    <row r="32" spans="1:217" ht="15.5" x14ac:dyDescent="0.35">
      <c r="A32" s="95">
        <f t="shared" si="16"/>
        <v>1</v>
      </c>
      <c r="B32" s="11"/>
      <c r="C32" s="11"/>
      <c r="D32" s="92" t="str">
        <f>IFERROR(
IF(AND(OR(Planilla!B32="C",Planilla!B32="c"), VLOOKUP(E32,EX:FJ,13,0)="C"), "OK",IF(AND(OR(Planilla!B32="C",Planilla!B32="c"), OR(VLOOKUP(E32,EX:FJ,13,0)="B", VLOOKUP(E32,EX:FJ,13,0)="A")), "DEFICIT",IF(
AND(OR(Planilla!B32="B", Planilla!B32="BPAL"), VLOOKUP(E32,EX:FJ,13,0)="B"), "OK",IF(AND(OR(Planilla!B32="B", Planilla!B32="BPAL"), VLOOKUP(E32,EX:FJ,13,0)="A"), "DEFICIT",IF(AND(OR(Planilla!B32="B", Planilla!B32="BPAL"), VLOOKUP(E32,EX:FJ,13,0)="C"), "SOBREOFERTA",IF(AND(Planilla!B32="A", VLOOKUP(E32,EX:FJ,13,0)="A"), "OK",IF(
AND(Planilla!B32="A", OR(VLOOKUP(E32,EX:FJ,13,0)="B", VLOOKUP(E32,EX:FJ,13,0)="C")), "SOBREOFERTA",""
))))))),"")</f>
        <v/>
      </c>
      <c r="E32" s="12"/>
      <c r="F32" s="13"/>
      <c r="G32" s="14"/>
      <c r="H32" s="81" t="str">
        <f t="shared" si="17"/>
        <v/>
      </c>
      <c r="I32" s="7"/>
      <c r="J32" s="6" t="e">
        <f t="shared" si="18"/>
        <v>#N/A</v>
      </c>
      <c r="K32" s="6" t="str">
        <f>IF(A33&lt;&gt;A32,AVERAGEIF(A$9:A32,A32,J$9:J32),"")</f>
        <v/>
      </c>
      <c r="L32" s="7" t="str">
        <f>IFERROR(IF(A33&lt;&gt;A32,AVERAGEIF(A$9:A32,A32,S$9:S32),""),"")</f>
        <v/>
      </c>
      <c r="M32" s="7" t="str">
        <f>IFERROR(IF(A33&lt;&gt;A32,AVERAGEIF(A$9:A32,A32,T$9:T32),""),"")</f>
        <v/>
      </c>
      <c r="N32" s="7" t="str" cm="1">
        <f t="array" ref="N32">IFERROR(IF(A33&lt;&gt;A32,_xlfn.STDEV.P(IF(A$9:A32=A32,T$9:T32)),""),"")</f>
        <v/>
      </c>
      <c r="O32" s="7" t="str" cm="1">
        <f t="array" ref="O32">IFERROR(IF(A33&lt;&gt;A32,_xlfn.STDEV.P(IF(A$9:A32=A32,S$9:S32)),""),"")</f>
        <v/>
      </c>
      <c r="P32" s="8" t="str">
        <f t="shared" si="19"/>
        <v/>
      </c>
      <c r="Q32" s="8" t="str">
        <f t="shared" si="20"/>
        <v/>
      </c>
      <c r="R32" s="8" t="str">
        <f t="shared" si="21"/>
        <v/>
      </c>
      <c r="S32" s="9" t="str">
        <f t="shared" si="22"/>
        <v/>
      </c>
      <c r="T32" s="9" t="str">
        <f t="shared" si="23"/>
        <v/>
      </c>
      <c r="U32" s="14">
        <v>0.29375000000000001</v>
      </c>
      <c r="V32" s="15"/>
      <c r="W32" s="14" t="str">
        <f t="shared" si="38"/>
        <v/>
      </c>
      <c r="X32" s="15"/>
      <c r="Y32" s="2"/>
      <c r="AB32" s="22">
        <f t="shared" si="24"/>
        <v>1</v>
      </c>
      <c r="AC32" s="11"/>
      <c r="AD32" s="11"/>
      <c r="AE32" s="13"/>
      <c r="AF32" s="12"/>
      <c r="AG32" s="13"/>
      <c r="AH32" s="14"/>
      <c r="AI32" s="81" t="str">
        <f t="shared" si="25"/>
        <v/>
      </c>
      <c r="AJ32" s="15"/>
      <c r="AK32" s="6" t="e">
        <f t="shared" si="26"/>
        <v>#N/A</v>
      </c>
      <c r="AL32" s="6" t="str">
        <f>IF(AB33&lt;&gt;AB32,AVERAGEIF(AB$9:AB32,AB32,AK$9:AK32),"")</f>
        <v/>
      </c>
      <c r="AM32" s="7" t="str">
        <f>IFERROR(IF(AB33&lt;&gt;AB32,AVERAGEIF(AB$9:AB32,AB32,AT$9:AT32),""),"")</f>
        <v/>
      </c>
      <c r="AN32" s="7" t="str">
        <f>IFERROR(IF(AB33&lt;&gt;AB32,AVERAGEIF(AB$9:AB32,AB32,AU$9:AU32),""),"")</f>
        <v/>
      </c>
      <c r="AO32" s="7" t="str" cm="1">
        <f t="array" ref="AO32">IFERROR(IF(AB33&lt;&gt;AB32,_xlfn.STDEV.P(IF(AB$9:AB32=AB32,AU$9:AU32)),""),"")</f>
        <v/>
      </c>
      <c r="AP32" s="7" t="str" cm="1">
        <f t="array" ref="AP32">IFERROR(IF(AB33&lt;&gt;AB32,_xlfn.STDEV.P(IF(AB$9:AB32=AB32,AT$9:AT32)),""),"")</f>
        <v/>
      </c>
      <c r="AQ32" s="8" t="str">
        <f t="shared" si="27"/>
        <v/>
      </c>
      <c r="AR32" s="8" t="str">
        <f t="shared" si="28"/>
        <v/>
      </c>
      <c r="AS32" s="8" t="str">
        <f t="shared" si="29"/>
        <v/>
      </c>
      <c r="AT32" s="9" t="str">
        <f t="shared" si="30"/>
        <v/>
      </c>
      <c r="AU32" s="9" t="str">
        <f t="shared" si="31"/>
        <v/>
      </c>
      <c r="AV32" s="14"/>
      <c r="AW32" s="15"/>
      <c r="AX32" s="14" t="str">
        <f t="shared" si="32"/>
        <v/>
      </c>
      <c r="AY32" s="15"/>
      <c r="AZ32" s="23"/>
      <c r="BC32" s="12">
        <v>20</v>
      </c>
      <c r="BD32" s="12">
        <f t="shared" si="9"/>
        <v>0</v>
      </c>
      <c r="BE32" s="12">
        <f t="shared" si="10"/>
        <v>0</v>
      </c>
      <c r="BF32" s="73" t="str">
        <f t="shared" si="33"/>
        <v/>
      </c>
      <c r="BG32" s="77" t="str">
        <f t="shared" si="39"/>
        <v>0</v>
      </c>
      <c r="BH32" s="74" t="str">
        <f t="shared" si="34"/>
        <v>0</v>
      </c>
      <c r="BI32" s="10" t="str">
        <f t="shared" si="35"/>
        <v/>
      </c>
      <c r="BL32" s="12">
        <v>20</v>
      </c>
      <c r="BM32" s="12">
        <f t="shared" si="12"/>
        <v>0</v>
      </c>
      <c r="BN32" s="12">
        <f t="shared" si="13"/>
        <v>0</v>
      </c>
      <c r="BO32" s="73" t="str">
        <f t="shared" si="36"/>
        <v/>
      </c>
      <c r="BP32" s="12" t="str">
        <f t="shared" si="14"/>
        <v>0</v>
      </c>
      <c r="BQ32" s="74" t="str">
        <f t="shared" si="15"/>
        <v>0</v>
      </c>
      <c r="BR32" s="10" t="str">
        <f t="shared" si="37"/>
        <v/>
      </c>
      <c r="EW32" t="s">
        <v>46</v>
      </c>
      <c r="EX32" s="33">
        <v>1029</v>
      </c>
      <c r="EY32" s="33" t="s">
        <v>131</v>
      </c>
      <c r="EZ32" s="33" t="s">
        <v>132</v>
      </c>
      <c r="FA32" s="33" t="s">
        <v>51</v>
      </c>
      <c r="FB32" s="33" t="s">
        <v>52</v>
      </c>
      <c r="FC32" s="33" t="s">
        <v>53</v>
      </c>
      <c r="FD32" s="33" t="s">
        <v>54</v>
      </c>
      <c r="FE32" s="33">
        <v>2019</v>
      </c>
      <c r="FF32" s="33" t="s">
        <v>55</v>
      </c>
      <c r="FG32" s="33" t="s">
        <v>56</v>
      </c>
      <c r="FH32" s="33" t="s">
        <v>57</v>
      </c>
      <c r="FI32" s="33" t="s">
        <v>58</v>
      </c>
      <c r="FJ32" t="s">
        <v>59</v>
      </c>
      <c r="FM32" s="32" t="s">
        <v>133</v>
      </c>
      <c r="FN32" t="s">
        <v>134</v>
      </c>
      <c r="FO32" t="s">
        <v>135</v>
      </c>
      <c r="FP32" t="str">
        <f t="shared" si="0"/>
        <v>B</v>
      </c>
      <c r="FT32" s="69" t="s">
        <v>7412</v>
      </c>
      <c r="FU32" s="60">
        <v>0</v>
      </c>
      <c r="FV32" s="60">
        <v>0</v>
      </c>
      <c r="FW32" s="60">
        <v>0</v>
      </c>
      <c r="FX32" s="60">
        <v>0</v>
      </c>
      <c r="FY32" s="60">
        <v>26.96</v>
      </c>
      <c r="FZ32" s="60">
        <v>21.89</v>
      </c>
      <c r="GA32" s="60">
        <v>16.5</v>
      </c>
      <c r="GB32" s="60">
        <v>13.85</v>
      </c>
      <c r="GC32" s="60">
        <v>14.625</v>
      </c>
      <c r="GD32" s="60">
        <v>15.375</v>
      </c>
      <c r="GE32" s="60">
        <v>15.5</v>
      </c>
      <c r="GF32" s="60">
        <v>15.085000000000001</v>
      </c>
      <c r="GG32" s="60">
        <v>14.66</v>
      </c>
      <c r="GH32" s="60">
        <v>14.635</v>
      </c>
      <c r="GI32" s="60">
        <v>14.7</v>
      </c>
      <c r="GJ32" s="60">
        <v>14.245000000000001</v>
      </c>
      <c r="GK32" s="60">
        <v>13.445</v>
      </c>
      <c r="GL32" s="60">
        <v>12.969999999999999</v>
      </c>
      <c r="GM32" s="60">
        <v>13.95</v>
      </c>
      <c r="GN32" s="60">
        <v>16.335000000000001</v>
      </c>
      <c r="GO32" s="60">
        <v>18.695</v>
      </c>
      <c r="GP32" s="60">
        <v>20.244999999999997</v>
      </c>
      <c r="GQ32" s="60">
        <v>21.805</v>
      </c>
      <c r="GR32" s="60">
        <v>24.145</v>
      </c>
      <c r="GU32" s="53">
        <v>29</v>
      </c>
      <c r="GV32" s="53">
        <v>26</v>
      </c>
      <c r="GY32" t="s">
        <v>7454</v>
      </c>
      <c r="GZ32" s="64" t="s">
        <v>7449</v>
      </c>
      <c r="HA32" s="64" t="s">
        <v>7449</v>
      </c>
      <c r="HB32" s="32">
        <v>52</v>
      </c>
      <c r="HF32" t="s">
        <v>7418</v>
      </c>
      <c r="HG32" s="64" t="s">
        <v>7449</v>
      </c>
      <c r="HH32" s="44" t="s">
        <v>7443</v>
      </c>
      <c r="HI32" s="32">
        <v>929</v>
      </c>
    </row>
    <row r="33" spans="1:217" ht="15.5" x14ac:dyDescent="0.35">
      <c r="A33" s="95">
        <f t="shared" si="16"/>
        <v>1</v>
      </c>
      <c r="B33" s="11"/>
      <c r="C33" s="11"/>
      <c r="D33" s="92" t="str">
        <f>IFERROR(
IF(AND(OR(Planilla!B33="C",Planilla!B33="c"), VLOOKUP(E33,EX:FJ,13,0)="C"), "OK",IF(AND(OR(Planilla!B33="C",Planilla!B33="c"), OR(VLOOKUP(E33,EX:FJ,13,0)="B", VLOOKUP(E33,EX:FJ,13,0)="A")), "DEFICIT",IF(
AND(OR(Planilla!B33="B", Planilla!B33="BPAL"), VLOOKUP(E33,EX:FJ,13,0)="B"), "OK",IF(AND(OR(Planilla!B33="B", Planilla!B33="BPAL"), VLOOKUP(E33,EX:FJ,13,0)="A"), "DEFICIT",IF(AND(OR(Planilla!B33="B", Planilla!B33="BPAL"), VLOOKUP(E33,EX:FJ,13,0)="C"), "SOBREOFERTA",IF(AND(Planilla!B33="A", VLOOKUP(E33,EX:FJ,13,0)="A"), "OK",IF(
AND(Planilla!B33="A", OR(VLOOKUP(E33,EX:FJ,13,0)="B", VLOOKUP(E33,EX:FJ,13,0)="C")), "SOBREOFERTA",""
))))))),"")</f>
        <v/>
      </c>
      <c r="E33" s="12"/>
      <c r="F33" s="13"/>
      <c r="G33" s="14"/>
      <c r="H33" s="81" t="str">
        <f t="shared" si="17"/>
        <v/>
      </c>
      <c r="I33" s="7"/>
      <c r="J33" s="6" t="e">
        <f t="shared" si="18"/>
        <v>#N/A</v>
      </c>
      <c r="K33" s="6" t="str">
        <f>IF(A34&lt;&gt;A33,AVERAGEIF(A$9:A33,A33,J$9:J33),"")</f>
        <v/>
      </c>
      <c r="L33" s="7" t="str">
        <f>IFERROR(IF(A34&lt;&gt;A33,AVERAGEIF(A$9:A33,A33,S$9:S33),""),"")</f>
        <v/>
      </c>
      <c r="M33" s="7" t="str">
        <f>IFERROR(IF(A34&lt;&gt;A33,AVERAGEIF(A$9:A33,A33,T$9:T33),""),"")</f>
        <v/>
      </c>
      <c r="N33" s="7" t="str" cm="1">
        <f t="array" ref="N33">IFERROR(IF(A34&lt;&gt;A33,_xlfn.STDEV.P(IF(A$9:A33=A33,T$9:T33)),""),"")</f>
        <v/>
      </c>
      <c r="O33" s="7" t="str" cm="1">
        <f t="array" ref="O33">IFERROR(IF(A34&lt;&gt;A33,_xlfn.STDEV.P(IF(A$9:A33=A33,S$9:S33)),""),"")</f>
        <v/>
      </c>
      <c r="P33" s="8" t="str">
        <f t="shared" si="19"/>
        <v/>
      </c>
      <c r="Q33" s="8" t="str">
        <f t="shared" si="20"/>
        <v/>
      </c>
      <c r="R33" s="8" t="str">
        <f t="shared" si="21"/>
        <v/>
      </c>
      <c r="S33" s="9" t="str">
        <f t="shared" si="22"/>
        <v/>
      </c>
      <c r="T33" s="9" t="str">
        <f t="shared" si="23"/>
        <v/>
      </c>
      <c r="U33" s="14">
        <v>0.30069444444444443</v>
      </c>
      <c r="V33" s="15"/>
      <c r="W33" s="14" t="str">
        <f t="shared" si="38"/>
        <v/>
      </c>
      <c r="X33" s="15"/>
      <c r="Y33" s="2"/>
      <c r="AB33" s="22">
        <f t="shared" si="24"/>
        <v>1</v>
      </c>
      <c r="AC33" s="11"/>
      <c r="AD33" s="11"/>
      <c r="AE33" s="13"/>
      <c r="AF33" s="12"/>
      <c r="AG33" s="13"/>
      <c r="AH33" s="14"/>
      <c r="AI33" s="81" t="str">
        <f t="shared" si="25"/>
        <v/>
      </c>
      <c r="AJ33" s="15"/>
      <c r="AK33" s="6" t="e">
        <f t="shared" si="26"/>
        <v>#N/A</v>
      </c>
      <c r="AL33" s="6" t="str">
        <f>IF(AB34&lt;&gt;AB33,AVERAGEIF(AB$9:AB33,AB33,AK$9:AK33),"")</f>
        <v/>
      </c>
      <c r="AM33" s="7" t="str">
        <f>IFERROR(IF(AB34&lt;&gt;AB33,AVERAGEIF(AB$9:AB33,AB33,AT$9:AT33),""),"")</f>
        <v/>
      </c>
      <c r="AN33" s="7" t="str">
        <f>IFERROR(IF(AB34&lt;&gt;AB33,AVERAGEIF(AB$9:AB33,AB33,AU$9:AU33),""),"")</f>
        <v/>
      </c>
      <c r="AO33" s="7" t="str" cm="1">
        <f t="array" ref="AO33">IFERROR(IF(AB34&lt;&gt;AB33,_xlfn.STDEV.P(IF(AB$9:AB33=AB33,AU$9:AU33)),""),"")</f>
        <v/>
      </c>
      <c r="AP33" s="7" t="str" cm="1">
        <f t="array" ref="AP33">IFERROR(IF(AB34&lt;&gt;AB33,_xlfn.STDEV.P(IF(AB$9:AB33=AB33,AT$9:AT33)),""),"")</f>
        <v/>
      </c>
      <c r="AQ33" s="8" t="str">
        <f t="shared" si="27"/>
        <v/>
      </c>
      <c r="AR33" s="8" t="str">
        <f t="shared" si="28"/>
        <v/>
      </c>
      <c r="AS33" s="8" t="str">
        <f t="shared" si="29"/>
        <v/>
      </c>
      <c r="AT33" s="9" t="str">
        <f t="shared" si="30"/>
        <v/>
      </c>
      <c r="AU33" s="9" t="str">
        <f t="shared" si="31"/>
        <v/>
      </c>
      <c r="AV33" s="14"/>
      <c r="AW33" s="15"/>
      <c r="AX33" s="14" t="str">
        <f t="shared" si="32"/>
        <v/>
      </c>
      <c r="AY33" s="15"/>
      <c r="AZ33" s="23"/>
      <c r="BC33" s="12">
        <v>21</v>
      </c>
      <c r="BD33" s="12">
        <f t="shared" si="9"/>
        <v>0</v>
      </c>
      <c r="BE33" s="12">
        <f t="shared" si="10"/>
        <v>0</v>
      </c>
      <c r="BF33" s="73" t="str">
        <f t="shared" si="33"/>
        <v/>
      </c>
      <c r="BG33" s="77" t="str">
        <f t="shared" si="39"/>
        <v>0</v>
      </c>
      <c r="BH33" s="74" t="str">
        <f t="shared" si="34"/>
        <v>0</v>
      </c>
      <c r="BI33" s="10" t="str">
        <f t="shared" si="35"/>
        <v/>
      </c>
      <c r="BL33" s="12">
        <v>21</v>
      </c>
      <c r="BM33" s="12">
        <f t="shared" si="12"/>
        <v>0</v>
      </c>
      <c r="BN33" s="12">
        <f t="shared" si="13"/>
        <v>0</v>
      </c>
      <c r="BO33" s="73" t="str">
        <f t="shared" si="36"/>
        <v/>
      </c>
      <c r="BP33" s="12" t="str">
        <f t="shared" si="14"/>
        <v>0</v>
      </c>
      <c r="BQ33" s="74" t="str">
        <f t="shared" si="15"/>
        <v>0</v>
      </c>
      <c r="BR33" s="10" t="str">
        <f t="shared" si="37"/>
        <v/>
      </c>
      <c r="EW33" t="s">
        <v>46</v>
      </c>
      <c r="EX33" s="33">
        <v>1030</v>
      </c>
      <c r="EY33" s="33" t="s">
        <v>136</v>
      </c>
      <c r="EZ33" s="33" t="s">
        <v>137</v>
      </c>
      <c r="FA33" s="33" t="s">
        <v>51</v>
      </c>
      <c r="FB33" s="33" t="s">
        <v>52</v>
      </c>
      <c r="FC33" s="33" t="s">
        <v>53</v>
      </c>
      <c r="FD33" s="33" t="s">
        <v>54</v>
      </c>
      <c r="FE33" s="33">
        <v>2019</v>
      </c>
      <c r="FF33" s="33" t="s">
        <v>55</v>
      </c>
      <c r="FG33" s="33" t="s">
        <v>56</v>
      </c>
      <c r="FH33" s="33" t="s">
        <v>57</v>
      </c>
      <c r="FI33" s="33" t="s">
        <v>58</v>
      </c>
      <c r="FJ33" t="s">
        <v>59</v>
      </c>
      <c r="FM33" s="32" t="s">
        <v>133</v>
      </c>
      <c r="FN33" t="s">
        <v>134</v>
      </c>
      <c r="FO33" t="s">
        <v>135</v>
      </c>
      <c r="FP33" t="str">
        <f t="shared" si="0"/>
        <v>B</v>
      </c>
      <c r="FT33" s="69" t="s">
        <v>7415</v>
      </c>
      <c r="FU33" s="60">
        <v>0</v>
      </c>
      <c r="FV33" s="60">
        <v>0</v>
      </c>
      <c r="FW33" s="60">
        <v>0</v>
      </c>
      <c r="FX33" s="60">
        <v>0</v>
      </c>
      <c r="FY33" s="60">
        <v>0</v>
      </c>
      <c r="FZ33" s="60">
        <v>12.58</v>
      </c>
      <c r="GA33" s="60">
        <v>20.03</v>
      </c>
      <c r="GB33" s="60">
        <v>17.86</v>
      </c>
      <c r="GC33" s="60">
        <v>21.28</v>
      </c>
      <c r="GD33" s="60">
        <v>23.914999999999999</v>
      </c>
      <c r="GE33" s="60">
        <v>24.295000000000002</v>
      </c>
      <c r="GF33" s="60">
        <v>24.33</v>
      </c>
      <c r="GG33" s="60">
        <v>24.31</v>
      </c>
      <c r="GH33" s="60">
        <v>24.125</v>
      </c>
      <c r="GI33" s="60">
        <v>24.314999999999998</v>
      </c>
      <c r="GJ33" s="60">
        <v>23.335000000000001</v>
      </c>
      <c r="GK33" s="60">
        <v>19.745000000000001</v>
      </c>
      <c r="GL33" s="60">
        <v>15.08</v>
      </c>
      <c r="GM33" s="60">
        <v>17.465</v>
      </c>
      <c r="GN33" s="60">
        <v>23.745000000000001</v>
      </c>
      <c r="GO33" s="60">
        <v>27.27</v>
      </c>
      <c r="GP33" s="60">
        <v>29.185000000000002</v>
      </c>
      <c r="GQ33" s="60">
        <v>28.615000000000002</v>
      </c>
      <c r="GR33" s="60">
        <v>0</v>
      </c>
      <c r="GU33" s="53">
        <v>30</v>
      </c>
      <c r="GV33" s="53">
        <v>27</v>
      </c>
      <c r="GY33" t="s">
        <v>7454</v>
      </c>
      <c r="GZ33" s="64" t="s">
        <v>7432</v>
      </c>
      <c r="HA33" s="64" t="s">
        <v>7432</v>
      </c>
      <c r="HB33" s="32">
        <v>55</v>
      </c>
      <c r="HF33" t="s">
        <v>7418</v>
      </c>
      <c r="HG33" s="64" t="s">
        <v>7432</v>
      </c>
      <c r="HH33" s="44" t="s">
        <v>7427</v>
      </c>
      <c r="HI33" s="32">
        <v>932</v>
      </c>
    </row>
    <row r="34" spans="1:217" ht="15.5" x14ac:dyDescent="0.35">
      <c r="A34" s="95">
        <f t="shared" si="16"/>
        <v>1</v>
      </c>
      <c r="B34" s="11"/>
      <c r="C34" s="11"/>
      <c r="D34" s="92" t="str">
        <f>IFERROR(
IF(AND(OR(Planilla!B34="C",Planilla!B34="c"), VLOOKUP(E34,EX:FJ,13,0)="C"), "OK",IF(AND(OR(Planilla!B34="C",Planilla!B34="c"), OR(VLOOKUP(E34,EX:FJ,13,0)="B", VLOOKUP(E34,EX:FJ,13,0)="A")), "DEFICIT",IF(
AND(OR(Planilla!B34="B", Planilla!B34="BPAL"), VLOOKUP(E34,EX:FJ,13,0)="B"), "OK",IF(AND(OR(Planilla!B34="B", Planilla!B34="BPAL"), VLOOKUP(E34,EX:FJ,13,0)="A"), "DEFICIT",IF(AND(OR(Planilla!B34="B", Planilla!B34="BPAL"), VLOOKUP(E34,EX:FJ,13,0)="C"), "SOBREOFERTA",IF(AND(Planilla!B34="A", VLOOKUP(E34,EX:FJ,13,0)="A"), "OK",IF(
AND(Planilla!B34="A", OR(VLOOKUP(E34,EX:FJ,13,0)="B", VLOOKUP(E34,EX:FJ,13,0)="C")), "SOBREOFERTA",""
))))))),"")</f>
        <v/>
      </c>
      <c r="E34" s="12"/>
      <c r="F34" s="13"/>
      <c r="G34" s="14"/>
      <c r="H34" s="81" t="str">
        <f t="shared" si="17"/>
        <v/>
      </c>
      <c r="I34" s="7"/>
      <c r="J34" s="6" t="e">
        <f t="shared" si="18"/>
        <v>#N/A</v>
      </c>
      <c r="K34" s="6" t="str">
        <f>IF(A35&lt;&gt;A34,AVERAGEIF(A$9:A34,A34,J$9:J34),"")</f>
        <v/>
      </c>
      <c r="L34" s="7" t="str">
        <f>IFERROR(IF(A35&lt;&gt;A34,AVERAGEIF(A$9:A34,A34,S$9:S34),""),"")</f>
        <v/>
      </c>
      <c r="M34" s="7" t="str">
        <f>IFERROR(IF(A35&lt;&gt;A34,AVERAGEIF(A$9:A34,A34,T$9:T34),""),"")</f>
        <v/>
      </c>
      <c r="N34" s="7" t="str" cm="1">
        <f t="array" ref="N34">IFERROR(IF(A35&lt;&gt;A34,_xlfn.STDEV.P(IF(A$9:A34=A34,T$9:T34)),""),"")</f>
        <v/>
      </c>
      <c r="O34" s="7" t="str" cm="1">
        <f t="array" ref="O34">IFERROR(IF(A35&lt;&gt;A34,_xlfn.STDEV.P(IF(A$9:A34=A34,S$9:S34)),""),"")</f>
        <v/>
      </c>
      <c r="P34" s="8" t="str">
        <f t="shared" si="19"/>
        <v/>
      </c>
      <c r="Q34" s="8" t="str">
        <f t="shared" si="20"/>
        <v/>
      </c>
      <c r="R34" s="8" t="str">
        <f t="shared" si="21"/>
        <v/>
      </c>
      <c r="S34" s="9" t="str">
        <f t="shared" si="22"/>
        <v/>
      </c>
      <c r="T34" s="9" t="str">
        <f t="shared" si="23"/>
        <v/>
      </c>
      <c r="U34" s="14">
        <v>0.30277777777777776</v>
      </c>
      <c r="V34" s="15"/>
      <c r="W34" s="14" t="str">
        <f t="shared" si="38"/>
        <v/>
      </c>
      <c r="X34" s="15"/>
      <c r="Y34" s="2"/>
      <c r="AB34" s="22">
        <f t="shared" si="24"/>
        <v>1</v>
      </c>
      <c r="AC34" s="11"/>
      <c r="AD34" s="11"/>
      <c r="AE34" s="13"/>
      <c r="AF34" s="12"/>
      <c r="AG34" s="13"/>
      <c r="AH34" s="14"/>
      <c r="AI34" s="81" t="str">
        <f t="shared" si="25"/>
        <v/>
      </c>
      <c r="AJ34" s="15"/>
      <c r="AK34" s="6" t="e">
        <f t="shared" si="26"/>
        <v>#N/A</v>
      </c>
      <c r="AL34" s="6" t="str">
        <f>IF(AB35&lt;&gt;AB34,AVERAGEIF(AB$9:AB34,AB34,AK$9:AK34),"")</f>
        <v/>
      </c>
      <c r="AM34" s="7" t="str">
        <f>IFERROR(IF(AB35&lt;&gt;AB34,AVERAGEIF(AB$9:AB34,AB34,AT$9:AT34),""),"")</f>
        <v/>
      </c>
      <c r="AN34" s="7" t="str">
        <f>IFERROR(IF(AB35&lt;&gt;AB34,AVERAGEIF(AB$9:AB34,AB34,AU$9:AU34),""),"")</f>
        <v/>
      </c>
      <c r="AO34" s="7" t="str" cm="1">
        <f t="array" ref="AO34">IFERROR(IF(AB35&lt;&gt;AB34,_xlfn.STDEV.P(IF(AB$9:AB34=AB34,AU$9:AU34)),""),"")</f>
        <v/>
      </c>
      <c r="AP34" s="7" t="str" cm="1">
        <f t="array" ref="AP34">IFERROR(IF(AB35&lt;&gt;AB34,_xlfn.STDEV.P(IF(AB$9:AB34=AB34,AT$9:AT34)),""),"")</f>
        <v/>
      </c>
      <c r="AQ34" s="8" t="str">
        <f t="shared" si="27"/>
        <v/>
      </c>
      <c r="AR34" s="8" t="str">
        <f t="shared" si="28"/>
        <v/>
      </c>
      <c r="AS34" s="8" t="str">
        <f t="shared" si="29"/>
        <v/>
      </c>
      <c r="AT34" s="9" t="str">
        <f t="shared" si="30"/>
        <v/>
      </c>
      <c r="AU34" s="9" t="str">
        <f t="shared" si="31"/>
        <v/>
      </c>
      <c r="AV34" s="14"/>
      <c r="AW34" s="15"/>
      <c r="AX34" s="14" t="str">
        <f t="shared" si="32"/>
        <v/>
      </c>
      <c r="AY34" s="15"/>
      <c r="AZ34" s="23"/>
      <c r="BC34" s="12">
        <v>22</v>
      </c>
      <c r="BD34" s="12">
        <f t="shared" si="9"/>
        <v>0</v>
      </c>
      <c r="BE34" s="12">
        <f t="shared" si="10"/>
        <v>0</v>
      </c>
      <c r="BF34" s="73" t="str">
        <f t="shared" si="33"/>
        <v/>
      </c>
      <c r="BG34" s="77" t="str">
        <f t="shared" si="39"/>
        <v>0</v>
      </c>
      <c r="BH34" s="74" t="str">
        <f t="shared" si="34"/>
        <v>0</v>
      </c>
      <c r="BI34" s="10" t="str">
        <f t="shared" si="35"/>
        <v/>
      </c>
      <c r="BL34" s="12">
        <v>22</v>
      </c>
      <c r="BM34" s="12">
        <f t="shared" si="12"/>
        <v>0</v>
      </c>
      <c r="BN34" s="12">
        <f t="shared" si="13"/>
        <v>0</v>
      </c>
      <c r="BO34" s="73" t="str">
        <f t="shared" si="36"/>
        <v/>
      </c>
      <c r="BP34" s="12" t="str">
        <f t="shared" si="14"/>
        <v>0</v>
      </c>
      <c r="BQ34" s="74" t="str">
        <f t="shared" si="15"/>
        <v>0</v>
      </c>
      <c r="BR34" s="10" t="str">
        <f t="shared" si="37"/>
        <v/>
      </c>
      <c r="EW34" t="s">
        <v>46</v>
      </c>
      <c r="EX34" s="33">
        <v>1031</v>
      </c>
      <c r="EY34" s="33" t="s">
        <v>138</v>
      </c>
      <c r="EZ34" s="33" t="s">
        <v>139</v>
      </c>
      <c r="FA34" s="33" t="s">
        <v>51</v>
      </c>
      <c r="FB34" s="33" t="s">
        <v>52</v>
      </c>
      <c r="FC34" s="33" t="s">
        <v>53</v>
      </c>
      <c r="FD34" s="33" t="s">
        <v>54</v>
      </c>
      <c r="FE34" s="33">
        <v>2019</v>
      </c>
      <c r="FF34" s="33" t="s">
        <v>55</v>
      </c>
      <c r="FG34" s="33" t="s">
        <v>56</v>
      </c>
      <c r="FH34" s="33" t="s">
        <v>57</v>
      </c>
      <c r="FI34" s="33" t="s">
        <v>58</v>
      </c>
      <c r="FJ34" t="s">
        <v>59</v>
      </c>
      <c r="FM34" s="32" t="s">
        <v>140</v>
      </c>
      <c r="FN34" t="s">
        <v>141</v>
      </c>
      <c r="FO34" t="s">
        <v>142</v>
      </c>
      <c r="FP34" t="str">
        <f t="shared" si="0"/>
        <v>B</v>
      </c>
      <c r="FT34" s="69" t="s">
        <v>7391</v>
      </c>
      <c r="FU34" s="60">
        <v>0</v>
      </c>
      <c r="FV34" s="60">
        <v>0</v>
      </c>
      <c r="FW34" s="60">
        <v>0</v>
      </c>
      <c r="FX34" s="60">
        <v>0</v>
      </c>
      <c r="FY34" s="60">
        <v>0</v>
      </c>
      <c r="FZ34" s="60">
        <v>9.0500000000000007</v>
      </c>
      <c r="GA34" s="60">
        <v>15.484999999999999</v>
      </c>
      <c r="GB34" s="60">
        <v>14.3</v>
      </c>
      <c r="GC34" s="60">
        <v>16.134999999999998</v>
      </c>
      <c r="GD34" s="60">
        <v>16.664999999999999</v>
      </c>
      <c r="GE34" s="60">
        <v>16.38</v>
      </c>
      <c r="GF34" s="60">
        <v>15.895</v>
      </c>
      <c r="GG34" s="60">
        <v>15.64</v>
      </c>
      <c r="GH34" s="60">
        <v>15.719999999999999</v>
      </c>
      <c r="GI34" s="60">
        <v>15.645</v>
      </c>
      <c r="GJ34" s="60">
        <v>15.309999999999999</v>
      </c>
      <c r="GK34" s="60">
        <v>14.510000000000002</v>
      </c>
      <c r="GL34" s="60">
        <v>13.965</v>
      </c>
      <c r="GM34" s="60">
        <v>15.335000000000001</v>
      </c>
      <c r="GN34" s="60">
        <v>17.59</v>
      </c>
      <c r="GO34" s="60">
        <v>18.88</v>
      </c>
      <c r="GP34" s="60">
        <v>20.27</v>
      </c>
      <c r="GQ34" s="60">
        <v>22.229999999999997</v>
      </c>
      <c r="GR34" s="60">
        <v>23.7</v>
      </c>
      <c r="GU34" s="53">
        <v>31</v>
      </c>
      <c r="GV34" s="53">
        <v>28</v>
      </c>
      <c r="GY34" t="s">
        <v>7454</v>
      </c>
      <c r="GZ34" s="64" t="s">
        <v>7425</v>
      </c>
      <c r="HA34" s="64" t="s">
        <v>7425</v>
      </c>
      <c r="HB34" s="32">
        <v>59</v>
      </c>
      <c r="HF34" t="s">
        <v>7418</v>
      </c>
      <c r="HG34" s="64" t="s">
        <v>7425</v>
      </c>
      <c r="HH34" s="44" t="s">
        <v>7420</v>
      </c>
      <c r="HI34" s="32">
        <v>933</v>
      </c>
    </row>
    <row r="35" spans="1:217" ht="15.5" x14ac:dyDescent="0.35">
      <c r="A35" s="95">
        <f t="shared" si="16"/>
        <v>1</v>
      </c>
      <c r="B35" s="11"/>
      <c r="C35" s="11"/>
      <c r="D35" s="92" t="str">
        <f>IFERROR(
IF(AND(OR(Planilla!B35="C",Planilla!B35="c"), VLOOKUP(E35,EX:FJ,13,0)="C"), "OK",IF(AND(OR(Planilla!B35="C",Planilla!B35="c"), OR(VLOOKUP(E35,EX:FJ,13,0)="B", VLOOKUP(E35,EX:FJ,13,0)="A")), "DEFICIT",IF(
AND(OR(Planilla!B35="B", Planilla!B35="BPAL"), VLOOKUP(E35,EX:FJ,13,0)="B"), "OK",IF(AND(OR(Planilla!B35="B", Planilla!B35="BPAL"), VLOOKUP(E35,EX:FJ,13,0)="A"), "DEFICIT",IF(AND(OR(Planilla!B35="B", Planilla!B35="BPAL"), VLOOKUP(E35,EX:FJ,13,0)="C"), "SOBREOFERTA",IF(AND(Planilla!B35="A", VLOOKUP(E35,EX:FJ,13,0)="A"), "OK",IF(
AND(Planilla!B35="A", OR(VLOOKUP(E35,EX:FJ,13,0)="B", VLOOKUP(E35,EX:FJ,13,0)="C")), "SOBREOFERTA",""
))))))),"")</f>
        <v/>
      </c>
      <c r="E35" s="12"/>
      <c r="F35" s="13"/>
      <c r="G35" s="14"/>
      <c r="H35" s="81" t="str">
        <f t="shared" si="17"/>
        <v/>
      </c>
      <c r="I35" s="7"/>
      <c r="J35" s="6" t="e">
        <f t="shared" si="18"/>
        <v>#N/A</v>
      </c>
      <c r="K35" s="6" t="str">
        <f>IF(A36&lt;&gt;A35,AVERAGEIF(A$9:A35,A35,J$9:J35),"")</f>
        <v/>
      </c>
      <c r="L35" s="7" t="str">
        <f>IFERROR(IF(A36&lt;&gt;A35,AVERAGEIF(A$9:A35,A35,S$9:S35),""),"")</f>
        <v/>
      </c>
      <c r="M35" s="7" t="str">
        <f>IFERROR(IF(A36&lt;&gt;A35,AVERAGEIF(A$9:A35,A35,T$9:T35),""),"")</f>
        <v/>
      </c>
      <c r="N35" s="7" t="str" cm="1">
        <f t="array" ref="N35">IFERROR(IF(A36&lt;&gt;A35,_xlfn.STDEV.P(IF(A$9:A35=A35,T$9:T35)),""),"")</f>
        <v/>
      </c>
      <c r="O35" s="7" t="str" cm="1">
        <f t="array" ref="O35">IFERROR(IF(A36&lt;&gt;A35,_xlfn.STDEV.P(IF(A$9:A35=A35,S$9:S35)),""),"")</f>
        <v/>
      </c>
      <c r="P35" s="8" t="str">
        <f t="shared" si="19"/>
        <v/>
      </c>
      <c r="Q35" s="8" t="str">
        <f t="shared" si="20"/>
        <v/>
      </c>
      <c r="R35" s="8" t="str">
        <f t="shared" si="21"/>
        <v/>
      </c>
      <c r="S35" s="9" t="str">
        <f t="shared" si="22"/>
        <v/>
      </c>
      <c r="T35" s="9" t="str">
        <f t="shared" si="23"/>
        <v/>
      </c>
      <c r="U35" s="14">
        <v>0.32361111111111113</v>
      </c>
      <c r="V35" s="15"/>
      <c r="W35" s="14" t="str">
        <f t="shared" si="38"/>
        <v/>
      </c>
      <c r="X35" s="15"/>
      <c r="Y35" s="2"/>
      <c r="AB35" s="22">
        <f t="shared" si="24"/>
        <v>1</v>
      </c>
      <c r="AC35" s="11"/>
      <c r="AD35" s="11"/>
      <c r="AE35" s="13"/>
      <c r="AF35" s="12"/>
      <c r="AG35" s="13"/>
      <c r="AH35" s="14"/>
      <c r="AI35" s="81" t="str">
        <f t="shared" si="25"/>
        <v/>
      </c>
      <c r="AJ35" s="15"/>
      <c r="AK35" s="6" t="e">
        <f t="shared" si="26"/>
        <v>#N/A</v>
      </c>
      <c r="AL35" s="6" t="str">
        <f>IF(AB36&lt;&gt;AB35,AVERAGEIF(AB$9:AB35,AB35,AK$9:AK35),"")</f>
        <v/>
      </c>
      <c r="AM35" s="7" t="str">
        <f>IFERROR(IF(AB36&lt;&gt;AB35,AVERAGEIF(AB$9:AB35,AB35,AT$9:AT35),""),"")</f>
        <v/>
      </c>
      <c r="AN35" s="7" t="str">
        <f>IFERROR(IF(AB36&lt;&gt;AB35,AVERAGEIF(AB$9:AB35,AB35,AU$9:AU35),""),"")</f>
        <v/>
      </c>
      <c r="AO35" s="7" t="str" cm="1">
        <f t="array" ref="AO35">IFERROR(IF(AB36&lt;&gt;AB35,_xlfn.STDEV.P(IF(AB$9:AB35=AB35,AU$9:AU35)),""),"")</f>
        <v/>
      </c>
      <c r="AP35" s="7" t="str" cm="1">
        <f t="array" ref="AP35">IFERROR(IF(AB36&lt;&gt;AB35,_xlfn.STDEV.P(IF(AB$9:AB35=AB35,AT$9:AT35)),""),"")</f>
        <v/>
      </c>
      <c r="AQ35" s="8" t="str">
        <f t="shared" si="27"/>
        <v/>
      </c>
      <c r="AR35" s="8" t="str">
        <f t="shared" si="28"/>
        <v/>
      </c>
      <c r="AS35" s="8" t="str">
        <f t="shared" si="29"/>
        <v/>
      </c>
      <c r="AT35" s="9" t="str">
        <f t="shared" si="30"/>
        <v/>
      </c>
      <c r="AU35" s="9" t="str">
        <f t="shared" si="31"/>
        <v/>
      </c>
      <c r="AV35" s="14"/>
      <c r="AW35" s="15"/>
      <c r="AX35" s="14" t="str">
        <f t="shared" si="32"/>
        <v/>
      </c>
      <c r="AY35" s="15"/>
      <c r="AZ35" s="23"/>
      <c r="BC35" s="12">
        <v>23</v>
      </c>
      <c r="BD35" s="12">
        <f t="shared" si="9"/>
        <v>0</v>
      </c>
      <c r="BE35" s="12">
        <f t="shared" si="10"/>
        <v>0</v>
      </c>
      <c r="BF35" s="73" t="str">
        <f t="shared" si="33"/>
        <v/>
      </c>
      <c r="BG35" s="12" t="str">
        <f t="shared" si="39"/>
        <v>0</v>
      </c>
      <c r="BH35" s="74" t="str">
        <f t="shared" si="34"/>
        <v>0</v>
      </c>
      <c r="BI35" s="10" t="str">
        <f t="shared" si="35"/>
        <v/>
      </c>
      <c r="BL35" s="12">
        <v>23</v>
      </c>
      <c r="BM35" s="12">
        <f t="shared" si="12"/>
        <v>0</v>
      </c>
      <c r="BN35" s="12">
        <f t="shared" si="13"/>
        <v>0</v>
      </c>
      <c r="BO35" s="73" t="str">
        <f t="shared" si="36"/>
        <v/>
      </c>
      <c r="BP35" s="12" t="str">
        <f t="shared" si="14"/>
        <v>0</v>
      </c>
      <c r="BQ35" s="74" t="str">
        <f t="shared" si="15"/>
        <v>0</v>
      </c>
      <c r="BR35" s="10" t="str">
        <f t="shared" si="37"/>
        <v/>
      </c>
      <c r="EW35" t="s">
        <v>46</v>
      </c>
      <c r="EX35" s="33">
        <v>1032</v>
      </c>
      <c r="EY35" s="33" t="s">
        <v>143</v>
      </c>
      <c r="EZ35" s="33" t="s">
        <v>144</v>
      </c>
      <c r="FA35" s="33" t="s">
        <v>51</v>
      </c>
      <c r="FB35" s="33" t="s">
        <v>52</v>
      </c>
      <c r="FC35" s="33" t="s">
        <v>53</v>
      </c>
      <c r="FD35" s="33" t="s">
        <v>54</v>
      </c>
      <c r="FE35" s="33">
        <v>2019</v>
      </c>
      <c r="FF35" s="33" t="s">
        <v>55</v>
      </c>
      <c r="FG35" s="33" t="s">
        <v>56</v>
      </c>
      <c r="FH35" s="33" t="s">
        <v>57</v>
      </c>
      <c r="FI35" s="33" t="s">
        <v>58</v>
      </c>
      <c r="FJ35" t="s">
        <v>59</v>
      </c>
      <c r="FM35" s="32" t="s">
        <v>140</v>
      </c>
      <c r="FN35" t="s">
        <v>141</v>
      </c>
      <c r="FO35" t="s">
        <v>142</v>
      </c>
      <c r="FP35" t="str">
        <f t="shared" si="0"/>
        <v>B</v>
      </c>
      <c r="FT35" s="69" t="s">
        <v>7399</v>
      </c>
      <c r="FU35" s="60">
        <v>0</v>
      </c>
      <c r="FV35" s="60">
        <v>0</v>
      </c>
      <c r="FW35" s="60">
        <v>0</v>
      </c>
      <c r="FX35" s="60">
        <v>0</v>
      </c>
      <c r="FY35" s="60">
        <v>0</v>
      </c>
      <c r="FZ35" s="60">
        <v>20.689999999999998</v>
      </c>
      <c r="GA35" s="60">
        <v>17.48</v>
      </c>
      <c r="GB35" s="60">
        <v>17.125</v>
      </c>
      <c r="GC35" s="60">
        <v>18.695</v>
      </c>
      <c r="GD35" s="60">
        <v>19.600000000000001</v>
      </c>
      <c r="GE35" s="60">
        <v>19.399999999999999</v>
      </c>
      <c r="GF35" s="60">
        <v>19.149999999999999</v>
      </c>
      <c r="GG35" s="60">
        <v>18.975000000000001</v>
      </c>
      <c r="GH35" s="60">
        <v>18.855</v>
      </c>
      <c r="GI35" s="60">
        <v>18.28</v>
      </c>
      <c r="GJ35" s="60">
        <v>17.71</v>
      </c>
      <c r="GK35" s="60">
        <v>16.515000000000001</v>
      </c>
      <c r="GL35" s="60">
        <v>16.125</v>
      </c>
      <c r="GM35" s="60">
        <v>17.954999999999998</v>
      </c>
      <c r="GN35" s="60">
        <v>19.895</v>
      </c>
      <c r="GO35" s="60">
        <v>21.43</v>
      </c>
      <c r="GP35" s="60">
        <v>23.074999999999999</v>
      </c>
      <c r="GQ35" s="60">
        <v>24.855</v>
      </c>
      <c r="GR35" s="60">
        <v>0</v>
      </c>
      <c r="GU35" s="53">
        <v>32</v>
      </c>
      <c r="GV35" s="53">
        <v>29</v>
      </c>
      <c r="GY35" t="s">
        <v>7454</v>
      </c>
      <c r="GZ35" s="64" t="s">
        <v>7435</v>
      </c>
      <c r="HA35" s="64" t="s">
        <v>7435</v>
      </c>
      <c r="HB35" s="32">
        <v>60</v>
      </c>
      <c r="HF35" t="s">
        <v>7418</v>
      </c>
      <c r="HG35" s="64" t="s">
        <v>7435</v>
      </c>
      <c r="HH35" s="44" t="s">
        <v>7427</v>
      </c>
      <c r="HI35" s="32">
        <v>935</v>
      </c>
    </row>
    <row r="36" spans="1:217" ht="15.5" x14ac:dyDescent="0.35">
      <c r="A36" s="95">
        <f t="shared" si="16"/>
        <v>1</v>
      </c>
      <c r="B36" s="11"/>
      <c r="C36" s="11"/>
      <c r="D36" s="92" t="str">
        <f>IFERROR(
IF(AND(OR(Planilla!B36="C",Planilla!B36="c"), VLOOKUP(E36,EX:FJ,13,0)="C"), "OK",IF(AND(OR(Planilla!B36="C",Planilla!B36="c"), OR(VLOOKUP(E36,EX:FJ,13,0)="B", VLOOKUP(E36,EX:FJ,13,0)="A")), "DEFICIT",IF(
AND(OR(Planilla!B36="B", Planilla!B36="BPAL"), VLOOKUP(E36,EX:FJ,13,0)="B"), "OK",IF(AND(OR(Planilla!B36="B", Planilla!B36="BPAL"), VLOOKUP(E36,EX:FJ,13,0)="A"), "DEFICIT",IF(AND(OR(Planilla!B36="B", Planilla!B36="BPAL"), VLOOKUP(E36,EX:FJ,13,0)="C"), "SOBREOFERTA",IF(AND(Planilla!B36="A", VLOOKUP(E36,EX:FJ,13,0)="A"), "OK",IF(
AND(Planilla!B36="A", OR(VLOOKUP(E36,EX:FJ,13,0)="B", VLOOKUP(E36,EX:FJ,13,0)="C")), "SOBREOFERTA",""
))))))),"")</f>
        <v/>
      </c>
      <c r="E36" s="12"/>
      <c r="F36" s="13"/>
      <c r="G36" s="14"/>
      <c r="H36" s="81" t="str">
        <f t="shared" si="17"/>
        <v/>
      </c>
      <c r="I36" s="7"/>
      <c r="J36" s="6" t="e">
        <f t="shared" si="18"/>
        <v>#N/A</v>
      </c>
      <c r="K36" s="6" t="str">
        <f>IF(A37&lt;&gt;A36,AVERAGEIF(A$9:A36,A36,J$9:J36),"")</f>
        <v/>
      </c>
      <c r="L36" s="7" t="str">
        <f>IFERROR(IF(A37&lt;&gt;A36,AVERAGEIF(A$9:A36,A36,S$9:S36),""),"")</f>
        <v/>
      </c>
      <c r="M36" s="7" t="str">
        <f>IFERROR(IF(A37&lt;&gt;A36,AVERAGEIF(A$9:A36,A36,T$9:T36),""),"")</f>
        <v/>
      </c>
      <c r="N36" s="7" t="str" cm="1">
        <f t="array" ref="N36">IFERROR(IF(A37&lt;&gt;A36,_xlfn.STDEV.P(IF(A$9:A36=A36,T$9:T36)),""),"")</f>
        <v/>
      </c>
      <c r="O36" s="7" t="str" cm="1">
        <f t="array" ref="O36">IFERROR(IF(A37&lt;&gt;A36,_xlfn.STDEV.P(IF(A$9:A36=A36,S$9:S36)),""),"")</f>
        <v/>
      </c>
      <c r="P36" s="8" t="str">
        <f t="shared" si="19"/>
        <v/>
      </c>
      <c r="Q36" s="8" t="str">
        <f t="shared" si="20"/>
        <v/>
      </c>
      <c r="R36" s="8" t="str">
        <f t="shared" si="21"/>
        <v/>
      </c>
      <c r="S36" s="9" t="str">
        <f t="shared" si="22"/>
        <v/>
      </c>
      <c r="T36" s="9" t="str">
        <f t="shared" si="23"/>
        <v/>
      </c>
      <c r="U36" s="14">
        <v>0.31736111111111109</v>
      </c>
      <c r="V36" s="15"/>
      <c r="W36" s="14" t="str">
        <f t="shared" si="38"/>
        <v/>
      </c>
      <c r="X36" s="15"/>
      <c r="Y36" s="2"/>
      <c r="AB36" s="22">
        <f t="shared" si="24"/>
        <v>1</v>
      </c>
      <c r="AC36" s="11"/>
      <c r="AD36" s="11"/>
      <c r="AE36" s="13"/>
      <c r="AF36" s="12"/>
      <c r="AG36" s="13"/>
      <c r="AH36" s="14"/>
      <c r="AI36" s="81" t="str">
        <f t="shared" si="25"/>
        <v/>
      </c>
      <c r="AJ36" s="15"/>
      <c r="AK36" s="6" t="e">
        <f t="shared" si="26"/>
        <v>#N/A</v>
      </c>
      <c r="AL36" s="6" t="str">
        <f>IF(AB37&lt;&gt;AB36,AVERAGEIF(AB$9:AB36,AB36,AK$9:AK36),"")</f>
        <v/>
      </c>
      <c r="AM36" s="7" t="str">
        <f>IFERROR(IF(AB37&lt;&gt;AB36,AVERAGEIF(AB$9:AB36,AB36,AT$9:AT36),""),"")</f>
        <v/>
      </c>
      <c r="AN36" s="7" t="str">
        <f>IFERROR(IF(AB37&lt;&gt;AB36,AVERAGEIF(AB$9:AB36,AB36,AU$9:AU36),""),"")</f>
        <v/>
      </c>
      <c r="AO36" s="7" t="str" cm="1">
        <f t="array" ref="AO36">IFERROR(IF(AB37&lt;&gt;AB36,_xlfn.STDEV.P(IF(AB$9:AB36=AB36,AU$9:AU36)),""),"")</f>
        <v/>
      </c>
      <c r="AP36" s="7" t="str" cm="1">
        <f t="array" ref="AP36">IFERROR(IF(AB37&lt;&gt;AB36,_xlfn.STDEV.P(IF(AB$9:AB36=AB36,AT$9:AT36)),""),"")</f>
        <v/>
      </c>
      <c r="AQ36" s="8" t="str">
        <f t="shared" si="27"/>
        <v/>
      </c>
      <c r="AR36" s="8" t="str">
        <f t="shared" si="28"/>
        <v/>
      </c>
      <c r="AS36" s="8" t="str">
        <f t="shared" si="29"/>
        <v/>
      </c>
      <c r="AT36" s="9" t="str">
        <f t="shared" si="30"/>
        <v/>
      </c>
      <c r="AU36" s="9" t="str">
        <f t="shared" si="31"/>
        <v/>
      </c>
      <c r="AV36" s="14"/>
      <c r="AW36" s="15"/>
      <c r="AX36" s="14" t="str">
        <f t="shared" si="32"/>
        <v/>
      </c>
      <c r="AY36" s="15"/>
      <c r="AZ36" s="23"/>
      <c r="BC36" s="12">
        <v>24</v>
      </c>
      <c r="BD36" s="12">
        <f t="shared" si="9"/>
        <v>0</v>
      </c>
      <c r="BE36" s="12">
        <f t="shared" si="10"/>
        <v>0</v>
      </c>
      <c r="BF36" s="73" t="str">
        <f t="shared" si="33"/>
        <v/>
      </c>
      <c r="BG36" s="12" t="str">
        <f t="shared" si="39"/>
        <v>0</v>
      </c>
      <c r="BH36" s="74" t="str">
        <f t="shared" si="34"/>
        <v>0</v>
      </c>
      <c r="BI36" s="10" t="str">
        <f t="shared" si="35"/>
        <v/>
      </c>
      <c r="BL36" s="12">
        <v>24</v>
      </c>
      <c r="BM36" s="12">
        <f t="shared" si="12"/>
        <v>0</v>
      </c>
      <c r="BN36" s="12">
        <f t="shared" si="13"/>
        <v>0</v>
      </c>
      <c r="BO36" s="73" t="str">
        <f t="shared" si="36"/>
        <v/>
      </c>
      <c r="BP36" s="12" t="str">
        <f t="shared" si="14"/>
        <v>0</v>
      </c>
      <c r="BQ36" s="74" t="str">
        <f t="shared" si="15"/>
        <v>0</v>
      </c>
      <c r="BR36" s="10" t="str">
        <f t="shared" si="37"/>
        <v/>
      </c>
      <c r="EW36" t="s">
        <v>46</v>
      </c>
      <c r="EX36" s="33">
        <v>1033</v>
      </c>
      <c r="EY36" s="33" t="s">
        <v>145</v>
      </c>
      <c r="EZ36" s="33" t="s">
        <v>146</v>
      </c>
      <c r="FA36" s="33" t="s">
        <v>51</v>
      </c>
      <c r="FB36" s="33" t="s">
        <v>52</v>
      </c>
      <c r="FC36" s="33" t="s">
        <v>53</v>
      </c>
      <c r="FD36" s="33" t="s">
        <v>54</v>
      </c>
      <c r="FE36" s="33">
        <v>2019</v>
      </c>
      <c r="FF36" s="33" t="s">
        <v>55</v>
      </c>
      <c r="FG36" s="33" t="s">
        <v>56</v>
      </c>
      <c r="FH36" s="33" t="s">
        <v>57</v>
      </c>
      <c r="FI36" s="33" t="s">
        <v>58</v>
      </c>
      <c r="FJ36" t="s">
        <v>59</v>
      </c>
      <c r="FM36" s="32" t="s">
        <v>140</v>
      </c>
      <c r="FN36" t="s">
        <v>141</v>
      </c>
      <c r="FO36" t="s">
        <v>142</v>
      </c>
      <c r="FP36" t="str">
        <f t="shared" si="0"/>
        <v>B</v>
      </c>
      <c r="FT36" s="69" t="s">
        <v>7400</v>
      </c>
      <c r="FU36" s="60">
        <v>25.005000000000003</v>
      </c>
      <c r="FV36" s="60">
        <v>24.945</v>
      </c>
      <c r="FW36" s="60">
        <v>25.08</v>
      </c>
      <c r="FX36" s="60">
        <v>24.93</v>
      </c>
      <c r="FY36" s="60">
        <v>23.704999999999998</v>
      </c>
      <c r="FZ36" s="60">
        <v>11.215</v>
      </c>
      <c r="GA36" s="60">
        <v>0</v>
      </c>
      <c r="GB36" s="60">
        <v>0</v>
      </c>
      <c r="GC36" s="60">
        <v>0</v>
      </c>
      <c r="GD36" s="60">
        <v>0</v>
      </c>
      <c r="GE36" s="60">
        <v>0</v>
      </c>
      <c r="GF36" s="60">
        <v>0</v>
      </c>
      <c r="GG36" s="60">
        <v>0</v>
      </c>
      <c r="GH36" s="60">
        <v>0</v>
      </c>
      <c r="GI36" s="60">
        <v>0</v>
      </c>
      <c r="GJ36" s="60">
        <v>0</v>
      </c>
      <c r="GK36" s="60">
        <v>0</v>
      </c>
      <c r="GL36" s="60">
        <v>0</v>
      </c>
      <c r="GM36" s="60">
        <v>0</v>
      </c>
      <c r="GN36" s="60">
        <v>0</v>
      </c>
      <c r="GO36" s="60">
        <v>0</v>
      </c>
      <c r="GP36" s="60">
        <v>0</v>
      </c>
      <c r="GQ36" s="60">
        <v>11.37</v>
      </c>
      <c r="GR36" s="60">
        <v>23.035</v>
      </c>
      <c r="GU36" s="53">
        <v>33</v>
      </c>
      <c r="GV36" s="53">
        <v>30</v>
      </c>
      <c r="GY36" t="s">
        <v>7454</v>
      </c>
      <c r="GZ36" s="64" t="s">
        <v>7436</v>
      </c>
      <c r="HA36" s="64" t="s">
        <v>7436</v>
      </c>
      <c r="HB36" s="32">
        <v>62</v>
      </c>
      <c r="HF36" t="s">
        <v>7418</v>
      </c>
      <c r="HG36" s="64" t="s">
        <v>7436</v>
      </c>
      <c r="HH36" s="44" t="s">
        <v>7427</v>
      </c>
      <c r="HI36" s="32">
        <v>938</v>
      </c>
    </row>
    <row r="37" spans="1:217" ht="15.5" x14ac:dyDescent="0.35">
      <c r="A37" s="95">
        <f t="shared" si="16"/>
        <v>1</v>
      </c>
      <c r="B37" s="11"/>
      <c r="C37" s="11"/>
      <c r="D37" s="92" t="str">
        <f>IFERROR(
IF(AND(OR(Planilla!B37="C",Planilla!B37="c"), VLOOKUP(E37,EX:FJ,13,0)="C"), "OK",IF(AND(OR(Planilla!B37="C",Planilla!B37="c"), OR(VLOOKUP(E37,EX:FJ,13,0)="B", VLOOKUP(E37,EX:FJ,13,0)="A")), "DEFICIT",IF(
AND(OR(Planilla!B37="B", Planilla!B37="BPAL"), VLOOKUP(E37,EX:FJ,13,0)="B"), "OK",IF(AND(OR(Planilla!B37="B", Planilla!B37="BPAL"), VLOOKUP(E37,EX:FJ,13,0)="A"), "DEFICIT",IF(AND(OR(Planilla!B37="B", Planilla!B37="BPAL"), VLOOKUP(E37,EX:FJ,13,0)="C"), "SOBREOFERTA",IF(AND(Planilla!B37="A", VLOOKUP(E37,EX:FJ,13,0)="A"), "OK",IF(
AND(Planilla!B37="A", OR(VLOOKUP(E37,EX:FJ,13,0)="B", VLOOKUP(E37,EX:FJ,13,0)="C")), "SOBREOFERTA",""
))))))),"")</f>
        <v/>
      </c>
      <c r="E37" s="12"/>
      <c r="F37" s="13"/>
      <c r="G37" s="14"/>
      <c r="H37" s="81" t="str">
        <f t="shared" si="17"/>
        <v/>
      </c>
      <c r="I37" s="7"/>
      <c r="J37" s="6" t="e">
        <f t="shared" si="18"/>
        <v>#N/A</v>
      </c>
      <c r="K37" s="6" t="str">
        <f>IF(A38&lt;&gt;A37,AVERAGEIF(A$9:A37,A37,J$9:J37),"")</f>
        <v/>
      </c>
      <c r="L37" s="7" t="str">
        <f>IFERROR(IF(A38&lt;&gt;A37,AVERAGEIF(A$9:A37,A37,S$9:S37),""),"")</f>
        <v/>
      </c>
      <c r="M37" s="7" t="str">
        <f>IFERROR(IF(A38&lt;&gt;A37,AVERAGEIF(A$9:A37,A37,T$9:T37),""),"")</f>
        <v/>
      </c>
      <c r="N37" s="7" t="str" cm="1">
        <f t="array" ref="N37">IFERROR(IF(A38&lt;&gt;A37,_xlfn.STDEV.P(IF(A$9:A37=A37,T$9:T37)),""),"")</f>
        <v/>
      </c>
      <c r="O37" s="7" t="str" cm="1">
        <f t="array" ref="O37">IFERROR(IF(A38&lt;&gt;A37,_xlfn.STDEV.P(IF(A$9:A37=A37,S$9:S37)),""),"")</f>
        <v/>
      </c>
      <c r="P37" s="8" t="str">
        <f t="shared" si="19"/>
        <v/>
      </c>
      <c r="Q37" s="8" t="str">
        <f t="shared" si="20"/>
        <v/>
      </c>
      <c r="R37" s="8" t="str">
        <f t="shared" si="21"/>
        <v/>
      </c>
      <c r="S37" s="9" t="str">
        <f t="shared" si="22"/>
        <v/>
      </c>
      <c r="T37" s="9" t="str">
        <f t="shared" si="23"/>
        <v/>
      </c>
      <c r="U37" s="14">
        <v>0.32708333333333334</v>
      </c>
      <c r="V37" s="15"/>
      <c r="W37" s="14" t="str">
        <f t="shared" si="38"/>
        <v/>
      </c>
      <c r="X37" s="15"/>
      <c r="Y37" s="2"/>
      <c r="AB37" s="22">
        <f t="shared" si="24"/>
        <v>1</v>
      </c>
      <c r="AC37" s="11"/>
      <c r="AD37" s="11"/>
      <c r="AE37" s="13"/>
      <c r="AF37" s="12"/>
      <c r="AG37" s="13"/>
      <c r="AH37" s="14"/>
      <c r="AI37" s="81" t="str">
        <f t="shared" si="25"/>
        <v/>
      </c>
      <c r="AJ37" s="15"/>
      <c r="AK37" s="6" t="e">
        <f t="shared" si="26"/>
        <v>#N/A</v>
      </c>
      <c r="AL37" s="6" t="str">
        <f>IF(AB38&lt;&gt;AB37,AVERAGEIF(AB$9:AB37,AB37,AK$9:AK37),"")</f>
        <v/>
      </c>
      <c r="AM37" s="7" t="str">
        <f>IFERROR(IF(AB38&lt;&gt;AB37,AVERAGEIF(AB$9:AB37,AB37,AT$9:AT37),""),"")</f>
        <v/>
      </c>
      <c r="AN37" s="7" t="str">
        <f>IFERROR(IF(AB38&lt;&gt;AB37,AVERAGEIF(AB$9:AB37,AB37,AU$9:AU37),""),"")</f>
        <v/>
      </c>
      <c r="AO37" s="7" t="str" cm="1">
        <f t="array" ref="AO37">IFERROR(IF(AB38&lt;&gt;AB37,_xlfn.STDEV.P(IF(AB$9:AB37=AB37,AU$9:AU37)),""),"")</f>
        <v/>
      </c>
      <c r="AP37" s="7" t="str" cm="1">
        <f t="array" ref="AP37">IFERROR(IF(AB38&lt;&gt;AB37,_xlfn.STDEV.P(IF(AB$9:AB37=AB37,AT$9:AT37)),""),"")</f>
        <v/>
      </c>
      <c r="AQ37" s="8" t="str">
        <f t="shared" si="27"/>
        <v/>
      </c>
      <c r="AR37" s="8" t="str">
        <f t="shared" si="28"/>
        <v/>
      </c>
      <c r="AS37" s="8" t="str">
        <f t="shared" si="29"/>
        <v/>
      </c>
      <c r="AT37" s="9" t="str">
        <f t="shared" si="30"/>
        <v/>
      </c>
      <c r="AU37" s="9" t="str">
        <f t="shared" si="31"/>
        <v/>
      </c>
      <c r="AV37" s="14"/>
      <c r="AW37" s="15"/>
      <c r="AX37" s="14" t="str">
        <f t="shared" si="32"/>
        <v/>
      </c>
      <c r="AY37" s="15"/>
      <c r="AZ37" s="23"/>
      <c r="EW37" t="s">
        <v>46</v>
      </c>
      <c r="EX37" s="33">
        <v>1034</v>
      </c>
      <c r="EY37" s="33" t="s">
        <v>147</v>
      </c>
      <c r="EZ37" s="33" t="s">
        <v>148</v>
      </c>
      <c r="FA37" s="33" t="s">
        <v>51</v>
      </c>
      <c r="FB37" s="33" t="s">
        <v>52</v>
      </c>
      <c r="FC37" s="33" t="s">
        <v>53</v>
      </c>
      <c r="FD37" s="33" t="s">
        <v>54</v>
      </c>
      <c r="FE37" s="33">
        <v>2019</v>
      </c>
      <c r="FF37" s="33" t="s">
        <v>55</v>
      </c>
      <c r="FG37" s="33" t="s">
        <v>56</v>
      </c>
      <c r="FH37" s="33" t="s">
        <v>57</v>
      </c>
      <c r="FI37" s="33" t="s">
        <v>58</v>
      </c>
      <c r="FJ37" t="s">
        <v>59</v>
      </c>
      <c r="FM37" s="32" t="s">
        <v>140</v>
      </c>
      <c r="FN37" t="s">
        <v>141</v>
      </c>
      <c r="FO37" t="s">
        <v>142</v>
      </c>
      <c r="FP37" t="str">
        <f t="shared" si="0"/>
        <v>B</v>
      </c>
      <c r="FT37" s="69" t="s">
        <v>7413</v>
      </c>
      <c r="FU37" s="60">
        <v>0</v>
      </c>
      <c r="FV37" s="60">
        <v>0</v>
      </c>
      <c r="FW37" s="60">
        <v>0</v>
      </c>
      <c r="FX37" s="60">
        <v>0</v>
      </c>
      <c r="FY37" s="60">
        <v>0</v>
      </c>
      <c r="FZ37" s="60">
        <v>10.685</v>
      </c>
      <c r="GA37" s="60">
        <v>16.86</v>
      </c>
      <c r="GB37" s="60">
        <v>12.385</v>
      </c>
      <c r="GC37" s="60">
        <v>15.665000000000001</v>
      </c>
      <c r="GD37" s="60">
        <v>17.700000000000003</v>
      </c>
      <c r="GE37" s="60">
        <v>17.755000000000003</v>
      </c>
      <c r="GF37" s="60">
        <v>17.5</v>
      </c>
      <c r="GG37" s="60">
        <v>16.399999999999999</v>
      </c>
      <c r="GH37" s="60">
        <v>16.579999999999998</v>
      </c>
      <c r="GI37" s="60">
        <v>16.88</v>
      </c>
      <c r="GJ37" s="60">
        <v>15.704999999999998</v>
      </c>
      <c r="GK37" s="60">
        <v>14.925000000000001</v>
      </c>
      <c r="GL37" s="60">
        <v>13.975</v>
      </c>
      <c r="GM37" s="60">
        <v>13.42</v>
      </c>
      <c r="GN37" s="60">
        <v>16.03</v>
      </c>
      <c r="GO37" s="60">
        <v>19.130000000000003</v>
      </c>
      <c r="GP37" s="60">
        <v>21.045000000000002</v>
      </c>
      <c r="GQ37" s="60">
        <v>22.674999999999997</v>
      </c>
      <c r="GR37" s="60">
        <v>12.13</v>
      </c>
      <c r="GU37" s="53">
        <v>34</v>
      </c>
      <c r="GV37" s="53">
        <v>31</v>
      </c>
      <c r="GY37" t="s">
        <v>7454</v>
      </c>
      <c r="GZ37" s="64" t="s">
        <v>7450</v>
      </c>
      <c r="HA37" s="64" t="s">
        <v>7450</v>
      </c>
      <c r="HB37" s="32">
        <v>64</v>
      </c>
      <c r="HF37" t="s">
        <v>7418</v>
      </c>
      <c r="HG37" s="64" t="s">
        <v>7450</v>
      </c>
      <c r="HH37" s="44" t="s">
        <v>7443</v>
      </c>
      <c r="HI37" s="32">
        <v>940</v>
      </c>
    </row>
    <row r="38" spans="1:217" ht="15.5" x14ac:dyDescent="0.35">
      <c r="A38" s="95">
        <f t="shared" si="16"/>
        <v>1</v>
      </c>
      <c r="B38" s="11"/>
      <c r="C38" s="11"/>
      <c r="D38" s="92" t="str">
        <f>IFERROR(
IF(AND(OR(Planilla!B38="C",Planilla!B38="c"), VLOOKUP(E38,EX:FJ,13,0)="C"), "OK",IF(AND(OR(Planilla!B38="C",Planilla!B38="c"), OR(VLOOKUP(E38,EX:FJ,13,0)="B", VLOOKUP(E38,EX:FJ,13,0)="A")), "DEFICIT",IF(
AND(OR(Planilla!B38="B", Planilla!B38="BPAL"), VLOOKUP(E38,EX:FJ,13,0)="B"), "OK",IF(AND(OR(Planilla!B38="B", Planilla!B38="BPAL"), VLOOKUP(E38,EX:FJ,13,0)="A"), "DEFICIT",IF(AND(OR(Planilla!B38="B", Planilla!B38="BPAL"), VLOOKUP(E38,EX:FJ,13,0)="C"), "SOBREOFERTA",IF(AND(Planilla!B38="A", VLOOKUP(E38,EX:FJ,13,0)="A"), "OK",IF(
AND(Planilla!B38="A", OR(VLOOKUP(E38,EX:FJ,13,0)="B", VLOOKUP(E38,EX:FJ,13,0)="C")), "SOBREOFERTA",""
))))))),"")</f>
        <v/>
      </c>
      <c r="E38" s="12"/>
      <c r="F38" s="13"/>
      <c r="G38" s="14"/>
      <c r="H38" s="81" t="str">
        <f t="shared" si="17"/>
        <v/>
      </c>
      <c r="I38" s="7"/>
      <c r="J38" s="6" t="e">
        <f t="shared" si="18"/>
        <v>#N/A</v>
      </c>
      <c r="K38" s="6" t="str">
        <f>IF(A39&lt;&gt;A38,AVERAGEIF(A$9:A38,A38,J$9:J38),"")</f>
        <v/>
      </c>
      <c r="L38" s="7" t="str">
        <f>IFERROR(IF(A39&lt;&gt;A38,AVERAGEIF(A$9:A38,A38,S$9:S38),""),"")</f>
        <v/>
      </c>
      <c r="M38" s="7" t="str">
        <f>IFERROR(IF(A39&lt;&gt;A38,AVERAGEIF(A$9:A38,A38,T$9:T38),""),"")</f>
        <v/>
      </c>
      <c r="N38" s="7" t="str" cm="1">
        <f t="array" ref="N38">IFERROR(IF(A39&lt;&gt;A38,_xlfn.STDEV.P(IF(A$9:A38=A38,T$9:T38)),""),"")</f>
        <v/>
      </c>
      <c r="O38" s="7" t="str" cm="1">
        <f t="array" ref="O38">IFERROR(IF(A39&lt;&gt;A38,_xlfn.STDEV.P(IF(A$9:A38=A38,S$9:S38)),""),"")</f>
        <v/>
      </c>
      <c r="P38" s="8" t="str">
        <f t="shared" si="19"/>
        <v/>
      </c>
      <c r="Q38" s="8" t="str">
        <f t="shared" si="20"/>
        <v/>
      </c>
      <c r="R38" s="8" t="str">
        <f t="shared" si="21"/>
        <v/>
      </c>
      <c r="S38" s="9" t="str">
        <f t="shared" si="22"/>
        <v/>
      </c>
      <c r="T38" s="9" t="str">
        <f t="shared" si="23"/>
        <v/>
      </c>
      <c r="U38" s="14">
        <v>0.33194444444444443</v>
      </c>
      <c r="V38" s="15"/>
      <c r="W38" s="14" t="str">
        <f t="shared" si="38"/>
        <v/>
      </c>
      <c r="X38" s="15"/>
      <c r="Y38" s="2"/>
      <c r="AB38" s="22">
        <f t="shared" si="24"/>
        <v>1</v>
      </c>
      <c r="AC38" s="11"/>
      <c r="AD38" s="11"/>
      <c r="AE38" s="13"/>
      <c r="AF38" s="12"/>
      <c r="AG38" s="13"/>
      <c r="AH38" s="14"/>
      <c r="AI38" s="81" t="str">
        <f t="shared" si="25"/>
        <v/>
      </c>
      <c r="AJ38" s="15"/>
      <c r="AK38" s="6" t="e">
        <f t="shared" si="26"/>
        <v>#N/A</v>
      </c>
      <c r="AL38" s="6" t="str">
        <f>IF(AB39&lt;&gt;AB38,AVERAGEIF(AB$9:AB38,AB38,AK$9:AK38),"")</f>
        <v/>
      </c>
      <c r="AM38" s="7" t="str">
        <f>IFERROR(IF(AB39&lt;&gt;AB38,AVERAGEIF(AB$9:AB38,AB38,AT$9:AT38),""),"")</f>
        <v/>
      </c>
      <c r="AN38" s="7" t="str">
        <f>IFERROR(IF(AB39&lt;&gt;AB38,AVERAGEIF(AB$9:AB38,AB38,AU$9:AU38),""),"")</f>
        <v/>
      </c>
      <c r="AO38" s="7" t="str" cm="1">
        <f t="array" ref="AO38">IFERROR(IF(AB39&lt;&gt;AB38,_xlfn.STDEV.P(IF(AB$9:AB38=AB38,AU$9:AU38)),""),"")</f>
        <v/>
      </c>
      <c r="AP38" s="7" t="str" cm="1">
        <f t="array" ref="AP38">IFERROR(IF(AB39&lt;&gt;AB38,_xlfn.STDEV.P(IF(AB$9:AB38=AB38,AT$9:AT38)),""),"")</f>
        <v/>
      </c>
      <c r="AQ38" s="8" t="str">
        <f t="shared" si="27"/>
        <v/>
      </c>
      <c r="AR38" s="8" t="str">
        <f t="shared" si="28"/>
        <v/>
      </c>
      <c r="AS38" s="8" t="str">
        <f t="shared" si="29"/>
        <v/>
      </c>
      <c r="AT38" s="9" t="str">
        <f t="shared" si="30"/>
        <v/>
      </c>
      <c r="AU38" s="9" t="str">
        <f t="shared" si="31"/>
        <v/>
      </c>
      <c r="AV38" s="14"/>
      <c r="AW38" s="15"/>
      <c r="AX38" s="14" t="str">
        <f t="shared" si="32"/>
        <v/>
      </c>
      <c r="AY38" s="15"/>
      <c r="AZ38" s="23"/>
      <c r="EW38" t="s">
        <v>46</v>
      </c>
      <c r="EX38" s="33">
        <v>1035</v>
      </c>
      <c r="EY38" s="33" t="s">
        <v>149</v>
      </c>
      <c r="EZ38" s="33" t="s">
        <v>150</v>
      </c>
      <c r="FA38" s="33" t="s">
        <v>51</v>
      </c>
      <c r="FB38" s="33" t="s">
        <v>52</v>
      </c>
      <c r="FC38" s="33" t="s">
        <v>53</v>
      </c>
      <c r="FD38" s="33" t="s">
        <v>54</v>
      </c>
      <c r="FE38" s="33">
        <v>2019</v>
      </c>
      <c r="FF38" s="33" t="s">
        <v>55</v>
      </c>
      <c r="FG38" s="33" t="s">
        <v>56</v>
      </c>
      <c r="FH38" s="33" t="s">
        <v>57</v>
      </c>
      <c r="FI38" s="33" t="s">
        <v>58</v>
      </c>
      <c r="FJ38" t="s">
        <v>59</v>
      </c>
      <c r="FM38" s="32" t="s">
        <v>151</v>
      </c>
      <c r="FN38" t="s">
        <v>152</v>
      </c>
      <c r="FO38" t="s">
        <v>153</v>
      </c>
      <c r="FP38" t="str">
        <f t="shared" si="0"/>
        <v>B</v>
      </c>
      <c r="FT38" s="69" t="s">
        <v>7414</v>
      </c>
      <c r="FU38" s="60">
        <v>0</v>
      </c>
      <c r="FV38" s="60">
        <v>0</v>
      </c>
      <c r="FW38" s="60">
        <v>0</v>
      </c>
      <c r="FX38" s="60">
        <v>0</v>
      </c>
      <c r="FY38" s="60">
        <v>0</v>
      </c>
      <c r="FZ38" s="60">
        <v>11.24</v>
      </c>
      <c r="GA38" s="60">
        <v>16.939999999999998</v>
      </c>
      <c r="GB38" s="60">
        <v>12.120000000000001</v>
      </c>
      <c r="GC38" s="60">
        <v>15.875</v>
      </c>
      <c r="GD38" s="60">
        <v>17.869999999999997</v>
      </c>
      <c r="GE38" s="60">
        <v>18.549999999999997</v>
      </c>
      <c r="GF38" s="60">
        <v>18.495000000000001</v>
      </c>
      <c r="GG38" s="60">
        <v>17.78</v>
      </c>
      <c r="GH38" s="60">
        <v>17.36</v>
      </c>
      <c r="GI38" s="60">
        <v>17.094999999999999</v>
      </c>
      <c r="GJ38" s="60">
        <v>15.614999999999998</v>
      </c>
      <c r="GK38" s="60">
        <v>14.02</v>
      </c>
      <c r="GL38" s="60">
        <v>12.489999999999998</v>
      </c>
      <c r="GM38" s="60">
        <v>13.34</v>
      </c>
      <c r="GN38" s="60">
        <v>16.164999999999999</v>
      </c>
      <c r="GO38" s="60">
        <v>19.185000000000002</v>
      </c>
      <c r="GP38" s="60">
        <v>20.695</v>
      </c>
      <c r="GQ38" s="60">
        <v>21.865000000000002</v>
      </c>
      <c r="GR38" s="60">
        <v>11.555</v>
      </c>
      <c r="GU38" s="53">
        <v>35</v>
      </c>
      <c r="GV38" s="53">
        <v>32</v>
      </c>
      <c r="GY38" t="s">
        <v>7454</v>
      </c>
      <c r="GZ38" s="64" t="s">
        <v>7437</v>
      </c>
      <c r="HA38" s="64" t="s">
        <v>7437</v>
      </c>
      <c r="HB38" s="32">
        <v>66</v>
      </c>
      <c r="HF38" t="s">
        <v>7418</v>
      </c>
      <c r="HG38" s="64" t="s">
        <v>7437</v>
      </c>
      <c r="HH38" s="44" t="s">
        <v>7427</v>
      </c>
      <c r="HI38" s="32">
        <v>945</v>
      </c>
    </row>
    <row r="39" spans="1:217" ht="15.5" x14ac:dyDescent="0.35">
      <c r="A39" s="95">
        <f t="shared" si="16"/>
        <v>1</v>
      </c>
      <c r="B39" s="11"/>
      <c r="C39" s="11"/>
      <c r="D39" s="92" t="str">
        <f>IFERROR(
IF(AND(OR(Planilla!B39="C",Planilla!B39="c"), VLOOKUP(E39,EX:FJ,13,0)="C"), "OK",IF(AND(OR(Planilla!B39="C",Planilla!B39="c"), OR(VLOOKUP(E39,EX:FJ,13,0)="B", VLOOKUP(E39,EX:FJ,13,0)="A")), "DEFICIT",IF(
AND(OR(Planilla!B39="B", Planilla!B39="BPAL"), VLOOKUP(E39,EX:FJ,13,0)="B"), "OK",IF(AND(OR(Planilla!B39="B", Planilla!B39="BPAL"), VLOOKUP(E39,EX:FJ,13,0)="A"), "DEFICIT",IF(AND(OR(Planilla!B39="B", Planilla!B39="BPAL"), VLOOKUP(E39,EX:FJ,13,0)="C"), "SOBREOFERTA",IF(AND(Planilla!B39="A", VLOOKUP(E39,EX:FJ,13,0)="A"), "OK",IF(
AND(Planilla!B39="A", OR(VLOOKUP(E39,EX:FJ,13,0)="B", VLOOKUP(E39,EX:FJ,13,0)="C")), "SOBREOFERTA",""
))))))),"")</f>
        <v/>
      </c>
      <c r="E39" s="12"/>
      <c r="F39" s="13"/>
      <c r="G39" s="14"/>
      <c r="H39" s="81" t="str">
        <f t="shared" si="17"/>
        <v/>
      </c>
      <c r="I39" s="7"/>
      <c r="J39" s="6" t="e">
        <f t="shared" si="18"/>
        <v>#N/A</v>
      </c>
      <c r="K39" s="6" t="str">
        <f>IF(A40&lt;&gt;A39,AVERAGEIF(A$9:A39,A39,J$9:J39),"")</f>
        <v/>
      </c>
      <c r="L39" s="7" t="str">
        <f>IFERROR(IF(A40&lt;&gt;A39,AVERAGEIF(A$9:A39,A39,S$9:S39),""),"")</f>
        <v/>
      </c>
      <c r="M39" s="7" t="str">
        <f>IFERROR(IF(A40&lt;&gt;A39,AVERAGEIF(A$9:A39,A39,T$9:T39),""),"")</f>
        <v/>
      </c>
      <c r="N39" s="7" t="str" cm="1">
        <f t="array" ref="N39">IFERROR(IF(A40&lt;&gt;A39,_xlfn.STDEV.P(IF(A$9:A39=A39,T$9:T39)),""),"")</f>
        <v/>
      </c>
      <c r="O39" s="7" t="str" cm="1">
        <f t="array" ref="O39">IFERROR(IF(A40&lt;&gt;A39,_xlfn.STDEV.P(IF(A$9:A39=A39,S$9:S39)),""),"")</f>
        <v/>
      </c>
      <c r="P39" s="8" t="str">
        <f t="shared" si="19"/>
        <v/>
      </c>
      <c r="Q39" s="8" t="str">
        <f t="shared" si="20"/>
        <v/>
      </c>
      <c r="R39" s="8" t="str">
        <f t="shared" si="21"/>
        <v/>
      </c>
      <c r="S39" s="9" t="str">
        <f t="shared" si="22"/>
        <v/>
      </c>
      <c r="T39" s="9" t="str">
        <f t="shared" si="23"/>
        <v/>
      </c>
      <c r="U39" s="14">
        <v>0.33750000000000002</v>
      </c>
      <c r="V39" s="15"/>
      <c r="W39" s="14" t="str">
        <f t="shared" si="38"/>
        <v/>
      </c>
      <c r="X39" s="15"/>
      <c r="Y39" s="2"/>
      <c r="AB39" s="22">
        <f t="shared" si="24"/>
        <v>1</v>
      </c>
      <c r="AC39" s="11"/>
      <c r="AD39" s="11"/>
      <c r="AE39" s="13"/>
      <c r="AF39" s="12"/>
      <c r="AG39" s="13"/>
      <c r="AH39" s="14"/>
      <c r="AI39" s="81" t="str">
        <f t="shared" si="25"/>
        <v/>
      </c>
      <c r="AJ39" s="15"/>
      <c r="AK39" s="6" t="e">
        <f t="shared" si="26"/>
        <v>#N/A</v>
      </c>
      <c r="AL39" s="6" t="str">
        <f>IF(AB40&lt;&gt;AB39,AVERAGEIF(AB$9:AB39,AB39,AK$9:AK39),"")</f>
        <v/>
      </c>
      <c r="AM39" s="7" t="str">
        <f>IFERROR(IF(AB40&lt;&gt;AB39,AVERAGEIF(AB$9:AB39,AB39,AT$9:AT39),""),"")</f>
        <v/>
      </c>
      <c r="AN39" s="7" t="str">
        <f>IFERROR(IF(AB40&lt;&gt;AB39,AVERAGEIF(AB$9:AB39,AB39,AU$9:AU39),""),"")</f>
        <v/>
      </c>
      <c r="AO39" s="7" t="str" cm="1">
        <f t="array" ref="AO39">IFERROR(IF(AB40&lt;&gt;AB39,_xlfn.STDEV.P(IF(AB$9:AB39=AB39,AU$9:AU39)),""),"")</f>
        <v/>
      </c>
      <c r="AP39" s="7" t="str" cm="1">
        <f t="array" ref="AP39">IFERROR(IF(AB40&lt;&gt;AB39,_xlfn.STDEV.P(IF(AB$9:AB39=AB39,AT$9:AT39)),""),"")</f>
        <v/>
      </c>
      <c r="AQ39" s="8" t="str">
        <f t="shared" si="27"/>
        <v/>
      </c>
      <c r="AR39" s="8" t="str">
        <f t="shared" si="28"/>
        <v/>
      </c>
      <c r="AS39" s="8" t="str">
        <f t="shared" si="29"/>
        <v/>
      </c>
      <c r="AT39" s="9" t="str">
        <f t="shared" si="30"/>
        <v/>
      </c>
      <c r="AU39" s="9" t="str">
        <f t="shared" si="31"/>
        <v/>
      </c>
      <c r="AV39" s="14"/>
      <c r="AW39" s="15"/>
      <c r="AX39" s="14" t="str">
        <f t="shared" si="32"/>
        <v/>
      </c>
      <c r="AY39" s="15"/>
      <c r="AZ39" s="23"/>
      <c r="BD39" s="80" t="s">
        <v>7456</v>
      </c>
      <c r="BE39" s="80" t="s">
        <v>7457</v>
      </c>
      <c r="BF39" s="80" t="s">
        <v>7458</v>
      </c>
      <c r="BG39" s="80" t="s">
        <v>7459</v>
      </c>
      <c r="BH39" s="80" t="s">
        <v>7460</v>
      </c>
      <c r="BI39" s="80" t="s">
        <v>24</v>
      </c>
      <c r="BM39" s="80" t="s">
        <v>7456</v>
      </c>
      <c r="BN39" s="80" t="s">
        <v>7457</v>
      </c>
      <c r="BO39" s="80" t="s">
        <v>7458</v>
      </c>
      <c r="BP39" s="80" t="s">
        <v>7459</v>
      </c>
      <c r="BQ39" s="80" t="s">
        <v>7460</v>
      </c>
      <c r="BR39" s="80" t="s">
        <v>24</v>
      </c>
      <c r="EW39" t="s">
        <v>46</v>
      </c>
      <c r="EX39" s="33">
        <v>1036</v>
      </c>
      <c r="EY39" s="33" t="s">
        <v>154</v>
      </c>
      <c r="EZ39" s="33" t="s">
        <v>155</v>
      </c>
      <c r="FA39" s="33" t="s">
        <v>51</v>
      </c>
      <c r="FB39" s="33" t="s">
        <v>52</v>
      </c>
      <c r="FC39" s="33" t="s">
        <v>53</v>
      </c>
      <c r="FD39" s="33" t="s">
        <v>54</v>
      </c>
      <c r="FE39" s="33">
        <v>2019</v>
      </c>
      <c r="FF39" s="33" t="s">
        <v>55</v>
      </c>
      <c r="FG39" s="33" t="s">
        <v>56</v>
      </c>
      <c r="FH39" s="33" t="s">
        <v>57</v>
      </c>
      <c r="FI39" s="33" t="s">
        <v>58</v>
      </c>
      <c r="FJ39" t="s">
        <v>59</v>
      </c>
      <c r="FM39" s="32" t="s">
        <v>151</v>
      </c>
      <c r="FN39" t="s">
        <v>152</v>
      </c>
      <c r="FO39" t="s">
        <v>153</v>
      </c>
      <c r="FP39" t="str">
        <f t="shared" si="0"/>
        <v>B</v>
      </c>
      <c r="FT39" s="69">
        <v>410</v>
      </c>
      <c r="FU39" s="60">
        <v>0</v>
      </c>
      <c r="FV39" s="60">
        <v>0</v>
      </c>
      <c r="FW39" s="60">
        <v>0</v>
      </c>
      <c r="FX39" s="60">
        <v>0</v>
      </c>
      <c r="FY39" s="60">
        <v>0</v>
      </c>
      <c r="FZ39" s="60">
        <v>27</v>
      </c>
      <c r="GA39" s="60">
        <v>23.25</v>
      </c>
      <c r="GB39" s="60">
        <v>16.405000000000001</v>
      </c>
      <c r="GC39" s="60">
        <v>18.234999999999999</v>
      </c>
      <c r="GD39" s="60">
        <v>21.87</v>
      </c>
      <c r="GE39" s="60">
        <v>23.55</v>
      </c>
      <c r="GF39" s="60">
        <v>24.11</v>
      </c>
      <c r="GG39" s="60">
        <v>23.844999999999999</v>
      </c>
      <c r="GH39" s="60">
        <v>23.715</v>
      </c>
      <c r="GI39" s="60">
        <v>23.91</v>
      </c>
      <c r="GJ39" s="60">
        <v>23.585000000000001</v>
      </c>
      <c r="GK39" s="60">
        <v>21.704999999999998</v>
      </c>
      <c r="GL39" s="60">
        <v>19.260000000000002</v>
      </c>
      <c r="GM39" s="60">
        <v>21.145</v>
      </c>
      <c r="GN39" s="60">
        <v>26.19</v>
      </c>
      <c r="GO39" s="60">
        <v>28.32</v>
      </c>
      <c r="GP39" s="60">
        <v>30.265000000000001</v>
      </c>
      <c r="GQ39" s="60">
        <v>31.95</v>
      </c>
      <c r="GR39" s="60">
        <v>32.53</v>
      </c>
      <c r="GU39" s="53">
        <v>36</v>
      </c>
      <c r="GV39" s="53">
        <v>33</v>
      </c>
      <c r="GY39" t="s">
        <v>7454</v>
      </c>
      <c r="GZ39" s="64" t="s">
        <v>7442</v>
      </c>
      <c r="HA39" s="64" t="s">
        <v>7442</v>
      </c>
      <c r="HB39" s="32">
        <v>72</v>
      </c>
      <c r="HF39" t="s">
        <v>7418</v>
      </c>
      <c r="HG39" s="64" t="s">
        <v>7442</v>
      </c>
      <c r="HH39" s="44" t="s">
        <v>7427</v>
      </c>
      <c r="HI39" s="32">
        <v>953</v>
      </c>
    </row>
    <row r="40" spans="1:217" ht="15.5" x14ac:dyDescent="0.35">
      <c r="A40" s="95">
        <f t="shared" si="16"/>
        <v>1</v>
      </c>
      <c r="B40" s="11"/>
      <c r="C40" s="11"/>
      <c r="D40" s="92" t="str">
        <f>IFERROR(
IF(AND(OR(Planilla!B40="C",Planilla!B40="c"), VLOOKUP(E40,EX:FJ,13,0)="C"), "OK",IF(AND(OR(Planilla!B40="C",Planilla!B40="c"), OR(VLOOKUP(E40,EX:FJ,13,0)="B", VLOOKUP(E40,EX:FJ,13,0)="A")), "DEFICIT",IF(
AND(OR(Planilla!B40="B", Planilla!B40="BPAL"), VLOOKUP(E40,EX:FJ,13,0)="B"), "OK",IF(AND(OR(Planilla!B40="B", Planilla!B40="BPAL"), VLOOKUP(E40,EX:FJ,13,0)="A"), "DEFICIT",IF(AND(OR(Planilla!B40="B", Planilla!B40="BPAL"), VLOOKUP(E40,EX:FJ,13,0)="C"), "SOBREOFERTA",IF(AND(Planilla!B40="A", VLOOKUP(E40,EX:FJ,13,0)="A"), "OK",IF(
AND(Planilla!B40="A", OR(VLOOKUP(E40,EX:FJ,13,0)="B", VLOOKUP(E40,EX:FJ,13,0)="C")), "SOBREOFERTA",""
))))))),"")</f>
        <v/>
      </c>
      <c r="E40" s="12"/>
      <c r="F40" s="13"/>
      <c r="G40" s="14"/>
      <c r="H40" s="81" t="str">
        <f t="shared" si="17"/>
        <v/>
      </c>
      <c r="I40" s="7"/>
      <c r="J40" s="6" t="e">
        <f t="shared" si="18"/>
        <v>#N/A</v>
      </c>
      <c r="K40" s="6" t="str">
        <f>IF(A41&lt;&gt;A40,AVERAGEIF(A$9:A40,A40,J$9:J40),"")</f>
        <v/>
      </c>
      <c r="L40" s="7" t="str">
        <f>IFERROR(IF(A41&lt;&gt;A40,AVERAGEIF(A$9:A40,A40,S$9:S40),""),"")</f>
        <v/>
      </c>
      <c r="M40" s="7" t="str">
        <f>IFERROR(IF(A41&lt;&gt;A40,AVERAGEIF(A$9:A40,A40,T$9:T40),""),"")</f>
        <v/>
      </c>
      <c r="N40" s="7" t="str" cm="1">
        <f t="array" ref="N40">IFERROR(IF(A41&lt;&gt;A40,_xlfn.STDEV.P(IF(A$9:A40=A40,T$9:T40)),""),"")</f>
        <v/>
      </c>
      <c r="O40" s="7" t="str" cm="1">
        <f t="array" ref="O40">IFERROR(IF(A41&lt;&gt;A40,_xlfn.STDEV.P(IF(A$9:A40=A40,S$9:S40)),""),"")</f>
        <v/>
      </c>
      <c r="P40" s="8" t="str">
        <f t="shared" si="19"/>
        <v/>
      </c>
      <c r="Q40" s="8" t="str">
        <f t="shared" si="20"/>
        <v/>
      </c>
      <c r="R40" s="8" t="str">
        <f t="shared" si="21"/>
        <v/>
      </c>
      <c r="S40" s="9" t="str">
        <f t="shared" si="22"/>
        <v/>
      </c>
      <c r="T40" s="9" t="str">
        <f t="shared" si="23"/>
        <v/>
      </c>
      <c r="U40" s="14">
        <v>0.34236111111111112</v>
      </c>
      <c r="V40" s="15"/>
      <c r="W40" s="14" t="str">
        <f t="shared" si="38"/>
        <v/>
      </c>
      <c r="X40" s="15"/>
      <c r="Y40" s="2"/>
      <c r="AB40" s="22">
        <f t="shared" si="24"/>
        <v>1</v>
      </c>
      <c r="AC40" s="11"/>
      <c r="AD40" s="11"/>
      <c r="AE40" s="13"/>
      <c r="AF40" s="12"/>
      <c r="AG40" s="13"/>
      <c r="AH40" s="14"/>
      <c r="AI40" s="81" t="str">
        <f t="shared" si="25"/>
        <v/>
      </c>
      <c r="AJ40" s="15"/>
      <c r="AK40" s="6" t="e">
        <f t="shared" si="26"/>
        <v>#N/A</v>
      </c>
      <c r="AL40" s="6" t="str">
        <f>IF(AB41&lt;&gt;AB40,AVERAGEIF(AB$9:AB40,AB40,AK$9:AK40),"")</f>
        <v/>
      </c>
      <c r="AM40" s="7" t="str">
        <f>IFERROR(IF(AB41&lt;&gt;AB40,AVERAGEIF(AB$9:AB40,AB40,AT$9:AT40),""),"")</f>
        <v/>
      </c>
      <c r="AN40" s="7" t="str">
        <f>IFERROR(IF(AB41&lt;&gt;AB40,AVERAGEIF(AB$9:AB40,AB40,AU$9:AU40),""),"")</f>
        <v/>
      </c>
      <c r="AO40" s="7" t="str" cm="1">
        <f t="array" ref="AO40">IFERROR(IF(AB41&lt;&gt;AB40,_xlfn.STDEV.P(IF(AB$9:AB40=AB40,AU$9:AU40)),""),"")</f>
        <v/>
      </c>
      <c r="AP40" s="7" t="str" cm="1">
        <f t="array" ref="AP40">IFERROR(IF(AB41&lt;&gt;AB40,_xlfn.STDEV.P(IF(AB$9:AB40=AB40,AT$9:AT40)),""),"")</f>
        <v/>
      </c>
      <c r="AQ40" s="8" t="str">
        <f t="shared" si="27"/>
        <v/>
      </c>
      <c r="AR40" s="8" t="str">
        <f t="shared" si="28"/>
        <v/>
      </c>
      <c r="AS40" s="8" t="str">
        <f t="shared" si="29"/>
        <v/>
      </c>
      <c r="AT40" s="9" t="str">
        <f t="shared" si="30"/>
        <v/>
      </c>
      <c r="AU40" s="9" t="str">
        <f t="shared" si="31"/>
        <v/>
      </c>
      <c r="AV40" s="14"/>
      <c r="AW40" s="15"/>
      <c r="AX40" s="14" t="str">
        <f t="shared" si="32"/>
        <v/>
      </c>
      <c r="AY40" s="15"/>
      <c r="AZ40" s="23"/>
      <c r="BC40" s="80" t="s">
        <v>7461</v>
      </c>
      <c r="BD40" s="12">
        <f>SUM(BD13:BD36)</f>
        <v>0</v>
      </c>
      <c r="BE40" s="12">
        <f>SUM(BE13:BE36)</f>
        <v>0</v>
      </c>
      <c r="BF40" s="73" t="e">
        <f t="shared" ref="BF40" si="40">BE40/BD40</f>
        <v>#DIV/0!</v>
      </c>
      <c r="BG40" s="75">
        <f>SUM(BG13:BG36)</f>
        <v>0</v>
      </c>
      <c r="BH40" s="75" t="e" cm="1">
        <f t="array" ref="BH40">SUMPRODUCT((BG13:BG36&lt;&gt;"")*(BH13:BH36))</f>
        <v>#VALUE!</v>
      </c>
      <c r="BI40" s="76" t="e">
        <f>IF(BH40/BG40 &gt; 1, 1,BH40/BG40)</f>
        <v>#VALUE!</v>
      </c>
      <c r="BL40" s="80" t="s">
        <v>7461</v>
      </c>
      <c r="BM40" s="12">
        <f>SUM(BM13:BM36)</f>
        <v>0</v>
      </c>
      <c r="BN40" s="12">
        <f>SUM(BN13:BN36)</f>
        <v>0</v>
      </c>
      <c r="BO40" s="73" t="e">
        <f t="shared" ref="BO40" si="41">BN40/BM40</f>
        <v>#DIV/0!</v>
      </c>
      <c r="BP40" s="75">
        <f>SUM(BP13:BP36)</f>
        <v>0</v>
      </c>
      <c r="BQ40" s="75" t="e" cm="1">
        <f t="array" ref="BQ40">SUMPRODUCT((BP13:BP36&lt;&gt;"")*(BQ13:BQ36))</f>
        <v>#VALUE!</v>
      </c>
      <c r="BR40" s="76" t="e">
        <f>IF(BQ40/BP40 &gt; 1, 1,BQ40/BP40)</f>
        <v>#VALUE!</v>
      </c>
      <c r="EW40" t="s">
        <v>46</v>
      </c>
      <c r="EX40" s="33">
        <v>1037</v>
      </c>
      <c r="EY40" s="33" t="s">
        <v>156</v>
      </c>
      <c r="EZ40" s="33" t="s">
        <v>157</v>
      </c>
      <c r="FA40" s="33" t="s">
        <v>51</v>
      </c>
      <c r="FB40" s="33" t="s">
        <v>52</v>
      </c>
      <c r="FC40" s="33" t="s">
        <v>53</v>
      </c>
      <c r="FD40" s="33" t="s">
        <v>54</v>
      </c>
      <c r="FE40" s="33">
        <v>2019</v>
      </c>
      <c r="FF40" s="33" t="s">
        <v>55</v>
      </c>
      <c r="FG40" s="33" t="s">
        <v>56</v>
      </c>
      <c r="FH40" s="33" t="s">
        <v>57</v>
      </c>
      <c r="FI40" s="33" t="s">
        <v>58</v>
      </c>
      <c r="FJ40" t="s">
        <v>59</v>
      </c>
      <c r="FM40" s="32" t="s">
        <v>151</v>
      </c>
      <c r="FN40" t="s">
        <v>152</v>
      </c>
      <c r="FO40" t="s">
        <v>153</v>
      </c>
      <c r="FP40" t="str">
        <f t="shared" si="0"/>
        <v>B</v>
      </c>
      <c r="FT40" s="69">
        <v>410</v>
      </c>
      <c r="FU40" s="60">
        <v>28.09</v>
      </c>
      <c r="FV40" s="60">
        <v>0</v>
      </c>
      <c r="FW40" s="60">
        <v>0</v>
      </c>
      <c r="FX40" s="60">
        <v>0</v>
      </c>
      <c r="FY40" s="60">
        <v>0</v>
      </c>
      <c r="FZ40" s="60">
        <v>12.695</v>
      </c>
      <c r="GA40" s="60">
        <v>22.884999999999998</v>
      </c>
      <c r="GB40" s="60">
        <v>18.100000000000001</v>
      </c>
      <c r="GC40" s="60">
        <v>19.399999999999999</v>
      </c>
      <c r="GD40" s="60">
        <v>20.234999999999999</v>
      </c>
      <c r="GE40" s="60">
        <v>20.115000000000002</v>
      </c>
      <c r="GF40" s="60">
        <v>19.565000000000001</v>
      </c>
      <c r="GG40" s="60">
        <v>19.035</v>
      </c>
      <c r="GH40" s="60">
        <v>18.704999999999998</v>
      </c>
      <c r="GI40" s="60">
        <v>18.490000000000002</v>
      </c>
      <c r="GJ40" s="60">
        <v>17.93</v>
      </c>
      <c r="GK40" s="60">
        <v>17.225000000000001</v>
      </c>
      <c r="GL40" s="60">
        <v>16.435000000000002</v>
      </c>
      <c r="GM40" s="60">
        <v>16.424999999999997</v>
      </c>
      <c r="GN40" s="60">
        <v>18.8</v>
      </c>
      <c r="GO40" s="60">
        <v>21.07</v>
      </c>
      <c r="GP40" s="60">
        <v>22.604999999999997</v>
      </c>
      <c r="GQ40" s="60">
        <v>23.594999999999999</v>
      </c>
      <c r="GR40" s="60">
        <v>25.605</v>
      </c>
      <c r="GU40" s="53">
        <v>37</v>
      </c>
      <c r="GV40" s="53">
        <v>34</v>
      </c>
      <c r="GY40" t="s">
        <v>7454</v>
      </c>
      <c r="GZ40" s="64">
        <v>102</v>
      </c>
      <c r="HA40" s="64">
        <v>102</v>
      </c>
      <c r="HB40" s="32">
        <v>74</v>
      </c>
      <c r="HF40" t="s">
        <v>7418</v>
      </c>
      <c r="HG40" s="64">
        <v>102</v>
      </c>
      <c r="HH40" s="44" t="s">
        <v>7443</v>
      </c>
      <c r="HI40" s="32">
        <v>962</v>
      </c>
    </row>
    <row r="41" spans="1:217" ht="15.5" x14ac:dyDescent="0.35">
      <c r="A41" s="95">
        <f t="shared" si="16"/>
        <v>1</v>
      </c>
      <c r="B41" s="11"/>
      <c r="C41" s="11"/>
      <c r="D41" s="92" t="str">
        <f>IFERROR(
IF(AND(OR(Planilla!B41="C",Planilla!B41="c"), VLOOKUP(E41,EX:FJ,13,0)="C"), "OK",IF(AND(OR(Planilla!B41="C",Planilla!B41="c"), OR(VLOOKUP(E41,EX:FJ,13,0)="B", VLOOKUP(E41,EX:FJ,13,0)="A")), "DEFICIT",IF(
AND(OR(Planilla!B41="B", Planilla!B41="BPAL"), VLOOKUP(E41,EX:FJ,13,0)="B"), "OK",IF(AND(OR(Planilla!B41="B", Planilla!B41="BPAL"), VLOOKUP(E41,EX:FJ,13,0)="A"), "DEFICIT",IF(AND(OR(Planilla!B41="B", Planilla!B41="BPAL"), VLOOKUP(E41,EX:FJ,13,0)="C"), "SOBREOFERTA",IF(AND(Planilla!B41="A", VLOOKUP(E41,EX:FJ,13,0)="A"), "OK",IF(
AND(Planilla!B41="A", OR(VLOOKUP(E41,EX:FJ,13,0)="B", VLOOKUP(E41,EX:FJ,13,0)="C")), "SOBREOFERTA",""
))))))),"")</f>
        <v/>
      </c>
      <c r="E41" s="12"/>
      <c r="F41" s="13"/>
      <c r="G41" s="14"/>
      <c r="H41" s="81" t="str">
        <f t="shared" si="17"/>
        <v/>
      </c>
      <c r="I41" s="7"/>
      <c r="J41" s="6" t="e">
        <f t="shared" si="18"/>
        <v>#N/A</v>
      </c>
      <c r="K41" s="6" t="str">
        <f>IF(A42&lt;&gt;A41,AVERAGEIF(A$9:A41,A41,J$9:J41),"")</f>
        <v/>
      </c>
      <c r="L41" s="7" t="str">
        <f>IFERROR(IF(A42&lt;&gt;A41,AVERAGEIF(A$9:A41,A41,S$9:S41),""),"")</f>
        <v/>
      </c>
      <c r="M41" s="7" t="str">
        <f>IFERROR(IF(A42&lt;&gt;A41,AVERAGEIF(A$9:A41,A41,T$9:T41),""),"")</f>
        <v/>
      </c>
      <c r="N41" s="7" t="str" cm="1">
        <f t="array" ref="N41">IFERROR(IF(A42&lt;&gt;A41,_xlfn.STDEV.P(IF(A$9:A41=A41,T$9:T41)),""),"")</f>
        <v/>
      </c>
      <c r="O41" s="7" t="str" cm="1">
        <f t="array" ref="O41">IFERROR(IF(A42&lt;&gt;A41,_xlfn.STDEV.P(IF(A$9:A41=A41,S$9:S41)),""),"")</f>
        <v/>
      </c>
      <c r="P41" s="8" t="str">
        <f t="shared" si="19"/>
        <v/>
      </c>
      <c r="Q41" s="8" t="str">
        <f t="shared" si="20"/>
        <v/>
      </c>
      <c r="R41" s="8" t="str">
        <f t="shared" si="21"/>
        <v/>
      </c>
      <c r="S41" s="9" t="str">
        <f t="shared" si="22"/>
        <v/>
      </c>
      <c r="T41" s="9" t="str">
        <f t="shared" si="23"/>
        <v/>
      </c>
      <c r="U41" s="14">
        <v>0.3576388888888889</v>
      </c>
      <c r="V41" s="15"/>
      <c r="W41" s="14" t="str">
        <f t="shared" si="38"/>
        <v/>
      </c>
      <c r="X41" s="15"/>
      <c r="Y41" s="2"/>
      <c r="AB41" s="22">
        <f t="shared" si="24"/>
        <v>1</v>
      </c>
      <c r="AC41" s="11"/>
      <c r="AD41" s="11"/>
      <c r="AE41" s="13"/>
      <c r="AF41" s="12"/>
      <c r="AG41" s="13"/>
      <c r="AH41" s="14"/>
      <c r="AI41" s="81" t="str">
        <f t="shared" si="25"/>
        <v/>
      </c>
      <c r="AJ41" s="15"/>
      <c r="AK41" s="6" t="e">
        <f t="shared" si="26"/>
        <v>#N/A</v>
      </c>
      <c r="AL41" s="6" t="str">
        <f>IF(AB42&lt;&gt;AB41,AVERAGEIF(AB$9:AB41,AB41,AK$9:AK41),"")</f>
        <v/>
      </c>
      <c r="AM41" s="7" t="str">
        <f>IFERROR(IF(AB42&lt;&gt;AB41,AVERAGEIF(AB$9:AB41,AB41,AT$9:AT41),""),"")</f>
        <v/>
      </c>
      <c r="AN41" s="7" t="str">
        <f>IFERROR(IF(AB42&lt;&gt;AB41,AVERAGEIF(AB$9:AB41,AB41,AU$9:AU41),""),"")</f>
        <v/>
      </c>
      <c r="AO41" s="7" t="str" cm="1">
        <f t="array" ref="AO41">IFERROR(IF(AB42&lt;&gt;AB41,_xlfn.STDEV.P(IF(AB$9:AB41=AB41,AU$9:AU41)),""),"")</f>
        <v/>
      </c>
      <c r="AP41" s="7" t="str" cm="1">
        <f t="array" ref="AP41">IFERROR(IF(AB42&lt;&gt;AB41,_xlfn.STDEV.P(IF(AB$9:AB41=AB41,AT$9:AT41)),""),"")</f>
        <v/>
      </c>
      <c r="AQ41" s="8" t="str">
        <f t="shared" si="27"/>
        <v/>
      </c>
      <c r="AR41" s="8" t="str">
        <f t="shared" si="28"/>
        <v/>
      </c>
      <c r="AS41" s="8" t="str">
        <f t="shared" si="29"/>
        <v/>
      </c>
      <c r="AT41" s="9" t="str">
        <f t="shared" si="30"/>
        <v/>
      </c>
      <c r="AU41" s="9" t="str">
        <f t="shared" si="31"/>
        <v/>
      </c>
      <c r="AV41" s="14"/>
      <c r="AW41" s="15"/>
      <c r="AX41" s="14" t="str">
        <f t="shared" si="32"/>
        <v/>
      </c>
      <c r="AY41" s="15"/>
      <c r="AZ41" s="23"/>
      <c r="EW41" t="s">
        <v>46</v>
      </c>
      <c r="EX41" s="33">
        <v>1038</v>
      </c>
      <c r="EY41" s="33" t="s">
        <v>158</v>
      </c>
      <c r="EZ41" s="33" t="s">
        <v>159</v>
      </c>
      <c r="FA41" s="33" t="s">
        <v>51</v>
      </c>
      <c r="FB41" s="33" t="s">
        <v>52</v>
      </c>
      <c r="FC41" s="33" t="s">
        <v>53</v>
      </c>
      <c r="FD41" s="33" t="s">
        <v>54</v>
      </c>
      <c r="FE41" s="33">
        <v>2019</v>
      </c>
      <c r="FF41" s="33" t="s">
        <v>55</v>
      </c>
      <c r="FG41" s="33" t="s">
        <v>56</v>
      </c>
      <c r="FH41" s="33" t="s">
        <v>57</v>
      </c>
      <c r="FI41" s="33" t="s">
        <v>58</v>
      </c>
      <c r="FJ41" t="s">
        <v>59</v>
      </c>
      <c r="FM41" s="32" t="s">
        <v>151</v>
      </c>
      <c r="FN41" t="s">
        <v>152</v>
      </c>
      <c r="FO41" t="s">
        <v>153</v>
      </c>
      <c r="FP41" t="str">
        <f t="shared" si="0"/>
        <v>B</v>
      </c>
      <c r="FT41" s="69" t="s">
        <v>7386</v>
      </c>
      <c r="FU41" s="60">
        <v>0</v>
      </c>
      <c r="FV41" s="60">
        <v>0</v>
      </c>
      <c r="FW41" s="60">
        <v>0</v>
      </c>
      <c r="FX41" s="60">
        <v>0</v>
      </c>
      <c r="FY41" s="60">
        <v>0</v>
      </c>
      <c r="FZ41" s="60">
        <v>14.2</v>
      </c>
      <c r="GA41" s="60">
        <v>25.664999999999999</v>
      </c>
      <c r="GB41" s="60">
        <v>18.535</v>
      </c>
      <c r="GC41" s="60">
        <v>8.58</v>
      </c>
      <c r="GD41" s="60">
        <v>0</v>
      </c>
      <c r="GE41" s="60">
        <v>0</v>
      </c>
      <c r="GF41" s="60">
        <v>0</v>
      </c>
      <c r="GG41" s="60">
        <v>0</v>
      </c>
      <c r="GH41" s="60">
        <v>0</v>
      </c>
      <c r="GI41" s="60">
        <v>0</v>
      </c>
      <c r="GJ41" s="60">
        <v>0</v>
      </c>
      <c r="GK41" s="60">
        <v>0</v>
      </c>
      <c r="GL41" s="60">
        <v>0</v>
      </c>
      <c r="GM41" s="60">
        <v>0</v>
      </c>
      <c r="GN41" s="60">
        <v>0</v>
      </c>
      <c r="GO41" s="60">
        <v>0</v>
      </c>
      <c r="GP41" s="60">
        <v>0</v>
      </c>
      <c r="GQ41" s="60">
        <v>0</v>
      </c>
      <c r="GR41" s="60">
        <v>0</v>
      </c>
      <c r="GU41" s="53">
        <v>38</v>
      </c>
      <c r="GV41" s="53">
        <v>35</v>
      </c>
      <c r="GY41" t="s">
        <v>7454</v>
      </c>
      <c r="GZ41" s="64">
        <v>124</v>
      </c>
      <c r="HA41" s="64">
        <v>124</v>
      </c>
      <c r="HB41" s="32">
        <v>78</v>
      </c>
      <c r="HF41" t="s">
        <v>7418</v>
      </c>
      <c r="HG41" s="64">
        <v>124</v>
      </c>
      <c r="HH41" s="44" t="s">
        <v>7427</v>
      </c>
      <c r="HI41" s="32">
        <v>964</v>
      </c>
    </row>
    <row r="42" spans="1:217" ht="15.5" x14ac:dyDescent="0.35">
      <c r="A42" s="95">
        <f t="shared" si="16"/>
        <v>1</v>
      </c>
      <c r="B42" s="11"/>
      <c r="C42" s="11"/>
      <c r="D42" s="92" t="str">
        <f>IFERROR(
IF(AND(OR(Planilla!B42="C",Planilla!B42="c"), VLOOKUP(E42,EX:FJ,13,0)="C"), "OK",IF(AND(OR(Planilla!B42="C",Planilla!B42="c"), OR(VLOOKUP(E42,EX:FJ,13,0)="B", VLOOKUP(E42,EX:FJ,13,0)="A")), "DEFICIT",IF(
AND(OR(Planilla!B42="B", Planilla!B42="BPAL"), VLOOKUP(E42,EX:FJ,13,0)="B"), "OK",IF(AND(OR(Planilla!B42="B", Planilla!B42="BPAL"), VLOOKUP(E42,EX:FJ,13,0)="A"), "DEFICIT",IF(AND(OR(Planilla!B42="B", Planilla!B42="BPAL"), VLOOKUP(E42,EX:FJ,13,0)="C"), "SOBREOFERTA",IF(AND(Planilla!B42="A", VLOOKUP(E42,EX:FJ,13,0)="A"), "OK",IF(
AND(Planilla!B42="A", OR(VLOOKUP(E42,EX:FJ,13,0)="B", VLOOKUP(E42,EX:FJ,13,0)="C")), "SOBREOFERTA",""
))))))),"")</f>
        <v/>
      </c>
      <c r="E42" s="12"/>
      <c r="F42" s="13"/>
      <c r="G42" s="14"/>
      <c r="H42" s="81" t="str">
        <f t="shared" si="17"/>
        <v/>
      </c>
      <c r="I42" s="7"/>
      <c r="J42" s="6" t="e">
        <f t="shared" si="18"/>
        <v>#N/A</v>
      </c>
      <c r="K42" s="6" t="str">
        <f>IF(A43&lt;&gt;A42,AVERAGEIF(A$9:A42,A42,J$9:J42),"")</f>
        <v/>
      </c>
      <c r="L42" s="7" t="str">
        <f>IFERROR(IF(A43&lt;&gt;A42,AVERAGEIF(A$9:A42,A42,S$9:S42),""),"")</f>
        <v/>
      </c>
      <c r="M42" s="7" t="str">
        <f>IFERROR(IF(A43&lt;&gt;A42,AVERAGEIF(A$9:A42,A42,T$9:T42),""),"")</f>
        <v/>
      </c>
      <c r="N42" s="7" t="str" cm="1">
        <f t="array" ref="N42">IFERROR(IF(A43&lt;&gt;A42,_xlfn.STDEV.P(IF(A$9:A42=A42,T$9:T42)),""),"")</f>
        <v/>
      </c>
      <c r="O42" s="7" t="str" cm="1">
        <f t="array" ref="O42">IFERROR(IF(A43&lt;&gt;A42,_xlfn.STDEV.P(IF(A$9:A42=A42,S$9:S42)),""),"")</f>
        <v/>
      </c>
      <c r="P42" s="8" t="str">
        <f t="shared" si="19"/>
        <v/>
      </c>
      <c r="Q42" s="8" t="str">
        <f t="shared" si="20"/>
        <v/>
      </c>
      <c r="R42" s="8" t="str">
        <f t="shared" si="21"/>
        <v/>
      </c>
      <c r="S42" s="9" t="str">
        <f t="shared" si="22"/>
        <v/>
      </c>
      <c r="T42" s="9" t="str">
        <f t="shared" si="23"/>
        <v/>
      </c>
      <c r="U42" s="14">
        <v>0.3659722222222222</v>
      </c>
      <c r="V42" s="15"/>
      <c r="W42" s="14" t="str">
        <f t="shared" si="38"/>
        <v/>
      </c>
      <c r="X42" s="15"/>
      <c r="Y42" s="2"/>
      <c r="AB42" s="22">
        <f t="shared" si="24"/>
        <v>1</v>
      </c>
      <c r="AC42" s="11"/>
      <c r="AD42" s="11"/>
      <c r="AE42" s="13"/>
      <c r="AF42" s="12"/>
      <c r="AG42" s="13"/>
      <c r="AH42" s="14"/>
      <c r="AI42" s="81" t="str">
        <f t="shared" si="25"/>
        <v/>
      </c>
      <c r="AJ42" s="15"/>
      <c r="AK42" s="6" t="e">
        <f t="shared" si="26"/>
        <v>#N/A</v>
      </c>
      <c r="AL42" s="6" t="str">
        <f>IF(AB43&lt;&gt;AB42,AVERAGEIF(AB$9:AB42,AB42,AK$9:AK42),"")</f>
        <v/>
      </c>
      <c r="AM42" s="7" t="str">
        <f>IFERROR(IF(AB43&lt;&gt;AB42,AVERAGEIF(AB$9:AB42,AB42,AT$9:AT42),""),"")</f>
        <v/>
      </c>
      <c r="AN42" s="7" t="str">
        <f>IFERROR(IF(AB43&lt;&gt;AB42,AVERAGEIF(AB$9:AB42,AB42,AU$9:AU42),""),"")</f>
        <v/>
      </c>
      <c r="AO42" s="7" t="str" cm="1">
        <f t="array" ref="AO42">IFERROR(IF(AB43&lt;&gt;AB42,_xlfn.STDEV.P(IF(AB$9:AB42=AB42,AU$9:AU42)),""),"")</f>
        <v/>
      </c>
      <c r="AP42" s="7" t="str" cm="1">
        <f t="array" ref="AP42">IFERROR(IF(AB43&lt;&gt;AB42,_xlfn.STDEV.P(IF(AB$9:AB42=AB42,AT$9:AT42)),""),"")</f>
        <v/>
      </c>
      <c r="AQ42" s="8" t="str">
        <f t="shared" si="27"/>
        <v/>
      </c>
      <c r="AR42" s="8" t="str">
        <f t="shared" si="28"/>
        <v/>
      </c>
      <c r="AS42" s="8" t="str">
        <f t="shared" si="29"/>
        <v/>
      </c>
      <c r="AT42" s="9" t="str">
        <f t="shared" si="30"/>
        <v/>
      </c>
      <c r="AU42" s="9" t="str">
        <f t="shared" si="31"/>
        <v/>
      </c>
      <c r="AV42" s="14"/>
      <c r="AW42" s="15"/>
      <c r="AX42" s="14" t="str">
        <f t="shared" si="32"/>
        <v/>
      </c>
      <c r="AY42" s="15"/>
      <c r="AZ42" s="23"/>
      <c r="EW42" t="s">
        <v>46</v>
      </c>
      <c r="EX42" s="33">
        <v>1039</v>
      </c>
      <c r="EY42" s="33" t="s">
        <v>160</v>
      </c>
      <c r="EZ42" s="33" t="s">
        <v>161</v>
      </c>
      <c r="FA42" s="33" t="s">
        <v>51</v>
      </c>
      <c r="FB42" s="33" t="s">
        <v>52</v>
      </c>
      <c r="FC42" s="33" t="s">
        <v>53</v>
      </c>
      <c r="FD42" s="33" t="s">
        <v>54</v>
      </c>
      <c r="FE42" s="33">
        <v>2019</v>
      </c>
      <c r="FF42" s="33" t="s">
        <v>55</v>
      </c>
      <c r="FG42" s="33" t="s">
        <v>56</v>
      </c>
      <c r="FH42" s="33" t="s">
        <v>57</v>
      </c>
      <c r="FI42" s="33" t="s">
        <v>58</v>
      </c>
      <c r="FJ42" t="s">
        <v>59</v>
      </c>
      <c r="FM42" s="32" t="s">
        <v>162</v>
      </c>
      <c r="FN42" t="s">
        <v>163</v>
      </c>
      <c r="FO42" t="s">
        <v>164</v>
      </c>
      <c r="FP42" t="str">
        <f t="shared" si="0"/>
        <v>B</v>
      </c>
      <c r="FT42" s="69" t="s">
        <v>7416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30.924999999999997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U42" s="53">
        <v>39</v>
      </c>
      <c r="GV42" s="53">
        <v>36</v>
      </c>
      <c r="GY42" t="s">
        <v>7454</v>
      </c>
      <c r="GZ42" s="64">
        <v>712</v>
      </c>
      <c r="HA42" s="64">
        <v>712</v>
      </c>
      <c r="HB42" s="32">
        <v>80</v>
      </c>
      <c r="HF42" t="s">
        <v>7418</v>
      </c>
      <c r="HG42" s="64">
        <v>712</v>
      </c>
      <c r="HH42" s="44" t="s">
        <v>7443</v>
      </c>
      <c r="HI42" s="32">
        <v>967</v>
      </c>
    </row>
    <row r="43" spans="1:217" ht="15.5" x14ac:dyDescent="0.35">
      <c r="A43" s="95">
        <f t="shared" si="16"/>
        <v>1</v>
      </c>
      <c r="B43" s="11"/>
      <c r="C43" s="11"/>
      <c r="D43" s="92" t="str">
        <f>IFERROR(
IF(AND(OR(Planilla!B43="C",Planilla!B43="c"), VLOOKUP(E43,EX:FJ,13,0)="C"), "OK",IF(AND(OR(Planilla!B43="C",Planilla!B43="c"), OR(VLOOKUP(E43,EX:FJ,13,0)="B", VLOOKUP(E43,EX:FJ,13,0)="A")), "DEFICIT",IF(
AND(OR(Planilla!B43="B", Planilla!B43="BPAL"), VLOOKUP(E43,EX:FJ,13,0)="B"), "OK",IF(AND(OR(Planilla!B43="B", Planilla!B43="BPAL"), VLOOKUP(E43,EX:FJ,13,0)="A"), "DEFICIT",IF(AND(OR(Planilla!B43="B", Planilla!B43="BPAL"), VLOOKUP(E43,EX:FJ,13,0)="C"), "SOBREOFERTA",IF(AND(Planilla!B43="A", VLOOKUP(E43,EX:FJ,13,0)="A"), "OK",IF(
AND(Planilla!B43="A", OR(VLOOKUP(E43,EX:FJ,13,0)="B", VLOOKUP(E43,EX:FJ,13,0)="C")), "SOBREOFERTA",""
))))))),"")</f>
        <v/>
      </c>
      <c r="E43" s="12"/>
      <c r="F43" s="13"/>
      <c r="G43" s="14"/>
      <c r="H43" s="81" t="str">
        <f t="shared" si="17"/>
        <v/>
      </c>
      <c r="I43" s="7"/>
      <c r="J43" s="6" t="e">
        <f t="shared" si="18"/>
        <v>#N/A</v>
      </c>
      <c r="K43" s="6" t="str">
        <f>IF(A44&lt;&gt;A43,AVERAGEIF(A$9:A43,A43,J$9:J43),"")</f>
        <v/>
      </c>
      <c r="L43" s="7" t="str">
        <f>IFERROR(IF(A44&lt;&gt;A43,AVERAGEIF(A$9:A43,A43,S$9:S43),""),"")</f>
        <v/>
      </c>
      <c r="M43" s="7" t="str">
        <f>IFERROR(IF(A44&lt;&gt;A43,AVERAGEIF(A$9:A43,A43,T$9:T43),""),"")</f>
        <v/>
      </c>
      <c r="N43" s="7" t="str" cm="1">
        <f t="array" ref="N43">IFERROR(IF(A44&lt;&gt;A43,_xlfn.STDEV.P(IF(A$9:A43=A43,T$9:T43)),""),"")</f>
        <v/>
      </c>
      <c r="O43" s="7" t="str" cm="1">
        <f t="array" ref="O43">IFERROR(IF(A44&lt;&gt;A43,_xlfn.STDEV.P(IF(A$9:A43=A43,S$9:S43)),""),"")</f>
        <v/>
      </c>
      <c r="P43" s="8" t="str">
        <f t="shared" si="19"/>
        <v/>
      </c>
      <c r="Q43" s="8" t="str">
        <f t="shared" si="20"/>
        <v/>
      </c>
      <c r="R43" s="8" t="str">
        <f t="shared" si="21"/>
        <v/>
      </c>
      <c r="S43" s="9" t="str">
        <f t="shared" si="22"/>
        <v/>
      </c>
      <c r="T43" s="9" t="str">
        <f t="shared" si="23"/>
        <v/>
      </c>
      <c r="U43" s="14">
        <v>0.36805555555555558</v>
      </c>
      <c r="V43" s="15"/>
      <c r="W43" s="14" t="str">
        <f t="shared" si="38"/>
        <v/>
      </c>
      <c r="X43" s="15"/>
      <c r="Y43" s="2"/>
      <c r="AB43" s="22">
        <f t="shared" si="24"/>
        <v>1</v>
      </c>
      <c r="AC43" s="11"/>
      <c r="AD43" s="11"/>
      <c r="AE43" s="13"/>
      <c r="AF43" s="12"/>
      <c r="AG43" s="13"/>
      <c r="AH43" s="14"/>
      <c r="AI43" s="81" t="str">
        <f t="shared" si="25"/>
        <v/>
      </c>
      <c r="AJ43" s="15"/>
      <c r="AK43" s="6" t="e">
        <f t="shared" si="26"/>
        <v>#N/A</v>
      </c>
      <c r="AL43" s="6" t="str">
        <f>IF(AB44&lt;&gt;AB43,AVERAGEIF(AB$9:AB43,AB43,AK$9:AK43),"")</f>
        <v/>
      </c>
      <c r="AM43" s="7" t="str">
        <f>IFERROR(IF(AB44&lt;&gt;AB43,AVERAGEIF(AB$9:AB43,AB43,AT$9:AT43),""),"")</f>
        <v/>
      </c>
      <c r="AN43" s="7" t="str">
        <f>IFERROR(IF(AB44&lt;&gt;AB43,AVERAGEIF(AB$9:AB43,AB43,AU$9:AU43),""),"")</f>
        <v/>
      </c>
      <c r="AO43" s="7" t="str" cm="1">
        <f t="array" ref="AO43">IFERROR(IF(AB44&lt;&gt;AB43,_xlfn.STDEV.P(IF(AB$9:AB43=AB43,AU$9:AU43)),""),"")</f>
        <v/>
      </c>
      <c r="AP43" s="7" t="str" cm="1">
        <f t="array" ref="AP43">IFERROR(IF(AB44&lt;&gt;AB43,_xlfn.STDEV.P(IF(AB$9:AB43=AB43,AT$9:AT43)),""),"")</f>
        <v/>
      </c>
      <c r="AQ43" s="8" t="str">
        <f t="shared" si="27"/>
        <v/>
      </c>
      <c r="AR43" s="8" t="str">
        <f t="shared" si="28"/>
        <v/>
      </c>
      <c r="AS43" s="8" t="str">
        <f t="shared" si="29"/>
        <v/>
      </c>
      <c r="AT43" s="9" t="str">
        <f t="shared" si="30"/>
        <v/>
      </c>
      <c r="AU43" s="9" t="str">
        <f t="shared" si="31"/>
        <v/>
      </c>
      <c r="AV43" s="14"/>
      <c r="AW43" s="15"/>
      <c r="AX43" s="14" t="str">
        <f t="shared" si="32"/>
        <v/>
      </c>
      <c r="AY43" s="15"/>
      <c r="AZ43" s="23"/>
      <c r="EW43" t="s">
        <v>46</v>
      </c>
      <c r="EX43" s="33">
        <v>1040</v>
      </c>
      <c r="EY43" s="33" t="s">
        <v>165</v>
      </c>
      <c r="EZ43" s="33" t="s">
        <v>166</v>
      </c>
      <c r="FA43" s="33" t="s">
        <v>51</v>
      </c>
      <c r="FB43" s="33" t="s">
        <v>52</v>
      </c>
      <c r="FC43" s="33" t="s">
        <v>53</v>
      </c>
      <c r="FD43" s="33" t="s">
        <v>54</v>
      </c>
      <c r="FE43" s="33">
        <v>2019</v>
      </c>
      <c r="FF43" s="33" t="s">
        <v>55</v>
      </c>
      <c r="FG43" s="33" t="s">
        <v>56</v>
      </c>
      <c r="FH43" s="33" t="s">
        <v>57</v>
      </c>
      <c r="FI43" s="33" t="s">
        <v>58</v>
      </c>
      <c r="FJ43" t="s">
        <v>59</v>
      </c>
      <c r="FM43" s="32" t="s">
        <v>162</v>
      </c>
      <c r="FN43" t="s">
        <v>163</v>
      </c>
      <c r="FO43" t="s">
        <v>164</v>
      </c>
      <c r="FP43" t="str">
        <f t="shared" si="0"/>
        <v>B</v>
      </c>
      <c r="FT43" s="69" t="s">
        <v>7419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8.6999999999999993</v>
      </c>
      <c r="GA43">
        <v>14.504999999999999</v>
      </c>
      <c r="GB43">
        <v>13.39</v>
      </c>
      <c r="GC43">
        <v>14.434999999999999</v>
      </c>
      <c r="GD43">
        <v>14.595000000000001</v>
      </c>
      <c r="GE43">
        <v>14.195</v>
      </c>
      <c r="GF43">
        <v>13.675000000000001</v>
      </c>
      <c r="GG43">
        <v>13.73</v>
      </c>
      <c r="GH43">
        <v>13.79</v>
      </c>
      <c r="GI43">
        <v>13.67</v>
      </c>
      <c r="GJ43">
        <v>13.27</v>
      </c>
      <c r="GK43">
        <v>12.95</v>
      </c>
      <c r="GL43">
        <v>13.305</v>
      </c>
      <c r="GM43">
        <v>14.379999999999999</v>
      </c>
      <c r="GN43">
        <v>16.015000000000001</v>
      </c>
      <c r="GO43">
        <v>17.875</v>
      </c>
      <c r="GP43">
        <v>18.829999999999998</v>
      </c>
      <c r="GQ43">
        <v>9.7349999999999994</v>
      </c>
      <c r="GR43">
        <v>0</v>
      </c>
      <c r="GU43" s="53">
        <v>40</v>
      </c>
      <c r="GV43" s="53">
        <v>37</v>
      </c>
      <c r="GY43" t="s">
        <v>7453</v>
      </c>
      <c r="GZ43" s="64" t="s">
        <v>7392</v>
      </c>
      <c r="HA43" s="64" t="s">
        <v>7392</v>
      </c>
      <c r="HB43" s="32">
        <v>7</v>
      </c>
      <c r="HF43" t="s">
        <v>7384</v>
      </c>
      <c r="HG43" s="64" t="s">
        <v>7392</v>
      </c>
      <c r="HH43" s="44" t="s">
        <v>7393</v>
      </c>
      <c r="HI43" s="32" t="s">
        <v>7394</v>
      </c>
    </row>
    <row r="44" spans="1:217" ht="15.5" x14ac:dyDescent="0.35">
      <c r="A44" s="95">
        <f t="shared" si="16"/>
        <v>1</v>
      </c>
      <c r="B44" s="11"/>
      <c r="C44" s="11"/>
      <c r="D44" s="92" t="str">
        <f>IFERROR(
IF(AND(OR(Planilla!B44="C",Planilla!B44="c"), VLOOKUP(E44,EX:FJ,13,0)="C"), "OK",IF(AND(OR(Planilla!B44="C",Planilla!B44="c"), OR(VLOOKUP(E44,EX:FJ,13,0)="B", VLOOKUP(E44,EX:FJ,13,0)="A")), "DEFICIT",IF(
AND(OR(Planilla!B44="B", Planilla!B44="BPAL"), VLOOKUP(E44,EX:FJ,13,0)="B"), "OK",IF(AND(OR(Planilla!B44="B", Planilla!B44="BPAL"), VLOOKUP(E44,EX:FJ,13,0)="A"), "DEFICIT",IF(AND(OR(Planilla!B44="B", Planilla!B44="BPAL"), VLOOKUP(E44,EX:FJ,13,0)="C"), "SOBREOFERTA",IF(AND(Planilla!B44="A", VLOOKUP(E44,EX:FJ,13,0)="A"), "OK",IF(
AND(Planilla!B44="A", OR(VLOOKUP(E44,EX:FJ,13,0)="B", VLOOKUP(E44,EX:FJ,13,0)="C")), "SOBREOFERTA",""
))))))),"")</f>
        <v/>
      </c>
      <c r="E44" s="12"/>
      <c r="F44" s="13"/>
      <c r="G44" s="14"/>
      <c r="H44" s="81" t="str">
        <f t="shared" si="17"/>
        <v/>
      </c>
      <c r="I44" s="7"/>
      <c r="J44" s="6" t="e">
        <f t="shared" si="18"/>
        <v>#N/A</v>
      </c>
      <c r="K44" s="6" t="str">
        <f>IF(A45&lt;&gt;A44,AVERAGEIF(A$9:A44,A44,J$9:J44),"")</f>
        <v/>
      </c>
      <c r="L44" s="7" t="str">
        <f>IFERROR(IF(A45&lt;&gt;A44,AVERAGEIF(A$9:A44,A44,S$9:S44),""),"")</f>
        <v/>
      </c>
      <c r="M44" s="7" t="str">
        <f>IFERROR(IF(A45&lt;&gt;A44,AVERAGEIF(A$9:A44,A44,T$9:T44),""),"")</f>
        <v/>
      </c>
      <c r="N44" s="7" t="str" cm="1">
        <f t="array" ref="N44">IFERROR(IF(A45&lt;&gt;A44,_xlfn.STDEV.P(IF(A$9:A44=A44,T$9:T44)),""),"")</f>
        <v/>
      </c>
      <c r="O44" s="7" t="str" cm="1">
        <f t="array" ref="O44">IFERROR(IF(A45&lt;&gt;A44,_xlfn.STDEV.P(IF(A$9:A44=A44,S$9:S44)),""),"")</f>
        <v/>
      </c>
      <c r="P44" s="8" t="str">
        <f t="shared" si="19"/>
        <v/>
      </c>
      <c r="Q44" s="8" t="str">
        <f t="shared" si="20"/>
        <v/>
      </c>
      <c r="R44" s="8" t="str">
        <f t="shared" si="21"/>
        <v/>
      </c>
      <c r="S44" s="9" t="str">
        <f t="shared" si="22"/>
        <v/>
      </c>
      <c r="T44" s="9" t="str">
        <f t="shared" si="23"/>
        <v/>
      </c>
      <c r="U44" s="14">
        <v>0.37291666666666667</v>
      </c>
      <c r="V44" s="15"/>
      <c r="W44" s="14" t="str">
        <f t="shared" si="38"/>
        <v/>
      </c>
      <c r="X44" s="15"/>
      <c r="Y44" s="2"/>
      <c r="AB44" s="22">
        <f t="shared" si="24"/>
        <v>1</v>
      </c>
      <c r="AC44" s="11"/>
      <c r="AD44" s="11"/>
      <c r="AE44" s="13"/>
      <c r="AF44" s="12"/>
      <c r="AG44" s="13"/>
      <c r="AH44" s="14"/>
      <c r="AI44" s="81" t="str">
        <f t="shared" si="25"/>
        <v/>
      </c>
      <c r="AJ44" s="15"/>
      <c r="AK44" s="6" t="e">
        <f t="shared" si="26"/>
        <v>#N/A</v>
      </c>
      <c r="AL44" s="6" t="str">
        <f>IF(AB45&lt;&gt;AB44,AVERAGEIF(AB$9:AB44,AB44,AK$9:AK44),"")</f>
        <v/>
      </c>
      <c r="AM44" s="7" t="str">
        <f>IFERROR(IF(AB45&lt;&gt;AB44,AVERAGEIF(AB$9:AB44,AB44,AT$9:AT44),""),"")</f>
        <v/>
      </c>
      <c r="AN44" s="7" t="str">
        <f>IFERROR(IF(AB45&lt;&gt;AB44,AVERAGEIF(AB$9:AB44,AB44,AU$9:AU44),""),"")</f>
        <v/>
      </c>
      <c r="AO44" s="7" t="str" cm="1">
        <f t="array" ref="AO44">IFERROR(IF(AB45&lt;&gt;AB44,_xlfn.STDEV.P(IF(AB$9:AB44=AB44,AU$9:AU44)),""),"")</f>
        <v/>
      </c>
      <c r="AP44" s="7" t="str" cm="1">
        <f t="array" ref="AP44">IFERROR(IF(AB45&lt;&gt;AB44,_xlfn.STDEV.P(IF(AB$9:AB44=AB44,AT$9:AT44)),""),"")</f>
        <v/>
      </c>
      <c r="AQ44" s="8" t="str">
        <f t="shared" si="27"/>
        <v/>
      </c>
      <c r="AR44" s="8" t="str">
        <f t="shared" si="28"/>
        <v/>
      </c>
      <c r="AS44" s="8" t="str">
        <f t="shared" si="29"/>
        <v/>
      </c>
      <c r="AT44" s="9" t="str">
        <f t="shared" si="30"/>
        <v/>
      </c>
      <c r="AU44" s="9" t="str">
        <f t="shared" si="31"/>
        <v/>
      </c>
      <c r="AV44" s="14"/>
      <c r="AW44" s="15"/>
      <c r="AX44" s="14" t="str">
        <f t="shared" si="32"/>
        <v/>
      </c>
      <c r="AY44" s="15"/>
      <c r="AZ44" s="23"/>
      <c r="EW44" t="s">
        <v>46</v>
      </c>
      <c r="EX44" s="33">
        <v>1041</v>
      </c>
      <c r="EY44" s="33" t="s">
        <v>167</v>
      </c>
      <c r="EZ44" s="33" t="s">
        <v>168</v>
      </c>
      <c r="FA44" s="33" t="s">
        <v>51</v>
      </c>
      <c r="FB44" s="33" t="s">
        <v>52</v>
      </c>
      <c r="FC44" s="33" t="s">
        <v>53</v>
      </c>
      <c r="FD44" s="33" t="s">
        <v>54</v>
      </c>
      <c r="FE44" s="33">
        <v>2019</v>
      </c>
      <c r="FF44" s="33" t="s">
        <v>55</v>
      </c>
      <c r="FG44" s="33" t="s">
        <v>56</v>
      </c>
      <c r="FH44" s="33" t="s">
        <v>57</v>
      </c>
      <c r="FI44" s="33" t="s">
        <v>58</v>
      </c>
      <c r="FJ44" t="s">
        <v>59</v>
      </c>
      <c r="FM44" s="32" t="s">
        <v>162</v>
      </c>
      <c r="FN44" t="s">
        <v>163</v>
      </c>
      <c r="FO44" t="s">
        <v>164</v>
      </c>
      <c r="FP44" t="str">
        <f t="shared" si="0"/>
        <v>B</v>
      </c>
      <c r="FT44" s="69" t="s">
        <v>7421</v>
      </c>
      <c r="FU44">
        <v>24.594999999999999</v>
      </c>
      <c r="FV44">
        <v>25.695</v>
      </c>
      <c r="FW44">
        <v>26.6</v>
      </c>
      <c r="FX44">
        <v>26.475000000000001</v>
      </c>
      <c r="FY44">
        <v>26</v>
      </c>
      <c r="FZ44">
        <v>12.13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10.955</v>
      </c>
      <c r="GR44">
        <v>22.564999999999998</v>
      </c>
      <c r="GU44" s="53">
        <v>41</v>
      </c>
      <c r="GV44" s="53">
        <v>38</v>
      </c>
      <c r="GY44" t="s">
        <v>7453</v>
      </c>
      <c r="GZ44" s="64" t="s">
        <v>7451</v>
      </c>
      <c r="HA44" s="64" t="s">
        <v>7451</v>
      </c>
      <c r="HB44" s="32">
        <v>9</v>
      </c>
      <c r="HF44" t="s">
        <v>7384</v>
      </c>
      <c r="HG44" s="64" t="s">
        <v>7451</v>
      </c>
      <c r="HH44" s="44" t="s">
        <v>7402</v>
      </c>
      <c r="HI44" s="32" t="s">
        <v>7452</v>
      </c>
    </row>
    <row r="45" spans="1:217" ht="15.5" x14ac:dyDescent="0.35">
      <c r="A45" s="95">
        <f t="shared" si="16"/>
        <v>1</v>
      </c>
      <c r="B45" s="11"/>
      <c r="C45" s="11"/>
      <c r="D45" s="92" t="str">
        <f>IFERROR(
IF(AND(OR(Planilla!B45="C",Planilla!B45="c"), VLOOKUP(E45,EX:FJ,13,0)="C"), "OK",IF(AND(OR(Planilla!B45="C",Planilla!B45="c"), OR(VLOOKUP(E45,EX:FJ,13,0)="B", VLOOKUP(E45,EX:FJ,13,0)="A")), "DEFICIT",IF(
AND(OR(Planilla!B45="B", Planilla!B45="BPAL"), VLOOKUP(E45,EX:FJ,13,0)="B"), "OK",IF(AND(OR(Planilla!B45="B", Planilla!B45="BPAL"), VLOOKUP(E45,EX:FJ,13,0)="A"), "DEFICIT",IF(AND(OR(Planilla!B45="B", Planilla!B45="BPAL"), VLOOKUP(E45,EX:FJ,13,0)="C"), "SOBREOFERTA",IF(AND(Planilla!B45="A", VLOOKUP(E45,EX:FJ,13,0)="A"), "OK",IF(
AND(Planilla!B45="A", OR(VLOOKUP(E45,EX:FJ,13,0)="B", VLOOKUP(E45,EX:FJ,13,0)="C")), "SOBREOFERTA",""
))))))),"")</f>
        <v/>
      </c>
      <c r="E45" s="12"/>
      <c r="F45" s="13"/>
      <c r="G45" s="14"/>
      <c r="H45" s="81" t="str">
        <f t="shared" si="17"/>
        <v/>
      </c>
      <c r="I45" s="7"/>
      <c r="J45" s="6" t="e">
        <f t="shared" si="18"/>
        <v>#N/A</v>
      </c>
      <c r="K45" s="6" t="str">
        <f>IF(A46&lt;&gt;A45,AVERAGEIF(A$9:A45,A45,J$9:J45),"")</f>
        <v/>
      </c>
      <c r="L45" s="7" t="str">
        <f>IFERROR(IF(A46&lt;&gt;A45,AVERAGEIF(A$9:A45,A45,S$9:S45),""),"")</f>
        <v/>
      </c>
      <c r="M45" s="7" t="str">
        <f>IFERROR(IF(A46&lt;&gt;A45,AVERAGEIF(A$9:A45,A45,T$9:T45),""),"")</f>
        <v/>
      </c>
      <c r="N45" s="7" t="str" cm="1">
        <f t="array" ref="N45">IFERROR(IF(A46&lt;&gt;A45,_xlfn.STDEV.P(IF(A$9:A45=A45,T$9:T45)),""),"")</f>
        <v/>
      </c>
      <c r="O45" s="7" t="str" cm="1">
        <f t="array" ref="O45">IFERROR(IF(A46&lt;&gt;A45,_xlfn.STDEV.P(IF(A$9:A45=A45,S$9:S45)),""),"")</f>
        <v/>
      </c>
      <c r="P45" s="8" t="str">
        <f t="shared" si="19"/>
        <v/>
      </c>
      <c r="Q45" s="8" t="str">
        <f t="shared" si="20"/>
        <v/>
      </c>
      <c r="R45" s="8" t="str">
        <f t="shared" si="21"/>
        <v/>
      </c>
      <c r="S45" s="9" t="str">
        <f t="shared" si="22"/>
        <v/>
      </c>
      <c r="T45" s="9" t="str">
        <f t="shared" si="23"/>
        <v/>
      </c>
      <c r="U45" s="14">
        <v>0.37847222222222221</v>
      </c>
      <c r="V45" s="15"/>
      <c r="W45" s="14" t="str">
        <f t="shared" si="38"/>
        <v/>
      </c>
      <c r="X45" s="15"/>
      <c r="Y45" s="2"/>
      <c r="AB45" s="22">
        <f t="shared" si="24"/>
        <v>1</v>
      </c>
      <c r="AC45" s="11"/>
      <c r="AD45" s="11"/>
      <c r="AE45" s="13"/>
      <c r="AF45" s="12"/>
      <c r="AG45" s="13"/>
      <c r="AH45" s="14"/>
      <c r="AI45" s="81" t="str">
        <f t="shared" si="25"/>
        <v/>
      </c>
      <c r="AJ45" s="15"/>
      <c r="AK45" s="6" t="e">
        <f t="shared" si="26"/>
        <v>#N/A</v>
      </c>
      <c r="AL45" s="6" t="str">
        <f>IF(AB46&lt;&gt;AB45,AVERAGEIF(AB$9:AB45,AB45,AK$9:AK45),"")</f>
        <v/>
      </c>
      <c r="AM45" s="7" t="str">
        <f>IFERROR(IF(AB46&lt;&gt;AB45,AVERAGEIF(AB$9:AB45,AB45,AT$9:AT45),""),"")</f>
        <v/>
      </c>
      <c r="AN45" s="7" t="str">
        <f>IFERROR(IF(AB46&lt;&gt;AB45,AVERAGEIF(AB$9:AB45,AB45,AU$9:AU45),""),"")</f>
        <v/>
      </c>
      <c r="AO45" s="7" t="str" cm="1">
        <f t="array" ref="AO45">IFERROR(IF(AB46&lt;&gt;AB45,_xlfn.STDEV.P(IF(AB$9:AB45=AB45,AU$9:AU45)),""),"")</f>
        <v/>
      </c>
      <c r="AP45" s="7" t="str" cm="1">
        <f t="array" ref="AP45">IFERROR(IF(AB46&lt;&gt;AB45,_xlfn.STDEV.P(IF(AB$9:AB45=AB45,AT$9:AT45)),""),"")</f>
        <v/>
      </c>
      <c r="AQ45" s="8" t="str">
        <f t="shared" si="27"/>
        <v/>
      </c>
      <c r="AR45" s="8" t="str">
        <f t="shared" si="28"/>
        <v/>
      </c>
      <c r="AS45" s="8" t="str">
        <f t="shared" si="29"/>
        <v/>
      </c>
      <c r="AT45" s="9" t="str">
        <f t="shared" si="30"/>
        <v/>
      </c>
      <c r="AU45" s="9" t="str">
        <f t="shared" si="31"/>
        <v/>
      </c>
      <c r="AV45" s="14"/>
      <c r="AW45" s="15"/>
      <c r="AX45" s="14" t="str">
        <f t="shared" si="32"/>
        <v/>
      </c>
      <c r="AY45" s="15"/>
      <c r="AZ45" s="23"/>
      <c r="EW45" t="s">
        <v>46</v>
      </c>
      <c r="EX45" s="33">
        <v>1042</v>
      </c>
      <c r="EY45" s="33" t="s">
        <v>169</v>
      </c>
      <c r="EZ45" s="33" t="s">
        <v>170</v>
      </c>
      <c r="FA45" s="33" t="s">
        <v>51</v>
      </c>
      <c r="FB45" s="33" t="s">
        <v>52</v>
      </c>
      <c r="FC45" s="33" t="s">
        <v>53</v>
      </c>
      <c r="FD45" s="33" t="s">
        <v>54</v>
      </c>
      <c r="FE45" s="33">
        <v>2019</v>
      </c>
      <c r="FF45" s="33" t="s">
        <v>55</v>
      </c>
      <c r="FG45" s="33" t="s">
        <v>56</v>
      </c>
      <c r="FH45" s="33" t="s">
        <v>57</v>
      </c>
      <c r="FI45" s="33" t="s">
        <v>58</v>
      </c>
      <c r="FJ45" t="s">
        <v>59</v>
      </c>
      <c r="FM45" s="32" t="s">
        <v>162</v>
      </c>
      <c r="FN45" t="s">
        <v>163</v>
      </c>
      <c r="FO45" t="s">
        <v>164</v>
      </c>
      <c r="FP45" t="str">
        <f t="shared" si="0"/>
        <v>B</v>
      </c>
      <c r="FT45" s="69" t="s">
        <v>7423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19.164999999999999</v>
      </c>
      <c r="GA45">
        <v>15.260000000000002</v>
      </c>
      <c r="GB45">
        <v>13.469999999999999</v>
      </c>
      <c r="GC45">
        <v>14.89</v>
      </c>
      <c r="GD45">
        <v>15.685</v>
      </c>
      <c r="GE45">
        <v>15.995000000000001</v>
      </c>
      <c r="GF45">
        <v>15.765000000000001</v>
      </c>
      <c r="GG45">
        <v>15.49</v>
      </c>
      <c r="GH45">
        <v>15.484999999999999</v>
      </c>
      <c r="GI45">
        <v>15.095000000000001</v>
      </c>
      <c r="GJ45">
        <v>14.615</v>
      </c>
      <c r="GK45">
        <v>13.63</v>
      </c>
      <c r="GL45">
        <v>12.71</v>
      </c>
      <c r="GM45">
        <v>14.45</v>
      </c>
      <c r="GN45">
        <v>16.990000000000002</v>
      </c>
      <c r="GO45">
        <v>19.380000000000003</v>
      </c>
      <c r="GP45">
        <v>20.59</v>
      </c>
      <c r="GQ45">
        <v>21.655000000000001</v>
      </c>
      <c r="GR45">
        <v>11.744999999999999</v>
      </c>
      <c r="GU45" s="53">
        <v>42</v>
      </c>
      <c r="GV45" s="53">
        <v>39</v>
      </c>
      <c r="GY45" t="s">
        <v>7453</v>
      </c>
      <c r="GZ45" s="64" t="s">
        <v>7409</v>
      </c>
      <c r="HA45" s="64" t="s">
        <v>7409</v>
      </c>
      <c r="HB45" s="32">
        <v>22</v>
      </c>
      <c r="HF45" t="s">
        <v>7384</v>
      </c>
      <c r="HG45" s="64" t="s">
        <v>7409</v>
      </c>
      <c r="HH45" s="44" t="s">
        <v>7402</v>
      </c>
      <c r="HI45" s="32" t="s">
        <v>7410</v>
      </c>
    </row>
    <row r="46" spans="1:217" ht="15.5" x14ac:dyDescent="0.35">
      <c r="A46" s="95">
        <f t="shared" si="16"/>
        <v>1</v>
      </c>
      <c r="B46" s="11"/>
      <c r="C46" s="11"/>
      <c r="D46" s="92" t="str">
        <f>IFERROR(
IF(AND(OR(Planilla!B46="C",Planilla!B46="c"), VLOOKUP(E46,EX:FJ,13,0)="C"), "OK",IF(AND(OR(Planilla!B46="C",Planilla!B46="c"), OR(VLOOKUP(E46,EX:FJ,13,0)="B", VLOOKUP(E46,EX:FJ,13,0)="A")), "DEFICIT",IF(
AND(OR(Planilla!B46="B", Planilla!B46="BPAL"), VLOOKUP(E46,EX:FJ,13,0)="B"), "OK",IF(AND(OR(Planilla!B46="B", Planilla!B46="BPAL"), VLOOKUP(E46,EX:FJ,13,0)="A"), "DEFICIT",IF(AND(OR(Planilla!B46="B", Planilla!B46="BPAL"), VLOOKUP(E46,EX:FJ,13,0)="C"), "SOBREOFERTA",IF(AND(Planilla!B46="A", VLOOKUP(E46,EX:FJ,13,0)="A"), "OK",IF(
AND(Planilla!B46="A", OR(VLOOKUP(E46,EX:FJ,13,0)="B", VLOOKUP(E46,EX:FJ,13,0)="C")), "SOBREOFERTA",""
))))))),"")</f>
        <v/>
      </c>
      <c r="E46" s="12"/>
      <c r="F46" s="13"/>
      <c r="G46" s="14"/>
      <c r="H46" s="81" t="str">
        <f t="shared" si="17"/>
        <v/>
      </c>
      <c r="I46" s="7"/>
      <c r="J46" s="6" t="e">
        <f t="shared" si="18"/>
        <v>#N/A</v>
      </c>
      <c r="K46" s="6" t="str">
        <f>IF(A47&lt;&gt;A46,AVERAGEIF(A$9:A46,A46,J$9:J46),"")</f>
        <v/>
      </c>
      <c r="L46" s="7" t="str">
        <f>IFERROR(IF(A47&lt;&gt;A46,AVERAGEIF(A$9:A46,A46,S$9:S46),""),"")</f>
        <v/>
      </c>
      <c r="M46" s="7" t="str">
        <f>IFERROR(IF(A47&lt;&gt;A46,AVERAGEIF(A$9:A46,A46,T$9:T46),""),"")</f>
        <v/>
      </c>
      <c r="N46" s="7" t="str" cm="1">
        <f t="array" ref="N46">IFERROR(IF(A47&lt;&gt;A46,_xlfn.STDEV.P(IF(A$9:A46=A46,T$9:T46)),""),"")</f>
        <v/>
      </c>
      <c r="O46" s="7" t="str" cm="1">
        <f t="array" ref="O46">IFERROR(IF(A47&lt;&gt;A46,_xlfn.STDEV.P(IF(A$9:A46=A46,S$9:S46)),""),"")</f>
        <v/>
      </c>
      <c r="P46" s="8" t="str">
        <f t="shared" si="19"/>
        <v/>
      </c>
      <c r="Q46" s="8" t="str">
        <f t="shared" si="20"/>
        <v/>
      </c>
      <c r="R46" s="8" t="str">
        <f t="shared" si="21"/>
        <v/>
      </c>
      <c r="S46" s="9" t="str">
        <f t="shared" si="22"/>
        <v/>
      </c>
      <c r="T46" s="9" t="str">
        <f t="shared" si="23"/>
        <v/>
      </c>
      <c r="U46" s="14">
        <v>0.38333333333333336</v>
      </c>
      <c r="V46" s="15"/>
      <c r="W46" s="14" t="str">
        <f t="shared" si="38"/>
        <v/>
      </c>
      <c r="X46" s="15"/>
      <c r="Y46" s="2"/>
      <c r="AB46" s="22">
        <f t="shared" si="24"/>
        <v>1</v>
      </c>
      <c r="AC46" s="11"/>
      <c r="AD46" s="11"/>
      <c r="AE46" s="13"/>
      <c r="AF46" s="12"/>
      <c r="AG46" s="13"/>
      <c r="AH46" s="14"/>
      <c r="AI46" s="81" t="str">
        <f t="shared" si="25"/>
        <v/>
      </c>
      <c r="AJ46" s="15"/>
      <c r="AK46" s="6" t="e">
        <f t="shared" si="26"/>
        <v>#N/A</v>
      </c>
      <c r="AL46" s="6" t="str">
        <f>IF(AB47&lt;&gt;AB46,AVERAGEIF(AB$9:AB46,AB46,AK$9:AK46),"")</f>
        <v/>
      </c>
      <c r="AM46" s="7" t="str">
        <f>IFERROR(IF(AB47&lt;&gt;AB46,AVERAGEIF(AB$9:AB46,AB46,AT$9:AT46),""),"")</f>
        <v/>
      </c>
      <c r="AN46" s="7" t="str">
        <f>IFERROR(IF(AB47&lt;&gt;AB46,AVERAGEIF(AB$9:AB46,AB46,AU$9:AU46),""),"")</f>
        <v/>
      </c>
      <c r="AO46" s="7" t="str" cm="1">
        <f t="array" ref="AO46">IFERROR(IF(AB47&lt;&gt;AB46,_xlfn.STDEV.P(IF(AB$9:AB46=AB46,AU$9:AU46)),""),"")</f>
        <v/>
      </c>
      <c r="AP46" s="7" t="str" cm="1">
        <f t="array" ref="AP46">IFERROR(IF(AB47&lt;&gt;AB46,_xlfn.STDEV.P(IF(AB$9:AB46=AB46,AT$9:AT46)),""),"")</f>
        <v/>
      </c>
      <c r="AQ46" s="8" t="str">
        <f t="shared" si="27"/>
        <v/>
      </c>
      <c r="AR46" s="8" t="str">
        <f t="shared" si="28"/>
        <v/>
      </c>
      <c r="AS46" s="8" t="str">
        <f t="shared" si="29"/>
        <v/>
      </c>
      <c r="AT46" s="9" t="str">
        <f t="shared" si="30"/>
        <v/>
      </c>
      <c r="AU46" s="9" t="str">
        <f t="shared" si="31"/>
        <v/>
      </c>
      <c r="AV46" s="14"/>
      <c r="AW46" s="15"/>
      <c r="AX46" s="14" t="str">
        <f t="shared" si="32"/>
        <v/>
      </c>
      <c r="AY46" s="15"/>
      <c r="AZ46" s="23"/>
      <c r="EW46" t="s">
        <v>46</v>
      </c>
      <c r="EX46" s="33">
        <v>1043</v>
      </c>
      <c r="EY46" s="33" t="s">
        <v>171</v>
      </c>
      <c r="EZ46" s="33" t="s">
        <v>172</v>
      </c>
      <c r="FA46" s="33" t="s">
        <v>51</v>
      </c>
      <c r="FB46" s="33" t="s">
        <v>52</v>
      </c>
      <c r="FC46" s="33" t="s">
        <v>53</v>
      </c>
      <c r="FD46" s="33" t="s">
        <v>54</v>
      </c>
      <c r="FE46" s="33">
        <v>2019</v>
      </c>
      <c r="FF46" s="33" t="s">
        <v>55</v>
      </c>
      <c r="FG46" s="33" t="s">
        <v>56</v>
      </c>
      <c r="FH46" s="33" t="s">
        <v>57</v>
      </c>
      <c r="FI46" s="33" t="s">
        <v>58</v>
      </c>
      <c r="FJ46" t="s">
        <v>59</v>
      </c>
      <c r="FM46" s="32" t="s">
        <v>162</v>
      </c>
      <c r="FN46" t="s">
        <v>163</v>
      </c>
      <c r="FO46" t="s">
        <v>164</v>
      </c>
      <c r="FP46" t="str">
        <f t="shared" si="0"/>
        <v>B</v>
      </c>
      <c r="FT46" s="69" t="s">
        <v>7426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12.42</v>
      </c>
      <c r="GA46">
        <v>22.405000000000001</v>
      </c>
      <c r="GB46">
        <v>18.035</v>
      </c>
      <c r="GC46">
        <v>19.93</v>
      </c>
      <c r="GD46">
        <v>21.93</v>
      </c>
      <c r="GE46">
        <v>22.844999999999999</v>
      </c>
      <c r="GF46">
        <v>22.315000000000001</v>
      </c>
      <c r="GG46">
        <v>21.024999999999999</v>
      </c>
      <c r="GH46">
        <v>20.549999999999997</v>
      </c>
      <c r="GI46">
        <v>20.39</v>
      </c>
      <c r="GJ46">
        <v>19.585000000000001</v>
      </c>
      <c r="GK46">
        <v>18.45</v>
      </c>
      <c r="GL46">
        <v>17.405000000000001</v>
      </c>
      <c r="GM46">
        <v>18.229999999999997</v>
      </c>
      <c r="GN46">
        <v>20.350000000000001</v>
      </c>
      <c r="GO46">
        <v>23.085000000000001</v>
      </c>
      <c r="GP46">
        <v>24.375</v>
      </c>
      <c r="GQ46">
        <v>26.055</v>
      </c>
      <c r="GR46">
        <v>28.43</v>
      </c>
      <c r="GU46" s="53">
        <v>43</v>
      </c>
      <c r="GV46" s="53">
        <v>40</v>
      </c>
      <c r="GY46" t="s">
        <v>7453</v>
      </c>
      <c r="GZ46" s="64" t="s">
        <v>7400</v>
      </c>
      <c r="HA46" s="64" t="s">
        <v>7400</v>
      </c>
      <c r="HB46" s="32">
        <v>33</v>
      </c>
      <c r="HF46" t="s">
        <v>7384</v>
      </c>
      <c r="HG46" s="64" t="s">
        <v>7400</v>
      </c>
      <c r="HH46" s="44" t="s">
        <v>7395</v>
      </c>
      <c r="HI46" s="32" t="s">
        <v>7401</v>
      </c>
    </row>
    <row r="47" spans="1:217" ht="15.5" x14ac:dyDescent="0.35">
      <c r="A47" s="95">
        <f t="shared" si="16"/>
        <v>1</v>
      </c>
      <c r="B47" s="11"/>
      <c r="C47" s="11"/>
      <c r="D47" s="92" t="str">
        <f>IFERROR(
IF(AND(OR(Planilla!B47="C",Planilla!B47="c"), VLOOKUP(E47,EX:FJ,13,0)="C"), "OK",IF(AND(OR(Planilla!B47="C",Planilla!B47="c"), OR(VLOOKUP(E47,EX:FJ,13,0)="B", VLOOKUP(E47,EX:FJ,13,0)="A")), "DEFICIT",IF(
AND(OR(Planilla!B47="B", Planilla!B47="BPAL"), VLOOKUP(E47,EX:FJ,13,0)="B"), "OK",IF(AND(OR(Planilla!B47="B", Planilla!B47="BPAL"), VLOOKUP(E47,EX:FJ,13,0)="A"), "DEFICIT",IF(AND(OR(Planilla!B47="B", Planilla!B47="BPAL"), VLOOKUP(E47,EX:FJ,13,0)="C"), "SOBREOFERTA",IF(AND(Planilla!B47="A", VLOOKUP(E47,EX:FJ,13,0)="A"), "OK",IF(
AND(Planilla!B47="A", OR(VLOOKUP(E47,EX:FJ,13,0)="B", VLOOKUP(E47,EX:FJ,13,0)="C")), "SOBREOFERTA",""
))))))),"")</f>
        <v/>
      </c>
      <c r="E47" s="12"/>
      <c r="F47" s="13"/>
      <c r="G47" s="14"/>
      <c r="H47" s="81" t="str">
        <f t="shared" si="17"/>
        <v/>
      </c>
      <c r="I47" s="7"/>
      <c r="J47" s="6" t="e">
        <f t="shared" si="18"/>
        <v>#N/A</v>
      </c>
      <c r="K47" s="6" t="str">
        <f>IF(A48&lt;&gt;A47,AVERAGEIF(A$9:A47,A47,J$9:J47),"")</f>
        <v/>
      </c>
      <c r="L47" s="7" t="str">
        <f>IFERROR(IF(A48&lt;&gt;A47,AVERAGEIF(A$9:A47,A47,S$9:S47),""),"")</f>
        <v/>
      </c>
      <c r="M47" s="7" t="str">
        <f>IFERROR(IF(A48&lt;&gt;A47,AVERAGEIF(A$9:A47,A47,T$9:T47),""),"")</f>
        <v/>
      </c>
      <c r="N47" s="7" t="str" cm="1">
        <f t="array" ref="N47">IFERROR(IF(A48&lt;&gt;A47,_xlfn.STDEV.P(IF(A$9:A47=A47,T$9:T47)),""),"")</f>
        <v/>
      </c>
      <c r="O47" s="7" t="str" cm="1">
        <f t="array" ref="O47">IFERROR(IF(A48&lt;&gt;A47,_xlfn.STDEV.P(IF(A$9:A47=A47,S$9:S47)),""),"")</f>
        <v/>
      </c>
      <c r="P47" s="8" t="str">
        <f t="shared" si="19"/>
        <v/>
      </c>
      <c r="Q47" s="8" t="str">
        <f t="shared" si="20"/>
        <v/>
      </c>
      <c r="R47" s="8" t="str">
        <f t="shared" si="21"/>
        <v/>
      </c>
      <c r="S47" s="9" t="str">
        <f t="shared" si="22"/>
        <v/>
      </c>
      <c r="T47" s="9" t="str">
        <f t="shared" si="23"/>
        <v/>
      </c>
      <c r="U47" s="14">
        <v>0.39652777777777776</v>
      </c>
      <c r="V47" s="15"/>
      <c r="W47" s="14" t="str">
        <f t="shared" si="38"/>
        <v/>
      </c>
      <c r="X47" s="15"/>
      <c r="Y47" s="2"/>
      <c r="AB47" s="22">
        <f t="shared" si="24"/>
        <v>1</v>
      </c>
      <c r="AC47" s="11"/>
      <c r="AD47" s="11"/>
      <c r="AE47" s="13"/>
      <c r="AF47" s="12"/>
      <c r="AG47" s="13"/>
      <c r="AH47" s="14"/>
      <c r="AI47" s="81" t="str">
        <f t="shared" si="25"/>
        <v/>
      </c>
      <c r="AJ47" s="15"/>
      <c r="AK47" s="6" t="e">
        <f t="shared" si="26"/>
        <v>#N/A</v>
      </c>
      <c r="AL47" s="6" t="str">
        <f>IF(AB48&lt;&gt;AB47,AVERAGEIF(AB$9:AB47,AB47,AK$9:AK47),"")</f>
        <v/>
      </c>
      <c r="AM47" s="7" t="str">
        <f>IFERROR(IF(AB48&lt;&gt;AB47,AVERAGEIF(AB$9:AB47,AB47,AT$9:AT47),""),"")</f>
        <v/>
      </c>
      <c r="AN47" s="7" t="str">
        <f>IFERROR(IF(AB48&lt;&gt;AB47,AVERAGEIF(AB$9:AB47,AB47,AU$9:AU47),""),"")</f>
        <v/>
      </c>
      <c r="AO47" s="7" t="str" cm="1">
        <f t="array" ref="AO47">IFERROR(IF(AB48&lt;&gt;AB47,_xlfn.STDEV.P(IF(AB$9:AB47=AB47,AU$9:AU47)),""),"")</f>
        <v/>
      </c>
      <c r="AP47" s="7" t="str" cm="1">
        <f t="array" ref="AP47">IFERROR(IF(AB48&lt;&gt;AB47,_xlfn.STDEV.P(IF(AB$9:AB47=AB47,AT$9:AT47)),""),"")</f>
        <v/>
      </c>
      <c r="AQ47" s="8" t="str">
        <f t="shared" si="27"/>
        <v/>
      </c>
      <c r="AR47" s="8" t="str">
        <f t="shared" si="28"/>
        <v/>
      </c>
      <c r="AS47" s="8" t="str">
        <f t="shared" si="29"/>
        <v/>
      </c>
      <c r="AT47" s="9" t="str">
        <f t="shared" si="30"/>
        <v/>
      </c>
      <c r="AU47" s="9" t="str">
        <f t="shared" si="31"/>
        <v/>
      </c>
      <c r="AV47" s="14"/>
      <c r="AW47" s="15"/>
      <c r="AX47" s="14" t="str">
        <f t="shared" si="32"/>
        <v/>
      </c>
      <c r="AY47" s="15"/>
      <c r="AZ47" s="23"/>
      <c r="EW47" t="s">
        <v>46</v>
      </c>
      <c r="EX47" s="33">
        <v>1044</v>
      </c>
      <c r="EY47" s="33" t="s">
        <v>173</v>
      </c>
      <c r="EZ47" s="33" t="s">
        <v>174</v>
      </c>
      <c r="FA47" s="33" t="s">
        <v>51</v>
      </c>
      <c r="FB47" s="33" t="s">
        <v>52</v>
      </c>
      <c r="FC47" s="33" t="s">
        <v>53</v>
      </c>
      <c r="FD47" s="33" t="s">
        <v>54</v>
      </c>
      <c r="FE47" s="33">
        <v>2019</v>
      </c>
      <c r="FF47" s="33" t="s">
        <v>55</v>
      </c>
      <c r="FG47" s="33" t="s">
        <v>56</v>
      </c>
      <c r="FH47" s="33" t="s">
        <v>57</v>
      </c>
      <c r="FI47" s="33" t="s">
        <v>58</v>
      </c>
      <c r="FJ47" t="s">
        <v>59</v>
      </c>
      <c r="FM47" s="32" t="s">
        <v>162</v>
      </c>
      <c r="FN47" t="s">
        <v>163</v>
      </c>
      <c r="FO47" t="s">
        <v>164</v>
      </c>
      <c r="FP47" t="str">
        <f t="shared" si="0"/>
        <v>B</v>
      </c>
      <c r="FT47" s="69" t="s">
        <v>7426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12.38</v>
      </c>
      <c r="GA47">
        <v>21.95</v>
      </c>
      <c r="GB47">
        <v>18.509999999999998</v>
      </c>
      <c r="GC47">
        <v>19.625</v>
      </c>
      <c r="GD47">
        <v>22.254999999999999</v>
      </c>
      <c r="GE47">
        <v>22.975000000000001</v>
      </c>
      <c r="GF47">
        <v>22.55</v>
      </c>
      <c r="GG47">
        <v>21.91</v>
      </c>
      <c r="GH47">
        <v>21.384999999999998</v>
      </c>
      <c r="GI47">
        <v>21.41</v>
      </c>
      <c r="GJ47">
        <v>20.75</v>
      </c>
      <c r="GK47">
        <v>19.600000000000001</v>
      </c>
      <c r="GL47">
        <v>18.53</v>
      </c>
      <c r="GM47">
        <v>20.344999999999999</v>
      </c>
      <c r="GN47">
        <v>22.645000000000003</v>
      </c>
      <c r="GO47">
        <v>25.340000000000003</v>
      </c>
      <c r="GP47">
        <v>27.005000000000003</v>
      </c>
      <c r="GQ47">
        <v>28.274999999999999</v>
      </c>
      <c r="GR47">
        <v>14.49</v>
      </c>
      <c r="GU47" s="53">
        <v>44</v>
      </c>
      <c r="GV47" s="53">
        <v>41</v>
      </c>
      <c r="GY47" t="s">
        <v>7453</v>
      </c>
      <c r="GZ47" s="64" t="s">
        <v>7386</v>
      </c>
      <c r="HA47" s="64" t="s">
        <v>7386</v>
      </c>
      <c r="HB47" s="32">
        <v>38</v>
      </c>
      <c r="HF47" t="s">
        <v>7384</v>
      </c>
      <c r="HG47" s="64" t="s">
        <v>7386</v>
      </c>
      <c r="HH47" s="44" t="s">
        <v>7385</v>
      </c>
      <c r="HI47" s="32" t="s">
        <v>7387</v>
      </c>
    </row>
    <row r="48" spans="1:217" ht="15.5" x14ac:dyDescent="0.35">
      <c r="A48" s="95">
        <f t="shared" si="16"/>
        <v>1</v>
      </c>
      <c r="B48" s="11"/>
      <c r="C48" s="11"/>
      <c r="D48" s="92" t="str">
        <f>IFERROR(
IF(AND(OR(Planilla!B48="C",Planilla!B48="c"), VLOOKUP(E48,EX:FJ,13,0)="C"), "OK",IF(AND(OR(Planilla!B48="C",Planilla!B48="c"), OR(VLOOKUP(E48,EX:FJ,13,0)="B", VLOOKUP(E48,EX:FJ,13,0)="A")), "DEFICIT",IF(
AND(OR(Planilla!B48="B", Planilla!B48="BPAL"), VLOOKUP(E48,EX:FJ,13,0)="B"), "OK",IF(AND(OR(Planilla!B48="B", Planilla!B48="BPAL"), VLOOKUP(E48,EX:FJ,13,0)="A"), "DEFICIT",IF(AND(OR(Planilla!B48="B", Planilla!B48="BPAL"), VLOOKUP(E48,EX:FJ,13,0)="C"), "SOBREOFERTA",IF(AND(Planilla!B48="A", VLOOKUP(E48,EX:FJ,13,0)="A"), "OK",IF(
AND(Planilla!B48="A", OR(VLOOKUP(E48,EX:FJ,13,0)="B", VLOOKUP(E48,EX:FJ,13,0)="C")), "SOBREOFERTA",""
))))))),"")</f>
        <v/>
      </c>
      <c r="E48" s="12"/>
      <c r="F48" s="13"/>
      <c r="G48" s="14"/>
      <c r="H48" s="81" t="str">
        <f t="shared" si="17"/>
        <v/>
      </c>
      <c r="I48" s="7"/>
      <c r="J48" s="6" t="e">
        <f t="shared" si="18"/>
        <v>#N/A</v>
      </c>
      <c r="K48" s="6" t="str">
        <f>IF(A49&lt;&gt;A48,AVERAGEIF(A$9:A48,A48,J$9:J48),"")</f>
        <v/>
      </c>
      <c r="L48" s="7" t="str">
        <f>IFERROR(IF(A49&lt;&gt;A48,AVERAGEIF(A$9:A48,A48,S$9:S48),""),"")</f>
        <v/>
      </c>
      <c r="M48" s="7" t="str">
        <f>IFERROR(IF(A49&lt;&gt;A48,AVERAGEIF(A$9:A48,A48,T$9:T48),""),"")</f>
        <v/>
      </c>
      <c r="N48" s="7" t="str" cm="1">
        <f t="array" ref="N48">IFERROR(IF(A49&lt;&gt;A48,_xlfn.STDEV.P(IF(A$9:A48=A48,T$9:T48)),""),"")</f>
        <v/>
      </c>
      <c r="O48" s="7" t="str" cm="1">
        <f t="array" ref="O48">IFERROR(IF(A49&lt;&gt;A48,_xlfn.STDEV.P(IF(A$9:A48=A48,S$9:S48)),""),"")</f>
        <v/>
      </c>
      <c r="P48" s="8" t="str">
        <f t="shared" si="19"/>
        <v/>
      </c>
      <c r="Q48" s="8" t="str">
        <f t="shared" si="20"/>
        <v/>
      </c>
      <c r="R48" s="8" t="str">
        <f t="shared" si="21"/>
        <v/>
      </c>
      <c r="S48" s="9" t="str">
        <f t="shared" si="22"/>
        <v/>
      </c>
      <c r="T48" s="9" t="str">
        <f t="shared" si="23"/>
        <v/>
      </c>
      <c r="U48" s="14">
        <v>0.40138888888888891</v>
      </c>
      <c r="V48" s="15"/>
      <c r="W48" s="14" t="str">
        <f t="shared" si="38"/>
        <v/>
      </c>
      <c r="X48" s="15"/>
      <c r="Y48" s="2"/>
      <c r="AB48" s="22">
        <f t="shared" si="24"/>
        <v>1</v>
      </c>
      <c r="AC48" s="11"/>
      <c r="AD48" s="11"/>
      <c r="AE48" s="13"/>
      <c r="AF48" s="12"/>
      <c r="AG48" s="13"/>
      <c r="AH48" s="14"/>
      <c r="AI48" s="81" t="str">
        <f t="shared" si="25"/>
        <v/>
      </c>
      <c r="AJ48" s="15"/>
      <c r="AK48" s="6" t="e">
        <f t="shared" si="26"/>
        <v>#N/A</v>
      </c>
      <c r="AL48" s="6" t="str">
        <f>IF(AB49&lt;&gt;AB48,AVERAGEIF(AB$9:AB48,AB48,AK$9:AK48),"")</f>
        <v/>
      </c>
      <c r="AM48" s="7" t="str">
        <f>IFERROR(IF(AB49&lt;&gt;AB48,AVERAGEIF(AB$9:AB48,AB48,AT$9:AT48),""),"")</f>
        <v/>
      </c>
      <c r="AN48" s="7" t="str">
        <f>IFERROR(IF(AB49&lt;&gt;AB48,AVERAGEIF(AB$9:AB48,AB48,AU$9:AU48),""),"")</f>
        <v/>
      </c>
      <c r="AO48" s="7" t="str" cm="1">
        <f t="array" ref="AO48">IFERROR(IF(AB49&lt;&gt;AB48,_xlfn.STDEV.P(IF(AB$9:AB48=AB48,AU$9:AU48)),""),"")</f>
        <v/>
      </c>
      <c r="AP48" s="7" t="str" cm="1">
        <f t="array" ref="AP48">IFERROR(IF(AB49&lt;&gt;AB48,_xlfn.STDEV.P(IF(AB$9:AB48=AB48,AT$9:AT48)),""),"")</f>
        <v/>
      </c>
      <c r="AQ48" s="8" t="str">
        <f t="shared" si="27"/>
        <v/>
      </c>
      <c r="AR48" s="8" t="str">
        <f t="shared" si="28"/>
        <v/>
      </c>
      <c r="AS48" s="8" t="str">
        <f t="shared" si="29"/>
        <v/>
      </c>
      <c r="AT48" s="9" t="str">
        <f t="shared" si="30"/>
        <v/>
      </c>
      <c r="AU48" s="9" t="str">
        <f t="shared" si="31"/>
        <v/>
      </c>
      <c r="AV48" s="14"/>
      <c r="AW48" s="15"/>
      <c r="AX48" s="14" t="str">
        <f t="shared" si="32"/>
        <v/>
      </c>
      <c r="AY48" s="15"/>
      <c r="AZ48" s="23"/>
      <c r="EW48" t="s">
        <v>46</v>
      </c>
      <c r="EX48" s="33">
        <v>1045</v>
      </c>
      <c r="EY48" s="33" t="s">
        <v>175</v>
      </c>
      <c r="EZ48" s="33" t="s">
        <v>176</v>
      </c>
      <c r="FA48" s="33" t="s">
        <v>51</v>
      </c>
      <c r="FB48" s="33" t="s">
        <v>52</v>
      </c>
      <c r="FC48" s="33" t="s">
        <v>53</v>
      </c>
      <c r="FD48" s="33" t="s">
        <v>54</v>
      </c>
      <c r="FE48" s="33">
        <v>2019</v>
      </c>
      <c r="FF48" s="33" t="s">
        <v>55</v>
      </c>
      <c r="FG48" s="33" t="s">
        <v>56</v>
      </c>
      <c r="FH48" s="33" t="s">
        <v>57</v>
      </c>
      <c r="FI48" s="33" t="s">
        <v>58</v>
      </c>
      <c r="FJ48" t="s">
        <v>59</v>
      </c>
      <c r="FM48" s="32" t="s">
        <v>177</v>
      </c>
      <c r="FN48" t="s">
        <v>178</v>
      </c>
      <c r="FO48" t="s">
        <v>179</v>
      </c>
      <c r="FP48" t="str">
        <f t="shared" si="0"/>
        <v>B</v>
      </c>
      <c r="FT48" s="69" t="s">
        <v>7424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25.4</v>
      </c>
      <c r="GA48">
        <v>21.225000000000001</v>
      </c>
      <c r="GB48">
        <v>17.785</v>
      </c>
      <c r="GC48">
        <v>19.259999999999998</v>
      </c>
      <c r="GD48">
        <v>20.875</v>
      </c>
      <c r="GE48">
        <v>21.24</v>
      </c>
      <c r="GF48">
        <v>20.82</v>
      </c>
      <c r="GG48">
        <v>19.850000000000001</v>
      </c>
      <c r="GH48">
        <v>19.18</v>
      </c>
      <c r="GI48">
        <v>19.11</v>
      </c>
      <c r="GJ48">
        <v>18.425000000000001</v>
      </c>
      <c r="GK48">
        <v>17.965</v>
      </c>
      <c r="GL48">
        <v>17.11</v>
      </c>
      <c r="GM48">
        <v>16.524999999999999</v>
      </c>
      <c r="GN48">
        <v>18.420000000000002</v>
      </c>
      <c r="GO48">
        <v>20.465</v>
      </c>
      <c r="GP48">
        <v>21.384999999999998</v>
      </c>
      <c r="GQ48">
        <v>21.605</v>
      </c>
      <c r="GR48">
        <v>0</v>
      </c>
      <c r="GU48" s="53">
        <v>45</v>
      </c>
      <c r="GV48" s="53">
        <v>42</v>
      </c>
      <c r="GY48" t="s">
        <v>7453</v>
      </c>
      <c r="GZ48" s="64" t="s">
        <v>7416</v>
      </c>
      <c r="HA48" s="64" t="s">
        <v>7416</v>
      </c>
      <c r="HB48" s="32">
        <v>39</v>
      </c>
      <c r="HF48" t="s">
        <v>7384</v>
      </c>
      <c r="HG48" s="64" t="s">
        <v>7416</v>
      </c>
      <c r="HH48" s="44" t="s">
        <v>7385</v>
      </c>
      <c r="HI48" s="32" t="s">
        <v>7417</v>
      </c>
    </row>
    <row r="49" spans="1:217" ht="15.5" x14ac:dyDescent="0.35">
      <c r="A49" s="95">
        <f t="shared" si="16"/>
        <v>1</v>
      </c>
      <c r="B49" s="11"/>
      <c r="C49" s="11"/>
      <c r="D49" s="92" t="str">
        <f>IFERROR(
IF(AND(OR(Planilla!B49="C",Planilla!B49="c"), VLOOKUP(E49,EX:FJ,13,0)="C"), "OK",IF(AND(OR(Planilla!B49="C",Planilla!B49="c"), OR(VLOOKUP(E49,EX:FJ,13,0)="B", VLOOKUP(E49,EX:FJ,13,0)="A")), "DEFICIT",IF(
AND(OR(Planilla!B49="B", Planilla!B49="BPAL"), VLOOKUP(E49,EX:FJ,13,0)="B"), "OK",IF(AND(OR(Planilla!B49="B", Planilla!B49="BPAL"), VLOOKUP(E49,EX:FJ,13,0)="A"), "DEFICIT",IF(AND(OR(Planilla!B49="B", Planilla!B49="BPAL"), VLOOKUP(E49,EX:FJ,13,0)="C"), "SOBREOFERTA",IF(AND(Planilla!B49="A", VLOOKUP(E49,EX:FJ,13,0)="A"), "OK",IF(
AND(Planilla!B49="A", OR(VLOOKUP(E49,EX:FJ,13,0)="B", VLOOKUP(E49,EX:FJ,13,0)="C")), "SOBREOFERTA",""
))))))),"")</f>
        <v/>
      </c>
      <c r="E49" s="12"/>
      <c r="F49" s="13"/>
      <c r="G49" s="14"/>
      <c r="H49" s="81" t="str">
        <f t="shared" si="17"/>
        <v/>
      </c>
      <c r="I49" s="7"/>
      <c r="J49" s="6" t="e">
        <f t="shared" si="18"/>
        <v>#N/A</v>
      </c>
      <c r="K49" s="6" t="str">
        <f>IF(A50&lt;&gt;A49,AVERAGEIF(A$9:A49,A49,J$9:J49),"")</f>
        <v/>
      </c>
      <c r="L49" s="7" t="str">
        <f>IFERROR(IF(A50&lt;&gt;A49,AVERAGEIF(A$9:A49,A49,S$9:S49),""),"")</f>
        <v/>
      </c>
      <c r="M49" s="7" t="str">
        <f>IFERROR(IF(A50&lt;&gt;A49,AVERAGEIF(A$9:A49,A49,T$9:T49),""),"")</f>
        <v/>
      </c>
      <c r="N49" s="7" t="str" cm="1">
        <f t="array" ref="N49">IFERROR(IF(A50&lt;&gt;A49,_xlfn.STDEV.P(IF(A$9:A49=A49,T$9:T49)),""),"")</f>
        <v/>
      </c>
      <c r="O49" s="7" t="str" cm="1">
        <f t="array" ref="O49">IFERROR(IF(A50&lt;&gt;A49,_xlfn.STDEV.P(IF(A$9:A49=A49,S$9:S49)),""),"")</f>
        <v/>
      </c>
      <c r="P49" s="8" t="str">
        <f t="shared" si="19"/>
        <v/>
      </c>
      <c r="Q49" s="8" t="str">
        <f t="shared" si="20"/>
        <v/>
      </c>
      <c r="R49" s="8" t="str">
        <f t="shared" si="21"/>
        <v/>
      </c>
      <c r="S49" s="9" t="str">
        <f t="shared" si="22"/>
        <v/>
      </c>
      <c r="T49" s="9" t="str">
        <f t="shared" si="23"/>
        <v/>
      </c>
      <c r="U49" s="14">
        <v>0.40694444444444444</v>
      </c>
      <c r="V49" s="15"/>
      <c r="W49" s="14" t="str">
        <f t="shared" si="38"/>
        <v/>
      </c>
      <c r="X49" s="15"/>
      <c r="Y49" s="2"/>
      <c r="AB49" s="22">
        <f t="shared" si="24"/>
        <v>1</v>
      </c>
      <c r="AC49" s="11"/>
      <c r="AD49" s="11"/>
      <c r="AE49" s="13"/>
      <c r="AF49" s="12"/>
      <c r="AG49" s="13"/>
      <c r="AH49" s="14"/>
      <c r="AI49" s="81" t="str">
        <f t="shared" si="25"/>
        <v/>
      </c>
      <c r="AJ49" s="15"/>
      <c r="AK49" s="6" t="e">
        <f t="shared" si="26"/>
        <v>#N/A</v>
      </c>
      <c r="AL49" s="6" t="str">
        <f>IF(AB50&lt;&gt;AB49,AVERAGEIF(AB$9:AB49,AB49,AK$9:AK49),"")</f>
        <v/>
      </c>
      <c r="AM49" s="7" t="str">
        <f>IFERROR(IF(AB50&lt;&gt;AB49,AVERAGEIF(AB$9:AB49,AB49,AT$9:AT49),""),"")</f>
        <v/>
      </c>
      <c r="AN49" s="7" t="str">
        <f>IFERROR(IF(AB50&lt;&gt;AB49,AVERAGEIF(AB$9:AB49,AB49,AU$9:AU49),""),"")</f>
        <v/>
      </c>
      <c r="AO49" s="7" t="str" cm="1">
        <f t="array" ref="AO49">IFERROR(IF(AB50&lt;&gt;AB49,_xlfn.STDEV.P(IF(AB$9:AB49=AB49,AU$9:AU49)),""),"")</f>
        <v/>
      </c>
      <c r="AP49" s="7" t="str" cm="1">
        <f t="array" ref="AP49">IFERROR(IF(AB50&lt;&gt;AB49,_xlfn.STDEV.P(IF(AB$9:AB49=AB49,AT$9:AT49)),""),"")</f>
        <v/>
      </c>
      <c r="AQ49" s="8" t="str">
        <f t="shared" si="27"/>
        <v/>
      </c>
      <c r="AR49" s="8" t="str">
        <f t="shared" si="28"/>
        <v/>
      </c>
      <c r="AS49" s="8" t="str">
        <f t="shared" si="29"/>
        <v/>
      </c>
      <c r="AT49" s="9" t="str">
        <f t="shared" si="30"/>
        <v/>
      </c>
      <c r="AU49" s="9" t="str">
        <f t="shared" si="31"/>
        <v/>
      </c>
      <c r="AV49" s="14"/>
      <c r="AW49" s="15"/>
      <c r="AX49" s="14" t="str">
        <f t="shared" si="32"/>
        <v/>
      </c>
      <c r="AY49" s="15"/>
      <c r="AZ49" s="23"/>
      <c r="EW49" t="s">
        <v>46</v>
      </c>
      <c r="EX49" s="33">
        <v>1046</v>
      </c>
      <c r="EY49" s="33" t="s">
        <v>180</v>
      </c>
      <c r="EZ49" s="33" t="s">
        <v>181</v>
      </c>
      <c r="FA49" s="33" t="s">
        <v>51</v>
      </c>
      <c r="FB49" s="33" t="s">
        <v>52</v>
      </c>
      <c r="FC49" s="33" t="s">
        <v>53</v>
      </c>
      <c r="FD49" s="33" t="s">
        <v>54</v>
      </c>
      <c r="FE49" s="33">
        <v>2019</v>
      </c>
      <c r="FF49" s="33" t="s">
        <v>55</v>
      </c>
      <c r="FG49" s="33" t="s">
        <v>56</v>
      </c>
      <c r="FH49" s="33" t="s">
        <v>57</v>
      </c>
      <c r="FI49" s="33" t="s">
        <v>58</v>
      </c>
      <c r="FJ49" t="s">
        <v>59</v>
      </c>
      <c r="FM49" s="32" t="s">
        <v>177</v>
      </c>
      <c r="FN49" t="s">
        <v>178</v>
      </c>
      <c r="FO49" t="s">
        <v>179</v>
      </c>
      <c r="FP49" t="str">
        <f t="shared" si="0"/>
        <v>B</v>
      </c>
      <c r="FT49" s="69" t="s">
        <v>7444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9.98</v>
      </c>
      <c r="GA49">
        <v>17.855</v>
      </c>
      <c r="GB49">
        <v>14.255000000000001</v>
      </c>
      <c r="GC49">
        <v>16.72</v>
      </c>
      <c r="GD49">
        <v>18.324999999999999</v>
      </c>
      <c r="GE49">
        <v>18.420000000000002</v>
      </c>
      <c r="GF49">
        <v>17.844999999999999</v>
      </c>
      <c r="GG49">
        <v>17.085000000000001</v>
      </c>
      <c r="GH49">
        <v>16.899999999999999</v>
      </c>
      <c r="GI49">
        <v>16.920000000000002</v>
      </c>
      <c r="GJ49">
        <v>15.89</v>
      </c>
      <c r="GK49">
        <v>14.935</v>
      </c>
      <c r="GL49">
        <v>14.745000000000001</v>
      </c>
      <c r="GM49">
        <v>15.135</v>
      </c>
      <c r="GN49">
        <v>16.82</v>
      </c>
      <c r="GO49">
        <v>18.240000000000002</v>
      </c>
      <c r="GP49">
        <v>19.574999999999999</v>
      </c>
      <c r="GQ49">
        <v>20.864999999999998</v>
      </c>
      <c r="GR49">
        <v>0</v>
      </c>
      <c r="GU49" s="53">
        <v>46</v>
      </c>
      <c r="GV49" s="53">
        <v>43</v>
      </c>
      <c r="GY49" t="s">
        <v>7454</v>
      </c>
      <c r="GZ49" s="64" t="s">
        <v>7421</v>
      </c>
      <c r="HA49" s="64" t="s">
        <v>7421</v>
      </c>
      <c r="HB49" s="32">
        <v>41</v>
      </c>
      <c r="HF49" t="s">
        <v>7418</v>
      </c>
      <c r="HG49" s="64" t="s">
        <v>7421</v>
      </c>
      <c r="HH49" s="44" t="s">
        <v>7420</v>
      </c>
      <c r="HI49" s="32" t="s">
        <v>7422</v>
      </c>
    </row>
    <row r="50" spans="1:217" ht="15.5" x14ac:dyDescent="0.35">
      <c r="A50" s="95">
        <f t="shared" si="16"/>
        <v>1</v>
      </c>
      <c r="B50" s="11"/>
      <c r="C50" s="11"/>
      <c r="D50" s="92" t="str">
        <f>IFERROR(
IF(AND(OR(Planilla!B50="C",Planilla!B50="c"), VLOOKUP(E50,EX:FJ,13,0)="C"), "OK",IF(AND(OR(Planilla!B50="C",Planilla!B50="c"), OR(VLOOKUP(E50,EX:FJ,13,0)="B", VLOOKUP(E50,EX:FJ,13,0)="A")), "DEFICIT",IF(
AND(OR(Planilla!B50="B", Planilla!B50="BPAL"), VLOOKUP(E50,EX:FJ,13,0)="B"), "OK",IF(AND(OR(Planilla!B50="B", Planilla!B50="BPAL"), VLOOKUP(E50,EX:FJ,13,0)="A"), "DEFICIT",IF(AND(OR(Planilla!B50="B", Planilla!B50="BPAL"), VLOOKUP(E50,EX:FJ,13,0)="C"), "SOBREOFERTA",IF(AND(Planilla!B50="A", VLOOKUP(E50,EX:FJ,13,0)="A"), "OK",IF(
AND(Planilla!B50="A", OR(VLOOKUP(E50,EX:FJ,13,0)="B", VLOOKUP(E50,EX:FJ,13,0)="C")), "SOBREOFERTA",""
))))))),"")</f>
        <v/>
      </c>
      <c r="E50" s="12"/>
      <c r="F50" s="13"/>
      <c r="G50" s="14"/>
      <c r="H50" s="81" t="str">
        <f t="shared" si="17"/>
        <v/>
      </c>
      <c r="I50" s="7"/>
      <c r="J50" s="6" t="e">
        <f t="shared" si="18"/>
        <v>#N/A</v>
      </c>
      <c r="K50" s="6" t="str">
        <f>IF(A51&lt;&gt;A50,AVERAGEIF(A$9:A50,A50,J$9:J50),"")</f>
        <v/>
      </c>
      <c r="L50" s="7" t="str">
        <f>IFERROR(IF(A51&lt;&gt;A50,AVERAGEIF(A$9:A50,A50,S$9:S50),""),"")</f>
        <v/>
      </c>
      <c r="M50" s="7" t="str">
        <f>IFERROR(IF(A51&lt;&gt;A50,AVERAGEIF(A$9:A50,A50,T$9:T50),""),"")</f>
        <v/>
      </c>
      <c r="N50" s="7" t="str" cm="1">
        <f t="array" ref="N50">IFERROR(IF(A51&lt;&gt;A50,_xlfn.STDEV.P(IF(A$9:A50=A50,T$9:T50)),""),"")</f>
        <v/>
      </c>
      <c r="O50" s="7" t="str" cm="1">
        <f t="array" ref="O50">IFERROR(IF(A51&lt;&gt;A50,_xlfn.STDEV.P(IF(A$9:A50=A50,S$9:S50)),""),"")</f>
        <v/>
      </c>
      <c r="P50" s="8" t="str">
        <f t="shared" si="19"/>
        <v/>
      </c>
      <c r="Q50" s="8" t="str">
        <f t="shared" si="20"/>
        <v/>
      </c>
      <c r="R50" s="8" t="str">
        <f t="shared" si="21"/>
        <v/>
      </c>
      <c r="S50" s="9" t="str">
        <f t="shared" si="22"/>
        <v/>
      </c>
      <c r="T50" s="9" t="str">
        <f t="shared" si="23"/>
        <v/>
      </c>
      <c r="U50" s="14">
        <v>0.41180555555555554</v>
      </c>
      <c r="V50" s="15"/>
      <c r="W50" s="14" t="str">
        <f t="shared" si="38"/>
        <v/>
      </c>
      <c r="X50" s="15"/>
      <c r="Y50" s="2"/>
      <c r="AB50" s="22">
        <f t="shared" si="24"/>
        <v>1</v>
      </c>
      <c r="AC50" s="11"/>
      <c r="AD50" s="11"/>
      <c r="AE50" s="13"/>
      <c r="AF50" s="12"/>
      <c r="AG50" s="13"/>
      <c r="AH50" s="14"/>
      <c r="AI50" s="81" t="str">
        <f t="shared" si="25"/>
        <v/>
      </c>
      <c r="AJ50" s="15"/>
      <c r="AK50" s="6" t="e">
        <f t="shared" si="26"/>
        <v>#N/A</v>
      </c>
      <c r="AL50" s="6" t="str">
        <f>IF(AB51&lt;&gt;AB50,AVERAGEIF(AB$9:AB50,AB50,AK$9:AK50),"")</f>
        <v/>
      </c>
      <c r="AM50" s="7" t="str">
        <f>IFERROR(IF(AB51&lt;&gt;AB50,AVERAGEIF(AB$9:AB50,AB50,AT$9:AT50),""),"")</f>
        <v/>
      </c>
      <c r="AN50" s="7" t="str">
        <f>IFERROR(IF(AB51&lt;&gt;AB50,AVERAGEIF(AB$9:AB50,AB50,AU$9:AU50),""),"")</f>
        <v/>
      </c>
      <c r="AO50" s="7" t="str" cm="1">
        <f t="array" ref="AO50">IFERROR(IF(AB51&lt;&gt;AB50,_xlfn.STDEV.P(IF(AB$9:AB50=AB50,AU$9:AU50)),""),"")</f>
        <v/>
      </c>
      <c r="AP50" s="7" t="str" cm="1">
        <f t="array" ref="AP50">IFERROR(IF(AB51&lt;&gt;AB50,_xlfn.STDEV.P(IF(AB$9:AB50=AB50,AT$9:AT50)),""),"")</f>
        <v/>
      </c>
      <c r="AQ50" s="8" t="str">
        <f t="shared" si="27"/>
        <v/>
      </c>
      <c r="AR50" s="8" t="str">
        <f t="shared" si="28"/>
        <v/>
      </c>
      <c r="AS50" s="8" t="str">
        <f t="shared" si="29"/>
        <v/>
      </c>
      <c r="AT50" s="9" t="str">
        <f t="shared" si="30"/>
        <v/>
      </c>
      <c r="AU50" s="9" t="str">
        <f t="shared" si="31"/>
        <v/>
      </c>
      <c r="AV50" s="14"/>
      <c r="AW50" s="15"/>
      <c r="AX50" s="14" t="str">
        <f t="shared" si="32"/>
        <v/>
      </c>
      <c r="AY50" s="15"/>
      <c r="AZ50" s="23"/>
      <c r="EW50" t="s">
        <v>46</v>
      </c>
      <c r="EX50" s="33">
        <v>1047</v>
      </c>
      <c r="EY50" s="33" t="s">
        <v>182</v>
      </c>
      <c r="EZ50" s="33" t="s">
        <v>183</v>
      </c>
      <c r="FA50" s="33" t="s">
        <v>51</v>
      </c>
      <c r="FB50" s="33" t="s">
        <v>52</v>
      </c>
      <c r="FC50" s="33" t="s">
        <v>53</v>
      </c>
      <c r="FD50" s="33" t="s">
        <v>54</v>
      </c>
      <c r="FE50" s="33">
        <v>2019</v>
      </c>
      <c r="FF50" s="33" t="s">
        <v>55</v>
      </c>
      <c r="FG50" s="33" t="s">
        <v>56</v>
      </c>
      <c r="FH50" s="33" t="s">
        <v>57</v>
      </c>
      <c r="FI50" s="33" t="s">
        <v>58</v>
      </c>
      <c r="FJ50" t="s">
        <v>59</v>
      </c>
      <c r="FM50" s="32" t="s">
        <v>177</v>
      </c>
      <c r="FN50" t="s">
        <v>178</v>
      </c>
      <c r="FO50" t="s">
        <v>179</v>
      </c>
      <c r="FP50" t="str">
        <f t="shared" si="0"/>
        <v>B</v>
      </c>
      <c r="FT50" s="69" t="s">
        <v>7445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19.53</v>
      </c>
      <c r="GA50">
        <v>15.425000000000001</v>
      </c>
      <c r="GB50">
        <v>12.664999999999999</v>
      </c>
      <c r="GC50">
        <v>13.875</v>
      </c>
      <c r="GD50">
        <v>14.780000000000001</v>
      </c>
      <c r="GE50">
        <v>14.605</v>
      </c>
      <c r="GF50">
        <v>13.885</v>
      </c>
      <c r="GG50">
        <v>13.555</v>
      </c>
      <c r="GH50">
        <v>13.77</v>
      </c>
      <c r="GI50">
        <v>14.125</v>
      </c>
      <c r="GJ50">
        <v>13.579999999999998</v>
      </c>
      <c r="GK50">
        <v>12.48</v>
      </c>
      <c r="GL50">
        <v>11.465</v>
      </c>
      <c r="GM50">
        <v>12.629999999999999</v>
      </c>
      <c r="GN50">
        <v>14.31</v>
      </c>
      <c r="GO50">
        <v>16.700000000000003</v>
      </c>
      <c r="GP50">
        <v>18.27</v>
      </c>
      <c r="GQ50">
        <v>20.369999999999997</v>
      </c>
      <c r="GR50">
        <v>11.09</v>
      </c>
      <c r="GU50" s="53">
        <v>47</v>
      </c>
      <c r="GV50" s="53">
        <v>44</v>
      </c>
      <c r="GY50" t="s">
        <v>7454</v>
      </c>
      <c r="GZ50" s="64" t="s">
        <v>7445</v>
      </c>
      <c r="HA50" s="64" t="s">
        <v>7445</v>
      </c>
      <c r="HB50" s="32">
        <v>47</v>
      </c>
      <c r="HF50" t="s">
        <v>7418</v>
      </c>
      <c r="HG50" s="64" t="s">
        <v>7445</v>
      </c>
      <c r="HH50" s="44" t="s">
        <v>7443</v>
      </c>
      <c r="HI50" s="32" t="s">
        <v>7446</v>
      </c>
    </row>
    <row r="51" spans="1:217" ht="15.5" x14ac:dyDescent="0.35">
      <c r="A51" s="95">
        <f t="shared" si="16"/>
        <v>1</v>
      </c>
      <c r="B51" s="11"/>
      <c r="C51" s="11"/>
      <c r="D51" s="92" t="str">
        <f>IFERROR(
IF(AND(OR(Planilla!B51="C",Planilla!B51="c"), VLOOKUP(E51,EX:FJ,13,0)="C"), "OK",IF(AND(OR(Planilla!B51="C",Planilla!B51="c"), OR(VLOOKUP(E51,EX:FJ,13,0)="B", VLOOKUP(E51,EX:FJ,13,0)="A")), "DEFICIT",IF(
AND(OR(Planilla!B51="B", Planilla!B51="BPAL"), VLOOKUP(E51,EX:FJ,13,0)="B"), "OK",IF(AND(OR(Planilla!B51="B", Planilla!B51="BPAL"), VLOOKUP(E51,EX:FJ,13,0)="A"), "DEFICIT",IF(AND(OR(Planilla!B51="B", Planilla!B51="BPAL"), VLOOKUP(E51,EX:FJ,13,0)="C"), "SOBREOFERTA",IF(AND(Planilla!B51="A", VLOOKUP(E51,EX:FJ,13,0)="A"), "OK",IF(
AND(Planilla!B51="A", OR(VLOOKUP(E51,EX:FJ,13,0)="B", VLOOKUP(E51,EX:FJ,13,0)="C")), "SOBREOFERTA",""
))))))),"")</f>
        <v/>
      </c>
      <c r="E51" s="12"/>
      <c r="F51" s="13"/>
      <c r="G51" s="14"/>
      <c r="H51" s="81" t="str">
        <f t="shared" si="17"/>
        <v/>
      </c>
      <c r="I51" s="7"/>
      <c r="J51" s="6" t="e">
        <f t="shared" si="18"/>
        <v>#N/A</v>
      </c>
      <c r="K51" s="6" t="str">
        <f>IF(A52&lt;&gt;A51,AVERAGEIF(A$9:A51,A51,J$9:J51),"")</f>
        <v/>
      </c>
      <c r="L51" s="7" t="str">
        <f>IFERROR(IF(A52&lt;&gt;A51,AVERAGEIF(A$9:A51,A51,S$9:S51),""),"")</f>
        <v/>
      </c>
      <c r="M51" s="7" t="str">
        <f>IFERROR(IF(A52&lt;&gt;A51,AVERAGEIF(A$9:A51,A51,T$9:T51),""),"")</f>
        <v/>
      </c>
      <c r="N51" s="7" t="str" cm="1">
        <f t="array" ref="N51">IFERROR(IF(A52&lt;&gt;A51,_xlfn.STDEV.P(IF(A$9:A51=A51,T$9:T51)),""),"")</f>
        <v/>
      </c>
      <c r="O51" s="7" t="str" cm="1">
        <f t="array" ref="O51">IFERROR(IF(A52&lt;&gt;A51,_xlfn.STDEV.P(IF(A$9:A51=A51,S$9:S51)),""),"")</f>
        <v/>
      </c>
      <c r="P51" s="8" t="str">
        <f t="shared" si="19"/>
        <v/>
      </c>
      <c r="Q51" s="8" t="str">
        <f t="shared" si="20"/>
        <v/>
      </c>
      <c r="R51" s="8" t="str">
        <f t="shared" si="21"/>
        <v/>
      </c>
      <c r="S51" s="9" t="str">
        <f t="shared" si="22"/>
        <v/>
      </c>
      <c r="T51" s="9" t="str">
        <f t="shared" si="23"/>
        <v/>
      </c>
      <c r="U51" s="14">
        <v>0.40902777777777777</v>
      </c>
      <c r="V51" s="15"/>
      <c r="W51" s="14" t="str">
        <f t="shared" si="38"/>
        <v/>
      </c>
      <c r="X51" s="15"/>
      <c r="Y51" s="2"/>
      <c r="AB51" s="22">
        <f t="shared" si="24"/>
        <v>1</v>
      </c>
      <c r="AC51" s="11"/>
      <c r="AD51" s="11"/>
      <c r="AE51" s="13"/>
      <c r="AF51" s="12"/>
      <c r="AG51" s="13"/>
      <c r="AH51" s="14"/>
      <c r="AI51" s="81" t="str">
        <f t="shared" si="25"/>
        <v/>
      </c>
      <c r="AJ51" s="15"/>
      <c r="AK51" s="6" t="e">
        <f t="shared" si="26"/>
        <v>#N/A</v>
      </c>
      <c r="AL51" s="6" t="str">
        <f>IF(AB52&lt;&gt;AB51,AVERAGEIF(AB$9:AB51,AB51,AK$9:AK51),"")</f>
        <v/>
      </c>
      <c r="AM51" s="7" t="str">
        <f>IFERROR(IF(AB52&lt;&gt;AB51,AVERAGEIF(AB$9:AB51,AB51,AT$9:AT51),""),"")</f>
        <v/>
      </c>
      <c r="AN51" s="7" t="str">
        <f>IFERROR(IF(AB52&lt;&gt;AB51,AVERAGEIF(AB$9:AB51,AB51,AU$9:AU51),""),"")</f>
        <v/>
      </c>
      <c r="AO51" s="7" t="str" cm="1">
        <f t="array" ref="AO51">IFERROR(IF(AB52&lt;&gt;AB51,_xlfn.STDEV.P(IF(AB$9:AB51=AB51,AU$9:AU51)),""),"")</f>
        <v/>
      </c>
      <c r="AP51" s="7" t="str" cm="1">
        <f t="array" ref="AP51">IFERROR(IF(AB52&lt;&gt;AB51,_xlfn.STDEV.P(IF(AB$9:AB51=AB51,AT$9:AT51)),""),"")</f>
        <v/>
      </c>
      <c r="AQ51" s="8" t="str">
        <f t="shared" si="27"/>
        <v/>
      </c>
      <c r="AR51" s="8" t="str">
        <f t="shared" si="28"/>
        <v/>
      </c>
      <c r="AS51" s="8" t="str">
        <f t="shared" si="29"/>
        <v/>
      </c>
      <c r="AT51" s="9" t="str">
        <f t="shared" si="30"/>
        <v/>
      </c>
      <c r="AU51" s="9" t="str">
        <f t="shared" si="31"/>
        <v/>
      </c>
      <c r="AV51" s="14"/>
      <c r="AW51" s="15"/>
      <c r="AX51" s="14" t="str">
        <f t="shared" si="32"/>
        <v/>
      </c>
      <c r="AY51" s="15"/>
      <c r="AZ51" s="23"/>
      <c r="EW51" t="s">
        <v>46</v>
      </c>
      <c r="EX51" s="33">
        <v>1048</v>
      </c>
      <c r="EY51" s="33" t="s">
        <v>184</v>
      </c>
      <c r="EZ51" s="33" t="s">
        <v>185</v>
      </c>
      <c r="FA51" s="33" t="s">
        <v>51</v>
      </c>
      <c r="FB51" s="33" t="s">
        <v>52</v>
      </c>
      <c r="FC51" s="33" t="s">
        <v>53</v>
      </c>
      <c r="FD51" s="33" t="s">
        <v>54</v>
      </c>
      <c r="FE51" s="33">
        <v>2019</v>
      </c>
      <c r="FF51" s="33" t="s">
        <v>55</v>
      </c>
      <c r="FG51" s="33" t="s">
        <v>56</v>
      </c>
      <c r="FH51" s="33" t="s">
        <v>57</v>
      </c>
      <c r="FI51" s="33" t="s">
        <v>58</v>
      </c>
      <c r="FJ51" t="s">
        <v>59</v>
      </c>
      <c r="FM51" s="32" t="s">
        <v>186</v>
      </c>
      <c r="FN51" t="s">
        <v>187</v>
      </c>
      <c r="FO51" t="s">
        <v>188</v>
      </c>
      <c r="FP51" t="str">
        <f t="shared" si="0"/>
        <v>B</v>
      </c>
      <c r="FT51" s="69" t="s">
        <v>7447</v>
      </c>
      <c r="FU51">
        <v>26.85</v>
      </c>
      <c r="FV51">
        <v>0</v>
      </c>
      <c r="FW51">
        <v>0</v>
      </c>
      <c r="FX51">
        <v>0</v>
      </c>
      <c r="FY51">
        <v>0</v>
      </c>
      <c r="FZ51">
        <v>10.465</v>
      </c>
      <c r="GA51">
        <v>17.715</v>
      </c>
      <c r="GB51">
        <v>14.27</v>
      </c>
      <c r="GC51">
        <v>15.98</v>
      </c>
      <c r="GD51">
        <v>16.774999999999999</v>
      </c>
      <c r="GE51">
        <v>16.875</v>
      </c>
      <c r="GF51">
        <v>16.475000000000001</v>
      </c>
      <c r="GG51">
        <v>15.725000000000001</v>
      </c>
      <c r="GH51">
        <v>15.734999999999999</v>
      </c>
      <c r="GI51">
        <v>15.995000000000001</v>
      </c>
      <c r="GJ51">
        <v>15.295</v>
      </c>
      <c r="GK51">
        <v>14.295</v>
      </c>
      <c r="GL51">
        <v>12.89</v>
      </c>
      <c r="GM51">
        <v>13.205</v>
      </c>
      <c r="GN51">
        <v>14.63</v>
      </c>
      <c r="GO51">
        <v>17.39</v>
      </c>
      <c r="GP51">
        <v>18.649999999999999</v>
      </c>
      <c r="GQ51">
        <v>20.079999999999998</v>
      </c>
      <c r="GR51">
        <v>23.215</v>
      </c>
      <c r="GU51" s="53">
        <v>48</v>
      </c>
      <c r="GV51" s="53">
        <v>45</v>
      </c>
      <c r="GY51" t="s">
        <v>7454</v>
      </c>
      <c r="GZ51" s="64" t="s">
        <v>7430</v>
      </c>
      <c r="HA51" s="64" t="s">
        <v>7430</v>
      </c>
      <c r="HB51" s="32">
        <v>54</v>
      </c>
      <c r="HF51" t="s">
        <v>7418</v>
      </c>
      <c r="HG51" s="64" t="s">
        <v>7430</v>
      </c>
      <c r="HH51" s="44" t="s">
        <v>7427</v>
      </c>
      <c r="HI51" s="32" t="s">
        <v>7431</v>
      </c>
    </row>
    <row r="52" spans="1:217" ht="15.5" x14ac:dyDescent="0.35">
      <c r="A52" s="95">
        <f t="shared" si="16"/>
        <v>1</v>
      </c>
      <c r="B52" s="11"/>
      <c r="C52" s="11"/>
      <c r="D52" s="92" t="str">
        <f>IFERROR(
IF(AND(OR(Planilla!B52="C",Planilla!B52="c"), VLOOKUP(E52,EX:FJ,13,0)="C"), "OK",IF(AND(OR(Planilla!B52="C",Planilla!B52="c"), OR(VLOOKUP(E52,EX:FJ,13,0)="B", VLOOKUP(E52,EX:FJ,13,0)="A")), "DEFICIT",IF(
AND(OR(Planilla!B52="B", Planilla!B52="BPAL"), VLOOKUP(E52,EX:FJ,13,0)="B"), "OK",IF(AND(OR(Planilla!B52="B", Planilla!B52="BPAL"), VLOOKUP(E52,EX:FJ,13,0)="A"), "DEFICIT",IF(AND(OR(Planilla!B52="B", Planilla!B52="BPAL"), VLOOKUP(E52,EX:FJ,13,0)="C"), "SOBREOFERTA",IF(AND(Planilla!B52="A", VLOOKUP(E52,EX:FJ,13,0)="A"), "OK",IF(
AND(Planilla!B52="A", OR(VLOOKUP(E52,EX:FJ,13,0)="B", VLOOKUP(E52,EX:FJ,13,0)="C")), "SOBREOFERTA",""
))))))),"")</f>
        <v/>
      </c>
      <c r="E52" s="12"/>
      <c r="F52" s="13"/>
      <c r="G52" s="14"/>
      <c r="H52" s="81" t="str">
        <f t="shared" si="17"/>
        <v/>
      </c>
      <c r="I52" s="7"/>
      <c r="J52" s="6" t="e">
        <f t="shared" si="18"/>
        <v>#N/A</v>
      </c>
      <c r="K52" s="6" t="str">
        <f>IF(A53&lt;&gt;A52,AVERAGEIF(A$9:A52,A52,J$9:J52),"")</f>
        <v/>
      </c>
      <c r="L52" s="7" t="str">
        <f>IFERROR(IF(A53&lt;&gt;A52,AVERAGEIF(A$9:A52,A52,S$9:S52),""),"")</f>
        <v/>
      </c>
      <c r="M52" s="7" t="str">
        <f>IFERROR(IF(A53&lt;&gt;A52,AVERAGEIF(A$9:A52,A52,T$9:T52),""),"")</f>
        <v/>
      </c>
      <c r="N52" s="7" t="str" cm="1">
        <f t="array" ref="N52">IFERROR(IF(A53&lt;&gt;A52,_xlfn.STDEV.P(IF(A$9:A52=A52,T$9:T52)),""),"")</f>
        <v/>
      </c>
      <c r="O52" s="7" t="str" cm="1">
        <f t="array" ref="O52">IFERROR(IF(A53&lt;&gt;A52,_xlfn.STDEV.P(IF(A$9:A52=A52,S$9:S52)),""),"")</f>
        <v/>
      </c>
      <c r="P52" s="8" t="str">
        <f t="shared" si="19"/>
        <v/>
      </c>
      <c r="Q52" s="8" t="str">
        <f t="shared" si="20"/>
        <v/>
      </c>
      <c r="R52" s="8" t="str">
        <f t="shared" si="21"/>
        <v/>
      </c>
      <c r="S52" s="9" t="str">
        <f t="shared" si="22"/>
        <v/>
      </c>
      <c r="T52" s="9" t="str">
        <f t="shared" si="23"/>
        <v/>
      </c>
      <c r="U52" s="14">
        <v>0.41388888888888886</v>
      </c>
      <c r="V52" s="15"/>
      <c r="W52" s="14" t="str">
        <f t="shared" si="38"/>
        <v/>
      </c>
      <c r="X52" s="15"/>
      <c r="Y52" s="2"/>
      <c r="AB52" s="22">
        <f t="shared" si="24"/>
        <v>1</v>
      </c>
      <c r="AC52" s="11"/>
      <c r="AD52" s="11"/>
      <c r="AE52" s="13"/>
      <c r="AF52" s="12"/>
      <c r="AG52" s="13"/>
      <c r="AH52" s="14"/>
      <c r="AI52" s="81" t="str">
        <f t="shared" si="25"/>
        <v/>
      </c>
      <c r="AJ52" s="15"/>
      <c r="AK52" s="6" t="e">
        <f t="shared" si="26"/>
        <v>#N/A</v>
      </c>
      <c r="AL52" s="6" t="str">
        <f>IF(AB53&lt;&gt;AB52,AVERAGEIF(AB$9:AB52,AB52,AK$9:AK52),"")</f>
        <v/>
      </c>
      <c r="AM52" s="7" t="str">
        <f>IFERROR(IF(AB53&lt;&gt;AB52,AVERAGEIF(AB$9:AB52,AB52,AT$9:AT52),""),"")</f>
        <v/>
      </c>
      <c r="AN52" s="7" t="str">
        <f>IFERROR(IF(AB53&lt;&gt;AB52,AVERAGEIF(AB$9:AB52,AB52,AU$9:AU52),""),"")</f>
        <v/>
      </c>
      <c r="AO52" s="7" t="str" cm="1">
        <f t="array" ref="AO52">IFERROR(IF(AB53&lt;&gt;AB52,_xlfn.STDEV.P(IF(AB$9:AB52=AB52,AU$9:AU52)),""),"")</f>
        <v/>
      </c>
      <c r="AP52" s="7" t="str" cm="1">
        <f t="array" ref="AP52">IFERROR(IF(AB53&lt;&gt;AB52,_xlfn.STDEV.P(IF(AB$9:AB52=AB52,AT$9:AT52)),""),"")</f>
        <v/>
      </c>
      <c r="AQ52" s="8" t="str">
        <f t="shared" si="27"/>
        <v/>
      </c>
      <c r="AR52" s="8" t="str">
        <f t="shared" si="28"/>
        <v/>
      </c>
      <c r="AS52" s="8" t="str">
        <f t="shared" si="29"/>
        <v/>
      </c>
      <c r="AT52" s="9" t="str">
        <f t="shared" si="30"/>
        <v/>
      </c>
      <c r="AU52" s="9" t="str">
        <f t="shared" si="31"/>
        <v/>
      </c>
      <c r="AV52" s="14"/>
      <c r="AW52" s="15"/>
      <c r="AX52" s="14" t="str">
        <f t="shared" si="32"/>
        <v/>
      </c>
      <c r="AY52" s="15"/>
      <c r="AZ52" s="23"/>
      <c r="EW52" t="s">
        <v>46</v>
      </c>
      <c r="EX52" s="33">
        <v>1049</v>
      </c>
      <c r="EY52" s="33" t="s">
        <v>189</v>
      </c>
      <c r="EZ52" s="33" t="s">
        <v>190</v>
      </c>
      <c r="FA52" s="33" t="s">
        <v>51</v>
      </c>
      <c r="FB52" s="33" t="s">
        <v>52</v>
      </c>
      <c r="FC52" s="33" t="s">
        <v>53</v>
      </c>
      <c r="FD52" s="33" t="s">
        <v>54</v>
      </c>
      <c r="FE52" s="33">
        <v>2019</v>
      </c>
      <c r="FF52" s="33" t="s">
        <v>55</v>
      </c>
      <c r="FG52" s="33" t="s">
        <v>56</v>
      </c>
      <c r="FH52" s="33" t="s">
        <v>57</v>
      </c>
      <c r="FI52" s="33" t="s">
        <v>58</v>
      </c>
      <c r="FJ52" t="s">
        <v>59</v>
      </c>
      <c r="FM52" s="32" t="s">
        <v>186</v>
      </c>
      <c r="FN52" t="s">
        <v>187</v>
      </c>
      <c r="FO52" t="s">
        <v>188</v>
      </c>
      <c r="FP52" t="str">
        <f t="shared" si="0"/>
        <v>B</v>
      </c>
      <c r="FT52" s="69" t="s">
        <v>7447</v>
      </c>
      <c r="FU52">
        <v>0</v>
      </c>
      <c r="FV52">
        <v>0</v>
      </c>
      <c r="FW52">
        <v>0</v>
      </c>
      <c r="FX52">
        <v>0</v>
      </c>
      <c r="FY52">
        <v>12.6</v>
      </c>
      <c r="FZ52">
        <v>20.824999999999999</v>
      </c>
      <c r="GA52">
        <v>16.41</v>
      </c>
      <c r="GB52">
        <v>14.89</v>
      </c>
      <c r="GC52">
        <v>16.43</v>
      </c>
      <c r="GD52">
        <v>17.43</v>
      </c>
      <c r="GE52">
        <v>17.34</v>
      </c>
      <c r="GF52">
        <v>16.924999999999997</v>
      </c>
      <c r="GG52">
        <v>16.55</v>
      </c>
      <c r="GH52">
        <v>16.740000000000002</v>
      </c>
      <c r="GI52">
        <v>16.23</v>
      </c>
      <c r="GJ52">
        <v>15.85</v>
      </c>
      <c r="GK52">
        <v>15.79</v>
      </c>
      <c r="GL52">
        <v>15.66</v>
      </c>
      <c r="GM52">
        <v>15.98</v>
      </c>
      <c r="GN52">
        <v>16.805</v>
      </c>
      <c r="GO52">
        <v>18.350000000000001</v>
      </c>
      <c r="GP52">
        <v>19.630000000000003</v>
      </c>
      <c r="GQ52">
        <v>21.995000000000001</v>
      </c>
      <c r="GR52">
        <v>24.81</v>
      </c>
      <c r="GU52" s="53">
        <v>49</v>
      </c>
      <c r="GV52" s="53">
        <v>46</v>
      </c>
      <c r="GY52" t="s">
        <v>7454</v>
      </c>
      <c r="GZ52" s="64" t="s">
        <v>7433</v>
      </c>
      <c r="HA52" s="64" t="s">
        <v>7433</v>
      </c>
      <c r="HB52" s="32">
        <v>57</v>
      </c>
      <c r="HF52" t="s">
        <v>7418</v>
      </c>
      <c r="HG52" s="64" t="s">
        <v>7433</v>
      </c>
      <c r="HH52" s="44" t="s">
        <v>7427</v>
      </c>
      <c r="HI52" s="32" t="s">
        <v>7434</v>
      </c>
    </row>
    <row r="53" spans="1:217" ht="15.5" x14ac:dyDescent="0.35">
      <c r="A53" s="95">
        <f t="shared" si="16"/>
        <v>1</v>
      </c>
      <c r="B53" s="11"/>
      <c r="C53" s="11"/>
      <c r="D53" s="92" t="str">
        <f>IFERROR(
IF(AND(OR(Planilla!B53="C",Planilla!B53="c"), VLOOKUP(E53,EX:FJ,13,0)="C"), "OK",IF(AND(OR(Planilla!B53="C",Planilla!B53="c"), OR(VLOOKUP(E53,EX:FJ,13,0)="B", VLOOKUP(E53,EX:FJ,13,0)="A")), "DEFICIT",IF(
AND(OR(Planilla!B53="B", Planilla!B53="BPAL"), VLOOKUP(E53,EX:FJ,13,0)="B"), "OK",IF(AND(OR(Planilla!B53="B", Planilla!B53="BPAL"), VLOOKUP(E53,EX:FJ,13,0)="A"), "DEFICIT",IF(AND(OR(Planilla!B53="B", Planilla!B53="BPAL"), VLOOKUP(E53,EX:FJ,13,0)="C"), "SOBREOFERTA",IF(AND(Planilla!B53="A", VLOOKUP(E53,EX:FJ,13,0)="A"), "OK",IF(
AND(Planilla!B53="A", OR(VLOOKUP(E53,EX:FJ,13,0)="B", VLOOKUP(E53,EX:FJ,13,0)="C")), "SOBREOFERTA",""
))))))),"")</f>
        <v/>
      </c>
      <c r="E53" s="12"/>
      <c r="F53" s="13"/>
      <c r="G53" s="14"/>
      <c r="H53" s="81" t="str">
        <f t="shared" si="17"/>
        <v/>
      </c>
      <c r="I53" s="7"/>
      <c r="J53" s="6" t="e">
        <f t="shared" si="18"/>
        <v>#N/A</v>
      </c>
      <c r="K53" s="6" t="str">
        <f>IF(A54&lt;&gt;A53,AVERAGEIF(A$9:A53,A53,J$9:J53),"")</f>
        <v/>
      </c>
      <c r="L53" s="7" t="str">
        <f>IFERROR(IF(A54&lt;&gt;A53,AVERAGEIF(A$9:A53,A53,S$9:S53),""),"")</f>
        <v/>
      </c>
      <c r="M53" s="7" t="str">
        <f>IFERROR(IF(A54&lt;&gt;A53,AVERAGEIF(A$9:A53,A53,T$9:T53),""),"")</f>
        <v/>
      </c>
      <c r="N53" s="7" t="str" cm="1">
        <f t="array" ref="N53">IFERROR(IF(A54&lt;&gt;A53,_xlfn.STDEV.P(IF(A$9:A53=A53,T$9:T53)),""),"")</f>
        <v/>
      </c>
      <c r="O53" s="7" t="str" cm="1">
        <f t="array" ref="O53">IFERROR(IF(A54&lt;&gt;A53,_xlfn.STDEV.P(IF(A$9:A53=A53,S$9:S53)),""),"")</f>
        <v/>
      </c>
      <c r="P53" s="8" t="str">
        <f t="shared" si="19"/>
        <v/>
      </c>
      <c r="Q53" s="8" t="str">
        <f t="shared" si="20"/>
        <v/>
      </c>
      <c r="R53" s="8" t="str">
        <f t="shared" si="21"/>
        <v/>
      </c>
      <c r="S53" s="9" t="str">
        <f t="shared" si="22"/>
        <v/>
      </c>
      <c r="T53" s="9" t="str">
        <f t="shared" si="23"/>
        <v/>
      </c>
      <c r="U53" s="14">
        <v>0.41944444444444445</v>
      </c>
      <c r="V53" s="15"/>
      <c r="W53" s="14" t="str">
        <f t="shared" si="38"/>
        <v/>
      </c>
      <c r="X53" s="15"/>
      <c r="Y53" s="2"/>
      <c r="AB53" s="22">
        <f t="shared" si="24"/>
        <v>1</v>
      </c>
      <c r="AC53" s="11"/>
      <c r="AD53" s="11"/>
      <c r="AE53" s="13"/>
      <c r="AF53" s="12"/>
      <c r="AG53" s="13"/>
      <c r="AH53" s="14"/>
      <c r="AI53" s="81" t="str">
        <f t="shared" si="25"/>
        <v/>
      </c>
      <c r="AJ53" s="15"/>
      <c r="AK53" s="6" t="e">
        <f t="shared" si="26"/>
        <v>#N/A</v>
      </c>
      <c r="AL53" s="6" t="str">
        <f>IF(AB54&lt;&gt;AB53,AVERAGEIF(AB$9:AB53,AB53,AK$9:AK53),"")</f>
        <v/>
      </c>
      <c r="AM53" s="7" t="str">
        <f>IFERROR(IF(AB54&lt;&gt;AB53,AVERAGEIF(AB$9:AB53,AB53,AT$9:AT53),""),"")</f>
        <v/>
      </c>
      <c r="AN53" s="7" t="str">
        <f>IFERROR(IF(AB54&lt;&gt;AB53,AVERAGEIF(AB$9:AB53,AB53,AU$9:AU53),""),"")</f>
        <v/>
      </c>
      <c r="AO53" s="7" t="str" cm="1">
        <f t="array" ref="AO53">IFERROR(IF(AB54&lt;&gt;AB53,_xlfn.STDEV.P(IF(AB$9:AB53=AB53,AU$9:AU53)),""),"")</f>
        <v/>
      </c>
      <c r="AP53" s="7" t="str" cm="1">
        <f t="array" ref="AP53">IFERROR(IF(AB54&lt;&gt;AB53,_xlfn.STDEV.P(IF(AB$9:AB53=AB53,AT$9:AT53)),""),"")</f>
        <v/>
      </c>
      <c r="AQ53" s="8" t="str">
        <f t="shared" si="27"/>
        <v/>
      </c>
      <c r="AR53" s="8" t="str">
        <f t="shared" si="28"/>
        <v/>
      </c>
      <c r="AS53" s="8" t="str">
        <f t="shared" si="29"/>
        <v/>
      </c>
      <c r="AT53" s="9" t="str">
        <f t="shared" si="30"/>
        <v/>
      </c>
      <c r="AU53" s="9" t="str">
        <f t="shared" si="31"/>
        <v/>
      </c>
      <c r="AV53" s="14"/>
      <c r="AW53" s="15"/>
      <c r="AX53" s="14" t="str">
        <f t="shared" si="32"/>
        <v/>
      </c>
      <c r="AY53" s="15"/>
      <c r="AZ53" s="23"/>
      <c r="EW53" t="s">
        <v>46</v>
      </c>
      <c r="EX53" s="33">
        <v>1050</v>
      </c>
      <c r="EY53" s="33" t="s">
        <v>191</v>
      </c>
      <c r="EZ53" s="33" t="s">
        <v>192</v>
      </c>
      <c r="FA53" s="33" t="s">
        <v>51</v>
      </c>
      <c r="FB53" s="33" t="s">
        <v>52</v>
      </c>
      <c r="FC53" s="33" t="s">
        <v>53</v>
      </c>
      <c r="FD53" s="33" t="s">
        <v>54</v>
      </c>
      <c r="FE53" s="33">
        <v>2019</v>
      </c>
      <c r="FF53" s="33" t="s">
        <v>55</v>
      </c>
      <c r="FG53" s="33" t="s">
        <v>56</v>
      </c>
      <c r="FH53" s="33" t="s">
        <v>57</v>
      </c>
      <c r="FI53" s="33" t="s">
        <v>58</v>
      </c>
      <c r="FJ53" t="s">
        <v>59</v>
      </c>
      <c r="FM53" s="32" t="s">
        <v>186</v>
      </c>
      <c r="FN53" t="s">
        <v>187</v>
      </c>
      <c r="FO53" t="s">
        <v>188</v>
      </c>
      <c r="FP53" t="str">
        <f t="shared" si="0"/>
        <v>B</v>
      </c>
      <c r="FT53" s="69" t="s">
        <v>7448</v>
      </c>
      <c r="FU53">
        <v>28.265000000000001</v>
      </c>
      <c r="FV53">
        <v>0</v>
      </c>
      <c r="FW53">
        <v>0</v>
      </c>
      <c r="FX53">
        <v>0</v>
      </c>
      <c r="FY53">
        <v>0</v>
      </c>
      <c r="FZ53">
        <v>22.369999999999997</v>
      </c>
      <c r="GA53">
        <v>17.93</v>
      </c>
      <c r="GB53">
        <v>14.46</v>
      </c>
      <c r="GC53">
        <v>15.89</v>
      </c>
      <c r="GD53">
        <v>16.855</v>
      </c>
      <c r="GE53">
        <v>16.78</v>
      </c>
      <c r="GF53">
        <v>16.454999999999998</v>
      </c>
      <c r="GG53">
        <v>15.780000000000001</v>
      </c>
      <c r="GH53">
        <v>15.870000000000001</v>
      </c>
      <c r="GI53">
        <v>16.184999999999999</v>
      </c>
      <c r="GJ53">
        <v>15.469999999999999</v>
      </c>
      <c r="GK53">
        <v>14.21</v>
      </c>
      <c r="GL53">
        <v>13.285</v>
      </c>
      <c r="GM53">
        <v>13.9</v>
      </c>
      <c r="GN53">
        <v>15.81</v>
      </c>
      <c r="GO53">
        <v>17.880000000000003</v>
      </c>
      <c r="GP53">
        <v>19.295000000000002</v>
      </c>
      <c r="GQ53">
        <v>20.84</v>
      </c>
      <c r="GR53">
        <v>24.445</v>
      </c>
      <c r="GU53" s="53">
        <v>50</v>
      </c>
      <c r="GV53" s="53">
        <v>47</v>
      </c>
      <c r="GY53" t="s">
        <v>7454</v>
      </c>
      <c r="GZ53" s="64" t="s">
        <v>7438</v>
      </c>
      <c r="HA53" s="64" t="s">
        <v>7438</v>
      </c>
      <c r="HB53" s="32">
        <v>68</v>
      </c>
      <c r="HF53" t="s">
        <v>7418</v>
      </c>
      <c r="HG53" s="64" t="s">
        <v>7438</v>
      </c>
      <c r="HH53" s="44" t="s">
        <v>7427</v>
      </c>
      <c r="HI53" s="32" t="s">
        <v>7439</v>
      </c>
    </row>
    <row r="54" spans="1:217" ht="15.5" x14ac:dyDescent="0.35">
      <c r="A54" s="95">
        <f t="shared" si="16"/>
        <v>1</v>
      </c>
      <c r="B54" s="11"/>
      <c r="C54" s="11"/>
      <c r="D54" s="92" t="str">
        <f>IFERROR(
IF(AND(OR(Planilla!B54="C",Planilla!B54="c"), VLOOKUP(E54,EX:FJ,13,0)="C"), "OK",IF(AND(OR(Planilla!B54="C",Planilla!B54="c"), OR(VLOOKUP(E54,EX:FJ,13,0)="B", VLOOKUP(E54,EX:FJ,13,0)="A")), "DEFICIT",IF(
AND(OR(Planilla!B54="B", Planilla!B54="BPAL"), VLOOKUP(E54,EX:FJ,13,0)="B"), "OK",IF(AND(OR(Planilla!B54="B", Planilla!B54="BPAL"), VLOOKUP(E54,EX:FJ,13,0)="A"), "DEFICIT",IF(AND(OR(Planilla!B54="B", Planilla!B54="BPAL"), VLOOKUP(E54,EX:FJ,13,0)="C"), "SOBREOFERTA",IF(AND(Planilla!B54="A", VLOOKUP(E54,EX:FJ,13,0)="A"), "OK",IF(
AND(Planilla!B54="A", OR(VLOOKUP(E54,EX:FJ,13,0)="B", VLOOKUP(E54,EX:FJ,13,0)="C")), "SOBREOFERTA",""
))))))),"")</f>
        <v/>
      </c>
      <c r="E54" s="12"/>
      <c r="F54" s="13"/>
      <c r="G54" s="14"/>
      <c r="H54" s="81" t="str">
        <f t="shared" si="17"/>
        <v/>
      </c>
      <c r="I54" s="7"/>
      <c r="J54" s="6" t="e">
        <f t="shared" si="18"/>
        <v>#N/A</v>
      </c>
      <c r="K54" s="6" t="str">
        <f>IF(A55&lt;&gt;A54,AVERAGEIF(A$9:A54,A54,J$9:J54),"")</f>
        <v/>
      </c>
      <c r="L54" s="7" t="str">
        <f>IFERROR(IF(A55&lt;&gt;A54,AVERAGEIF(A$9:A54,A54,S$9:S54),""),"")</f>
        <v/>
      </c>
      <c r="M54" s="7" t="str">
        <f>IFERROR(IF(A55&lt;&gt;A54,AVERAGEIF(A$9:A54,A54,T$9:T54),""),"")</f>
        <v/>
      </c>
      <c r="N54" s="7" t="str" cm="1">
        <f t="array" ref="N54">IFERROR(IF(A55&lt;&gt;A54,_xlfn.STDEV.P(IF(A$9:A54=A54,T$9:T54)),""),"")</f>
        <v/>
      </c>
      <c r="O54" s="7" t="str" cm="1">
        <f t="array" ref="O54">IFERROR(IF(A55&lt;&gt;A54,_xlfn.STDEV.P(IF(A$9:A54=A54,S$9:S54)),""),"")</f>
        <v/>
      </c>
      <c r="P54" s="8" t="str">
        <f t="shared" si="19"/>
        <v/>
      </c>
      <c r="Q54" s="8" t="str">
        <f t="shared" si="20"/>
        <v/>
      </c>
      <c r="R54" s="8" t="str">
        <f t="shared" si="21"/>
        <v/>
      </c>
      <c r="S54" s="9" t="str">
        <f t="shared" si="22"/>
        <v/>
      </c>
      <c r="T54" s="9" t="str">
        <f t="shared" si="23"/>
        <v/>
      </c>
      <c r="U54" s="14">
        <v>0.42430555555555555</v>
      </c>
      <c r="V54" s="15"/>
      <c r="W54" s="14" t="str">
        <f t="shared" si="38"/>
        <v/>
      </c>
      <c r="X54" s="15"/>
      <c r="Y54" s="2"/>
      <c r="AB54" s="22">
        <f t="shared" si="24"/>
        <v>1</v>
      </c>
      <c r="AC54" s="11"/>
      <c r="AD54" s="11"/>
      <c r="AE54" s="13"/>
      <c r="AF54" s="12"/>
      <c r="AG54" s="13"/>
      <c r="AH54" s="14"/>
      <c r="AI54" s="81" t="str">
        <f t="shared" si="25"/>
        <v/>
      </c>
      <c r="AJ54" s="15"/>
      <c r="AK54" s="6" t="e">
        <f t="shared" si="26"/>
        <v>#N/A</v>
      </c>
      <c r="AL54" s="6" t="str">
        <f>IF(AB55&lt;&gt;AB54,AVERAGEIF(AB$9:AB54,AB54,AK$9:AK54),"")</f>
        <v/>
      </c>
      <c r="AM54" s="7" t="str">
        <f>IFERROR(IF(AB55&lt;&gt;AB54,AVERAGEIF(AB$9:AB54,AB54,AT$9:AT54),""),"")</f>
        <v/>
      </c>
      <c r="AN54" s="7" t="str">
        <f>IFERROR(IF(AB55&lt;&gt;AB54,AVERAGEIF(AB$9:AB54,AB54,AU$9:AU54),""),"")</f>
        <v/>
      </c>
      <c r="AO54" s="7" t="str" cm="1">
        <f t="array" ref="AO54">IFERROR(IF(AB55&lt;&gt;AB54,_xlfn.STDEV.P(IF(AB$9:AB54=AB54,AU$9:AU54)),""),"")</f>
        <v/>
      </c>
      <c r="AP54" s="7" t="str" cm="1">
        <f t="array" ref="AP54">IFERROR(IF(AB55&lt;&gt;AB54,_xlfn.STDEV.P(IF(AB$9:AB54=AB54,AT$9:AT54)),""),"")</f>
        <v/>
      </c>
      <c r="AQ54" s="8" t="str">
        <f t="shared" si="27"/>
        <v/>
      </c>
      <c r="AR54" s="8" t="str">
        <f t="shared" si="28"/>
        <v/>
      </c>
      <c r="AS54" s="8" t="str">
        <f t="shared" si="29"/>
        <v/>
      </c>
      <c r="AT54" s="9" t="str">
        <f t="shared" si="30"/>
        <v/>
      </c>
      <c r="AU54" s="9" t="str">
        <f t="shared" si="31"/>
        <v/>
      </c>
      <c r="AV54" s="14"/>
      <c r="AW54" s="15"/>
      <c r="AX54" s="14" t="str">
        <f t="shared" si="32"/>
        <v/>
      </c>
      <c r="AY54" s="15"/>
      <c r="AZ54" s="23"/>
      <c r="EW54" t="s">
        <v>46</v>
      </c>
      <c r="EX54" s="33">
        <v>1051</v>
      </c>
      <c r="EY54" s="33" t="s">
        <v>193</v>
      </c>
      <c r="EZ54" s="33" t="s">
        <v>194</v>
      </c>
      <c r="FA54" s="33" t="s">
        <v>51</v>
      </c>
      <c r="FB54" s="33" t="s">
        <v>52</v>
      </c>
      <c r="FC54" s="33" t="s">
        <v>53</v>
      </c>
      <c r="FD54" s="33" t="s">
        <v>54</v>
      </c>
      <c r="FE54" s="33">
        <v>2019</v>
      </c>
      <c r="FF54" s="33" t="s">
        <v>55</v>
      </c>
      <c r="FG54" s="33" t="s">
        <v>56</v>
      </c>
      <c r="FH54" s="33" t="s">
        <v>57</v>
      </c>
      <c r="FI54" s="33" t="s">
        <v>58</v>
      </c>
      <c r="FJ54" t="s">
        <v>59</v>
      </c>
      <c r="FM54" s="32" t="s">
        <v>186</v>
      </c>
      <c r="FN54" t="s">
        <v>187</v>
      </c>
      <c r="FO54" t="s">
        <v>188</v>
      </c>
      <c r="FP54" t="str">
        <f t="shared" si="0"/>
        <v>B</v>
      </c>
      <c r="FT54" s="69" t="s">
        <v>7448</v>
      </c>
      <c r="FU54">
        <v>0</v>
      </c>
      <c r="FV54">
        <v>0</v>
      </c>
      <c r="FW54">
        <v>0</v>
      </c>
      <c r="FX54">
        <v>0</v>
      </c>
      <c r="FY54">
        <v>25.905000000000001</v>
      </c>
      <c r="FZ54">
        <v>21.009999999999998</v>
      </c>
      <c r="GA54">
        <v>16.619999999999997</v>
      </c>
      <c r="GB54">
        <v>14.5</v>
      </c>
      <c r="GC54">
        <v>16.05</v>
      </c>
      <c r="GD54">
        <v>16.835000000000001</v>
      </c>
      <c r="GE54">
        <v>16.82</v>
      </c>
      <c r="GF54">
        <v>16.344999999999999</v>
      </c>
      <c r="GG54">
        <v>15.95</v>
      </c>
      <c r="GH54">
        <v>16.32</v>
      </c>
      <c r="GI54">
        <v>16.189999999999998</v>
      </c>
      <c r="GJ54">
        <v>15.600000000000001</v>
      </c>
      <c r="GK54">
        <v>14.965</v>
      </c>
      <c r="GL54">
        <v>14.66</v>
      </c>
      <c r="GM54">
        <v>15.465</v>
      </c>
      <c r="GN54">
        <v>16.71</v>
      </c>
      <c r="GO54">
        <v>18.170000000000002</v>
      </c>
      <c r="GP54">
        <v>19.745000000000001</v>
      </c>
      <c r="GQ54">
        <v>22.125</v>
      </c>
      <c r="GR54">
        <v>24.384999999999998</v>
      </c>
      <c r="GU54" s="53">
        <v>51</v>
      </c>
      <c r="GV54" s="53">
        <v>48</v>
      </c>
      <c r="GY54" t="s">
        <v>7454</v>
      </c>
      <c r="GZ54" s="64" t="s">
        <v>7440</v>
      </c>
      <c r="HA54" s="64" t="s">
        <v>7440</v>
      </c>
      <c r="HB54" s="32">
        <v>70</v>
      </c>
      <c r="HF54" t="s">
        <v>7418</v>
      </c>
      <c r="HG54" s="64" t="s">
        <v>7440</v>
      </c>
      <c r="HH54" s="44" t="s">
        <v>7427</v>
      </c>
      <c r="HI54" s="32" t="s">
        <v>7441</v>
      </c>
    </row>
    <row r="55" spans="1:217" ht="15.5" x14ac:dyDescent="0.35">
      <c r="A55" s="95">
        <f t="shared" si="16"/>
        <v>1</v>
      </c>
      <c r="B55" s="11"/>
      <c r="C55" s="11"/>
      <c r="D55" s="92" t="str">
        <f>IFERROR(
IF(AND(OR(Planilla!B55="C",Planilla!B55="c"), VLOOKUP(E55,EX:FJ,13,0)="C"), "OK",IF(AND(OR(Planilla!B55="C",Planilla!B55="c"), OR(VLOOKUP(E55,EX:FJ,13,0)="B", VLOOKUP(E55,EX:FJ,13,0)="A")), "DEFICIT",IF(
AND(OR(Planilla!B55="B", Planilla!B55="BPAL"), VLOOKUP(E55,EX:FJ,13,0)="B"), "OK",IF(AND(OR(Planilla!B55="B", Planilla!B55="BPAL"), VLOOKUP(E55,EX:FJ,13,0)="A"), "DEFICIT",IF(AND(OR(Planilla!B55="B", Planilla!B55="BPAL"), VLOOKUP(E55,EX:FJ,13,0)="C"), "SOBREOFERTA",IF(AND(Planilla!B55="A", VLOOKUP(E55,EX:FJ,13,0)="A"), "OK",IF(
AND(Planilla!B55="A", OR(VLOOKUP(E55,EX:FJ,13,0)="B", VLOOKUP(E55,EX:FJ,13,0)="C")), "SOBREOFERTA",""
))))))),"")</f>
        <v/>
      </c>
      <c r="E55" s="12"/>
      <c r="F55" s="13"/>
      <c r="G55" s="14"/>
      <c r="H55" s="81" t="str">
        <f t="shared" si="17"/>
        <v/>
      </c>
      <c r="I55" s="7"/>
      <c r="J55" s="6" t="e">
        <f t="shared" si="18"/>
        <v>#N/A</v>
      </c>
      <c r="K55" s="6" t="str">
        <f>IF(A56&lt;&gt;A55,AVERAGEIF(A$9:A55,A55,J$9:J55),"")</f>
        <v/>
      </c>
      <c r="L55" s="7" t="str">
        <f>IFERROR(IF(A56&lt;&gt;A55,AVERAGEIF(A$9:A55,A55,S$9:S55),""),"")</f>
        <v/>
      </c>
      <c r="M55" s="7" t="str">
        <f>IFERROR(IF(A56&lt;&gt;A55,AVERAGEIF(A$9:A55,A55,T$9:T55),""),"")</f>
        <v/>
      </c>
      <c r="N55" s="7" t="str" cm="1">
        <f t="array" ref="N55">IFERROR(IF(A56&lt;&gt;A55,_xlfn.STDEV.P(IF(A$9:A55=A55,T$9:T55)),""),"")</f>
        <v/>
      </c>
      <c r="O55" s="7" t="str" cm="1">
        <f t="array" ref="O55">IFERROR(IF(A56&lt;&gt;A55,_xlfn.STDEV.P(IF(A$9:A55=A55,S$9:S55)),""),"")</f>
        <v/>
      </c>
      <c r="P55" s="8" t="str">
        <f t="shared" si="19"/>
        <v/>
      </c>
      <c r="Q55" s="8" t="str">
        <f t="shared" si="20"/>
        <v/>
      </c>
      <c r="R55" s="8" t="str">
        <f t="shared" si="21"/>
        <v/>
      </c>
      <c r="S55" s="9" t="str">
        <f t="shared" si="22"/>
        <v/>
      </c>
      <c r="T55" s="9" t="str">
        <f t="shared" si="23"/>
        <v/>
      </c>
      <c r="U55" s="14">
        <v>0.41597222222222224</v>
      </c>
      <c r="V55" s="15"/>
      <c r="W55" s="14" t="str">
        <f t="shared" si="38"/>
        <v/>
      </c>
      <c r="X55" s="15"/>
      <c r="Y55" s="2"/>
      <c r="AB55" s="22">
        <f t="shared" si="24"/>
        <v>1</v>
      </c>
      <c r="AC55" s="11"/>
      <c r="AD55" s="11"/>
      <c r="AE55" s="13"/>
      <c r="AF55" s="12"/>
      <c r="AG55" s="13"/>
      <c r="AH55" s="14"/>
      <c r="AI55" s="81" t="str">
        <f t="shared" si="25"/>
        <v/>
      </c>
      <c r="AJ55" s="15"/>
      <c r="AK55" s="6" t="e">
        <f t="shared" si="26"/>
        <v>#N/A</v>
      </c>
      <c r="AL55" s="6" t="str">
        <f>IF(AB56&lt;&gt;AB55,AVERAGEIF(AB$9:AB55,AB55,AK$9:AK55),"")</f>
        <v/>
      </c>
      <c r="AM55" s="7" t="str">
        <f>IFERROR(IF(AB56&lt;&gt;AB55,AVERAGEIF(AB$9:AB55,AB55,AT$9:AT55),""),"")</f>
        <v/>
      </c>
      <c r="AN55" s="7" t="str">
        <f>IFERROR(IF(AB56&lt;&gt;AB55,AVERAGEIF(AB$9:AB55,AB55,AU$9:AU55),""),"")</f>
        <v/>
      </c>
      <c r="AO55" s="7" t="str" cm="1">
        <f t="array" ref="AO55">IFERROR(IF(AB56&lt;&gt;AB55,_xlfn.STDEV.P(IF(AB$9:AB55=AB55,AU$9:AU55)),""),"")</f>
        <v/>
      </c>
      <c r="AP55" s="7" t="str" cm="1">
        <f t="array" ref="AP55">IFERROR(IF(AB56&lt;&gt;AB55,_xlfn.STDEV.P(IF(AB$9:AB55=AB55,AT$9:AT55)),""),"")</f>
        <v/>
      </c>
      <c r="AQ55" s="8" t="str">
        <f t="shared" si="27"/>
        <v/>
      </c>
      <c r="AR55" s="8" t="str">
        <f t="shared" si="28"/>
        <v/>
      </c>
      <c r="AS55" s="8" t="str">
        <f t="shared" si="29"/>
        <v/>
      </c>
      <c r="AT55" s="9" t="str">
        <f t="shared" si="30"/>
        <v/>
      </c>
      <c r="AU55" s="9" t="str">
        <f t="shared" si="31"/>
        <v/>
      </c>
      <c r="AV55" s="14"/>
      <c r="AW55" s="15"/>
      <c r="AX55" s="14" t="str">
        <f t="shared" si="32"/>
        <v/>
      </c>
      <c r="AY55" s="15"/>
      <c r="AZ55" s="23"/>
      <c r="EW55" t="s">
        <v>46</v>
      </c>
      <c r="EX55" s="33">
        <v>1052</v>
      </c>
      <c r="EY55" s="33" t="s">
        <v>195</v>
      </c>
      <c r="EZ55" s="33" t="s">
        <v>196</v>
      </c>
      <c r="FA55" s="33" t="s">
        <v>51</v>
      </c>
      <c r="FB55" s="33" t="s">
        <v>52</v>
      </c>
      <c r="FC55" s="33" t="s">
        <v>53</v>
      </c>
      <c r="FD55" s="33" t="s">
        <v>54</v>
      </c>
      <c r="FE55" s="33">
        <v>2019</v>
      </c>
      <c r="FF55" s="33" t="s">
        <v>55</v>
      </c>
      <c r="FG55" s="33" t="s">
        <v>56</v>
      </c>
      <c r="FH55" s="33" t="s">
        <v>57</v>
      </c>
      <c r="FI55" s="33" t="s">
        <v>58</v>
      </c>
      <c r="FJ55" t="s">
        <v>59</v>
      </c>
      <c r="FM55" s="32" t="s">
        <v>197</v>
      </c>
      <c r="FN55" t="s">
        <v>198</v>
      </c>
      <c r="FO55" t="s">
        <v>199</v>
      </c>
      <c r="FP55" t="str">
        <f t="shared" si="0"/>
        <v>B</v>
      </c>
      <c r="FT55" s="69" t="s">
        <v>7449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21.88</v>
      </c>
      <c r="GA55">
        <v>17.47</v>
      </c>
      <c r="GB55">
        <v>13.46</v>
      </c>
      <c r="GC55">
        <v>15.780000000000001</v>
      </c>
      <c r="GD55">
        <v>17.740000000000002</v>
      </c>
      <c r="GE55">
        <v>18.22</v>
      </c>
      <c r="GF55">
        <v>17.920000000000002</v>
      </c>
      <c r="GG55">
        <v>16.799999999999997</v>
      </c>
      <c r="GH55">
        <v>16.41</v>
      </c>
      <c r="GI55">
        <v>16.57</v>
      </c>
      <c r="GJ55">
        <v>15.57</v>
      </c>
      <c r="GK55">
        <v>14.895</v>
      </c>
      <c r="GL55">
        <v>13.835000000000001</v>
      </c>
      <c r="GM55">
        <v>14.33</v>
      </c>
      <c r="GN55">
        <v>16.380000000000003</v>
      </c>
      <c r="GO55">
        <v>18.115000000000002</v>
      </c>
      <c r="GP55">
        <v>20.185000000000002</v>
      </c>
      <c r="GQ55">
        <v>22.24</v>
      </c>
      <c r="GR55">
        <v>24.344999999999999</v>
      </c>
      <c r="GU55" s="53">
        <v>52</v>
      </c>
      <c r="GV55" s="53">
        <v>49</v>
      </c>
      <c r="GY55" t="s">
        <v>7454</v>
      </c>
      <c r="GZ55" s="64" t="s">
        <v>7428</v>
      </c>
      <c r="HA55" s="64" t="s">
        <v>7428</v>
      </c>
      <c r="HB55" s="32">
        <v>76</v>
      </c>
      <c r="HF55" t="s">
        <v>7418</v>
      </c>
      <c r="HG55" s="64" t="s">
        <v>7428</v>
      </c>
      <c r="HH55" s="44" t="s">
        <v>7427</v>
      </c>
      <c r="HI55" s="32" t="s">
        <v>7429</v>
      </c>
    </row>
    <row r="56" spans="1:217" ht="15.5" x14ac:dyDescent="0.35">
      <c r="A56" s="95">
        <f t="shared" si="16"/>
        <v>1</v>
      </c>
      <c r="B56" s="11"/>
      <c r="C56" s="11"/>
      <c r="D56" s="92" t="str">
        <f>IFERROR(
IF(AND(OR(Planilla!B56="C",Planilla!B56="c"), VLOOKUP(E56,EX:FJ,13,0)="C"), "OK",IF(AND(OR(Planilla!B56="C",Planilla!B56="c"), OR(VLOOKUP(E56,EX:FJ,13,0)="B", VLOOKUP(E56,EX:FJ,13,0)="A")), "DEFICIT",IF(
AND(OR(Planilla!B56="B", Planilla!B56="BPAL"), VLOOKUP(E56,EX:FJ,13,0)="B"), "OK",IF(AND(OR(Planilla!B56="B", Planilla!B56="BPAL"), VLOOKUP(E56,EX:FJ,13,0)="A"), "DEFICIT",IF(AND(OR(Planilla!B56="B", Planilla!B56="BPAL"), VLOOKUP(E56,EX:FJ,13,0)="C"), "SOBREOFERTA",IF(AND(Planilla!B56="A", VLOOKUP(E56,EX:FJ,13,0)="A"), "OK",IF(
AND(Planilla!B56="A", OR(VLOOKUP(E56,EX:FJ,13,0)="B", VLOOKUP(E56,EX:FJ,13,0)="C")), "SOBREOFERTA",""
))))))),"")</f>
        <v/>
      </c>
      <c r="E56" s="12"/>
      <c r="F56" s="13"/>
      <c r="G56" s="14"/>
      <c r="H56" s="81" t="str">
        <f t="shared" si="17"/>
        <v/>
      </c>
      <c r="I56" s="7"/>
      <c r="J56" s="6" t="e">
        <f t="shared" si="18"/>
        <v>#N/A</v>
      </c>
      <c r="K56" s="6" t="str">
        <f>IF(A57&lt;&gt;A56,AVERAGEIF(A$9:A56,A56,J$9:J56),"")</f>
        <v/>
      </c>
      <c r="L56" s="7" t="str">
        <f>IFERROR(IF(A57&lt;&gt;A56,AVERAGEIF(A$9:A56,A56,S$9:S56),""),"")</f>
        <v/>
      </c>
      <c r="M56" s="7" t="str">
        <f>IFERROR(IF(A57&lt;&gt;A56,AVERAGEIF(A$9:A56,A56,T$9:T56),""),"")</f>
        <v/>
      </c>
      <c r="N56" s="7" t="str" cm="1">
        <f t="array" ref="N56">IFERROR(IF(A57&lt;&gt;A56,_xlfn.STDEV.P(IF(A$9:A56=A56,T$9:T56)),""),"")</f>
        <v/>
      </c>
      <c r="O56" s="7" t="str" cm="1">
        <f t="array" ref="O56">IFERROR(IF(A57&lt;&gt;A56,_xlfn.STDEV.P(IF(A$9:A56=A56,S$9:S56)),""),"")</f>
        <v/>
      </c>
      <c r="P56" s="8" t="str">
        <f t="shared" si="19"/>
        <v/>
      </c>
      <c r="Q56" s="8" t="str">
        <f t="shared" si="20"/>
        <v/>
      </c>
      <c r="R56" s="8" t="str">
        <f t="shared" si="21"/>
        <v/>
      </c>
      <c r="S56" s="9" t="str">
        <f t="shared" si="22"/>
        <v/>
      </c>
      <c r="T56" s="9" t="str">
        <f t="shared" si="23"/>
        <v/>
      </c>
      <c r="U56" s="14">
        <v>0.42083333333333334</v>
      </c>
      <c r="V56" s="15"/>
      <c r="W56" s="14" t="str">
        <f t="shared" si="38"/>
        <v/>
      </c>
      <c r="X56" s="15"/>
      <c r="Y56" s="2"/>
      <c r="AB56" s="22">
        <f t="shared" si="24"/>
        <v>1</v>
      </c>
      <c r="AC56" s="11"/>
      <c r="AD56" s="11"/>
      <c r="AE56" s="13"/>
      <c r="AF56" s="12"/>
      <c r="AG56" s="13"/>
      <c r="AH56" s="14"/>
      <c r="AI56" s="81" t="str">
        <f t="shared" si="25"/>
        <v/>
      </c>
      <c r="AJ56" s="15"/>
      <c r="AK56" s="6" t="e">
        <f t="shared" si="26"/>
        <v>#N/A</v>
      </c>
      <c r="AL56" s="6" t="str">
        <f>IF(AB57&lt;&gt;AB56,AVERAGEIF(AB$9:AB56,AB56,AK$9:AK56),"")</f>
        <v/>
      </c>
      <c r="AM56" s="7" t="str">
        <f>IFERROR(IF(AB57&lt;&gt;AB56,AVERAGEIF(AB$9:AB56,AB56,AT$9:AT56),""),"")</f>
        <v/>
      </c>
      <c r="AN56" s="7" t="str">
        <f>IFERROR(IF(AB57&lt;&gt;AB56,AVERAGEIF(AB$9:AB56,AB56,AU$9:AU56),""),"")</f>
        <v/>
      </c>
      <c r="AO56" s="7" t="str" cm="1">
        <f t="array" ref="AO56">IFERROR(IF(AB57&lt;&gt;AB56,_xlfn.STDEV.P(IF(AB$9:AB56=AB56,AU$9:AU56)),""),"")</f>
        <v/>
      </c>
      <c r="AP56" s="7" t="str" cm="1">
        <f t="array" ref="AP56">IFERROR(IF(AB57&lt;&gt;AB56,_xlfn.STDEV.P(IF(AB$9:AB56=AB56,AT$9:AT56)),""),"")</f>
        <v/>
      </c>
      <c r="AQ56" s="8" t="str">
        <f t="shared" si="27"/>
        <v/>
      </c>
      <c r="AR56" s="8" t="str">
        <f t="shared" si="28"/>
        <v/>
      </c>
      <c r="AS56" s="8" t="str">
        <f t="shared" si="29"/>
        <v/>
      </c>
      <c r="AT56" s="9" t="str">
        <f t="shared" si="30"/>
        <v/>
      </c>
      <c r="AU56" s="9" t="str">
        <f t="shared" si="31"/>
        <v/>
      </c>
      <c r="AV56" s="14"/>
      <c r="AW56" s="15"/>
      <c r="AX56" s="14" t="str">
        <f t="shared" si="32"/>
        <v/>
      </c>
      <c r="AY56" s="15"/>
      <c r="AZ56" s="23"/>
      <c r="EW56" t="s">
        <v>46</v>
      </c>
      <c r="EX56" s="33">
        <v>1053</v>
      </c>
      <c r="EY56" s="33" t="s">
        <v>200</v>
      </c>
      <c r="EZ56" s="33" t="s">
        <v>201</v>
      </c>
      <c r="FA56" s="33" t="s">
        <v>51</v>
      </c>
      <c r="FB56" s="33" t="s">
        <v>52</v>
      </c>
      <c r="FC56" s="33" t="s">
        <v>53</v>
      </c>
      <c r="FD56" s="33" t="s">
        <v>54</v>
      </c>
      <c r="FE56" s="33">
        <v>2019</v>
      </c>
      <c r="FF56" s="33" t="s">
        <v>55</v>
      </c>
      <c r="FG56" s="33" t="s">
        <v>56</v>
      </c>
      <c r="FH56" s="33" t="s">
        <v>57</v>
      </c>
      <c r="FI56" s="33" t="s">
        <v>58</v>
      </c>
      <c r="FJ56" t="s">
        <v>59</v>
      </c>
      <c r="FM56" s="32" t="s">
        <v>197</v>
      </c>
      <c r="FN56" t="s">
        <v>198</v>
      </c>
      <c r="FO56" t="s">
        <v>199</v>
      </c>
      <c r="FP56" t="str">
        <f t="shared" si="0"/>
        <v>B</v>
      </c>
      <c r="FT56" s="69" t="s">
        <v>7449</v>
      </c>
      <c r="FU56">
        <v>13.61</v>
      </c>
      <c r="FV56">
        <v>0</v>
      </c>
      <c r="FW56">
        <v>0</v>
      </c>
      <c r="FX56">
        <v>0</v>
      </c>
      <c r="FY56">
        <v>0</v>
      </c>
      <c r="FZ56">
        <v>10.94</v>
      </c>
      <c r="GA56">
        <v>19.465</v>
      </c>
      <c r="GB56">
        <v>13.885000000000002</v>
      </c>
      <c r="GC56">
        <v>17.020000000000003</v>
      </c>
      <c r="GD56">
        <v>19.059999999999999</v>
      </c>
      <c r="GE56">
        <v>19.22</v>
      </c>
      <c r="GF56">
        <v>18.66</v>
      </c>
      <c r="GG56">
        <v>17.405000000000001</v>
      </c>
      <c r="GH56">
        <v>17.21</v>
      </c>
      <c r="GI56">
        <v>17.490000000000002</v>
      </c>
      <c r="GJ56">
        <v>16.484999999999999</v>
      </c>
      <c r="GK56">
        <v>16.234999999999999</v>
      </c>
      <c r="GL56">
        <v>15.510000000000002</v>
      </c>
      <c r="GM56">
        <v>15.219999999999999</v>
      </c>
      <c r="GN56">
        <v>16.63</v>
      </c>
      <c r="GO56">
        <v>18.274999999999999</v>
      </c>
      <c r="GP56">
        <v>19.619999999999997</v>
      </c>
      <c r="GQ56">
        <v>20.79</v>
      </c>
      <c r="GR56">
        <v>22.94</v>
      </c>
      <c r="GU56" s="53">
        <v>53</v>
      </c>
      <c r="GV56" s="53">
        <v>50</v>
      </c>
    </row>
    <row r="57" spans="1:217" ht="15.5" x14ac:dyDescent="0.35">
      <c r="A57" s="95">
        <f t="shared" si="16"/>
        <v>1</v>
      </c>
      <c r="B57" s="11"/>
      <c r="C57" s="11"/>
      <c r="D57" s="92" t="str">
        <f>IFERROR(
IF(AND(OR(Planilla!B57="C",Planilla!B57="c"), VLOOKUP(E57,EX:FJ,13,0)="C"), "OK",IF(AND(OR(Planilla!B57="C",Planilla!B57="c"), OR(VLOOKUP(E57,EX:FJ,13,0)="B", VLOOKUP(E57,EX:FJ,13,0)="A")), "DEFICIT",IF(
AND(OR(Planilla!B57="B", Planilla!B57="BPAL"), VLOOKUP(E57,EX:FJ,13,0)="B"), "OK",IF(AND(OR(Planilla!B57="B", Planilla!B57="BPAL"), VLOOKUP(E57,EX:FJ,13,0)="A"), "DEFICIT",IF(AND(OR(Planilla!B57="B", Planilla!B57="BPAL"), VLOOKUP(E57,EX:FJ,13,0)="C"), "SOBREOFERTA",IF(AND(Planilla!B57="A", VLOOKUP(E57,EX:FJ,13,0)="A"), "OK",IF(
AND(Planilla!B57="A", OR(VLOOKUP(E57,EX:FJ,13,0)="B", VLOOKUP(E57,EX:FJ,13,0)="C")), "SOBREOFERTA",""
))))))),"")</f>
        <v/>
      </c>
      <c r="E57" s="12"/>
      <c r="F57" s="13"/>
      <c r="G57" s="14"/>
      <c r="H57" s="81" t="str">
        <f t="shared" si="17"/>
        <v/>
      </c>
      <c r="I57" s="7"/>
      <c r="J57" s="6" t="e">
        <f t="shared" si="18"/>
        <v>#N/A</v>
      </c>
      <c r="K57" s="6" t="str">
        <f>IF(A58&lt;&gt;A57,AVERAGEIF(A$9:A57,A57,J$9:J57),"")</f>
        <v/>
      </c>
      <c r="L57" s="7" t="str">
        <f>IFERROR(IF(A58&lt;&gt;A57,AVERAGEIF(A$9:A57,A57,S$9:S57),""),"")</f>
        <v/>
      </c>
      <c r="M57" s="7" t="str">
        <f>IFERROR(IF(A58&lt;&gt;A57,AVERAGEIF(A$9:A57,A57,T$9:T57),""),"")</f>
        <v/>
      </c>
      <c r="N57" s="7" t="str" cm="1">
        <f t="array" ref="N57">IFERROR(IF(A58&lt;&gt;A57,_xlfn.STDEV.P(IF(A$9:A57=A57,T$9:T57)),""),"")</f>
        <v/>
      </c>
      <c r="O57" s="7" t="str" cm="1">
        <f t="array" ref="O57">IFERROR(IF(A58&lt;&gt;A57,_xlfn.STDEV.P(IF(A$9:A57=A57,S$9:S57)),""),"")</f>
        <v/>
      </c>
      <c r="P57" s="8" t="str">
        <f t="shared" si="19"/>
        <v/>
      </c>
      <c r="Q57" s="8" t="str">
        <f t="shared" si="20"/>
        <v/>
      </c>
      <c r="R57" s="8" t="str">
        <f t="shared" si="21"/>
        <v/>
      </c>
      <c r="S57" s="9" t="str">
        <f t="shared" si="22"/>
        <v/>
      </c>
      <c r="T57" s="9" t="str">
        <f t="shared" si="23"/>
        <v/>
      </c>
      <c r="U57" s="14">
        <v>0.42638888888888887</v>
      </c>
      <c r="V57" s="15"/>
      <c r="W57" s="14" t="str">
        <f t="shared" si="38"/>
        <v/>
      </c>
      <c r="X57" s="15"/>
      <c r="Y57" s="2"/>
      <c r="AB57" s="22">
        <f t="shared" si="24"/>
        <v>1</v>
      </c>
      <c r="AC57" s="11"/>
      <c r="AD57" s="11"/>
      <c r="AE57" s="13"/>
      <c r="AF57" s="12"/>
      <c r="AG57" s="13"/>
      <c r="AH57" s="14"/>
      <c r="AI57" s="81" t="str">
        <f t="shared" si="25"/>
        <v/>
      </c>
      <c r="AJ57" s="15"/>
      <c r="AK57" s="6" t="e">
        <f t="shared" si="26"/>
        <v>#N/A</v>
      </c>
      <c r="AL57" s="6" t="str">
        <f>IF(AB58&lt;&gt;AB57,AVERAGEIF(AB$9:AB57,AB57,AK$9:AK57),"")</f>
        <v/>
      </c>
      <c r="AM57" s="7" t="str">
        <f>IFERROR(IF(AB58&lt;&gt;AB57,AVERAGEIF(AB$9:AB57,AB57,AT$9:AT57),""),"")</f>
        <v/>
      </c>
      <c r="AN57" s="7" t="str">
        <f>IFERROR(IF(AB58&lt;&gt;AB57,AVERAGEIF(AB$9:AB57,AB57,AU$9:AU57),""),"")</f>
        <v/>
      </c>
      <c r="AO57" s="7" t="str" cm="1">
        <f t="array" ref="AO57">IFERROR(IF(AB58&lt;&gt;AB57,_xlfn.STDEV.P(IF(AB$9:AB57=AB57,AU$9:AU57)),""),"")</f>
        <v/>
      </c>
      <c r="AP57" s="7" t="str" cm="1">
        <f t="array" ref="AP57">IFERROR(IF(AB58&lt;&gt;AB57,_xlfn.STDEV.P(IF(AB$9:AB57=AB57,AT$9:AT57)),""),"")</f>
        <v/>
      </c>
      <c r="AQ57" s="8" t="str">
        <f t="shared" si="27"/>
        <v/>
      </c>
      <c r="AR57" s="8" t="str">
        <f t="shared" si="28"/>
        <v/>
      </c>
      <c r="AS57" s="8" t="str">
        <f t="shared" si="29"/>
        <v/>
      </c>
      <c r="AT57" s="9" t="str">
        <f t="shared" si="30"/>
        <v/>
      </c>
      <c r="AU57" s="9" t="str">
        <f t="shared" si="31"/>
        <v/>
      </c>
      <c r="AV57" s="14"/>
      <c r="AW57" s="15"/>
      <c r="AX57" s="14" t="str">
        <f t="shared" si="32"/>
        <v/>
      </c>
      <c r="AY57" s="15"/>
      <c r="AZ57" s="23"/>
      <c r="EW57" t="s">
        <v>46</v>
      </c>
      <c r="EX57" s="33">
        <v>1054</v>
      </c>
      <c r="EY57" s="33" t="s">
        <v>202</v>
      </c>
      <c r="EZ57" s="33" t="s">
        <v>203</v>
      </c>
      <c r="FA57" s="33" t="s">
        <v>51</v>
      </c>
      <c r="FB57" s="33" t="s">
        <v>52</v>
      </c>
      <c r="FC57" s="33" t="s">
        <v>53</v>
      </c>
      <c r="FD57" s="33" t="s">
        <v>54</v>
      </c>
      <c r="FE57" s="33">
        <v>2019</v>
      </c>
      <c r="FF57" s="33" t="s">
        <v>55</v>
      </c>
      <c r="FG57" s="33" t="s">
        <v>56</v>
      </c>
      <c r="FH57" s="33" t="s">
        <v>57</v>
      </c>
      <c r="FI57" s="33" t="s">
        <v>58</v>
      </c>
      <c r="FJ57" t="s">
        <v>59</v>
      </c>
      <c r="FM57" s="32" t="s">
        <v>197</v>
      </c>
      <c r="FN57" t="s">
        <v>198</v>
      </c>
      <c r="FO57" t="s">
        <v>199</v>
      </c>
      <c r="FP57" t="str">
        <f t="shared" si="0"/>
        <v>B</v>
      </c>
      <c r="FT57" s="69" t="s">
        <v>7430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21.615000000000002</v>
      </c>
      <c r="GA57">
        <v>16.86</v>
      </c>
      <c r="GB57">
        <v>12.62</v>
      </c>
      <c r="GC57">
        <v>14.015000000000001</v>
      </c>
      <c r="GD57">
        <v>14.93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11.685</v>
      </c>
      <c r="GM57">
        <v>12.405000000000001</v>
      </c>
      <c r="GN57">
        <v>14.399999999999999</v>
      </c>
      <c r="GO57">
        <v>16.745000000000001</v>
      </c>
      <c r="GP57">
        <v>8.9550000000000001</v>
      </c>
      <c r="GQ57">
        <v>0</v>
      </c>
      <c r="GR57">
        <v>0</v>
      </c>
      <c r="GU57" s="53">
        <v>54</v>
      </c>
      <c r="GV57" s="53">
        <v>51</v>
      </c>
    </row>
    <row r="58" spans="1:217" ht="15.5" x14ac:dyDescent="0.35">
      <c r="A58" s="95">
        <f t="shared" si="16"/>
        <v>1</v>
      </c>
      <c r="B58" s="11"/>
      <c r="C58" s="11"/>
      <c r="D58" s="92" t="str">
        <f>IFERROR(
IF(AND(OR(Planilla!B58="C",Planilla!B58="c"), VLOOKUP(E58,EX:FJ,13,0)="C"), "OK",IF(AND(OR(Planilla!B58="C",Planilla!B58="c"), OR(VLOOKUP(E58,EX:FJ,13,0)="B", VLOOKUP(E58,EX:FJ,13,0)="A")), "DEFICIT",IF(
AND(OR(Planilla!B58="B", Planilla!B58="BPAL"), VLOOKUP(E58,EX:FJ,13,0)="B"), "OK",IF(AND(OR(Planilla!B58="B", Planilla!B58="BPAL"), VLOOKUP(E58,EX:FJ,13,0)="A"), "DEFICIT",IF(AND(OR(Planilla!B58="B", Planilla!B58="BPAL"), VLOOKUP(E58,EX:FJ,13,0)="C"), "SOBREOFERTA",IF(AND(Planilla!B58="A", VLOOKUP(E58,EX:FJ,13,0)="A"), "OK",IF(
AND(Planilla!B58="A", OR(VLOOKUP(E58,EX:FJ,13,0)="B", VLOOKUP(E58,EX:FJ,13,0)="C")), "SOBREOFERTA",""
))))))),"")</f>
        <v/>
      </c>
      <c r="E58" s="12"/>
      <c r="F58" s="13"/>
      <c r="G58" s="14"/>
      <c r="H58" s="81" t="str">
        <f t="shared" si="17"/>
        <v/>
      </c>
      <c r="I58" s="7"/>
      <c r="J58" s="6" t="e">
        <f t="shared" si="18"/>
        <v>#N/A</v>
      </c>
      <c r="K58" s="6" t="str">
        <f>IF(A59&lt;&gt;A58,AVERAGEIF(A$9:A58,A58,J$9:J58),"")</f>
        <v/>
      </c>
      <c r="L58" s="7" t="str">
        <f>IFERROR(IF(A59&lt;&gt;A58,AVERAGEIF(A$9:A58,A58,S$9:S58),""),"")</f>
        <v/>
      </c>
      <c r="M58" s="7" t="str">
        <f>IFERROR(IF(A59&lt;&gt;A58,AVERAGEIF(A$9:A58,A58,T$9:T58),""),"")</f>
        <v/>
      </c>
      <c r="N58" s="7" t="str" cm="1">
        <f t="array" ref="N58">IFERROR(IF(A59&lt;&gt;A58,_xlfn.STDEV.P(IF(A$9:A58=A58,T$9:T58)),""),"")</f>
        <v/>
      </c>
      <c r="O58" s="7" t="str" cm="1">
        <f t="array" ref="O58">IFERROR(IF(A59&lt;&gt;A58,_xlfn.STDEV.P(IF(A$9:A58=A58,S$9:S58)),""),"")</f>
        <v/>
      </c>
      <c r="P58" s="8" t="str">
        <f t="shared" si="19"/>
        <v/>
      </c>
      <c r="Q58" s="8" t="str">
        <f t="shared" si="20"/>
        <v/>
      </c>
      <c r="R58" s="8" t="str">
        <f t="shared" si="21"/>
        <v/>
      </c>
      <c r="S58" s="9" t="str">
        <f t="shared" si="22"/>
        <v/>
      </c>
      <c r="T58" s="9" t="str">
        <f t="shared" si="23"/>
        <v/>
      </c>
      <c r="U58" s="14">
        <v>0.43125000000000002</v>
      </c>
      <c r="V58" s="15"/>
      <c r="W58" s="14" t="str">
        <f t="shared" si="38"/>
        <v/>
      </c>
      <c r="X58" s="15"/>
      <c r="Y58" s="2"/>
      <c r="AB58" s="22">
        <f t="shared" si="24"/>
        <v>1</v>
      </c>
      <c r="AC58" s="11"/>
      <c r="AD58" s="11"/>
      <c r="AE58" s="13"/>
      <c r="AF58" s="12"/>
      <c r="AG58" s="13"/>
      <c r="AH58" s="14"/>
      <c r="AI58" s="81" t="str">
        <f t="shared" si="25"/>
        <v/>
      </c>
      <c r="AJ58" s="15"/>
      <c r="AK58" s="6" t="e">
        <f t="shared" si="26"/>
        <v>#N/A</v>
      </c>
      <c r="AL58" s="6" t="str">
        <f>IF(AB59&lt;&gt;AB58,AVERAGEIF(AB$9:AB58,AB58,AK$9:AK58),"")</f>
        <v/>
      </c>
      <c r="AM58" s="7" t="str">
        <f>IFERROR(IF(AB59&lt;&gt;AB58,AVERAGEIF(AB$9:AB58,AB58,AT$9:AT58),""),"")</f>
        <v/>
      </c>
      <c r="AN58" s="7" t="str">
        <f>IFERROR(IF(AB59&lt;&gt;AB58,AVERAGEIF(AB$9:AB58,AB58,AU$9:AU58),""),"")</f>
        <v/>
      </c>
      <c r="AO58" s="7" t="str" cm="1">
        <f t="array" ref="AO58">IFERROR(IF(AB59&lt;&gt;AB58,_xlfn.STDEV.P(IF(AB$9:AB58=AB58,AU$9:AU58)),""),"")</f>
        <v/>
      </c>
      <c r="AP58" s="7" t="str" cm="1">
        <f t="array" ref="AP58">IFERROR(IF(AB59&lt;&gt;AB58,_xlfn.STDEV.P(IF(AB$9:AB58=AB58,AT$9:AT58)),""),"")</f>
        <v/>
      </c>
      <c r="AQ58" s="8" t="str">
        <f t="shared" si="27"/>
        <v/>
      </c>
      <c r="AR58" s="8" t="str">
        <f t="shared" si="28"/>
        <v/>
      </c>
      <c r="AS58" s="8" t="str">
        <f t="shared" si="29"/>
        <v/>
      </c>
      <c r="AT58" s="9" t="str">
        <f t="shared" si="30"/>
        <v/>
      </c>
      <c r="AU58" s="9" t="str">
        <f t="shared" si="31"/>
        <v/>
      </c>
      <c r="AV58" s="14"/>
      <c r="AW58" s="15"/>
      <c r="AX58" s="14" t="str">
        <f t="shared" si="32"/>
        <v/>
      </c>
      <c r="AY58" s="15"/>
      <c r="AZ58" s="23"/>
      <c r="EW58" t="s">
        <v>46</v>
      </c>
      <c r="EX58" s="33">
        <v>1055</v>
      </c>
      <c r="EY58" s="33" t="s">
        <v>204</v>
      </c>
      <c r="EZ58" s="33" t="s">
        <v>205</v>
      </c>
      <c r="FA58" s="33" t="s">
        <v>51</v>
      </c>
      <c r="FB58" s="33" t="s">
        <v>52</v>
      </c>
      <c r="FC58" s="33" t="s">
        <v>53</v>
      </c>
      <c r="FD58" s="33" t="s">
        <v>54</v>
      </c>
      <c r="FE58" s="33">
        <v>2019</v>
      </c>
      <c r="FF58" s="33" t="s">
        <v>55</v>
      </c>
      <c r="FG58" s="33" t="s">
        <v>56</v>
      </c>
      <c r="FH58" s="33" t="s">
        <v>57</v>
      </c>
      <c r="FI58" s="33" t="s">
        <v>58</v>
      </c>
      <c r="FJ58" t="s">
        <v>59</v>
      </c>
      <c r="FM58" s="32" t="s">
        <v>206</v>
      </c>
      <c r="FN58" t="s">
        <v>207</v>
      </c>
      <c r="FO58" t="s">
        <v>208</v>
      </c>
      <c r="FP58" t="str">
        <f t="shared" si="0"/>
        <v>B</v>
      </c>
      <c r="FT58" s="69" t="s">
        <v>7432</v>
      </c>
      <c r="FU58">
        <v>0</v>
      </c>
      <c r="FV58">
        <v>0</v>
      </c>
      <c r="FW58">
        <v>0</v>
      </c>
      <c r="FX58">
        <v>0</v>
      </c>
      <c r="FY58">
        <v>12.875</v>
      </c>
      <c r="FZ58">
        <v>22.65</v>
      </c>
      <c r="GA58">
        <v>17.829999999999998</v>
      </c>
      <c r="GB58">
        <v>13.059999999999999</v>
      </c>
      <c r="GC58">
        <v>14.73</v>
      </c>
      <c r="GD58">
        <v>16.53</v>
      </c>
      <c r="GE58">
        <v>16.78</v>
      </c>
      <c r="GF58">
        <v>16.414999999999999</v>
      </c>
      <c r="GG58">
        <v>16.195</v>
      </c>
      <c r="GH58">
        <v>16.259999999999998</v>
      </c>
      <c r="GI58">
        <v>16.53</v>
      </c>
      <c r="GJ58">
        <v>15.39</v>
      </c>
      <c r="GK58">
        <v>13.7</v>
      </c>
      <c r="GL58">
        <v>12.125</v>
      </c>
      <c r="GM58">
        <v>12.715</v>
      </c>
      <c r="GN58">
        <v>15.35</v>
      </c>
      <c r="GO58">
        <v>18.350000000000001</v>
      </c>
      <c r="GP58">
        <v>20.574999999999999</v>
      </c>
      <c r="GQ58">
        <v>22.695</v>
      </c>
      <c r="GR58">
        <v>0</v>
      </c>
      <c r="GU58" s="53">
        <v>55</v>
      </c>
      <c r="GV58" s="53">
        <v>52</v>
      </c>
    </row>
    <row r="59" spans="1:217" ht="15.5" x14ac:dyDescent="0.35">
      <c r="A59" s="95">
        <f t="shared" si="16"/>
        <v>1</v>
      </c>
      <c r="B59" s="11"/>
      <c r="C59" s="11"/>
      <c r="D59" s="92" t="str">
        <f>IFERROR(
IF(AND(OR(Planilla!B59="C",Planilla!B59="c"), VLOOKUP(E59,EX:FJ,13,0)="C"), "OK",IF(AND(OR(Planilla!B59="C",Planilla!B59="c"), OR(VLOOKUP(E59,EX:FJ,13,0)="B", VLOOKUP(E59,EX:FJ,13,0)="A")), "DEFICIT",IF(
AND(OR(Planilla!B59="B", Planilla!B59="BPAL"), VLOOKUP(E59,EX:FJ,13,0)="B"), "OK",IF(AND(OR(Planilla!B59="B", Planilla!B59="BPAL"), VLOOKUP(E59,EX:FJ,13,0)="A"), "DEFICIT",IF(AND(OR(Planilla!B59="B", Planilla!B59="BPAL"), VLOOKUP(E59,EX:FJ,13,0)="C"), "SOBREOFERTA",IF(AND(Planilla!B59="A", VLOOKUP(E59,EX:FJ,13,0)="A"), "OK",IF(
AND(Planilla!B59="A", OR(VLOOKUP(E59,EX:FJ,13,0)="B", VLOOKUP(E59,EX:FJ,13,0)="C")), "SOBREOFERTA",""
))))))),"")</f>
        <v/>
      </c>
      <c r="E59" s="12"/>
      <c r="F59" s="13"/>
      <c r="G59" s="14"/>
      <c r="H59" s="81" t="str">
        <f t="shared" si="17"/>
        <v/>
      </c>
      <c r="I59" s="7"/>
      <c r="J59" s="6" t="e">
        <f t="shared" si="18"/>
        <v>#N/A</v>
      </c>
      <c r="K59" s="6" t="str">
        <f>IF(A60&lt;&gt;A59,AVERAGEIF(A$9:A59,A59,J$9:J59),"")</f>
        <v/>
      </c>
      <c r="L59" s="7" t="str">
        <f>IFERROR(IF(A60&lt;&gt;A59,AVERAGEIF(A$9:A59,A59,S$9:S59),""),"")</f>
        <v/>
      </c>
      <c r="M59" s="7" t="str">
        <f>IFERROR(IF(A60&lt;&gt;A59,AVERAGEIF(A$9:A59,A59,T$9:T59),""),"")</f>
        <v/>
      </c>
      <c r="N59" s="7" t="str" cm="1">
        <f t="array" ref="N59">IFERROR(IF(A60&lt;&gt;A59,_xlfn.STDEV.P(IF(A$9:A59=A59,T$9:T59)),""),"")</f>
        <v/>
      </c>
      <c r="O59" s="7" t="str" cm="1">
        <f t="array" ref="O59">IFERROR(IF(A60&lt;&gt;A59,_xlfn.STDEV.P(IF(A$9:A59=A59,S$9:S59)),""),"")</f>
        <v/>
      </c>
      <c r="P59" s="8" t="str">
        <f t="shared" si="19"/>
        <v/>
      </c>
      <c r="Q59" s="8" t="str">
        <f t="shared" si="20"/>
        <v/>
      </c>
      <c r="R59" s="8" t="str">
        <f t="shared" si="21"/>
        <v/>
      </c>
      <c r="S59" s="9" t="str">
        <f t="shared" si="22"/>
        <v/>
      </c>
      <c r="T59" s="9" t="str">
        <f t="shared" si="23"/>
        <v/>
      </c>
      <c r="U59" s="14">
        <v>0.42986111111111114</v>
      </c>
      <c r="V59" s="15"/>
      <c r="W59" s="14" t="str">
        <f t="shared" si="38"/>
        <v/>
      </c>
      <c r="X59" s="15"/>
      <c r="Y59" s="2"/>
      <c r="AB59" s="22">
        <f t="shared" si="24"/>
        <v>1</v>
      </c>
      <c r="AC59" s="11"/>
      <c r="AD59" s="11"/>
      <c r="AE59" s="13"/>
      <c r="AF59" s="12"/>
      <c r="AG59" s="13"/>
      <c r="AH59" s="14"/>
      <c r="AI59" s="81" t="str">
        <f t="shared" si="25"/>
        <v/>
      </c>
      <c r="AJ59" s="15"/>
      <c r="AK59" s="6" t="e">
        <f t="shared" si="26"/>
        <v>#N/A</v>
      </c>
      <c r="AL59" s="6" t="str">
        <f>IF(AB60&lt;&gt;AB59,AVERAGEIF(AB$9:AB59,AB59,AK$9:AK59),"")</f>
        <v/>
      </c>
      <c r="AM59" s="7" t="str">
        <f>IFERROR(IF(AB60&lt;&gt;AB59,AVERAGEIF(AB$9:AB59,AB59,AT$9:AT59),""),"")</f>
        <v/>
      </c>
      <c r="AN59" s="7" t="str">
        <f>IFERROR(IF(AB60&lt;&gt;AB59,AVERAGEIF(AB$9:AB59,AB59,AU$9:AU59),""),"")</f>
        <v/>
      </c>
      <c r="AO59" s="7" t="str" cm="1">
        <f t="array" ref="AO59">IFERROR(IF(AB60&lt;&gt;AB59,_xlfn.STDEV.P(IF(AB$9:AB59=AB59,AU$9:AU59)),""),"")</f>
        <v/>
      </c>
      <c r="AP59" s="7" t="str" cm="1">
        <f t="array" ref="AP59">IFERROR(IF(AB60&lt;&gt;AB59,_xlfn.STDEV.P(IF(AB$9:AB59=AB59,AT$9:AT59)),""),"")</f>
        <v/>
      </c>
      <c r="AQ59" s="8" t="str">
        <f t="shared" si="27"/>
        <v/>
      </c>
      <c r="AR59" s="8" t="str">
        <f t="shared" si="28"/>
        <v/>
      </c>
      <c r="AS59" s="8" t="str">
        <f t="shared" si="29"/>
        <v/>
      </c>
      <c r="AT59" s="9" t="str">
        <f t="shared" si="30"/>
        <v/>
      </c>
      <c r="AU59" s="9" t="str">
        <f t="shared" si="31"/>
        <v/>
      </c>
      <c r="AV59" s="14"/>
      <c r="AW59" s="15"/>
      <c r="AX59" s="14" t="str">
        <f t="shared" si="32"/>
        <v/>
      </c>
      <c r="AY59" s="15"/>
      <c r="AZ59" s="23"/>
      <c r="EW59" t="s">
        <v>46</v>
      </c>
      <c r="EX59" s="33">
        <v>1056</v>
      </c>
      <c r="EY59" s="33" t="s">
        <v>209</v>
      </c>
      <c r="EZ59" s="33" t="s">
        <v>210</v>
      </c>
      <c r="FA59" s="33" t="s">
        <v>51</v>
      </c>
      <c r="FB59" s="33" t="s">
        <v>52</v>
      </c>
      <c r="FC59" s="33" t="s">
        <v>53</v>
      </c>
      <c r="FD59" s="33" t="s">
        <v>54</v>
      </c>
      <c r="FE59" s="33">
        <v>2019</v>
      </c>
      <c r="FF59" s="33" t="s">
        <v>55</v>
      </c>
      <c r="FG59" s="33" t="s">
        <v>56</v>
      </c>
      <c r="FH59" s="33" t="s">
        <v>57</v>
      </c>
      <c r="FI59" s="33" t="s">
        <v>58</v>
      </c>
      <c r="FJ59" t="s">
        <v>59</v>
      </c>
      <c r="FM59" s="32" t="s">
        <v>206</v>
      </c>
      <c r="FN59" t="s">
        <v>207</v>
      </c>
      <c r="FO59" t="s">
        <v>208</v>
      </c>
      <c r="FP59" t="str">
        <f t="shared" si="0"/>
        <v>B</v>
      </c>
      <c r="FT59" s="69" t="s">
        <v>7432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11.58</v>
      </c>
      <c r="GA59">
        <v>20.605</v>
      </c>
      <c r="GB59">
        <v>14.629999999999999</v>
      </c>
      <c r="GC59">
        <v>15.17</v>
      </c>
      <c r="GD59">
        <v>17.004999999999999</v>
      </c>
      <c r="GE59">
        <v>16.635000000000002</v>
      </c>
      <c r="GF59">
        <v>16.29</v>
      </c>
      <c r="GG59">
        <v>15.690000000000001</v>
      </c>
      <c r="GH59">
        <v>15.030000000000001</v>
      </c>
      <c r="GI59">
        <v>14.88</v>
      </c>
      <c r="GJ59">
        <v>14.234999999999999</v>
      </c>
      <c r="GK59">
        <v>13.585000000000001</v>
      </c>
      <c r="GL59">
        <v>12.35</v>
      </c>
      <c r="GM59">
        <v>12.120000000000001</v>
      </c>
      <c r="GN59">
        <v>14.025</v>
      </c>
      <c r="GO59">
        <v>16.844999999999999</v>
      </c>
      <c r="GP59">
        <v>19.074999999999999</v>
      </c>
      <c r="GQ59">
        <v>20.47</v>
      </c>
      <c r="GR59">
        <v>21.725000000000001</v>
      </c>
      <c r="GU59" s="53">
        <v>56</v>
      </c>
      <c r="GV59" s="53">
        <v>53</v>
      </c>
    </row>
    <row r="60" spans="1:217" ht="15.5" x14ac:dyDescent="0.35">
      <c r="A60" s="95">
        <f t="shared" si="16"/>
        <v>1</v>
      </c>
      <c r="B60" s="11"/>
      <c r="C60" s="11"/>
      <c r="D60" s="92" t="str">
        <f>IFERROR(
IF(AND(OR(Planilla!B60="C",Planilla!B60="c"), VLOOKUP(E60,EX:FJ,13,0)="C"), "OK",IF(AND(OR(Planilla!B60="C",Planilla!B60="c"), OR(VLOOKUP(E60,EX:FJ,13,0)="B", VLOOKUP(E60,EX:FJ,13,0)="A")), "DEFICIT",IF(
AND(OR(Planilla!B60="B", Planilla!B60="BPAL"), VLOOKUP(E60,EX:FJ,13,0)="B"), "OK",IF(AND(OR(Planilla!B60="B", Planilla!B60="BPAL"), VLOOKUP(E60,EX:FJ,13,0)="A"), "DEFICIT",IF(AND(OR(Planilla!B60="B", Planilla!B60="BPAL"), VLOOKUP(E60,EX:FJ,13,0)="C"), "SOBREOFERTA",IF(AND(Planilla!B60="A", VLOOKUP(E60,EX:FJ,13,0)="A"), "OK",IF(
AND(Planilla!B60="A", OR(VLOOKUP(E60,EX:FJ,13,0)="B", VLOOKUP(E60,EX:FJ,13,0)="C")), "SOBREOFERTA",""
))))))),"")</f>
        <v/>
      </c>
      <c r="E60" s="12"/>
      <c r="F60" s="13"/>
      <c r="G60" s="14"/>
      <c r="H60" s="81" t="str">
        <f t="shared" si="17"/>
        <v/>
      </c>
      <c r="I60" s="7"/>
      <c r="J60" s="6" t="e">
        <f t="shared" si="18"/>
        <v>#N/A</v>
      </c>
      <c r="K60" s="6" t="str">
        <f>IF(A61&lt;&gt;A60,AVERAGEIF(A$9:A60,A60,J$9:J60),"")</f>
        <v/>
      </c>
      <c r="L60" s="7" t="str">
        <f>IFERROR(IF(A61&lt;&gt;A60,AVERAGEIF(A$9:A60,A60,S$9:S60),""),"")</f>
        <v/>
      </c>
      <c r="M60" s="7" t="str">
        <f>IFERROR(IF(A61&lt;&gt;A60,AVERAGEIF(A$9:A60,A60,T$9:T60),""),"")</f>
        <v/>
      </c>
      <c r="N60" s="7" t="str" cm="1">
        <f t="array" ref="N60">IFERROR(IF(A61&lt;&gt;A60,_xlfn.STDEV.P(IF(A$9:A60=A60,T$9:T60)),""),"")</f>
        <v/>
      </c>
      <c r="O60" s="7" t="str" cm="1">
        <f t="array" ref="O60">IFERROR(IF(A61&lt;&gt;A60,_xlfn.STDEV.P(IF(A$9:A60=A60,S$9:S60)),""),"")</f>
        <v/>
      </c>
      <c r="P60" s="8" t="str">
        <f t="shared" si="19"/>
        <v/>
      </c>
      <c r="Q60" s="8" t="str">
        <f t="shared" si="20"/>
        <v/>
      </c>
      <c r="R60" s="8" t="str">
        <f t="shared" si="21"/>
        <v/>
      </c>
      <c r="S60" s="9" t="str">
        <f t="shared" si="22"/>
        <v/>
      </c>
      <c r="T60" s="9" t="str">
        <f t="shared" si="23"/>
        <v/>
      </c>
      <c r="U60" s="14">
        <v>0.43541666666666667</v>
      </c>
      <c r="V60" s="15"/>
      <c r="W60" s="14" t="str">
        <f t="shared" si="38"/>
        <v/>
      </c>
      <c r="X60" s="15"/>
      <c r="Y60" s="2"/>
      <c r="AB60" s="22">
        <f t="shared" si="24"/>
        <v>1</v>
      </c>
      <c r="AC60" s="11"/>
      <c r="AD60" s="11"/>
      <c r="AE60" s="13"/>
      <c r="AF60" s="12"/>
      <c r="AG60" s="13"/>
      <c r="AH60" s="14"/>
      <c r="AI60" s="81" t="str">
        <f t="shared" si="25"/>
        <v/>
      </c>
      <c r="AJ60" s="15"/>
      <c r="AK60" s="6" t="e">
        <f t="shared" si="26"/>
        <v>#N/A</v>
      </c>
      <c r="AL60" s="6" t="str">
        <f>IF(AB61&lt;&gt;AB60,AVERAGEIF(AB$9:AB60,AB60,AK$9:AK60),"")</f>
        <v/>
      </c>
      <c r="AM60" s="7" t="str">
        <f>IFERROR(IF(AB61&lt;&gt;AB60,AVERAGEIF(AB$9:AB60,AB60,AT$9:AT60),""),"")</f>
        <v/>
      </c>
      <c r="AN60" s="7" t="str">
        <f>IFERROR(IF(AB61&lt;&gt;AB60,AVERAGEIF(AB$9:AB60,AB60,AU$9:AU60),""),"")</f>
        <v/>
      </c>
      <c r="AO60" s="7" t="str" cm="1">
        <f t="array" ref="AO60">IFERROR(IF(AB61&lt;&gt;AB60,_xlfn.STDEV.P(IF(AB$9:AB60=AB60,AU$9:AU60)),""),"")</f>
        <v/>
      </c>
      <c r="AP60" s="7" t="str" cm="1">
        <f t="array" ref="AP60">IFERROR(IF(AB61&lt;&gt;AB60,_xlfn.STDEV.P(IF(AB$9:AB60=AB60,AT$9:AT60)),""),"")</f>
        <v/>
      </c>
      <c r="AQ60" s="8" t="str">
        <f t="shared" si="27"/>
        <v/>
      </c>
      <c r="AR60" s="8" t="str">
        <f t="shared" si="28"/>
        <v/>
      </c>
      <c r="AS60" s="8" t="str">
        <f t="shared" si="29"/>
        <v/>
      </c>
      <c r="AT60" s="9" t="str">
        <f t="shared" si="30"/>
        <v/>
      </c>
      <c r="AU60" s="9" t="str">
        <f t="shared" si="31"/>
        <v/>
      </c>
      <c r="AV60" s="14"/>
      <c r="AW60" s="15"/>
      <c r="AX60" s="14" t="str">
        <f t="shared" si="32"/>
        <v/>
      </c>
      <c r="AY60" s="15"/>
      <c r="AZ60" s="23"/>
      <c r="EW60" t="s">
        <v>46</v>
      </c>
      <c r="EX60" s="33">
        <v>1057</v>
      </c>
      <c r="EY60" s="33" t="s">
        <v>211</v>
      </c>
      <c r="EZ60" s="33" t="s">
        <v>212</v>
      </c>
      <c r="FA60" s="33" t="s">
        <v>51</v>
      </c>
      <c r="FB60" s="33" t="s">
        <v>52</v>
      </c>
      <c r="FC60" s="33" t="s">
        <v>53</v>
      </c>
      <c r="FD60" s="33" t="s">
        <v>54</v>
      </c>
      <c r="FE60" s="33">
        <v>2019</v>
      </c>
      <c r="FF60" s="33" t="s">
        <v>55</v>
      </c>
      <c r="FG60" s="33" t="s">
        <v>56</v>
      </c>
      <c r="FH60" s="33" t="s">
        <v>57</v>
      </c>
      <c r="FI60" s="33" t="s">
        <v>58</v>
      </c>
      <c r="FJ60" t="s">
        <v>59</v>
      </c>
      <c r="FM60" s="32" t="s">
        <v>206</v>
      </c>
      <c r="FN60" t="s">
        <v>207</v>
      </c>
      <c r="FO60" t="s">
        <v>208</v>
      </c>
      <c r="FP60" t="str">
        <f t="shared" si="0"/>
        <v>B</v>
      </c>
      <c r="FT60" s="69" t="s">
        <v>7433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8.8949999999999996</v>
      </c>
      <c r="GA60">
        <v>16.759999999999998</v>
      </c>
      <c r="GB60">
        <v>13.780000000000001</v>
      </c>
      <c r="GC60">
        <v>15.335000000000001</v>
      </c>
      <c r="GD60">
        <v>17.365000000000002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7.3150000000000004</v>
      </c>
      <c r="GM60">
        <v>15.010000000000002</v>
      </c>
      <c r="GN60">
        <v>16.990000000000002</v>
      </c>
      <c r="GO60">
        <v>18.270000000000003</v>
      </c>
      <c r="GP60">
        <v>19.740000000000002</v>
      </c>
      <c r="GQ60">
        <v>0</v>
      </c>
      <c r="GR60">
        <v>0</v>
      </c>
      <c r="GU60" s="53">
        <v>57</v>
      </c>
      <c r="GV60" s="53">
        <v>54</v>
      </c>
    </row>
    <row r="61" spans="1:217" ht="15.5" x14ac:dyDescent="0.35">
      <c r="A61" s="95">
        <f t="shared" si="16"/>
        <v>1</v>
      </c>
      <c r="B61" s="11"/>
      <c r="C61" s="11"/>
      <c r="D61" s="92" t="str">
        <f>IFERROR(
IF(AND(OR(Planilla!B61="C",Planilla!B61="c"), VLOOKUP(E61,EX:FJ,13,0)="C"), "OK",IF(AND(OR(Planilla!B61="C",Planilla!B61="c"), OR(VLOOKUP(E61,EX:FJ,13,0)="B", VLOOKUP(E61,EX:FJ,13,0)="A")), "DEFICIT",IF(
AND(OR(Planilla!B61="B", Planilla!B61="BPAL"), VLOOKUP(E61,EX:FJ,13,0)="B"), "OK",IF(AND(OR(Planilla!B61="B", Planilla!B61="BPAL"), VLOOKUP(E61,EX:FJ,13,0)="A"), "DEFICIT",IF(AND(OR(Planilla!B61="B", Planilla!B61="BPAL"), VLOOKUP(E61,EX:FJ,13,0)="C"), "SOBREOFERTA",IF(AND(Planilla!B61="A", VLOOKUP(E61,EX:FJ,13,0)="A"), "OK",IF(
AND(Planilla!B61="A", OR(VLOOKUP(E61,EX:FJ,13,0)="B", VLOOKUP(E61,EX:FJ,13,0)="C")), "SOBREOFERTA",""
))))))),"")</f>
        <v/>
      </c>
      <c r="E61" s="12"/>
      <c r="F61" s="13"/>
      <c r="G61" s="14"/>
      <c r="H61" s="81" t="str">
        <f t="shared" si="17"/>
        <v/>
      </c>
      <c r="I61" s="7"/>
      <c r="J61" s="6" t="e">
        <f t="shared" si="18"/>
        <v>#N/A</v>
      </c>
      <c r="K61" s="6" t="str">
        <f>IF(A62&lt;&gt;A61,AVERAGEIF(A$9:A61,A61,J$9:J61),"")</f>
        <v/>
      </c>
      <c r="L61" s="7" t="str">
        <f>IFERROR(IF(A62&lt;&gt;A61,AVERAGEIF(A$9:A61,A61,S$9:S61),""),"")</f>
        <v/>
      </c>
      <c r="M61" s="7" t="str">
        <f>IFERROR(IF(A62&lt;&gt;A61,AVERAGEIF(A$9:A61,A61,T$9:T61),""),"")</f>
        <v/>
      </c>
      <c r="N61" s="7" t="str" cm="1">
        <f t="array" ref="N61">IFERROR(IF(A62&lt;&gt;A61,_xlfn.STDEV.P(IF(A$9:A61=A61,T$9:T61)),""),"")</f>
        <v/>
      </c>
      <c r="O61" s="7" t="str" cm="1">
        <f t="array" ref="O61">IFERROR(IF(A62&lt;&gt;A61,_xlfn.STDEV.P(IF(A$9:A61=A61,S$9:S61)),""),"")</f>
        <v/>
      </c>
      <c r="P61" s="8" t="str">
        <f t="shared" si="19"/>
        <v/>
      </c>
      <c r="Q61" s="8" t="str">
        <f t="shared" si="20"/>
        <v/>
      </c>
      <c r="R61" s="8" t="str">
        <f t="shared" si="21"/>
        <v/>
      </c>
      <c r="S61" s="9" t="str">
        <f t="shared" si="22"/>
        <v/>
      </c>
      <c r="T61" s="9" t="str">
        <f t="shared" si="23"/>
        <v/>
      </c>
      <c r="U61" s="14">
        <v>0.44166666666666665</v>
      </c>
      <c r="V61" s="15"/>
      <c r="W61" s="14" t="str">
        <f t="shared" si="38"/>
        <v/>
      </c>
      <c r="X61" s="15"/>
      <c r="Y61" s="2"/>
      <c r="AB61" s="22">
        <f t="shared" si="24"/>
        <v>1</v>
      </c>
      <c r="AC61" s="11"/>
      <c r="AD61" s="11"/>
      <c r="AE61" s="13"/>
      <c r="AF61" s="12"/>
      <c r="AG61" s="13"/>
      <c r="AH61" s="14"/>
      <c r="AI61" s="81" t="str">
        <f t="shared" si="25"/>
        <v/>
      </c>
      <c r="AJ61" s="15"/>
      <c r="AK61" s="6" t="e">
        <f t="shared" si="26"/>
        <v>#N/A</v>
      </c>
      <c r="AL61" s="6" t="str">
        <f>IF(AB62&lt;&gt;AB61,AVERAGEIF(AB$9:AB61,AB61,AK$9:AK61),"")</f>
        <v/>
      </c>
      <c r="AM61" s="7" t="str">
        <f>IFERROR(IF(AB62&lt;&gt;AB61,AVERAGEIF(AB$9:AB61,AB61,AT$9:AT61),""),"")</f>
        <v/>
      </c>
      <c r="AN61" s="7" t="str">
        <f>IFERROR(IF(AB62&lt;&gt;AB61,AVERAGEIF(AB$9:AB61,AB61,AU$9:AU61),""),"")</f>
        <v/>
      </c>
      <c r="AO61" s="7" t="str" cm="1">
        <f t="array" ref="AO61">IFERROR(IF(AB62&lt;&gt;AB61,_xlfn.STDEV.P(IF(AB$9:AB61=AB61,AU$9:AU61)),""),"")</f>
        <v/>
      </c>
      <c r="AP61" s="7" t="str" cm="1">
        <f t="array" ref="AP61">IFERROR(IF(AB62&lt;&gt;AB61,_xlfn.STDEV.P(IF(AB$9:AB61=AB61,AT$9:AT61)),""),"")</f>
        <v/>
      </c>
      <c r="AQ61" s="8" t="str">
        <f t="shared" si="27"/>
        <v/>
      </c>
      <c r="AR61" s="8" t="str">
        <f t="shared" si="28"/>
        <v/>
      </c>
      <c r="AS61" s="8" t="str">
        <f t="shared" si="29"/>
        <v/>
      </c>
      <c r="AT61" s="9" t="str">
        <f t="shared" si="30"/>
        <v/>
      </c>
      <c r="AU61" s="9" t="str">
        <f t="shared" si="31"/>
        <v/>
      </c>
      <c r="AV61" s="14"/>
      <c r="AW61" s="15"/>
      <c r="AX61" s="14" t="str">
        <f t="shared" si="32"/>
        <v/>
      </c>
      <c r="AY61" s="15"/>
      <c r="AZ61" s="23"/>
      <c r="EW61" t="s">
        <v>46</v>
      </c>
      <c r="EX61" s="33">
        <v>1058</v>
      </c>
      <c r="EY61" s="33" t="s">
        <v>213</v>
      </c>
      <c r="EZ61" s="33" t="s">
        <v>214</v>
      </c>
      <c r="FA61" s="33" t="s">
        <v>51</v>
      </c>
      <c r="FB61" s="33" t="s">
        <v>52</v>
      </c>
      <c r="FC61" s="33" t="s">
        <v>53</v>
      </c>
      <c r="FD61" s="33" t="s">
        <v>54</v>
      </c>
      <c r="FE61" s="33">
        <v>2019</v>
      </c>
      <c r="FF61" s="33" t="s">
        <v>55</v>
      </c>
      <c r="FG61" s="33" t="s">
        <v>56</v>
      </c>
      <c r="FH61" s="33" t="s">
        <v>57</v>
      </c>
      <c r="FI61" s="33" t="s">
        <v>58</v>
      </c>
      <c r="FJ61" t="s">
        <v>59</v>
      </c>
      <c r="FM61" s="32" t="s">
        <v>206</v>
      </c>
      <c r="FN61" t="s">
        <v>207</v>
      </c>
      <c r="FO61" t="s">
        <v>208</v>
      </c>
      <c r="FP61" t="str">
        <f t="shared" si="0"/>
        <v>B</v>
      </c>
      <c r="FT61" s="69" t="s">
        <v>7433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20.164999999999999</v>
      </c>
      <c r="GB61">
        <v>16.95</v>
      </c>
      <c r="GC61">
        <v>16.86</v>
      </c>
      <c r="GD61">
        <v>17.71</v>
      </c>
      <c r="GE61">
        <v>17.72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6.49</v>
      </c>
      <c r="GM61">
        <v>13.39</v>
      </c>
      <c r="GN61">
        <v>14.26</v>
      </c>
      <c r="GO61">
        <v>16.305</v>
      </c>
      <c r="GP61">
        <v>17.939999999999998</v>
      </c>
      <c r="GQ61">
        <v>0</v>
      </c>
      <c r="GR61">
        <v>0</v>
      </c>
      <c r="GU61" s="53">
        <v>58</v>
      </c>
      <c r="GV61" s="53">
        <v>55</v>
      </c>
    </row>
    <row r="62" spans="1:217" ht="15.5" x14ac:dyDescent="0.35">
      <c r="A62" s="95">
        <f t="shared" si="16"/>
        <v>1</v>
      </c>
      <c r="B62" s="11"/>
      <c r="C62" s="11"/>
      <c r="D62" s="92" t="str">
        <f>IFERROR(
IF(AND(OR(Planilla!B62="C",Planilla!B62="c"), VLOOKUP(E62,EX:FJ,13,0)="C"), "OK",IF(AND(OR(Planilla!B62="C",Planilla!B62="c"), OR(VLOOKUP(E62,EX:FJ,13,0)="B", VLOOKUP(E62,EX:FJ,13,0)="A")), "DEFICIT",IF(
AND(OR(Planilla!B62="B", Planilla!B62="BPAL"), VLOOKUP(E62,EX:FJ,13,0)="B"), "OK",IF(AND(OR(Planilla!B62="B", Planilla!B62="BPAL"), VLOOKUP(E62,EX:FJ,13,0)="A"), "DEFICIT",IF(AND(OR(Planilla!B62="B", Planilla!B62="BPAL"), VLOOKUP(E62,EX:FJ,13,0)="C"), "SOBREOFERTA",IF(AND(Planilla!B62="A", VLOOKUP(E62,EX:FJ,13,0)="A"), "OK",IF(
AND(Planilla!B62="A", OR(VLOOKUP(E62,EX:FJ,13,0)="B", VLOOKUP(E62,EX:FJ,13,0)="C")), "SOBREOFERTA",""
))))))),"")</f>
        <v/>
      </c>
      <c r="E62" s="12"/>
      <c r="F62" s="13"/>
      <c r="G62" s="14"/>
      <c r="H62" s="81" t="str">
        <f t="shared" si="17"/>
        <v/>
      </c>
      <c r="I62" s="7"/>
      <c r="J62" s="6" t="e">
        <f t="shared" si="18"/>
        <v>#N/A</v>
      </c>
      <c r="K62" s="6" t="str">
        <f>IF(A63&lt;&gt;A62,AVERAGEIF(A$9:A62,A62,J$9:J62),"")</f>
        <v/>
      </c>
      <c r="L62" s="7" t="str">
        <f>IFERROR(IF(A63&lt;&gt;A62,AVERAGEIF(A$9:A62,A62,S$9:S62),""),"")</f>
        <v/>
      </c>
      <c r="M62" s="7" t="str">
        <f>IFERROR(IF(A63&lt;&gt;A62,AVERAGEIF(A$9:A62,A62,T$9:T62),""),"")</f>
        <v/>
      </c>
      <c r="N62" s="7" t="str" cm="1">
        <f t="array" ref="N62">IFERROR(IF(A63&lt;&gt;A62,_xlfn.STDEV.P(IF(A$9:A62=A62,T$9:T62)),""),"")</f>
        <v/>
      </c>
      <c r="O62" s="7" t="str" cm="1">
        <f t="array" ref="O62">IFERROR(IF(A63&lt;&gt;A62,_xlfn.STDEV.P(IF(A$9:A62=A62,S$9:S62)),""),"")</f>
        <v/>
      </c>
      <c r="P62" s="8" t="str">
        <f t="shared" si="19"/>
        <v/>
      </c>
      <c r="Q62" s="8" t="str">
        <f t="shared" si="20"/>
        <v/>
      </c>
      <c r="R62" s="8" t="str">
        <f t="shared" si="21"/>
        <v/>
      </c>
      <c r="S62" s="9" t="str">
        <f t="shared" si="22"/>
        <v/>
      </c>
      <c r="T62" s="9" t="str">
        <f t="shared" si="23"/>
        <v/>
      </c>
      <c r="U62" s="14">
        <v>0.44722222222222224</v>
      </c>
      <c r="V62" s="15"/>
      <c r="W62" s="14" t="str">
        <f t="shared" si="38"/>
        <v/>
      </c>
      <c r="X62" s="15"/>
      <c r="Y62" s="2"/>
      <c r="AB62" s="22">
        <f t="shared" si="24"/>
        <v>1</v>
      </c>
      <c r="AC62" s="11"/>
      <c r="AD62" s="11"/>
      <c r="AE62" s="13"/>
      <c r="AF62" s="12"/>
      <c r="AG62" s="13"/>
      <c r="AH62" s="14"/>
      <c r="AI62" s="81" t="str">
        <f t="shared" si="25"/>
        <v/>
      </c>
      <c r="AJ62" s="15"/>
      <c r="AK62" s="6" t="e">
        <f t="shared" si="26"/>
        <v>#N/A</v>
      </c>
      <c r="AL62" s="6" t="str">
        <f>IF(AB63&lt;&gt;AB62,AVERAGEIF(AB$9:AB62,AB62,AK$9:AK62),"")</f>
        <v/>
      </c>
      <c r="AM62" s="7" t="str">
        <f>IFERROR(IF(AB63&lt;&gt;AB62,AVERAGEIF(AB$9:AB62,AB62,AT$9:AT62),""),"")</f>
        <v/>
      </c>
      <c r="AN62" s="7" t="str">
        <f>IFERROR(IF(AB63&lt;&gt;AB62,AVERAGEIF(AB$9:AB62,AB62,AU$9:AU62),""),"")</f>
        <v/>
      </c>
      <c r="AO62" s="7" t="str" cm="1">
        <f t="array" ref="AO62">IFERROR(IF(AB63&lt;&gt;AB62,_xlfn.STDEV.P(IF(AB$9:AB62=AB62,AU$9:AU62)),""),"")</f>
        <v/>
      </c>
      <c r="AP62" s="7" t="str" cm="1">
        <f t="array" ref="AP62">IFERROR(IF(AB63&lt;&gt;AB62,_xlfn.STDEV.P(IF(AB$9:AB62=AB62,AT$9:AT62)),""),"")</f>
        <v/>
      </c>
      <c r="AQ62" s="8" t="str">
        <f t="shared" si="27"/>
        <v/>
      </c>
      <c r="AR62" s="8" t="str">
        <f t="shared" si="28"/>
        <v/>
      </c>
      <c r="AS62" s="8" t="str">
        <f t="shared" si="29"/>
        <v/>
      </c>
      <c r="AT62" s="9" t="str">
        <f t="shared" si="30"/>
        <v/>
      </c>
      <c r="AU62" s="9" t="str">
        <f t="shared" si="31"/>
        <v/>
      </c>
      <c r="AV62" s="14"/>
      <c r="AW62" s="15"/>
      <c r="AX62" s="14" t="str">
        <f t="shared" si="32"/>
        <v/>
      </c>
      <c r="AY62" s="15"/>
      <c r="AZ62" s="23"/>
      <c r="EW62" t="s">
        <v>46</v>
      </c>
      <c r="EX62" s="33">
        <v>1059</v>
      </c>
      <c r="EY62" s="33" t="s">
        <v>215</v>
      </c>
      <c r="EZ62" s="33" t="s">
        <v>216</v>
      </c>
      <c r="FA62" s="33" t="s">
        <v>51</v>
      </c>
      <c r="FB62" s="33" t="s">
        <v>52</v>
      </c>
      <c r="FC62" s="33" t="s">
        <v>53</v>
      </c>
      <c r="FD62" s="33" t="s">
        <v>54</v>
      </c>
      <c r="FE62" s="33">
        <v>2019</v>
      </c>
      <c r="FF62" s="33" t="s">
        <v>55</v>
      </c>
      <c r="FG62" s="33" t="s">
        <v>56</v>
      </c>
      <c r="FH62" s="33" t="s">
        <v>57</v>
      </c>
      <c r="FI62" s="33" t="s">
        <v>58</v>
      </c>
      <c r="FJ62" t="s">
        <v>59</v>
      </c>
      <c r="FM62" s="32" t="s">
        <v>217</v>
      </c>
      <c r="FN62" t="s">
        <v>218</v>
      </c>
      <c r="FO62" t="s">
        <v>219</v>
      </c>
      <c r="FP62" t="str">
        <f t="shared" si="0"/>
        <v>B</v>
      </c>
      <c r="FT62" s="69" t="s">
        <v>7425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15.515000000000001</v>
      </c>
      <c r="GA62">
        <v>25.814999999999998</v>
      </c>
      <c r="GB62">
        <v>22.810000000000002</v>
      </c>
      <c r="GC62">
        <v>23.905000000000001</v>
      </c>
      <c r="GD62">
        <v>25.555</v>
      </c>
      <c r="GE62">
        <v>26.114999999999998</v>
      </c>
      <c r="GF62">
        <v>26.15</v>
      </c>
      <c r="GG62">
        <v>26.045000000000002</v>
      </c>
      <c r="GH62">
        <v>25.905000000000001</v>
      </c>
      <c r="GI62">
        <v>25.37</v>
      </c>
      <c r="GJ62">
        <v>24.725000000000001</v>
      </c>
      <c r="GK62">
        <v>22.734999999999999</v>
      </c>
      <c r="GL62">
        <v>20.380000000000003</v>
      </c>
      <c r="GM62">
        <v>23.17</v>
      </c>
      <c r="GN62">
        <v>26.77</v>
      </c>
      <c r="GO62">
        <v>29.42</v>
      </c>
      <c r="GP62">
        <v>30.939999999999998</v>
      </c>
      <c r="GQ62">
        <v>30.824999999999999</v>
      </c>
      <c r="GR62">
        <v>0</v>
      </c>
      <c r="GU62" s="53">
        <v>59</v>
      </c>
      <c r="GV62" s="53">
        <v>56</v>
      </c>
    </row>
    <row r="63" spans="1:217" ht="15.5" x14ac:dyDescent="0.35">
      <c r="A63" s="95">
        <f t="shared" si="16"/>
        <v>1</v>
      </c>
      <c r="B63" s="11"/>
      <c r="C63" s="11"/>
      <c r="D63" s="92" t="str">
        <f>IFERROR(
IF(AND(OR(Planilla!B63="C",Planilla!B63="c"), VLOOKUP(E63,EX:FJ,13,0)="C"), "OK",IF(AND(OR(Planilla!B63="C",Planilla!B63="c"), OR(VLOOKUP(E63,EX:FJ,13,0)="B", VLOOKUP(E63,EX:FJ,13,0)="A")), "DEFICIT",IF(
AND(OR(Planilla!B63="B", Planilla!B63="BPAL"), VLOOKUP(E63,EX:FJ,13,0)="B"), "OK",IF(AND(OR(Planilla!B63="B", Planilla!B63="BPAL"), VLOOKUP(E63,EX:FJ,13,0)="A"), "DEFICIT",IF(AND(OR(Planilla!B63="B", Planilla!B63="BPAL"), VLOOKUP(E63,EX:FJ,13,0)="C"), "SOBREOFERTA",IF(AND(Planilla!B63="A", VLOOKUP(E63,EX:FJ,13,0)="A"), "OK",IF(
AND(Planilla!B63="A", OR(VLOOKUP(E63,EX:FJ,13,0)="B", VLOOKUP(E63,EX:FJ,13,0)="C")), "SOBREOFERTA",""
))))))),"")</f>
        <v/>
      </c>
      <c r="E63" s="12"/>
      <c r="F63" s="13"/>
      <c r="G63" s="14"/>
      <c r="H63" s="81" t="str">
        <f t="shared" si="17"/>
        <v/>
      </c>
      <c r="I63" s="7"/>
      <c r="J63" s="6" t="e">
        <f t="shared" si="18"/>
        <v>#N/A</v>
      </c>
      <c r="K63" s="6" t="str">
        <f>IF(A64&lt;&gt;A63,AVERAGEIF(A$9:A63,A63,J$9:J63),"")</f>
        <v/>
      </c>
      <c r="L63" s="7" t="str">
        <f>IFERROR(IF(A64&lt;&gt;A63,AVERAGEIF(A$9:A63,A63,S$9:S63),""),"")</f>
        <v/>
      </c>
      <c r="M63" s="7" t="str">
        <f>IFERROR(IF(A64&lt;&gt;A63,AVERAGEIF(A$9:A63,A63,T$9:T63),""),"")</f>
        <v/>
      </c>
      <c r="N63" s="7" t="str" cm="1">
        <f t="array" ref="N63">IFERROR(IF(A64&lt;&gt;A63,_xlfn.STDEV.P(IF(A$9:A63=A63,T$9:T63)),""),"")</f>
        <v/>
      </c>
      <c r="O63" s="7" t="str" cm="1">
        <f t="array" ref="O63">IFERROR(IF(A64&lt;&gt;A63,_xlfn.STDEV.P(IF(A$9:A63=A63,S$9:S63)),""),"")</f>
        <v/>
      </c>
      <c r="P63" s="8" t="str">
        <f t="shared" si="19"/>
        <v/>
      </c>
      <c r="Q63" s="8" t="str">
        <f t="shared" si="20"/>
        <v/>
      </c>
      <c r="R63" s="8" t="str">
        <f t="shared" si="21"/>
        <v/>
      </c>
      <c r="S63" s="9" t="str">
        <f t="shared" si="22"/>
        <v/>
      </c>
      <c r="T63" s="9" t="str">
        <f t="shared" si="23"/>
        <v/>
      </c>
      <c r="U63" s="14">
        <v>0.44930555555555557</v>
      </c>
      <c r="V63" s="15"/>
      <c r="W63" s="14" t="str">
        <f t="shared" si="38"/>
        <v/>
      </c>
      <c r="X63" s="15"/>
      <c r="Y63" s="2"/>
      <c r="AB63" s="22">
        <f t="shared" si="24"/>
        <v>1</v>
      </c>
      <c r="AC63" s="11"/>
      <c r="AD63" s="11"/>
      <c r="AE63" s="13"/>
      <c r="AF63" s="12"/>
      <c r="AG63" s="13"/>
      <c r="AH63" s="14"/>
      <c r="AI63" s="81" t="str">
        <f t="shared" si="25"/>
        <v/>
      </c>
      <c r="AJ63" s="15"/>
      <c r="AK63" s="6" t="e">
        <f t="shared" si="26"/>
        <v>#N/A</v>
      </c>
      <c r="AL63" s="6" t="str">
        <f>IF(AB64&lt;&gt;AB63,AVERAGEIF(AB$9:AB63,AB63,AK$9:AK63),"")</f>
        <v/>
      </c>
      <c r="AM63" s="7" t="str">
        <f>IFERROR(IF(AB64&lt;&gt;AB63,AVERAGEIF(AB$9:AB63,AB63,AT$9:AT63),""),"")</f>
        <v/>
      </c>
      <c r="AN63" s="7" t="str">
        <f>IFERROR(IF(AB64&lt;&gt;AB63,AVERAGEIF(AB$9:AB63,AB63,AU$9:AU63),""),"")</f>
        <v/>
      </c>
      <c r="AO63" s="7" t="str" cm="1">
        <f t="array" ref="AO63">IFERROR(IF(AB64&lt;&gt;AB63,_xlfn.STDEV.P(IF(AB$9:AB63=AB63,AU$9:AU63)),""),"")</f>
        <v/>
      </c>
      <c r="AP63" s="7" t="str" cm="1">
        <f t="array" ref="AP63">IFERROR(IF(AB64&lt;&gt;AB63,_xlfn.STDEV.P(IF(AB$9:AB63=AB63,AT$9:AT63)),""),"")</f>
        <v/>
      </c>
      <c r="AQ63" s="8" t="str">
        <f t="shared" si="27"/>
        <v/>
      </c>
      <c r="AR63" s="8" t="str">
        <f t="shared" si="28"/>
        <v/>
      </c>
      <c r="AS63" s="8" t="str">
        <f t="shared" si="29"/>
        <v/>
      </c>
      <c r="AT63" s="9" t="str">
        <f t="shared" si="30"/>
        <v/>
      </c>
      <c r="AU63" s="9" t="str">
        <f t="shared" si="31"/>
        <v/>
      </c>
      <c r="AV63" s="14"/>
      <c r="AW63" s="15"/>
      <c r="AX63" s="14" t="str">
        <f t="shared" si="32"/>
        <v/>
      </c>
      <c r="AY63" s="15"/>
      <c r="AZ63" s="23"/>
      <c r="EW63" t="s">
        <v>46</v>
      </c>
      <c r="EX63" s="33">
        <v>1060</v>
      </c>
      <c r="EY63" s="33" t="s">
        <v>220</v>
      </c>
      <c r="EZ63" s="33" t="s">
        <v>221</v>
      </c>
      <c r="FA63" s="33" t="s">
        <v>51</v>
      </c>
      <c r="FB63" s="33" t="s">
        <v>52</v>
      </c>
      <c r="FC63" s="33" t="s">
        <v>53</v>
      </c>
      <c r="FD63" s="33" t="s">
        <v>54</v>
      </c>
      <c r="FE63" s="33">
        <v>2019</v>
      </c>
      <c r="FF63" s="33" t="s">
        <v>55</v>
      </c>
      <c r="FG63" s="33" t="s">
        <v>56</v>
      </c>
      <c r="FH63" s="33" t="s">
        <v>57</v>
      </c>
      <c r="FI63" s="33" t="s">
        <v>58</v>
      </c>
      <c r="FJ63" t="s">
        <v>59</v>
      </c>
      <c r="FM63" s="32" t="s">
        <v>217</v>
      </c>
      <c r="FN63" t="s">
        <v>218</v>
      </c>
      <c r="FO63" t="s">
        <v>219</v>
      </c>
      <c r="FP63" t="str">
        <f t="shared" si="0"/>
        <v>B</v>
      </c>
      <c r="FT63" s="69" t="s">
        <v>7435</v>
      </c>
      <c r="FU63">
        <v>0</v>
      </c>
      <c r="FV63">
        <v>0</v>
      </c>
      <c r="FW63">
        <v>0</v>
      </c>
      <c r="FX63">
        <v>0</v>
      </c>
      <c r="FY63">
        <v>13.24</v>
      </c>
      <c r="FZ63">
        <v>22.585000000000001</v>
      </c>
      <c r="GA63">
        <v>17.55</v>
      </c>
      <c r="GB63">
        <v>13.254999999999999</v>
      </c>
      <c r="GC63">
        <v>15.36</v>
      </c>
      <c r="GD63">
        <v>16.93</v>
      </c>
      <c r="GE63">
        <v>17.25</v>
      </c>
      <c r="GF63">
        <v>17.170000000000002</v>
      </c>
      <c r="GG63">
        <v>16.670000000000002</v>
      </c>
      <c r="GH63">
        <v>16.869999999999997</v>
      </c>
      <c r="GI63">
        <v>16.91</v>
      </c>
      <c r="GJ63">
        <v>16.175000000000001</v>
      </c>
      <c r="GK63">
        <v>15.545</v>
      </c>
      <c r="GL63">
        <v>14.129999999999999</v>
      </c>
      <c r="GM63">
        <v>14.625</v>
      </c>
      <c r="GN63">
        <v>16.78</v>
      </c>
      <c r="GO63">
        <v>18.84</v>
      </c>
      <c r="GP63">
        <v>20.73</v>
      </c>
      <c r="GQ63">
        <v>22.47</v>
      </c>
      <c r="GR63">
        <v>0</v>
      </c>
      <c r="GU63" s="53">
        <v>60</v>
      </c>
      <c r="GV63" s="53">
        <v>57</v>
      </c>
    </row>
    <row r="64" spans="1:217" ht="15.5" x14ac:dyDescent="0.35">
      <c r="A64" s="95">
        <f t="shared" si="16"/>
        <v>1</v>
      </c>
      <c r="B64" s="11"/>
      <c r="C64" s="11"/>
      <c r="D64" s="92" t="str">
        <f>IFERROR(
IF(AND(OR(Planilla!B64="C",Planilla!B64="c"), VLOOKUP(E64,EX:FJ,13,0)="C"), "OK",IF(AND(OR(Planilla!B64="C",Planilla!B64="c"), OR(VLOOKUP(E64,EX:FJ,13,0)="B", VLOOKUP(E64,EX:FJ,13,0)="A")), "DEFICIT",IF(
AND(OR(Planilla!B64="B", Planilla!B64="BPAL"), VLOOKUP(E64,EX:FJ,13,0)="B"), "OK",IF(AND(OR(Planilla!B64="B", Planilla!B64="BPAL"), VLOOKUP(E64,EX:FJ,13,0)="A"), "DEFICIT",IF(AND(OR(Planilla!B64="B", Planilla!B64="BPAL"), VLOOKUP(E64,EX:FJ,13,0)="C"), "SOBREOFERTA",IF(AND(Planilla!B64="A", VLOOKUP(E64,EX:FJ,13,0)="A"), "OK",IF(
AND(Planilla!B64="A", OR(VLOOKUP(E64,EX:FJ,13,0)="B", VLOOKUP(E64,EX:FJ,13,0)="C")), "SOBREOFERTA",""
))))))),"")</f>
        <v/>
      </c>
      <c r="E64" s="12"/>
      <c r="F64" s="13"/>
      <c r="G64" s="14"/>
      <c r="H64" s="81" t="str">
        <f t="shared" si="17"/>
        <v/>
      </c>
      <c r="I64" s="7"/>
      <c r="J64" s="6" t="e">
        <f t="shared" si="18"/>
        <v>#N/A</v>
      </c>
      <c r="K64" s="6" t="str">
        <f>IF(A65&lt;&gt;A64,AVERAGEIF(A$9:A64,A64,J$9:J64),"")</f>
        <v/>
      </c>
      <c r="L64" s="7" t="str">
        <f>IFERROR(IF(A65&lt;&gt;A64,AVERAGEIF(A$9:A64,A64,S$9:S64),""),"")</f>
        <v/>
      </c>
      <c r="M64" s="7" t="str">
        <f>IFERROR(IF(A65&lt;&gt;A64,AVERAGEIF(A$9:A64,A64,T$9:T64),""),"")</f>
        <v/>
      </c>
      <c r="N64" s="7" t="str" cm="1">
        <f t="array" ref="N64">IFERROR(IF(A65&lt;&gt;A64,_xlfn.STDEV.P(IF(A$9:A64=A64,T$9:T64)),""),"")</f>
        <v/>
      </c>
      <c r="O64" s="7" t="str" cm="1">
        <f t="array" ref="O64">IFERROR(IF(A65&lt;&gt;A64,_xlfn.STDEV.P(IF(A$9:A64=A64,S$9:S64)),""),"")</f>
        <v/>
      </c>
      <c r="P64" s="8" t="str">
        <f t="shared" si="19"/>
        <v/>
      </c>
      <c r="Q64" s="8" t="str">
        <f t="shared" si="20"/>
        <v/>
      </c>
      <c r="R64" s="8" t="str">
        <f t="shared" si="21"/>
        <v/>
      </c>
      <c r="S64" s="9" t="str">
        <f t="shared" si="22"/>
        <v/>
      </c>
      <c r="T64" s="9" t="str">
        <f t="shared" si="23"/>
        <v/>
      </c>
      <c r="U64" s="14">
        <v>0.4548611111111111</v>
      </c>
      <c r="V64" s="15"/>
      <c r="W64" s="14" t="str">
        <f t="shared" si="38"/>
        <v/>
      </c>
      <c r="X64" s="15"/>
      <c r="Y64" s="2"/>
      <c r="AB64" s="22">
        <f t="shared" si="24"/>
        <v>1</v>
      </c>
      <c r="AC64" s="11"/>
      <c r="AD64" s="11"/>
      <c r="AE64" s="13"/>
      <c r="AF64" s="12"/>
      <c r="AG64" s="13"/>
      <c r="AH64" s="14"/>
      <c r="AI64" s="81" t="str">
        <f t="shared" si="25"/>
        <v/>
      </c>
      <c r="AJ64" s="15"/>
      <c r="AK64" s="6" t="e">
        <f t="shared" si="26"/>
        <v>#N/A</v>
      </c>
      <c r="AL64" s="6" t="str">
        <f>IF(AB65&lt;&gt;AB64,AVERAGEIF(AB$9:AB64,AB64,AK$9:AK64),"")</f>
        <v/>
      </c>
      <c r="AM64" s="7" t="str">
        <f>IFERROR(IF(AB65&lt;&gt;AB64,AVERAGEIF(AB$9:AB64,AB64,AT$9:AT64),""),"")</f>
        <v/>
      </c>
      <c r="AN64" s="7" t="str">
        <f>IFERROR(IF(AB65&lt;&gt;AB64,AVERAGEIF(AB$9:AB64,AB64,AU$9:AU64),""),"")</f>
        <v/>
      </c>
      <c r="AO64" s="7" t="str" cm="1">
        <f t="array" ref="AO64">IFERROR(IF(AB65&lt;&gt;AB64,_xlfn.STDEV.P(IF(AB$9:AB64=AB64,AU$9:AU64)),""),"")</f>
        <v/>
      </c>
      <c r="AP64" s="7" t="str" cm="1">
        <f t="array" ref="AP64">IFERROR(IF(AB65&lt;&gt;AB64,_xlfn.STDEV.P(IF(AB$9:AB64=AB64,AT$9:AT64)),""),"")</f>
        <v/>
      </c>
      <c r="AQ64" s="8" t="str">
        <f t="shared" si="27"/>
        <v/>
      </c>
      <c r="AR64" s="8" t="str">
        <f t="shared" si="28"/>
        <v/>
      </c>
      <c r="AS64" s="8" t="str">
        <f t="shared" si="29"/>
        <v/>
      </c>
      <c r="AT64" s="9" t="str">
        <f t="shared" si="30"/>
        <v/>
      </c>
      <c r="AU64" s="9" t="str">
        <f t="shared" si="31"/>
        <v/>
      </c>
      <c r="AV64" s="14"/>
      <c r="AW64" s="15"/>
      <c r="AX64" s="14" t="str">
        <f t="shared" si="32"/>
        <v/>
      </c>
      <c r="AY64" s="15"/>
      <c r="AZ64" s="23"/>
      <c r="EW64" t="s">
        <v>46</v>
      </c>
      <c r="EX64" s="33">
        <v>1061</v>
      </c>
      <c r="EY64" s="33" t="s">
        <v>222</v>
      </c>
      <c r="EZ64" s="33" t="s">
        <v>223</v>
      </c>
      <c r="FA64" s="33" t="s">
        <v>51</v>
      </c>
      <c r="FB64" s="33" t="s">
        <v>52</v>
      </c>
      <c r="FC64" s="33" t="s">
        <v>53</v>
      </c>
      <c r="FD64" s="33" t="s">
        <v>54</v>
      </c>
      <c r="FE64" s="33">
        <v>2019</v>
      </c>
      <c r="FF64" s="33" t="s">
        <v>55</v>
      </c>
      <c r="FG64" s="33" t="s">
        <v>56</v>
      </c>
      <c r="FH64" s="33" t="s">
        <v>57</v>
      </c>
      <c r="FI64" s="33" t="s">
        <v>58</v>
      </c>
      <c r="FJ64" t="s">
        <v>59</v>
      </c>
      <c r="FM64" s="32" t="s">
        <v>217</v>
      </c>
      <c r="FN64" t="s">
        <v>218</v>
      </c>
      <c r="FO64" t="s">
        <v>219</v>
      </c>
      <c r="FP64" t="str">
        <f t="shared" si="0"/>
        <v>B</v>
      </c>
      <c r="FT64" s="69" t="s">
        <v>7435</v>
      </c>
      <c r="FU64">
        <v>13.47</v>
      </c>
      <c r="FV64">
        <v>0</v>
      </c>
      <c r="FW64">
        <v>0</v>
      </c>
      <c r="FX64">
        <v>0</v>
      </c>
      <c r="FY64">
        <v>0</v>
      </c>
      <c r="FZ64">
        <v>11.21</v>
      </c>
      <c r="GA64">
        <v>19.520000000000003</v>
      </c>
      <c r="GB64">
        <v>14.91</v>
      </c>
      <c r="GC64">
        <v>16.62</v>
      </c>
      <c r="GD64">
        <v>17.925000000000001</v>
      </c>
      <c r="GE64">
        <v>18.049999999999997</v>
      </c>
      <c r="GF64">
        <v>17.145</v>
      </c>
      <c r="GG64">
        <v>16.579999999999998</v>
      </c>
      <c r="GH64">
        <v>16.61</v>
      </c>
      <c r="GI64">
        <v>16.125</v>
      </c>
      <c r="GJ64">
        <v>15.08</v>
      </c>
      <c r="GK64">
        <v>14.629999999999999</v>
      </c>
      <c r="GL64">
        <v>13.75</v>
      </c>
      <c r="GM64">
        <v>14.245000000000001</v>
      </c>
      <c r="GN64">
        <v>15.4</v>
      </c>
      <c r="GO64">
        <v>17.350000000000001</v>
      </c>
      <c r="GP64">
        <v>18.810000000000002</v>
      </c>
      <c r="GQ64">
        <v>20.53</v>
      </c>
      <c r="GR64">
        <v>23</v>
      </c>
      <c r="GU64" s="53">
        <v>61</v>
      </c>
      <c r="GV64" s="53">
        <v>58</v>
      </c>
    </row>
    <row r="65" spans="1:204" ht="15.5" x14ac:dyDescent="0.35">
      <c r="A65" s="95">
        <f t="shared" si="16"/>
        <v>1</v>
      </c>
      <c r="B65" s="11"/>
      <c r="C65" s="11"/>
      <c r="D65" s="92" t="str">
        <f>IFERROR(
IF(AND(OR(Planilla!B65="C",Planilla!B65="c"), VLOOKUP(E65,EX:FJ,13,0)="C"), "OK",IF(AND(OR(Planilla!B65="C",Planilla!B65="c"), OR(VLOOKUP(E65,EX:FJ,13,0)="B", VLOOKUP(E65,EX:FJ,13,0)="A")), "DEFICIT",IF(
AND(OR(Planilla!B65="B", Planilla!B65="BPAL"), VLOOKUP(E65,EX:FJ,13,0)="B"), "OK",IF(AND(OR(Planilla!B65="B", Planilla!B65="BPAL"), VLOOKUP(E65,EX:FJ,13,0)="A"), "DEFICIT",IF(AND(OR(Planilla!B65="B", Planilla!B65="BPAL"), VLOOKUP(E65,EX:FJ,13,0)="C"), "SOBREOFERTA",IF(AND(Planilla!B65="A", VLOOKUP(E65,EX:FJ,13,0)="A"), "OK",IF(
AND(Planilla!B65="A", OR(VLOOKUP(E65,EX:FJ,13,0)="B", VLOOKUP(E65,EX:FJ,13,0)="C")), "SOBREOFERTA",""
))))))),"")</f>
        <v/>
      </c>
      <c r="E65" s="12"/>
      <c r="F65" s="13"/>
      <c r="G65" s="14"/>
      <c r="H65" s="81" t="str">
        <f t="shared" si="17"/>
        <v/>
      </c>
      <c r="I65" s="7"/>
      <c r="J65" s="6" t="e">
        <f t="shared" si="18"/>
        <v>#N/A</v>
      </c>
      <c r="K65" s="6" t="str">
        <f>IF(A66&lt;&gt;A65,AVERAGEIF(A$9:A65,A65,J$9:J65),"")</f>
        <v/>
      </c>
      <c r="L65" s="7" t="str">
        <f>IFERROR(IF(A66&lt;&gt;A65,AVERAGEIF(A$9:A65,A65,S$9:S65),""),"")</f>
        <v/>
      </c>
      <c r="M65" s="7" t="str">
        <f>IFERROR(IF(A66&lt;&gt;A65,AVERAGEIF(A$9:A65,A65,T$9:T65),""),"")</f>
        <v/>
      </c>
      <c r="N65" s="7" t="str" cm="1">
        <f t="array" ref="N65">IFERROR(IF(A66&lt;&gt;A65,_xlfn.STDEV.P(IF(A$9:A65=A65,T$9:T65)),""),"")</f>
        <v/>
      </c>
      <c r="O65" s="7" t="str" cm="1">
        <f t="array" ref="O65">IFERROR(IF(A66&lt;&gt;A65,_xlfn.STDEV.P(IF(A$9:A65=A65,S$9:S65)),""),"")</f>
        <v/>
      </c>
      <c r="P65" s="8" t="str">
        <f t="shared" si="19"/>
        <v/>
      </c>
      <c r="Q65" s="8" t="str">
        <f t="shared" si="20"/>
        <v/>
      </c>
      <c r="R65" s="8" t="str">
        <f t="shared" si="21"/>
        <v/>
      </c>
      <c r="S65" s="9" t="str">
        <f t="shared" si="22"/>
        <v/>
      </c>
      <c r="T65" s="9" t="str">
        <f t="shared" si="23"/>
        <v/>
      </c>
      <c r="U65" s="14">
        <v>0.46111111111111114</v>
      </c>
      <c r="V65" s="15"/>
      <c r="W65" s="14" t="str">
        <f t="shared" si="38"/>
        <v/>
      </c>
      <c r="X65" s="15"/>
      <c r="Y65" s="2"/>
      <c r="AB65" s="22">
        <f t="shared" si="24"/>
        <v>1</v>
      </c>
      <c r="AC65" s="11"/>
      <c r="AD65" s="11"/>
      <c r="AE65" s="13"/>
      <c r="AF65" s="12"/>
      <c r="AG65" s="13"/>
      <c r="AH65" s="14"/>
      <c r="AI65" s="81" t="str">
        <f t="shared" si="25"/>
        <v/>
      </c>
      <c r="AJ65" s="15"/>
      <c r="AK65" s="6" t="e">
        <f t="shared" si="26"/>
        <v>#N/A</v>
      </c>
      <c r="AL65" s="6" t="str">
        <f>IF(AB66&lt;&gt;AB65,AVERAGEIF(AB$9:AB65,AB65,AK$9:AK65),"")</f>
        <v/>
      </c>
      <c r="AM65" s="7" t="str">
        <f>IFERROR(IF(AB66&lt;&gt;AB65,AVERAGEIF(AB$9:AB65,AB65,AT$9:AT65),""),"")</f>
        <v/>
      </c>
      <c r="AN65" s="7" t="str">
        <f>IFERROR(IF(AB66&lt;&gt;AB65,AVERAGEIF(AB$9:AB65,AB65,AU$9:AU65),""),"")</f>
        <v/>
      </c>
      <c r="AO65" s="7" t="str" cm="1">
        <f t="array" ref="AO65">IFERROR(IF(AB66&lt;&gt;AB65,_xlfn.STDEV.P(IF(AB$9:AB65=AB65,AU$9:AU65)),""),"")</f>
        <v/>
      </c>
      <c r="AP65" s="7" t="str" cm="1">
        <f t="array" ref="AP65">IFERROR(IF(AB66&lt;&gt;AB65,_xlfn.STDEV.P(IF(AB$9:AB65=AB65,AT$9:AT65)),""),"")</f>
        <v/>
      </c>
      <c r="AQ65" s="8" t="str">
        <f t="shared" si="27"/>
        <v/>
      </c>
      <c r="AR65" s="8" t="str">
        <f t="shared" si="28"/>
        <v/>
      </c>
      <c r="AS65" s="8" t="str">
        <f t="shared" si="29"/>
        <v/>
      </c>
      <c r="AT65" s="9" t="str">
        <f t="shared" si="30"/>
        <v/>
      </c>
      <c r="AU65" s="9" t="str">
        <f t="shared" si="31"/>
        <v/>
      </c>
      <c r="AV65" s="14"/>
      <c r="AW65" s="15"/>
      <c r="AX65" s="14" t="str">
        <f t="shared" si="32"/>
        <v/>
      </c>
      <c r="AY65" s="15"/>
      <c r="AZ65" s="23"/>
      <c r="EW65" t="s">
        <v>46</v>
      </c>
      <c r="EX65" s="33">
        <v>1062</v>
      </c>
      <c r="EY65" s="33" t="s">
        <v>224</v>
      </c>
      <c r="EZ65" s="33" t="s">
        <v>225</v>
      </c>
      <c r="FA65" s="33" t="s">
        <v>51</v>
      </c>
      <c r="FB65" s="33" t="s">
        <v>52</v>
      </c>
      <c r="FC65" s="33" t="s">
        <v>53</v>
      </c>
      <c r="FD65" s="33" t="s">
        <v>54</v>
      </c>
      <c r="FE65" s="33">
        <v>2019</v>
      </c>
      <c r="FF65" s="33" t="s">
        <v>55</v>
      </c>
      <c r="FG65" s="33" t="s">
        <v>56</v>
      </c>
      <c r="FH65" s="33" t="s">
        <v>57</v>
      </c>
      <c r="FI65" s="33" t="s">
        <v>58</v>
      </c>
      <c r="FJ65" t="s">
        <v>59</v>
      </c>
      <c r="FM65" s="32" t="s">
        <v>226</v>
      </c>
      <c r="FN65" t="s">
        <v>227</v>
      </c>
      <c r="FO65" t="s">
        <v>228</v>
      </c>
      <c r="FP65" t="str">
        <f t="shared" ref="FP65:FP128" si="42">VLOOKUP(FO65,EX:FF,9,0)</f>
        <v>B</v>
      </c>
      <c r="FT65" s="69" t="s">
        <v>7436</v>
      </c>
      <c r="FU65">
        <v>0</v>
      </c>
      <c r="FV65">
        <v>0</v>
      </c>
      <c r="FW65">
        <v>0</v>
      </c>
      <c r="FX65">
        <v>0</v>
      </c>
      <c r="FY65">
        <v>12.455</v>
      </c>
      <c r="FZ65">
        <v>21.619999999999997</v>
      </c>
      <c r="GA65">
        <v>17.255000000000003</v>
      </c>
      <c r="GB65">
        <v>13.25</v>
      </c>
      <c r="GC65">
        <v>14.815000000000001</v>
      </c>
      <c r="GD65">
        <v>16.34</v>
      </c>
      <c r="GE65">
        <v>16.344999999999999</v>
      </c>
      <c r="GF65">
        <v>15.99</v>
      </c>
      <c r="GG65">
        <v>16.115000000000002</v>
      </c>
      <c r="GH65">
        <v>16.010000000000002</v>
      </c>
      <c r="GI65">
        <v>15.744999999999999</v>
      </c>
      <c r="GJ65">
        <v>15.215</v>
      </c>
      <c r="GK65">
        <v>14.55</v>
      </c>
      <c r="GL65">
        <v>13.115</v>
      </c>
      <c r="GM65">
        <v>13.719999999999999</v>
      </c>
      <c r="GN65">
        <v>16</v>
      </c>
      <c r="GO65">
        <v>18.445</v>
      </c>
      <c r="GP65">
        <v>20.445</v>
      </c>
      <c r="GQ65">
        <v>22.189999999999998</v>
      </c>
      <c r="GR65">
        <v>11.675000000000001</v>
      </c>
      <c r="GU65" s="53">
        <v>62</v>
      </c>
      <c r="GV65" s="53">
        <v>59</v>
      </c>
    </row>
    <row r="66" spans="1:204" ht="15.5" x14ac:dyDescent="0.35">
      <c r="A66" s="95">
        <f t="shared" si="16"/>
        <v>1</v>
      </c>
      <c r="B66" s="11"/>
      <c r="C66" s="11"/>
      <c r="D66" s="92" t="str">
        <f>IFERROR(
IF(AND(OR(Planilla!B66="C",Planilla!B66="c"), VLOOKUP(E66,EX:FJ,13,0)="C"), "OK",IF(AND(OR(Planilla!B66="C",Planilla!B66="c"), OR(VLOOKUP(E66,EX:FJ,13,0)="B", VLOOKUP(E66,EX:FJ,13,0)="A")), "DEFICIT",IF(
AND(OR(Planilla!B66="B", Planilla!B66="BPAL"), VLOOKUP(E66,EX:FJ,13,0)="B"), "OK",IF(AND(OR(Planilla!B66="B", Planilla!B66="BPAL"), VLOOKUP(E66,EX:FJ,13,0)="A"), "DEFICIT",IF(AND(OR(Planilla!B66="B", Planilla!B66="BPAL"), VLOOKUP(E66,EX:FJ,13,0)="C"), "SOBREOFERTA",IF(AND(Planilla!B66="A", VLOOKUP(E66,EX:FJ,13,0)="A"), "OK",IF(
AND(Planilla!B66="A", OR(VLOOKUP(E66,EX:FJ,13,0)="B", VLOOKUP(E66,EX:FJ,13,0)="C")), "SOBREOFERTA",""
))))))),"")</f>
        <v/>
      </c>
      <c r="E66" s="12"/>
      <c r="F66" s="13"/>
      <c r="G66" s="14"/>
      <c r="H66" s="81" t="str">
        <f t="shared" si="17"/>
        <v/>
      </c>
      <c r="I66" s="7"/>
      <c r="J66" s="6" t="e">
        <f t="shared" si="18"/>
        <v>#N/A</v>
      </c>
      <c r="K66" s="6" t="str">
        <f>IF(A67&lt;&gt;A66,AVERAGEIF(A$9:A66,A66,J$9:J66),"")</f>
        <v/>
      </c>
      <c r="L66" s="7" t="str">
        <f>IFERROR(IF(A67&lt;&gt;A66,AVERAGEIF(A$9:A66,A66,S$9:S66),""),"")</f>
        <v/>
      </c>
      <c r="M66" s="7" t="str">
        <f>IFERROR(IF(A67&lt;&gt;A66,AVERAGEIF(A$9:A66,A66,T$9:T66),""),"")</f>
        <v/>
      </c>
      <c r="N66" s="7" t="str" cm="1">
        <f t="array" ref="N66">IFERROR(IF(A67&lt;&gt;A66,_xlfn.STDEV.P(IF(A$9:A66=A66,T$9:T66)),""),"")</f>
        <v/>
      </c>
      <c r="O66" s="7" t="str" cm="1">
        <f t="array" ref="O66">IFERROR(IF(A67&lt;&gt;A66,_xlfn.STDEV.P(IF(A$9:A66=A66,S$9:S66)),""),"")</f>
        <v/>
      </c>
      <c r="P66" s="8" t="str">
        <f t="shared" si="19"/>
        <v/>
      </c>
      <c r="Q66" s="8" t="str">
        <f t="shared" si="20"/>
        <v/>
      </c>
      <c r="R66" s="8" t="str">
        <f t="shared" si="21"/>
        <v/>
      </c>
      <c r="S66" s="9" t="str">
        <f t="shared" si="22"/>
        <v/>
      </c>
      <c r="T66" s="9" t="str">
        <f t="shared" si="23"/>
        <v/>
      </c>
      <c r="U66" s="14">
        <v>0.46527777777777779</v>
      </c>
      <c r="V66" s="15"/>
      <c r="W66" s="14" t="str">
        <f t="shared" si="38"/>
        <v/>
      </c>
      <c r="X66" s="15"/>
      <c r="Y66" s="2"/>
      <c r="AB66" s="22">
        <f t="shared" si="24"/>
        <v>1</v>
      </c>
      <c r="AC66" s="11"/>
      <c r="AD66" s="11"/>
      <c r="AE66" s="13"/>
      <c r="AF66" s="12"/>
      <c r="AG66" s="13"/>
      <c r="AH66" s="14"/>
      <c r="AI66" s="81" t="str">
        <f t="shared" si="25"/>
        <v/>
      </c>
      <c r="AJ66" s="15"/>
      <c r="AK66" s="6" t="e">
        <f t="shared" si="26"/>
        <v>#N/A</v>
      </c>
      <c r="AL66" s="6" t="str">
        <f>IF(AB67&lt;&gt;AB66,AVERAGEIF(AB$9:AB66,AB66,AK$9:AK66),"")</f>
        <v/>
      </c>
      <c r="AM66" s="7" t="str">
        <f>IFERROR(IF(AB67&lt;&gt;AB66,AVERAGEIF(AB$9:AB66,AB66,AT$9:AT66),""),"")</f>
        <v/>
      </c>
      <c r="AN66" s="7" t="str">
        <f>IFERROR(IF(AB67&lt;&gt;AB66,AVERAGEIF(AB$9:AB66,AB66,AU$9:AU66),""),"")</f>
        <v/>
      </c>
      <c r="AO66" s="7" t="str" cm="1">
        <f t="array" ref="AO66">IFERROR(IF(AB67&lt;&gt;AB66,_xlfn.STDEV.P(IF(AB$9:AB66=AB66,AU$9:AU66)),""),"")</f>
        <v/>
      </c>
      <c r="AP66" s="7" t="str" cm="1">
        <f t="array" ref="AP66">IFERROR(IF(AB67&lt;&gt;AB66,_xlfn.STDEV.P(IF(AB$9:AB66=AB66,AT$9:AT66)),""),"")</f>
        <v/>
      </c>
      <c r="AQ66" s="8" t="str">
        <f t="shared" si="27"/>
        <v/>
      </c>
      <c r="AR66" s="8" t="str">
        <f t="shared" si="28"/>
        <v/>
      </c>
      <c r="AS66" s="8" t="str">
        <f t="shared" si="29"/>
        <v/>
      </c>
      <c r="AT66" s="9" t="str">
        <f t="shared" si="30"/>
        <v/>
      </c>
      <c r="AU66" s="9" t="str">
        <f t="shared" si="31"/>
        <v/>
      </c>
      <c r="AV66" s="14"/>
      <c r="AW66" s="15"/>
      <c r="AX66" s="14" t="str">
        <f t="shared" si="32"/>
        <v/>
      </c>
      <c r="AY66" s="15"/>
      <c r="AZ66" s="23"/>
      <c r="EW66" t="s">
        <v>46</v>
      </c>
      <c r="EX66" s="33">
        <v>1063</v>
      </c>
      <c r="EY66" s="33" t="s">
        <v>229</v>
      </c>
      <c r="EZ66" s="33" t="s">
        <v>230</v>
      </c>
      <c r="FA66" s="33" t="s">
        <v>51</v>
      </c>
      <c r="FB66" s="33" t="s">
        <v>52</v>
      </c>
      <c r="FC66" s="33" t="s">
        <v>53</v>
      </c>
      <c r="FD66" s="33" t="s">
        <v>54</v>
      </c>
      <c r="FE66" s="33">
        <v>2019</v>
      </c>
      <c r="FF66" s="33" t="s">
        <v>55</v>
      </c>
      <c r="FG66" s="33" t="s">
        <v>56</v>
      </c>
      <c r="FH66" s="33" t="s">
        <v>57</v>
      </c>
      <c r="FI66" s="33" t="s">
        <v>58</v>
      </c>
      <c r="FJ66" t="s">
        <v>59</v>
      </c>
      <c r="FM66" s="32" t="s">
        <v>226</v>
      </c>
      <c r="FN66" t="s">
        <v>227</v>
      </c>
      <c r="FO66" t="s">
        <v>228</v>
      </c>
      <c r="FP66" t="str">
        <f t="shared" si="42"/>
        <v>B</v>
      </c>
      <c r="FT66" s="69" t="s">
        <v>7436</v>
      </c>
      <c r="FU66">
        <v>13.295</v>
      </c>
      <c r="FV66">
        <v>0</v>
      </c>
      <c r="FW66">
        <v>0</v>
      </c>
      <c r="FX66">
        <v>0</v>
      </c>
      <c r="FY66">
        <v>0</v>
      </c>
      <c r="FZ66">
        <v>23.32</v>
      </c>
      <c r="GA66">
        <v>20.475000000000001</v>
      </c>
      <c r="GB66">
        <v>15.329999999999998</v>
      </c>
      <c r="GC66">
        <v>15.75</v>
      </c>
      <c r="GD66">
        <v>17.170000000000002</v>
      </c>
      <c r="GE66">
        <v>17.045000000000002</v>
      </c>
      <c r="GF66">
        <v>16.47</v>
      </c>
      <c r="GG66">
        <v>15.72</v>
      </c>
      <c r="GH66">
        <v>15.195</v>
      </c>
      <c r="GI66">
        <v>15.18</v>
      </c>
      <c r="GJ66">
        <v>13.99</v>
      </c>
      <c r="GK66">
        <v>13.695</v>
      </c>
      <c r="GL66">
        <v>13.59</v>
      </c>
      <c r="GM66">
        <v>14.295</v>
      </c>
      <c r="GN66">
        <v>15.745000000000001</v>
      </c>
      <c r="GO66">
        <v>17.695</v>
      </c>
      <c r="GP66">
        <v>19.085000000000001</v>
      </c>
      <c r="GQ66">
        <v>20.515000000000001</v>
      </c>
      <c r="GR66">
        <v>22.229999999999997</v>
      </c>
      <c r="GU66" s="53">
        <v>63</v>
      </c>
      <c r="GV66" s="53">
        <v>60</v>
      </c>
    </row>
    <row r="67" spans="1:204" ht="15.5" x14ac:dyDescent="0.35">
      <c r="A67" s="95">
        <f t="shared" si="16"/>
        <v>1</v>
      </c>
      <c r="B67" s="11"/>
      <c r="C67" s="11"/>
      <c r="D67" s="92" t="str">
        <f>IFERROR(
IF(AND(OR(Planilla!B67="C",Planilla!B67="c"), VLOOKUP(E67,EX:FJ,13,0)="C"), "OK",IF(AND(OR(Planilla!B67="C",Planilla!B67="c"), OR(VLOOKUP(E67,EX:FJ,13,0)="B", VLOOKUP(E67,EX:FJ,13,0)="A")), "DEFICIT",IF(
AND(OR(Planilla!B67="B", Planilla!B67="BPAL"), VLOOKUP(E67,EX:FJ,13,0)="B"), "OK",IF(AND(OR(Planilla!B67="B", Planilla!B67="BPAL"), VLOOKUP(E67,EX:FJ,13,0)="A"), "DEFICIT",IF(AND(OR(Planilla!B67="B", Planilla!B67="BPAL"), VLOOKUP(E67,EX:FJ,13,0)="C"), "SOBREOFERTA",IF(AND(Planilla!B67="A", VLOOKUP(E67,EX:FJ,13,0)="A"), "OK",IF(
AND(Planilla!B67="A", OR(VLOOKUP(E67,EX:FJ,13,0)="B", VLOOKUP(E67,EX:FJ,13,0)="C")), "SOBREOFERTA",""
))))))),"")</f>
        <v/>
      </c>
      <c r="E67" s="12"/>
      <c r="F67" s="13"/>
      <c r="G67" s="14"/>
      <c r="H67" s="81" t="str">
        <f t="shared" si="17"/>
        <v/>
      </c>
      <c r="I67" s="7"/>
      <c r="J67" s="6" t="e">
        <f t="shared" si="18"/>
        <v>#N/A</v>
      </c>
      <c r="K67" s="6" t="str">
        <f>IF(A68&lt;&gt;A67,AVERAGEIF(A$9:A67,A67,J$9:J67),"")</f>
        <v/>
      </c>
      <c r="L67" s="7" t="str">
        <f>IFERROR(IF(A68&lt;&gt;A67,AVERAGEIF(A$9:A67,A67,S$9:S67),""),"")</f>
        <v/>
      </c>
      <c r="M67" s="7" t="str">
        <f>IFERROR(IF(A68&lt;&gt;A67,AVERAGEIF(A$9:A67,A67,T$9:T67),""),"")</f>
        <v/>
      </c>
      <c r="N67" s="7" t="str" cm="1">
        <f t="array" ref="N67">IFERROR(IF(A68&lt;&gt;A67,_xlfn.STDEV.P(IF(A$9:A67=A67,T$9:T67)),""),"")</f>
        <v/>
      </c>
      <c r="O67" s="7" t="str" cm="1">
        <f t="array" ref="O67">IFERROR(IF(A68&lt;&gt;A67,_xlfn.STDEV.P(IF(A$9:A67=A67,S$9:S67)),""),"")</f>
        <v/>
      </c>
      <c r="P67" s="8" t="str">
        <f t="shared" si="19"/>
        <v/>
      </c>
      <c r="Q67" s="8" t="str">
        <f t="shared" si="20"/>
        <v/>
      </c>
      <c r="R67" s="8" t="str">
        <f t="shared" si="21"/>
        <v/>
      </c>
      <c r="S67" s="9" t="str">
        <f t="shared" si="22"/>
        <v/>
      </c>
      <c r="T67" s="9" t="str">
        <f t="shared" si="23"/>
        <v/>
      </c>
      <c r="U67" s="14">
        <v>0.47222222222222221</v>
      </c>
      <c r="V67" s="15"/>
      <c r="W67" s="14" t="str">
        <f t="shared" si="38"/>
        <v/>
      </c>
      <c r="X67" s="15"/>
      <c r="Y67" s="2"/>
      <c r="AB67" s="22">
        <f t="shared" si="24"/>
        <v>1</v>
      </c>
      <c r="AC67" s="11"/>
      <c r="AD67" s="11"/>
      <c r="AE67" s="13"/>
      <c r="AF67" s="12"/>
      <c r="AG67" s="13"/>
      <c r="AH67" s="14"/>
      <c r="AI67" s="81" t="str">
        <f t="shared" si="25"/>
        <v/>
      </c>
      <c r="AJ67" s="15"/>
      <c r="AK67" s="6" t="e">
        <f t="shared" si="26"/>
        <v>#N/A</v>
      </c>
      <c r="AL67" s="6" t="str">
        <f>IF(AB68&lt;&gt;AB67,AVERAGEIF(AB$9:AB67,AB67,AK$9:AK67),"")</f>
        <v/>
      </c>
      <c r="AM67" s="7" t="str">
        <f>IFERROR(IF(AB68&lt;&gt;AB67,AVERAGEIF(AB$9:AB67,AB67,AT$9:AT67),""),"")</f>
        <v/>
      </c>
      <c r="AN67" s="7" t="str">
        <f>IFERROR(IF(AB68&lt;&gt;AB67,AVERAGEIF(AB$9:AB67,AB67,AU$9:AU67),""),"")</f>
        <v/>
      </c>
      <c r="AO67" s="7" t="str" cm="1">
        <f t="array" ref="AO67">IFERROR(IF(AB68&lt;&gt;AB67,_xlfn.STDEV.P(IF(AB$9:AB67=AB67,AU$9:AU67)),""),"")</f>
        <v/>
      </c>
      <c r="AP67" s="7" t="str" cm="1">
        <f t="array" ref="AP67">IFERROR(IF(AB68&lt;&gt;AB67,_xlfn.STDEV.P(IF(AB$9:AB67=AB67,AT$9:AT67)),""),"")</f>
        <v/>
      </c>
      <c r="AQ67" s="8" t="str">
        <f t="shared" si="27"/>
        <v/>
      </c>
      <c r="AR67" s="8" t="str">
        <f t="shared" si="28"/>
        <v/>
      </c>
      <c r="AS67" s="8" t="str">
        <f t="shared" si="29"/>
        <v/>
      </c>
      <c r="AT67" s="9" t="str">
        <f t="shared" si="30"/>
        <v/>
      </c>
      <c r="AU67" s="9" t="str">
        <f t="shared" si="31"/>
        <v/>
      </c>
      <c r="AV67" s="14"/>
      <c r="AW67" s="15"/>
      <c r="AX67" s="14" t="str">
        <f t="shared" si="32"/>
        <v/>
      </c>
      <c r="AY67" s="15"/>
      <c r="AZ67" s="23"/>
      <c r="EW67" t="s">
        <v>46</v>
      </c>
      <c r="EX67" s="33">
        <v>1064</v>
      </c>
      <c r="EY67" s="33" t="s">
        <v>231</v>
      </c>
      <c r="EZ67" s="33" t="s">
        <v>232</v>
      </c>
      <c r="FA67" s="33" t="s">
        <v>51</v>
      </c>
      <c r="FB67" s="33" t="s">
        <v>52</v>
      </c>
      <c r="FC67" s="33" t="s">
        <v>53</v>
      </c>
      <c r="FD67" s="33" t="s">
        <v>54</v>
      </c>
      <c r="FE67" s="33">
        <v>2019</v>
      </c>
      <c r="FF67" s="33" t="s">
        <v>55</v>
      </c>
      <c r="FG67" s="33" t="s">
        <v>56</v>
      </c>
      <c r="FH67" s="33" t="s">
        <v>57</v>
      </c>
      <c r="FI67" s="33" t="s">
        <v>58</v>
      </c>
      <c r="FJ67" t="s">
        <v>59</v>
      </c>
      <c r="FM67" s="32" t="s">
        <v>226</v>
      </c>
      <c r="FN67" t="s">
        <v>227</v>
      </c>
      <c r="FO67" t="s">
        <v>228</v>
      </c>
      <c r="FP67" t="str">
        <f t="shared" si="42"/>
        <v>B</v>
      </c>
      <c r="FT67" s="69" t="s">
        <v>7450</v>
      </c>
      <c r="FU67">
        <v>30.495000000000001</v>
      </c>
      <c r="FV67">
        <v>31.32</v>
      </c>
      <c r="FW67">
        <v>31.35</v>
      </c>
      <c r="FX67">
        <v>31.55</v>
      </c>
      <c r="FY67">
        <v>30.11</v>
      </c>
      <c r="FZ67">
        <v>25.53</v>
      </c>
      <c r="GA67">
        <v>19.23</v>
      </c>
      <c r="GB67">
        <v>15.43</v>
      </c>
      <c r="GC67">
        <v>17.015000000000001</v>
      </c>
      <c r="GD67">
        <v>18.07</v>
      </c>
      <c r="GE67">
        <v>18.03</v>
      </c>
      <c r="GF67">
        <v>17.704999999999998</v>
      </c>
      <c r="GG67">
        <v>17.075000000000003</v>
      </c>
      <c r="GH67">
        <v>17.04</v>
      </c>
      <c r="GI67">
        <v>17.329999999999998</v>
      </c>
      <c r="GJ67">
        <v>16.615000000000002</v>
      </c>
      <c r="GK67">
        <v>15.440000000000001</v>
      </c>
      <c r="GL67">
        <v>14.065000000000001</v>
      </c>
      <c r="GM67">
        <v>13.95</v>
      </c>
      <c r="GN67">
        <v>15.7</v>
      </c>
      <c r="GO67">
        <v>18.305</v>
      </c>
      <c r="GP67">
        <v>20.43</v>
      </c>
      <c r="GQ67">
        <v>22.505000000000003</v>
      </c>
      <c r="GR67">
        <v>26.53</v>
      </c>
      <c r="GU67" s="53">
        <v>64</v>
      </c>
      <c r="GV67" s="53">
        <v>61</v>
      </c>
    </row>
    <row r="68" spans="1:204" ht="15.5" x14ac:dyDescent="0.35">
      <c r="A68" s="95">
        <f t="shared" si="16"/>
        <v>1</v>
      </c>
      <c r="B68" s="11"/>
      <c r="C68" s="11"/>
      <c r="D68" s="92" t="str">
        <f>IFERROR(
IF(AND(OR(Planilla!B68="C",Planilla!B68="c"), VLOOKUP(E68,EX:FJ,13,0)="C"), "OK",IF(AND(OR(Planilla!B68="C",Planilla!B68="c"), OR(VLOOKUP(E68,EX:FJ,13,0)="B", VLOOKUP(E68,EX:FJ,13,0)="A")), "DEFICIT",IF(
AND(OR(Planilla!B68="B", Planilla!B68="BPAL"), VLOOKUP(E68,EX:FJ,13,0)="B"), "OK",IF(AND(OR(Planilla!B68="B", Planilla!B68="BPAL"), VLOOKUP(E68,EX:FJ,13,0)="A"), "DEFICIT",IF(AND(OR(Planilla!B68="B", Planilla!B68="BPAL"), VLOOKUP(E68,EX:FJ,13,0)="C"), "SOBREOFERTA",IF(AND(Planilla!B68="A", VLOOKUP(E68,EX:FJ,13,0)="A"), "OK",IF(
AND(Planilla!B68="A", OR(VLOOKUP(E68,EX:FJ,13,0)="B", VLOOKUP(E68,EX:FJ,13,0)="C")), "SOBREOFERTA",""
))))))),"")</f>
        <v/>
      </c>
      <c r="E68" s="12"/>
      <c r="F68" s="13"/>
      <c r="G68" s="14"/>
      <c r="H68" s="81" t="str">
        <f t="shared" si="17"/>
        <v/>
      </c>
      <c r="I68" s="7"/>
      <c r="J68" s="6" t="e">
        <f t="shared" si="18"/>
        <v>#N/A</v>
      </c>
      <c r="K68" s="6" t="str">
        <f>IF(A69&lt;&gt;A68,AVERAGEIF(A$9:A68,A68,J$9:J68),"")</f>
        <v/>
      </c>
      <c r="L68" s="7" t="str">
        <f>IFERROR(IF(A69&lt;&gt;A68,AVERAGEIF(A$9:A68,A68,S$9:S68),""),"")</f>
        <v/>
      </c>
      <c r="M68" s="7" t="str">
        <f>IFERROR(IF(A69&lt;&gt;A68,AVERAGEIF(A$9:A68,A68,T$9:T68),""),"")</f>
        <v/>
      </c>
      <c r="N68" s="7" t="str" cm="1">
        <f t="array" ref="N68">IFERROR(IF(A69&lt;&gt;A68,_xlfn.STDEV.P(IF(A$9:A68=A68,T$9:T68)),""),"")</f>
        <v/>
      </c>
      <c r="O68" s="7" t="str" cm="1">
        <f t="array" ref="O68">IFERROR(IF(A69&lt;&gt;A68,_xlfn.STDEV.P(IF(A$9:A68=A68,S$9:S68)),""),"")</f>
        <v/>
      </c>
      <c r="P68" s="8" t="str">
        <f t="shared" si="19"/>
        <v/>
      </c>
      <c r="Q68" s="8" t="str">
        <f t="shared" si="20"/>
        <v/>
      </c>
      <c r="R68" s="8" t="str">
        <f t="shared" si="21"/>
        <v/>
      </c>
      <c r="S68" s="9" t="str">
        <f t="shared" si="22"/>
        <v/>
      </c>
      <c r="T68" s="9" t="str">
        <f t="shared" si="23"/>
        <v/>
      </c>
      <c r="U68" s="14">
        <v>0.47916666666666669</v>
      </c>
      <c r="V68" s="15"/>
      <c r="W68" s="14" t="str">
        <f t="shared" si="38"/>
        <v/>
      </c>
      <c r="X68" s="15"/>
      <c r="Y68" s="2"/>
      <c r="AB68" s="22">
        <f t="shared" si="24"/>
        <v>1</v>
      </c>
      <c r="AC68" s="11"/>
      <c r="AD68" s="11"/>
      <c r="AE68" s="13"/>
      <c r="AF68" s="12"/>
      <c r="AG68" s="13"/>
      <c r="AH68" s="14"/>
      <c r="AI68" s="81" t="str">
        <f t="shared" si="25"/>
        <v/>
      </c>
      <c r="AJ68" s="15"/>
      <c r="AK68" s="6" t="e">
        <f t="shared" si="26"/>
        <v>#N/A</v>
      </c>
      <c r="AL68" s="6" t="str">
        <f>IF(AB69&lt;&gt;AB68,AVERAGEIF(AB$9:AB68,AB68,AK$9:AK68),"")</f>
        <v/>
      </c>
      <c r="AM68" s="7" t="str">
        <f>IFERROR(IF(AB69&lt;&gt;AB68,AVERAGEIF(AB$9:AB68,AB68,AT$9:AT68),""),"")</f>
        <v/>
      </c>
      <c r="AN68" s="7" t="str">
        <f>IFERROR(IF(AB69&lt;&gt;AB68,AVERAGEIF(AB$9:AB68,AB68,AU$9:AU68),""),"")</f>
        <v/>
      </c>
      <c r="AO68" s="7" t="str" cm="1">
        <f t="array" ref="AO68">IFERROR(IF(AB69&lt;&gt;AB68,_xlfn.STDEV.P(IF(AB$9:AB68=AB68,AU$9:AU68)),""),"")</f>
        <v/>
      </c>
      <c r="AP68" s="7" t="str" cm="1">
        <f t="array" ref="AP68">IFERROR(IF(AB69&lt;&gt;AB68,_xlfn.STDEV.P(IF(AB$9:AB68=AB68,AT$9:AT68)),""),"")</f>
        <v/>
      </c>
      <c r="AQ68" s="8" t="str">
        <f t="shared" si="27"/>
        <v/>
      </c>
      <c r="AR68" s="8" t="str">
        <f t="shared" si="28"/>
        <v/>
      </c>
      <c r="AS68" s="8" t="str">
        <f t="shared" si="29"/>
        <v/>
      </c>
      <c r="AT68" s="9" t="str">
        <f t="shared" si="30"/>
        <v/>
      </c>
      <c r="AU68" s="9" t="str">
        <f t="shared" si="31"/>
        <v/>
      </c>
      <c r="AV68" s="14"/>
      <c r="AW68" s="15"/>
      <c r="AX68" s="14" t="str">
        <f t="shared" si="32"/>
        <v/>
      </c>
      <c r="AY68" s="15"/>
      <c r="AZ68" s="23"/>
      <c r="EW68" t="s">
        <v>46</v>
      </c>
      <c r="EX68" s="33">
        <v>1065</v>
      </c>
      <c r="EY68" s="33" t="s">
        <v>233</v>
      </c>
      <c r="EZ68" s="33" t="s">
        <v>234</v>
      </c>
      <c r="FA68" s="33" t="s">
        <v>51</v>
      </c>
      <c r="FB68" s="33" t="s">
        <v>52</v>
      </c>
      <c r="FC68" s="33" t="s">
        <v>53</v>
      </c>
      <c r="FD68" s="33" t="s">
        <v>54</v>
      </c>
      <c r="FE68" s="33">
        <v>2019</v>
      </c>
      <c r="FF68" s="33" t="s">
        <v>55</v>
      </c>
      <c r="FG68" s="33" t="s">
        <v>56</v>
      </c>
      <c r="FH68" s="33" t="s">
        <v>57</v>
      </c>
      <c r="FI68" s="33" t="s">
        <v>58</v>
      </c>
      <c r="FJ68" t="s">
        <v>59</v>
      </c>
      <c r="FM68" s="32" t="s">
        <v>226</v>
      </c>
      <c r="FN68" t="s">
        <v>227</v>
      </c>
      <c r="FO68" t="s">
        <v>228</v>
      </c>
      <c r="FP68" t="str">
        <f t="shared" si="42"/>
        <v>B</v>
      </c>
      <c r="FT68" s="69" t="s">
        <v>7450</v>
      </c>
      <c r="FU68">
        <v>30.045000000000002</v>
      </c>
      <c r="FV68">
        <v>30.774999999999999</v>
      </c>
      <c r="FW68">
        <v>31.634999999999998</v>
      </c>
      <c r="FX68">
        <v>31.835000000000001</v>
      </c>
      <c r="FY68">
        <v>29.79</v>
      </c>
      <c r="FZ68">
        <v>23.405000000000001</v>
      </c>
      <c r="GA68">
        <v>17.600000000000001</v>
      </c>
      <c r="GB68">
        <v>15.04</v>
      </c>
      <c r="GC68">
        <v>17.305</v>
      </c>
      <c r="GD68">
        <v>18.445</v>
      </c>
      <c r="GE68">
        <v>18.625</v>
      </c>
      <c r="GF68">
        <v>18.145</v>
      </c>
      <c r="GG68">
        <v>17.559999999999999</v>
      </c>
      <c r="GH68">
        <v>17.75</v>
      </c>
      <c r="GI68">
        <v>17.54</v>
      </c>
      <c r="GJ68">
        <v>16.770000000000003</v>
      </c>
      <c r="GK68">
        <v>16.585000000000001</v>
      </c>
      <c r="GL68">
        <v>16.18</v>
      </c>
      <c r="GM68">
        <v>16.37</v>
      </c>
      <c r="GN68">
        <v>18.005000000000003</v>
      </c>
      <c r="GO68">
        <v>19.689999999999998</v>
      </c>
      <c r="GP68">
        <v>21.57</v>
      </c>
      <c r="GQ68">
        <v>24.1</v>
      </c>
      <c r="GR68">
        <v>26.659999999999997</v>
      </c>
      <c r="GU68" s="53">
        <v>65</v>
      </c>
      <c r="GV68" s="53">
        <v>62</v>
      </c>
    </row>
    <row r="69" spans="1:204" ht="15.5" x14ac:dyDescent="0.35">
      <c r="A69" s="95">
        <f t="shared" si="16"/>
        <v>1</v>
      </c>
      <c r="B69" s="11"/>
      <c r="C69" s="11"/>
      <c r="D69" s="92" t="str">
        <f>IFERROR(
IF(AND(OR(Planilla!B69="C",Planilla!B69="c"), VLOOKUP(E69,EX:FJ,13,0)="C"), "OK",IF(AND(OR(Planilla!B69="C",Planilla!B69="c"), OR(VLOOKUP(E69,EX:FJ,13,0)="B", VLOOKUP(E69,EX:FJ,13,0)="A")), "DEFICIT",IF(
AND(OR(Planilla!B69="B", Planilla!B69="BPAL"), VLOOKUP(E69,EX:FJ,13,0)="B"), "OK",IF(AND(OR(Planilla!B69="B", Planilla!B69="BPAL"), VLOOKUP(E69,EX:FJ,13,0)="A"), "DEFICIT",IF(AND(OR(Planilla!B69="B", Planilla!B69="BPAL"), VLOOKUP(E69,EX:FJ,13,0)="C"), "SOBREOFERTA",IF(AND(Planilla!B69="A", VLOOKUP(E69,EX:FJ,13,0)="A"), "OK",IF(
AND(Planilla!B69="A", OR(VLOOKUP(E69,EX:FJ,13,0)="B", VLOOKUP(E69,EX:FJ,13,0)="C")), "SOBREOFERTA",""
))))))),"")</f>
        <v/>
      </c>
      <c r="E69" s="12"/>
      <c r="F69" s="13"/>
      <c r="G69" s="14"/>
      <c r="H69" s="81" t="str">
        <f t="shared" si="17"/>
        <v/>
      </c>
      <c r="I69" s="7"/>
      <c r="J69" s="6" t="e">
        <f t="shared" si="18"/>
        <v>#N/A</v>
      </c>
      <c r="K69" s="6" t="str">
        <f>IF(A70&lt;&gt;A69,AVERAGEIF(A$9:A69,A69,J$9:J69),"")</f>
        <v/>
      </c>
      <c r="L69" s="7" t="str">
        <f>IFERROR(IF(A70&lt;&gt;A69,AVERAGEIF(A$9:A69,A69,S$9:S69),""),"")</f>
        <v/>
      </c>
      <c r="M69" s="7" t="str">
        <f>IFERROR(IF(A70&lt;&gt;A69,AVERAGEIF(A$9:A69,A69,T$9:T69),""),"")</f>
        <v/>
      </c>
      <c r="N69" s="7" t="str" cm="1">
        <f t="array" ref="N69">IFERROR(IF(A70&lt;&gt;A69,_xlfn.STDEV.P(IF(A$9:A69=A69,T$9:T69)),""),"")</f>
        <v/>
      </c>
      <c r="O69" s="7" t="str" cm="1">
        <f t="array" ref="O69">IFERROR(IF(A70&lt;&gt;A69,_xlfn.STDEV.P(IF(A$9:A69=A69,S$9:S69)),""),"")</f>
        <v/>
      </c>
      <c r="P69" s="8" t="str">
        <f t="shared" si="19"/>
        <v/>
      </c>
      <c r="Q69" s="8" t="str">
        <f t="shared" si="20"/>
        <v/>
      </c>
      <c r="R69" s="8" t="str">
        <f t="shared" si="21"/>
        <v/>
      </c>
      <c r="S69" s="9" t="str">
        <f t="shared" si="22"/>
        <v/>
      </c>
      <c r="T69" s="9" t="str">
        <f t="shared" si="23"/>
        <v/>
      </c>
      <c r="U69" s="14">
        <v>0.48680555555555555</v>
      </c>
      <c r="V69" s="15"/>
      <c r="W69" s="14" t="str">
        <f t="shared" si="38"/>
        <v/>
      </c>
      <c r="X69" s="15"/>
      <c r="Y69" s="2"/>
      <c r="AB69" s="22">
        <f t="shared" si="24"/>
        <v>1</v>
      </c>
      <c r="AC69" s="11"/>
      <c r="AD69" s="11"/>
      <c r="AE69" s="13"/>
      <c r="AF69" s="12"/>
      <c r="AG69" s="13"/>
      <c r="AH69" s="14"/>
      <c r="AI69" s="81" t="str">
        <f t="shared" si="25"/>
        <v/>
      </c>
      <c r="AJ69" s="15"/>
      <c r="AK69" s="6" t="e">
        <f t="shared" si="26"/>
        <v>#N/A</v>
      </c>
      <c r="AL69" s="6" t="str">
        <f>IF(AB70&lt;&gt;AB69,AVERAGEIF(AB$9:AB69,AB69,AK$9:AK69),"")</f>
        <v/>
      </c>
      <c r="AM69" s="7" t="str">
        <f>IFERROR(IF(AB70&lt;&gt;AB69,AVERAGEIF(AB$9:AB69,AB69,AT$9:AT69),""),"")</f>
        <v/>
      </c>
      <c r="AN69" s="7" t="str">
        <f>IFERROR(IF(AB70&lt;&gt;AB69,AVERAGEIF(AB$9:AB69,AB69,AU$9:AU69),""),"")</f>
        <v/>
      </c>
      <c r="AO69" s="7" t="str" cm="1">
        <f t="array" ref="AO69">IFERROR(IF(AB70&lt;&gt;AB69,_xlfn.STDEV.P(IF(AB$9:AB69=AB69,AU$9:AU69)),""),"")</f>
        <v/>
      </c>
      <c r="AP69" s="7" t="str" cm="1">
        <f t="array" ref="AP69">IFERROR(IF(AB70&lt;&gt;AB69,_xlfn.STDEV.P(IF(AB$9:AB69=AB69,AT$9:AT69)),""),"")</f>
        <v/>
      </c>
      <c r="AQ69" s="8" t="str">
        <f t="shared" si="27"/>
        <v/>
      </c>
      <c r="AR69" s="8" t="str">
        <f t="shared" si="28"/>
        <v/>
      </c>
      <c r="AS69" s="8" t="str">
        <f t="shared" si="29"/>
        <v/>
      </c>
      <c r="AT69" s="9" t="str">
        <f t="shared" si="30"/>
        <v/>
      </c>
      <c r="AU69" s="9" t="str">
        <f t="shared" si="31"/>
        <v/>
      </c>
      <c r="AV69" s="14"/>
      <c r="AW69" s="15"/>
      <c r="AX69" s="14" t="str">
        <f t="shared" si="32"/>
        <v/>
      </c>
      <c r="AY69" s="15"/>
      <c r="AZ69" s="23"/>
      <c r="EW69" t="s">
        <v>46</v>
      </c>
      <c r="EX69" s="33">
        <v>1066</v>
      </c>
      <c r="EY69" s="33" t="s">
        <v>235</v>
      </c>
      <c r="EZ69" s="33" t="s">
        <v>236</v>
      </c>
      <c r="FA69" s="33" t="s">
        <v>51</v>
      </c>
      <c r="FB69" s="33" t="s">
        <v>52</v>
      </c>
      <c r="FC69" s="33" t="s">
        <v>53</v>
      </c>
      <c r="FD69" s="33" t="s">
        <v>54</v>
      </c>
      <c r="FE69" s="33">
        <v>2019</v>
      </c>
      <c r="FF69" s="33" t="s">
        <v>55</v>
      </c>
      <c r="FG69" s="33" t="s">
        <v>56</v>
      </c>
      <c r="FH69" s="33" t="s">
        <v>57</v>
      </c>
      <c r="FI69" s="33" t="s">
        <v>58</v>
      </c>
      <c r="FJ69" t="s">
        <v>59</v>
      </c>
      <c r="FM69" s="32" t="s">
        <v>226</v>
      </c>
      <c r="FN69" t="s">
        <v>227</v>
      </c>
      <c r="FO69" t="s">
        <v>228</v>
      </c>
      <c r="FP69" t="str">
        <f t="shared" si="42"/>
        <v>B</v>
      </c>
      <c r="FT69" s="69" t="s">
        <v>7437</v>
      </c>
      <c r="FU69">
        <v>15.77</v>
      </c>
      <c r="FV69">
        <v>0</v>
      </c>
      <c r="FW69">
        <v>0</v>
      </c>
      <c r="FX69">
        <v>0</v>
      </c>
      <c r="FY69">
        <v>12.53</v>
      </c>
      <c r="FZ69">
        <v>21.56</v>
      </c>
      <c r="GA69">
        <v>16.645</v>
      </c>
      <c r="GB69">
        <v>14.03</v>
      </c>
      <c r="GC69">
        <v>16.27</v>
      </c>
      <c r="GD69">
        <v>17.5</v>
      </c>
      <c r="GE69">
        <v>17.695</v>
      </c>
      <c r="GF69">
        <v>17.395</v>
      </c>
      <c r="GG69">
        <v>16.684999999999999</v>
      </c>
      <c r="GH69">
        <v>16.880000000000003</v>
      </c>
      <c r="GI69">
        <v>17.200000000000003</v>
      </c>
      <c r="GJ69">
        <v>16.405000000000001</v>
      </c>
      <c r="GK69">
        <v>15.49</v>
      </c>
      <c r="GL69">
        <v>14.504999999999999</v>
      </c>
      <c r="GM69">
        <v>14.93</v>
      </c>
      <c r="GN69">
        <v>16.689999999999998</v>
      </c>
      <c r="GO69">
        <v>18.79</v>
      </c>
      <c r="GP69">
        <v>21.060000000000002</v>
      </c>
      <c r="GQ69">
        <v>22.954999999999998</v>
      </c>
      <c r="GR69">
        <v>25.4</v>
      </c>
      <c r="GU69" s="53">
        <v>66</v>
      </c>
      <c r="GV69" s="53">
        <v>63</v>
      </c>
    </row>
    <row r="70" spans="1:204" ht="15.5" x14ac:dyDescent="0.35">
      <c r="A70" s="95">
        <f t="shared" si="16"/>
        <v>1</v>
      </c>
      <c r="B70" s="11"/>
      <c r="C70" s="11"/>
      <c r="D70" s="92" t="str">
        <f>IFERROR(
IF(AND(OR(Planilla!B70="C",Planilla!B70="c"), VLOOKUP(E70,EX:FJ,13,0)="C"), "OK",IF(AND(OR(Planilla!B70="C",Planilla!B70="c"), OR(VLOOKUP(E70,EX:FJ,13,0)="B", VLOOKUP(E70,EX:FJ,13,0)="A")), "DEFICIT",IF(
AND(OR(Planilla!B70="B", Planilla!B70="BPAL"), VLOOKUP(E70,EX:FJ,13,0)="B"), "OK",IF(AND(OR(Planilla!B70="B", Planilla!B70="BPAL"), VLOOKUP(E70,EX:FJ,13,0)="A"), "DEFICIT",IF(AND(OR(Planilla!B70="B", Planilla!B70="BPAL"), VLOOKUP(E70,EX:FJ,13,0)="C"), "SOBREOFERTA",IF(AND(Planilla!B70="A", VLOOKUP(E70,EX:FJ,13,0)="A"), "OK",IF(
AND(Planilla!B70="A", OR(VLOOKUP(E70,EX:FJ,13,0)="B", VLOOKUP(E70,EX:FJ,13,0)="C")), "SOBREOFERTA",""
))))))),"")</f>
        <v/>
      </c>
      <c r="E70" s="12"/>
      <c r="F70" s="13"/>
      <c r="G70" s="14"/>
      <c r="H70" s="81" t="str">
        <f t="shared" si="17"/>
        <v/>
      </c>
      <c r="I70" s="7"/>
      <c r="J70" s="6" t="e">
        <f t="shared" si="18"/>
        <v>#N/A</v>
      </c>
      <c r="K70" s="6" t="str">
        <f>IF(A71&lt;&gt;A70,AVERAGEIF(A$9:A70,A70,J$9:J70),"")</f>
        <v/>
      </c>
      <c r="L70" s="7" t="str">
        <f>IFERROR(IF(A71&lt;&gt;A70,AVERAGEIF(A$9:A70,A70,S$9:S70),""),"")</f>
        <v/>
      </c>
      <c r="M70" s="7" t="str">
        <f>IFERROR(IF(A71&lt;&gt;A70,AVERAGEIF(A$9:A70,A70,T$9:T70),""),"")</f>
        <v/>
      </c>
      <c r="N70" s="7" t="str" cm="1">
        <f t="array" ref="N70">IFERROR(IF(A71&lt;&gt;A70,_xlfn.STDEV.P(IF(A$9:A70=A70,T$9:T70)),""),"")</f>
        <v/>
      </c>
      <c r="O70" s="7" t="str" cm="1">
        <f t="array" ref="O70">IFERROR(IF(A71&lt;&gt;A70,_xlfn.STDEV.P(IF(A$9:A70=A70,S$9:S70)),""),"")</f>
        <v/>
      </c>
      <c r="P70" s="8" t="str">
        <f t="shared" si="19"/>
        <v/>
      </c>
      <c r="Q70" s="8" t="str">
        <f t="shared" si="20"/>
        <v/>
      </c>
      <c r="R70" s="8" t="str">
        <f t="shared" si="21"/>
        <v/>
      </c>
      <c r="S70" s="9" t="str">
        <f t="shared" si="22"/>
        <v/>
      </c>
      <c r="T70" s="9" t="str">
        <f t="shared" si="23"/>
        <v/>
      </c>
      <c r="U70" s="14">
        <v>0.49375000000000002</v>
      </c>
      <c r="V70" s="15"/>
      <c r="W70" s="14" t="str">
        <f t="shared" si="38"/>
        <v/>
      </c>
      <c r="X70" s="15"/>
      <c r="Y70" s="2"/>
      <c r="AB70" s="22">
        <f t="shared" si="24"/>
        <v>1</v>
      </c>
      <c r="AC70" s="11"/>
      <c r="AD70" s="11"/>
      <c r="AE70" s="13"/>
      <c r="AF70" s="12"/>
      <c r="AG70" s="13"/>
      <c r="AH70" s="14"/>
      <c r="AI70" s="81" t="str">
        <f t="shared" si="25"/>
        <v/>
      </c>
      <c r="AJ70" s="15"/>
      <c r="AK70" s="6" t="e">
        <f t="shared" si="26"/>
        <v>#N/A</v>
      </c>
      <c r="AL70" s="6" t="str">
        <f>IF(AB71&lt;&gt;AB70,AVERAGEIF(AB$9:AB70,AB70,AK$9:AK70),"")</f>
        <v/>
      </c>
      <c r="AM70" s="7" t="str">
        <f>IFERROR(IF(AB71&lt;&gt;AB70,AVERAGEIF(AB$9:AB70,AB70,AT$9:AT70),""),"")</f>
        <v/>
      </c>
      <c r="AN70" s="7" t="str">
        <f>IFERROR(IF(AB71&lt;&gt;AB70,AVERAGEIF(AB$9:AB70,AB70,AU$9:AU70),""),"")</f>
        <v/>
      </c>
      <c r="AO70" s="7" t="str" cm="1">
        <f t="array" ref="AO70">IFERROR(IF(AB71&lt;&gt;AB70,_xlfn.STDEV.P(IF(AB$9:AB70=AB70,AU$9:AU70)),""),"")</f>
        <v/>
      </c>
      <c r="AP70" s="7" t="str" cm="1">
        <f t="array" ref="AP70">IFERROR(IF(AB71&lt;&gt;AB70,_xlfn.STDEV.P(IF(AB$9:AB70=AB70,AT$9:AT70)),""),"")</f>
        <v/>
      </c>
      <c r="AQ70" s="8" t="str">
        <f t="shared" si="27"/>
        <v/>
      </c>
      <c r="AR70" s="8" t="str">
        <f t="shared" si="28"/>
        <v/>
      </c>
      <c r="AS70" s="8" t="str">
        <f t="shared" si="29"/>
        <v/>
      </c>
      <c r="AT70" s="9" t="str">
        <f t="shared" si="30"/>
        <v/>
      </c>
      <c r="AU70" s="9" t="str">
        <f t="shared" si="31"/>
        <v/>
      </c>
      <c r="AV70" s="14"/>
      <c r="AW70" s="15"/>
      <c r="AX70" s="14" t="str">
        <f t="shared" si="32"/>
        <v/>
      </c>
      <c r="AY70" s="15"/>
      <c r="AZ70" s="23"/>
      <c r="EW70" t="s">
        <v>46</v>
      </c>
      <c r="EX70" s="33">
        <v>1067</v>
      </c>
      <c r="EY70" s="33" t="s">
        <v>237</v>
      </c>
      <c r="EZ70" s="33" t="s">
        <v>238</v>
      </c>
      <c r="FA70" s="33" t="s">
        <v>51</v>
      </c>
      <c r="FB70" s="33" t="s">
        <v>52</v>
      </c>
      <c r="FC70" s="33" t="s">
        <v>53</v>
      </c>
      <c r="FD70" s="33" t="s">
        <v>54</v>
      </c>
      <c r="FE70" s="33">
        <v>2019</v>
      </c>
      <c r="FF70" s="33" t="s">
        <v>55</v>
      </c>
      <c r="FG70" s="33" t="s">
        <v>71</v>
      </c>
      <c r="FH70" s="33" t="s">
        <v>72</v>
      </c>
      <c r="FI70" s="33" t="s">
        <v>73</v>
      </c>
      <c r="FJ70" t="s">
        <v>59</v>
      </c>
      <c r="FM70" s="32" t="s">
        <v>226</v>
      </c>
      <c r="FN70" t="s">
        <v>227</v>
      </c>
      <c r="FO70" t="s">
        <v>228</v>
      </c>
      <c r="FP70" t="str">
        <f t="shared" si="42"/>
        <v>B</v>
      </c>
      <c r="FT70" s="69" t="s">
        <v>7437</v>
      </c>
      <c r="FU70">
        <v>30.645000000000003</v>
      </c>
      <c r="FV70">
        <v>0</v>
      </c>
      <c r="FW70">
        <v>0</v>
      </c>
      <c r="FX70">
        <v>0</v>
      </c>
      <c r="FY70">
        <v>0</v>
      </c>
      <c r="FZ70">
        <v>11.23</v>
      </c>
      <c r="GA70">
        <v>19.715</v>
      </c>
      <c r="GB70">
        <v>14.645</v>
      </c>
      <c r="GC70">
        <v>16.734999999999999</v>
      </c>
      <c r="GD70">
        <v>18.079999999999998</v>
      </c>
      <c r="GE70">
        <v>18.73</v>
      </c>
      <c r="GF70">
        <v>18.164999999999999</v>
      </c>
      <c r="GG70">
        <v>17.29</v>
      </c>
      <c r="GH70">
        <v>17.125</v>
      </c>
      <c r="GI70">
        <v>16.835000000000001</v>
      </c>
      <c r="GJ70">
        <v>15.844999999999999</v>
      </c>
      <c r="GK70">
        <v>14.91</v>
      </c>
      <c r="GL70">
        <v>14.015000000000001</v>
      </c>
      <c r="GM70">
        <v>13.805</v>
      </c>
      <c r="GN70">
        <v>15.584999999999999</v>
      </c>
      <c r="GO70">
        <v>17.98</v>
      </c>
      <c r="GP70">
        <v>19.950000000000003</v>
      </c>
      <c r="GQ70">
        <v>22.164999999999999</v>
      </c>
      <c r="GR70">
        <v>24.04</v>
      </c>
      <c r="GU70" s="53">
        <v>67</v>
      </c>
      <c r="GV70" s="53">
        <v>64</v>
      </c>
    </row>
    <row r="71" spans="1:204" ht="15.5" x14ac:dyDescent="0.35">
      <c r="A71" s="95">
        <f t="shared" si="16"/>
        <v>1</v>
      </c>
      <c r="B71" s="11"/>
      <c r="C71" s="11"/>
      <c r="D71" s="92" t="str">
        <f>IFERROR(
IF(AND(OR(Planilla!B71="C",Planilla!B71="c"), VLOOKUP(E71,EX:FJ,13,0)="C"), "OK",IF(AND(OR(Planilla!B71="C",Planilla!B71="c"), OR(VLOOKUP(E71,EX:FJ,13,0)="B", VLOOKUP(E71,EX:FJ,13,0)="A")), "DEFICIT",IF(
AND(OR(Planilla!B71="B", Planilla!B71="BPAL"), VLOOKUP(E71,EX:FJ,13,0)="B"), "OK",IF(AND(OR(Planilla!B71="B", Planilla!B71="BPAL"), VLOOKUP(E71,EX:FJ,13,0)="A"), "DEFICIT",IF(AND(OR(Planilla!B71="B", Planilla!B71="BPAL"), VLOOKUP(E71,EX:FJ,13,0)="C"), "SOBREOFERTA",IF(AND(Planilla!B71="A", VLOOKUP(E71,EX:FJ,13,0)="A"), "OK",IF(
AND(Planilla!B71="A", OR(VLOOKUP(E71,EX:FJ,13,0)="B", VLOOKUP(E71,EX:FJ,13,0)="C")), "SOBREOFERTA",""
))))))),"")</f>
        <v/>
      </c>
      <c r="E71" s="12"/>
      <c r="F71" s="13"/>
      <c r="G71" s="14"/>
      <c r="H71" s="81" t="str">
        <f t="shared" si="17"/>
        <v/>
      </c>
      <c r="I71" s="7"/>
      <c r="J71" s="6" t="e">
        <f t="shared" si="18"/>
        <v>#N/A</v>
      </c>
      <c r="K71" s="6" t="str">
        <f>IF(A72&lt;&gt;A71,AVERAGEIF(A$9:A71,A71,J$9:J71),"")</f>
        <v/>
      </c>
      <c r="L71" s="7" t="str">
        <f>IFERROR(IF(A72&lt;&gt;A71,AVERAGEIF(A$9:A71,A71,S$9:S71),""),"")</f>
        <v/>
      </c>
      <c r="M71" s="7" t="str">
        <f>IFERROR(IF(A72&lt;&gt;A71,AVERAGEIF(A$9:A71,A71,T$9:T71),""),"")</f>
        <v/>
      </c>
      <c r="N71" s="7" t="str" cm="1">
        <f t="array" ref="N71">IFERROR(IF(A72&lt;&gt;A71,_xlfn.STDEV.P(IF(A$9:A71=A71,T$9:T71)),""),"")</f>
        <v/>
      </c>
      <c r="O71" s="7" t="str" cm="1">
        <f t="array" ref="O71">IFERROR(IF(A72&lt;&gt;A71,_xlfn.STDEV.P(IF(A$9:A71=A71,S$9:S71)),""),"")</f>
        <v/>
      </c>
      <c r="P71" s="8" t="str">
        <f t="shared" si="19"/>
        <v/>
      </c>
      <c r="Q71" s="8" t="str">
        <f t="shared" si="20"/>
        <v/>
      </c>
      <c r="R71" s="8" t="str">
        <f t="shared" si="21"/>
        <v/>
      </c>
      <c r="S71" s="9" t="str">
        <f t="shared" si="22"/>
        <v/>
      </c>
      <c r="T71" s="9" t="str">
        <f t="shared" si="23"/>
        <v/>
      </c>
      <c r="U71" s="14">
        <v>0.50069444444444444</v>
      </c>
      <c r="V71" s="15"/>
      <c r="W71" s="14" t="str">
        <f t="shared" si="38"/>
        <v/>
      </c>
      <c r="X71" s="15"/>
      <c r="Y71" s="2"/>
      <c r="AB71" s="22">
        <f t="shared" si="24"/>
        <v>1</v>
      </c>
      <c r="AC71" s="11"/>
      <c r="AD71" s="11"/>
      <c r="AE71" s="13"/>
      <c r="AF71" s="12"/>
      <c r="AG71" s="13"/>
      <c r="AH71" s="14"/>
      <c r="AI71" s="81" t="str">
        <f t="shared" si="25"/>
        <v/>
      </c>
      <c r="AJ71" s="15"/>
      <c r="AK71" s="6" t="e">
        <f t="shared" si="26"/>
        <v>#N/A</v>
      </c>
      <c r="AL71" s="6" t="str">
        <f>IF(AB72&lt;&gt;AB71,AVERAGEIF(AB$9:AB71,AB71,AK$9:AK71),"")</f>
        <v/>
      </c>
      <c r="AM71" s="7" t="str">
        <f>IFERROR(IF(AB72&lt;&gt;AB71,AVERAGEIF(AB$9:AB71,AB71,AT$9:AT71),""),"")</f>
        <v/>
      </c>
      <c r="AN71" s="7" t="str">
        <f>IFERROR(IF(AB72&lt;&gt;AB71,AVERAGEIF(AB$9:AB71,AB71,AU$9:AU71),""),"")</f>
        <v/>
      </c>
      <c r="AO71" s="7" t="str" cm="1">
        <f t="array" ref="AO71">IFERROR(IF(AB72&lt;&gt;AB71,_xlfn.STDEV.P(IF(AB$9:AB71=AB71,AU$9:AU71)),""),"")</f>
        <v/>
      </c>
      <c r="AP71" s="7" t="str" cm="1">
        <f t="array" ref="AP71">IFERROR(IF(AB72&lt;&gt;AB71,_xlfn.STDEV.P(IF(AB$9:AB71=AB71,AT$9:AT71)),""),"")</f>
        <v/>
      </c>
      <c r="AQ71" s="8" t="str">
        <f t="shared" si="27"/>
        <v/>
      </c>
      <c r="AR71" s="8" t="str">
        <f t="shared" si="28"/>
        <v/>
      </c>
      <c r="AS71" s="8" t="str">
        <f t="shared" si="29"/>
        <v/>
      </c>
      <c r="AT71" s="9" t="str">
        <f t="shared" si="30"/>
        <v/>
      </c>
      <c r="AU71" s="9" t="str">
        <f t="shared" si="31"/>
        <v/>
      </c>
      <c r="AV71" s="14"/>
      <c r="AW71" s="15"/>
      <c r="AX71" s="14" t="str">
        <f t="shared" si="32"/>
        <v/>
      </c>
      <c r="AY71" s="15"/>
      <c r="AZ71" s="23"/>
      <c r="EW71" t="s">
        <v>46</v>
      </c>
      <c r="EX71" s="33">
        <v>1068</v>
      </c>
      <c r="EY71" s="33" t="s">
        <v>239</v>
      </c>
      <c r="EZ71" s="33" t="s">
        <v>240</v>
      </c>
      <c r="FA71" s="33" t="s">
        <v>51</v>
      </c>
      <c r="FB71" s="33" t="s">
        <v>52</v>
      </c>
      <c r="FC71" s="33" t="s">
        <v>53</v>
      </c>
      <c r="FD71" s="33" t="s">
        <v>54</v>
      </c>
      <c r="FE71" s="33">
        <v>2019</v>
      </c>
      <c r="FF71" s="33" t="s">
        <v>55</v>
      </c>
      <c r="FG71" s="33" t="s">
        <v>56</v>
      </c>
      <c r="FH71" s="33" t="s">
        <v>57</v>
      </c>
      <c r="FI71" s="33" t="s">
        <v>58</v>
      </c>
      <c r="FJ71" t="s">
        <v>59</v>
      </c>
      <c r="FM71" s="32" t="s">
        <v>226</v>
      </c>
      <c r="FN71" t="s">
        <v>227</v>
      </c>
      <c r="FO71" t="s">
        <v>228</v>
      </c>
      <c r="FP71" t="str">
        <f t="shared" si="42"/>
        <v>B</v>
      </c>
      <c r="FT71" s="69" t="s">
        <v>7438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13.6</v>
      </c>
      <c r="GA71">
        <v>24.445</v>
      </c>
      <c r="GB71">
        <v>19.68</v>
      </c>
      <c r="GC71">
        <v>22.405000000000001</v>
      </c>
      <c r="GD71">
        <v>12.154999999999999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12.465</v>
      </c>
      <c r="GL71">
        <v>23.29</v>
      </c>
      <c r="GM71">
        <v>27.344999999999999</v>
      </c>
      <c r="GN71">
        <v>32.76</v>
      </c>
      <c r="GO71">
        <v>34.53</v>
      </c>
      <c r="GP71">
        <v>0</v>
      </c>
      <c r="GQ71">
        <v>0</v>
      </c>
      <c r="GR71">
        <v>0</v>
      </c>
      <c r="GU71" s="53">
        <v>68</v>
      </c>
      <c r="GV71" s="53">
        <v>65</v>
      </c>
    </row>
    <row r="72" spans="1:204" ht="15.5" x14ac:dyDescent="0.35">
      <c r="A72" s="95">
        <f t="shared" si="16"/>
        <v>1</v>
      </c>
      <c r="B72" s="11"/>
      <c r="C72" s="11"/>
      <c r="D72" s="92" t="str">
        <f>IFERROR(
IF(AND(OR(Planilla!B72="C",Planilla!B72="c"), VLOOKUP(E72,EX:FJ,13,0)="C"), "OK",IF(AND(OR(Planilla!B72="C",Planilla!B72="c"), OR(VLOOKUP(E72,EX:FJ,13,0)="B", VLOOKUP(E72,EX:FJ,13,0)="A")), "DEFICIT",IF(
AND(OR(Planilla!B72="B", Planilla!B72="BPAL"), VLOOKUP(E72,EX:FJ,13,0)="B"), "OK",IF(AND(OR(Planilla!B72="B", Planilla!B72="BPAL"), VLOOKUP(E72,EX:FJ,13,0)="A"), "DEFICIT",IF(AND(OR(Planilla!B72="B", Planilla!B72="BPAL"), VLOOKUP(E72,EX:FJ,13,0)="C"), "SOBREOFERTA",IF(AND(Planilla!B72="A", VLOOKUP(E72,EX:FJ,13,0)="A"), "OK",IF(
AND(Planilla!B72="A", OR(VLOOKUP(E72,EX:FJ,13,0)="B", VLOOKUP(E72,EX:FJ,13,0)="C")), "SOBREOFERTA",""
))))))),"")</f>
        <v/>
      </c>
      <c r="E72" s="12"/>
      <c r="F72" s="13"/>
      <c r="G72" s="14"/>
      <c r="H72" s="81" t="str">
        <f t="shared" si="17"/>
        <v/>
      </c>
      <c r="I72" s="7"/>
      <c r="J72" s="6" t="e">
        <f t="shared" si="18"/>
        <v>#N/A</v>
      </c>
      <c r="K72" s="6" t="str">
        <f>IF(A73&lt;&gt;A72,AVERAGEIF(A$9:A72,A72,J$9:J72),"")</f>
        <v/>
      </c>
      <c r="L72" s="7" t="str">
        <f>IFERROR(IF(A73&lt;&gt;A72,AVERAGEIF(A$9:A72,A72,S$9:S72),""),"")</f>
        <v/>
      </c>
      <c r="M72" s="7" t="str">
        <f>IFERROR(IF(A73&lt;&gt;A72,AVERAGEIF(A$9:A72,A72,T$9:T72),""),"")</f>
        <v/>
      </c>
      <c r="N72" s="7" t="str" cm="1">
        <f t="array" ref="N72">IFERROR(IF(A73&lt;&gt;A72,_xlfn.STDEV.P(IF(A$9:A72=A72,T$9:T72)),""),"")</f>
        <v/>
      </c>
      <c r="O72" s="7" t="str" cm="1">
        <f t="array" ref="O72">IFERROR(IF(A73&lt;&gt;A72,_xlfn.STDEV.P(IF(A$9:A72=A72,S$9:S72)),""),"")</f>
        <v/>
      </c>
      <c r="P72" s="8" t="str">
        <f t="shared" si="19"/>
        <v/>
      </c>
      <c r="Q72" s="8" t="str">
        <f t="shared" si="20"/>
        <v/>
      </c>
      <c r="R72" s="8" t="str">
        <f t="shared" si="21"/>
        <v/>
      </c>
      <c r="S72" s="9" t="str">
        <f t="shared" si="22"/>
        <v/>
      </c>
      <c r="T72" s="9" t="str">
        <f t="shared" si="23"/>
        <v/>
      </c>
      <c r="U72" s="14">
        <v>0.50694444444444442</v>
      </c>
      <c r="V72" s="15"/>
      <c r="W72" s="14" t="str">
        <f t="shared" si="38"/>
        <v/>
      </c>
      <c r="X72" s="15"/>
      <c r="Y72" s="2"/>
      <c r="AB72" s="22">
        <f t="shared" si="24"/>
        <v>1</v>
      </c>
      <c r="AC72" s="11"/>
      <c r="AD72" s="11"/>
      <c r="AE72" s="13"/>
      <c r="AF72" s="12"/>
      <c r="AG72" s="13"/>
      <c r="AH72" s="14"/>
      <c r="AI72" s="81" t="str">
        <f t="shared" si="25"/>
        <v/>
      </c>
      <c r="AJ72" s="15"/>
      <c r="AK72" s="6" t="e">
        <f t="shared" si="26"/>
        <v>#N/A</v>
      </c>
      <c r="AL72" s="6" t="str">
        <f>IF(AB73&lt;&gt;AB72,AVERAGEIF(AB$9:AB72,AB72,AK$9:AK72),"")</f>
        <v/>
      </c>
      <c r="AM72" s="7" t="str">
        <f>IFERROR(IF(AB73&lt;&gt;AB72,AVERAGEIF(AB$9:AB72,AB72,AT$9:AT72),""),"")</f>
        <v/>
      </c>
      <c r="AN72" s="7" t="str">
        <f>IFERROR(IF(AB73&lt;&gt;AB72,AVERAGEIF(AB$9:AB72,AB72,AU$9:AU72),""),"")</f>
        <v/>
      </c>
      <c r="AO72" s="7" t="str" cm="1">
        <f t="array" ref="AO72">IFERROR(IF(AB73&lt;&gt;AB72,_xlfn.STDEV.P(IF(AB$9:AB72=AB72,AU$9:AU72)),""),"")</f>
        <v/>
      </c>
      <c r="AP72" s="7" t="str" cm="1">
        <f t="array" ref="AP72">IFERROR(IF(AB73&lt;&gt;AB72,_xlfn.STDEV.P(IF(AB$9:AB72=AB72,AT$9:AT72)),""),"")</f>
        <v/>
      </c>
      <c r="AQ72" s="8" t="str">
        <f t="shared" si="27"/>
        <v/>
      </c>
      <c r="AR72" s="8" t="str">
        <f t="shared" si="28"/>
        <v/>
      </c>
      <c r="AS72" s="8" t="str">
        <f t="shared" si="29"/>
        <v/>
      </c>
      <c r="AT72" s="9" t="str">
        <f t="shared" si="30"/>
        <v/>
      </c>
      <c r="AU72" s="9" t="str">
        <f t="shared" si="31"/>
        <v/>
      </c>
      <c r="AV72" s="14"/>
      <c r="AW72" s="15"/>
      <c r="AX72" s="14" t="str">
        <f t="shared" si="32"/>
        <v/>
      </c>
      <c r="AY72" s="15"/>
      <c r="AZ72" s="23"/>
      <c r="EW72" t="s">
        <v>46</v>
      </c>
      <c r="EX72" s="33">
        <v>1069</v>
      </c>
      <c r="EY72" s="33" t="s">
        <v>241</v>
      </c>
      <c r="EZ72" s="33" t="s">
        <v>242</v>
      </c>
      <c r="FA72" s="33" t="s">
        <v>51</v>
      </c>
      <c r="FB72" s="33" t="s">
        <v>52</v>
      </c>
      <c r="FC72" s="33" t="s">
        <v>53</v>
      </c>
      <c r="FD72" s="33" t="s">
        <v>54</v>
      </c>
      <c r="FE72" s="33">
        <v>2019</v>
      </c>
      <c r="FF72" s="33" t="s">
        <v>55</v>
      </c>
      <c r="FG72" s="33" t="s">
        <v>56</v>
      </c>
      <c r="FH72" s="33" t="s">
        <v>57</v>
      </c>
      <c r="FI72" s="33" t="s">
        <v>58</v>
      </c>
      <c r="FJ72" t="s">
        <v>59</v>
      </c>
      <c r="FM72" s="32" t="s">
        <v>226</v>
      </c>
      <c r="FN72" t="s">
        <v>227</v>
      </c>
      <c r="FO72" t="s">
        <v>228</v>
      </c>
      <c r="FP72" t="str">
        <f t="shared" si="42"/>
        <v>B</v>
      </c>
      <c r="FT72" s="69" t="s">
        <v>7438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18.105</v>
      </c>
      <c r="GB72">
        <v>29.27</v>
      </c>
      <c r="GC72">
        <v>30.13</v>
      </c>
      <c r="GD72">
        <v>31.564999999999998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10.685</v>
      </c>
      <c r="GM72">
        <v>20.399999999999999</v>
      </c>
      <c r="GN72">
        <v>22.130000000000003</v>
      </c>
      <c r="GO72">
        <v>24.71</v>
      </c>
      <c r="GP72">
        <v>23.42</v>
      </c>
      <c r="GQ72">
        <v>0</v>
      </c>
      <c r="GR72">
        <v>0</v>
      </c>
      <c r="GU72" s="53">
        <v>69</v>
      </c>
      <c r="GV72" s="53">
        <v>66</v>
      </c>
    </row>
    <row r="73" spans="1:204" ht="15.5" x14ac:dyDescent="0.35">
      <c r="A73" s="95">
        <f t="shared" si="16"/>
        <v>1</v>
      </c>
      <c r="B73" s="11"/>
      <c r="C73" s="11"/>
      <c r="D73" s="92" t="str">
        <f>IFERROR(
IF(AND(OR(Planilla!B73="C",Planilla!B73="c"), VLOOKUP(E73,EX:FJ,13,0)="C"), "OK",IF(AND(OR(Planilla!B73="C",Planilla!B73="c"), OR(VLOOKUP(E73,EX:FJ,13,0)="B", VLOOKUP(E73,EX:FJ,13,0)="A")), "DEFICIT",IF(
AND(OR(Planilla!B73="B", Planilla!B73="BPAL"), VLOOKUP(E73,EX:FJ,13,0)="B"), "OK",IF(AND(OR(Planilla!B73="B", Planilla!B73="BPAL"), VLOOKUP(E73,EX:FJ,13,0)="A"), "DEFICIT",IF(AND(OR(Planilla!B73="B", Planilla!B73="BPAL"), VLOOKUP(E73,EX:FJ,13,0)="C"), "SOBREOFERTA",IF(AND(Planilla!B73="A", VLOOKUP(E73,EX:FJ,13,0)="A"), "OK",IF(
AND(Planilla!B73="A", OR(VLOOKUP(E73,EX:FJ,13,0)="B", VLOOKUP(E73,EX:FJ,13,0)="C")), "SOBREOFERTA",""
))))))),"")</f>
        <v/>
      </c>
      <c r="E73" s="12"/>
      <c r="F73" s="13"/>
      <c r="G73" s="14"/>
      <c r="H73" s="81" t="str">
        <f t="shared" si="17"/>
        <v/>
      </c>
      <c r="I73" s="7"/>
      <c r="J73" s="6" t="e">
        <f t="shared" si="18"/>
        <v>#N/A</v>
      </c>
      <c r="K73" s="6" t="str">
        <f>IF(A74&lt;&gt;A73,AVERAGEIF(A$9:A73,A73,J$9:J73),"")</f>
        <v/>
      </c>
      <c r="L73" s="7" t="str">
        <f>IFERROR(IF(A74&lt;&gt;A73,AVERAGEIF(A$9:A73,A73,S$9:S73),""),"")</f>
        <v/>
      </c>
      <c r="M73" s="7" t="str">
        <f>IFERROR(IF(A74&lt;&gt;A73,AVERAGEIF(A$9:A73,A73,T$9:T73),""),"")</f>
        <v/>
      </c>
      <c r="N73" s="7" t="str" cm="1">
        <f t="array" ref="N73">IFERROR(IF(A74&lt;&gt;A73,_xlfn.STDEV.P(IF(A$9:A73=A73,T$9:T73)),""),"")</f>
        <v/>
      </c>
      <c r="O73" s="7" t="str" cm="1">
        <f t="array" ref="O73">IFERROR(IF(A74&lt;&gt;A73,_xlfn.STDEV.P(IF(A$9:A73=A73,S$9:S73)),""),"")</f>
        <v/>
      </c>
      <c r="P73" s="8" t="str">
        <f t="shared" si="19"/>
        <v/>
      </c>
      <c r="Q73" s="8" t="str">
        <f t="shared" si="20"/>
        <v/>
      </c>
      <c r="R73" s="8" t="str">
        <f t="shared" si="21"/>
        <v/>
      </c>
      <c r="S73" s="9" t="str">
        <f t="shared" si="22"/>
        <v/>
      </c>
      <c r="T73" s="9" t="str">
        <f t="shared" si="23"/>
        <v/>
      </c>
      <c r="U73" s="14">
        <v>0.51388888888888884</v>
      </c>
      <c r="V73" s="15"/>
      <c r="W73" s="14" t="str">
        <f t="shared" si="38"/>
        <v/>
      </c>
      <c r="X73" s="15"/>
      <c r="Y73" s="2"/>
      <c r="AB73" s="22">
        <f t="shared" si="24"/>
        <v>1</v>
      </c>
      <c r="AC73" s="11"/>
      <c r="AD73" s="11"/>
      <c r="AE73" s="13"/>
      <c r="AF73" s="12"/>
      <c r="AG73" s="13"/>
      <c r="AH73" s="14"/>
      <c r="AI73" s="81" t="str">
        <f t="shared" si="25"/>
        <v/>
      </c>
      <c r="AJ73" s="15"/>
      <c r="AK73" s="6" t="e">
        <f t="shared" si="26"/>
        <v>#N/A</v>
      </c>
      <c r="AL73" s="6" t="str">
        <f>IF(AB74&lt;&gt;AB73,AVERAGEIF(AB$9:AB73,AB73,AK$9:AK73),"")</f>
        <v/>
      </c>
      <c r="AM73" s="7" t="str">
        <f>IFERROR(IF(AB74&lt;&gt;AB73,AVERAGEIF(AB$9:AB73,AB73,AT$9:AT73),""),"")</f>
        <v/>
      </c>
      <c r="AN73" s="7" t="str">
        <f>IFERROR(IF(AB74&lt;&gt;AB73,AVERAGEIF(AB$9:AB73,AB73,AU$9:AU73),""),"")</f>
        <v/>
      </c>
      <c r="AO73" s="7" t="str" cm="1">
        <f t="array" ref="AO73">IFERROR(IF(AB74&lt;&gt;AB73,_xlfn.STDEV.P(IF(AB$9:AB73=AB73,AU$9:AU73)),""),"")</f>
        <v/>
      </c>
      <c r="AP73" s="7" t="str" cm="1">
        <f t="array" ref="AP73">IFERROR(IF(AB74&lt;&gt;AB73,_xlfn.STDEV.P(IF(AB$9:AB73=AB73,AT$9:AT73)),""),"")</f>
        <v/>
      </c>
      <c r="AQ73" s="8" t="str">
        <f t="shared" si="27"/>
        <v/>
      </c>
      <c r="AR73" s="8" t="str">
        <f t="shared" si="28"/>
        <v/>
      </c>
      <c r="AS73" s="8" t="str">
        <f t="shared" si="29"/>
        <v/>
      </c>
      <c r="AT73" s="9" t="str">
        <f t="shared" si="30"/>
        <v/>
      </c>
      <c r="AU73" s="9" t="str">
        <f t="shared" si="31"/>
        <v/>
      </c>
      <c r="AV73" s="14"/>
      <c r="AW73" s="15"/>
      <c r="AX73" s="14" t="str">
        <f t="shared" si="32"/>
        <v/>
      </c>
      <c r="AY73" s="15"/>
      <c r="AZ73" s="23"/>
      <c r="EW73" t="s">
        <v>46</v>
      </c>
      <c r="EX73" s="33">
        <v>1070</v>
      </c>
      <c r="EY73" s="33" t="s">
        <v>243</v>
      </c>
      <c r="EZ73" s="33" t="s">
        <v>244</v>
      </c>
      <c r="FA73" s="33" t="s">
        <v>51</v>
      </c>
      <c r="FB73" s="33" t="s">
        <v>52</v>
      </c>
      <c r="FC73" s="33" t="s">
        <v>53</v>
      </c>
      <c r="FD73" s="33" t="s">
        <v>54</v>
      </c>
      <c r="FE73" s="33">
        <v>2019</v>
      </c>
      <c r="FF73" s="33" t="s">
        <v>55</v>
      </c>
      <c r="FG73" s="33" t="s">
        <v>56</v>
      </c>
      <c r="FH73" s="33" t="s">
        <v>57</v>
      </c>
      <c r="FI73" s="33" t="s">
        <v>58</v>
      </c>
      <c r="FJ73" t="s">
        <v>59</v>
      </c>
      <c r="FM73" s="32" t="s">
        <v>245</v>
      </c>
      <c r="FN73" t="s">
        <v>246</v>
      </c>
      <c r="FO73" t="s">
        <v>247</v>
      </c>
      <c r="FP73" t="str">
        <f t="shared" si="42"/>
        <v>B</v>
      </c>
      <c r="FT73" s="69" t="s">
        <v>7440</v>
      </c>
      <c r="FU73">
        <v>28.78</v>
      </c>
      <c r="FV73">
        <v>29.774999999999999</v>
      </c>
      <c r="FW73">
        <v>30.504999999999999</v>
      </c>
      <c r="FX73">
        <v>30.57</v>
      </c>
      <c r="FY73">
        <v>26.689999999999998</v>
      </c>
      <c r="FZ73">
        <v>12.005000000000001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27.125</v>
      </c>
      <c r="GU73" s="53">
        <v>70</v>
      </c>
      <c r="GV73" s="53">
        <v>67</v>
      </c>
    </row>
    <row r="74" spans="1:204" ht="15.5" x14ac:dyDescent="0.35">
      <c r="A74" s="95">
        <f t="shared" si="16"/>
        <v>1</v>
      </c>
      <c r="B74" s="11"/>
      <c r="C74" s="11"/>
      <c r="D74" s="92" t="str">
        <f>IFERROR(
IF(AND(OR(Planilla!B74="C",Planilla!B74="c"), VLOOKUP(E74,EX:FJ,13,0)="C"), "OK",IF(AND(OR(Planilla!B74="C",Planilla!B74="c"), OR(VLOOKUP(E74,EX:FJ,13,0)="B", VLOOKUP(E74,EX:FJ,13,0)="A")), "DEFICIT",IF(
AND(OR(Planilla!B74="B", Planilla!B74="BPAL"), VLOOKUP(E74,EX:FJ,13,0)="B"), "OK",IF(AND(OR(Planilla!B74="B", Planilla!B74="BPAL"), VLOOKUP(E74,EX:FJ,13,0)="A"), "DEFICIT",IF(AND(OR(Planilla!B74="B", Planilla!B74="BPAL"), VLOOKUP(E74,EX:FJ,13,0)="C"), "SOBREOFERTA",IF(AND(Planilla!B74="A", VLOOKUP(E74,EX:FJ,13,0)="A"), "OK",IF(
AND(Planilla!B74="A", OR(VLOOKUP(E74,EX:FJ,13,0)="B", VLOOKUP(E74,EX:FJ,13,0)="C")), "SOBREOFERTA",""
))))))),"")</f>
        <v/>
      </c>
      <c r="E74" s="12"/>
      <c r="F74" s="13"/>
      <c r="G74" s="14"/>
      <c r="H74" s="81" t="str">
        <f t="shared" si="17"/>
        <v/>
      </c>
      <c r="I74" s="7"/>
      <c r="J74" s="6" t="e">
        <f t="shared" si="18"/>
        <v>#N/A</v>
      </c>
      <c r="K74" s="6" t="str">
        <f>IF(A75&lt;&gt;A74,AVERAGEIF(A$9:A74,A74,J$9:J74),"")</f>
        <v/>
      </c>
      <c r="L74" s="7" t="str">
        <f>IFERROR(IF(A75&lt;&gt;A74,AVERAGEIF(A$9:A74,A74,S$9:S74),""),"")</f>
        <v/>
      </c>
      <c r="M74" s="7" t="str">
        <f>IFERROR(IF(A75&lt;&gt;A74,AVERAGEIF(A$9:A74,A74,T$9:T74),""),"")</f>
        <v/>
      </c>
      <c r="N74" s="7" t="str" cm="1">
        <f t="array" ref="N74">IFERROR(IF(A75&lt;&gt;A74,_xlfn.STDEV.P(IF(A$9:A74=A74,T$9:T74)),""),"")</f>
        <v/>
      </c>
      <c r="O74" s="7" t="str" cm="1">
        <f t="array" ref="O74">IFERROR(IF(A75&lt;&gt;A74,_xlfn.STDEV.P(IF(A$9:A74=A74,S$9:S74)),""),"")</f>
        <v/>
      </c>
      <c r="P74" s="8" t="str">
        <f t="shared" si="19"/>
        <v/>
      </c>
      <c r="Q74" s="8" t="str">
        <f t="shared" si="20"/>
        <v/>
      </c>
      <c r="R74" s="8" t="str">
        <f t="shared" si="21"/>
        <v/>
      </c>
      <c r="S74" s="9" t="str">
        <f t="shared" si="22"/>
        <v/>
      </c>
      <c r="T74" s="9" t="str">
        <f t="shared" si="23"/>
        <v/>
      </c>
      <c r="U74" s="14">
        <v>0.52083333333333337</v>
      </c>
      <c r="V74" s="15"/>
      <c r="W74" s="14" t="str">
        <f t="shared" si="38"/>
        <v/>
      </c>
      <c r="X74" s="15"/>
      <c r="Y74" s="2"/>
      <c r="AB74" s="22">
        <f t="shared" si="24"/>
        <v>1</v>
      </c>
      <c r="AC74" s="11"/>
      <c r="AD74" s="11"/>
      <c r="AE74" s="13"/>
      <c r="AF74" s="12"/>
      <c r="AG74" s="13"/>
      <c r="AH74" s="14"/>
      <c r="AI74" s="81" t="str">
        <f t="shared" si="25"/>
        <v/>
      </c>
      <c r="AJ74" s="15"/>
      <c r="AK74" s="6" t="e">
        <f t="shared" si="26"/>
        <v>#N/A</v>
      </c>
      <c r="AL74" s="6" t="str">
        <f>IF(AB75&lt;&gt;AB74,AVERAGEIF(AB$9:AB74,AB74,AK$9:AK74),"")</f>
        <v/>
      </c>
      <c r="AM74" s="7" t="str">
        <f>IFERROR(IF(AB75&lt;&gt;AB74,AVERAGEIF(AB$9:AB74,AB74,AT$9:AT74),""),"")</f>
        <v/>
      </c>
      <c r="AN74" s="7" t="str">
        <f>IFERROR(IF(AB75&lt;&gt;AB74,AVERAGEIF(AB$9:AB74,AB74,AU$9:AU74),""),"")</f>
        <v/>
      </c>
      <c r="AO74" s="7" t="str" cm="1">
        <f t="array" ref="AO74">IFERROR(IF(AB75&lt;&gt;AB74,_xlfn.STDEV.P(IF(AB$9:AB74=AB74,AU$9:AU74)),""),"")</f>
        <v/>
      </c>
      <c r="AP74" s="7" t="str" cm="1">
        <f t="array" ref="AP74">IFERROR(IF(AB75&lt;&gt;AB74,_xlfn.STDEV.P(IF(AB$9:AB74=AB74,AT$9:AT74)),""),"")</f>
        <v/>
      </c>
      <c r="AQ74" s="8" t="str">
        <f t="shared" si="27"/>
        <v/>
      </c>
      <c r="AR74" s="8" t="str">
        <f t="shared" si="28"/>
        <v/>
      </c>
      <c r="AS74" s="8" t="str">
        <f t="shared" si="29"/>
        <v/>
      </c>
      <c r="AT74" s="9" t="str">
        <f t="shared" si="30"/>
        <v/>
      </c>
      <c r="AU74" s="9" t="str">
        <f t="shared" si="31"/>
        <v/>
      </c>
      <c r="AV74" s="14"/>
      <c r="AW74" s="15"/>
      <c r="AX74" s="14" t="str">
        <f t="shared" si="32"/>
        <v/>
      </c>
      <c r="AY74" s="15"/>
      <c r="AZ74" s="23"/>
      <c r="EW74" t="s">
        <v>46</v>
      </c>
      <c r="EX74" s="33">
        <v>1071</v>
      </c>
      <c r="EY74" s="33" t="s">
        <v>248</v>
      </c>
      <c r="EZ74" s="33" t="s">
        <v>249</v>
      </c>
      <c r="FA74" s="33" t="s">
        <v>51</v>
      </c>
      <c r="FB74" s="33" t="s">
        <v>52</v>
      </c>
      <c r="FC74" s="33" t="s">
        <v>53</v>
      </c>
      <c r="FD74" s="33" t="s">
        <v>54</v>
      </c>
      <c r="FE74" s="33">
        <v>2019</v>
      </c>
      <c r="FF74" s="33" t="s">
        <v>55</v>
      </c>
      <c r="FG74" s="33" t="s">
        <v>56</v>
      </c>
      <c r="FH74" s="33" t="s">
        <v>57</v>
      </c>
      <c r="FI74" s="33" t="s">
        <v>58</v>
      </c>
      <c r="FJ74" t="s">
        <v>59</v>
      </c>
      <c r="FM74" s="32" t="s">
        <v>245</v>
      </c>
      <c r="FN74" t="s">
        <v>246</v>
      </c>
      <c r="FO74" t="s">
        <v>247</v>
      </c>
      <c r="FP74" t="str">
        <f t="shared" si="42"/>
        <v>B</v>
      </c>
      <c r="FT74" s="69" t="s">
        <v>7440</v>
      </c>
      <c r="FU74">
        <v>27.285</v>
      </c>
      <c r="FV74">
        <v>29.085000000000001</v>
      </c>
      <c r="FW74">
        <v>29.55</v>
      </c>
      <c r="FX74">
        <v>30.05</v>
      </c>
      <c r="FY74">
        <v>29.155000000000001</v>
      </c>
      <c r="FZ74">
        <v>27.574999999999999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26.494999999999997</v>
      </c>
      <c r="GU74" s="53">
        <v>71</v>
      </c>
      <c r="GV74" s="53">
        <v>68</v>
      </c>
    </row>
    <row r="75" spans="1:204" ht="15.5" x14ac:dyDescent="0.35">
      <c r="A75" s="95">
        <f t="shared" si="16"/>
        <v>1</v>
      </c>
      <c r="B75" s="11"/>
      <c r="C75" s="11"/>
      <c r="D75" s="92" t="str">
        <f>IFERROR(
IF(AND(OR(Planilla!B75="C",Planilla!B75="c"), VLOOKUP(E75,EX:FJ,13,0)="C"), "OK",IF(AND(OR(Planilla!B75="C",Planilla!B75="c"), OR(VLOOKUP(E75,EX:FJ,13,0)="B", VLOOKUP(E75,EX:FJ,13,0)="A")), "DEFICIT",IF(
AND(OR(Planilla!B75="B", Planilla!B75="BPAL"), VLOOKUP(E75,EX:FJ,13,0)="B"), "OK",IF(AND(OR(Planilla!B75="B", Planilla!B75="BPAL"), VLOOKUP(E75,EX:FJ,13,0)="A"), "DEFICIT",IF(AND(OR(Planilla!B75="B", Planilla!B75="BPAL"), VLOOKUP(E75,EX:FJ,13,0)="C"), "SOBREOFERTA",IF(AND(Planilla!B75="A", VLOOKUP(E75,EX:FJ,13,0)="A"), "OK",IF(
AND(Planilla!B75="A", OR(VLOOKUP(E75,EX:FJ,13,0)="B", VLOOKUP(E75,EX:FJ,13,0)="C")), "SOBREOFERTA",""
))))))),"")</f>
        <v/>
      </c>
      <c r="E75" s="12"/>
      <c r="F75" s="13"/>
      <c r="G75" s="14"/>
      <c r="H75" s="81" t="str">
        <f t="shared" si="17"/>
        <v/>
      </c>
      <c r="I75" s="7"/>
      <c r="J75" s="6" t="e">
        <f t="shared" si="18"/>
        <v>#N/A</v>
      </c>
      <c r="K75" s="6" t="str">
        <f>IF(A76&lt;&gt;A75,AVERAGEIF(A$9:A75,A75,J$9:J75),"")</f>
        <v/>
      </c>
      <c r="L75" s="7" t="str">
        <f>IFERROR(IF(A76&lt;&gt;A75,AVERAGEIF(A$9:A75,A75,S$9:S75),""),"")</f>
        <v/>
      </c>
      <c r="M75" s="7" t="str">
        <f>IFERROR(IF(A76&lt;&gt;A75,AVERAGEIF(A$9:A75,A75,T$9:T75),""),"")</f>
        <v/>
      </c>
      <c r="N75" s="7" t="str" cm="1">
        <f t="array" ref="N75">IFERROR(IF(A76&lt;&gt;A75,_xlfn.STDEV.P(IF(A$9:A75=A75,T$9:T75)),""),"")</f>
        <v/>
      </c>
      <c r="O75" s="7" t="str" cm="1">
        <f t="array" ref="O75">IFERROR(IF(A76&lt;&gt;A75,_xlfn.STDEV.P(IF(A$9:A75=A75,S$9:S75)),""),"")</f>
        <v/>
      </c>
      <c r="P75" s="8" t="str">
        <f t="shared" si="19"/>
        <v/>
      </c>
      <c r="Q75" s="8" t="str">
        <f t="shared" si="20"/>
        <v/>
      </c>
      <c r="R75" s="8" t="str">
        <f t="shared" si="21"/>
        <v/>
      </c>
      <c r="S75" s="9" t="str">
        <f t="shared" si="22"/>
        <v/>
      </c>
      <c r="T75" s="9" t="str">
        <f t="shared" si="23"/>
        <v/>
      </c>
      <c r="U75" s="14">
        <v>0.52916666666666667</v>
      </c>
      <c r="V75" s="15"/>
      <c r="W75" s="14" t="str">
        <f t="shared" si="38"/>
        <v/>
      </c>
      <c r="X75" s="15"/>
      <c r="Y75" s="2"/>
      <c r="AB75" s="22">
        <f t="shared" si="24"/>
        <v>1</v>
      </c>
      <c r="AC75" s="11"/>
      <c r="AD75" s="11"/>
      <c r="AE75" s="13"/>
      <c r="AF75" s="12"/>
      <c r="AG75" s="13"/>
      <c r="AH75" s="14"/>
      <c r="AI75" s="81" t="str">
        <f t="shared" si="25"/>
        <v/>
      </c>
      <c r="AJ75" s="15"/>
      <c r="AK75" s="6" t="e">
        <f t="shared" si="26"/>
        <v>#N/A</v>
      </c>
      <c r="AL75" s="6" t="str">
        <f>IF(AB76&lt;&gt;AB75,AVERAGEIF(AB$9:AB75,AB75,AK$9:AK75),"")</f>
        <v/>
      </c>
      <c r="AM75" s="7" t="str">
        <f>IFERROR(IF(AB76&lt;&gt;AB75,AVERAGEIF(AB$9:AB75,AB75,AT$9:AT75),""),"")</f>
        <v/>
      </c>
      <c r="AN75" s="7" t="str">
        <f>IFERROR(IF(AB76&lt;&gt;AB75,AVERAGEIF(AB$9:AB75,AB75,AU$9:AU75),""),"")</f>
        <v/>
      </c>
      <c r="AO75" s="7" t="str" cm="1">
        <f t="array" ref="AO75">IFERROR(IF(AB76&lt;&gt;AB75,_xlfn.STDEV.P(IF(AB$9:AB75=AB75,AU$9:AU75)),""),"")</f>
        <v/>
      </c>
      <c r="AP75" s="7" t="str" cm="1">
        <f t="array" ref="AP75">IFERROR(IF(AB76&lt;&gt;AB75,_xlfn.STDEV.P(IF(AB$9:AB75=AB75,AT$9:AT75)),""),"")</f>
        <v/>
      </c>
      <c r="AQ75" s="8" t="str">
        <f t="shared" si="27"/>
        <v/>
      </c>
      <c r="AR75" s="8" t="str">
        <f t="shared" si="28"/>
        <v/>
      </c>
      <c r="AS75" s="8" t="str">
        <f t="shared" si="29"/>
        <v/>
      </c>
      <c r="AT75" s="9" t="str">
        <f t="shared" si="30"/>
        <v/>
      </c>
      <c r="AU75" s="9" t="str">
        <f t="shared" si="31"/>
        <v/>
      </c>
      <c r="AV75" s="14"/>
      <c r="AW75" s="15"/>
      <c r="AX75" s="14" t="str">
        <f t="shared" si="32"/>
        <v/>
      </c>
      <c r="AY75" s="15"/>
      <c r="AZ75" s="23"/>
      <c r="EW75" t="s">
        <v>46</v>
      </c>
      <c r="EX75" s="33">
        <v>1072</v>
      </c>
      <c r="EY75" s="33" t="s">
        <v>250</v>
      </c>
      <c r="EZ75" s="33" t="s">
        <v>251</v>
      </c>
      <c r="FA75" s="33" t="s">
        <v>51</v>
      </c>
      <c r="FB75" s="33" t="s">
        <v>52</v>
      </c>
      <c r="FC75" s="33" t="s">
        <v>53</v>
      </c>
      <c r="FD75" s="33" t="s">
        <v>54</v>
      </c>
      <c r="FE75" s="33">
        <v>2019</v>
      </c>
      <c r="FF75" s="33" t="s">
        <v>55</v>
      </c>
      <c r="FG75" s="33" t="s">
        <v>71</v>
      </c>
      <c r="FH75" s="33" t="s">
        <v>72</v>
      </c>
      <c r="FI75" s="33" t="s">
        <v>73</v>
      </c>
      <c r="FJ75" t="s">
        <v>59</v>
      </c>
      <c r="FM75" s="32" t="s">
        <v>245</v>
      </c>
      <c r="FN75" t="s">
        <v>246</v>
      </c>
      <c r="FO75" t="s">
        <v>247</v>
      </c>
      <c r="FP75" t="str">
        <f t="shared" si="42"/>
        <v>B</v>
      </c>
      <c r="FT75" s="69" t="s">
        <v>7442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20.880000000000003</v>
      </c>
      <c r="GA75">
        <v>17.155000000000001</v>
      </c>
      <c r="GB75">
        <v>13.324999999999999</v>
      </c>
      <c r="GC75">
        <v>14.75</v>
      </c>
      <c r="GD75">
        <v>16.285</v>
      </c>
      <c r="GE75">
        <v>16.685000000000002</v>
      </c>
      <c r="GF75">
        <v>16.380000000000003</v>
      </c>
      <c r="GG75">
        <v>16.285</v>
      </c>
      <c r="GH75">
        <v>16.564999999999998</v>
      </c>
      <c r="GI75">
        <v>16.545000000000002</v>
      </c>
      <c r="GJ75">
        <v>15.734999999999999</v>
      </c>
      <c r="GK75">
        <v>14.574999999999999</v>
      </c>
      <c r="GL75">
        <v>12.745000000000001</v>
      </c>
      <c r="GM75">
        <v>13.164999999999999</v>
      </c>
      <c r="GN75">
        <v>15.055</v>
      </c>
      <c r="GO75">
        <v>17.414999999999999</v>
      </c>
      <c r="GP75">
        <v>19.094999999999999</v>
      </c>
      <c r="GQ75">
        <v>20.84</v>
      </c>
      <c r="GR75">
        <v>23.05</v>
      </c>
      <c r="GU75" s="53">
        <v>72</v>
      </c>
      <c r="GV75" s="53">
        <v>69</v>
      </c>
    </row>
    <row r="76" spans="1:204" ht="15.5" x14ac:dyDescent="0.35">
      <c r="A76" s="95">
        <f t="shared" si="16"/>
        <v>1</v>
      </c>
      <c r="B76" s="11"/>
      <c r="C76" s="11"/>
      <c r="D76" s="92" t="str">
        <f>IFERROR(
IF(AND(OR(Planilla!B76="C",Planilla!B76="c"), VLOOKUP(E76,EX:FJ,13,0)="C"), "OK",IF(AND(OR(Planilla!B76="C",Planilla!B76="c"), OR(VLOOKUP(E76,EX:FJ,13,0)="B", VLOOKUP(E76,EX:FJ,13,0)="A")), "DEFICIT",IF(
AND(OR(Planilla!B76="B", Planilla!B76="BPAL"), VLOOKUP(E76,EX:FJ,13,0)="B"), "OK",IF(AND(OR(Planilla!B76="B", Planilla!B76="BPAL"), VLOOKUP(E76,EX:FJ,13,0)="A"), "DEFICIT",IF(AND(OR(Planilla!B76="B", Planilla!B76="BPAL"), VLOOKUP(E76,EX:FJ,13,0)="C"), "SOBREOFERTA",IF(AND(Planilla!B76="A", VLOOKUP(E76,EX:FJ,13,0)="A"), "OK",IF(
AND(Planilla!B76="A", OR(VLOOKUP(E76,EX:FJ,13,0)="B", VLOOKUP(E76,EX:FJ,13,0)="C")), "SOBREOFERTA",""
))))))),"")</f>
        <v/>
      </c>
      <c r="E76" s="12"/>
      <c r="F76" s="13"/>
      <c r="G76" s="14"/>
      <c r="H76" s="81" t="str">
        <f t="shared" si="17"/>
        <v/>
      </c>
      <c r="I76" s="7"/>
      <c r="J76" s="6" t="e">
        <f t="shared" si="18"/>
        <v>#N/A</v>
      </c>
      <c r="K76" s="6" t="str">
        <f>IF(A77&lt;&gt;A76,AVERAGEIF(A$9:A76,A76,J$9:J76),"")</f>
        <v/>
      </c>
      <c r="L76" s="7" t="str">
        <f>IFERROR(IF(A77&lt;&gt;A76,AVERAGEIF(A$9:A76,A76,S$9:S76),""),"")</f>
        <v/>
      </c>
      <c r="M76" s="7" t="str">
        <f>IFERROR(IF(A77&lt;&gt;A76,AVERAGEIF(A$9:A76,A76,T$9:T76),""),"")</f>
        <v/>
      </c>
      <c r="N76" s="7" t="str" cm="1">
        <f t="array" ref="N76">IFERROR(IF(A77&lt;&gt;A76,_xlfn.STDEV.P(IF(A$9:A76=A76,T$9:T76)),""),"")</f>
        <v/>
      </c>
      <c r="O76" s="7" t="str" cm="1">
        <f t="array" ref="O76">IFERROR(IF(A77&lt;&gt;A76,_xlfn.STDEV.P(IF(A$9:A76=A76,S$9:S76)),""),"")</f>
        <v/>
      </c>
      <c r="P76" s="8" t="str">
        <f t="shared" si="19"/>
        <v/>
      </c>
      <c r="Q76" s="8" t="str">
        <f t="shared" si="20"/>
        <v/>
      </c>
      <c r="R76" s="8" t="str">
        <f t="shared" si="21"/>
        <v/>
      </c>
      <c r="S76" s="9" t="str">
        <f t="shared" si="22"/>
        <v/>
      </c>
      <c r="T76" s="9" t="str">
        <f t="shared" si="23"/>
        <v/>
      </c>
      <c r="U76" s="14">
        <v>0.53611111111111109</v>
      </c>
      <c r="V76" s="15"/>
      <c r="W76" s="14" t="str">
        <f t="shared" si="38"/>
        <v/>
      </c>
      <c r="X76" s="15"/>
      <c r="Y76" s="2"/>
      <c r="AB76" s="22">
        <f t="shared" si="24"/>
        <v>1</v>
      </c>
      <c r="AC76" s="11"/>
      <c r="AD76" s="11"/>
      <c r="AE76" s="13"/>
      <c r="AF76" s="12"/>
      <c r="AG76" s="13"/>
      <c r="AH76" s="14"/>
      <c r="AI76" s="81" t="str">
        <f t="shared" si="25"/>
        <v/>
      </c>
      <c r="AJ76" s="15"/>
      <c r="AK76" s="6" t="e">
        <f t="shared" si="26"/>
        <v>#N/A</v>
      </c>
      <c r="AL76" s="6" t="str">
        <f>IF(AB77&lt;&gt;AB76,AVERAGEIF(AB$9:AB76,AB76,AK$9:AK76),"")</f>
        <v/>
      </c>
      <c r="AM76" s="7" t="str">
        <f>IFERROR(IF(AB77&lt;&gt;AB76,AVERAGEIF(AB$9:AB76,AB76,AT$9:AT76),""),"")</f>
        <v/>
      </c>
      <c r="AN76" s="7" t="str">
        <f>IFERROR(IF(AB77&lt;&gt;AB76,AVERAGEIF(AB$9:AB76,AB76,AU$9:AU76),""),"")</f>
        <v/>
      </c>
      <c r="AO76" s="7" t="str" cm="1">
        <f t="array" ref="AO76">IFERROR(IF(AB77&lt;&gt;AB76,_xlfn.STDEV.P(IF(AB$9:AB76=AB76,AU$9:AU76)),""),"")</f>
        <v/>
      </c>
      <c r="AP76" s="7" t="str" cm="1">
        <f t="array" ref="AP76">IFERROR(IF(AB77&lt;&gt;AB76,_xlfn.STDEV.P(IF(AB$9:AB76=AB76,AT$9:AT76)),""),"")</f>
        <v/>
      </c>
      <c r="AQ76" s="8" t="str">
        <f t="shared" si="27"/>
        <v/>
      </c>
      <c r="AR76" s="8" t="str">
        <f t="shared" si="28"/>
        <v/>
      </c>
      <c r="AS76" s="8" t="str">
        <f t="shared" si="29"/>
        <v/>
      </c>
      <c r="AT76" s="9" t="str">
        <f t="shared" si="30"/>
        <v/>
      </c>
      <c r="AU76" s="9" t="str">
        <f t="shared" si="31"/>
        <v/>
      </c>
      <c r="AV76" s="14"/>
      <c r="AW76" s="15"/>
      <c r="AX76" s="14" t="str">
        <f t="shared" si="32"/>
        <v/>
      </c>
      <c r="AY76" s="15"/>
      <c r="AZ76" s="23"/>
      <c r="EW76" t="s">
        <v>46</v>
      </c>
      <c r="EX76" s="33">
        <v>1073</v>
      </c>
      <c r="EY76" s="33" t="s">
        <v>252</v>
      </c>
      <c r="EZ76" s="33" t="s">
        <v>253</v>
      </c>
      <c r="FA76" s="33" t="s">
        <v>51</v>
      </c>
      <c r="FB76" s="33" t="s">
        <v>52</v>
      </c>
      <c r="FC76" s="33" t="s">
        <v>53</v>
      </c>
      <c r="FD76" s="33" t="s">
        <v>54</v>
      </c>
      <c r="FE76" s="33">
        <v>2019</v>
      </c>
      <c r="FF76" s="33" t="s">
        <v>55</v>
      </c>
      <c r="FG76" s="33" t="s">
        <v>56</v>
      </c>
      <c r="FH76" s="33" t="s">
        <v>57</v>
      </c>
      <c r="FI76" s="33" t="s">
        <v>58</v>
      </c>
      <c r="FJ76" t="s">
        <v>59</v>
      </c>
      <c r="FM76" s="32" t="s">
        <v>245</v>
      </c>
      <c r="FN76" t="s">
        <v>246</v>
      </c>
      <c r="FO76" t="s">
        <v>247</v>
      </c>
      <c r="FP76" t="str">
        <f t="shared" si="42"/>
        <v>B</v>
      </c>
      <c r="FT76" s="69" t="s">
        <v>7442</v>
      </c>
      <c r="FU76">
        <v>13.2</v>
      </c>
      <c r="FV76">
        <v>0</v>
      </c>
      <c r="FW76">
        <v>0</v>
      </c>
      <c r="FX76">
        <v>0</v>
      </c>
      <c r="FY76">
        <v>0</v>
      </c>
      <c r="FZ76">
        <v>11.9</v>
      </c>
      <c r="GA76">
        <v>20.885000000000002</v>
      </c>
      <c r="GB76">
        <v>15.925000000000001</v>
      </c>
      <c r="GC76">
        <v>16.135000000000002</v>
      </c>
      <c r="GD76">
        <v>17.29</v>
      </c>
      <c r="GE76">
        <v>17.04</v>
      </c>
      <c r="GF76">
        <v>16.295000000000002</v>
      </c>
      <c r="GG76">
        <v>15.565000000000001</v>
      </c>
      <c r="GH76">
        <v>15.42</v>
      </c>
      <c r="GI76">
        <v>15.43</v>
      </c>
      <c r="GJ76">
        <v>14.765000000000001</v>
      </c>
      <c r="GK76">
        <v>14.114999999999998</v>
      </c>
      <c r="GL76">
        <v>12.815000000000001</v>
      </c>
      <c r="GM76">
        <v>12.33</v>
      </c>
      <c r="GN76">
        <v>13.914999999999999</v>
      </c>
      <c r="GO76">
        <v>16.184999999999999</v>
      </c>
      <c r="GP76">
        <v>18.185000000000002</v>
      </c>
      <c r="GQ76">
        <v>19.689999999999998</v>
      </c>
      <c r="GR76">
        <v>21.725000000000001</v>
      </c>
      <c r="GU76" s="53">
        <v>73</v>
      </c>
      <c r="GV76" s="53">
        <v>70</v>
      </c>
    </row>
    <row r="77" spans="1:204" ht="15.5" x14ac:dyDescent="0.35">
      <c r="A77" s="95">
        <f t="shared" si="16"/>
        <v>1</v>
      </c>
      <c r="B77" s="11"/>
      <c r="C77" s="11"/>
      <c r="D77" s="92" t="str">
        <f>IFERROR(
IF(AND(OR(Planilla!B77="C",Planilla!B77="c"), VLOOKUP(E77,EX:FJ,13,0)="C"), "OK",IF(AND(OR(Planilla!B77="C",Planilla!B77="c"), OR(VLOOKUP(E77,EX:FJ,13,0)="B", VLOOKUP(E77,EX:FJ,13,0)="A")), "DEFICIT",IF(
AND(OR(Planilla!B77="B", Planilla!B77="BPAL"), VLOOKUP(E77,EX:FJ,13,0)="B"), "OK",IF(AND(OR(Planilla!B77="B", Planilla!B77="BPAL"), VLOOKUP(E77,EX:FJ,13,0)="A"), "DEFICIT",IF(AND(OR(Planilla!B77="B", Planilla!B77="BPAL"), VLOOKUP(E77,EX:FJ,13,0)="C"), "SOBREOFERTA",IF(AND(Planilla!B77="A", VLOOKUP(E77,EX:FJ,13,0)="A"), "OK",IF(
AND(Planilla!B77="A", OR(VLOOKUP(E77,EX:FJ,13,0)="B", VLOOKUP(E77,EX:FJ,13,0)="C")), "SOBREOFERTA",""
))))))),"")</f>
        <v/>
      </c>
      <c r="E77" s="12"/>
      <c r="F77" s="13"/>
      <c r="G77" s="14"/>
      <c r="H77" s="81" t="str">
        <f t="shared" si="17"/>
        <v/>
      </c>
      <c r="I77" s="7"/>
      <c r="J77" s="6" t="e">
        <f t="shared" si="18"/>
        <v>#N/A</v>
      </c>
      <c r="K77" s="6" t="str">
        <f>IF(A78&lt;&gt;A77,AVERAGEIF(A$9:A77,A77,J$9:J77),"")</f>
        <v/>
      </c>
      <c r="L77" s="7" t="str">
        <f>IFERROR(IF(A78&lt;&gt;A77,AVERAGEIF(A$9:A77,A77,S$9:S77),""),"")</f>
        <v/>
      </c>
      <c r="M77" s="7" t="str">
        <f>IFERROR(IF(A78&lt;&gt;A77,AVERAGEIF(A$9:A77,A77,T$9:T77),""),"")</f>
        <v/>
      </c>
      <c r="N77" s="7" t="str" cm="1">
        <f t="array" ref="N77">IFERROR(IF(A78&lt;&gt;A77,_xlfn.STDEV.P(IF(A$9:A77=A77,T$9:T77)),""),"")</f>
        <v/>
      </c>
      <c r="O77" s="7" t="str" cm="1">
        <f t="array" ref="O77">IFERROR(IF(A78&lt;&gt;A77,_xlfn.STDEV.P(IF(A$9:A77=A77,S$9:S77)),""),"")</f>
        <v/>
      </c>
      <c r="P77" s="8" t="str">
        <f t="shared" si="19"/>
        <v/>
      </c>
      <c r="Q77" s="8" t="str">
        <f t="shared" si="20"/>
        <v/>
      </c>
      <c r="R77" s="8" t="str">
        <f t="shared" si="21"/>
        <v/>
      </c>
      <c r="S77" s="9" t="str">
        <f t="shared" si="22"/>
        <v/>
      </c>
      <c r="T77" s="9" t="str">
        <f t="shared" si="23"/>
        <v/>
      </c>
      <c r="U77" s="14">
        <v>0.54305555555555551</v>
      </c>
      <c r="V77" s="15"/>
      <c r="W77" s="14" t="str">
        <f t="shared" si="38"/>
        <v/>
      </c>
      <c r="X77" s="15"/>
      <c r="Y77" s="2"/>
      <c r="AB77" s="22">
        <f t="shared" si="24"/>
        <v>1</v>
      </c>
      <c r="AC77" s="11"/>
      <c r="AD77" s="11"/>
      <c r="AE77" s="13"/>
      <c r="AF77" s="12"/>
      <c r="AG77" s="13"/>
      <c r="AH77" s="14"/>
      <c r="AI77" s="81" t="str">
        <f t="shared" si="25"/>
        <v/>
      </c>
      <c r="AJ77" s="15"/>
      <c r="AK77" s="6" t="e">
        <f t="shared" si="26"/>
        <v>#N/A</v>
      </c>
      <c r="AL77" s="6" t="str">
        <f>IF(AB78&lt;&gt;AB77,AVERAGEIF(AB$9:AB77,AB77,AK$9:AK77),"")</f>
        <v/>
      </c>
      <c r="AM77" s="7" t="str">
        <f>IFERROR(IF(AB78&lt;&gt;AB77,AVERAGEIF(AB$9:AB77,AB77,AT$9:AT77),""),"")</f>
        <v/>
      </c>
      <c r="AN77" s="7" t="str">
        <f>IFERROR(IF(AB78&lt;&gt;AB77,AVERAGEIF(AB$9:AB77,AB77,AU$9:AU77),""),"")</f>
        <v/>
      </c>
      <c r="AO77" s="7" t="str" cm="1">
        <f t="array" ref="AO77">IFERROR(IF(AB78&lt;&gt;AB77,_xlfn.STDEV.P(IF(AB$9:AB77=AB77,AU$9:AU77)),""),"")</f>
        <v/>
      </c>
      <c r="AP77" s="7" t="str" cm="1">
        <f t="array" ref="AP77">IFERROR(IF(AB78&lt;&gt;AB77,_xlfn.STDEV.P(IF(AB$9:AB77=AB77,AT$9:AT77)),""),"")</f>
        <v/>
      </c>
      <c r="AQ77" s="8" t="str">
        <f t="shared" si="27"/>
        <v/>
      </c>
      <c r="AR77" s="8" t="str">
        <f t="shared" si="28"/>
        <v/>
      </c>
      <c r="AS77" s="8" t="str">
        <f t="shared" si="29"/>
        <v/>
      </c>
      <c r="AT77" s="9" t="str">
        <f t="shared" si="30"/>
        <v/>
      </c>
      <c r="AU77" s="9" t="str">
        <f t="shared" si="31"/>
        <v/>
      </c>
      <c r="AV77" s="14"/>
      <c r="AW77" s="15"/>
      <c r="AX77" s="14" t="str">
        <f t="shared" si="32"/>
        <v/>
      </c>
      <c r="AY77" s="15"/>
      <c r="AZ77" s="23"/>
      <c r="EW77" t="s">
        <v>46</v>
      </c>
      <c r="EX77" s="33">
        <v>1074</v>
      </c>
      <c r="EY77" s="33" t="s">
        <v>254</v>
      </c>
      <c r="EZ77" s="33" t="s">
        <v>255</v>
      </c>
      <c r="FA77" s="33" t="s">
        <v>51</v>
      </c>
      <c r="FB77" s="33" t="s">
        <v>52</v>
      </c>
      <c r="FC77" s="33" t="s">
        <v>53</v>
      </c>
      <c r="FD77" s="33" t="s">
        <v>54</v>
      </c>
      <c r="FE77" s="33">
        <v>2019</v>
      </c>
      <c r="FF77" s="33" t="s">
        <v>55</v>
      </c>
      <c r="FG77" s="33" t="s">
        <v>56</v>
      </c>
      <c r="FH77" s="33" t="s">
        <v>57</v>
      </c>
      <c r="FI77" s="33" t="s">
        <v>58</v>
      </c>
      <c r="FJ77" t="s">
        <v>59</v>
      </c>
      <c r="FM77" s="32" t="s">
        <v>245</v>
      </c>
      <c r="FN77" t="s">
        <v>246</v>
      </c>
      <c r="FO77" t="s">
        <v>247</v>
      </c>
      <c r="FP77" t="str">
        <f t="shared" si="42"/>
        <v>B</v>
      </c>
      <c r="FT77" s="69">
        <v>102</v>
      </c>
      <c r="FU77">
        <v>29.84</v>
      </c>
      <c r="FV77">
        <v>0</v>
      </c>
      <c r="FW77">
        <v>0</v>
      </c>
      <c r="FX77">
        <v>0</v>
      </c>
      <c r="FY77">
        <v>0</v>
      </c>
      <c r="FZ77">
        <v>10.82</v>
      </c>
      <c r="GA77">
        <v>18.375</v>
      </c>
      <c r="GB77">
        <v>16.774999999999999</v>
      </c>
      <c r="GC77">
        <v>18.409999999999997</v>
      </c>
      <c r="GD77">
        <v>19.555</v>
      </c>
      <c r="GE77">
        <v>19.674999999999997</v>
      </c>
      <c r="GF77">
        <v>18.91</v>
      </c>
      <c r="GG77">
        <v>17.865000000000002</v>
      </c>
      <c r="GH77">
        <v>17.695</v>
      </c>
      <c r="GI77">
        <v>17.420000000000002</v>
      </c>
      <c r="GJ77">
        <v>16.344999999999999</v>
      </c>
      <c r="GK77">
        <v>15.129999999999999</v>
      </c>
      <c r="GL77">
        <v>13.565000000000001</v>
      </c>
      <c r="GM77">
        <v>14.39</v>
      </c>
      <c r="GN77">
        <v>17.21</v>
      </c>
      <c r="GO77">
        <v>19.655000000000001</v>
      </c>
      <c r="GP77">
        <v>22.11</v>
      </c>
      <c r="GQ77">
        <v>24.725000000000001</v>
      </c>
      <c r="GR77">
        <v>27.314999999999998</v>
      </c>
      <c r="GU77" s="53">
        <v>74</v>
      </c>
      <c r="GV77" s="53">
        <v>71</v>
      </c>
    </row>
    <row r="78" spans="1:204" ht="15.5" x14ac:dyDescent="0.35">
      <c r="A78" s="95">
        <f t="shared" ref="A78:A141" si="43">HOUR(G78)+1</f>
        <v>1</v>
      </c>
      <c r="B78" s="11"/>
      <c r="C78" s="11"/>
      <c r="D78" s="92" t="str">
        <f>IFERROR(
IF(AND(OR(Planilla!B78="C",Planilla!B78="c"), VLOOKUP(E78,EX:FJ,13,0)="C"), "OK",IF(AND(OR(Planilla!B78="C",Planilla!B78="c"), OR(VLOOKUP(E78,EX:FJ,13,0)="B", VLOOKUP(E78,EX:FJ,13,0)="A")), "DEFICIT",IF(
AND(OR(Planilla!B78="B", Planilla!B78="BPAL"), VLOOKUP(E78,EX:FJ,13,0)="B"), "OK",IF(AND(OR(Planilla!B78="B", Planilla!B78="BPAL"), VLOOKUP(E78,EX:FJ,13,0)="A"), "DEFICIT",IF(AND(OR(Planilla!B78="B", Planilla!B78="BPAL"), VLOOKUP(E78,EX:FJ,13,0)="C"), "SOBREOFERTA",IF(AND(Planilla!B78="A", VLOOKUP(E78,EX:FJ,13,0)="A"), "OK",IF(
AND(Planilla!B78="A", OR(VLOOKUP(E78,EX:FJ,13,0)="B", VLOOKUP(E78,EX:FJ,13,0)="C")), "SOBREOFERTA",""
))))))),"")</f>
        <v/>
      </c>
      <c r="E78" s="12"/>
      <c r="F78" s="13"/>
      <c r="G78" s="14"/>
      <c r="H78" s="81" t="str">
        <f t="shared" ref="H78:H141" si="44">IF(I78="","",IF(AND((I78-G78)&gt;=TIME(0,0,0),(I78-G78)&lt;TIME(0,3,0)),"OK",IF(AND((I78-G78)&gt;=TIME(0,3,0),(I78-G78)&lt;TIME(0,5,0)),"RETRASO DE 3-5 MIN",IF(AND((I78-G78)&gt;=TIME(0,5,0),(I78-G78)&lt;TIME(0,10,0)),"RETRASO DE 5-10 MIN",IF((I78-G78)&gt;=TIME(0,10,0),"RETRASO &gt;10 MIN",         IF(AND((G78-I78)&gt;=TIME(0,0,0),(G78-I78)&lt;TIME(0,3,0)),"OK",IF((G78-I78)&gt;=TIME(0,3,0),"ADELANTADO")))))))</f>
        <v/>
      </c>
      <c r="I78" s="7"/>
      <c r="J78" s="6" t="e">
        <f t="shared" ref="J78:J141" si="45">IF(A78&lt;&gt;"",HLOOKUP(VALUE(TEXT(G78,"h:mm:ss")),IF($C$6="Laboral",$FT$4:$GR$227,IF($C$6="Sábado",$FT$231:$GR$452,$FT$456:$GR$656)),VLOOKUP($C$4,$GZ$2:$HB$99,3,0)+IF(C$5="Ida",0,1),1),"")</f>
        <v>#N/A</v>
      </c>
      <c r="K78" s="6" t="str">
        <f>IF(A79&lt;&gt;A78,AVERAGEIF(A$9:A78,A78,J$9:J78),"")</f>
        <v/>
      </c>
      <c r="L78" s="7" t="str">
        <f>IFERROR(IF(A79&lt;&gt;A78,AVERAGEIF(A$9:A78,A78,S$9:S78),""),"")</f>
        <v/>
      </c>
      <c r="M78" s="7" t="str">
        <f>IFERROR(IF(A79&lt;&gt;A78,AVERAGEIF(A$9:A78,A78,T$9:T78),""),"")</f>
        <v/>
      </c>
      <c r="N78" s="7" t="str" cm="1">
        <f t="array" ref="N78">IFERROR(IF(A79&lt;&gt;A78,_xlfn.STDEV.P(IF(A$9:A78=A78,T$9:T78)),""),"")</f>
        <v/>
      </c>
      <c r="O78" s="7" t="str" cm="1">
        <f t="array" ref="O78">IFERROR(IF(A79&lt;&gt;A78,_xlfn.STDEV.P(IF(A$9:A78=A78,S$9:S78)),""),"")</f>
        <v/>
      </c>
      <c r="P78" s="8" t="str">
        <f t="shared" ref="P78:P141" si="46">IFERROR(IF(A78&lt;&gt;A79,MAX((((M78*24*60)/2)*(1+POWER((((N78*24*60) / (M78*24*60) )),2))) + ((M78*24*60 )*-0.1 + (K78*0.015)) +1,(((M78*24*60)/2)*(1+POWER((((N78*24*60) / (M78*24*60 ))),2)))),""),"")</f>
        <v/>
      </c>
      <c r="Q78" s="8" t="str">
        <f t="shared" ref="Q78:Q141" si="47">IF(AND(O78&lt;&gt;"",L78&lt;&gt;""),IF(A78&lt;&gt;A79,((L78*24*60) / 2 ) * (1 + POWER(((O78*24*60) / (L78*24*60)),2)),""),"")</f>
        <v/>
      </c>
      <c r="R78" s="8" t="str">
        <f t="shared" ref="R78:R141" si="48">IF(Q78&lt;&gt;"",MAX(P78,Q78),"")</f>
        <v/>
      </c>
      <c r="S78" s="9" t="str">
        <f t="shared" ref="S78:S141" si="49">IF(I78&lt;&gt;"H. Sale Real",IF(AND(I79&lt;&gt;"",LEFT(C79,2)&lt;&gt;"NC"),IF(AND(I78&lt;&gt;"",LEFT(C78,2)&lt;&gt;"NC",I78&lt;&gt;"H. Sale Real"),IF(I79-I78&lt;0.208333333333333,I79-I78,""),IF(AND(I77&lt;&gt;"",LEFT(C77,2)&lt;&gt;"NC",I77&lt;&gt;"H. Sale Real"),IF(I79-I77&lt;0.208333333333333,I79-I77,""),IF(AND(I76&lt;&gt;"",LEFT(C76,2)&lt;&gt;"NC",I76&lt;&gt;"H. Sale Real"),IF(I79-I76&lt;0.208333333333333,I79-I76,""),IF(AND(I75&lt;&gt;"",LEFT(C75,2)&lt;&gt;"NC",I75&lt;&gt;"H. Sale Real"),IF(I79-I75&lt;0.208333333333333,I79-I75,""),IF(AND(I74&lt;&gt;"",LEFT(C74,2)&lt;&gt;"NC",I74&lt;&gt;"H. Sale Real"),IF(I79-I74&lt;0.208333333333333,I79-I74,""),""))))),""),"")</f>
        <v/>
      </c>
      <c r="T78" s="9" t="str">
        <f t="shared" ref="T78:T141" si="50">IF(G78&lt;&gt;"H. Sale Real",IF(AND(G79&lt;&gt;"",LEFT(C79,2)&lt;&gt;"NC"),IF(AND(G78&lt;&gt;"",LEFT(C78,2)&lt;&gt;"NC",G78&lt;&gt;"H. Sale Real"),IF(G79-G78&lt;0.208333333333333,G79-G78,""),IF(AND(G77&lt;&gt;"",LEFT(C77,2)&lt;&gt;"NC",G77&lt;&gt;"H. Sale Real"),IF(G79-G77&lt;0.208333333333333,G79-G77,""),IF(AND(G76&lt;&gt;"",LEFT(C76,2)&lt;&gt;"NC",G76&lt;&gt;"H. Sale Real"),IF(G79-G76&lt;0.208333333333333,G79-G76,""),IF(AND(G75&lt;&gt;"",LEFT(C75,2)&lt;&gt;"NC",G75&lt;&gt;"H. Sale Real"),IF(G79-G75&lt;0.208333333333333,G79-G75,""),IF(AND(G74&lt;&gt;"",LEFT(C74,2)&lt;&gt;"NC",G74&lt;&gt;"H. Sale Real"),IF(G79-G74&lt;0.208333333333333,G79-G74,""),""))))),""),"")</f>
        <v/>
      </c>
      <c r="U78" s="14">
        <v>0.55138888888888893</v>
      </c>
      <c r="V78" s="15"/>
      <c r="W78" s="14" t="str">
        <f t="shared" ref="W78:W141" si="51">IF(G78&lt;&gt;"",IF(AND(W77&lt;&gt;"IE",P78&lt;&gt;0,R78&lt;&gt;""),IF(IFERROR((P78/R78),0) &lt;=1,IFERROR(P78/R78,""),1),""),"")</f>
        <v/>
      </c>
      <c r="X78" s="15"/>
      <c r="Y78" s="2"/>
      <c r="AB78" s="22">
        <f t="shared" ref="AB78:AB141" si="52">HOUR(AH78)+1</f>
        <v>1</v>
      </c>
      <c r="AC78" s="11"/>
      <c r="AD78" s="11"/>
      <c r="AE78" s="13"/>
      <c r="AF78" s="12"/>
      <c r="AG78" s="13"/>
      <c r="AH78" s="14"/>
      <c r="AI78" s="81" t="str">
        <f t="shared" ref="AI78:AI141" si="53">IF(AJ78="","",IF(AND((AJ78-AH78)&gt;=TIME(0,0,0),(AJ78-AH78)&lt;TIME(0,3,0)),"OK",IF(AND((AJ78-AH78)&gt;=TIME(0,3,0),(AJ78-AH78)&lt;TIME(0,5,0)),"RETRASO DE 3-5 MIN",IF(AND((AJ78-AH78)&gt;=TIME(0,5,0),(AJ78-AH78)&lt;TIME(0,10,0)),"RETRASO DE 5-10 MIN",IF((AJ78-AH78)&gt;=TIME(0,10,0),"RETRASO &gt;10 MIN",         IF(AND((AH78-AJ78)&gt;=TIME(0,0,0),(AH78-AJ78)&lt;TIME(0,3,0)),"OK",IF((AH78-AJ78)&gt;=TIME(0,3,0),"ADELANTADO")))))))</f>
        <v/>
      </c>
      <c r="AJ78" s="15"/>
      <c r="AK78" s="6" t="e">
        <f t="shared" ref="AK78:AK141" si="54">IF(AB78&lt;&gt;"",HLOOKUP(VALUE(TEXT(AH78,"h:mm:ss")),IF($C$6="Laboral",$FT$4:$GR$227,IF($C$6="Sábado",$FT$231:$GR$452,$FT$456:$GR$656)),VLOOKUP($C$4,$GZ$2:$HB$99,3,0)+IF(AD$5="Ida",0,1),1),"")</f>
        <v>#N/A</v>
      </c>
      <c r="AL78" s="6" t="str">
        <f>IF(AB79&lt;&gt;AB78,AVERAGEIF(AB$9:AB78,AB78,AK$9:AK78),"")</f>
        <v/>
      </c>
      <c r="AM78" s="7" t="str">
        <f>IFERROR(IF(AB79&lt;&gt;AB78,AVERAGEIF(AB$9:AB78,AB78,AT$9:AT78),""),"")</f>
        <v/>
      </c>
      <c r="AN78" s="7" t="str">
        <f>IFERROR(IF(AB79&lt;&gt;AB78,AVERAGEIF(AB$9:AB78,AB78,AU$9:AU78),""),"")</f>
        <v/>
      </c>
      <c r="AO78" s="7" t="str" cm="1">
        <f t="array" ref="AO78">IFERROR(IF(AB79&lt;&gt;AB78,_xlfn.STDEV.P(IF(AB$9:AB78=AB78,AU$9:AU78)),""),"")</f>
        <v/>
      </c>
      <c r="AP78" s="7" t="str" cm="1">
        <f t="array" ref="AP78">IFERROR(IF(AB79&lt;&gt;AB78,_xlfn.STDEV.P(IF(AB$9:AB78=AB78,AT$9:AT78)),""),"")</f>
        <v/>
      </c>
      <c r="AQ78" s="8" t="str">
        <f t="shared" ref="AQ78:AQ141" si="55">IFERROR(IF(AB78&lt;&gt;AB79,MAX((((AN78*24*60)/2)*(1+POWER((((AO78*24*60) / (AN78*24*60) )),2))) + ((AN78*24*60 )*-0.1 + (AL78*0.015)) +1,(((AN78*24*60)/2)*(1+POWER((((AO78*24*60) / (AN78*24*60 ))),2)))),""),"")</f>
        <v/>
      </c>
      <c r="AR78" s="8" t="str">
        <f t="shared" ref="AR78:AR141" si="56">IF(AND(AP78&lt;&gt;"",AM78&lt;&gt;""),IF(AB78&lt;&gt;AB79,((AM78*24*60) / 2 ) * (1 + POWER(((AP78*24*60) / (AM78*24*60)),2)),""),"")</f>
        <v/>
      </c>
      <c r="AS78" s="8" t="str">
        <f t="shared" ref="AS78:AS141" si="57">IF(AR78&lt;&gt;"",MAX(AQ78,AR78),"")</f>
        <v/>
      </c>
      <c r="AT78" s="9" t="str">
        <f t="shared" ref="AT78:AT141" si="58">IF(AJ78&lt;&gt;"H. Sale Real",IF(AND(AJ79&lt;&gt;"",LEFT(AD79,2)&lt;&gt;"NC"),IF(AND(AJ78&lt;&gt;"",LEFT(AD78,2)&lt;&gt;"NC",AJ78&lt;&gt;"H. Sale Real"),IF(AJ79-AJ78&lt;0.208333333333333,AJ79-AJ78,""),IF(AND(AJ77&lt;&gt;"",LEFT(AD77,2)&lt;&gt;"NC",AJ77&lt;&gt;"H. Sale Real"),IF(AJ79-AJ77&lt;0.208333333333333,AJ79-AJ77,""),IF(AND(AJ76&lt;&gt;"",LEFT(AD76,2)&lt;&gt;"NC",AJ76&lt;&gt;"H. Sale Real"),IF(AJ79-AJ76&lt;0.208333333333333,AJ79-AJ76,""),IF(AND(AJ75&lt;&gt;"",LEFT(AD75,2)&lt;&gt;"NC",AJ75&lt;&gt;"H. Sale Real"),IF(AJ79-AJ75&lt;0.208333333333333,AJ79-AJ75,""),IF(AND(AJ74&lt;&gt;"",LEFT(AD74,2)&lt;&gt;"NC",AJ74&lt;&gt;"H. Sale Real"),IF(AJ79-AJ74&lt;0.208333333333333,AJ79-AJ74,""),""))))),""),"")</f>
        <v/>
      </c>
      <c r="AU78" s="9" t="str">
        <f t="shared" ref="AU78:AU141" si="59">IF(AH78&lt;&gt;"H. Sale Real",IF(AND(AH79&lt;&gt;"",LEFT(AD79,2)&lt;&gt;"NC"),IF(AND(AH78&lt;&gt;"",LEFT(AD78,2)&lt;&gt;"NC",AH78&lt;&gt;"H. Sale Real"),IF(AH79-AH78&lt;0.208333333333333,AH79-AH78,""),IF(AND(AH77&lt;&gt;"",LEFT(AD77,2)&lt;&gt;"NC",AH77&lt;&gt;"H. Sale Real"),IF(AH79-AH77&lt;0.208333333333333,AH79-AH77,""),IF(AND(AH76&lt;&gt;"",LEFT(AD76,2)&lt;&gt;"NC",AH76&lt;&gt;"H. Sale Real"),IF(AH79-AH76&lt;0.208333333333333,AH79-AH76,""),IF(AND(AH75&lt;&gt;"",LEFT(AD75,2)&lt;&gt;"NC",AH75&lt;&gt;"H. Sale Real"),IF(AH79-AH75&lt;0.208333333333333,AH79-AH75,""),IF(AND(AH74&lt;&gt;"",LEFT(AD74,2)&lt;&gt;"NC",AH74&lt;&gt;"H. Sale Real"),IF(AH79-AH74&lt;0.208333333333333,AH79-AH74,""),""))))),""),"")</f>
        <v/>
      </c>
      <c r="AV78" s="14"/>
      <c r="AW78" s="15"/>
      <c r="AX78" s="14" t="str">
        <f t="shared" ref="AX78:AX141" si="60">IF(AH78&lt;&gt;"",IF(AND(AX77&lt;&gt;"IE",AQ78&lt;&gt;0,AS78&lt;&gt;""),IF(IFERROR((AQ78/AS78),0) &lt;=1,IFERROR(AQ78/AS78,""),1),""),"")</f>
        <v/>
      </c>
      <c r="AY78" s="15"/>
      <c r="AZ78" s="23"/>
      <c r="EW78" t="s">
        <v>46</v>
      </c>
      <c r="EX78" s="33">
        <v>1075</v>
      </c>
      <c r="EY78" s="33" t="s">
        <v>256</v>
      </c>
      <c r="EZ78" s="33" t="s">
        <v>257</v>
      </c>
      <c r="FA78" s="33" t="s">
        <v>51</v>
      </c>
      <c r="FB78" s="33" t="s">
        <v>52</v>
      </c>
      <c r="FC78" s="33" t="s">
        <v>53</v>
      </c>
      <c r="FD78" s="33" t="s">
        <v>54</v>
      </c>
      <c r="FE78" s="33">
        <v>2019</v>
      </c>
      <c r="FF78" s="33" t="s">
        <v>55</v>
      </c>
      <c r="FG78" s="33" t="s">
        <v>56</v>
      </c>
      <c r="FH78" s="33" t="s">
        <v>57</v>
      </c>
      <c r="FI78" s="33" t="s">
        <v>58</v>
      </c>
      <c r="FJ78" t="s">
        <v>59</v>
      </c>
      <c r="FM78" s="32" t="s">
        <v>258</v>
      </c>
      <c r="FN78" t="s">
        <v>259</v>
      </c>
      <c r="FO78" t="s">
        <v>260</v>
      </c>
      <c r="FP78" t="str">
        <f t="shared" si="42"/>
        <v>B</v>
      </c>
      <c r="FT78" s="69">
        <v>102</v>
      </c>
      <c r="FU78">
        <v>32.015000000000001</v>
      </c>
      <c r="FV78">
        <v>0</v>
      </c>
      <c r="FW78">
        <v>0</v>
      </c>
      <c r="FX78">
        <v>0</v>
      </c>
      <c r="FY78">
        <v>0</v>
      </c>
      <c r="FZ78">
        <v>10.215</v>
      </c>
      <c r="GA78">
        <v>17.16</v>
      </c>
      <c r="GB78">
        <v>15.23</v>
      </c>
      <c r="GC78">
        <v>18.229999999999997</v>
      </c>
      <c r="GD78">
        <v>20.21</v>
      </c>
      <c r="GE78">
        <v>20.564999999999998</v>
      </c>
      <c r="GF78">
        <v>19.91</v>
      </c>
      <c r="GG78">
        <v>19.164999999999999</v>
      </c>
      <c r="GH78">
        <v>19.07</v>
      </c>
      <c r="GI78">
        <v>18.594999999999999</v>
      </c>
      <c r="GJ78">
        <v>17.740000000000002</v>
      </c>
      <c r="GK78">
        <v>16.335000000000001</v>
      </c>
      <c r="GL78">
        <v>15.675000000000001</v>
      </c>
      <c r="GM78">
        <v>17.195</v>
      </c>
      <c r="GN78">
        <v>19.66</v>
      </c>
      <c r="GO78">
        <v>21.52</v>
      </c>
      <c r="GP78">
        <v>23.585000000000001</v>
      </c>
      <c r="GQ78">
        <v>26.17</v>
      </c>
      <c r="GR78">
        <v>28.96</v>
      </c>
      <c r="GU78" s="53">
        <v>75</v>
      </c>
      <c r="GV78" s="53">
        <v>72</v>
      </c>
    </row>
    <row r="79" spans="1:204" ht="15.5" x14ac:dyDescent="0.35">
      <c r="A79" s="95">
        <f t="shared" si="43"/>
        <v>1</v>
      </c>
      <c r="B79" s="11"/>
      <c r="C79" s="11"/>
      <c r="D79" s="92" t="str">
        <f>IFERROR(
IF(AND(OR(Planilla!B79="C",Planilla!B79="c"), VLOOKUP(E79,EX:FJ,13,0)="C"), "OK",IF(AND(OR(Planilla!B79="C",Planilla!B79="c"), OR(VLOOKUP(E79,EX:FJ,13,0)="B", VLOOKUP(E79,EX:FJ,13,0)="A")), "DEFICIT",IF(
AND(OR(Planilla!B79="B", Planilla!B79="BPAL"), VLOOKUP(E79,EX:FJ,13,0)="B"), "OK",IF(AND(OR(Planilla!B79="B", Planilla!B79="BPAL"), VLOOKUP(E79,EX:FJ,13,0)="A"), "DEFICIT",IF(AND(OR(Planilla!B79="B", Planilla!B79="BPAL"), VLOOKUP(E79,EX:FJ,13,0)="C"), "SOBREOFERTA",IF(AND(Planilla!B79="A", VLOOKUP(E79,EX:FJ,13,0)="A"), "OK",IF(
AND(Planilla!B79="A", OR(VLOOKUP(E79,EX:FJ,13,0)="B", VLOOKUP(E79,EX:FJ,13,0)="C")), "SOBREOFERTA",""
))))))),"")</f>
        <v/>
      </c>
      <c r="E79" s="12"/>
      <c r="F79" s="13"/>
      <c r="G79" s="14"/>
      <c r="H79" s="81" t="str">
        <f t="shared" si="44"/>
        <v/>
      </c>
      <c r="I79" s="7"/>
      <c r="J79" s="6" t="e">
        <f t="shared" si="45"/>
        <v>#N/A</v>
      </c>
      <c r="K79" s="6" t="str">
        <f>IF(A80&lt;&gt;A79,AVERAGEIF(A$9:A79,A79,J$9:J79),"")</f>
        <v/>
      </c>
      <c r="L79" s="7" t="str">
        <f>IFERROR(IF(A80&lt;&gt;A79,AVERAGEIF(A$9:A79,A79,S$9:S79),""),"")</f>
        <v/>
      </c>
      <c r="M79" s="7" t="str">
        <f>IFERROR(IF(A80&lt;&gt;A79,AVERAGEIF(A$9:A79,A79,T$9:T79),""),"")</f>
        <v/>
      </c>
      <c r="N79" s="7" t="str" cm="1">
        <f t="array" ref="N79">IFERROR(IF(A80&lt;&gt;A79,_xlfn.STDEV.P(IF(A$9:A79=A79,T$9:T79)),""),"")</f>
        <v/>
      </c>
      <c r="O79" s="7" t="str" cm="1">
        <f t="array" ref="O79">IFERROR(IF(A80&lt;&gt;A79,_xlfn.STDEV.P(IF(A$9:A79=A79,S$9:S79)),""),"")</f>
        <v/>
      </c>
      <c r="P79" s="8" t="str">
        <f t="shared" si="46"/>
        <v/>
      </c>
      <c r="Q79" s="8" t="str">
        <f t="shared" si="47"/>
        <v/>
      </c>
      <c r="R79" s="8" t="str">
        <f t="shared" si="48"/>
        <v/>
      </c>
      <c r="S79" s="9" t="str">
        <f t="shared" si="49"/>
        <v/>
      </c>
      <c r="T79" s="9" t="str">
        <f t="shared" si="50"/>
        <v/>
      </c>
      <c r="U79" s="14">
        <v>0.55833333333333335</v>
      </c>
      <c r="V79" s="15"/>
      <c r="W79" s="14" t="str">
        <f t="shared" si="51"/>
        <v/>
      </c>
      <c r="X79" s="15"/>
      <c r="Y79" s="2"/>
      <c r="AB79" s="22">
        <f t="shared" si="52"/>
        <v>1</v>
      </c>
      <c r="AC79" s="11"/>
      <c r="AD79" s="11"/>
      <c r="AE79" s="13"/>
      <c r="AF79" s="12"/>
      <c r="AG79" s="13"/>
      <c r="AH79" s="14"/>
      <c r="AI79" s="81" t="str">
        <f t="shared" si="53"/>
        <v/>
      </c>
      <c r="AJ79" s="15"/>
      <c r="AK79" s="6" t="e">
        <f t="shared" si="54"/>
        <v>#N/A</v>
      </c>
      <c r="AL79" s="6" t="str">
        <f>IF(AB80&lt;&gt;AB79,AVERAGEIF(AB$9:AB79,AB79,AK$9:AK79),"")</f>
        <v/>
      </c>
      <c r="AM79" s="7" t="str">
        <f>IFERROR(IF(AB80&lt;&gt;AB79,AVERAGEIF(AB$9:AB79,AB79,AT$9:AT79),""),"")</f>
        <v/>
      </c>
      <c r="AN79" s="7" t="str">
        <f>IFERROR(IF(AB80&lt;&gt;AB79,AVERAGEIF(AB$9:AB79,AB79,AU$9:AU79),""),"")</f>
        <v/>
      </c>
      <c r="AO79" s="7" t="str" cm="1">
        <f t="array" ref="AO79">IFERROR(IF(AB80&lt;&gt;AB79,_xlfn.STDEV.P(IF(AB$9:AB79=AB79,AU$9:AU79)),""),"")</f>
        <v/>
      </c>
      <c r="AP79" s="7" t="str" cm="1">
        <f t="array" ref="AP79">IFERROR(IF(AB80&lt;&gt;AB79,_xlfn.STDEV.P(IF(AB$9:AB79=AB79,AT$9:AT79)),""),"")</f>
        <v/>
      </c>
      <c r="AQ79" s="8" t="str">
        <f t="shared" si="55"/>
        <v/>
      </c>
      <c r="AR79" s="8" t="str">
        <f t="shared" si="56"/>
        <v/>
      </c>
      <c r="AS79" s="8" t="str">
        <f t="shared" si="57"/>
        <v/>
      </c>
      <c r="AT79" s="9" t="str">
        <f t="shared" si="58"/>
        <v/>
      </c>
      <c r="AU79" s="9" t="str">
        <f t="shared" si="59"/>
        <v/>
      </c>
      <c r="AV79" s="14"/>
      <c r="AW79" s="15"/>
      <c r="AX79" s="14" t="str">
        <f t="shared" si="60"/>
        <v/>
      </c>
      <c r="AY79" s="15"/>
      <c r="AZ79" s="23"/>
      <c r="EW79" t="s">
        <v>46</v>
      </c>
      <c r="EX79" s="33">
        <v>1076</v>
      </c>
      <c r="EY79" s="33" t="s">
        <v>261</v>
      </c>
      <c r="EZ79" s="33" t="s">
        <v>262</v>
      </c>
      <c r="FA79" s="33" t="s">
        <v>51</v>
      </c>
      <c r="FB79" s="33" t="s">
        <v>52</v>
      </c>
      <c r="FC79" s="33" t="s">
        <v>53</v>
      </c>
      <c r="FD79" s="33" t="s">
        <v>54</v>
      </c>
      <c r="FE79" s="33">
        <v>2019</v>
      </c>
      <c r="FF79" s="33" t="s">
        <v>55</v>
      </c>
      <c r="FG79" s="33" t="s">
        <v>71</v>
      </c>
      <c r="FH79" s="33" t="s">
        <v>72</v>
      </c>
      <c r="FI79" s="33" t="s">
        <v>73</v>
      </c>
      <c r="FJ79" t="s">
        <v>59</v>
      </c>
      <c r="FM79" s="32" t="s">
        <v>258</v>
      </c>
      <c r="FN79" t="s">
        <v>259</v>
      </c>
      <c r="FO79" t="s">
        <v>260</v>
      </c>
      <c r="FP79" t="str">
        <f t="shared" si="42"/>
        <v>B</v>
      </c>
      <c r="FT79" s="69" t="s">
        <v>7428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12.31</v>
      </c>
      <c r="GA79">
        <v>22.21</v>
      </c>
      <c r="GB79">
        <v>19.7</v>
      </c>
      <c r="GC79">
        <v>20.47</v>
      </c>
      <c r="GD79">
        <v>21.085000000000001</v>
      </c>
      <c r="GE79">
        <v>21.064999999999998</v>
      </c>
      <c r="GF79">
        <v>20.655000000000001</v>
      </c>
      <c r="GG79">
        <v>20.58</v>
      </c>
      <c r="GH79">
        <v>20.674999999999997</v>
      </c>
      <c r="GI79">
        <v>20.09</v>
      </c>
      <c r="GJ79">
        <v>19.434999999999999</v>
      </c>
      <c r="GK79">
        <v>18.935000000000002</v>
      </c>
      <c r="GL79">
        <v>18.215</v>
      </c>
      <c r="GM79">
        <v>18.23</v>
      </c>
      <c r="GN79">
        <v>19.87</v>
      </c>
      <c r="GO79">
        <v>21.505000000000003</v>
      </c>
      <c r="GP79">
        <v>22.84</v>
      </c>
      <c r="GQ79">
        <v>24.17</v>
      </c>
      <c r="GR79">
        <v>26.03</v>
      </c>
      <c r="GU79" s="53">
        <v>76</v>
      </c>
      <c r="GV79" s="53">
        <v>73</v>
      </c>
    </row>
    <row r="80" spans="1:204" ht="15.5" x14ac:dyDescent="0.35">
      <c r="A80" s="95">
        <f t="shared" si="43"/>
        <v>1</v>
      </c>
      <c r="B80" s="11"/>
      <c r="C80" s="11"/>
      <c r="D80" s="92" t="str">
        <f>IFERROR(
IF(AND(OR(Planilla!B80="C",Planilla!B80="c"), VLOOKUP(E80,EX:FJ,13,0)="C"), "OK",IF(AND(OR(Planilla!B80="C",Planilla!B80="c"), OR(VLOOKUP(E80,EX:FJ,13,0)="B", VLOOKUP(E80,EX:FJ,13,0)="A")), "DEFICIT",IF(
AND(OR(Planilla!B80="B", Planilla!B80="BPAL"), VLOOKUP(E80,EX:FJ,13,0)="B"), "OK",IF(AND(OR(Planilla!B80="B", Planilla!B80="BPAL"), VLOOKUP(E80,EX:FJ,13,0)="A"), "DEFICIT",IF(AND(OR(Planilla!B80="B", Planilla!B80="BPAL"), VLOOKUP(E80,EX:FJ,13,0)="C"), "SOBREOFERTA",IF(AND(Planilla!B80="A", VLOOKUP(E80,EX:FJ,13,0)="A"), "OK",IF(
AND(Planilla!B80="A", OR(VLOOKUP(E80,EX:FJ,13,0)="B", VLOOKUP(E80,EX:FJ,13,0)="C")), "SOBREOFERTA",""
))))))),"")</f>
        <v/>
      </c>
      <c r="E80" s="12"/>
      <c r="F80" s="13"/>
      <c r="G80" s="14"/>
      <c r="H80" s="81" t="str">
        <f t="shared" si="44"/>
        <v/>
      </c>
      <c r="I80" s="7"/>
      <c r="J80" s="6" t="e">
        <f t="shared" si="45"/>
        <v>#N/A</v>
      </c>
      <c r="K80" s="6" t="str">
        <f>IF(A81&lt;&gt;A80,AVERAGEIF(A$9:A80,A80,J$9:J80),"")</f>
        <v/>
      </c>
      <c r="L80" s="7" t="str">
        <f>IFERROR(IF(A81&lt;&gt;A80,AVERAGEIF(A$9:A80,A80,S$9:S80),""),"")</f>
        <v/>
      </c>
      <c r="M80" s="7" t="str">
        <f>IFERROR(IF(A81&lt;&gt;A80,AVERAGEIF(A$9:A80,A80,T$9:T80),""),"")</f>
        <v/>
      </c>
      <c r="N80" s="7" t="str" cm="1">
        <f t="array" ref="N80">IFERROR(IF(A81&lt;&gt;A80,_xlfn.STDEV.P(IF(A$9:A80=A80,T$9:T80)),""),"")</f>
        <v/>
      </c>
      <c r="O80" s="7" t="str" cm="1">
        <f t="array" ref="O80">IFERROR(IF(A81&lt;&gt;A80,_xlfn.STDEV.P(IF(A$9:A80=A80,S$9:S80)),""),"")</f>
        <v/>
      </c>
      <c r="P80" s="8" t="str">
        <f t="shared" si="46"/>
        <v/>
      </c>
      <c r="Q80" s="8" t="str">
        <f t="shared" si="47"/>
        <v/>
      </c>
      <c r="R80" s="8" t="str">
        <f t="shared" si="48"/>
        <v/>
      </c>
      <c r="S80" s="9" t="str">
        <f t="shared" si="49"/>
        <v/>
      </c>
      <c r="T80" s="9" t="str">
        <f t="shared" si="50"/>
        <v/>
      </c>
      <c r="U80" s="14">
        <v>0.56527777777777777</v>
      </c>
      <c r="V80" s="15"/>
      <c r="W80" s="14" t="str">
        <f t="shared" si="51"/>
        <v/>
      </c>
      <c r="X80" s="15"/>
      <c r="Y80" s="2"/>
      <c r="AB80" s="22">
        <f t="shared" si="52"/>
        <v>1</v>
      </c>
      <c r="AC80" s="11"/>
      <c r="AD80" s="11"/>
      <c r="AE80" s="13"/>
      <c r="AF80" s="12"/>
      <c r="AG80" s="13"/>
      <c r="AH80" s="14"/>
      <c r="AI80" s="81" t="str">
        <f t="shared" si="53"/>
        <v/>
      </c>
      <c r="AJ80" s="15"/>
      <c r="AK80" s="6" t="e">
        <f t="shared" si="54"/>
        <v>#N/A</v>
      </c>
      <c r="AL80" s="6" t="str">
        <f>IF(AB81&lt;&gt;AB80,AVERAGEIF(AB$9:AB80,AB80,AK$9:AK80),"")</f>
        <v/>
      </c>
      <c r="AM80" s="7" t="str">
        <f>IFERROR(IF(AB81&lt;&gt;AB80,AVERAGEIF(AB$9:AB80,AB80,AT$9:AT80),""),"")</f>
        <v/>
      </c>
      <c r="AN80" s="7" t="str">
        <f>IFERROR(IF(AB81&lt;&gt;AB80,AVERAGEIF(AB$9:AB80,AB80,AU$9:AU80),""),"")</f>
        <v/>
      </c>
      <c r="AO80" s="7" t="str" cm="1">
        <f t="array" ref="AO80">IFERROR(IF(AB81&lt;&gt;AB80,_xlfn.STDEV.P(IF(AB$9:AB80=AB80,AU$9:AU80)),""),"")</f>
        <v/>
      </c>
      <c r="AP80" s="7" t="str" cm="1">
        <f t="array" ref="AP80">IFERROR(IF(AB81&lt;&gt;AB80,_xlfn.STDEV.P(IF(AB$9:AB80=AB80,AT$9:AT80)),""),"")</f>
        <v/>
      </c>
      <c r="AQ80" s="8" t="str">
        <f t="shared" si="55"/>
        <v/>
      </c>
      <c r="AR80" s="8" t="str">
        <f t="shared" si="56"/>
        <v/>
      </c>
      <c r="AS80" s="8" t="str">
        <f t="shared" si="57"/>
        <v/>
      </c>
      <c r="AT80" s="9" t="str">
        <f t="shared" si="58"/>
        <v/>
      </c>
      <c r="AU80" s="9" t="str">
        <f t="shared" si="59"/>
        <v/>
      </c>
      <c r="AV80" s="14"/>
      <c r="AW80" s="15"/>
      <c r="AX80" s="14" t="str">
        <f t="shared" si="60"/>
        <v/>
      </c>
      <c r="AY80" s="15"/>
      <c r="AZ80" s="23"/>
      <c r="EW80" t="s">
        <v>46</v>
      </c>
      <c r="EX80" s="33">
        <v>1077</v>
      </c>
      <c r="EY80" s="33" t="s">
        <v>263</v>
      </c>
      <c r="EZ80" s="33" t="s">
        <v>264</v>
      </c>
      <c r="FA80" s="33" t="s">
        <v>51</v>
      </c>
      <c r="FB80" s="33" t="s">
        <v>52</v>
      </c>
      <c r="FC80" s="33" t="s">
        <v>53</v>
      </c>
      <c r="FD80" s="33" t="s">
        <v>54</v>
      </c>
      <c r="FE80" s="33">
        <v>2019</v>
      </c>
      <c r="FF80" s="33" t="s">
        <v>55</v>
      </c>
      <c r="FG80" s="33" t="s">
        <v>56</v>
      </c>
      <c r="FH80" s="33" t="s">
        <v>57</v>
      </c>
      <c r="FI80" s="33" t="s">
        <v>58</v>
      </c>
      <c r="FJ80" t="s">
        <v>59</v>
      </c>
      <c r="FM80" s="32" t="s">
        <v>258</v>
      </c>
      <c r="FN80" t="s">
        <v>259</v>
      </c>
      <c r="FO80" t="s">
        <v>260</v>
      </c>
      <c r="FP80" t="str">
        <f t="shared" si="42"/>
        <v>B</v>
      </c>
      <c r="FT80" s="69" t="s">
        <v>7428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23.575000000000003</v>
      </c>
      <c r="GA80">
        <v>20.04</v>
      </c>
      <c r="GB80">
        <v>18.164999999999999</v>
      </c>
      <c r="GC80">
        <v>19.024999999999999</v>
      </c>
      <c r="GD80">
        <v>19.824999999999999</v>
      </c>
      <c r="GE80">
        <v>20.05</v>
      </c>
      <c r="GF80">
        <v>19.759999999999998</v>
      </c>
      <c r="GG80">
        <v>19.535</v>
      </c>
      <c r="GH80">
        <v>19.814999999999998</v>
      </c>
      <c r="GI80">
        <v>20.015000000000001</v>
      </c>
      <c r="GJ80">
        <v>19.630000000000003</v>
      </c>
      <c r="GK80">
        <v>18.704999999999998</v>
      </c>
      <c r="GL80">
        <v>17.564999999999998</v>
      </c>
      <c r="GM80">
        <v>18.234999999999999</v>
      </c>
      <c r="GN80">
        <v>19.905000000000001</v>
      </c>
      <c r="GO80">
        <v>21.765000000000001</v>
      </c>
      <c r="GP80">
        <v>24.005000000000003</v>
      </c>
      <c r="GQ80">
        <v>25.759999999999998</v>
      </c>
      <c r="GR80">
        <v>0</v>
      </c>
      <c r="GU80" s="53">
        <v>77</v>
      </c>
      <c r="GV80" s="53">
        <v>74</v>
      </c>
    </row>
    <row r="81" spans="1:204" ht="15.5" x14ac:dyDescent="0.35">
      <c r="A81" s="95">
        <f t="shared" si="43"/>
        <v>1</v>
      </c>
      <c r="B81" s="11"/>
      <c r="C81" s="11"/>
      <c r="D81" s="92" t="str">
        <f>IFERROR(
IF(AND(OR(Planilla!B81="C",Planilla!B81="c"), VLOOKUP(E81,EX:FJ,13,0)="C"), "OK",IF(AND(OR(Planilla!B81="C",Planilla!B81="c"), OR(VLOOKUP(E81,EX:FJ,13,0)="B", VLOOKUP(E81,EX:FJ,13,0)="A")), "DEFICIT",IF(
AND(OR(Planilla!B81="B", Planilla!B81="BPAL"), VLOOKUP(E81,EX:FJ,13,0)="B"), "OK",IF(AND(OR(Planilla!B81="B", Planilla!B81="BPAL"), VLOOKUP(E81,EX:FJ,13,0)="A"), "DEFICIT",IF(AND(OR(Planilla!B81="B", Planilla!B81="BPAL"), VLOOKUP(E81,EX:FJ,13,0)="C"), "SOBREOFERTA",IF(AND(Planilla!B81="A", VLOOKUP(E81,EX:FJ,13,0)="A"), "OK",IF(
AND(Planilla!B81="A", OR(VLOOKUP(E81,EX:FJ,13,0)="B", VLOOKUP(E81,EX:FJ,13,0)="C")), "SOBREOFERTA",""
))))))),"")</f>
        <v/>
      </c>
      <c r="E81" s="12"/>
      <c r="F81" s="13"/>
      <c r="G81" s="14"/>
      <c r="H81" s="81" t="str">
        <f t="shared" si="44"/>
        <v/>
      </c>
      <c r="I81" s="7"/>
      <c r="J81" s="6" t="e">
        <f t="shared" si="45"/>
        <v>#N/A</v>
      </c>
      <c r="K81" s="6" t="str">
        <f>IF(A82&lt;&gt;A81,AVERAGEIF(A$9:A81,A81,J$9:J81),"")</f>
        <v/>
      </c>
      <c r="L81" s="7" t="str">
        <f>IFERROR(IF(A82&lt;&gt;A81,AVERAGEIF(A$9:A81,A81,S$9:S81),""),"")</f>
        <v/>
      </c>
      <c r="M81" s="7" t="str">
        <f>IFERROR(IF(A82&lt;&gt;A81,AVERAGEIF(A$9:A81,A81,T$9:T81),""),"")</f>
        <v/>
      </c>
      <c r="N81" s="7" t="str" cm="1">
        <f t="array" ref="N81">IFERROR(IF(A82&lt;&gt;A81,_xlfn.STDEV.P(IF(A$9:A81=A81,T$9:T81)),""),"")</f>
        <v/>
      </c>
      <c r="O81" s="7" t="str" cm="1">
        <f t="array" ref="O81">IFERROR(IF(A82&lt;&gt;A81,_xlfn.STDEV.P(IF(A$9:A81=A81,S$9:S81)),""),"")</f>
        <v/>
      </c>
      <c r="P81" s="8" t="str">
        <f t="shared" si="46"/>
        <v/>
      </c>
      <c r="Q81" s="8" t="str">
        <f t="shared" si="47"/>
        <v/>
      </c>
      <c r="R81" s="8" t="str">
        <f t="shared" si="48"/>
        <v/>
      </c>
      <c r="S81" s="9" t="str">
        <f t="shared" si="49"/>
        <v/>
      </c>
      <c r="T81" s="9" t="str">
        <f t="shared" si="50"/>
        <v/>
      </c>
      <c r="U81" s="14">
        <v>0.57361111111111107</v>
      </c>
      <c r="V81" s="15"/>
      <c r="W81" s="14" t="str">
        <f t="shared" si="51"/>
        <v/>
      </c>
      <c r="X81" s="15"/>
      <c r="Y81" s="2"/>
      <c r="AB81" s="22">
        <f t="shared" si="52"/>
        <v>1</v>
      </c>
      <c r="AC81" s="11"/>
      <c r="AD81" s="11"/>
      <c r="AE81" s="13"/>
      <c r="AF81" s="12"/>
      <c r="AG81" s="13"/>
      <c r="AH81" s="14"/>
      <c r="AI81" s="81" t="str">
        <f t="shared" si="53"/>
        <v/>
      </c>
      <c r="AJ81" s="15"/>
      <c r="AK81" s="6" t="e">
        <f t="shared" si="54"/>
        <v>#N/A</v>
      </c>
      <c r="AL81" s="6" t="str">
        <f>IF(AB82&lt;&gt;AB81,AVERAGEIF(AB$9:AB81,AB81,AK$9:AK81),"")</f>
        <v/>
      </c>
      <c r="AM81" s="7" t="str">
        <f>IFERROR(IF(AB82&lt;&gt;AB81,AVERAGEIF(AB$9:AB81,AB81,AT$9:AT81),""),"")</f>
        <v/>
      </c>
      <c r="AN81" s="7" t="str">
        <f>IFERROR(IF(AB82&lt;&gt;AB81,AVERAGEIF(AB$9:AB81,AB81,AU$9:AU81),""),"")</f>
        <v/>
      </c>
      <c r="AO81" s="7" t="str" cm="1">
        <f t="array" ref="AO81">IFERROR(IF(AB82&lt;&gt;AB81,_xlfn.STDEV.P(IF(AB$9:AB81=AB81,AU$9:AU81)),""),"")</f>
        <v/>
      </c>
      <c r="AP81" s="7" t="str" cm="1">
        <f t="array" ref="AP81">IFERROR(IF(AB82&lt;&gt;AB81,_xlfn.STDEV.P(IF(AB$9:AB81=AB81,AT$9:AT81)),""),"")</f>
        <v/>
      </c>
      <c r="AQ81" s="8" t="str">
        <f t="shared" si="55"/>
        <v/>
      </c>
      <c r="AR81" s="8" t="str">
        <f t="shared" si="56"/>
        <v/>
      </c>
      <c r="AS81" s="8" t="str">
        <f t="shared" si="57"/>
        <v/>
      </c>
      <c r="AT81" s="9" t="str">
        <f t="shared" si="58"/>
        <v/>
      </c>
      <c r="AU81" s="9" t="str">
        <f t="shared" si="59"/>
        <v/>
      </c>
      <c r="AV81" s="14"/>
      <c r="AW81" s="15"/>
      <c r="AX81" s="14" t="str">
        <f t="shared" si="60"/>
        <v/>
      </c>
      <c r="AY81" s="15"/>
      <c r="AZ81" s="23"/>
      <c r="EW81" t="s">
        <v>46</v>
      </c>
      <c r="EX81" s="33">
        <v>1078</v>
      </c>
      <c r="EY81" s="33" t="s">
        <v>265</v>
      </c>
      <c r="EZ81" s="33" t="s">
        <v>266</v>
      </c>
      <c r="FA81" s="33" t="s">
        <v>51</v>
      </c>
      <c r="FB81" s="33" t="s">
        <v>52</v>
      </c>
      <c r="FC81" s="33" t="s">
        <v>53</v>
      </c>
      <c r="FD81" s="33" t="s">
        <v>54</v>
      </c>
      <c r="FE81" s="33">
        <v>2019</v>
      </c>
      <c r="FF81" s="33" t="s">
        <v>55</v>
      </c>
      <c r="FG81" s="33" t="s">
        <v>56</v>
      </c>
      <c r="FH81" s="33" t="s">
        <v>57</v>
      </c>
      <c r="FI81" s="33" t="s">
        <v>58</v>
      </c>
      <c r="FJ81" t="s">
        <v>59</v>
      </c>
      <c r="FM81" s="32" t="s">
        <v>258</v>
      </c>
      <c r="FN81" t="s">
        <v>259</v>
      </c>
      <c r="FO81" t="s">
        <v>260</v>
      </c>
      <c r="FP81" t="str">
        <f t="shared" si="42"/>
        <v>B</v>
      </c>
      <c r="FT81" s="69">
        <v>124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22.96</v>
      </c>
      <c r="GA81">
        <v>18.11</v>
      </c>
      <c r="GB81">
        <v>14.935</v>
      </c>
      <c r="GC81">
        <v>17.274999999999999</v>
      </c>
      <c r="GD81">
        <v>17.935000000000002</v>
      </c>
      <c r="GE81">
        <v>17.59</v>
      </c>
      <c r="GF81">
        <v>17.065000000000001</v>
      </c>
      <c r="GG81">
        <v>16.240000000000002</v>
      </c>
      <c r="GH81">
        <v>16.049999999999997</v>
      </c>
      <c r="GI81">
        <v>15.84</v>
      </c>
      <c r="GJ81">
        <v>14.93</v>
      </c>
      <c r="GK81">
        <v>13.68</v>
      </c>
      <c r="GL81">
        <v>13.24</v>
      </c>
      <c r="GM81">
        <v>13.824999999999999</v>
      </c>
      <c r="GN81">
        <v>15.4</v>
      </c>
      <c r="GO81">
        <v>17.295000000000002</v>
      </c>
      <c r="GP81">
        <v>18.75</v>
      </c>
      <c r="GQ81">
        <v>20.91</v>
      </c>
      <c r="GR81">
        <v>24.425000000000001</v>
      </c>
      <c r="GU81" s="53">
        <v>78</v>
      </c>
      <c r="GV81" s="53">
        <v>75</v>
      </c>
    </row>
    <row r="82" spans="1:204" ht="15.5" x14ac:dyDescent="0.35">
      <c r="A82" s="95">
        <f t="shared" si="43"/>
        <v>1</v>
      </c>
      <c r="B82" s="11"/>
      <c r="C82" s="11"/>
      <c r="D82" s="92" t="str">
        <f>IFERROR(
IF(AND(OR(Planilla!B82="C",Planilla!B82="c"), VLOOKUP(E82,EX:FJ,13,0)="C"), "OK",IF(AND(OR(Planilla!B82="C",Planilla!B82="c"), OR(VLOOKUP(E82,EX:FJ,13,0)="B", VLOOKUP(E82,EX:FJ,13,0)="A")), "DEFICIT",IF(
AND(OR(Planilla!B82="B", Planilla!B82="BPAL"), VLOOKUP(E82,EX:FJ,13,0)="B"), "OK",IF(AND(OR(Planilla!B82="B", Planilla!B82="BPAL"), VLOOKUP(E82,EX:FJ,13,0)="A"), "DEFICIT",IF(AND(OR(Planilla!B82="B", Planilla!B82="BPAL"), VLOOKUP(E82,EX:FJ,13,0)="C"), "SOBREOFERTA",IF(AND(Planilla!B82="A", VLOOKUP(E82,EX:FJ,13,0)="A"), "OK",IF(
AND(Planilla!B82="A", OR(VLOOKUP(E82,EX:FJ,13,0)="B", VLOOKUP(E82,EX:FJ,13,0)="C")), "SOBREOFERTA",""
))))))),"")</f>
        <v/>
      </c>
      <c r="E82" s="12"/>
      <c r="F82" s="13"/>
      <c r="G82" s="14"/>
      <c r="H82" s="81" t="str">
        <f t="shared" si="44"/>
        <v/>
      </c>
      <c r="I82" s="7"/>
      <c r="J82" s="6" t="e">
        <f t="shared" si="45"/>
        <v>#N/A</v>
      </c>
      <c r="K82" s="6" t="str">
        <f>IF(A83&lt;&gt;A82,AVERAGEIF(A$9:A82,A82,J$9:J82),"")</f>
        <v/>
      </c>
      <c r="L82" s="7" t="str">
        <f>IFERROR(IF(A83&lt;&gt;A82,AVERAGEIF(A$9:A82,A82,S$9:S82),""),"")</f>
        <v/>
      </c>
      <c r="M82" s="7" t="str">
        <f>IFERROR(IF(A83&lt;&gt;A82,AVERAGEIF(A$9:A82,A82,T$9:T82),""),"")</f>
        <v/>
      </c>
      <c r="N82" s="7" t="str" cm="1">
        <f t="array" ref="N82">IFERROR(IF(A83&lt;&gt;A82,_xlfn.STDEV.P(IF(A$9:A82=A82,T$9:T82)),""),"")</f>
        <v/>
      </c>
      <c r="O82" s="7" t="str" cm="1">
        <f t="array" ref="O82">IFERROR(IF(A83&lt;&gt;A82,_xlfn.STDEV.P(IF(A$9:A82=A82,S$9:S82)),""),"")</f>
        <v/>
      </c>
      <c r="P82" s="8" t="str">
        <f t="shared" si="46"/>
        <v/>
      </c>
      <c r="Q82" s="8" t="str">
        <f t="shared" si="47"/>
        <v/>
      </c>
      <c r="R82" s="8" t="str">
        <f t="shared" si="48"/>
        <v/>
      </c>
      <c r="S82" s="9" t="str">
        <f t="shared" si="49"/>
        <v/>
      </c>
      <c r="T82" s="9" t="str">
        <f t="shared" si="50"/>
        <v/>
      </c>
      <c r="U82" s="14">
        <v>0.5756944444444444</v>
      </c>
      <c r="V82" s="15"/>
      <c r="W82" s="14" t="str">
        <f t="shared" si="51"/>
        <v/>
      </c>
      <c r="X82" s="15"/>
      <c r="Y82" s="2"/>
      <c r="AB82" s="22">
        <f t="shared" si="52"/>
        <v>1</v>
      </c>
      <c r="AC82" s="11"/>
      <c r="AD82" s="11"/>
      <c r="AE82" s="13"/>
      <c r="AF82" s="12"/>
      <c r="AG82" s="13"/>
      <c r="AH82" s="14"/>
      <c r="AI82" s="81" t="str">
        <f t="shared" si="53"/>
        <v/>
      </c>
      <c r="AJ82" s="15"/>
      <c r="AK82" s="6" t="e">
        <f t="shared" si="54"/>
        <v>#N/A</v>
      </c>
      <c r="AL82" s="6" t="str">
        <f>IF(AB83&lt;&gt;AB82,AVERAGEIF(AB$9:AB82,AB82,AK$9:AK82),"")</f>
        <v/>
      </c>
      <c r="AM82" s="7" t="str">
        <f>IFERROR(IF(AB83&lt;&gt;AB82,AVERAGEIF(AB$9:AB82,AB82,AT$9:AT82),""),"")</f>
        <v/>
      </c>
      <c r="AN82" s="7" t="str">
        <f>IFERROR(IF(AB83&lt;&gt;AB82,AVERAGEIF(AB$9:AB82,AB82,AU$9:AU82),""),"")</f>
        <v/>
      </c>
      <c r="AO82" s="7" t="str" cm="1">
        <f t="array" ref="AO82">IFERROR(IF(AB83&lt;&gt;AB82,_xlfn.STDEV.P(IF(AB$9:AB82=AB82,AU$9:AU82)),""),"")</f>
        <v/>
      </c>
      <c r="AP82" s="7" t="str" cm="1">
        <f t="array" ref="AP82">IFERROR(IF(AB83&lt;&gt;AB82,_xlfn.STDEV.P(IF(AB$9:AB82=AB82,AT$9:AT82)),""),"")</f>
        <v/>
      </c>
      <c r="AQ82" s="8" t="str">
        <f t="shared" si="55"/>
        <v/>
      </c>
      <c r="AR82" s="8" t="str">
        <f t="shared" si="56"/>
        <v/>
      </c>
      <c r="AS82" s="8" t="str">
        <f t="shared" si="57"/>
        <v/>
      </c>
      <c r="AT82" s="9" t="str">
        <f t="shared" si="58"/>
        <v/>
      </c>
      <c r="AU82" s="9" t="str">
        <f t="shared" si="59"/>
        <v/>
      </c>
      <c r="AV82" s="14"/>
      <c r="AW82" s="15"/>
      <c r="AX82" s="14" t="str">
        <f t="shared" si="60"/>
        <v/>
      </c>
      <c r="AY82" s="15"/>
      <c r="AZ82" s="23"/>
      <c r="EW82" t="s">
        <v>46</v>
      </c>
      <c r="EX82" s="33">
        <v>1079</v>
      </c>
      <c r="EY82" s="33" t="s">
        <v>267</v>
      </c>
      <c r="EZ82" s="33" t="s">
        <v>268</v>
      </c>
      <c r="FA82" s="33" t="s">
        <v>51</v>
      </c>
      <c r="FB82" s="33" t="s">
        <v>52</v>
      </c>
      <c r="FC82" s="33" t="s">
        <v>53</v>
      </c>
      <c r="FD82" s="33" t="s">
        <v>54</v>
      </c>
      <c r="FE82" s="33">
        <v>2019</v>
      </c>
      <c r="FF82" s="33" t="s">
        <v>55</v>
      </c>
      <c r="FG82" s="33" t="s">
        <v>71</v>
      </c>
      <c r="FH82" s="33" t="s">
        <v>72</v>
      </c>
      <c r="FI82" s="33" t="s">
        <v>73</v>
      </c>
      <c r="FJ82" t="s">
        <v>59</v>
      </c>
      <c r="FM82" s="32" t="s">
        <v>258</v>
      </c>
      <c r="FN82" t="s">
        <v>259</v>
      </c>
      <c r="FO82" t="s">
        <v>260</v>
      </c>
      <c r="FP82" t="str">
        <f t="shared" si="42"/>
        <v>B</v>
      </c>
      <c r="FT82" s="69">
        <v>124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19.704999999999998</v>
      </c>
      <c r="GA82">
        <v>15.61</v>
      </c>
      <c r="GB82">
        <v>14.914999999999999</v>
      </c>
      <c r="GC82">
        <v>17.060000000000002</v>
      </c>
      <c r="GD82">
        <v>17.895</v>
      </c>
      <c r="GE82">
        <v>17.78</v>
      </c>
      <c r="GF82">
        <v>17.215</v>
      </c>
      <c r="GG82">
        <v>16.509999999999998</v>
      </c>
      <c r="GH82">
        <v>16.8</v>
      </c>
      <c r="GI82">
        <v>16.865000000000002</v>
      </c>
      <c r="GJ82">
        <v>16.015000000000001</v>
      </c>
      <c r="GK82">
        <v>14.86</v>
      </c>
      <c r="GL82">
        <v>14.375</v>
      </c>
      <c r="GM82">
        <v>15.365</v>
      </c>
      <c r="GN82">
        <v>17.585000000000001</v>
      </c>
      <c r="GO82">
        <v>19.34</v>
      </c>
      <c r="GP82">
        <v>21.39</v>
      </c>
      <c r="GQ82">
        <v>24.225000000000001</v>
      </c>
      <c r="GR82">
        <v>26.88</v>
      </c>
      <c r="GU82" s="53">
        <v>79</v>
      </c>
      <c r="GV82" s="53">
        <v>76</v>
      </c>
    </row>
    <row r="83" spans="1:204" ht="15.5" x14ac:dyDescent="0.35">
      <c r="A83" s="95">
        <f t="shared" si="43"/>
        <v>1</v>
      </c>
      <c r="B83" s="11"/>
      <c r="C83" s="11"/>
      <c r="D83" s="92" t="str">
        <f>IFERROR(
IF(AND(OR(Planilla!B83="C",Planilla!B83="c"), VLOOKUP(E83,EX:FJ,13,0)="C"), "OK",IF(AND(OR(Planilla!B83="C",Planilla!B83="c"), OR(VLOOKUP(E83,EX:FJ,13,0)="B", VLOOKUP(E83,EX:FJ,13,0)="A")), "DEFICIT",IF(
AND(OR(Planilla!B83="B", Planilla!B83="BPAL"), VLOOKUP(E83,EX:FJ,13,0)="B"), "OK",IF(AND(OR(Planilla!B83="B", Planilla!B83="BPAL"), VLOOKUP(E83,EX:FJ,13,0)="A"), "DEFICIT",IF(AND(OR(Planilla!B83="B", Planilla!B83="BPAL"), VLOOKUP(E83,EX:FJ,13,0)="C"), "SOBREOFERTA",IF(AND(Planilla!B83="A", VLOOKUP(E83,EX:FJ,13,0)="A"), "OK",IF(
AND(Planilla!B83="A", OR(VLOOKUP(E83,EX:FJ,13,0)="B", VLOOKUP(E83,EX:FJ,13,0)="C")), "SOBREOFERTA",""
))))))),"")</f>
        <v/>
      </c>
      <c r="E83" s="12"/>
      <c r="F83" s="13"/>
      <c r="G83" s="14"/>
      <c r="H83" s="81" t="str">
        <f t="shared" si="44"/>
        <v/>
      </c>
      <c r="I83" s="7"/>
      <c r="J83" s="6" t="e">
        <f t="shared" si="45"/>
        <v>#N/A</v>
      </c>
      <c r="K83" s="6" t="str">
        <f>IF(A84&lt;&gt;A83,AVERAGEIF(A$9:A83,A83,J$9:J83),"")</f>
        <v/>
      </c>
      <c r="L83" s="7" t="str">
        <f>IFERROR(IF(A84&lt;&gt;A83,AVERAGEIF(A$9:A83,A83,S$9:S83),""),"")</f>
        <v/>
      </c>
      <c r="M83" s="7" t="str">
        <f>IFERROR(IF(A84&lt;&gt;A83,AVERAGEIF(A$9:A83,A83,T$9:T83),""),"")</f>
        <v/>
      </c>
      <c r="N83" s="7" t="str" cm="1">
        <f t="array" ref="N83">IFERROR(IF(A84&lt;&gt;A83,_xlfn.STDEV.P(IF(A$9:A83=A83,T$9:T83)),""),"")</f>
        <v/>
      </c>
      <c r="O83" s="7" t="str" cm="1">
        <f t="array" ref="O83">IFERROR(IF(A84&lt;&gt;A83,_xlfn.STDEV.P(IF(A$9:A83=A83,S$9:S83)),""),"")</f>
        <v/>
      </c>
      <c r="P83" s="8" t="str">
        <f t="shared" si="46"/>
        <v/>
      </c>
      <c r="Q83" s="8" t="str">
        <f t="shared" si="47"/>
        <v/>
      </c>
      <c r="R83" s="8" t="str">
        <f t="shared" si="48"/>
        <v/>
      </c>
      <c r="S83" s="9" t="str">
        <f t="shared" si="49"/>
        <v/>
      </c>
      <c r="T83" s="9" t="str">
        <f t="shared" si="50"/>
        <v/>
      </c>
      <c r="U83" s="14">
        <v>0.5805555555555556</v>
      </c>
      <c r="V83" s="15"/>
      <c r="W83" s="14" t="str">
        <f t="shared" si="51"/>
        <v/>
      </c>
      <c r="X83" s="15"/>
      <c r="Y83" s="2"/>
      <c r="AB83" s="22">
        <f t="shared" si="52"/>
        <v>1</v>
      </c>
      <c r="AC83" s="11"/>
      <c r="AD83" s="11"/>
      <c r="AE83" s="13"/>
      <c r="AF83" s="12"/>
      <c r="AG83" s="13"/>
      <c r="AH83" s="14"/>
      <c r="AI83" s="81" t="str">
        <f t="shared" si="53"/>
        <v/>
      </c>
      <c r="AJ83" s="15"/>
      <c r="AK83" s="6" t="e">
        <f t="shared" si="54"/>
        <v>#N/A</v>
      </c>
      <c r="AL83" s="6" t="str">
        <f>IF(AB84&lt;&gt;AB83,AVERAGEIF(AB$9:AB83,AB83,AK$9:AK83),"")</f>
        <v/>
      </c>
      <c r="AM83" s="7" t="str">
        <f>IFERROR(IF(AB84&lt;&gt;AB83,AVERAGEIF(AB$9:AB83,AB83,AT$9:AT83),""),"")</f>
        <v/>
      </c>
      <c r="AN83" s="7" t="str">
        <f>IFERROR(IF(AB84&lt;&gt;AB83,AVERAGEIF(AB$9:AB83,AB83,AU$9:AU83),""),"")</f>
        <v/>
      </c>
      <c r="AO83" s="7" t="str" cm="1">
        <f t="array" ref="AO83">IFERROR(IF(AB84&lt;&gt;AB83,_xlfn.STDEV.P(IF(AB$9:AB83=AB83,AU$9:AU83)),""),"")</f>
        <v/>
      </c>
      <c r="AP83" s="7" t="str" cm="1">
        <f t="array" ref="AP83">IFERROR(IF(AB84&lt;&gt;AB83,_xlfn.STDEV.P(IF(AB$9:AB83=AB83,AT$9:AT83)),""),"")</f>
        <v/>
      </c>
      <c r="AQ83" s="8" t="str">
        <f t="shared" si="55"/>
        <v/>
      </c>
      <c r="AR83" s="8" t="str">
        <f t="shared" si="56"/>
        <v/>
      </c>
      <c r="AS83" s="8" t="str">
        <f t="shared" si="57"/>
        <v/>
      </c>
      <c r="AT83" s="9" t="str">
        <f t="shared" si="58"/>
        <v/>
      </c>
      <c r="AU83" s="9" t="str">
        <f t="shared" si="59"/>
        <v/>
      </c>
      <c r="AV83" s="14"/>
      <c r="AW83" s="15"/>
      <c r="AX83" s="14" t="str">
        <f t="shared" si="60"/>
        <v/>
      </c>
      <c r="AY83" s="15"/>
      <c r="AZ83" s="23"/>
      <c r="EW83" t="s">
        <v>46</v>
      </c>
      <c r="EX83" s="33">
        <v>1080</v>
      </c>
      <c r="EY83" s="33" t="s">
        <v>269</v>
      </c>
      <c r="EZ83" s="33" t="s">
        <v>270</v>
      </c>
      <c r="FA83" s="33" t="s">
        <v>51</v>
      </c>
      <c r="FB83" s="33" t="s">
        <v>52</v>
      </c>
      <c r="FC83" s="33" t="s">
        <v>53</v>
      </c>
      <c r="FD83" s="33" t="s">
        <v>54</v>
      </c>
      <c r="FE83" s="33">
        <v>2019</v>
      </c>
      <c r="FF83" s="33" t="s">
        <v>55</v>
      </c>
      <c r="FG83" s="33" t="s">
        <v>71</v>
      </c>
      <c r="FH83" s="33" t="s">
        <v>72</v>
      </c>
      <c r="FI83" s="33" t="s">
        <v>73</v>
      </c>
      <c r="FJ83" t="s">
        <v>59</v>
      </c>
      <c r="FM83" s="32" t="s">
        <v>271</v>
      </c>
      <c r="FN83" t="s">
        <v>272</v>
      </c>
      <c r="FO83" t="s">
        <v>273</v>
      </c>
      <c r="FP83" t="str">
        <f t="shared" si="42"/>
        <v>B</v>
      </c>
      <c r="FT83" s="69">
        <v>712</v>
      </c>
      <c r="FU83">
        <v>31.58</v>
      </c>
      <c r="FV83">
        <v>32.984999999999999</v>
      </c>
      <c r="FW83">
        <v>34.340000000000003</v>
      </c>
      <c r="FX83">
        <v>33.655000000000001</v>
      </c>
      <c r="FY83">
        <v>29.23</v>
      </c>
      <c r="FZ83">
        <v>21.35</v>
      </c>
      <c r="GA83">
        <v>15.135000000000002</v>
      </c>
      <c r="GB83">
        <v>15.875</v>
      </c>
      <c r="GC83">
        <v>18.445</v>
      </c>
      <c r="GD83">
        <v>19.795000000000002</v>
      </c>
      <c r="GE83">
        <v>19.899999999999999</v>
      </c>
      <c r="GF83">
        <v>19.049999999999997</v>
      </c>
      <c r="GG83">
        <v>18.8</v>
      </c>
      <c r="GH83">
        <v>18.77</v>
      </c>
      <c r="GI83">
        <v>18.59</v>
      </c>
      <c r="GJ83">
        <v>17.744999999999997</v>
      </c>
      <c r="GK83">
        <v>16.375</v>
      </c>
      <c r="GL83">
        <v>16.89</v>
      </c>
      <c r="GM83">
        <v>19.424999999999997</v>
      </c>
      <c r="GN83">
        <v>22.18</v>
      </c>
      <c r="GO83">
        <v>24.535</v>
      </c>
      <c r="GP83">
        <v>26.594999999999999</v>
      </c>
      <c r="GQ83">
        <v>28.33</v>
      </c>
      <c r="GR83">
        <v>29.6</v>
      </c>
      <c r="GU83" s="53">
        <v>80</v>
      </c>
      <c r="GV83" s="53">
        <v>77</v>
      </c>
    </row>
    <row r="84" spans="1:204" ht="15.5" x14ac:dyDescent="0.35">
      <c r="A84" s="95">
        <f t="shared" si="43"/>
        <v>1</v>
      </c>
      <c r="B84" s="11"/>
      <c r="C84" s="11"/>
      <c r="D84" s="92" t="str">
        <f>IFERROR(
IF(AND(OR(Planilla!B84="C",Planilla!B84="c"), VLOOKUP(E84,EX:FJ,13,0)="C"), "OK",IF(AND(OR(Planilla!B84="C",Planilla!B84="c"), OR(VLOOKUP(E84,EX:FJ,13,0)="B", VLOOKUP(E84,EX:FJ,13,0)="A")), "DEFICIT",IF(
AND(OR(Planilla!B84="B", Planilla!B84="BPAL"), VLOOKUP(E84,EX:FJ,13,0)="B"), "OK",IF(AND(OR(Planilla!B84="B", Planilla!B84="BPAL"), VLOOKUP(E84,EX:FJ,13,0)="A"), "DEFICIT",IF(AND(OR(Planilla!B84="B", Planilla!B84="BPAL"), VLOOKUP(E84,EX:FJ,13,0)="C"), "SOBREOFERTA",IF(AND(Planilla!B84="A", VLOOKUP(E84,EX:FJ,13,0)="A"), "OK",IF(
AND(Planilla!B84="A", OR(VLOOKUP(E84,EX:FJ,13,0)="B", VLOOKUP(E84,EX:FJ,13,0)="C")), "SOBREOFERTA",""
))))))),"")</f>
        <v/>
      </c>
      <c r="E84" s="12"/>
      <c r="F84" s="13"/>
      <c r="G84" s="14"/>
      <c r="H84" s="81" t="str">
        <f t="shared" si="44"/>
        <v/>
      </c>
      <c r="I84" s="7"/>
      <c r="J84" s="6" t="e">
        <f t="shared" si="45"/>
        <v>#N/A</v>
      </c>
      <c r="K84" s="6" t="str">
        <f>IF(A85&lt;&gt;A84,AVERAGEIF(A$9:A84,A84,J$9:J84),"")</f>
        <v/>
      </c>
      <c r="L84" s="7" t="str">
        <f>IFERROR(IF(A85&lt;&gt;A84,AVERAGEIF(A$9:A84,A84,S$9:S84),""),"")</f>
        <v/>
      </c>
      <c r="M84" s="7" t="str">
        <f>IFERROR(IF(A85&lt;&gt;A84,AVERAGEIF(A$9:A84,A84,T$9:T84),""),"")</f>
        <v/>
      </c>
      <c r="N84" s="7" t="str" cm="1">
        <f t="array" ref="N84">IFERROR(IF(A85&lt;&gt;A84,_xlfn.STDEV.P(IF(A$9:A84=A84,T$9:T84)),""),"")</f>
        <v/>
      </c>
      <c r="O84" s="7" t="str" cm="1">
        <f t="array" ref="O84">IFERROR(IF(A85&lt;&gt;A84,_xlfn.STDEV.P(IF(A$9:A84=A84,S$9:S84)),""),"")</f>
        <v/>
      </c>
      <c r="P84" s="8" t="str">
        <f t="shared" si="46"/>
        <v/>
      </c>
      <c r="Q84" s="8" t="str">
        <f t="shared" si="47"/>
        <v/>
      </c>
      <c r="R84" s="8" t="str">
        <f t="shared" si="48"/>
        <v/>
      </c>
      <c r="S84" s="9" t="str">
        <f t="shared" si="49"/>
        <v/>
      </c>
      <c r="T84" s="9" t="str">
        <f t="shared" si="50"/>
        <v/>
      </c>
      <c r="U84" s="14">
        <v>0.58750000000000002</v>
      </c>
      <c r="V84" s="15"/>
      <c r="W84" s="14" t="str">
        <f t="shared" si="51"/>
        <v/>
      </c>
      <c r="X84" s="15"/>
      <c r="Y84" s="2"/>
      <c r="AB84" s="22">
        <f t="shared" si="52"/>
        <v>1</v>
      </c>
      <c r="AC84" s="11"/>
      <c r="AD84" s="11"/>
      <c r="AE84" s="13"/>
      <c r="AF84" s="12"/>
      <c r="AG84" s="13"/>
      <c r="AH84" s="14"/>
      <c r="AI84" s="81" t="str">
        <f t="shared" si="53"/>
        <v/>
      </c>
      <c r="AJ84" s="15"/>
      <c r="AK84" s="6" t="e">
        <f t="shared" si="54"/>
        <v>#N/A</v>
      </c>
      <c r="AL84" s="6" t="str">
        <f>IF(AB85&lt;&gt;AB84,AVERAGEIF(AB$9:AB84,AB84,AK$9:AK84),"")</f>
        <v/>
      </c>
      <c r="AM84" s="7" t="str">
        <f>IFERROR(IF(AB85&lt;&gt;AB84,AVERAGEIF(AB$9:AB84,AB84,AT$9:AT84),""),"")</f>
        <v/>
      </c>
      <c r="AN84" s="7" t="str">
        <f>IFERROR(IF(AB85&lt;&gt;AB84,AVERAGEIF(AB$9:AB84,AB84,AU$9:AU84),""),"")</f>
        <v/>
      </c>
      <c r="AO84" s="7" t="str" cm="1">
        <f t="array" ref="AO84">IFERROR(IF(AB85&lt;&gt;AB84,_xlfn.STDEV.P(IF(AB$9:AB84=AB84,AU$9:AU84)),""),"")</f>
        <v/>
      </c>
      <c r="AP84" s="7" t="str" cm="1">
        <f t="array" ref="AP84">IFERROR(IF(AB85&lt;&gt;AB84,_xlfn.STDEV.P(IF(AB$9:AB84=AB84,AT$9:AT84)),""),"")</f>
        <v/>
      </c>
      <c r="AQ84" s="8" t="str">
        <f t="shared" si="55"/>
        <v/>
      </c>
      <c r="AR84" s="8" t="str">
        <f t="shared" si="56"/>
        <v/>
      </c>
      <c r="AS84" s="8" t="str">
        <f t="shared" si="57"/>
        <v/>
      </c>
      <c r="AT84" s="9" t="str">
        <f t="shared" si="58"/>
        <v/>
      </c>
      <c r="AU84" s="9" t="str">
        <f t="shared" si="59"/>
        <v/>
      </c>
      <c r="AV84" s="14"/>
      <c r="AW84" s="15"/>
      <c r="AX84" s="14" t="str">
        <f t="shared" si="60"/>
        <v/>
      </c>
      <c r="AY84" s="15"/>
      <c r="AZ84" s="23"/>
      <c r="EW84" t="s">
        <v>46</v>
      </c>
      <c r="EX84" s="33">
        <v>1081</v>
      </c>
      <c r="EY84" s="33" t="s">
        <v>274</v>
      </c>
      <c r="EZ84" s="33" t="s">
        <v>275</v>
      </c>
      <c r="FA84" s="33" t="s">
        <v>51</v>
      </c>
      <c r="FB84" s="33" t="s">
        <v>52</v>
      </c>
      <c r="FC84" s="33" t="s">
        <v>53</v>
      </c>
      <c r="FD84" s="33" t="s">
        <v>54</v>
      </c>
      <c r="FE84" s="33">
        <v>2019</v>
      </c>
      <c r="FF84" s="33" t="s">
        <v>55</v>
      </c>
      <c r="FG84" s="33" t="s">
        <v>71</v>
      </c>
      <c r="FH84" s="33" t="s">
        <v>72</v>
      </c>
      <c r="FI84" s="33" t="s">
        <v>73</v>
      </c>
      <c r="FJ84" t="s">
        <v>59</v>
      </c>
      <c r="FM84" s="32" t="s">
        <v>271</v>
      </c>
      <c r="FN84" t="s">
        <v>272</v>
      </c>
      <c r="FO84" t="s">
        <v>273</v>
      </c>
      <c r="FP84" t="str">
        <f t="shared" si="42"/>
        <v>B</v>
      </c>
      <c r="FT84" s="69">
        <v>712</v>
      </c>
      <c r="FU84">
        <v>30.994999999999997</v>
      </c>
      <c r="FV84">
        <v>31.684999999999999</v>
      </c>
      <c r="FW84">
        <v>32.32</v>
      </c>
      <c r="FX84">
        <v>33.055</v>
      </c>
      <c r="FY84">
        <v>31.71</v>
      </c>
      <c r="FZ84">
        <v>26.57</v>
      </c>
      <c r="GA84">
        <v>20.41</v>
      </c>
      <c r="GB84">
        <v>18.93</v>
      </c>
      <c r="GC84">
        <v>20.305</v>
      </c>
      <c r="GD84">
        <v>20.914999999999999</v>
      </c>
      <c r="GE84">
        <v>20.535</v>
      </c>
      <c r="GF84">
        <v>19.555</v>
      </c>
      <c r="GG84">
        <v>19.11</v>
      </c>
      <c r="GH84">
        <v>18.855</v>
      </c>
      <c r="GI84">
        <v>17.73</v>
      </c>
      <c r="GJ84">
        <v>16.37</v>
      </c>
      <c r="GK84">
        <v>15.305</v>
      </c>
      <c r="GL84">
        <v>14.91</v>
      </c>
      <c r="GM84">
        <v>16.445</v>
      </c>
      <c r="GN84">
        <v>18.89</v>
      </c>
      <c r="GO84">
        <v>21.755000000000003</v>
      </c>
      <c r="GP84">
        <v>24.1</v>
      </c>
      <c r="GQ84">
        <v>26.515000000000001</v>
      </c>
      <c r="GR84">
        <v>28.229999999999997</v>
      </c>
      <c r="GU84" s="53">
        <v>81</v>
      </c>
      <c r="GV84" s="53">
        <v>78</v>
      </c>
    </row>
    <row r="85" spans="1:204" ht="15.5" x14ac:dyDescent="0.35">
      <c r="A85" s="95">
        <f t="shared" si="43"/>
        <v>1</v>
      </c>
      <c r="B85" s="11"/>
      <c r="C85" s="11"/>
      <c r="D85" s="92" t="str">
        <f>IFERROR(
IF(AND(OR(Planilla!B85="C",Planilla!B85="c"), VLOOKUP(E85,EX:FJ,13,0)="C"), "OK",IF(AND(OR(Planilla!B85="C",Planilla!B85="c"), OR(VLOOKUP(E85,EX:FJ,13,0)="B", VLOOKUP(E85,EX:FJ,13,0)="A")), "DEFICIT",IF(
AND(OR(Planilla!B85="B", Planilla!B85="BPAL"), VLOOKUP(E85,EX:FJ,13,0)="B"), "OK",IF(AND(OR(Planilla!B85="B", Planilla!B85="BPAL"), VLOOKUP(E85,EX:FJ,13,0)="A"), "DEFICIT",IF(AND(OR(Planilla!B85="B", Planilla!B85="BPAL"), VLOOKUP(E85,EX:FJ,13,0)="C"), "SOBREOFERTA",IF(AND(Planilla!B85="A", VLOOKUP(E85,EX:FJ,13,0)="A"), "OK",IF(
AND(Planilla!B85="A", OR(VLOOKUP(E85,EX:FJ,13,0)="B", VLOOKUP(E85,EX:FJ,13,0)="C")), "SOBREOFERTA",""
))))))),"")</f>
        <v/>
      </c>
      <c r="E85" s="12"/>
      <c r="F85" s="13"/>
      <c r="G85" s="14"/>
      <c r="H85" s="81" t="str">
        <f t="shared" si="44"/>
        <v/>
      </c>
      <c r="I85" s="7"/>
      <c r="J85" s="6" t="e">
        <f t="shared" si="45"/>
        <v>#N/A</v>
      </c>
      <c r="K85" s="6" t="str">
        <f>IF(A86&lt;&gt;A85,AVERAGEIF(A$9:A85,A85,J$9:J85),"")</f>
        <v/>
      </c>
      <c r="L85" s="7" t="str">
        <f>IFERROR(IF(A86&lt;&gt;A85,AVERAGEIF(A$9:A85,A85,S$9:S85),""),"")</f>
        <v/>
      </c>
      <c r="M85" s="7" t="str">
        <f>IFERROR(IF(A86&lt;&gt;A85,AVERAGEIF(A$9:A85,A85,T$9:T85),""),"")</f>
        <v/>
      </c>
      <c r="N85" s="7" t="str" cm="1">
        <f t="array" ref="N85">IFERROR(IF(A86&lt;&gt;A85,_xlfn.STDEV.P(IF(A$9:A85=A85,T$9:T85)),""),"")</f>
        <v/>
      </c>
      <c r="O85" s="7" t="str" cm="1">
        <f t="array" ref="O85">IFERROR(IF(A86&lt;&gt;A85,_xlfn.STDEV.P(IF(A$9:A85=A85,S$9:S85)),""),"")</f>
        <v/>
      </c>
      <c r="P85" s="8" t="str">
        <f t="shared" si="46"/>
        <v/>
      </c>
      <c r="Q85" s="8" t="str">
        <f t="shared" si="47"/>
        <v/>
      </c>
      <c r="R85" s="8" t="str">
        <f t="shared" si="48"/>
        <v/>
      </c>
      <c r="S85" s="9" t="str">
        <f t="shared" si="49"/>
        <v/>
      </c>
      <c r="T85" s="9" t="str">
        <f t="shared" si="50"/>
        <v/>
      </c>
      <c r="U85" s="14">
        <v>0.59513888888888888</v>
      </c>
      <c r="V85" s="15"/>
      <c r="W85" s="14" t="str">
        <f t="shared" si="51"/>
        <v/>
      </c>
      <c r="X85" s="15"/>
      <c r="Y85" s="2"/>
      <c r="AB85" s="22">
        <f t="shared" si="52"/>
        <v>1</v>
      </c>
      <c r="AC85" s="11"/>
      <c r="AD85" s="11"/>
      <c r="AE85" s="13"/>
      <c r="AF85" s="12"/>
      <c r="AG85" s="13"/>
      <c r="AH85" s="14"/>
      <c r="AI85" s="81" t="str">
        <f t="shared" si="53"/>
        <v/>
      </c>
      <c r="AJ85" s="15"/>
      <c r="AK85" s="6" t="e">
        <f t="shared" si="54"/>
        <v>#N/A</v>
      </c>
      <c r="AL85" s="6" t="str">
        <f>IF(AB86&lt;&gt;AB85,AVERAGEIF(AB$9:AB85,AB85,AK$9:AK85),"")</f>
        <v/>
      </c>
      <c r="AM85" s="7" t="str">
        <f>IFERROR(IF(AB86&lt;&gt;AB85,AVERAGEIF(AB$9:AB85,AB85,AT$9:AT85),""),"")</f>
        <v/>
      </c>
      <c r="AN85" s="7" t="str">
        <f>IFERROR(IF(AB86&lt;&gt;AB85,AVERAGEIF(AB$9:AB85,AB85,AU$9:AU85),""),"")</f>
        <v/>
      </c>
      <c r="AO85" s="7" t="str" cm="1">
        <f t="array" ref="AO85">IFERROR(IF(AB86&lt;&gt;AB85,_xlfn.STDEV.P(IF(AB$9:AB85=AB85,AU$9:AU85)),""),"")</f>
        <v/>
      </c>
      <c r="AP85" s="7" t="str" cm="1">
        <f t="array" ref="AP85">IFERROR(IF(AB86&lt;&gt;AB85,_xlfn.STDEV.P(IF(AB$9:AB85=AB85,AT$9:AT85)),""),"")</f>
        <v/>
      </c>
      <c r="AQ85" s="8" t="str">
        <f t="shared" si="55"/>
        <v/>
      </c>
      <c r="AR85" s="8" t="str">
        <f t="shared" si="56"/>
        <v/>
      </c>
      <c r="AS85" s="8" t="str">
        <f t="shared" si="57"/>
        <v/>
      </c>
      <c r="AT85" s="9" t="str">
        <f t="shared" si="58"/>
        <v/>
      </c>
      <c r="AU85" s="9" t="str">
        <f t="shared" si="59"/>
        <v/>
      </c>
      <c r="AV85" s="14"/>
      <c r="AW85" s="15"/>
      <c r="AX85" s="14" t="str">
        <f t="shared" si="60"/>
        <v/>
      </c>
      <c r="AY85" s="15"/>
      <c r="AZ85" s="23"/>
      <c r="EW85" t="s">
        <v>46</v>
      </c>
      <c r="EX85" s="33">
        <v>1082</v>
      </c>
      <c r="EY85" s="33" t="s">
        <v>276</v>
      </c>
      <c r="EZ85" s="33" t="s">
        <v>277</v>
      </c>
      <c r="FA85" s="33" t="s">
        <v>51</v>
      </c>
      <c r="FB85" s="33" t="s">
        <v>52</v>
      </c>
      <c r="FC85" s="33" t="s">
        <v>53</v>
      </c>
      <c r="FD85" s="33" t="s">
        <v>54</v>
      </c>
      <c r="FE85" s="33">
        <v>2019</v>
      </c>
      <c r="FF85" s="33" t="s">
        <v>55</v>
      </c>
      <c r="FG85" s="33" t="s">
        <v>71</v>
      </c>
      <c r="FH85" s="33" t="s">
        <v>72</v>
      </c>
      <c r="FI85" s="33" t="s">
        <v>73</v>
      </c>
      <c r="FJ85" t="s">
        <v>59</v>
      </c>
      <c r="FM85" s="32" t="s">
        <v>278</v>
      </c>
      <c r="FN85" t="s">
        <v>279</v>
      </c>
      <c r="FO85" t="s">
        <v>280</v>
      </c>
      <c r="FP85" t="str">
        <f t="shared" si="42"/>
        <v>B</v>
      </c>
      <c r="GU85" s="53">
        <v>82</v>
      </c>
      <c r="GV85" s="53">
        <v>79</v>
      </c>
    </row>
    <row r="86" spans="1:204" ht="15.5" x14ac:dyDescent="0.35">
      <c r="A86" s="95">
        <f t="shared" si="43"/>
        <v>1</v>
      </c>
      <c r="B86" s="11"/>
      <c r="C86" s="11"/>
      <c r="D86" s="92" t="str">
        <f>IFERROR(
IF(AND(OR(Planilla!B86="C",Planilla!B86="c"), VLOOKUP(E86,EX:FJ,13,0)="C"), "OK",IF(AND(OR(Planilla!B86="C",Planilla!B86="c"), OR(VLOOKUP(E86,EX:FJ,13,0)="B", VLOOKUP(E86,EX:FJ,13,0)="A")), "DEFICIT",IF(
AND(OR(Planilla!B86="B", Planilla!B86="BPAL"), VLOOKUP(E86,EX:FJ,13,0)="B"), "OK",IF(AND(OR(Planilla!B86="B", Planilla!B86="BPAL"), VLOOKUP(E86,EX:FJ,13,0)="A"), "DEFICIT",IF(AND(OR(Planilla!B86="B", Planilla!B86="BPAL"), VLOOKUP(E86,EX:FJ,13,0)="C"), "SOBREOFERTA",IF(AND(Planilla!B86="A", VLOOKUP(E86,EX:FJ,13,0)="A"), "OK",IF(
AND(Planilla!B86="A", OR(VLOOKUP(E86,EX:FJ,13,0)="B", VLOOKUP(E86,EX:FJ,13,0)="C")), "SOBREOFERTA",""
))))))),"")</f>
        <v/>
      </c>
      <c r="E86" s="12"/>
      <c r="F86" s="13"/>
      <c r="G86" s="14"/>
      <c r="H86" s="81" t="str">
        <f t="shared" si="44"/>
        <v/>
      </c>
      <c r="I86" s="7"/>
      <c r="J86" s="6" t="e">
        <f t="shared" si="45"/>
        <v>#N/A</v>
      </c>
      <c r="K86" s="6" t="str">
        <f>IF(A87&lt;&gt;A86,AVERAGEIF(A$9:A86,A86,J$9:J86),"")</f>
        <v/>
      </c>
      <c r="L86" s="7" t="str">
        <f>IFERROR(IF(A87&lt;&gt;A86,AVERAGEIF(A$9:A86,A86,S$9:S86),""),"")</f>
        <v/>
      </c>
      <c r="M86" s="7" t="str">
        <f>IFERROR(IF(A87&lt;&gt;A86,AVERAGEIF(A$9:A86,A86,T$9:T86),""),"")</f>
        <v/>
      </c>
      <c r="N86" s="7" t="str" cm="1">
        <f t="array" ref="N86">IFERROR(IF(A87&lt;&gt;A86,_xlfn.STDEV.P(IF(A$9:A86=A86,T$9:T86)),""),"")</f>
        <v/>
      </c>
      <c r="O86" s="7" t="str" cm="1">
        <f t="array" ref="O86">IFERROR(IF(A87&lt;&gt;A86,_xlfn.STDEV.P(IF(A$9:A86=A86,S$9:S86)),""),"")</f>
        <v/>
      </c>
      <c r="P86" s="8" t="str">
        <f t="shared" si="46"/>
        <v/>
      </c>
      <c r="Q86" s="8" t="str">
        <f t="shared" si="47"/>
        <v/>
      </c>
      <c r="R86" s="8" t="str">
        <f t="shared" si="48"/>
        <v/>
      </c>
      <c r="S86" s="9" t="str">
        <f t="shared" si="49"/>
        <v/>
      </c>
      <c r="T86" s="9" t="str">
        <f t="shared" si="50"/>
        <v/>
      </c>
      <c r="U86" s="14">
        <v>0.6020833333333333</v>
      </c>
      <c r="V86" s="15"/>
      <c r="W86" s="14" t="str">
        <f t="shared" si="51"/>
        <v/>
      </c>
      <c r="X86" s="15"/>
      <c r="Y86" s="2"/>
      <c r="AB86" s="22">
        <f t="shared" si="52"/>
        <v>1</v>
      </c>
      <c r="AC86" s="11"/>
      <c r="AD86" s="11"/>
      <c r="AE86" s="13"/>
      <c r="AF86" s="12"/>
      <c r="AG86" s="13"/>
      <c r="AH86" s="14"/>
      <c r="AI86" s="81" t="str">
        <f t="shared" si="53"/>
        <v/>
      </c>
      <c r="AJ86" s="15"/>
      <c r="AK86" s="6" t="e">
        <f t="shared" si="54"/>
        <v>#N/A</v>
      </c>
      <c r="AL86" s="6" t="str">
        <f>IF(AB87&lt;&gt;AB86,AVERAGEIF(AB$9:AB86,AB86,AK$9:AK86),"")</f>
        <v/>
      </c>
      <c r="AM86" s="7" t="str">
        <f>IFERROR(IF(AB87&lt;&gt;AB86,AVERAGEIF(AB$9:AB86,AB86,AT$9:AT86),""),"")</f>
        <v/>
      </c>
      <c r="AN86" s="7" t="str">
        <f>IFERROR(IF(AB87&lt;&gt;AB86,AVERAGEIF(AB$9:AB86,AB86,AU$9:AU86),""),"")</f>
        <v/>
      </c>
      <c r="AO86" s="7" t="str" cm="1">
        <f t="array" ref="AO86">IFERROR(IF(AB87&lt;&gt;AB86,_xlfn.STDEV.P(IF(AB$9:AB86=AB86,AU$9:AU86)),""),"")</f>
        <v/>
      </c>
      <c r="AP86" s="7" t="str" cm="1">
        <f t="array" ref="AP86">IFERROR(IF(AB87&lt;&gt;AB86,_xlfn.STDEV.P(IF(AB$9:AB86=AB86,AT$9:AT86)),""),"")</f>
        <v/>
      </c>
      <c r="AQ86" s="8" t="str">
        <f t="shared" si="55"/>
        <v/>
      </c>
      <c r="AR86" s="8" t="str">
        <f t="shared" si="56"/>
        <v/>
      </c>
      <c r="AS86" s="8" t="str">
        <f t="shared" si="57"/>
        <v/>
      </c>
      <c r="AT86" s="9" t="str">
        <f t="shared" si="58"/>
        <v/>
      </c>
      <c r="AU86" s="9" t="str">
        <f t="shared" si="59"/>
        <v/>
      </c>
      <c r="AV86" s="14"/>
      <c r="AW86" s="15"/>
      <c r="AX86" s="14" t="str">
        <f t="shared" si="60"/>
        <v/>
      </c>
      <c r="AY86" s="15"/>
      <c r="AZ86" s="23"/>
      <c r="EW86" t="s">
        <v>46</v>
      </c>
      <c r="EX86" s="33">
        <v>1083</v>
      </c>
      <c r="EY86" s="33" t="s">
        <v>281</v>
      </c>
      <c r="EZ86" s="33" t="s">
        <v>282</v>
      </c>
      <c r="FA86" s="33" t="s">
        <v>51</v>
      </c>
      <c r="FB86" s="33" t="s">
        <v>52</v>
      </c>
      <c r="FC86" s="33" t="s">
        <v>53</v>
      </c>
      <c r="FD86" s="33" t="s">
        <v>54</v>
      </c>
      <c r="FE86" s="33">
        <v>2019</v>
      </c>
      <c r="FF86" s="33" t="s">
        <v>55</v>
      </c>
      <c r="FG86" s="33" t="s">
        <v>56</v>
      </c>
      <c r="FH86" s="33" t="s">
        <v>57</v>
      </c>
      <c r="FI86" s="33" t="s">
        <v>58</v>
      </c>
      <c r="FJ86" t="s">
        <v>59</v>
      </c>
      <c r="FM86" s="32" t="s">
        <v>278</v>
      </c>
      <c r="FN86" t="s">
        <v>279</v>
      </c>
      <c r="FO86" t="s">
        <v>280</v>
      </c>
      <c r="FP86" t="str">
        <f t="shared" si="42"/>
        <v>B</v>
      </c>
      <c r="GU86" s="53">
        <v>83</v>
      </c>
      <c r="GV86" s="53">
        <v>80</v>
      </c>
    </row>
    <row r="87" spans="1:204" ht="15.5" x14ac:dyDescent="0.35">
      <c r="A87" s="95">
        <f t="shared" si="43"/>
        <v>1</v>
      </c>
      <c r="B87" s="11"/>
      <c r="C87" s="11"/>
      <c r="D87" s="92" t="str">
        <f>IFERROR(
IF(AND(OR(Planilla!B87="C",Planilla!B87="c"), VLOOKUP(E87,EX:FJ,13,0)="C"), "OK",IF(AND(OR(Planilla!B87="C",Planilla!B87="c"), OR(VLOOKUP(E87,EX:FJ,13,0)="B", VLOOKUP(E87,EX:FJ,13,0)="A")), "DEFICIT",IF(
AND(OR(Planilla!B87="B", Planilla!B87="BPAL"), VLOOKUP(E87,EX:FJ,13,0)="B"), "OK",IF(AND(OR(Planilla!B87="B", Planilla!B87="BPAL"), VLOOKUP(E87,EX:FJ,13,0)="A"), "DEFICIT",IF(AND(OR(Planilla!B87="B", Planilla!B87="BPAL"), VLOOKUP(E87,EX:FJ,13,0)="C"), "SOBREOFERTA",IF(AND(Planilla!B87="A", VLOOKUP(E87,EX:FJ,13,0)="A"), "OK",IF(
AND(Planilla!B87="A", OR(VLOOKUP(E87,EX:FJ,13,0)="B", VLOOKUP(E87,EX:FJ,13,0)="C")), "SOBREOFERTA",""
))))))),"")</f>
        <v/>
      </c>
      <c r="E87" s="12"/>
      <c r="F87" s="13"/>
      <c r="G87" s="14"/>
      <c r="H87" s="81" t="str">
        <f t="shared" si="44"/>
        <v/>
      </c>
      <c r="I87" s="7"/>
      <c r="J87" s="6" t="e">
        <f t="shared" si="45"/>
        <v>#N/A</v>
      </c>
      <c r="K87" s="6" t="str">
        <f>IF(A88&lt;&gt;A87,AVERAGEIF(A$9:A87,A87,J$9:J87),"")</f>
        <v/>
      </c>
      <c r="L87" s="7" t="str">
        <f>IFERROR(IF(A88&lt;&gt;A87,AVERAGEIF(A$9:A87,A87,S$9:S87),""),"")</f>
        <v/>
      </c>
      <c r="M87" s="7" t="str">
        <f>IFERROR(IF(A88&lt;&gt;A87,AVERAGEIF(A$9:A87,A87,T$9:T87),""),"")</f>
        <v/>
      </c>
      <c r="N87" s="7" t="str" cm="1">
        <f t="array" ref="N87">IFERROR(IF(A88&lt;&gt;A87,_xlfn.STDEV.P(IF(A$9:A87=A87,T$9:T87)),""),"")</f>
        <v/>
      </c>
      <c r="O87" s="7" t="str" cm="1">
        <f t="array" ref="O87">IFERROR(IF(A88&lt;&gt;A87,_xlfn.STDEV.P(IF(A$9:A87=A87,S$9:S87)),""),"")</f>
        <v/>
      </c>
      <c r="P87" s="8" t="str">
        <f t="shared" si="46"/>
        <v/>
      </c>
      <c r="Q87" s="8" t="str">
        <f t="shared" si="47"/>
        <v/>
      </c>
      <c r="R87" s="8" t="str">
        <f t="shared" si="48"/>
        <v/>
      </c>
      <c r="S87" s="9" t="str">
        <f t="shared" si="49"/>
        <v/>
      </c>
      <c r="T87" s="9" t="str">
        <f t="shared" si="50"/>
        <v/>
      </c>
      <c r="U87" s="14">
        <v>0.60902777777777772</v>
      </c>
      <c r="V87" s="15"/>
      <c r="W87" s="14" t="str">
        <f t="shared" si="51"/>
        <v/>
      </c>
      <c r="X87" s="15"/>
      <c r="Y87" s="2"/>
      <c r="AB87" s="22">
        <f t="shared" si="52"/>
        <v>1</v>
      </c>
      <c r="AC87" s="11"/>
      <c r="AD87" s="11"/>
      <c r="AE87" s="13"/>
      <c r="AF87" s="12"/>
      <c r="AG87" s="13"/>
      <c r="AH87" s="14"/>
      <c r="AI87" s="81" t="str">
        <f t="shared" si="53"/>
        <v/>
      </c>
      <c r="AJ87" s="15"/>
      <c r="AK87" s="6" t="e">
        <f t="shared" si="54"/>
        <v>#N/A</v>
      </c>
      <c r="AL87" s="6" t="str">
        <f>IF(AB88&lt;&gt;AB87,AVERAGEIF(AB$9:AB87,AB87,AK$9:AK87),"")</f>
        <v/>
      </c>
      <c r="AM87" s="7" t="str">
        <f>IFERROR(IF(AB88&lt;&gt;AB87,AVERAGEIF(AB$9:AB87,AB87,AT$9:AT87),""),"")</f>
        <v/>
      </c>
      <c r="AN87" s="7" t="str">
        <f>IFERROR(IF(AB88&lt;&gt;AB87,AVERAGEIF(AB$9:AB87,AB87,AU$9:AU87),""),"")</f>
        <v/>
      </c>
      <c r="AO87" s="7" t="str" cm="1">
        <f t="array" ref="AO87">IFERROR(IF(AB88&lt;&gt;AB87,_xlfn.STDEV.P(IF(AB$9:AB87=AB87,AU$9:AU87)),""),"")</f>
        <v/>
      </c>
      <c r="AP87" s="7" t="str" cm="1">
        <f t="array" ref="AP87">IFERROR(IF(AB88&lt;&gt;AB87,_xlfn.STDEV.P(IF(AB$9:AB87=AB87,AT$9:AT87)),""),"")</f>
        <v/>
      </c>
      <c r="AQ87" s="8" t="str">
        <f t="shared" si="55"/>
        <v/>
      </c>
      <c r="AR87" s="8" t="str">
        <f t="shared" si="56"/>
        <v/>
      </c>
      <c r="AS87" s="8" t="str">
        <f t="shared" si="57"/>
        <v/>
      </c>
      <c r="AT87" s="9" t="str">
        <f t="shared" si="58"/>
        <v/>
      </c>
      <c r="AU87" s="9" t="str">
        <f t="shared" si="59"/>
        <v/>
      </c>
      <c r="AV87" s="14"/>
      <c r="AW87" s="15"/>
      <c r="AX87" s="14" t="str">
        <f t="shared" si="60"/>
        <v/>
      </c>
      <c r="AY87" s="15"/>
      <c r="AZ87" s="23"/>
      <c r="EW87" t="s">
        <v>46</v>
      </c>
      <c r="EX87" s="33">
        <v>1084</v>
      </c>
      <c r="EY87" s="33" t="s">
        <v>283</v>
      </c>
      <c r="EZ87" s="33" t="s">
        <v>284</v>
      </c>
      <c r="FA87" s="33" t="s">
        <v>51</v>
      </c>
      <c r="FB87" s="33" t="s">
        <v>52</v>
      </c>
      <c r="FC87" s="33" t="s">
        <v>53</v>
      </c>
      <c r="FD87" s="33" t="s">
        <v>54</v>
      </c>
      <c r="FE87" s="33">
        <v>2019</v>
      </c>
      <c r="FF87" s="33" t="s">
        <v>55</v>
      </c>
      <c r="FG87" s="33" t="s">
        <v>71</v>
      </c>
      <c r="FH87" s="33" t="s">
        <v>72</v>
      </c>
      <c r="FI87" s="33" t="s">
        <v>73</v>
      </c>
      <c r="FJ87" t="s">
        <v>59</v>
      </c>
      <c r="FM87" s="32" t="s">
        <v>278</v>
      </c>
      <c r="FN87" t="s">
        <v>279</v>
      </c>
      <c r="FO87" t="s">
        <v>280</v>
      </c>
      <c r="FP87" t="str">
        <f t="shared" si="42"/>
        <v>B</v>
      </c>
      <c r="GU87" s="53">
        <v>84</v>
      </c>
      <c r="GV87" s="53">
        <v>81</v>
      </c>
    </row>
    <row r="88" spans="1:204" ht="15.5" x14ac:dyDescent="0.35">
      <c r="A88" s="95">
        <f t="shared" si="43"/>
        <v>1</v>
      </c>
      <c r="B88" s="11"/>
      <c r="C88" s="11"/>
      <c r="D88" s="92" t="str">
        <f>IFERROR(
IF(AND(OR(Planilla!B88="C",Planilla!B88="c"), VLOOKUP(E88,EX:FJ,13,0)="C"), "OK",IF(AND(OR(Planilla!B88="C",Planilla!B88="c"), OR(VLOOKUP(E88,EX:FJ,13,0)="B", VLOOKUP(E88,EX:FJ,13,0)="A")), "DEFICIT",IF(
AND(OR(Planilla!B88="B", Planilla!B88="BPAL"), VLOOKUP(E88,EX:FJ,13,0)="B"), "OK",IF(AND(OR(Planilla!B88="B", Planilla!B88="BPAL"), VLOOKUP(E88,EX:FJ,13,0)="A"), "DEFICIT",IF(AND(OR(Planilla!B88="B", Planilla!B88="BPAL"), VLOOKUP(E88,EX:FJ,13,0)="C"), "SOBREOFERTA",IF(AND(Planilla!B88="A", VLOOKUP(E88,EX:FJ,13,0)="A"), "OK",IF(
AND(Planilla!B88="A", OR(VLOOKUP(E88,EX:FJ,13,0)="B", VLOOKUP(E88,EX:FJ,13,0)="C")), "SOBREOFERTA",""
))))))),"")</f>
        <v/>
      </c>
      <c r="E88" s="12"/>
      <c r="F88" s="13"/>
      <c r="G88" s="14"/>
      <c r="H88" s="81" t="str">
        <f t="shared" si="44"/>
        <v/>
      </c>
      <c r="I88" s="7"/>
      <c r="J88" s="6" t="e">
        <f t="shared" si="45"/>
        <v>#N/A</v>
      </c>
      <c r="K88" s="6" t="str">
        <f>IF(A89&lt;&gt;A88,AVERAGEIF(A$9:A88,A88,J$9:J88),"")</f>
        <v/>
      </c>
      <c r="L88" s="7" t="str">
        <f>IFERROR(IF(A89&lt;&gt;A88,AVERAGEIF(A$9:A88,A88,S$9:S88),""),"")</f>
        <v/>
      </c>
      <c r="M88" s="7" t="str">
        <f>IFERROR(IF(A89&lt;&gt;A88,AVERAGEIF(A$9:A88,A88,T$9:T88),""),"")</f>
        <v/>
      </c>
      <c r="N88" s="7" t="str" cm="1">
        <f t="array" ref="N88">IFERROR(IF(A89&lt;&gt;A88,_xlfn.STDEV.P(IF(A$9:A88=A88,T$9:T88)),""),"")</f>
        <v/>
      </c>
      <c r="O88" s="7" t="str" cm="1">
        <f t="array" ref="O88">IFERROR(IF(A89&lt;&gt;A88,_xlfn.STDEV.P(IF(A$9:A88=A88,S$9:S88)),""),"")</f>
        <v/>
      </c>
      <c r="P88" s="8" t="str">
        <f t="shared" si="46"/>
        <v/>
      </c>
      <c r="Q88" s="8" t="str">
        <f t="shared" si="47"/>
        <v/>
      </c>
      <c r="R88" s="8" t="str">
        <f t="shared" si="48"/>
        <v/>
      </c>
      <c r="S88" s="9" t="str">
        <f t="shared" si="49"/>
        <v/>
      </c>
      <c r="T88" s="9" t="str">
        <f t="shared" si="50"/>
        <v/>
      </c>
      <c r="U88" s="14">
        <v>0.61597222222222225</v>
      </c>
      <c r="V88" s="15"/>
      <c r="W88" s="14" t="str">
        <f t="shared" si="51"/>
        <v/>
      </c>
      <c r="X88" s="15"/>
      <c r="Y88" s="2"/>
      <c r="AB88" s="22">
        <f t="shared" si="52"/>
        <v>1</v>
      </c>
      <c r="AC88" s="11"/>
      <c r="AD88" s="11"/>
      <c r="AE88" s="13"/>
      <c r="AF88" s="12"/>
      <c r="AG88" s="13"/>
      <c r="AH88" s="14"/>
      <c r="AI88" s="81" t="str">
        <f t="shared" si="53"/>
        <v/>
      </c>
      <c r="AJ88" s="15"/>
      <c r="AK88" s="6" t="e">
        <f t="shared" si="54"/>
        <v>#N/A</v>
      </c>
      <c r="AL88" s="6" t="str">
        <f>IF(AB89&lt;&gt;AB88,AVERAGEIF(AB$9:AB88,AB88,AK$9:AK88),"")</f>
        <v/>
      </c>
      <c r="AM88" s="7" t="str">
        <f>IFERROR(IF(AB89&lt;&gt;AB88,AVERAGEIF(AB$9:AB88,AB88,AT$9:AT88),""),"")</f>
        <v/>
      </c>
      <c r="AN88" s="7" t="str">
        <f>IFERROR(IF(AB89&lt;&gt;AB88,AVERAGEIF(AB$9:AB88,AB88,AU$9:AU88),""),"")</f>
        <v/>
      </c>
      <c r="AO88" s="7" t="str" cm="1">
        <f t="array" ref="AO88">IFERROR(IF(AB89&lt;&gt;AB88,_xlfn.STDEV.P(IF(AB$9:AB88=AB88,AU$9:AU88)),""),"")</f>
        <v/>
      </c>
      <c r="AP88" s="7" t="str" cm="1">
        <f t="array" ref="AP88">IFERROR(IF(AB89&lt;&gt;AB88,_xlfn.STDEV.P(IF(AB$9:AB88=AB88,AT$9:AT88)),""),"")</f>
        <v/>
      </c>
      <c r="AQ88" s="8" t="str">
        <f t="shared" si="55"/>
        <v/>
      </c>
      <c r="AR88" s="8" t="str">
        <f t="shared" si="56"/>
        <v/>
      </c>
      <c r="AS88" s="8" t="str">
        <f t="shared" si="57"/>
        <v/>
      </c>
      <c r="AT88" s="9" t="str">
        <f t="shared" si="58"/>
        <v/>
      </c>
      <c r="AU88" s="9" t="str">
        <f t="shared" si="59"/>
        <v/>
      </c>
      <c r="AV88" s="14"/>
      <c r="AW88" s="15"/>
      <c r="AX88" s="14" t="str">
        <f t="shared" si="60"/>
        <v/>
      </c>
      <c r="AY88" s="15"/>
      <c r="AZ88" s="23"/>
      <c r="EW88" t="s">
        <v>46</v>
      </c>
      <c r="EX88" s="33">
        <v>1085</v>
      </c>
      <c r="EY88" s="33" t="s">
        <v>285</v>
      </c>
      <c r="EZ88" s="33" t="s">
        <v>286</v>
      </c>
      <c r="FA88" s="33" t="s">
        <v>51</v>
      </c>
      <c r="FB88" s="33" t="s">
        <v>52</v>
      </c>
      <c r="FC88" s="33" t="s">
        <v>53</v>
      </c>
      <c r="FD88" s="33" t="s">
        <v>54</v>
      </c>
      <c r="FE88" s="33">
        <v>2019</v>
      </c>
      <c r="FF88" s="33" t="s">
        <v>55</v>
      </c>
      <c r="FG88" s="33" t="s">
        <v>56</v>
      </c>
      <c r="FH88" s="33" t="s">
        <v>57</v>
      </c>
      <c r="FI88" s="33" t="s">
        <v>58</v>
      </c>
      <c r="FJ88" t="s">
        <v>59</v>
      </c>
      <c r="FM88" s="32" t="s">
        <v>278</v>
      </c>
      <c r="FN88" t="s">
        <v>279</v>
      </c>
      <c r="FO88" t="s">
        <v>280</v>
      </c>
      <c r="FP88" t="str">
        <f t="shared" si="42"/>
        <v>B</v>
      </c>
      <c r="GU88" s="53">
        <v>85</v>
      </c>
      <c r="GV88" s="53">
        <v>82</v>
      </c>
    </row>
    <row r="89" spans="1:204" ht="15.5" x14ac:dyDescent="0.35">
      <c r="A89" s="95">
        <f t="shared" si="43"/>
        <v>1</v>
      </c>
      <c r="B89" s="11"/>
      <c r="C89" s="11"/>
      <c r="D89" s="92" t="str">
        <f>IFERROR(
IF(AND(OR(Planilla!B89="C",Planilla!B89="c"), VLOOKUP(E89,EX:FJ,13,0)="C"), "OK",IF(AND(OR(Planilla!B89="C",Planilla!B89="c"), OR(VLOOKUP(E89,EX:FJ,13,0)="B", VLOOKUP(E89,EX:FJ,13,0)="A")), "DEFICIT",IF(
AND(OR(Planilla!B89="B", Planilla!B89="BPAL"), VLOOKUP(E89,EX:FJ,13,0)="B"), "OK",IF(AND(OR(Planilla!B89="B", Planilla!B89="BPAL"), VLOOKUP(E89,EX:FJ,13,0)="A"), "DEFICIT",IF(AND(OR(Planilla!B89="B", Planilla!B89="BPAL"), VLOOKUP(E89,EX:FJ,13,0)="C"), "SOBREOFERTA",IF(AND(Planilla!B89="A", VLOOKUP(E89,EX:FJ,13,0)="A"), "OK",IF(
AND(Planilla!B89="A", OR(VLOOKUP(E89,EX:FJ,13,0)="B", VLOOKUP(E89,EX:FJ,13,0)="C")), "SOBREOFERTA",""
))))))),"")</f>
        <v/>
      </c>
      <c r="E89" s="12"/>
      <c r="F89" s="13"/>
      <c r="G89" s="14"/>
      <c r="H89" s="81" t="str">
        <f t="shared" si="44"/>
        <v/>
      </c>
      <c r="I89" s="7"/>
      <c r="J89" s="6" t="e">
        <f t="shared" si="45"/>
        <v>#N/A</v>
      </c>
      <c r="K89" s="6" t="str">
        <f>IF(A90&lt;&gt;A89,AVERAGEIF(A$9:A89,A89,J$9:J89),"")</f>
        <v/>
      </c>
      <c r="L89" s="7" t="str">
        <f>IFERROR(IF(A90&lt;&gt;A89,AVERAGEIF(A$9:A89,A89,S$9:S89),""),"")</f>
        <v/>
      </c>
      <c r="M89" s="7" t="str">
        <f>IFERROR(IF(A90&lt;&gt;A89,AVERAGEIF(A$9:A89,A89,T$9:T89),""),"")</f>
        <v/>
      </c>
      <c r="N89" s="7" t="str" cm="1">
        <f t="array" ref="N89">IFERROR(IF(A90&lt;&gt;A89,_xlfn.STDEV.P(IF(A$9:A89=A89,T$9:T89)),""),"")</f>
        <v/>
      </c>
      <c r="O89" s="7" t="str" cm="1">
        <f t="array" ref="O89">IFERROR(IF(A90&lt;&gt;A89,_xlfn.STDEV.P(IF(A$9:A89=A89,S$9:S89)),""),"")</f>
        <v/>
      </c>
      <c r="P89" s="8" t="str">
        <f t="shared" si="46"/>
        <v/>
      </c>
      <c r="Q89" s="8" t="str">
        <f t="shared" si="47"/>
        <v/>
      </c>
      <c r="R89" s="8" t="str">
        <f t="shared" si="48"/>
        <v/>
      </c>
      <c r="S89" s="9" t="str">
        <f t="shared" si="49"/>
        <v/>
      </c>
      <c r="T89" s="9" t="str">
        <f t="shared" si="50"/>
        <v/>
      </c>
      <c r="U89" s="14">
        <v>0.62291666666666667</v>
      </c>
      <c r="V89" s="15"/>
      <c r="W89" s="14" t="str">
        <f t="shared" si="51"/>
        <v/>
      </c>
      <c r="X89" s="15"/>
      <c r="Y89" s="2"/>
      <c r="AB89" s="22">
        <f t="shared" si="52"/>
        <v>1</v>
      </c>
      <c r="AC89" s="11"/>
      <c r="AD89" s="11"/>
      <c r="AE89" s="13"/>
      <c r="AF89" s="12"/>
      <c r="AG89" s="13"/>
      <c r="AH89" s="14"/>
      <c r="AI89" s="81" t="str">
        <f t="shared" si="53"/>
        <v/>
      </c>
      <c r="AJ89" s="15"/>
      <c r="AK89" s="6" t="e">
        <f t="shared" si="54"/>
        <v>#N/A</v>
      </c>
      <c r="AL89" s="6" t="str">
        <f>IF(AB90&lt;&gt;AB89,AVERAGEIF(AB$9:AB89,AB89,AK$9:AK89),"")</f>
        <v/>
      </c>
      <c r="AM89" s="7" t="str">
        <f>IFERROR(IF(AB90&lt;&gt;AB89,AVERAGEIF(AB$9:AB89,AB89,AT$9:AT89),""),"")</f>
        <v/>
      </c>
      <c r="AN89" s="7" t="str">
        <f>IFERROR(IF(AB90&lt;&gt;AB89,AVERAGEIF(AB$9:AB89,AB89,AU$9:AU89),""),"")</f>
        <v/>
      </c>
      <c r="AO89" s="7" t="str" cm="1">
        <f t="array" ref="AO89">IFERROR(IF(AB90&lt;&gt;AB89,_xlfn.STDEV.P(IF(AB$9:AB89=AB89,AU$9:AU89)),""),"")</f>
        <v/>
      </c>
      <c r="AP89" s="7" t="str" cm="1">
        <f t="array" ref="AP89">IFERROR(IF(AB90&lt;&gt;AB89,_xlfn.STDEV.P(IF(AB$9:AB89=AB89,AT$9:AT89)),""),"")</f>
        <v/>
      </c>
      <c r="AQ89" s="8" t="str">
        <f t="shared" si="55"/>
        <v/>
      </c>
      <c r="AR89" s="8" t="str">
        <f t="shared" si="56"/>
        <v/>
      </c>
      <c r="AS89" s="8" t="str">
        <f t="shared" si="57"/>
        <v/>
      </c>
      <c r="AT89" s="9" t="str">
        <f t="shared" si="58"/>
        <v/>
      </c>
      <c r="AU89" s="9" t="str">
        <f t="shared" si="59"/>
        <v/>
      </c>
      <c r="AV89" s="14"/>
      <c r="AW89" s="15"/>
      <c r="AX89" s="14" t="str">
        <f t="shared" si="60"/>
        <v/>
      </c>
      <c r="AY89" s="15"/>
      <c r="AZ89" s="23"/>
      <c r="EW89" t="s">
        <v>46</v>
      </c>
      <c r="EX89" s="33">
        <v>1086</v>
      </c>
      <c r="EY89" s="33" t="s">
        <v>287</v>
      </c>
      <c r="EZ89" s="33" t="s">
        <v>288</v>
      </c>
      <c r="FA89" s="33" t="s">
        <v>51</v>
      </c>
      <c r="FB89" s="33" t="s">
        <v>52</v>
      </c>
      <c r="FC89" s="33" t="s">
        <v>53</v>
      </c>
      <c r="FD89" s="33" t="s">
        <v>54</v>
      </c>
      <c r="FE89" s="33">
        <v>2019</v>
      </c>
      <c r="FF89" s="33" t="s">
        <v>55</v>
      </c>
      <c r="FG89" s="33" t="s">
        <v>56</v>
      </c>
      <c r="FH89" s="33" t="s">
        <v>57</v>
      </c>
      <c r="FI89" s="33" t="s">
        <v>58</v>
      </c>
      <c r="FJ89" t="s">
        <v>59</v>
      </c>
      <c r="FM89" s="32" t="s">
        <v>278</v>
      </c>
      <c r="FN89" t="s">
        <v>279</v>
      </c>
      <c r="FO89" t="s">
        <v>280</v>
      </c>
      <c r="FP89" t="str">
        <f t="shared" si="42"/>
        <v>B</v>
      </c>
      <c r="GU89" s="53">
        <v>86</v>
      </c>
      <c r="GV89" s="53">
        <v>83</v>
      </c>
    </row>
    <row r="90" spans="1:204" ht="15.5" x14ac:dyDescent="0.35">
      <c r="A90" s="95">
        <f t="shared" si="43"/>
        <v>1</v>
      </c>
      <c r="B90" s="11"/>
      <c r="C90" s="11"/>
      <c r="D90" s="92" t="str">
        <f>IFERROR(
IF(AND(OR(Planilla!B90="C",Planilla!B90="c"), VLOOKUP(E90,EX:FJ,13,0)="C"), "OK",IF(AND(OR(Planilla!B90="C",Planilla!B90="c"), OR(VLOOKUP(E90,EX:FJ,13,0)="B", VLOOKUP(E90,EX:FJ,13,0)="A")), "DEFICIT",IF(
AND(OR(Planilla!B90="B", Planilla!B90="BPAL"), VLOOKUP(E90,EX:FJ,13,0)="B"), "OK",IF(AND(OR(Planilla!B90="B", Planilla!B90="BPAL"), VLOOKUP(E90,EX:FJ,13,0)="A"), "DEFICIT",IF(AND(OR(Planilla!B90="B", Planilla!B90="BPAL"), VLOOKUP(E90,EX:FJ,13,0)="C"), "SOBREOFERTA",IF(AND(Planilla!B90="A", VLOOKUP(E90,EX:FJ,13,0)="A"), "OK",IF(
AND(Planilla!B90="A", OR(VLOOKUP(E90,EX:FJ,13,0)="B", VLOOKUP(E90,EX:FJ,13,0)="C")), "SOBREOFERTA",""
))))))),"")</f>
        <v/>
      </c>
      <c r="E90" s="12"/>
      <c r="F90" s="13"/>
      <c r="G90" s="14"/>
      <c r="H90" s="81" t="str">
        <f t="shared" si="44"/>
        <v/>
      </c>
      <c r="I90" s="7"/>
      <c r="J90" s="6" t="e">
        <f t="shared" si="45"/>
        <v>#N/A</v>
      </c>
      <c r="K90" s="6" t="str">
        <f>IF(A91&lt;&gt;A90,AVERAGEIF(A$9:A90,A90,J$9:J90),"")</f>
        <v/>
      </c>
      <c r="L90" s="7" t="str">
        <f>IFERROR(IF(A91&lt;&gt;A90,AVERAGEIF(A$9:A90,A90,S$9:S90),""),"")</f>
        <v/>
      </c>
      <c r="M90" s="7" t="str">
        <f>IFERROR(IF(A91&lt;&gt;A90,AVERAGEIF(A$9:A90,A90,T$9:T90),""),"")</f>
        <v/>
      </c>
      <c r="N90" s="7" t="str" cm="1">
        <f t="array" ref="N90">IFERROR(IF(A91&lt;&gt;A90,_xlfn.STDEV.P(IF(A$9:A90=A90,T$9:T90)),""),"")</f>
        <v/>
      </c>
      <c r="O90" s="7" t="str" cm="1">
        <f t="array" ref="O90">IFERROR(IF(A91&lt;&gt;A90,_xlfn.STDEV.P(IF(A$9:A90=A90,S$9:S90)),""),"")</f>
        <v/>
      </c>
      <c r="P90" s="8" t="str">
        <f t="shared" si="46"/>
        <v/>
      </c>
      <c r="Q90" s="8" t="str">
        <f t="shared" si="47"/>
        <v/>
      </c>
      <c r="R90" s="8" t="str">
        <f t="shared" si="48"/>
        <v/>
      </c>
      <c r="S90" s="9" t="str">
        <f t="shared" si="49"/>
        <v/>
      </c>
      <c r="T90" s="9" t="str">
        <f t="shared" si="50"/>
        <v/>
      </c>
      <c r="U90" s="14">
        <v>0.62986111111111109</v>
      </c>
      <c r="V90" s="15"/>
      <c r="W90" s="14" t="str">
        <f t="shared" si="51"/>
        <v/>
      </c>
      <c r="X90" s="15"/>
      <c r="Y90" s="2"/>
      <c r="AB90" s="22">
        <f t="shared" si="52"/>
        <v>1</v>
      </c>
      <c r="AC90" s="11"/>
      <c r="AD90" s="11"/>
      <c r="AE90" s="13"/>
      <c r="AF90" s="12"/>
      <c r="AG90" s="13"/>
      <c r="AH90" s="14"/>
      <c r="AI90" s="81" t="str">
        <f t="shared" si="53"/>
        <v/>
      </c>
      <c r="AJ90" s="15"/>
      <c r="AK90" s="6" t="e">
        <f t="shared" si="54"/>
        <v>#N/A</v>
      </c>
      <c r="AL90" s="6" t="str">
        <f>IF(AB91&lt;&gt;AB90,AVERAGEIF(AB$9:AB90,AB90,AK$9:AK90),"")</f>
        <v/>
      </c>
      <c r="AM90" s="7" t="str">
        <f>IFERROR(IF(AB91&lt;&gt;AB90,AVERAGEIF(AB$9:AB90,AB90,AT$9:AT90),""),"")</f>
        <v/>
      </c>
      <c r="AN90" s="7" t="str">
        <f>IFERROR(IF(AB91&lt;&gt;AB90,AVERAGEIF(AB$9:AB90,AB90,AU$9:AU90),""),"")</f>
        <v/>
      </c>
      <c r="AO90" s="7" t="str" cm="1">
        <f t="array" ref="AO90">IFERROR(IF(AB91&lt;&gt;AB90,_xlfn.STDEV.P(IF(AB$9:AB90=AB90,AU$9:AU90)),""),"")</f>
        <v/>
      </c>
      <c r="AP90" s="7" t="str" cm="1">
        <f t="array" ref="AP90">IFERROR(IF(AB91&lt;&gt;AB90,_xlfn.STDEV.P(IF(AB$9:AB90=AB90,AT$9:AT90)),""),"")</f>
        <v/>
      </c>
      <c r="AQ90" s="8" t="str">
        <f t="shared" si="55"/>
        <v/>
      </c>
      <c r="AR90" s="8" t="str">
        <f t="shared" si="56"/>
        <v/>
      </c>
      <c r="AS90" s="8" t="str">
        <f t="shared" si="57"/>
        <v/>
      </c>
      <c r="AT90" s="9" t="str">
        <f t="shared" si="58"/>
        <v/>
      </c>
      <c r="AU90" s="9" t="str">
        <f t="shared" si="59"/>
        <v/>
      </c>
      <c r="AV90" s="14"/>
      <c r="AW90" s="15"/>
      <c r="AX90" s="14" t="str">
        <f t="shared" si="60"/>
        <v/>
      </c>
      <c r="AY90" s="15"/>
      <c r="AZ90" s="23"/>
      <c r="EW90" t="s">
        <v>46</v>
      </c>
      <c r="EX90" s="33">
        <v>1087</v>
      </c>
      <c r="EY90" s="33" t="s">
        <v>289</v>
      </c>
      <c r="EZ90" s="33" t="s">
        <v>290</v>
      </c>
      <c r="FA90" s="33" t="s">
        <v>51</v>
      </c>
      <c r="FB90" s="33" t="s">
        <v>52</v>
      </c>
      <c r="FC90" s="33" t="s">
        <v>53</v>
      </c>
      <c r="FD90" s="33" t="s">
        <v>54</v>
      </c>
      <c r="FE90" s="33">
        <v>2019</v>
      </c>
      <c r="FF90" s="33" t="s">
        <v>55</v>
      </c>
      <c r="FG90" s="33" t="s">
        <v>71</v>
      </c>
      <c r="FH90" s="33" t="s">
        <v>72</v>
      </c>
      <c r="FI90" s="33" t="s">
        <v>73</v>
      </c>
      <c r="FJ90" t="s">
        <v>59</v>
      </c>
      <c r="FM90" s="32" t="s">
        <v>278</v>
      </c>
      <c r="FN90" t="s">
        <v>279</v>
      </c>
      <c r="FO90" t="s">
        <v>280</v>
      </c>
      <c r="FP90" t="str">
        <f t="shared" si="42"/>
        <v>B</v>
      </c>
      <c r="GU90" s="53">
        <v>87</v>
      </c>
      <c r="GV90" s="53">
        <v>84</v>
      </c>
    </row>
    <row r="91" spans="1:204" ht="15.5" x14ac:dyDescent="0.35">
      <c r="A91" s="95">
        <f t="shared" si="43"/>
        <v>1</v>
      </c>
      <c r="B91" s="11"/>
      <c r="C91" s="11"/>
      <c r="D91" s="92" t="str">
        <f>IFERROR(
IF(AND(OR(Planilla!B91="C",Planilla!B91="c"), VLOOKUP(E91,EX:FJ,13,0)="C"), "OK",IF(AND(OR(Planilla!B91="C",Planilla!B91="c"), OR(VLOOKUP(E91,EX:FJ,13,0)="B", VLOOKUP(E91,EX:FJ,13,0)="A")), "DEFICIT",IF(
AND(OR(Planilla!B91="B", Planilla!B91="BPAL"), VLOOKUP(E91,EX:FJ,13,0)="B"), "OK",IF(AND(OR(Planilla!B91="B", Planilla!B91="BPAL"), VLOOKUP(E91,EX:FJ,13,0)="A"), "DEFICIT",IF(AND(OR(Planilla!B91="B", Planilla!B91="BPAL"), VLOOKUP(E91,EX:FJ,13,0)="C"), "SOBREOFERTA",IF(AND(Planilla!B91="A", VLOOKUP(E91,EX:FJ,13,0)="A"), "OK",IF(
AND(Planilla!B91="A", OR(VLOOKUP(E91,EX:FJ,13,0)="B", VLOOKUP(E91,EX:FJ,13,0)="C")), "SOBREOFERTA",""
))))))),"")</f>
        <v/>
      </c>
      <c r="E91" s="12"/>
      <c r="F91" s="13"/>
      <c r="G91" s="14"/>
      <c r="H91" s="81" t="str">
        <f t="shared" si="44"/>
        <v/>
      </c>
      <c r="I91" s="7"/>
      <c r="J91" s="6" t="e">
        <f t="shared" si="45"/>
        <v>#N/A</v>
      </c>
      <c r="K91" s="6" t="str">
        <f>IF(A92&lt;&gt;A91,AVERAGEIF(A$9:A91,A91,J$9:J91),"")</f>
        <v/>
      </c>
      <c r="L91" s="7" t="str">
        <f>IFERROR(IF(A92&lt;&gt;A91,AVERAGEIF(A$9:A91,A91,S$9:S91),""),"")</f>
        <v/>
      </c>
      <c r="M91" s="7" t="str">
        <f>IFERROR(IF(A92&lt;&gt;A91,AVERAGEIF(A$9:A91,A91,T$9:T91),""),"")</f>
        <v/>
      </c>
      <c r="N91" s="7" t="str" cm="1">
        <f t="array" ref="N91">IFERROR(IF(A92&lt;&gt;A91,_xlfn.STDEV.P(IF(A$9:A91=A91,T$9:T91)),""),"")</f>
        <v/>
      </c>
      <c r="O91" s="7" t="str" cm="1">
        <f t="array" ref="O91">IFERROR(IF(A92&lt;&gt;A91,_xlfn.STDEV.P(IF(A$9:A91=A91,S$9:S91)),""),"")</f>
        <v/>
      </c>
      <c r="P91" s="8" t="str">
        <f t="shared" si="46"/>
        <v/>
      </c>
      <c r="Q91" s="8" t="str">
        <f t="shared" si="47"/>
        <v/>
      </c>
      <c r="R91" s="8" t="str">
        <f t="shared" si="48"/>
        <v/>
      </c>
      <c r="S91" s="9" t="str">
        <f t="shared" si="49"/>
        <v/>
      </c>
      <c r="T91" s="9" t="str">
        <f t="shared" si="50"/>
        <v/>
      </c>
      <c r="U91" s="14">
        <v>0.63611111111111107</v>
      </c>
      <c r="V91" s="15"/>
      <c r="W91" s="14" t="str">
        <f t="shared" si="51"/>
        <v/>
      </c>
      <c r="X91" s="15"/>
      <c r="Y91" s="2"/>
      <c r="AB91" s="22">
        <f t="shared" si="52"/>
        <v>1</v>
      </c>
      <c r="AC91" s="11"/>
      <c r="AD91" s="11"/>
      <c r="AE91" s="13"/>
      <c r="AF91" s="12"/>
      <c r="AG91" s="13"/>
      <c r="AH91" s="14"/>
      <c r="AI91" s="81" t="str">
        <f t="shared" si="53"/>
        <v/>
      </c>
      <c r="AJ91" s="15"/>
      <c r="AK91" s="6" t="e">
        <f t="shared" si="54"/>
        <v>#N/A</v>
      </c>
      <c r="AL91" s="6" t="str">
        <f>IF(AB92&lt;&gt;AB91,AVERAGEIF(AB$9:AB91,AB91,AK$9:AK91),"")</f>
        <v/>
      </c>
      <c r="AM91" s="7" t="str">
        <f>IFERROR(IF(AB92&lt;&gt;AB91,AVERAGEIF(AB$9:AB91,AB91,AT$9:AT91),""),"")</f>
        <v/>
      </c>
      <c r="AN91" s="7" t="str">
        <f>IFERROR(IF(AB92&lt;&gt;AB91,AVERAGEIF(AB$9:AB91,AB91,AU$9:AU91),""),"")</f>
        <v/>
      </c>
      <c r="AO91" s="7" t="str" cm="1">
        <f t="array" ref="AO91">IFERROR(IF(AB92&lt;&gt;AB91,_xlfn.STDEV.P(IF(AB$9:AB91=AB91,AU$9:AU91)),""),"")</f>
        <v/>
      </c>
      <c r="AP91" s="7" t="str" cm="1">
        <f t="array" ref="AP91">IFERROR(IF(AB92&lt;&gt;AB91,_xlfn.STDEV.P(IF(AB$9:AB91=AB91,AT$9:AT91)),""),"")</f>
        <v/>
      </c>
      <c r="AQ91" s="8" t="str">
        <f t="shared" si="55"/>
        <v/>
      </c>
      <c r="AR91" s="8" t="str">
        <f t="shared" si="56"/>
        <v/>
      </c>
      <c r="AS91" s="8" t="str">
        <f t="shared" si="57"/>
        <v/>
      </c>
      <c r="AT91" s="9" t="str">
        <f t="shared" si="58"/>
        <v/>
      </c>
      <c r="AU91" s="9" t="str">
        <f t="shared" si="59"/>
        <v/>
      </c>
      <c r="AV91" s="14"/>
      <c r="AW91" s="15"/>
      <c r="AX91" s="14" t="str">
        <f t="shared" si="60"/>
        <v/>
      </c>
      <c r="AY91" s="15"/>
      <c r="AZ91" s="23"/>
      <c r="EW91" t="s">
        <v>46</v>
      </c>
      <c r="EX91" s="33">
        <v>1088</v>
      </c>
      <c r="EY91" s="33" t="s">
        <v>291</v>
      </c>
      <c r="EZ91" s="33" t="s">
        <v>292</v>
      </c>
      <c r="FA91" s="33" t="s">
        <v>51</v>
      </c>
      <c r="FB91" s="33" t="s">
        <v>52</v>
      </c>
      <c r="FC91" s="33" t="s">
        <v>53</v>
      </c>
      <c r="FD91" s="33" t="s">
        <v>54</v>
      </c>
      <c r="FE91" s="33">
        <v>2019</v>
      </c>
      <c r="FF91" s="33" t="s">
        <v>55</v>
      </c>
      <c r="FG91" s="33" t="s">
        <v>71</v>
      </c>
      <c r="FH91" s="33" t="s">
        <v>72</v>
      </c>
      <c r="FI91" s="33" t="s">
        <v>73</v>
      </c>
      <c r="FJ91" t="s">
        <v>59</v>
      </c>
      <c r="FM91" s="32" t="s">
        <v>278</v>
      </c>
      <c r="FN91" t="s">
        <v>279</v>
      </c>
      <c r="FO91" t="s">
        <v>280</v>
      </c>
      <c r="FP91" t="str">
        <f t="shared" si="42"/>
        <v>B</v>
      </c>
      <c r="GU91" s="53">
        <v>88</v>
      </c>
      <c r="GV91" s="53">
        <v>85</v>
      </c>
    </row>
    <row r="92" spans="1:204" ht="15.5" x14ac:dyDescent="0.35">
      <c r="A92" s="95">
        <f t="shared" si="43"/>
        <v>1</v>
      </c>
      <c r="B92" s="11"/>
      <c r="C92" s="11"/>
      <c r="D92" s="92" t="str">
        <f>IFERROR(
IF(AND(OR(Planilla!B92="C",Planilla!B92="c"), VLOOKUP(E92,EX:FJ,13,0)="C"), "OK",IF(AND(OR(Planilla!B92="C",Planilla!B92="c"), OR(VLOOKUP(E92,EX:FJ,13,0)="B", VLOOKUP(E92,EX:FJ,13,0)="A")), "DEFICIT",IF(
AND(OR(Planilla!B92="B", Planilla!B92="BPAL"), VLOOKUP(E92,EX:FJ,13,0)="B"), "OK",IF(AND(OR(Planilla!B92="B", Planilla!B92="BPAL"), VLOOKUP(E92,EX:FJ,13,0)="A"), "DEFICIT",IF(AND(OR(Planilla!B92="B", Planilla!B92="BPAL"), VLOOKUP(E92,EX:FJ,13,0)="C"), "SOBREOFERTA",IF(AND(Planilla!B92="A", VLOOKUP(E92,EX:FJ,13,0)="A"), "OK",IF(
AND(Planilla!B92="A", OR(VLOOKUP(E92,EX:FJ,13,0)="B", VLOOKUP(E92,EX:FJ,13,0)="C")), "SOBREOFERTA",""
))))))),"")</f>
        <v/>
      </c>
      <c r="E92" s="12"/>
      <c r="F92" s="13"/>
      <c r="G92" s="14"/>
      <c r="H92" s="81" t="str">
        <f t="shared" si="44"/>
        <v/>
      </c>
      <c r="I92" s="7"/>
      <c r="J92" s="6" t="e">
        <f t="shared" si="45"/>
        <v>#N/A</v>
      </c>
      <c r="K92" s="6" t="str">
        <f>IF(A93&lt;&gt;A92,AVERAGEIF(A$9:A92,A92,J$9:J92),"")</f>
        <v/>
      </c>
      <c r="L92" s="7" t="str">
        <f>IFERROR(IF(A93&lt;&gt;A92,AVERAGEIF(A$9:A92,A92,S$9:S92),""),"")</f>
        <v/>
      </c>
      <c r="M92" s="7" t="str">
        <f>IFERROR(IF(A93&lt;&gt;A92,AVERAGEIF(A$9:A92,A92,T$9:T92),""),"")</f>
        <v/>
      </c>
      <c r="N92" s="7" t="str" cm="1">
        <f t="array" ref="N92">IFERROR(IF(A93&lt;&gt;A92,_xlfn.STDEV.P(IF(A$9:A92=A92,T$9:T92)),""),"")</f>
        <v/>
      </c>
      <c r="O92" s="7" t="str" cm="1">
        <f t="array" ref="O92">IFERROR(IF(A93&lt;&gt;A92,_xlfn.STDEV.P(IF(A$9:A92=A92,S$9:S92)),""),"")</f>
        <v/>
      </c>
      <c r="P92" s="8" t="str">
        <f t="shared" si="46"/>
        <v/>
      </c>
      <c r="Q92" s="8" t="str">
        <f t="shared" si="47"/>
        <v/>
      </c>
      <c r="R92" s="8" t="str">
        <f t="shared" si="48"/>
        <v/>
      </c>
      <c r="S92" s="9" t="str">
        <f t="shared" si="49"/>
        <v/>
      </c>
      <c r="T92" s="9" t="str">
        <f t="shared" si="50"/>
        <v/>
      </c>
      <c r="U92" s="14">
        <v>0.6430555555555556</v>
      </c>
      <c r="V92" s="15"/>
      <c r="W92" s="14" t="str">
        <f t="shared" si="51"/>
        <v/>
      </c>
      <c r="X92" s="15"/>
      <c r="Y92" s="2"/>
      <c r="AB92" s="22">
        <f t="shared" si="52"/>
        <v>1</v>
      </c>
      <c r="AC92" s="11"/>
      <c r="AD92" s="11"/>
      <c r="AE92" s="13"/>
      <c r="AF92" s="12"/>
      <c r="AG92" s="13"/>
      <c r="AH92" s="14"/>
      <c r="AI92" s="81" t="str">
        <f t="shared" si="53"/>
        <v/>
      </c>
      <c r="AJ92" s="15"/>
      <c r="AK92" s="6" t="e">
        <f t="shared" si="54"/>
        <v>#N/A</v>
      </c>
      <c r="AL92" s="6" t="str">
        <f>IF(AB93&lt;&gt;AB92,AVERAGEIF(AB$9:AB92,AB92,AK$9:AK92),"")</f>
        <v/>
      </c>
      <c r="AM92" s="7" t="str">
        <f>IFERROR(IF(AB93&lt;&gt;AB92,AVERAGEIF(AB$9:AB92,AB92,AT$9:AT92),""),"")</f>
        <v/>
      </c>
      <c r="AN92" s="7" t="str">
        <f>IFERROR(IF(AB93&lt;&gt;AB92,AVERAGEIF(AB$9:AB92,AB92,AU$9:AU92),""),"")</f>
        <v/>
      </c>
      <c r="AO92" s="7" t="str" cm="1">
        <f t="array" ref="AO92">IFERROR(IF(AB93&lt;&gt;AB92,_xlfn.STDEV.P(IF(AB$9:AB92=AB92,AU$9:AU92)),""),"")</f>
        <v/>
      </c>
      <c r="AP92" s="7" t="str" cm="1">
        <f t="array" ref="AP92">IFERROR(IF(AB93&lt;&gt;AB92,_xlfn.STDEV.P(IF(AB$9:AB92=AB92,AT$9:AT92)),""),"")</f>
        <v/>
      </c>
      <c r="AQ92" s="8" t="str">
        <f t="shared" si="55"/>
        <v/>
      </c>
      <c r="AR92" s="8" t="str">
        <f t="shared" si="56"/>
        <v/>
      </c>
      <c r="AS92" s="8" t="str">
        <f t="shared" si="57"/>
        <v/>
      </c>
      <c r="AT92" s="9" t="str">
        <f t="shared" si="58"/>
        <v/>
      </c>
      <c r="AU92" s="9" t="str">
        <f t="shared" si="59"/>
        <v/>
      </c>
      <c r="AV92" s="14"/>
      <c r="AW92" s="15"/>
      <c r="AX92" s="14" t="str">
        <f t="shared" si="60"/>
        <v/>
      </c>
      <c r="AY92" s="15"/>
      <c r="AZ92" s="23"/>
      <c r="EW92" t="s">
        <v>46</v>
      </c>
      <c r="EX92" s="33">
        <v>1089</v>
      </c>
      <c r="EY92" s="33" t="s">
        <v>293</v>
      </c>
      <c r="EZ92" s="33" t="s">
        <v>294</v>
      </c>
      <c r="FA92" s="33" t="s">
        <v>51</v>
      </c>
      <c r="FB92" s="33" t="s">
        <v>52</v>
      </c>
      <c r="FC92" s="33" t="s">
        <v>53</v>
      </c>
      <c r="FD92" s="33" t="s">
        <v>54</v>
      </c>
      <c r="FE92" s="33">
        <v>2019</v>
      </c>
      <c r="FF92" s="33" t="s">
        <v>55</v>
      </c>
      <c r="FG92" s="33" t="s">
        <v>71</v>
      </c>
      <c r="FH92" s="33" t="s">
        <v>72</v>
      </c>
      <c r="FI92" s="33" t="s">
        <v>73</v>
      </c>
      <c r="FJ92" t="s">
        <v>59</v>
      </c>
      <c r="FM92" s="32" t="s">
        <v>295</v>
      </c>
      <c r="FN92" t="s">
        <v>296</v>
      </c>
      <c r="FO92" t="s">
        <v>297</v>
      </c>
      <c r="FP92" t="str">
        <f t="shared" si="42"/>
        <v>B</v>
      </c>
      <c r="GU92" s="53">
        <v>89</v>
      </c>
      <c r="GV92" s="53">
        <v>86</v>
      </c>
    </row>
    <row r="93" spans="1:204" ht="15.5" x14ac:dyDescent="0.35">
      <c r="A93" s="95">
        <f t="shared" si="43"/>
        <v>1</v>
      </c>
      <c r="B93" s="11"/>
      <c r="C93" s="11"/>
      <c r="D93" s="92" t="str">
        <f>IFERROR(
IF(AND(OR(Planilla!B93="C",Planilla!B93="c"), VLOOKUP(E93,EX:FJ,13,0)="C"), "OK",IF(AND(OR(Planilla!B93="C",Planilla!B93="c"), OR(VLOOKUP(E93,EX:FJ,13,0)="B", VLOOKUP(E93,EX:FJ,13,0)="A")), "DEFICIT",IF(
AND(OR(Planilla!B93="B", Planilla!B93="BPAL"), VLOOKUP(E93,EX:FJ,13,0)="B"), "OK",IF(AND(OR(Planilla!B93="B", Planilla!B93="BPAL"), VLOOKUP(E93,EX:FJ,13,0)="A"), "DEFICIT",IF(AND(OR(Planilla!B93="B", Planilla!B93="BPAL"), VLOOKUP(E93,EX:FJ,13,0)="C"), "SOBREOFERTA",IF(AND(Planilla!B93="A", VLOOKUP(E93,EX:FJ,13,0)="A"), "OK",IF(
AND(Planilla!B93="A", OR(VLOOKUP(E93,EX:FJ,13,0)="B", VLOOKUP(E93,EX:FJ,13,0)="C")), "SOBREOFERTA",""
))))))),"")</f>
        <v/>
      </c>
      <c r="E93" s="12"/>
      <c r="F93" s="13"/>
      <c r="G93" s="14"/>
      <c r="H93" s="81" t="str">
        <f t="shared" si="44"/>
        <v/>
      </c>
      <c r="I93" s="7"/>
      <c r="J93" s="6" t="e">
        <f t="shared" si="45"/>
        <v>#N/A</v>
      </c>
      <c r="K93" s="6" t="str">
        <f>IF(A94&lt;&gt;A93,AVERAGEIF(A$9:A93,A93,J$9:J93),"")</f>
        <v/>
      </c>
      <c r="L93" s="7" t="str">
        <f>IFERROR(IF(A94&lt;&gt;A93,AVERAGEIF(A$9:A93,A93,S$9:S93),""),"")</f>
        <v/>
      </c>
      <c r="M93" s="7" t="str">
        <f>IFERROR(IF(A94&lt;&gt;A93,AVERAGEIF(A$9:A93,A93,T$9:T93),""),"")</f>
        <v/>
      </c>
      <c r="N93" s="7" t="str" cm="1">
        <f t="array" ref="N93">IFERROR(IF(A94&lt;&gt;A93,_xlfn.STDEV.P(IF(A$9:A93=A93,T$9:T93)),""),"")</f>
        <v/>
      </c>
      <c r="O93" s="7" t="str" cm="1">
        <f t="array" ref="O93">IFERROR(IF(A94&lt;&gt;A93,_xlfn.STDEV.P(IF(A$9:A93=A93,S$9:S93)),""),"")</f>
        <v/>
      </c>
      <c r="P93" s="8" t="str">
        <f t="shared" si="46"/>
        <v/>
      </c>
      <c r="Q93" s="8" t="str">
        <f t="shared" si="47"/>
        <v/>
      </c>
      <c r="R93" s="8" t="str">
        <f t="shared" si="48"/>
        <v/>
      </c>
      <c r="S93" s="9" t="str">
        <f t="shared" si="49"/>
        <v/>
      </c>
      <c r="T93" s="9" t="str">
        <f t="shared" si="50"/>
        <v/>
      </c>
      <c r="U93" s="14">
        <v>0.65</v>
      </c>
      <c r="V93" s="15"/>
      <c r="W93" s="14" t="str">
        <f t="shared" si="51"/>
        <v/>
      </c>
      <c r="X93" s="15"/>
      <c r="Y93" s="2"/>
      <c r="AB93" s="22">
        <f t="shared" si="52"/>
        <v>1</v>
      </c>
      <c r="AC93" s="11"/>
      <c r="AD93" s="11"/>
      <c r="AE93" s="13"/>
      <c r="AF93" s="12"/>
      <c r="AG93" s="13"/>
      <c r="AH93" s="14"/>
      <c r="AI93" s="81" t="str">
        <f t="shared" si="53"/>
        <v/>
      </c>
      <c r="AJ93" s="15"/>
      <c r="AK93" s="6" t="e">
        <f t="shared" si="54"/>
        <v>#N/A</v>
      </c>
      <c r="AL93" s="6" t="str">
        <f>IF(AB94&lt;&gt;AB93,AVERAGEIF(AB$9:AB93,AB93,AK$9:AK93),"")</f>
        <v/>
      </c>
      <c r="AM93" s="7" t="str">
        <f>IFERROR(IF(AB94&lt;&gt;AB93,AVERAGEIF(AB$9:AB93,AB93,AT$9:AT93),""),"")</f>
        <v/>
      </c>
      <c r="AN93" s="7" t="str">
        <f>IFERROR(IF(AB94&lt;&gt;AB93,AVERAGEIF(AB$9:AB93,AB93,AU$9:AU93),""),"")</f>
        <v/>
      </c>
      <c r="AO93" s="7" t="str" cm="1">
        <f t="array" ref="AO93">IFERROR(IF(AB94&lt;&gt;AB93,_xlfn.STDEV.P(IF(AB$9:AB93=AB93,AU$9:AU93)),""),"")</f>
        <v/>
      </c>
      <c r="AP93" s="7" t="str" cm="1">
        <f t="array" ref="AP93">IFERROR(IF(AB94&lt;&gt;AB93,_xlfn.STDEV.P(IF(AB$9:AB93=AB93,AT$9:AT93)),""),"")</f>
        <v/>
      </c>
      <c r="AQ93" s="8" t="str">
        <f t="shared" si="55"/>
        <v/>
      </c>
      <c r="AR93" s="8" t="str">
        <f t="shared" si="56"/>
        <v/>
      </c>
      <c r="AS93" s="8" t="str">
        <f t="shared" si="57"/>
        <v/>
      </c>
      <c r="AT93" s="9" t="str">
        <f t="shared" si="58"/>
        <v/>
      </c>
      <c r="AU93" s="9" t="str">
        <f t="shared" si="59"/>
        <v/>
      </c>
      <c r="AV93" s="14"/>
      <c r="AW93" s="15"/>
      <c r="AX93" s="14" t="str">
        <f t="shared" si="60"/>
        <v/>
      </c>
      <c r="AY93" s="15"/>
      <c r="AZ93" s="23"/>
      <c r="EW93" t="s">
        <v>46</v>
      </c>
      <c r="EX93" s="33">
        <v>1090</v>
      </c>
      <c r="EY93" s="33" t="s">
        <v>298</v>
      </c>
      <c r="EZ93" s="33" t="s">
        <v>299</v>
      </c>
      <c r="FA93" s="33" t="s">
        <v>51</v>
      </c>
      <c r="FB93" s="33" t="s">
        <v>52</v>
      </c>
      <c r="FC93" s="33" t="s">
        <v>53</v>
      </c>
      <c r="FD93" s="33" t="s">
        <v>54</v>
      </c>
      <c r="FE93" s="33">
        <v>2019</v>
      </c>
      <c r="FF93" s="33" t="s">
        <v>55</v>
      </c>
      <c r="FG93" s="33" t="s">
        <v>71</v>
      </c>
      <c r="FH93" s="33" t="s">
        <v>72</v>
      </c>
      <c r="FI93" s="33" t="s">
        <v>73</v>
      </c>
      <c r="FJ93" t="s">
        <v>59</v>
      </c>
      <c r="FM93" s="32" t="s">
        <v>295</v>
      </c>
      <c r="FN93" t="s">
        <v>296</v>
      </c>
      <c r="FO93" t="s">
        <v>297</v>
      </c>
      <c r="FP93" t="str">
        <f t="shared" si="42"/>
        <v>B</v>
      </c>
      <c r="GU93" s="53">
        <v>90</v>
      </c>
      <c r="GV93" s="53">
        <v>87</v>
      </c>
    </row>
    <row r="94" spans="1:204" ht="15.5" x14ac:dyDescent="0.35">
      <c r="A94" s="95">
        <f t="shared" si="43"/>
        <v>1</v>
      </c>
      <c r="B94" s="11"/>
      <c r="C94" s="11"/>
      <c r="D94" s="92" t="str">
        <f>IFERROR(
IF(AND(OR(Planilla!B94="C",Planilla!B94="c"), VLOOKUP(E94,EX:FJ,13,0)="C"), "OK",IF(AND(OR(Planilla!B94="C",Planilla!B94="c"), OR(VLOOKUP(E94,EX:FJ,13,0)="B", VLOOKUP(E94,EX:FJ,13,0)="A")), "DEFICIT",IF(
AND(OR(Planilla!B94="B", Planilla!B94="BPAL"), VLOOKUP(E94,EX:FJ,13,0)="B"), "OK",IF(AND(OR(Planilla!B94="B", Planilla!B94="BPAL"), VLOOKUP(E94,EX:FJ,13,0)="A"), "DEFICIT",IF(AND(OR(Planilla!B94="B", Planilla!B94="BPAL"), VLOOKUP(E94,EX:FJ,13,0)="C"), "SOBREOFERTA",IF(AND(Planilla!B94="A", VLOOKUP(E94,EX:FJ,13,0)="A"), "OK",IF(
AND(Planilla!B94="A", OR(VLOOKUP(E94,EX:FJ,13,0)="B", VLOOKUP(E94,EX:FJ,13,0)="C")), "SOBREOFERTA",""
))))))),"")</f>
        <v/>
      </c>
      <c r="E94" s="12"/>
      <c r="F94" s="13"/>
      <c r="G94" s="14"/>
      <c r="H94" s="81" t="str">
        <f t="shared" si="44"/>
        <v/>
      </c>
      <c r="I94" s="7"/>
      <c r="J94" s="6" t="e">
        <f t="shared" si="45"/>
        <v>#N/A</v>
      </c>
      <c r="K94" s="6" t="str">
        <f>IF(A95&lt;&gt;A94,AVERAGEIF(A$9:A94,A94,J$9:J94),"")</f>
        <v/>
      </c>
      <c r="L94" s="7" t="str">
        <f>IFERROR(IF(A95&lt;&gt;A94,AVERAGEIF(A$9:A94,A94,S$9:S94),""),"")</f>
        <v/>
      </c>
      <c r="M94" s="7" t="str">
        <f>IFERROR(IF(A95&lt;&gt;A94,AVERAGEIF(A$9:A94,A94,T$9:T94),""),"")</f>
        <v/>
      </c>
      <c r="N94" s="7" t="str" cm="1">
        <f t="array" ref="N94">IFERROR(IF(A95&lt;&gt;A94,_xlfn.STDEV.P(IF(A$9:A94=A94,T$9:T94)),""),"")</f>
        <v/>
      </c>
      <c r="O94" s="7" t="str" cm="1">
        <f t="array" ref="O94">IFERROR(IF(A95&lt;&gt;A94,_xlfn.STDEV.P(IF(A$9:A94=A94,S$9:S94)),""),"")</f>
        <v/>
      </c>
      <c r="P94" s="8" t="str">
        <f t="shared" si="46"/>
        <v/>
      </c>
      <c r="Q94" s="8" t="str">
        <f t="shared" si="47"/>
        <v/>
      </c>
      <c r="R94" s="8" t="str">
        <f t="shared" si="48"/>
        <v/>
      </c>
      <c r="S94" s="9" t="str">
        <f t="shared" si="49"/>
        <v/>
      </c>
      <c r="T94" s="9" t="str">
        <f t="shared" si="50"/>
        <v/>
      </c>
      <c r="U94" s="14">
        <v>0.65625</v>
      </c>
      <c r="V94" s="15"/>
      <c r="W94" s="14" t="str">
        <f t="shared" si="51"/>
        <v/>
      </c>
      <c r="X94" s="15"/>
      <c r="Y94" s="2"/>
      <c r="AB94" s="22">
        <f t="shared" si="52"/>
        <v>1</v>
      </c>
      <c r="AC94" s="11"/>
      <c r="AD94" s="11"/>
      <c r="AE94" s="13"/>
      <c r="AF94" s="12"/>
      <c r="AG94" s="13"/>
      <c r="AH94" s="14"/>
      <c r="AI94" s="81" t="str">
        <f t="shared" si="53"/>
        <v/>
      </c>
      <c r="AJ94" s="15"/>
      <c r="AK94" s="6" t="e">
        <f t="shared" si="54"/>
        <v>#N/A</v>
      </c>
      <c r="AL94" s="6" t="str">
        <f>IF(AB95&lt;&gt;AB94,AVERAGEIF(AB$9:AB94,AB94,AK$9:AK94),"")</f>
        <v/>
      </c>
      <c r="AM94" s="7" t="str">
        <f>IFERROR(IF(AB95&lt;&gt;AB94,AVERAGEIF(AB$9:AB94,AB94,AT$9:AT94),""),"")</f>
        <v/>
      </c>
      <c r="AN94" s="7" t="str">
        <f>IFERROR(IF(AB95&lt;&gt;AB94,AVERAGEIF(AB$9:AB94,AB94,AU$9:AU94),""),"")</f>
        <v/>
      </c>
      <c r="AO94" s="7" t="str" cm="1">
        <f t="array" ref="AO94">IFERROR(IF(AB95&lt;&gt;AB94,_xlfn.STDEV.P(IF(AB$9:AB94=AB94,AU$9:AU94)),""),"")</f>
        <v/>
      </c>
      <c r="AP94" s="7" t="str" cm="1">
        <f t="array" ref="AP94">IFERROR(IF(AB95&lt;&gt;AB94,_xlfn.STDEV.P(IF(AB$9:AB94=AB94,AT$9:AT94)),""),"")</f>
        <v/>
      </c>
      <c r="AQ94" s="8" t="str">
        <f t="shared" si="55"/>
        <v/>
      </c>
      <c r="AR94" s="8" t="str">
        <f t="shared" si="56"/>
        <v/>
      </c>
      <c r="AS94" s="8" t="str">
        <f t="shared" si="57"/>
        <v/>
      </c>
      <c r="AT94" s="9" t="str">
        <f t="shared" si="58"/>
        <v/>
      </c>
      <c r="AU94" s="9" t="str">
        <f t="shared" si="59"/>
        <v/>
      </c>
      <c r="AV94" s="14"/>
      <c r="AW94" s="15"/>
      <c r="AX94" s="14" t="str">
        <f t="shared" si="60"/>
        <v/>
      </c>
      <c r="AY94" s="15"/>
      <c r="AZ94" s="23"/>
      <c r="EW94" t="s">
        <v>46</v>
      </c>
      <c r="EX94" s="33">
        <v>1091</v>
      </c>
      <c r="EY94" s="33" t="s">
        <v>300</v>
      </c>
      <c r="EZ94" s="33" t="s">
        <v>301</v>
      </c>
      <c r="FA94" s="33" t="s">
        <v>51</v>
      </c>
      <c r="FB94" s="33" t="s">
        <v>52</v>
      </c>
      <c r="FC94" s="33" t="s">
        <v>53</v>
      </c>
      <c r="FD94" s="33" t="s">
        <v>54</v>
      </c>
      <c r="FE94" s="33">
        <v>2019</v>
      </c>
      <c r="FF94" s="33" t="s">
        <v>55</v>
      </c>
      <c r="FG94" s="33" t="s">
        <v>56</v>
      </c>
      <c r="FH94" s="33" t="s">
        <v>57</v>
      </c>
      <c r="FI94" s="33" t="s">
        <v>58</v>
      </c>
      <c r="FJ94" t="s">
        <v>59</v>
      </c>
      <c r="FM94" s="32" t="s">
        <v>295</v>
      </c>
      <c r="FN94" t="s">
        <v>296</v>
      </c>
      <c r="FO94" t="s">
        <v>297</v>
      </c>
      <c r="FP94" t="str">
        <f t="shared" si="42"/>
        <v>B</v>
      </c>
      <c r="GU94" s="53">
        <v>91</v>
      </c>
      <c r="GV94" s="53">
        <v>88</v>
      </c>
    </row>
    <row r="95" spans="1:204" ht="15.5" x14ac:dyDescent="0.35">
      <c r="A95" s="95">
        <f t="shared" si="43"/>
        <v>1</v>
      </c>
      <c r="B95" s="11"/>
      <c r="C95" s="11"/>
      <c r="D95" s="92" t="str">
        <f>IFERROR(
IF(AND(OR(Planilla!B95="C",Planilla!B95="c"), VLOOKUP(E95,EX:FJ,13,0)="C"), "OK",IF(AND(OR(Planilla!B95="C",Planilla!B95="c"), OR(VLOOKUP(E95,EX:FJ,13,0)="B", VLOOKUP(E95,EX:FJ,13,0)="A")), "DEFICIT",IF(
AND(OR(Planilla!B95="B", Planilla!B95="BPAL"), VLOOKUP(E95,EX:FJ,13,0)="B"), "OK",IF(AND(OR(Planilla!B95="B", Planilla!B95="BPAL"), VLOOKUP(E95,EX:FJ,13,0)="A"), "DEFICIT",IF(AND(OR(Planilla!B95="B", Planilla!B95="BPAL"), VLOOKUP(E95,EX:FJ,13,0)="C"), "SOBREOFERTA",IF(AND(Planilla!B95="A", VLOOKUP(E95,EX:FJ,13,0)="A"), "OK",IF(
AND(Planilla!B95="A", OR(VLOOKUP(E95,EX:FJ,13,0)="B", VLOOKUP(E95,EX:FJ,13,0)="C")), "SOBREOFERTA",""
))))))),"")</f>
        <v/>
      </c>
      <c r="E95" s="12"/>
      <c r="F95" s="13"/>
      <c r="G95" s="14"/>
      <c r="H95" s="81" t="str">
        <f t="shared" si="44"/>
        <v/>
      </c>
      <c r="I95" s="7"/>
      <c r="J95" s="6" t="e">
        <f t="shared" si="45"/>
        <v>#N/A</v>
      </c>
      <c r="K95" s="6" t="str">
        <f>IF(A96&lt;&gt;A95,AVERAGEIF(A$9:A95,A95,J$9:J95),"")</f>
        <v/>
      </c>
      <c r="L95" s="7" t="str">
        <f>IFERROR(IF(A96&lt;&gt;A95,AVERAGEIF(A$9:A95,A95,S$9:S95),""),"")</f>
        <v/>
      </c>
      <c r="M95" s="7" t="str">
        <f>IFERROR(IF(A96&lt;&gt;A95,AVERAGEIF(A$9:A95,A95,T$9:T95),""),"")</f>
        <v/>
      </c>
      <c r="N95" s="7" t="str" cm="1">
        <f t="array" ref="N95">IFERROR(IF(A96&lt;&gt;A95,_xlfn.STDEV.P(IF(A$9:A95=A95,T$9:T95)),""),"")</f>
        <v/>
      </c>
      <c r="O95" s="7" t="str" cm="1">
        <f t="array" ref="O95">IFERROR(IF(A96&lt;&gt;A95,_xlfn.STDEV.P(IF(A$9:A95=A95,S$9:S95)),""),"")</f>
        <v/>
      </c>
      <c r="P95" s="8" t="str">
        <f t="shared" si="46"/>
        <v/>
      </c>
      <c r="Q95" s="8" t="str">
        <f t="shared" si="47"/>
        <v/>
      </c>
      <c r="R95" s="8" t="str">
        <f t="shared" si="48"/>
        <v/>
      </c>
      <c r="S95" s="9" t="str">
        <f t="shared" si="49"/>
        <v/>
      </c>
      <c r="T95" s="9" t="str">
        <f t="shared" si="50"/>
        <v/>
      </c>
      <c r="U95" s="14">
        <v>0.6645833333333333</v>
      </c>
      <c r="V95" s="15"/>
      <c r="W95" s="14" t="str">
        <f t="shared" si="51"/>
        <v/>
      </c>
      <c r="X95" s="15"/>
      <c r="Y95" s="2"/>
      <c r="AB95" s="22">
        <f t="shared" si="52"/>
        <v>1</v>
      </c>
      <c r="AC95" s="11"/>
      <c r="AD95" s="11"/>
      <c r="AE95" s="13"/>
      <c r="AF95" s="12"/>
      <c r="AG95" s="13"/>
      <c r="AH95" s="14"/>
      <c r="AI95" s="81" t="str">
        <f t="shared" si="53"/>
        <v/>
      </c>
      <c r="AJ95" s="15"/>
      <c r="AK95" s="6" t="e">
        <f t="shared" si="54"/>
        <v>#N/A</v>
      </c>
      <c r="AL95" s="6" t="str">
        <f>IF(AB96&lt;&gt;AB95,AVERAGEIF(AB$9:AB95,AB95,AK$9:AK95),"")</f>
        <v/>
      </c>
      <c r="AM95" s="7" t="str">
        <f>IFERROR(IF(AB96&lt;&gt;AB95,AVERAGEIF(AB$9:AB95,AB95,AT$9:AT95),""),"")</f>
        <v/>
      </c>
      <c r="AN95" s="7" t="str">
        <f>IFERROR(IF(AB96&lt;&gt;AB95,AVERAGEIF(AB$9:AB95,AB95,AU$9:AU95),""),"")</f>
        <v/>
      </c>
      <c r="AO95" s="7" t="str" cm="1">
        <f t="array" ref="AO95">IFERROR(IF(AB96&lt;&gt;AB95,_xlfn.STDEV.P(IF(AB$9:AB95=AB95,AU$9:AU95)),""),"")</f>
        <v/>
      </c>
      <c r="AP95" s="7" t="str" cm="1">
        <f t="array" ref="AP95">IFERROR(IF(AB96&lt;&gt;AB95,_xlfn.STDEV.P(IF(AB$9:AB95=AB95,AT$9:AT95)),""),"")</f>
        <v/>
      </c>
      <c r="AQ95" s="8" t="str">
        <f t="shared" si="55"/>
        <v/>
      </c>
      <c r="AR95" s="8" t="str">
        <f t="shared" si="56"/>
        <v/>
      </c>
      <c r="AS95" s="8" t="str">
        <f t="shared" si="57"/>
        <v/>
      </c>
      <c r="AT95" s="9" t="str">
        <f t="shared" si="58"/>
        <v/>
      </c>
      <c r="AU95" s="9" t="str">
        <f t="shared" si="59"/>
        <v/>
      </c>
      <c r="AV95" s="14"/>
      <c r="AW95" s="15"/>
      <c r="AX95" s="14" t="str">
        <f t="shared" si="60"/>
        <v/>
      </c>
      <c r="AY95" s="15"/>
      <c r="AZ95" s="23"/>
      <c r="EW95" t="s">
        <v>46</v>
      </c>
      <c r="EX95" s="33">
        <v>1092</v>
      </c>
      <c r="EY95" s="33" t="s">
        <v>302</v>
      </c>
      <c r="EZ95" s="33" t="s">
        <v>303</v>
      </c>
      <c r="FA95" s="33" t="s">
        <v>51</v>
      </c>
      <c r="FB95" s="33" t="s">
        <v>52</v>
      </c>
      <c r="FC95" s="33" t="s">
        <v>53</v>
      </c>
      <c r="FD95" s="33" t="s">
        <v>54</v>
      </c>
      <c r="FE95" s="33">
        <v>2019</v>
      </c>
      <c r="FF95" s="33" t="s">
        <v>55</v>
      </c>
      <c r="FG95" s="33" t="s">
        <v>71</v>
      </c>
      <c r="FH95" s="33" t="s">
        <v>72</v>
      </c>
      <c r="FI95" s="33" t="s">
        <v>73</v>
      </c>
      <c r="FJ95" t="s">
        <v>59</v>
      </c>
      <c r="FM95" s="32" t="s">
        <v>295</v>
      </c>
      <c r="FN95" t="s">
        <v>296</v>
      </c>
      <c r="FO95" t="s">
        <v>297</v>
      </c>
      <c r="FP95" t="str">
        <f t="shared" si="42"/>
        <v>B</v>
      </c>
      <c r="GU95" s="53">
        <v>92</v>
      </c>
      <c r="GV95" s="53">
        <v>89</v>
      </c>
    </row>
    <row r="96" spans="1:204" ht="15.5" x14ac:dyDescent="0.35">
      <c r="A96" s="95">
        <f t="shared" si="43"/>
        <v>1</v>
      </c>
      <c r="B96" s="11"/>
      <c r="C96" s="11"/>
      <c r="D96" s="92" t="str">
        <f>IFERROR(
IF(AND(OR(Planilla!B96="C",Planilla!B96="c"), VLOOKUP(E96,EX:FJ,13,0)="C"), "OK",IF(AND(OR(Planilla!B96="C",Planilla!B96="c"), OR(VLOOKUP(E96,EX:FJ,13,0)="B", VLOOKUP(E96,EX:FJ,13,0)="A")), "DEFICIT",IF(
AND(OR(Planilla!B96="B", Planilla!B96="BPAL"), VLOOKUP(E96,EX:FJ,13,0)="B"), "OK",IF(AND(OR(Planilla!B96="B", Planilla!B96="BPAL"), VLOOKUP(E96,EX:FJ,13,0)="A"), "DEFICIT",IF(AND(OR(Planilla!B96="B", Planilla!B96="BPAL"), VLOOKUP(E96,EX:FJ,13,0)="C"), "SOBREOFERTA",IF(AND(Planilla!B96="A", VLOOKUP(E96,EX:FJ,13,0)="A"), "OK",IF(
AND(Planilla!B96="A", OR(VLOOKUP(E96,EX:FJ,13,0)="B", VLOOKUP(E96,EX:FJ,13,0)="C")), "SOBREOFERTA",""
))))))),"")</f>
        <v/>
      </c>
      <c r="E96" s="12"/>
      <c r="F96" s="13"/>
      <c r="G96" s="14"/>
      <c r="H96" s="81" t="str">
        <f t="shared" si="44"/>
        <v/>
      </c>
      <c r="I96" s="7"/>
      <c r="J96" s="6" t="e">
        <f t="shared" si="45"/>
        <v>#N/A</v>
      </c>
      <c r="K96" s="6" t="str">
        <f>IF(A97&lt;&gt;A96,AVERAGEIF(A$9:A96,A96,J$9:J96),"")</f>
        <v/>
      </c>
      <c r="L96" s="7" t="str">
        <f>IFERROR(IF(A97&lt;&gt;A96,AVERAGEIF(A$9:A96,A96,S$9:S96),""),"")</f>
        <v/>
      </c>
      <c r="M96" s="7" t="str">
        <f>IFERROR(IF(A97&lt;&gt;A96,AVERAGEIF(A$9:A96,A96,T$9:T96),""),"")</f>
        <v/>
      </c>
      <c r="N96" s="7" t="str" cm="1">
        <f t="array" ref="N96">IFERROR(IF(A97&lt;&gt;A96,_xlfn.STDEV.P(IF(A$9:A96=A96,T$9:T96)),""),"")</f>
        <v/>
      </c>
      <c r="O96" s="7" t="str" cm="1">
        <f t="array" ref="O96">IFERROR(IF(A97&lt;&gt;A96,_xlfn.STDEV.P(IF(A$9:A96=A96,S$9:S96)),""),"")</f>
        <v/>
      </c>
      <c r="P96" s="8" t="str">
        <f t="shared" si="46"/>
        <v/>
      </c>
      <c r="Q96" s="8" t="str">
        <f t="shared" si="47"/>
        <v/>
      </c>
      <c r="R96" s="8" t="str">
        <f t="shared" si="48"/>
        <v/>
      </c>
      <c r="S96" s="9" t="str">
        <f t="shared" si="49"/>
        <v/>
      </c>
      <c r="T96" s="9" t="str">
        <f t="shared" si="50"/>
        <v/>
      </c>
      <c r="U96" s="14">
        <v>0.67291666666666672</v>
      </c>
      <c r="V96" s="15"/>
      <c r="W96" s="14" t="str">
        <f t="shared" si="51"/>
        <v/>
      </c>
      <c r="X96" s="15"/>
      <c r="Y96" s="2"/>
      <c r="AB96" s="22">
        <f t="shared" si="52"/>
        <v>1</v>
      </c>
      <c r="AC96" s="11"/>
      <c r="AD96" s="11"/>
      <c r="AE96" s="13"/>
      <c r="AF96" s="12"/>
      <c r="AG96" s="13"/>
      <c r="AH96" s="14"/>
      <c r="AI96" s="81" t="str">
        <f t="shared" si="53"/>
        <v/>
      </c>
      <c r="AJ96" s="15"/>
      <c r="AK96" s="6" t="e">
        <f t="shared" si="54"/>
        <v>#N/A</v>
      </c>
      <c r="AL96" s="6" t="str">
        <f>IF(AB97&lt;&gt;AB96,AVERAGEIF(AB$9:AB96,AB96,AK$9:AK96),"")</f>
        <v/>
      </c>
      <c r="AM96" s="7" t="str">
        <f>IFERROR(IF(AB97&lt;&gt;AB96,AVERAGEIF(AB$9:AB96,AB96,AT$9:AT96),""),"")</f>
        <v/>
      </c>
      <c r="AN96" s="7" t="str">
        <f>IFERROR(IF(AB97&lt;&gt;AB96,AVERAGEIF(AB$9:AB96,AB96,AU$9:AU96),""),"")</f>
        <v/>
      </c>
      <c r="AO96" s="7" t="str" cm="1">
        <f t="array" ref="AO96">IFERROR(IF(AB97&lt;&gt;AB96,_xlfn.STDEV.P(IF(AB$9:AB96=AB96,AU$9:AU96)),""),"")</f>
        <v/>
      </c>
      <c r="AP96" s="7" t="str" cm="1">
        <f t="array" ref="AP96">IFERROR(IF(AB97&lt;&gt;AB96,_xlfn.STDEV.P(IF(AB$9:AB96=AB96,AT$9:AT96)),""),"")</f>
        <v/>
      </c>
      <c r="AQ96" s="8" t="str">
        <f t="shared" si="55"/>
        <v/>
      </c>
      <c r="AR96" s="8" t="str">
        <f t="shared" si="56"/>
        <v/>
      </c>
      <c r="AS96" s="8" t="str">
        <f t="shared" si="57"/>
        <v/>
      </c>
      <c r="AT96" s="9" t="str">
        <f t="shared" si="58"/>
        <v/>
      </c>
      <c r="AU96" s="9" t="str">
        <f t="shared" si="59"/>
        <v/>
      </c>
      <c r="AV96" s="14"/>
      <c r="AW96" s="15"/>
      <c r="AX96" s="14" t="str">
        <f t="shared" si="60"/>
        <v/>
      </c>
      <c r="AY96" s="15"/>
      <c r="AZ96" s="23"/>
      <c r="EW96" t="s">
        <v>46</v>
      </c>
      <c r="EX96" s="33">
        <v>1093</v>
      </c>
      <c r="EY96" s="33" t="s">
        <v>304</v>
      </c>
      <c r="EZ96" s="33" t="s">
        <v>305</v>
      </c>
      <c r="FA96" s="33" t="s">
        <v>51</v>
      </c>
      <c r="FB96" s="33" t="s">
        <v>52</v>
      </c>
      <c r="FC96" s="33" t="s">
        <v>53</v>
      </c>
      <c r="FD96" s="33" t="s">
        <v>54</v>
      </c>
      <c r="FE96" s="33">
        <v>2019</v>
      </c>
      <c r="FF96" s="33" t="s">
        <v>55</v>
      </c>
      <c r="FG96" s="33" t="s">
        <v>71</v>
      </c>
      <c r="FH96" s="33" t="s">
        <v>72</v>
      </c>
      <c r="FI96" s="33" t="s">
        <v>73</v>
      </c>
      <c r="FJ96" t="s">
        <v>59</v>
      </c>
      <c r="FM96" s="32" t="s">
        <v>295</v>
      </c>
      <c r="FN96" t="s">
        <v>296</v>
      </c>
      <c r="FO96" t="s">
        <v>297</v>
      </c>
      <c r="FP96" t="str">
        <f t="shared" si="42"/>
        <v>B</v>
      </c>
      <c r="GU96" s="53">
        <v>93</v>
      </c>
      <c r="GV96" s="53">
        <v>90</v>
      </c>
    </row>
    <row r="97" spans="1:204" ht="15.5" x14ac:dyDescent="0.35">
      <c r="A97" s="95">
        <f t="shared" si="43"/>
        <v>1</v>
      </c>
      <c r="B97" s="11"/>
      <c r="C97" s="11"/>
      <c r="D97" s="92" t="str">
        <f>IFERROR(
IF(AND(OR(Planilla!B97="C",Planilla!B97="c"), VLOOKUP(E97,EX:FJ,13,0)="C"), "OK",IF(AND(OR(Planilla!B97="C",Planilla!B97="c"), OR(VLOOKUP(E97,EX:FJ,13,0)="B", VLOOKUP(E97,EX:FJ,13,0)="A")), "DEFICIT",IF(
AND(OR(Planilla!B97="B", Planilla!B97="BPAL"), VLOOKUP(E97,EX:FJ,13,0)="B"), "OK",IF(AND(OR(Planilla!B97="B", Planilla!B97="BPAL"), VLOOKUP(E97,EX:FJ,13,0)="A"), "DEFICIT",IF(AND(OR(Planilla!B97="B", Planilla!B97="BPAL"), VLOOKUP(E97,EX:FJ,13,0)="C"), "SOBREOFERTA",IF(AND(Planilla!B97="A", VLOOKUP(E97,EX:FJ,13,0)="A"), "OK",IF(
AND(Planilla!B97="A", OR(VLOOKUP(E97,EX:FJ,13,0)="B", VLOOKUP(E97,EX:FJ,13,0)="C")), "SOBREOFERTA",""
))))))),"")</f>
        <v/>
      </c>
      <c r="E97" s="12"/>
      <c r="F97" s="13"/>
      <c r="G97" s="14"/>
      <c r="H97" s="81" t="str">
        <f t="shared" si="44"/>
        <v/>
      </c>
      <c r="I97" s="7"/>
      <c r="J97" s="6" t="e">
        <f t="shared" si="45"/>
        <v>#N/A</v>
      </c>
      <c r="K97" s="6" t="str">
        <f>IF(A98&lt;&gt;A97,AVERAGEIF(A$9:A97,A97,J$9:J97),"")</f>
        <v/>
      </c>
      <c r="L97" s="7" t="str">
        <f>IFERROR(IF(A98&lt;&gt;A97,AVERAGEIF(A$9:A97,A97,S$9:S97),""),"")</f>
        <v/>
      </c>
      <c r="M97" s="7" t="str">
        <f>IFERROR(IF(A98&lt;&gt;A97,AVERAGEIF(A$9:A97,A97,T$9:T97),""),"")</f>
        <v/>
      </c>
      <c r="N97" s="7" t="str" cm="1">
        <f t="array" ref="N97">IFERROR(IF(A98&lt;&gt;A97,_xlfn.STDEV.P(IF(A$9:A97=A97,T$9:T97)),""),"")</f>
        <v/>
      </c>
      <c r="O97" s="7" t="str" cm="1">
        <f t="array" ref="O97">IFERROR(IF(A98&lt;&gt;A97,_xlfn.STDEV.P(IF(A$9:A97=A97,S$9:S97)),""),"")</f>
        <v/>
      </c>
      <c r="P97" s="8" t="str">
        <f t="shared" si="46"/>
        <v/>
      </c>
      <c r="Q97" s="8" t="str">
        <f t="shared" si="47"/>
        <v/>
      </c>
      <c r="R97" s="8" t="str">
        <f t="shared" si="48"/>
        <v/>
      </c>
      <c r="S97" s="9" t="str">
        <f t="shared" si="49"/>
        <v/>
      </c>
      <c r="T97" s="9" t="str">
        <f t="shared" si="50"/>
        <v/>
      </c>
      <c r="U97" s="14">
        <v>0.68263888888888891</v>
      </c>
      <c r="V97" s="15"/>
      <c r="W97" s="14" t="str">
        <f t="shared" si="51"/>
        <v/>
      </c>
      <c r="X97" s="15"/>
      <c r="Y97" s="2"/>
      <c r="AB97" s="22">
        <f t="shared" si="52"/>
        <v>1</v>
      </c>
      <c r="AC97" s="11"/>
      <c r="AD97" s="11"/>
      <c r="AE97" s="13"/>
      <c r="AF97" s="12"/>
      <c r="AG97" s="13"/>
      <c r="AH97" s="14"/>
      <c r="AI97" s="81" t="str">
        <f t="shared" si="53"/>
        <v/>
      </c>
      <c r="AJ97" s="15"/>
      <c r="AK97" s="6" t="e">
        <f t="shared" si="54"/>
        <v>#N/A</v>
      </c>
      <c r="AL97" s="6" t="str">
        <f>IF(AB98&lt;&gt;AB97,AVERAGEIF(AB$9:AB97,AB97,AK$9:AK97),"")</f>
        <v/>
      </c>
      <c r="AM97" s="7" t="str">
        <f>IFERROR(IF(AB98&lt;&gt;AB97,AVERAGEIF(AB$9:AB97,AB97,AT$9:AT97),""),"")</f>
        <v/>
      </c>
      <c r="AN97" s="7" t="str">
        <f>IFERROR(IF(AB98&lt;&gt;AB97,AVERAGEIF(AB$9:AB97,AB97,AU$9:AU97),""),"")</f>
        <v/>
      </c>
      <c r="AO97" s="7" t="str" cm="1">
        <f t="array" ref="AO97">IFERROR(IF(AB98&lt;&gt;AB97,_xlfn.STDEV.P(IF(AB$9:AB97=AB97,AU$9:AU97)),""),"")</f>
        <v/>
      </c>
      <c r="AP97" s="7" t="str" cm="1">
        <f t="array" ref="AP97">IFERROR(IF(AB98&lt;&gt;AB97,_xlfn.STDEV.P(IF(AB$9:AB97=AB97,AT$9:AT97)),""),"")</f>
        <v/>
      </c>
      <c r="AQ97" s="8" t="str">
        <f t="shared" si="55"/>
        <v/>
      </c>
      <c r="AR97" s="8" t="str">
        <f t="shared" si="56"/>
        <v/>
      </c>
      <c r="AS97" s="8" t="str">
        <f t="shared" si="57"/>
        <v/>
      </c>
      <c r="AT97" s="9" t="str">
        <f t="shared" si="58"/>
        <v/>
      </c>
      <c r="AU97" s="9" t="str">
        <f t="shared" si="59"/>
        <v/>
      </c>
      <c r="AV97" s="14"/>
      <c r="AW97" s="15"/>
      <c r="AX97" s="14" t="str">
        <f t="shared" si="60"/>
        <v/>
      </c>
      <c r="AY97" s="15"/>
      <c r="AZ97" s="23"/>
      <c r="EW97" t="s">
        <v>46</v>
      </c>
      <c r="EX97" s="33">
        <v>1094</v>
      </c>
      <c r="EY97" s="33" t="s">
        <v>306</v>
      </c>
      <c r="EZ97" s="33" t="s">
        <v>307</v>
      </c>
      <c r="FA97" s="33" t="s">
        <v>51</v>
      </c>
      <c r="FB97" s="33" t="s">
        <v>52</v>
      </c>
      <c r="FC97" s="33" t="s">
        <v>53</v>
      </c>
      <c r="FD97" s="33" t="s">
        <v>54</v>
      </c>
      <c r="FE97" s="33">
        <v>2019</v>
      </c>
      <c r="FF97" s="33" t="s">
        <v>55</v>
      </c>
      <c r="FG97" s="33" t="s">
        <v>56</v>
      </c>
      <c r="FH97" s="33" t="s">
        <v>57</v>
      </c>
      <c r="FI97" s="33" t="s">
        <v>58</v>
      </c>
      <c r="FJ97" t="s">
        <v>59</v>
      </c>
      <c r="FM97" s="32" t="s">
        <v>308</v>
      </c>
      <c r="FN97" t="s">
        <v>309</v>
      </c>
      <c r="FO97" t="s">
        <v>310</v>
      </c>
      <c r="FP97" t="str">
        <f t="shared" si="42"/>
        <v>B</v>
      </c>
      <c r="GU97" s="53">
        <v>94</v>
      </c>
      <c r="GV97" s="53">
        <v>91</v>
      </c>
    </row>
    <row r="98" spans="1:204" ht="15.5" x14ac:dyDescent="0.35">
      <c r="A98" s="95">
        <f t="shared" si="43"/>
        <v>1</v>
      </c>
      <c r="B98" s="11"/>
      <c r="C98" s="11"/>
      <c r="D98" s="92" t="str">
        <f>IFERROR(
IF(AND(OR(Planilla!B98="C",Planilla!B98="c"), VLOOKUP(E98,EX:FJ,13,0)="C"), "OK",IF(AND(OR(Planilla!B98="C",Planilla!B98="c"), OR(VLOOKUP(E98,EX:FJ,13,0)="B", VLOOKUP(E98,EX:FJ,13,0)="A")), "DEFICIT",IF(
AND(OR(Planilla!B98="B", Planilla!B98="BPAL"), VLOOKUP(E98,EX:FJ,13,0)="B"), "OK",IF(AND(OR(Planilla!B98="B", Planilla!B98="BPAL"), VLOOKUP(E98,EX:FJ,13,0)="A"), "DEFICIT",IF(AND(OR(Planilla!B98="B", Planilla!B98="BPAL"), VLOOKUP(E98,EX:FJ,13,0)="C"), "SOBREOFERTA",IF(AND(Planilla!B98="A", VLOOKUP(E98,EX:FJ,13,0)="A"), "OK",IF(
AND(Planilla!B98="A", OR(VLOOKUP(E98,EX:FJ,13,0)="B", VLOOKUP(E98,EX:FJ,13,0)="C")), "SOBREOFERTA",""
))))))),"")</f>
        <v/>
      </c>
      <c r="E98" s="12"/>
      <c r="F98" s="13"/>
      <c r="G98" s="14"/>
      <c r="H98" s="81" t="str">
        <f t="shared" si="44"/>
        <v/>
      </c>
      <c r="I98" s="7"/>
      <c r="J98" s="6" t="e">
        <f t="shared" si="45"/>
        <v>#N/A</v>
      </c>
      <c r="K98" s="6" t="str">
        <f>IF(A99&lt;&gt;A98,AVERAGEIF(A$9:A98,A98,J$9:J98),"")</f>
        <v/>
      </c>
      <c r="L98" s="7" t="str">
        <f>IFERROR(IF(A99&lt;&gt;A98,AVERAGEIF(A$9:A98,A98,S$9:S98),""),"")</f>
        <v/>
      </c>
      <c r="M98" s="7" t="str">
        <f>IFERROR(IF(A99&lt;&gt;A98,AVERAGEIF(A$9:A98,A98,T$9:T98),""),"")</f>
        <v/>
      </c>
      <c r="N98" s="7" t="str" cm="1">
        <f t="array" ref="N98">IFERROR(IF(A99&lt;&gt;A98,_xlfn.STDEV.P(IF(A$9:A98=A98,T$9:T98)),""),"")</f>
        <v/>
      </c>
      <c r="O98" s="7" t="str" cm="1">
        <f t="array" ref="O98">IFERROR(IF(A99&lt;&gt;A98,_xlfn.STDEV.P(IF(A$9:A98=A98,S$9:S98)),""),"")</f>
        <v/>
      </c>
      <c r="P98" s="8" t="str">
        <f t="shared" si="46"/>
        <v/>
      </c>
      <c r="Q98" s="8" t="str">
        <f t="shared" si="47"/>
        <v/>
      </c>
      <c r="R98" s="8" t="str">
        <f t="shared" si="48"/>
        <v/>
      </c>
      <c r="S98" s="9" t="str">
        <f t="shared" si="49"/>
        <v/>
      </c>
      <c r="T98" s="9" t="str">
        <f t="shared" si="50"/>
        <v/>
      </c>
      <c r="U98" s="14">
        <v>0.68472222222222223</v>
      </c>
      <c r="V98" s="15"/>
      <c r="W98" s="14" t="str">
        <f t="shared" si="51"/>
        <v/>
      </c>
      <c r="X98" s="15"/>
      <c r="Y98" s="2"/>
      <c r="AB98" s="22">
        <f t="shared" si="52"/>
        <v>1</v>
      </c>
      <c r="AC98" s="11"/>
      <c r="AD98" s="11"/>
      <c r="AE98" s="13"/>
      <c r="AF98" s="12"/>
      <c r="AG98" s="13"/>
      <c r="AH98" s="14"/>
      <c r="AI98" s="81" t="str">
        <f t="shared" si="53"/>
        <v/>
      </c>
      <c r="AJ98" s="15"/>
      <c r="AK98" s="6" t="e">
        <f t="shared" si="54"/>
        <v>#N/A</v>
      </c>
      <c r="AL98" s="6" t="str">
        <f>IF(AB99&lt;&gt;AB98,AVERAGEIF(AB$9:AB98,AB98,AK$9:AK98),"")</f>
        <v/>
      </c>
      <c r="AM98" s="7" t="str">
        <f>IFERROR(IF(AB99&lt;&gt;AB98,AVERAGEIF(AB$9:AB98,AB98,AT$9:AT98),""),"")</f>
        <v/>
      </c>
      <c r="AN98" s="7" t="str">
        <f>IFERROR(IF(AB99&lt;&gt;AB98,AVERAGEIF(AB$9:AB98,AB98,AU$9:AU98),""),"")</f>
        <v/>
      </c>
      <c r="AO98" s="7" t="str" cm="1">
        <f t="array" ref="AO98">IFERROR(IF(AB99&lt;&gt;AB98,_xlfn.STDEV.P(IF(AB$9:AB98=AB98,AU$9:AU98)),""),"")</f>
        <v/>
      </c>
      <c r="AP98" s="7" t="str" cm="1">
        <f t="array" ref="AP98">IFERROR(IF(AB99&lt;&gt;AB98,_xlfn.STDEV.P(IF(AB$9:AB98=AB98,AT$9:AT98)),""),"")</f>
        <v/>
      </c>
      <c r="AQ98" s="8" t="str">
        <f t="shared" si="55"/>
        <v/>
      </c>
      <c r="AR98" s="8" t="str">
        <f t="shared" si="56"/>
        <v/>
      </c>
      <c r="AS98" s="8" t="str">
        <f t="shared" si="57"/>
        <v/>
      </c>
      <c r="AT98" s="9" t="str">
        <f t="shared" si="58"/>
        <v/>
      </c>
      <c r="AU98" s="9" t="str">
        <f t="shared" si="59"/>
        <v/>
      </c>
      <c r="AV98" s="14"/>
      <c r="AW98" s="15"/>
      <c r="AX98" s="14" t="str">
        <f t="shared" si="60"/>
        <v/>
      </c>
      <c r="AY98" s="15"/>
      <c r="AZ98" s="23"/>
      <c r="EW98" t="s">
        <v>46</v>
      </c>
      <c r="EX98" s="33">
        <v>1095</v>
      </c>
      <c r="EY98" s="33" t="s">
        <v>311</v>
      </c>
      <c r="EZ98" s="33" t="s">
        <v>312</v>
      </c>
      <c r="FA98" s="33" t="s">
        <v>51</v>
      </c>
      <c r="FB98" s="33" t="s">
        <v>52</v>
      </c>
      <c r="FC98" s="33" t="s">
        <v>53</v>
      </c>
      <c r="FD98" s="33" t="s">
        <v>54</v>
      </c>
      <c r="FE98" s="33">
        <v>2019</v>
      </c>
      <c r="FF98" s="33" t="s">
        <v>55</v>
      </c>
      <c r="FG98" s="33" t="s">
        <v>71</v>
      </c>
      <c r="FH98" s="33" t="s">
        <v>72</v>
      </c>
      <c r="FI98" s="33" t="s">
        <v>73</v>
      </c>
      <c r="FJ98" t="s">
        <v>59</v>
      </c>
      <c r="FM98" s="32" t="s">
        <v>308</v>
      </c>
      <c r="FN98" t="s">
        <v>309</v>
      </c>
      <c r="FO98" t="s">
        <v>310</v>
      </c>
      <c r="FP98" t="str">
        <f t="shared" si="42"/>
        <v>B</v>
      </c>
      <c r="GU98" s="53">
        <v>95</v>
      </c>
      <c r="GV98" s="53">
        <v>92</v>
      </c>
    </row>
    <row r="99" spans="1:204" ht="15.5" x14ac:dyDescent="0.35">
      <c r="A99" s="95">
        <f t="shared" si="43"/>
        <v>1</v>
      </c>
      <c r="B99" s="11"/>
      <c r="C99" s="11"/>
      <c r="D99" s="92" t="str">
        <f>IFERROR(
IF(AND(OR(Planilla!B99="C",Planilla!B99="c"), VLOOKUP(E99,EX:FJ,13,0)="C"), "OK",IF(AND(OR(Planilla!B99="C",Planilla!B99="c"), OR(VLOOKUP(E99,EX:FJ,13,0)="B", VLOOKUP(E99,EX:FJ,13,0)="A")), "DEFICIT",IF(
AND(OR(Planilla!B99="B", Planilla!B99="BPAL"), VLOOKUP(E99,EX:FJ,13,0)="B"), "OK",IF(AND(OR(Planilla!B99="B", Planilla!B99="BPAL"), VLOOKUP(E99,EX:FJ,13,0)="A"), "DEFICIT",IF(AND(OR(Planilla!B99="B", Planilla!B99="BPAL"), VLOOKUP(E99,EX:FJ,13,0)="C"), "SOBREOFERTA",IF(AND(Planilla!B99="A", VLOOKUP(E99,EX:FJ,13,0)="A"), "OK",IF(
AND(Planilla!B99="A", OR(VLOOKUP(E99,EX:FJ,13,0)="B", VLOOKUP(E99,EX:FJ,13,0)="C")), "SOBREOFERTA",""
))))))),"")</f>
        <v/>
      </c>
      <c r="E99" s="12"/>
      <c r="F99" s="13"/>
      <c r="G99" s="14"/>
      <c r="H99" s="81" t="str">
        <f t="shared" si="44"/>
        <v/>
      </c>
      <c r="I99" s="7"/>
      <c r="J99" s="6" t="e">
        <f t="shared" si="45"/>
        <v>#N/A</v>
      </c>
      <c r="K99" s="6" t="str">
        <f>IF(A100&lt;&gt;A99,AVERAGEIF(A$9:A99,A99,J$9:J99),"")</f>
        <v/>
      </c>
      <c r="L99" s="7" t="str">
        <f>IFERROR(IF(A100&lt;&gt;A99,AVERAGEIF(A$9:A99,A99,S$9:S99),""),"")</f>
        <v/>
      </c>
      <c r="M99" s="7" t="str">
        <f>IFERROR(IF(A100&lt;&gt;A99,AVERAGEIF(A$9:A99,A99,T$9:T99),""),"")</f>
        <v/>
      </c>
      <c r="N99" s="7" t="str" cm="1">
        <f t="array" ref="N99">IFERROR(IF(A100&lt;&gt;A99,_xlfn.STDEV.P(IF(A$9:A99=A99,T$9:T99)),""),"")</f>
        <v/>
      </c>
      <c r="O99" s="7" t="str" cm="1">
        <f t="array" ref="O99">IFERROR(IF(A100&lt;&gt;A99,_xlfn.STDEV.P(IF(A$9:A99=A99,S$9:S99)),""),"")</f>
        <v/>
      </c>
      <c r="P99" s="8" t="str">
        <f t="shared" si="46"/>
        <v/>
      </c>
      <c r="Q99" s="8" t="str">
        <f t="shared" si="47"/>
        <v/>
      </c>
      <c r="R99" s="8" t="str">
        <f t="shared" si="48"/>
        <v/>
      </c>
      <c r="S99" s="9" t="str">
        <f t="shared" si="49"/>
        <v/>
      </c>
      <c r="T99" s="9" t="str">
        <f t="shared" si="50"/>
        <v/>
      </c>
      <c r="U99" s="14">
        <v>0.69097222222222221</v>
      </c>
      <c r="V99" s="15"/>
      <c r="W99" s="14" t="str">
        <f t="shared" si="51"/>
        <v/>
      </c>
      <c r="X99" s="15"/>
      <c r="Y99" s="2"/>
      <c r="AB99" s="22">
        <f t="shared" si="52"/>
        <v>1</v>
      </c>
      <c r="AC99" s="11"/>
      <c r="AD99" s="11"/>
      <c r="AE99" s="13"/>
      <c r="AF99" s="12"/>
      <c r="AG99" s="13"/>
      <c r="AH99" s="14"/>
      <c r="AI99" s="81" t="str">
        <f t="shared" si="53"/>
        <v/>
      </c>
      <c r="AJ99" s="15"/>
      <c r="AK99" s="6" t="e">
        <f t="shared" si="54"/>
        <v>#N/A</v>
      </c>
      <c r="AL99" s="6" t="str">
        <f>IF(AB100&lt;&gt;AB99,AVERAGEIF(AB$9:AB99,AB99,AK$9:AK99),"")</f>
        <v/>
      </c>
      <c r="AM99" s="7" t="str">
        <f>IFERROR(IF(AB100&lt;&gt;AB99,AVERAGEIF(AB$9:AB99,AB99,AT$9:AT99),""),"")</f>
        <v/>
      </c>
      <c r="AN99" s="7" t="str">
        <f>IFERROR(IF(AB100&lt;&gt;AB99,AVERAGEIF(AB$9:AB99,AB99,AU$9:AU99),""),"")</f>
        <v/>
      </c>
      <c r="AO99" s="7" t="str" cm="1">
        <f t="array" ref="AO99">IFERROR(IF(AB100&lt;&gt;AB99,_xlfn.STDEV.P(IF(AB$9:AB99=AB99,AU$9:AU99)),""),"")</f>
        <v/>
      </c>
      <c r="AP99" s="7" t="str" cm="1">
        <f t="array" ref="AP99">IFERROR(IF(AB100&lt;&gt;AB99,_xlfn.STDEV.P(IF(AB$9:AB99=AB99,AT$9:AT99)),""),"")</f>
        <v/>
      </c>
      <c r="AQ99" s="8" t="str">
        <f t="shared" si="55"/>
        <v/>
      </c>
      <c r="AR99" s="8" t="str">
        <f t="shared" si="56"/>
        <v/>
      </c>
      <c r="AS99" s="8" t="str">
        <f t="shared" si="57"/>
        <v/>
      </c>
      <c r="AT99" s="9" t="str">
        <f t="shared" si="58"/>
        <v/>
      </c>
      <c r="AU99" s="9" t="str">
        <f t="shared" si="59"/>
        <v/>
      </c>
      <c r="AV99" s="14"/>
      <c r="AW99" s="15"/>
      <c r="AX99" s="14" t="str">
        <f t="shared" si="60"/>
        <v/>
      </c>
      <c r="AY99" s="15"/>
      <c r="AZ99" s="23"/>
      <c r="EW99" t="s">
        <v>46</v>
      </c>
      <c r="EX99" s="33">
        <v>1096</v>
      </c>
      <c r="EY99" s="33" t="s">
        <v>313</v>
      </c>
      <c r="EZ99" s="33" t="s">
        <v>314</v>
      </c>
      <c r="FA99" s="33" t="s">
        <v>51</v>
      </c>
      <c r="FB99" s="33" t="s">
        <v>52</v>
      </c>
      <c r="FC99" s="33" t="s">
        <v>53</v>
      </c>
      <c r="FD99" s="33" t="s">
        <v>54</v>
      </c>
      <c r="FE99" s="33">
        <v>2019</v>
      </c>
      <c r="FF99" s="33" t="s">
        <v>55</v>
      </c>
      <c r="FG99" s="33" t="s">
        <v>56</v>
      </c>
      <c r="FH99" s="33" t="s">
        <v>57</v>
      </c>
      <c r="FI99" s="33" t="s">
        <v>58</v>
      </c>
      <c r="FJ99" t="s">
        <v>59</v>
      </c>
      <c r="FM99" s="32" t="s">
        <v>308</v>
      </c>
      <c r="FN99" t="s">
        <v>309</v>
      </c>
      <c r="FO99" t="s">
        <v>310</v>
      </c>
      <c r="FP99" t="str">
        <f t="shared" si="42"/>
        <v>B</v>
      </c>
      <c r="GU99" s="53">
        <v>96</v>
      </c>
      <c r="GV99" s="53">
        <v>93</v>
      </c>
    </row>
    <row r="100" spans="1:204" ht="15.5" x14ac:dyDescent="0.35">
      <c r="A100" s="95">
        <f t="shared" si="43"/>
        <v>1</v>
      </c>
      <c r="B100" s="11"/>
      <c r="C100" s="11"/>
      <c r="D100" s="92" t="str">
        <f>IFERROR(
IF(AND(OR(Planilla!B100="C",Planilla!B100="c"), VLOOKUP(E100,EX:FJ,13,0)="C"), "OK",IF(AND(OR(Planilla!B100="C",Planilla!B100="c"), OR(VLOOKUP(E100,EX:FJ,13,0)="B", VLOOKUP(E100,EX:FJ,13,0)="A")), "DEFICIT",IF(
AND(OR(Planilla!B100="B", Planilla!B100="BPAL"), VLOOKUP(E100,EX:FJ,13,0)="B"), "OK",IF(AND(OR(Planilla!B100="B", Planilla!B100="BPAL"), VLOOKUP(E100,EX:FJ,13,0)="A"), "DEFICIT",IF(AND(OR(Planilla!B100="B", Planilla!B100="BPAL"), VLOOKUP(E100,EX:FJ,13,0)="C"), "SOBREOFERTA",IF(AND(Planilla!B100="A", VLOOKUP(E100,EX:FJ,13,0)="A"), "OK",IF(
AND(Planilla!B100="A", OR(VLOOKUP(E100,EX:FJ,13,0)="B", VLOOKUP(E100,EX:FJ,13,0)="C")), "SOBREOFERTA",""
))))))),"")</f>
        <v/>
      </c>
      <c r="E100" s="12"/>
      <c r="F100" s="13"/>
      <c r="G100" s="14"/>
      <c r="H100" s="81" t="str">
        <f t="shared" si="44"/>
        <v/>
      </c>
      <c r="I100" s="7"/>
      <c r="J100" s="6" t="e">
        <f t="shared" si="45"/>
        <v>#N/A</v>
      </c>
      <c r="K100" s="6" t="str">
        <f>IF(A101&lt;&gt;A100,AVERAGEIF(A$9:A100,A100,J$9:J100),"")</f>
        <v/>
      </c>
      <c r="L100" s="7" t="str">
        <f>IFERROR(IF(A101&lt;&gt;A100,AVERAGEIF(A$9:A100,A100,S$9:S100),""),"")</f>
        <v/>
      </c>
      <c r="M100" s="7" t="str">
        <f>IFERROR(IF(A101&lt;&gt;A100,AVERAGEIF(A$9:A100,A100,T$9:T100),""),"")</f>
        <v/>
      </c>
      <c r="N100" s="7" t="str" cm="1">
        <f t="array" ref="N100">IFERROR(IF(A101&lt;&gt;A100,_xlfn.STDEV.P(IF(A$9:A100=A100,T$9:T100)),""),"")</f>
        <v/>
      </c>
      <c r="O100" s="7" t="str" cm="1">
        <f t="array" ref="O100">IFERROR(IF(A101&lt;&gt;A100,_xlfn.STDEV.P(IF(A$9:A100=A100,S$9:S100)),""),"")</f>
        <v/>
      </c>
      <c r="P100" s="8" t="str">
        <f t="shared" si="46"/>
        <v/>
      </c>
      <c r="Q100" s="8" t="str">
        <f t="shared" si="47"/>
        <v/>
      </c>
      <c r="R100" s="8" t="str">
        <f t="shared" si="48"/>
        <v/>
      </c>
      <c r="S100" s="9" t="str">
        <f t="shared" si="49"/>
        <v/>
      </c>
      <c r="T100" s="9" t="str">
        <f t="shared" si="50"/>
        <v/>
      </c>
      <c r="U100" s="14">
        <v>0.69791666666666663</v>
      </c>
      <c r="V100" s="15"/>
      <c r="W100" s="14" t="str">
        <f t="shared" si="51"/>
        <v/>
      </c>
      <c r="X100" s="15"/>
      <c r="Y100" s="2"/>
      <c r="AB100" s="22">
        <f t="shared" si="52"/>
        <v>1</v>
      </c>
      <c r="AC100" s="11"/>
      <c r="AD100" s="11"/>
      <c r="AE100" s="13"/>
      <c r="AF100" s="12"/>
      <c r="AG100" s="13"/>
      <c r="AH100" s="14"/>
      <c r="AI100" s="81" t="str">
        <f t="shared" si="53"/>
        <v/>
      </c>
      <c r="AJ100" s="15"/>
      <c r="AK100" s="6" t="e">
        <f t="shared" si="54"/>
        <v>#N/A</v>
      </c>
      <c r="AL100" s="6" t="str">
        <f>IF(AB101&lt;&gt;AB100,AVERAGEIF(AB$9:AB100,AB100,AK$9:AK100),"")</f>
        <v/>
      </c>
      <c r="AM100" s="7" t="str">
        <f>IFERROR(IF(AB101&lt;&gt;AB100,AVERAGEIF(AB$9:AB100,AB100,AT$9:AT100),""),"")</f>
        <v/>
      </c>
      <c r="AN100" s="7" t="str">
        <f>IFERROR(IF(AB101&lt;&gt;AB100,AVERAGEIF(AB$9:AB100,AB100,AU$9:AU100),""),"")</f>
        <v/>
      </c>
      <c r="AO100" s="7" t="str" cm="1">
        <f t="array" ref="AO100">IFERROR(IF(AB101&lt;&gt;AB100,_xlfn.STDEV.P(IF(AB$9:AB100=AB100,AU$9:AU100)),""),"")</f>
        <v/>
      </c>
      <c r="AP100" s="7" t="str" cm="1">
        <f t="array" ref="AP100">IFERROR(IF(AB101&lt;&gt;AB100,_xlfn.STDEV.P(IF(AB$9:AB100=AB100,AT$9:AT100)),""),"")</f>
        <v/>
      </c>
      <c r="AQ100" s="8" t="str">
        <f t="shared" si="55"/>
        <v/>
      </c>
      <c r="AR100" s="8" t="str">
        <f t="shared" si="56"/>
        <v/>
      </c>
      <c r="AS100" s="8" t="str">
        <f t="shared" si="57"/>
        <v/>
      </c>
      <c r="AT100" s="9" t="str">
        <f t="shared" si="58"/>
        <v/>
      </c>
      <c r="AU100" s="9" t="str">
        <f t="shared" si="59"/>
        <v/>
      </c>
      <c r="AV100" s="14"/>
      <c r="AW100" s="15"/>
      <c r="AX100" s="14" t="str">
        <f t="shared" si="60"/>
        <v/>
      </c>
      <c r="AY100" s="15"/>
      <c r="AZ100" s="23"/>
      <c r="EW100" t="s">
        <v>46</v>
      </c>
      <c r="EX100" s="33">
        <v>1097</v>
      </c>
      <c r="EY100" s="33" t="s">
        <v>315</v>
      </c>
      <c r="EZ100" s="33" t="s">
        <v>316</v>
      </c>
      <c r="FA100" s="33" t="s">
        <v>51</v>
      </c>
      <c r="FB100" s="33" t="s">
        <v>52</v>
      </c>
      <c r="FC100" s="33" t="s">
        <v>53</v>
      </c>
      <c r="FD100" s="33" t="s">
        <v>54</v>
      </c>
      <c r="FE100" s="33">
        <v>2019</v>
      </c>
      <c r="FF100" s="33" t="s">
        <v>55</v>
      </c>
      <c r="FG100" s="33" t="s">
        <v>71</v>
      </c>
      <c r="FH100" s="33" t="s">
        <v>72</v>
      </c>
      <c r="FI100" s="33" t="s">
        <v>73</v>
      </c>
      <c r="FJ100" t="s">
        <v>59</v>
      </c>
      <c r="FM100" s="32" t="s">
        <v>308</v>
      </c>
      <c r="FN100" t="s">
        <v>309</v>
      </c>
      <c r="FO100" t="s">
        <v>310</v>
      </c>
      <c r="FP100" t="str">
        <f t="shared" si="42"/>
        <v>B</v>
      </c>
      <c r="GU100" s="53">
        <v>97</v>
      </c>
      <c r="GV100" s="53">
        <v>94</v>
      </c>
    </row>
    <row r="101" spans="1:204" ht="15.5" x14ac:dyDescent="0.35">
      <c r="A101" s="95">
        <f t="shared" si="43"/>
        <v>1</v>
      </c>
      <c r="B101" s="11"/>
      <c r="C101" s="11"/>
      <c r="D101" s="92" t="str">
        <f>IFERROR(
IF(AND(OR(Planilla!B101="C",Planilla!B101="c"), VLOOKUP(E101,EX:FJ,13,0)="C"), "OK",IF(AND(OR(Planilla!B101="C",Planilla!B101="c"), OR(VLOOKUP(E101,EX:FJ,13,0)="B", VLOOKUP(E101,EX:FJ,13,0)="A")), "DEFICIT",IF(
AND(OR(Planilla!B101="B", Planilla!B101="BPAL"), VLOOKUP(E101,EX:FJ,13,0)="B"), "OK",IF(AND(OR(Planilla!B101="B", Planilla!B101="BPAL"), VLOOKUP(E101,EX:FJ,13,0)="A"), "DEFICIT",IF(AND(OR(Planilla!B101="B", Planilla!B101="BPAL"), VLOOKUP(E101,EX:FJ,13,0)="C"), "SOBREOFERTA",IF(AND(Planilla!B101="A", VLOOKUP(E101,EX:FJ,13,0)="A"), "OK",IF(
AND(Planilla!B101="A", OR(VLOOKUP(E101,EX:FJ,13,0)="B", VLOOKUP(E101,EX:FJ,13,0)="C")), "SOBREOFERTA",""
))))))),"")</f>
        <v/>
      </c>
      <c r="E101" s="12"/>
      <c r="F101" s="13"/>
      <c r="G101" s="14"/>
      <c r="H101" s="81" t="str">
        <f t="shared" si="44"/>
        <v/>
      </c>
      <c r="I101" s="7"/>
      <c r="J101" s="6" t="e">
        <f t="shared" si="45"/>
        <v>#N/A</v>
      </c>
      <c r="K101" s="6" t="str">
        <f>IF(A102&lt;&gt;A101,AVERAGEIF(A$9:A101,A101,J$9:J101),"")</f>
        <v/>
      </c>
      <c r="L101" s="7" t="str">
        <f>IFERROR(IF(A102&lt;&gt;A101,AVERAGEIF(A$9:A101,A101,S$9:S101),""),"")</f>
        <v/>
      </c>
      <c r="M101" s="7" t="str">
        <f>IFERROR(IF(A102&lt;&gt;A101,AVERAGEIF(A$9:A101,A101,T$9:T101),""),"")</f>
        <v/>
      </c>
      <c r="N101" s="7" t="str" cm="1">
        <f t="array" ref="N101">IFERROR(IF(A102&lt;&gt;A101,_xlfn.STDEV.P(IF(A$9:A101=A101,T$9:T101)),""),"")</f>
        <v/>
      </c>
      <c r="O101" s="7" t="str" cm="1">
        <f t="array" ref="O101">IFERROR(IF(A102&lt;&gt;A101,_xlfn.STDEV.P(IF(A$9:A101=A101,S$9:S101)),""),"")</f>
        <v/>
      </c>
      <c r="P101" s="8" t="str">
        <f t="shared" si="46"/>
        <v/>
      </c>
      <c r="Q101" s="8" t="str">
        <f t="shared" si="47"/>
        <v/>
      </c>
      <c r="R101" s="8" t="str">
        <f t="shared" si="48"/>
        <v/>
      </c>
      <c r="S101" s="9" t="str">
        <f t="shared" si="49"/>
        <v/>
      </c>
      <c r="T101" s="9" t="str">
        <f t="shared" si="50"/>
        <v/>
      </c>
      <c r="U101" s="14">
        <v>0.70138888888888884</v>
      </c>
      <c r="V101" s="15"/>
      <c r="W101" s="14" t="str">
        <f t="shared" si="51"/>
        <v/>
      </c>
      <c r="X101" s="15"/>
      <c r="Y101" s="2"/>
      <c r="AB101" s="22">
        <f t="shared" si="52"/>
        <v>1</v>
      </c>
      <c r="AC101" s="11"/>
      <c r="AD101" s="11"/>
      <c r="AE101" s="13"/>
      <c r="AF101" s="12"/>
      <c r="AG101" s="13"/>
      <c r="AH101" s="14"/>
      <c r="AI101" s="81" t="str">
        <f t="shared" si="53"/>
        <v/>
      </c>
      <c r="AJ101" s="15"/>
      <c r="AK101" s="6" t="e">
        <f t="shared" si="54"/>
        <v>#N/A</v>
      </c>
      <c r="AL101" s="6" t="str">
        <f>IF(AB102&lt;&gt;AB101,AVERAGEIF(AB$9:AB101,AB101,AK$9:AK101),"")</f>
        <v/>
      </c>
      <c r="AM101" s="7" t="str">
        <f>IFERROR(IF(AB102&lt;&gt;AB101,AVERAGEIF(AB$9:AB101,AB101,AT$9:AT101),""),"")</f>
        <v/>
      </c>
      <c r="AN101" s="7" t="str">
        <f>IFERROR(IF(AB102&lt;&gt;AB101,AVERAGEIF(AB$9:AB101,AB101,AU$9:AU101),""),"")</f>
        <v/>
      </c>
      <c r="AO101" s="7" t="str" cm="1">
        <f t="array" ref="AO101">IFERROR(IF(AB102&lt;&gt;AB101,_xlfn.STDEV.P(IF(AB$9:AB101=AB101,AU$9:AU101)),""),"")</f>
        <v/>
      </c>
      <c r="AP101" s="7" t="str" cm="1">
        <f t="array" ref="AP101">IFERROR(IF(AB102&lt;&gt;AB101,_xlfn.STDEV.P(IF(AB$9:AB101=AB101,AT$9:AT101)),""),"")</f>
        <v/>
      </c>
      <c r="AQ101" s="8" t="str">
        <f t="shared" si="55"/>
        <v/>
      </c>
      <c r="AR101" s="8" t="str">
        <f t="shared" si="56"/>
        <v/>
      </c>
      <c r="AS101" s="8" t="str">
        <f t="shared" si="57"/>
        <v/>
      </c>
      <c r="AT101" s="9" t="str">
        <f t="shared" si="58"/>
        <v/>
      </c>
      <c r="AU101" s="9" t="str">
        <f t="shared" si="59"/>
        <v/>
      </c>
      <c r="AV101" s="14"/>
      <c r="AW101" s="15"/>
      <c r="AX101" s="14" t="str">
        <f t="shared" si="60"/>
        <v/>
      </c>
      <c r="AY101" s="15"/>
      <c r="AZ101" s="23"/>
      <c r="EW101" t="s">
        <v>46</v>
      </c>
      <c r="EX101" s="33">
        <v>1098</v>
      </c>
      <c r="EY101" s="33" t="s">
        <v>317</v>
      </c>
      <c r="EZ101" s="33" t="s">
        <v>318</v>
      </c>
      <c r="FA101" s="33" t="s">
        <v>51</v>
      </c>
      <c r="FB101" s="33" t="s">
        <v>52</v>
      </c>
      <c r="FC101" s="33" t="s">
        <v>53</v>
      </c>
      <c r="FD101" s="33" t="s">
        <v>54</v>
      </c>
      <c r="FE101" s="33">
        <v>2019</v>
      </c>
      <c r="FF101" s="33" t="s">
        <v>55</v>
      </c>
      <c r="FG101" s="33" t="s">
        <v>71</v>
      </c>
      <c r="FH101" s="33" t="s">
        <v>72</v>
      </c>
      <c r="FI101" s="33" t="s">
        <v>73</v>
      </c>
      <c r="FJ101" t="s">
        <v>59</v>
      </c>
      <c r="FM101" s="32" t="s">
        <v>319</v>
      </c>
      <c r="FN101" t="s">
        <v>320</v>
      </c>
      <c r="FO101" t="s">
        <v>321</v>
      </c>
      <c r="FP101" t="str">
        <f t="shared" si="42"/>
        <v>B</v>
      </c>
      <c r="GU101" s="53">
        <v>98</v>
      </c>
      <c r="GV101" s="53">
        <v>95</v>
      </c>
    </row>
    <row r="102" spans="1:204" ht="15.5" x14ac:dyDescent="0.35">
      <c r="A102" s="95">
        <f t="shared" si="43"/>
        <v>1</v>
      </c>
      <c r="B102" s="11"/>
      <c r="C102" s="11"/>
      <c r="D102" s="92" t="str">
        <f>IFERROR(
IF(AND(OR(Planilla!B102="C",Planilla!B102="c"), VLOOKUP(E102,EX:FJ,13,0)="C"), "OK",IF(AND(OR(Planilla!B102="C",Planilla!B102="c"), OR(VLOOKUP(E102,EX:FJ,13,0)="B", VLOOKUP(E102,EX:FJ,13,0)="A")), "DEFICIT",IF(
AND(OR(Planilla!B102="B", Planilla!B102="BPAL"), VLOOKUP(E102,EX:FJ,13,0)="B"), "OK",IF(AND(OR(Planilla!B102="B", Planilla!B102="BPAL"), VLOOKUP(E102,EX:FJ,13,0)="A"), "DEFICIT",IF(AND(OR(Planilla!B102="B", Planilla!B102="BPAL"), VLOOKUP(E102,EX:FJ,13,0)="C"), "SOBREOFERTA",IF(AND(Planilla!B102="A", VLOOKUP(E102,EX:FJ,13,0)="A"), "OK",IF(
AND(Planilla!B102="A", OR(VLOOKUP(E102,EX:FJ,13,0)="B", VLOOKUP(E102,EX:FJ,13,0)="C")), "SOBREOFERTA",""
))))))),"")</f>
        <v/>
      </c>
      <c r="E102" s="12"/>
      <c r="F102" s="13"/>
      <c r="G102" s="14"/>
      <c r="H102" s="81" t="str">
        <f t="shared" si="44"/>
        <v/>
      </c>
      <c r="I102" s="7"/>
      <c r="J102" s="6" t="e">
        <f t="shared" si="45"/>
        <v>#N/A</v>
      </c>
      <c r="K102" s="6" t="str">
        <f>IF(A103&lt;&gt;A102,AVERAGEIF(A$9:A102,A102,J$9:J102),"")</f>
        <v/>
      </c>
      <c r="L102" s="7" t="str">
        <f>IFERROR(IF(A103&lt;&gt;A102,AVERAGEIF(A$9:A102,A102,S$9:S102),""),"")</f>
        <v/>
      </c>
      <c r="M102" s="7" t="str">
        <f>IFERROR(IF(A103&lt;&gt;A102,AVERAGEIF(A$9:A102,A102,T$9:T102),""),"")</f>
        <v/>
      </c>
      <c r="N102" s="7" t="str" cm="1">
        <f t="array" ref="N102">IFERROR(IF(A103&lt;&gt;A102,_xlfn.STDEV.P(IF(A$9:A102=A102,T$9:T102)),""),"")</f>
        <v/>
      </c>
      <c r="O102" s="7" t="str" cm="1">
        <f t="array" ref="O102">IFERROR(IF(A103&lt;&gt;A102,_xlfn.STDEV.P(IF(A$9:A102=A102,S$9:S102)),""),"")</f>
        <v/>
      </c>
      <c r="P102" s="8" t="str">
        <f t="shared" si="46"/>
        <v/>
      </c>
      <c r="Q102" s="8" t="str">
        <f t="shared" si="47"/>
        <v/>
      </c>
      <c r="R102" s="8" t="str">
        <f t="shared" si="48"/>
        <v/>
      </c>
      <c r="S102" s="9" t="str">
        <f t="shared" si="49"/>
        <v/>
      </c>
      <c r="T102" s="9" t="str">
        <f t="shared" si="50"/>
        <v/>
      </c>
      <c r="U102" s="14">
        <v>0.70833333333333337</v>
      </c>
      <c r="V102" s="15"/>
      <c r="W102" s="14" t="str">
        <f t="shared" si="51"/>
        <v/>
      </c>
      <c r="X102" s="15"/>
      <c r="Y102" s="2"/>
      <c r="AB102" s="22">
        <f t="shared" si="52"/>
        <v>1</v>
      </c>
      <c r="AC102" s="11"/>
      <c r="AD102" s="11"/>
      <c r="AE102" s="13"/>
      <c r="AF102" s="12"/>
      <c r="AG102" s="13"/>
      <c r="AH102" s="14"/>
      <c r="AI102" s="81" t="str">
        <f t="shared" si="53"/>
        <v/>
      </c>
      <c r="AJ102" s="15"/>
      <c r="AK102" s="6" t="e">
        <f t="shared" si="54"/>
        <v>#N/A</v>
      </c>
      <c r="AL102" s="6" t="str">
        <f>IF(AB103&lt;&gt;AB102,AVERAGEIF(AB$9:AB102,AB102,AK$9:AK102),"")</f>
        <v/>
      </c>
      <c r="AM102" s="7" t="str">
        <f>IFERROR(IF(AB103&lt;&gt;AB102,AVERAGEIF(AB$9:AB102,AB102,AT$9:AT102),""),"")</f>
        <v/>
      </c>
      <c r="AN102" s="7" t="str">
        <f>IFERROR(IF(AB103&lt;&gt;AB102,AVERAGEIF(AB$9:AB102,AB102,AU$9:AU102),""),"")</f>
        <v/>
      </c>
      <c r="AO102" s="7" t="str" cm="1">
        <f t="array" ref="AO102">IFERROR(IF(AB103&lt;&gt;AB102,_xlfn.STDEV.P(IF(AB$9:AB102=AB102,AU$9:AU102)),""),"")</f>
        <v/>
      </c>
      <c r="AP102" s="7" t="str" cm="1">
        <f t="array" ref="AP102">IFERROR(IF(AB103&lt;&gt;AB102,_xlfn.STDEV.P(IF(AB$9:AB102=AB102,AT$9:AT102)),""),"")</f>
        <v/>
      </c>
      <c r="AQ102" s="8" t="str">
        <f t="shared" si="55"/>
        <v/>
      </c>
      <c r="AR102" s="8" t="str">
        <f t="shared" si="56"/>
        <v/>
      </c>
      <c r="AS102" s="8" t="str">
        <f t="shared" si="57"/>
        <v/>
      </c>
      <c r="AT102" s="9" t="str">
        <f t="shared" si="58"/>
        <v/>
      </c>
      <c r="AU102" s="9" t="str">
        <f t="shared" si="59"/>
        <v/>
      </c>
      <c r="AV102" s="14"/>
      <c r="AW102" s="15"/>
      <c r="AX102" s="14" t="str">
        <f t="shared" si="60"/>
        <v/>
      </c>
      <c r="AY102" s="15"/>
      <c r="AZ102" s="23"/>
      <c r="EW102" t="s">
        <v>46</v>
      </c>
      <c r="EX102" s="33">
        <v>1099</v>
      </c>
      <c r="EY102" s="33" t="s">
        <v>322</v>
      </c>
      <c r="EZ102" s="33" t="s">
        <v>323</v>
      </c>
      <c r="FA102" s="33" t="s">
        <v>51</v>
      </c>
      <c r="FB102" s="33" t="s">
        <v>52</v>
      </c>
      <c r="FC102" s="33" t="s">
        <v>53</v>
      </c>
      <c r="FD102" s="33" t="s">
        <v>54</v>
      </c>
      <c r="FE102" s="33">
        <v>2019</v>
      </c>
      <c r="FF102" s="33" t="s">
        <v>55</v>
      </c>
      <c r="FG102" s="33" t="s">
        <v>71</v>
      </c>
      <c r="FH102" s="33" t="s">
        <v>72</v>
      </c>
      <c r="FI102" s="33" t="s">
        <v>73</v>
      </c>
      <c r="FJ102" t="s">
        <v>59</v>
      </c>
      <c r="FM102" s="32" t="s">
        <v>319</v>
      </c>
      <c r="FN102" t="s">
        <v>320</v>
      </c>
      <c r="FO102" t="s">
        <v>321</v>
      </c>
      <c r="FP102" t="str">
        <f t="shared" si="42"/>
        <v>B</v>
      </c>
      <c r="GU102" s="53">
        <v>99</v>
      </c>
      <c r="GV102" s="53">
        <v>96</v>
      </c>
    </row>
    <row r="103" spans="1:204" ht="15.5" x14ac:dyDescent="0.35">
      <c r="A103" s="95">
        <f t="shared" si="43"/>
        <v>1</v>
      </c>
      <c r="B103" s="11"/>
      <c r="C103" s="11"/>
      <c r="D103" s="92" t="str">
        <f>IFERROR(
IF(AND(OR(Planilla!B103="C",Planilla!B103="c"), VLOOKUP(E103,EX:FJ,13,0)="C"), "OK",IF(AND(OR(Planilla!B103="C",Planilla!B103="c"), OR(VLOOKUP(E103,EX:FJ,13,0)="B", VLOOKUP(E103,EX:FJ,13,0)="A")), "DEFICIT",IF(
AND(OR(Planilla!B103="B", Planilla!B103="BPAL"), VLOOKUP(E103,EX:FJ,13,0)="B"), "OK",IF(AND(OR(Planilla!B103="B", Planilla!B103="BPAL"), VLOOKUP(E103,EX:FJ,13,0)="A"), "DEFICIT",IF(AND(OR(Planilla!B103="B", Planilla!B103="BPAL"), VLOOKUP(E103,EX:FJ,13,0)="C"), "SOBREOFERTA",IF(AND(Planilla!B103="A", VLOOKUP(E103,EX:FJ,13,0)="A"), "OK",IF(
AND(Planilla!B103="A", OR(VLOOKUP(E103,EX:FJ,13,0)="B", VLOOKUP(E103,EX:FJ,13,0)="C")), "SOBREOFERTA",""
))))))),"")</f>
        <v/>
      </c>
      <c r="E103" s="12"/>
      <c r="F103" s="13"/>
      <c r="G103" s="14"/>
      <c r="H103" s="81" t="str">
        <f t="shared" si="44"/>
        <v/>
      </c>
      <c r="I103" s="7"/>
      <c r="J103" s="6" t="e">
        <f t="shared" si="45"/>
        <v>#N/A</v>
      </c>
      <c r="K103" s="6" t="str">
        <f>IF(A104&lt;&gt;A103,AVERAGEIF(A$9:A103,A103,J$9:J103),"")</f>
        <v/>
      </c>
      <c r="L103" s="7" t="str">
        <f>IFERROR(IF(A104&lt;&gt;A103,AVERAGEIF(A$9:A103,A103,S$9:S103),""),"")</f>
        <v/>
      </c>
      <c r="M103" s="7" t="str">
        <f>IFERROR(IF(A104&lt;&gt;A103,AVERAGEIF(A$9:A103,A103,T$9:T103),""),"")</f>
        <v/>
      </c>
      <c r="N103" s="7" t="str" cm="1">
        <f t="array" ref="N103">IFERROR(IF(A104&lt;&gt;A103,_xlfn.STDEV.P(IF(A$9:A103=A103,T$9:T103)),""),"")</f>
        <v/>
      </c>
      <c r="O103" s="7" t="str" cm="1">
        <f t="array" ref="O103">IFERROR(IF(A104&lt;&gt;A103,_xlfn.STDEV.P(IF(A$9:A103=A103,S$9:S103)),""),"")</f>
        <v/>
      </c>
      <c r="P103" s="8" t="str">
        <f t="shared" si="46"/>
        <v/>
      </c>
      <c r="Q103" s="8" t="str">
        <f t="shared" si="47"/>
        <v/>
      </c>
      <c r="R103" s="8" t="str">
        <f t="shared" si="48"/>
        <v/>
      </c>
      <c r="S103" s="9" t="str">
        <f t="shared" si="49"/>
        <v/>
      </c>
      <c r="T103" s="9" t="str">
        <f t="shared" si="50"/>
        <v/>
      </c>
      <c r="U103" s="14">
        <v>0.71527777777777779</v>
      </c>
      <c r="V103" s="15"/>
      <c r="W103" s="14" t="str">
        <f t="shared" si="51"/>
        <v/>
      </c>
      <c r="X103" s="15"/>
      <c r="Y103" s="2"/>
      <c r="AB103" s="22">
        <f t="shared" si="52"/>
        <v>1</v>
      </c>
      <c r="AC103" s="11"/>
      <c r="AD103" s="11"/>
      <c r="AE103" s="13"/>
      <c r="AF103" s="12"/>
      <c r="AG103" s="13"/>
      <c r="AH103" s="14"/>
      <c r="AI103" s="81" t="str">
        <f t="shared" si="53"/>
        <v/>
      </c>
      <c r="AJ103" s="15"/>
      <c r="AK103" s="6" t="e">
        <f t="shared" si="54"/>
        <v>#N/A</v>
      </c>
      <c r="AL103" s="6" t="str">
        <f>IF(AB104&lt;&gt;AB103,AVERAGEIF(AB$9:AB103,AB103,AK$9:AK103),"")</f>
        <v/>
      </c>
      <c r="AM103" s="7" t="str">
        <f>IFERROR(IF(AB104&lt;&gt;AB103,AVERAGEIF(AB$9:AB103,AB103,AT$9:AT103),""),"")</f>
        <v/>
      </c>
      <c r="AN103" s="7" t="str">
        <f>IFERROR(IF(AB104&lt;&gt;AB103,AVERAGEIF(AB$9:AB103,AB103,AU$9:AU103),""),"")</f>
        <v/>
      </c>
      <c r="AO103" s="7" t="str" cm="1">
        <f t="array" ref="AO103">IFERROR(IF(AB104&lt;&gt;AB103,_xlfn.STDEV.P(IF(AB$9:AB103=AB103,AU$9:AU103)),""),"")</f>
        <v/>
      </c>
      <c r="AP103" s="7" t="str" cm="1">
        <f t="array" ref="AP103">IFERROR(IF(AB104&lt;&gt;AB103,_xlfn.STDEV.P(IF(AB$9:AB103=AB103,AT$9:AT103)),""),"")</f>
        <v/>
      </c>
      <c r="AQ103" s="8" t="str">
        <f t="shared" si="55"/>
        <v/>
      </c>
      <c r="AR103" s="8" t="str">
        <f t="shared" si="56"/>
        <v/>
      </c>
      <c r="AS103" s="8" t="str">
        <f t="shared" si="57"/>
        <v/>
      </c>
      <c r="AT103" s="9" t="str">
        <f t="shared" si="58"/>
        <v/>
      </c>
      <c r="AU103" s="9" t="str">
        <f t="shared" si="59"/>
        <v/>
      </c>
      <c r="AV103" s="14"/>
      <c r="AW103" s="15"/>
      <c r="AX103" s="14" t="str">
        <f t="shared" si="60"/>
        <v/>
      </c>
      <c r="AY103" s="15"/>
      <c r="AZ103" s="23"/>
      <c r="EW103" t="s">
        <v>46</v>
      </c>
      <c r="EX103" s="33">
        <v>1028</v>
      </c>
      <c r="EY103" s="33" t="s">
        <v>324</v>
      </c>
      <c r="EZ103" s="33" t="s">
        <v>325</v>
      </c>
      <c r="FA103" s="33" t="s">
        <v>51</v>
      </c>
      <c r="FB103" s="33" t="s">
        <v>52</v>
      </c>
      <c r="FC103" s="33" t="s">
        <v>53</v>
      </c>
      <c r="FD103" s="33" t="s">
        <v>54</v>
      </c>
      <c r="FE103" s="33">
        <v>2019</v>
      </c>
      <c r="FF103" s="33" t="s">
        <v>55</v>
      </c>
      <c r="FG103" s="33" t="s">
        <v>71</v>
      </c>
      <c r="FH103" s="33" t="s">
        <v>72</v>
      </c>
      <c r="FI103" s="33" t="s">
        <v>73</v>
      </c>
      <c r="FJ103" t="s">
        <v>59</v>
      </c>
      <c r="FM103" s="32" t="s">
        <v>319</v>
      </c>
      <c r="FN103" t="s">
        <v>320</v>
      </c>
      <c r="FO103" t="s">
        <v>321</v>
      </c>
      <c r="FP103" t="str">
        <f t="shared" si="42"/>
        <v>B</v>
      </c>
      <c r="GU103" s="53">
        <v>100</v>
      </c>
      <c r="GV103" s="53">
        <v>97</v>
      </c>
    </row>
    <row r="104" spans="1:204" ht="15.5" x14ac:dyDescent="0.35">
      <c r="A104" s="95">
        <f t="shared" si="43"/>
        <v>1</v>
      </c>
      <c r="B104" s="11"/>
      <c r="C104" s="11"/>
      <c r="D104" s="92" t="str">
        <f>IFERROR(
IF(AND(OR(Planilla!B104="C",Planilla!B104="c"), VLOOKUP(E104,EX:FJ,13,0)="C"), "OK",IF(AND(OR(Planilla!B104="C",Planilla!B104="c"), OR(VLOOKUP(E104,EX:FJ,13,0)="B", VLOOKUP(E104,EX:FJ,13,0)="A")), "DEFICIT",IF(
AND(OR(Planilla!B104="B", Planilla!B104="BPAL"), VLOOKUP(E104,EX:FJ,13,0)="B"), "OK",IF(AND(OR(Planilla!B104="B", Planilla!B104="BPAL"), VLOOKUP(E104,EX:FJ,13,0)="A"), "DEFICIT",IF(AND(OR(Planilla!B104="B", Planilla!B104="BPAL"), VLOOKUP(E104,EX:FJ,13,0)="C"), "SOBREOFERTA",IF(AND(Planilla!B104="A", VLOOKUP(E104,EX:FJ,13,0)="A"), "OK",IF(
AND(Planilla!B104="A", OR(VLOOKUP(E104,EX:FJ,13,0)="B", VLOOKUP(E104,EX:FJ,13,0)="C")), "SOBREOFERTA",""
))))))),"")</f>
        <v/>
      </c>
      <c r="E104" s="12"/>
      <c r="F104" s="13"/>
      <c r="G104" s="14"/>
      <c r="H104" s="81" t="str">
        <f t="shared" si="44"/>
        <v/>
      </c>
      <c r="I104" s="7"/>
      <c r="J104" s="6" t="e">
        <f t="shared" si="45"/>
        <v>#N/A</v>
      </c>
      <c r="K104" s="6" t="str">
        <f>IF(A105&lt;&gt;A104,AVERAGEIF(A$9:A104,A104,J$9:J104),"")</f>
        <v/>
      </c>
      <c r="L104" s="7" t="str">
        <f>IFERROR(IF(A105&lt;&gt;A104,AVERAGEIF(A$9:A104,A104,S$9:S104),""),"")</f>
        <v/>
      </c>
      <c r="M104" s="7" t="str">
        <f>IFERROR(IF(A105&lt;&gt;A104,AVERAGEIF(A$9:A104,A104,T$9:T104),""),"")</f>
        <v/>
      </c>
      <c r="N104" s="7" t="str" cm="1">
        <f t="array" ref="N104">IFERROR(IF(A105&lt;&gt;A104,_xlfn.STDEV.P(IF(A$9:A104=A104,T$9:T104)),""),"")</f>
        <v/>
      </c>
      <c r="O104" s="7" t="str" cm="1">
        <f t="array" ref="O104">IFERROR(IF(A105&lt;&gt;A104,_xlfn.STDEV.P(IF(A$9:A104=A104,S$9:S104)),""),"")</f>
        <v/>
      </c>
      <c r="P104" s="8" t="str">
        <f t="shared" si="46"/>
        <v/>
      </c>
      <c r="Q104" s="8" t="str">
        <f t="shared" si="47"/>
        <v/>
      </c>
      <c r="R104" s="8" t="str">
        <f t="shared" si="48"/>
        <v/>
      </c>
      <c r="S104" s="9" t="str">
        <f t="shared" si="49"/>
        <v/>
      </c>
      <c r="T104" s="9" t="str">
        <f t="shared" si="50"/>
        <v/>
      </c>
      <c r="U104" s="14">
        <v>0.72152777777777777</v>
      </c>
      <c r="V104" s="15"/>
      <c r="W104" s="14" t="str">
        <f t="shared" si="51"/>
        <v/>
      </c>
      <c r="X104" s="15"/>
      <c r="Y104" s="2"/>
      <c r="AB104" s="22">
        <f t="shared" si="52"/>
        <v>1</v>
      </c>
      <c r="AC104" s="11"/>
      <c r="AD104" s="11"/>
      <c r="AE104" s="13"/>
      <c r="AF104" s="12"/>
      <c r="AG104" s="13"/>
      <c r="AH104" s="14"/>
      <c r="AI104" s="81" t="str">
        <f t="shared" si="53"/>
        <v/>
      </c>
      <c r="AJ104" s="15"/>
      <c r="AK104" s="6" t="e">
        <f t="shared" si="54"/>
        <v>#N/A</v>
      </c>
      <c r="AL104" s="6" t="str">
        <f>IF(AB105&lt;&gt;AB104,AVERAGEIF(AB$9:AB104,AB104,AK$9:AK104),"")</f>
        <v/>
      </c>
      <c r="AM104" s="7" t="str">
        <f>IFERROR(IF(AB105&lt;&gt;AB104,AVERAGEIF(AB$9:AB104,AB104,AT$9:AT104),""),"")</f>
        <v/>
      </c>
      <c r="AN104" s="7" t="str">
        <f>IFERROR(IF(AB105&lt;&gt;AB104,AVERAGEIF(AB$9:AB104,AB104,AU$9:AU104),""),"")</f>
        <v/>
      </c>
      <c r="AO104" s="7" t="str" cm="1">
        <f t="array" ref="AO104">IFERROR(IF(AB105&lt;&gt;AB104,_xlfn.STDEV.P(IF(AB$9:AB104=AB104,AU$9:AU104)),""),"")</f>
        <v/>
      </c>
      <c r="AP104" s="7" t="str" cm="1">
        <f t="array" ref="AP104">IFERROR(IF(AB105&lt;&gt;AB104,_xlfn.STDEV.P(IF(AB$9:AB104=AB104,AT$9:AT104)),""),"")</f>
        <v/>
      </c>
      <c r="AQ104" s="8" t="str">
        <f t="shared" si="55"/>
        <v/>
      </c>
      <c r="AR104" s="8" t="str">
        <f t="shared" si="56"/>
        <v/>
      </c>
      <c r="AS104" s="8" t="str">
        <f t="shared" si="57"/>
        <v/>
      </c>
      <c r="AT104" s="9" t="str">
        <f t="shared" si="58"/>
        <v/>
      </c>
      <c r="AU104" s="9" t="str">
        <f t="shared" si="59"/>
        <v/>
      </c>
      <c r="AV104" s="14"/>
      <c r="AW104" s="15"/>
      <c r="AX104" s="14" t="str">
        <f t="shared" si="60"/>
        <v/>
      </c>
      <c r="AY104" s="15"/>
      <c r="AZ104" s="23"/>
      <c r="EW104" t="s">
        <v>46</v>
      </c>
      <c r="EX104" s="33">
        <v>1101</v>
      </c>
      <c r="EY104" s="33" t="s">
        <v>326</v>
      </c>
      <c r="EZ104" s="33" t="s">
        <v>327</v>
      </c>
      <c r="FA104" s="33" t="s">
        <v>51</v>
      </c>
      <c r="FB104" s="33" t="s">
        <v>52</v>
      </c>
      <c r="FC104" s="33" t="s">
        <v>53</v>
      </c>
      <c r="FD104" s="33" t="s">
        <v>54</v>
      </c>
      <c r="FE104" s="33">
        <v>2019</v>
      </c>
      <c r="FF104" s="33" t="s">
        <v>55</v>
      </c>
      <c r="FG104" s="33" t="s">
        <v>71</v>
      </c>
      <c r="FH104" s="33" t="s">
        <v>72</v>
      </c>
      <c r="FI104" s="33" t="s">
        <v>73</v>
      </c>
      <c r="FJ104" t="s">
        <v>59</v>
      </c>
      <c r="FM104" s="32" t="s">
        <v>319</v>
      </c>
      <c r="FN104" t="s">
        <v>320</v>
      </c>
      <c r="FO104" t="s">
        <v>321</v>
      </c>
      <c r="FP104" t="str">
        <f t="shared" si="42"/>
        <v>B</v>
      </c>
      <c r="GU104" s="53">
        <v>101</v>
      </c>
      <c r="GV104" s="53">
        <v>98</v>
      </c>
    </row>
    <row r="105" spans="1:204" ht="15.5" x14ac:dyDescent="0.35">
      <c r="A105" s="95">
        <f t="shared" si="43"/>
        <v>1</v>
      </c>
      <c r="B105" s="11"/>
      <c r="C105" s="11"/>
      <c r="D105" s="92" t="str">
        <f>IFERROR(
IF(AND(OR(Planilla!B105="C",Planilla!B105="c"), VLOOKUP(E105,EX:FJ,13,0)="C"), "OK",IF(AND(OR(Planilla!B105="C",Planilla!B105="c"), OR(VLOOKUP(E105,EX:FJ,13,0)="B", VLOOKUP(E105,EX:FJ,13,0)="A")), "DEFICIT",IF(
AND(OR(Planilla!B105="B", Planilla!B105="BPAL"), VLOOKUP(E105,EX:FJ,13,0)="B"), "OK",IF(AND(OR(Planilla!B105="B", Planilla!B105="BPAL"), VLOOKUP(E105,EX:FJ,13,0)="A"), "DEFICIT",IF(AND(OR(Planilla!B105="B", Planilla!B105="BPAL"), VLOOKUP(E105,EX:FJ,13,0)="C"), "SOBREOFERTA",IF(AND(Planilla!B105="A", VLOOKUP(E105,EX:FJ,13,0)="A"), "OK",IF(
AND(Planilla!B105="A", OR(VLOOKUP(E105,EX:FJ,13,0)="B", VLOOKUP(E105,EX:FJ,13,0)="C")), "SOBREOFERTA",""
))))))),"")</f>
        <v/>
      </c>
      <c r="E105" s="12"/>
      <c r="F105" s="13"/>
      <c r="G105" s="14"/>
      <c r="H105" s="81" t="str">
        <f t="shared" si="44"/>
        <v/>
      </c>
      <c r="I105" s="7"/>
      <c r="J105" s="6" t="e">
        <f t="shared" si="45"/>
        <v>#N/A</v>
      </c>
      <c r="K105" s="6" t="str">
        <f>IF(A106&lt;&gt;A105,AVERAGEIF(A$9:A105,A105,J$9:J105),"")</f>
        <v/>
      </c>
      <c r="L105" s="7" t="str">
        <f>IFERROR(IF(A106&lt;&gt;A105,AVERAGEIF(A$9:A105,A105,S$9:S105),""),"")</f>
        <v/>
      </c>
      <c r="M105" s="7" t="str">
        <f>IFERROR(IF(A106&lt;&gt;A105,AVERAGEIF(A$9:A105,A105,T$9:T105),""),"")</f>
        <v/>
      </c>
      <c r="N105" s="7" t="str" cm="1">
        <f t="array" ref="N105">IFERROR(IF(A106&lt;&gt;A105,_xlfn.STDEV.P(IF(A$9:A105=A105,T$9:T105)),""),"")</f>
        <v/>
      </c>
      <c r="O105" s="7" t="str" cm="1">
        <f t="array" ref="O105">IFERROR(IF(A106&lt;&gt;A105,_xlfn.STDEV.P(IF(A$9:A105=A105,S$9:S105)),""),"")</f>
        <v/>
      </c>
      <c r="P105" s="8" t="str">
        <f t="shared" si="46"/>
        <v/>
      </c>
      <c r="Q105" s="8" t="str">
        <f t="shared" si="47"/>
        <v/>
      </c>
      <c r="R105" s="8" t="str">
        <f t="shared" si="48"/>
        <v/>
      </c>
      <c r="S105" s="9" t="str">
        <f t="shared" si="49"/>
        <v/>
      </c>
      <c r="T105" s="9" t="str">
        <f t="shared" si="50"/>
        <v/>
      </c>
      <c r="U105" s="14">
        <v>0.72499999999999998</v>
      </c>
      <c r="V105" s="15"/>
      <c r="W105" s="14" t="str">
        <f t="shared" si="51"/>
        <v/>
      </c>
      <c r="X105" s="15"/>
      <c r="Y105" s="2"/>
      <c r="AB105" s="22">
        <f t="shared" si="52"/>
        <v>1</v>
      </c>
      <c r="AC105" s="11"/>
      <c r="AD105" s="11"/>
      <c r="AE105" s="13"/>
      <c r="AF105" s="12"/>
      <c r="AG105" s="13"/>
      <c r="AH105" s="14"/>
      <c r="AI105" s="81" t="str">
        <f t="shared" si="53"/>
        <v/>
      </c>
      <c r="AJ105" s="15"/>
      <c r="AK105" s="6" t="e">
        <f t="shared" si="54"/>
        <v>#N/A</v>
      </c>
      <c r="AL105" s="6" t="str">
        <f>IF(AB106&lt;&gt;AB105,AVERAGEIF(AB$9:AB105,AB105,AK$9:AK105),"")</f>
        <v/>
      </c>
      <c r="AM105" s="7" t="str">
        <f>IFERROR(IF(AB106&lt;&gt;AB105,AVERAGEIF(AB$9:AB105,AB105,AT$9:AT105),""),"")</f>
        <v/>
      </c>
      <c r="AN105" s="7" t="str">
        <f>IFERROR(IF(AB106&lt;&gt;AB105,AVERAGEIF(AB$9:AB105,AB105,AU$9:AU105),""),"")</f>
        <v/>
      </c>
      <c r="AO105" s="7" t="str" cm="1">
        <f t="array" ref="AO105">IFERROR(IF(AB106&lt;&gt;AB105,_xlfn.STDEV.P(IF(AB$9:AB105=AB105,AU$9:AU105)),""),"")</f>
        <v/>
      </c>
      <c r="AP105" s="7" t="str" cm="1">
        <f t="array" ref="AP105">IFERROR(IF(AB106&lt;&gt;AB105,_xlfn.STDEV.P(IF(AB$9:AB105=AB105,AT$9:AT105)),""),"")</f>
        <v/>
      </c>
      <c r="AQ105" s="8" t="str">
        <f t="shared" si="55"/>
        <v/>
      </c>
      <c r="AR105" s="8" t="str">
        <f t="shared" si="56"/>
        <v/>
      </c>
      <c r="AS105" s="8" t="str">
        <f t="shared" si="57"/>
        <v/>
      </c>
      <c r="AT105" s="9" t="str">
        <f t="shared" si="58"/>
        <v/>
      </c>
      <c r="AU105" s="9" t="str">
        <f t="shared" si="59"/>
        <v/>
      </c>
      <c r="AV105" s="14"/>
      <c r="AW105" s="15"/>
      <c r="AX105" s="14" t="str">
        <f t="shared" si="60"/>
        <v/>
      </c>
      <c r="AY105" s="15"/>
      <c r="AZ105" s="23"/>
      <c r="EW105" t="s">
        <v>46</v>
      </c>
      <c r="EX105" s="33">
        <v>1102</v>
      </c>
      <c r="EY105" s="33" t="s">
        <v>328</v>
      </c>
      <c r="EZ105" s="33" t="s">
        <v>329</v>
      </c>
      <c r="FA105" s="33" t="s">
        <v>51</v>
      </c>
      <c r="FB105" s="33" t="s">
        <v>52</v>
      </c>
      <c r="FC105" s="33" t="s">
        <v>53</v>
      </c>
      <c r="FD105" s="33" t="s">
        <v>54</v>
      </c>
      <c r="FE105" s="33">
        <v>2019</v>
      </c>
      <c r="FF105" s="33" t="s">
        <v>55</v>
      </c>
      <c r="FG105" s="33" t="s">
        <v>71</v>
      </c>
      <c r="FH105" s="33" t="s">
        <v>72</v>
      </c>
      <c r="FI105" s="33" t="s">
        <v>73</v>
      </c>
      <c r="FJ105" t="s">
        <v>59</v>
      </c>
      <c r="FM105" s="32" t="s">
        <v>319</v>
      </c>
      <c r="FN105" t="s">
        <v>320</v>
      </c>
      <c r="FO105" t="s">
        <v>321</v>
      </c>
      <c r="FP105" t="str">
        <f t="shared" si="42"/>
        <v>B</v>
      </c>
      <c r="GU105" s="53">
        <v>102</v>
      </c>
      <c r="GV105" s="53">
        <v>99</v>
      </c>
    </row>
    <row r="106" spans="1:204" ht="15.5" x14ac:dyDescent="0.35">
      <c r="A106" s="95">
        <f t="shared" si="43"/>
        <v>1</v>
      </c>
      <c r="B106" s="11"/>
      <c r="C106" s="11"/>
      <c r="D106" s="92" t="str">
        <f>IFERROR(
IF(AND(OR(Planilla!B106="C",Planilla!B106="c"), VLOOKUP(E106,EX:FJ,13,0)="C"), "OK",IF(AND(OR(Planilla!B106="C",Planilla!B106="c"), OR(VLOOKUP(E106,EX:FJ,13,0)="B", VLOOKUP(E106,EX:FJ,13,0)="A")), "DEFICIT",IF(
AND(OR(Planilla!B106="B", Planilla!B106="BPAL"), VLOOKUP(E106,EX:FJ,13,0)="B"), "OK",IF(AND(OR(Planilla!B106="B", Planilla!B106="BPAL"), VLOOKUP(E106,EX:FJ,13,0)="A"), "DEFICIT",IF(AND(OR(Planilla!B106="B", Planilla!B106="BPAL"), VLOOKUP(E106,EX:FJ,13,0)="C"), "SOBREOFERTA",IF(AND(Planilla!B106="A", VLOOKUP(E106,EX:FJ,13,0)="A"), "OK",IF(
AND(Planilla!B106="A", OR(VLOOKUP(E106,EX:FJ,13,0)="B", VLOOKUP(E106,EX:FJ,13,0)="C")), "SOBREOFERTA",""
))))))),"")</f>
        <v/>
      </c>
      <c r="E106" s="12"/>
      <c r="F106" s="13"/>
      <c r="G106" s="14"/>
      <c r="H106" s="81" t="str">
        <f t="shared" si="44"/>
        <v/>
      </c>
      <c r="I106" s="7"/>
      <c r="J106" s="6" t="e">
        <f t="shared" si="45"/>
        <v>#N/A</v>
      </c>
      <c r="K106" s="6" t="str">
        <f>IF(A107&lt;&gt;A106,AVERAGEIF(A$9:A106,A106,J$9:J106),"")</f>
        <v/>
      </c>
      <c r="L106" s="7" t="str">
        <f>IFERROR(IF(A107&lt;&gt;A106,AVERAGEIF(A$9:A106,A106,S$9:S106),""),"")</f>
        <v/>
      </c>
      <c r="M106" s="7" t="str">
        <f>IFERROR(IF(A107&lt;&gt;A106,AVERAGEIF(A$9:A106,A106,T$9:T106),""),"")</f>
        <v/>
      </c>
      <c r="N106" s="7" t="str" cm="1">
        <f t="array" ref="N106">IFERROR(IF(A107&lt;&gt;A106,_xlfn.STDEV.P(IF(A$9:A106=A106,T$9:T106)),""),"")</f>
        <v/>
      </c>
      <c r="O106" s="7" t="str" cm="1">
        <f t="array" ref="O106">IFERROR(IF(A107&lt;&gt;A106,_xlfn.STDEV.P(IF(A$9:A106=A106,S$9:S106)),""),"")</f>
        <v/>
      </c>
      <c r="P106" s="8" t="str">
        <f t="shared" si="46"/>
        <v/>
      </c>
      <c r="Q106" s="8" t="str">
        <f t="shared" si="47"/>
        <v/>
      </c>
      <c r="R106" s="8" t="str">
        <f t="shared" si="48"/>
        <v/>
      </c>
      <c r="S106" s="9" t="str">
        <f t="shared" si="49"/>
        <v/>
      </c>
      <c r="T106" s="9" t="str">
        <f t="shared" si="50"/>
        <v/>
      </c>
      <c r="U106" s="14">
        <v>0.7319444444444444</v>
      </c>
      <c r="V106" s="15"/>
      <c r="W106" s="14" t="str">
        <f t="shared" si="51"/>
        <v/>
      </c>
      <c r="X106" s="15"/>
      <c r="Y106" s="2"/>
      <c r="AB106" s="22">
        <f t="shared" si="52"/>
        <v>1</v>
      </c>
      <c r="AC106" s="11"/>
      <c r="AD106" s="11"/>
      <c r="AE106" s="13"/>
      <c r="AF106" s="12"/>
      <c r="AG106" s="13"/>
      <c r="AH106" s="14"/>
      <c r="AI106" s="81" t="str">
        <f t="shared" si="53"/>
        <v/>
      </c>
      <c r="AJ106" s="15"/>
      <c r="AK106" s="6" t="e">
        <f t="shared" si="54"/>
        <v>#N/A</v>
      </c>
      <c r="AL106" s="6" t="str">
        <f>IF(AB107&lt;&gt;AB106,AVERAGEIF(AB$9:AB106,AB106,AK$9:AK106),"")</f>
        <v/>
      </c>
      <c r="AM106" s="7" t="str">
        <f>IFERROR(IF(AB107&lt;&gt;AB106,AVERAGEIF(AB$9:AB106,AB106,AT$9:AT106),""),"")</f>
        <v/>
      </c>
      <c r="AN106" s="7" t="str">
        <f>IFERROR(IF(AB107&lt;&gt;AB106,AVERAGEIF(AB$9:AB106,AB106,AU$9:AU106),""),"")</f>
        <v/>
      </c>
      <c r="AO106" s="7" t="str" cm="1">
        <f t="array" ref="AO106">IFERROR(IF(AB107&lt;&gt;AB106,_xlfn.STDEV.P(IF(AB$9:AB106=AB106,AU$9:AU106)),""),"")</f>
        <v/>
      </c>
      <c r="AP106" s="7" t="str" cm="1">
        <f t="array" ref="AP106">IFERROR(IF(AB107&lt;&gt;AB106,_xlfn.STDEV.P(IF(AB$9:AB106=AB106,AT$9:AT106)),""),"")</f>
        <v/>
      </c>
      <c r="AQ106" s="8" t="str">
        <f t="shared" si="55"/>
        <v/>
      </c>
      <c r="AR106" s="8" t="str">
        <f t="shared" si="56"/>
        <v/>
      </c>
      <c r="AS106" s="8" t="str">
        <f t="shared" si="57"/>
        <v/>
      </c>
      <c r="AT106" s="9" t="str">
        <f t="shared" si="58"/>
        <v/>
      </c>
      <c r="AU106" s="9" t="str">
        <f t="shared" si="59"/>
        <v/>
      </c>
      <c r="AV106" s="14"/>
      <c r="AW106" s="15"/>
      <c r="AX106" s="14" t="str">
        <f t="shared" si="60"/>
        <v/>
      </c>
      <c r="AY106" s="15"/>
      <c r="AZ106" s="23"/>
      <c r="EW106" t="s">
        <v>46</v>
      </c>
      <c r="EX106" s="33">
        <v>1103</v>
      </c>
      <c r="EY106" s="33" t="s">
        <v>330</v>
      </c>
      <c r="EZ106" s="33" t="s">
        <v>331</v>
      </c>
      <c r="FA106" s="33" t="s">
        <v>51</v>
      </c>
      <c r="FB106" s="33" t="s">
        <v>52</v>
      </c>
      <c r="FC106" s="33" t="s">
        <v>53</v>
      </c>
      <c r="FD106" s="33" t="s">
        <v>54</v>
      </c>
      <c r="FE106" s="33">
        <v>2019</v>
      </c>
      <c r="FF106" s="33" t="s">
        <v>55</v>
      </c>
      <c r="FG106" s="33" t="s">
        <v>71</v>
      </c>
      <c r="FH106" s="33" t="s">
        <v>72</v>
      </c>
      <c r="FI106" s="33" t="s">
        <v>73</v>
      </c>
      <c r="FJ106" t="s">
        <v>59</v>
      </c>
      <c r="FM106" s="32" t="s">
        <v>319</v>
      </c>
      <c r="FN106" t="s">
        <v>320</v>
      </c>
      <c r="FO106" t="s">
        <v>321</v>
      </c>
      <c r="FP106" t="str">
        <f t="shared" si="42"/>
        <v>B</v>
      </c>
      <c r="GU106" s="53">
        <v>103</v>
      </c>
      <c r="GV106" s="53">
        <v>100</v>
      </c>
    </row>
    <row r="107" spans="1:204" ht="15.5" x14ac:dyDescent="0.35">
      <c r="A107" s="95">
        <f t="shared" si="43"/>
        <v>1</v>
      </c>
      <c r="B107" s="11"/>
      <c r="C107" s="11"/>
      <c r="D107" s="92" t="str">
        <f>IFERROR(
IF(AND(OR(Planilla!B107="C",Planilla!B107="c"), VLOOKUP(E107,EX:FJ,13,0)="C"), "OK",IF(AND(OR(Planilla!B107="C",Planilla!B107="c"), OR(VLOOKUP(E107,EX:FJ,13,0)="B", VLOOKUP(E107,EX:FJ,13,0)="A")), "DEFICIT",IF(
AND(OR(Planilla!B107="B", Planilla!B107="BPAL"), VLOOKUP(E107,EX:FJ,13,0)="B"), "OK",IF(AND(OR(Planilla!B107="B", Planilla!B107="BPAL"), VLOOKUP(E107,EX:FJ,13,0)="A"), "DEFICIT",IF(AND(OR(Planilla!B107="B", Planilla!B107="BPAL"), VLOOKUP(E107,EX:FJ,13,0)="C"), "SOBREOFERTA",IF(AND(Planilla!B107="A", VLOOKUP(E107,EX:FJ,13,0)="A"), "OK",IF(
AND(Planilla!B107="A", OR(VLOOKUP(E107,EX:FJ,13,0)="B", VLOOKUP(E107,EX:FJ,13,0)="C")), "SOBREOFERTA",""
))))))),"")</f>
        <v/>
      </c>
      <c r="E107" s="12"/>
      <c r="F107" s="13"/>
      <c r="G107" s="14"/>
      <c r="H107" s="81" t="str">
        <f t="shared" si="44"/>
        <v/>
      </c>
      <c r="I107" s="7"/>
      <c r="J107" s="6" t="e">
        <f t="shared" si="45"/>
        <v>#N/A</v>
      </c>
      <c r="K107" s="6" t="str">
        <f>IF(A108&lt;&gt;A107,AVERAGEIF(A$9:A107,A107,J$9:J107),"")</f>
        <v/>
      </c>
      <c r="L107" s="7" t="str">
        <f>IFERROR(IF(A108&lt;&gt;A107,AVERAGEIF(A$9:A107,A107,S$9:S107),""),"")</f>
        <v/>
      </c>
      <c r="M107" s="7" t="str">
        <f>IFERROR(IF(A108&lt;&gt;A107,AVERAGEIF(A$9:A107,A107,T$9:T107),""),"")</f>
        <v/>
      </c>
      <c r="N107" s="7" t="str" cm="1">
        <f t="array" ref="N107">IFERROR(IF(A108&lt;&gt;A107,_xlfn.STDEV.P(IF(A$9:A107=A107,T$9:T107)),""),"")</f>
        <v/>
      </c>
      <c r="O107" s="7" t="str" cm="1">
        <f t="array" ref="O107">IFERROR(IF(A108&lt;&gt;A107,_xlfn.STDEV.P(IF(A$9:A107=A107,S$9:S107)),""),"")</f>
        <v/>
      </c>
      <c r="P107" s="8" t="str">
        <f t="shared" si="46"/>
        <v/>
      </c>
      <c r="Q107" s="8" t="str">
        <f t="shared" si="47"/>
        <v/>
      </c>
      <c r="R107" s="8" t="str">
        <f t="shared" si="48"/>
        <v/>
      </c>
      <c r="S107" s="9" t="str">
        <f t="shared" si="49"/>
        <v/>
      </c>
      <c r="T107" s="9" t="str">
        <f t="shared" si="50"/>
        <v/>
      </c>
      <c r="U107" s="14">
        <v>0.73333333333333328</v>
      </c>
      <c r="V107" s="15"/>
      <c r="W107" s="14" t="str">
        <f t="shared" si="51"/>
        <v/>
      </c>
      <c r="X107" s="15"/>
      <c r="Y107" s="2"/>
      <c r="AB107" s="22">
        <f t="shared" si="52"/>
        <v>1</v>
      </c>
      <c r="AC107" s="11"/>
      <c r="AD107" s="11"/>
      <c r="AE107" s="13"/>
      <c r="AF107" s="12"/>
      <c r="AG107" s="13"/>
      <c r="AH107" s="14"/>
      <c r="AI107" s="81" t="str">
        <f t="shared" si="53"/>
        <v/>
      </c>
      <c r="AJ107" s="15"/>
      <c r="AK107" s="6" t="e">
        <f t="shared" si="54"/>
        <v>#N/A</v>
      </c>
      <c r="AL107" s="6" t="str">
        <f>IF(AB108&lt;&gt;AB107,AVERAGEIF(AB$9:AB107,AB107,AK$9:AK107),"")</f>
        <v/>
      </c>
      <c r="AM107" s="7" t="str">
        <f>IFERROR(IF(AB108&lt;&gt;AB107,AVERAGEIF(AB$9:AB107,AB107,AT$9:AT107),""),"")</f>
        <v/>
      </c>
      <c r="AN107" s="7" t="str">
        <f>IFERROR(IF(AB108&lt;&gt;AB107,AVERAGEIF(AB$9:AB107,AB107,AU$9:AU107),""),"")</f>
        <v/>
      </c>
      <c r="AO107" s="7" t="str" cm="1">
        <f t="array" ref="AO107">IFERROR(IF(AB108&lt;&gt;AB107,_xlfn.STDEV.P(IF(AB$9:AB107=AB107,AU$9:AU107)),""),"")</f>
        <v/>
      </c>
      <c r="AP107" s="7" t="str" cm="1">
        <f t="array" ref="AP107">IFERROR(IF(AB108&lt;&gt;AB107,_xlfn.STDEV.P(IF(AB$9:AB107=AB107,AT$9:AT107)),""),"")</f>
        <v/>
      </c>
      <c r="AQ107" s="8" t="str">
        <f t="shared" si="55"/>
        <v/>
      </c>
      <c r="AR107" s="8" t="str">
        <f t="shared" si="56"/>
        <v/>
      </c>
      <c r="AS107" s="8" t="str">
        <f t="shared" si="57"/>
        <v/>
      </c>
      <c r="AT107" s="9" t="str">
        <f t="shared" si="58"/>
        <v/>
      </c>
      <c r="AU107" s="9" t="str">
        <f t="shared" si="59"/>
        <v/>
      </c>
      <c r="AV107" s="14"/>
      <c r="AW107" s="15"/>
      <c r="AX107" s="14" t="str">
        <f t="shared" si="60"/>
        <v/>
      </c>
      <c r="AY107" s="15"/>
      <c r="AZ107" s="23"/>
      <c r="EW107" t="s">
        <v>46</v>
      </c>
      <c r="EX107" s="33">
        <v>1104</v>
      </c>
      <c r="EY107" s="33" t="s">
        <v>332</v>
      </c>
      <c r="EZ107" s="33" t="s">
        <v>333</v>
      </c>
      <c r="FA107" s="33" t="s">
        <v>51</v>
      </c>
      <c r="FB107" s="33" t="s">
        <v>52</v>
      </c>
      <c r="FC107" s="33" t="s">
        <v>53</v>
      </c>
      <c r="FD107" s="33" t="s">
        <v>54</v>
      </c>
      <c r="FE107" s="33">
        <v>2019</v>
      </c>
      <c r="FF107" s="33" t="s">
        <v>55</v>
      </c>
      <c r="FG107" s="33" t="s">
        <v>71</v>
      </c>
      <c r="FH107" s="33" t="s">
        <v>72</v>
      </c>
      <c r="FI107" s="33" t="s">
        <v>73</v>
      </c>
      <c r="FJ107" t="s">
        <v>59</v>
      </c>
      <c r="FM107" s="32" t="s">
        <v>319</v>
      </c>
      <c r="FN107" t="s">
        <v>320</v>
      </c>
      <c r="FO107" t="s">
        <v>321</v>
      </c>
      <c r="FP107" t="str">
        <f t="shared" si="42"/>
        <v>B</v>
      </c>
      <c r="GU107" s="53">
        <v>104</v>
      </c>
      <c r="GV107" s="53">
        <v>101</v>
      </c>
    </row>
    <row r="108" spans="1:204" ht="15.5" x14ac:dyDescent="0.35">
      <c r="A108" s="95">
        <f t="shared" si="43"/>
        <v>1</v>
      </c>
      <c r="B108" s="11"/>
      <c r="C108" s="11"/>
      <c r="D108" s="92" t="str">
        <f>IFERROR(
IF(AND(OR(Planilla!B108="C",Planilla!B108="c"), VLOOKUP(E108,EX:FJ,13,0)="C"), "OK",IF(AND(OR(Planilla!B108="C",Planilla!B108="c"), OR(VLOOKUP(E108,EX:FJ,13,0)="B", VLOOKUP(E108,EX:FJ,13,0)="A")), "DEFICIT",IF(
AND(OR(Planilla!B108="B", Planilla!B108="BPAL"), VLOOKUP(E108,EX:FJ,13,0)="B"), "OK",IF(AND(OR(Planilla!B108="B", Planilla!B108="BPAL"), VLOOKUP(E108,EX:FJ,13,0)="A"), "DEFICIT",IF(AND(OR(Planilla!B108="B", Planilla!B108="BPAL"), VLOOKUP(E108,EX:FJ,13,0)="C"), "SOBREOFERTA",IF(AND(Planilla!B108="A", VLOOKUP(E108,EX:FJ,13,0)="A"), "OK",IF(
AND(Planilla!B108="A", OR(VLOOKUP(E108,EX:FJ,13,0)="B", VLOOKUP(E108,EX:FJ,13,0)="C")), "SOBREOFERTA",""
))))))),"")</f>
        <v/>
      </c>
      <c r="E108" s="12"/>
      <c r="F108" s="13"/>
      <c r="G108" s="14"/>
      <c r="H108" s="81" t="str">
        <f t="shared" si="44"/>
        <v/>
      </c>
      <c r="I108" s="7"/>
      <c r="J108" s="6" t="e">
        <f t="shared" si="45"/>
        <v>#N/A</v>
      </c>
      <c r="K108" s="6" t="str">
        <f>IF(A109&lt;&gt;A108,AVERAGEIF(A$9:A108,A108,J$9:J108),"")</f>
        <v/>
      </c>
      <c r="L108" s="7" t="str">
        <f>IFERROR(IF(A109&lt;&gt;A108,AVERAGEIF(A$9:A108,A108,S$9:S108),""),"")</f>
        <v/>
      </c>
      <c r="M108" s="7" t="str">
        <f>IFERROR(IF(A109&lt;&gt;A108,AVERAGEIF(A$9:A108,A108,T$9:T108),""),"")</f>
        <v/>
      </c>
      <c r="N108" s="7" t="str" cm="1">
        <f t="array" ref="N108">IFERROR(IF(A109&lt;&gt;A108,_xlfn.STDEV.P(IF(A$9:A108=A108,T$9:T108)),""),"")</f>
        <v/>
      </c>
      <c r="O108" s="7" t="str" cm="1">
        <f t="array" ref="O108">IFERROR(IF(A109&lt;&gt;A108,_xlfn.STDEV.P(IF(A$9:A108=A108,S$9:S108)),""),"")</f>
        <v/>
      </c>
      <c r="P108" s="8" t="str">
        <f t="shared" si="46"/>
        <v/>
      </c>
      <c r="Q108" s="8" t="str">
        <f t="shared" si="47"/>
        <v/>
      </c>
      <c r="R108" s="8" t="str">
        <f t="shared" si="48"/>
        <v/>
      </c>
      <c r="S108" s="9" t="str">
        <f t="shared" si="49"/>
        <v/>
      </c>
      <c r="T108" s="9" t="str">
        <f t="shared" si="50"/>
        <v/>
      </c>
      <c r="U108" s="14">
        <v>0.73888888888888893</v>
      </c>
      <c r="V108" s="15"/>
      <c r="W108" s="14" t="str">
        <f t="shared" si="51"/>
        <v/>
      </c>
      <c r="X108" s="15"/>
      <c r="Y108" s="2"/>
      <c r="AB108" s="22">
        <f t="shared" si="52"/>
        <v>1</v>
      </c>
      <c r="AC108" s="11"/>
      <c r="AD108" s="11"/>
      <c r="AE108" s="13"/>
      <c r="AF108" s="12"/>
      <c r="AG108" s="13"/>
      <c r="AH108" s="14"/>
      <c r="AI108" s="81" t="str">
        <f t="shared" si="53"/>
        <v/>
      </c>
      <c r="AJ108" s="15"/>
      <c r="AK108" s="6" t="e">
        <f t="shared" si="54"/>
        <v>#N/A</v>
      </c>
      <c r="AL108" s="6" t="str">
        <f>IF(AB109&lt;&gt;AB108,AVERAGEIF(AB$9:AB108,AB108,AK$9:AK108),"")</f>
        <v/>
      </c>
      <c r="AM108" s="7" t="str">
        <f>IFERROR(IF(AB109&lt;&gt;AB108,AVERAGEIF(AB$9:AB108,AB108,AT$9:AT108),""),"")</f>
        <v/>
      </c>
      <c r="AN108" s="7" t="str">
        <f>IFERROR(IF(AB109&lt;&gt;AB108,AVERAGEIF(AB$9:AB108,AB108,AU$9:AU108),""),"")</f>
        <v/>
      </c>
      <c r="AO108" s="7" t="str" cm="1">
        <f t="array" ref="AO108">IFERROR(IF(AB109&lt;&gt;AB108,_xlfn.STDEV.P(IF(AB$9:AB108=AB108,AU$9:AU108)),""),"")</f>
        <v/>
      </c>
      <c r="AP108" s="7" t="str" cm="1">
        <f t="array" ref="AP108">IFERROR(IF(AB109&lt;&gt;AB108,_xlfn.STDEV.P(IF(AB$9:AB108=AB108,AT$9:AT108)),""),"")</f>
        <v/>
      </c>
      <c r="AQ108" s="8" t="str">
        <f t="shared" si="55"/>
        <v/>
      </c>
      <c r="AR108" s="8" t="str">
        <f t="shared" si="56"/>
        <v/>
      </c>
      <c r="AS108" s="8" t="str">
        <f t="shared" si="57"/>
        <v/>
      </c>
      <c r="AT108" s="9" t="str">
        <f t="shared" si="58"/>
        <v/>
      </c>
      <c r="AU108" s="9" t="str">
        <f t="shared" si="59"/>
        <v/>
      </c>
      <c r="AV108" s="14"/>
      <c r="AW108" s="15"/>
      <c r="AX108" s="14" t="str">
        <f t="shared" si="60"/>
        <v/>
      </c>
      <c r="AY108" s="15"/>
      <c r="AZ108" s="23"/>
      <c r="EW108" t="s">
        <v>46</v>
      </c>
      <c r="EX108" s="33">
        <v>1105</v>
      </c>
      <c r="EY108" s="33" t="s">
        <v>334</v>
      </c>
      <c r="EZ108" s="33" t="s">
        <v>335</v>
      </c>
      <c r="FA108" s="33" t="s">
        <v>51</v>
      </c>
      <c r="FB108" s="33" t="s">
        <v>52</v>
      </c>
      <c r="FC108" s="33" t="s">
        <v>53</v>
      </c>
      <c r="FD108" s="33" t="s">
        <v>54</v>
      </c>
      <c r="FE108" s="33">
        <v>2019</v>
      </c>
      <c r="FF108" s="33" t="s">
        <v>55</v>
      </c>
      <c r="FG108" s="33" t="s">
        <v>71</v>
      </c>
      <c r="FH108" s="33" t="s">
        <v>72</v>
      </c>
      <c r="FI108" s="33" t="s">
        <v>73</v>
      </c>
      <c r="FJ108" t="s">
        <v>59</v>
      </c>
      <c r="FM108" s="32" t="s">
        <v>319</v>
      </c>
      <c r="FN108" t="s">
        <v>320</v>
      </c>
      <c r="FO108" t="s">
        <v>321</v>
      </c>
      <c r="FP108" t="str">
        <f t="shared" si="42"/>
        <v>B</v>
      </c>
      <c r="GU108" s="53">
        <v>105</v>
      </c>
      <c r="GV108" s="53">
        <v>102</v>
      </c>
    </row>
    <row r="109" spans="1:204" ht="15.5" x14ac:dyDescent="0.35">
      <c r="A109" s="95">
        <f t="shared" si="43"/>
        <v>1</v>
      </c>
      <c r="B109" s="11"/>
      <c r="C109" s="11"/>
      <c r="D109" s="92" t="str">
        <f>IFERROR(
IF(AND(OR(Planilla!B109="C",Planilla!B109="c"), VLOOKUP(E109,EX:FJ,13,0)="C"), "OK",IF(AND(OR(Planilla!B109="C",Planilla!B109="c"), OR(VLOOKUP(E109,EX:FJ,13,0)="B", VLOOKUP(E109,EX:FJ,13,0)="A")), "DEFICIT",IF(
AND(OR(Planilla!B109="B", Planilla!B109="BPAL"), VLOOKUP(E109,EX:FJ,13,0)="B"), "OK",IF(AND(OR(Planilla!B109="B", Planilla!B109="BPAL"), VLOOKUP(E109,EX:FJ,13,0)="A"), "DEFICIT",IF(AND(OR(Planilla!B109="B", Planilla!B109="BPAL"), VLOOKUP(E109,EX:FJ,13,0)="C"), "SOBREOFERTA",IF(AND(Planilla!B109="A", VLOOKUP(E109,EX:FJ,13,0)="A"), "OK",IF(
AND(Planilla!B109="A", OR(VLOOKUP(E109,EX:FJ,13,0)="B", VLOOKUP(E109,EX:FJ,13,0)="C")), "SOBREOFERTA",""
))))))),"")</f>
        <v/>
      </c>
      <c r="E109" s="12"/>
      <c r="F109" s="13"/>
      <c r="G109" s="14"/>
      <c r="H109" s="81" t="str">
        <f t="shared" si="44"/>
        <v/>
      </c>
      <c r="I109" s="7"/>
      <c r="J109" s="6" t="e">
        <f t="shared" si="45"/>
        <v>#N/A</v>
      </c>
      <c r="K109" s="6" t="str">
        <f>IF(A110&lt;&gt;A109,AVERAGEIF(A$9:A109,A109,J$9:J109),"")</f>
        <v/>
      </c>
      <c r="L109" s="7" t="str">
        <f>IFERROR(IF(A110&lt;&gt;A109,AVERAGEIF(A$9:A109,A109,S$9:S109),""),"")</f>
        <v/>
      </c>
      <c r="M109" s="7" t="str">
        <f>IFERROR(IF(A110&lt;&gt;A109,AVERAGEIF(A$9:A109,A109,T$9:T109),""),"")</f>
        <v/>
      </c>
      <c r="N109" s="7" t="str" cm="1">
        <f t="array" ref="N109">IFERROR(IF(A110&lt;&gt;A109,_xlfn.STDEV.P(IF(A$9:A109=A109,T$9:T109)),""),"")</f>
        <v/>
      </c>
      <c r="O109" s="7" t="str" cm="1">
        <f t="array" ref="O109">IFERROR(IF(A110&lt;&gt;A109,_xlfn.STDEV.P(IF(A$9:A109=A109,S$9:S109)),""),"")</f>
        <v/>
      </c>
      <c r="P109" s="8" t="str">
        <f t="shared" si="46"/>
        <v/>
      </c>
      <c r="Q109" s="8" t="str">
        <f t="shared" si="47"/>
        <v/>
      </c>
      <c r="R109" s="8" t="str">
        <f t="shared" si="48"/>
        <v/>
      </c>
      <c r="S109" s="9" t="str">
        <f t="shared" si="49"/>
        <v/>
      </c>
      <c r="T109" s="9" t="str">
        <f t="shared" si="50"/>
        <v/>
      </c>
      <c r="U109" s="14">
        <v>0.75</v>
      </c>
      <c r="V109" s="15"/>
      <c r="W109" s="14" t="str">
        <f t="shared" si="51"/>
        <v/>
      </c>
      <c r="X109" s="15"/>
      <c r="Y109" s="2"/>
      <c r="AB109" s="22">
        <f t="shared" si="52"/>
        <v>1</v>
      </c>
      <c r="AC109" s="11"/>
      <c r="AD109" s="11"/>
      <c r="AE109" s="13"/>
      <c r="AF109" s="12"/>
      <c r="AG109" s="13"/>
      <c r="AH109" s="14"/>
      <c r="AI109" s="81" t="str">
        <f t="shared" si="53"/>
        <v/>
      </c>
      <c r="AJ109" s="15"/>
      <c r="AK109" s="6" t="e">
        <f t="shared" si="54"/>
        <v>#N/A</v>
      </c>
      <c r="AL109" s="6" t="str">
        <f>IF(AB110&lt;&gt;AB109,AVERAGEIF(AB$9:AB109,AB109,AK$9:AK109),"")</f>
        <v/>
      </c>
      <c r="AM109" s="7" t="str">
        <f>IFERROR(IF(AB110&lt;&gt;AB109,AVERAGEIF(AB$9:AB109,AB109,AT$9:AT109),""),"")</f>
        <v/>
      </c>
      <c r="AN109" s="7" t="str">
        <f>IFERROR(IF(AB110&lt;&gt;AB109,AVERAGEIF(AB$9:AB109,AB109,AU$9:AU109),""),"")</f>
        <v/>
      </c>
      <c r="AO109" s="7" t="str" cm="1">
        <f t="array" ref="AO109">IFERROR(IF(AB110&lt;&gt;AB109,_xlfn.STDEV.P(IF(AB$9:AB109=AB109,AU$9:AU109)),""),"")</f>
        <v/>
      </c>
      <c r="AP109" s="7" t="str" cm="1">
        <f t="array" ref="AP109">IFERROR(IF(AB110&lt;&gt;AB109,_xlfn.STDEV.P(IF(AB$9:AB109=AB109,AT$9:AT109)),""),"")</f>
        <v/>
      </c>
      <c r="AQ109" s="8" t="str">
        <f t="shared" si="55"/>
        <v/>
      </c>
      <c r="AR109" s="8" t="str">
        <f t="shared" si="56"/>
        <v/>
      </c>
      <c r="AS109" s="8" t="str">
        <f t="shared" si="57"/>
        <v/>
      </c>
      <c r="AT109" s="9" t="str">
        <f t="shared" si="58"/>
        <v/>
      </c>
      <c r="AU109" s="9" t="str">
        <f t="shared" si="59"/>
        <v/>
      </c>
      <c r="AV109" s="14"/>
      <c r="AW109" s="15"/>
      <c r="AX109" s="14" t="str">
        <f t="shared" si="60"/>
        <v/>
      </c>
      <c r="AY109" s="15"/>
      <c r="AZ109" s="23"/>
      <c r="EW109" t="s">
        <v>46</v>
      </c>
      <c r="EX109" s="33">
        <v>1106</v>
      </c>
      <c r="EY109" s="33" t="s">
        <v>336</v>
      </c>
      <c r="EZ109" s="33" t="s">
        <v>337</v>
      </c>
      <c r="FA109" s="33" t="s">
        <v>51</v>
      </c>
      <c r="FB109" s="33" t="s">
        <v>52</v>
      </c>
      <c r="FC109" s="33" t="s">
        <v>53</v>
      </c>
      <c r="FD109" s="33" t="s">
        <v>54</v>
      </c>
      <c r="FE109" s="33">
        <v>2019</v>
      </c>
      <c r="FF109" s="33" t="s">
        <v>55</v>
      </c>
      <c r="FG109" s="33" t="s">
        <v>71</v>
      </c>
      <c r="FH109" s="33" t="s">
        <v>72</v>
      </c>
      <c r="FI109" s="33" t="s">
        <v>73</v>
      </c>
      <c r="FJ109" t="s">
        <v>59</v>
      </c>
      <c r="FM109" s="32" t="s">
        <v>338</v>
      </c>
      <c r="FN109" t="s">
        <v>339</v>
      </c>
      <c r="FO109" t="s">
        <v>340</v>
      </c>
      <c r="FP109" t="str">
        <f t="shared" si="42"/>
        <v>B</v>
      </c>
      <c r="GU109" s="53">
        <v>106</v>
      </c>
      <c r="GV109" s="53">
        <v>103</v>
      </c>
    </row>
    <row r="110" spans="1:204" ht="15.5" x14ac:dyDescent="0.35">
      <c r="A110" s="95">
        <f t="shared" si="43"/>
        <v>1</v>
      </c>
      <c r="B110" s="11"/>
      <c r="C110" s="11"/>
      <c r="D110" s="92" t="str">
        <f>IFERROR(
IF(AND(OR(Planilla!B110="C",Planilla!B110="c"), VLOOKUP(E110,EX:FJ,13,0)="C"), "OK",IF(AND(OR(Planilla!B110="C",Planilla!B110="c"), OR(VLOOKUP(E110,EX:FJ,13,0)="B", VLOOKUP(E110,EX:FJ,13,0)="A")), "DEFICIT",IF(
AND(OR(Planilla!B110="B", Planilla!B110="BPAL"), VLOOKUP(E110,EX:FJ,13,0)="B"), "OK",IF(AND(OR(Planilla!B110="B", Planilla!B110="BPAL"), VLOOKUP(E110,EX:FJ,13,0)="A"), "DEFICIT",IF(AND(OR(Planilla!B110="B", Planilla!B110="BPAL"), VLOOKUP(E110,EX:FJ,13,0)="C"), "SOBREOFERTA",IF(AND(Planilla!B110="A", VLOOKUP(E110,EX:FJ,13,0)="A"), "OK",IF(
AND(Planilla!B110="A", OR(VLOOKUP(E110,EX:FJ,13,0)="B", VLOOKUP(E110,EX:FJ,13,0)="C")), "SOBREOFERTA",""
))))))),"")</f>
        <v/>
      </c>
      <c r="E110" s="12"/>
      <c r="F110" s="13"/>
      <c r="G110" s="14"/>
      <c r="H110" s="81" t="str">
        <f t="shared" si="44"/>
        <v/>
      </c>
      <c r="I110" s="7"/>
      <c r="J110" s="6" t="e">
        <f t="shared" si="45"/>
        <v>#N/A</v>
      </c>
      <c r="K110" s="6" t="str">
        <f>IF(A111&lt;&gt;A110,AVERAGEIF(A$9:A110,A110,J$9:J110),"")</f>
        <v/>
      </c>
      <c r="L110" s="7" t="str">
        <f>IFERROR(IF(A111&lt;&gt;A110,AVERAGEIF(A$9:A110,A110,S$9:S110),""),"")</f>
        <v/>
      </c>
      <c r="M110" s="7" t="str">
        <f>IFERROR(IF(A111&lt;&gt;A110,AVERAGEIF(A$9:A110,A110,T$9:T110),""),"")</f>
        <v/>
      </c>
      <c r="N110" s="7" t="str" cm="1">
        <f t="array" ref="N110">IFERROR(IF(A111&lt;&gt;A110,_xlfn.STDEV.P(IF(A$9:A110=A110,T$9:T110)),""),"")</f>
        <v/>
      </c>
      <c r="O110" s="7" t="str" cm="1">
        <f t="array" ref="O110">IFERROR(IF(A111&lt;&gt;A110,_xlfn.STDEV.P(IF(A$9:A110=A110,S$9:S110)),""),"")</f>
        <v/>
      </c>
      <c r="P110" s="8" t="str">
        <f t="shared" si="46"/>
        <v/>
      </c>
      <c r="Q110" s="8" t="str">
        <f t="shared" si="47"/>
        <v/>
      </c>
      <c r="R110" s="8" t="str">
        <f t="shared" si="48"/>
        <v/>
      </c>
      <c r="S110" s="9" t="str">
        <f t="shared" si="49"/>
        <v/>
      </c>
      <c r="T110" s="9" t="str">
        <f t="shared" si="50"/>
        <v/>
      </c>
      <c r="U110" s="14">
        <v>0.75694444444444442</v>
      </c>
      <c r="V110" s="15"/>
      <c r="W110" s="14" t="str">
        <f t="shared" si="51"/>
        <v/>
      </c>
      <c r="X110" s="15"/>
      <c r="Y110" s="2"/>
      <c r="AB110" s="22">
        <f t="shared" si="52"/>
        <v>1</v>
      </c>
      <c r="AC110" s="11"/>
      <c r="AD110" s="11"/>
      <c r="AE110" s="13"/>
      <c r="AF110" s="12"/>
      <c r="AG110" s="13"/>
      <c r="AH110" s="14"/>
      <c r="AI110" s="81" t="str">
        <f t="shared" si="53"/>
        <v/>
      </c>
      <c r="AJ110" s="15"/>
      <c r="AK110" s="6" t="e">
        <f t="shared" si="54"/>
        <v>#N/A</v>
      </c>
      <c r="AL110" s="6" t="str">
        <f>IF(AB111&lt;&gt;AB110,AVERAGEIF(AB$9:AB110,AB110,AK$9:AK110),"")</f>
        <v/>
      </c>
      <c r="AM110" s="7" t="str">
        <f>IFERROR(IF(AB111&lt;&gt;AB110,AVERAGEIF(AB$9:AB110,AB110,AT$9:AT110),""),"")</f>
        <v/>
      </c>
      <c r="AN110" s="7" t="str">
        <f>IFERROR(IF(AB111&lt;&gt;AB110,AVERAGEIF(AB$9:AB110,AB110,AU$9:AU110),""),"")</f>
        <v/>
      </c>
      <c r="AO110" s="7" t="str" cm="1">
        <f t="array" ref="AO110">IFERROR(IF(AB111&lt;&gt;AB110,_xlfn.STDEV.P(IF(AB$9:AB110=AB110,AU$9:AU110)),""),"")</f>
        <v/>
      </c>
      <c r="AP110" s="7" t="str" cm="1">
        <f t="array" ref="AP110">IFERROR(IF(AB111&lt;&gt;AB110,_xlfn.STDEV.P(IF(AB$9:AB110=AB110,AT$9:AT110)),""),"")</f>
        <v/>
      </c>
      <c r="AQ110" s="8" t="str">
        <f t="shared" si="55"/>
        <v/>
      </c>
      <c r="AR110" s="8" t="str">
        <f t="shared" si="56"/>
        <v/>
      </c>
      <c r="AS110" s="8" t="str">
        <f t="shared" si="57"/>
        <v/>
      </c>
      <c r="AT110" s="9" t="str">
        <f t="shared" si="58"/>
        <v/>
      </c>
      <c r="AU110" s="9" t="str">
        <f t="shared" si="59"/>
        <v/>
      </c>
      <c r="AV110" s="14"/>
      <c r="AW110" s="15"/>
      <c r="AX110" s="14" t="str">
        <f t="shared" si="60"/>
        <v/>
      </c>
      <c r="AY110" s="15"/>
      <c r="AZ110" s="23"/>
      <c r="EW110" t="s">
        <v>46</v>
      </c>
      <c r="EX110" s="33">
        <v>1107</v>
      </c>
      <c r="EY110" s="33" t="s">
        <v>341</v>
      </c>
      <c r="EZ110" s="33" t="s">
        <v>342</v>
      </c>
      <c r="FA110" s="33" t="s">
        <v>343</v>
      </c>
      <c r="FB110" s="33" t="s">
        <v>344</v>
      </c>
      <c r="FC110" s="33" t="s">
        <v>345</v>
      </c>
      <c r="FD110" s="33" t="s">
        <v>346</v>
      </c>
      <c r="FE110" s="33">
        <v>2025</v>
      </c>
      <c r="FF110" s="33" t="s">
        <v>59</v>
      </c>
      <c r="FG110" s="33" t="s">
        <v>71</v>
      </c>
      <c r="FH110" s="33" t="s">
        <v>72</v>
      </c>
      <c r="FI110" s="33" t="s">
        <v>73</v>
      </c>
      <c r="FJ110" t="s">
        <v>59</v>
      </c>
      <c r="FM110" s="32" t="s">
        <v>347</v>
      </c>
      <c r="FN110" t="s">
        <v>348</v>
      </c>
      <c r="FO110" t="s">
        <v>349</v>
      </c>
      <c r="FP110" t="str">
        <f t="shared" si="42"/>
        <v>B</v>
      </c>
      <c r="GU110" s="53">
        <v>107</v>
      </c>
      <c r="GV110" s="53">
        <v>104</v>
      </c>
    </row>
    <row r="111" spans="1:204" ht="15.5" x14ac:dyDescent="0.35">
      <c r="A111" s="95">
        <f t="shared" si="43"/>
        <v>1</v>
      </c>
      <c r="B111" s="11"/>
      <c r="C111" s="11"/>
      <c r="D111" s="92" t="str">
        <f>IFERROR(
IF(AND(OR(Planilla!B111="C",Planilla!B111="c"), VLOOKUP(E111,EX:FJ,13,0)="C"), "OK",IF(AND(OR(Planilla!B111="C",Planilla!B111="c"), OR(VLOOKUP(E111,EX:FJ,13,0)="B", VLOOKUP(E111,EX:FJ,13,0)="A")), "DEFICIT",IF(
AND(OR(Planilla!B111="B", Planilla!B111="BPAL"), VLOOKUP(E111,EX:FJ,13,0)="B"), "OK",IF(AND(OR(Planilla!B111="B", Planilla!B111="BPAL"), VLOOKUP(E111,EX:FJ,13,0)="A"), "DEFICIT",IF(AND(OR(Planilla!B111="B", Planilla!B111="BPAL"), VLOOKUP(E111,EX:FJ,13,0)="C"), "SOBREOFERTA",IF(AND(Planilla!B111="A", VLOOKUP(E111,EX:FJ,13,0)="A"), "OK",IF(
AND(Planilla!B111="A", OR(VLOOKUP(E111,EX:FJ,13,0)="B", VLOOKUP(E111,EX:FJ,13,0)="C")), "SOBREOFERTA",""
))))))),"")</f>
        <v/>
      </c>
      <c r="E111" s="12"/>
      <c r="F111" s="13"/>
      <c r="G111" s="14"/>
      <c r="H111" s="81" t="str">
        <f t="shared" si="44"/>
        <v/>
      </c>
      <c r="I111" s="7"/>
      <c r="J111" s="6" t="e">
        <f t="shared" si="45"/>
        <v>#N/A</v>
      </c>
      <c r="K111" s="6" t="str">
        <f>IF(A112&lt;&gt;A111,AVERAGEIF(A$9:A111,A111,J$9:J111),"")</f>
        <v/>
      </c>
      <c r="L111" s="7" t="str">
        <f>IFERROR(IF(A112&lt;&gt;A111,AVERAGEIF(A$9:A111,A111,S$9:S111),""),"")</f>
        <v/>
      </c>
      <c r="M111" s="7" t="str">
        <f>IFERROR(IF(A112&lt;&gt;A111,AVERAGEIF(A$9:A111,A111,T$9:T111),""),"")</f>
        <v/>
      </c>
      <c r="N111" s="7" t="str" cm="1">
        <f t="array" ref="N111">IFERROR(IF(A112&lt;&gt;A111,_xlfn.STDEV.P(IF(A$9:A111=A111,T$9:T111)),""),"")</f>
        <v/>
      </c>
      <c r="O111" s="7" t="str" cm="1">
        <f t="array" ref="O111">IFERROR(IF(A112&lt;&gt;A111,_xlfn.STDEV.P(IF(A$9:A111=A111,S$9:S111)),""),"")</f>
        <v/>
      </c>
      <c r="P111" s="8" t="str">
        <f t="shared" si="46"/>
        <v/>
      </c>
      <c r="Q111" s="8" t="str">
        <f t="shared" si="47"/>
        <v/>
      </c>
      <c r="R111" s="8" t="str">
        <f t="shared" si="48"/>
        <v/>
      </c>
      <c r="S111" s="9" t="str">
        <f t="shared" si="49"/>
        <v/>
      </c>
      <c r="T111" s="9" t="str">
        <f t="shared" si="50"/>
        <v/>
      </c>
      <c r="U111" s="14">
        <v>0.76388888888888884</v>
      </c>
      <c r="V111" s="15"/>
      <c r="W111" s="14" t="str">
        <f t="shared" si="51"/>
        <v/>
      </c>
      <c r="X111" s="15"/>
      <c r="Y111" s="2"/>
      <c r="AB111" s="22">
        <f t="shared" si="52"/>
        <v>1</v>
      </c>
      <c r="AC111" s="11"/>
      <c r="AD111" s="11"/>
      <c r="AE111" s="13"/>
      <c r="AF111" s="12"/>
      <c r="AG111" s="13"/>
      <c r="AH111" s="14"/>
      <c r="AI111" s="81" t="str">
        <f t="shared" si="53"/>
        <v/>
      </c>
      <c r="AJ111" s="15"/>
      <c r="AK111" s="6" t="e">
        <f t="shared" si="54"/>
        <v>#N/A</v>
      </c>
      <c r="AL111" s="6" t="str">
        <f>IF(AB112&lt;&gt;AB111,AVERAGEIF(AB$9:AB111,AB111,AK$9:AK111),"")</f>
        <v/>
      </c>
      <c r="AM111" s="7" t="str">
        <f>IFERROR(IF(AB112&lt;&gt;AB111,AVERAGEIF(AB$9:AB111,AB111,AT$9:AT111),""),"")</f>
        <v/>
      </c>
      <c r="AN111" s="7" t="str">
        <f>IFERROR(IF(AB112&lt;&gt;AB111,AVERAGEIF(AB$9:AB111,AB111,AU$9:AU111),""),"")</f>
        <v/>
      </c>
      <c r="AO111" s="7" t="str" cm="1">
        <f t="array" ref="AO111">IFERROR(IF(AB112&lt;&gt;AB111,_xlfn.STDEV.P(IF(AB$9:AB111=AB111,AU$9:AU111)),""),"")</f>
        <v/>
      </c>
      <c r="AP111" s="7" t="str" cm="1">
        <f t="array" ref="AP111">IFERROR(IF(AB112&lt;&gt;AB111,_xlfn.STDEV.P(IF(AB$9:AB111=AB111,AT$9:AT111)),""),"")</f>
        <v/>
      </c>
      <c r="AQ111" s="8" t="str">
        <f t="shared" si="55"/>
        <v/>
      </c>
      <c r="AR111" s="8" t="str">
        <f t="shared" si="56"/>
        <v/>
      </c>
      <c r="AS111" s="8" t="str">
        <f t="shared" si="57"/>
        <v/>
      </c>
      <c r="AT111" s="9" t="str">
        <f t="shared" si="58"/>
        <v/>
      </c>
      <c r="AU111" s="9" t="str">
        <f t="shared" si="59"/>
        <v/>
      </c>
      <c r="AV111" s="14"/>
      <c r="AW111" s="15"/>
      <c r="AX111" s="14" t="str">
        <f t="shared" si="60"/>
        <v/>
      </c>
      <c r="AY111" s="15"/>
      <c r="AZ111" s="23"/>
      <c r="EW111" t="s">
        <v>46</v>
      </c>
      <c r="EX111" s="33">
        <v>1108</v>
      </c>
      <c r="EY111" s="33" t="s">
        <v>350</v>
      </c>
      <c r="EZ111" s="33" t="s">
        <v>351</v>
      </c>
      <c r="FA111" s="33" t="s">
        <v>343</v>
      </c>
      <c r="FB111" s="33" t="s">
        <v>344</v>
      </c>
      <c r="FC111" s="33" t="s">
        <v>345</v>
      </c>
      <c r="FD111" s="33" t="s">
        <v>346</v>
      </c>
      <c r="FE111" s="33">
        <v>2025</v>
      </c>
      <c r="FF111" s="33" t="s">
        <v>59</v>
      </c>
      <c r="FG111" s="33" t="s">
        <v>71</v>
      </c>
      <c r="FH111" s="33" t="s">
        <v>72</v>
      </c>
      <c r="FI111" s="33" t="s">
        <v>73</v>
      </c>
      <c r="FJ111" t="s">
        <v>59</v>
      </c>
      <c r="FM111" s="32" t="s">
        <v>347</v>
      </c>
      <c r="FN111" t="s">
        <v>348</v>
      </c>
      <c r="FO111" t="s">
        <v>349</v>
      </c>
      <c r="FP111" t="str">
        <f t="shared" si="42"/>
        <v>B</v>
      </c>
      <c r="GU111" s="53">
        <v>108</v>
      </c>
      <c r="GV111" s="53">
        <v>105</v>
      </c>
    </row>
    <row r="112" spans="1:204" ht="15.5" x14ac:dyDescent="0.35">
      <c r="A112" s="95">
        <f t="shared" si="43"/>
        <v>1</v>
      </c>
      <c r="B112" s="11"/>
      <c r="C112" s="11"/>
      <c r="D112" s="92" t="str">
        <f>IFERROR(
IF(AND(OR(Planilla!B112="C",Planilla!B112="c"), VLOOKUP(E112,EX:FJ,13,0)="C"), "OK",IF(AND(OR(Planilla!B112="C",Planilla!B112="c"), OR(VLOOKUP(E112,EX:FJ,13,0)="B", VLOOKUP(E112,EX:FJ,13,0)="A")), "DEFICIT",IF(
AND(OR(Planilla!B112="B", Planilla!B112="BPAL"), VLOOKUP(E112,EX:FJ,13,0)="B"), "OK",IF(AND(OR(Planilla!B112="B", Planilla!B112="BPAL"), VLOOKUP(E112,EX:FJ,13,0)="A"), "DEFICIT",IF(AND(OR(Planilla!B112="B", Planilla!B112="BPAL"), VLOOKUP(E112,EX:FJ,13,0)="C"), "SOBREOFERTA",IF(AND(Planilla!B112="A", VLOOKUP(E112,EX:FJ,13,0)="A"), "OK",IF(
AND(Planilla!B112="A", OR(VLOOKUP(E112,EX:FJ,13,0)="B", VLOOKUP(E112,EX:FJ,13,0)="C")), "SOBREOFERTA",""
))))))),"")</f>
        <v/>
      </c>
      <c r="E112" s="12"/>
      <c r="F112" s="13"/>
      <c r="G112" s="14"/>
      <c r="H112" s="81" t="str">
        <f t="shared" si="44"/>
        <v/>
      </c>
      <c r="I112" s="7"/>
      <c r="J112" s="6" t="e">
        <f t="shared" si="45"/>
        <v>#N/A</v>
      </c>
      <c r="K112" s="6" t="str">
        <f>IF(A113&lt;&gt;A112,AVERAGEIF(A$9:A112,A112,J$9:J112),"")</f>
        <v/>
      </c>
      <c r="L112" s="7" t="str">
        <f>IFERROR(IF(A113&lt;&gt;A112,AVERAGEIF(A$9:A112,A112,S$9:S112),""),"")</f>
        <v/>
      </c>
      <c r="M112" s="7" t="str">
        <f>IFERROR(IF(A113&lt;&gt;A112,AVERAGEIF(A$9:A112,A112,T$9:T112),""),"")</f>
        <v/>
      </c>
      <c r="N112" s="7" t="str" cm="1">
        <f t="array" ref="N112">IFERROR(IF(A113&lt;&gt;A112,_xlfn.STDEV.P(IF(A$9:A112=A112,T$9:T112)),""),"")</f>
        <v/>
      </c>
      <c r="O112" s="7" t="str" cm="1">
        <f t="array" ref="O112">IFERROR(IF(A113&lt;&gt;A112,_xlfn.STDEV.P(IF(A$9:A112=A112,S$9:S112)),""),"")</f>
        <v/>
      </c>
      <c r="P112" s="8" t="str">
        <f t="shared" si="46"/>
        <v/>
      </c>
      <c r="Q112" s="8" t="str">
        <f t="shared" si="47"/>
        <v/>
      </c>
      <c r="R112" s="8" t="str">
        <f t="shared" si="48"/>
        <v/>
      </c>
      <c r="S112" s="9" t="str">
        <f t="shared" si="49"/>
        <v/>
      </c>
      <c r="T112" s="9" t="str">
        <f t="shared" si="50"/>
        <v/>
      </c>
      <c r="U112" s="14">
        <v>0.77152777777777781</v>
      </c>
      <c r="V112" s="15"/>
      <c r="W112" s="14" t="str">
        <f t="shared" si="51"/>
        <v/>
      </c>
      <c r="X112" s="15"/>
      <c r="Y112" s="2"/>
      <c r="AB112" s="22">
        <f t="shared" si="52"/>
        <v>1</v>
      </c>
      <c r="AC112" s="11"/>
      <c r="AD112" s="11"/>
      <c r="AE112" s="13"/>
      <c r="AF112" s="12"/>
      <c r="AG112" s="13"/>
      <c r="AH112" s="14"/>
      <c r="AI112" s="81" t="str">
        <f t="shared" si="53"/>
        <v/>
      </c>
      <c r="AJ112" s="15"/>
      <c r="AK112" s="6" t="e">
        <f t="shared" si="54"/>
        <v>#N/A</v>
      </c>
      <c r="AL112" s="6" t="str">
        <f>IF(AB113&lt;&gt;AB112,AVERAGEIF(AB$9:AB112,AB112,AK$9:AK112),"")</f>
        <v/>
      </c>
      <c r="AM112" s="7" t="str">
        <f>IFERROR(IF(AB113&lt;&gt;AB112,AVERAGEIF(AB$9:AB112,AB112,AT$9:AT112),""),"")</f>
        <v/>
      </c>
      <c r="AN112" s="7" t="str">
        <f>IFERROR(IF(AB113&lt;&gt;AB112,AVERAGEIF(AB$9:AB112,AB112,AU$9:AU112),""),"")</f>
        <v/>
      </c>
      <c r="AO112" s="7" t="str" cm="1">
        <f t="array" ref="AO112">IFERROR(IF(AB113&lt;&gt;AB112,_xlfn.STDEV.P(IF(AB$9:AB112=AB112,AU$9:AU112)),""),"")</f>
        <v/>
      </c>
      <c r="AP112" s="7" t="str" cm="1">
        <f t="array" ref="AP112">IFERROR(IF(AB113&lt;&gt;AB112,_xlfn.STDEV.P(IF(AB$9:AB112=AB112,AT$9:AT112)),""),"")</f>
        <v/>
      </c>
      <c r="AQ112" s="8" t="str">
        <f t="shared" si="55"/>
        <v/>
      </c>
      <c r="AR112" s="8" t="str">
        <f t="shared" si="56"/>
        <v/>
      </c>
      <c r="AS112" s="8" t="str">
        <f t="shared" si="57"/>
        <v/>
      </c>
      <c r="AT112" s="9" t="str">
        <f t="shared" si="58"/>
        <v/>
      </c>
      <c r="AU112" s="9" t="str">
        <f t="shared" si="59"/>
        <v/>
      </c>
      <c r="AV112" s="14"/>
      <c r="AW112" s="15"/>
      <c r="AX112" s="14" t="str">
        <f t="shared" si="60"/>
        <v/>
      </c>
      <c r="AY112" s="15"/>
      <c r="AZ112" s="23"/>
      <c r="EW112" t="s">
        <v>46</v>
      </c>
      <c r="EX112" s="33">
        <v>1109</v>
      </c>
      <c r="EY112" s="33" t="s">
        <v>352</v>
      </c>
      <c r="EZ112" s="33" t="s">
        <v>353</v>
      </c>
      <c r="FA112" s="33" t="s">
        <v>343</v>
      </c>
      <c r="FB112" s="33" t="s">
        <v>344</v>
      </c>
      <c r="FC112" s="33" t="s">
        <v>345</v>
      </c>
      <c r="FD112" s="33" t="s">
        <v>346</v>
      </c>
      <c r="FE112" s="33">
        <v>2025</v>
      </c>
      <c r="FF112" s="33" t="s">
        <v>59</v>
      </c>
      <c r="FG112" s="33" t="s">
        <v>71</v>
      </c>
      <c r="FH112" s="33" t="s">
        <v>72</v>
      </c>
      <c r="FI112" s="33" t="s">
        <v>73</v>
      </c>
      <c r="FJ112" t="s">
        <v>59</v>
      </c>
      <c r="FM112" s="32" t="s">
        <v>347</v>
      </c>
      <c r="FN112" t="s">
        <v>348</v>
      </c>
      <c r="FO112" t="s">
        <v>349</v>
      </c>
      <c r="FP112" t="str">
        <f t="shared" si="42"/>
        <v>B</v>
      </c>
      <c r="GU112" s="53">
        <v>109</v>
      </c>
      <c r="GV112" s="53">
        <v>106</v>
      </c>
    </row>
    <row r="113" spans="1:204" ht="15.5" x14ac:dyDescent="0.35">
      <c r="A113" s="95">
        <f t="shared" si="43"/>
        <v>1</v>
      </c>
      <c r="B113" s="11"/>
      <c r="C113" s="11"/>
      <c r="D113" s="92" t="str">
        <f>IFERROR(
IF(AND(OR(Planilla!B113="C",Planilla!B113="c"), VLOOKUP(E113,EX:FJ,13,0)="C"), "OK",IF(AND(OR(Planilla!B113="C",Planilla!B113="c"), OR(VLOOKUP(E113,EX:FJ,13,0)="B", VLOOKUP(E113,EX:FJ,13,0)="A")), "DEFICIT",IF(
AND(OR(Planilla!B113="B", Planilla!B113="BPAL"), VLOOKUP(E113,EX:FJ,13,0)="B"), "OK",IF(AND(OR(Planilla!B113="B", Planilla!B113="BPAL"), VLOOKUP(E113,EX:FJ,13,0)="A"), "DEFICIT",IF(AND(OR(Planilla!B113="B", Planilla!B113="BPAL"), VLOOKUP(E113,EX:FJ,13,0)="C"), "SOBREOFERTA",IF(AND(Planilla!B113="A", VLOOKUP(E113,EX:FJ,13,0)="A"), "OK",IF(
AND(Planilla!B113="A", OR(VLOOKUP(E113,EX:FJ,13,0)="B", VLOOKUP(E113,EX:FJ,13,0)="C")), "SOBREOFERTA",""
))))))),"")</f>
        <v/>
      </c>
      <c r="E113" s="12"/>
      <c r="F113" s="13"/>
      <c r="G113" s="14"/>
      <c r="H113" s="81" t="str">
        <f t="shared" si="44"/>
        <v/>
      </c>
      <c r="I113" s="7"/>
      <c r="J113" s="6" t="e">
        <f t="shared" si="45"/>
        <v>#N/A</v>
      </c>
      <c r="K113" s="6" t="str">
        <f>IF(A114&lt;&gt;A113,AVERAGEIF(A$9:A113,A113,J$9:J113),"")</f>
        <v/>
      </c>
      <c r="L113" s="7" t="str">
        <f>IFERROR(IF(A114&lt;&gt;A113,AVERAGEIF(A$9:A113,A113,S$9:S113),""),"")</f>
        <v/>
      </c>
      <c r="M113" s="7" t="str">
        <f>IFERROR(IF(A114&lt;&gt;A113,AVERAGEIF(A$9:A113,A113,T$9:T113),""),"")</f>
        <v/>
      </c>
      <c r="N113" s="7" t="str" cm="1">
        <f t="array" ref="N113">IFERROR(IF(A114&lt;&gt;A113,_xlfn.STDEV.P(IF(A$9:A113=A113,T$9:T113)),""),"")</f>
        <v/>
      </c>
      <c r="O113" s="7" t="str" cm="1">
        <f t="array" ref="O113">IFERROR(IF(A114&lt;&gt;A113,_xlfn.STDEV.P(IF(A$9:A113=A113,S$9:S113)),""),"")</f>
        <v/>
      </c>
      <c r="P113" s="8" t="str">
        <f t="shared" si="46"/>
        <v/>
      </c>
      <c r="Q113" s="8" t="str">
        <f t="shared" si="47"/>
        <v/>
      </c>
      <c r="R113" s="8" t="str">
        <f t="shared" si="48"/>
        <v/>
      </c>
      <c r="S113" s="9" t="str">
        <f t="shared" si="49"/>
        <v/>
      </c>
      <c r="T113" s="9" t="str">
        <f t="shared" si="50"/>
        <v/>
      </c>
      <c r="U113" s="14">
        <v>0.77500000000000002</v>
      </c>
      <c r="V113" s="15"/>
      <c r="W113" s="14" t="str">
        <f t="shared" si="51"/>
        <v/>
      </c>
      <c r="X113" s="15"/>
      <c r="Y113" s="2"/>
      <c r="AB113" s="22">
        <f t="shared" si="52"/>
        <v>1</v>
      </c>
      <c r="AC113" s="11"/>
      <c r="AD113" s="11"/>
      <c r="AE113" s="13"/>
      <c r="AF113" s="12"/>
      <c r="AG113" s="13"/>
      <c r="AH113" s="14"/>
      <c r="AI113" s="81" t="str">
        <f t="shared" si="53"/>
        <v/>
      </c>
      <c r="AJ113" s="15"/>
      <c r="AK113" s="6" t="e">
        <f t="shared" si="54"/>
        <v>#N/A</v>
      </c>
      <c r="AL113" s="6" t="str">
        <f>IF(AB114&lt;&gt;AB113,AVERAGEIF(AB$9:AB113,AB113,AK$9:AK113),"")</f>
        <v/>
      </c>
      <c r="AM113" s="7" t="str">
        <f>IFERROR(IF(AB114&lt;&gt;AB113,AVERAGEIF(AB$9:AB113,AB113,AT$9:AT113),""),"")</f>
        <v/>
      </c>
      <c r="AN113" s="7" t="str">
        <f>IFERROR(IF(AB114&lt;&gt;AB113,AVERAGEIF(AB$9:AB113,AB113,AU$9:AU113),""),"")</f>
        <v/>
      </c>
      <c r="AO113" s="7" t="str" cm="1">
        <f t="array" ref="AO113">IFERROR(IF(AB114&lt;&gt;AB113,_xlfn.STDEV.P(IF(AB$9:AB113=AB113,AU$9:AU113)),""),"")</f>
        <v/>
      </c>
      <c r="AP113" s="7" t="str" cm="1">
        <f t="array" ref="AP113">IFERROR(IF(AB114&lt;&gt;AB113,_xlfn.STDEV.P(IF(AB$9:AB113=AB113,AT$9:AT113)),""),"")</f>
        <v/>
      </c>
      <c r="AQ113" s="8" t="str">
        <f t="shared" si="55"/>
        <v/>
      </c>
      <c r="AR113" s="8" t="str">
        <f t="shared" si="56"/>
        <v/>
      </c>
      <c r="AS113" s="8" t="str">
        <f t="shared" si="57"/>
        <v/>
      </c>
      <c r="AT113" s="9" t="str">
        <f t="shared" si="58"/>
        <v/>
      </c>
      <c r="AU113" s="9" t="str">
        <f t="shared" si="59"/>
        <v/>
      </c>
      <c r="AV113" s="14"/>
      <c r="AW113" s="15"/>
      <c r="AX113" s="14" t="str">
        <f t="shared" si="60"/>
        <v/>
      </c>
      <c r="AY113" s="15"/>
      <c r="AZ113" s="23"/>
      <c r="EW113" t="s">
        <v>46</v>
      </c>
      <c r="EX113" s="33">
        <v>1110</v>
      </c>
      <c r="EY113" s="33" t="s">
        <v>354</v>
      </c>
      <c r="EZ113" s="33" t="s">
        <v>355</v>
      </c>
      <c r="FA113" s="33" t="s">
        <v>343</v>
      </c>
      <c r="FB113" s="33" t="s">
        <v>344</v>
      </c>
      <c r="FC113" s="33" t="s">
        <v>345</v>
      </c>
      <c r="FD113" s="33" t="s">
        <v>346</v>
      </c>
      <c r="FE113" s="33">
        <v>2025</v>
      </c>
      <c r="FF113" s="33" t="s">
        <v>59</v>
      </c>
      <c r="FG113" s="33" t="s">
        <v>71</v>
      </c>
      <c r="FH113" s="33" t="s">
        <v>72</v>
      </c>
      <c r="FI113" s="33" t="s">
        <v>73</v>
      </c>
      <c r="FJ113" t="s">
        <v>59</v>
      </c>
      <c r="FM113" s="32" t="s">
        <v>347</v>
      </c>
      <c r="FN113" t="s">
        <v>348</v>
      </c>
      <c r="FO113" t="s">
        <v>349</v>
      </c>
      <c r="FP113" t="str">
        <f t="shared" si="42"/>
        <v>B</v>
      </c>
      <c r="GU113" s="53">
        <v>110</v>
      </c>
      <c r="GV113" s="53">
        <v>107</v>
      </c>
    </row>
    <row r="114" spans="1:204" ht="15.5" x14ac:dyDescent="0.35">
      <c r="A114" s="95">
        <f t="shared" si="43"/>
        <v>1</v>
      </c>
      <c r="B114" s="11"/>
      <c r="C114" s="11"/>
      <c r="D114" s="92" t="str">
        <f>IFERROR(
IF(AND(OR(Planilla!B114="C",Planilla!B114="c"), VLOOKUP(E114,EX:FJ,13,0)="C"), "OK",IF(AND(OR(Planilla!B114="C",Planilla!B114="c"), OR(VLOOKUP(E114,EX:FJ,13,0)="B", VLOOKUP(E114,EX:FJ,13,0)="A")), "DEFICIT",IF(
AND(OR(Planilla!B114="B", Planilla!B114="BPAL"), VLOOKUP(E114,EX:FJ,13,0)="B"), "OK",IF(AND(OR(Planilla!B114="B", Planilla!B114="BPAL"), VLOOKUP(E114,EX:FJ,13,0)="A"), "DEFICIT",IF(AND(OR(Planilla!B114="B", Planilla!B114="BPAL"), VLOOKUP(E114,EX:FJ,13,0)="C"), "SOBREOFERTA",IF(AND(Planilla!B114="A", VLOOKUP(E114,EX:FJ,13,0)="A"), "OK",IF(
AND(Planilla!B114="A", OR(VLOOKUP(E114,EX:FJ,13,0)="B", VLOOKUP(E114,EX:FJ,13,0)="C")), "SOBREOFERTA",""
))))))),"")</f>
        <v/>
      </c>
      <c r="E114" s="12"/>
      <c r="F114" s="13"/>
      <c r="G114" s="14"/>
      <c r="H114" s="81" t="str">
        <f t="shared" si="44"/>
        <v/>
      </c>
      <c r="I114" s="7"/>
      <c r="J114" s="6" t="e">
        <f t="shared" si="45"/>
        <v>#N/A</v>
      </c>
      <c r="K114" s="6" t="str">
        <f>IF(A115&lt;&gt;A114,AVERAGEIF(A$9:A114,A114,J$9:J114),"")</f>
        <v/>
      </c>
      <c r="L114" s="7" t="str">
        <f>IFERROR(IF(A115&lt;&gt;A114,AVERAGEIF(A$9:A114,A114,S$9:S114),""),"")</f>
        <v/>
      </c>
      <c r="M114" s="7" t="str">
        <f>IFERROR(IF(A115&lt;&gt;A114,AVERAGEIF(A$9:A114,A114,T$9:T114),""),"")</f>
        <v/>
      </c>
      <c r="N114" s="7" t="str" cm="1">
        <f t="array" ref="N114">IFERROR(IF(A115&lt;&gt;A114,_xlfn.STDEV.P(IF(A$9:A114=A114,T$9:T114)),""),"")</f>
        <v/>
      </c>
      <c r="O114" s="7" t="str" cm="1">
        <f t="array" ref="O114">IFERROR(IF(A115&lt;&gt;A114,_xlfn.STDEV.P(IF(A$9:A114=A114,S$9:S114)),""),"")</f>
        <v/>
      </c>
      <c r="P114" s="8" t="str">
        <f t="shared" si="46"/>
        <v/>
      </c>
      <c r="Q114" s="8" t="str">
        <f t="shared" si="47"/>
        <v/>
      </c>
      <c r="R114" s="8" t="str">
        <f t="shared" si="48"/>
        <v/>
      </c>
      <c r="S114" s="9" t="str">
        <f t="shared" si="49"/>
        <v/>
      </c>
      <c r="T114" s="9" t="str">
        <f t="shared" si="50"/>
        <v/>
      </c>
      <c r="U114" s="14">
        <v>0.78194444444444444</v>
      </c>
      <c r="V114" s="15"/>
      <c r="W114" s="14" t="str">
        <f t="shared" si="51"/>
        <v/>
      </c>
      <c r="X114" s="15"/>
      <c r="Y114" s="2"/>
      <c r="AB114" s="22">
        <f t="shared" si="52"/>
        <v>1</v>
      </c>
      <c r="AC114" s="11"/>
      <c r="AD114" s="11"/>
      <c r="AE114" s="13"/>
      <c r="AF114" s="12"/>
      <c r="AG114" s="13"/>
      <c r="AH114" s="14"/>
      <c r="AI114" s="81" t="str">
        <f t="shared" si="53"/>
        <v/>
      </c>
      <c r="AJ114" s="15"/>
      <c r="AK114" s="6" t="e">
        <f t="shared" si="54"/>
        <v>#N/A</v>
      </c>
      <c r="AL114" s="6" t="str">
        <f>IF(AB115&lt;&gt;AB114,AVERAGEIF(AB$9:AB114,AB114,AK$9:AK114),"")</f>
        <v/>
      </c>
      <c r="AM114" s="7" t="str">
        <f>IFERROR(IF(AB115&lt;&gt;AB114,AVERAGEIF(AB$9:AB114,AB114,AT$9:AT114),""),"")</f>
        <v/>
      </c>
      <c r="AN114" s="7" t="str">
        <f>IFERROR(IF(AB115&lt;&gt;AB114,AVERAGEIF(AB$9:AB114,AB114,AU$9:AU114),""),"")</f>
        <v/>
      </c>
      <c r="AO114" s="7" t="str" cm="1">
        <f t="array" ref="AO114">IFERROR(IF(AB115&lt;&gt;AB114,_xlfn.STDEV.P(IF(AB$9:AB114=AB114,AU$9:AU114)),""),"")</f>
        <v/>
      </c>
      <c r="AP114" s="7" t="str" cm="1">
        <f t="array" ref="AP114">IFERROR(IF(AB115&lt;&gt;AB114,_xlfn.STDEV.P(IF(AB$9:AB114=AB114,AT$9:AT114)),""),"")</f>
        <v/>
      </c>
      <c r="AQ114" s="8" t="str">
        <f t="shared" si="55"/>
        <v/>
      </c>
      <c r="AR114" s="8" t="str">
        <f t="shared" si="56"/>
        <v/>
      </c>
      <c r="AS114" s="8" t="str">
        <f t="shared" si="57"/>
        <v/>
      </c>
      <c r="AT114" s="9" t="str">
        <f t="shared" si="58"/>
        <v/>
      </c>
      <c r="AU114" s="9" t="str">
        <f t="shared" si="59"/>
        <v/>
      </c>
      <c r="AV114" s="14"/>
      <c r="AW114" s="15"/>
      <c r="AX114" s="14" t="str">
        <f t="shared" si="60"/>
        <v/>
      </c>
      <c r="AY114" s="15"/>
      <c r="AZ114" s="23"/>
      <c r="EW114" t="s">
        <v>46</v>
      </c>
      <c r="EX114" s="33">
        <v>1111</v>
      </c>
      <c r="EY114" s="33" t="s">
        <v>356</v>
      </c>
      <c r="EZ114" s="33" t="s">
        <v>357</v>
      </c>
      <c r="FA114" s="33" t="s">
        <v>343</v>
      </c>
      <c r="FB114" s="33" t="s">
        <v>344</v>
      </c>
      <c r="FC114" s="33" t="s">
        <v>345</v>
      </c>
      <c r="FD114" s="33" t="s">
        <v>346</v>
      </c>
      <c r="FE114" s="33">
        <v>2025</v>
      </c>
      <c r="FF114" s="33" t="s">
        <v>59</v>
      </c>
      <c r="FG114" s="33" t="s">
        <v>71</v>
      </c>
      <c r="FH114" s="33" t="s">
        <v>72</v>
      </c>
      <c r="FI114" s="33" t="s">
        <v>73</v>
      </c>
      <c r="FJ114" t="s">
        <v>59</v>
      </c>
      <c r="FM114" s="32" t="s">
        <v>347</v>
      </c>
      <c r="FN114" t="s">
        <v>348</v>
      </c>
      <c r="FO114" t="s">
        <v>349</v>
      </c>
      <c r="FP114" t="str">
        <f t="shared" si="42"/>
        <v>B</v>
      </c>
      <c r="GU114" s="53">
        <v>111</v>
      </c>
      <c r="GV114" s="53">
        <v>108</v>
      </c>
    </row>
    <row r="115" spans="1:204" ht="15.5" x14ac:dyDescent="0.35">
      <c r="A115" s="95">
        <f t="shared" si="43"/>
        <v>1</v>
      </c>
      <c r="B115" s="11"/>
      <c r="C115" s="11"/>
      <c r="D115" s="92" t="str">
        <f>IFERROR(
IF(AND(OR(Planilla!B115="C",Planilla!B115="c"), VLOOKUP(E115,EX:FJ,13,0)="C"), "OK",IF(AND(OR(Planilla!B115="C",Planilla!B115="c"), OR(VLOOKUP(E115,EX:FJ,13,0)="B", VLOOKUP(E115,EX:FJ,13,0)="A")), "DEFICIT",IF(
AND(OR(Planilla!B115="B", Planilla!B115="BPAL"), VLOOKUP(E115,EX:FJ,13,0)="B"), "OK",IF(AND(OR(Planilla!B115="B", Planilla!B115="BPAL"), VLOOKUP(E115,EX:FJ,13,0)="A"), "DEFICIT",IF(AND(OR(Planilla!B115="B", Planilla!B115="BPAL"), VLOOKUP(E115,EX:FJ,13,0)="C"), "SOBREOFERTA",IF(AND(Planilla!B115="A", VLOOKUP(E115,EX:FJ,13,0)="A"), "OK",IF(
AND(Planilla!B115="A", OR(VLOOKUP(E115,EX:FJ,13,0)="B", VLOOKUP(E115,EX:FJ,13,0)="C")), "SOBREOFERTA",""
))))))),"")</f>
        <v/>
      </c>
      <c r="E115" s="12"/>
      <c r="F115" s="13"/>
      <c r="G115" s="14"/>
      <c r="H115" s="81" t="str">
        <f t="shared" si="44"/>
        <v/>
      </c>
      <c r="I115" s="7"/>
      <c r="J115" s="6" t="e">
        <f t="shared" si="45"/>
        <v>#N/A</v>
      </c>
      <c r="K115" s="6" t="str">
        <f>IF(A116&lt;&gt;A115,AVERAGEIF(A$9:A115,A115,J$9:J115),"")</f>
        <v/>
      </c>
      <c r="L115" s="7" t="str">
        <f>IFERROR(IF(A116&lt;&gt;A115,AVERAGEIF(A$9:A115,A115,S$9:S115),""),"")</f>
        <v/>
      </c>
      <c r="M115" s="7" t="str">
        <f>IFERROR(IF(A116&lt;&gt;A115,AVERAGEIF(A$9:A115,A115,T$9:T115),""),"")</f>
        <v/>
      </c>
      <c r="N115" s="7" t="str" cm="1">
        <f t="array" ref="N115">IFERROR(IF(A116&lt;&gt;A115,_xlfn.STDEV.P(IF(A$9:A115=A115,T$9:T115)),""),"")</f>
        <v/>
      </c>
      <c r="O115" s="7" t="str" cm="1">
        <f t="array" ref="O115">IFERROR(IF(A116&lt;&gt;A115,_xlfn.STDEV.P(IF(A$9:A115=A115,S$9:S115)),""),"")</f>
        <v/>
      </c>
      <c r="P115" s="8" t="str">
        <f t="shared" si="46"/>
        <v/>
      </c>
      <c r="Q115" s="8" t="str">
        <f t="shared" si="47"/>
        <v/>
      </c>
      <c r="R115" s="8" t="str">
        <f t="shared" si="48"/>
        <v/>
      </c>
      <c r="S115" s="9" t="str">
        <f t="shared" si="49"/>
        <v/>
      </c>
      <c r="T115" s="9" t="str">
        <f t="shared" si="50"/>
        <v/>
      </c>
      <c r="U115" s="14">
        <v>0.78888888888888886</v>
      </c>
      <c r="V115" s="15"/>
      <c r="W115" s="14" t="str">
        <f t="shared" si="51"/>
        <v/>
      </c>
      <c r="X115" s="15"/>
      <c r="Y115" s="2"/>
      <c r="AB115" s="22">
        <f t="shared" si="52"/>
        <v>1</v>
      </c>
      <c r="AC115" s="11"/>
      <c r="AD115" s="11"/>
      <c r="AE115" s="13"/>
      <c r="AF115" s="12"/>
      <c r="AG115" s="13"/>
      <c r="AH115" s="14"/>
      <c r="AI115" s="81" t="str">
        <f t="shared" si="53"/>
        <v/>
      </c>
      <c r="AJ115" s="15"/>
      <c r="AK115" s="6" t="e">
        <f t="shared" si="54"/>
        <v>#N/A</v>
      </c>
      <c r="AL115" s="6" t="str">
        <f>IF(AB116&lt;&gt;AB115,AVERAGEIF(AB$9:AB115,AB115,AK$9:AK115),"")</f>
        <v/>
      </c>
      <c r="AM115" s="7" t="str">
        <f>IFERROR(IF(AB116&lt;&gt;AB115,AVERAGEIF(AB$9:AB115,AB115,AT$9:AT115),""),"")</f>
        <v/>
      </c>
      <c r="AN115" s="7" t="str">
        <f>IFERROR(IF(AB116&lt;&gt;AB115,AVERAGEIF(AB$9:AB115,AB115,AU$9:AU115),""),"")</f>
        <v/>
      </c>
      <c r="AO115" s="7" t="str" cm="1">
        <f t="array" ref="AO115">IFERROR(IF(AB116&lt;&gt;AB115,_xlfn.STDEV.P(IF(AB$9:AB115=AB115,AU$9:AU115)),""),"")</f>
        <v/>
      </c>
      <c r="AP115" s="7" t="str" cm="1">
        <f t="array" ref="AP115">IFERROR(IF(AB116&lt;&gt;AB115,_xlfn.STDEV.P(IF(AB$9:AB115=AB115,AT$9:AT115)),""),"")</f>
        <v/>
      </c>
      <c r="AQ115" s="8" t="str">
        <f t="shared" si="55"/>
        <v/>
      </c>
      <c r="AR115" s="8" t="str">
        <f t="shared" si="56"/>
        <v/>
      </c>
      <c r="AS115" s="8" t="str">
        <f t="shared" si="57"/>
        <v/>
      </c>
      <c r="AT115" s="9" t="str">
        <f t="shared" si="58"/>
        <v/>
      </c>
      <c r="AU115" s="9" t="str">
        <f t="shared" si="59"/>
        <v/>
      </c>
      <c r="AV115" s="14"/>
      <c r="AW115" s="15"/>
      <c r="AX115" s="14" t="str">
        <f t="shared" si="60"/>
        <v/>
      </c>
      <c r="AY115" s="15"/>
      <c r="AZ115" s="23"/>
      <c r="EW115" t="s">
        <v>46</v>
      </c>
      <c r="EX115" s="33">
        <v>1112</v>
      </c>
      <c r="EY115" s="33" t="s">
        <v>358</v>
      </c>
      <c r="EZ115" s="33" t="s">
        <v>359</v>
      </c>
      <c r="FA115" s="33" t="s">
        <v>343</v>
      </c>
      <c r="FB115" s="33" t="s">
        <v>344</v>
      </c>
      <c r="FC115" s="33" t="s">
        <v>345</v>
      </c>
      <c r="FD115" s="33" t="s">
        <v>346</v>
      </c>
      <c r="FE115" s="33">
        <v>2025</v>
      </c>
      <c r="FF115" s="33" t="s">
        <v>59</v>
      </c>
      <c r="FG115" s="33" t="s">
        <v>71</v>
      </c>
      <c r="FH115" s="33" t="s">
        <v>72</v>
      </c>
      <c r="FI115" s="33" t="s">
        <v>73</v>
      </c>
      <c r="FJ115" t="s">
        <v>59</v>
      </c>
      <c r="FM115" s="32" t="s">
        <v>360</v>
      </c>
      <c r="FN115" t="s">
        <v>361</v>
      </c>
      <c r="FO115" t="s">
        <v>362</v>
      </c>
      <c r="FP115" t="str">
        <f t="shared" si="42"/>
        <v>B</v>
      </c>
      <c r="GU115" s="53">
        <v>112</v>
      </c>
      <c r="GV115" s="53">
        <v>109</v>
      </c>
    </row>
    <row r="116" spans="1:204" ht="15.5" x14ac:dyDescent="0.35">
      <c r="A116" s="95">
        <f t="shared" si="43"/>
        <v>1</v>
      </c>
      <c r="B116" s="11"/>
      <c r="C116" s="11"/>
      <c r="D116" s="92" t="str">
        <f>IFERROR(
IF(AND(OR(Planilla!B116="C",Planilla!B116="c"), VLOOKUP(E116,EX:FJ,13,0)="C"), "OK",IF(AND(OR(Planilla!B116="C",Planilla!B116="c"), OR(VLOOKUP(E116,EX:FJ,13,0)="B", VLOOKUP(E116,EX:FJ,13,0)="A")), "DEFICIT",IF(
AND(OR(Planilla!B116="B", Planilla!B116="BPAL"), VLOOKUP(E116,EX:FJ,13,0)="B"), "OK",IF(AND(OR(Planilla!B116="B", Planilla!B116="BPAL"), VLOOKUP(E116,EX:FJ,13,0)="A"), "DEFICIT",IF(AND(OR(Planilla!B116="B", Planilla!B116="BPAL"), VLOOKUP(E116,EX:FJ,13,0)="C"), "SOBREOFERTA",IF(AND(Planilla!B116="A", VLOOKUP(E116,EX:FJ,13,0)="A"), "OK",IF(
AND(Planilla!B116="A", OR(VLOOKUP(E116,EX:FJ,13,0)="B", VLOOKUP(E116,EX:FJ,13,0)="C")), "SOBREOFERTA",""
))))))),"")</f>
        <v/>
      </c>
      <c r="E116" s="12"/>
      <c r="F116" s="13"/>
      <c r="G116" s="14"/>
      <c r="H116" s="81" t="str">
        <f t="shared" si="44"/>
        <v/>
      </c>
      <c r="I116" s="7"/>
      <c r="J116" s="6" t="e">
        <f t="shared" si="45"/>
        <v>#N/A</v>
      </c>
      <c r="K116" s="6" t="str">
        <f>IF(A117&lt;&gt;A116,AVERAGEIF(A$9:A116,A116,J$9:J116),"")</f>
        <v/>
      </c>
      <c r="L116" s="7" t="str">
        <f>IFERROR(IF(A117&lt;&gt;A116,AVERAGEIF(A$9:A116,A116,S$9:S116),""),"")</f>
        <v/>
      </c>
      <c r="M116" s="7" t="str">
        <f>IFERROR(IF(A117&lt;&gt;A116,AVERAGEIF(A$9:A116,A116,T$9:T116),""),"")</f>
        <v/>
      </c>
      <c r="N116" s="7" t="str" cm="1">
        <f t="array" ref="N116">IFERROR(IF(A117&lt;&gt;A116,_xlfn.STDEV.P(IF(A$9:A116=A116,T$9:T116)),""),"")</f>
        <v/>
      </c>
      <c r="O116" s="7" t="str" cm="1">
        <f t="array" ref="O116">IFERROR(IF(A117&lt;&gt;A116,_xlfn.STDEV.P(IF(A$9:A116=A116,S$9:S116)),""),"")</f>
        <v/>
      </c>
      <c r="P116" s="8" t="str">
        <f t="shared" si="46"/>
        <v/>
      </c>
      <c r="Q116" s="8" t="str">
        <f t="shared" si="47"/>
        <v/>
      </c>
      <c r="R116" s="8" t="str">
        <f t="shared" si="48"/>
        <v/>
      </c>
      <c r="S116" s="9" t="str">
        <f t="shared" si="49"/>
        <v/>
      </c>
      <c r="T116" s="9" t="str">
        <f t="shared" si="50"/>
        <v/>
      </c>
      <c r="U116" s="14">
        <v>0.8</v>
      </c>
      <c r="V116" s="15"/>
      <c r="W116" s="14" t="str">
        <f t="shared" si="51"/>
        <v/>
      </c>
      <c r="X116" s="15"/>
      <c r="Y116" s="2"/>
      <c r="AB116" s="22">
        <f t="shared" si="52"/>
        <v>1</v>
      </c>
      <c r="AC116" s="11"/>
      <c r="AD116" s="11"/>
      <c r="AE116" s="13"/>
      <c r="AF116" s="12"/>
      <c r="AG116" s="13"/>
      <c r="AH116" s="14"/>
      <c r="AI116" s="81" t="str">
        <f t="shared" si="53"/>
        <v/>
      </c>
      <c r="AJ116" s="15"/>
      <c r="AK116" s="6" t="e">
        <f t="shared" si="54"/>
        <v>#N/A</v>
      </c>
      <c r="AL116" s="6" t="str">
        <f>IF(AB117&lt;&gt;AB116,AVERAGEIF(AB$9:AB116,AB116,AK$9:AK116),"")</f>
        <v/>
      </c>
      <c r="AM116" s="7" t="str">
        <f>IFERROR(IF(AB117&lt;&gt;AB116,AVERAGEIF(AB$9:AB116,AB116,AT$9:AT116),""),"")</f>
        <v/>
      </c>
      <c r="AN116" s="7" t="str">
        <f>IFERROR(IF(AB117&lt;&gt;AB116,AVERAGEIF(AB$9:AB116,AB116,AU$9:AU116),""),"")</f>
        <v/>
      </c>
      <c r="AO116" s="7" t="str" cm="1">
        <f t="array" ref="AO116">IFERROR(IF(AB117&lt;&gt;AB116,_xlfn.STDEV.P(IF(AB$9:AB116=AB116,AU$9:AU116)),""),"")</f>
        <v/>
      </c>
      <c r="AP116" s="7" t="str" cm="1">
        <f t="array" ref="AP116">IFERROR(IF(AB117&lt;&gt;AB116,_xlfn.STDEV.P(IF(AB$9:AB116=AB116,AT$9:AT116)),""),"")</f>
        <v/>
      </c>
      <c r="AQ116" s="8" t="str">
        <f t="shared" si="55"/>
        <v/>
      </c>
      <c r="AR116" s="8" t="str">
        <f t="shared" si="56"/>
        <v/>
      </c>
      <c r="AS116" s="8" t="str">
        <f t="shared" si="57"/>
        <v/>
      </c>
      <c r="AT116" s="9" t="str">
        <f t="shared" si="58"/>
        <v/>
      </c>
      <c r="AU116" s="9" t="str">
        <f t="shared" si="59"/>
        <v/>
      </c>
      <c r="AV116" s="14"/>
      <c r="AW116" s="15"/>
      <c r="AX116" s="14" t="str">
        <f t="shared" si="60"/>
        <v/>
      </c>
      <c r="AY116" s="15"/>
      <c r="AZ116" s="23"/>
      <c r="EW116" t="s">
        <v>46</v>
      </c>
      <c r="EX116" s="33">
        <v>1113</v>
      </c>
      <c r="EY116" s="33" t="s">
        <v>363</v>
      </c>
      <c r="EZ116" s="33" t="s">
        <v>364</v>
      </c>
      <c r="FA116" s="33" t="s">
        <v>343</v>
      </c>
      <c r="FB116" s="33" t="s">
        <v>344</v>
      </c>
      <c r="FC116" s="33" t="s">
        <v>345</v>
      </c>
      <c r="FD116" s="33" t="s">
        <v>346</v>
      </c>
      <c r="FE116" s="33">
        <v>2025</v>
      </c>
      <c r="FF116" s="33" t="s">
        <v>59</v>
      </c>
      <c r="FG116" s="33" t="s">
        <v>71</v>
      </c>
      <c r="FH116" s="33" t="s">
        <v>72</v>
      </c>
      <c r="FI116" s="33" t="s">
        <v>73</v>
      </c>
      <c r="FJ116" t="s">
        <v>59</v>
      </c>
      <c r="FM116" s="32" t="s">
        <v>360</v>
      </c>
      <c r="FN116" t="s">
        <v>361</v>
      </c>
      <c r="FO116" t="s">
        <v>362</v>
      </c>
      <c r="FP116" t="str">
        <f t="shared" si="42"/>
        <v>B</v>
      </c>
      <c r="GU116" s="53">
        <v>113</v>
      </c>
      <c r="GV116" s="53">
        <v>110</v>
      </c>
    </row>
    <row r="117" spans="1:204" ht="15.5" x14ac:dyDescent="0.35">
      <c r="A117" s="95">
        <f t="shared" si="43"/>
        <v>1</v>
      </c>
      <c r="B117" s="11"/>
      <c r="C117" s="11"/>
      <c r="D117" s="92" t="str">
        <f>IFERROR(
IF(AND(OR(Planilla!B117="C",Planilla!B117="c"), VLOOKUP(E117,EX:FJ,13,0)="C"), "OK",IF(AND(OR(Planilla!B117="C",Planilla!B117="c"), OR(VLOOKUP(E117,EX:FJ,13,0)="B", VLOOKUP(E117,EX:FJ,13,0)="A")), "DEFICIT",IF(
AND(OR(Planilla!B117="B", Planilla!B117="BPAL"), VLOOKUP(E117,EX:FJ,13,0)="B"), "OK",IF(AND(OR(Planilla!B117="B", Planilla!B117="BPAL"), VLOOKUP(E117,EX:FJ,13,0)="A"), "DEFICIT",IF(AND(OR(Planilla!B117="B", Planilla!B117="BPAL"), VLOOKUP(E117,EX:FJ,13,0)="C"), "SOBREOFERTA",IF(AND(Planilla!B117="A", VLOOKUP(E117,EX:FJ,13,0)="A"), "OK",IF(
AND(Planilla!B117="A", OR(VLOOKUP(E117,EX:FJ,13,0)="B", VLOOKUP(E117,EX:FJ,13,0)="C")), "SOBREOFERTA",""
))))))),"")</f>
        <v/>
      </c>
      <c r="E117" s="12"/>
      <c r="F117" s="13"/>
      <c r="G117" s="14"/>
      <c r="H117" s="81" t="str">
        <f t="shared" si="44"/>
        <v/>
      </c>
      <c r="I117" s="7"/>
      <c r="J117" s="6" t="e">
        <f t="shared" si="45"/>
        <v>#N/A</v>
      </c>
      <c r="K117" s="6" t="str">
        <f>IF(A118&lt;&gt;A117,AVERAGEIF(A$9:A117,A117,J$9:J117),"")</f>
        <v/>
      </c>
      <c r="L117" s="7" t="str">
        <f>IFERROR(IF(A118&lt;&gt;A117,AVERAGEIF(A$9:A117,A117,S$9:S117),""),"")</f>
        <v/>
      </c>
      <c r="M117" s="7" t="str">
        <f>IFERROR(IF(A118&lt;&gt;A117,AVERAGEIF(A$9:A117,A117,T$9:T117),""),"")</f>
        <v/>
      </c>
      <c r="N117" s="7" t="str" cm="1">
        <f t="array" ref="N117">IFERROR(IF(A118&lt;&gt;A117,_xlfn.STDEV.P(IF(A$9:A117=A117,T$9:T117)),""),"")</f>
        <v/>
      </c>
      <c r="O117" s="7" t="str" cm="1">
        <f t="array" ref="O117">IFERROR(IF(A118&lt;&gt;A117,_xlfn.STDEV.P(IF(A$9:A117=A117,S$9:S117)),""),"")</f>
        <v/>
      </c>
      <c r="P117" s="8" t="str">
        <f t="shared" si="46"/>
        <v/>
      </c>
      <c r="Q117" s="8" t="str">
        <f t="shared" si="47"/>
        <v/>
      </c>
      <c r="R117" s="8" t="str">
        <f t="shared" si="48"/>
        <v/>
      </c>
      <c r="S117" s="9" t="str">
        <f t="shared" si="49"/>
        <v/>
      </c>
      <c r="T117" s="9" t="str">
        <f t="shared" si="50"/>
        <v/>
      </c>
      <c r="U117" s="14">
        <v>0.80694444444444446</v>
      </c>
      <c r="V117" s="15"/>
      <c r="W117" s="14" t="str">
        <f t="shared" si="51"/>
        <v/>
      </c>
      <c r="X117" s="15"/>
      <c r="Y117" s="2"/>
      <c r="AB117" s="22">
        <f t="shared" si="52"/>
        <v>1</v>
      </c>
      <c r="AC117" s="11"/>
      <c r="AD117" s="11"/>
      <c r="AE117" s="13"/>
      <c r="AF117" s="12"/>
      <c r="AG117" s="13"/>
      <c r="AH117" s="14"/>
      <c r="AI117" s="81" t="str">
        <f t="shared" si="53"/>
        <v/>
      </c>
      <c r="AJ117" s="15"/>
      <c r="AK117" s="6" t="e">
        <f t="shared" si="54"/>
        <v>#N/A</v>
      </c>
      <c r="AL117" s="6" t="str">
        <f>IF(AB118&lt;&gt;AB117,AVERAGEIF(AB$9:AB117,AB117,AK$9:AK117),"")</f>
        <v/>
      </c>
      <c r="AM117" s="7" t="str">
        <f>IFERROR(IF(AB118&lt;&gt;AB117,AVERAGEIF(AB$9:AB117,AB117,AT$9:AT117),""),"")</f>
        <v/>
      </c>
      <c r="AN117" s="7" t="str">
        <f>IFERROR(IF(AB118&lt;&gt;AB117,AVERAGEIF(AB$9:AB117,AB117,AU$9:AU117),""),"")</f>
        <v/>
      </c>
      <c r="AO117" s="7" t="str" cm="1">
        <f t="array" ref="AO117">IFERROR(IF(AB118&lt;&gt;AB117,_xlfn.STDEV.P(IF(AB$9:AB117=AB117,AU$9:AU117)),""),"")</f>
        <v/>
      </c>
      <c r="AP117" s="7" t="str" cm="1">
        <f t="array" ref="AP117">IFERROR(IF(AB118&lt;&gt;AB117,_xlfn.STDEV.P(IF(AB$9:AB117=AB117,AT$9:AT117)),""),"")</f>
        <v/>
      </c>
      <c r="AQ117" s="8" t="str">
        <f t="shared" si="55"/>
        <v/>
      </c>
      <c r="AR117" s="8" t="str">
        <f t="shared" si="56"/>
        <v/>
      </c>
      <c r="AS117" s="8" t="str">
        <f t="shared" si="57"/>
        <v/>
      </c>
      <c r="AT117" s="9" t="str">
        <f t="shared" si="58"/>
        <v/>
      </c>
      <c r="AU117" s="9" t="str">
        <f t="shared" si="59"/>
        <v/>
      </c>
      <c r="AV117" s="14"/>
      <c r="AW117" s="15"/>
      <c r="AX117" s="14" t="str">
        <f t="shared" si="60"/>
        <v/>
      </c>
      <c r="AY117" s="15"/>
      <c r="AZ117" s="23"/>
      <c r="EW117" t="s">
        <v>46</v>
      </c>
      <c r="EX117" s="33">
        <v>1114</v>
      </c>
      <c r="EY117" s="33" t="s">
        <v>365</v>
      </c>
      <c r="EZ117" s="33" t="s">
        <v>366</v>
      </c>
      <c r="FA117" s="33" t="s">
        <v>343</v>
      </c>
      <c r="FB117" s="33" t="s">
        <v>344</v>
      </c>
      <c r="FC117" s="33" t="s">
        <v>345</v>
      </c>
      <c r="FD117" s="33" t="s">
        <v>346</v>
      </c>
      <c r="FE117" s="33">
        <v>2025</v>
      </c>
      <c r="FF117" s="33" t="s">
        <v>59</v>
      </c>
      <c r="FG117" s="33" t="s">
        <v>71</v>
      </c>
      <c r="FH117" s="33" t="s">
        <v>72</v>
      </c>
      <c r="FI117" s="33" t="s">
        <v>73</v>
      </c>
      <c r="FJ117" t="s">
        <v>59</v>
      </c>
      <c r="FM117" s="32" t="s">
        <v>360</v>
      </c>
      <c r="FN117" t="s">
        <v>361</v>
      </c>
      <c r="FO117" t="s">
        <v>362</v>
      </c>
      <c r="FP117" t="str">
        <f t="shared" si="42"/>
        <v>B</v>
      </c>
      <c r="GU117" s="53">
        <v>114</v>
      </c>
      <c r="GV117" s="53">
        <v>111</v>
      </c>
    </row>
    <row r="118" spans="1:204" ht="15.5" x14ac:dyDescent="0.35">
      <c r="A118" s="95">
        <f t="shared" si="43"/>
        <v>1</v>
      </c>
      <c r="B118" s="11"/>
      <c r="C118" s="11"/>
      <c r="D118" s="92" t="str">
        <f>IFERROR(
IF(AND(OR(Planilla!B118="C",Planilla!B118="c"), VLOOKUP(E118,EX:FJ,13,0)="C"), "OK",IF(AND(OR(Planilla!B118="C",Planilla!B118="c"), OR(VLOOKUP(E118,EX:FJ,13,0)="B", VLOOKUP(E118,EX:FJ,13,0)="A")), "DEFICIT",IF(
AND(OR(Planilla!B118="B", Planilla!B118="BPAL"), VLOOKUP(E118,EX:FJ,13,0)="B"), "OK",IF(AND(OR(Planilla!B118="B", Planilla!B118="BPAL"), VLOOKUP(E118,EX:FJ,13,0)="A"), "DEFICIT",IF(AND(OR(Planilla!B118="B", Planilla!B118="BPAL"), VLOOKUP(E118,EX:FJ,13,0)="C"), "SOBREOFERTA",IF(AND(Planilla!B118="A", VLOOKUP(E118,EX:FJ,13,0)="A"), "OK",IF(
AND(Planilla!B118="A", OR(VLOOKUP(E118,EX:FJ,13,0)="B", VLOOKUP(E118,EX:FJ,13,0)="C")), "SOBREOFERTA",""
))))))),"")</f>
        <v/>
      </c>
      <c r="E118" s="12"/>
      <c r="F118" s="13"/>
      <c r="G118" s="14"/>
      <c r="H118" s="81" t="str">
        <f t="shared" si="44"/>
        <v/>
      </c>
      <c r="I118" s="7"/>
      <c r="J118" s="6" t="e">
        <f t="shared" si="45"/>
        <v>#N/A</v>
      </c>
      <c r="K118" s="6" t="str">
        <f>IF(A119&lt;&gt;A118,AVERAGEIF(A$9:A118,A118,J$9:J118),"")</f>
        <v/>
      </c>
      <c r="L118" s="7" t="str">
        <f>IFERROR(IF(A119&lt;&gt;A118,AVERAGEIF(A$9:A118,A118,S$9:S118),""),"")</f>
        <v/>
      </c>
      <c r="M118" s="7" t="str">
        <f>IFERROR(IF(A119&lt;&gt;A118,AVERAGEIF(A$9:A118,A118,T$9:T118),""),"")</f>
        <v/>
      </c>
      <c r="N118" s="7" t="str" cm="1">
        <f t="array" ref="N118">IFERROR(IF(A119&lt;&gt;A118,_xlfn.STDEV.P(IF(A$9:A118=A118,T$9:T118)),""),"")</f>
        <v/>
      </c>
      <c r="O118" s="7" t="str" cm="1">
        <f t="array" ref="O118">IFERROR(IF(A119&lt;&gt;A118,_xlfn.STDEV.P(IF(A$9:A118=A118,S$9:S118)),""),"")</f>
        <v/>
      </c>
      <c r="P118" s="8" t="str">
        <f t="shared" si="46"/>
        <v/>
      </c>
      <c r="Q118" s="8" t="str">
        <f t="shared" si="47"/>
        <v/>
      </c>
      <c r="R118" s="8" t="str">
        <f t="shared" si="48"/>
        <v/>
      </c>
      <c r="S118" s="9" t="str">
        <f t="shared" si="49"/>
        <v/>
      </c>
      <c r="T118" s="9" t="str">
        <f t="shared" si="50"/>
        <v/>
      </c>
      <c r="U118" s="14">
        <v>0.81388888888888888</v>
      </c>
      <c r="V118" s="15"/>
      <c r="W118" s="14" t="str">
        <f t="shared" si="51"/>
        <v/>
      </c>
      <c r="X118" s="15"/>
      <c r="Y118" s="2"/>
      <c r="AB118" s="22">
        <f t="shared" si="52"/>
        <v>1</v>
      </c>
      <c r="AC118" s="11"/>
      <c r="AD118" s="11"/>
      <c r="AE118" s="13"/>
      <c r="AF118" s="12"/>
      <c r="AG118" s="13"/>
      <c r="AH118" s="14"/>
      <c r="AI118" s="81" t="str">
        <f t="shared" si="53"/>
        <v/>
      </c>
      <c r="AJ118" s="15"/>
      <c r="AK118" s="6" t="e">
        <f t="shared" si="54"/>
        <v>#N/A</v>
      </c>
      <c r="AL118" s="6" t="str">
        <f>IF(AB119&lt;&gt;AB118,AVERAGEIF(AB$9:AB118,AB118,AK$9:AK118),"")</f>
        <v/>
      </c>
      <c r="AM118" s="7" t="str">
        <f>IFERROR(IF(AB119&lt;&gt;AB118,AVERAGEIF(AB$9:AB118,AB118,AT$9:AT118),""),"")</f>
        <v/>
      </c>
      <c r="AN118" s="7" t="str">
        <f>IFERROR(IF(AB119&lt;&gt;AB118,AVERAGEIF(AB$9:AB118,AB118,AU$9:AU118),""),"")</f>
        <v/>
      </c>
      <c r="AO118" s="7" t="str" cm="1">
        <f t="array" ref="AO118">IFERROR(IF(AB119&lt;&gt;AB118,_xlfn.STDEV.P(IF(AB$9:AB118=AB118,AU$9:AU118)),""),"")</f>
        <v/>
      </c>
      <c r="AP118" s="7" t="str" cm="1">
        <f t="array" ref="AP118">IFERROR(IF(AB119&lt;&gt;AB118,_xlfn.STDEV.P(IF(AB$9:AB118=AB118,AT$9:AT118)),""),"")</f>
        <v/>
      </c>
      <c r="AQ118" s="8" t="str">
        <f t="shared" si="55"/>
        <v/>
      </c>
      <c r="AR118" s="8" t="str">
        <f t="shared" si="56"/>
        <v/>
      </c>
      <c r="AS118" s="8" t="str">
        <f t="shared" si="57"/>
        <v/>
      </c>
      <c r="AT118" s="9" t="str">
        <f t="shared" si="58"/>
        <v/>
      </c>
      <c r="AU118" s="9" t="str">
        <f t="shared" si="59"/>
        <v/>
      </c>
      <c r="AV118" s="14"/>
      <c r="AW118" s="15"/>
      <c r="AX118" s="14" t="str">
        <f t="shared" si="60"/>
        <v/>
      </c>
      <c r="AY118" s="15"/>
      <c r="AZ118" s="23"/>
      <c r="EW118" t="s">
        <v>46</v>
      </c>
      <c r="EX118" s="33">
        <v>1115</v>
      </c>
      <c r="EY118" s="33" t="s">
        <v>367</v>
      </c>
      <c r="EZ118" s="33" t="s">
        <v>368</v>
      </c>
      <c r="FA118" s="33" t="s">
        <v>343</v>
      </c>
      <c r="FB118" s="33" t="s">
        <v>344</v>
      </c>
      <c r="FC118" s="33" t="s">
        <v>345</v>
      </c>
      <c r="FD118" s="33" t="s">
        <v>346</v>
      </c>
      <c r="FE118" s="33">
        <v>2025</v>
      </c>
      <c r="FF118" s="33" t="s">
        <v>59</v>
      </c>
      <c r="FG118" s="33" t="s">
        <v>71</v>
      </c>
      <c r="FH118" s="33" t="s">
        <v>72</v>
      </c>
      <c r="FI118" s="33" t="s">
        <v>73</v>
      </c>
      <c r="FJ118" t="s">
        <v>59</v>
      </c>
      <c r="FM118" s="32" t="s">
        <v>360</v>
      </c>
      <c r="FN118" t="s">
        <v>361</v>
      </c>
      <c r="FO118" t="s">
        <v>362</v>
      </c>
      <c r="FP118" t="str">
        <f t="shared" si="42"/>
        <v>B</v>
      </c>
      <c r="GU118" s="53">
        <v>115</v>
      </c>
      <c r="GV118" s="53">
        <v>112</v>
      </c>
    </row>
    <row r="119" spans="1:204" ht="15.5" x14ac:dyDescent="0.35">
      <c r="A119" s="95">
        <f t="shared" si="43"/>
        <v>1</v>
      </c>
      <c r="B119" s="11"/>
      <c r="C119" s="11"/>
      <c r="D119" s="92" t="str">
        <f>IFERROR(
IF(AND(OR(Planilla!B119="C",Planilla!B119="c"), VLOOKUP(E119,EX:FJ,13,0)="C"), "OK",IF(AND(OR(Planilla!B119="C",Planilla!B119="c"), OR(VLOOKUP(E119,EX:FJ,13,0)="B", VLOOKUP(E119,EX:FJ,13,0)="A")), "DEFICIT",IF(
AND(OR(Planilla!B119="B", Planilla!B119="BPAL"), VLOOKUP(E119,EX:FJ,13,0)="B"), "OK",IF(AND(OR(Planilla!B119="B", Planilla!B119="BPAL"), VLOOKUP(E119,EX:FJ,13,0)="A"), "DEFICIT",IF(AND(OR(Planilla!B119="B", Planilla!B119="BPAL"), VLOOKUP(E119,EX:FJ,13,0)="C"), "SOBREOFERTA",IF(AND(Planilla!B119="A", VLOOKUP(E119,EX:FJ,13,0)="A"), "OK",IF(
AND(Planilla!B119="A", OR(VLOOKUP(E119,EX:FJ,13,0)="B", VLOOKUP(E119,EX:FJ,13,0)="C")), "SOBREOFERTA",""
))))))),"")</f>
        <v/>
      </c>
      <c r="E119" s="12"/>
      <c r="F119" s="13"/>
      <c r="G119" s="14"/>
      <c r="H119" s="81" t="str">
        <f t="shared" si="44"/>
        <v/>
      </c>
      <c r="I119" s="7"/>
      <c r="J119" s="6" t="e">
        <f t="shared" si="45"/>
        <v>#N/A</v>
      </c>
      <c r="K119" s="6" t="str">
        <f>IF(A120&lt;&gt;A119,AVERAGEIF(A$9:A119,A119,J$9:J119),"")</f>
        <v/>
      </c>
      <c r="L119" s="7" t="str">
        <f>IFERROR(IF(A120&lt;&gt;A119,AVERAGEIF(A$9:A119,A119,S$9:S119),""),"")</f>
        <v/>
      </c>
      <c r="M119" s="7" t="str">
        <f>IFERROR(IF(A120&lt;&gt;A119,AVERAGEIF(A$9:A119,A119,T$9:T119),""),"")</f>
        <v/>
      </c>
      <c r="N119" s="7" t="str" cm="1">
        <f t="array" ref="N119">IFERROR(IF(A120&lt;&gt;A119,_xlfn.STDEV.P(IF(A$9:A119=A119,T$9:T119)),""),"")</f>
        <v/>
      </c>
      <c r="O119" s="7" t="str" cm="1">
        <f t="array" ref="O119">IFERROR(IF(A120&lt;&gt;A119,_xlfn.STDEV.P(IF(A$9:A119=A119,S$9:S119)),""),"")</f>
        <v/>
      </c>
      <c r="P119" s="8" t="str">
        <f t="shared" si="46"/>
        <v/>
      </c>
      <c r="Q119" s="8" t="str">
        <f t="shared" si="47"/>
        <v/>
      </c>
      <c r="R119" s="8" t="str">
        <f t="shared" si="48"/>
        <v/>
      </c>
      <c r="S119" s="9" t="str">
        <f t="shared" si="49"/>
        <v/>
      </c>
      <c r="T119" s="9" t="str">
        <f t="shared" si="50"/>
        <v/>
      </c>
      <c r="U119" s="14">
        <v>0.81597222222222221</v>
      </c>
      <c r="V119" s="15"/>
      <c r="W119" s="14" t="str">
        <f t="shared" si="51"/>
        <v/>
      </c>
      <c r="X119" s="15"/>
      <c r="Y119" s="2"/>
      <c r="AB119" s="22">
        <f t="shared" si="52"/>
        <v>1</v>
      </c>
      <c r="AC119" s="11"/>
      <c r="AD119" s="11"/>
      <c r="AE119" s="13"/>
      <c r="AF119" s="12"/>
      <c r="AG119" s="13"/>
      <c r="AH119" s="14"/>
      <c r="AI119" s="81" t="str">
        <f t="shared" si="53"/>
        <v/>
      </c>
      <c r="AJ119" s="15"/>
      <c r="AK119" s="6" t="e">
        <f t="shared" si="54"/>
        <v>#N/A</v>
      </c>
      <c r="AL119" s="6" t="str">
        <f>IF(AB120&lt;&gt;AB119,AVERAGEIF(AB$9:AB119,AB119,AK$9:AK119),"")</f>
        <v/>
      </c>
      <c r="AM119" s="7" t="str">
        <f>IFERROR(IF(AB120&lt;&gt;AB119,AVERAGEIF(AB$9:AB119,AB119,AT$9:AT119),""),"")</f>
        <v/>
      </c>
      <c r="AN119" s="7" t="str">
        <f>IFERROR(IF(AB120&lt;&gt;AB119,AVERAGEIF(AB$9:AB119,AB119,AU$9:AU119),""),"")</f>
        <v/>
      </c>
      <c r="AO119" s="7" t="str" cm="1">
        <f t="array" ref="AO119">IFERROR(IF(AB120&lt;&gt;AB119,_xlfn.STDEV.P(IF(AB$9:AB119=AB119,AU$9:AU119)),""),"")</f>
        <v/>
      </c>
      <c r="AP119" s="7" t="str" cm="1">
        <f t="array" ref="AP119">IFERROR(IF(AB120&lt;&gt;AB119,_xlfn.STDEV.P(IF(AB$9:AB119=AB119,AT$9:AT119)),""),"")</f>
        <v/>
      </c>
      <c r="AQ119" s="8" t="str">
        <f t="shared" si="55"/>
        <v/>
      </c>
      <c r="AR119" s="8" t="str">
        <f t="shared" si="56"/>
        <v/>
      </c>
      <c r="AS119" s="8" t="str">
        <f t="shared" si="57"/>
        <v/>
      </c>
      <c r="AT119" s="9" t="str">
        <f t="shared" si="58"/>
        <v/>
      </c>
      <c r="AU119" s="9" t="str">
        <f t="shared" si="59"/>
        <v/>
      </c>
      <c r="AV119" s="14"/>
      <c r="AW119" s="15"/>
      <c r="AX119" s="14" t="str">
        <f t="shared" si="60"/>
        <v/>
      </c>
      <c r="AY119" s="15"/>
      <c r="AZ119" s="23"/>
      <c r="EW119" t="s">
        <v>46</v>
      </c>
      <c r="EX119" s="33">
        <v>1116</v>
      </c>
      <c r="EY119" s="33" t="s">
        <v>369</v>
      </c>
      <c r="EZ119" s="33" t="s">
        <v>370</v>
      </c>
      <c r="FA119" s="33" t="s">
        <v>343</v>
      </c>
      <c r="FB119" s="33" t="s">
        <v>344</v>
      </c>
      <c r="FC119" s="33" t="s">
        <v>345</v>
      </c>
      <c r="FD119" s="33" t="s">
        <v>346</v>
      </c>
      <c r="FE119" s="33">
        <v>2025</v>
      </c>
      <c r="FF119" s="33" t="s">
        <v>59</v>
      </c>
      <c r="FG119" s="33" t="s">
        <v>71</v>
      </c>
      <c r="FH119" s="33" t="s">
        <v>72</v>
      </c>
      <c r="FI119" s="33" t="s">
        <v>73</v>
      </c>
      <c r="FJ119" t="s">
        <v>59</v>
      </c>
      <c r="FM119" s="32" t="s">
        <v>360</v>
      </c>
      <c r="FN119" t="s">
        <v>361</v>
      </c>
      <c r="FO119" t="s">
        <v>362</v>
      </c>
      <c r="FP119" t="str">
        <f t="shared" si="42"/>
        <v>B</v>
      </c>
      <c r="GU119" s="53">
        <v>116</v>
      </c>
      <c r="GV119" s="53">
        <v>113</v>
      </c>
    </row>
    <row r="120" spans="1:204" ht="15.5" x14ac:dyDescent="0.35">
      <c r="A120" s="95">
        <f t="shared" si="43"/>
        <v>1</v>
      </c>
      <c r="B120" s="11"/>
      <c r="C120" s="11"/>
      <c r="D120" s="92" t="str">
        <f>IFERROR(
IF(AND(OR(Planilla!B120="C",Planilla!B120="c"), VLOOKUP(E120,EX:FJ,13,0)="C"), "OK",IF(AND(OR(Planilla!B120="C",Planilla!B120="c"), OR(VLOOKUP(E120,EX:FJ,13,0)="B", VLOOKUP(E120,EX:FJ,13,0)="A")), "DEFICIT",IF(
AND(OR(Planilla!B120="B", Planilla!B120="BPAL"), VLOOKUP(E120,EX:FJ,13,0)="B"), "OK",IF(AND(OR(Planilla!B120="B", Planilla!B120="BPAL"), VLOOKUP(E120,EX:FJ,13,0)="A"), "DEFICIT",IF(AND(OR(Planilla!B120="B", Planilla!B120="BPAL"), VLOOKUP(E120,EX:FJ,13,0)="C"), "SOBREOFERTA",IF(AND(Planilla!B120="A", VLOOKUP(E120,EX:FJ,13,0)="A"), "OK",IF(
AND(Planilla!B120="A", OR(VLOOKUP(E120,EX:FJ,13,0)="B", VLOOKUP(E120,EX:FJ,13,0)="C")), "SOBREOFERTA",""
))))))),"")</f>
        <v/>
      </c>
      <c r="E120" s="12"/>
      <c r="F120" s="13"/>
      <c r="G120" s="14"/>
      <c r="H120" s="81" t="str">
        <f t="shared" si="44"/>
        <v/>
      </c>
      <c r="I120" s="7"/>
      <c r="J120" s="6" t="e">
        <f t="shared" si="45"/>
        <v>#N/A</v>
      </c>
      <c r="K120" s="6" t="str">
        <f>IF(A121&lt;&gt;A120,AVERAGEIF(A$9:A120,A120,J$9:J120),"")</f>
        <v/>
      </c>
      <c r="L120" s="7" t="str">
        <f>IFERROR(IF(A121&lt;&gt;A120,AVERAGEIF(A$9:A120,A120,S$9:S120),""),"")</f>
        <v/>
      </c>
      <c r="M120" s="7" t="str">
        <f>IFERROR(IF(A121&lt;&gt;A120,AVERAGEIF(A$9:A120,A120,T$9:T120),""),"")</f>
        <v/>
      </c>
      <c r="N120" s="7" t="str" cm="1">
        <f t="array" ref="N120">IFERROR(IF(A121&lt;&gt;A120,_xlfn.STDEV.P(IF(A$9:A120=A120,T$9:T120)),""),"")</f>
        <v/>
      </c>
      <c r="O120" s="7" t="str" cm="1">
        <f t="array" ref="O120">IFERROR(IF(A121&lt;&gt;A120,_xlfn.STDEV.P(IF(A$9:A120=A120,S$9:S120)),""),"")</f>
        <v/>
      </c>
      <c r="P120" s="8" t="str">
        <f t="shared" si="46"/>
        <v/>
      </c>
      <c r="Q120" s="8" t="str">
        <f t="shared" si="47"/>
        <v/>
      </c>
      <c r="R120" s="8" t="str">
        <f t="shared" si="48"/>
        <v/>
      </c>
      <c r="S120" s="9" t="str">
        <f t="shared" si="49"/>
        <v/>
      </c>
      <c r="T120" s="9" t="str">
        <f t="shared" si="50"/>
        <v/>
      </c>
      <c r="U120" s="14">
        <v>0.82291666666666663</v>
      </c>
      <c r="V120" s="15"/>
      <c r="W120" s="14" t="str">
        <f t="shared" si="51"/>
        <v/>
      </c>
      <c r="X120" s="15"/>
      <c r="Y120" s="2"/>
      <c r="AB120" s="22">
        <f t="shared" si="52"/>
        <v>1</v>
      </c>
      <c r="AC120" s="11"/>
      <c r="AD120" s="11"/>
      <c r="AE120" s="13"/>
      <c r="AF120" s="12"/>
      <c r="AG120" s="13"/>
      <c r="AH120" s="14"/>
      <c r="AI120" s="81" t="str">
        <f t="shared" si="53"/>
        <v/>
      </c>
      <c r="AJ120" s="15"/>
      <c r="AK120" s="6" t="e">
        <f t="shared" si="54"/>
        <v>#N/A</v>
      </c>
      <c r="AL120" s="6" t="str">
        <f>IF(AB121&lt;&gt;AB120,AVERAGEIF(AB$9:AB120,AB120,AK$9:AK120),"")</f>
        <v/>
      </c>
      <c r="AM120" s="7" t="str">
        <f>IFERROR(IF(AB121&lt;&gt;AB120,AVERAGEIF(AB$9:AB120,AB120,AT$9:AT120),""),"")</f>
        <v/>
      </c>
      <c r="AN120" s="7" t="str">
        <f>IFERROR(IF(AB121&lt;&gt;AB120,AVERAGEIF(AB$9:AB120,AB120,AU$9:AU120),""),"")</f>
        <v/>
      </c>
      <c r="AO120" s="7" t="str" cm="1">
        <f t="array" ref="AO120">IFERROR(IF(AB121&lt;&gt;AB120,_xlfn.STDEV.P(IF(AB$9:AB120=AB120,AU$9:AU120)),""),"")</f>
        <v/>
      </c>
      <c r="AP120" s="7" t="str" cm="1">
        <f t="array" ref="AP120">IFERROR(IF(AB121&lt;&gt;AB120,_xlfn.STDEV.P(IF(AB$9:AB120=AB120,AT$9:AT120)),""),"")</f>
        <v/>
      </c>
      <c r="AQ120" s="8" t="str">
        <f t="shared" si="55"/>
        <v/>
      </c>
      <c r="AR120" s="8" t="str">
        <f t="shared" si="56"/>
        <v/>
      </c>
      <c r="AS120" s="8" t="str">
        <f t="shared" si="57"/>
        <v/>
      </c>
      <c r="AT120" s="9" t="str">
        <f t="shared" si="58"/>
        <v/>
      </c>
      <c r="AU120" s="9" t="str">
        <f t="shared" si="59"/>
        <v/>
      </c>
      <c r="AV120" s="14"/>
      <c r="AW120" s="15"/>
      <c r="AX120" s="14" t="str">
        <f t="shared" si="60"/>
        <v/>
      </c>
      <c r="AY120" s="15"/>
      <c r="AZ120" s="23"/>
      <c r="EW120" t="s">
        <v>46</v>
      </c>
      <c r="EX120" s="33">
        <v>1117</v>
      </c>
      <c r="EY120" s="33" t="s">
        <v>371</v>
      </c>
      <c r="EZ120" s="33" t="s">
        <v>372</v>
      </c>
      <c r="FA120" s="33" t="s">
        <v>343</v>
      </c>
      <c r="FB120" s="33" t="s">
        <v>344</v>
      </c>
      <c r="FC120" s="33" t="s">
        <v>345</v>
      </c>
      <c r="FD120" s="33" t="s">
        <v>346</v>
      </c>
      <c r="FE120" s="33">
        <v>2025</v>
      </c>
      <c r="FF120" s="33" t="s">
        <v>59</v>
      </c>
      <c r="FG120" s="33" t="s">
        <v>71</v>
      </c>
      <c r="FH120" s="33" t="s">
        <v>72</v>
      </c>
      <c r="FI120" s="33" t="s">
        <v>73</v>
      </c>
      <c r="FJ120" t="s">
        <v>59</v>
      </c>
      <c r="FM120" s="32" t="s">
        <v>360</v>
      </c>
      <c r="FN120" t="s">
        <v>361</v>
      </c>
      <c r="FO120" t="s">
        <v>362</v>
      </c>
      <c r="FP120" t="str">
        <f t="shared" si="42"/>
        <v>B</v>
      </c>
      <c r="GU120" s="53">
        <v>117</v>
      </c>
      <c r="GV120" s="53">
        <v>114</v>
      </c>
    </row>
    <row r="121" spans="1:204" ht="15.5" x14ac:dyDescent="0.35">
      <c r="A121" s="95">
        <f t="shared" si="43"/>
        <v>1</v>
      </c>
      <c r="B121" s="11"/>
      <c r="C121" s="11"/>
      <c r="D121" s="92" t="str">
        <f>IFERROR(
IF(AND(OR(Planilla!B121="C",Planilla!B121="c"), VLOOKUP(E121,EX:FJ,13,0)="C"), "OK",IF(AND(OR(Planilla!B121="C",Planilla!B121="c"), OR(VLOOKUP(E121,EX:FJ,13,0)="B", VLOOKUP(E121,EX:FJ,13,0)="A")), "DEFICIT",IF(
AND(OR(Planilla!B121="B", Planilla!B121="BPAL"), VLOOKUP(E121,EX:FJ,13,0)="B"), "OK",IF(AND(OR(Planilla!B121="B", Planilla!B121="BPAL"), VLOOKUP(E121,EX:FJ,13,0)="A"), "DEFICIT",IF(AND(OR(Planilla!B121="B", Planilla!B121="BPAL"), VLOOKUP(E121,EX:FJ,13,0)="C"), "SOBREOFERTA",IF(AND(Planilla!B121="A", VLOOKUP(E121,EX:FJ,13,0)="A"), "OK",IF(
AND(Planilla!B121="A", OR(VLOOKUP(E121,EX:FJ,13,0)="B", VLOOKUP(E121,EX:FJ,13,0)="C")), "SOBREOFERTA",""
))))))),"")</f>
        <v/>
      </c>
      <c r="E121" s="12"/>
      <c r="F121" s="13"/>
      <c r="G121" s="14"/>
      <c r="H121" s="81" t="str">
        <f t="shared" si="44"/>
        <v/>
      </c>
      <c r="I121" s="7"/>
      <c r="J121" s="6" t="e">
        <f t="shared" si="45"/>
        <v>#N/A</v>
      </c>
      <c r="K121" s="6" t="str">
        <f>IF(A122&lt;&gt;A121,AVERAGEIF(A$9:A121,A121,J$9:J121),"")</f>
        <v/>
      </c>
      <c r="L121" s="7" t="str">
        <f>IFERROR(IF(A122&lt;&gt;A121,AVERAGEIF(A$9:A121,A121,S$9:S121),""),"")</f>
        <v/>
      </c>
      <c r="M121" s="7" t="str">
        <f>IFERROR(IF(A122&lt;&gt;A121,AVERAGEIF(A$9:A121,A121,T$9:T121),""),"")</f>
        <v/>
      </c>
      <c r="N121" s="7" t="str" cm="1">
        <f t="array" ref="N121">IFERROR(IF(A122&lt;&gt;A121,_xlfn.STDEV.P(IF(A$9:A121=A121,T$9:T121)),""),"")</f>
        <v/>
      </c>
      <c r="O121" s="7" t="str" cm="1">
        <f t="array" ref="O121">IFERROR(IF(A122&lt;&gt;A121,_xlfn.STDEV.P(IF(A$9:A121=A121,S$9:S121)),""),"")</f>
        <v/>
      </c>
      <c r="P121" s="8" t="str">
        <f t="shared" si="46"/>
        <v/>
      </c>
      <c r="Q121" s="8" t="str">
        <f t="shared" si="47"/>
        <v/>
      </c>
      <c r="R121" s="8" t="str">
        <f t="shared" si="48"/>
        <v/>
      </c>
      <c r="S121" s="9" t="str">
        <f t="shared" si="49"/>
        <v/>
      </c>
      <c r="T121" s="9" t="str">
        <f t="shared" si="50"/>
        <v/>
      </c>
      <c r="U121" s="14">
        <v>0.82986111111111116</v>
      </c>
      <c r="V121" s="15"/>
      <c r="W121" s="14" t="str">
        <f t="shared" si="51"/>
        <v/>
      </c>
      <c r="X121" s="15"/>
      <c r="Y121" s="2"/>
      <c r="AB121" s="22">
        <f t="shared" si="52"/>
        <v>1</v>
      </c>
      <c r="AC121" s="11"/>
      <c r="AD121" s="11"/>
      <c r="AE121" s="13"/>
      <c r="AF121" s="12"/>
      <c r="AG121" s="13"/>
      <c r="AH121" s="14"/>
      <c r="AI121" s="81" t="str">
        <f t="shared" si="53"/>
        <v/>
      </c>
      <c r="AJ121" s="15"/>
      <c r="AK121" s="6" t="e">
        <f t="shared" si="54"/>
        <v>#N/A</v>
      </c>
      <c r="AL121" s="6" t="str">
        <f>IF(AB122&lt;&gt;AB121,AVERAGEIF(AB$9:AB121,AB121,AK$9:AK121),"")</f>
        <v/>
      </c>
      <c r="AM121" s="7" t="str">
        <f>IFERROR(IF(AB122&lt;&gt;AB121,AVERAGEIF(AB$9:AB121,AB121,AT$9:AT121),""),"")</f>
        <v/>
      </c>
      <c r="AN121" s="7" t="str">
        <f>IFERROR(IF(AB122&lt;&gt;AB121,AVERAGEIF(AB$9:AB121,AB121,AU$9:AU121),""),"")</f>
        <v/>
      </c>
      <c r="AO121" s="7" t="str" cm="1">
        <f t="array" ref="AO121">IFERROR(IF(AB122&lt;&gt;AB121,_xlfn.STDEV.P(IF(AB$9:AB121=AB121,AU$9:AU121)),""),"")</f>
        <v/>
      </c>
      <c r="AP121" s="7" t="str" cm="1">
        <f t="array" ref="AP121">IFERROR(IF(AB122&lt;&gt;AB121,_xlfn.STDEV.P(IF(AB$9:AB121=AB121,AT$9:AT121)),""),"")</f>
        <v/>
      </c>
      <c r="AQ121" s="8" t="str">
        <f t="shared" si="55"/>
        <v/>
      </c>
      <c r="AR121" s="8" t="str">
        <f t="shared" si="56"/>
        <v/>
      </c>
      <c r="AS121" s="8" t="str">
        <f t="shared" si="57"/>
        <v/>
      </c>
      <c r="AT121" s="9" t="str">
        <f t="shared" si="58"/>
        <v/>
      </c>
      <c r="AU121" s="9" t="str">
        <f t="shared" si="59"/>
        <v/>
      </c>
      <c r="AV121" s="14"/>
      <c r="AW121" s="15"/>
      <c r="AX121" s="14" t="str">
        <f t="shared" si="60"/>
        <v/>
      </c>
      <c r="AY121" s="15"/>
      <c r="AZ121" s="23"/>
      <c r="EW121" t="s">
        <v>46</v>
      </c>
      <c r="EX121" s="33">
        <v>1118</v>
      </c>
      <c r="EY121" s="33" t="s">
        <v>373</v>
      </c>
      <c r="EZ121" s="33" t="s">
        <v>374</v>
      </c>
      <c r="FA121" s="33" t="s">
        <v>343</v>
      </c>
      <c r="FB121" s="33" t="s">
        <v>344</v>
      </c>
      <c r="FC121" s="33" t="s">
        <v>345</v>
      </c>
      <c r="FD121" s="33" t="s">
        <v>346</v>
      </c>
      <c r="FE121" s="33">
        <v>2025</v>
      </c>
      <c r="FF121" s="33" t="s">
        <v>59</v>
      </c>
      <c r="FG121" s="33" t="s">
        <v>71</v>
      </c>
      <c r="FH121" s="33" t="s">
        <v>72</v>
      </c>
      <c r="FI121" s="33" t="s">
        <v>73</v>
      </c>
      <c r="FJ121" t="s">
        <v>59</v>
      </c>
      <c r="FM121" s="32" t="s">
        <v>375</v>
      </c>
      <c r="FN121" t="s">
        <v>376</v>
      </c>
      <c r="FO121" t="s">
        <v>377</v>
      </c>
      <c r="FP121" t="str">
        <f t="shared" si="42"/>
        <v>B</v>
      </c>
      <c r="GU121" s="53">
        <v>118</v>
      </c>
      <c r="GV121" s="53">
        <v>115</v>
      </c>
    </row>
    <row r="122" spans="1:204" ht="15.5" x14ac:dyDescent="0.35">
      <c r="A122" s="95">
        <f t="shared" si="43"/>
        <v>1</v>
      </c>
      <c r="B122" s="11"/>
      <c r="C122" s="11"/>
      <c r="D122" s="92" t="str">
        <f>IFERROR(
IF(AND(OR(Planilla!B122="C",Planilla!B122="c"), VLOOKUP(E122,EX:FJ,13,0)="C"), "OK",IF(AND(OR(Planilla!B122="C",Planilla!B122="c"), OR(VLOOKUP(E122,EX:FJ,13,0)="B", VLOOKUP(E122,EX:FJ,13,0)="A")), "DEFICIT",IF(
AND(OR(Planilla!B122="B", Planilla!B122="BPAL"), VLOOKUP(E122,EX:FJ,13,0)="B"), "OK",IF(AND(OR(Planilla!B122="B", Planilla!B122="BPAL"), VLOOKUP(E122,EX:FJ,13,0)="A"), "DEFICIT",IF(AND(OR(Planilla!B122="B", Planilla!B122="BPAL"), VLOOKUP(E122,EX:FJ,13,0)="C"), "SOBREOFERTA",IF(AND(Planilla!B122="A", VLOOKUP(E122,EX:FJ,13,0)="A"), "OK",IF(
AND(Planilla!B122="A", OR(VLOOKUP(E122,EX:FJ,13,0)="B", VLOOKUP(E122,EX:FJ,13,0)="C")), "SOBREOFERTA",""
))))))),"")</f>
        <v/>
      </c>
      <c r="E122" s="12"/>
      <c r="F122" s="13"/>
      <c r="G122" s="14"/>
      <c r="H122" s="81" t="str">
        <f t="shared" si="44"/>
        <v/>
      </c>
      <c r="I122" s="7"/>
      <c r="J122" s="6" t="e">
        <f t="shared" si="45"/>
        <v>#N/A</v>
      </c>
      <c r="K122" s="6" t="str">
        <f>IF(A123&lt;&gt;A122,AVERAGEIF(A$9:A122,A122,J$9:J122),"")</f>
        <v/>
      </c>
      <c r="L122" s="7" t="str">
        <f>IFERROR(IF(A123&lt;&gt;A122,AVERAGEIF(A$9:A122,A122,S$9:S122),""),"")</f>
        <v/>
      </c>
      <c r="M122" s="7" t="str">
        <f>IFERROR(IF(A123&lt;&gt;A122,AVERAGEIF(A$9:A122,A122,T$9:T122),""),"")</f>
        <v/>
      </c>
      <c r="N122" s="7" t="str" cm="1">
        <f t="array" ref="N122">IFERROR(IF(A123&lt;&gt;A122,_xlfn.STDEV.P(IF(A$9:A122=A122,T$9:T122)),""),"")</f>
        <v/>
      </c>
      <c r="O122" s="7" t="str" cm="1">
        <f t="array" ref="O122">IFERROR(IF(A123&lt;&gt;A122,_xlfn.STDEV.P(IF(A$9:A122=A122,S$9:S122)),""),"")</f>
        <v/>
      </c>
      <c r="P122" s="8" t="str">
        <f t="shared" si="46"/>
        <v/>
      </c>
      <c r="Q122" s="8" t="str">
        <f t="shared" si="47"/>
        <v/>
      </c>
      <c r="R122" s="8" t="str">
        <f t="shared" si="48"/>
        <v/>
      </c>
      <c r="S122" s="9" t="str">
        <f t="shared" si="49"/>
        <v/>
      </c>
      <c r="T122" s="9" t="str">
        <f t="shared" si="50"/>
        <v/>
      </c>
      <c r="U122" s="14">
        <v>0.83125000000000004</v>
      </c>
      <c r="V122" s="15"/>
      <c r="W122" s="14" t="str">
        <f t="shared" si="51"/>
        <v/>
      </c>
      <c r="X122" s="15"/>
      <c r="Y122" s="2"/>
      <c r="AB122" s="22">
        <f t="shared" si="52"/>
        <v>1</v>
      </c>
      <c r="AC122" s="11"/>
      <c r="AD122" s="11"/>
      <c r="AE122" s="13"/>
      <c r="AF122" s="12"/>
      <c r="AG122" s="13"/>
      <c r="AH122" s="14"/>
      <c r="AI122" s="81" t="str">
        <f t="shared" si="53"/>
        <v/>
      </c>
      <c r="AJ122" s="15"/>
      <c r="AK122" s="6" t="e">
        <f t="shared" si="54"/>
        <v>#N/A</v>
      </c>
      <c r="AL122" s="6" t="str">
        <f>IF(AB123&lt;&gt;AB122,AVERAGEIF(AB$9:AB122,AB122,AK$9:AK122),"")</f>
        <v/>
      </c>
      <c r="AM122" s="7" t="str">
        <f>IFERROR(IF(AB123&lt;&gt;AB122,AVERAGEIF(AB$9:AB122,AB122,AT$9:AT122),""),"")</f>
        <v/>
      </c>
      <c r="AN122" s="7" t="str">
        <f>IFERROR(IF(AB123&lt;&gt;AB122,AVERAGEIF(AB$9:AB122,AB122,AU$9:AU122),""),"")</f>
        <v/>
      </c>
      <c r="AO122" s="7" t="str" cm="1">
        <f t="array" ref="AO122">IFERROR(IF(AB123&lt;&gt;AB122,_xlfn.STDEV.P(IF(AB$9:AB122=AB122,AU$9:AU122)),""),"")</f>
        <v/>
      </c>
      <c r="AP122" s="7" t="str" cm="1">
        <f t="array" ref="AP122">IFERROR(IF(AB123&lt;&gt;AB122,_xlfn.STDEV.P(IF(AB$9:AB122=AB122,AT$9:AT122)),""),"")</f>
        <v/>
      </c>
      <c r="AQ122" s="8" t="str">
        <f t="shared" si="55"/>
        <v/>
      </c>
      <c r="AR122" s="8" t="str">
        <f t="shared" si="56"/>
        <v/>
      </c>
      <c r="AS122" s="8" t="str">
        <f t="shared" si="57"/>
        <v/>
      </c>
      <c r="AT122" s="9" t="str">
        <f t="shared" si="58"/>
        <v/>
      </c>
      <c r="AU122" s="9" t="str">
        <f t="shared" si="59"/>
        <v/>
      </c>
      <c r="AV122" s="14"/>
      <c r="AW122" s="15"/>
      <c r="AX122" s="14" t="str">
        <f t="shared" si="60"/>
        <v/>
      </c>
      <c r="AY122" s="15"/>
      <c r="AZ122" s="23"/>
      <c r="EW122" t="s">
        <v>46</v>
      </c>
      <c r="EX122" s="33">
        <v>1119</v>
      </c>
      <c r="EY122" s="33" t="s">
        <v>378</v>
      </c>
      <c r="EZ122" s="33" t="s">
        <v>379</v>
      </c>
      <c r="FA122" s="33" t="s">
        <v>343</v>
      </c>
      <c r="FB122" s="33" t="s">
        <v>344</v>
      </c>
      <c r="FC122" s="33" t="s">
        <v>345</v>
      </c>
      <c r="FD122" s="33" t="s">
        <v>346</v>
      </c>
      <c r="FE122" s="33">
        <v>2025</v>
      </c>
      <c r="FF122" s="33" t="s">
        <v>59</v>
      </c>
      <c r="FG122" s="33" t="s">
        <v>71</v>
      </c>
      <c r="FH122" s="33" t="s">
        <v>72</v>
      </c>
      <c r="FI122" s="33" t="s">
        <v>73</v>
      </c>
      <c r="FJ122" t="s">
        <v>59</v>
      </c>
      <c r="FM122" s="32" t="s">
        <v>375</v>
      </c>
      <c r="FN122" t="s">
        <v>376</v>
      </c>
      <c r="FO122" t="s">
        <v>377</v>
      </c>
      <c r="FP122" t="str">
        <f t="shared" si="42"/>
        <v>B</v>
      </c>
      <c r="GU122" s="53">
        <v>119</v>
      </c>
      <c r="GV122" s="53">
        <v>116</v>
      </c>
    </row>
    <row r="123" spans="1:204" ht="15.5" x14ac:dyDescent="0.35">
      <c r="A123" s="95">
        <f t="shared" si="43"/>
        <v>1</v>
      </c>
      <c r="B123" s="11"/>
      <c r="C123" s="11"/>
      <c r="D123" s="92" t="str">
        <f>IFERROR(
IF(AND(OR(Planilla!B123="C",Planilla!B123="c"), VLOOKUP(E123,EX:FJ,13,0)="C"), "OK",IF(AND(OR(Planilla!B123="C",Planilla!B123="c"), OR(VLOOKUP(E123,EX:FJ,13,0)="B", VLOOKUP(E123,EX:FJ,13,0)="A")), "DEFICIT",IF(
AND(OR(Planilla!B123="B", Planilla!B123="BPAL"), VLOOKUP(E123,EX:FJ,13,0)="B"), "OK",IF(AND(OR(Planilla!B123="B", Planilla!B123="BPAL"), VLOOKUP(E123,EX:FJ,13,0)="A"), "DEFICIT",IF(AND(OR(Planilla!B123="B", Planilla!B123="BPAL"), VLOOKUP(E123,EX:FJ,13,0)="C"), "SOBREOFERTA",IF(AND(Planilla!B123="A", VLOOKUP(E123,EX:FJ,13,0)="A"), "OK",IF(
AND(Planilla!B123="A", OR(VLOOKUP(E123,EX:FJ,13,0)="B", VLOOKUP(E123,EX:FJ,13,0)="C")), "SOBREOFERTA",""
))))))),"")</f>
        <v/>
      </c>
      <c r="E123" s="12"/>
      <c r="F123" s="13"/>
      <c r="G123" s="14"/>
      <c r="H123" s="81" t="str">
        <f t="shared" si="44"/>
        <v/>
      </c>
      <c r="I123" s="7"/>
      <c r="J123" s="6" t="e">
        <f t="shared" si="45"/>
        <v>#N/A</v>
      </c>
      <c r="K123" s="6" t="str">
        <f>IF(A124&lt;&gt;A123,AVERAGEIF(A$9:A123,A123,J$9:J123),"")</f>
        <v/>
      </c>
      <c r="L123" s="7" t="str">
        <f>IFERROR(IF(A124&lt;&gt;A123,AVERAGEIF(A$9:A123,A123,S$9:S123),""),"")</f>
        <v/>
      </c>
      <c r="M123" s="7" t="str">
        <f>IFERROR(IF(A124&lt;&gt;A123,AVERAGEIF(A$9:A123,A123,T$9:T123),""),"")</f>
        <v/>
      </c>
      <c r="N123" s="7" t="str" cm="1">
        <f t="array" ref="N123">IFERROR(IF(A124&lt;&gt;A123,_xlfn.STDEV.P(IF(A$9:A123=A123,T$9:T123)),""),"")</f>
        <v/>
      </c>
      <c r="O123" s="7" t="str" cm="1">
        <f t="array" ref="O123">IFERROR(IF(A124&lt;&gt;A123,_xlfn.STDEV.P(IF(A$9:A123=A123,S$9:S123)),""),"")</f>
        <v/>
      </c>
      <c r="P123" s="8" t="str">
        <f t="shared" si="46"/>
        <v/>
      </c>
      <c r="Q123" s="8" t="str">
        <f t="shared" si="47"/>
        <v/>
      </c>
      <c r="R123" s="8" t="str">
        <f t="shared" si="48"/>
        <v/>
      </c>
      <c r="S123" s="9" t="str">
        <f t="shared" si="49"/>
        <v/>
      </c>
      <c r="T123" s="9" t="str">
        <f t="shared" si="50"/>
        <v/>
      </c>
      <c r="U123" s="14">
        <v>0.83958333333333335</v>
      </c>
      <c r="V123" s="15"/>
      <c r="W123" s="14" t="str">
        <f t="shared" si="51"/>
        <v/>
      </c>
      <c r="X123" s="15"/>
      <c r="Y123" s="2"/>
      <c r="AB123" s="22">
        <f t="shared" si="52"/>
        <v>1</v>
      </c>
      <c r="AC123" s="11"/>
      <c r="AD123" s="11"/>
      <c r="AE123" s="13"/>
      <c r="AF123" s="12"/>
      <c r="AG123" s="13"/>
      <c r="AH123" s="14"/>
      <c r="AI123" s="81" t="str">
        <f t="shared" si="53"/>
        <v/>
      </c>
      <c r="AJ123" s="15"/>
      <c r="AK123" s="6" t="e">
        <f t="shared" si="54"/>
        <v>#N/A</v>
      </c>
      <c r="AL123" s="6" t="str">
        <f>IF(AB124&lt;&gt;AB123,AVERAGEIF(AB$9:AB123,AB123,AK$9:AK123),"")</f>
        <v/>
      </c>
      <c r="AM123" s="7" t="str">
        <f>IFERROR(IF(AB124&lt;&gt;AB123,AVERAGEIF(AB$9:AB123,AB123,AT$9:AT123),""),"")</f>
        <v/>
      </c>
      <c r="AN123" s="7" t="str">
        <f>IFERROR(IF(AB124&lt;&gt;AB123,AVERAGEIF(AB$9:AB123,AB123,AU$9:AU123),""),"")</f>
        <v/>
      </c>
      <c r="AO123" s="7" t="str" cm="1">
        <f t="array" ref="AO123">IFERROR(IF(AB124&lt;&gt;AB123,_xlfn.STDEV.P(IF(AB$9:AB123=AB123,AU$9:AU123)),""),"")</f>
        <v/>
      </c>
      <c r="AP123" s="7" t="str" cm="1">
        <f t="array" ref="AP123">IFERROR(IF(AB124&lt;&gt;AB123,_xlfn.STDEV.P(IF(AB$9:AB123=AB123,AT$9:AT123)),""),"")</f>
        <v/>
      </c>
      <c r="AQ123" s="8" t="str">
        <f t="shared" si="55"/>
        <v/>
      </c>
      <c r="AR123" s="8" t="str">
        <f t="shared" si="56"/>
        <v/>
      </c>
      <c r="AS123" s="8" t="str">
        <f t="shared" si="57"/>
        <v/>
      </c>
      <c r="AT123" s="9" t="str">
        <f t="shared" si="58"/>
        <v/>
      </c>
      <c r="AU123" s="9" t="str">
        <f t="shared" si="59"/>
        <v/>
      </c>
      <c r="AV123" s="14"/>
      <c r="AW123" s="15"/>
      <c r="AX123" s="14" t="str">
        <f t="shared" si="60"/>
        <v/>
      </c>
      <c r="AY123" s="15"/>
      <c r="AZ123" s="23"/>
      <c r="EW123" t="s">
        <v>46</v>
      </c>
      <c r="EX123" s="33">
        <v>1120</v>
      </c>
      <c r="EY123" s="33" t="s">
        <v>380</v>
      </c>
      <c r="EZ123" s="33" t="s">
        <v>381</v>
      </c>
      <c r="FA123" s="33" t="s">
        <v>343</v>
      </c>
      <c r="FB123" s="33" t="s">
        <v>344</v>
      </c>
      <c r="FC123" s="33" t="s">
        <v>345</v>
      </c>
      <c r="FD123" s="33" t="s">
        <v>346</v>
      </c>
      <c r="FE123" s="33">
        <v>2025</v>
      </c>
      <c r="FF123" s="33" t="s">
        <v>59</v>
      </c>
      <c r="FG123" s="33" t="s">
        <v>71</v>
      </c>
      <c r="FH123" s="33" t="s">
        <v>72</v>
      </c>
      <c r="FI123" s="33" t="s">
        <v>73</v>
      </c>
      <c r="FJ123" t="s">
        <v>59</v>
      </c>
      <c r="FM123" s="32" t="s">
        <v>375</v>
      </c>
      <c r="FN123" t="s">
        <v>376</v>
      </c>
      <c r="FO123" t="s">
        <v>377</v>
      </c>
      <c r="FP123" t="str">
        <f t="shared" si="42"/>
        <v>B</v>
      </c>
      <c r="GU123" s="53">
        <v>120</v>
      </c>
      <c r="GV123" s="53">
        <v>117</v>
      </c>
    </row>
    <row r="124" spans="1:204" ht="15.5" x14ac:dyDescent="0.35">
      <c r="A124" s="95">
        <f t="shared" si="43"/>
        <v>1</v>
      </c>
      <c r="B124" s="11"/>
      <c r="C124" s="11"/>
      <c r="D124" s="92" t="str">
        <f>IFERROR(
IF(AND(OR(Planilla!B124="C",Planilla!B124="c"), VLOOKUP(E124,EX:FJ,13,0)="C"), "OK",IF(AND(OR(Planilla!B124="C",Planilla!B124="c"), OR(VLOOKUP(E124,EX:FJ,13,0)="B", VLOOKUP(E124,EX:FJ,13,0)="A")), "DEFICIT",IF(
AND(OR(Planilla!B124="B", Planilla!B124="BPAL"), VLOOKUP(E124,EX:FJ,13,0)="B"), "OK",IF(AND(OR(Planilla!B124="B", Planilla!B124="BPAL"), VLOOKUP(E124,EX:FJ,13,0)="A"), "DEFICIT",IF(AND(OR(Planilla!B124="B", Planilla!B124="BPAL"), VLOOKUP(E124,EX:FJ,13,0)="C"), "SOBREOFERTA",IF(AND(Planilla!B124="A", VLOOKUP(E124,EX:FJ,13,0)="A"), "OK",IF(
AND(Planilla!B124="A", OR(VLOOKUP(E124,EX:FJ,13,0)="B", VLOOKUP(E124,EX:FJ,13,0)="C")), "SOBREOFERTA",""
))))))),"")</f>
        <v/>
      </c>
      <c r="E124" s="12"/>
      <c r="F124" s="13"/>
      <c r="G124" s="14"/>
      <c r="H124" s="81" t="str">
        <f t="shared" si="44"/>
        <v/>
      </c>
      <c r="I124" s="7"/>
      <c r="J124" s="6" t="e">
        <f t="shared" si="45"/>
        <v>#N/A</v>
      </c>
      <c r="K124" s="6" t="str">
        <f>IF(A125&lt;&gt;A124,AVERAGEIF(A$9:A124,A124,J$9:J124),"")</f>
        <v/>
      </c>
      <c r="L124" s="7" t="str">
        <f>IFERROR(IF(A125&lt;&gt;A124,AVERAGEIF(A$9:A124,A124,S$9:S124),""),"")</f>
        <v/>
      </c>
      <c r="M124" s="7" t="str">
        <f>IFERROR(IF(A125&lt;&gt;A124,AVERAGEIF(A$9:A124,A124,T$9:T124),""),"")</f>
        <v/>
      </c>
      <c r="N124" s="7" t="str" cm="1">
        <f t="array" ref="N124">IFERROR(IF(A125&lt;&gt;A124,_xlfn.STDEV.P(IF(A$9:A124=A124,T$9:T124)),""),"")</f>
        <v/>
      </c>
      <c r="O124" s="7" t="str" cm="1">
        <f t="array" ref="O124">IFERROR(IF(A125&lt;&gt;A124,_xlfn.STDEV.P(IF(A$9:A124=A124,S$9:S124)),""),"")</f>
        <v/>
      </c>
      <c r="P124" s="8" t="str">
        <f t="shared" si="46"/>
        <v/>
      </c>
      <c r="Q124" s="8" t="str">
        <f t="shared" si="47"/>
        <v/>
      </c>
      <c r="R124" s="8" t="str">
        <f t="shared" si="48"/>
        <v/>
      </c>
      <c r="S124" s="9" t="str">
        <f t="shared" si="49"/>
        <v/>
      </c>
      <c r="T124" s="9" t="str">
        <f t="shared" si="50"/>
        <v/>
      </c>
      <c r="U124" s="14">
        <v>0.84791666666666665</v>
      </c>
      <c r="V124" s="15"/>
      <c r="W124" s="14" t="str">
        <f t="shared" si="51"/>
        <v/>
      </c>
      <c r="X124" s="15"/>
      <c r="Y124" s="2"/>
      <c r="AB124" s="22">
        <f t="shared" si="52"/>
        <v>1</v>
      </c>
      <c r="AC124" s="11"/>
      <c r="AD124" s="11"/>
      <c r="AE124" s="13"/>
      <c r="AF124" s="12"/>
      <c r="AG124" s="13"/>
      <c r="AH124" s="14"/>
      <c r="AI124" s="81" t="str">
        <f t="shared" si="53"/>
        <v/>
      </c>
      <c r="AJ124" s="15"/>
      <c r="AK124" s="6" t="e">
        <f t="shared" si="54"/>
        <v>#N/A</v>
      </c>
      <c r="AL124" s="6" t="str">
        <f>IF(AB125&lt;&gt;AB124,AVERAGEIF(AB$9:AB124,AB124,AK$9:AK124),"")</f>
        <v/>
      </c>
      <c r="AM124" s="7" t="str">
        <f>IFERROR(IF(AB125&lt;&gt;AB124,AVERAGEIF(AB$9:AB124,AB124,AT$9:AT124),""),"")</f>
        <v/>
      </c>
      <c r="AN124" s="7" t="str">
        <f>IFERROR(IF(AB125&lt;&gt;AB124,AVERAGEIF(AB$9:AB124,AB124,AU$9:AU124),""),"")</f>
        <v/>
      </c>
      <c r="AO124" s="7" t="str" cm="1">
        <f t="array" ref="AO124">IFERROR(IF(AB125&lt;&gt;AB124,_xlfn.STDEV.P(IF(AB$9:AB124=AB124,AU$9:AU124)),""),"")</f>
        <v/>
      </c>
      <c r="AP124" s="7" t="str" cm="1">
        <f t="array" ref="AP124">IFERROR(IF(AB125&lt;&gt;AB124,_xlfn.STDEV.P(IF(AB$9:AB124=AB124,AT$9:AT124)),""),"")</f>
        <v/>
      </c>
      <c r="AQ124" s="8" t="str">
        <f t="shared" si="55"/>
        <v/>
      </c>
      <c r="AR124" s="8" t="str">
        <f t="shared" si="56"/>
        <v/>
      </c>
      <c r="AS124" s="8" t="str">
        <f t="shared" si="57"/>
        <v/>
      </c>
      <c r="AT124" s="9" t="str">
        <f t="shared" si="58"/>
        <v/>
      </c>
      <c r="AU124" s="9" t="str">
        <f t="shared" si="59"/>
        <v/>
      </c>
      <c r="AV124" s="14"/>
      <c r="AW124" s="15"/>
      <c r="AX124" s="14" t="str">
        <f t="shared" si="60"/>
        <v/>
      </c>
      <c r="AY124" s="15"/>
      <c r="AZ124" s="23"/>
      <c r="EW124" t="s">
        <v>46</v>
      </c>
      <c r="EX124" s="33">
        <v>1121</v>
      </c>
      <c r="EY124" s="33" t="s">
        <v>382</v>
      </c>
      <c r="EZ124" s="33" t="s">
        <v>383</v>
      </c>
      <c r="FA124" s="33" t="s">
        <v>343</v>
      </c>
      <c r="FB124" s="33" t="s">
        <v>344</v>
      </c>
      <c r="FC124" s="33" t="s">
        <v>345</v>
      </c>
      <c r="FD124" s="33" t="s">
        <v>346</v>
      </c>
      <c r="FE124" s="33">
        <v>2025</v>
      </c>
      <c r="FF124" s="33" t="s">
        <v>59</v>
      </c>
      <c r="FG124" s="33" t="s">
        <v>71</v>
      </c>
      <c r="FH124" s="33" t="s">
        <v>72</v>
      </c>
      <c r="FI124" s="33" t="s">
        <v>73</v>
      </c>
      <c r="FJ124" t="s">
        <v>59</v>
      </c>
      <c r="FM124" s="32" t="s">
        <v>375</v>
      </c>
      <c r="FN124" t="s">
        <v>376</v>
      </c>
      <c r="FO124" t="s">
        <v>377</v>
      </c>
      <c r="FP124" t="str">
        <f t="shared" si="42"/>
        <v>B</v>
      </c>
      <c r="GU124" s="53">
        <v>121</v>
      </c>
      <c r="GV124" s="53">
        <v>118</v>
      </c>
    </row>
    <row r="125" spans="1:204" ht="15.5" x14ac:dyDescent="0.35">
      <c r="A125" s="95">
        <f t="shared" si="43"/>
        <v>1</v>
      </c>
      <c r="B125" s="11"/>
      <c r="C125" s="11"/>
      <c r="D125" s="92" t="str">
        <f>IFERROR(
IF(AND(OR(Planilla!B125="C",Planilla!B125="c"), VLOOKUP(E125,EX:FJ,13,0)="C"), "OK",IF(AND(OR(Planilla!B125="C",Planilla!B125="c"), OR(VLOOKUP(E125,EX:FJ,13,0)="B", VLOOKUP(E125,EX:FJ,13,0)="A")), "DEFICIT",IF(
AND(OR(Planilla!B125="B", Planilla!B125="BPAL"), VLOOKUP(E125,EX:FJ,13,0)="B"), "OK",IF(AND(OR(Planilla!B125="B", Planilla!B125="BPAL"), VLOOKUP(E125,EX:FJ,13,0)="A"), "DEFICIT",IF(AND(OR(Planilla!B125="B", Planilla!B125="BPAL"), VLOOKUP(E125,EX:FJ,13,0)="C"), "SOBREOFERTA",IF(AND(Planilla!B125="A", VLOOKUP(E125,EX:FJ,13,0)="A"), "OK",IF(
AND(Planilla!B125="A", OR(VLOOKUP(E125,EX:FJ,13,0)="B", VLOOKUP(E125,EX:FJ,13,0)="C")), "SOBREOFERTA",""
))))))),"")</f>
        <v/>
      </c>
      <c r="E125" s="12"/>
      <c r="F125" s="13"/>
      <c r="G125" s="14"/>
      <c r="H125" s="81" t="str">
        <f t="shared" si="44"/>
        <v/>
      </c>
      <c r="I125" s="7"/>
      <c r="J125" s="6" t="e">
        <f t="shared" si="45"/>
        <v>#N/A</v>
      </c>
      <c r="K125" s="6" t="str">
        <f>IF(A126&lt;&gt;A125,AVERAGEIF(A$9:A125,A125,J$9:J125),"")</f>
        <v/>
      </c>
      <c r="L125" s="7" t="str">
        <f>IFERROR(IF(A126&lt;&gt;A125,AVERAGEIF(A$9:A125,A125,S$9:S125),""),"")</f>
        <v/>
      </c>
      <c r="M125" s="7" t="str">
        <f>IFERROR(IF(A126&lt;&gt;A125,AVERAGEIF(A$9:A125,A125,T$9:T125),""),"")</f>
        <v/>
      </c>
      <c r="N125" s="7" t="str" cm="1">
        <f t="array" ref="N125">IFERROR(IF(A126&lt;&gt;A125,_xlfn.STDEV.P(IF(A$9:A125=A125,T$9:T125)),""),"")</f>
        <v/>
      </c>
      <c r="O125" s="7" t="str" cm="1">
        <f t="array" ref="O125">IFERROR(IF(A126&lt;&gt;A125,_xlfn.STDEV.P(IF(A$9:A125=A125,S$9:S125)),""),"")</f>
        <v/>
      </c>
      <c r="P125" s="8" t="str">
        <f t="shared" si="46"/>
        <v/>
      </c>
      <c r="Q125" s="8" t="str">
        <f t="shared" si="47"/>
        <v/>
      </c>
      <c r="R125" s="8" t="str">
        <f t="shared" si="48"/>
        <v/>
      </c>
      <c r="S125" s="9" t="str">
        <f t="shared" si="49"/>
        <v/>
      </c>
      <c r="T125" s="9" t="str">
        <f t="shared" si="50"/>
        <v/>
      </c>
      <c r="U125" s="14">
        <v>0.85069444444444442</v>
      </c>
      <c r="V125" s="15"/>
      <c r="W125" s="14" t="str">
        <f t="shared" si="51"/>
        <v/>
      </c>
      <c r="X125" s="15"/>
      <c r="Y125" s="2"/>
      <c r="AB125" s="22">
        <f t="shared" si="52"/>
        <v>1</v>
      </c>
      <c r="AC125" s="11"/>
      <c r="AD125" s="11"/>
      <c r="AE125" s="13"/>
      <c r="AF125" s="12"/>
      <c r="AG125" s="13"/>
      <c r="AH125" s="14"/>
      <c r="AI125" s="81" t="str">
        <f t="shared" si="53"/>
        <v/>
      </c>
      <c r="AJ125" s="15"/>
      <c r="AK125" s="6" t="e">
        <f t="shared" si="54"/>
        <v>#N/A</v>
      </c>
      <c r="AL125" s="6" t="str">
        <f>IF(AB126&lt;&gt;AB125,AVERAGEIF(AB$9:AB125,AB125,AK$9:AK125),"")</f>
        <v/>
      </c>
      <c r="AM125" s="7" t="str">
        <f>IFERROR(IF(AB126&lt;&gt;AB125,AVERAGEIF(AB$9:AB125,AB125,AT$9:AT125),""),"")</f>
        <v/>
      </c>
      <c r="AN125" s="7" t="str">
        <f>IFERROR(IF(AB126&lt;&gt;AB125,AVERAGEIF(AB$9:AB125,AB125,AU$9:AU125),""),"")</f>
        <v/>
      </c>
      <c r="AO125" s="7" t="str" cm="1">
        <f t="array" ref="AO125">IFERROR(IF(AB126&lt;&gt;AB125,_xlfn.STDEV.P(IF(AB$9:AB125=AB125,AU$9:AU125)),""),"")</f>
        <v/>
      </c>
      <c r="AP125" s="7" t="str" cm="1">
        <f t="array" ref="AP125">IFERROR(IF(AB126&lt;&gt;AB125,_xlfn.STDEV.P(IF(AB$9:AB125=AB125,AT$9:AT125)),""),"")</f>
        <v/>
      </c>
      <c r="AQ125" s="8" t="str">
        <f t="shared" si="55"/>
        <v/>
      </c>
      <c r="AR125" s="8" t="str">
        <f t="shared" si="56"/>
        <v/>
      </c>
      <c r="AS125" s="8" t="str">
        <f t="shared" si="57"/>
        <v/>
      </c>
      <c r="AT125" s="9" t="str">
        <f t="shared" si="58"/>
        <v/>
      </c>
      <c r="AU125" s="9" t="str">
        <f t="shared" si="59"/>
        <v/>
      </c>
      <c r="AV125" s="14"/>
      <c r="AW125" s="15"/>
      <c r="AX125" s="14" t="str">
        <f t="shared" si="60"/>
        <v/>
      </c>
      <c r="AY125" s="15"/>
      <c r="AZ125" s="23"/>
      <c r="EW125" t="s">
        <v>46</v>
      </c>
      <c r="EX125" s="33">
        <v>1122</v>
      </c>
      <c r="EY125" s="33" t="s">
        <v>384</v>
      </c>
      <c r="EZ125" s="33" t="s">
        <v>385</v>
      </c>
      <c r="FA125" s="33" t="s">
        <v>343</v>
      </c>
      <c r="FB125" s="33" t="s">
        <v>344</v>
      </c>
      <c r="FC125" s="33" t="s">
        <v>345</v>
      </c>
      <c r="FD125" s="33" t="s">
        <v>346</v>
      </c>
      <c r="FE125" s="33">
        <v>2025</v>
      </c>
      <c r="FF125" s="33" t="s">
        <v>59</v>
      </c>
      <c r="FG125" s="33" t="s">
        <v>386</v>
      </c>
      <c r="FH125" s="33" t="s">
        <v>387</v>
      </c>
      <c r="FI125" s="33" t="s">
        <v>58</v>
      </c>
      <c r="FJ125" t="s">
        <v>59</v>
      </c>
      <c r="FM125" s="32" t="s">
        <v>375</v>
      </c>
      <c r="FN125" t="s">
        <v>376</v>
      </c>
      <c r="FO125" t="s">
        <v>377</v>
      </c>
      <c r="FP125" t="str">
        <f t="shared" si="42"/>
        <v>B</v>
      </c>
      <c r="GU125" s="53">
        <v>122</v>
      </c>
      <c r="GV125" s="53">
        <v>119</v>
      </c>
    </row>
    <row r="126" spans="1:204" ht="15.5" x14ac:dyDescent="0.35">
      <c r="A126" s="95">
        <f t="shared" si="43"/>
        <v>1</v>
      </c>
      <c r="B126" s="11"/>
      <c r="C126" s="11"/>
      <c r="D126" s="92" t="str">
        <f>IFERROR(
IF(AND(OR(Planilla!B126="C",Planilla!B126="c"), VLOOKUP(E126,EX:FJ,13,0)="C"), "OK",IF(AND(OR(Planilla!B126="C",Planilla!B126="c"), OR(VLOOKUP(E126,EX:FJ,13,0)="B", VLOOKUP(E126,EX:FJ,13,0)="A")), "DEFICIT",IF(
AND(OR(Planilla!B126="B", Planilla!B126="BPAL"), VLOOKUP(E126,EX:FJ,13,0)="B"), "OK",IF(AND(OR(Planilla!B126="B", Planilla!B126="BPAL"), VLOOKUP(E126,EX:FJ,13,0)="A"), "DEFICIT",IF(AND(OR(Planilla!B126="B", Planilla!B126="BPAL"), VLOOKUP(E126,EX:FJ,13,0)="C"), "SOBREOFERTA",IF(AND(Planilla!B126="A", VLOOKUP(E126,EX:FJ,13,0)="A"), "OK",IF(
AND(Planilla!B126="A", OR(VLOOKUP(E126,EX:FJ,13,0)="B", VLOOKUP(E126,EX:FJ,13,0)="C")), "SOBREOFERTA",""
))))))),"")</f>
        <v/>
      </c>
      <c r="E126" s="12"/>
      <c r="F126" s="13"/>
      <c r="G126" s="14"/>
      <c r="H126" s="81" t="str">
        <f t="shared" si="44"/>
        <v/>
      </c>
      <c r="I126" s="7"/>
      <c r="J126" s="6" t="e">
        <f t="shared" si="45"/>
        <v>#N/A</v>
      </c>
      <c r="K126" s="6" t="str">
        <f>IF(A127&lt;&gt;A126,AVERAGEIF(A$9:A126,A126,J$9:J126),"")</f>
        <v/>
      </c>
      <c r="L126" s="7" t="str">
        <f>IFERROR(IF(A127&lt;&gt;A126,AVERAGEIF(A$9:A126,A126,S$9:S126),""),"")</f>
        <v/>
      </c>
      <c r="M126" s="7" t="str">
        <f>IFERROR(IF(A127&lt;&gt;A126,AVERAGEIF(A$9:A126,A126,T$9:T126),""),"")</f>
        <v/>
      </c>
      <c r="N126" s="7" t="str" cm="1">
        <f t="array" ref="N126">IFERROR(IF(A127&lt;&gt;A126,_xlfn.STDEV.P(IF(A$9:A126=A126,T$9:T126)),""),"")</f>
        <v/>
      </c>
      <c r="O126" s="7" t="str" cm="1">
        <f t="array" ref="O126">IFERROR(IF(A127&lt;&gt;A126,_xlfn.STDEV.P(IF(A$9:A126=A126,S$9:S126)),""),"")</f>
        <v/>
      </c>
      <c r="P126" s="8" t="str">
        <f t="shared" si="46"/>
        <v/>
      </c>
      <c r="Q126" s="8" t="str">
        <f t="shared" si="47"/>
        <v/>
      </c>
      <c r="R126" s="8" t="str">
        <f t="shared" si="48"/>
        <v/>
      </c>
      <c r="S126" s="9" t="str">
        <f t="shared" si="49"/>
        <v/>
      </c>
      <c r="T126" s="9" t="str">
        <f t="shared" si="50"/>
        <v/>
      </c>
      <c r="U126" s="14">
        <v>0.85902777777777772</v>
      </c>
      <c r="V126" s="15"/>
      <c r="W126" s="14" t="str">
        <f t="shared" si="51"/>
        <v/>
      </c>
      <c r="X126" s="15"/>
      <c r="Y126" s="2"/>
      <c r="AB126" s="22">
        <f t="shared" si="52"/>
        <v>1</v>
      </c>
      <c r="AC126" s="11"/>
      <c r="AD126" s="11"/>
      <c r="AE126" s="13"/>
      <c r="AF126" s="12"/>
      <c r="AG126" s="13"/>
      <c r="AH126" s="14"/>
      <c r="AI126" s="81" t="str">
        <f t="shared" si="53"/>
        <v/>
      </c>
      <c r="AJ126" s="15"/>
      <c r="AK126" s="6" t="e">
        <f t="shared" si="54"/>
        <v>#N/A</v>
      </c>
      <c r="AL126" s="6" t="str">
        <f>IF(AB127&lt;&gt;AB126,AVERAGEIF(AB$9:AB126,AB126,AK$9:AK126),"")</f>
        <v/>
      </c>
      <c r="AM126" s="7" t="str">
        <f>IFERROR(IF(AB127&lt;&gt;AB126,AVERAGEIF(AB$9:AB126,AB126,AT$9:AT126),""),"")</f>
        <v/>
      </c>
      <c r="AN126" s="7" t="str">
        <f>IFERROR(IF(AB127&lt;&gt;AB126,AVERAGEIF(AB$9:AB126,AB126,AU$9:AU126),""),"")</f>
        <v/>
      </c>
      <c r="AO126" s="7" t="str" cm="1">
        <f t="array" ref="AO126">IFERROR(IF(AB127&lt;&gt;AB126,_xlfn.STDEV.P(IF(AB$9:AB126=AB126,AU$9:AU126)),""),"")</f>
        <v/>
      </c>
      <c r="AP126" s="7" t="str" cm="1">
        <f t="array" ref="AP126">IFERROR(IF(AB127&lt;&gt;AB126,_xlfn.STDEV.P(IF(AB$9:AB126=AB126,AT$9:AT126)),""),"")</f>
        <v/>
      </c>
      <c r="AQ126" s="8" t="str">
        <f t="shared" si="55"/>
        <v/>
      </c>
      <c r="AR126" s="8" t="str">
        <f t="shared" si="56"/>
        <v/>
      </c>
      <c r="AS126" s="8" t="str">
        <f t="shared" si="57"/>
        <v/>
      </c>
      <c r="AT126" s="9" t="str">
        <f t="shared" si="58"/>
        <v/>
      </c>
      <c r="AU126" s="9" t="str">
        <f t="shared" si="59"/>
        <v/>
      </c>
      <c r="AV126" s="14"/>
      <c r="AW126" s="15"/>
      <c r="AX126" s="14" t="str">
        <f t="shared" si="60"/>
        <v/>
      </c>
      <c r="AY126" s="15"/>
      <c r="AZ126" s="23"/>
      <c r="EW126" t="s">
        <v>46</v>
      </c>
      <c r="EX126" s="33">
        <v>1123</v>
      </c>
      <c r="EY126" s="33" t="s">
        <v>388</v>
      </c>
      <c r="EZ126" s="33" t="s">
        <v>389</v>
      </c>
      <c r="FA126" s="33" t="s">
        <v>343</v>
      </c>
      <c r="FB126" s="33" t="s">
        <v>344</v>
      </c>
      <c r="FC126" s="33" t="s">
        <v>345</v>
      </c>
      <c r="FD126" s="33" t="s">
        <v>346</v>
      </c>
      <c r="FE126" s="33">
        <v>2025</v>
      </c>
      <c r="FF126" s="33" t="s">
        <v>59</v>
      </c>
      <c r="FG126" s="33" t="s">
        <v>56</v>
      </c>
      <c r="FH126" s="33" t="s">
        <v>57</v>
      </c>
      <c r="FI126" s="33" t="s">
        <v>58</v>
      </c>
      <c r="FJ126" t="s">
        <v>59</v>
      </c>
      <c r="FM126" s="32" t="s">
        <v>375</v>
      </c>
      <c r="FN126" t="s">
        <v>376</v>
      </c>
      <c r="FO126" t="s">
        <v>377</v>
      </c>
      <c r="FP126" t="str">
        <f t="shared" si="42"/>
        <v>B</v>
      </c>
      <c r="GU126" s="53">
        <v>123</v>
      </c>
      <c r="GV126" s="53">
        <v>120</v>
      </c>
    </row>
    <row r="127" spans="1:204" ht="15.5" x14ac:dyDescent="0.35">
      <c r="A127" s="95">
        <f t="shared" si="43"/>
        <v>1</v>
      </c>
      <c r="B127" s="11"/>
      <c r="C127" s="11"/>
      <c r="D127" s="92" t="str">
        <f>IFERROR(
IF(AND(OR(Planilla!B127="C",Planilla!B127="c"), VLOOKUP(E127,EX:FJ,13,0)="C"), "OK",IF(AND(OR(Planilla!B127="C",Planilla!B127="c"), OR(VLOOKUP(E127,EX:FJ,13,0)="B", VLOOKUP(E127,EX:FJ,13,0)="A")), "DEFICIT",IF(
AND(OR(Planilla!B127="B", Planilla!B127="BPAL"), VLOOKUP(E127,EX:FJ,13,0)="B"), "OK",IF(AND(OR(Planilla!B127="B", Planilla!B127="BPAL"), VLOOKUP(E127,EX:FJ,13,0)="A"), "DEFICIT",IF(AND(OR(Planilla!B127="B", Planilla!B127="BPAL"), VLOOKUP(E127,EX:FJ,13,0)="C"), "SOBREOFERTA",IF(AND(Planilla!B127="A", VLOOKUP(E127,EX:FJ,13,0)="A"), "OK",IF(
AND(Planilla!B127="A", OR(VLOOKUP(E127,EX:FJ,13,0)="B", VLOOKUP(E127,EX:FJ,13,0)="C")), "SOBREOFERTA",""
))))))),"")</f>
        <v/>
      </c>
      <c r="E127" s="12"/>
      <c r="F127" s="13"/>
      <c r="G127" s="14"/>
      <c r="H127" s="81" t="str">
        <f t="shared" si="44"/>
        <v/>
      </c>
      <c r="I127" s="7"/>
      <c r="J127" s="6" t="e">
        <f t="shared" si="45"/>
        <v>#N/A</v>
      </c>
      <c r="K127" s="6" t="str">
        <f>IF(A128&lt;&gt;A127,AVERAGEIF(A$9:A127,A127,J$9:J127),"")</f>
        <v/>
      </c>
      <c r="L127" s="7" t="str">
        <f>IFERROR(IF(A128&lt;&gt;A127,AVERAGEIF(A$9:A127,A127,S$9:S127),""),"")</f>
        <v/>
      </c>
      <c r="M127" s="7" t="str">
        <f>IFERROR(IF(A128&lt;&gt;A127,AVERAGEIF(A$9:A127,A127,T$9:T127),""),"")</f>
        <v/>
      </c>
      <c r="N127" s="7" t="str" cm="1">
        <f t="array" ref="N127">IFERROR(IF(A128&lt;&gt;A127,_xlfn.STDEV.P(IF(A$9:A127=A127,T$9:T127)),""),"")</f>
        <v/>
      </c>
      <c r="O127" s="7" t="str" cm="1">
        <f t="array" ref="O127">IFERROR(IF(A128&lt;&gt;A127,_xlfn.STDEV.P(IF(A$9:A127=A127,S$9:S127)),""),"")</f>
        <v/>
      </c>
      <c r="P127" s="8" t="str">
        <f t="shared" si="46"/>
        <v/>
      </c>
      <c r="Q127" s="8" t="str">
        <f t="shared" si="47"/>
        <v/>
      </c>
      <c r="R127" s="8" t="str">
        <f t="shared" si="48"/>
        <v/>
      </c>
      <c r="S127" s="9" t="str">
        <f t="shared" si="49"/>
        <v/>
      </c>
      <c r="T127" s="9" t="str">
        <f t="shared" si="50"/>
        <v/>
      </c>
      <c r="U127" s="14">
        <v>0.86041666666666672</v>
      </c>
      <c r="V127" s="15"/>
      <c r="W127" s="14" t="str">
        <f t="shared" si="51"/>
        <v/>
      </c>
      <c r="X127" s="15"/>
      <c r="Y127" s="2"/>
      <c r="AB127" s="22">
        <f t="shared" si="52"/>
        <v>1</v>
      </c>
      <c r="AC127" s="11"/>
      <c r="AD127" s="11"/>
      <c r="AE127" s="13"/>
      <c r="AF127" s="12"/>
      <c r="AG127" s="13"/>
      <c r="AH127" s="14"/>
      <c r="AI127" s="81" t="str">
        <f t="shared" si="53"/>
        <v/>
      </c>
      <c r="AJ127" s="15"/>
      <c r="AK127" s="6" t="e">
        <f t="shared" si="54"/>
        <v>#N/A</v>
      </c>
      <c r="AL127" s="6" t="str">
        <f>IF(AB128&lt;&gt;AB127,AVERAGEIF(AB$9:AB127,AB127,AK$9:AK127),"")</f>
        <v/>
      </c>
      <c r="AM127" s="7" t="str">
        <f>IFERROR(IF(AB128&lt;&gt;AB127,AVERAGEIF(AB$9:AB127,AB127,AT$9:AT127),""),"")</f>
        <v/>
      </c>
      <c r="AN127" s="7" t="str">
        <f>IFERROR(IF(AB128&lt;&gt;AB127,AVERAGEIF(AB$9:AB127,AB127,AU$9:AU127),""),"")</f>
        <v/>
      </c>
      <c r="AO127" s="7" t="str" cm="1">
        <f t="array" ref="AO127">IFERROR(IF(AB128&lt;&gt;AB127,_xlfn.STDEV.P(IF(AB$9:AB127=AB127,AU$9:AU127)),""),"")</f>
        <v/>
      </c>
      <c r="AP127" s="7" t="str" cm="1">
        <f t="array" ref="AP127">IFERROR(IF(AB128&lt;&gt;AB127,_xlfn.STDEV.P(IF(AB$9:AB127=AB127,AT$9:AT127)),""),"")</f>
        <v/>
      </c>
      <c r="AQ127" s="8" t="str">
        <f t="shared" si="55"/>
        <v/>
      </c>
      <c r="AR127" s="8" t="str">
        <f t="shared" si="56"/>
        <v/>
      </c>
      <c r="AS127" s="8" t="str">
        <f t="shared" si="57"/>
        <v/>
      </c>
      <c r="AT127" s="9" t="str">
        <f t="shared" si="58"/>
        <v/>
      </c>
      <c r="AU127" s="9" t="str">
        <f t="shared" si="59"/>
        <v/>
      </c>
      <c r="AV127" s="14"/>
      <c r="AW127" s="15"/>
      <c r="AX127" s="14" t="str">
        <f t="shared" si="60"/>
        <v/>
      </c>
      <c r="AY127" s="15"/>
      <c r="AZ127" s="23"/>
      <c r="EW127" t="s">
        <v>46</v>
      </c>
      <c r="EX127" s="33">
        <v>1124</v>
      </c>
      <c r="EY127" s="33" t="s">
        <v>390</v>
      </c>
      <c r="EZ127" s="33" t="s">
        <v>391</v>
      </c>
      <c r="FA127" s="33" t="s">
        <v>343</v>
      </c>
      <c r="FB127" s="33" t="s">
        <v>344</v>
      </c>
      <c r="FC127" s="33" t="s">
        <v>345</v>
      </c>
      <c r="FD127" s="33" t="s">
        <v>346</v>
      </c>
      <c r="FE127" s="33">
        <v>2025</v>
      </c>
      <c r="FF127" s="33" t="s">
        <v>59</v>
      </c>
      <c r="FG127" s="33" t="s">
        <v>56</v>
      </c>
      <c r="FH127" s="33" t="s">
        <v>57</v>
      </c>
      <c r="FI127" s="33" t="s">
        <v>58</v>
      </c>
      <c r="FJ127" t="s">
        <v>59</v>
      </c>
      <c r="FM127" s="32" t="s">
        <v>375</v>
      </c>
      <c r="FN127" t="s">
        <v>376</v>
      </c>
      <c r="FO127" t="s">
        <v>377</v>
      </c>
      <c r="FP127" t="str">
        <f t="shared" si="42"/>
        <v>B</v>
      </c>
      <c r="GU127" s="53">
        <v>124</v>
      </c>
      <c r="GV127" s="53">
        <v>121</v>
      </c>
    </row>
    <row r="128" spans="1:204" ht="15.5" x14ac:dyDescent="0.35">
      <c r="A128" s="95">
        <f t="shared" si="43"/>
        <v>1</v>
      </c>
      <c r="B128" s="11"/>
      <c r="C128" s="11"/>
      <c r="D128" s="92" t="str">
        <f>IFERROR(
IF(AND(OR(Planilla!B128="C",Planilla!B128="c"), VLOOKUP(E128,EX:FJ,13,0)="C"), "OK",IF(AND(OR(Planilla!B128="C",Planilla!B128="c"), OR(VLOOKUP(E128,EX:FJ,13,0)="B", VLOOKUP(E128,EX:FJ,13,0)="A")), "DEFICIT",IF(
AND(OR(Planilla!B128="B", Planilla!B128="BPAL"), VLOOKUP(E128,EX:FJ,13,0)="B"), "OK",IF(AND(OR(Planilla!B128="B", Planilla!B128="BPAL"), VLOOKUP(E128,EX:FJ,13,0)="A"), "DEFICIT",IF(AND(OR(Planilla!B128="B", Planilla!B128="BPAL"), VLOOKUP(E128,EX:FJ,13,0)="C"), "SOBREOFERTA",IF(AND(Planilla!B128="A", VLOOKUP(E128,EX:FJ,13,0)="A"), "OK",IF(
AND(Planilla!B128="A", OR(VLOOKUP(E128,EX:FJ,13,0)="B", VLOOKUP(E128,EX:FJ,13,0)="C")), "SOBREOFERTA",""
))))))),"")</f>
        <v/>
      </c>
      <c r="E128" s="12"/>
      <c r="F128" s="13"/>
      <c r="G128" s="14"/>
      <c r="H128" s="81" t="str">
        <f t="shared" si="44"/>
        <v/>
      </c>
      <c r="I128" s="7"/>
      <c r="J128" s="6" t="e">
        <f t="shared" si="45"/>
        <v>#N/A</v>
      </c>
      <c r="K128" s="6" t="str">
        <f>IF(A129&lt;&gt;A128,AVERAGEIF(A$9:A128,A128,J$9:J128),"")</f>
        <v/>
      </c>
      <c r="L128" s="7" t="str">
        <f>IFERROR(IF(A129&lt;&gt;A128,AVERAGEIF(A$9:A128,A128,S$9:S128),""),"")</f>
        <v/>
      </c>
      <c r="M128" s="7" t="str">
        <f>IFERROR(IF(A129&lt;&gt;A128,AVERAGEIF(A$9:A128,A128,T$9:T128),""),"")</f>
        <v/>
      </c>
      <c r="N128" s="7" t="str" cm="1">
        <f t="array" ref="N128">IFERROR(IF(A129&lt;&gt;A128,_xlfn.STDEV.P(IF(A$9:A128=A128,T$9:T128)),""),"")</f>
        <v/>
      </c>
      <c r="O128" s="7" t="str" cm="1">
        <f t="array" ref="O128">IFERROR(IF(A129&lt;&gt;A128,_xlfn.STDEV.P(IF(A$9:A128=A128,S$9:S128)),""),"")</f>
        <v/>
      </c>
      <c r="P128" s="8" t="str">
        <f t="shared" si="46"/>
        <v/>
      </c>
      <c r="Q128" s="8" t="str">
        <f t="shared" si="47"/>
        <v/>
      </c>
      <c r="R128" s="8" t="str">
        <f t="shared" si="48"/>
        <v/>
      </c>
      <c r="S128" s="9" t="str">
        <f t="shared" si="49"/>
        <v/>
      </c>
      <c r="T128" s="9" t="str">
        <f t="shared" si="50"/>
        <v/>
      </c>
      <c r="U128" s="14">
        <v>0.86736111111111114</v>
      </c>
      <c r="V128" s="15"/>
      <c r="W128" s="14" t="str">
        <f t="shared" si="51"/>
        <v/>
      </c>
      <c r="X128" s="15"/>
      <c r="Y128" s="2"/>
      <c r="AB128" s="22">
        <f t="shared" si="52"/>
        <v>1</v>
      </c>
      <c r="AC128" s="11"/>
      <c r="AD128" s="11"/>
      <c r="AE128" s="13"/>
      <c r="AF128" s="12"/>
      <c r="AG128" s="13"/>
      <c r="AH128" s="14"/>
      <c r="AI128" s="81" t="str">
        <f t="shared" si="53"/>
        <v/>
      </c>
      <c r="AJ128" s="15"/>
      <c r="AK128" s="6" t="e">
        <f t="shared" si="54"/>
        <v>#N/A</v>
      </c>
      <c r="AL128" s="6" t="str">
        <f>IF(AB129&lt;&gt;AB128,AVERAGEIF(AB$9:AB128,AB128,AK$9:AK128),"")</f>
        <v/>
      </c>
      <c r="AM128" s="7" t="str">
        <f>IFERROR(IF(AB129&lt;&gt;AB128,AVERAGEIF(AB$9:AB128,AB128,AT$9:AT128),""),"")</f>
        <v/>
      </c>
      <c r="AN128" s="7" t="str">
        <f>IFERROR(IF(AB129&lt;&gt;AB128,AVERAGEIF(AB$9:AB128,AB128,AU$9:AU128),""),"")</f>
        <v/>
      </c>
      <c r="AO128" s="7" t="str" cm="1">
        <f t="array" ref="AO128">IFERROR(IF(AB129&lt;&gt;AB128,_xlfn.STDEV.P(IF(AB$9:AB128=AB128,AU$9:AU128)),""),"")</f>
        <v/>
      </c>
      <c r="AP128" s="7" t="str" cm="1">
        <f t="array" ref="AP128">IFERROR(IF(AB129&lt;&gt;AB128,_xlfn.STDEV.P(IF(AB$9:AB128=AB128,AT$9:AT128)),""),"")</f>
        <v/>
      </c>
      <c r="AQ128" s="8" t="str">
        <f t="shared" si="55"/>
        <v/>
      </c>
      <c r="AR128" s="8" t="str">
        <f t="shared" si="56"/>
        <v/>
      </c>
      <c r="AS128" s="8" t="str">
        <f t="shared" si="57"/>
        <v/>
      </c>
      <c r="AT128" s="9" t="str">
        <f t="shared" si="58"/>
        <v/>
      </c>
      <c r="AU128" s="9" t="str">
        <f t="shared" si="59"/>
        <v/>
      </c>
      <c r="AV128" s="14"/>
      <c r="AW128" s="15"/>
      <c r="AX128" s="14" t="str">
        <f t="shared" si="60"/>
        <v/>
      </c>
      <c r="AY128" s="15"/>
      <c r="AZ128" s="23"/>
      <c r="EW128" t="s">
        <v>46</v>
      </c>
      <c r="EX128" s="33">
        <v>1125</v>
      </c>
      <c r="EY128" s="33" t="s">
        <v>392</v>
      </c>
      <c r="EZ128" s="33" t="s">
        <v>393</v>
      </c>
      <c r="FA128" s="33" t="s">
        <v>343</v>
      </c>
      <c r="FB128" s="33" t="s">
        <v>344</v>
      </c>
      <c r="FC128" s="33" t="s">
        <v>345</v>
      </c>
      <c r="FD128" s="33" t="s">
        <v>346</v>
      </c>
      <c r="FE128" s="33">
        <v>2025</v>
      </c>
      <c r="FF128" s="33" t="s">
        <v>59</v>
      </c>
      <c r="FG128" s="33" t="s">
        <v>56</v>
      </c>
      <c r="FH128" s="33" t="s">
        <v>57</v>
      </c>
      <c r="FI128" s="33" t="s">
        <v>58</v>
      </c>
      <c r="FJ128" t="s">
        <v>59</v>
      </c>
      <c r="FM128" s="32" t="s">
        <v>375</v>
      </c>
      <c r="FN128" t="s">
        <v>376</v>
      </c>
      <c r="FO128" t="s">
        <v>377</v>
      </c>
      <c r="FP128" t="str">
        <f t="shared" si="42"/>
        <v>B</v>
      </c>
      <c r="GU128" s="53">
        <v>125</v>
      </c>
      <c r="GV128" s="53">
        <v>122</v>
      </c>
    </row>
    <row r="129" spans="1:204" ht="15.5" x14ac:dyDescent="0.35">
      <c r="A129" s="95">
        <f t="shared" si="43"/>
        <v>1</v>
      </c>
      <c r="B129" s="11"/>
      <c r="C129" s="11"/>
      <c r="D129" s="92" t="str">
        <f>IFERROR(
IF(AND(OR(Planilla!B129="C",Planilla!B129="c"), VLOOKUP(E129,EX:FJ,13,0)="C"), "OK",IF(AND(OR(Planilla!B129="C",Planilla!B129="c"), OR(VLOOKUP(E129,EX:FJ,13,0)="B", VLOOKUP(E129,EX:FJ,13,0)="A")), "DEFICIT",IF(
AND(OR(Planilla!B129="B", Planilla!B129="BPAL"), VLOOKUP(E129,EX:FJ,13,0)="B"), "OK",IF(AND(OR(Planilla!B129="B", Planilla!B129="BPAL"), VLOOKUP(E129,EX:FJ,13,0)="A"), "DEFICIT",IF(AND(OR(Planilla!B129="B", Planilla!B129="BPAL"), VLOOKUP(E129,EX:FJ,13,0)="C"), "SOBREOFERTA",IF(AND(Planilla!B129="A", VLOOKUP(E129,EX:FJ,13,0)="A"), "OK",IF(
AND(Planilla!B129="A", OR(VLOOKUP(E129,EX:FJ,13,0)="B", VLOOKUP(E129,EX:FJ,13,0)="C")), "SOBREOFERTA",""
))))))),"")</f>
        <v/>
      </c>
      <c r="E129" s="12"/>
      <c r="F129" s="13"/>
      <c r="G129" s="14"/>
      <c r="H129" s="81" t="str">
        <f t="shared" si="44"/>
        <v/>
      </c>
      <c r="I129" s="7"/>
      <c r="J129" s="6" t="e">
        <f t="shared" si="45"/>
        <v>#N/A</v>
      </c>
      <c r="K129" s="6" t="str">
        <f>IF(A130&lt;&gt;A129,AVERAGEIF(A$9:A129,A129,J$9:J129),"")</f>
        <v/>
      </c>
      <c r="L129" s="7" t="str">
        <f>IFERROR(IF(A130&lt;&gt;A129,AVERAGEIF(A$9:A129,A129,S$9:S129),""),"")</f>
        <v/>
      </c>
      <c r="M129" s="7" t="str">
        <f>IFERROR(IF(A130&lt;&gt;A129,AVERAGEIF(A$9:A129,A129,T$9:T129),""),"")</f>
        <v/>
      </c>
      <c r="N129" s="7" t="str" cm="1">
        <f t="array" ref="N129">IFERROR(IF(A130&lt;&gt;A129,_xlfn.STDEV.P(IF(A$9:A129=A129,T$9:T129)),""),"")</f>
        <v/>
      </c>
      <c r="O129" s="7" t="str" cm="1">
        <f t="array" ref="O129">IFERROR(IF(A130&lt;&gt;A129,_xlfn.STDEV.P(IF(A$9:A129=A129,S$9:S129)),""),"")</f>
        <v/>
      </c>
      <c r="P129" s="8" t="str">
        <f t="shared" si="46"/>
        <v/>
      </c>
      <c r="Q129" s="8" t="str">
        <f t="shared" si="47"/>
        <v/>
      </c>
      <c r="R129" s="8" t="str">
        <f t="shared" si="48"/>
        <v/>
      </c>
      <c r="S129" s="9" t="str">
        <f t="shared" si="49"/>
        <v/>
      </c>
      <c r="T129" s="9" t="str">
        <f t="shared" si="50"/>
        <v/>
      </c>
      <c r="U129" s="14">
        <v>0.87430555555555556</v>
      </c>
      <c r="V129" s="15"/>
      <c r="W129" s="14" t="str">
        <f t="shared" si="51"/>
        <v/>
      </c>
      <c r="X129" s="15"/>
      <c r="Y129" s="2"/>
      <c r="AB129" s="22">
        <f t="shared" si="52"/>
        <v>1</v>
      </c>
      <c r="AC129" s="11"/>
      <c r="AD129" s="11"/>
      <c r="AE129" s="13"/>
      <c r="AF129" s="12"/>
      <c r="AG129" s="13"/>
      <c r="AH129" s="14"/>
      <c r="AI129" s="81" t="str">
        <f t="shared" si="53"/>
        <v/>
      </c>
      <c r="AJ129" s="15"/>
      <c r="AK129" s="6" t="e">
        <f t="shared" si="54"/>
        <v>#N/A</v>
      </c>
      <c r="AL129" s="6" t="str">
        <f>IF(AB130&lt;&gt;AB129,AVERAGEIF(AB$9:AB129,AB129,AK$9:AK129),"")</f>
        <v/>
      </c>
      <c r="AM129" s="7" t="str">
        <f>IFERROR(IF(AB130&lt;&gt;AB129,AVERAGEIF(AB$9:AB129,AB129,AT$9:AT129),""),"")</f>
        <v/>
      </c>
      <c r="AN129" s="7" t="str">
        <f>IFERROR(IF(AB130&lt;&gt;AB129,AVERAGEIF(AB$9:AB129,AB129,AU$9:AU129),""),"")</f>
        <v/>
      </c>
      <c r="AO129" s="7" t="str" cm="1">
        <f t="array" ref="AO129">IFERROR(IF(AB130&lt;&gt;AB129,_xlfn.STDEV.P(IF(AB$9:AB129=AB129,AU$9:AU129)),""),"")</f>
        <v/>
      </c>
      <c r="AP129" s="7" t="str" cm="1">
        <f t="array" ref="AP129">IFERROR(IF(AB130&lt;&gt;AB129,_xlfn.STDEV.P(IF(AB$9:AB129=AB129,AT$9:AT129)),""),"")</f>
        <v/>
      </c>
      <c r="AQ129" s="8" t="str">
        <f t="shared" si="55"/>
        <v/>
      </c>
      <c r="AR129" s="8" t="str">
        <f t="shared" si="56"/>
        <v/>
      </c>
      <c r="AS129" s="8" t="str">
        <f t="shared" si="57"/>
        <v/>
      </c>
      <c r="AT129" s="9" t="str">
        <f t="shared" si="58"/>
        <v/>
      </c>
      <c r="AU129" s="9" t="str">
        <f t="shared" si="59"/>
        <v/>
      </c>
      <c r="AV129" s="14"/>
      <c r="AW129" s="15"/>
      <c r="AX129" s="14" t="str">
        <f t="shared" si="60"/>
        <v/>
      </c>
      <c r="AY129" s="15"/>
      <c r="AZ129" s="23"/>
      <c r="EW129" t="s">
        <v>46</v>
      </c>
      <c r="EX129" s="33">
        <v>1126</v>
      </c>
      <c r="EY129" s="33" t="s">
        <v>394</v>
      </c>
      <c r="EZ129" s="33" t="s">
        <v>395</v>
      </c>
      <c r="FA129" s="33" t="s">
        <v>343</v>
      </c>
      <c r="FB129" s="33" t="s">
        <v>344</v>
      </c>
      <c r="FC129" s="33" t="s">
        <v>345</v>
      </c>
      <c r="FD129" s="33" t="s">
        <v>346</v>
      </c>
      <c r="FE129" s="33">
        <v>2025</v>
      </c>
      <c r="FF129" s="33" t="s">
        <v>59</v>
      </c>
      <c r="FG129" s="33" t="s">
        <v>71</v>
      </c>
      <c r="FH129" s="33" t="s">
        <v>72</v>
      </c>
      <c r="FI129" s="33" t="s">
        <v>73</v>
      </c>
      <c r="FJ129" t="s">
        <v>59</v>
      </c>
      <c r="FM129" s="32" t="s">
        <v>396</v>
      </c>
      <c r="FN129" t="s">
        <v>397</v>
      </c>
      <c r="FO129" t="s">
        <v>398</v>
      </c>
      <c r="FP129" t="str">
        <f t="shared" ref="FP129:FP192" si="61">VLOOKUP(FO129,EX:FF,9,0)</f>
        <v>B</v>
      </c>
      <c r="GU129" s="53">
        <v>126</v>
      </c>
      <c r="GV129" s="53">
        <v>123</v>
      </c>
    </row>
    <row r="130" spans="1:204" ht="15.5" x14ac:dyDescent="0.35">
      <c r="A130" s="95">
        <f t="shared" si="43"/>
        <v>1</v>
      </c>
      <c r="B130" s="11"/>
      <c r="C130" s="11"/>
      <c r="D130" s="92" t="str">
        <f>IFERROR(
IF(AND(OR(Planilla!B130="C",Planilla!B130="c"), VLOOKUP(E130,EX:FJ,13,0)="C"), "OK",IF(AND(OR(Planilla!B130="C",Planilla!B130="c"), OR(VLOOKUP(E130,EX:FJ,13,0)="B", VLOOKUP(E130,EX:FJ,13,0)="A")), "DEFICIT",IF(
AND(OR(Planilla!B130="B", Planilla!B130="BPAL"), VLOOKUP(E130,EX:FJ,13,0)="B"), "OK",IF(AND(OR(Planilla!B130="B", Planilla!B130="BPAL"), VLOOKUP(E130,EX:FJ,13,0)="A"), "DEFICIT",IF(AND(OR(Planilla!B130="B", Planilla!B130="BPAL"), VLOOKUP(E130,EX:FJ,13,0)="C"), "SOBREOFERTA",IF(AND(Planilla!B130="A", VLOOKUP(E130,EX:FJ,13,0)="A"), "OK",IF(
AND(Planilla!B130="A", OR(VLOOKUP(E130,EX:FJ,13,0)="B", VLOOKUP(E130,EX:FJ,13,0)="C")), "SOBREOFERTA",""
))))))),"")</f>
        <v/>
      </c>
      <c r="E130" s="12"/>
      <c r="F130" s="13"/>
      <c r="G130" s="14"/>
      <c r="H130" s="81" t="str">
        <f t="shared" si="44"/>
        <v/>
      </c>
      <c r="I130" s="7"/>
      <c r="J130" s="6" t="e">
        <f t="shared" si="45"/>
        <v>#N/A</v>
      </c>
      <c r="K130" s="6" t="str">
        <f>IF(A131&lt;&gt;A130,AVERAGEIF(A$9:A130,A130,J$9:J130),"")</f>
        <v/>
      </c>
      <c r="L130" s="7" t="str">
        <f>IFERROR(IF(A131&lt;&gt;A130,AVERAGEIF(A$9:A130,A130,S$9:S130),""),"")</f>
        <v/>
      </c>
      <c r="M130" s="7" t="str">
        <f>IFERROR(IF(A131&lt;&gt;A130,AVERAGEIF(A$9:A130,A130,T$9:T130),""),"")</f>
        <v/>
      </c>
      <c r="N130" s="7" t="str" cm="1">
        <f t="array" ref="N130">IFERROR(IF(A131&lt;&gt;A130,_xlfn.STDEV.P(IF(A$9:A130=A130,T$9:T130)),""),"")</f>
        <v/>
      </c>
      <c r="O130" s="7" t="str" cm="1">
        <f t="array" ref="O130">IFERROR(IF(A131&lt;&gt;A130,_xlfn.STDEV.P(IF(A$9:A130=A130,S$9:S130)),""),"")</f>
        <v/>
      </c>
      <c r="P130" s="8" t="str">
        <f t="shared" si="46"/>
        <v/>
      </c>
      <c r="Q130" s="8" t="str">
        <f t="shared" si="47"/>
        <v/>
      </c>
      <c r="R130" s="8" t="str">
        <f t="shared" si="48"/>
        <v/>
      </c>
      <c r="S130" s="9" t="str">
        <f t="shared" si="49"/>
        <v/>
      </c>
      <c r="T130" s="9" t="str">
        <f t="shared" si="50"/>
        <v/>
      </c>
      <c r="U130" s="14">
        <v>0.87708333333333333</v>
      </c>
      <c r="V130" s="15"/>
      <c r="W130" s="14" t="str">
        <f t="shared" si="51"/>
        <v/>
      </c>
      <c r="X130" s="15"/>
      <c r="Y130" s="2"/>
      <c r="AB130" s="22">
        <f t="shared" si="52"/>
        <v>1</v>
      </c>
      <c r="AC130" s="11"/>
      <c r="AD130" s="11"/>
      <c r="AE130" s="13"/>
      <c r="AF130" s="12"/>
      <c r="AG130" s="13"/>
      <c r="AH130" s="14"/>
      <c r="AI130" s="81" t="str">
        <f t="shared" si="53"/>
        <v/>
      </c>
      <c r="AJ130" s="15"/>
      <c r="AK130" s="6" t="e">
        <f t="shared" si="54"/>
        <v>#N/A</v>
      </c>
      <c r="AL130" s="6" t="str">
        <f>IF(AB131&lt;&gt;AB130,AVERAGEIF(AB$9:AB130,AB130,AK$9:AK130),"")</f>
        <v/>
      </c>
      <c r="AM130" s="7" t="str">
        <f>IFERROR(IF(AB131&lt;&gt;AB130,AVERAGEIF(AB$9:AB130,AB130,AT$9:AT130),""),"")</f>
        <v/>
      </c>
      <c r="AN130" s="7" t="str">
        <f>IFERROR(IF(AB131&lt;&gt;AB130,AVERAGEIF(AB$9:AB130,AB130,AU$9:AU130),""),"")</f>
        <v/>
      </c>
      <c r="AO130" s="7" t="str" cm="1">
        <f t="array" ref="AO130">IFERROR(IF(AB131&lt;&gt;AB130,_xlfn.STDEV.P(IF(AB$9:AB130=AB130,AU$9:AU130)),""),"")</f>
        <v/>
      </c>
      <c r="AP130" s="7" t="str" cm="1">
        <f t="array" ref="AP130">IFERROR(IF(AB131&lt;&gt;AB130,_xlfn.STDEV.P(IF(AB$9:AB130=AB130,AT$9:AT130)),""),"")</f>
        <v/>
      </c>
      <c r="AQ130" s="8" t="str">
        <f t="shared" si="55"/>
        <v/>
      </c>
      <c r="AR130" s="8" t="str">
        <f t="shared" si="56"/>
        <v/>
      </c>
      <c r="AS130" s="8" t="str">
        <f t="shared" si="57"/>
        <v/>
      </c>
      <c r="AT130" s="9" t="str">
        <f t="shared" si="58"/>
        <v/>
      </c>
      <c r="AU130" s="9" t="str">
        <f t="shared" si="59"/>
        <v/>
      </c>
      <c r="AV130" s="14"/>
      <c r="AW130" s="15"/>
      <c r="AX130" s="14" t="str">
        <f t="shared" si="60"/>
        <v/>
      </c>
      <c r="AY130" s="15"/>
      <c r="AZ130" s="23"/>
      <c r="EW130" t="s">
        <v>46</v>
      </c>
      <c r="EX130" s="33">
        <v>1127</v>
      </c>
      <c r="EY130" s="33" t="s">
        <v>399</v>
      </c>
      <c r="EZ130" s="33" t="s">
        <v>400</v>
      </c>
      <c r="FA130" s="33" t="s">
        <v>343</v>
      </c>
      <c r="FB130" s="33" t="s">
        <v>344</v>
      </c>
      <c r="FC130" s="33" t="s">
        <v>345</v>
      </c>
      <c r="FD130" s="33" t="s">
        <v>346</v>
      </c>
      <c r="FE130" s="33">
        <v>2025</v>
      </c>
      <c r="FF130" s="33" t="s">
        <v>59</v>
      </c>
      <c r="FG130" s="33" t="s">
        <v>71</v>
      </c>
      <c r="FH130" s="33" t="s">
        <v>72</v>
      </c>
      <c r="FI130" s="33" t="s">
        <v>73</v>
      </c>
      <c r="FJ130" t="s">
        <v>59</v>
      </c>
      <c r="FM130" s="32" t="s">
        <v>396</v>
      </c>
      <c r="FN130" t="s">
        <v>397</v>
      </c>
      <c r="FO130" t="s">
        <v>398</v>
      </c>
      <c r="FP130" t="str">
        <f t="shared" si="61"/>
        <v>B</v>
      </c>
      <c r="GU130" s="53">
        <v>127</v>
      </c>
      <c r="GV130" s="53">
        <v>124</v>
      </c>
    </row>
    <row r="131" spans="1:204" ht="15.5" x14ac:dyDescent="0.35">
      <c r="A131" s="95">
        <f t="shared" si="43"/>
        <v>1</v>
      </c>
      <c r="B131" s="11"/>
      <c r="C131" s="11"/>
      <c r="D131" s="92" t="str">
        <f>IFERROR(
IF(AND(OR(Planilla!B131="C",Planilla!B131="c"), VLOOKUP(E131,EX:FJ,13,0)="C"), "OK",IF(AND(OR(Planilla!B131="C",Planilla!B131="c"), OR(VLOOKUP(E131,EX:FJ,13,0)="B", VLOOKUP(E131,EX:FJ,13,0)="A")), "DEFICIT",IF(
AND(OR(Planilla!B131="B", Planilla!B131="BPAL"), VLOOKUP(E131,EX:FJ,13,0)="B"), "OK",IF(AND(OR(Planilla!B131="B", Planilla!B131="BPAL"), VLOOKUP(E131,EX:FJ,13,0)="A"), "DEFICIT",IF(AND(OR(Planilla!B131="B", Planilla!B131="BPAL"), VLOOKUP(E131,EX:FJ,13,0)="C"), "SOBREOFERTA",IF(AND(Planilla!B131="A", VLOOKUP(E131,EX:FJ,13,0)="A"), "OK",IF(
AND(Planilla!B131="A", OR(VLOOKUP(E131,EX:FJ,13,0)="B", VLOOKUP(E131,EX:FJ,13,0)="C")), "SOBREOFERTA",""
))))))),"")</f>
        <v/>
      </c>
      <c r="E131" s="12"/>
      <c r="F131" s="13"/>
      <c r="G131" s="14"/>
      <c r="H131" s="81" t="str">
        <f t="shared" si="44"/>
        <v/>
      </c>
      <c r="I131" s="7"/>
      <c r="J131" s="6" t="e">
        <f t="shared" si="45"/>
        <v>#N/A</v>
      </c>
      <c r="K131" s="6" t="str">
        <f>IF(A132&lt;&gt;A131,AVERAGEIF(A$9:A131,A131,J$9:J131),"")</f>
        <v/>
      </c>
      <c r="L131" s="7" t="str">
        <f>IFERROR(IF(A132&lt;&gt;A131,AVERAGEIF(A$9:A131,A131,S$9:S131),""),"")</f>
        <v/>
      </c>
      <c r="M131" s="7" t="str">
        <f>IFERROR(IF(A132&lt;&gt;A131,AVERAGEIF(A$9:A131,A131,T$9:T131),""),"")</f>
        <v/>
      </c>
      <c r="N131" s="7" t="str" cm="1">
        <f t="array" ref="N131">IFERROR(IF(A132&lt;&gt;A131,_xlfn.STDEV.P(IF(A$9:A131=A131,T$9:T131)),""),"")</f>
        <v/>
      </c>
      <c r="O131" s="7" t="str" cm="1">
        <f t="array" ref="O131">IFERROR(IF(A132&lt;&gt;A131,_xlfn.STDEV.P(IF(A$9:A131=A131,S$9:S131)),""),"")</f>
        <v/>
      </c>
      <c r="P131" s="8" t="str">
        <f t="shared" si="46"/>
        <v/>
      </c>
      <c r="Q131" s="8" t="str">
        <f t="shared" si="47"/>
        <v/>
      </c>
      <c r="R131" s="8" t="str">
        <f t="shared" si="48"/>
        <v/>
      </c>
      <c r="S131" s="9" t="str">
        <f t="shared" si="49"/>
        <v/>
      </c>
      <c r="T131" s="9" t="str">
        <f t="shared" si="50"/>
        <v/>
      </c>
      <c r="U131" s="14">
        <v>0.88541666666666663</v>
      </c>
      <c r="V131" s="15"/>
      <c r="W131" s="14" t="str">
        <f t="shared" si="51"/>
        <v/>
      </c>
      <c r="X131" s="15"/>
      <c r="Y131" s="2"/>
      <c r="AB131" s="22">
        <f t="shared" si="52"/>
        <v>1</v>
      </c>
      <c r="AC131" s="11"/>
      <c r="AD131" s="11"/>
      <c r="AE131" s="13"/>
      <c r="AF131" s="12"/>
      <c r="AG131" s="13"/>
      <c r="AH131" s="14"/>
      <c r="AI131" s="81" t="str">
        <f t="shared" si="53"/>
        <v/>
      </c>
      <c r="AJ131" s="15"/>
      <c r="AK131" s="6" t="e">
        <f t="shared" si="54"/>
        <v>#N/A</v>
      </c>
      <c r="AL131" s="6" t="str">
        <f>IF(AB132&lt;&gt;AB131,AVERAGEIF(AB$9:AB131,AB131,AK$9:AK131),"")</f>
        <v/>
      </c>
      <c r="AM131" s="7" t="str">
        <f>IFERROR(IF(AB132&lt;&gt;AB131,AVERAGEIF(AB$9:AB131,AB131,AT$9:AT131),""),"")</f>
        <v/>
      </c>
      <c r="AN131" s="7" t="str">
        <f>IFERROR(IF(AB132&lt;&gt;AB131,AVERAGEIF(AB$9:AB131,AB131,AU$9:AU131),""),"")</f>
        <v/>
      </c>
      <c r="AO131" s="7" t="str" cm="1">
        <f t="array" ref="AO131">IFERROR(IF(AB132&lt;&gt;AB131,_xlfn.STDEV.P(IF(AB$9:AB131=AB131,AU$9:AU131)),""),"")</f>
        <v/>
      </c>
      <c r="AP131" s="7" t="str" cm="1">
        <f t="array" ref="AP131">IFERROR(IF(AB132&lt;&gt;AB131,_xlfn.STDEV.P(IF(AB$9:AB131=AB131,AT$9:AT131)),""),"")</f>
        <v/>
      </c>
      <c r="AQ131" s="8" t="str">
        <f t="shared" si="55"/>
        <v/>
      </c>
      <c r="AR131" s="8" t="str">
        <f t="shared" si="56"/>
        <v/>
      </c>
      <c r="AS131" s="8" t="str">
        <f t="shared" si="57"/>
        <v/>
      </c>
      <c r="AT131" s="9" t="str">
        <f t="shared" si="58"/>
        <v/>
      </c>
      <c r="AU131" s="9" t="str">
        <f t="shared" si="59"/>
        <v/>
      </c>
      <c r="AV131" s="14"/>
      <c r="AW131" s="15"/>
      <c r="AX131" s="14" t="str">
        <f t="shared" si="60"/>
        <v/>
      </c>
      <c r="AY131" s="15"/>
      <c r="AZ131" s="23"/>
      <c r="EW131" t="s">
        <v>46</v>
      </c>
      <c r="EX131" s="33">
        <v>1128</v>
      </c>
      <c r="EY131" s="33" t="s">
        <v>401</v>
      </c>
      <c r="EZ131" s="33" t="s">
        <v>402</v>
      </c>
      <c r="FA131" s="33" t="s">
        <v>343</v>
      </c>
      <c r="FB131" s="33" t="s">
        <v>344</v>
      </c>
      <c r="FC131" s="33" t="s">
        <v>345</v>
      </c>
      <c r="FD131" s="33" t="s">
        <v>346</v>
      </c>
      <c r="FE131" s="33">
        <v>2025</v>
      </c>
      <c r="FF131" s="33" t="s">
        <v>59</v>
      </c>
      <c r="FG131" s="33" t="s">
        <v>71</v>
      </c>
      <c r="FH131" s="33" t="s">
        <v>72</v>
      </c>
      <c r="FI131" s="33" t="s">
        <v>73</v>
      </c>
      <c r="FJ131" t="s">
        <v>59</v>
      </c>
      <c r="FM131" s="32" t="s">
        <v>396</v>
      </c>
      <c r="FN131" t="s">
        <v>397</v>
      </c>
      <c r="FO131" t="s">
        <v>398</v>
      </c>
      <c r="FP131" t="str">
        <f t="shared" si="61"/>
        <v>B</v>
      </c>
      <c r="GU131" s="53">
        <v>128</v>
      </c>
      <c r="GV131" s="53">
        <v>125</v>
      </c>
    </row>
    <row r="132" spans="1:204" ht="15.5" x14ac:dyDescent="0.35">
      <c r="A132" s="95">
        <f t="shared" si="43"/>
        <v>1</v>
      </c>
      <c r="B132" s="11"/>
      <c r="C132" s="11"/>
      <c r="D132" s="92" t="str">
        <f>IFERROR(
IF(AND(OR(Planilla!B132="C",Planilla!B132="c"), VLOOKUP(E132,EX:FJ,13,0)="C"), "OK",IF(AND(OR(Planilla!B132="C",Planilla!B132="c"), OR(VLOOKUP(E132,EX:FJ,13,0)="B", VLOOKUP(E132,EX:FJ,13,0)="A")), "DEFICIT",IF(
AND(OR(Planilla!B132="B", Planilla!B132="BPAL"), VLOOKUP(E132,EX:FJ,13,0)="B"), "OK",IF(AND(OR(Planilla!B132="B", Planilla!B132="BPAL"), VLOOKUP(E132,EX:FJ,13,0)="A"), "DEFICIT",IF(AND(OR(Planilla!B132="B", Planilla!B132="BPAL"), VLOOKUP(E132,EX:FJ,13,0)="C"), "SOBREOFERTA",IF(AND(Planilla!B132="A", VLOOKUP(E132,EX:FJ,13,0)="A"), "OK",IF(
AND(Planilla!B132="A", OR(VLOOKUP(E132,EX:FJ,13,0)="B", VLOOKUP(E132,EX:FJ,13,0)="C")), "SOBREOFERTA",""
))))))),"")</f>
        <v/>
      </c>
      <c r="E132" s="12"/>
      <c r="F132" s="13"/>
      <c r="G132" s="14"/>
      <c r="H132" s="81" t="str">
        <f t="shared" si="44"/>
        <v/>
      </c>
      <c r="I132" s="7"/>
      <c r="J132" s="6" t="e">
        <f t="shared" si="45"/>
        <v>#N/A</v>
      </c>
      <c r="K132" s="6" t="str">
        <f>IF(A133&lt;&gt;A132,AVERAGEIF(A$9:A132,A132,J$9:J132),"")</f>
        <v/>
      </c>
      <c r="L132" s="7" t="str">
        <f>IFERROR(IF(A133&lt;&gt;A132,AVERAGEIF(A$9:A132,A132,S$9:S132),""),"")</f>
        <v/>
      </c>
      <c r="M132" s="7" t="str">
        <f>IFERROR(IF(A133&lt;&gt;A132,AVERAGEIF(A$9:A132,A132,T$9:T132),""),"")</f>
        <v/>
      </c>
      <c r="N132" s="7" t="str" cm="1">
        <f t="array" ref="N132">IFERROR(IF(A133&lt;&gt;A132,_xlfn.STDEV.P(IF(A$9:A132=A132,T$9:T132)),""),"")</f>
        <v/>
      </c>
      <c r="O132" s="7" t="str" cm="1">
        <f t="array" ref="O132">IFERROR(IF(A133&lt;&gt;A132,_xlfn.STDEV.P(IF(A$9:A132=A132,S$9:S132)),""),"")</f>
        <v/>
      </c>
      <c r="P132" s="8" t="str">
        <f t="shared" si="46"/>
        <v/>
      </c>
      <c r="Q132" s="8" t="str">
        <f t="shared" si="47"/>
        <v/>
      </c>
      <c r="R132" s="8" t="str">
        <f t="shared" si="48"/>
        <v/>
      </c>
      <c r="S132" s="9" t="str">
        <f t="shared" si="49"/>
        <v/>
      </c>
      <c r="T132" s="9" t="str">
        <f t="shared" si="50"/>
        <v/>
      </c>
      <c r="U132" s="14">
        <v>0.89375000000000004</v>
      </c>
      <c r="V132" s="15"/>
      <c r="W132" s="14" t="str">
        <f t="shared" si="51"/>
        <v/>
      </c>
      <c r="X132" s="15"/>
      <c r="Y132" s="2"/>
      <c r="AB132" s="22">
        <f t="shared" si="52"/>
        <v>1</v>
      </c>
      <c r="AC132" s="11"/>
      <c r="AD132" s="11"/>
      <c r="AE132" s="13"/>
      <c r="AF132" s="12"/>
      <c r="AG132" s="13"/>
      <c r="AH132" s="14"/>
      <c r="AI132" s="81" t="str">
        <f t="shared" si="53"/>
        <v/>
      </c>
      <c r="AJ132" s="15"/>
      <c r="AK132" s="6" t="e">
        <f t="shared" si="54"/>
        <v>#N/A</v>
      </c>
      <c r="AL132" s="6" t="str">
        <f>IF(AB133&lt;&gt;AB132,AVERAGEIF(AB$9:AB132,AB132,AK$9:AK132),"")</f>
        <v/>
      </c>
      <c r="AM132" s="7" t="str">
        <f>IFERROR(IF(AB133&lt;&gt;AB132,AVERAGEIF(AB$9:AB132,AB132,AT$9:AT132),""),"")</f>
        <v/>
      </c>
      <c r="AN132" s="7" t="str">
        <f>IFERROR(IF(AB133&lt;&gt;AB132,AVERAGEIF(AB$9:AB132,AB132,AU$9:AU132),""),"")</f>
        <v/>
      </c>
      <c r="AO132" s="7" t="str" cm="1">
        <f t="array" ref="AO132">IFERROR(IF(AB133&lt;&gt;AB132,_xlfn.STDEV.P(IF(AB$9:AB132=AB132,AU$9:AU132)),""),"")</f>
        <v/>
      </c>
      <c r="AP132" s="7" t="str" cm="1">
        <f t="array" ref="AP132">IFERROR(IF(AB133&lt;&gt;AB132,_xlfn.STDEV.P(IF(AB$9:AB132=AB132,AT$9:AT132)),""),"")</f>
        <v/>
      </c>
      <c r="AQ132" s="8" t="str">
        <f t="shared" si="55"/>
        <v/>
      </c>
      <c r="AR132" s="8" t="str">
        <f t="shared" si="56"/>
        <v/>
      </c>
      <c r="AS132" s="8" t="str">
        <f t="shared" si="57"/>
        <v/>
      </c>
      <c r="AT132" s="9" t="str">
        <f t="shared" si="58"/>
        <v/>
      </c>
      <c r="AU132" s="9" t="str">
        <f t="shared" si="59"/>
        <v/>
      </c>
      <c r="AV132" s="14"/>
      <c r="AW132" s="15"/>
      <c r="AX132" s="14" t="str">
        <f t="shared" si="60"/>
        <v/>
      </c>
      <c r="AY132" s="15"/>
      <c r="AZ132" s="23"/>
      <c r="EW132" t="s">
        <v>46</v>
      </c>
      <c r="EX132" s="33">
        <v>1129</v>
      </c>
      <c r="EY132" s="33" t="s">
        <v>403</v>
      </c>
      <c r="EZ132" s="33" t="s">
        <v>404</v>
      </c>
      <c r="FA132" s="33" t="s">
        <v>343</v>
      </c>
      <c r="FB132" s="33" t="s">
        <v>344</v>
      </c>
      <c r="FC132" s="33" t="s">
        <v>345</v>
      </c>
      <c r="FD132" s="33" t="s">
        <v>346</v>
      </c>
      <c r="FE132" s="33">
        <v>2025</v>
      </c>
      <c r="FF132" s="33" t="s">
        <v>59</v>
      </c>
      <c r="FG132" s="33" t="s">
        <v>71</v>
      </c>
      <c r="FH132" s="33" t="s">
        <v>72</v>
      </c>
      <c r="FI132" s="33" t="s">
        <v>73</v>
      </c>
      <c r="FJ132" t="s">
        <v>59</v>
      </c>
      <c r="FM132" s="32" t="s">
        <v>396</v>
      </c>
      <c r="FN132" t="s">
        <v>397</v>
      </c>
      <c r="FO132" t="s">
        <v>398</v>
      </c>
      <c r="FP132" t="str">
        <f t="shared" si="61"/>
        <v>B</v>
      </c>
      <c r="GU132" s="53">
        <v>129</v>
      </c>
      <c r="GV132" s="53">
        <v>126</v>
      </c>
    </row>
    <row r="133" spans="1:204" ht="15.5" x14ac:dyDescent="0.35">
      <c r="A133" s="95">
        <f t="shared" si="43"/>
        <v>1</v>
      </c>
      <c r="B133" s="11"/>
      <c r="C133" s="11"/>
      <c r="D133" s="92" t="str">
        <f>IFERROR(
IF(AND(OR(Planilla!B133="C",Planilla!B133="c"), VLOOKUP(E133,EX:FJ,13,0)="C"), "OK",IF(AND(OR(Planilla!B133="C",Planilla!B133="c"), OR(VLOOKUP(E133,EX:FJ,13,0)="B", VLOOKUP(E133,EX:FJ,13,0)="A")), "DEFICIT",IF(
AND(OR(Planilla!B133="B", Planilla!B133="BPAL"), VLOOKUP(E133,EX:FJ,13,0)="B"), "OK",IF(AND(OR(Planilla!B133="B", Planilla!B133="BPAL"), VLOOKUP(E133,EX:FJ,13,0)="A"), "DEFICIT",IF(AND(OR(Planilla!B133="B", Planilla!B133="BPAL"), VLOOKUP(E133,EX:FJ,13,0)="C"), "SOBREOFERTA",IF(AND(Planilla!B133="A", VLOOKUP(E133,EX:FJ,13,0)="A"), "OK",IF(
AND(Planilla!B133="A", OR(VLOOKUP(E133,EX:FJ,13,0)="B", VLOOKUP(E133,EX:FJ,13,0)="C")), "SOBREOFERTA",""
))))))),"")</f>
        <v/>
      </c>
      <c r="E133" s="12"/>
      <c r="F133" s="13"/>
      <c r="G133" s="14"/>
      <c r="H133" s="81" t="str">
        <f t="shared" si="44"/>
        <v/>
      </c>
      <c r="I133" s="7"/>
      <c r="J133" s="6" t="e">
        <f t="shared" si="45"/>
        <v>#N/A</v>
      </c>
      <c r="K133" s="6" t="str">
        <f>IF(A134&lt;&gt;A133,AVERAGEIF(A$9:A133,A133,J$9:J133),"")</f>
        <v/>
      </c>
      <c r="L133" s="7" t="str">
        <f>IFERROR(IF(A134&lt;&gt;A133,AVERAGEIF(A$9:A133,A133,S$9:S133),""),"")</f>
        <v/>
      </c>
      <c r="M133" s="7" t="str">
        <f>IFERROR(IF(A134&lt;&gt;A133,AVERAGEIF(A$9:A133,A133,T$9:T133),""),"")</f>
        <v/>
      </c>
      <c r="N133" s="7" t="str" cm="1">
        <f t="array" ref="N133">IFERROR(IF(A134&lt;&gt;A133,_xlfn.STDEV.P(IF(A$9:A133=A133,T$9:T133)),""),"")</f>
        <v/>
      </c>
      <c r="O133" s="7" t="str" cm="1">
        <f t="array" ref="O133">IFERROR(IF(A134&lt;&gt;A133,_xlfn.STDEV.P(IF(A$9:A133=A133,S$9:S133)),""),"")</f>
        <v/>
      </c>
      <c r="P133" s="8" t="str">
        <f t="shared" si="46"/>
        <v/>
      </c>
      <c r="Q133" s="8" t="str">
        <f t="shared" si="47"/>
        <v/>
      </c>
      <c r="R133" s="8" t="str">
        <f t="shared" si="48"/>
        <v/>
      </c>
      <c r="S133" s="9" t="str">
        <f t="shared" si="49"/>
        <v/>
      </c>
      <c r="T133" s="9" t="str">
        <f t="shared" si="50"/>
        <v/>
      </c>
      <c r="U133" s="14">
        <v>0.89583333333333337</v>
      </c>
      <c r="V133" s="15"/>
      <c r="W133" s="14" t="str">
        <f t="shared" si="51"/>
        <v/>
      </c>
      <c r="X133" s="15"/>
      <c r="Y133" s="2"/>
      <c r="AB133" s="22">
        <f t="shared" si="52"/>
        <v>1</v>
      </c>
      <c r="AC133" s="11"/>
      <c r="AD133" s="11"/>
      <c r="AE133" s="13"/>
      <c r="AF133" s="12"/>
      <c r="AG133" s="13"/>
      <c r="AH133" s="14"/>
      <c r="AI133" s="81" t="str">
        <f t="shared" si="53"/>
        <v/>
      </c>
      <c r="AJ133" s="15"/>
      <c r="AK133" s="6" t="e">
        <f t="shared" si="54"/>
        <v>#N/A</v>
      </c>
      <c r="AL133" s="6" t="str">
        <f>IF(AB134&lt;&gt;AB133,AVERAGEIF(AB$9:AB133,AB133,AK$9:AK133),"")</f>
        <v/>
      </c>
      <c r="AM133" s="7" t="str">
        <f>IFERROR(IF(AB134&lt;&gt;AB133,AVERAGEIF(AB$9:AB133,AB133,AT$9:AT133),""),"")</f>
        <v/>
      </c>
      <c r="AN133" s="7" t="str">
        <f>IFERROR(IF(AB134&lt;&gt;AB133,AVERAGEIF(AB$9:AB133,AB133,AU$9:AU133),""),"")</f>
        <v/>
      </c>
      <c r="AO133" s="7" t="str" cm="1">
        <f t="array" ref="AO133">IFERROR(IF(AB134&lt;&gt;AB133,_xlfn.STDEV.P(IF(AB$9:AB133=AB133,AU$9:AU133)),""),"")</f>
        <v/>
      </c>
      <c r="AP133" s="7" t="str" cm="1">
        <f t="array" ref="AP133">IFERROR(IF(AB134&lt;&gt;AB133,_xlfn.STDEV.P(IF(AB$9:AB133=AB133,AT$9:AT133)),""),"")</f>
        <v/>
      </c>
      <c r="AQ133" s="8" t="str">
        <f t="shared" si="55"/>
        <v/>
      </c>
      <c r="AR133" s="8" t="str">
        <f t="shared" si="56"/>
        <v/>
      </c>
      <c r="AS133" s="8" t="str">
        <f t="shared" si="57"/>
        <v/>
      </c>
      <c r="AT133" s="9" t="str">
        <f t="shared" si="58"/>
        <v/>
      </c>
      <c r="AU133" s="9" t="str">
        <f t="shared" si="59"/>
        <v/>
      </c>
      <c r="AV133" s="14"/>
      <c r="AW133" s="15"/>
      <c r="AX133" s="14" t="str">
        <f t="shared" si="60"/>
        <v/>
      </c>
      <c r="AY133" s="15"/>
      <c r="AZ133" s="23"/>
      <c r="EW133" t="s">
        <v>46</v>
      </c>
      <c r="EX133" s="33">
        <v>1130</v>
      </c>
      <c r="EY133" s="33" t="s">
        <v>405</v>
      </c>
      <c r="EZ133" s="33" t="s">
        <v>406</v>
      </c>
      <c r="FA133" s="33" t="s">
        <v>343</v>
      </c>
      <c r="FB133" s="33" t="s">
        <v>344</v>
      </c>
      <c r="FC133" s="33" t="s">
        <v>345</v>
      </c>
      <c r="FD133" s="33" t="s">
        <v>346</v>
      </c>
      <c r="FE133" s="33">
        <v>2025</v>
      </c>
      <c r="FF133" s="33" t="s">
        <v>59</v>
      </c>
      <c r="FG133" s="33" t="s">
        <v>386</v>
      </c>
      <c r="FH133" s="33" t="s">
        <v>387</v>
      </c>
      <c r="FI133" s="33" t="s">
        <v>407</v>
      </c>
      <c r="FJ133" t="s">
        <v>59</v>
      </c>
      <c r="FM133" s="32" t="s">
        <v>396</v>
      </c>
      <c r="FN133" t="s">
        <v>397</v>
      </c>
      <c r="FO133" t="s">
        <v>398</v>
      </c>
      <c r="FP133" t="str">
        <f t="shared" si="61"/>
        <v>B</v>
      </c>
      <c r="GU133" s="53">
        <v>130</v>
      </c>
      <c r="GV133" s="53">
        <v>127</v>
      </c>
    </row>
    <row r="134" spans="1:204" ht="15.5" x14ac:dyDescent="0.35">
      <c r="A134" s="95">
        <f t="shared" si="43"/>
        <v>1</v>
      </c>
      <c r="B134" s="11"/>
      <c r="C134" s="11"/>
      <c r="D134" s="92" t="str">
        <f>IFERROR(
IF(AND(OR(Planilla!B134="C",Planilla!B134="c"), VLOOKUP(E134,EX:FJ,13,0)="C"), "OK",IF(AND(OR(Planilla!B134="C",Planilla!B134="c"), OR(VLOOKUP(E134,EX:FJ,13,0)="B", VLOOKUP(E134,EX:FJ,13,0)="A")), "DEFICIT",IF(
AND(OR(Planilla!B134="B", Planilla!B134="BPAL"), VLOOKUP(E134,EX:FJ,13,0)="B"), "OK",IF(AND(OR(Planilla!B134="B", Planilla!B134="BPAL"), VLOOKUP(E134,EX:FJ,13,0)="A"), "DEFICIT",IF(AND(OR(Planilla!B134="B", Planilla!B134="BPAL"), VLOOKUP(E134,EX:FJ,13,0)="C"), "SOBREOFERTA",IF(AND(Planilla!B134="A", VLOOKUP(E134,EX:FJ,13,0)="A"), "OK",IF(
AND(Planilla!B134="A", OR(VLOOKUP(E134,EX:FJ,13,0)="B", VLOOKUP(E134,EX:FJ,13,0)="C")), "SOBREOFERTA",""
))))))),"")</f>
        <v/>
      </c>
      <c r="E134" s="12"/>
      <c r="F134" s="13"/>
      <c r="G134" s="14"/>
      <c r="H134" s="81" t="str">
        <f t="shared" si="44"/>
        <v/>
      </c>
      <c r="I134" s="7"/>
      <c r="J134" s="6" t="e">
        <f t="shared" si="45"/>
        <v>#N/A</v>
      </c>
      <c r="K134" s="6" t="str">
        <f>IF(A135&lt;&gt;A134,AVERAGEIF(A$9:A134,A134,J$9:J134),"")</f>
        <v/>
      </c>
      <c r="L134" s="7" t="str">
        <f>IFERROR(IF(A135&lt;&gt;A134,AVERAGEIF(A$9:A134,A134,S$9:S134),""),"")</f>
        <v/>
      </c>
      <c r="M134" s="7" t="str">
        <f>IFERROR(IF(A135&lt;&gt;A134,AVERAGEIF(A$9:A134,A134,T$9:T134),""),"")</f>
        <v/>
      </c>
      <c r="N134" s="7" t="str" cm="1">
        <f t="array" ref="N134">IFERROR(IF(A135&lt;&gt;A134,_xlfn.STDEV.P(IF(A$9:A134=A134,T$9:T134)),""),"")</f>
        <v/>
      </c>
      <c r="O134" s="7" t="str" cm="1">
        <f t="array" ref="O134">IFERROR(IF(A135&lt;&gt;A134,_xlfn.STDEV.P(IF(A$9:A134=A134,S$9:S134)),""),"")</f>
        <v/>
      </c>
      <c r="P134" s="8" t="str">
        <f t="shared" si="46"/>
        <v/>
      </c>
      <c r="Q134" s="8" t="str">
        <f t="shared" si="47"/>
        <v/>
      </c>
      <c r="R134" s="8" t="str">
        <f t="shared" si="48"/>
        <v/>
      </c>
      <c r="S134" s="9" t="str">
        <f t="shared" si="49"/>
        <v/>
      </c>
      <c r="T134" s="9" t="str">
        <f t="shared" si="50"/>
        <v/>
      </c>
      <c r="U134" s="14">
        <v>0.90416666666666667</v>
      </c>
      <c r="V134" s="15"/>
      <c r="W134" s="14" t="str">
        <f t="shared" si="51"/>
        <v/>
      </c>
      <c r="X134" s="15"/>
      <c r="Y134" s="2"/>
      <c r="AB134" s="22">
        <f t="shared" si="52"/>
        <v>1</v>
      </c>
      <c r="AC134" s="11"/>
      <c r="AD134" s="11"/>
      <c r="AE134" s="13"/>
      <c r="AF134" s="12"/>
      <c r="AG134" s="13"/>
      <c r="AH134" s="14"/>
      <c r="AI134" s="81" t="str">
        <f t="shared" si="53"/>
        <v/>
      </c>
      <c r="AJ134" s="15"/>
      <c r="AK134" s="6" t="e">
        <f t="shared" si="54"/>
        <v>#N/A</v>
      </c>
      <c r="AL134" s="6" t="str">
        <f>IF(AB135&lt;&gt;AB134,AVERAGEIF(AB$9:AB134,AB134,AK$9:AK134),"")</f>
        <v/>
      </c>
      <c r="AM134" s="7" t="str">
        <f>IFERROR(IF(AB135&lt;&gt;AB134,AVERAGEIF(AB$9:AB134,AB134,AT$9:AT134),""),"")</f>
        <v/>
      </c>
      <c r="AN134" s="7" t="str">
        <f>IFERROR(IF(AB135&lt;&gt;AB134,AVERAGEIF(AB$9:AB134,AB134,AU$9:AU134),""),"")</f>
        <v/>
      </c>
      <c r="AO134" s="7" t="str" cm="1">
        <f t="array" ref="AO134">IFERROR(IF(AB135&lt;&gt;AB134,_xlfn.STDEV.P(IF(AB$9:AB134=AB134,AU$9:AU134)),""),"")</f>
        <v/>
      </c>
      <c r="AP134" s="7" t="str" cm="1">
        <f t="array" ref="AP134">IFERROR(IF(AB135&lt;&gt;AB134,_xlfn.STDEV.P(IF(AB$9:AB134=AB134,AT$9:AT134)),""),"")</f>
        <v/>
      </c>
      <c r="AQ134" s="8" t="str">
        <f t="shared" si="55"/>
        <v/>
      </c>
      <c r="AR134" s="8" t="str">
        <f t="shared" si="56"/>
        <v/>
      </c>
      <c r="AS134" s="8" t="str">
        <f t="shared" si="57"/>
        <v/>
      </c>
      <c r="AT134" s="9" t="str">
        <f t="shared" si="58"/>
        <v/>
      </c>
      <c r="AU134" s="9" t="str">
        <f t="shared" si="59"/>
        <v/>
      </c>
      <c r="AV134" s="14"/>
      <c r="AW134" s="15"/>
      <c r="AX134" s="14" t="str">
        <f t="shared" si="60"/>
        <v/>
      </c>
      <c r="AY134" s="15"/>
      <c r="AZ134" s="23"/>
      <c r="EW134" t="s">
        <v>46</v>
      </c>
      <c r="EX134" s="33">
        <v>1131</v>
      </c>
      <c r="EY134" s="33" t="s">
        <v>408</v>
      </c>
      <c r="EZ134" s="33" t="s">
        <v>409</v>
      </c>
      <c r="FA134" s="33" t="s">
        <v>343</v>
      </c>
      <c r="FB134" s="33" t="s">
        <v>344</v>
      </c>
      <c r="FC134" s="33" t="s">
        <v>345</v>
      </c>
      <c r="FD134" s="33" t="s">
        <v>346</v>
      </c>
      <c r="FE134" s="33">
        <v>2025</v>
      </c>
      <c r="FF134" s="33" t="s">
        <v>59</v>
      </c>
      <c r="FG134" s="33" t="s">
        <v>56</v>
      </c>
      <c r="FH134" s="33" t="s">
        <v>57</v>
      </c>
      <c r="FI134" s="33" t="s">
        <v>58</v>
      </c>
      <c r="FJ134" t="s">
        <v>59</v>
      </c>
      <c r="FM134" s="32" t="s">
        <v>396</v>
      </c>
      <c r="FN134" t="s">
        <v>397</v>
      </c>
      <c r="FO134" t="s">
        <v>398</v>
      </c>
      <c r="FP134" t="str">
        <f t="shared" si="61"/>
        <v>B</v>
      </c>
      <c r="GU134" s="53">
        <v>131</v>
      </c>
      <c r="GV134" s="53">
        <v>128</v>
      </c>
    </row>
    <row r="135" spans="1:204" ht="15.5" x14ac:dyDescent="0.35">
      <c r="A135" s="95">
        <f t="shared" si="43"/>
        <v>1</v>
      </c>
      <c r="B135" s="11"/>
      <c r="C135" s="11"/>
      <c r="D135" s="92" t="str">
        <f>IFERROR(
IF(AND(OR(Planilla!B135="C",Planilla!B135="c"), VLOOKUP(E135,EX:FJ,13,0)="C"), "OK",IF(AND(OR(Planilla!B135="C",Planilla!B135="c"), OR(VLOOKUP(E135,EX:FJ,13,0)="B", VLOOKUP(E135,EX:FJ,13,0)="A")), "DEFICIT",IF(
AND(OR(Planilla!B135="B", Planilla!B135="BPAL"), VLOOKUP(E135,EX:FJ,13,0)="B"), "OK",IF(AND(OR(Planilla!B135="B", Planilla!B135="BPAL"), VLOOKUP(E135,EX:FJ,13,0)="A"), "DEFICIT",IF(AND(OR(Planilla!B135="B", Planilla!B135="BPAL"), VLOOKUP(E135,EX:FJ,13,0)="C"), "SOBREOFERTA",IF(AND(Planilla!B135="A", VLOOKUP(E135,EX:FJ,13,0)="A"), "OK",IF(
AND(Planilla!B135="A", OR(VLOOKUP(E135,EX:FJ,13,0)="B", VLOOKUP(E135,EX:FJ,13,0)="C")), "SOBREOFERTA",""
))))))),"")</f>
        <v/>
      </c>
      <c r="E135" s="12"/>
      <c r="F135" s="13"/>
      <c r="G135" s="14"/>
      <c r="H135" s="81" t="str">
        <f t="shared" si="44"/>
        <v/>
      </c>
      <c r="I135" s="7"/>
      <c r="J135" s="6" t="e">
        <f t="shared" si="45"/>
        <v>#N/A</v>
      </c>
      <c r="K135" s="6" t="str">
        <f>IF(A136&lt;&gt;A135,AVERAGEIF(A$9:A135,A135,J$9:J135),"")</f>
        <v/>
      </c>
      <c r="L135" s="7" t="str">
        <f>IFERROR(IF(A136&lt;&gt;A135,AVERAGEIF(A$9:A135,A135,S$9:S135),""),"")</f>
        <v/>
      </c>
      <c r="M135" s="7" t="str">
        <f>IFERROR(IF(A136&lt;&gt;A135,AVERAGEIF(A$9:A135,A135,T$9:T135),""),"")</f>
        <v/>
      </c>
      <c r="N135" s="7" t="str" cm="1">
        <f t="array" ref="N135">IFERROR(IF(A136&lt;&gt;A135,_xlfn.STDEV.P(IF(A$9:A135=A135,T$9:T135)),""),"")</f>
        <v/>
      </c>
      <c r="O135" s="7" t="str" cm="1">
        <f t="array" ref="O135">IFERROR(IF(A136&lt;&gt;A135,_xlfn.STDEV.P(IF(A$9:A135=A135,S$9:S135)),""),"")</f>
        <v/>
      </c>
      <c r="P135" s="8" t="str">
        <f t="shared" si="46"/>
        <v/>
      </c>
      <c r="Q135" s="8" t="str">
        <f t="shared" si="47"/>
        <v/>
      </c>
      <c r="R135" s="8" t="str">
        <f t="shared" si="48"/>
        <v/>
      </c>
      <c r="S135" s="9" t="str">
        <f t="shared" si="49"/>
        <v/>
      </c>
      <c r="T135" s="9" t="str">
        <f t="shared" si="50"/>
        <v/>
      </c>
      <c r="U135" s="14">
        <v>0.90694444444444444</v>
      </c>
      <c r="V135" s="15"/>
      <c r="W135" s="14" t="str">
        <f t="shared" si="51"/>
        <v/>
      </c>
      <c r="X135" s="15"/>
      <c r="Y135" s="2"/>
      <c r="AB135" s="22">
        <f t="shared" si="52"/>
        <v>1</v>
      </c>
      <c r="AC135" s="11"/>
      <c r="AD135" s="11"/>
      <c r="AE135" s="13"/>
      <c r="AF135" s="12"/>
      <c r="AG135" s="13"/>
      <c r="AH135" s="14"/>
      <c r="AI135" s="81" t="str">
        <f t="shared" si="53"/>
        <v/>
      </c>
      <c r="AJ135" s="15"/>
      <c r="AK135" s="6" t="e">
        <f t="shared" si="54"/>
        <v>#N/A</v>
      </c>
      <c r="AL135" s="6" t="str">
        <f>IF(AB136&lt;&gt;AB135,AVERAGEIF(AB$9:AB135,AB135,AK$9:AK135),"")</f>
        <v/>
      </c>
      <c r="AM135" s="7" t="str">
        <f>IFERROR(IF(AB136&lt;&gt;AB135,AVERAGEIF(AB$9:AB135,AB135,AT$9:AT135),""),"")</f>
        <v/>
      </c>
      <c r="AN135" s="7" t="str">
        <f>IFERROR(IF(AB136&lt;&gt;AB135,AVERAGEIF(AB$9:AB135,AB135,AU$9:AU135),""),"")</f>
        <v/>
      </c>
      <c r="AO135" s="7" t="str" cm="1">
        <f t="array" ref="AO135">IFERROR(IF(AB136&lt;&gt;AB135,_xlfn.STDEV.P(IF(AB$9:AB135=AB135,AU$9:AU135)),""),"")</f>
        <v/>
      </c>
      <c r="AP135" s="7" t="str" cm="1">
        <f t="array" ref="AP135">IFERROR(IF(AB136&lt;&gt;AB135,_xlfn.STDEV.P(IF(AB$9:AB135=AB135,AT$9:AT135)),""),"")</f>
        <v/>
      </c>
      <c r="AQ135" s="8" t="str">
        <f t="shared" si="55"/>
        <v/>
      </c>
      <c r="AR135" s="8" t="str">
        <f t="shared" si="56"/>
        <v/>
      </c>
      <c r="AS135" s="8" t="str">
        <f t="shared" si="57"/>
        <v/>
      </c>
      <c r="AT135" s="9" t="str">
        <f t="shared" si="58"/>
        <v/>
      </c>
      <c r="AU135" s="9" t="str">
        <f t="shared" si="59"/>
        <v/>
      </c>
      <c r="AV135" s="14"/>
      <c r="AW135" s="15"/>
      <c r="AX135" s="14" t="str">
        <f t="shared" si="60"/>
        <v/>
      </c>
      <c r="AY135" s="15"/>
      <c r="AZ135" s="23"/>
      <c r="EW135" t="s">
        <v>46</v>
      </c>
      <c r="EX135" s="33">
        <v>1132</v>
      </c>
      <c r="EY135" s="33" t="s">
        <v>410</v>
      </c>
      <c r="EZ135" s="33" t="s">
        <v>411</v>
      </c>
      <c r="FA135" s="33" t="s">
        <v>343</v>
      </c>
      <c r="FB135" s="33" t="s">
        <v>344</v>
      </c>
      <c r="FC135" s="33" t="s">
        <v>345</v>
      </c>
      <c r="FD135" s="33" t="s">
        <v>346</v>
      </c>
      <c r="FE135" s="33">
        <v>2025</v>
      </c>
      <c r="FF135" s="33" t="s">
        <v>59</v>
      </c>
      <c r="FG135" s="33" t="s">
        <v>56</v>
      </c>
      <c r="FH135" s="33" t="s">
        <v>57</v>
      </c>
      <c r="FI135" s="33" t="s">
        <v>58</v>
      </c>
      <c r="FJ135" t="s">
        <v>59</v>
      </c>
      <c r="FM135" s="32" t="s">
        <v>412</v>
      </c>
      <c r="FN135" t="s">
        <v>413</v>
      </c>
      <c r="FO135" t="s">
        <v>414</v>
      </c>
      <c r="FP135" t="str">
        <f t="shared" si="61"/>
        <v>B</v>
      </c>
      <c r="GU135" s="53">
        <v>132</v>
      </c>
      <c r="GV135" s="53">
        <v>129</v>
      </c>
    </row>
    <row r="136" spans="1:204" ht="15.5" x14ac:dyDescent="0.35">
      <c r="A136" s="95">
        <f t="shared" si="43"/>
        <v>1</v>
      </c>
      <c r="B136" s="11"/>
      <c r="C136" s="11"/>
      <c r="D136" s="92" t="str">
        <f>IFERROR(
IF(AND(OR(Planilla!B136="C",Planilla!B136="c"), VLOOKUP(E136,EX:FJ,13,0)="C"), "OK",IF(AND(OR(Planilla!B136="C",Planilla!B136="c"), OR(VLOOKUP(E136,EX:FJ,13,0)="B", VLOOKUP(E136,EX:FJ,13,0)="A")), "DEFICIT",IF(
AND(OR(Planilla!B136="B", Planilla!B136="BPAL"), VLOOKUP(E136,EX:FJ,13,0)="B"), "OK",IF(AND(OR(Planilla!B136="B", Planilla!B136="BPAL"), VLOOKUP(E136,EX:FJ,13,0)="A"), "DEFICIT",IF(AND(OR(Planilla!B136="B", Planilla!B136="BPAL"), VLOOKUP(E136,EX:FJ,13,0)="C"), "SOBREOFERTA",IF(AND(Planilla!B136="A", VLOOKUP(E136,EX:FJ,13,0)="A"), "OK",IF(
AND(Planilla!B136="A", OR(VLOOKUP(E136,EX:FJ,13,0)="B", VLOOKUP(E136,EX:FJ,13,0)="C")), "SOBREOFERTA",""
))))))),"")</f>
        <v/>
      </c>
      <c r="E136" s="12"/>
      <c r="F136" s="13"/>
      <c r="G136" s="14"/>
      <c r="H136" s="81" t="str">
        <f t="shared" si="44"/>
        <v/>
      </c>
      <c r="I136" s="7"/>
      <c r="J136" s="6" t="e">
        <f t="shared" si="45"/>
        <v>#N/A</v>
      </c>
      <c r="K136" s="6" t="str">
        <f>IF(A137&lt;&gt;A136,AVERAGEIF(A$9:A136,A136,J$9:J136),"")</f>
        <v/>
      </c>
      <c r="L136" s="7" t="str">
        <f>IFERROR(IF(A137&lt;&gt;A136,AVERAGEIF(A$9:A136,A136,S$9:S136),""),"")</f>
        <v/>
      </c>
      <c r="M136" s="7" t="str">
        <f>IFERROR(IF(A137&lt;&gt;A136,AVERAGEIF(A$9:A136,A136,T$9:T136),""),"")</f>
        <v/>
      </c>
      <c r="N136" s="7" t="str" cm="1">
        <f t="array" ref="N136">IFERROR(IF(A137&lt;&gt;A136,_xlfn.STDEV.P(IF(A$9:A136=A136,T$9:T136)),""),"")</f>
        <v/>
      </c>
      <c r="O136" s="7" t="str" cm="1">
        <f t="array" ref="O136">IFERROR(IF(A137&lt;&gt;A136,_xlfn.STDEV.P(IF(A$9:A136=A136,S$9:S136)),""),"")</f>
        <v/>
      </c>
      <c r="P136" s="8" t="str">
        <f t="shared" si="46"/>
        <v/>
      </c>
      <c r="Q136" s="8" t="str">
        <f t="shared" si="47"/>
        <v/>
      </c>
      <c r="R136" s="8" t="str">
        <f t="shared" si="48"/>
        <v/>
      </c>
      <c r="S136" s="9" t="str">
        <f t="shared" si="49"/>
        <v/>
      </c>
      <c r="T136" s="9" t="str">
        <f t="shared" si="50"/>
        <v/>
      </c>
      <c r="U136" s="14">
        <v>0.91527777777777775</v>
      </c>
      <c r="V136" s="15"/>
      <c r="W136" s="14" t="str">
        <f t="shared" si="51"/>
        <v/>
      </c>
      <c r="X136" s="15"/>
      <c r="Y136" s="2"/>
      <c r="AB136" s="22">
        <f t="shared" si="52"/>
        <v>1</v>
      </c>
      <c r="AC136" s="11"/>
      <c r="AD136" s="11"/>
      <c r="AE136" s="13"/>
      <c r="AF136" s="12"/>
      <c r="AG136" s="13"/>
      <c r="AH136" s="14"/>
      <c r="AI136" s="81" t="str">
        <f t="shared" si="53"/>
        <v/>
      </c>
      <c r="AJ136" s="15"/>
      <c r="AK136" s="6" t="e">
        <f t="shared" si="54"/>
        <v>#N/A</v>
      </c>
      <c r="AL136" s="6" t="str">
        <f>IF(AB137&lt;&gt;AB136,AVERAGEIF(AB$9:AB136,AB136,AK$9:AK136),"")</f>
        <v/>
      </c>
      <c r="AM136" s="7" t="str">
        <f>IFERROR(IF(AB137&lt;&gt;AB136,AVERAGEIF(AB$9:AB136,AB136,AT$9:AT136),""),"")</f>
        <v/>
      </c>
      <c r="AN136" s="7" t="str">
        <f>IFERROR(IF(AB137&lt;&gt;AB136,AVERAGEIF(AB$9:AB136,AB136,AU$9:AU136),""),"")</f>
        <v/>
      </c>
      <c r="AO136" s="7" t="str" cm="1">
        <f t="array" ref="AO136">IFERROR(IF(AB137&lt;&gt;AB136,_xlfn.STDEV.P(IF(AB$9:AB136=AB136,AU$9:AU136)),""),"")</f>
        <v/>
      </c>
      <c r="AP136" s="7" t="str" cm="1">
        <f t="array" ref="AP136">IFERROR(IF(AB137&lt;&gt;AB136,_xlfn.STDEV.P(IF(AB$9:AB136=AB136,AT$9:AT136)),""),"")</f>
        <v/>
      </c>
      <c r="AQ136" s="8" t="str">
        <f t="shared" si="55"/>
        <v/>
      </c>
      <c r="AR136" s="8" t="str">
        <f t="shared" si="56"/>
        <v/>
      </c>
      <c r="AS136" s="8" t="str">
        <f t="shared" si="57"/>
        <v/>
      </c>
      <c r="AT136" s="9" t="str">
        <f t="shared" si="58"/>
        <v/>
      </c>
      <c r="AU136" s="9" t="str">
        <f t="shared" si="59"/>
        <v/>
      </c>
      <c r="AV136" s="14"/>
      <c r="AW136" s="15"/>
      <c r="AX136" s="14" t="str">
        <f t="shared" si="60"/>
        <v/>
      </c>
      <c r="AY136" s="15"/>
      <c r="AZ136" s="23"/>
      <c r="EW136" t="s">
        <v>46</v>
      </c>
      <c r="EX136" s="33">
        <v>1133</v>
      </c>
      <c r="EY136" s="33" t="s">
        <v>415</v>
      </c>
      <c r="EZ136" s="33" t="s">
        <v>416</v>
      </c>
      <c r="FA136" s="33" t="s">
        <v>343</v>
      </c>
      <c r="FB136" s="33" t="s">
        <v>344</v>
      </c>
      <c r="FC136" s="33" t="s">
        <v>345</v>
      </c>
      <c r="FD136" s="33" t="s">
        <v>346</v>
      </c>
      <c r="FE136" s="33">
        <v>2025</v>
      </c>
      <c r="FF136" s="33" t="s">
        <v>59</v>
      </c>
      <c r="FG136" s="33" t="s">
        <v>56</v>
      </c>
      <c r="FH136" s="33" t="s">
        <v>57</v>
      </c>
      <c r="FI136" s="33" t="s">
        <v>58</v>
      </c>
      <c r="FJ136" t="s">
        <v>59</v>
      </c>
      <c r="FM136" s="32" t="s">
        <v>412</v>
      </c>
      <c r="FN136" t="s">
        <v>413</v>
      </c>
      <c r="FO136" t="s">
        <v>414</v>
      </c>
      <c r="FP136" t="str">
        <f t="shared" si="61"/>
        <v>B</v>
      </c>
      <c r="GU136" s="53">
        <v>133</v>
      </c>
      <c r="GV136" s="53">
        <v>130</v>
      </c>
    </row>
    <row r="137" spans="1:204" ht="15.5" x14ac:dyDescent="0.35">
      <c r="A137" s="95">
        <f t="shared" si="43"/>
        <v>1</v>
      </c>
      <c r="B137" s="11"/>
      <c r="C137" s="11"/>
      <c r="D137" s="92" t="str">
        <f>IFERROR(
IF(AND(OR(Planilla!B137="C",Planilla!B137="c"), VLOOKUP(E137,EX:FJ,13,0)="C"), "OK",IF(AND(OR(Planilla!B137="C",Planilla!B137="c"), OR(VLOOKUP(E137,EX:FJ,13,0)="B", VLOOKUP(E137,EX:FJ,13,0)="A")), "DEFICIT",IF(
AND(OR(Planilla!B137="B", Planilla!B137="BPAL"), VLOOKUP(E137,EX:FJ,13,0)="B"), "OK",IF(AND(OR(Planilla!B137="B", Planilla!B137="BPAL"), VLOOKUP(E137,EX:FJ,13,0)="A"), "DEFICIT",IF(AND(OR(Planilla!B137="B", Planilla!B137="BPAL"), VLOOKUP(E137,EX:FJ,13,0)="C"), "SOBREOFERTA",IF(AND(Planilla!B137="A", VLOOKUP(E137,EX:FJ,13,0)="A"), "OK",IF(
AND(Planilla!B137="A", OR(VLOOKUP(E137,EX:FJ,13,0)="B", VLOOKUP(E137,EX:FJ,13,0)="C")), "SOBREOFERTA",""
))))))),"")</f>
        <v/>
      </c>
      <c r="E137" s="12"/>
      <c r="F137" s="13"/>
      <c r="G137" s="14"/>
      <c r="H137" s="81" t="str">
        <f t="shared" si="44"/>
        <v/>
      </c>
      <c r="I137" s="7"/>
      <c r="J137" s="6" t="e">
        <f t="shared" si="45"/>
        <v>#N/A</v>
      </c>
      <c r="K137" s="6" t="str">
        <f>IF(A138&lt;&gt;A137,AVERAGEIF(A$9:A137,A137,J$9:J137),"")</f>
        <v/>
      </c>
      <c r="L137" s="7" t="str">
        <f>IFERROR(IF(A138&lt;&gt;A137,AVERAGEIF(A$9:A137,A137,S$9:S137),""),"")</f>
        <v/>
      </c>
      <c r="M137" s="7" t="str">
        <f>IFERROR(IF(A138&lt;&gt;A137,AVERAGEIF(A$9:A137,A137,T$9:T137),""),"")</f>
        <v/>
      </c>
      <c r="N137" s="7" t="str" cm="1">
        <f t="array" ref="N137">IFERROR(IF(A138&lt;&gt;A137,_xlfn.STDEV.P(IF(A$9:A137=A137,T$9:T137)),""),"")</f>
        <v/>
      </c>
      <c r="O137" s="7" t="str" cm="1">
        <f t="array" ref="O137">IFERROR(IF(A138&lt;&gt;A137,_xlfn.STDEV.P(IF(A$9:A137=A137,S$9:S137)),""),"")</f>
        <v/>
      </c>
      <c r="P137" s="8" t="str">
        <f t="shared" si="46"/>
        <v/>
      </c>
      <c r="Q137" s="8" t="str">
        <f t="shared" si="47"/>
        <v/>
      </c>
      <c r="R137" s="8" t="str">
        <f t="shared" si="48"/>
        <v/>
      </c>
      <c r="S137" s="9" t="str">
        <f t="shared" si="49"/>
        <v/>
      </c>
      <c r="T137" s="9" t="str">
        <f t="shared" si="50"/>
        <v/>
      </c>
      <c r="U137" s="14">
        <v>0.92361111111111116</v>
      </c>
      <c r="V137" s="15"/>
      <c r="W137" s="14" t="str">
        <f t="shared" si="51"/>
        <v/>
      </c>
      <c r="X137" s="15"/>
      <c r="Y137" s="2"/>
      <c r="AB137" s="22">
        <f t="shared" si="52"/>
        <v>1</v>
      </c>
      <c r="AC137" s="11"/>
      <c r="AD137" s="11"/>
      <c r="AE137" s="13"/>
      <c r="AF137" s="12"/>
      <c r="AG137" s="13"/>
      <c r="AH137" s="14"/>
      <c r="AI137" s="81" t="str">
        <f t="shared" si="53"/>
        <v/>
      </c>
      <c r="AJ137" s="15"/>
      <c r="AK137" s="6" t="e">
        <f t="shared" si="54"/>
        <v>#N/A</v>
      </c>
      <c r="AL137" s="6" t="str">
        <f>IF(AB138&lt;&gt;AB137,AVERAGEIF(AB$9:AB137,AB137,AK$9:AK137),"")</f>
        <v/>
      </c>
      <c r="AM137" s="7" t="str">
        <f>IFERROR(IF(AB138&lt;&gt;AB137,AVERAGEIF(AB$9:AB137,AB137,AT$9:AT137),""),"")</f>
        <v/>
      </c>
      <c r="AN137" s="7" t="str">
        <f>IFERROR(IF(AB138&lt;&gt;AB137,AVERAGEIF(AB$9:AB137,AB137,AU$9:AU137),""),"")</f>
        <v/>
      </c>
      <c r="AO137" s="7" t="str" cm="1">
        <f t="array" ref="AO137">IFERROR(IF(AB138&lt;&gt;AB137,_xlfn.STDEV.P(IF(AB$9:AB137=AB137,AU$9:AU137)),""),"")</f>
        <v/>
      </c>
      <c r="AP137" s="7" t="str" cm="1">
        <f t="array" ref="AP137">IFERROR(IF(AB138&lt;&gt;AB137,_xlfn.STDEV.P(IF(AB$9:AB137=AB137,AT$9:AT137)),""),"")</f>
        <v/>
      </c>
      <c r="AQ137" s="8" t="str">
        <f t="shared" si="55"/>
        <v/>
      </c>
      <c r="AR137" s="8" t="str">
        <f t="shared" si="56"/>
        <v/>
      </c>
      <c r="AS137" s="8" t="str">
        <f t="shared" si="57"/>
        <v/>
      </c>
      <c r="AT137" s="9" t="str">
        <f t="shared" si="58"/>
        <v/>
      </c>
      <c r="AU137" s="9" t="str">
        <f t="shared" si="59"/>
        <v/>
      </c>
      <c r="AV137" s="14"/>
      <c r="AW137" s="15"/>
      <c r="AX137" s="14" t="str">
        <f t="shared" si="60"/>
        <v/>
      </c>
      <c r="AY137" s="15"/>
      <c r="AZ137" s="23"/>
      <c r="EW137" t="s">
        <v>46</v>
      </c>
      <c r="EX137" s="33">
        <v>1134</v>
      </c>
      <c r="EY137" s="33" t="s">
        <v>417</v>
      </c>
      <c r="EZ137" s="33" t="s">
        <v>418</v>
      </c>
      <c r="FA137" s="33" t="s">
        <v>343</v>
      </c>
      <c r="FB137" s="33" t="s">
        <v>344</v>
      </c>
      <c r="FC137" s="33" t="s">
        <v>345</v>
      </c>
      <c r="FD137" s="33" t="s">
        <v>346</v>
      </c>
      <c r="FE137" s="33">
        <v>2025</v>
      </c>
      <c r="FF137" s="33" t="s">
        <v>59</v>
      </c>
      <c r="FG137" s="33" t="s">
        <v>56</v>
      </c>
      <c r="FH137" s="33" t="s">
        <v>57</v>
      </c>
      <c r="FI137" s="33" t="s">
        <v>58</v>
      </c>
      <c r="FJ137" t="s">
        <v>59</v>
      </c>
      <c r="FM137" s="32" t="s">
        <v>412</v>
      </c>
      <c r="FN137" t="s">
        <v>413</v>
      </c>
      <c r="FO137" t="s">
        <v>414</v>
      </c>
      <c r="FP137" t="str">
        <f t="shared" si="61"/>
        <v>B</v>
      </c>
      <c r="GU137" s="53">
        <v>134</v>
      </c>
      <c r="GV137" s="53">
        <v>131</v>
      </c>
    </row>
    <row r="138" spans="1:204" ht="15.5" x14ac:dyDescent="0.35">
      <c r="A138" s="95">
        <f t="shared" si="43"/>
        <v>1</v>
      </c>
      <c r="B138" s="11"/>
      <c r="C138" s="11"/>
      <c r="D138" s="92" t="str">
        <f>IFERROR(
IF(AND(OR(Planilla!B138="C",Planilla!B138="c"), VLOOKUP(E138,EX:FJ,13,0)="C"), "OK",IF(AND(OR(Planilla!B138="C",Planilla!B138="c"), OR(VLOOKUP(E138,EX:FJ,13,0)="B", VLOOKUP(E138,EX:FJ,13,0)="A")), "DEFICIT",IF(
AND(OR(Planilla!B138="B", Planilla!B138="BPAL"), VLOOKUP(E138,EX:FJ,13,0)="B"), "OK",IF(AND(OR(Planilla!B138="B", Planilla!B138="BPAL"), VLOOKUP(E138,EX:FJ,13,0)="A"), "DEFICIT",IF(AND(OR(Planilla!B138="B", Planilla!B138="BPAL"), VLOOKUP(E138,EX:FJ,13,0)="C"), "SOBREOFERTA",IF(AND(Planilla!B138="A", VLOOKUP(E138,EX:FJ,13,0)="A"), "OK",IF(
AND(Planilla!B138="A", OR(VLOOKUP(E138,EX:FJ,13,0)="B", VLOOKUP(E138,EX:FJ,13,0)="C")), "SOBREOFERTA",""
))))))),"")</f>
        <v/>
      </c>
      <c r="E138" s="12"/>
      <c r="F138" s="13"/>
      <c r="G138" s="14"/>
      <c r="H138" s="81" t="str">
        <f t="shared" si="44"/>
        <v/>
      </c>
      <c r="I138" s="7"/>
      <c r="J138" s="6" t="e">
        <f t="shared" si="45"/>
        <v>#N/A</v>
      </c>
      <c r="K138" s="6" t="str">
        <f>IF(A139&lt;&gt;A138,AVERAGEIF(A$9:A138,A138,J$9:J138),"")</f>
        <v/>
      </c>
      <c r="L138" s="7" t="str">
        <f>IFERROR(IF(A139&lt;&gt;A138,AVERAGEIF(A$9:A138,A138,S$9:S138),""),"")</f>
        <v/>
      </c>
      <c r="M138" s="7" t="str">
        <f>IFERROR(IF(A139&lt;&gt;A138,AVERAGEIF(A$9:A138,A138,T$9:T138),""),"")</f>
        <v/>
      </c>
      <c r="N138" s="7" t="str" cm="1">
        <f t="array" ref="N138">IFERROR(IF(A139&lt;&gt;A138,_xlfn.STDEV.P(IF(A$9:A138=A138,T$9:T138)),""),"")</f>
        <v/>
      </c>
      <c r="O138" s="7" t="str" cm="1">
        <f t="array" ref="O138">IFERROR(IF(A139&lt;&gt;A138,_xlfn.STDEV.P(IF(A$9:A138=A138,S$9:S138)),""),"")</f>
        <v/>
      </c>
      <c r="P138" s="8" t="str">
        <f t="shared" si="46"/>
        <v/>
      </c>
      <c r="Q138" s="8" t="str">
        <f t="shared" si="47"/>
        <v/>
      </c>
      <c r="R138" s="8" t="str">
        <f t="shared" si="48"/>
        <v/>
      </c>
      <c r="S138" s="9" t="str">
        <f t="shared" si="49"/>
        <v/>
      </c>
      <c r="T138" s="9" t="str">
        <f t="shared" si="50"/>
        <v/>
      </c>
      <c r="U138" s="14">
        <v>0.92986111111111114</v>
      </c>
      <c r="V138" s="15"/>
      <c r="W138" s="14" t="str">
        <f t="shared" si="51"/>
        <v/>
      </c>
      <c r="X138" s="15"/>
      <c r="Y138" s="2"/>
      <c r="AB138" s="22">
        <f t="shared" si="52"/>
        <v>1</v>
      </c>
      <c r="AC138" s="11"/>
      <c r="AD138" s="11"/>
      <c r="AE138" s="13"/>
      <c r="AF138" s="12"/>
      <c r="AG138" s="13"/>
      <c r="AH138" s="14"/>
      <c r="AI138" s="81" t="str">
        <f t="shared" si="53"/>
        <v/>
      </c>
      <c r="AJ138" s="15"/>
      <c r="AK138" s="6" t="e">
        <f t="shared" si="54"/>
        <v>#N/A</v>
      </c>
      <c r="AL138" s="6" t="str">
        <f>IF(AB139&lt;&gt;AB138,AVERAGEIF(AB$9:AB138,AB138,AK$9:AK138),"")</f>
        <v/>
      </c>
      <c r="AM138" s="7" t="str">
        <f>IFERROR(IF(AB139&lt;&gt;AB138,AVERAGEIF(AB$9:AB138,AB138,AT$9:AT138),""),"")</f>
        <v/>
      </c>
      <c r="AN138" s="7" t="str">
        <f>IFERROR(IF(AB139&lt;&gt;AB138,AVERAGEIF(AB$9:AB138,AB138,AU$9:AU138),""),"")</f>
        <v/>
      </c>
      <c r="AO138" s="7" t="str" cm="1">
        <f t="array" ref="AO138">IFERROR(IF(AB139&lt;&gt;AB138,_xlfn.STDEV.P(IF(AB$9:AB138=AB138,AU$9:AU138)),""),"")</f>
        <v/>
      </c>
      <c r="AP138" s="7" t="str" cm="1">
        <f t="array" ref="AP138">IFERROR(IF(AB139&lt;&gt;AB138,_xlfn.STDEV.P(IF(AB$9:AB138=AB138,AT$9:AT138)),""),"")</f>
        <v/>
      </c>
      <c r="AQ138" s="8" t="str">
        <f t="shared" si="55"/>
        <v/>
      </c>
      <c r="AR138" s="8" t="str">
        <f t="shared" si="56"/>
        <v/>
      </c>
      <c r="AS138" s="8" t="str">
        <f t="shared" si="57"/>
        <v/>
      </c>
      <c r="AT138" s="9" t="str">
        <f t="shared" si="58"/>
        <v/>
      </c>
      <c r="AU138" s="9" t="str">
        <f t="shared" si="59"/>
        <v/>
      </c>
      <c r="AV138" s="14"/>
      <c r="AW138" s="15"/>
      <c r="AX138" s="14" t="str">
        <f t="shared" si="60"/>
        <v/>
      </c>
      <c r="AY138" s="15"/>
      <c r="AZ138" s="23"/>
      <c r="EW138" t="s">
        <v>46</v>
      </c>
      <c r="EX138" s="33">
        <v>1135</v>
      </c>
      <c r="EY138" s="33" t="s">
        <v>419</v>
      </c>
      <c r="EZ138" s="33" t="s">
        <v>420</v>
      </c>
      <c r="FA138" s="33" t="s">
        <v>343</v>
      </c>
      <c r="FB138" s="33" t="s">
        <v>344</v>
      </c>
      <c r="FC138" s="33" t="s">
        <v>345</v>
      </c>
      <c r="FD138" s="33" t="s">
        <v>346</v>
      </c>
      <c r="FE138" s="33">
        <v>2025</v>
      </c>
      <c r="FF138" s="33" t="s">
        <v>59</v>
      </c>
      <c r="FG138" s="33" t="s">
        <v>56</v>
      </c>
      <c r="FH138" s="33" t="s">
        <v>57</v>
      </c>
      <c r="FI138" s="33" t="s">
        <v>58</v>
      </c>
      <c r="FJ138" t="s">
        <v>59</v>
      </c>
      <c r="FM138" s="32" t="s">
        <v>412</v>
      </c>
      <c r="FN138" t="s">
        <v>413</v>
      </c>
      <c r="FO138" t="s">
        <v>414</v>
      </c>
      <c r="FP138" t="str">
        <f t="shared" si="61"/>
        <v>B</v>
      </c>
      <c r="GU138" s="53">
        <v>135</v>
      </c>
      <c r="GV138" s="53">
        <v>132</v>
      </c>
    </row>
    <row r="139" spans="1:204" ht="15.5" x14ac:dyDescent="0.35">
      <c r="A139" s="95">
        <f t="shared" si="43"/>
        <v>1</v>
      </c>
      <c r="B139" s="11"/>
      <c r="C139" s="11"/>
      <c r="D139" s="92" t="str">
        <f>IFERROR(
IF(AND(OR(Planilla!B139="C",Planilla!B139="c"), VLOOKUP(E139,EX:FJ,13,0)="C"), "OK",IF(AND(OR(Planilla!B139="C",Planilla!B139="c"), OR(VLOOKUP(E139,EX:FJ,13,0)="B", VLOOKUP(E139,EX:FJ,13,0)="A")), "DEFICIT",IF(
AND(OR(Planilla!B139="B", Planilla!B139="BPAL"), VLOOKUP(E139,EX:FJ,13,0)="B"), "OK",IF(AND(OR(Planilla!B139="B", Planilla!B139="BPAL"), VLOOKUP(E139,EX:FJ,13,0)="A"), "DEFICIT",IF(AND(OR(Planilla!B139="B", Planilla!B139="BPAL"), VLOOKUP(E139,EX:FJ,13,0)="C"), "SOBREOFERTA",IF(AND(Planilla!B139="A", VLOOKUP(E139,EX:FJ,13,0)="A"), "OK",IF(
AND(Planilla!B139="A", OR(VLOOKUP(E139,EX:FJ,13,0)="B", VLOOKUP(E139,EX:FJ,13,0)="C")), "SOBREOFERTA",""
))))))),"")</f>
        <v/>
      </c>
      <c r="E139" s="12"/>
      <c r="F139" s="13"/>
      <c r="G139" s="14"/>
      <c r="H139" s="81" t="str">
        <f t="shared" si="44"/>
        <v/>
      </c>
      <c r="I139" s="7"/>
      <c r="J139" s="6" t="e">
        <f t="shared" si="45"/>
        <v>#N/A</v>
      </c>
      <c r="K139" s="6" t="str">
        <f>IF(A140&lt;&gt;A139,AVERAGEIF(A$9:A139,A139,J$9:J139),"")</f>
        <v/>
      </c>
      <c r="L139" s="7" t="str">
        <f>IFERROR(IF(A140&lt;&gt;A139,AVERAGEIF(A$9:A139,A139,S$9:S139),""),"")</f>
        <v/>
      </c>
      <c r="M139" s="7" t="str">
        <f>IFERROR(IF(A140&lt;&gt;A139,AVERAGEIF(A$9:A139,A139,T$9:T139),""),"")</f>
        <v/>
      </c>
      <c r="N139" s="7" t="str" cm="1">
        <f t="array" ref="N139">IFERROR(IF(A140&lt;&gt;A139,_xlfn.STDEV.P(IF(A$9:A139=A139,T$9:T139)),""),"")</f>
        <v/>
      </c>
      <c r="O139" s="7" t="str" cm="1">
        <f t="array" ref="O139">IFERROR(IF(A140&lt;&gt;A139,_xlfn.STDEV.P(IF(A$9:A139=A139,S$9:S139)),""),"")</f>
        <v/>
      </c>
      <c r="P139" s="8" t="str">
        <f t="shared" si="46"/>
        <v/>
      </c>
      <c r="Q139" s="8" t="str">
        <f t="shared" si="47"/>
        <v/>
      </c>
      <c r="R139" s="8" t="str">
        <f t="shared" si="48"/>
        <v/>
      </c>
      <c r="S139" s="9" t="str">
        <f t="shared" si="49"/>
        <v/>
      </c>
      <c r="T139" s="9" t="str">
        <f t="shared" si="50"/>
        <v/>
      </c>
      <c r="U139" s="14">
        <v>0.93819444444444444</v>
      </c>
      <c r="V139" s="15"/>
      <c r="W139" s="14" t="str">
        <f t="shared" si="51"/>
        <v/>
      </c>
      <c r="X139" s="15"/>
      <c r="Y139" s="2"/>
      <c r="AB139" s="22">
        <f t="shared" si="52"/>
        <v>1</v>
      </c>
      <c r="AC139" s="11"/>
      <c r="AD139" s="11"/>
      <c r="AE139" s="13"/>
      <c r="AF139" s="12"/>
      <c r="AG139" s="13"/>
      <c r="AH139" s="14"/>
      <c r="AI139" s="81" t="str">
        <f t="shared" si="53"/>
        <v/>
      </c>
      <c r="AJ139" s="15"/>
      <c r="AK139" s="6" t="e">
        <f t="shared" si="54"/>
        <v>#N/A</v>
      </c>
      <c r="AL139" s="6" t="str">
        <f>IF(AB140&lt;&gt;AB139,AVERAGEIF(AB$9:AB139,AB139,AK$9:AK139),"")</f>
        <v/>
      </c>
      <c r="AM139" s="7" t="str">
        <f>IFERROR(IF(AB140&lt;&gt;AB139,AVERAGEIF(AB$9:AB139,AB139,AT$9:AT139),""),"")</f>
        <v/>
      </c>
      <c r="AN139" s="7" t="str">
        <f>IFERROR(IF(AB140&lt;&gt;AB139,AVERAGEIF(AB$9:AB139,AB139,AU$9:AU139),""),"")</f>
        <v/>
      </c>
      <c r="AO139" s="7" t="str" cm="1">
        <f t="array" ref="AO139">IFERROR(IF(AB140&lt;&gt;AB139,_xlfn.STDEV.P(IF(AB$9:AB139=AB139,AU$9:AU139)),""),"")</f>
        <v/>
      </c>
      <c r="AP139" s="7" t="str" cm="1">
        <f t="array" ref="AP139">IFERROR(IF(AB140&lt;&gt;AB139,_xlfn.STDEV.P(IF(AB$9:AB139=AB139,AT$9:AT139)),""),"")</f>
        <v/>
      </c>
      <c r="AQ139" s="8" t="str">
        <f t="shared" si="55"/>
        <v/>
      </c>
      <c r="AR139" s="8" t="str">
        <f t="shared" si="56"/>
        <v/>
      </c>
      <c r="AS139" s="8" t="str">
        <f t="shared" si="57"/>
        <v/>
      </c>
      <c r="AT139" s="9" t="str">
        <f t="shared" si="58"/>
        <v/>
      </c>
      <c r="AU139" s="9" t="str">
        <f t="shared" si="59"/>
        <v/>
      </c>
      <c r="AV139" s="14"/>
      <c r="AW139" s="15"/>
      <c r="AX139" s="14" t="str">
        <f t="shared" si="60"/>
        <v/>
      </c>
      <c r="AY139" s="15"/>
      <c r="AZ139" s="23"/>
      <c r="EW139" t="s">
        <v>46</v>
      </c>
      <c r="EX139" s="33">
        <v>1136</v>
      </c>
      <c r="EY139" s="33" t="s">
        <v>421</v>
      </c>
      <c r="EZ139" s="33" t="s">
        <v>422</v>
      </c>
      <c r="FA139" s="33" t="s">
        <v>343</v>
      </c>
      <c r="FB139" s="33" t="s">
        <v>344</v>
      </c>
      <c r="FC139" s="33" t="s">
        <v>345</v>
      </c>
      <c r="FD139" s="33" t="s">
        <v>346</v>
      </c>
      <c r="FE139" s="33">
        <v>2025</v>
      </c>
      <c r="FF139" s="33" t="s">
        <v>59</v>
      </c>
      <c r="FG139" s="33" t="s">
        <v>56</v>
      </c>
      <c r="FH139" s="33" t="s">
        <v>57</v>
      </c>
      <c r="FI139" s="33" t="s">
        <v>58</v>
      </c>
      <c r="FJ139" t="s">
        <v>59</v>
      </c>
      <c r="FM139" s="32" t="s">
        <v>412</v>
      </c>
      <c r="FN139" t="s">
        <v>413</v>
      </c>
      <c r="FO139" t="s">
        <v>414</v>
      </c>
      <c r="FP139" t="str">
        <f t="shared" si="61"/>
        <v>B</v>
      </c>
      <c r="GU139" s="53">
        <v>136</v>
      </c>
      <c r="GV139" s="53">
        <v>133</v>
      </c>
    </row>
    <row r="140" spans="1:204" ht="15.5" x14ac:dyDescent="0.35">
      <c r="A140" s="95">
        <f t="shared" si="43"/>
        <v>1</v>
      </c>
      <c r="B140" s="11"/>
      <c r="C140" s="11"/>
      <c r="D140" s="92" t="str">
        <f>IFERROR(
IF(AND(OR(Planilla!B140="C",Planilla!B140="c"), VLOOKUP(E140,EX:FJ,13,0)="C"), "OK",IF(AND(OR(Planilla!B140="C",Planilla!B140="c"), OR(VLOOKUP(E140,EX:FJ,13,0)="B", VLOOKUP(E140,EX:FJ,13,0)="A")), "DEFICIT",IF(
AND(OR(Planilla!B140="B", Planilla!B140="BPAL"), VLOOKUP(E140,EX:FJ,13,0)="B"), "OK",IF(AND(OR(Planilla!B140="B", Planilla!B140="BPAL"), VLOOKUP(E140,EX:FJ,13,0)="A"), "DEFICIT",IF(AND(OR(Planilla!B140="B", Planilla!B140="BPAL"), VLOOKUP(E140,EX:FJ,13,0)="C"), "SOBREOFERTA",IF(AND(Planilla!B140="A", VLOOKUP(E140,EX:FJ,13,0)="A"), "OK",IF(
AND(Planilla!B140="A", OR(VLOOKUP(E140,EX:FJ,13,0)="B", VLOOKUP(E140,EX:FJ,13,0)="C")), "SOBREOFERTA",""
))))))),"")</f>
        <v/>
      </c>
      <c r="E140" s="12"/>
      <c r="F140" s="13"/>
      <c r="G140" s="14"/>
      <c r="H140" s="81" t="str">
        <f t="shared" si="44"/>
        <v/>
      </c>
      <c r="I140" s="7"/>
      <c r="J140" s="6" t="e">
        <f t="shared" si="45"/>
        <v>#N/A</v>
      </c>
      <c r="K140" s="6" t="str">
        <f>IF(A141&lt;&gt;A140,AVERAGEIF(A$9:A140,A140,J$9:J140),"")</f>
        <v/>
      </c>
      <c r="L140" s="7" t="str">
        <f>IFERROR(IF(A141&lt;&gt;A140,AVERAGEIF(A$9:A140,A140,S$9:S140),""),"")</f>
        <v/>
      </c>
      <c r="M140" s="7" t="str">
        <f>IFERROR(IF(A141&lt;&gt;A140,AVERAGEIF(A$9:A140,A140,T$9:T140),""),"")</f>
        <v/>
      </c>
      <c r="N140" s="7" t="str" cm="1">
        <f t="array" ref="N140">IFERROR(IF(A141&lt;&gt;A140,_xlfn.STDEV.P(IF(A$9:A140=A140,T$9:T140)),""),"")</f>
        <v/>
      </c>
      <c r="O140" s="7" t="str" cm="1">
        <f t="array" ref="O140">IFERROR(IF(A141&lt;&gt;A140,_xlfn.STDEV.P(IF(A$9:A140=A140,S$9:S140)),""),"")</f>
        <v/>
      </c>
      <c r="P140" s="8" t="str">
        <f t="shared" si="46"/>
        <v/>
      </c>
      <c r="Q140" s="8" t="str">
        <f t="shared" si="47"/>
        <v/>
      </c>
      <c r="R140" s="8" t="str">
        <f t="shared" si="48"/>
        <v/>
      </c>
      <c r="S140" s="9" t="str">
        <f t="shared" si="49"/>
        <v/>
      </c>
      <c r="T140" s="9" t="str">
        <f t="shared" si="50"/>
        <v/>
      </c>
      <c r="U140" s="14">
        <v>0.94374999999999998</v>
      </c>
      <c r="V140" s="15"/>
      <c r="W140" s="14" t="str">
        <f t="shared" si="51"/>
        <v/>
      </c>
      <c r="X140" s="15"/>
      <c r="Y140" s="2"/>
      <c r="AB140" s="22">
        <f t="shared" si="52"/>
        <v>1</v>
      </c>
      <c r="AC140" s="11"/>
      <c r="AD140" s="11"/>
      <c r="AE140" s="13"/>
      <c r="AF140" s="12"/>
      <c r="AG140" s="13"/>
      <c r="AH140" s="14"/>
      <c r="AI140" s="81" t="str">
        <f t="shared" si="53"/>
        <v/>
      </c>
      <c r="AJ140" s="15"/>
      <c r="AK140" s="6" t="e">
        <f t="shared" si="54"/>
        <v>#N/A</v>
      </c>
      <c r="AL140" s="6" t="str">
        <f>IF(AB141&lt;&gt;AB140,AVERAGEIF(AB$9:AB140,AB140,AK$9:AK140),"")</f>
        <v/>
      </c>
      <c r="AM140" s="7" t="str">
        <f>IFERROR(IF(AB141&lt;&gt;AB140,AVERAGEIF(AB$9:AB140,AB140,AT$9:AT140),""),"")</f>
        <v/>
      </c>
      <c r="AN140" s="7" t="str">
        <f>IFERROR(IF(AB141&lt;&gt;AB140,AVERAGEIF(AB$9:AB140,AB140,AU$9:AU140),""),"")</f>
        <v/>
      </c>
      <c r="AO140" s="7" t="str" cm="1">
        <f t="array" ref="AO140">IFERROR(IF(AB141&lt;&gt;AB140,_xlfn.STDEV.P(IF(AB$9:AB140=AB140,AU$9:AU140)),""),"")</f>
        <v/>
      </c>
      <c r="AP140" s="7" t="str" cm="1">
        <f t="array" ref="AP140">IFERROR(IF(AB141&lt;&gt;AB140,_xlfn.STDEV.P(IF(AB$9:AB140=AB140,AT$9:AT140)),""),"")</f>
        <v/>
      </c>
      <c r="AQ140" s="8" t="str">
        <f t="shared" si="55"/>
        <v/>
      </c>
      <c r="AR140" s="8" t="str">
        <f t="shared" si="56"/>
        <v/>
      </c>
      <c r="AS140" s="8" t="str">
        <f t="shared" si="57"/>
        <v/>
      </c>
      <c r="AT140" s="9" t="str">
        <f t="shared" si="58"/>
        <v/>
      </c>
      <c r="AU140" s="9" t="str">
        <f t="shared" si="59"/>
        <v/>
      </c>
      <c r="AV140" s="14"/>
      <c r="AW140" s="15"/>
      <c r="AX140" s="14" t="str">
        <f t="shared" si="60"/>
        <v/>
      </c>
      <c r="AY140" s="15"/>
      <c r="AZ140" s="23"/>
      <c r="EW140" t="s">
        <v>46</v>
      </c>
      <c r="EX140" s="33">
        <v>1137</v>
      </c>
      <c r="EY140" s="33" t="s">
        <v>423</v>
      </c>
      <c r="EZ140" s="33" t="s">
        <v>424</v>
      </c>
      <c r="FA140" s="33" t="s">
        <v>343</v>
      </c>
      <c r="FB140" s="33" t="s">
        <v>344</v>
      </c>
      <c r="FC140" s="33" t="s">
        <v>345</v>
      </c>
      <c r="FD140" s="33" t="s">
        <v>346</v>
      </c>
      <c r="FE140" s="33">
        <v>2025</v>
      </c>
      <c r="FF140" s="33" t="s">
        <v>59</v>
      </c>
      <c r="FG140" s="33" t="s">
        <v>56</v>
      </c>
      <c r="FH140" s="33" t="s">
        <v>57</v>
      </c>
      <c r="FI140" s="33" t="s">
        <v>58</v>
      </c>
      <c r="FJ140" t="s">
        <v>59</v>
      </c>
      <c r="FM140" s="32" t="s">
        <v>425</v>
      </c>
      <c r="FN140" t="s">
        <v>426</v>
      </c>
      <c r="FO140" t="s">
        <v>427</v>
      </c>
      <c r="FP140" t="str">
        <f t="shared" si="61"/>
        <v>B</v>
      </c>
      <c r="GU140" s="53">
        <v>137</v>
      </c>
      <c r="GV140" s="53">
        <v>134</v>
      </c>
    </row>
    <row r="141" spans="1:204" ht="15.5" x14ac:dyDescent="0.35">
      <c r="A141" s="95">
        <f t="shared" si="43"/>
        <v>1</v>
      </c>
      <c r="B141" s="11"/>
      <c r="C141" s="11"/>
      <c r="D141" s="92" t="str">
        <f>IFERROR(
IF(AND(OR(Planilla!B141="C",Planilla!B141="c"), VLOOKUP(E141,EX:FJ,13,0)="C"), "OK",IF(AND(OR(Planilla!B141="C",Planilla!B141="c"), OR(VLOOKUP(E141,EX:FJ,13,0)="B", VLOOKUP(E141,EX:FJ,13,0)="A")), "DEFICIT",IF(
AND(OR(Planilla!B141="B", Planilla!B141="BPAL"), VLOOKUP(E141,EX:FJ,13,0)="B"), "OK",IF(AND(OR(Planilla!B141="B", Planilla!B141="BPAL"), VLOOKUP(E141,EX:FJ,13,0)="A"), "DEFICIT",IF(AND(OR(Planilla!B141="B", Planilla!B141="BPAL"), VLOOKUP(E141,EX:FJ,13,0)="C"), "SOBREOFERTA",IF(AND(Planilla!B141="A", VLOOKUP(E141,EX:FJ,13,0)="A"), "OK",IF(
AND(Planilla!B141="A", OR(VLOOKUP(E141,EX:FJ,13,0)="B", VLOOKUP(E141,EX:FJ,13,0)="C")), "SOBREOFERTA",""
))))))),"")</f>
        <v/>
      </c>
      <c r="E141" s="12"/>
      <c r="F141" s="13"/>
      <c r="G141" s="14"/>
      <c r="H141" s="81" t="str">
        <f t="shared" si="44"/>
        <v/>
      </c>
      <c r="I141" s="7"/>
      <c r="J141" s="6" t="e">
        <f t="shared" si="45"/>
        <v>#N/A</v>
      </c>
      <c r="K141" s="6" t="str">
        <f>IF(A142&lt;&gt;A141,AVERAGEIF(A$9:A141,A141,J$9:J141),"")</f>
        <v/>
      </c>
      <c r="L141" s="7" t="str">
        <f>IFERROR(IF(A142&lt;&gt;A141,AVERAGEIF(A$9:A141,A141,S$9:S141),""),"")</f>
        <v/>
      </c>
      <c r="M141" s="7" t="str">
        <f>IFERROR(IF(A142&lt;&gt;A141,AVERAGEIF(A$9:A141,A141,T$9:T141),""),"")</f>
        <v/>
      </c>
      <c r="N141" s="7" t="str" cm="1">
        <f t="array" ref="N141">IFERROR(IF(A142&lt;&gt;A141,_xlfn.STDEV.P(IF(A$9:A141=A141,T$9:T141)),""),"")</f>
        <v/>
      </c>
      <c r="O141" s="7" t="str" cm="1">
        <f t="array" ref="O141">IFERROR(IF(A142&lt;&gt;A141,_xlfn.STDEV.P(IF(A$9:A141=A141,S$9:S141)),""),"")</f>
        <v/>
      </c>
      <c r="P141" s="8" t="str">
        <f t="shared" si="46"/>
        <v/>
      </c>
      <c r="Q141" s="8" t="str">
        <f t="shared" si="47"/>
        <v/>
      </c>
      <c r="R141" s="8" t="str">
        <f t="shared" si="48"/>
        <v/>
      </c>
      <c r="S141" s="9" t="str">
        <f t="shared" si="49"/>
        <v/>
      </c>
      <c r="T141" s="9" t="str">
        <f t="shared" si="50"/>
        <v/>
      </c>
      <c r="U141" s="14">
        <v>0.95416666666666672</v>
      </c>
      <c r="V141" s="15"/>
      <c r="W141" s="14" t="str">
        <f t="shared" si="51"/>
        <v/>
      </c>
      <c r="X141" s="15"/>
      <c r="Y141" s="2"/>
      <c r="AB141" s="22">
        <f t="shared" si="52"/>
        <v>1</v>
      </c>
      <c r="AC141" s="11"/>
      <c r="AD141" s="11"/>
      <c r="AE141" s="13"/>
      <c r="AF141" s="12"/>
      <c r="AG141" s="13"/>
      <c r="AH141" s="14"/>
      <c r="AI141" s="81" t="str">
        <f t="shared" si="53"/>
        <v/>
      </c>
      <c r="AJ141" s="15"/>
      <c r="AK141" s="6" t="e">
        <f t="shared" si="54"/>
        <v>#N/A</v>
      </c>
      <c r="AL141" s="6" t="str">
        <f>IF(AB142&lt;&gt;AB141,AVERAGEIF(AB$9:AB141,AB141,AK$9:AK141),"")</f>
        <v/>
      </c>
      <c r="AM141" s="7" t="str">
        <f>IFERROR(IF(AB142&lt;&gt;AB141,AVERAGEIF(AB$9:AB141,AB141,AT$9:AT141),""),"")</f>
        <v/>
      </c>
      <c r="AN141" s="7" t="str">
        <f>IFERROR(IF(AB142&lt;&gt;AB141,AVERAGEIF(AB$9:AB141,AB141,AU$9:AU141),""),"")</f>
        <v/>
      </c>
      <c r="AO141" s="7" t="str" cm="1">
        <f t="array" ref="AO141">IFERROR(IF(AB142&lt;&gt;AB141,_xlfn.STDEV.P(IF(AB$9:AB141=AB141,AU$9:AU141)),""),"")</f>
        <v/>
      </c>
      <c r="AP141" s="7" t="str" cm="1">
        <f t="array" ref="AP141">IFERROR(IF(AB142&lt;&gt;AB141,_xlfn.STDEV.P(IF(AB$9:AB141=AB141,AT$9:AT141)),""),"")</f>
        <v/>
      </c>
      <c r="AQ141" s="8" t="str">
        <f t="shared" si="55"/>
        <v/>
      </c>
      <c r="AR141" s="8" t="str">
        <f t="shared" si="56"/>
        <v/>
      </c>
      <c r="AS141" s="8" t="str">
        <f t="shared" si="57"/>
        <v/>
      </c>
      <c r="AT141" s="9" t="str">
        <f t="shared" si="58"/>
        <v/>
      </c>
      <c r="AU141" s="9" t="str">
        <f t="shared" si="59"/>
        <v/>
      </c>
      <c r="AV141" s="14"/>
      <c r="AW141" s="15"/>
      <c r="AX141" s="14" t="str">
        <f t="shared" si="60"/>
        <v/>
      </c>
      <c r="AY141" s="15"/>
      <c r="AZ141" s="23"/>
      <c r="EW141" t="s">
        <v>46</v>
      </c>
      <c r="EX141" s="33">
        <v>1138</v>
      </c>
      <c r="EY141" s="33" t="s">
        <v>428</v>
      </c>
      <c r="EZ141" s="33" t="s">
        <v>429</v>
      </c>
      <c r="FA141" s="33" t="s">
        <v>343</v>
      </c>
      <c r="FB141" s="33" t="s">
        <v>344</v>
      </c>
      <c r="FC141" s="33" t="s">
        <v>345</v>
      </c>
      <c r="FD141" s="33" t="s">
        <v>346</v>
      </c>
      <c r="FE141" s="33">
        <v>2025</v>
      </c>
      <c r="FF141" s="33" t="s">
        <v>59</v>
      </c>
      <c r="FG141" s="33" t="s">
        <v>56</v>
      </c>
      <c r="FH141" s="33" t="s">
        <v>57</v>
      </c>
      <c r="FI141" s="33" t="s">
        <v>58</v>
      </c>
      <c r="FJ141" t="s">
        <v>59</v>
      </c>
      <c r="FM141" s="32" t="s">
        <v>425</v>
      </c>
      <c r="FN141" t="s">
        <v>426</v>
      </c>
      <c r="FO141" t="s">
        <v>427</v>
      </c>
      <c r="FP141" t="str">
        <f t="shared" si="61"/>
        <v>B</v>
      </c>
      <c r="GU141" s="53">
        <v>138</v>
      </c>
      <c r="GV141" s="53">
        <v>135</v>
      </c>
    </row>
    <row r="142" spans="1:204" ht="15.5" x14ac:dyDescent="0.35">
      <c r="A142" s="95">
        <f t="shared" ref="A142:A205" si="62">HOUR(G142)+1</f>
        <v>1</v>
      </c>
      <c r="B142" s="11"/>
      <c r="C142" s="11"/>
      <c r="D142" s="92" t="str">
        <f>IFERROR(
IF(AND(OR(Planilla!B142="C",Planilla!B142="c"), VLOOKUP(E142,EX:FJ,13,0)="C"), "OK",IF(AND(OR(Planilla!B142="C",Planilla!B142="c"), OR(VLOOKUP(E142,EX:FJ,13,0)="B", VLOOKUP(E142,EX:FJ,13,0)="A")), "DEFICIT",IF(
AND(OR(Planilla!B142="B", Planilla!B142="BPAL"), VLOOKUP(E142,EX:FJ,13,0)="B"), "OK",IF(AND(OR(Planilla!B142="B", Planilla!B142="BPAL"), VLOOKUP(E142,EX:FJ,13,0)="A"), "DEFICIT",IF(AND(OR(Planilla!B142="B", Planilla!B142="BPAL"), VLOOKUP(E142,EX:FJ,13,0)="C"), "SOBREOFERTA",IF(AND(Planilla!B142="A", VLOOKUP(E142,EX:FJ,13,0)="A"), "OK",IF(
AND(Planilla!B142="A", OR(VLOOKUP(E142,EX:FJ,13,0)="B", VLOOKUP(E142,EX:FJ,13,0)="C")), "SOBREOFERTA",""
))))))),"")</f>
        <v/>
      </c>
      <c r="E142" s="12"/>
      <c r="F142" s="13"/>
      <c r="G142" s="14"/>
      <c r="H142" s="81" t="str">
        <f t="shared" ref="H142:H205" si="63">IF(I142="","",IF(AND((I142-G142)&gt;=TIME(0,0,0),(I142-G142)&lt;TIME(0,3,0)),"OK",IF(AND((I142-G142)&gt;=TIME(0,3,0),(I142-G142)&lt;TIME(0,5,0)),"RETRASO DE 3-5 MIN",IF(AND((I142-G142)&gt;=TIME(0,5,0),(I142-G142)&lt;TIME(0,10,0)),"RETRASO DE 5-10 MIN",IF((I142-G142)&gt;=TIME(0,10,0),"RETRASO &gt;10 MIN",         IF(AND((G142-I142)&gt;=TIME(0,0,0),(G142-I142)&lt;TIME(0,3,0)),"OK",IF((G142-I142)&gt;=TIME(0,3,0),"ADELANTADO")))))))</f>
        <v/>
      </c>
      <c r="I142" s="7"/>
      <c r="J142" s="6" t="e">
        <f t="shared" ref="J142:J205" si="64">IF(A142&lt;&gt;"",HLOOKUP(VALUE(TEXT(G142,"h:mm:ss")),IF($C$6="Laboral",$FT$4:$GR$227,IF($C$6="Sábado",$FT$231:$GR$452,$FT$456:$GR$656)),VLOOKUP($C$4,$GZ$2:$HB$99,3,0)+IF(C$5="Ida",0,1),1),"")</f>
        <v>#N/A</v>
      </c>
      <c r="K142" s="6" t="str">
        <f>IF(A143&lt;&gt;A142,AVERAGEIF(A$9:A142,A142,J$9:J142),"")</f>
        <v/>
      </c>
      <c r="L142" s="7" t="str">
        <f>IFERROR(IF(A143&lt;&gt;A142,AVERAGEIF(A$9:A142,A142,S$9:S142),""),"")</f>
        <v/>
      </c>
      <c r="M142" s="7" t="str">
        <f>IFERROR(IF(A143&lt;&gt;A142,AVERAGEIF(A$9:A142,A142,T$9:T142),""),"")</f>
        <v/>
      </c>
      <c r="N142" s="7" t="str" cm="1">
        <f t="array" ref="N142">IFERROR(IF(A143&lt;&gt;A142,_xlfn.STDEV.P(IF(A$9:A142=A142,T$9:T142)),""),"")</f>
        <v/>
      </c>
      <c r="O142" s="7" t="str" cm="1">
        <f t="array" ref="O142">IFERROR(IF(A143&lt;&gt;A142,_xlfn.STDEV.P(IF(A$9:A142=A142,S$9:S142)),""),"")</f>
        <v/>
      </c>
      <c r="P142" s="8" t="str">
        <f t="shared" ref="P142:P205" si="65">IFERROR(IF(A142&lt;&gt;A143,MAX((((M142*24*60)/2)*(1+POWER((((N142*24*60) / (M142*24*60) )),2))) + ((M142*24*60 )*-0.1 + (K142*0.015)) +1,(((M142*24*60)/2)*(1+POWER((((N142*24*60) / (M142*24*60 ))),2)))),""),"")</f>
        <v/>
      </c>
      <c r="Q142" s="8" t="str">
        <f t="shared" ref="Q142:Q205" si="66">IF(AND(O142&lt;&gt;"",L142&lt;&gt;""),IF(A142&lt;&gt;A143,((L142*24*60) / 2 ) * (1 + POWER(((O142*24*60) / (L142*24*60)),2)),""),"")</f>
        <v/>
      </c>
      <c r="R142" s="8" t="str">
        <f t="shared" ref="R142:R205" si="67">IF(Q142&lt;&gt;"",MAX(P142,Q142),"")</f>
        <v/>
      </c>
      <c r="S142" s="9" t="str">
        <f t="shared" ref="S142:S205" si="68">IF(I142&lt;&gt;"H. Sale Real",IF(AND(I143&lt;&gt;"",LEFT(C143,2)&lt;&gt;"NC"),IF(AND(I142&lt;&gt;"",LEFT(C142,2)&lt;&gt;"NC",I142&lt;&gt;"H. Sale Real"),IF(I143-I142&lt;0.208333333333333,I143-I142,""),IF(AND(I141&lt;&gt;"",LEFT(C141,2)&lt;&gt;"NC",I141&lt;&gt;"H. Sale Real"),IF(I143-I141&lt;0.208333333333333,I143-I141,""),IF(AND(I140&lt;&gt;"",LEFT(C140,2)&lt;&gt;"NC",I140&lt;&gt;"H. Sale Real"),IF(I143-I140&lt;0.208333333333333,I143-I140,""),IF(AND(I139&lt;&gt;"",LEFT(C139,2)&lt;&gt;"NC",I139&lt;&gt;"H. Sale Real"),IF(I143-I139&lt;0.208333333333333,I143-I139,""),IF(AND(I138&lt;&gt;"",LEFT(C138,2)&lt;&gt;"NC",I138&lt;&gt;"H. Sale Real"),IF(I143-I138&lt;0.208333333333333,I143-I138,""),""))))),""),"")</f>
        <v/>
      </c>
      <c r="T142" s="9" t="str">
        <f t="shared" ref="T142:T205" si="69">IF(G142&lt;&gt;"H. Sale Real",IF(AND(G143&lt;&gt;"",LEFT(C143,2)&lt;&gt;"NC"),IF(AND(G142&lt;&gt;"",LEFT(C142,2)&lt;&gt;"NC",G142&lt;&gt;"H. Sale Real"),IF(G143-G142&lt;0.208333333333333,G143-G142,""),IF(AND(G141&lt;&gt;"",LEFT(C141,2)&lt;&gt;"NC",G141&lt;&gt;"H. Sale Real"),IF(G143-G141&lt;0.208333333333333,G143-G141,""),IF(AND(G140&lt;&gt;"",LEFT(C140,2)&lt;&gt;"NC",G140&lt;&gt;"H. Sale Real"),IF(G143-G140&lt;0.208333333333333,G143-G140,""),IF(AND(G139&lt;&gt;"",LEFT(C139,2)&lt;&gt;"NC",G139&lt;&gt;"H. Sale Real"),IF(G143-G139&lt;0.208333333333333,G143-G139,""),IF(AND(G138&lt;&gt;"",LEFT(C138,2)&lt;&gt;"NC",G138&lt;&gt;"H. Sale Real"),IF(G143-G138&lt;0.208333333333333,G143-G138,""),""))))),""),"")</f>
        <v/>
      </c>
      <c r="U142" s="14">
        <v>0.96250000000000002</v>
      </c>
      <c r="V142" s="15"/>
      <c r="W142" s="14" t="str">
        <f t="shared" ref="W142:W205" si="70">IF(G142&lt;&gt;"",IF(AND(W141&lt;&gt;"IE",P142&lt;&gt;0,R142&lt;&gt;""),IF(IFERROR((P142/R142),0) &lt;=1,IFERROR(P142/R142,""),1),""),"")</f>
        <v/>
      </c>
      <c r="X142" s="15"/>
      <c r="Y142" s="2"/>
      <c r="AB142" s="22">
        <f t="shared" ref="AB142:AB205" si="71">HOUR(AH142)+1</f>
        <v>1</v>
      </c>
      <c r="AC142" s="11"/>
      <c r="AD142" s="11"/>
      <c r="AE142" s="13"/>
      <c r="AF142" s="12"/>
      <c r="AG142" s="13"/>
      <c r="AH142" s="14"/>
      <c r="AI142" s="81" t="str">
        <f t="shared" ref="AI142:AI205" si="72">IF(AJ142="","",IF(AND((AJ142-AH142)&gt;=TIME(0,0,0),(AJ142-AH142)&lt;TIME(0,3,0)),"OK",IF(AND((AJ142-AH142)&gt;=TIME(0,3,0),(AJ142-AH142)&lt;TIME(0,5,0)),"RETRASO DE 3-5 MIN",IF(AND((AJ142-AH142)&gt;=TIME(0,5,0),(AJ142-AH142)&lt;TIME(0,10,0)),"RETRASO DE 5-10 MIN",IF((AJ142-AH142)&gt;=TIME(0,10,0),"RETRASO &gt;10 MIN",         IF(AND((AH142-AJ142)&gt;=TIME(0,0,0),(AH142-AJ142)&lt;TIME(0,3,0)),"OK",IF((AH142-AJ142)&gt;=TIME(0,3,0),"ADELANTADO")))))))</f>
        <v/>
      </c>
      <c r="AJ142" s="15"/>
      <c r="AK142" s="6" t="e">
        <f t="shared" ref="AK142:AK205" si="73">IF(AB142&lt;&gt;"",HLOOKUP(VALUE(TEXT(AH142,"h:mm:ss")),IF($C$6="Laboral",$FT$4:$GR$227,IF($C$6="Sábado",$FT$231:$GR$452,$FT$456:$GR$656)),VLOOKUP($C$4,$GZ$2:$HB$99,3,0)+IF(AD$5="Ida",0,1),1),"")</f>
        <v>#N/A</v>
      </c>
      <c r="AL142" s="6" t="str">
        <f>IF(AB143&lt;&gt;AB142,AVERAGEIF(AB$9:AB142,AB142,AK$9:AK142),"")</f>
        <v/>
      </c>
      <c r="AM142" s="7" t="str">
        <f>IFERROR(IF(AB143&lt;&gt;AB142,AVERAGEIF(AB$9:AB142,AB142,AT$9:AT142),""),"")</f>
        <v/>
      </c>
      <c r="AN142" s="7" t="str">
        <f>IFERROR(IF(AB143&lt;&gt;AB142,AVERAGEIF(AB$9:AB142,AB142,AU$9:AU142),""),"")</f>
        <v/>
      </c>
      <c r="AO142" s="7" t="str" cm="1">
        <f t="array" ref="AO142">IFERROR(IF(AB143&lt;&gt;AB142,_xlfn.STDEV.P(IF(AB$9:AB142=AB142,AU$9:AU142)),""),"")</f>
        <v/>
      </c>
      <c r="AP142" s="7" t="str" cm="1">
        <f t="array" ref="AP142">IFERROR(IF(AB143&lt;&gt;AB142,_xlfn.STDEV.P(IF(AB$9:AB142=AB142,AT$9:AT142)),""),"")</f>
        <v/>
      </c>
      <c r="AQ142" s="8" t="str">
        <f t="shared" ref="AQ142:AQ205" si="74">IFERROR(IF(AB142&lt;&gt;AB143,MAX((((AN142*24*60)/2)*(1+POWER((((AO142*24*60) / (AN142*24*60) )),2))) + ((AN142*24*60 )*-0.1 + (AL142*0.015)) +1,(((AN142*24*60)/2)*(1+POWER((((AO142*24*60) / (AN142*24*60 ))),2)))),""),"")</f>
        <v/>
      </c>
      <c r="AR142" s="8" t="str">
        <f t="shared" ref="AR142:AR205" si="75">IF(AND(AP142&lt;&gt;"",AM142&lt;&gt;""),IF(AB142&lt;&gt;AB143,((AM142*24*60) / 2 ) * (1 + POWER(((AP142*24*60) / (AM142*24*60)),2)),""),"")</f>
        <v/>
      </c>
      <c r="AS142" s="8" t="str">
        <f t="shared" ref="AS142:AS205" si="76">IF(AR142&lt;&gt;"",MAX(AQ142,AR142),"")</f>
        <v/>
      </c>
      <c r="AT142" s="9" t="str">
        <f t="shared" ref="AT142:AT205" si="77">IF(AJ142&lt;&gt;"H. Sale Real",IF(AND(AJ143&lt;&gt;"",LEFT(AD143,2)&lt;&gt;"NC"),IF(AND(AJ142&lt;&gt;"",LEFT(AD142,2)&lt;&gt;"NC",AJ142&lt;&gt;"H. Sale Real"),IF(AJ143-AJ142&lt;0.208333333333333,AJ143-AJ142,""),IF(AND(AJ141&lt;&gt;"",LEFT(AD141,2)&lt;&gt;"NC",AJ141&lt;&gt;"H. Sale Real"),IF(AJ143-AJ141&lt;0.208333333333333,AJ143-AJ141,""),IF(AND(AJ140&lt;&gt;"",LEFT(AD140,2)&lt;&gt;"NC",AJ140&lt;&gt;"H. Sale Real"),IF(AJ143-AJ140&lt;0.208333333333333,AJ143-AJ140,""),IF(AND(AJ139&lt;&gt;"",LEFT(AD139,2)&lt;&gt;"NC",AJ139&lt;&gt;"H. Sale Real"),IF(AJ143-AJ139&lt;0.208333333333333,AJ143-AJ139,""),IF(AND(AJ138&lt;&gt;"",LEFT(AD138,2)&lt;&gt;"NC",AJ138&lt;&gt;"H. Sale Real"),IF(AJ143-AJ138&lt;0.208333333333333,AJ143-AJ138,""),""))))),""),"")</f>
        <v/>
      </c>
      <c r="AU142" s="9" t="str">
        <f t="shared" ref="AU142:AU205" si="78">IF(AH142&lt;&gt;"H. Sale Real",IF(AND(AH143&lt;&gt;"",LEFT(AD143,2)&lt;&gt;"NC"),IF(AND(AH142&lt;&gt;"",LEFT(AD142,2)&lt;&gt;"NC",AH142&lt;&gt;"H. Sale Real"),IF(AH143-AH142&lt;0.208333333333333,AH143-AH142,""),IF(AND(AH141&lt;&gt;"",LEFT(AD141,2)&lt;&gt;"NC",AH141&lt;&gt;"H. Sale Real"),IF(AH143-AH141&lt;0.208333333333333,AH143-AH141,""),IF(AND(AH140&lt;&gt;"",LEFT(AD140,2)&lt;&gt;"NC",AH140&lt;&gt;"H. Sale Real"),IF(AH143-AH140&lt;0.208333333333333,AH143-AH140,""),IF(AND(AH139&lt;&gt;"",LEFT(AD139,2)&lt;&gt;"NC",AH139&lt;&gt;"H. Sale Real"),IF(AH143-AH139&lt;0.208333333333333,AH143-AH139,""),IF(AND(AH138&lt;&gt;"",LEFT(AD138,2)&lt;&gt;"NC",AH138&lt;&gt;"H. Sale Real"),IF(AH143-AH138&lt;0.208333333333333,AH143-AH138,""),""))))),""),"")</f>
        <v/>
      </c>
      <c r="AV142" s="14"/>
      <c r="AW142" s="15"/>
      <c r="AX142" s="14" t="str">
        <f t="shared" ref="AX142:AX205" si="79">IF(AH142&lt;&gt;"",IF(AND(AX141&lt;&gt;"IE",AQ142&lt;&gt;0,AS142&lt;&gt;""),IF(IFERROR((AQ142/AS142),0) &lt;=1,IFERROR(AQ142/AS142,""),1),""),"")</f>
        <v/>
      </c>
      <c r="AY142" s="15"/>
      <c r="AZ142" s="23"/>
      <c r="EW142" t="s">
        <v>46</v>
      </c>
      <c r="EX142" s="33">
        <v>1139</v>
      </c>
      <c r="EY142" s="33" t="s">
        <v>430</v>
      </c>
      <c r="EZ142" s="33" t="s">
        <v>431</v>
      </c>
      <c r="FA142" s="33" t="s">
        <v>343</v>
      </c>
      <c r="FB142" s="33" t="s">
        <v>344</v>
      </c>
      <c r="FC142" s="33" t="s">
        <v>345</v>
      </c>
      <c r="FD142" s="33" t="s">
        <v>346</v>
      </c>
      <c r="FE142" s="33">
        <v>2025</v>
      </c>
      <c r="FF142" s="33" t="s">
        <v>59</v>
      </c>
      <c r="FG142" s="33" t="s">
        <v>56</v>
      </c>
      <c r="FH142" s="33" t="s">
        <v>57</v>
      </c>
      <c r="FI142" s="33" t="s">
        <v>58</v>
      </c>
      <c r="FJ142" t="s">
        <v>59</v>
      </c>
      <c r="FM142" s="32" t="s">
        <v>425</v>
      </c>
      <c r="FN142" t="s">
        <v>426</v>
      </c>
      <c r="FO142" t="s">
        <v>427</v>
      </c>
      <c r="FP142" t="str">
        <f t="shared" si="61"/>
        <v>B</v>
      </c>
      <c r="GU142" s="53">
        <v>139</v>
      </c>
      <c r="GV142" s="53">
        <v>136</v>
      </c>
    </row>
    <row r="143" spans="1:204" ht="15.5" x14ac:dyDescent="0.35">
      <c r="A143" s="95">
        <f t="shared" si="62"/>
        <v>1</v>
      </c>
      <c r="B143" s="11"/>
      <c r="C143" s="11"/>
      <c r="D143" s="92" t="str">
        <f>IFERROR(
IF(AND(OR(Planilla!B143="C",Planilla!B143="c"), VLOOKUP(E143,EX:FJ,13,0)="C"), "OK",IF(AND(OR(Planilla!B143="C",Planilla!B143="c"), OR(VLOOKUP(E143,EX:FJ,13,0)="B", VLOOKUP(E143,EX:FJ,13,0)="A")), "DEFICIT",IF(
AND(OR(Planilla!B143="B", Planilla!B143="BPAL"), VLOOKUP(E143,EX:FJ,13,0)="B"), "OK",IF(AND(OR(Planilla!B143="B", Planilla!B143="BPAL"), VLOOKUP(E143,EX:FJ,13,0)="A"), "DEFICIT",IF(AND(OR(Planilla!B143="B", Planilla!B143="BPAL"), VLOOKUP(E143,EX:FJ,13,0)="C"), "SOBREOFERTA",IF(AND(Planilla!B143="A", VLOOKUP(E143,EX:FJ,13,0)="A"), "OK",IF(
AND(Planilla!B143="A", OR(VLOOKUP(E143,EX:FJ,13,0)="B", VLOOKUP(E143,EX:FJ,13,0)="C")), "SOBREOFERTA",""
))))))),"")</f>
        <v/>
      </c>
      <c r="E143" s="12"/>
      <c r="F143" s="13"/>
      <c r="G143" s="14"/>
      <c r="H143" s="81" t="str">
        <f t="shared" si="63"/>
        <v/>
      </c>
      <c r="I143" s="7"/>
      <c r="J143" s="6" t="e">
        <f t="shared" si="64"/>
        <v>#N/A</v>
      </c>
      <c r="K143" s="6" t="str">
        <f>IF(A144&lt;&gt;A143,AVERAGEIF(A$9:A143,A143,J$9:J143),"")</f>
        <v/>
      </c>
      <c r="L143" s="7" t="str">
        <f>IFERROR(IF(A144&lt;&gt;A143,AVERAGEIF(A$9:A143,A143,S$9:S143),""),"")</f>
        <v/>
      </c>
      <c r="M143" s="7" t="str">
        <f>IFERROR(IF(A144&lt;&gt;A143,AVERAGEIF(A$9:A143,A143,T$9:T143),""),"")</f>
        <v/>
      </c>
      <c r="N143" s="7" t="str" cm="1">
        <f t="array" ref="N143">IFERROR(IF(A144&lt;&gt;A143,_xlfn.STDEV.P(IF(A$9:A143=A143,T$9:T143)),""),"")</f>
        <v/>
      </c>
      <c r="O143" s="7" t="str" cm="1">
        <f t="array" ref="O143">IFERROR(IF(A144&lt;&gt;A143,_xlfn.STDEV.P(IF(A$9:A143=A143,S$9:S143)),""),"")</f>
        <v/>
      </c>
      <c r="P143" s="8" t="str">
        <f t="shared" si="65"/>
        <v/>
      </c>
      <c r="Q143" s="8" t="str">
        <f t="shared" si="66"/>
        <v/>
      </c>
      <c r="R143" s="8" t="str">
        <f t="shared" si="67"/>
        <v/>
      </c>
      <c r="S143" s="9" t="str">
        <f t="shared" si="68"/>
        <v/>
      </c>
      <c r="T143" s="9" t="str">
        <f t="shared" si="69"/>
        <v/>
      </c>
      <c r="U143" s="14">
        <v>0.97291666666666665</v>
      </c>
      <c r="V143" s="15"/>
      <c r="W143" s="14" t="str">
        <f t="shared" si="70"/>
        <v/>
      </c>
      <c r="X143" s="15"/>
      <c r="Y143" s="2"/>
      <c r="AB143" s="22">
        <f t="shared" si="71"/>
        <v>1</v>
      </c>
      <c r="AC143" s="11"/>
      <c r="AD143" s="11"/>
      <c r="AE143" s="13"/>
      <c r="AF143" s="12"/>
      <c r="AG143" s="13"/>
      <c r="AH143" s="14"/>
      <c r="AI143" s="81" t="str">
        <f t="shared" si="72"/>
        <v/>
      </c>
      <c r="AJ143" s="15"/>
      <c r="AK143" s="6" t="e">
        <f t="shared" si="73"/>
        <v>#N/A</v>
      </c>
      <c r="AL143" s="6" t="str">
        <f>IF(AB144&lt;&gt;AB143,AVERAGEIF(AB$9:AB143,AB143,AK$9:AK143),"")</f>
        <v/>
      </c>
      <c r="AM143" s="7" t="str">
        <f>IFERROR(IF(AB144&lt;&gt;AB143,AVERAGEIF(AB$9:AB143,AB143,AT$9:AT143),""),"")</f>
        <v/>
      </c>
      <c r="AN143" s="7" t="str">
        <f>IFERROR(IF(AB144&lt;&gt;AB143,AVERAGEIF(AB$9:AB143,AB143,AU$9:AU143),""),"")</f>
        <v/>
      </c>
      <c r="AO143" s="7" t="str" cm="1">
        <f t="array" ref="AO143">IFERROR(IF(AB144&lt;&gt;AB143,_xlfn.STDEV.P(IF(AB$9:AB143=AB143,AU$9:AU143)),""),"")</f>
        <v/>
      </c>
      <c r="AP143" s="7" t="str" cm="1">
        <f t="array" ref="AP143">IFERROR(IF(AB144&lt;&gt;AB143,_xlfn.STDEV.P(IF(AB$9:AB143=AB143,AT$9:AT143)),""),"")</f>
        <v/>
      </c>
      <c r="AQ143" s="8" t="str">
        <f t="shared" si="74"/>
        <v/>
      </c>
      <c r="AR143" s="8" t="str">
        <f t="shared" si="75"/>
        <v/>
      </c>
      <c r="AS143" s="8" t="str">
        <f t="shared" si="76"/>
        <v/>
      </c>
      <c r="AT143" s="9" t="str">
        <f t="shared" si="77"/>
        <v/>
      </c>
      <c r="AU143" s="9" t="str">
        <f t="shared" si="78"/>
        <v/>
      </c>
      <c r="AV143" s="14"/>
      <c r="AW143" s="15"/>
      <c r="AX143" s="14" t="str">
        <f t="shared" si="79"/>
        <v/>
      </c>
      <c r="AY143" s="15"/>
      <c r="AZ143" s="23"/>
      <c r="EW143" t="s">
        <v>46</v>
      </c>
      <c r="EX143" s="33">
        <v>1140</v>
      </c>
      <c r="EY143" s="33" t="s">
        <v>432</v>
      </c>
      <c r="EZ143" s="33" t="s">
        <v>433</v>
      </c>
      <c r="FA143" s="33" t="s">
        <v>343</v>
      </c>
      <c r="FB143" s="33" t="s">
        <v>344</v>
      </c>
      <c r="FC143" s="33" t="s">
        <v>345</v>
      </c>
      <c r="FD143" s="33" t="s">
        <v>346</v>
      </c>
      <c r="FE143" s="33">
        <v>2025</v>
      </c>
      <c r="FF143" s="33" t="s">
        <v>59</v>
      </c>
      <c r="FG143" s="33" t="s">
        <v>71</v>
      </c>
      <c r="FH143" s="33" t="s">
        <v>72</v>
      </c>
      <c r="FI143" s="33" t="s">
        <v>73</v>
      </c>
      <c r="FJ143" t="s">
        <v>59</v>
      </c>
      <c r="FM143" s="32" t="s">
        <v>425</v>
      </c>
      <c r="FN143" t="s">
        <v>426</v>
      </c>
      <c r="FO143" t="s">
        <v>427</v>
      </c>
      <c r="FP143" t="str">
        <f t="shared" si="61"/>
        <v>B</v>
      </c>
      <c r="GU143" s="53">
        <v>140</v>
      </c>
      <c r="GV143" s="53">
        <v>137</v>
      </c>
    </row>
    <row r="144" spans="1:204" ht="15.5" x14ac:dyDescent="0.35">
      <c r="A144" s="95">
        <f t="shared" si="62"/>
        <v>1</v>
      </c>
      <c r="B144" s="11"/>
      <c r="C144" s="11"/>
      <c r="D144" s="92" t="str">
        <f>IFERROR(
IF(AND(OR(Planilla!B144="C",Planilla!B144="c"), VLOOKUP(E144,EX:FJ,13,0)="C"), "OK",IF(AND(OR(Planilla!B144="C",Planilla!B144="c"), OR(VLOOKUP(E144,EX:FJ,13,0)="B", VLOOKUP(E144,EX:FJ,13,0)="A")), "DEFICIT",IF(
AND(OR(Planilla!B144="B", Planilla!B144="BPAL"), VLOOKUP(E144,EX:FJ,13,0)="B"), "OK",IF(AND(OR(Planilla!B144="B", Planilla!B144="BPAL"), VLOOKUP(E144,EX:FJ,13,0)="A"), "DEFICIT",IF(AND(OR(Planilla!B144="B", Planilla!B144="BPAL"), VLOOKUP(E144,EX:FJ,13,0)="C"), "SOBREOFERTA",IF(AND(Planilla!B144="A", VLOOKUP(E144,EX:FJ,13,0)="A"), "OK",IF(
AND(Planilla!B144="A", OR(VLOOKUP(E144,EX:FJ,13,0)="B", VLOOKUP(E144,EX:FJ,13,0)="C")), "SOBREOFERTA",""
))))))),"")</f>
        <v/>
      </c>
      <c r="E144" s="12"/>
      <c r="F144" s="13"/>
      <c r="G144" s="14"/>
      <c r="H144" s="81" t="str">
        <f t="shared" si="63"/>
        <v/>
      </c>
      <c r="I144" s="7"/>
      <c r="J144" s="6" t="e">
        <f t="shared" si="64"/>
        <v>#N/A</v>
      </c>
      <c r="K144" s="6" t="str">
        <f>IF(A145&lt;&gt;A144,AVERAGEIF(A$9:A144,A144,J$9:J144),"")</f>
        <v/>
      </c>
      <c r="L144" s="7" t="str">
        <f>IFERROR(IF(A145&lt;&gt;A144,AVERAGEIF(A$9:A144,A144,S$9:S144),""),"")</f>
        <v/>
      </c>
      <c r="M144" s="7" t="str">
        <f>IFERROR(IF(A145&lt;&gt;A144,AVERAGEIF(A$9:A144,A144,T$9:T144),""),"")</f>
        <v/>
      </c>
      <c r="N144" s="7" t="str" cm="1">
        <f t="array" ref="N144">IFERROR(IF(A145&lt;&gt;A144,_xlfn.STDEV.P(IF(A$9:A144=A144,T$9:T144)),""),"")</f>
        <v/>
      </c>
      <c r="O144" s="7" t="str" cm="1">
        <f t="array" ref="O144">IFERROR(IF(A145&lt;&gt;A144,_xlfn.STDEV.P(IF(A$9:A144=A144,S$9:S144)),""),"")</f>
        <v/>
      </c>
      <c r="P144" s="8" t="str">
        <f t="shared" si="65"/>
        <v/>
      </c>
      <c r="Q144" s="8" t="str">
        <f t="shared" si="66"/>
        <v/>
      </c>
      <c r="R144" s="8" t="str">
        <f t="shared" si="67"/>
        <v/>
      </c>
      <c r="S144" s="9" t="str">
        <f t="shared" si="68"/>
        <v/>
      </c>
      <c r="T144" s="9" t="str">
        <f t="shared" si="69"/>
        <v/>
      </c>
      <c r="U144" s="14">
        <v>0.98124999999999996</v>
      </c>
      <c r="V144" s="15"/>
      <c r="W144" s="14" t="str">
        <f t="shared" si="70"/>
        <v/>
      </c>
      <c r="X144" s="15"/>
      <c r="Y144" s="2"/>
      <c r="AB144" s="22">
        <f t="shared" si="71"/>
        <v>1</v>
      </c>
      <c r="AC144" s="11"/>
      <c r="AD144" s="11"/>
      <c r="AE144" s="13"/>
      <c r="AF144" s="12"/>
      <c r="AG144" s="13"/>
      <c r="AH144" s="14"/>
      <c r="AI144" s="81" t="str">
        <f t="shared" si="72"/>
        <v/>
      </c>
      <c r="AJ144" s="15"/>
      <c r="AK144" s="6" t="e">
        <f t="shared" si="73"/>
        <v>#N/A</v>
      </c>
      <c r="AL144" s="6" t="str">
        <f>IF(AB145&lt;&gt;AB144,AVERAGEIF(AB$9:AB144,AB144,AK$9:AK144),"")</f>
        <v/>
      </c>
      <c r="AM144" s="7" t="str">
        <f>IFERROR(IF(AB145&lt;&gt;AB144,AVERAGEIF(AB$9:AB144,AB144,AT$9:AT144),""),"")</f>
        <v/>
      </c>
      <c r="AN144" s="7" t="str">
        <f>IFERROR(IF(AB145&lt;&gt;AB144,AVERAGEIF(AB$9:AB144,AB144,AU$9:AU144),""),"")</f>
        <v/>
      </c>
      <c r="AO144" s="7" t="str" cm="1">
        <f t="array" ref="AO144">IFERROR(IF(AB145&lt;&gt;AB144,_xlfn.STDEV.P(IF(AB$9:AB144=AB144,AU$9:AU144)),""),"")</f>
        <v/>
      </c>
      <c r="AP144" s="7" t="str" cm="1">
        <f t="array" ref="AP144">IFERROR(IF(AB145&lt;&gt;AB144,_xlfn.STDEV.P(IF(AB$9:AB144=AB144,AT$9:AT144)),""),"")</f>
        <v/>
      </c>
      <c r="AQ144" s="8" t="str">
        <f t="shared" si="74"/>
        <v/>
      </c>
      <c r="AR144" s="8" t="str">
        <f t="shared" si="75"/>
        <v/>
      </c>
      <c r="AS144" s="8" t="str">
        <f t="shared" si="76"/>
        <v/>
      </c>
      <c r="AT144" s="9" t="str">
        <f t="shared" si="77"/>
        <v/>
      </c>
      <c r="AU144" s="9" t="str">
        <f t="shared" si="78"/>
        <v/>
      </c>
      <c r="AV144" s="14"/>
      <c r="AW144" s="15"/>
      <c r="AX144" s="14" t="str">
        <f t="shared" si="79"/>
        <v/>
      </c>
      <c r="AY144" s="15"/>
      <c r="AZ144" s="23"/>
      <c r="EW144" t="s">
        <v>46</v>
      </c>
      <c r="EX144" s="33">
        <v>1141</v>
      </c>
      <c r="EY144" s="33" t="s">
        <v>434</v>
      </c>
      <c r="EZ144" s="33" t="s">
        <v>435</v>
      </c>
      <c r="FA144" s="33" t="s">
        <v>343</v>
      </c>
      <c r="FB144" s="33" t="s">
        <v>344</v>
      </c>
      <c r="FC144" s="33" t="s">
        <v>345</v>
      </c>
      <c r="FD144" s="33" t="s">
        <v>346</v>
      </c>
      <c r="FE144" s="33">
        <v>2025</v>
      </c>
      <c r="FF144" s="33" t="s">
        <v>59</v>
      </c>
      <c r="FG144" s="33" t="s">
        <v>56</v>
      </c>
      <c r="FH144" s="33" t="s">
        <v>57</v>
      </c>
      <c r="FI144" s="33" t="s">
        <v>58</v>
      </c>
      <c r="FJ144" t="s">
        <v>59</v>
      </c>
      <c r="FM144" s="32" t="s">
        <v>436</v>
      </c>
      <c r="FN144" t="s">
        <v>437</v>
      </c>
      <c r="FO144" t="s">
        <v>438</v>
      </c>
      <c r="FP144" t="str">
        <f t="shared" si="61"/>
        <v>B</v>
      </c>
      <c r="GU144" s="53">
        <v>141</v>
      </c>
      <c r="GV144" s="53">
        <v>138</v>
      </c>
    </row>
    <row r="145" spans="1:204" ht="15.5" x14ac:dyDescent="0.35">
      <c r="A145" s="95">
        <f t="shared" si="62"/>
        <v>1</v>
      </c>
      <c r="B145" s="11"/>
      <c r="C145" s="11"/>
      <c r="D145" s="92" t="str">
        <f>IFERROR(
IF(AND(OR(Planilla!B145="C",Planilla!B145="c"), VLOOKUP(E145,EX:FJ,13,0)="C"), "OK",IF(AND(OR(Planilla!B145="C",Planilla!B145="c"), OR(VLOOKUP(E145,EX:FJ,13,0)="B", VLOOKUP(E145,EX:FJ,13,0)="A")), "DEFICIT",IF(
AND(OR(Planilla!B145="B", Planilla!B145="BPAL"), VLOOKUP(E145,EX:FJ,13,0)="B"), "OK",IF(AND(OR(Planilla!B145="B", Planilla!B145="BPAL"), VLOOKUP(E145,EX:FJ,13,0)="A"), "DEFICIT",IF(AND(OR(Planilla!B145="B", Planilla!B145="BPAL"), VLOOKUP(E145,EX:FJ,13,0)="C"), "SOBREOFERTA",IF(AND(Planilla!B145="A", VLOOKUP(E145,EX:FJ,13,0)="A"), "OK",IF(
AND(Planilla!B145="A", OR(VLOOKUP(E145,EX:FJ,13,0)="B", VLOOKUP(E145,EX:FJ,13,0)="C")), "SOBREOFERTA",""
))))))),"")</f>
        <v/>
      </c>
      <c r="E145" s="12"/>
      <c r="F145" s="13"/>
      <c r="G145" s="14"/>
      <c r="H145" s="81" t="str">
        <f t="shared" si="63"/>
        <v/>
      </c>
      <c r="I145" s="7"/>
      <c r="J145" s="6" t="e">
        <f t="shared" si="64"/>
        <v>#N/A</v>
      </c>
      <c r="K145" s="6" t="str">
        <f>IF(A146&lt;&gt;A145,AVERAGEIF(A$9:A145,A145,J$9:J145),"")</f>
        <v/>
      </c>
      <c r="L145" s="7" t="str">
        <f>IFERROR(IF(A146&lt;&gt;A145,AVERAGEIF(A$9:A145,A145,S$9:S145),""),"")</f>
        <v/>
      </c>
      <c r="M145" s="7" t="str">
        <f>IFERROR(IF(A146&lt;&gt;A145,AVERAGEIF(A$9:A145,A145,T$9:T145),""),"")</f>
        <v/>
      </c>
      <c r="N145" s="7" t="str" cm="1">
        <f t="array" ref="N145">IFERROR(IF(A146&lt;&gt;A145,_xlfn.STDEV.P(IF(A$9:A145=A145,T$9:T145)),""),"")</f>
        <v/>
      </c>
      <c r="O145" s="7" t="str" cm="1">
        <f t="array" ref="O145">IFERROR(IF(A146&lt;&gt;A145,_xlfn.STDEV.P(IF(A$9:A145=A145,S$9:S145)),""),"")</f>
        <v/>
      </c>
      <c r="P145" s="8" t="str">
        <f t="shared" si="65"/>
        <v/>
      </c>
      <c r="Q145" s="8" t="str">
        <f t="shared" si="66"/>
        <v/>
      </c>
      <c r="R145" s="8" t="str">
        <f t="shared" si="67"/>
        <v/>
      </c>
      <c r="S145" s="9" t="str">
        <f t="shared" si="68"/>
        <v/>
      </c>
      <c r="T145" s="9" t="str">
        <f t="shared" si="69"/>
        <v/>
      </c>
      <c r="U145" s="14">
        <v>0.99513888888888891</v>
      </c>
      <c r="V145" s="15"/>
      <c r="W145" s="14" t="str">
        <f t="shared" si="70"/>
        <v/>
      </c>
      <c r="X145" s="15"/>
      <c r="Y145" s="2"/>
      <c r="AB145" s="22">
        <f t="shared" si="71"/>
        <v>1</v>
      </c>
      <c r="AC145" s="11"/>
      <c r="AD145" s="11"/>
      <c r="AE145" s="13"/>
      <c r="AF145" s="12"/>
      <c r="AG145" s="13"/>
      <c r="AH145" s="14"/>
      <c r="AI145" s="81" t="str">
        <f t="shared" si="72"/>
        <v/>
      </c>
      <c r="AJ145" s="15"/>
      <c r="AK145" s="6" t="e">
        <f t="shared" si="73"/>
        <v>#N/A</v>
      </c>
      <c r="AL145" s="6" t="str">
        <f>IF(AB146&lt;&gt;AB145,AVERAGEIF(AB$9:AB145,AB145,AK$9:AK145),"")</f>
        <v/>
      </c>
      <c r="AM145" s="7" t="str">
        <f>IFERROR(IF(AB146&lt;&gt;AB145,AVERAGEIF(AB$9:AB145,AB145,AT$9:AT145),""),"")</f>
        <v/>
      </c>
      <c r="AN145" s="7" t="str">
        <f>IFERROR(IF(AB146&lt;&gt;AB145,AVERAGEIF(AB$9:AB145,AB145,AU$9:AU145),""),"")</f>
        <v/>
      </c>
      <c r="AO145" s="7" t="str" cm="1">
        <f t="array" ref="AO145">IFERROR(IF(AB146&lt;&gt;AB145,_xlfn.STDEV.P(IF(AB$9:AB145=AB145,AU$9:AU145)),""),"")</f>
        <v/>
      </c>
      <c r="AP145" s="7" t="str" cm="1">
        <f t="array" ref="AP145">IFERROR(IF(AB146&lt;&gt;AB145,_xlfn.STDEV.P(IF(AB$9:AB145=AB145,AT$9:AT145)),""),"")</f>
        <v/>
      </c>
      <c r="AQ145" s="8" t="str">
        <f t="shared" si="74"/>
        <v/>
      </c>
      <c r="AR145" s="8" t="str">
        <f t="shared" si="75"/>
        <v/>
      </c>
      <c r="AS145" s="8" t="str">
        <f t="shared" si="76"/>
        <v/>
      </c>
      <c r="AT145" s="9" t="str">
        <f t="shared" si="77"/>
        <v/>
      </c>
      <c r="AU145" s="9" t="str">
        <f t="shared" si="78"/>
        <v/>
      </c>
      <c r="AV145" s="14"/>
      <c r="AW145" s="15"/>
      <c r="AX145" s="14" t="str">
        <f t="shared" si="79"/>
        <v/>
      </c>
      <c r="AY145" s="15"/>
      <c r="AZ145" s="23"/>
      <c r="EW145" t="s">
        <v>46</v>
      </c>
      <c r="EX145" s="33">
        <v>1142</v>
      </c>
      <c r="EY145" s="33" t="s">
        <v>439</v>
      </c>
      <c r="EZ145" s="33" t="s">
        <v>440</v>
      </c>
      <c r="FA145" s="33" t="s">
        <v>343</v>
      </c>
      <c r="FB145" s="33" t="s">
        <v>344</v>
      </c>
      <c r="FC145" s="33" t="s">
        <v>345</v>
      </c>
      <c r="FD145" s="33" t="s">
        <v>346</v>
      </c>
      <c r="FE145" s="33">
        <v>2025</v>
      </c>
      <c r="FF145" s="33" t="s">
        <v>59</v>
      </c>
      <c r="FG145" s="33" t="s">
        <v>56</v>
      </c>
      <c r="FH145" s="33" t="s">
        <v>57</v>
      </c>
      <c r="FI145" s="33" t="s">
        <v>58</v>
      </c>
      <c r="FJ145" t="s">
        <v>59</v>
      </c>
      <c r="FM145" s="32" t="s">
        <v>436</v>
      </c>
      <c r="FN145" t="s">
        <v>437</v>
      </c>
      <c r="FO145" t="s">
        <v>438</v>
      </c>
      <c r="FP145" t="str">
        <f t="shared" si="61"/>
        <v>B</v>
      </c>
      <c r="GU145" s="53">
        <v>142</v>
      </c>
      <c r="GV145" s="53">
        <v>139</v>
      </c>
    </row>
    <row r="146" spans="1:204" ht="15.5" x14ac:dyDescent="0.35">
      <c r="A146" s="95">
        <f t="shared" si="62"/>
        <v>1</v>
      </c>
      <c r="B146" s="11"/>
      <c r="C146" s="11"/>
      <c r="D146" s="92" t="str">
        <f>IFERROR(
IF(AND(OR(Planilla!B146="C",Planilla!B146="c"), VLOOKUP(E146,EX:FJ,13,0)="C"), "OK",IF(AND(OR(Planilla!B146="C",Planilla!B146="c"), OR(VLOOKUP(E146,EX:FJ,13,0)="B", VLOOKUP(E146,EX:FJ,13,0)="A")), "DEFICIT",IF(
AND(OR(Planilla!B146="B", Planilla!B146="BPAL"), VLOOKUP(E146,EX:FJ,13,0)="B"), "OK",IF(AND(OR(Planilla!B146="B", Planilla!B146="BPAL"), VLOOKUP(E146,EX:FJ,13,0)="A"), "DEFICIT",IF(AND(OR(Planilla!B146="B", Planilla!B146="BPAL"), VLOOKUP(E146,EX:FJ,13,0)="C"), "SOBREOFERTA",IF(AND(Planilla!B146="A", VLOOKUP(E146,EX:FJ,13,0)="A"), "OK",IF(
AND(Planilla!B146="A", OR(VLOOKUP(E146,EX:FJ,13,0)="B", VLOOKUP(E146,EX:FJ,13,0)="C")), "SOBREOFERTA",""
))))))),"")</f>
        <v/>
      </c>
      <c r="E146" s="12"/>
      <c r="F146" s="13"/>
      <c r="G146" s="14"/>
      <c r="H146" s="81" t="str">
        <f t="shared" si="63"/>
        <v/>
      </c>
      <c r="I146" s="7"/>
      <c r="J146" s="6" t="e">
        <f t="shared" si="64"/>
        <v>#N/A</v>
      </c>
      <c r="K146" s="6" t="str">
        <f>IF(A147&lt;&gt;A146,AVERAGEIF(A$9:A146,A146,J$9:J146),"")</f>
        <v/>
      </c>
      <c r="L146" s="7" t="str">
        <f>IFERROR(IF(A147&lt;&gt;A146,AVERAGEIF(A$9:A146,A146,S$9:S146),""),"")</f>
        <v/>
      </c>
      <c r="M146" s="7" t="str">
        <f>IFERROR(IF(A147&lt;&gt;A146,AVERAGEIF(A$9:A146,A146,T$9:T146),""),"")</f>
        <v/>
      </c>
      <c r="N146" s="7" t="str" cm="1">
        <f t="array" ref="N146">IFERROR(IF(A147&lt;&gt;A146,_xlfn.STDEV.P(IF(A$9:A146=A146,T$9:T146)),""),"")</f>
        <v/>
      </c>
      <c r="O146" s="7" t="str" cm="1">
        <f t="array" ref="O146">IFERROR(IF(A147&lt;&gt;A146,_xlfn.STDEV.P(IF(A$9:A146=A146,S$9:S146)),""),"")</f>
        <v/>
      </c>
      <c r="P146" s="8" t="str">
        <f t="shared" si="65"/>
        <v/>
      </c>
      <c r="Q146" s="8" t="str">
        <f t="shared" si="66"/>
        <v/>
      </c>
      <c r="R146" s="8" t="str">
        <f t="shared" si="67"/>
        <v/>
      </c>
      <c r="S146" s="9" t="str">
        <f t="shared" si="68"/>
        <v/>
      </c>
      <c r="T146" s="9" t="str">
        <f t="shared" si="69"/>
        <v/>
      </c>
      <c r="U146" s="14">
        <v>6.9444444444444441E-3</v>
      </c>
      <c r="V146" s="15"/>
      <c r="W146" s="14" t="str">
        <f t="shared" si="70"/>
        <v/>
      </c>
      <c r="X146" s="15"/>
      <c r="Y146" s="2"/>
      <c r="AB146" s="22">
        <f t="shared" si="71"/>
        <v>1</v>
      </c>
      <c r="AC146" s="11"/>
      <c r="AD146" s="11"/>
      <c r="AE146" s="13"/>
      <c r="AF146" s="12"/>
      <c r="AG146" s="13"/>
      <c r="AH146" s="14"/>
      <c r="AI146" s="81" t="str">
        <f t="shared" si="72"/>
        <v/>
      </c>
      <c r="AJ146" s="15"/>
      <c r="AK146" s="6" t="e">
        <f t="shared" si="73"/>
        <v>#N/A</v>
      </c>
      <c r="AL146" s="6" t="str">
        <f>IF(AB147&lt;&gt;AB146,AVERAGEIF(AB$9:AB146,AB146,AK$9:AK146),"")</f>
        <v/>
      </c>
      <c r="AM146" s="7" t="str">
        <f>IFERROR(IF(AB147&lt;&gt;AB146,AVERAGEIF(AB$9:AB146,AB146,AT$9:AT146),""),"")</f>
        <v/>
      </c>
      <c r="AN146" s="7" t="str">
        <f>IFERROR(IF(AB147&lt;&gt;AB146,AVERAGEIF(AB$9:AB146,AB146,AU$9:AU146),""),"")</f>
        <v/>
      </c>
      <c r="AO146" s="7" t="str" cm="1">
        <f t="array" ref="AO146">IFERROR(IF(AB147&lt;&gt;AB146,_xlfn.STDEV.P(IF(AB$9:AB146=AB146,AU$9:AU146)),""),"")</f>
        <v/>
      </c>
      <c r="AP146" s="7" t="str" cm="1">
        <f t="array" ref="AP146">IFERROR(IF(AB147&lt;&gt;AB146,_xlfn.STDEV.P(IF(AB$9:AB146=AB146,AT$9:AT146)),""),"")</f>
        <v/>
      </c>
      <c r="AQ146" s="8" t="str">
        <f t="shared" si="74"/>
        <v/>
      </c>
      <c r="AR146" s="8" t="str">
        <f t="shared" si="75"/>
        <v/>
      </c>
      <c r="AS146" s="8" t="str">
        <f t="shared" si="76"/>
        <v/>
      </c>
      <c r="AT146" s="9" t="str">
        <f t="shared" si="77"/>
        <v/>
      </c>
      <c r="AU146" s="9" t="str">
        <f t="shared" si="78"/>
        <v/>
      </c>
      <c r="AV146" s="14"/>
      <c r="AW146" s="15"/>
      <c r="AX146" s="14" t="str">
        <f t="shared" si="79"/>
        <v/>
      </c>
      <c r="AY146" s="15"/>
      <c r="AZ146" s="23"/>
      <c r="EW146" t="s">
        <v>46</v>
      </c>
      <c r="EX146" s="33">
        <v>1143</v>
      </c>
      <c r="EY146" s="33" t="s">
        <v>441</v>
      </c>
      <c r="EZ146" s="33" t="s">
        <v>442</v>
      </c>
      <c r="FA146" s="33" t="s">
        <v>343</v>
      </c>
      <c r="FB146" s="33" t="s">
        <v>344</v>
      </c>
      <c r="FC146" s="33" t="s">
        <v>345</v>
      </c>
      <c r="FD146" s="33" t="s">
        <v>346</v>
      </c>
      <c r="FE146" s="33">
        <v>2025</v>
      </c>
      <c r="FF146" s="33" t="s">
        <v>59</v>
      </c>
      <c r="FG146" s="33" t="s">
        <v>56</v>
      </c>
      <c r="FH146" s="33" t="s">
        <v>57</v>
      </c>
      <c r="FI146" s="33" t="s">
        <v>58</v>
      </c>
      <c r="FJ146" t="s">
        <v>59</v>
      </c>
      <c r="FM146" s="32" t="s">
        <v>436</v>
      </c>
      <c r="FN146" t="s">
        <v>437</v>
      </c>
      <c r="FO146" t="s">
        <v>438</v>
      </c>
      <c r="FP146" t="str">
        <f t="shared" si="61"/>
        <v>B</v>
      </c>
      <c r="GU146" s="53">
        <v>143</v>
      </c>
      <c r="GV146" s="53">
        <v>140</v>
      </c>
    </row>
    <row r="147" spans="1:204" ht="15.5" x14ac:dyDescent="0.35">
      <c r="A147" s="95">
        <f t="shared" si="62"/>
        <v>1</v>
      </c>
      <c r="B147" s="11"/>
      <c r="C147" s="11"/>
      <c r="D147" s="92" t="str">
        <f>IFERROR(
IF(AND(OR(Planilla!B147="C",Planilla!B147="c"), VLOOKUP(E147,EX:FJ,13,0)="C"), "OK",IF(AND(OR(Planilla!B147="C",Planilla!B147="c"), OR(VLOOKUP(E147,EX:FJ,13,0)="B", VLOOKUP(E147,EX:FJ,13,0)="A")), "DEFICIT",IF(
AND(OR(Planilla!B147="B", Planilla!B147="BPAL"), VLOOKUP(E147,EX:FJ,13,0)="B"), "OK",IF(AND(OR(Planilla!B147="B", Planilla!B147="BPAL"), VLOOKUP(E147,EX:FJ,13,0)="A"), "DEFICIT",IF(AND(OR(Planilla!B147="B", Planilla!B147="BPAL"), VLOOKUP(E147,EX:FJ,13,0)="C"), "SOBREOFERTA",IF(AND(Planilla!B147="A", VLOOKUP(E147,EX:FJ,13,0)="A"), "OK",IF(
AND(Planilla!B147="A", OR(VLOOKUP(E147,EX:FJ,13,0)="B", VLOOKUP(E147,EX:FJ,13,0)="C")), "SOBREOFERTA",""
))))))),"")</f>
        <v/>
      </c>
      <c r="E147" s="12"/>
      <c r="F147" s="13"/>
      <c r="G147" s="14"/>
      <c r="H147" s="81" t="str">
        <f t="shared" si="63"/>
        <v/>
      </c>
      <c r="I147" s="7"/>
      <c r="J147" s="6" t="e">
        <f t="shared" si="64"/>
        <v>#N/A</v>
      </c>
      <c r="K147" s="6" t="str">
        <f>IF(A148&lt;&gt;A147,AVERAGEIF(A$9:A147,A147,J$9:J147),"")</f>
        <v/>
      </c>
      <c r="L147" s="7" t="str">
        <f>IFERROR(IF(A148&lt;&gt;A147,AVERAGEIF(A$9:A147,A147,S$9:S147),""),"")</f>
        <v/>
      </c>
      <c r="M147" s="7" t="str">
        <f>IFERROR(IF(A148&lt;&gt;A147,AVERAGEIF(A$9:A147,A147,T$9:T147),""),"")</f>
        <v/>
      </c>
      <c r="N147" s="7" t="str" cm="1">
        <f t="array" ref="N147">IFERROR(IF(A148&lt;&gt;A147,_xlfn.STDEV.P(IF(A$9:A147=A147,T$9:T147)),""),"")</f>
        <v/>
      </c>
      <c r="O147" s="7" t="str" cm="1">
        <f t="array" ref="O147">IFERROR(IF(A148&lt;&gt;A147,_xlfn.STDEV.P(IF(A$9:A147=A147,S$9:S147)),""),"")</f>
        <v/>
      </c>
      <c r="P147" s="8" t="str">
        <f t="shared" si="65"/>
        <v/>
      </c>
      <c r="Q147" s="8" t="str">
        <f t="shared" si="66"/>
        <v/>
      </c>
      <c r="R147" s="8" t="str">
        <f t="shared" si="67"/>
        <v/>
      </c>
      <c r="S147" s="9" t="str">
        <f t="shared" si="68"/>
        <v/>
      </c>
      <c r="T147" s="9" t="str">
        <f t="shared" si="69"/>
        <v/>
      </c>
      <c r="U147" s="14">
        <v>1.8749999999999999E-2</v>
      </c>
      <c r="V147" s="15"/>
      <c r="W147" s="14" t="str">
        <f t="shared" si="70"/>
        <v/>
      </c>
      <c r="X147" s="15"/>
      <c r="Y147" s="2"/>
      <c r="AB147" s="22">
        <f t="shared" si="71"/>
        <v>1</v>
      </c>
      <c r="AC147" s="11"/>
      <c r="AD147" s="11"/>
      <c r="AE147" s="13"/>
      <c r="AF147" s="12"/>
      <c r="AG147" s="13"/>
      <c r="AH147" s="14"/>
      <c r="AI147" s="81" t="str">
        <f t="shared" si="72"/>
        <v/>
      </c>
      <c r="AJ147" s="15"/>
      <c r="AK147" s="6" t="e">
        <f t="shared" si="73"/>
        <v>#N/A</v>
      </c>
      <c r="AL147" s="6" t="str">
        <f>IF(AB148&lt;&gt;AB147,AVERAGEIF(AB$9:AB147,AB147,AK$9:AK147),"")</f>
        <v/>
      </c>
      <c r="AM147" s="7" t="str">
        <f>IFERROR(IF(AB148&lt;&gt;AB147,AVERAGEIF(AB$9:AB147,AB147,AT$9:AT147),""),"")</f>
        <v/>
      </c>
      <c r="AN147" s="7" t="str">
        <f>IFERROR(IF(AB148&lt;&gt;AB147,AVERAGEIF(AB$9:AB147,AB147,AU$9:AU147),""),"")</f>
        <v/>
      </c>
      <c r="AO147" s="7" t="str" cm="1">
        <f t="array" ref="AO147">IFERROR(IF(AB148&lt;&gt;AB147,_xlfn.STDEV.P(IF(AB$9:AB147=AB147,AU$9:AU147)),""),"")</f>
        <v/>
      </c>
      <c r="AP147" s="7" t="str" cm="1">
        <f t="array" ref="AP147">IFERROR(IF(AB148&lt;&gt;AB147,_xlfn.STDEV.P(IF(AB$9:AB147=AB147,AT$9:AT147)),""),"")</f>
        <v/>
      </c>
      <c r="AQ147" s="8" t="str">
        <f t="shared" si="74"/>
        <v/>
      </c>
      <c r="AR147" s="8" t="str">
        <f t="shared" si="75"/>
        <v/>
      </c>
      <c r="AS147" s="8" t="str">
        <f t="shared" si="76"/>
        <v/>
      </c>
      <c r="AT147" s="9" t="str">
        <f t="shared" si="77"/>
        <v/>
      </c>
      <c r="AU147" s="9" t="str">
        <f t="shared" si="78"/>
        <v/>
      </c>
      <c r="AV147" s="14"/>
      <c r="AW147" s="15"/>
      <c r="AX147" s="14" t="str">
        <f t="shared" si="79"/>
        <v/>
      </c>
      <c r="AY147" s="15"/>
      <c r="AZ147" s="23"/>
      <c r="EW147" t="s">
        <v>46</v>
      </c>
      <c r="EX147" s="33">
        <v>1144</v>
      </c>
      <c r="EY147" s="33" t="s">
        <v>443</v>
      </c>
      <c r="EZ147" s="33" t="s">
        <v>444</v>
      </c>
      <c r="FA147" s="33" t="s">
        <v>343</v>
      </c>
      <c r="FB147" s="33" t="s">
        <v>344</v>
      </c>
      <c r="FC147" s="33" t="s">
        <v>345</v>
      </c>
      <c r="FD147" s="33" t="s">
        <v>346</v>
      </c>
      <c r="FE147" s="33">
        <v>2025</v>
      </c>
      <c r="FF147" s="33" t="s">
        <v>59</v>
      </c>
      <c r="FG147" s="33" t="s">
        <v>56</v>
      </c>
      <c r="FH147" s="33" t="s">
        <v>57</v>
      </c>
      <c r="FI147" s="33" t="s">
        <v>58</v>
      </c>
      <c r="FJ147" t="s">
        <v>59</v>
      </c>
      <c r="FM147" s="32" t="s">
        <v>436</v>
      </c>
      <c r="FN147" t="s">
        <v>437</v>
      </c>
      <c r="FO147" t="s">
        <v>438</v>
      </c>
      <c r="FP147" t="str">
        <f t="shared" si="61"/>
        <v>B</v>
      </c>
      <c r="GU147" s="53">
        <v>144</v>
      </c>
      <c r="GV147" s="53">
        <v>141</v>
      </c>
    </row>
    <row r="148" spans="1:204" ht="15.5" x14ac:dyDescent="0.35">
      <c r="A148" s="95">
        <f t="shared" si="62"/>
        <v>1</v>
      </c>
      <c r="B148" s="11"/>
      <c r="C148" s="11"/>
      <c r="D148" s="92" t="str">
        <f>IFERROR(
IF(AND(OR(Planilla!B148="C",Planilla!B148="c"), VLOOKUP(E148,EX:FJ,13,0)="C"), "OK",IF(AND(OR(Planilla!B148="C",Planilla!B148="c"), OR(VLOOKUP(E148,EX:FJ,13,0)="B", VLOOKUP(E148,EX:FJ,13,0)="A")), "DEFICIT",IF(
AND(OR(Planilla!B148="B", Planilla!B148="BPAL"), VLOOKUP(E148,EX:FJ,13,0)="B"), "OK",IF(AND(OR(Planilla!B148="B", Planilla!B148="BPAL"), VLOOKUP(E148,EX:FJ,13,0)="A"), "DEFICIT",IF(AND(OR(Planilla!B148="B", Planilla!B148="BPAL"), VLOOKUP(E148,EX:FJ,13,0)="C"), "SOBREOFERTA",IF(AND(Planilla!B148="A", VLOOKUP(E148,EX:FJ,13,0)="A"), "OK",IF(
AND(Planilla!B148="A", OR(VLOOKUP(E148,EX:FJ,13,0)="B", VLOOKUP(E148,EX:FJ,13,0)="C")), "SOBREOFERTA",""
))))))),"")</f>
        <v/>
      </c>
      <c r="E148" s="12"/>
      <c r="F148" s="13"/>
      <c r="G148" s="14"/>
      <c r="H148" s="81" t="str">
        <f t="shared" si="63"/>
        <v/>
      </c>
      <c r="I148" s="7"/>
      <c r="J148" s="6" t="e">
        <f t="shared" si="64"/>
        <v>#N/A</v>
      </c>
      <c r="K148" s="6" t="str">
        <f>IF(A149&lt;&gt;A148,AVERAGEIF(A$9:A148,A148,J$9:J148),"")</f>
        <v/>
      </c>
      <c r="L148" s="7" t="str">
        <f>IFERROR(IF(A149&lt;&gt;A148,AVERAGEIF(A$9:A148,A148,S$9:S148),""),"")</f>
        <v/>
      </c>
      <c r="M148" s="7" t="str">
        <f>IFERROR(IF(A149&lt;&gt;A148,AVERAGEIF(A$9:A148,A148,T$9:T148),""),"")</f>
        <v/>
      </c>
      <c r="N148" s="7" t="str" cm="1">
        <f t="array" ref="N148">IFERROR(IF(A149&lt;&gt;A148,_xlfn.STDEV.P(IF(A$9:A148=A148,T$9:T148)),""),"")</f>
        <v/>
      </c>
      <c r="O148" s="7" t="str" cm="1">
        <f t="array" ref="O148">IFERROR(IF(A149&lt;&gt;A148,_xlfn.STDEV.P(IF(A$9:A148=A148,S$9:S148)),""),"")</f>
        <v/>
      </c>
      <c r="P148" s="8" t="str">
        <f t="shared" si="65"/>
        <v/>
      </c>
      <c r="Q148" s="8" t="str">
        <f t="shared" si="66"/>
        <v/>
      </c>
      <c r="R148" s="8" t="str">
        <f t="shared" si="67"/>
        <v/>
      </c>
      <c r="S148" s="9" t="str">
        <f t="shared" si="68"/>
        <v/>
      </c>
      <c r="T148" s="9" t="str">
        <f t="shared" si="69"/>
        <v/>
      </c>
      <c r="U148" s="14">
        <v>3.888888888888889E-2</v>
      </c>
      <c r="V148" s="15"/>
      <c r="W148" s="14" t="str">
        <f t="shared" si="70"/>
        <v/>
      </c>
      <c r="X148" s="15"/>
      <c r="Y148" s="2"/>
      <c r="AB148" s="22">
        <f t="shared" si="71"/>
        <v>1</v>
      </c>
      <c r="AC148" s="11"/>
      <c r="AD148" s="11"/>
      <c r="AE148" s="13"/>
      <c r="AF148" s="12"/>
      <c r="AG148" s="13"/>
      <c r="AH148" s="14"/>
      <c r="AI148" s="81" t="str">
        <f t="shared" si="72"/>
        <v/>
      </c>
      <c r="AJ148" s="15"/>
      <c r="AK148" s="6" t="e">
        <f t="shared" si="73"/>
        <v>#N/A</v>
      </c>
      <c r="AL148" s="6" t="str">
        <f>IF(AB149&lt;&gt;AB148,AVERAGEIF(AB$9:AB148,AB148,AK$9:AK148),"")</f>
        <v/>
      </c>
      <c r="AM148" s="7" t="str">
        <f>IFERROR(IF(AB149&lt;&gt;AB148,AVERAGEIF(AB$9:AB148,AB148,AT$9:AT148),""),"")</f>
        <v/>
      </c>
      <c r="AN148" s="7" t="str">
        <f>IFERROR(IF(AB149&lt;&gt;AB148,AVERAGEIF(AB$9:AB148,AB148,AU$9:AU148),""),"")</f>
        <v/>
      </c>
      <c r="AO148" s="7" t="str" cm="1">
        <f t="array" ref="AO148">IFERROR(IF(AB149&lt;&gt;AB148,_xlfn.STDEV.P(IF(AB$9:AB148=AB148,AU$9:AU148)),""),"")</f>
        <v/>
      </c>
      <c r="AP148" s="7" t="str" cm="1">
        <f t="array" ref="AP148">IFERROR(IF(AB149&lt;&gt;AB148,_xlfn.STDEV.P(IF(AB$9:AB148=AB148,AT$9:AT148)),""),"")</f>
        <v/>
      </c>
      <c r="AQ148" s="8" t="str">
        <f t="shared" si="74"/>
        <v/>
      </c>
      <c r="AR148" s="8" t="str">
        <f t="shared" si="75"/>
        <v/>
      </c>
      <c r="AS148" s="8" t="str">
        <f t="shared" si="76"/>
        <v/>
      </c>
      <c r="AT148" s="9" t="str">
        <f t="shared" si="77"/>
        <v/>
      </c>
      <c r="AU148" s="9" t="str">
        <f t="shared" si="78"/>
        <v/>
      </c>
      <c r="AV148" s="14"/>
      <c r="AW148" s="15"/>
      <c r="AX148" s="14" t="str">
        <f t="shared" si="79"/>
        <v/>
      </c>
      <c r="AY148" s="15"/>
      <c r="AZ148" s="23"/>
      <c r="EW148" t="s">
        <v>46</v>
      </c>
      <c r="EX148" s="33">
        <v>1145</v>
      </c>
      <c r="EY148" s="33" t="s">
        <v>445</v>
      </c>
      <c r="EZ148" s="33" t="s">
        <v>446</v>
      </c>
      <c r="FA148" s="33" t="s">
        <v>343</v>
      </c>
      <c r="FB148" s="33" t="s">
        <v>344</v>
      </c>
      <c r="FC148" s="33" t="s">
        <v>345</v>
      </c>
      <c r="FD148" s="33" t="s">
        <v>346</v>
      </c>
      <c r="FE148" s="33">
        <v>2025</v>
      </c>
      <c r="FF148" s="33" t="s">
        <v>59</v>
      </c>
      <c r="FG148" s="33" t="s">
        <v>56</v>
      </c>
      <c r="FH148" s="33" t="s">
        <v>57</v>
      </c>
      <c r="FI148" s="33" t="s">
        <v>58</v>
      </c>
      <c r="FJ148" t="s">
        <v>59</v>
      </c>
      <c r="FM148" s="32" t="s">
        <v>436</v>
      </c>
      <c r="FN148" t="s">
        <v>437</v>
      </c>
      <c r="FO148" t="s">
        <v>438</v>
      </c>
      <c r="FP148" t="str">
        <f t="shared" si="61"/>
        <v>B</v>
      </c>
      <c r="GU148" s="53">
        <v>145</v>
      </c>
      <c r="GV148" s="53">
        <v>142</v>
      </c>
    </row>
    <row r="149" spans="1:204" ht="15.5" x14ac:dyDescent="0.35">
      <c r="A149" s="95">
        <f t="shared" si="62"/>
        <v>1</v>
      </c>
      <c r="B149" s="11"/>
      <c r="C149" s="11"/>
      <c r="D149" s="92" t="str">
        <f>IFERROR(
IF(AND(OR(Planilla!B149="C",Planilla!B149="c"), VLOOKUP(E149,EX:FJ,13,0)="C"), "OK",IF(AND(OR(Planilla!B149="C",Planilla!B149="c"), OR(VLOOKUP(E149,EX:FJ,13,0)="B", VLOOKUP(E149,EX:FJ,13,0)="A")), "DEFICIT",IF(
AND(OR(Planilla!B149="B", Planilla!B149="BPAL"), VLOOKUP(E149,EX:FJ,13,0)="B"), "OK",IF(AND(OR(Planilla!B149="B", Planilla!B149="BPAL"), VLOOKUP(E149,EX:FJ,13,0)="A"), "DEFICIT",IF(AND(OR(Planilla!B149="B", Planilla!B149="BPAL"), VLOOKUP(E149,EX:FJ,13,0)="C"), "SOBREOFERTA",IF(AND(Planilla!B149="A", VLOOKUP(E149,EX:FJ,13,0)="A"), "OK",IF(
AND(Planilla!B149="A", OR(VLOOKUP(E149,EX:FJ,13,0)="B", VLOOKUP(E149,EX:FJ,13,0)="C")), "SOBREOFERTA",""
))))))),"")</f>
        <v/>
      </c>
      <c r="E149" s="12"/>
      <c r="F149" s="13"/>
      <c r="G149" s="14"/>
      <c r="H149" s="81" t="str">
        <f t="shared" si="63"/>
        <v/>
      </c>
      <c r="I149" s="7"/>
      <c r="J149" s="6" t="e">
        <f t="shared" si="64"/>
        <v>#N/A</v>
      </c>
      <c r="K149" s="6" t="str">
        <f>IF(A150&lt;&gt;A149,AVERAGEIF(A$9:A149,A149,J$9:J149),"")</f>
        <v/>
      </c>
      <c r="L149" s="7" t="str">
        <f>IFERROR(IF(A150&lt;&gt;A149,AVERAGEIF(A$9:A149,A149,S$9:S149),""),"")</f>
        <v/>
      </c>
      <c r="M149" s="7" t="str">
        <f>IFERROR(IF(A150&lt;&gt;A149,AVERAGEIF(A$9:A149,A149,T$9:T149),""),"")</f>
        <v/>
      </c>
      <c r="N149" s="7" t="str" cm="1">
        <f t="array" ref="N149">IFERROR(IF(A150&lt;&gt;A149,_xlfn.STDEV.P(IF(A$9:A149=A149,T$9:T149)),""),"")</f>
        <v/>
      </c>
      <c r="O149" s="7" t="str" cm="1">
        <f t="array" ref="O149">IFERROR(IF(A150&lt;&gt;A149,_xlfn.STDEV.P(IF(A$9:A149=A149,S$9:S149)),""),"")</f>
        <v/>
      </c>
      <c r="P149" s="8" t="str">
        <f t="shared" si="65"/>
        <v/>
      </c>
      <c r="Q149" s="8" t="str">
        <f t="shared" si="66"/>
        <v/>
      </c>
      <c r="R149" s="8" t="str">
        <f t="shared" si="67"/>
        <v/>
      </c>
      <c r="S149" s="9" t="str">
        <f t="shared" si="68"/>
        <v/>
      </c>
      <c r="T149" s="9" t="str">
        <f t="shared" si="69"/>
        <v/>
      </c>
      <c r="U149" s="14"/>
      <c r="V149" s="15"/>
      <c r="W149" s="14" t="str">
        <f t="shared" si="70"/>
        <v/>
      </c>
      <c r="X149" s="15"/>
      <c r="Y149" s="2"/>
      <c r="AB149" s="22">
        <f t="shared" si="71"/>
        <v>1</v>
      </c>
      <c r="AC149" s="11"/>
      <c r="AD149" s="11"/>
      <c r="AE149" s="13"/>
      <c r="AF149" s="12"/>
      <c r="AG149" s="13"/>
      <c r="AH149" s="14"/>
      <c r="AI149" s="81" t="str">
        <f t="shared" si="72"/>
        <v/>
      </c>
      <c r="AJ149" s="15"/>
      <c r="AK149" s="6" t="e">
        <f t="shared" si="73"/>
        <v>#N/A</v>
      </c>
      <c r="AL149" s="6" t="str">
        <f>IF(AB150&lt;&gt;AB149,AVERAGEIF(AB$9:AB149,AB149,AK$9:AK149),"")</f>
        <v/>
      </c>
      <c r="AM149" s="7" t="str">
        <f>IFERROR(IF(AB150&lt;&gt;AB149,AVERAGEIF(AB$9:AB149,AB149,AT$9:AT149),""),"")</f>
        <v/>
      </c>
      <c r="AN149" s="7" t="str">
        <f>IFERROR(IF(AB150&lt;&gt;AB149,AVERAGEIF(AB$9:AB149,AB149,AU$9:AU149),""),"")</f>
        <v/>
      </c>
      <c r="AO149" s="7" t="str" cm="1">
        <f t="array" ref="AO149">IFERROR(IF(AB150&lt;&gt;AB149,_xlfn.STDEV.P(IF(AB$9:AB149=AB149,AU$9:AU149)),""),"")</f>
        <v/>
      </c>
      <c r="AP149" s="7" t="str" cm="1">
        <f t="array" ref="AP149">IFERROR(IF(AB150&lt;&gt;AB149,_xlfn.STDEV.P(IF(AB$9:AB149=AB149,AT$9:AT149)),""),"")</f>
        <v/>
      </c>
      <c r="AQ149" s="8" t="str">
        <f t="shared" si="74"/>
        <v/>
      </c>
      <c r="AR149" s="8" t="str">
        <f t="shared" si="75"/>
        <v/>
      </c>
      <c r="AS149" s="8" t="str">
        <f t="shared" si="76"/>
        <v/>
      </c>
      <c r="AT149" s="9" t="str">
        <f t="shared" si="77"/>
        <v/>
      </c>
      <c r="AU149" s="9" t="str">
        <f t="shared" si="78"/>
        <v/>
      </c>
      <c r="AV149" s="14"/>
      <c r="AW149" s="15"/>
      <c r="AX149" s="14" t="str">
        <f t="shared" si="79"/>
        <v/>
      </c>
      <c r="AY149" s="15"/>
      <c r="AZ149" s="23"/>
      <c r="EW149" t="s">
        <v>46</v>
      </c>
      <c r="EX149" s="33">
        <v>1146</v>
      </c>
      <c r="EY149" s="33" t="s">
        <v>447</v>
      </c>
      <c r="EZ149" s="33" t="s">
        <v>448</v>
      </c>
      <c r="FA149" s="33" t="s">
        <v>343</v>
      </c>
      <c r="FB149" s="33" t="s">
        <v>344</v>
      </c>
      <c r="FC149" s="33" t="s">
        <v>345</v>
      </c>
      <c r="FD149" s="33" t="s">
        <v>346</v>
      </c>
      <c r="FE149" s="33">
        <v>2025</v>
      </c>
      <c r="FF149" s="33" t="s">
        <v>59</v>
      </c>
      <c r="FG149" s="33" t="s">
        <v>56</v>
      </c>
      <c r="FH149" s="33" t="s">
        <v>57</v>
      </c>
      <c r="FI149" s="33" t="s">
        <v>58</v>
      </c>
      <c r="FJ149" t="s">
        <v>59</v>
      </c>
      <c r="FM149" s="32" t="s">
        <v>436</v>
      </c>
      <c r="FN149" t="s">
        <v>437</v>
      </c>
      <c r="FO149" t="s">
        <v>438</v>
      </c>
      <c r="FP149" t="str">
        <f t="shared" si="61"/>
        <v>B</v>
      </c>
      <c r="GU149" s="53">
        <v>146</v>
      </c>
      <c r="GV149" s="53">
        <v>143</v>
      </c>
    </row>
    <row r="150" spans="1:204" ht="15.5" x14ac:dyDescent="0.35">
      <c r="A150" s="95">
        <f t="shared" si="62"/>
        <v>1</v>
      </c>
      <c r="B150" s="11"/>
      <c r="C150" s="11"/>
      <c r="D150" s="92" t="str">
        <f>IFERROR(
IF(AND(OR(Planilla!B150="C",Planilla!B150="c"), VLOOKUP(E150,EX:FJ,13,0)="C"), "OK",IF(AND(OR(Planilla!B150="C",Planilla!B150="c"), OR(VLOOKUP(E150,EX:FJ,13,0)="B", VLOOKUP(E150,EX:FJ,13,0)="A")), "DEFICIT",IF(
AND(OR(Planilla!B150="B", Planilla!B150="BPAL"), VLOOKUP(E150,EX:FJ,13,0)="B"), "OK",IF(AND(OR(Planilla!B150="B", Planilla!B150="BPAL"), VLOOKUP(E150,EX:FJ,13,0)="A"), "DEFICIT",IF(AND(OR(Planilla!B150="B", Planilla!B150="BPAL"), VLOOKUP(E150,EX:FJ,13,0)="C"), "SOBREOFERTA",IF(AND(Planilla!B150="A", VLOOKUP(E150,EX:FJ,13,0)="A"), "OK",IF(
AND(Planilla!B150="A", OR(VLOOKUP(E150,EX:FJ,13,0)="B", VLOOKUP(E150,EX:FJ,13,0)="C")), "SOBREOFERTA",""
))))))),"")</f>
        <v/>
      </c>
      <c r="E150" s="12"/>
      <c r="F150" s="13"/>
      <c r="G150" s="14"/>
      <c r="H150" s="81" t="str">
        <f t="shared" si="63"/>
        <v/>
      </c>
      <c r="I150" s="7"/>
      <c r="J150" s="6" t="e">
        <f t="shared" si="64"/>
        <v>#N/A</v>
      </c>
      <c r="K150" s="6" t="str">
        <f>IF(A151&lt;&gt;A150,AVERAGEIF(A$9:A150,A150,J$9:J150),"")</f>
        <v/>
      </c>
      <c r="L150" s="7" t="str">
        <f>IFERROR(IF(A151&lt;&gt;A150,AVERAGEIF(A$9:A150,A150,S$9:S150),""),"")</f>
        <v/>
      </c>
      <c r="M150" s="7" t="str">
        <f>IFERROR(IF(A151&lt;&gt;A150,AVERAGEIF(A$9:A150,A150,T$9:T150),""),"")</f>
        <v/>
      </c>
      <c r="N150" s="7" t="str" cm="1">
        <f t="array" ref="N150">IFERROR(IF(A151&lt;&gt;A150,_xlfn.STDEV.P(IF(A$9:A150=A150,T$9:T150)),""),"")</f>
        <v/>
      </c>
      <c r="O150" s="7" t="str" cm="1">
        <f t="array" ref="O150">IFERROR(IF(A151&lt;&gt;A150,_xlfn.STDEV.P(IF(A$9:A150=A150,S$9:S150)),""),"")</f>
        <v/>
      </c>
      <c r="P150" s="8" t="str">
        <f t="shared" si="65"/>
        <v/>
      </c>
      <c r="Q150" s="8" t="str">
        <f t="shared" si="66"/>
        <v/>
      </c>
      <c r="R150" s="8" t="str">
        <f t="shared" si="67"/>
        <v/>
      </c>
      <c r="S150" s="9" t="str">
        <f t="shared" si="68"/>
        <v/>
      </c>
      <c r="T150" s="9" t="str">
        <f t="shared" si="69"/>
        <v/>
      </c>
      <c r="U150" s="14"/>
      <c r="V150" s="15"/>
      <c r="W150" s="14" t="str">
        <f t="shared" si="70"/>
        <v/>
      </c>
      <c r="X150" s="15"/>
      <c r="Y150" s="2"/>
      <c r="AB150" s="22">
        <f t="shared" si="71"/>
        <v>1</v>
      </c>
      <c r="AC150" s="11"/>
      <c r="AD150" s="11"/>
      <c r="AE150" s="13"/>
      <c r="AF150" s="12"/>
      <c r="AG150" s="13"/>
      <c r="AH150" s="14"/>
      <c r="AI150" s="81" t="str">
        <f t="shared" si="72"/>
        <v/>
      </c>
      <c r="AJ150" s="15"/>
      <c r="AK150" s="6" t="e">
        <f t="shared" si="73"/>
        <v>#N/A</v>
      </c>
      <c r="AL150" s="6" t="str">
        <f>IF(AB151&lt;&gt;AB150,AVERAGEIF(AB$9:AB150,AB150,AK$9:AK150),"")</f>
        <v/>
      </c>
      <c r="AM150" s="7" t="str">
        <f>IFERROR(IF(AB151&lt;&gt;AB150,AVERAGEIF(AB$9:AB150,AB150,AT$9:AT150),""),"")</f>
        <v/>
      </c>
      <c r="AN150" s="7" t="str">
        <f>IFERROR(IF(AB151&lt;&gt;AB150,AVERAGEIF(AB$9:AB150,AB150,AU$9:AU150),""),"")</f>
        <v/>
      </c>
      <c r="AO150" s="7" t="str" cm="1">
        <f t="array" ref="AO150">IFERROR(IF(AB151&lt;&gt;AB150,_xlfn.STDEV.P(IF(AB$9:AB150=AB150,AU$9:AU150)),""),"")</f>
        <v/>
      </c>
      <c r="AP150" s="7" t="str" cm="1">
        <f t="array" ref="AP150">IFERROR(IF(AB151&lt;&gt;AB150,_xlfn.STDEV.P(IF(AB$9:AB150=AB150,AT$9:AT150)),""),"")</f>
        <v/>
      </c>
      <c r="AQ150" s="8" t="str">
        <f t="shared" si="74"/>
        <v/>
      </c>
      <c r="AR150" s="8" t="str">
        <f t="shared" si="75"/>
        <v/>
      </c>
      <c r="AS150" s="8" t="str">
        <f t="shared" si="76"/>
        <v/>
      </c>
      <c r="AT150" s="9" t="str">
        <f t="shared" si="77"/>
        <v/>
      </c>
      <c r="AU150" s="9" t="str">
        <f t="shared" si="78"/>
        <v/>
      </c>
      <c r="AV150" s="14"/>
      <c r="AW150" s="15"/>
      <c r="AX150" s="14" t="str">
        <f t="shared" si="79"/>
        <v/>
      </c>
      <c r="AY150" s="15"/>
      <c r="AZ150" s="23"/>
      <c r="EW150" t="s">
        <v>46</v>
      </c>
      <c r="EX150" s="33">
        <v>1147</v>
      </c>
      <c r="EY150" s="33" t="s">
        <v>449</v>
      </c>
      <c r="EZ150" s="33" t="s">
        <v>450</v>
      </c>
      <c r="FA150" s="33" t="s">
        <v>343</v>
      </c>
      <c r="FB150" s="33" t="s">
        <v>344</v>
      </c>
      <c r="FC150" s="33" t="s">
        <v>345</v>
      </c>
      <c r="FD150" s="33" t="s">
        <v>346</v>
      </c>
      <c r="FE150" s="33">
        <v>2025</v>
      </c>
      <c r="FF150" s="33" t="s">
        <v>59</v>
      </c>
      <c r="FG150" s="33" t="s">
        <v>56</v>
      </c>
      <c r="FH150" s="33" t="s">
        <v>57</v>
      </c>
      <c r="FI150" s="33" t="s">
        <v>58</v>
      </c>
      <c r="FJ150" t="s">
        <v>59</v>
      </c>
      <c r="FM150" s="32" t="s">
        <v>451</v>
      </c>
      <c r="FN150" t="s">
        <v>452</v>
      </c>
      <c r="FO150" t="s">
        <v>453</v>
      </c>
      <c r="FP150" t="str">
        <f t="shared" si="61"/>
        <v>B</v>
      </c>
      <c r="GU150" s="53">
        <v>147</v>
      </c>
      <c r="GV150" s="53">
        <v>144</v>
      </c>
    </row>
    <row r="151" spans="1:204" ht="15.5" x14ac:dyDescent="0.35">
      <c r="A151" s="95">
        <f t="shared" si="62"/>
        <v>1</v>
      </c>
      <c r="B151" s="11"/>
      <c r="C151" s="11"/>
      <c r="D151" s="92" t="str">
        <f>IFERROR(
IF(AND(OR(Planilla!B151="C",Planilla!B151="c"), VLOOKUP(E151,EX:FJ,13,0)="C"), "OK",IF(AND(OR(Planilla!B151="C",Planilla!B151="c"), OR(VLOOKUP(E151,EX:FJ,13,0)="B", VLOOKUP(E151,EX:FJ,13,0)="A")), "DEFICIT",IF(
AND(OR(Planilla!B151="B", Planilla!B151="BPAL"), VLOOKUP(E151,EX:FJ,13,0)="B"), "OK",IF(AND(OR(Planilla!B151="B", Planilla!B151="BPAL"), VLOOKUP(E151,EX:FJ,13,0)="A"), "DEFICIT",IF(AND(OR(Planilla!B151="B", Planilla!B151="BPAL"), VLOOKUP(E151,EX:FJ,13,0)="C"), "SOBREOFERTA",IF(AND(Planilla!B151="A", VLOOKUP(E151,EX:FJ,13,0)="A"), "OK",IF(
AND(Planilla!B151="A", OR(VLOOKUP(E151,EX:FJ,13,0)="B", VLOOKUP(E151,EX:FJ,13,0)="C")), "SOBREOFERTA",""
))))))),"")</f>
        <v/>
      </c>
      <c r="E151" s="12"/>
      <c r="F151" s="13"/>
      <c r="G151" s="14"/>
      <c r="H151" s="81" t="str">
        <f t="shared" si="63"/>
        <v/>
      </c>
      <c r="I151" s="7"/>
      <c r="J151" s="6" t="e">
        <f t="shared" si="64"/>
        <v>#N/A</v>
      </c>
      <c r="K151" s="6" t="str">
        <f>IF(A152&lt;&gt;A151,AVERAGEIF(A$9:A151,A151,J$9:J151),"")</f>
        <v/>
      </c>
      <c r="L151" s="7" t="str">
        <f>IFERROR(IF(A152&lt;&gt;A151,AVERAGEIF(A$9:A151,A151,S$9:S151),""),"")</f>
        <v/>
      </c>
      <c r="M151" s="7" t="str">
        <f>IFERROR(IF(A152&lt;&gt;A151,AVERAGEIF(A$9:A151,A151,T$9:T151),""),"")</f>
        <v/>
      </c>
      <c r="N151" s="7" t="str" cm="1">
        <f t="array" ref="N151">IFERROR(IF(A152&lt;&gt;A151,_xlfn.STDEV.P(IF(A$9:A151=A151,T$9:T151)),""),"")</f>
        <v/>
      </c>
      <c r="O151" s="7" t="str" cm="1">
        <f t="array" ref="O151">IFERROR(IF(A152&lt;&gt;A151,_xlfn.STDEV.P(IF(A$9:A151=A151,S$9:S151)),""),"")</f>
        <v/>
      </c>
      <c r="P151" s="8" t="str">
        <f t="shared" si="65"/>
        <v/>
      </c>
      <c r="Q151" s="8" t="str">
        <f t="shared" si="66"/>
        <v/>
      </c>
      <c r="R151" s="8" t="str">
        <f t="shared" si="67"/>
        <v/>
      </c>
      <c r="S151" s="9" t="str">
        <f t="shared" si="68"/>
        <v/>
      </c>
      <c r="T151" s="9" t="str">
        <f t="shared" si="69"/>
        <v/>
      </c>
      <c r="U151" s="14"/>
      <c r="V151" s="15"/>
      <c r="W151" s="14" t="str">
        <f t="shared" si="70"/>
        <v/>
      </c>
      <c r="X151" s="15"/>
      <c r="Y151" s="2"/>
      <c r="AB151" s="22">
        <f t="shared" si="71"/>
        <v>1</v>
      </c>
      <c r="AC151" s="11"/>
      <c r="AD151" s="11"/>
      <c r="AE151" s="13"/>
      <c r="AF151" s="12"/>
      <c r="AG151" s="13"/>
      <c r="AH151" s="14"/>
      <c r="AI151" s="81" t="str">
        <f t="shared" si="72"/>
        <v/>
      </c>
      <c r="AJ151" s="15"/>
      <c r="AK151" s="6" t="e">
        <f t="shared" si="73"/>
        <v>#N/A</v>
      </c>
      <c r="AL151" s="6" t="str">
        <f>IF(AB152&lt;&gt;AB151,AVERAGEIF(AB$9:AB151,AB151,AK$9:AK151),"")</f>
        <v/>
      </c>
      <c r="AM151" s="7" t="str">
        <f>IFERROR(IF(AB152&lt;&gt;AB151,AVERAGEIF(AB$9:AB151,AB151,AT$9:AT151),""),"")</f>
        <v/>
      </c>
      <c r="AN151" s="7" t="str">
        <f>IFERROR(IF(AB152&lt;&gt;AB151,AVERAGEIF(AB$9:AB151,AB151,AU$9:AU151),""),"")</f>
        <v/>
      </c>
      <c r="AO151" s="7" t="str" cm="1">
        <f t="array" ref="AO151">IFERROR(IF(AB152&lt;&gt;AB151,_xlfn.STDEV.P(IF(AB$9:AB151=AB151,AU$9:AU151)),""),"")</f>
        <v/>
      </c>
      <c r="AP151" s="7" t="str" cm="1">
        <f t="array" ref="AP151">IFERROR(IF(AB152&lt;&gt;AB151,_xlfn.STDEV.P(IF(AB$9:AB151=AB151,AT$9:AT151)),""),"")</f>
        <v/>
      </c>
      <c r="AQ151" s="8" t="str">
        <f t="shared" si="74"/>
        <v/>
      </c>
      <c r="AR151" s="8" t="str">
        <f t="shared" si="75"/>
        <v/>
      </c>
      <c r="AS151" s="8" t="str">
        <f t="shared" si="76"/>
        <v/>
      </c>
      <c r="AT151" s="9" t="str">
        <f t="shared" si="77"/>
        <v/>
      </c>
      <c r="AU151" s="9" t="str">
        <f t="shared" si="78"/>
        <v/>
      </c>
      <c r="AV151" s="14"/>
      <c r="AW151" s="15"/>
      <c r="AX151" s="14" t="str">
        <f t="shared" si="79"/>
        <v/>
      </c>
      <c r="AY151" s="15"/>
      <c r="AZ151" s="23"/>
      <c r="EW151" t="s">
        <v>46</v>
      </c>
      <c r="EX151" s="33">
        <v>1148</v>
      </c>
      <c r="EY151" s="33" t="s">
        <v>454</v>
      </c>
      <c r="EZ151" s="33" t="s">
        <v>455</v>
      </c>
      <c r="FA151" s="33" t="s">
        <v>343</v>
      </c>
      <c r="FB151" s="33" t="s">
        <v>344</v>
      </c>
      <c r="FC151" s="33" t="s">
        <v>345</v>
      </c>
      <c r="FD151" s="33" t="s">
        <v>346</v>
      </c>
      <c r="FE151" s="33">
        <v>2025</v>
      </c>
      <c r="FF151" s="33" t="s">
        <v>59</v>
      </c>
      <c r="FG151" s="33" t="s">
        <v>56</v>
      </c>
      <c r="FH151" s="33" t="s">
        <v>57</v>
      </c>
      <c r="FI151" s="33" t="s">
        <v>58</v>
      </c>
      <c r="FJ151" t="s">
        <v>59</v>
      </c>
      <c r="FM151" s="32" t="s">
        <v>451</v>
      </c>
      <c r="FN151" t="s">
        <v>452</v>
      </c>
      <c r="FO151" t="s">
        <v>453</v>
      </c>
      <c r="FP151" t="str">
        <f t="shared" si="61"/>
        <v>B</v>
      </c>
      <c r="GU151" s="53">
        <v>148</v>
      </c>
      <c r="GV151" s="53">
        <v>145</v>
      </c>
    </row>
    <row r="152" spans="1:204" ht="15.5" x14ac:dyDescent="0.35">
      <c r="A152" s="95">
        <f t="shared" si="62"/>
        <v>1</v>
      </c>
      <c r="B152" s="11"/>
      <c r="C152" s="11"/>
      <c r="D152" s="92" t="str">
        <f>IFERROR(
IF(AND(OR(Planilla!B152="C",Planilla!B152="c"), VLOOKUP(E152,EX:FJ,13,0)="C"), "OK",IF(AND(OR(Planilla!B152="C",Planilla!B152="c"), OR(VLOOKUP(E152,EX:FJ,13,0)="B", VLOOKUP(E152,EX:FJ,13,0)="A")), "DEFICIT",IF(
AND(OR(Planilla!B152="B", Planilla!B152="BPAL"), VLOOKUP(E152,EX:FJ,13,0)="B"), "OK",IF(AND(OR(Planilla!B152="B", Planilla!B152="BPAL"), VLOOKUP(E152,EX:FJ,13,0)="A"), "DEFICIT",IF(AND(OR(Planilla!B152="B", Planilla!B152="BPAL"), VLOOKUP(E152,EX:FJ,13,0)="C"), "SOBREOFERTA",IF(AND(Planilla!B152="A", VLOOKUP(E152,EX:FJ,13,0)="A"), "OK",IF(
AND(Planilla!B152="A", OR(VLOOKUP(E152,EX:FJ,13,0)="B", VLOOKUP(E152,EX:FJ,13,0)="C")), "SOBREOFERTA",""
))))))),"")</f>
        <v/>
      </c>
      <c r="E152" s="12"/>
      <c r="F152" s="13"/>
      <c r="G152" s="14"/>
      <c r="H152" s="81" t="str">
        <f t="shared" si="63"/>
        <v/>
      </c>
      <c r="I152" s="7"/>
      <c r="J152" s="6" t="e">
        <f t="shared" si="64"/>
        <v>#N/A</v>
      </c>
      <c r="K152" s="6" t="str">
        <f>IF(A153&lt;&gt;A152,AVERAGEIF(A$9:A152,A152,J$9:J152),"")</f>
        <v/>
      </c>
      <c r="L152" s="7" t="str">
        <f>IFERROR(IF(A153&lt;&gt;A152,AVERAGEIF(A$9:A152,A152,S$9:S152),""),"")</f>
        <v/>
      </c>
      <c r="M152" s="7" t="str">
        <f>IFERROR(IF(A153&lt;&gt;A152,AVERAGEIF(A$9:A152,A152,T$9:T152),""),"")</f>
        <v/>
      </c>
      <c r="N152" s="7" t="str" cm="1">
        <f t="array" ref="N152">IFERROR(IF(A153&lt;&gt;A152,_xlfn.STDEV.P(IF(A$9:A152=A152,T$9:T152)),""),"")</f>
        <v/>
      </c>
      <c r="O152" s="7" t="str" cm="1">
        <f t="array" ref="O152">IFERROR(IF(A153&lt;&gt;A152,_xlfn.STDEV.P(IF(A$9:A152=A152,S$9:S152)),""),"")</f>
        <v/>
      </c>
      <c r="P152" s="8" t="str">
        <f t="shared" si="65"/>
        <v/>
      </c>
      <c r="Q152" s="8" t="str">
        <f t="shared" si="66"/>
        <v/>
      </c>
      <c r="R152" s="8" t="str">
        <f t="shared" si="67"/>
        <v/>
      </c>
      <c r="S152" s="9" t="str">
        <f t="shared" si="68"/>
        <v/>
      </c>
      <c r="T152" s="9" t="str">
        <f t="shared" si="69"/>
        <v/>
      </c>
      <c r="U152" s="14"/>
      <c r="V152" s="15"/>
      <c r="W152" s="14" t="str">
        <f t="shared" si="70"/>
        <v/>
      </c>
      <c r="X152" s="15"/>
      <c r="Y152" s="2"/>
      <c r="AB152" s="22">
        <f t="shared" si="71"/>
        <v>1</v>
      </c>
      <c r="AC152" s="11"/>
      <c r="AD152" s="11"/>
      <c r="AE152" s="13"/>
      <c r="AF152" s="12"/>
      <c r="AG152" s="13"/>
      <c r="AH152" s="14"/>
      <c r="AI152" s="81" t="str">
        <f t="shared" si="72"/>
        <v/>
      </c>
      <c r="AJ152" s="15"/>
      <c r="AK152" s="6" t="e">
        <f t="shared" si="73"/>
        <v>#N/A</v>
      </c>
      <c r="AL152" s="6" t="str">
        <f>IF(AB153&lt;&gt;AB152,AVERAGEIF(AB$9:AB152,AB152,AK$9:AK152),"")</f>
        <v/>
      </c>
      <c r="AM152" s="7" t="str">
        <f>IFERROR(IF(AB153&lt;&gt;AB152,AVERAGEIF(AB$9:AB152,AB152,AT$9:AT152),""),"")</f>
        <v/>
      </c>
      <c r="AN152" s="7" t="str">
        <f>IFERROR(IF(AB153&lt;&gt;AB152,AVERAGEIF(AB$9:AB152,AB152,AU$9:AU152),""),"")</f>
        <v/>
      </c>
      <c r="AO152" s="7" t="str" cm="1">
        <f t="array" ref="AO152">IFERROR(IF(AB153&lt;&gt;AB152,_xlfn.STDEV.P(IF(AB$9:AB152=AB152,AU$9:AU152)),""),"")</f>
        <v/>
      </c>
      <c r="AP152" s="7" t="str" cm="1">
        <f t="array" ref="AP152">IFERROR(IF(AB153&lt;&gt;AB152,_xlfn.STDEV.P(IF(AB$9:AB152=AB152,AT$9:AT152)),""),"")</f>
        <v/>
      </c>
      <c r="AQ152" s="8" t="str">
        <f t="shared" si="74"/>
        <v/>
      </c>
      <c r="AR152" s="8" t="str">
        <f t="shared" si="75"/>
        <v/>
      </c>
      <c r="AS152" s="8" t="str">
        <f t="shared" si="76"/>
        <v/>
      </c>
      <c r="AT152" s="9" t="str">
        <f t="shared" si="77"/>
        <v/>
      </c>
      <c r="AU152" s="9" t="str">
        <f t="shared" si="78"/>
        <v/>
      </c>
      <c r="AV152" s="14"/>
      <c r="AW152" s="15"/>
      <c r="AX152" s="14" t="str">
        <f t="shared" si="79"/>
        <v/>
      </c>
      <c r="AY152" s="15"/>
      <c r="AZ152" s="23"/>
      <c r="EW152" t="s">
        <v>46</v>
      </c>
      <c r="EX152" s="33">
        <v>1149</v>
      </c>
      <c r="EY152" s="33" t="s">
        <v>456</v>
      </c>
      <c r="EZ152" s="33" t="s">
        <v>457</v>
      </c>
      <c r="FA152" s="33" t="s">
        <v>343</v>
      </c>
      <c r="FB152" s="33" t="s">
        <v>344</v>
      </c>
      <c r="FC152" s="33" t="s">
        <v>345</v>
      </c>
      <c r="FD152" s="33" t="s">
        <v>346</v>
      </c>
      <c r="FE152" s="33">
        <v>2025</v>
      </c>
      <c r="FF152" s="33" t="s">
        <v>59</v>
      </c>
      <c r="FG152" s="33" t="s">
        <v>71</v>
      </c>
      <c r="FH152" s="33" t="s">
        <v>72</v>
      </c>
      <c r="FI152" s="33" t="s">
        <v>73</v>
      </c>
      <c r="FJ152" t="s">
        <v>59</v>
      </c>
      <c r="FM152" s="32" t="s">
        <v>451</v>
      </c>
      <c r="FN152" t="s">
        <v>452</v>
      </c>
      <c r="FO152" t="s">
        <v>453</v>
      </c>
      <c r="FP152" t="str">
        <f t="shared" si="61"/>
        <v>B</v>
      </c>
      <c r="GU152" s="53">
        <v>149</v>
      </c>
      <c r="GV152" s="53">
        <v>146</v>
      </c>
    </row>
    <row r="153" spans="1:204" ht="15.5" x14ac:dyDescent="0.35">
      <c r="A153" s="95">
        <f t="shared" si="62"/>
        <v>1</v>
      </c>
      <c r="B153" s="11"/>
      <c r="C153" s="11"/>
      <c r="D153" s="92" t="str">
        <f>IFERROR(
IF(AND(OR(Planilla!B153="C",Planilla!B153="c"), VLOOKUP(E153,EX:FJ,13,0)="C"), "OK",IF(AND(OR(Planilla!B153="C",Planilla!B153="c"), OR(VLOOKUP(E153,EX:FJ,13,0)="B", VLOOKUP(E153,EX:FJ,13,0)="A")), "DEFICIT",IF(
AND(OR(Planilla!B153="B", Planilla!B153="BPAL"), VLOOKUP(E153,EX:FJ,13,0)="B"), "OK",IF(AND(OR(Planilla!B153="B", Planilla!B153="BPAL"), VLOOKUP(E153,EX:FJ,13,0)="A"), "DEFICIT",IF(AND(OR(Planilla!B153="B", Planilla!B153="BPAL"), VLOOKUP(E153,EX:FJ,13,0)="C"), "SOBREOFERTA",IF(AND(Planilla!B153="A", VLOOKUP(E153,EX:FJ,13,0)="A"), "OK",IF(
AND(Planilla!B153="A", OR(VLOOKUP(E153,EX:FJ,13,0)="B", VLOOKUP(E153,EX:FJ,13,0)="C")), "SOBREOFERTA",""
))))))),"")</f>
        <v/>
      </c>
      <c r="E153" s="12"/>
      <c r="F153" s="13"/>
      <c r="G153" s="14"/>
      <c r="H153" s="81" t="str">
        <f t="shared" si="63"/>
        <v/>
      </c>
      <c r="I153" s="7"/>
      <c r="J153" s="6" t="e">
        <f t="shared" si="64"/>
        <v>#N/A</v>
      </c>
      <c r="K153" s="6" t="str">
        <f>IF(A154&lt;&gt;A153,AVERAGEIF(A$9:A153,A153,J$9:J153),"")</f>
        <v/>
      </c>
      <c r="L153" s="7" t="str">
        <f>IFERROR(IF(A154&lt;&gt;A153,AVERAGEIF(A$9:A153,A153,S$9:S153),""),"")</f>
        <v/>
      </c>
      <c r="M153" s="7" t="str">
        <f>IFERROR(IF(A154&lt;&gt;A153,AVERAGEIF(A$9:A153,A153,T$9:T153),""),"")</f>
        <v/>
      </c>
      <c r="N153" s="7" t="str" cm="1">
        <f t="array" ref="N153">IFERROR(IF(A154&lt;&gt;A153,_xlfn.STDEV.P(IF(A$9:A153=A153,T$9:T153)),""),"")</f>
        <v/>
      </c>
      <c r="O153" s="7" t="str" cm="1">
        <f t="array" ref="O153">IFERROR(IF(A154&lt;&gt;A153,_xlfn.STDEV.P(IF(A$9:A153=A153,S$9:S153)),""),"")</f>
        <v/>
      </c>
      <c r="P153" s="8" t="str">
        <f t="shared" si="65"/>
        <v/>
      </c>
      <c r="Q153" s="8" t="str">
        <f t="shared" si="66"/>
        <v/>
      </c>
      <c r="R153" s="8" t="str">
        <f t="shared" si="67"/>
        <v/>
      </c>
      <c r="S153" s="9" t="str">
        <f t="shared" si="68"/>
        <v/>
      </c>
      <c r="T153" s="9" t="str">
        <f t="shared" si="69"/>
        <v/>
      </c>
      <c r="U153" s="14"/>
      <c r="V153" s="15"/>
      <c r="W153" s="14" t="str">
        <f t="shared" si="70"/>
        <v/>
      </c>
      <c r="X153" s="15"/>
      <c r="Y153" s="2"/>
      <c r="AB153" s="22">
        <f t="shared" si="71"/>
        <v>1</v>
      </c>
      <c r="AC153" s="11"/>
      <c r="AD153" s="11"/>
      <c r="AE153" s="13"/>
      <c r="AF153" s="12"/>
      <c r="AG153" s="13"/>
      <c r="AH153" s="14"/>
      <c r="AI153" s="81" t="str">
        <f t="shared" si="72"/>
        <v/>
      </c>
      <c r="AJ153" s="15"/>
      <c r="AK153" s="6" t="e">
        <f t="shared" si="73"/>
        <v>#N/A</v>
      </c>
      <c r="AL153" s="6" t="str">
        <f>IF(AB154&lt;&gt;AB153,AVERAGEIF(AB$9:AB153,AB153,AK$9:AK153),"")</f>
        <v/>
      </c>
      <c r="AM153" s="7" t="str">
        <f>IFERROR(IF(AB154&lt;&gt;AB153,AVERAGEIF(AB$9:AB153,AB153,AT$9:AT153),""),"")</f>
        <v/>
      </c>
      <c r="AN153" s="7" t="str">
        <f>IFERROR(IF(AB154&lt;&gt;AB153,AVERAGEIF(AB$9:AB153,AB153,AU$9:AU153),""),"")</f>
        <v/>
      </c>
      <c r="AO153" s="7" t="str" cm="1">
        <f t="array" ref="AO153">IFERROR(IF(AB154&lt;&gt;AB153,_xlfn.STDEV.P(IF(AB$9:AB153=AB153,AU$9:AU153)),""),"")</f>
        <v/>
      </c>
      <c r="AP153" s="7" t="str" cm="1">
        <f t="array" ref="AP153">IFERROR(IF(AB154&lt;&gt;AB153,_xlfn.STDEV.P(IF(AB$9:AB153=AB153,AT$9:AT153)),""),"")</f>
        <v/>
      </c>
      <c r="AQ153" s="8" t="str">
        <f t="shared" si="74"/>
        <v/>
      </c>
      <c r="AR153" s="8" t="str">
        <f t="shared" si="75"/>
        <v/>
      </c>
      <c r="AS153" s="8" t="str">
        <f t="shared" si="76"/>
        <v/>
      </c>
      <c r="AT153" s="9" t="str">
        <f t="shared" si="77"/>
        <v/>
      </c>
      <c r="AU153" s="9" t="str">
        <f t="shared" si="78"/>
        <v/>
      </c>
      <c r="AV153" s="14"/>
      <c r="AW153" s="15"/>
      <c r="AX153" s="14" t="str">
        <f t="shared" si="79"/>
        <v/>
      </c>
      <c r="AY153" s="15"/>
      <c r="AZ153" s="23"/>
      <c r="EW153" t="s">
        <v>46</v>
      </c>
      <c r="EX153" s="33">
        <v>1150</v>
      </c>
      <c r="EY153" s="33" t="s">
        <v>458</v>
      </c>
      <c r="EZ153" s="33" t="s">
        <v>459</v>
      </c>
      <c r="FA153" s="33" t="s">
        <v>343</v>
      </c>
      <c r="FB153" s="33" t="s">
        <v>344</v>
      </c>
      <c r="FC153" s="33" t="s">
        <v>345</v>
      </c>
      <c r="FD153" s="33" t="s">
        <v>346</v>
      </c>
      <c r="FE153" s="33">
        <v>2025</v>
      </c>
      <c r="FF153" s="33" t="s">
        <v>59</v>
      </c>
      <c r="FG153" s="33" t="s">
        <v>71</v>
      </c>
      <c r="FH153" s="33" t="s">
        <v>72</v>
      </c>
      <c r="FI153" s="33" t="s">
        <v>73</v>
      </c>
      <c r="FJ153" t="s">
        <v>59</v>
      </c>
      <c r="FM153" s="32" t="s">
        <v>451</v>
      </c>
      <c r="FN153" t="s">
        <v>452</v>
      </c>
      <c r="FO153" t="s">
        <v>453</v>
      </c>
      <c r="FP153" t="str">
        <f t="shared" si="61"/>
        <v>B</v>
      </c>
      <c r="GU153" s="53">
        <v>150</v>
      </c>
      <c r="GV153" s="53">
        <v>147</v>
      </c>
    </row>
    <row r="154" spans="1:204" ht="15.5" x14ac:dyDescent="0.35">
      <c r="A154" s="95">
        <f t="shared" si="62"/>
        <v>1</v>
      </c>
      <c r="B154" s="11"/>
      <c r="C154" s="11"/>
      <c r="D154" s="92" t="str">
        <f>IFERROR(
IF(AND(OR(Planilla!B154="C",Planilla!B154="c"), VLOOKUP(E154,EX:FJ,13,0)="C"), "OK",IF(AND(OR(Planilla!B154="C",Planilla!B154="c"), OR(VLOOKUP(E154,EX:FJ,13,0)="B", VLOOKUP(E154,EX:FJ,13,0)="A")), "DEFICIT",IF(
AND(OR(Planilla!B154="B", Planilla!B154="BPAL"), VLOOKUP(E154,EX:FJ,13,0)="B"), "OK",IF(AND(OR(Planilla!B154="B", Planilla!B154="BPAL"), VLOOKUP(E154,EX:FJ,13,0)="A"), "DEFICIT",IF(AND(OR(Planilla!B154="B", Planilla!B154="BPAL"), VLOOKUP(E154,EX:FJ,13,0)="C"), "SOBREOFERTA",IF(AND(Planilla!B154="A", VLOOKUP(E154,EX:FJ,13,0)="A"), "OK",IF(
AND(Planilla!B154="A", OR(VLOOKUP(E154,EX:FJ,13,0)="B", VLOOKUP(E154,EX:FJ,13,0)="C")), "SOBREOFERTA",""
))))))),"")</f>
        <v/>
      </c>
      <c r="E154" s="12"/>
      <c r="F154" s="13"/>
      <c r="G154" s="14"/>
      <c r="H154" s="81" t="str">
        <f t="shared" si="63"/>
        <v/>
      </c>
      <c r="I154" s="7"/>
      <c r="J154" s="6" t="e">
        <f t="shared" si="64"/>
        <v>#N/A</v>
      </c>
      <c r="K154" s="6" t="str">
        <f>IF(A155&lt;&gt;A154,AVERAGEIF(A$9:A154,A154,J$9:J154),"")</f>
        <v/>
      </c>
      <c r="L154" s="7" t="str">
        <f>IFERROR(IF(A155&lt;&gt;A154,AVERAGEIF(A$9:A154,A154,S$9:S154),""),"")</f>
        <v/>
      </c>
      <c r="M154" s="7" t="str">
        <f>IFERROR(IF(A155&lt;&gt;A154,AVERAGEIF(A$9:A154,A154,T$9:T154),""),"")</f>
        <v/>
      </c>
      <c r="N154" s="7" t="str" cm="1">
        <f t="array" ref="N154">IFERROR(IF(A155&lt;&gt;A154,_xlfn.STDEV.P(IF(A$9:A154=A154,T$9:T154)),""),"")</f>
        <v/>
      </c>
      <c r="O154" s="7" t="str" cm="1">
        <f t="array" ref="O154">IFERROR(IF(A155&lt;&gt;A154,_xlfn.STDEV.P(IF(A$9:A154=A154,S$9:S154)),""),"")</f>
        <v/>
      </c>
      <c r="P154" s="8" t="str">
        <f t="shared" si="65"/>
        <v/>
      </c>
      <c r="Q154" s="8" t="str">
        <f t="shared" si="66"/>
        <v/>
      </c>
      <c r="R154" s="8" t="str">
        <f t="shared" si="67"/>
        <v/>
      </c>
      <c r="S154" s="9" t="str">
        <f t="shared" si="68"/>
        <v/>
      </c>
      <c r="T154" s="9" t="str">
        <f t="shared" si="69"/>
        <v/>
      </c>
      <c r="U154" s="14"/>
      <c r="V154" s="15"/>
      <c r="W154" s="14" t="str">
        <f t="shared" si="70"/>
        <v/>
      </c>
      <c r="X154" s="15"/>
      <c r="Y154" s="2"/>
      <c r="AB154" s="22">
        <f t="shared" si="71"/>
        <v>1</v>
      </c>
      <c r="AC154" s="11"/>
      <c r="AD154" s="11"/>
      <c r="AE154" s="13"/>
      <c r="AF154" s="12"/>
      <c r="AG154" s="13"/>
      <c r="AH154" s="14"/>
      <c r="AI154" s="81" t="str">
        <f t="shared" si="72"/>
        <v/>
      </c>
      <c r="AJ154" s="15"/>
      <c r="AK154" s="6" t="e">
        <f t="shared" si="73"/>
        <v>#N/A</v>
      </c>
      <c r="AL154" s="6" t="str">
        <f>IF(AB155&lt;&gt;AB154,AVERAGEIF(AB$9:AB154,AB154,AK$9:AK154),"")</f>
        <v/>
      </c>
      <c r="AM154" s="7" t="str">
        <f>IFERROR(IF(AB155&lt;&gt;AB154,AVERAGEIF(AB$9:AB154,AB154,AT$9:AT154),""),"")</f>
        <v/>
      </c>
      <c r="AN154" s="7" t="str">
        <f>IFERROR(IF(AB155&lt;&gt;AB154,AVERAGEIF(AB$9:AB154,AB154,AU$9:AU154),""),"")</f>
        <v/>
      </c>
      <c r="AO154" s="7" t="str" cm="1">
        <f t="array" ref="AO154">IFERROR(IF(AB155&lt;&gt;AB154,_xlfn.STDEV.P(IF(AB$9:AB154=AB154,AU$9:AU154)),""),"")</f>
        <v/>
      </c>
      <c r="AP154" s="7" t="str" cm="1">
        <f t="array" ref="AP154">IFERROR(IF(AB155&lt;&gt;AB154,_xlfn.STDEV.P(IF(AB$9:AB154=AB154,AT$9:AT154)),""),"")</f>
        <v/>
      </c>
      <c r="AQ154" s="8" t="str">
        <f t="shared" si="74"/>
        <v/>
      </c>
      <c r="AR154" s="8" t="str">
        <f t="shared" si="75"/>
        <v/>
      </c>
      <c r="AS154" s="8" t="str">
        <f t="shared" si="76"/>
        <v/>
      </c>
      <c r="AT154" s="9" t="str">
        <f t="shared" si="77"/>
        <v/>
      </c>
      <c r="AU154" s="9" t="str">
        <f t="shared" si="78"/>
        <v/>
      </c>
      <c r="AV154" s="14"/>
      <c r="AW154" s="15"/>
      <c r="AX154" s="14" t="str">
        <f t="shared" si="79"/>
        <v/>
      </c>
      <c r="AY154" s="15"/>
      <c r="AZ154" s="23"/>
      <c r="EW154" t="s">
        <v>46</v>
      </c>
      <c r="EX154" s="33">
        <v>1151</v>
      </c>
      <c r="EY154" s="33" t="s">
        <v>460</v>
      </c>
      <c r="EZ154" s="33" t="s">
        <v>461</v>
      </c>
      <c r="FA154" s="33" t="s">
        <v>343</v>
      </c>
      <c r="FB154" s="33" t="s">
        <v>344</v>
      </c>
      <c r="FC154" s="33" t="s">
        <v>345</v>
      </c>
      <c r="FD154" s="33" t="s">
        <v>346</v>
      </c>
      <c r="FE154" s="33">
        <v>2025</v>
      </c>
      <c r="FF154" s="33" t="s">
        <v>59</v>
      </c>
      <c r="FG154" s="33" t="s">
        <v>71</v>
      </c>
      <c r="FH154" s="33" t="s">
        <v>72</v>
      </c>
      <c r="FI154" s="33" t="s">
        <v>73</v>
      </c>
      <c r="FJ154" t="s">
        <v>59</v>
      </c>
      <c r="FM154" s="32" t="s">
        <v>462</v>
      </c>
      <c r="FN154" t="s">
        <v>463</v>
      </c>
      <c r="FO154" t="s">
        <v>464</v>
      </c>
      <c r="FP154" t="str">
        <f t="shared" si="61"/>
        <v>B</v>
      </c>
      <c r="GU154" s="53">
        <v>151</v>
      </c>
      <c r="GV154" s="53">
        <v>148</v>
      </c>
    </row>
    <row r="155" spans="1:204" ht="15.5" x14ac:dyDescent="0.35">
      <c r="A155" s="95">
        <f t="shared" si="62"/>
        <v>1</v>
      </c>
      <c r="B155" s="11"/>
      <c r="C155" s="11"/>
      <c r="D155" s="92" t="str">
        <f>IFERROR(
IF(AND(OR(Planilla!B155="C",Planilla!B155="c"), VLOOKUP(E155,EX:FJ,13,0)="C"), "OK",IF(AND(OR(Planilla!B155="C",Planilla!B155="c"), OR(VLOOKUP(E155,EX:FJ,13,0)="B", VLOOKUP(E155,EX:FJ,13,0)="A")), "DEFICIT",IF(
AND(OR(Planilla!B155="B", Planilla!B155="BPAL"), VLOOKUP(E155,EX:FJ,13,0)="B"), "OK",IF(AND(OR(Planilla!B155="B", Planilla!B155="BPAL"), VLOOKUP(E155,EX:FJ,13,0)="A"), "DEFICIT",IF(AND(OR(Planilla!B155="B", Planilla!B155="BPAL"), VLOOKUP(E155,EX:FJ,13,0)="C"), "SOBREOFERTA",IF(AND(Planilla!B155="A", VLOOKUP(E155,EX:FJ,13,0)="A"), "OK",IF(
AND(Planilla!B155="A", OR(VLOOKUP(E155,EX:FJ,13,0)="B", VLOOKUP(E155,EX:FJ,13,0)="C")), "SOBREOFERTA",""
))))))),"")</f>
        <v/>
      </c>
      <c r="E155" s="12"/>
      <c r="F155" s="13"/>
      <c r="G155" s="14"/>
      <c r="H155" s="81" t="str">
        <f t="shared" si="63"/>
        <v/>
      </c>
      <c r="I155" s="7"/>
      <c r="J155" s="6" t="e">
        <f t="shared" si="64"/>
        <v>#N/A</v>
      </c>
      <c r="K155" s="6" t="str">
        <f>IF(A156&lt;&gt;A155,AVERAGEIF(A$9:A155,A155,J$9:J155),"")</f>
        <v/>
      </c>
      <c r="L155" s="7" t="str">
        <f>IFERROR(IF(A156&lt;&gt;A155,AVERAGEIF(A$9:A155,A155,S$9:S155),""),"")</f>
        <v/>
      </c>
      <c r="M155" s="7" t="str">
        <f>IFERROR(IF(A156&lt;&gt;A155,AVERAGEIF(A$9:A155,A155,T$9:T155),""),"")</f>
        <v/>
      </c>
      <c r="N155" s="7" t="str" cm="1">
        <f t="array" ref="N155">IFERROR(IF(A156&lt;&gt;A155,_xlfn.STDEV.P(IF(A$9:A155=A155,T$9:T155)),""),"")</f>
        <v/>
      </c>
      <c r="O155" s="7" t="str" cm="1">
        <f t="array" ref="O155">IFERROR(IF(A156&lt;&gt;A155,_xlfn.STDEV.P(IF(A$9:A155=A155,S$9:S155)),""),"")</f>
        <v/>
      </c>
      <c r="P155" s="8" t="str">
        <f t="shared" si="65"/>
        <v/>
      </c>
      <c r="Q155" s="8" t="str">
        <f t="shared" si="66"/>
        <v/>
      </c>
      <c r="R155" s="8" t="str">
        <f t="shared" si="67"/>
        <v/>
      </c>
      <c r="S155" s="9" t="str">
        <f t="shared" si="68"/>
        <v/>
      </c>
      <c r="T155" s="9" t="str">
        <f t="shared" si="69"/>
        <v/>
      </c>
      <c r="U155" s="14"/>
      <c r="V155" s="15"/>
      <c r="W155" s="14" t="str">
        <f t="shared" si="70"/>
        <v/>
      </c>
      <c r="X155" s="15"/>
      <c r="Y155" s="2"/>
      <c r="AB155" s="22">
        <f t="shared" si="71"/>
        <v>1</v>
      </c>
      <c r="AC155" s="11"/>
      <c r="AD155" s="11"/>
      <c r="AE155" s="13"/>
      <c r="AF155" s="12"/>
      <c r="AG155" s="13"/>
      <c r="AH155" s="14"/>
      <c r="AI155" s="81" t="str">
        <f t="shared" si="72"/>
        <v/>
      </c>
      <c r="AJ155" s="15"/>
      <c r="AK155" s="6" t="e">
        <f t="shared" si="73"/>
        <v>#N/A</v>
      </c>
      <c r="AL155" s="6" t="str">
        <f>IF(AB156&lt;&gt;AB155,AVERAGEIF(AB$9:AB155,AB155,AK$9:AK155),"")</f>
        <v/>
      </c>
      <c r="AM155" s="7" t="str">
        <f>IFERROR(IF(AB156&lt;&gt;AB155,AVERAGEIF(AB$9:AB155,AB155,AT$9:AT155),""),"")</f>
        <v/>
      </c>
      <c r="AN155" s="7" t="str">
        <f>IFERROR(IF(AB156&lt;&gt;AB155,AVERAGEIF(AB$9:AB155,AB155,AU$9:AU155),""),"")</f>
        <v/>
      </c>
      <c r="AO155" s="7" t="str" cm="1">
        <f t="array" ref="AO155">IFERROR(IF(AB156&lt;&gt;AB155,_xlfn.STDEV.P(IF(AB$9:AB155=AB155,AU$9:AU155)),""),"")</f>
        <v/>
      </c>
      <c r="AP155" s="7" t="str" cm="1">
        <f t="array" ref="AP155">IFERROR(IF(AB156&lt;&gt;AB155,_xlfn.STDEV.P(IF(AB$9:AB155=AB155,AT$9:AT155)),""),"")</f>
        <v/>
      </c>
      <c r="AQ155" s="8" t="str">
        <f t="shared" si="74"/>
        <v/>
      </c>
      <c r="AR155" s="8" t="str">
        <f t="shared" si="75"/>
        <v/>
      </c>
      <c r="AS155" s="8" t="str">
        <f t="shared" si="76"/>
        <v/>
      </c>
      <c r="AT155" s="9" t="str">
        <f t="shared" si="77"/>
        <v/>
      </c>
      <c r="AU155" s="9" t="str">
        <f t="shared" si="78"/>
        <v/>
      </c>
      <c r="AV155" s="14"/>
      <c r="AW155" s="15"/>
      <c r="AX155" s="14" t="str">
        <f t="shared" si="79"/>
        <v/>
      </c>
      <c r="AY155" s="15"/>
      <c r="AZ155" s="23"/>
      <c r="EW155" t="s">
        <v>46</v>
      </c>
      <c r="EX155" s="33">
        <v>1152</v>
      </c>
      <c r="EY155" s="33" t="s">
        <v>465</v>
      </c>
      <c r="EZ155" s="33" t="s">
        <v>466</v>
      </c>
      <c r="FA155" s="33" t="s">
        <v>343</v>
      </c>
      <c r="FB155" s="33" t="s">
        <v>344</v>
      </c>
      <c r="FC155" s="33" t="s">
        <v>345</v>
      </c>
      <c r="FD155" s="33" t="s">
        <v>346</v>
      </c>
      <c r="FE155" s="33">
        <v>2025</v>
      </c>
      <c r="FF155" s="33" t="s">
        <v>59</v>
      </c>
      <c r="FG155" s="33" t="s">
        <v>386</v>
      </c>
      <c r="FH155" s="33" t="s">
        <v>387</v>
      </c>
      <c r="FI155" s="33" t="s">
        <v>467</v>
      </c>
      <c r="FJ155" t="s">
        <v>59</v>
      </c>
      <c r="FM155" s="32" t="s">
        <v>462</v>
      </c>
      <c r="FN155" t="s">
        <v>463</v>
      </c>
      <c r="FO155" t="s">
        <v>464</v>
      </c>
      <c r="FP155" t="str">
        <f t="shared" si="61"/>
        <v>B</v>
      </c>
      <c r="GU155" s="53">
        <v>152</v>
      </c>
      <c r="GV155" s="53">
        <v>149</v>
      </c>
    </row>
    <row r="156" spans="1:204" ht="15.5" x14ac:dyDescent="0.35">
      <c r="A156" s="95">
        <f t="shared" si="62"/>
        <v>1</v>
      </c>
      <c r="B156" s="11"/>
      <c r="C156" s="11"/>
      <c r="D156" s="92" t="str">
        <f>IFERROR(
IF(AND(OR(Planilla!B156="C",Planilla!B156="c"), VLOOKUP(E156,EX:FJ,13,0)="C"), "OK",IF(AND(OR(Planilla!B156="C",Planilla!B156="c"), OR(VLOOKUP(E156,EX:FJ,13,0)="B", VLOOKUP(E156,EX:FJ,13,0)="A")), "DEFICIT",IF(
AND(OR(Planilla!B156="B", Planilla!B156="BPAL"), VLOOKUP(E156,EX:FJ,13,0)="B"), "OK",IF(AND(OR(Planilla!B156="B", Planilla!B156="BPAL"), VLOOKUP(E156,EX:FJ,13,0)="A"), "DEFICIT",IF(AND(OR(Planilla!B156="B", Planilla!B156="BPAL"), VLOOKUP(E156,EX:FJ,13,0)="C"), "SOBREOFERTA",IF(AND(Planilla!B156="A", VLOOKUP(E156,EX:FJ,13,0)="A"), "OK",IF(
AND(Planilla!B156="A", OR(VLOOKUP(E156,EX:FJ,13,0)="B", VLOOKUP(E156,EX:FJ,13,0)="C")), "SOBREOFERTA",""
))))))),"")</f>
        <v/>
      </c>
      <c r="E156" s="12"/>
      <c r="F156" s="13"/>
      <c r="G156" s="14"/>
      <c r="H156" s="81" t="str">
        <f t="shared" si="63"/>
        <v/>
      </c>
      <c r="I156" s="7"/>
      <c r="J156" s="6" t="e">
        <f t="shared" si="64"/>
        <v>#N/A</v>
      </c>
      <c r="K156" s="6" t="str">
        <f>IF(A157&lt;&gt;A156,AVERAGEIF(A$9:A156,A156,J$9:J156),"")</f>
        <v/>
      </c>
      <c r="L156" s="7" t="str">
        <f>IFERROR(IF(A157&lt;&gt;A156,AVERAGEIF(A$9:A156,A156,S$9:S156),""),"")</f>
        <v/>
      </c>
      <c r="M156" s="7" t="str">
        <f>IFERROR(IF(A157&lt;&gt;A156,AVERAGEIF(A$9:A156,A156,T$9:T156),""),"")</f>
        <v/>
      </c>
      <c r="N156" s="7" t="str" cm="1">
        <f t="array" ref="N156">IFERROR(IF(A157&lt;&gt;A156,_xlfn.STDEV.P(IF(A$9:A156=A156,T$9:T156)),""),"")</f>
        <v/>
      </c>
      <c r="O156" s="7" t="str" cm="1">
        <f t="array" ref="O156">IFERROR(IF(A157&lt;&gt;A156,_xlfn.STDEV.P(IF(A$9:A156=A156,S$9:S156)),""),"")</f>
        <v/>
      </c>
      <c r="P156" s="8" t="str">
        <f t="shared" si="65"/>
        <v/>
      </c>
      <c r="Q156" s="8" t="str">
        <f t="shared" si="66"/>
        <v/>
      </c>
      <c r="R156" s="8" t="str">
        <f t="shared" si="67"/>
        <v/>
      </c>
      <c r="S156" s="9" t="str">
        <f t="shared" si="68"/>
        <v/>
      </c>
      <c r="T156" s="9" t="str">
        <f t="shared" si="69"/>
        <v/>
      </c>
      <c r="U156" s="14"/>
      <c r="V156" s="15"/>
      <c r="W156" s="14" t="str">
        <f t="shared" si="70"/>
        <v/>
      </c>
      <c r="X156" s="15"/>
      <c r="Y156" s="2"/>
      <c r="AB156" s="22">
        <f t="shared" si="71"/>
        <v>1</v>
      </c>
      <c r="AC156" s="11"/>
      <c r="AD156" s="11"/>
      <c r="AE156" s="13"/>
      <c r="AF156" s="12"/>
      <c r="AG156" s="13"/>
      <c r="AH156" s="14"/>
      <c r="AI156" s="81" t="str">
        <f t="shared" si="72"/>
        <v/>
      </c>
      <c r="AJ156" s="15"/>
      <c r="AK156" s="6" t="e">
        <f t="shared" si="73"/>
        <v>#N/A</v>
      </c>
      <c r="AL156" s="6" t="str">
        <f>IF(AB157&lt;&gt;AB156,AVERAGEIF(AB$9:AB156,AB156,AK$9:AK156),"")</f>
        <v/>
      </c>
      <c r="AM156" s="7" t="str">
        <f>IFERROR(IF(AB157&lt;&gt;AB156,AVERAGEIF(AB$9:AB156,AB156,AT$9:AT156),""),"")</f>
        <v/>
      </c>
      <c r="AN156" s="7" t="str">
        <f>IFERROR(IF(AB157&lt;&gt;AB156,AVERAGEIF(AB$9:AB156,AB156,AU$9:AU156),""),"")</f>
        <v/>
      </c>
      <c r="AO156" s="7" t="str" cm="1">
        <f t="array" ref="AO156">IFERROR(IF(AB157&lt;&gt;AB156,_xlfn.STDEV.P(IF(AB$9:AB156=AB156,AU$9:AU156)),""),"")</f>
        <v/>
      </c>
      <c r="AP156" s="7" t="str" cm="1">
        <f t="array" ref="AP156">IFERROR(IF(AB157&lt;&gt;AB156,_xlfn.STDEV.P(IF(AB$9:AB156=AB156,AT$9:AT156)),""),"")</f>
        <v/>
      </c>
      <c r="AQ156" s="8" t="str">
        <f t="shared" si="74"/>
        <v/>
      </c>
      <c r="AR156" s="8" t="str">
        <f t="shared" si="75"/>
        <v/>
      </c>
      <c r="AS156" s="8" t="str">
        <f t="shared" si="76"/>
        <v/>
      </c>
      <c r="AT156" s="9" t="str">
        <f t="shared" si="77"/>
        <v/>
      </c>
      <c r="AU156" s="9" t="str">
        <f t="shared" si="78"/>
        <v/>
      </c>
      <c r="AV156" s="14"/>
      <c r="AW156" s="15"/>
      <c r="AX156" s="14" t="str">
        <f t="shared" si="79"/>
        <v/>
      </c>
      <c r="AY156" s="15"/>
      <c r="AZ156" s="23"/>
      <c r="EW156" t="s">
        <v>46</v>
      </c>
      <c r="EX156" s="33">
        <v>1153</v>
      </c>
      <c r="EY156" s="33" t="s">
        <v>468</v>
      </c>
      <c r="EZ156" s="33" t="s">
        <v>469</v>
      </c>
      <c r="FA156" s="33" t="s">
        <v>343</v>
      </c>
      <c r="FB156" s="33" t="s">
        <v>344</v>
      </c>
      <c r="FC156" s="33" t="s">
        <v>345</v>
      </c>
      <c r="FD156" s="33" t="s">
        <v>346</v>
      </c>
      <c r="FE156" s="33">
        <v>2025</v>
      </c>
      <c r="FF156" s="33" t="s">
        <v>59</v>
      </c>
      <c r="FG156" s="33" t="s">
        <v>470</v>
      </c>
      <c r="FH156" s="33" t="s">
        <v>471</v>
      </c>
      <c r="FI156" s="33" t="s">
        <v>467</v>
      </c>
      <c r="FJ156" t="s">
        <v>59</v>
      </c>
      <c r="FM156" s="32" t="s">
        <v>462</v>
      </c>
      <c r="FN156" t="s">
        <v>463</v>
      </c>
      <c r="FO156" t="s">
        <v>464</v>
      </c>
      <c r="FP156" t="str">
        <f t="shared" si="61"/>
        <v>B</v>
      </c>
      <c r="GU156" s="53">
        <v>153</v>
      </c>
      <c r="GV156" s="53">
        <v>150</v>
      </c>
    </row>
    <row r="157" spans="1:204" ht="15.5" x14ac:dyDescent="0.35">
      <c r="A157" s="95">
        <f t="shared" si="62"/>
        <v>1</v>
      </c>
      <c r="B157" s="11"/>
      <c r="C157" s="11"/>
      <c r="D157" s="92" t="str">
        <f>IFERROR(
IF(AND(OR(Planilla!B157="C",Planilla!B157="c"), VLOOKUP(E157,EX:FJ,13,0)="C"), "OK",IF(AND(OR(Planilla!B157="C",Planilla!B157="c"), OR(VLOOKUP(E157,EX:FJ,13,0)="B", VLOOKUP(E157,EX:FJ,13,0)="A")), "DEFICIT",IF(
AND(OR(Planilla!B157="B", Planilla!B157="BPAL"), VLOOKUP(E157,EX:FJ,13,0)="B"), "OK",IF(AND(OR(Planilla!B157="B", Planilla!B157="BPAL"), VLOOKUP(E157,EX:FJ,13,0)="A"), "DEFICIT",IF(AND(OR(Planilla!B157="B", Planilla!B157="BPAL"), VLOOKUP(E157,EX:FJ,13,0)="C"), "SOBREOFERTA",IF(AND(Planilla!B157="A", VLOOKUP(E157,EX:FJ,13,0)="A"), "OK",IF(
AND(Planilla!B157="A", OR(VLOOKUP(E157,EX:FJ,13,0)="B", VLOOKUP(E157,EX:FJ,13,0)="C")), "SOBREOFERTA",""
))))))),"")</f>
        <v/>
      </c>
      <c r="E157" s="12"/>
      <c r="F157" s="13"/>
      <c r="G157" s="14"/>
      <c r="H157" s="81" t="str">
        <f t="shared" si="63"/>
        <v/>
      </c>
      <c r="I157" s="7"/>
      <c r="J157" s="6" t="e">
        <f t="shared" si="64"/>
        <v>#N/A</v>
      </c>
      <c r="K157" s="6" t="str">
        <f>IF(A158&lt;&gt;A157,AVERAGEIF(A$9:A157,A157,J$9:J157),"")</f>
        <v/>
      </c>
      <c r="L157" s="7" t="str">
        <f>IFERROR(IF(A158&lt;&gt;A157,AVERAGEIF(A$9:A157,A157,S$9:S157),""),"")</f>
        <v/>
      </c>
      <c r="M157" s="7" t="str">
        <f>IFERROR(IF(A158&lt;&gt;A157,AVERAGEIF(A$9:A157,A157,T$9:T157),""),"")</f>
        <v/>
      </c>
      <c r="N157" s="7" t="str" cm="1">
        <f t="array" ref="N157">IFERROR(IF(A158&lt;&gt;A157,_xlfn.STDEV.P(IF(A$9:A157=A157,T$9:T157)),""),"")</f>
        <v/>
      </c>
      <c r="O157" s="7" t="str" cm="1">
        <f t="array" ref="O157">IFERROR(IF(A158&lt;&gt;A157,_xlfn.STDEV.P(IF(A$9:A157=A157,S$9:S157)),""),"")</f>
        <v/>
      </c>
      <c r="P157" s="8" t="str">
        <f t="shared" si="65"/>
        <v/>
      </c>
      <c r="Q157" s="8" t="str">
        <f t="shared" si="66"/>
        <v/>
      </c>
      <c r="R157" s="8" t="str">
        <f t="shared" si="67"/>
        <v/>
      </c>
      <c r="S157" s="9" t="str">
        <f t="shared" si="68"/>
        <v/>
      </c>
      <c r="T157" s="9" t="str">
        <f t="shared" si="69"/>
        <v/>
      </c>
      <c r="U157" s="14"/>
      <c r="V157" s="15"/>
      <c r="W157" s="14" t="str">
        <f t="shared" si="70"/>
        <v/>
      </c>
      <c r="X157" s="15"/>
      <c r="Y157" s="2"/>
      <c r="AB157" s="22">
        <f t="shared" si="71"/>
        <v>1</v>
      </c>
      <c r="AC157" s="11"/>
      <c r="AD157" s="11"/>
      <c r="AE157" s="13"/>
      <c r="AF157" s="12"/>
      <c r="AG157" s="13"/>
      <c r="AH157" s="14"/>
      <c r="AI157" s="81" t="str">
        <f t="shared" si="72"/>
        <v/>
      </c>
      <c r="AJ157" s="15"/>
      <c r="AK157" s="6" t="e">
        <f t="shared" si="73"/>
        <v>#N/A</v>
      </c>
      <c r="AL157" s="6" t="str">
        <f>IF(AB158&lt;&gt;AB157,AVERAGEIF(AB$9:AB157,AB157,AK$9:AK157),"")</f>
        <v/>
      </c>
      <c r="AM157" s="7" t="str">
        <f>IFERROR(IF(AB158&lt;&gt;AB157,AVERAGEIF(AB$9:AB157,AB157,AT$9:AT157),""),"")</f>
        <v/>
      </c>
      <c r="AN157" s="7" t="str">
        <f>IFERROR(IF(AB158&lt;&gt;AB157,AVERAGEIF(AB$9:AB157,AB157,AU$9:AU157),""),"")</f>
        <v/>
      </c>
      <c r="AO157" s="7" t="str" cm="1">
        <f t="array" ref="AO157">IFERROR(IF(AB158&lt;&gt;AB157,_xlfn.STDEV.P(IF(AB$9:AB157=AB157,AU$9:AU157)),""),"")</f>
        <v/>
      </c>
      <c r="AP157" s="7" t="str" cm="1">
        <f t="array" ref="AP157">IFERROR(IF(AB158&lt;&gt;AB157,_xlfn.STDEV.P(IF(AB$9:AB157=AB157,AT$9:AT157)),""),"")</f>
        <v/>
      </c>
      <c r="AQ157" s="8" t="str">
        <f t="shared" si="74"/>
        <v/>
      </c>
      <c r="AR157" s="8" t="str">
        <f t="shared" si="75"/>
        <v/>
      </c>
      <c r="AS157" s="8" t="str">
        <f t="shared" si="76"/>
        <v/>
      </c>
      <c r="AT157" s="9" t="str">
        <f t="shared" si="77"/>
        <v/>
      </c>
      <c r="AU157" s="9" t="str">
        <f t="shared" si="78"/>
        <v/>
      </c>
      <c r="AV157" s="14"/>
      <c r="AW157" s="15"/>
      <c r="AX157" s="14" t="str">
        <f t="shared" si="79"/>
        <v/>
      </c>
      <c r="AY157" s="15"/>
      <c r="AZ157" s="23"/>
      <c r="EW157" t="s">
        <v>46</v>
      </c>
      <c r="EX157" s="33">
        <v>1225</v>
      </c>
      <c r="EY157" s="33" t="s">
        <v>472</v>
      </c>
      <c r="EZ157" s="33">
        <v>451887</v>
      </c>
      <c r="FA157" s="33" t="s">
        <v>51</v>
      </c>
      <c r="FB157" s="33" t="s">
        <v>473</v>
      </c>
      <c r="FC157" s="33" t="s">
        <v>53</v>
      </c>
      <c r="FD157" s="33" t="s">
        <v>54</v>
      </c>
      <c r="FE157" s="33">
        <v>2020</v>
      </c>
      <c r="FF157" s="33" t="s">
        <v>474</v>
      </c>
      <c r="FG157" s="33" t="s">
        <v>470</v>
      </c>
      <c r="FH157" s="33" t="s">
        <v>471</v>
      </c>
      <c r="FI157" s="33" t="s">
        <v>467</v>
      </c>
      <c r="FJ157" s="34" t="s">
        <v>474</v>
      </c>
      <c r="FM157" s="32" t="s">
        <v>462</v>
      </c>
      <c r="FN157" t="s">
        <v>463</v>
      </c>
      <c r="FO157" t="s">
        <v>464</v>
      </c>
      <c r="FP157" t="str">
        <f t="shared" si="61"/>
        <v>B</v>
      </c>
      <c r="GU157" s="53">
        <v>154</v>
      </c>
      <c r="GV157" s="53">
        <v>151</v>
      </c>
    </row>
    <row r="158" spans="1:204" ht="15.5" x14ac:dyDescent="0.35">
      <c r="A158" s="95">
        <f t="shared" si="62"/>
        <v>1</v>
      </c>
      <c r="B158" s="11"/>
      <c r="C158" s="11"/>
      <c r="D158" s="92" t="str">
        <f>IFERROR(
IF(AND(OR(Planilla!B158="C",Planilla!B158="c"), VLOOKUP(E158,EX:FJ,13,0)="C"), "OK",IF(AND(OR(Planilla!B158="C",Planilla!B158="c"), OR(VLOOKUP(E158,EX:FJ,13,0)="B", VLOOKUP(E158,EX:FJ,13,0)="A")), "DEFICIT",IF(
AND(OR(Planilla!B158="B", Planilla!B158="BPAL"), VLOOKUP(E158,EX:FJ,13,0)="B"), "OK",IF(AND(OR(Planilla!B158="B", Planilla!B158="BPAL"), VLOOKUP(E158,EX:FJ,13,0)="A"), "DEFICIT",IF(AND(OR(Planilla!B158="B", Planilla!B158="BPAL"), VLOOKUP(E158,EX:FJ,13,0)="C"), "SOBREOFERTA",IF(AND(Planilla!B158="A", VLOOKUP(E158,EX:FJ,13,0)="A"), "OK",IF(
AND(Planilla!B158="A", OR(VLOOKUP(E158,EX:FJ,13,0)="B", VLOOKUP(E158,EX:FJ,13,0)="C")), "SOBREOFERTA",""
))))))),"")</f>
        <v/>
      </c>
      <c r="E158" s="12"/>
      <c r="F158" s="13"/>
      <c r="G158" s="14"/>
      <c r="H158" s="81" t="str">
        <f t="shared" si="63"/>
        <v/>
      </c>
      <c r="I158" s="7"/>
      <c r="J158" s="6" t="e">
        <f t="shared" si="64"/>
        <v>#N/A</v>
      </c>
      <c r="K158" s="6" t="str">
        <f>IF(A159&lt;&gt;A158,AVERAGEIF(A$9:A158,A158,J$9:J158),"")</f>
        <v/>
      </c>
      <c r="L158" s="7" t="str">
        <f>IFERROR(IF(A159&lt;&gt;A158,AVERAGEIF(A$9:A158,A158,S$9:S158),""),"")</f>
        <v/>
      </c>
      <c r="M158" s="7" t="str">
        <f>IFERROR(IF(A159&lt;&gt;A158,AVERAGEIF(A$9:A158,A158,T$9:T158),""),"")</f>
        <v/>
      </c>
      <c r="N158" s="7" t="str" cm="1">
        <f t="array" ref="N158">IFERROR(IF(A159&lt;&gt;A158,_xlfn.STDEV.P(IF(A$9:A158=A158,T$9:T158)),""),"")</f>
        <v/>
      </c>
      <c r="O158" s="7" t="str" cm="1">
        <f t="array" ref="O158">IFERROR(IF(A159&lt;&gt;A158,_xlfn.STDEV.P(IF(A$9:A158=A158,S$9:S158)),""),"")</f>
        <v/>
      </c>
      <c r="P158" s="8" t="str">
        <f t="shared" si="65"/>
        <v/>
      </c>
      <c r="Q158" s="8" t="str">
        <f t="shared" si="66"/>
        <v/>
      </c>
      <c r="R158" s="8" t="str">
        <f t="shared" si="67"/>
        <v/>
      </c>
      <c r="S158" s="9" t="str">
        <f t="shared" si="68"/>
        <v/>
      </c>
      <c r="T158" s="9" t="str">
        <f t="shared" si="69"/>
        <v/>
      </c>
      <c r="U158" s="14"/>
      <c r="V158" s="15"/>
      <c r="W158" s="14" t="str">
        <f t="shared" si="70"/>
        <v/>
      </c>
      <c r="X158" s="15"/>
      <c r="Y158" s="2"/>
      <c r="AB158" s="22">
        <f t="shared" si="71"/>
        <v>1</v>
      </c>
      <c r="AC158" s="11"/>
      <c r="AD158" s="11"/>
      <c r="AE158" s="13"/>
      <c r="AF158" s="12"/>
      <c r="AG158" s="13"/>
      <c r="AH158" s="14"/>
      <c r="AI158" s="81" t="str">
        <f t="shared" si="72"/>
        <v/>
      </c>
      <c r="AJ158" s="15"/>
      <c r="AK158" s="6" t="e">
        <f t="shared" si="73"/>
        <v>#N/A</v>
      </c>
      <c r="AL158" s="6" t="str">
        <f>IF(AB159&lt;&gt;AB158,AVERAGEIF(AB$9:AB158,AB158,AK$9:AK158),"")</f>
        <v/>
      </c>
      <c r="AM158" s="7" t="str">
        <f>IFERROR(IF(AB159&lt;&gt;AB158,AVERAGEIF(AB$9:AB158,AB158,AT$9:AT158),""),"")</f>
        <v/>
      </c>
      <c r="AN158" s="7" t="str">
        <f>IFERROR(IF(AB159&lt;&gt;AB158,AVERAGEIF(AB$9:AB158,AB158,AU$9:AU158),""),"")</f>
        <v/>
      </c>
      <c r="AO158" s="7" t="str" cm="1">
        <f t="array" ref="AO158">IFERROR(IF(AB159&lt;&gt;AB158,_xlfn.STDEV.P(IF(AB$9:AB158=AB158,AU$9:AU158)),""),"")</f>
        <v/>
      </c>
      <c r="AP158" s="7" t="str" cm="1">
        <f t="array" ref="AP158">IFERROR(IF(AB159&lt;&gt;AB158,_xlfn.STDEV.P(IF(AB$9:AB158=AB158,AT$9:AT158)),""),"")</f>
        <v/>
      </c>
      <c r="AQ158" s="8" t="str">
        <f t="shared" si="74"/>
        <v/>
      </c>
      <c r="AR158" s="8" t="str">
        <f t="shared" si="75"/>
        <v/>
      </c>
      <c r="AS158" s="8" t="str">
        <f t="shared" si="76"/>
        <v/>
      </c>
      <c r="AT158" s="9" t="str">
        <f t="shared" si="77"/>
        <v/>
      </c>
      <c r="AU158" s="9" t="str">
        <f t="shared" si="78"/>
        <v/>
      </c>
      <c r="AV158" s="14"/>
      <c r="AW158" s="15"/>
      <c r="AX158" s="14" t="str">
        <f t="shared" si="79"/>
        <v/>
      </c>
      <c r="AY158" s="15"/>
      <c r="AZ158" s="23"/>
      <c r="EW158" t="s">
        <v>46</v>
      </c>
      <c r="EX158" s="33">
        <v>1154</v>
      </c>
      <c r="EY158" s="33" t="s">
        <v>475</v>
      </c>
      <c r="EZ158" s="33">
        <v>508408</v>
      </c>
      <c r="FA158" s="33" t="s">
        <v>51</v>
      </c>
      <c r="FB158" s="33" t="s">
        <v>473</v>
      </c>
      <c r="FC158" s="33" t="s">
        <v>53</v>
      </c>
      <c r="FD158" s="33" t="s">
        <v>476</v>
      </c>
      <c r="FE158" s="33">
        <v>2020</v>
      </c>
      <c r="FF158" s="33" t="s">
        <v>474</v>
      </c>
      <c r="FG158" s="33" t="s">
        <v>477</v>
      </c>
      <c r="FH158" s="33" t="s">
        <v>478</v>
      </c>
      <c r="FI158" s="33" t="s">
        <v>479</v>
      </c>
      <c r="FJ158" t="s">
        <v>474</v>
      </c>
      <c r="FM158" s="32" t="s">
        <v>480</v>
      </c>
      <c r="FN158" t="s">
        <v>481</v>
      </c>
      <c r="FO158" t="s">
        <v>482</v>
      </c>
      <c r="FP158" t="str">
        <f t="shared" si="61"/>
        <v>B</v>
      </c>
      <c r="GU158" s="53">
        <v>155</v>
      </c>
      <c r="GV158" s="53">
        <v>152</v>
      </c>
    </row>
    <row r="159" spans="1:204" ht="15.5" x14ac:dyDescent="0.35">
      <c r="A159" s="95">
        <f t="shared" si="62"/>
        <v>1</v>
      </c>
      <c r="B159" s="11"/>
      <c r="C159" s="11"/>
      <c r="D159" s="92" t="str">
        <f>IFERROR(
IF(AND(OR(Planilla!B159="C",Planilla!B159="c"), VLOOKUP(E159,EX:FJ,13,0)="C"), "OK",IF(AND(OR(Planilla!B159="C",Planilla!B159="c"), OR(VLOOKUP(E159,EX:FJ,13,0)="B", VLOOKUP(E159,EX:FJ,13,0)="A")), "DEFICIT",IF(
AND(OR(Planilla!B159="B", Planilla!B159="BPAL"), VLOOKUP(E159,EX:FJ,13,0)="B"), "OK",IF(AND(OR(Planilla!B159="B", Planilla!B159="BPAL"), VLOOKUP(E159,EX:FJ,13,0)="A"), "DEFICIT",IF(AND(OR(Planilla!B159="B", Planilla!B159="BPAL"), VLOOKUP(E159,EX:FJ,13,0)="C"), "SOBREOFERTA",IF(AND(Planilla!B159="A", VLOOKUP(E159,EX:FJ,13,0)="A"), "OK",IF(
AND(Planilla!B159="A", OR(VLOOKUP(E159,EX:FJ,13,0)="B", VLOOKUP(E159,EX:FJ,13,0)="C")), "SOBREOFERTA",""
))))))),"")</f>
        <v/>
      </c>
      <c r="E159" s="12"/>
      <c r="F159" s="13"/>
      <c r="G159" s="14"/>
      <c r="H159" s="81" t="str">
        <f t="shared" si="63"/>
        <v/>
      </c>
      <c r="I159" s="7"/>
      <c r="J159" s="6" t="e">
        <f t="shared" si="64"/>
        <v>#N/A</v>
      </c>
      <c r="K159" s="6" t="str">
        <f>IF(A160&lt;&gt;A159,AVERAGEIF(A$9:A159,A159,J$9:J159),"")</f>
        <v/>
      </c>
      <c r="L159" s="7" t="str">
        <f>IFERROR(IF(A160&lt;&gt;A159,AVERAGEIF(A$9:A159,A159,S$9:S159),""),"")</f>
        <v/>
      </c>
      <c r="M159" s="7" t="str">
        <f>IFERROR(IF(A160&lt;&gt;A159,AVERAGEIF(A$9:A159,A159,T$9:T159),""),"")</f>
        <v/>
      </c>
      <c r="N159" s="7" t="str" cm="1">
        <f t="array" ref="N159">IFERROR(IF(A160&lt;&gt;A159,_xlfn.STDEV.P(IF(A$9:A159=A159,T$9:T159)),""),"")</f>
        <v/>
      </c>
      <c r="O159" s="7" t="str" cm="1">
        <f t="array" ref="O159">IFERROR(IF(A160&lt;&gt;A159,_xlfn.STDEV.P(IF(A$9:A159=A159,S$9:S159)),""),"")</f>
        <v/>
      </c>
      <c r="P159" s="8" t="str">
        <f t="shared" si="65"/>
        <v/>
      </c>
      <c r="Q159" s="8" t="str">
        <f t="shared" si="66"/>
        <v/>
      </c>
      <c r="R159" s="8" t="str">
        <f t="shared" si="67"/>
        <v/>
      </c>
      <c r="S159" s="9" t="str">
        <f t="shared" si="68"/>
        <v/>
      </c>
      <c r="T159" s="9" t="str">
        <f t="shared" si="69"/>
        <v/>
      </c>
      <c r="U159" s="14"/>
      <c r="V159" s="15"/>
      <c r="W159" s="14" t="str">
        <f t="shared" si="70"/>
        <v/>
      </c>
      <c r="X159" s="15"/>
      <c r="Y159" s="2"/>
      <c r="AB159" s="22">
        <f t="shared" si="71"/>
        <v>1</v>
      </c>
      <c r="AC159" s="11"/>
      <c r="AD159" s="11"/>
      <c r="AE159" s="13"/>
      <c r="AF159" s="12"/>
      <c r="AG159" s="13"/>
      <c r="AH159" s="14"/>
      <c r="AI159" s="81" t="str">
        <f t="shared" si="72"/>
        <v/>
      </c>
      <c r="AJ159" s="15"/>
      <c r="AK159" s="6" t="e">
        <f t="shared" si="73"/>
        <v>#N/A</v>
      </c>
      <c r="AL159" s="6" t="str">
        <f>IF(AB160&lt;&gt;AB159,AVERAGEIF(AB$9:AB159,AB159,AK$9:AK159),"")</f>
        <v/>
      </c>
      <c r="AM159" s="7" t="str">
        <f>IFERROR(IF(AB160&lt;&gt;AB159,AVERAGEIF(AB$9:AB159,AB159,AT$9:AT159),""),"")</f>
        <v/>
      </c>
      <c r="AN159" s="7" t="str">
        <f>IFERROR(IF(AB160&lt;&gt;AB159,AVERAGEIF(AB$9:AB159,AB159,AU$9:AU159),""),"")</f>
        <v/>
      </c>
      <c r="AO159" s="7" t="str" cm="1">
        <f t="array" ref="AO159">IFERROR(IF(AB160&lt;&gt;AB159,_xlfn.STDEV.P(IF(AB$9:AB159=AB159,AU$9:AU159)),""),"")</f>
        <v/>
      </c>
      <c r="AP159" s="7" t="str" cm="1">
        <f t="array" ref="AP159">IFERROR(IF(AB160&lt;&gt;AB159,_xlfn.STDEV.P(IF(AB$9:AB159=AB159,AT$9:AT159)),""),"")</f>
        <v/>
      </c>
      <c r="AQ159" s="8" t="str">
        <f t="shared" si="74"/>
        <v/>
      </c>
      <c r="AR159" s="8" t="str">
        <f t="shared" si="75"/>
        <v/>
      </c>
      <c r="AS159" s="8" t="str">
        <f t="shared" si="76"/>
        <v/>
      </c>
      <c r="AT159" s="9" t="str">
        <f t="shared" si="77"/>
        <v/>
      </c>
      <c r="AU159" s="9" t="str">
        <f t="shared" si="78"/>
        <v/>
      </c>
      <c r="AV159" s="14"/>
      <c r="AW159" s="15"/>
      <c r="AX159" s="14" t="str">
        <f t="shared" si="79"/>
        <v/>
      </c>
      <c r="AY159" s="15"/>
      <c r="AZ159" s="23"/>
      <c r="EW159" t="s">
        <v>46</v>
      </c>
      <c r="EX159" s="33">
        <v>1155</v>
      </c>
      <c r="EY159" s="33" t="s">
        <v>483</v>
      </c>
      <c r="EZ159" s="33">
        <v>509327</v>
      </c>
      <c r="FA159" s="33" t="s">
        <v>51</v>
      </c>
      <c r="FB159" s="33" t="s">
        <v>473</v>
      </c>
      <c r="FC159" s="33" t="s">
        <v>53</v>
      </c>
      <c r="FD159" s="33" t="s">
        <v>476</v>
      </c>
      <c r="FE159" s="33">
        <v>2020</v>
      </c>
      <c r="FF159" s="33" t="s">
        <v>474</v>
      </c>
      <c r="FG159" s="33" t="s">
        <v>477</v>
      </c>
      <c r="FH159" s="33" t="s">
        <v>478</v>
      </c>
      <c r="FI159" s="33" t="s">
        <v>479</v>
      </c>
      <c r="FJ159" t="s">
        <v>474</v>
      </c>
      <c r="FM159" s="32" t="s">
        <v>484</v>
      </c>
      <c r="FN159" t="s">
        <v>485</v>
      </c>
      <c r="FO159" t="s">
        <v>486</v>
      </c>
      <c r="FP159" t="str">
        <f t="shared" si="61"/>
        <v>B</v>
      </c>
      <c r="GU159" s="53">
        <v>156</v>
      </c>
      <c r="GV159" s="53">
        <v>153</v>
      </c>
    </row>
    <row r="160" spans="1:204" ht="15.5" x14ac:dyDescent="0.35">
      <c r="A160" s="95">
        <f t="shared" si="62"/>
        <v>1</v>
      </c>
      <c r="B160" s="11"/>
      <c r="C160" s="11"/>
      <c r="D160" s="92" t="str">
        <f>IFERROR(
IF(AND(OR(Planilla!B160="C",Planilla!B160="c"), VLOOKUP(E160,EX:FJ,13,0)="C"), "OK",IF(AND(OR(Planilla!B160="C",Planilla!B160="c"), OR(VLOOKUP(E160,EX:FJ,13,0)="B", VLOOKUP(E160,EX:FJ,13,0)="A")), "DEFICIT",IF(
AND(OR(Planilla!B160="B", Planilla!B160="BPAL"), VLOOKUP(E160,EX:FJ,13,0)="B"), "OK",IF(AND(OR(Planilla!B160="B", Planilla!B160="BPAL"), VLOOKUP(E160,EX:FJ,13,0)="A"), "DEFICIT",IF(AND(OR(Planilla!B160="B", Planilla!B160="BPAL"), VLOOKUP(E160,EX:FJ,13,0)="C"), "SOBREOFERTA",IF(AND(Planilla!B160="A", VLOOKUP(E160,EX:FJ,13,0)="A"), "OK",IF(
AND(Planilla!B160="A", OR(VLOOKUP(E160,EX:FJ,13,0)="B", VLOOKUP(E160,EX:FJ,13,0)="C")), "SOBREOFERTA",""
))))))),"")</f>
        <v/>
      </c>
      <c r="E160" s="12"/>
      <c r="F160" s="13"/>
      <c r="G160" s="14"/>
      <c r="H160" s="81" t="str">
        <f t="shared" si="63"/>
        <v/>
      </c>
      <c r="I160" s="7"/>
      <c r="J160" s="6" t="e">
        <f t="shared" si="64"/>
        <v>#N/A</v>
      </c>
      <c r="K160" s="6" t="str">
        <f>IF(A161&lt;&gt;A160,AVERAGEIF(A$9:A160,A160,J$9:J160),"")</f>
        <v/>
      </c>
      <c r="L160" s="7" t="str">
        <f>IFERROR(IF(A161&lt;&gt;A160,AVERAGEIF(A$9:A160,A160,S$9:S160),""),"")</f>
        <v/>
      </c>
      <c r="M160" s="7" t="str">
        <f>IFERROR(IF(A161&lt;&gt;A160,AVERAGEIF(A$9:A160,A160,T$9:T160),""),"")</f>
        <v/>
      </c>
      <c r="N160" s="7" t="str" cm="1">
        <f t="array" ref="N160">IFERROR(IF(A161&lt;&gt;A160,_xlfn.STDEV.P(IF(A$9:A160=A160,T$9:T160)),""),"")</f>
        <v/>
      </c>
      <c r="O160" s="7" t="str" cm="1">
        <f t="array" ref="O160">IFERROR(IF(A161&lt;&gt;A160,_xlfn.STDEV.P(IF(A$9:A160=A160,S$9:S160)),""),"")</f>
        <v/>
      </c>
      <c r="P160" s="8" t="str">
        <f t="shared" si="65"/>
        <v/>
      </c>
      <c r="Q160" s="8" t="str">
        <f t="shared" si="66"/>
        <v/>
      </c>
      <c r="R160" s="8" t="str">
        <f t="shared" si="67"/>
        <v/>
      </c>
      <c r="S160" s="9" t="str">
        <f t="shared" si="68"/>
        <v/>
      </c>
      <c r="T160" s="9" t="str">
        <f t="shared" si="69"/>
        <v/>
      </c>
      <c r="U160" s="14"/>
      <c r="V160" s="15"/>
      <c r="W160" s="14" t="str">
        <f t="shared" si="70"/>
        <v/>
      </c>
      <c r="X160" s="15"/>
      <c r="Y160" s="2"/>
      <c r="AB160" s="22">
        <f t="shared" si="71"/>
        <v>1</v>
      </c>
      <c r="AC160" s="11"/>
      <c r="AD160" s="11"/>
      <c r="AE160" s="13"/>
      <c r="AF160" s="12"/>
      <c r="AG160" s="13"/>
      <c r="AH160" s="14"/>
      <c r="AI160" s="81" t="str">
        <f t="shared" si="72"/>
        <v/>
      </c>
      <c r="AJ160" s="15"/>
      <c r="AK160" s="6" t="e">
        <f t="shared" si="73"/>
        <v>#N/A</v>
      </c>
      <c r="AL160" s="6" t="str">
        <f>IF(AB161&lt;&gt;AB160,AVERAGEIF(AB$9:AB160,AB160,AK$9:AK160),"")</f>
        <v/>
      </c>
      <c r="AM160" s="7" t="str">
        <f>IFERROR(IF(AB161&lt;&gt;AB160,AVERAGEIF(AB$9:AB160,AB160,AT$9:AT160),""),"")</f>
        <v/>
      </c>
      <c r="AN160" s="7" t="str">
        <f>IFERROR(IF(AB161&lt;&gt;AB160,AVERAGEIF(AB$9:AB160,AB160,AU$9:AU160),""),"")</f>
        <v/>
      </c>
      <c r="AO160" s="7" t="str" cm="1">
        <f t="array" ref="AO160">IFERROR(IF(AB161&lt;&gt;AB160,_xlfn.STDEV.P(IF(AB$9:AB160=AB160,AU$9:AU160)),""),"")</f>
        <v/>
      </c>
      <c r="AP160" s="7" t="str" cm="1">
        <f t="array" ref="AP160">IFERROR(IF(AB161&lt;&gt;AB160,_xlfn.STDEV.P(IF(AB$9:AB160=AB160,AT$9:AT160)),""),"")</f>
        <v/>
      </c>
      <c r="AQ160" s="8" t="str">
        <f t="shared" si="74"/>
        <v/>
      </c>
      <c r="AR160" s="8" t="str">
        <f t="shared" si="75"/>
        <v/>
      </c>
      <c r="AS160" s="8" t="str">
        <f t="shared" si="76"/>
        <v/>
      </c>
      <c r="AT160" s="9" t="str">
        <f t="shared" si="77"/>
        <v/>
      </c>
      <c r="AU160" s="9" t="str">
        <f t="shared" si="78"/>
        <v/>
      </c>
      <c r="AV160" s="14"/>
      <c r="AW160" s="15"/>
      <c r="AX160" s="14" t="str">
        <f t="shared" si="79"/>
        <v/>
      </c>
      <c r="AY160" s="15"/>
      <c r="AZ160" s="23"/>
      <c r="EW160" t="s">
        <v>46</v>
      </c>
      <c r="EX160" s="33">
        <v>1156</v>
      </c>
      <c r="EY160" s="33" t="s">
        <v>487</v>
      </c>
      <c r="EZ160" s="33">
        <v>508437</v>
      </c>
      <c r="FA160" s="33" t="s">
        <v>51</v>
      </c>
      <c r="FB160" s="33" t="s">
        <v>473</v>
      </c>
      <c r="FC160" s="33" t="s">
        <v>53</v>
      </c>
      <c r="FD160" s="33" t="s">
        <v>476</v>
      </c>
      <c r="FE160" s="33">
        <v>2020</v>
      </c>
      <c r="FF160" s="33" t="s">
        <v>474</v>
      </c>
      <c r="FG160" s="33" t="s">
        <v>477</v>
      </c>
      <c r="FH160" s="33" t="s">
        <v>478</v>
      </c>
      <c r="FI160" s="33" t="s">
        <v>479</v>
      </c>
      <c r="FJ160" t="s">
        <v>474</v>
      </c>
      <c r="FM160" s="32" t="s">
        <v>484</v>
      </c>
      <c r="FN160" t="s">
        <v>485</v>
      </c>
      <c r="FO160" t="s">
        <v>486</v>
      </c>
      <c r="FP160" t="str">
        <f t="shared" si="61"/>
        <v>B</v>
      </c>
      <c r="GU160" s="53">
        <v>157</v>
      </c>
      <c r="GV160" s="53">
        <v>154</v>
      </c>
    </row>
    <row r="161" spans="1:204" ht="15.5" x14ac:dyDescent="0.35">
      <c r="A161" s="95">
        <f t="shared" si="62"/>
        <v>1</v>
      </c>
      <c r="B161" s="11"/>
      <c r="C161" s="11"/>
      <c r="D161" s="92" t="str">
        <f>IFERROR(
IF(AND(OR(Planilla!B161="C",Planilla!B161="c"), VLOOKUP(E161,EX:FJ,13,0)="C"), "OK",IF(AND(OR(Planilla!B161="C",Planilla!B161="c"), OR(VLOOKUP(E161,EX:FJ,13,0)="B", VLOOKUP(E161,EX:FJ,13,0)="A")), "DEFICIT",IF(
AND(OR(Planilla!B161="B", Planilla!B161="BPAL"), VLOOKUP(E161,EX:FJ,13,0)="B"), "OK",IF(AND(OR(Planilla!B161="B", Planilla!B161="BPAL"), VLOOKUP(E161,EX:FJ,13,0)="A"), "DEFICIT",IF(AND(OR(Planilla!B161="B", Planilla!B161="BPAL"), VLOOKUP(E161,EX:FJ,13,0)="C"), "SOBREOFERTA",IF(AND(Planilla!B161="A", VLOOKUP(E161,EX:FJ,13,0)="A"), "OK",IF(
AND(Planilla!B161="A", OR(VLOOKUP(E161,EX:FJ,13,0)="B", VLOOKUP(E161,EX:FJ,13,0)="C")), "SOBREOFERTA",""
))))))),"")</f>
        <v/>
      </c>
      <c r="E161" s="12"/>
      <c r="F161" s="13"/>
      <c r="G161" s="14"/>
      <c r="H161" s="81" t="str">
        <f t="shared" si="63"/>
        <v/>
      </c>
      <c r="I161" s="7"/>
      <c r="J161" s="6" t="e">
        <f t="shared" si="64"/>
        <v>#N/A</v>
      </c>
      <c r="K161" s="6" t="str">
        <f>IF(A162&lt;&gt;A161,AVERAGEIF(A$9:A161,A161,J$9:J161),"")</f>
        <v/>
      </c>
      <c r="L161" s="7" t="str">
        <f>IFERROR(IF(A162&lt;&gt;A161,AVERAGEIF(A$9:A161,A161,S$9:S161),""),"")</f>
        <v/>
      </c>
      <c r="M161" s="7" t="str">
        <f>IFERROR(IF(A162&lt;&gt;A161,AVERAGEIF(A$9:A161,A161,T$9:T161),""),"")</f>
        <v/>
      </c>
      <c r="N161" s="7" t="str" cm="1">
        <f t="array" ref="N161">IFERROR(IF(A162&lt;&gt;A161,_xlfn.STDEV.P(IF(A$9:A161=A161,T$9:T161)),""),"")</f>
        <v/>
      </c>
      <c r="O161" s="7" t="str" cm="1">
        <f t="array" ref="O161">IFERROR(IF(A162&lt;&gt;A161,_xlfn.STDEV.P(IF(A$9:A161=A161,S$9:S161)),""),"")</f>
        <v/>
      </c>
      <c r="P161" s="8" t="str">
        <f t="shared" si="65"/>
        <v/>
      </c>
      <c r="Q161" s="8" t="str">
        <f t="shared" si="66"/>
        <v/>
      </c>
      <c r="R161" s="8" t="str">
        <f t="shared" si="67"/>
        <v/>
      </c>
      <c r="S161" s="9" t="str">
        <f t="shared" si="68"/>
        <v/>
      </c>
      <c r="T161" s="9" t="str">
        <f t="shared" si="69"/>
        <v/>
      </c>
      <c r="U161" s="14"/>
      <c r="V161" s="15"/>
      <c r="W161" s="14" t="str">
        <f t="shared" si="70"/>
        <v/>
      </c>
      <c r="X161" s="15"/>
      <c r="Y161" s="2"/>
      <c r="AB161" s="22">
        <f t="shared" si="71"/>
        <v>1</v>
      </c>
      <c r="AC161" s="11"/>
      <c r="AD161" s="11"/>
      <c r="AE161" s="13"/>
      <c r="AF161" s="12"/>
      <c r="AG161" s="13"/>
      <c r="AH161" s="14"/>
      <c r="AI161" s="81" t="str">
        <f t="shared" si="72"/>
        <v/>
      </c>
      <c r="AJ161" s="15"/>
      <c r="AK161" s="6" t="e">
        <f t="shared" si="73"/>
        <v>#N/A</v>
      </c>
      <c r="AL161" s="6" t="str">
        <f>IF(AB162&lt;&gt;AB161,AVERAGEIF(AB$9:AB161,AB161,AK$9:AK161),"")</f>
        <v/>
      </c>
      <c r="AM161" s="7" t="str">
        <f>IFERROR(IF(AB162&lt;&gt;AB161,AVERAGEIF(AB$9:AB161,AB161,AT$9:AT161),""),"")</f>
        <v/>
      </c>
      <c r="AN161" s="7" t="str">
        <f>IFERROR(IF(AB162&lt;&gt;AB161,AVERAGEIF(AB$9:AB161,AB161,AU$9:AU161),""),"")</f>
        <v/>
      </c>
      <c r="AO161" s="7" t="str" cm="1">
        <f t="array" ref="AO161">IFERROR(IF(AB162&lt;&gt;AB161,_xlfn.STDEV.P(IF(AB$9:AB161=AB161,AU$9:AU161)),""),"")</f>
        <v/>
      </c>
      <c r="AP161" s="7" t="str" cm="1">
        <f t="array" ref="AP161">IFERROR(IF(AB162&lt;&gt;AB161,_xlfn.STDEV.P(IF(AB$9:AB161=AB161,AT$9:AT161)),""),"")</f>
        <v/>
      </c>
      <c r="AQ161" s="8" t="str">
        <f t="shared" si="74"/>
        <v/>
      </c>
      <c r="AR161" s="8" t="str">
        <f t="shared" si="75"/>
        <v/>
      </c>
      <c r="AS161" s="8" t="str">
        <f t="shared" si="76"/>
        <v/>
      </c>
      <c r="AT161" s="9" t="str">
        <f t="shared" si="77"/>
        <v/>
      </c>
      <c r="AU161" s="9" t="str">
        <f t="shared" si="78"/>
        <v/>
      </c>
      <c r="AV161" s="14"/>
      <c r="AW161" s="15"/>
      <c r="AX161" s="14" t="str">
        <f t="shared" si="79"/>
        <v/>
      </c>
      <c r="AY161" s="15"/>
      <c r="AZ161" s="23"/>
      <c r="EW161" t="s">
        <v>46</v>
      </c>
      <c r="EX161" s="33">
        <v>1157</v>
      </c>
      <c r="EY161" s="33" t="s">
        <v>488</v>
      </c>
      <c r="EZ161" s="33">
        <v>508572</v>
      </c>
      <c r="FA161" s="33" t="s">
        <v>51</v>
      </c>
      <c r="FB161" s="33" t="s">
        <v>473</v>
      </c>
      <c r="FC161" s="33" t="s">
        <v>53</v>
      </c>
      <c r="FD161" s="33" t="s">
        <v>476</v>
      </c>
      <c r="FE161" s="33">
        <v>2020</v>
      </c>
      <c r="FF161" s="33" t="s">
        <v>474</v>
      </c>
      <c r="FG161" s="33" t="s">
        <v>477</v>
      </c>
      <c r="FH161" s="33" t="s">
        <v>478</v>
      </c>
      <c r="FI161" s="33" t="s">
        <v>479</v>
      </c>
      <c r="FJ161" t="s">
        <v>474</v>
      </c>
      <c r="FM161" s="32" t="s">
        <v>484</v>
      </c>
      <c r="FN161" t="s">
        <v>485</v>
      </c>
      <c r="FO161" t="s">
        <v>486</v>
      </c>
      <c r="FP161" t="str">
        <f t="shared" si="61"/>
        <v>B</v>
      </c>
      <c r="GU161" s="53">
        <v>158</v>
      </c>
      <c r="GV161" s="53">
        <v>155</v>
      </c>
    </row>
    <row r="162" spans="1:204" ht="15.5" x14ac:dyDescent="0.35">
      <c r="A162" s="95">
        <f t="shared" si="62"/>
        <v>1</v>
      </c>
      <c r="B162" s="11"/>
      <c r="C162" s="11"/>
      <c r="D162" s="92" t="str">
        <f>IFERROR(
IF(AND(OR(Planilla!B162="C",Planilla!B162="c"), VLOOKUP(E162,EX:FJ,13,0)="C"), "OK",IF(AND(OR(Planilla!B162="C",Planilla!B162="c"), OR(VLOOKUP(E162,EX:FJ,13,0)="B", VLOOKUP(E162,EX:FJ,13,0)="A")), "DEFICIT",IF(
AND(OR(Planilla!B162="B", Planilla!B162="BPAL"), VLOOKUP(E162,EX:FJ,13,0)="B"), "OK",IF(AND(OR(Planilla!B162="B", Planilla!B162="BPAL"), VLOOKUP(E162,EX:FJ,13,0)="A"), "DEFICIT",IF(AND(OR(Planilla!B162="B", Planilla!B162="BPAL"), VLOOKUP(E162,EX:FJ,13,0)="C"), "SOBREOFERTA",IF(AND(Planilla!B162="A", VLOOKUP(E162,EX:FJ,13,0)="A"), "OK",IF(
AND(Planilla!B162="A", OR(VLOOKUP(E162,EX:FJ,13,0)="B", VLOOKUP(E162,EX:FJ,13,0)="C")), "SOBREOFERTA",""
))))))),"")</f>
        <v/>
      </c>
      <c r="E162" s="12"/>
      <c r="F162" s="13"/>
      <c r="G162" s="14"/>
      <c r="H162" s="81" t="str">
        <f t="shared" si="63"/>
        <v/>
      </c>
      <c r="I162" s="7"/>
      <c r="J162" s="6" t="e">
        <f t="shared" si="64"/>
        <v>#N/A</v>
      </c>
      <c r="K162" s="6" t="str">
        <f>IF(A163&lt;&gt;A162,AVERAGEIF(A$9:A162,A162,J$9:J162),"")</f>
        <v/>
      </c>
      <c r="L162" s="7" t="str">
        <f>IFERROR(IF(A163&lt;&gt;A162,AVERAGEIF(A$9:A162,A162,S$9:S162),""),"")</f>
        <v/>
      </c>
      <c r="M162" s="7" t="str">
        <f>IFERROR(IF(A163&lt;&gt;A162,AVERAGEIF(A$9:A162,A162,T$9:T162),""),"")</f>
        <v/>
      </c>
      <c r="N162" s="7" t="str" cm="1">
        <f t="array" ref="N162">IFERROR(IF(A163&lt;&gt;A162,_xlfn.STDEV.P(IF(A$9:A162=A162,T$9:T162)),""),"")</f>
        <v/>
      </c>
      <c r="O162" s="7" t="str" cm="1">
        <f t="array" ref="O162">IFERROR(IF(A163&lt;&gt;A162,_xlfn.STDEV.P(IF(A$9:A162=A162,S$9:S162)),""),"")</f>
        <v/>
      </c>
      <c r="P162" s="8" t="str">
        <f t="shared" si="65"/>
        <v/>
      </c>
      <c r="Q162" s="8" t="str">
        <f t="shared" si="66"/>
        <v/>
      </c>
      <c r="R162" s="8" t="str">
        <f t="shared" si="67"/>
        <v/>
      </c>
      <c r="S162" s="9" t="str">
        <f t="shared" si="68"/>
        <v/>
      </c>
      <c r="T162" s="9" t="str">
        <f t="shared" si="69"/>
        <v/>
      </c>
      <c r="U162" s="14"/>
      <c r="V162" s="15"/>
      <c r="W162" s="14" t="str">
        <f t="shared" si="70"/>
        <v/>
      </c>
      <c r="X162" s="15"/>
      <c r="Y162" s="2"/>
      <c r="AB162" s="22">
        <f t="shared" si="71"/>
        <v>1</v>
      </c>
      <c r="AC162" s="11"/>
      <c r="AD162" s="11"/>
      <c r="AE162" s="13"/>
      <c r="AF162" s="12"/>
      <c r="AG162" s="13"/>
      <c r="AH162" s="14"/>
      <c r="AI162" s="81" t="str">
        <f t="shared" si="72"/>
        <v/>
      </c>
      <c r="AJ162" s="15"/>
      <c r="AK162" s="6" t="e">
        <f t="shared" si="73"/>
        <v>#N/A</v>
      </c>
      <c r="AL162" s="6" t="str">
        <f>IF(AB163&lt;&gt;AB162,AVERAGEIF(AB$9:AB162,AB162,AK$9:AK162),"")</f>
        <v/>
      </c>
      <c r="AM162" s="7" t="str">
        <f>IFERROR(IF(AB163&lt;&gt;AB162,AVERAGEIF(AB$9:AB162,AB162,AT$9:AT162),""),"")</f>
        <v/>
      </c>
      <c r="AN162" s="7" t="str">
        <f>IFERROR(IF(AB163&lt;&gt;AB162,AVERAGEIF(AB$9:AB162,AB162,AU$9:AU162),""),"")</f>
        <v/>
      </c>
      <c r="AO162" s="7" t="str" cm="1">
        <f t="array" ref="AO162">IFERROR(IF(AB163&lt;&gt;AB162,_xlfn.STDEV.P(IF(AB$9:AB162=AB162,AU$9:AU162)),""),"")</f>
        <v/>
      </c>
      <c r="AP162" s="7" t="str" cm="1">
        <f t="array" ref="AP162">IFERROR(IF(AB163&lt;&gt;AB162,_xlfn.STDEV.P(IF(AB$9:AB162=AB162,AT$9:AT162)),""),"")</f>
        <v/>
      </c>
      <c r="AQ162" s="8" t="str">
        <f t="shared" si="74"/>
        <v/>
      </c>
      <c r="AR162" s="8" t="str">
        <f t="shared" si="75"/>
        <v/>
      </c>
      <c r="AS162" s="8" t="str">
        <f t="shared" si="76"/>
        <v/>
      </c>
      <c r="AT162" s="9" t="str">
        <f t="shared" si="77"/>
        <v/>
      </c>
      <c r="AU162" s="9" t="str">
        <f t="shared" si="78"/>
        <v/>
      </c>
      <c r="AV162" s="14"/>
      <c r="AW162" s="15"/>
      <c r="AX162" s="14" t="str">
        <f t="shared" si="79"/>
        <v/>
      </c>
      <c r="AY162" s="15"/>
      <c r="AZ162" s="23"/>
      <c r="EW162" t="s">
        <v>46</v>
      </c>
      <c r="EX162" s="33">
        <v>1158</v>
      </c>
      <c r="EY162" s="33" t="s">
        <v>489</v>
      </c>
      <c r="EZ162" s="33">
        <v>508361</v>
      </c>
      <c r="FA162" s="33" t="s">
        <v>51</v>
      </c>
      <c r="FB162" s="33" t="s">
        <v>473</v>
      </c>
      <c r="FC162" s="33" t="s">
        <v>53</v>
      </c>
      <c r="FD162" s="33" t="s">
        <v>476</v>
      </c>
      <c r="FE162" s="33">
        <v>2020</v>
      </c>
      <c r="FF162" s="33" t="s">
        <v>474</v>
      </c>
      <c r="FG162" s="33" t="s">
        <v>477</v>
      </c>
      <c r="FH162" s="33" t="s">
        <v>478</v>
      </c>
      <c r="FI162" s="33" t="s">
        <v>479</v>
      </c>
      <c r="FJ162" t="s">
        <v>474</v>
      </c>
      <c r="FM162" s="32" t="s">
        <v>484</v>
      </c>
      <c r="FN162" t="s">
        <v>485</v>
      </c>
      <c r="FO162" t="s">
        <v>486</v>
      </c>
      <c r="FP162" t="str">
        <f t="shared" si="61"/>
        <v>B</v>
      </c>
      <c r="GU162" s="53">
        <v>159</v>
      </c>
      <c r="GV162" s="53">
        <v>156</v>
      </c>
    </row>
    <row r="163" spans="1:204" ht="15.5" x14ac:dyDescent="0.35">
      <c r="A163" s="95">
        <f t="shared" si="62"/>
        <v>1</v>
      </c>
      <c r="B163" s="11"/>
      <c r="C163" s="11"/>
      <c r="D163" s="92" t="str">
        <f>IFERROR(
IF(AND(OR(Planilla!B163="C",Planilla!B163="c"), VLOOKUP(E163,EX:FJ,13,0)="C"), "OK",IF(AND(OR(Planilla!B163="C",Planilla!B163="c"), OR(VLOOKUP(E163,EX:FJ,13,0)="B", VLOOKUP(E163,EX:FJ,13,0)="A")), "DEFICIT",IF(
AND(OR(Planilla!B163="B", Planilla!B163="BPAL"), VLOOKUP(E163,EX:FJ,13,0)="B"), "OK",IF(AND(OR(Planilla!B163="B", Planilla!B163="BPAL"), VLOOKUP(E163,EX:FJ,13,0)="A"), "DEFICIT",IF(AND(OR(Planilla!B163="B", Planilla!B163="BPAL"), VLOOKUP(E163,EX:FJ,13,0)="C"), "SOBREOFERTA",IF(AND(Planilla!B163="A", VLOOKUP(E163,EX:FJ,13,0)="A"), "OK",IF(
AND(Planilla!B163="A", OR(VLOOKUP(E163,EX:FJ,13,0)="B", VLOOKUP(E163,EX:FJ,13,0)="C")), "SOBREOFERTA",""
))))))),"")</f>
        <v/>
      </c>
      <c r="E163" s="12"/>
      <c r="F163" s="13"/>
      <c r="G163" s="14"/>
      <c r="H163" s="81" t="str">
        <f t="shared" si="63"/>
        <v/>
      </c>
      <c r="I163" s="7"/>
      <c r="J163" s="6" t="e">
        <f t="shared" si="64"/>
        <v>#N/A</v>
      </c>
      <c r="K163" s="6" t="str">
        <f>IF(A164&lt;&gt;A163,AVERAGEIF(A$9:A163,A163,J$9:J163),"")</f>
        <v/>
      </c>
      <c r="L163" s="7" t="str">
        <f>IFERROR(IF(A164&lt;&gt;A163,AVERAGEIF(A$9:A163,A163,S$9:S163),""),"")</f>
        <v/>
      </c>
      <c r="M163" s="7" t="str">
        <f>IFERROR(IF(A164&lt;&gt;A163,AVERAGEIF(A$9:A163,A163,T$9:T163),""),"")</f>
        <v/>
      </c>
      <c r="N163" s="7" t="str" cm="1">
        <f t="array" ref="N163">IFERROR(IF(A164&lt;&gt;A163,_xlfn.STDEV.P(IF(A$9:A163=A163,T$9:T163)),""),"")</f>
        <v/>
      </c>
      <c r="O163" s="7" t="str" cm="1">
        <f t="array" ref="O163">IFERROR(IF(A164&lt;&gt;A163,_xlfn.STDEV.P(IF(A$9:A163=A163,S$9:S163)),""),"")</f>
        <v/>
      </c>
      <c r="P163" s="8" t="str">
        <f t="shared" si="65"/>
        <v/>
      </c>
      <c r="Q163" s="8" t="str">
        <f t="shared" si="66"/>
        <v/>
      </c>
      <c r="R163" s="8" t="str">
        <f t="shared" si="67"/>
        <v/>
      </c>
      <c r="S163" s="9" t="str">
        <f t="shared" si="68"/>
        <v/>
      </c>
      <c r="T163" s="9" t="str">
        <f t="shared" si="69"/>
        <v/>
      </c>
      <c r="U163" s="14"/>
      <c r="V163" s="15"/>
      <c r="W163" s="14" t="str">
        <f t="shared" si="70"/>
        <v/>
      </c>
      <c r="X163" s="15"/>
      <c r="Y163" s="2"/>
      <c r="AB163" s="22">
        <f t="shared" si="71"/>
        <v>1</v>
      </c>
      <c r="AC163" s="11"/>
      <c r="AD163" s="11"/>
      <c r="AE163" s="13"/>
      <c r="AF163" s="12"/>
      <c r="AG163" s="13"/>
      <c r="AH163" s="14"/>
      <c r="AI163" s="81" t="str">
        <f t="shared" si="72"/>
        <v/>
      </c>
      <c r="AJ163" s="15"/>
      <c r="AK163" s="6" t="e">
        <f t="shared" si="73"/>
        <v>#N/A</v>
      </c>
      <c r="AL163" s="6" t="str">
        <f>IF(AB164&lt;&gt;AB163,AVERAGEIF(AB$9:AB163,AB163,AK$9:AK163),"")</f>
        <v/>
      </c>
      <c r="AM163" s="7" t="str">
        <f>IFERROR(IF(AB164&lt;&gt;AB163,AVERAGEIF(AB$9:AB163,AB163,AT$9:AT163),""),"")</f>
        <v/>
      </c>
      <c r="AN163" s="7" t="str">
        <f>IFERROR(IF(AB164&lt;&gt;AB163,AVERAGEIF(AB$9:AB163,AB163,AU$9:AU163),""),"")</f>
        <v/>
      </c>
      <c r="AO163" s="7" t="str" cm="1">
        <f t="array" ref="AO163">IFERROR(IF(AB164&lt;&gt;AB163,_xlfn.STDEV.P(IF(AB$9:AB163=AB163,AU$9:AU163)),""),"")</f>
        <v/>
      </c>
      <c r="AP163" s="7" t="str" cm="1">
        <f t="array" ref="AP163">IFERROR(IF(AB164&lt;&gt;AB163,_xlfn.STDEV.P(IF(AB$9:AB163=AB163,AT$9:AT163)),""),"")</f>
        <v/>
      </c>
      <c r="AQ163" s="8" t="str">
        <f t="shared" si="74"/>
        <v/>
      </c>
      <c r="AR163" s="8" t="str">
        <f t="shared" si="75"/>
        <v/>
      </c>
      <c r="AS163" s="8" t="str">
        <f t="shared" si="76"/>
        <v/>
      </c>
      <c r="AT163" s="9" t="str">
        <f t="shared" si="77"/>
        <v/>
      </c>
      <c r="AU163" s="9" t="str">
        <f t="shared" si="78"/>
        <v/>
      </c>
      <c r="AV163" s="14"/>
      <c r="AW163" s="15"/>
      <c r="AX163" s="14" t="str">
        <f t="shared" si="79"/>
        <v/>
      </c>
      <c r="AY163" s="15"/>
      <c r="AZ163" s="23"/>
      <c r="EW163" t="s">
        <v>46</v>
      </c>
      <c r="EX163" s="33">
        <v>1159</v>
      </c>
      <c r="EY163" s="33" t="s">
        <v>490</v>
      </c>
      <c r="EZ163" s="33">
        <v>508380</v>
      </c>
      <c r="FA163" s="33" t="s">
        <v>51</v>
      </c>
      <c r="FB163" s="33" t="s">
        <v>473</v>
      </c>
      <c r="FC163" s="33" t="s">
        <v>53</v>
      </c>
      <c r="FD163" s="33" t="s">
        <v>476</v>
      </c>
      <c r="FE163" s="33">
        <v>2020</v>
      </c>
      <c r="FF163" s="33" t="s">
        <v>474</v>
      </c>
      <c r="FG163" s="33" t="s">
        <v>477</v>
      </c>
      <c r="FH163" s="33" t="s">
        <v>478</v>
      </c>
      <c r="FI163" s="33" t="s">
        <v>479</v>
      </c>
      <c r="FJ163" t="s">
        <v>474</v>
      </c>
      <c r="FM163" s="32" t="s">
        <v>484</v>
      </c>
      <c r="FN163" t="s">
        <v>485</v>
      </c>
      <c r="FO163" t="s">
        <v>486</v>
      </c>
      <c r="FP163" t="str">
        <f t="shared" si="61"/>
        <v>B</v>
      </c>
      <c r="GU163" s="53">
        <v>160</v>
      </c>
      <c r="GV163" s="53">
        <v>157</v>
      </c>
    </row>
    <row r="164" spans="1:204" ht="15.5" x14ac:dyDescent="0.35">
      <c r="A164" s="95">
        <f t="shared" si="62"/>
        <v>1</v>
      </c>
      <c r="B164" s="11"/>
      <c r="C164" s="11"/>
      <c r="D164" s="92" t="str">
        <f>IFERROR(
IF(AND(OR(Planilla!B164="C",Planilla!B164="c"), VLOOKUP(E164,EX:FJ,13,0)="C"), "OK",IF(AND(OR(Planilla!B164="C",Planilla!B164="c"), OR(VLOOKUP(E164,EX:FJ,13,0)="B", VLOOKUP(E164,EX:FJ,13,0)="A")), "DEFICIT",IF(
AND(OR(Planilla!B164="B", Planilla!B164="BPAL"), VLOOKUP(E164,EX:FJ,13,0)="B"), "OK",IF(AND(OR(Planilla!B164="B", Planilla!B164="BPAL"), VLOOKUP(E164,EX:FJ,13,0)="A"), "DEFICIT",IF(AND(OR(Planilla!B164="B", Planilla!B164="BPAL"), VLOOKUP(E164,EX:FJ,13,0)="C"), "SOBREOFERTA",IF(AND(Planilla!B164="A", VLOOKUP(E164,EX:FJ,13,0)="A"), "OK",IF(
AND(Planilla!B164="A", OR(VLOOKUP(E164,EX:FJ,13,0)="B", VLOOKUP(E164,EX:FJ,13,0)="C")), "SOBREOFERTA",""
))))))),"")</f>
        <v/>
      </c>
      <c r="E164" s="12"/>
      <c r="F164" s="13"/>
      <c r="G164" s="14"/>
      <c r="H164" s="81" t="str">
        <f t="shared" si="63"/>
        <v/>
      </c>
      <c r="I164" s="7"/>
      <c r="J164" s="6" t="e">
        <f t="shared" si="64"/>
        <v>#N/A</v>
      </c>
      <c r="K164" s="6" t="str">
        <f>IF(A165&lt;&gt;A164,AVERAGEIF(A$9:A164,A164,J$9:J164),"")</f>
        <v/>
      </c>
      <c r="L164" s="7" t="str">
        <f>IFERROR(IF(A165&lt;&gt;A164,AVERAGEIF(A$9:A164,A164,S$9:S164),""),"")</f>
        <v/>
      </c>
      <c r="M164" s="7" t="str">
        <f>IFERROR(IF(A165&lt;&gt;A164,AVERAGEIF(A$9:A164,A164,T$9:T164),""),"")</f>
        <v/>
      </c>
      <c r="N164" s="7" t="str" cm="1">
        <f t="array" ref="N164">IFERROR(IF(A165&lt;&gt;A164,_xlfn.STDEV.P(IF(A$9:A164=A164,T$9:T164)),""),"")</f>
        <v/>
      </c>
      <c r="O164" s="7" t="str" cm="1">
        <f t="array" ref="O164">IFERROR(IF(A165&lt;&gt;A164,_xlfn.STDEV.P(IF(A$9:A164=A164,S$9:S164)),""),"")</f>
        <v/>
      </c>
      <c r="P164" s="8" t="str">
        <f t="shared" si="65"/>
        <v/>
      </c>
      <c r="Q164" s="8" t="str">
        <f t="shared" si="66"/>
        <v/>
      </c>
      <c r="R164" s="8" t="str">
        <f t="shared" si="67"/>
        <v/>
      </c>
      <c r="S164" s="9" t="str">
        <f t="shared" si="68"/>
        <v/>
      </c>
      <c r="T164" s="9" t="str">
        <f t="shared" si="69"/>
        <v/>
      </c>
      <c r="U164" s="14"/>
      <c r="V164" s="15"/>
      <c r="W164" s="14" t="str">
        <f t="shared" si="70"/>
        <v/>
      </c>
      <c r="X164" s="15"/>
      <c r="Y164" s="2"/>
      <c r="AB164" s="22">
        <f t="shared" si="71"/>
        <v>1</v>
      </c>
      <c r="AC164" s="11"/>
      <c r="AD164" s="11"/>
      <c r="AE164" s="13"/>
      <c r="AF164" s="12"/>
      <c r="AG164" s="13"/>
      <c r="AH164" s="14"/>
      <c r="AI164" s="81" t="str">
        <f t="shared" si="72"/>
        <v/>
      </c>
      <c r="AJ164" s="15"/>
      <c r="AK164" s="6" t="e">
        <f t="shared" si="73"/>
        <v>#N/A</v>
      </c>
      <c r="AL164" s="6" t="str">
        <f>IF(AB165&lt;&gt;AB164,AVERAGEIF(AB$9:AB164,AB164,AK$9:AK164),"")</f>
        <v/>
      </c>
      <c r="AM164" s="7" t="str">
        <f>IFERROR(IF(AB165&lt;&gt;AB164,AVERAGEIF(AB$9:AB164,AB164,AT$9:AT164),""),"")</f>
        <v/>
      </c>
      <c r="AN164" s="7" t="str">
        <f>IFERROR(IF(AB165&lt;&gt;AB164,AVERAGEIF(AB$9:AB164,AB164,AU$9:AU164),""),"")</f>
        <v/>
      </c>
      <c r="AO164" s="7" t="str" cm="1">
        <f t="array" ref="AO164">IFERROR(IF(AB165&lt;&gt;AB164,_xlfn.STDEV.P(IF(AB$9:AB164=AB164,AU$9:AU164)),""),"")</f>
        <v/>
      </c>
      <c r="AP164" s="7" t="str" cm="1">
        <f t="array" ref="AP164">IFERROR(IF(AB165&lt;&gt;AB164,_xlfn.STDEV.P(IF(AB$9:AB164=AB164,AT$9:AT164)),""),"")</f>
        <v/>
      </c>
      <c r="AQ164" s="8" t="str">
        <f t="shared" si="74"/>
        <v/>
      </c>
      <c r="AR164" s="8" t="str">
        <f t="shared" si="75"/>
        <v/>
      </c>
      <c r="AS164" s="8" t="str">
        <f t="shared" si="76"/>
        <v/>
      </c>
      <c r="AT164" s="9" t="str">
        <f t="shared" si="77"/>
        <v/>
      </c>
      <c r="AU164" s="9" t="str">
        <f t="shared" si="78"/>
        <v/>
      </c>
      <c r="AV164" s="14"/>
      <c r="AW164" s="15"/>
      <c r="AX164" s="14" t="str">
        <f t="shared" si="79"/>
        <v/>
      </c>
      <c r="AY164" s="15"/>
      <c r="AZ164" s="23"/>
      <c r="EW164" t="s">
        <v>46</v>
      </c>
      <c r="EX164" s="33">
        <v>1160</v>
      </c>
      <c r="EY164" s="33" t="s">
        <v>491</v>
      </c>
      <c r="EZ164" s="33">
        <v>508444</v>
      </c>
      <c r="FA164" s="33" t="s">
        <v>51</v>
      </c>
      <c r="FB164" s="33" t="s">
        <v>473</v>
      </c>
      <c r="FC164" s="33" t="s">
        <v>53</v>
      </c>
      <c r="FD164" s="33" t="s">
        <v>476</v>
      </c>
      <c r="FE164" s="33">
        <v>2020</v>
      </c>
      <c r="FF164" s="33" t="s">
        <v>474</v>
      </c>
      <c r="FG164" s="33" t="s">
        <v>477</v>
      </c>
      <c r="FH164" s="33" t="s">
        <v>478</v>
      </c>
      <c r="FI164" s="33" t="s">
        <v>479</v>
      </c>
      <c r="FJ164" t="s">
        <v>474</v>
      </c>
      <c r="FM164" s="32" t="s">
        <v>484</v>
      </c>
      <c r="FN164" t="s">
        <v>485</v>
      </c>
      <c r="FO164" t="s">
        <v>486</v>
      </c>
      <c r="FP164" t="str">
        <f t="shared" si="61"/>
        <v>B</v>
      </c>
      <c r="GU164" s="53">
        <v>161</v>
      </c>
      <c r="GV164" s="53">
        <v>158</v>
      </c>
    </row>
    <row r="165" spans="1:204" ht="15.5" x14ac:dyDescent="0.35">
      <c r="A165" s="95">
        <f t="shared" si="62"/>
        <v>1</v>
      </c>
      <c r="B165" s="11"/>
      <c r="C165" s="11"/>
      <c r="D165" s="92" t="str">
        <f>IFERROR(
IF(AND(OR(Planilla!B165="C",Planilla!B165="c"), VLOOKUP(E165,EX:FJ,13,0)="C"), "OK",IF(AND(OR(Planilla!B165="C",Planilla!B165="c"), OR(VLOOKUP(E165,EX:FJ,13,0)="B", VLOOKUP(E165,EX:FJ,13,0)="A")), "DEFICIT",IF(
AND(OR(Planilla!B165="B", Planilla!B165="BPAL"), VLOOKUP(E165,EX:FJ,13,0)="B"), "OK",IF(AND(OR(Planilla!B165="B", Planilla!B165="BPAL"), VLOOKUP(E165,EX:FJ,13,0)="A"), "DEFICIT",IF(AND(OR(Planilla!B165="B", Planilla!B165="BPAL"), VLOOKUP(E165,EX:FJ,13,0)="C"), "SOBREOFERTA",IF(AND(Planilla!B165="A", VLOOKUP(E165,EX:FJ,13,0)="A"), "OK",IF(
AND(Planilla!B165="A", OR(VLOOKUP(E165,EX:FJ,13,0)="B", VLOOKUP(E165,EX:FJ,13,0)="C")), "SOBREOFERTA",""
))))))),"")</f>
        <v/>
      </c>
      <c r="E165" s="12"/>
      <c r="F165" s="13"/>
      <c r="G165" s="14"/>
      <c r="H165" s="81" t="str">
        <f t="shared" si="63"/>
        <v/>
      </c>
      <c r="I165" s="7"/>
      <c r="J165" s="6" t="e">
        <f t="shared" si="64"/>
        <v>#N/A</v>
      </c>
      <c r="K165" s="6" t="str">
        <f>IF(A166&lt;&gt;A165,AVERAGEIF(A$9:A165,A165,J$9:J165),"")</f>
        <v/>
      </c>
      <c r="L165" s="7" t="str">
        <f>IFERROR(IF(A166&lt;&gt;A165,AVERAGEIF(A$9:A165,A165,S$9:S165),""),"")</f>
        <v/>
      </c>
      <c r="M165" s="7" t="str">
        <f>IFERROR(IF(A166&lt;&gt;A165,AVERAGEIF(A$9:A165,A165,T$9:T165),""),"")</f>
        <v/>
      </c>
      <c r="N165" s="7" t="str" cm="1">
        <f t="array" ref="N165">IFERROR(IF(A166&lt;&gt;A165,_xlfn.STDEV.P(IF(A$9:A165=A165,T$9:T165)),""),"")</f>
        <v/>
      </c>
      <c r="O165" s="7" t="str" cm="1">
        <f t="array" ref="O165">IFERROR(IF(A166&lt;&gt;A165,_xlfn.STDEV.P(IF(A$9:A165=A165,S$9:S165)),""),"")</f>
        <v/>
      </c>
      <c r="P165" s="8" t="str">
        <f t="shared" si="65"/>
        <v/>
      </c>
      <c r="Q165" s="8" t="str">
        <f t="shared" si="66"/>
        <v/>
      </c>
      <c r="R165" s="8" t="str">
        <f t="shared" si="67"/>
        <v/>
      </c>
      <c r="S165" s="9" t="str">
        <f t="shared" si="68"/>
        <v/>
      </c>
      <c r="T165" s="9" t="str">
        <f t="shared" si="69"/>
        <v/>
      </c>
      <c r="U165" s="14"/>
      <c r="V165" s="15"/>
      <c r="W165" s="14" t="str">
        <f t="shared" si="70"/>
        <v/>
      </c>
      <c r="X165" s="15"/>
      <c r="Y165" s="2"/>
      <c r="AB165" s="22">
        <f t="shared" si="71"/>
        <v>1</v>
      </c>
      <c r="AC165" s="11"/>
      <c r="AD165" s="11"/>
      <c r="AE165" s="13"/>
      <c r="AF165" s="12"/>
      <c r="AG165" s="13"/>
      <c r="AH165" s="14"/>
      <c r="AI165" s="81" t="str">
        <f t="shared" si="72"/>
        <v/>
      </c>
      <c r="AJ165" s="15"/>
      <c r="AK165" s="6" t="e">
        <f t="shared" si="73"/>
        <v>#N/A</v>
      </c>
      <c r="AL165" s="6" t="str">
        <f>IF(AB166&lt;&gt;AB165,AVERAGEIF(AB$9:AB165,AB165,AK$9:AK165),"")</f>
        <v/>
      </c>
      <c r="AM165" s="7" t="str">
        <f>IFERROR(IF(AB166&lt;&gt;AB165,AVERAGEIF(AB$9:AB165,AB165,AT$9:AT165),""),"")</f>
        <v/>
      </c>
      <c r="AN165" s="7" t="str">
        <f>IFERROR(IF(AB166&lt;&gt;AB165,AVERAGEIF(AB$9:AB165,AB165,AU$9:AU165),""),"")</f>
        <v/>
      </c>
      <c r="AO165" s="7" t="str" cm="1">
        <f t="array" ref="AO165">IFERROR(IF(AB166&lt;&gt;AB165,_xlfn.STDEV.P(IF(AB$9:AB165=AB165,AU$9:AU165)),""),"")</f>
        <v/>
      </c>
      <c r="AP165" s="7" t="str" cm="1">
        <f t="array" ref="AP165">IFERROR(IF(AB166&lt;&gt;AB165,_xlfn.STDEV.P(IF(AB$9:AB165=AB165,AT$9:AT165)),""),"")</f>
        <v/>
      </c>
      <c r="AQ165" s="8" t="str">
        <f t="shared" si="74"/>
        <v/>
      </c>
      <c r="AR165" s="8" t="str">
        <f t="shared" si="75"/>
        <v/>
      </c>
      <c r="AS165" s="8" t="str">
        <f t="shared" si="76"/>
        <v/>
      </c>
      <c r="AT165" s="9" t="str">
        <f t="shared" si="77"/>
        <v/>
      </c>
      <c r="AU165" s="9" t="str">
        <f t="shared" si="78"/>
        <v/>
      </c>
      <c r="AV165" s="14"/>
      <c r="AW165" s="15"/>
      <c r="AX165" s="14" t="str">
        <f t="shared" si="79"/>
        <v/>
      </c>
      <c r="AY165" s="15"/>
      <c r="AZ165" s="23"/>
      <c r="EW165" t="s">
        <v>46</v>
      </c>
      <c r="EX165" s="33">
        <v>1161</v>
      </c>
      <c r="EY165" s="33" t="s">
        <v>492</v>
      </c>
      <c r="EZ165" s="33">
        <v>508467</v>
      </c>
      <c r="FA165" s="33" t="s">
        <v>51</v>
      </c>
      <c r="FB165" s="33" t="s">
        <v>473</v>
      </c>
      <c r="FC165" s="33" t="s">
        <v>53</v>
      </c>
      <c r="FD165" s="33" t="s">
        <v>476</v>
      </c>
      <c r="FE165" s="33">
        <v>2020</v>
      </c>
      <c r="FF165" s="33" t="s">
        <v>474</v>
      </c>
      <c r="FG165" s="33" t="s">
        <v>477</v>
      </c>
      <c r="FH165" s="33" t="s">
        <v>478</v>
      </c>
      <c r="FI165" s="33" t="s">
        <v>479</v>
      </c>
      <c r="FJ165" t="s">
        <v>474</v>
      </c>
      <c r="FM165" s="32" t="s">
        <v>484</v>
      </c>
      <c r="FN165" t="s">
        <v>485</v>
      </c>
      <c r="FO165" t="s">
        <v>486</v>
      </c>
      <c r="FP165" t="str">
        <f t="shared" si="61"/>
        <v>B</v>
      </c>
      <c r="GU165" s="53">
        <v>162</v>
      </c>
      <c r="GV165" s="53">
        <v>159</v>
      </c>
    </row>
    <row r="166" spans="1:204" ht="15.5" x14ac:dyDescent="0.35">
      <c r="A166" s="95">
        <f t="shared" si="62"/>
        <v>1</v>
      </c>
      <c r="B166" s="11"/>
      <c r="C166" s="11"/>
      <c r="D166" s="92" t="str">
        <f>IFERROR(
IF(AND(OR(Planilla!B166="C",Planilla!B166="c"), VLOOKUP(E166,EX:FJ,13,0)="C"), "OK",IF(AND(OR(Planilla!B166="C",Planilla!B166="c"), OR(VLOOKUP(E166,EX:FJ,13,0)="B", VLOOKUP(E166,EX:FJ,13,0)="A")), "DEFICIT",IF(
AND(OR(Planilla!B166="B", Planilla!B166="BPAL"), VLOOKUP(E166,EX:FJ,13,0)="B"), "OK",IF(AND(OR(Planilla!B166="B", Planilla!B166="BPAL"), VLOOKUP(E166,EX:FJ,13,0)="A"), "DEFICIT",IF(AND(OR(Planilla!B166="B", Planilla!B166="BPAL"), VLOOKUP(E166,EX:FJ,13,0)="C"), "SOBREOFERTA",IF(AND(Planilla!B166="A", VLOOKUP(E166,EX:FJ,13,0)="A"), "OK",IF(
AND(Planilla!B166="A", OR(VLOOKUP(E166,EX:FJ,13,0)="B", VLOOKUP(E166,EX:FJ,13,0)="C")), "SOBREOFERTA",""
))))))),"")</f>
        <v/>
      </c>
      <c r="E166" s="12"/>
      <c r="F166" s="13"/>
      <c r="G166" s="14"/>
      <c r="H166" s="81" t="str">
        <f t="shared" si="63"/>
        <v/>
      </c>
      <c r="I166" s="7"/>
      <c r="J166" s="6" t="e">
        <f t="shared" si="64"/>
        <v>#N/A</v>
      </c>
      <c r="K166" s="6" t="str">
        <f>IF(A167&lt;&gt;A166,AVERAGEIF(A$9:A166,A166,J$9:J166),"")</f>
        <v/>
      </c>
      <c r="L166" s="7" t="str">
        <f>IFERROR(IF(A167&lt;&gt;A166,AVERAGEIF(A$9:A166,A166,S$9:S166),""),"")</f>
        <v/>
      </c>
      <c r="M166" s="7" t="str">
        <f>IFERROR(IF(A167&lt;&gt;A166,AVERAGEIF(A$9:A166,A166,T$9:T166),""),"")</f>
        <v/>
      </c>
      <c r="N166" s="7" t="str" cm="1">
        <f t="array" ref="N166">IFERROR(IF(A167&lt;&gt;A166,_xlfn.STDEV.P(IF(A$9:A166=A166,T$9:T166)),""),"")</f>
        <v/>
      </c>
      <c r="O166" s="7" t="str" cm="1">
        <f t="array" ref="O166">IFERROR(IF(A167&lt;&gt;A166,_xlfn.STDEV.P(IF(A$9:A166=A166,S$9:S166)),""),"")</f>
        <v/>
      </c>
      <c r="P166" s="8" t="str">
        <f t="shared" si="65"/>
        <v/>
      </c>
      <c r="Q166" s="8" t="str">
        <f t="shared" si="66"/>
        <v/>
      </c>
      <c r="R166" s="8" t="str">
        <f t="shared" si="67"/>
        <v/>
      </c>
      <c r="S166" s="9" t="str">
        <f t="shared" si="68"/>
        <v/>
      </c>
      <c r="T166" s="9" t="str">
        <f t="shared" si="69"/>
        <v/>
      </c>
      <c r="U166" s="14"/>
      <c r="V166" s="15"/>
      <c r="W166" s="14" t="str">
        <f t="shared" si="70"/>
        <v/>
      </c>
      <c r="X166" s="15"/>
      <c r="Y166" s="2"/>
      <c r="AB166" s="22">
        <f t="shared" si="71"/>
        <v>1</v>
      </c>
      <c r="AC166" s="11"/>
      <c r="AD166" s="11"/>
      <c r="AE166" s="13"/>
      <c r="AF166" s="12"/>
      <c r="AG166" s="13"/>
      <c r="AH166" s="14"/>
      <c r="AI166" s="81" t="str">
        <f t="shared" si="72"/>
        <v/>
      </c>
      <c r="AJ166" s="15"/>
      <c r="AK166" s="6" t="e">
        <f t="shared" si="73"/>
        <v>#N/A</v>
      </c>
      <c r="AL166" s="6" t="str">
        <f>IF(AB167&lt;&gt;AB166,AVERAGEIF(AB$9:AB166,AB166,AK$9:AK166),"")</f>
        <v/>
      </c>
      <c r="AM166" s="7" t="str">
        <f>IFERROR(IF(AB167&lt;&gt;AB166,AVERAGEIF(AB$9:AB166,AB166,AT$9:AT166),""),"")</f>
        <v/>
      </c>
      <c r="AN166" s="7" t="str">
        <f>IFERROR(IF(AB167&lt;&gt;AB166,AVERAGEIF(AB$9:AB166,AB166,AU$9:AU166),""),"")</f>
        <v/>
      </c>
      <c r="AO166" s="7" t="str" cm="1">
        <f t="array" ref="AO166">IFERROR(IF(AB167&lt;&gt;AB166,_xlfn.STDEV.P(IF(AB$9:AB166=AB166,AU$9:AU166)),""),"")</f>
        <v/>
      </c>
      <c r="AP166" s="7" t="str" cm="1">
        <f t="array" ref="AP166">IFERROR(IF(AB167&lt;&gt;AB166,_xlfn.STDEV.P(IF(AB$9:AB166=AB166,AT$9:AT166)),""),"")</f>
        <v/>
      </c>
      <c r="AQ166" s="8" t="str">
        <f t="shared" si="74"/>
        <v/>
      </c>
      <c r="AR166" s="8" t="str">
        <f t="shared" si="75"/>
        <v/>
      </c>
      <c r="AS166" s="8" t="str">
        <f t="shared" si="76"/>
        <v/>
      </c>
      <c r="AT166" s="9" t="str">
        <f t="shared" si="77"/>
        <v/>
      </c>
      <c r="AU166" s="9" t="str">
        <f t="shared" si="78"/>
        <v/>
      </c>
      <c r="AV166" s="14"/>
      <c r="AW166" s="15"/>
      <c r="AX166" s="14" t="str">
        <f t="shared" si="79"/>
        <v/>
      </c>
      <c r="AY166" s="15"/>
      <c r="AZ166" s="23"/>
      <c r="EW166" t="s">
        <v>46</v>
      </c>
      <c r="EX166" s="33">
        <v>1162</v>
      </c>
      <c r="EY166" s="33" t="s">
        <v>493</v>
      </c>
      <c r="EZ166" s="33">
        <v>508196</v>
      </c>
      <c r="FA166" s="33" t="s">
        <v>51</v>
      </c>
      <c r="FB166" s="33" t="s">
        <v>473</v>
      </c>
      <c r="FC166" s="33" t="s">
        <v>53</v>
      </c>
      <c r="FD166" s="33" t="s">
        <v>476</v>
      </c>
      <c r="FE166" s="33">
        <v>2020</v>
      </c>
      <c r="FF166" s="33" t="s">
        <v>474</v>
      </c>
      <c r="FG166" s="33" t="s">
        <v>477</v>
      </c>
      <c r="FH166" s="33" t="s">
        <v>478</v>
      </c>
      <c r="FI166" s="33" t="s">
        <v>479</v>
      </c>
      <c r="FJ166" t="s">
        <v>474</v>
      </c>
      <c r="FM166" s="32" t="s">
        <v>484</v>
      </c>
      <c r="FN166" t="s">
        <v>485</v>
      </c>
      <c r="FO166" t="s">
        <v>486</v>
      </c>
      <c r="FP166" t="str">
        <f t="shared" si="61"/>
        <v>B</v>
      </c>
      <c r="GU166" s="53">
        <v>163</v>
      </c>
      <c r="GV166" s="53">
        <v>160</v>
      </c>
    </row>
    <row r="167" spans="1:204" ht="15.5" x14ac:dyDescent="0.35">
      <c r="A167" s="95">
        <f t="shared" si="62"/>
        <v>1</v>
      </c>
      <c r="B167" s="11"/>
      <c r="C167" s="11"/>
      <c r="D167" s="92" t="str">
        <f>IFERROR(
IF(AND(OR(Planilla!B167="C",Planilla!B167="c"), VLOOKUP(E167,EX:FJ,13,0)="C"), "OK",IF(AND(OR(Planilla!B167="C",Planilla!B167="c"), OR(VLOOKUP(E167,EX:FJ,13,0)="B", VLOOKUP(E167,EX:FJ,13,0)="A")), "DEFICIT",IF(
AND(OR(Planilla!B167="B", Planilla!B167="BPAL"), VLOOKUP(E167,EX:FJ,13,0)="B"), "OK",IF(AND(OR(Planilla!B167="B", Planilla!B167="BPAL"), VLOOKUP(E167,EX:FJ,13,0)="A"), "DEFICIT",IF(AND(OR(Planilla!B167="B", Planilla!B167="BPAL"), VLOOKUP(E167,EX:FJ,13,0)="C"), "SOBREOFERTA",IF(AND(Planilla!B167="A", VLOOKUP(E167,EX:FJ,13,0)="A"), "OK",IF(
AND(Planilla!B167="A", OR(VLOOKUP(E167,EX:FJ,13,0)="B", VLOOKUP(E167,EX:FJ,13,0)="C")), "SOBREOFERTA",""
))))))),"")</f>
        <v/>
      </c>
      <c r="E167" s="12"/>
      <c r="F167" s="13"/>
      <c r="G167" s="14"/>
      <c r="H167" s="81" t="str">
        <f t="shared" si="63"/>
        <v/>
      </c>
      <c r="I167" s="7"/>
      <c r="J167" s="6" t="e">
        <f t="shared" si="64"/>
        <v>#N/A</v>
      </c>
      <c r="K167" s="6" t="str">
        <f>IF(A168&lt;&gt;A167,AVERAGEIF(A$9:A167,A167,J$9:J167),"")</f>
        <v/>
      </c>
      <c r="L167" s="7" t="str">
        <f>IFERROR(IF(A168&lt;&gt;A167,AVERAGEIF(A$9:A167,A167,S$9:S167),""),"")</f>
        <v/>
      </c>
      <c r="M167" s="7" t="str">
        <f>IFERROR(IF(A168&lt;&gt;A167,AVERAGEIF(A$9:A167,A167,T$9:T167),""),"")</f>
        <v/>
      </c>
      <c r="N167" s="7" t="str" cm="1">
        <f t="array" ref="N167">IFERROR(IF(A168&lt;&gt;A167,_xlfn.STDEV.P(IF(A$9:A167=A167,T$9:T167)),""),"")</f>
        <v/>
      </c>
      <c r="O167" s="7" t="str" cm="1">
        <f t="array" ref="O167">IFERROR(IF(A168&lt;&gt;A167,_xlfn.STDEV.P(IF(A$9:A167=A167,S$9:S167)),""),"")</f>
        <v/>
      </c>
      <c r="P167" s="8" t="str">
        <f t="shared" si="65"/>
        <v/>
      </c>
      <c r="Q167" s="8" t="str">
        <f t="shared" si="66"/>
        <v/>
      </c>
      <c r="R167" s="8" t="str">
        <f t="shared" si="67"/>
        <v/>
      </c>
      <c r="S167" s="9" t="str">
        <f t="shared" si="68"/>
        <v/>
      </c>
      <c r="T167" s="9" t="str">
        <f t="shared" si="69"/>
        <v/>
      </c>
      <c r="U167" s="14"/>
      <c r="V167" s="15"/>
      <c r="W167" s="14" t="str">
        <f t="shared" si="70"/>
        <v/>
      </c>
      <c r="X167" s="15"/>
      <c r="Y167" s="2"/>
      <c r="AB167" s="22">
        <f t="shared" si="71"/>
        <v>1</v>
      </c>
      <c r="AC167" s="11"/>
      <c r="AD167" s="11"/>
      <c r="AE167" s="13"/>
      <c r="AF167" s="12"/>
      <c r="AG167" s="13"/>
      <c r="AH167" s="14"/>
      <c r="AI167" s="81" t="str">
        <f t="shared" si="72"/>
        <v/>
      </c>
      <c r="AJ167" s="15"/>
      <c r="AK167" s="6" t="e">
        <f t="shared" si="73"/>
        <v>#N/A</v>
      </c>
      <c r="AL167" s="6" t="str">
        <f>IF(AB168&lt;&gt;AB167,AVERAGEIF(AB$9:AB167,AB167,AK$9:AK167),"")</f>
        <v/>
      </c>
      <c r="AM167" s="7" t="str">
        <f>IFERROR(IF(AB168&lt;&gt;AB167,AVERAGEIF(AB$9:AB167,AB167,AT$9:AT167),""),"")</f>
        <v/>
      </c>
      <c r="AN167" s="7" t="str">
        <f>IFERROR(IF(AB168&lt;&gt;AB167,AVERAGEIF(AB$9:AB167,AB167,AU$9:AU167),""),"")</f>
        <v/>
      </c>
      <c r="AO167" s="7" t="str" cm="1">
        <f t="array" ref="AO167">IFERROR(IF(AB168&lt;&gt;AB167,_xlfn.STDEV.P(IF(AB$9:AB167=AB167,AU$9:AU167)),""),"")</f>
        <v/>
      </c>
      <c r="AP167" s="7" t="str" cm="1">
        <f t="array" ref="AP167">IFERROR(IF(AB168&lt;&gt;AB167,_xlfn.STDEV.P(IF(AB$9:AB167=AB167,AT$9:AT167)),""),"")</f>
        <v/>
      </c>
      <c r="AQ167" s="8" t="str">
        <f t="shared" si="74"/>
        <v/>
      </c>
      <c r="AR167" s="8" t="str">
        <f t="shared" si="75"/>
        <v/>
      </c>
      <c r="AS167" s="8" t="str">
        <f t="shared" si="76"/>
        <v/>
      </c>
      <c r="AT167" s="9" t="str">
        <f t="shared" si="77"/>
        <v/>
      </c>
      <c r="AU167" s="9" t="str">
        <f t="shared" si="78"/>
        <v/>
      </c>
      <c r="AV167" s="14"/>
      <c r="AW167" s="15"/>
      <c r="AX167" s="14" t="str">
        <f t="shared" si="79"/>
        <v/>
      </c>
      <c r="AY167" s="15"/>
      <c r="AZ167" s="23"/>
      <c r="EW167" t="s">
        <v>46</v>
      </c>
      <c r="EX167" s="33">
        <v>1163</v>
      </c>
      <c r="EY167" s="33" t="s">
        <v>494</v>
      </c>
      <c r="EZ167" s="33">
        <v>508277</v>
      </c>
      <c r="FA167" s="33" t="s">
        <v>51</v>
      </c>
      <c r="FB167" s="33" t="s">
        <v>473</v>
      </c>
      <c r="FC167" s="33" t="s">
        <v>53</v>
      </c>
      <c r="FD167" s="33" t="s">
        <v>476</v>
      </c>
      <c r="FE167" s="33">
        <v>2020</v>
      </c>
      <c r="FF167" s="33" t="s">
        <v>474</v>
      </c>
      <c r="FG167" s="33" t="s">
        <v>477</v>
      </c>
      <c r="FH167" s="33" t="s">
        <v>478</v>
      </c>
      <c r="FI167" s="33" t="s">
        <v>479</v>
      </c>
      <c r="FJ167" t="s">
        <v>474</v>
      </c>
      <c r="FM167" s="32" t="s">
        <v>484</v>
      </c>
      <c r="FN167" t="s">
        <v>485</v>
      </c>
      <c r="FO167" t="s">
        <v>486</v>
      </c>
      <c r="FP167" t="str">
        <f t="shared" si="61"/>
        <v>B</v>
      </c>
      <c r="GU167" s="53">
        <v>164</v>
      </c>
      <c r="GV167" s="53">
        <v>161</v>
      </c>
    </row>
    <row r="168" spans="1:204" ht="15.5" x14ac:dyDescent="0.35">
      <c r="A168" s="95">
        <f t="shared" si="62"/>
        <v>1</v>
      </c>
      <c r="B168" s="11"/>
      <c r="C168" s="11"/>
      <c r="D168" s="92" t="str">
        <f>IFERROR(
IF(AND(OR(Planilla!B168="C",Planilla!B168="c"), VLOOKUP(E168,EX:FJ,13,0)="C"), "OK",IF(AND(OR(Planilla!B168="C",Planilla!B168="c"), OR(VLOOKUP(E168,EX:FJ,13,0)="B", VLOOKUP(E168,EX:FJ,13,0)="A")), "DEFICIT",IF(
AND(OR(Planilla!B168="B", Planilla!B168="BPAL"), VLOOKUP(E168,EX:FJ,13,0)="B"), "OK",IF(AND(OR(Planilla!B168="B", Planilla!B168="BPAL"), VLOOKUP(E168,EX:FJ,13,0)="A"), "DEFICIT",IF(AND(OR(Planilla!B168="B", Planilla!B168="BPAL"), VLOOKUP(E168,EX:FJ,13,0)="C"), "SOBREOFERTA",IF(AND(Planilla!B168="A", VLOOKUP(E168,EX:FJ,13,0)="A"), "OK",IF(
AND(Planilla!B168="A", OR(VLOOKUP(E168,EX:FJ,13,0)="B", VLOOKUP(E168,EX:FJ,13,0)="C")), "SOBREOFERTA",""
))))))),"")</f>
        <v/>
      </c>
      <c r="E168" s="12"/>
      <c r="F168" s="13"/>
      <c r="G168" s="14"/>
      <c r="H168" s="81" t="str">
        <f t="shared" si="63"/>
        <v/>
      </c>
      <c r="I168" s="7"/>
      <c r="J168" s="6" t="e">
        <f t="shared" si="64"/>
        <v>#N/A</v>
      </c>
      <c r="K168" s="6" t="str">
        <f>IF(A169&lt;&gt;A168,AVERAGEIF(A$9:A168,A168,J$9:J168),"")</f>
        <v/>
      </c>
      <c r="L168" s="7" t="str">
        <f>IFERROR(IF(A169&lt;&gt;A168,AVERAGEIF(A$9:A168,A168,S$9:S168),""),"")</f>
        <v/>
      </c>
      <c r="M168" s="7" t="str">
        <f>IFERROR(IF(A169&lt;&gt;A168,AVERAGEIF(A$9:A168,A168,T$9:T168),""),"")</f>
        <v/>
      </c>
      <c r="N168" s="7" t="str" cm="1">
        <f t="array" ref="N168">IFERROR(IF(A169&lt;&gt;A168,_xlfn.STDEV.P(IF(A$9:A168=A168,T$9:T168)),""),"")</f>
        <v/>
      </c>
      <c r="O168" s="7" t="str" cm="1">
        <f t="array" ref="O168">IFERROR(IF(A169&lt;&gt;A168,_xlfn.STDEV.P(IF(A$9:A168=A168,S$9:S168)),""),"")</f>
        <v/>
      </c>
      <c r="P168" s="8" t="str">
        <f t="shared" si="65"/>
        <v/>
      </c>
      <c r="Q168" s="8" t="str">
        <f t="shared" si="66"/>
        <v/>
      </c>
      <c r="R168" s="8" t="str">
        <f t="shared" si="67"/>
        <v/>
      </c>
      <c r="S168" s="9" t="str">
        <f t="shared" si="68"/>
        <v/>
      </c>
      <c r="T168" s="9" t="str">
        <f t="shared" si="69"/>
        <v/>
      </c>
      <c r="U168" s="14"/>
      <c r="V168" s="15"/>
      <c r="W168" s="14" t="str">
        <f t="shared" si="70"/>
        <v/>
      </c>
      <c r="X168" s="15"/>
      <c r="Y168" s="2"/>
      <c r="AB168" s="22">
        <f t="shared" si="71"/>
        <v>1</v>
      </c>
      <c r="AC168" s="11"/>
      <c r="AD168" s="11"/>
      <c r="AE168" s="13"/>
      <c r="AF168" s="12"/>
      <c r="AG168" s="13"/>
      <c r="AH168" s="14"/>
      <c r="AI168" s="81" t="str">
        <f t="shared" si="72"/>
        <v/>
      </c>
      <c r="AJ168" s="15"/>
      <c r="AK168" s="6" t="e">
        <f t="shared" si="73"/>
        <v>#N/A</v>
      </c>
      <c r="AL168" s="6" t="str">
        <f>IF(AB169&lt;&gt;AB168,AVERAGEIF(AB$9:AB168,AB168,AK$9:AK168),"")</f>
        <v/>
      </c>
      <c r="AM168" s="7" t="str">
        <f>IFERROR(IF(AB169&lt;&gt;AB168,AVERAGEIF(AB$9:AB168,AB168,AT$9:AT168),""),"")</f>
        <v/>
      </c>
      <c r="AN168" s="7" t="str">
        <f>IFERROR(IF(AB169&lt;&gt;AB168,AVERAGEIF(AB$9:AB168,AB168,AU$9:AU168),""),"")</f>
        <v/>
      </c>
      <c r="AO168" s="7" t="str" cm="1">
        <f t="array" ref="AO168">IFERROR(IF(AB169&lt;&gt;AB168,_xlfn.STDEV.P(IF(AB$9:AB168=AB168,AU$9:AU168)),""),"")</f>
        <v/>
      </c>
      <c r="AP168" s="7" t="str" cm="1">
        <f t="array" ref="AP168">IFERROR(IF(AB169&lt;&gt;AB168,_xlfn.STDEV.P(IF(AB$9:AB168=AB168,AT$9:AT168)),""),"")</f>
        <v/>
      </c>
      <c r="AQ168" s="8" t="str">
        <f t="shared" si="74"/>
        <v/>
      </c>
      <c r="AR168" s="8" t="str">
        <f t="shared" si="75"/>
        <v/>
      </c>
      <c r="AS168" s="8" t="str">
        <f t="shared" si="76"/>
        <v/>
      </c>
      <c r="AT168" s="9" t="str">
        <f t="shared" si="77"/>
        <v/>
      </c>
      <c r="AU168" s="9" t="str">
        <f t="shared" si="78"/>
        <v/>
      </c>
      <c r="AV168" s="14"/>
      <c r="AW168" s="15"/>
      <c r="AX168" s="14" t="str">
        <f t="shared" si="79"/>
        <v/>
      </c>
      <c r="AY168" s="15"/>
      <c r="AZ168" s="23"/>
      <c r="EW168" t="s">
        <v>46</v>
      </c>
      <c r="EX168" s="33">
        <v>1164</v>
      </c>
      <c r="EY168" s="33" t="s">
        <v>495</v>
      </c>
      <c r="EZ168" s="33">
        <v>508208</v>
      </c>
      <c r="FA168" s="33" t="s">
        <v>51</v>
      </c>
      <c r="FB168" s="33" t="s">
        <v>473</v>
      </c>
      <c r="FC168" s="33" t="s">
        <v>53</v>
      </c>
      <c r="FD168" s="33" t="s">
        <v>476</v>
      </c>
      <c r="FE168" s="33">
        <v>2020</v>
      </c>
      <c r="FF168" s="33" t="s">
        <v>474</v>
      </c>
      <c r="FG168" s="33" t="s">
        <v>477</v>
      </c>
      <c r="FH168" s="33" t="s">
        <v>478</v>
      </c>
      <c r="FI168" s="33" t="s">
        <v>479</v>
      </c>
      <c r="FJ168" t="s">
        <v>474</v>
      </c>
      <c r="FM168" s="32" t="s">
        <v>484</v>
      </c>
      <c r="FN168" t="s">
        <v>485</v>
      </c>
      <c r="FO168" t="s">
        <v>486</v>
      </c>
      <c r="FP168" t="str">
        <f t="shared" si="61"/>
        <v>B</v>
      </c>
      <c r="GU168" s="53">
        <v>165</v>
      </c>
      <c r="GV168" s="53">
        <v>162</v>
      </c>
    </row>
    <row r="169" spans="1:204" ht="15.5" x14ac:dyDescent="0.35">
      <c r="A169" s="95">
        <f t="shared" si="62"/>
        <v>1</v>
      </c>
      <c r="B169" s="11"/>
      <c r="C169" s="11"/>
      <c r="D169" s="92" t="str">
        <f>IFERROR(
IF(AND(OR(Planilla!B169="C",Planilla!B169="c"), VLOOKUP(E169,EX:FJ,13,0)="C"), "OK",IF(AND(OR(Planilla!B169="C",Planilla!B169="c"), OR(VLOOKUP(E169,EX:FJ,13,0)="B", VLOOKUP(E169,EX:FJ,13,0)="A")), "DEFICIT",IF(
AND(OR(Planilla!B169="B", Planilla!B169="BPAL"), VLOOKUP(E169,EX:FJ,13,0)="B"), "OK",IF(AND(OR(Planilla!B169="B", Planilla!B169="BPAL"), VLOOKUP(E169,EX:FJ,13,0)="A"), "DEFICIT",IF(AND(OR(Planilla!B169="B", Planilla!B169="BPAL"), VLOOKUP(E169,EX:FJ,13,0)="C"), "SOBREOFERTA",IF(AND(Planilla!B169="A", VLOOKUP(E169,EX:FJ,13,0)="A"), "OK",IF(
AND(Planilla!B169="A", OR(VLOOKUP(E169,EX:FJ,13,0)="B", VLOOKUP(E169,EX:FJ,13,0)="C")), "SOBREOFERTA",""
))))))),"")</f>
        <v/>
      </c>
      <c r="E169" s="12"/>
      <c r="F169" s="13"/>
      <c r="G169" s="14"/>
      <c r="H169" s="81" t="str">
        <f t="shared" si="63"/>
        <v/>
      </c>
      <c r="I169" s="7"/>
      <c r="J169" s="6" t="e">
        <f t="shared" si="64"/>
        <v>#N/A</v>
      </c>
      <c r="K169" s="6" t="str">
        <f>IF(A170&lt;&gt;A169,AVERAGEIF(A$9:A169,A169,J$9:J169),"")</f>
        <v/>
      </c>
      <c r="L169" s="7" t="str">
        <f>IFERROR(IF(A170&lt;&gt;A169,AVERAGEIF(A$9:A169,A169,S$9:S169),""),"")</f>
        <v/>
      </c>
      <c r="M169" s="7" t="str">
        <f>IFERROR(IF(A170&lt;&gt;A169,AVERAGEIF(A$9:A169,A169,T$9:T169),""),"")</f>
        <v/>
      </c>
      <c r="N169" s="7" t="str" cm="1">
        <f t="array" ref="N169">IFERROR(IF(A170&lt;&gt;A169,_xlfn.STDEV.P(IF(A$9:A169=A169,T$9:T169)),""),"")</f>
        <v/>
      </c>
      <c r="O169" s="7" t="str" cm="1">
        <f t="array" ref="O169">IFERROR(IF(A170&lt;&gt;A169,_xlfn.STDEV.P(IF(A$9:A169=A169,S$9:S169)),""),"")</f>
        <v/>
      </c>
      <c r="P169" s="8" t="str">
        <f t="shared" si="65"/>
        <v/>
      </c>
      <c r="Q169" s="8" t="str">
        <f t="shared" si="66"/>
        <v/>
      </c>
      <c r="R169" s="8" t="str">
        <f t="shared" si="67"/>
        <v/>
      </c>
      <c r="S169" s="9" t="str">
        <f t="shared" si="68"/>
        <v/>
      </c>
      <c r="T169" s="9" t="str">
        <f t="shared" si="69"/>
        <v/>
      </c>
      <c r="U169" s="14"/>
      <c r="V169" s="15"/>
      <c r="W169" s="14" t="str">
        <f t="shared" si="70"/>
        <v/>
      </c>
      <c r="X169" s="15"/>
      <c r="Y169" s="2"/>
      <c r="AB169" s="22">
        <f t="shared" si="71"/>
        <v>1</v>
      </c>
      <c r="AC169" s="11"/>
      <c r="AD169" s="11"/>
      <c r="AE169" s="13"/>
      <c r="AF169" s="12"/>
      <c r="AG169" s="13"/>
      <c r="AH169" s="14"/>
      <c r="AI169" s="81" t="str">
        <f t="shared" si="72"/>
        <v/>
      </c>
      <c r="AJ169" s="15"/>
      <c r="AK169" s="6" t="e">
        <f t="shared" si="73"/>
        <v>#N/A</v>
      </c>
      <c r="AL169" s="6" t="str">
        <f>IF(AB170&lt;&gt;AB169,AVERAGEIF(AB$9:AB169,AB169,AK$9:AK169),"")</f>
        <v/>
      </c>
      <c r="AM169" s="7" t="str">
        <f>IFERROR(IF(AB170&lt;&gt;AB169,AVERAGEIF(AB$9:AB169,AB169,AT$9:AT169),""),"")</f>
        <v/>
      </c>
      <c r="AN169" s="7" t="str">
        <f>IFERROR(IF(AB170&lt;&gt;AB169,AVERAGEIF(AB$9:AB169,AB169,AU$9:AU169),""),"")</f>
        <v/>
      </c>
      <c r="AO169" s="7" t="str" cm="1">
        <f t="array" ref="AO169">IFERROR(IF(AB170&lt;&gt;AB169,_xlfn.STDEV.P(IF(AB$9:AB169=AB169,AU$9:AU169)),""),"")</f>
        <v/>
      </c>
      <c r="AP169" s="7" t="str" cm="1">
        <f t="array" ref="AP169">IFERROR(IF(AB170&lt;&gt;AB169,_xlfn.STDEV.P(IF(AB$9:AB169=AB169,AT$9:AT169)),""),"")</f>
        <v/>
      </c>
      <c r="AQ169" s="8" t="str">
        <f t="shared" si="74"/>
        <v/>
      </c>
      <c r="AR169" s="8" t="str">
        <f t="shared" si="75"/>
        <v/>
      </c>
      <c r="AS169" s="8" t="str">
        <f t="shared" si="76"/>
        <v/>
      </c>
      <c r="AT169" s="9" t="str">
        <f t="shared" si="77"/>
        <v/>
      </c>
      <c r="AU169" s="9" t="str">
        <f t="shared" si="78"/>
        <v/>
      </c>
      <c r="AV169" s="14"/>
      <c r="AW169" s="15"/>
      <c r="AX169" s="14" t="str">
        <f t="shared" si="79"/>
        <v/>
      </c>
      <c r="AY169" s="15"/>
      <c r="AZ169" s="23"/>
      <c r="EW169" t="s">
        <v>46</v>
      </c>
      <c r="EX169" s="33">
        <v>1165</v>
      </c>
      <c r="EY169" s="33" t="s">
        <v>496</v>
      </c>
      <c r="EZ169" s="33">
        <v>508167</v>
      </c>
      <c r="FA169" s="33" t="s">
        <v>51</v>
      </c>
      <c r="FB169" s="33" t="s">
        <v>473</v>
      </c>
      <c r="FC169" s="33" t="s">
        <v>53</v>
      </c>
      <c r="FD169" s="33" t="s">
        <v>476</v>
      </c>
      <c r="FE169" s="33">
        <v>2020</v>
      </c>
      <c r="FF169" s="33" t="s">
        <v>474</v>
      </c>
      <c r="FG169" s="33" t="s">
        <v>477</v>
      </c>
      <c r="FH169" s="33" t="s">
        <v>478</v>
      </c>
      <c r="FI169" s="33" t="s">
        <v>479</v>
      </c>
      <c r="FJ169" t="s">
        <v>474</v>
      </c>
      <c r="FM169" s="32" t="s">
        <v>497</v>
      </c>
      <c r="FN169" t="s">
        <v>498</v>
      </c>
      <c r="FO169" t="s">
        <v>499</v>
      </c>
      <c r="FP169" t="str">
        <f t="shared" si="61"/>
        <v>B</v>
      </c>
      <c r="GU169" s="53">
        <v>166</v>
      </c>
      <c r="GV169" s="53">
        <v>163</v>
      </c>
    </row>
    <row r="170" spans="1:204" ht="15.5" x14ac:dyDescent="0.35">
      <c r="A170" s="95">
        <f t="shared" si="62"/>
        <v>1</v>
      </c>
      <c r="B170" s="11"/>
      <c r="C170" s="11"/>
      <c r="D170" s="92" t="str">
        <f>IFERROR(
IF(AND(OR(Planilla!B170="C",Planilla!B170="c"), VLOOKUP(E170,EX:FJ,13,0)="C"), "OK",IF(AND(OR(Planilla!B170="C",Planilla!B170="c"), OR(VLOOKUP(E170,EX:FJ,13,0)="B", VLOOKUP(E170,EX:FJ,13,0)="A")), "DEFICIT",IF(
AND(OR(Planilla!B170="B", Planilla!B170="BPAL"), VLOOKUP(E170,EX:FJ,13,0)="B"), "OK",IF(AND(OR(Planilla!B170="B", Planilla!B170="BPAL"), VLOOKUP(E170,EX:FJ,13,0)="A"), "DEFICIT",IF(AND(OR(Planilla!B170="B", Planilla!B170="BPAL"), VLOOKUP(E170,EX:FJ,13,0)="C"), "SOBREOFERTA",IF(AND(Planilla!B170="A", VLOOKUP(E170,EX:FJ,13,0)="A"), "OK",IF(
AND(Planilla!B170="A", OR(VLOOKUP(E170,EX:FJ,13,0)="B", VLOOKUP(E170,EX:FJ,13,0)="C")), "SOBREOFERTA",""
))))))),"")</f>
        <v/>
      </c>
      <c r="E170" s="12"/>
      <c r="F170" s="13"/>
      <c r="G170" s="14"/>
      <c r="H170" s="81" t="str">
        <f t="shared" si="63"/>
        <v/>
      </c>
      <c r="I170" s="7"/>
      <c r="J170" s="6" t="e">
        <f t="shared" si="64"/>
        <v>#N/A</v>
      </c>
      <c r="K170" s="6" t="str">
        <f>IF(A171&lt;&gt;A170,AVERAGEIF(A$9:A170,A170,J$9:J170),"")</f>
        <v/>
      </c>
      <c r="L170" s="7" t="str">
        <f>IFERROR(IF(A171&lt;&gt;A170,AVERAGEIF(A$9:A170,A170,S$9:S170),""),"")</f>
        <v/>
      </c>
      <c r="M170" s="7" t="str">
        <f>IFERROR(IF(A171&lt;&gt;A170,AVERAGEIF(A$9:A170,A170,T$9:T170),""),"")</f>
        <v/>
      </c>
      <c r="N170" s="7" t="str" cm="1">
        <f t="array" ref="N170">IFERROR(IF(A171&lt;&gt;A170,_xlfn.STDEV.P(IF(A$9:A170=A170,T$9:T170)),""),"")</f>
        <v/>
      </c>
      <c r="O170" s="7" t="str" cm="1">
        <f t="array" ref="O170">IFERROR(IF(A171&lt;&gt;A170,_xlfn.STDEV.P(IF(A$9:A170=A170,S$9:S170)),""),"")</f>
        <v/>
      </c>
      <c r="P170" s="8" t="str">
        <f t="shared" si="65"/>
        <v/>
      </c>
      <c r="Q170" s="8" t="str">
        <f t="shared" si="66"/>
        <v/>
      </c>
      <c r="R170" s="8" t="str">
        <f t="shared" si="67"/>
        <v/>
      </c>
      <c r="S170" s="9" t="str">
        <f t="shared" si="68"/>
        <v/>
      </c>
      <c r="T170" s="9" t="str">
        <f t="shared" si="69"/>
        <v/>
      </c>
      <c r="U170" s="14"/>
      <c r="V170" s="15"/>
      <c r="W170" s="14" t="str">
        <f t="shared" si="70"/>
        <v/>
      </c>
      <c r="X170" s="15"/>
      <c r="Y170" s="2"/>
      <c r="AB170" s="22">
        <f t="shared" si="71"/>
        <v>1</v>
      </c>
      <c r="AC170" s="11"/>
      <c r="AD170" s="11"/>
      <c r="AE170" s="13"/>
      <c r="AF170" s="12"/>
      <c r="AG170" s="13"/>
      <c r="AH170" s="14"/>
      <c r="AI170" s="81" t="str">
        <f t="shared" si="72"/>
        <v/>
      </c>
      <c r="AJ170" s="15"/>
      <c r="AK170" s="6" t="e">
        <f t="shared" si="73"/>
        <v>#N/A</v>
      </c>
      <c r="AL170" s="6" t="str">
        <f>IF(AB171&lt;&gt;AB170,AVERAGEIF(AB$9:AB170,AB170,AK$9:AK170),"")</f>
        <v/>
      </c>
      <c r="AM170" s="7" t="str">
        <f>IFERROR(IF(AB171&lt;&gt;AB170,AVERAGEIF(AB$9:AB170,AB170,AT$9:AT170),""),"")</f>
        <v/>
      </c>
      <c r="AN170" s="7" t="str">
        <f>IFERROR(IF(AB171&lt;&gt;AB170,AVERAGEIF(AB$9:AB170,AB170,AU$9:AU170),""),"")</f>
        <v/>
      </c>
      <c r="AO170" s="7" t="str" cm="1">
        <f t="array" ref="AO170">IFERROR(IF(AB171&lt;&gt;AB170,_xlfn.STDEV.P(IF(AB$9:AB170=AB170,AU$9:AU170)),""),"")</f>
        <v/>
      </c>
      <c r="AP170" s="7" t="str" cm="1">
        <f t="array" ref="AP170">IFERROR(IF(AB171&lt;&gt;AB170,_xlfn.STDEV.P(IF(AB$9:AB170=AB170,AT$9:AT170)),""),"")</f>
        <v/>
      </c>
      <c r="AQ170" s="8" t="str">
        <f t="shared" si="74"/>
        <v/>
      </c>
      <c r="AR170" s="8" t="str">
        <f t="shared" si="75"/>
        <v/>
      </c>
      <c r="AS170" s="8" t="str">
        <f t="shared" si="76"/>
        <v/>
      </c>
      <c r="AT170" s="9" t="str">
        <f t="shared" si="77"/>
        <v/>
      </c>
      <c r="AU170" s="9" t="str">
        <f t="shared" si="78"/>
        <v/>
      </c>
      <c r="AV170" s="14"/>
      <c r="AW170" s="15"/>
      <c r="AX170" s="14" t="str">
        <f t="shared" si="79"/>
        <v/>
      </c>
      <c r="AY170" s="15"/>
      <c r="AZ170" s="23"/>
      <c r="EW170" t="s">
        <v>46</v>
      </c>
      <c r="EX170" s="33">
        <v>1166</v>
      </c>
      <c r="EY170" s="33" t="s">
        <v>500</v>
      </c>
      <c r="EZ170" s="33">
        <v>507859</v>
      </c>
      <c r="FA170" s="33" t="s">
        <v>51</v>
      </c>
      <c r="FB170" s="33" t="s">
        <v>473</v>
      </c>
      <c r="FC170" s="33" t="s">
        <v>53</v>
      </c>
      <c r="FD170" s="33" t="s">
        <v>476</v>
      </c>
      <c r="FE170" s="33">
        <v>2020</v>
      </c>
      <c r="FF170" s="33" t="s">
        <v>474</v>
      </c>
      <c r="FG170" s="33" t="s">
        <v>477</v>
      </c>
      <c r="FH170" s="33" t="s">
        <v>478</v>
      </c>
      <c r="FI170" s="33" t="s">
        <v>479</v>
      </c>
      <c r="FJ170" t="s">
        <v>474</v>
      </c>
      <c r="FM170" s="32" t="s">
        <v>497</v>
      </c>
      <c r="FN170" t="s">
        <v>498</v>
      </c>
      <c r="FO170" t="s">
        <v>499</v>
      </c>
      <c r="FP170" t="str">
        <f t="shared" si="61"/>
        <v>B</v>
      </c>
      <c r="GU170" s="53">
        <v>167</v>
      </c>
      <c r="GV170" s="53">
        <v>164</v>
      </c>
    </row>
    <row r="171" spans="1:204" ht="15.5" x14ac:dyDescent="0.35">
      <c r="A171" s="95">
        <f t="shared" si="62"/>
        <v>1</v>
      </c>
      <c r="B171" s="11"/>
      <c r="C171" s="11"/>
      <c r="D171" s="92" t="str">
        <f>IFERROR(
IF(AND(OR(Planilla!B171="C",Planilla!B171="c"), VLOOKUP(E171,EX:FJ,13,0)="C"), "OK",IF(AND(OR(Planilla!B171="C",Planilla!B171="c"), OR(VLOOKUP(E171,EX:FJ,13,0)="B", VLOOKUP(E171,EX:FJ,13,0)="A")), "DEFICIT",IF(
AND(OR(Planilla!B171="B", Planilla!B171="BPAL"), VLOOKUP(E171,EX:FJ,13,0)="B"), "OK",IF(AND(OR(Planilla!B171="B", Planilla!B171="BPAL"), VLOOKUP(E171,EX:FJ,13,0)="A"), "DEFICIT",IF(AND(OR(Planilla!B171="B", Planilla!B171="BPAL"), VLOOKUP(E171,EX:FJ,13,0)="C"), "SOBREOFERTA",IF(AND(Planilla!B171="A", VLOOKUP(E171,EX:FJ,13,0)="A"), "OK",IF(
AND(Planilla!B171="A", OR(VLOOKUP(E171,EX:FJ,13,0)="B", VLOOKUP(E171,EX:FJ,13,0)="C")), "SOBREOFERTA",""
))))))),"")</f>
        <v/>
      </c>
      <c r="E171" s="12"/>
      <c r="F171" s="13"/>
      <c r="G171" s="14"/>
      <c r="H171" s="81" t="str">
        <f t="shared" si="63"/>
        <v/>
      </c>
      <c r="I171" s="7"/>
      <c r="J171" s="6" t="e">
        <f t="shared" si="64"/>
        <v>#N/A</v>
      </c>
      <c r="K171" s="6" t="str">
        <f>IF(A172&lt;&gt;A171,AVERAGEIF(A$9:A171,A171,J$9:J171),"")</f>
        <v/>
      </c>
      <c r="L171" s="7" t="str">
        <f>IFERROR(IF(A172&lt;&gt;A171,AVERAGEIF(A$9:A171,A171,S$9:S171),""),"")</f>
        <v/>
      </c>
      <c r="M171" s="7" t="str">
        <f>IFERROR(IF(A172&lt;&gt;A171,AVERAGEIF(A$9:A171,A171,T$9:T171),""),"")</f>
        <v/>
      </c>
      <c r="N171" s="7" t="str" cm="1">
        <f t="array" ref="N171">IFERROR(IF(A172&lt;&gt;A171,_xlfn.STDEV.P(IF(A$9:A171=A171,T$9:T171)),""),"")</f>
        <v/>
      </c>
      <c r="O171" s="7" t="str" cm="1">
        <f t="array" ref="O171">IFERROR(IF(A172&lt;&gt;A171,_xlfn.STDEV.P(IF(A$9:A171=A171,S$9:S171)),""),"")</f>
        <v/>
      </c>
      <c r="P171" s="8" t="str">
        <f t="shared" si="65"/>
        <v/>
      </c>
      <c r="Q171" s="8" t="str">
        <f t="shared" si="66"/>
        <v/>
      </c>
      <c r="R171" s="8" t="str">
        <f t="shared" si="67"/>
        <v/>
      </c>
      <c r="S171" s="9" t="str">
        <f t="shared" si="68"/>
        <v/>
      </c>
      <c r="T171" s="9" t="str">
        <f t="shared" si="69"/>
        <v/>
      </c>
      <c r="U171" s="14"/>
      <c r="V171" s="15"/>
      <c r="W171" s="14" t="str">
        <f t="shared" si="70"/>
        <v/>
      </c>
      <c r="X171" s="15"/>
      <c r="Y171" s="2"/>
      <c r="AB171" s="22">
        <f t="shared" si="71"/>
        <v>1</v>
      </c>
      <c r="AC171" s="11"/>
      <c r="AD171" s="11"/>
      <c r="AE171" s="13"/>
      <c r="AF171" s="12"/>
      <c r="AG171" s="13"/>
      <c r="AH171" s="14"/>
      <c r="AI171" s="81" t="str">
        <f t="shared" si="72"/>
        <v/>
      </c>
      <c r="AJ171" s="15"/>
      <c r="AK171" s="6" t="e">
        <f t="shared" si="73"/>
        <v>#N/A</v>
      </c>
      <c r="AL171" s="6" t="str">
        <f>IF(AB172&lt;&gt;AB171,AVERAGEIF(AB$9:AB171,AB171,AK$9:AK171),"")</f>
        <v/>
      </c>
      <c r="AM171" s="7" t="str">
        <f>IFERROR(IF(AB172&lt;&gt;AB171,AVERAGEIF(AB$9:AB171,AB171,AT$9:AT171),""),"")</f>
        <v/>
      </c>
      <c r="AN171" s="7" t="str">
        <f>IFERROR(IF(AB172&lt;&gt;AB171,AVERAGEIF(AB$9:AB171,AB171,AU$9:AU171),""),"")</f>
        <v/>
      </c>
      <c r="AO171" s="7" t="str" cm="1">
        <f t="array" ref="AO171">IFERROR(IF(AB172&lt;&gt;AB171,_xlfn.STDEV.P(IF(AB$9:AB171=AB171,AU$9:AU171)),""),"")</f>
        <v/>
      </c>
      <c r="AP171" s="7" t="str" cm="1">
        <f t="array" ref="AP171">IFERROR(IF(AB172&lt;&gt;AB171,_xlfn.STDEV.P(IF(AB$9:AB171=AB171,AT$9:AT171)),""),"")</f>
        <v/>
      </c>
      <c r="AQ171" s="8" t="str">
        <f t="shared" si="74"/>
        <v/>
      </c>
      <c r="AR171" s="8" t="str">
        <f t="shared" si="75"/>
        <v/>
      </c>
      <c r="AS171" s="8" t="str">
        <f t="shared" si="76"/>
        <v/>
      </c>
      <c r="AT171" s="9" t="str">
        <f t="shared" si="77"/>
        <v/>
      </c>
      <c r="AU171" s="9" t="str">
        <f t="shared" si="78"/>
        <v/>
      </c>
      <c r="AV171" s="14"/>
      <c r="AW171" s="15"/>
      <c r="AX171" s="14" t="str">
        <f t="shared" si="79"/>
        <v/>
      </c>
      <c r="AY171" s="15"/>
      <c r="AZ171" s="23"/>
      <c r="EW171" t="s">
        <v>46</v>
      </c>
      <c r="EX171" s="33">
        <v>1167</v>
      </c>
      <c r="EY171" s="33" t="s">
        <v>501</v>
      </c>
      <c r="EZ171" s="33">
        <v>508172</v>
      </c>
      <c r="FA171" s="33" t="s">
        <v>51</v>
      </c>
      <c r="FB171" s="33" t="s">
        <v>473</v>
      </c>
      <c r="FC171" s="33" t="s">
        <v>53</v>
      </c>
      <c r="FD171" s="33" t="s">
        <v>476</v>
      </c>
      <c r="FE171" s="33">
        <v>2020</v>
      </c>
      <c r="FF171" s="33" t="s">
        <v>474</v>
      </c>
      <c r="FG171" s="33" t="s">
        <v>477</v>
      </c>
      <c r="FH171" s="33" t="s">
        <v>478</v>
      </c>
      <c r="FI171" s="33" t="s">
        <v>479</v>
      </c>
      <c r="FJ171" t="s">
        <v>474</v>
      </c>
      <c r="FM171" s="32" t="s">
        <v>502</v>
      </c>
      <c r="FN171" t="s">
        <v>503</v>
      </c>
      <c r="FO171" t="s">
        <v>504</v>
      </c>
      <c r="FP171" t="str">
        <f t="shared" si="61"/>
        <v>B</v>
      </c>
      <c r="GU171" s="53">
        <v>168</v>
      </c>
      <c r="GV171" s="53">
        <v>165</v>
      </c>
    </row>
    <row r="172" spans="1:204" ht="15.5" x14ac:dyDescent="0.35">
      <c r="A172" s="95">
        <f t="shared" si="62"/>
        <v>1</v>
      </c>
      <c r="B172" s="11"/>
      <c r="C172" s="11"/>
      <c r="D172" s="92" t="str">
        <f>IFERROR(
IF(AND(OR(Planilla!B172="C",Planilla!B172="c"), VLOOKUP(E172,EX:FJ,13,0)="C"), "OK",IF(AND(OR(Planilla!B172="C",Planilla!B172="c"), OR(VLOOKUP(E172,EX:FJ,13,0)="B", VLOOKUP(E172,EX:FJ,13,0)="A")), "DEFICIT",IF(
AND(OR(Planilla!B172="B", Planilla!B172="BPAL"), VLOOKUP(E172,EX:FJ,13,0)="B"), "OK",IF(AND(OR(Planilla!B172="B", Planilla!B172="BPAL"), VLOOKUP(E172,EX:FJ,13,0)="A"), "DEFICIT",IF(AND(OR(Planilla!B172="B", Planilla!B172="BPAL"), VLOOKUP(E172,EX:FJ,13,0)="C"), "SOBREOFERTA",IF(AND(Planilla!B172="A", VLOOKUP(E172,EX:FJ,13,0)="A"), "OK",IF(
AND(Planilla!B172="A", OR(VLOOKUP(E172,EX:FJ,13,0)="B", VLOOKUP(E172,EX:FJ,13,0)="C")), "SOBREOFERTA",""
))))))),"")</f>
        <v/>
      </c>
      <c r="E172" s="12"/>
      <c r="F172" s="13"/>
      <c r="G172" s="14"/>
      <c r="H172" s="81" t="str">
        <f t="shared" si="63"/>
        <v/>
      </c>
      <c r="I172" s="7"/>
      <c r="J172" s="6" t="e">
        <f t="shared" si="64"/>
        <v>#N/A</v>
      </c>
      <c r="K172" s="6" t="str">
        <f>IF(A173&lt;&gt;A172,AVERAGEIF(A$9:A172,A172,J$9:J172),"")</f>
        <v/>
      </c>
      <c r="L172" s="7" t="str">
        <f>IFERROR(IF(A173&lt;&gt;A172,AVERAGEIF(A$9:A172,A172,S$9:S172),""),"")</f>
        <v/>
      </c>
      <c r="M172" s="7" t="str">
        <f>IFERROR(IF(A173&lt;&gt;A172,AVERAGEIF(A$9:A172,A172,T$9:T172),""),"")</f>
        <v/>
      </c>
      <c r="N172" s="7" t="str" cm="1">
        <f t="array" ref="N172">IFERROR(IF(A173&lt;&gt;A172,_xlfn.STDEV.P(IF(A$9:A172=A172,T$9:T172)),""),"")</f>
        <v/>
      </c>
      <c r="O172" s="7" t="str" cm="1">
        <f t="array" ref="O172">IFERROR(IF(A173&lt;&gt;A172,_xlfn.STDEV.P(IF(A$9:A172=A172,S$9:S172)),""),"")</f>
        <v/>
      </c>
      <c r="P172" s="8" t="str">
        <f t="shared" si="65"/>
        <v/>
      </c>
      <c r="Q172" s="8" t="str">
        <f t="shared" si="66"/>
        <v/>
      </c>
      <c r="R172" s="8" t="str">
        <f t="shared" si="67"/>
        <v/>
      </c>
      <c r="S172" s="9" t="str">
        <f t="shared" si="68"/>
        <v/>
      </c>
      <c r="T172" s="9" t="str">
        <f t="shared" si="69"/>
        <v/>
      </c>
      <c r="U172" s="14"/>
      <c r="V172" s="15"/>
      <c r="W172" s="14" t="str">
        <f t="shared" si="70"/>
        <v/>
      </c>
      <c r="X172" s="15"/>
      <c r="Y172" s="2"/>
      <c r="AB172" s="22">
        <f t="shared" si="71"/>
        <v>1</v>
      </c>
      <c r="AC172" s="11"/>
      <c r="AD172" s="11"/>
      <c r="AE172" s="13"/>
      <c r="AF172" s="12"/>
      <c r="AG172" s="13"/>
      <c r="AH172" s="14"/>
      <c r="AI172" s="81" t="str">
        <f t="shared" si="72"/>
        <v/>
      </c>
      <c r="AJ172" s="15"/>
      <c r="AK172" s="6" t="e">
        <f t="shared" si="73"/>
        <v>#N/A</v>
      </c>
      <c r="AL172" s="6" t="str">
        <f>IF(AB173&lt;&gt;AB172,AVERAGEIF(AB$9:AB172,AB172,AK$9:AK172),"")</f>
        <v/>
      </c>
      <c r="AM172" s="7" t="str">
        <f>IFERROR(IF(AB173&lt;&gt;AB172,AVERAGEIF(AB$9:AB172,AB172,AT$9:AT172),""),"")</f>
        <v/>
      </c>
      <c r="AN172" s="7" t="str">
        <f>IFERROR(IF(AB173&lt;&gt;AB172,AVERAGEIF(AB$9:AB172,AB172,AU$9:AU172),""),"")</f>
        <v/>
      </c>
      <c r="AO172" s="7" t="str" cm="1">
        <f t="array" ref="AO172">IFERROR(IF(AB173&lt;&gt;AB172,_xlfn.STDEV.P(IF(AB$9:AB172=AB172,AU$9:AU172)),""),"")</f>
        <v/>
      </c>
      <c r="AP172" s="7" t="str" cm="1">
        <f t="array" ref="AP172">IFERROR(IF(AB173&lt;&gt;AB172,_xlfn.STDEV.P(IF(AB$9:AB172=AB172,AT$9:AT172)),""),"")</f>
        <v/>
      </c>
      <c r="AQ172" s="8" t="str">
        <f t="shared" si="74"/>
        <v/>
      </c>
      <c r="AR172" s="8" t="str">
        <f t="shared" si="75"/>
        <v/>
      </c>
      <c r="AS172" s="8" t="str">
        <f t="shared" si="76"/>
        <v/>
      </c>
      <c r="AT172" s="9" t="str">
        <f t="shared" si="77"/>
        <v/>
      </c>
      <c r="AU172" s="9" t="str">
        <f t="shared" si="78"/>
        <v/>
      </c>
      <c r="AV172" s="14"/>
      <c r="AW172" s="15"/>
      <c r="AX172" s="14" t="str">
        <f t="shared" si="79"/>
        <v/>
      </c>
      <c r="AY172" s="15"/>
      <c r="AZ172" s="23"/>
      <c r="EW172" t="s">
        <v>46</v>
      </c>
      <c r="EX172" s="33">
        <v>1226</v>
      </c>
      <c r="EY172" s="33" t="s">
        <v>505</v>
      </c>
      <c r="EZ172" s="33">
        <v>508690</v>
      </c>
      <c r="FA172" s="33" t="s">
        <v>51</v>
      </c>
      <c r="FB172" s="33" t="s">
        <v>473</v>
      </c>
      <c r="FC172" s="33" t="s">
        <v>53</v>
      </c>
      <c r="FD172" s="33" t="s">
        <v>476</v>
      </c>
      <c r="FE172" s="33">
        <v>2020</v>
      </c>
      <c r="FF172" s="33" t="s">
        <v>474</v>
      </c>
      <c r="FG172" s="33" t="s">
        <v>470</v>
      </c>
      <c r="FH172" s="33" t="s">
        <v>471</v>
      </c>
      <c r="FI172" s="33" t="s">
        <v>467</v>
      </c>
      <c r="FJ172" t="s">
        <v>474</v>
      </c>
      <c r="FM172" s="32" t="s">
        <v>502</v>
      </c>
      <c r="FN172" t="s">
        <v>503</v>
      </c>
      <c r="FO172" t="s">
        <v>504</v>
      </c>
      <c r="FP172" t="str">
        <f t="shared" si="61"/>
        <v>B</v>
      </c>
      <c r="GU172" s="53">
        <v>169</v>
      </c>
      <c r="GV172" s="53">
        <v>166</v>
      </c>
    </row>
    <row r="173" spans="1:204" ht="15.5" x14ac:dyDescent="0.35">
      <c r="A173" s="95">
        <f t="shared" si="62"/>
        <v>1</v>
      </c>
      <c r="B173" s="11"/>
      <c r="C173" s="11"/>
      <c r="D173" s="92" t="str">
        <f>IFERROR(
IF(AND(OR(Planilla!B173="C",Planilla!B173="c"), VLOOKUP(E173,EX:FJ,13,0)="C"), "OK",IF(AND(OR(Planilla!B173="C",Planilla!B173="c"), OR(VLOOKUP(E173,EX:FJ,13,0)="B", VLOOKUP(E173,EX:FJ,13,0)="A")), "DEFICIT",IF(
AND(OR(Planilla!B173="B", Planilla!B173="BPAL"), VLOOKUP(E173,EX:FJ,13,0)="B"), "OK",IF(AND(OR(Planilla!B173="B", Planilla!B173="BPAL"), VLOOKUP(E173,EX:FJ,13,0)="A"), "DEFICIT",IF(AND(OR(Planilla!B173="B", Planilla!B173="BPAL"), VLOOKUP(E173,EX:FJ,13,0)="C"), "SOBREOFERTA",IF(AND(Planilla!B173="A", VLOOKUP(E173,EX:FJ,13,0)="A"), "OK",IF(
AND(Planilla!B173="A", OR(VLOOKUP(E173,EX:FJ,13,0)="B", VLOOKUP(E173,EX:FJ,13,0)="C")), "SOBREOFERTA",""
))))))),"")</f>
        <v/>
      </c>
      <c r="E173" s="12"/>
      <c r="F173" s="13"/>
      <c r="G173" s="14"/>
      <c r="H173" s="81" t="str">
        <f t="shared" si="63"/>
        <v/>
      </c>
      <c r="I173" s="7"/>
      <c r="J173" s="6" t="e">
        <f t="shared" si="64"/>
        <v>#N/A</v>
      </c>
      <c r="K173" s="6" t="str">
        <f>IF(A174&lt;&gt;A173,AVERAGEIF(A$9:A173,A173,J$9:J173),"")</f>
        <v/>
      </c>
      <c r="L173" s="7" t="str">
        <f>IFERROR(IF(A174&lt;&gt;A173,AVERAGEIF(A$9:A173,A173,S$9:S173),""),"")</f>
        <v/>
      </c>
      <c r="M173" s="7" t="str">
        <f>IFERROR(IF(A174&lt;&gt;A173,AVERAGEIF(A$9:A173,A173,T$9:T173),""),"")</f>
        <v/>
      </c>
      <c r="N173" s="7" t="str" cm="1">
        <f t="array" ref="N173">IFERROR(IF(A174&lt;&gt;A173,_xlfn.STDEV.P(IF(A$9:A173=A173,T$9:T173)),""),"")</f>
        <v/>
      </c>
      <c r="O173" s="7" t="str" cm="1">
        <f t="array" ref="O173">IFERROR(IF(A174&lt;&gt;A173,_xlfn.STDEV.P(IF(A$9:A173=A173,S$9:S173)),""),"")</f>
        <v/>
      </c>
      <c r="P173" s="8" t="str">
        <f t="shared" si="65"/>
        <v/>
      </c>
      <c r="Q173" s="8" t="str">
        <f t="shared" si="66"/>
        <v/>
      </c>
      <c r="R173" s="8" t="str">
        <f t="shared" si="67"/>
        <v/>
      </c>
      <c r="S173" s="9" t="str">
        <f t="shared" si="68"/>
        <v/>
      </c>
      <c r="T173" s="9" t="str">
        <f t="shared" si="69"/>
        <v/>
      </c>
      <c r="U173" s="14"/>
      <c r="V173" s="15"/>
      <c r="W173" s="14" t="str">
        <f t="shared" si="70"/>
        <v/>
      </c>
      <c r="X173" s="15"/>
      <c r="Y173" s="2"/>
      <c r="AB173" s="22">
        <f t="shared" si="71"/>
        <v>1</v>
      </c>
      <c r="AC173" s="11"/>
      <c r="AD173" s="11"/>
      <c r="AE173" s="13"/>
      <c r="AF173" s="12"/>
      <c r="AG173" s="13"/>
      <c r="AH173" s="14"/>
      <c r="AI173" s="81" t="str">
        <f t="shared" si="72"/>
        <v/>
      </c>
      <c r="AJ173" s="15"/>
      <c r="AK173" s="6" t="e">
        <f t="shared" si="73"/>
        <v>#N/A</v>
      </c>
      <c r="AL173" s="6" t="str">
        <f>IF(AB174&lt;&gt;AB173,AVERAGEIF(AB$9:AB173,AB173,AK$9:AK173),"")</f>
        <v/>
      </c>
      <c r="AM173" s="7" t="str">
        <f>IFERROR(IF(AB174&lt;&gt;AB173,AVERAGEIF(AB$9:AB173,AB173,AT$9:AT173),""),"")</f>
        <v/>
      </c>
      <c r="AN173" s="7" t="str">
        <f>IFERROR(IF(AB174&lt;&gt;AB173,AVERAGEIF(AB$9:AB173,AB173,AU$9:AU173),""),"")</f>
        <v/>
      </c>
      <c r="AO173" s="7" t="str" cm="1">
        <f t="array" ref="AO173">IFERROR(IF(AB174&lt;&gt;AB173,_xlfn.STDEV.P(IF(AB$9:AB173=AB173,AU$9:AU173)),""),"")</f>
        <v/>
      </c>
      <c r="AP173" s="7" t="str" cm="1">
        <f t="array" ref="AP173">IFERROR(IF(AB174&lt;&gt;AB173,_xlfn.STDEV.P(IF(AB$9:AB173=AB173,AT$9:AT173)),""),"")</f>
        <v/>
      </c>
      <c r="AQ173" s="8" t="str">
        <f t="shared" si="74"/>
        <v/>
      </c>
      <c r="AR173" s="8" t="str">
        <f t="shared" si="75"/>
        <v/>
      </c>
      <c r="AS173" s="8" t="str">
        <f t="shared" si="76"/>
        <v/>
      </c>
      <c r="AT173" s="9" t="str">
        <f t="shared" si="77"/>
        <v/>
      </c>
      <c r="AU173" s="9" t="str">
        <f t="shared" si="78"/>
        <v/>
      </c>
      <c r="AV173" s="14"/>
      <c r="AW173" s="15"/>
      <c r="AX173" s="14" t="str">
        <f t="shared" si="79"/>
        <v/>
      </c>
      <c r="AY173" s="15"/>
      <c r="AZ173" s="23"/>
      <c r="EW173" t="s">
        <v>46</v>
      </c>
      <c r="EX173" s="33">
        <v>1168</v>
      </c>
      <c r="EY173" s="33" t="s">
        <v>506</v>
      </c>
      <c r="EZ173" s="33">
        <v>508223</v>
      </c>
      <c r="FA173" s="33" t="s">
        <v>51</v>
      </c>
      <c r="FB173" s="33" t="s">
        <v>473</v>
      </c>
      <c r="FC173" s="33" t="s">
        <v>53</v>
      </c>
      <c r="FD173" s="33" t="s">
        <v>476</v>
      </c>
      <c r="FE173" s="33">
        <v>2020</v>
      </c>
      <c r="FF173" s="33" t="s">
        <v>474</v>
      </c>
      <c r="FG173" s="33" t="s">
        <v>477</v>
      </c>
      <c r="FH173" s="33" t="s">
        <v>478</v>
      </c>
      <c r="FI173" s="33" t="s">
        <v>479</v>
      </c>
      <c r="FJ173" t="s">
        <v>474</v>
      </c>
      <c r="FM173" s="32" t="s">
        <v>502</v>
      </c>
      <c r="FN173" t="s">
        <v>503</v>
      </c>
      <c r="FO173" t="s">
        <v>504</v>
      </c>
      <c r="FP173" t="str">
        <f t="shared" si="61"/>
        <v>B</v>
      </c>
      <c r="GU173" s="53">
        <v>170</v>
      </c>
      <c r="GV173" s="53">
        <v>167</v>
      </c>
    </row>
    <row r="174" spans="1:204" ht="15.5" x14ac:dyDescent="0.35">
      <c r="A174" s="95">
        <f t="shared" si="62"/>
        <v>1</v>
      </c>
      <c r="B174" s="11"/>
      <c r="C174" s="11"/>
      <c r="D174" s="92" t="str">
        <f>IFERROR(
IF(AND(OR(Planilla!B174="C",Planilla!B174="c"), VLOOKUP(E174,EX:FJ,13,0)="C"), "OK",IF(AND(OR(Planilla!B174="C",Planilla!B174="c"), OR(VLOOKUP(E174,EX:FJ,13,0)="B", VLOOKUP(E174,EX:FJ,13,0)="A")), "DEFICIT",IF(
AND(OR(Planilla!B174="B", Planilla!B174="BPAL"), VLOOKUP(E174,EX:FJ,13,0)="B"), "OK",IF(AND(OR(Planilla!B174="B", Planilla!B174="BPAL"), VLOOKUP(E174,EX:FJ,13,0)="A"), "DEFICIT",IF(AND(OR(Planilla!B174="B", Planilla!B174="BPAL"), VLOOKUP(E174,EX:FJ,13,0)="C"), "SOBREOFERTA",IF(AND(Planilla!B174="A", VLOOKUP(E174,EX:FJ,13,0)="A"), "OK",IF(
AND(Planilla!B174="A", OR(VLOOKUP(E174,EX:FJ,13,0)="B", VLOOKUP(E174,EX:FJ,13,0)="C")), "SOBREOFERTA",""
))))))),"")</f>
        <v/>
      </c>
      <c r="E174" s="12"/>
      <c r="F174" s="13"/>
      <c r="G174" s="14"/>
      <c r="H174" s="81" t="str">
        <f t="shared" si="63"/>
        <v/>
      </c>
      <c r="I174" s="7"/>
      <c r="J174" s="6" t="e">
        <f t="shared" si="64"/>
        <v>#N/A</v>
      </c>
      <c r="K174" s="6" t="str">
        <f>IF(A175&lt;&gt;A174,AVERAGEIF(A$9:A174,A174,J$9:J174),"")</f>
        <v/>
      </c>
      <c r="L174" s="7" t="str">
        <f>IFERROR(IF(A175&lt;&gt;A174,AVERAGEIF(A$9:A174,A174,S$9:S174),""),"")</f>
        <v/>
      </c>
      <c r="M174" s="7" t="str">
        <f>IFERROR(IF(A175&lt;&gt;A174,AVERAGEIF(A$9:A174,A174,T$9:T174),""),"")</f>
        <v/>
      </c>
      <c r="N174" s="7" t="str" cm="1">
        <f t="array" ref="N174">IFERROR(IF(A175&lt;&gt;A174,_xlfn.STDEV.P(IF(A$9:A174=A174,T$9:T174)),""),"")</f>
        <v/>
      </c>
      <c r="O174" s="7" t="str" cm="1">
        <f t="array" ref="O174">IFERROR(IF(A175&lt;&gt;A174,_xlfn.STDEV.P(IF(A$9:A174=A174,S$9:S174)),""),"")</f>
        <v/>
      </c>
      <c r="P174" s="8" t="str">
        <f t="shared" si="65"/>
        <v/>
      </c>
      <c r="Q174" s="8" t="str">
        <f t="shared" si="66"/>
        <v/>
      </c>
      <c r="R174" s="8" t="str">
        <f t="shared" si="67"/>
        <v/>
      </c>
      <c r="S174" s="9" t="str">
        <f t="shared" si="68"/>
        <v/>
      </c>
      <c r="T174" s="9" t="str">
        <f t="shared" si="69"/>
        <v/>
      </c>
      <c r="U174" s="14"/>
      <c r="V174" s="15"/>
      <c r="W174" s="14" t="str">
        <f t="shared" si="70"/>
        <v/>
      </c>
      <c r="X174" s="15"/>
      <c r="Y174" s="2"/>
      <c r="AB174" s="22">
        <f t="shared" si="71"/>
        <v>1</v>
      </c>
      <c r="AC174" s="11"/>
      <c r="AD174" s="11"/>
      <c r="AE174" s="13"/>
      <c r="AF174" s="12"/>
      <c r="AG174" s="13"/>
      <c r="AH174" s="14"/>
      <c r="AI174" s="81" t="str">
        <f t="shared" si="72"/>
        <v/>
      </c>
      <c r="AJ174" s="15"/>
      <c r="AK174" s="6" t="e">
        <f t="shared" si="73"/>
        <v>#N/A</v>
      </c>
      <c r="AL174" s="6" t="str">
        <f>IF(AB175&lt;&gt;AB174,AVERAGEIF(AB$9:AB174,AB174,AK$9:AK174),"")</f>
        <v/>
      </c>
      <c r="AM174" s="7" t="str">
        <f>IFERROR(IF(AB175&lt;&gt;AB174,AVERAGEIF(AB$9:AB174,AB174,AT$9:AT174),""),"")</f>
        <v/>
      </c>
      <c r="AN174" s="7" t="str">
        <f>IFERROR(IF(AB175&lt;&gt;AB174,AVERAGEIF(AB$9:AB174,AB174,AU$9:AU174),""),"")</f>
        <v/>
      </c>
      <c r="AO174" s="7" t="str" cm="1">
        <f t="array" ref="AO174">IFERROR(IF(AB175&lt;&gt;AB174,_xlfn.STDEV.P(IF(AB$9:AB174=AB174,AU$9:AU174)),""),"")</f>
        <v/>
      </c>
      <c r="AP174" s="7" t="str" cm="1">
        <f t="array" ref="AP174">IFERROR(IF(AB175&lt;&gt;AB174,_xlfn.STDEV.P(IF(AB$9:AB174=AB174,AT$9:AT174)),""),"")</f>
        <v/>
      </c>
      <c r="AQ174" s="8" t="str">
        <f t="shared" si="74"/>
        <v/>
      </c>
      <c r="AR174" s="8" t="str">
        <f t="shared" si="75"/>
        <v/>
      </c>
      <c r="AS174" s="8" t="str">
        <f t="shared" si="76"/>
        <v/>
      </c>
      <c r="AT174" s="9" t="str">
        <f t="shared" si="77"/>
        <v/>
      </c>
      <c r="AU174" s="9" t="str">
        <f t="shared" si="78"/>
        <v/>
      </c>
      <c r="AV174" s="14"/>
      <c r="AW174" s="15"/>
      <c r="AX174" s="14" t="str">
        <f t="shared" si="79"/>
        <v/>
      </c>
      <c r="AY174" s="15"/>
      <c r="AZ174" s="23"/>
      <c r="EW174" t="s">
        <v>46</v>
      </c>
      <c r="EX174" s="33">
        <v>1169</v>
      </c>
      <c r="EY174" s="33" t="s">
        <v>507</v>
      </c>
      <c r="EZ174" s="33">
        <v>508144</v>
      </c>
      <c r="FA174" s="33" t="s">
        <v>51</v>
      </c>
      <c r="FB174" s="33" t="s">
        <v>473</v>
      </c>
      <c r="FC174" s="33" t="s">
        <v>53</v>
      </c>
      <c r="FD174" s="33" t="s">
        <v>476</v>
      </c>
      <c r="FE174" s="33">
        <v>2020</v>
      </c>
      <c r="FF174" s="33" t="s">
        <v>474</v>
      </c>
      <c r="FG174" s="33" t="s">
        <v>477</v>
      </c>
      <c r="FH174" s="33" t="s">
        <v>478</v>
      </c>
      <c r="FI174" s="33" t="s">
        <v>479</v>
      </c>
      <c r="FJ174" t="s">
        <v>474</v>
      </c>
      <c r="FM174" s="32" t="s">
        <v>502</v>
      </c>
      <c r="FN174" t="s">
        <v>503</v>
      </c>
      <c r="FO174" t="s">
        <v>504</v>
      </c>
      <c r="FP174" t="str">
        <f t="shared" si="61"/>
        <v>B</v>
      </c>
      <c r="GU174" s="53">
        <v>171</v>
      </c>
      <c r="GV174" s="53">
        <v>168</v>
      </c>
    </row>
    <row r="175" spans="1:204" ht="15.5" x14ac:dyDescent="0.35">
      <c r="A175" s="95">
        <f t="shared" si="62"/>
        <v>1</v>
      </c>
      <c r="B175" s="11"/>
      <c r="C175" s="11"/>
      <c r="D175" s="92" t="str">
        <f>IFERROR(
IF(AND(OR(Planilla!B175="C",Planilla!B175="c"), VLOOKUP(E175,EX:FJ,13,0)="C"), "OK",IF(AND(OR(Planilla!B175="C",Planilla!B175="c"), OR(VLOOKUP(E175,EX:FJ,13,0)="B", VLOOKUP(E175,EX:FJ,13,0)="A")), "DEFICIT",IF(
AND(OR(Planilla!B175="B", Planilla!B175="BPAL"), VLOOKUP(E175,EX:FJ,13,0)="B"), "OK",IF(AND(OR(Planilla!B175="B", Planilla!B175="BPAL"), VLOOKUP(E175,EX:FJ,13,0)="A"), "DEFICIT",IF(AND(OR(Planilla!B175="B", Planilla!B175="BPAL"), VLOOKUP(E175,EX:FJ,13,0)="C"), "SOBREOFERTA",IF(AND(Planilla!B175="A", VLOOKUP(E175,EX:FJ,13,0)="A"), "OK",IF(
AND(Planilla!B175="A", OR(VLOOKUP(E175,EX:FJ,13,0)="B", VLOOKUP(E175,EX:FJ,13,0)="C")), "SOBREOFERTA",""
))))))),"")</f>
        <v/>
      </c>
      <c r="E175" s="12"/>
      <c r="F175" s="13"/>
      <c r="G175" s="14"/>
      <c r="H175" s="81" t="str">
        <f t="shared" si="63"/>
        <v/>
      </c>
      <c r="I175" s="7"/>
      <c r="J175" s="6" t="e">
        <f t="shared" si="64"/>
        <v>#N/A</v>
      </c>
      <c r="K175" s="6" t="str">
        <f>IF(A176&lt;&gt;A175,AVERAGEIF(A$9:A175,A175,J$9:J175),"")</f>
        <v/>
      </c>
      <c r="L175" s="7" t="str">
        <f>IFERROR(IF(A176&lt;&gt;A175,AVERAGEIF(A$9:A175,A175,S$9:S175),""),"")</f>
        <v/>
      </c>
      <c r="M175" s="7" t="str">
        <f>IFERROR(IF(A176&lt;&gt;A175,AVERAGEIF(A$9:A175,A175,T$9:T175),""),"")</f>
        <v/>
      </c>
      <c r="N175" s="7" t="str" cm="1">
        <f t="array" ref="N175">IFERROR(IF(A176&lt;&gt;A175,_xlfn.STDEV.P(IF(A$9:A175=A175,T$9:T175)),""),"")</f>
        <v/>
      </c>
      <c r="O175" s="7" t="str" cm="1">
        <f t="array" ref="O175">IFERROR(IF(A176&lt;&gt;A175,_xlfn.STDEV.P(IF(A$9:A175=A175,S$9:S175)),""),"")</f>
        <v/>
      </c>
      <c r="P175" s="8" t="str">
        <f t="shared" si="65"/>
        <v/>
      </c>
      <c r="Q175" s="8" t="str">
        <f t="shared" si="66"/>
        <v/>
      </c>
      <c r="R175" s="8" t="str">
        <f t="shared" si="67"/>
        <v/>
      </c>
      <c r="S175" s="9" t="str">
        <f t="shared" si="68"/>
        <v/>
      </c>
      <c r="T175" s="9" t="str">
        <f t="shared" si="69"/>
        <v/>
      </c>
      <c r="U175" s="14"/>
      <c r="V175" s="15"/>
      <c r="W175" s="14" t="str">
        <f t="shared" si="70"/>
        <v/>
      </c>
      <c r="X175" s="15"/>
      <c r="Y175" s="2"/>
      <c r="AB175" s="22">
        <f t="shared" si="71"/>
        <v>1</v>
      </c>
      <c r="AC175" s="11"/>
      <c r="AD175" s="11"/>
      <c r="AE175" s="13"/>
      <c r="AF175" s="12"/>
      <c r="AG175" s="13"/>
      <c r="AH175" s="14"/>
      <c r="AI175" s="81" t="str">
        <f t="shared" si="72"/>
        <v/>
      </c>
      <c r="AJ175" s="15"/>
      <c r="AK175" s="6" t="e">
        <f t="shared" si="73"/>
        <v>#N/A</v>
      </c>
      <c r="AL175" s="6" t="str">
        <f>IF(AB176&lt;&gt;AB175,AVERAGEIF(AB$9:AB175,AB175,AK$9:AK175),"")</f>
        <v/>
      </c>
      <c r="AM175" s="7" t="str">
        <f>IFERROR(IF(AB176&lt;&gt;AB175,AVERAGEIF(AB$9:AB175,AB175,AT$9:AT175),""),"")</f>
        <v/>
      </c>
      <c r="AN175" s="7" t="str">
        <f>IFERROR(IF(AB176&lt;&gt;AB175,AVERAGEIF(AB$9:AB175,AB175,AU$9:AU175),""),"")</f>
        <v/>
      </c>
      <c r="AO175" s="7" t="str" cm="1">
        <f t="array" ref="AO175">IFERROR(IF(AB176&lt;&gt;AB175,_xlfn.STDEV.P(IF(AB$9:AB175=AB175,AU$9:AU175)),""),"")</f>
        <v/>
      </c>
      <c r="AP175" s="7" t="str" cm="1">
        <f t="array" ref="AP175">IFERROR(IF(AB176&lt;&gt;AB175,_xlfn.STDEV.P(IF(AB$9:AB175=AB175,AT$9:AT175)),""),"")</f>
        <v/>
      </c>
      <c r="AQ175" s="8" t="str">
        <f t="shared" si="74"/>
        <v/>
      </c>
      <c r="AR175" s="8" t="str">
        <f t="shared" si="75"/>
        <v/>
      </c>
      <c r="AS175" s="8" t="str">
        <f t="shared" si="76"/>
        <v/>
      </c>
      <c r="AT175" s="9" t="str">
        <f t="shared" si="77"/>
        <v/>
      </c>
      <c r="AU175" s="9" t="str">
        <f t="shared" si="78"/>
        <v/>
      </c>
      <c r="AV175" s="14"/>
      <c r="AW175" s="15"/>
      <c r="AX175" s="14" t="str">
        <f t="shared" si="79"/>
        <v/>
      </c>
      <c r="AY175" s="15"/>
      <c r="AZ175" s="23"/>
      <c r="EW175" t="s">
        <v>46</v>
      </c>
      <c r="EX175" s="33">
        <v>1170</v>
      </c>
      <c r="EY175" s="33" t="s">
        <v>508</v>
      </c>
      <c r="EZ175" s="33">
        <v>508132</v>
      </c>
      <c r="FA175" s="33" t="s">
        <v>51</v>
      </c>
      <c r="FB175" s="33" t="s">
        <v>473</v>
      </c>
      <c r="FC175" s="33" t="s">
        <v>53</v>
      </c>
      <c r="FD175" s="33" t="s">
        <v>476</v>
      </c>
      <c r="FE175" s="33">
        <v>2020</v>
      </c>
      <c r="FF175" s="33" t="s">
        <v>474</v>
      </c>
      <c r="FG175" s="33" t="s">
        <v>477</v>
      </c>
      <c r="FH175" s="33" t="s">
        <v>478</v>
      </c>
      <c r="FI175" s="33" t="s">
        <v>479</v>
      </c>
      <c r="FJ175" t="s">
        <v>474</v>
      </c>
      <c r="FM175" s="32" t="s">
        <v>502</v>
      </c>
      <c r="FN175" t="s">
        <v>503</v>
      </c>
      <c r="FO175" t="s">
        <v>504</v>
      </c>
      <c r="FP175" t="str">
        <f t="shared" si="61"/>
        <v>B</v>
      </c>
      <c r="GU175" s="53">
        <v>172</v>
      </c>
      <c r="GV175" s="53">
        <v>169</v>
      </c>
    </row>
    <row r="176" spans="1:204" ht="15.5" x14ac:dyDescent="0.35">
      <c r="A176" s="95">
        <f t="shared" si="62"/>
        <v>1</v>
      </c>
      <c r="B176" s="11"/>
      <c r="C176" s="11"/>
      <c r="D176" s="92" t="str">
        <f>IFERROR(
IF(AND(OR(Planilla!B176="C",Planilla!B176="c"), VLOOKUP(E176,EX:FJ,13,0)="C"), "OK",IF(AND(OR(Planilla!B176="C",Planilla!B176="c"), OR(VLOOKUP(E176,EX:FJ,13,0)="B", VLOOKUP(E176,EX:FJ,13,0)="A")), "DEFICIT",IF(
AND(OR(Planilla!B176="B", Planilla!B176="BPAL"), VLOOKUP(E176,EX:FJ,13,0)="B"), "OK",IF(AND(OR(Planilla!B176="B", Planilla!B176="BPAL"), VLOOKUP(E176,EX:FJ,13,0)="A"), "DEFICIT",IF(AND(OR(Planilla!B176="B", Planilla!B176="BPAL"), VLOOKUP(E176,EX:FJ,13,0)="C"), "SOBREOFERTA",IF(AND(Planilla!B176="A", VLOOKUP(E176,EX:FJ,13,0)="A"), "OK",IF(
AND(Planilla!B176="A", OR(VLOOKUP(E176,EX:FJ,13,0)="B", VLOOKUP(E176,EX:FJ,13,0)="C")), "SOBREOFERTA",""
))))))),"")</f>
        <v/>
      </c>
      <c r="E176" s="12"/>
      <c r="F176" s="13"/>
      <c r="G176" s="14"/>
      <c r="H176" s="81" t="str">
        <f t="shared" si="63"/>
        <v/>
      </c>
      <c r="I176" s="7"/>
      <c r="J176" s="6" t="e">
        <f t="shared" si="64"/>
        <v>#N/A</v>
      </c>
      <c r="K176" s="6" t="str">
        <f>IF(A177&lt;&gt;A176,AVERAGEIF(A$9:A176,A176,J$9:J176),"")</f>
        <v/>
      </c>
      <c r="L176" s="7" t="str">
        <f>IFERROR(IF(A177&lt;&gt;A176,AVERAGEIF(A$9:A176,A176,S$9:S176),""),"")</f>
        <v/>
      </c>
      <c r="M176" s="7" t="str">
        <f>IFERROR(IF(A177&lt;&gt;A176,AVERAGEIF(A$9:A176,A176,T$9:T176),""),"")</f>
        <v/>
      </c>
      <c r="N176" s="7" t="str" cm="1">
        <f t="array" ref="N176">IFERROR(IF(A177&lt;&gt;A176,_xlfn.STDEV.P(IF(A$9:A176=A176,T$9:T176)),""),"")</f>
        <v/>
      </c>
      <c r="O176" s="7" t="str" cm="1">
        <f t="array" ref="O176">IFERROR(IF(A177&lt;&gt;A176,_xlfn.STDEV.P(IF(A$9:A176=A176,S$9:S176)),""),"")</f>
        <v/>
      </c>
      <c r="P176" s="8" t="str">
        <f t="shared" si="65"/>
        <v/>
      </c>
      <c r="Q176" s="8" t="str">
        <f t="shared" si="66"/>
        <v/>
      </c>
      <c r="R176" s="8" t="str">
        <f t="shared" si="67"/>
        <v/>
      </c>
      <c r="S176" s="9" t="str">
        <f t="shared" si="68"/>
        <v/>
      </c>
      <c r="T176" s="9" t="str">
        <f t="shared" si="69"/>
        <v/>
      </c>
      <c r="U176" s="14"/>
      <c r="V176" s="15"/>
      <c r="W176" s="14" t="str">
        <f t="shared" si="70"/>
        <v/>
      </c>
      <c r="X176" s="15"/>
      <c r="Y176" s="2"/>
      <c r="AB176" s="22">
        <f t="shared" si="71"/>
        <v>1</v>
      </c>
      <c r="AC176" s="11"/>
      <c r="AD176" s="11"/>
      <c r="AE176" s="13"/>
      <c r="AF176" s="12"/>
      <c r="AG176" s="13"/>
      <c r="AH176" s="14"/>
      <c r="AI176" s="81" t="str">
        <f t="shared" si="72"/>
        <v/>
      </c>
      <c r="AJ176" s="15"/>
      <c r="AK176" s="6" t="e">
        <f t="shared" si="73"/>
        <v>#N/A</v>
      </c>
      <c r="AL176" s="6" t="str">
        <f>IF(AB177&lt;&gt;AB176,AVERAGEIF(AB$9:AB176,AB176,AK$9:AK176),"")</f>
        <v/>
      </c>
      <c r="AM176" s="7" t="str">
        <f>IFERROR(IF(AB177&lt;&gt;AB176,AVERAGEIF(AB$9:AB176,AB176,AT$9:AT176),""),"")</f>
        <v/>
      </c>
      <c r="AN176" s="7" t="str">
        <f>IFERROR(IF(AB177&lt;&gt;AB176,AVERAGEIF(AB$9:AB176,AB176,AU$9:AU176),""),"")</f>
        <v/>
      </c>
      <c r="AO176" s="7" t="str" cm="1">
        <f t="array" ref="AO176">IFERROR(IF(AB177&lt;&gt;AB176,_xlfn.STDEV.P(IF(AB$9:AB176=AB176,AU$9:AU176)),""),"")</f>
        <v/>
      </c>
      <c r="AP176" s="7" t="str" cm="1">
        <f t="array" ref="AP176">IFERROR(IF(AB177&lt;&gt;AB176,_xlfn.STDEV.P(IF(AB$9:AB176=AB176,AT$9:AT176)),""),"")</f>
        <v/>
      </c>
      <c r="AQ176" s="8" t="str">
        <f t="shared" si="74"/>
        <v/>
      </c>
      <c r="AR176" s="8" t="str">
        <f t="shared" si="75"/>
        <v/>
      </c>
      <c r="AS176" s="8" t="str">
        <f t="shared" si="76"/>
        <v/>
      </c>
      <c r="AT176" s="9" t="str">
        <f t="shared" si="77"/>
        <v/>
      </c>
      <c r="AU176" s="9" t="str">
        <f t="shared" si="78"/>
        <v/>
      </c>
      <c r="AV176" s="14"/>
      <c r="AW176" s="15"/>
      <c r="AX176" s="14" t="str">
        <f t="shared" si="79"/>
        <v/>
      </c>
      <c r="AY176" s="15"/>
      <c r="AZ176" s="23"/>
      <c r="EW176" t="s">
        <v>46</v>
      </c>
      <c r="EX176" s="33">
        <v>1171</v>
      </c>
      <c r="EY176" s="33" t="s">
        <v>509</v>
      </c>
      <c r="EZ176" s="33">
        <v>508345</v>
      </c>
      <c r="FA176" s="33" t="s">
        <v>51</v>
      </c>
      <c r="FB176" s="33" t="s">
        <v>473</v>
      </c>
      <c r="FC176" s="33" t="s">
        <v>53</v>
      </c>
      <c r="FD176" s="33" t="s">
        <v>476</v>
      </c>
      <c r="FE176" s="33">
        <v>2020</v>
      </c>
      <c r="FF176" s="33" t="s">
        <v>474</v>
      </c>
      <c r="FG176" s="33" t="s">
        <v>477</v>
      </c>
      <c r="FH176" s="33" t="s">
        <v>478</v>
      </c>
      <c r="FI176" s="33" t="s">
        <v>479</v>
      </c>
      <c r="FJ176" t="s">
        <v>474</v>
      </c>
      <c r="FM176" s="32" t="s">
        <v>510</v>
      </c>
      <c r="FN176" t="s">
        <v>511</v>
      </c>
      <c r="FO176" t="s">
        <v>512</v>
      </c>
      <c r="FP176" t="str">
        <f t="shared" si="61"/>
        <v>B</v>
      </c>
      <c r="GU176" s="53">
        <v>173</v>
      </c>
      <c r="GV176" s="53">
        <v>170</v>
      </c>
    </row>
    <row r="177" spans="1:204" ht="15.5" x14ac:dyDescent="0.35">
      <c r="A177" s="95">
        <f t="shared" si="62"/>
        <v>1</v>
      </c>
      <c r="B177" s="11"/>
      <c r="C177" s="11"/>
      <c r="D177" s="92" t="str">
        <f>IFERROR(
IF(AND(OR(Planilla!B177="C",Planilla!B177="c"), VLOOKUP(E177,EX:FJ,13,0)="C"), "OK",IF(AND(OR(Planilla!B177="C",Planilla!B177="c"), OR(VLOOKUP(E177,EX:FJ,13,0)="B", VLOOKUP(E177,EX:FJ,13,0)="A")), "DEFICIT",IF(
AND(OR(Planilla!B177="B", Planilla!B177="BPAL"), VLOOKUP(E177,EX:FJ,13,0)="B"), "OK",IF(AND(OR(Planilla!B177="B", Planilla!B177="BPAL"), VLOOKUP(E177,EX:FJ,13,0)="A"), "DEFICIT",IF(AND(OR(Planilla!B177="B", Planilla!B177="BPAL"), VLOOKUP(E177,EX:FJ,13,0)="C"), "SOBREOFERTA",IF(AND(Planilla!B177="A", VLOOKUP(E177,EX:FJ,13,0)="A"), "OK",IF(
AND(Planilla!B177="A", OR(VLOOKUP(E177,EX:FJ,13,0)="B", VLOOKUP(E177,EX:FJ,13,0)="C")), "SOBREOFERTA",""
))))))),"")</f>
        <v/>
      </c>
      <c r="E177" s="12"/>
      <c r="F177" s="13"/>
      <c r="G177" s="14"/>
      <c r="H177" s="81" t="str">
        <f t="shared" si="63"/>
        <v/>
      </c>
      <c r="I177" s="7"/>
      <c r="J177" s="6" t="e">
        <f t="shared" si="64"/>
        <v>#N/A</v>
      </c>
      <c r="K177" s="6" t="str">
        <f>IF(A178&lt;&gt;A177,AVERAGEIF(A$9:A177,A177,J$9:J177),"")</f>
        <v/>
      </c>
      <c r="L177" s="7" t="str">
        <f>IFERROR(IF(A178&lt;&gt;A177,AVERAGEIF(A$9:A177,A177,S$9:S177),""),"")</f>
        <v/>
      </c>
      <c r="M177" s="7" t="str">
        <f>IFERROR(IF(A178&lt;&gt;A177,AVERAGEIF(A$9:A177,A177,T$9:T177),""),"")</f>
        <v/>
      </c>
      <c r="N177" s="7" t="str" cm="1">
        <f t="array" ref="N177">IFERROR(IF(A178&lt;&gt;A177,_xlfn.STDEV.P(IF(A$9:A177=A177,T$9:T177)),""),"")</f>
        <v/>
      </c>
      <c r="O177" s="7" t="str" cm="1">
        <f t="array" ref="O177">IFERROR(IF(A178&lt;&gt;A177,_xlfn.STDEV.P(IF(A$9:A177=A177,S$9:S177)),""),"")</f>
        <v/>
      </c>
      <c r="P177" s="8" t="str">
        <f t="shared" si="65"/>
        <v/>
      </c>
      <c r="Q177" s="8" t="str">
        <f t="shared" si="66"/>
        <v/>
      </c>
      <c r="R177" s="8" t="str">
        <f t="shared" si="67"/>
        <v/>
      </c>
      <c r="S177" s="9" t="str">
        <f t="shared" si="68"/>
        <v/>
      </c>
      <c r="T177" s="9" t="str">
        <f t="shared" si="69"/>
        <v/>
      </c>
      <c r="U177" s="14"/>
      <c r="V177" s="15"/>
      <c r="W177" s="14" t="str">
        <f t="shared" si="70"/>
        <v/>
      </c>
      <c r="X177" s="15"/>
      <c r="Y177" s="2"/>
      <c r="AB177" s="22">
        <f t="shared" si="71"/>
        <v>1</v>
      </c>
      <c r="AC177" s="11"/>
      <c r="AD177" s="11"/>
      <c r="AE177" s="13"/>
      <c r="AF177" s="12"/>
      <c r="AG177" s="13"/>
      <c r="AH177" s="14"/>
      <c r="AI177" s="81" t="str">
        <f t="shared" si="72"/>
        <v/>
      </c>
      <c r="AJ177" s="15"/>
      <c r="AK177" s="6" t="e">
        <f t="shared" si="73"/>
        <v>#N/A</v>
      </c>
      <c r="AL177" s="6" t="str">
        <f>IF(AB178&lt;&gt;AB177,AVERAGEIF(AB$9:AB177,AB177,AK$9:AK177),"")</f>
        <v/>
      </c>
      <c r="AM177" s="7" t="str">
        <f>IFERROR(IF(AB178&lt;&gt;AB177,AVERAGEIF(AB$9:AB177,AB177,AT$9:AT177),""),"")</f>
        <v/>
      </c>
      <c r="AN177" s="7" t="str">
        <f>IFERROR(IF(AB178&lt;&gt;AB177,AVERAGEIF(AB$9:AB177,AB177,AU$9:AU177),""),"")</f>
        <v/>
      </c>
      <c r="AO177" s="7" t="str" cm="1">
        <f t="array" ref="AO177">IFERROR(IF(AB178&lt;&gt;AB177,_xlfn.STDEV.P(IF(AB$9:AB177=AB177,AU$9:AU177)),""),"")</f>
        <v/>
      </c>
      <c r="AP177" s="7" t="str" cm="1">
        <f t="array" ref="AP177">IFERROR(IF(AB178&lt;&gt;AB177,_xlfn.STDEV.P(IF(AB$9:AB177=AB177,AT$9:AT177)),""),"")</f>
        <v/>
      </c>
      <c r="AQ177" s="8" t="str">
        <f t="shared" si="74"/>
        <v/>
      </c>
      <c r="AR177" s="8" t="str">
        <f t="shared" si="75"/>
        <v/>
      </c>
      <c r="AS177" s="8" t="str">
        <f t="shared" si="76"/>
        <v/>
      </c>
      <c r="AT177" s="9" t="str">
        <f t="shared" si="77"/>
        <v/>
      </c>
      <c r="AU177" s="9" t="str">
        <f t="shared" si="78"/>
        <v/>
      </c>
      <c r="AV177" s="14"/>
      <c r="AW177" s="15"/>
      <c r="AX177" s="14" t="str">
        <f t="shared" si="79"/>
        <v/>
      </c>
      <c r="AY177" s="15"/>
      <c r="AZ177" s="23"/>
      <c r="EW177" t="s">
        <v>46</v>
      </c>
      <c r="EX177" s="33">
        <v>1172</v>
      </c>
      <c r="EY177" s="33" t="s">
        <v>513</v>
      </c>
      <c r="EZ177" s="33">
        <v>508201</v>
      </c>
      <c r="FA177" s="33" t="s">
        <v>51</v>
      </c>
      <c r="FB177" s="33" t="s">
        <v>473</v>
      </c>
      <c r="FC177" s="33" t="s">
        <v>53</v>
      </c>
      <c r="FD177" s="33" t="s">
        <v>476</v>
      </c>
      <c r="FE177" s="33">
        <v>2020</v>
      </c>
      <c r="FF177" s="33" t="s">
        <v>474</v>
      </c>
      <c r="FG177" s="33" t="s">
        <v>477</v>
      </c>
      <c r="FH177" s="33" t="s">
        <v>478</v>
      </c>
      <c r="FI177" s="33" t="s">
        <v>479</v>
      </c>
      <c r="FJ177" t="s">
        <v>474</v>
      </c>
      <c r="FM177" s="32" t="s">
        <v>510</v>
      </c>
      <c r="FN177" t="s">
        <v>511</v>
      </c>
      <c r="FO177" t="s">
        <v>512</v>
      </c>
      <c r="FP177" t="str">
        <f t="shared" si="61"/>
        <v>B</v>
      </c>
      <c r="GU177" s="53">
        <v>174</v>
      </c>
      <c r="GV177" s="53">
        <v>171</v>
      </c>
    </row>
    <row r="178" spans="1:204" ht="15.5" x14ac:dyDescent="0.35">
      <c r="A178" s="95">
        <f t="shared" si="62"/>
        <v>1</v>
      </c>
      <c r="B178" s="11"/>
      <c r="C178" s="11"/>
      <c r="D178" s="92" t="str">
        <f>IFERROR(
IF(AND(OR(Planilla!B178="C",Planilla!B178="c"), VLOOKUP(E178,EX:FJ,13,0)="C"), "OK",IF(AND(OR(Planilla!B178="C",Planilla!B178="c"), OR(VLOOKUP(E178,EX:FJ,13,0)="B", VLOOKUP(E178,EX:FJ,13,0)="A")), "DEFICIT",IF(
AND(OR(Planilla!B178="B", Planilla!B178="BPAL"), VLOOKUP(E178,EX:FJ,13,0)="B"), "OK",IF(AND(OR(Planilla!B178="B", Planilla!B178="BPAL"), VLOOKUP(E178,EX:FJ,13,0)="A"), "DEFICIT",IF(AND(OR(Planilla!B178="B", Planilla!B178="BPAL"), VLOOKUP(E178,EX:FJ,13,0)="C"), "SOBREOFERTA",IF(AND(Planilla!B178="A", VLOOKUP(E178,EX:FJ,13,0)="A"), "OK",IF(
AND(Planilla!B178="A", OR(VLOOKUP(E178,EX:FJ,13,0)="B", VLOOKUP(E178,EX:FJ,13,0)="C")), "SOBREOFERTA",""
))))))),"")</f>
        <v/>
      </c>
      <c r="E178" s="12"/>
      <c r="F178" s="13"/>
      <c r="G178" s="14"/>
      <c r="H178" s="81" t="str">
        <f t="shared" si="63"/>
        <v/>
      </c>
      <c r="I178" s="7"/>
      <c r="J178" s="6" t="e">
        <f t="shared" si="64"/>
        <v>#N/A</v>
      </c>
      <c r="K178" s="6" t="str">
        <f>IF(A179&lt;&gt;A178,AVERAGEIF(A$9:A178,A178,J$9:J178),"")</f>
        <v/>
      </c>
      <c r="L178" s="7" t="str">
        <f>IFERROR(IF(A179&lt;&gt;A178,AVERAGEIF(A$9:A178,A178,S$9:S178),""),"")</f>
        <v/>
      </c>
      <c r="M178" s="7" t="str">
        <f>IFERROR(IF(A179&lt;&gt;A178,AVERAGEIF(A$9:A178,A178,T$9:T178),""),"")</f>
        <v/>
      </c>
      <c r="N178" s="7" t="str" cm="1">
        <f t="array" ref="N178">IFERROR(IF(A179&lt;&gt;A178,_xlfn.STDEV.P(IF(A$9:A178=A178,T$9:T178)),""),"")</f>
        <v/>
      </c>
      <c r="O178" s="7" t="str" cm="1">
        <f t="array" ref="O178">IFERROR(IF(A179&lt;&gt;A178,_xlfn.STDEV.P(IF(A$9:A178=A178,S$9:S178)),""),"")</f>
        <v/>
      </c>
      <c r="P178" s="8" t="str">
        <f t="shared" si="65"/>
        <v/>
      </c>
      <c r="Q178" s="8" t="str">
        <f t="shared" si="66"/>
        <v/>
      </c>
      <c r="R178" s="8" t="str">
        <f t="shared" si="67"/>
        <v/>
      </c>
      <c r="S178" s="9" t="str">
        <f t="shared" si="68"/>
        <v/>
      </c>
      <c r="T178" s="9" t="str">
        <f t="shared" si="69"/>
        <v/>
      </c>
      <c r="U178" s="14"/>
      <c r="V178" s="15"/>
      <c r="W178" s="14" t="str">
        <f t="shared" si="70"/>
        <v/>
      </c>
      <c r="X178" s="15"/>
      <c r="Y178" s="2"/>
      <c r="AB178" s="22">
        <f t="shared" si="71"/>
        <v>1</v>
      </c>
      <c r="AC178" s="11"/>
      <c r="AD178" s="11"/>
      <c r="AE178" s="13"/>
      <c r="AF178" s="12"/>
      <c r="AG178" s="13"/>
      <c r="AH178" s="14"/>
      <c r="AI178" s="81" t="str">
        <f t="shared" si="72"/>
        <v/>
      </c>
      <c r="AJ178" s="15"/>
      <c r="AK178" s="6" t="e">
        <f t="shared" si="73"/>
        <v>#N/A</v>
      </c>
      <c r="AL178" s="6" t="str">
        <f>IF(AB179&lt;&gt;AB178,AVERAGEIF(AB$9:AB178,AB178,AK$9:AK178),"")</f>
        <v/>
      </c>
      <c r="AM178" s="7" t="str">
        <f>IFERROR(IF(AB179&lt;&gt;AB178,AVERAGEIF(AB$9:AB178,AB178,AT$9:AT178),""),"")</f>
        <v/>
      </c>
      <c r="AN178" s="7" t="str">
        <f>IFERROR(IF(AB179&lt;&gt;AB178,AVERAGEIF(AB$9:AB178,AB178,AU$9:AU178),""),"")</f>
        <v/>
      </c>
      <c r="AO178" s="7" t="str" cm="1">
        <f t="array" ref="AO178">IFERROR(IF(AB179&lt;&gt;AB178,_xlfn.STDEV.P(IF(AB$9:AB178=AB178,AU$9:AU178)),""),"")</f>
        <v/>
      </c>
      <c r="AP178" s="7" t="str" cm="1">
        <f t="array" ref="AP178">IFERROR(IF(AB179&lt;&gt;AB178,_xlfn.STDEV.P(IF(AB$9:AB178=AB178,AT$9:AT178)),""),"")</f>
        <v/>
      </c>
      <c r="AQ178" s="8" t="str">
        <f t="shared" si="74"/>
        <v/>
      </c>
      <c r="AR178" s="8" t="str">
        <f t="shared" si="75"/>
        <v/>
      </c>
      <c r="AS178" s="8" t="str">
        <f t="shared" si="76"/>
        <v/>
      </c>
      <c r="AT178" s="9" t="str">
        <f t="shared" si="77"/>
        <v/>
      </c>
      <c r="AU178" s="9" t="str">
        <f t="shared" si="78"/>
        <v/>
      </c>
      <c r="AV178" s="14"/>
      <c r="AW178" s="15"/>
      <c r="AX178" s="14" t="str">
        <f t="shared" si="79"/>
        <v/>
      </c>
      <c r="AY178" s="15"/>
      <c r="AZ178" s="23"/>
      <c r="EW178" t="s">
        <v>46</v>
      </c>
      <c r="EX178" s="33">
        <v>1173</v>
      </c>
      <c r="EY178" s="33" t="s">
        <v>514</v>
      </c>
      <c r="EZ178" s="33">
        <v>508119</v>
      </c>
      <c r="FA178" s="33" t="s">
        <v>51</v>
      </c>
      <c r="FB178" s="33" t="s">
        <v>473</v>
      </c>
      <c r="FC178" s="33" t="s">
        <v>53</v>
      </c>
      <c r="FD178" s="33" t="s">
        <v>476</v>
      </c>
      <c r="FE178" s="33">
        <v>2020</v>
      </c>
      <c r="FF178" s="33" t="s">
        <v>474</v>
      </c>
      <c r="FG178" s="33" t="s">
        <v>477</v>
      </c>
      <c r="FH178" s="33" t="s">
        <v>478</v>
      </c>
      <c r="FI178" s="33" t="s">
        <v>479</v>
      </c>
      <c r="FJ178" t="s">
        <v>474</v>
      </c>
      <c r="FM178" s="32" t="s">
        <v>510</v>
      </c>
      <c r="FN178" t="s">
        <v>511</v>
      </c>
      <c r="FO178" t="s">
        <v>512</v>
      </c>
      <c r="FP178" t="str">
        <f t="shared" si="61"/>
        <v>B</v>
      </c>
      <c r="GU178" s="53">
        <v>175</v>
      </c>
      <c r="GV178" s="53">
        <v>172</v>
      </c>
    </row>
    <row r="179" spans="1:204" ht="15.5" x14ac:dyDescent="0.35">
      <c r="A179" s="95">
        <f t="shared" si="62"/>
        <v>1</v>
      </c>
      <c r="B179" s="11"/>
      <c r="C179" s="11"/>
      <c r="D179" s="92" t="str">
        <f>IFERROR(
IF(AND(OR(Planilla!B179="C",Planilla!B179="c"), VLOOKUP(E179,EX:FJ,13,0)="C"), "OK",IF(AND(OR(Planilla!B179="C",Planilla!B179="c"), OR(VLOOKUP(E179,EX:FJ,13,0)="B", VLOOKUP(E179,EX:FJ,13,0)="A")), "DEFICIT",IF(
AND(OR(Planilla!B179="B", Planilla!B179="BPAL"), VLOOKUP(E179,EX:FJ,13,0)="B"), "OK",IF(AND(OR(Planilla!B179="B", Planilla!B179="BPAL"), VLOOKUP(E179,EX:FJ,13,0)="A"), "DEFICIT",IF(AND(OR(Planilla!B179="B", Planilla!B179="BPAL"), VLOOKUP(E179,EX:FJ,13,0)="C"), "SOBREOFERTA",IF(AND(Planilla!B179="A", VLOOKUP(E179,EX:FJ,13,0)="A"), "OK",IF(
AND(Planilla!B179="A", OR(VLOOKUP(E179,EX:FJ,13,0)="B", VLOOKUP(E179,EX:FJ,13,0)="C")), "SOBREOFERTA",""
))))))),"")</f>
        <v/>
      </c>
      <c r="E179" s="12"/>
      <c r="F179" s="13"/>
      <c r="G179" s="14"/>
      <c r="H179" s="81" t="str">
        <f t="shared" si="63"/>
        <v/>
      </c>
      <c r="I179" s="7"/>
      <c r="J179" s="6" t="e">
        <f t="shared" si="64"/>
        <v>#N/A</v>
      </c>
      <c r="K179" s="6" t="str">
        <f>IF(A180&lt;&gt;A179,AVERAGEIF(A$9:A179,A179,J$9:J179),"")</f>
        <v/>
      </c>
      <c r="L179" s="7" t="str">
        <f>IFERROR(IF(A180&lt;&gt;A179,AVERAGEIF(A$9:A179,A179,S$9:S179),""),"")</f>
        <v/>
      </c>
      <c r="M179" s="7" t="str">
        <f>IFERROR(IF(A180&lt;&gt;A179,AVERAGEIF(A$9:A179,A179,T$9:T179),""),"")</f>
        <v/>
      </c>
      <c r="N179" s="7" t="str" cm="1">
        <f t="array" ref="N179">IFERROR(IF(A180&lt;&gt;A179,_xlfn.STDEV.P(IF(A$9:A179=A179,T$9:T179)),""),"")</f>
        <v/>
      </c>
      <c r="O179" s="7" t="str" cm="1">
        <f t="array" ref="O179">IFERROR(IF(A180&lt;&gt;A179,_xlfn.STDEV.P(IF(A$9:A179=A179,S$9:S179)),""),"")</f>
        <v/>
      </c>
      <c r="P179" s="8" t="str">
        <f t="shared" si="65"/>
        <v/>
      </c>
      <c r="Q179" s="8" t="str">
        <f t="shared" si="66"/>
        <v/>
      </c>
      <c r="R179" s="8" t="str">
        <f t="shared" si="67"/>
        <v/>
      </c>
      <c r="S179" s="9" t="str">
        <f t="shared" si="68"/>
        <v/>
      </c>
      <c r="T179" s="9" t="str">
        <f t="shared" si="69"/>
        <v/>
      </c>
      <c r="U179" s="14"/>
      <c r="V179" s="15"/>
      <c r="W179" s="14" t="str">
        <f t="shared" si="70"/>
        <v/>
      </c>
      <c r="X179" s="15"/>
      <c r="Y179" s="2"/>
      <c r="AB179" s="22">
        <f t="shared" si="71"/>
        <v>1</v>
      </c>
      <c r="AC179" s="11"/>
      <c r="AD179" s="11"/>
      <c r="AE179" s="13"/>
      <c r="AF179" s="12"/>
      <c r="AG179" s="13"/>
      <c r="AH179" s="14"/>
      <c r="AI179" s="81" t="str">
        <f t="shared" si="72"/>
        <v/>
      </c>
      <c r="AJ179" s="15"/>
      <c r="AK179" s="6" t="e">
        <f t="shared" si="73"/>
        <v>#N/A</v>
      </c>
      <c r="AL179" s="6" t="str">
        <f>IF(AB180&lt;&gt;AB179,AVERAGEIF(AB$9:AB179,AB179,AK$9:AK179),"")</f>
        <v/>
      </c>
      <c r="AM179" s="7" t="str">
        <f>IFERROR(IF(AB180&lt;&gt;AB179,AVERAGEIF(AB$9:AB179,AB179,AT$9:AT179),""),"")</f>
        <v/>
      </c>
      <c r="AN179" s="7" t="str">
        <f>IFERROR(IF(AB180&lt;&gt;AB179,AVERAGEIF(AB$9:AB179,AB179,AU$9:AU179),""),"")</f>
        <v/>
      </c>
      <c r="AO179" s="7" t="str" cm="1">
        <f t="array" ref="AO179">IFERROR(IF(AB180&lt;&gt;AB179,_xlfn.STDEV.P(IF(AB$9:AB179=AB179,AU$9:AU179)),""),"")</f>
        <v/>
      </c>
      <c r="AP179" s="7" t="str" cm="1">
        <f t="array" ref="AP179">IFERROR(IF(AB180&lt;&gt;AB179,_xlfn.STDEV.P(IF(AB$9:AB179=AB179,AT$9:AT179)),""),"")</f>
        <v/>
      </c>
      <c r="AQ179" s="8" t="str">
        <f t="shared" si="74"/>
        <v/>
      </c>
      <c r="AR179" s="8" t="str">
        <f t="shared" si="75"/>
        <v/>
      </c>
      <c r="AS179" s="8" t="str">
        <f t="shared" si="76"/>
        <v/>
      </c>
      <c r="AT179" s="9" t="str">
        <f t="shared" si="77"/>
        <v/>
      </c>
      <c r="AU179" s="9" t="str">
        <f t="shared" si="78"/>
        <v/>
      </c>
      <c r="AV179" s="14"/>
      <c r="AW179" s="15"/>
      <c r="AX179" s="14" t="str">
        <f t="shared" si="79"/>
        <v/>
      </c>
      <c r="AY179" s="15"/>
      <c r="AZ179" s="23"/>
      <c r="EW179" t="s">
        <v>46</v>
      </c>
      <c r="EX179" s="33">
        <v>1174</v>
      </c>
      <c r="EY179" s="33" t="s">
        <v>515</v>
      </c>
      <c r="EZ179" s="33">
        <v>508282</v>
      </c>
      <c r="FA179" s="33" t="s">
        <v>51</v>
      </c>
      <c r="FB179" s="33" t="s">
        <v>473</v>
      </c>
      <c r="FC179" s="33" t="s">
        <v>53</v>
      </c>
      <c r="FD179" s="33" t="s">
        <v>476</v>
      </c>
      <c r="FE179" s="33">
        <v>2020</v>
      </c>
      <c r="FF179" s="33" t="s">
        <v>474</v>
      </c>
      <c r="FG179" s="33" t="s">
        <v>477</v>
      </c>
      <c r="FH179" s="33" t="s">
        <v>478</v>
      </c>
      <c r="FI179" s="33" t="s">
        <v>479</v>
      </c>
      <c r="FJ179" t="s">
        <v>474</v>
      </c>
      <c r="FM179" s="32" t="s">
        <v>510</v>
      </c>
      <c r="FN179" t="s">
        <v>511</v>
      </c>
      <c r="FO179" t="s">
        <v>512</v>
      </c>
      <c r="FP179" t="str">
        <f t="shared" si="61"/>
        <v>B</v>
      </c>
      <c r="GU179" s="53">
        <v>176</v>
      </c>
      <c r="GV179" s="53">
        <v>173</v>
      </c>
    </row>
    <row r="180" spans="1:204" ht="15.5" x14ac:dyDescent="0.35">
      <c r="A180" s="95">
        <f t="shared" si="62"/>
        <v>1</v>
      </c>
      <c r="B180" s="11"/>
      <c r="C180" s="11"/>
      <c r="D180" s="92" t="str">
        <f>IFERROR(
IF(AND(OR(Planilla!B180="C",Planilla!B180="c"), VLOOKUP(E180,EX:FJ,13,0)="C"), "OK",IF(AND(OR(Planilla!B180="C",Planilla!B180="c"), OR(VLOOKUP(E180,EX:FJ,13,0)="B", VLOOKUP(E180,EX:FJ,13,0)="A")), "DEFICIT",IF(
AND(OR(Planilla!B180="B", Planilla!B180="BPAL"), VLOOKUP(E180,EX:FJ,13,0)="B"), "OK",IF(AND(OR(Planilla!B180="B", Planilla!B180="BPAL"), VLOOKUP(E180,EX:FJ,13,0)="A"), "DEFICIT",IF(AND(OR(Planilla!B180="B", Planilla!B180="BPAL"), VLOOKUP(E180,EX:FJ,13,0)="C"), "SOBREOFERTA",IF(AND(Planilla!B180="A", VLOOKUP(E180,EX:FJ,13,0)="A"), "OK",IF(
AND(Planilla!B180="A", OR(VLOOKUP(E180,EX:FJ,13,0)="B", VLOOKUP(E180,EX:FJ,13,0)="C")), "SOBREOFERTA",""
))))))),"")</f>
        <v/>
      </c>
      <c r="E180" s="12"/>
      <c r="F180" s="13"/>
      <c r="G180" s="14"/>
      <c r="H180" s="81" t="str">
        <f t="shared" si="63"/>
        <v/>
      </c>
      <c r="I180" s="7"/>
      <c r="J180" s="6" t="e">
        <f t="shared" si="64"/>
        <v>#N/A</v>
      </c>
      <c r="K180" s="6" t="str">
        <f>IF(A181&lt;&gt;A180,AVERAGEIF(A$9:A180,A180,J$9:J180),"")</f>
        <v/>
      </c>
      <c r="L180" s="7" t="str">
        <f>IFERROR(IF(A181&lt;&gt;A180,AVERAGEIF(A$9:A180,A180,S$9:S180),""),"")</f>
        <v/>
      </c>
      <c r="M180" s="7" t="str">
        <f>IFERROR(IF(A181&lt;&gt;A180,AVERAGEIF(A$9:A180,A180,T$9:T180),""),"")</f>
        <v/>
      </c>
      <c r="N180" s="7" t="str" cm="1">
        <f t="array" ref="N180">IFERROR(IF(A181&lt;&gt;A180,_xlfn.STDEV.P(IF(A$9:A180=A180,T$9:T180)),""),"")</f>
        <v/>
      </c>
      <c r="O180" s="7" t="str" cm="1">
        <f t="array" ref="O180">IFERROR(IF(A181&lt;&gt;A180,_xlfn.STDEV.P(IF(A$9:A180=A180,S$9:S180)),""),"")</f>
        <v/>
      </c>
      <c r="P180" s="8" t="str">
        <f t="shared" si="65"/>
        <v/>
      </c>
      <c r="Q180" s="8" t="str">
        <f t="shared" si="66"/>
        <v/>
      </c>
      <c r="R180" s="8" t="str">
        <f t="shared" si="67"/>
        <v/>
      </c>
      <c r="S180" s="9" t="str">
        <f t="shared" si="68"/>
        <v/>
      </c>
      <c r="T180" s="9" t="str">
        <f t="shared" si="69"/>
        <v/>
      </c>
      <c r="U180" s="14"/>
      <c r="V180" s="15"/>
      <c r="W180" s="14" t="str">
        <f t="shared" si="70"/>
        <v/>
      </c>
      <c r="X180" s="15"/>
      <c r="Y180" s="2"/>
      <c r="AB180" s="22">
        <f t="shared" si="71"/>
        <v>1</v>
      </c>
      <c r="AC180" s="11"/>
      <c r="AD180" s="11"/>
      <c r="AE180" s="13"/>
      <c r="AF180" s="12"/>
      <c r="AG180" s="13"/>
      <c r="AH180" s="14"/>
      <c r="AI180" s="81" t="str">
        <f t="shared" si="72"/>
        <v/>
      </c>
      <c r="AJ180" s="15"/>
      <c r="AK180" s="6" t="e">
        <f t="shared" si="73"/>
        <v>#N/A</v>
      </c>
      <c r="AL180" s="6" t="str">
        <f>IF(AB181&lt;&gt;AB180,AVERAGEIF(AB$9:AB180,AB180,AK$9:AK180),"")</f>
        <v/>
      </c>
      <c r="AM180" s="7" t="str">
        <f>IFERROR(IF(AB181&lt;&gt;AB180,AVERAGEIF(AB$9:AB180,AB180,AT$9:AT180),""),"")</f>
        <v/>
      </c>
      <c r="AN180" s="7" t="str">
        <f>IFERROR(IF(AB181&lt;&gt;AB180,AVERAGEIF(AB$9:AB180,AB180,AU$9:AU180),""),"")</f>
        <v/>
      </c>
      <c r="AO180" s="7" t="str" cm="1">
        <f t="array" ref="AO180">IFERROR(IF(AB181&lt;&gt;AB180,_xlfn.STDEV.P(IF(AB$9:AB180=AB180,AU$9:AU180)),""),"")</f>
        <v/>
      </c>
      <c r="AP180" s="7" t="str" cm="1">
        <f t="array" ref="AP180">IFERROR(IF(AB181&lt;&gt;AB180,_xlfn.STDEV.P(IF(AB$9:AB180=AB180,AT$9:AT180)),""),"")</f>
        <v/>
      </c>
      <c r="AQ180" s="8" t="str">
        <f t="shared" si="74"/>
        <v/>
      </c>
      <c r="AR180" s="8" t="str">
        <f t="shared" si="75"/>
        <v/>
      </c>
      <c r="AS180" s="8" t="str">
        <f t="shared" si="76"/>
        <v/>
      </c>
      <c r="AT180" s="9" t="str">
        <f t="shared" si="77"/>
        <v/>
      </c>
      <c r="AU180" s="9" t="str">
        <f t="shared" si="78"/>
        <v/>
      </c>
      <c r="AV180" s="14"/>
      <c r="AW180" s="15"/>
      <c r="AX180" s="14" t="str">
        <f t="shared" si="79"/>
        <v/>
      </c>
      <c r="AY180" s="15"/>
      <c r="AZ180" s="23"/>
      <c r="EW180" t="s">
        <v>46</v>
      </c>
      <c r="EX180" s="33">
        <v>1227</v>
      </c>
      <c r="EY180" s="33" t="s">
        <v>516</v>
      </c>
      <c r="EZ180" s="33">
        <v>508121</v>
      </c>
      <c r="FA180" s="33" t="s">
        <v>51</v>
      </c>
      <c r="FB180" s="33" t="s">
        <v>473</v>
      </c>
      <c r="FC180" s="33" t="s">
        <v>53</v>
      </c>
      <c r="FD180" s="33" t="s">
        <v>476</v>
      </c>
      <c r="FE180" s="33">
        <v>2020</v>
      </c>
      <c r="FF180" s="33" t="s">
        <v>474</v>
      </c>
      <c r="FG180" s="33" t="s">
        <v>470</v>
      </c>
      <c r="FH180" s="33" t="s">
        <v>471</v>
      </c>
      <c r="FI180" s="33" t="s">
        <v>467</v>
      </c>
      <c r="FJ180" t="s">
        <v>474</v>
      </c>
      <c r="FM180" s="32" t="s">
        <v>510</v>
      </c>
      <c r="FN180" t="s">
        <v>511</v>
      </c>
      <c r="FO180" t="s">
        <v>512</v>
      </c>
      <c r="FP180" t="str">
        <f t="shared" si="61"/>
        <v>B</v>
      </c>
      <c r="GU180" s="53">
        <v>177</v>
      </c>
      <c r="GV180" s="53">
        <v>174</v>
      </c>
    </row>
    <row r="181" spans="1:204" ht="15.5" x14ac:dyDescent="0.35">
      <c r="A181" s="95">
        <f t="shared" si="62"/>
        <v>1</v>
      </c>
      <c r="B181" s="11"/>
      <c r="C181" s="11"/>
      <c r="D181" s="92" t="str">
        <f>IFERROR(
IF(AND(OR(Planilla!B181="C",Planilla!B181="c"), VLOOKUP(E181,EX:FJ,13,0)="C"), "OK",IF(AND(OR(Planilla!B181="C",Planilla!B181="c"), OR(VLOOKUP(E181,EX:FJ,13,0)="B", VLOOKUP(E181,EX:FJ,13,0)="A")), "DEFICIT",IF(
AND(OR(Planilla!B181="B", Planilla!B181="BPAL"), VLOOKUP(E181,EX:FJ,13,0)="B"), "OK",IF(AND(OR(Planilla!B181="B", Planilla!B181="BPAL"), VLOOKUP(E181,EX:FJ,13,0)="A"), "DEFICIT",IF(AND(OR(Planilla!B181="B", Planilla!B181="BPAL"), VLOOKUP(E181,EX:FJ,13,0)="C"), "SOBREOFERTA",IF(AND(Planilla!B181="A", VLOOKUP(E181,EX:FJ,13,0)="A"), "OK",IF(
AND(Planilla!B181="A", OR(VLOOKUP(E181,EX:FJ,13,0)="B", VLOOKUP(E181,EX:FJ,13,0)="C")), "SOBREOFERTA",""
))))))),"")</f>
        <v/>
      </c>
      <c r="E181" s="12"/>
      <c r="F181" s="13"/>
      <c r="G181" s="14"/>
      <c r="H181" s="81" t="str">
        <f t="shared" si="63"/>
        <v/>
      </c>
      <c r="I181" s="7"/>
      <c r="J181" s="6" t="e">
        <f t="shared" si="64"/>
        <v>#N/A</v>
      </c>
      <c r="K181" s="6" t="str">
        <f>IF(A182&lt;&gt;A181,AVERAGEIF(A$9:A181,A181,J$9:J181),"")</f>
        <v/>
      </c>
      <c r="L181" s="7" t="str">
        <f>IFERROR(IF(A182&lt;&gt;A181,AVERAGEIF(A$9:A181,A181,S$9:S181),""),"")</f>
        <v/>
      </c>
      <c r="M181" s="7" t="str">
        <f>IFERROR(IF(A182&lt;&gt;A181,AVERAGEIF(A$9:A181,A181,T$9:T181),""),"")</f>
        <v/>
      </c>
      <c r="N181" s="7" t="str" cm="1">
        <f t="array" ref="N181">IFERROR(IF(A182&lt;&gt;A181,_xlfn.STDEV.P(IF(A$9:A181=A181,T$9:T181)),""),"")</f>
        <v/>
      </c>
      <c r="O181" s="7" t="str" cm="1">
        <f t="array" ref="O181">IFERROR(IF(A182&lt;&gt;A181,_xlfn.STDEV.P(IF(A$9:A181=A181,S$9:S181)),""),"")</f>
        <v/>
      </c>
      <c r="P181" s="8" t="str">
        <f t="shared" si="65"/>
        <v/>
      </c>
      <c r="Q181" s="8" t="str">
        <f t="shared" si="66"/>
        <v/>
      </c>
      <c r="R181" s="8" t="str">
        <f t="shared" si="67"/>
        <v/>
      </c>
      <c r="S181" s="9" t="str">
        <f t="shared" si="68"/>
        <v/>
      </c>
      <c r="T181" s="9" t="str">
        <f t="shared" si="69"/>
        <v/>
      </c>
      <c r="U181" s="14"/>
      <c r="V181" s="15"/>
      <c r="W181" s="14" t="str">
        <f t="shared" si="70"/>
        <v/>
      </c>
      <c r="X181" s="15"/>
      <c r="Y181" s="2"/>
      <c r="AB181" s="22">
        <f t="shared" si="71"/>
        <v>1</v>
      </c>
      <c r="AC181" s="11"/>
      <c r="AD181" s="11"/>
      <c r="AE181" s="13"/>
      <c r="AF181" s="12"/>
      <c r="AG181" s="13"/>
      <c r="AH181" s="14"/>
      <c r="AI181" s="81" t="str">
        <f t="shared" si="72"/>
        <v/>
      </c>
      <c r="AJ181" s="15"/>
      <c r="AK181" s="6" t="e">
        <f t="shared" si="73"/>
        <v>#N/A</v>
      </c>
      <c r="AL181" s="6" t="str">
        <f>IF(AB182&lt;&gt;AB181,AVERAGEIF(AB$9:AB181,AB181,AK$9:AK181),"")</f>
        <v/>
      </c>
      <c r="AM181" s="7" t="str">
        <f>IFERROR(IF(AB182&lt;&gt;AB181,AVERAGEIF(AB$9:AB181,AB181,AT$9:AT181),""),"")</f>
        <v/>
      </c>
      <c r="AN181" s="7" t="str">
        <f>IFERROR(IF(AB182&lt;&gt;AB181,AVERAGEIF(AB$9:AB181,AB181,AU$9:AU181),""),"")</f>
        <v/>
      </c>
      <c r="AO181" s="7" t="str" cm="1">
        <f t="array" ref="AO181">IFERROR(IF(AB182&lt;&gt;AB181,_xlfn.STDEV.P(IF(AB$9:AB181=AB181,AU$9:AU181)),""),"")</f>
        <v/>
      </c>
      <c r="AP181" s="7" t="str" cm="1">
        <f t="array" ref="AP181">IFERROR(IF(AB182&lt;&gt;AB181,_xlfn.STDEV.P(IF(AB$9:AB181=AB181,AT$9:AT181)),""),"")</f>
        <v/>
      </c>
      <c r="AQ181" s="8" t="str">
        <f t="shared" si="74"/>
        <v/>
      </c>
      <c r="AR181" s="8" t="str">
        <f t="shared" si="75"/>
        <v/>
      </c>
      <c r="AS181" s="8" t="str">
        <f t="shared" si="76"/>
        <v/>
      </c>
      <c r="AT181" s="9" t="str">
        <f t="shared" si="77"/>
        <v/>
      </c>
      <c r="AU181" s="9" t="str">
        <f t="shared" si="78"/>
        <v/>
      </c>
      <c r="AV181" s="14"/>
      <c r="AW181" s="15"/>
      <c r="AX181" s="14" t="str">
        <f t="shared" si="79"/>
        <v/>
      </c>
      <c r="AY181" s="15"/>
      <c r="AZ181" s="23"/>
      <c r="EW181" t="s">
        <v>46</v>
      </c>
      <c r="EX181" s="33">
        <v>1228</v>
      </c>
      <c r="EY181" s="33" t="s">
        <v>517</v>
      </c>
      <c r="EZ181" s="33">
        <v>508224</v>
      </c>
      <c r="FA181" s="33" t="s">
        <v>51</v>
      </c>
      <c r="FB181" s="33" t="s">
        <v>473</v>
      </c>
      <c r="FC181" s="33" t="s">
        <v>53</v>
      </c>
      <c r="FD181" s="33" t="s">
        <v>476</v>
      </c>
      <c r="FE181" s="33">
        <v>2020</v>
      </c>
      <c r="FF181" s="33" t="s">
        <v>474</v>
      </c>
      <c r="FG181" s="33" t="s">
        <v>470</v>
      </c>
      <c r="FH181" s="33" t="s">
        <v>471</v>
      </c>
      <c r="FI181" s="33" t="s">
        <v>467</v>
      </c>
      <c r="FJ181" t="s">
        <v>474</v>
      </c>
      <c r="FM181" s="32" t="s">
        <v>510</v>
      </c>
      <c r="FN181" t="s">
        <v>511</v>
      </c>
      <c r="FO181" t="s">
        <v>512</v>
      </c>
      <c r="FP181" t="str">
        <f t="shared" si="61"/>
        <v>B</v>
      </c>
      <c r="GU181" s="53">
        <v>178</v>
      </c>
      <c r="GV181" s="53">
        <v>175</v>
      </c>
    </row>
    <row r="182" spans="1:204" ht="15.5" x14ac:dyDescent="0.35">
      <c r="A182" s="95">
        <f t="shared" si="62"/>
        <v>1</v>
      </c>
      <c r="B182" s="11"/>
      <c r="C182" s="11"/>
      <c r="D182" s="92" t="str">
        <f>IFERROR(
IF(AND(OR(Planilla!B182="C",Planilla!B182="c"), VLOOKUP(E182,EX:FJ,13,0)="C"), "OK",IF(AND(OR(Planilla!B182="C",Planilla!B182="c"), OR(VLOOKUP(E182,EX:FJ,13,0)="B", VLOOKUP(E182,EX:FJ,13,0)="A")), "DEFICIT",IF(
AND(OR(Planilla!B182="B", Planilla!B182="BPAL"), VLOOKUP(E182,EX:FJ,13,0)="B"), "OK",IF(AND(OR(Planilla!B182="B", Planilla!B182="BPAL"), VLOOKUP(E182,EX:FJ,13,0)="A"), "DEFICIT",IF(AND(OR(Planilla!B182="B", Planilla!B182="BPAL"), VLOOKUP(E182,EX:FJ,13,0)="C"), "SOBREOFERTA",IF(AND(Planilla!B182="A", VLOOKUP(E182,EX:FJ,13,0)="A"), "OK",IF(
AND(Planilla!B182="A", OR(VLOOKUP(E182,EX:FJ,13,0)="B", VLOOKUP(E182,EX:FJ,13,0)="C")), "SOBREOFERTA",""
))))))),"")</f>
        <v/>
      </c>
      <c r="E182" s="12"/>
      <c r="F182" s="13"/>
      <c r="G182" s="14"/>
      <c r="H182" s="81" t="str">
        <f t="shared" si="63"/>
        <v/>
      </c>
      <c r="I182" s="7"/>
      <c r="J182" s="6" t="e">
        <f t="shared" si="64"/>
        <v>#N/A</v>
      </c>
      <c r="K182" s="6" t="str">
        <f>IF(A183&lt;&gt;A182,AVERAGEIF(A$9:A182,A182,J$9:J182),"")</f>
        <v/>
      </c>
      <c r="L182" s="7" t="str">
        <f>IFERROR(IF(A183&lt;&gt;A182,AVERAGEIF(A$9:A182,A182,S$9:S182),""),"")</f>
        <v/>
      </c>
      <c r="M182" s="7" t="str">
        <f>IFERROR(IF(A183&lt;&gt;A182,AVERAGEIF(A$9:A182,A182,T$9:T182),""),"")</f>
        <v/>
      </c>
      <c r="N182" s="7" t="str" cm="1">
        <f t="array" ref="N182">IFERROR(IF(A183&lt;&gt;A182,_xlfn.STDEV.P(IF(A$9:A182=A182,T$9:T182)),""),"")</f>
        <v/>
      </c>
      <c r="O182" s="7" t="str" cm="1">
        <f t="array" ref="O182">IFERROR(IF(A183&lt;&gt;A182,_xlfn.STDEV.P(IF(A$9:A182=A182,S$9:S182)),""),"")</f>
        <v/>
      </c>
      <c r="P182" s="8" t="str">
        <f t="shared" si="65"/>
        <v/>
      </c>
      <c r="Q182" s="8" t="str">
        <f t="shared" si="66"/>
        <v/>
      </c>
      <c r="R182" s="8" t="str">
        <f t="shared" si="67"/>
        <v/>
      </c>
      <c r="S182" s="9" t="str">
        <f t="shared" si="68"/>
        <v/>
      </c>
      <c r="T182" s="9" t="str">
        <f t="shared" si="69"/>
        <v/>
      </c>
      <c r="U182" s="14"/>
      <c r="V182" s="15"/>
      <c r="W182" s="14" t="str">
        <f t="shared" si="70"/>
        <v/>
      </c>
      <c r="X182" s="15"/>
      <c r="Y182" s="2"/>
      <c r="AB182" s="22">
        <f t="shared" si="71"/>
        <v>1</v>
      </c>
      <c r="AC182" s="11"/>
      <c r="AD182" s="11"/>
      <c r="AE182" s="13"/>
      <c r="AF182" s="12"/>
      <c r="AG182" s="13"/>
      <c r="AH182" s="14"/>
      <c r="AI182" s="81" t="str">
        <f t="shared" si="72"/>
        <v/>
      </c>
      <c r="AJ182" s="15"/>
      <c r="AK182" s="6" t="e">
        <f t="shared" si="73"/>
        <v>#N/A</v>
      </c>
      <c r="AL182" s="6" t="str">
        <f>IF(AB183&lt;&gt;AB182,AVERAGEIF(AB$9:AB182,AB182,AK$9:AK182),"")</f>
        <v/>
      </c>
      <c r="AM182" s="7" t="str">
        <f>IFERROR(IF(AB183&lt;&gt;AB182,AVERAGEIF(AB$9:AB182,AB182,AT$9:AT182),""),"")</f>
        <v/>
      </c>
      <c r="AN182" s="7" t="str">
        <f>IFERROR(IF(AB183&lt;&gt;AB182,AVERAGEIF(AB$9:AB182,AB182,AU$9:AU182),""),"")</f>
        <v/>
      </c>
      <c r="AO182" s="7" t="str" cm="1">
        <f t="array" ref="AO182">IFERROR(IF(AB183&lt;&gt;AB182,_xlfn.STDEV.P(IF(AB$9:AB182=AB182,AU$9:AU182)),""),"")</f>
        <v/>
      </c>
      <c r="AP182" s="7" t="str" cm="1">
        <f t="array" ref="AP182">IFERROR(IF(AB183&lt;&gt;AB182,_xlfn.STDEV.P(IF(AB$9:AB182=AB182,AT$9:AT182)),""),"")</f>
        <v/>
      </c>
      <c r="AQ182" s="8" t="str">
        <f t="shared" si="74"/>
        <v/>
      </c>
      <c r="AR182" s="8" t="str">
        <f t="shared" si="75"/>
        <v/>
      </c>
      <c r="AS182" s="8" t="str">
        <f t="shared" si="76"/>
        <v/>
      </c>
      <c r="AT182" s="9" t="str">
        <f t="shared" si="77"/>
        <v/>
      </c>
      <c r="AU182" s="9" t="str">
        <f t="shared" si="78"/>
        <v/>
      </c>
      <c r="AV182" s="14"/>
      <c r="AW182" s="15"/>
      <c r="AX182" s="14" t="str">
        <f t="shared" si="79"/>
        <v/>
      </c>
      <c r="AY182" s="15"/>
      <c r="AZ182" s="23"/>
      <c r="EW182" t="s">
        <v>46</v>
      </c>
      <c r="EX182" s="33">
        <v>1175</v>
      </c>
      <c r="EY182" s="33" t="s">
        <v>518</v>
      </c>
      <c r="EZ182" s="33">
        <v>508615</v>
      </c>
      <c r="FA182" s="33" t="s">
        <v>51</v>
      </c>
      <c r="FB182" s="33" t="s">
        <v>473</v>
      </c>
      <c r="FC182" s="33" t="s">
        <v>53</v>
      </c>
      <c r="FD182" s="33" t="s">
        <v>476</v>
      </c>
      <c r="FE182" s="33">
        <v>2020</v>
      </c>
      <c r="FF182" s="33" t="s">
        <v>474</v>
      </c>
      <c r="FG182" s="33" t="s">
        <v>477</v>
      </c>
      <c r="FH182" s="33" t="s">
        <v>478</v>
      </c>
      <c r="FI182" s="33" t="s">
        <v>479</v>
      </c>
      <c r="FJ182" t="s">
        <v>474</v>
      </c>
      <c r="FM182" s="32" t="s">
        <v>519</v>
      </c>
      <c r="FN182" t="s">
        <v>520</v>
      </c>
      <c r="FO182" t="s">
        <v>521</v>
      </c>
      <c r="FP182" t="str">
        <f t="shared" si="61"/>
        <v>B</v>
      </c>
      <c r="GU182" s="53">
        <v>179</v>
      </c>
      <c r="GV182" s="53">
        <v>176</v>
      </c>
    </row>
    <row r="183" spans="1:204" ht="15.5" x14ac:dyDescent="0.35">
      <c r="A183" s="95">
        <f t="shared" si="62"/>
        <v>1</v>
      </c>
      <c r="B183" s="11"/>
      <c r="C183" s="11"/>
      <c r="D183" s="92" t="str">
        <f>IFERROR(
IF(AND(OR(Planilla!B183="C",Planilla!B183="c"), VLOOKUP(E183,EX:FJ,13,0)="C"), "OK",IF(AND(OR(Planilla!B183="C",Planilla!B183="c"), OR(VLOOKUP(E183,EX:FJ,13,0)="B", VLOOKUP(E183,EX:FJ,13,0)="A")), "DEFICIT",IF(
AND(OR(Planilla!B183="B", Planilla!B183="BPAL"), VLOOKUP(E183,EX:FJ,13,0)="B"), "OK",IF(AND(OR(Planilla!B183="B", Planilla!B183="BPAL"), VLOOKUP(E183,EX:FJ,13,0)="A"), "DEFICIT",IF(AND(OR(Planilla!B183="B", Planilla!B183="BPAL"), VLOOKUP(E183,EX:FJ,13,0)="C"), "SOBREOFERTA",IF(AND(Planilla!B183="A", VLOOKUP(E183,EX:FJ,13,0)="A"), "OK",IF(
AND(Planilla!B183="A", OR(VLOOKUP(E183,EX:FJ,13,0)="B", VLOOKUP(E183,EX:FJ,13,0)="C")), "SOBREOFERTA",""
))))))),"")</f>
        <v/>
      </c>
      <c r="E183" s="12"/>
      <c r="F183" s="13"/>
      <c r="G183" s="14"/>
      <c r="H183" s="81" t="str">
        <f t="shared" si="63"/>
        <v/>
      </c>
      <c r="I183" s="7"/>
      <c r="J183" s="6" t="e">
        <f t="shared" si="64"/>
        <v>#N/A</v>
      </c>
      <c r="K183" s="6" t="str">
        <f>IF(A184&lt;&gt;A183,AVERAGEIF(A$9:A183,A183,J$9:J183),"")</f>
        <v/>
      </c>
      <c r="L183" s="7" t="str">
        <f>IFERROR(IF(A184&lt;&gt;A183,AVERAGEIF(A$9:A183,A183,S$9:S183),""),"")</f>
        <v/>
      </c>
      <c r="M183" s="7" t="str">
        <f>IFERROR(IF(A184&lt;&gt;A183,AVERAGEIF(A$9:A183,A183,T$9:T183),""),"")</f>
        <v/>
      </c>
      <c r="N183" s="7" t="str" cm="1">
        <f t="array" ref="N183">IFERROR(IF(A184&lt;&gt;A183,_xlfn.STDEV.P(IF(A$9:A183=A183,T$9:T183)),""),"")</f>
        <v/>
      </c>
      <c r="O183" s="7" t="str" cm="1">
        <f t="array" ref="O183">IFERROR(IF(A184&lt;&gt;A183,_xlfn.STDEV.P(IF(A$9:A183=A183,S$9:S183)),""),"")</f>
        <v/>
      </c>
      <c r="P183" s="8" t="str">
        <f t="shared" si="65"/>
        <v/>
      </c>
      <c r="Q183" s="8" t="str">
        <f t="shared" si="66"/>
        <v/>
      </c>
      <c r="R183" s="8" t="str">
        <f t="shared" si="67"/>
        <v/>
      </c>
      <c r="S183" s="9" t="str">
        <f t="shared" si="68"/>
        <v/>
      </c>
      <c r="T183" s="9" t="str">
        <f t="shared" si="69"/>
        <v/>
      </c>
      <c r="U183" s="14"/>
      <c r="V183" s="15"/>
      <c r="W183" s="14" t="str">
        <f t="shared" si="70"/>
        <v/>
      </c>
      <c r="X183" s="15"/>
      <c r="Y183" s="2"/>
      <c r="AB183" s="22">
        <f t="shared" si="71"/>
        <v>1</v>
      </c>
      <c r="AC183" s="11"/>
      <c r="AD183" s="11"/>
      <c r="AE183" s="13"/>
      <c r="AF183" s="12"/>
      <c r="AG183" s="13"/>
      <c r="AH183" s="14"/>
      <c r="AI183" s="81" t="str">
        <f t="shared" si="72"/>
        <v/>
      </c>
      <c r="AJ183" s="15"/>
      <c r="AK183" s="6" t="e">
        <f t="shared" si="73"/>
        <v>#N/A</v>
      </c>
      <c r="AL183" s="6" t="str">
        <f>IF(AB184&lt;&gt;AB183,AVERAGEIF(AB$9:AB183,AB183,AK$9:AK183),"")</f>
        <v/>
      </c>
      <c r="AM183" s="7" t="str">
        <f>IFERROR(IF(AB184&lt;&gt;AB183,AVERAGEIF(AB$9:AB183,AB183,AT$9:AT183),""),"")</f>
        <v/>
      </c>
      <c r="AN183" s="7" t="str">
        <f>IFERROR(IF(AB184&lt;&gt;AB183,AVERAGEIF(AB$9:AB183,AB183,AU$9:AU183),""),"")</f>
        <v/>
      </c>
      <c r="AO183" s="7" t="str" cm="1">
        <f t="array" ref="AO183">IFERROR(IF(AB184&lt;&gt;AB183,_xlfn.STDEV.P(IF(AB$9:AB183=AB183,AU$9:AU183)),""),"")</f>
        <v/>
      </c>
      <c r="AP183" s="7" t="str" cm="1">
        <f t="array" ref="AP183">IFERROR(IF(AB184&lt;&gt;AB183,_xlfn.STDEV.P(IF(AB$9:AB183=AB183,AT$9:AT183)),""),"")</f>
        <v/>
      </c>
      <c r="AQ183" s="8" t="str">
        <f t="shared" si="74"/>
        <v/>
      </c>
      <c r="AR183" s="8" t="str">
        <f t="shared" si="75"/>
        <v/>
      </c>
      <c r="AS183" s="8" t="str">
        <f t="shared" si="76"/>
        <v/>
      </c>
      <c r="AT183" s="9" t="str">
        <f t="shared" si="77"/>
        <v/>
      </c>
      <c r="AU183" s="9" t="str">
        <f t="shared" si="78"/>
        <v/>
      </c>
      <c r="AV183" s="14"/>
      <c r="AW183" s="15"/>
      <c r="AX183" s="14" t="str">
        <f t="shared" si="79"/>
        <v/>
      </c>
      <c r="AY183" s="15"/>
      <c r="AZ183" s="23"/>
      <c r="EW183" t="s">
        <v>46</v>
      </c>
      <c r="EX183" s="33">
        <v>1229</v>
      </c>
      <c r="EY183" s="33" t="s">
        <v>522</v>
      </c>
      <c r="EZ183" s="33">
        <v>508569</v>
      </c>
      <c r="FA183" s="33" t="s">
        <v>51</v>
      </c>
      <c r="FB183" s="33" t="s">
        <v>473</v>
      </c>
      <c r="FC183" s="33" t="s">
        <v>53</v>
      </c>
      <c r="FD183" s="33" t="s">
        <v>476</v>
      </c>
      <c r="FE183" s="33">
        <v>2020</v>
      </c>
      <c r="FF183" s="33" t="s">
        <v>474</v>
      </c>
      <c r="FG183" s="33" t="s">
        <v>470</v>
      </c>
      <c r="FH183" s="33" t="s">
        <v>471</v>
      </c>
      <c r="FI183" s="33" t="s">
        <v>467</v>
      </c>
      <c r="FJ183" t="s">
        <v>474</v>
      </c>
      <c r="FM183" s="32" t="s">
        <v>519</v>
      </c>
      <c r="FN183" t="s">
        <v>520</v>
      </c>
      <c r="FO183" t="s">
        <v>521</v>
      </c>
      <c r="FP183" t="str">
        <f t="shared" si="61"/>
        <v>B</v>
      </c>
      <c r="GU183" s="53">
        <v>180</v>
      </c>
      <c r="GV183" s="53">
        <v>177</v>
      </c>
    </row>
    <row r="184" spans="1:204" ht="15.5" x14ac:dyDescent="0.35">
      <c r="A184" s="95">
        <f t="shared" si="62"/>
        <v>1</v>
      </c>
      <c r="B184" s="11"/>
      <c r="C184" s="11"/>
      <c r="D184" s="92" t="str">
        <f>IFERROR(
IF(AND(OR(Planilla!B184="C",Planilla!B184="c"), VLOOKUP(E184,EX:FJ,13,0)="C"), "OK",IF(AND(OR(Planilla!B184="C",Planilla!B184="c"), OR(VLOOKUP(E184,EX:FJ,13,0)="B", VLOOKUP(E184,EX:FJ,13,0)="A")), "DEFICIT",IF(
AND(OR(Planilla!B184="B", Planilla!B184="BPAL"), VLOOKUP(E184,EX:FJ,13,0)="B"), "OK",IF(AND(OR(Planilla!B184="B", Planilla!B184="BPAL"), VLOOKUP(E184,EX:FJ,13,0)="A"), "DEFICIT",IF(AND(OR(Planilla!B184="B", Planilla!B184="BPAL"), VLOOKUP(E184,EX:FJ,13,0)="C"), "SOBREOFERTA",IF(AND(Planilla!B184="A", VLOOKUP(E184,EX:FJ,13,0)="A"), "OK",IF(
AND(Planilla!B184="A", OR(VLOOKUP(E184,EX:FJ,13,0)="B", VLOOKUP(E184,EX:FJ,13,0)="C")), "SOBREOFERTA",""
))))))),"")</f>
        <v/>
      </c>
      <c r="E184" s="12"/>
      <c r="F184" s="13"/>
      <c r="G184" s="14"/>
      <c r="H184" s="81" t="str">
        <f t="shared" si="63"/>
        <v/>
      </c>
      <c r="I184" s="7"/>
      <c r="J184" s="6" t="e">
        <f t="shared" si="64"/>
        <v>#N/A</v>
      </c>
      <c r="K184" s="6" t="str">
        <f>IF(A185&lt;&gt;A184,AVERAGEIF(A$9:A184,A184,J$9:J184),"")</f>
        <v/>
      </c>
      <c r="L184" s="7" t="str">
        <f>IFERROR(IF(A185&lt;&gt;A184,AVERAGEIF(A$9:A184,A184,S$9:S184),""),"")</f>
        <v/>
      </c>
      <c r="M184" s="7" t="str">
        <f>IFERROR(IF(A185&lt;&gt;A184,AVERAGEIF(A$9:A184,A184,T$9:T184),""),"")</f>
        <v/>
      </c>
      <c r="N184" s="7" t="str" cm="1">
        <f t="array" ref="N184">IFERROR(IF(A185&lt;&gt;A184,_xlfn.STDEV.P(IF(A$9:A184=A184,T$9:T184)),""),"")</f>
        <v/>
      </c>
      <c r="O184" s="7" t="str" cm="1">
        <f t="array" ref="O184">IFERROR(IF(A185&lt;&gt;A184,_xlfn.STDEV.P(IF(A$9:A184=A184,S$9:S184)),""),"")</f>
        <v/>
      </c>
      <c r="P184" s="8" t="str">
        <f t="shared" si="65"/>
        <v/>
      </c>
      <c r="Q184" s="8" t="str">
        <f t="shared" si="66"/>
        <v/>
      </c>
      <c r="R184" s="8" t="str">
        <f t="shared" si="67"/>
        <v/>
      </c>
      <c r="S184" s="9" t="str">
        <f t="shared" si="68"/>
        <v/>
      </c>
      <c r="T184" s="9" t="str">
        <f t="shared" si="69"/>
        <v/>
      </c>
      <c r="U184" s="14"/>
      <c r="V184" s="15"/>
      <c r="W184" s="14" t="str">
        <f t="shared" si="70"/>
        <v/>
      </c>
      <c r="X184" s="15"/>
      <c r="Y184" s="2"/>
      <c r="AB184" s="22">
        <f t="shared" si="71"/>
        <v>1</v>
      </c>
      <c r="AC184" s="11"/>
      <c r="AD184" s="11"/>
      <c r="AE184" s="13"/>
      <c r="AF184" s="12"/>
      <c r="AG184" s="13"/>
      <c r="AH184" s="14"/>
      <c r="AI184" s="81" t="str">
        <f t="shared" si="72"/>
        <v/>
      </c>
      <c r="AJ184" s="15"/>
      <c r="AK184" s="6" t="e">
        <f t="shared" si="73"/>
        <v>#N/A</v>
      </c>
      <c r="AL184" s="6" t="str">
        <f>IF(AB185&lt;&gt;AB184,AVERAGEIF(AB$9:AB184,AB184,AK$9:AK184),"")</f>
        <v/>
      </c>
      <c r="AM184" s="7" t="str">
        <f>IFERROR(IF(AB185&lt;&gt;AB184,AVERAGEIF(AB$9:AB184,AB184,AT$9:AT184),""),"")</f>
        <v/>
      </c>
      <c r="AN184" s="7" t="str">
        <f>IFERROR(IF(AB185&lt;&gt;AB184,AVERAGEIF(AB$9:AB184,AB184,AU$9:AU184),""),"")</f>
        <v/>
      </c>
      <c r="AO184" s="7" t="str" cm="1">
        <f t="array" ref="AO184">IFERROR(IF(AB185&lt;&gt;AB184,_xlfn.STDEV.P(IF(AB$9:AB184=AB184,AU$9:AU184)),""),"")</f>
        <v/>
      </c>
      <c r="AP184" s="7" t="str" cm="1">
        <f t="array" ref="AP184">IFERROR(IF(AB185&lt;&gt;AB184,_xlfn.STDEV.P(IF(AB$9:AB184=AB184,AT$9:AT184)),""),"")</f>
        <v/>
      </c>
      <c r="AQ184" s="8" t="str">
        <f t="shared" si="74"/>
        <v/>
      </c>
      <c r="AR184" s="8" t="str">
        <f t="shared" si="75"/>
        <v/>
      </c>
      <c r="AS184" s="8" t="str">
        <f t="shared" si="76"/>
        <v/>
      </c>
      <c r="AT184" s="9" t="str">
        <f t="shared" si="77"/>
        <v/>
      </c>
      <c r="AU184" s="9" t="str">
        <f t="shared" si="78"/>
        <v/>
      </c>
      <c r="AV184" s="14"/>
      <c r="AW184" s="15"/>
      <c r="AX184" s="14" t="str">
        <f t="shared" si="79"/>
        <v/>
      </c>
      <c r="AY184" s="15"/>
      <c r="AZ184" s="23"/>
      <c r="EW184" t="s">
        <v>46</v>
      </c>
      <c r="EX184" s="33">
        <v>1176</v>
      </c>
      <c r="EY184" s="33" t="s">
        <v>523</v>
      </c>
      <c r="EZ184" s="33">
        <v>508297</v>
      </c>
      <c r="FA184" s="33" t="s">
        <v>51</v>
      </c>
      <c r="FB184" s="33" t="s">
        <v>473</v>
      </c>
      <c r="FC184" s="33" t="s">
        <v>53</v>
      </c>
      <c r="FD184" s="33" t="s">
        <v>476</v>
      </c>
      <c r="FE184" s="33">
        <v>2020</v>
      </c>
      <c r="FF184" s="33" t="s">
        <v>474</v>
      </c>
      <c r="FG184" s="33" t="s">
        <v>477</v>
      </c>
      <c r="FH184" s="33" t="s">
        <v>478</v>
      </c>
      <c r="FI184" s="33" t="s">
        <v>479</v>
      </c>
      <c r="FJ184" t="s">
        <v>474</v>
      </c>
      <c r="FM184" s="32" t="s">
        <v>519</v>
      </c>
      <c r="FN184" t="s">
        <v>520</v>
      </c>
      <c r="FO184" t="s">
        <v>521</v>
      </c>
      <c r="FP184" t="str">
        <f t="shared" si="61"/>
        <v>B</v>
      </c>
      <c r="GU184" s="53">
        <v>181</v>
      </c>
      <c r="GV184" s="53">
        <v>178</v>
      </c>
    </row>
    <row r="185" spans="1:204" ht="15.5" x14ac:dyDescent="0.35">
      <c r="A185" s="95">
        <f t="shared" si="62"/>
        <v>1</v>
      </c>
      <c r="B185" s="11"/>
      <c r="C185" s="11"/>
      <c r="D185" s="92" t="str">
        <f>IFERROR(
IF(AND(OR(Planilla!B185="C",Planilla!B185="c"), VLOOKUP(E185,EX:FJ,13,0)="C"), "OK",IF(AND(OR(Planilla!B185="C",Planilla!B185="c"), OR(VLOOKUP(E185,EX:FJ,13,0)="B", VLOOKUP(E185,EX:FJ,13,0)="A")), "DEFICIT",IF(
AND(OR(Planilla!B185="B", Planilla!B185="BPAL"), VLOOKUP(E185,EX:FJ,13,0)="B"), "OK",IF(AND(OR(Planilla!B185="B", Planilla!B185="BPAL"), VLOOKUP(E185,EX:FJ,13,0)="A"), "DEFICIT",IF(AND(OR(Planilla!B185="B", Planilla!B185="BPAL"), VLOOKUP(E185,EX:FJ,13,0)="C"), "SOBREOFERTA",IF(AND(Planilla!B185="A", VLOOKUP(E185,EX:FJ,13,0)="A"), "OK",IF(
AND(Planilla!B185="A", OR(VLOOKUP(E185,EX:FJ,13,0)="B", VLOOKUP(E185,EX:FJ,13,0)="C")), "SOBREOFERTA",""
))))))),"")</f>
        <v/>
      </c>
      <c r="E185" s="12"/>
      <c r="F185" s="13"/>
      <c r="G185" s="14"/>
      <c r="H185" s="81" t="str">
        <f t="shared" si="63"/>
        <v/>
      </c>
      <c r="I185" s="7"/>
      <c r="J185" s="6" t="e">
        <f t="shared" si="64"/>
        <v>#N/A</v>
      </c>
      <c r="K185" s="6" t="str">
        <f>IF(A186&lt;&gt;A185,AVERAGEIF(A$9:A185,A185,J$9:J185),"")</f>
        <v/>
      </c>
      <c r="L185" s="7" t="str">
        <f>IFERROR(IF(A186&lt;&gt;A185,AVERAGEIF(A$9:A185,A185,S$9:S185),""),"")</f>
        <v/>
      </c>
      <c r="M185" s="7" t="str">
        <f>IFERROR(IF(A186&lt;&gt;A185,AVERAGEIF(A$9:A185,A185,T$9:T185),""),"")</f>
        <v/>
      </c>
      <c r="N185" s="7" t="str" cm="1">
        <f t="array" ref="N185">IFERROR(IF(A186&lt;&gt;A185,_xlfn.STDEV.P(IF(A$9:A185=A185,T$9:T185)),""),"")</f>
        <v/>
      </c>
      <c r="O185" s="7" t="str" cm="1">
        <f t="array" ref="O185">IFERROR(IF(A186&lt;&gt;A185,_xlfn.STDEV.P(IF(A$9:A185=A185,S$9:S185)),""),"")</f>
        <v/>
      </c>
      <c r="P185" s="8" t="str">
        <f t="shared" si="65"/>
        <v/>
      </c>
      <c r="Q185" s="8" t="str">
        <f t="shared" si="66"/>
        <v/>
      </c>
      <c r="R185" s="8" t="str">
        <f t="shared" si="67"/>
        <v/>
      </c>
      <c r="S185" s="9" t="str">
        <f t="shared" si="68"/>
        <v/>
      </c>
      <c r="T185" s="9" t="str">
        <f t="shared" si="69"/>
        <v/>
      </c>
      <c r="U185" s="14"/>
      <c r="V185" s="15"/>
      <c r="W185" s="14" t="str">
        <f t="shared" si="70"/>
        <v/>
      </c>
      <c r="X185" s="15"/>
      <c r="Y185" s="2"/>
      <c r="AB185" s="22">
        <f t="shared" si="71"/>
        <v>1</v>
      </c>
      <c r="AC185" s="11"/>
      <c r="AD185" s="11"/>
      <c r="AE185" s="13"/>
      <c r="AF185" s="12"/>
      <c r="AG185" s="13"/>
      <c r="AH185" s="14"/>
      <c r="AI185" s="81" t="str">
        <f t="shared" si="72"/>
        <v/>
      </c>
      <c r="AJ185" s="15"/>
      <c r="AK185" s="6" t="e">
        <f t="shared" si="73"/>
        <v>#N/A</v>
      </c>
      <c r="AL185" s="6" t="str">
        <f>IF(AB186&lt;&gt;AB185,AVERAGEIF(AB$9:AB185,AB185,AK$9:AK185),"")</f>
        <v/>
      </c>
      <c r="AM185" s="7" t="str">
        <f>IFERROR(IF(AB186&lt;&gt;AB185,AVERAGEIF(AB$9:AB185,AB185,AT$9:AT185),""),"")</f>
        <v/>
      </c>
      <c r="AN185" s="7" t="str">
        <f>IFERROR(IF(AB186&lt;&gt;AB185,AVERAGEIF(AB$9:AB185,AB185,AU$9:AU185),""),"")</f>
        <v/>
      </c>
      <c r="AO185" s="7" t="str" cm="1">
        <f t="array" ref="AO185">IFERROR(IF(AB186&lt;&gt;AB185,_xlfn.STDEV.P(IF(AB$9:AB185=AB185,AU$9:AU185)),""),"")</f>
        <v/>
      </c>
      <c r="AP185" s="7" t="str" cm="1">
        <f t="array" ref="AP185">IFERROR(IF(AB186&lt;&gt;AB185,_xlfn.STDEV.P(IF(AB$9:AB185=AB185,AT$9:AT185)),""),"")</f>
        <v/>
      </c>
      <c r="AQ185" s="8" t="str">
        <f t="shared" si="74"/>
        <v/>
      </c>
      <c r="AR185" s="8" t="str">
        <f t="shared" si="75"/>
        <v/>
      </c>
      <c r="AS185" s="8" t="str">
        <f t="shared" si="76"/>
        <v/>
      </c>
      <c r="AT185" s="9" t="str">
        <f t="shared" si="77"/>
        <v/>
      </c>
      <c r="AU185" s="9" t="str">
        <f t="shared" si="78"/>
        <v/>
      </c>
      <c r="AV185" s="14"/>
      <c r="AW185" s="15"/>
      <c r="AX185" s="14" t="str">
        <f t="shared" si="79"/>
        <v/>
      </c>
      <c r="AY185" s="15"/>
      <c r="AZ185" s="23"/>
      <c r="EW185" t="s">
        <v>46</v>
      </c>
      <c r="EX185" s="33">
        <v>1177</v>
      </c>
      <c r="EY185" s="33" t="s">
        <v>524</v>
      </c>
      <c r="EZ185" s="33">
        <v>508303</v>
      </c>
      <c r="FA185" s="33" t="s">
        <v>51</v>
      </c>
      <c r="FB185" s="33" t="s">
        <v>473</v>
      </c>
      <c r="FC185" s="33" t="s">
        <v>53</v>
      </c>
      <c r="FD185" s="33" t="s">
        <v>476</v>
      </c>
      <c r="FE185" s="33">
        <v>2020</v>
      </c>
      <c r="FF185" s="33" t="s">
        <v>474</v>
      </c>
      <c r="FG185" s="33" t="s">
        <v>477</v>
      </c>
      <c r="FH185" s="33" t="s">
        <v>478</v>
      </c>
      <c r="FI185" s="33" t="s">
        <v>479</v>
      </c>
      <c r="FJ185" t="s">
        <v>474</v>
      </c>
      <c r="FM185" s="32" t="s">
        <v>519</v>
      </c>
      <c r="FN185" t="s">
        <v>520</v>
      </c>
      <c r="FO185" t="s">
        <v>521</v>
      </c>
      <c r="FP185" t="str">
        <f t="shared" si="61"/>
        <v>B</v>
      </c>
      <c r="GU185" s="53">
        <v>182</v>
      </c>
      <c r="GV185" s="53">
        <v>179</v>
      </c>
    </row>
    <row r="186" spans="1:204" ht="15.5" x14ac:dyDescent="0.35">
      <c r="A186" s="95">
        <f t="shared" si="62"/>
        <v>1</v>
      </c>
      <c r="B186" s="11"/>
      <c r="C186" s="11"/>
      <c r="D186" s="92" t="str">
        <f>IFERROR(
IF(AND(OR(Planilla!B186="C",Planilla!B186="c"), VLOOKUP(E186,EX:FJ,13,0)="C"), "OK",IF(AND(OR(Planilla!B186="C",Planilla!B186="c"), OR(VLOOKUP(E186,EX:FJ,13,0)="B", VLOOKUP(E186,EX:FJ,13,0)="A")), "DEFICIT",IF(
AND(OR(Planilla!B186="B", Planilla!B186="BPAL"), VLOOKUP(E186,EX:FJ,13,0)="B"), "OK",IF(AND(OR(Planilla!B186="B", Planilla!B186="BPAL"), VLOOKUP(E186,EX:FJ,13,0)="A"), "DEFICIT",IF(AND(OR(Planilla!B186="B", Planilla!B186="BPAL"), VLOOKUP(E186,EX:FJ,13,0)="C"), "SOBREOFERTA",IF(AND(Planilla!B186="A", VLOOKUP(E186,EX:FJ,13,0)="A"), "OK",IF(
AND(Planilla!B186="A", OR(VLOOKUP(E186,EX:FJ,13,0)="B", VLOOKUP(E186,EX:FJ,13,0)="C")), "SOBREOFERTA",""
))))))),"")</f>
        <v/>
      </c>
      <c r="E186" s="12"/>
      <c r="F186" s="13"/>
      <c r="G186" s="14"/>
      <c r="H186" s="81" t="str">
        <f t="shared" si="63"/>
        <v/>
      </c>
      <c r="I186" s="7"/>
      <c r="J186" s="6" t="e">
        <f t="shared" si="64"/>
        <v>#N/A</v>
      </c>
      <c r="K186" s="6" t="str">
        <f>IF(A187&lt;&gt;A186,AVERAGEIF(A$9:A186,A186,J$9:J186),"")</f>
        <v/>
      </c>
      <c r="L186" s="7" t="str">
        <f>IFERROR(IF(A187&lt;&gt;A186,AVERAGEIF(A$9:A186,A186,S$9:S186),""),"")</f>
        <v/>
      </c>
      <c r="M186" s="7" t="str">
        <f>IFERROR(IF(A187&lt;&gt;A186,AVERAGEIF(A$9:A186,A186,T$9:T186),""),"")</f>
        <v/>
      </c>
      <c r="N186" s="7" t="str" cm="1">
        <f t="array" ref="N186">IFERROR(IF(A187&lt;&gt;A186,_xlfn.STDEV.P(IF(A$9:A186=A186,T$9:T186)),""),"")</f>
        <v/>
      </c>
      <c r="O186" s="7" t="str" cm="1">
        <f t="array" ref="O186">IFERROR(IF(A187&lt;&gt;A186,_xlfn.STDEV.P(IF(A$9:A186=A186,S$9:S186)),""),"")</f>
        <v/>
      </c>
      <c r="P186" s="8" t="str">
        <f t="shared" si="65"/>
        <v/>
      </c>
      <c r="Q186" s="8" t="str">
        <f t="shared" si="66"/>
        <v/>
      </c>
      <c r="R186" s="8" t="str">
        <f t="shared" si="67"/>
        <v/>
      </c>
      <c r="S186" s="9" t="str">
        <f t="shared" si="68"/>
        <v/>
      </c>
      <c r="T186" s="9" t="str">
        <f t="shared" si="69"/>
        <v/>
      </c>
      <c r="U186" s="14"/>
      <c r="V186" s="15"/>
      <c r="W186" s="14" t="str">
        <f t="shared" si="70"/>
        <v/>
      </c>
      <c r="X186" s="15"/>
      <c r="Y186" s="2"/>
      <c r="AB186" s="22">
        <f t="shared" si="71"/>
        <v>1</v>
      </c>
      <c r="AC186" s="11"/>
      <c r="AD186" s="11"/>
      <c r="AE186" s="13"/>
      <c r="AF186" s="12"/>
      <c r="AG186" s="13"/>
      <c r="AH186" s="14"/>
      <c r="AI186" s="81" t="str">
        <f t="shared" si="72"/>
        <v/>
      </c>
      <c r="AJ186" s="15"/>
      <c r="AK186" s="6" t="e">
        <f t="shared" si="73"/>
        <v>#N/A</v>
      </c>
      <c r="AL186" s="6" t="str">
        <f>IF(AB187&lt;&gt;AB186,AVERAGEIF(AB$9:AB186,AB186,AK$9:AK186),"")</f>
        <v/>
      </c>
      <c r="AM186" s="7" t="str">
        <f>IFERROR(IF(AB187&lt;&gt;AB186,AVERAGEIF(AB$9:AB186,AB186,AT$9:AT186),""),"")</f>
        <v/>
      </c>
      <c r="AN186" s="7" t="str">
        <f>IFERROR(IF(AB187&lt;&gt;AB186,AVERAGEIF(AB$9:AB186,AB186,AU$9:AU186),""),"")</f>
        <v/>
      </c>
      <c r="AO186" s="7" t="str" cm="1">
        <f t="array" ref="AO186">IFERROR(IF(AB187&lt;&gt;AB186,_xlfn.STDEV.P(IF(AB$9:AB186=AB186,AU$9:AU186)),""),"")</f>
        <v/>
      </c>
      <c r="AP186" s="7" t="str" cm="1">
        <f t="array" ref="AP186">IFERROR(IF(AB187&lt;&gt;AB186,_xlfn.STDEV.P(IF(AB$9:AB186=AB186,AT$9:AT186)),""),"")</f>
        <v/>
      </c>
      <c r="AQ186" s="8" t="str">
        <f t="shared" si="74"/>
        <v/>
      </c>
      <c r="AR186" s="8" t="str">
        <f t="shared" si="75"/>
        <v/>
      </c>
      <c r="AS186" s="8" t="str">
        <f t="shared" si="76"/>
        <v/>
      </c>
      <c r="AT186" s="9" t="str">
        <f t="shared" si="77"/>
        <v/>
      </c>
      <c r="AU186" s="9" t="str">
        <f t="shared" si="78"/>
        <v/>
      </c>
      <c r="AV186" s="14"/>
      <c r="AW186" s="15"/>
      <c r="AX186" s="14" t="str">
        <f t="shared" si="79"/>
        <v/>
      </c>
      <c r="AY186" s="15"/>
      <c r="AZ186" s="23"/>
      <c r="EW186" t="s">
        <v>46</v>
      </c>
      <c r="EX186" s="33">
        <v>1178</v>
      </c>
      <c r="EY186" s="33" t="s">
        <v>525</v>
      </c>
      <c r="EZ186" s="33">
        <v>508235</v>
      </c>
      <c r="FA186" s="33" t="s">
        <v>51</v>
      </c>
      <c r="FB186" s="33" t="s">
        <v>473</v>
      </c>
      <c r="FC186" s="33" t="s">
        <v>53</v>
      </c>
      <c r="FD186" s="33" t="s">
        <v>476</v>
      </c>
      <c r="FE186" s="33">
        <v>2020</v>
      </c>
      <c r="FF186" s="33" t="s">
        <v>474</v>
      </c>
      <c r="FG186" s="33" t="s">
        <v>477</v>
      </c>
      <c r="FH186" s="33" t="s">
        <v>478</v>
      </c>
      <c r="FI186" s="33" t="s">
        <v>479</v>
      </c>
      <c r="FJ186" t="s">
        <v>474</v>
      </c>
      <c r="FM186" s="32" t="s">
        <v>519</v>
      </c>
      <c r="FN186" t="s">
        <v>520</v>
      </c>
      <c r="FO186" t="s">
        <v>521</v>
      </c>
      <c r="FP186" t="str">
        <f t="shared" si="61"/>
        <v>B</v>
      </c>
      <c r="GU186" s="53">
        <v>183</v>
      </c>
      <c r="GV186" s="53">
        <v>180</v>
      </c>
    </row>
    <row r="187" spans="1:204" ht="15.5" x14ac:dyDescent="0.35">
      <c r="A187" s="95">
        <f t="shared" si="62"/>
        <v>1</v>
      </c>
      <c r="B187" s="11"/>
      <c r="C187" s="11"/>
      <c r="D187" s="92" t="str">
        <f>IFERROR(
IF(AND(OR(Planilla!B187="C",Planilla!B187="c"), VLOOKUP(E187,EX:FJ,13,0)="C"), "OK",IF(AND(OR(Planilla!B187="C",Planilla!B187="c"), OR(VLOOKUP(E187,EX:FJ,13,0)="B", VLOOKUP(E187,EX:FJ,13,0)="A")), "DEFICIT",IF(
AND(OR(Planilla!B187="B", Planilla!B187="BPAL"), VLOOKUP(E187,EX:FJ,13,0)="B"), "OK",IF(AND(OR(Planilla!B187="B", Planilla!B187="BPAL"), VLOOKUP(E187,EX:FJ,13,0)="A"), "DEFICIT",IF(AND(OR(Planilla!B187="B", Planilla!B187="BPAL"), VLOOKUP(E187,EX:FJ,13,0)="C"), "SOBREOFERTA",IF(AND(Planilla!B187="A", VLOOKUP(E187,EX:FJ,13,0)="A"), "OK",IF(
AND(Planilla!B187="A", OR(VLOOKUP(E187,EX:FJ,13,0)="B", VLOOKUP(E187,EX:FJ,13,0)="C")), "SOBREOFERTA",""
))))))),"")</f>
        <v/>
      </c>
      <c r="E187" s="12"/>
      <c r="F187" s="13"/>
      <c r="G187" s="14"/>
      <c r="H187" s="81" t="str">
        <f t="shared" si="63"/>
        <v/>
      </c>
      <c r="I187" s="7"/>
      <c r="J187" s="6" t="e">
        <f t="shared" si="64"/>
        <v>#N/A</v>
      </c>
      <c r="K187" s="6" t="str">
        <f>IF(A188&lt;&gt;A187,AVERAGEIF(A$9:A187,A187,J$9:J187),"")</f>
        <v/>
      </c>
      <c r="L187" s="7" t="str">
        <f>IFERROR(IF(A188&lt;&gt;A187,AVERAGEIF(A$9:A187,A187,S$9:S187),""),"")</f>
        <v/>
      </c>
      <c r="M187" s="7" t="str">
        <f>IFERROR(IF(A188&lt;&gt;A187,AVERAGEIF(A$9:A187,A187,T$9:T187),""),"")</f>
        <v/>
      </c>
      <c r="N187" s="7" t="str" cm="1">
        <f t="array" ref="N187">IFERROR(IF(A188&lt;&gt;A187,_xlfn.STDEV.P(IF(A$9:A187=A187,T$9:T187)),""),"")</f>
        <v/>
      </c>
      <c r="O187" s="7" t="str" cm="1">
        <f t="array" ref="O187">IFERROR(IF(A188&lt;&gt;A187,_xlfn.STDEV.P(IF(A$9:A187=A187,S$9:S187)),""),"")</f>
        <v/>
      </c>
      <c r="P187" s="8" t="str">
        <f t="shared" si="65"/>
        <v/>
      </c>
      <c r="Q187" s="8" t="str">
        <f t="shared" si="66"/>
        <v/>
      </c>
      <c r="R187" s="8" t="str">
        <f t="shared" si="67"/>
        <v/>
      </c>
      <c r="S187" s="9" t="str">
        <f t="shared" si="68"/>
        <v/>
      </c>
      <c r="T187" s="9" t="str">
        <f t="shared" si="69"/>
        <v/>
      </c>
      <c r="U187" s="14"/>
      <c r="V187" s="15"/>
      <c r="W187" s="14" t="str">
        <f t="shared" si="70"/>
        <v/>
      </c>
      <c r="X187" s="15"/>
      <c r="Y187" s="2"/>
      <c r="AB187" s="22">
        <f t="shared" si="71"/>
        <v>1</v>
      </c>
      <c r="AC187" s="11"/>
      <c r="AD187" s="11"/>
      <c r="AE187" s="13"/>
      <c r="AF187" s="12"/>
      <c r="AG187" s="13"/>
      <c r="AH187" s="14"/>
      <c r="AI187" s="81" t="str">
        <f t="shared" si="72"/>
        <v/>
      </c>
      <c r="AJ187" s="15"/>
      <c r="AK187" s="6" t="e">
        <f t="shared" si="73"/>
        <v>#N/A</v>
      </c>
      <c r="AL187" s="6" t="str">
        <f>IF(AB188&lt;&gt;AB187,AVERAGEIF(AB$9:AB187,AB187,AK$9:AK187),"")</f>
        <v/>
      </c>
      <c r="AM187" s="7" t="str">
        <f>IFERROR(IF(AB188&lt;&gt;AB187,AVERAGEIF(AB$9:AB187,AB187,AT$9:AT187),""),"")</f>
        <v/>
      </c>
      <c r="AN187" s="7" t="str">
        <f>IFERROR(IF(AB188&lt;&gt;AB187,AVERAGEIF(AB$9:AB187,AB187,AU$9:AU187),""),"")</f>
        <v/>
      </c>
      <c r="AO187" s="7" t="str" cm="1">
        <f t="array" ref="AO187">IFERROR(IF(AB188&lt;&gt;AB187,_xlfn.STDEV.P(IF(AB$9:AB187=AB187,AU$9:AU187)),""),"")</f>
        <v/>
      </c>
      <c r="AP187" s="7" t="str" cm="1">
        <f t="array" ref="AP187">IFERROR(IF(AB188&lt;&gt;AB187,_xlfn.STDEV.P(IF(AB$9:AB187=AB187,AT$9:AT187)),""),"")</f>
        <v/>
      </c>
      <c r="AQ187" s="8" t="str">
        <f t="shared" si="74"/>
        <v/>
      </c>
      <c r="AR187" s="8" t="str">
        <f t="shared" si="75"/>
        <v/>
      </c>
      <c r="AS187" s="8" t="str">
        <f t="shared" si="76"/>
        <v/>
      </c>
      <c r="AT187" s="9" t="str">
        <f t="shared" si="77"/>
        <v/>
      </c>
      <c r="AU187" s="9" t="str">
        <f t="shared" si="78"/>
        <v/>
      </c>
      <c r="AV187" s="14"/>
      <c r="AW187" s="15"/>
      <c r="AX187" s="14" t="str">
        <f t="shared" si="79"/>
        <v/>
      </c>
      <c r="AY187" s="15"/>
      <c r="AZ187" s="23"/>
      <c r="EW187" t="s">
        <v>46</v>
      </c>
      <c r="EX187" s="33">
        <v>1179</v>
      </c>
      <c r="EY187" s="33" t="s">
        <v>526</v>
      </c>
      <c r="EZ187" s="33">
        <v>507854</v>
      </c>
      <c r="FA187" s="33" t="s">
        <v>51</v>
      </c>
      <c r="FB187" s="33" t="s">
        <v>473</v>
      </c>
      <c r="FC187" s="33" t="s">
        <v>53</v>
      </c>
      <c r="FD187" s="33" t="s">
        <v>476</v>
      </c>
      <c r="FE187" s="33">
        <v>2020</v>
      </c>
      <c r="FF187" s="33" t="s">
        <v>474</v>
      </c>
      <c r="FG187" s="33" t="s">
        <v>477</v>
      </c>
      <c r="FH187" s="33" t="s">
        <v>478</v>
      </c>
      <c r="FI187" s="33" t="s">
        <v>479</v>
      </c>
      <c r="FJ187" t="s">
        <v>474</v>
      </c>
      <c r="FM187" s="32" t="s">
        <v>519</v>
      </c>
      <c r="FN187" t="s">
        <v>520</v>
      </c>
      <c r="FO187" t="s">
        <v>521</v>
      </c>
      <c r="FP187" t="str">
        <f t="shared" si="61"/>
        <v>B</v>
      </c>
      <c r="GU187" s="53">
        <v>184</v>
      </c>
      <c r="GV187" s="53">
        <v>181</v>
      </c>
    </row>
    <row r="188" spans="1:204" ht="15.5" x14ac:dyDescent="0.35">
      <c r="A188" s="95">
        <f t="shared" si="62"/>
        <v>1</v>
      </c>
      <c r="B188" s="11"/>
      <c r="C188" s="11"/>
      <c r="D188" s="92" t="str">
        <f>IFERROR(
IF(AND(OR(Planilla!B188="C",Planilla!B188="c"), VLOOKUP(E188,EX:FJ,13,0)="C"), "OK",IF(AND(OR(Planilla!B188="C",Planilla!B188="c"), OR(VLOOKUP(E188,EX:FJ,13,0)="B", VLOOKUP(E188,EX:FJ,13,0)="A")), "DEFICIT",IF(
AND(OR(Planilla!B188="B", Planilla!B188="BPAL"), VLOOKUP(E188,EX:FJ,13,0)="B"), "OK",IF(AND(OR(Planilla!B188="B", Planilla!B188="BPAL"), VLOOKUP(E188,EX:FJ,13,0)="A"), "DEFICIT",IF(AND(OR(Planilla!B188="B", Planilla!B188="BPAL"), VLOOKUP(E188,EX:FJ,13,0)="C"), "SOBREOFERTA",IF(AND(Planilla!B188="A", VLOOKUP(E188,EX:FJ,13,0)="A"), "OK",IF(
AND(Planilla!B188="A", OR(VLOOKUP(E188,EX:FJ,13,0)="B", VLOOKUP(E188,EX:FJ,13,0)="C")), "SOBREOFERTA",""
))))))),"")</f>
        <v/>
      </c>
      <c r="E188" s="12"/>
      <c r="F188" s="13"/>
      <c r="G188" s="14"/>
      <c r="H188" s="81" t="str">
        <f t="shared" si="63"/>
        <v/>
      </c>
      <c r="I188" s="7"/>
      <c r="J188" s="6" t="e">
        <f t="shared" si="64"/>
        <v>#N/A</v>
      </c>
      <c r="K188" s="6" t="str">
        <f>IF(A189&lt;&gt;A188,AVERAGEIF(A$9:A188,A188,J$9:J188),"")</f>
        <v/>
      </c>
      <c r="L188" s="7" t="str">
        <f>IFERROR(IF(A189&lt;&gt;A188,AVERAGEIF(A$9:A188,A188,S$9:S188),""),"")</f>
        <v/>
      </c>
      <c r="M188" s="7" t="str">
        <f>IFERROR(IF(A189&lt;&gt;A188,AVERAGEIF(A$9:A188,A188,T$9:T188),""),"")</f>
        <v/>
      </c>
      <c r="N188" s="7" t="str" cm="1">
        <f t="array" ref="N188">IFERROR(IF(A189&lt;&gt;A188,_xlfn.STDEV.P(IF(A$9:A188=A188,T$9:T188)),""),"")</f>
        <v/>
      </c>
      <c r="O188" s="7" t="str" cm="1">
        <f t="array" ref="O188">IFERROR(IF(A189&lt;&gt;A188,_xlfn.STDEV.P(IF(A$9:A188=A188,S$9:S188)),""),"")</f>
        <v/>
      </c>
      <c r="P188" s="8" t="str">
        <f t="shared" si="65"/>
        <v/>
      </c>
      <c r="Q188" s="8" t="str">
        <f t="shared" si="66"/>
        <v/>
      </c>
      <c r="R188" s="8" t="str">
        <f t="shared" si="67"/>
        <v/>
      </c>
      <c r="S188" s="9" t="str">
        <f t="shared" si="68"/>
        <v/>
      </c>
      <c r="T188" s="9" t="str">
        <f t="shared" si="69"/>
        <v/>
      </c>
      <c r="U188" s="14"/>
      <c r="V188" s="15"/>
      <c r="W188" s="14" t="str">
        <f t="shared" si="70"/>
        <v/>
      </c>
      <c r="X188" s="15"/>
      <c r="Y188" s="2"/>
      <c r="AB188" s="22">
        <f t="shared" si="71"/>
        <v>1</v>
      </c>
      <c r="AC188" s="11"/>
      <c r="AD188" s="11"/>
      <c r="AE188" s="13"/>
      <c r="AF188" s="12"/>
      <c r="AG188" s="13"/>
      <c r="AH188" s="14"/>
      <c r="AI188" s="81" t="str">
        <f t="shared" si="72"/>
        <v/>
      </c>
      <c r="AJ188" s="15"/>
      <c r="AK188" s="6" t="e">
        <f t="shared" si="73"/>
        <v>#N/A</v>
      </c>
      <c r="AL188" s="6" t="str">
        <f>IF(AB189&lt;&gt;AB188,AVERAGEIF(AB$9:AB188,AB188,AK$9:AK188),"")</f>
        <v/>
      </c>
      <c r="AM188" s="7" t="str">
        <f>IFERROR(IF(AB189&lt;&gt;AB188,AVERAGEIF(AB$9:AB188,AB188,AT$9:AT188),""),"")</f>
        <v/>
      </c>
      <c r="AN188" s="7" t="str">
        <f>IFERROR(IF(AB189&lt;&gt;AB188,AVERAGEIF(AB$9:AB188,AB188,AU$9:AU188),""),"")</f>
        <v/>
      </c>
      <c r="AO188" s="7" t="str" cm="1">
        <f t="array" ref="AO188">IFERROR(IF(AB189&lt;&gt;AB188,_xlfn.STDEV.P(IF(AB$9:AB188=AB188,AU$9:AU188)),""),"")</f>
        <v/>
      </c>
      <c r="AP188" s="7" t="str" cm="1">
        <f t="array" ref="AP188">IFERROR(IF(AB189&lt;&gt;AB188,_xlfn.STDEV.P(IF(AB$9:AB188=AB188,AT$9:AT188)),""),"")</f>
        <v/>
      </c>
      <c r="AQ188" s="8" t="str">
        <f t="shared" si="74"/>
        <v/>
      </c>
      <c r="AR188" s="8" t="str">
        <f t="shared" si="75"/>
        <v/>
      </c>
      <c r="AS188" s="8" t="str">
        <f t="shared" si="76"/>
        <v/>
      </c>
      <c r="AT188" s="9" t="str">
        <f t="shared" si="77"/>
        <v/>
      </c>
      <c r="AU188" s="9" t="str">
        <f t="shared" si="78"/>
        <v/>
      </c>
      <c r="AV188" s="14"/>
      <c r="AW188" s="15"/>
      <c r="AX188" s="14" t="str">
        <f t="shared" si="79"/>
        <v/>
      </c>
      <c r="AY188" s="15"/>
      <c r="AZ188" s="23"/>
      <c r="EW188" t="s">
        <v>46</v>
      </c>
      <c r="EX188" s="33">
        <v>1230</v>
      </c>
      <c r="EY188" s="33" t="s">
        <v>527</v>
      </c>
      <c r="EZ188" s="33">
        <v>507955</v>
      </c>
      <c r="FA188" s="33" t="s">
        <v>51</v>
      </c>
      <c r="FB188" s="33" t="s">
        <v>473</v>
      </c>
      <c r="FC188" s="33" t="s">
        <v>53</v>
      </c>
      <c r="FD188" s="33" t="s">
        <v>476</v>
      </c>
      <c r="FE188" s="33">
        <v>2020</v>
      </c>
      <c r="FF188" s="33" t="s">
        <v>474</v>
      </c>
      <c r="FG188" s="33" t="s">
        <v>470</v>
      </c>
      <c r="FH188" s="33" t="s">
        <v>471</v>
      </c>
      <c r="FI188" s="33" t="s">
        <v>467</v>
      </c>
      <c r="FJ188" t="s">
        <v>474</v>
      </c>
      <c r="FM188" s="32" t="s">
        <v>528</v>
      </c>
      <c r="FN188" t="s">
        <v>529</v>
      </c>
      <c r="FO188" t="s">
        <v>530</v>
      </c>
      <c r="FP188" t="str">
        <f t="shared" si="61"/>
        <v>B</v>
      </c>
      <c r="GU188" s="53">
        <v>185</v>
      </c>
      <c r="GV188" s="53">
        <v>182</v>
      </c>
    </row>
    <row r="189" spans="1:204" ht="15.5" x14ac:dyDescent="0.35">
      <c r="A189" s="95">
        <f t="shared" si="62"/>
        <v>1</v>
      </c>
      <c r="B189" s="11"/>
      <c r="C189" s="11"/>
      <c r="D189" s="92" t="str">
        <f>IFERROR(
IF(AND(OR(Planilla!B189="C",Planilla!B189="c"), VLOOKUP(E189,EX:FJ,13,0)="C"), "OK",IF(AND(OR(Planilla!B189="C",Planilla!B189="c"), OR(VLOOKUP(E189,EX:FJ,13,0)="B", VLOOKUP(E189,EX:FJ,13,0)="A")), "DEFICIT",IF(
AND(OR(Planilla!B189="B", Planilla!B189="BPAL"), VLOOKUP(E189,EX:FJ,13,0)="B"), "OK",IF(AND(OR(Planilla!B189="B", Planilla!B189="BPAL"), VLOOKUP(E189,EX:FJ,13,0)="A"), "DEFICIT",IF(AND(OR(Planilla!B189="B", Planilla!B189="BPAL"), VLOOKUP(E189,EX:FJ,13,0)="C"), "SOBREOFERTA",IF(AND(Planilla!B189="A", VLOOKUP(E189,EX:FJ,13,0)="A"), "OK",IF(
AND(Planilla!B189="A", OR(VLOOKUP(E189,EX:FJ,13,0)="B", VLOOKUP(E189,EX:FJ,13,0)="C")), "SOBREOFERTA",""
))))))),"")</f>
        <v/>
      </c>
      <c r="E189" s="12"/>
      <c r="F189" s="13"/>
      <c r="G189" s="14"/>
      <c r="H189" s="81" t="str">
        <f t="shared" si="63"/>
        <v/>
      </c>
      <c r="I189" s="7"/>
      <c r="J189" s="6" t="e">
        <f t="shared" si="64"/>
        <v>#N/A</v>
      </c>
      <c r="K189" s="6" t="str">
        <f>IF(A190&lt;&gt;A189,AVERAGEIF(A$9:A189,A189,J$9:J189),"")</f>
        <v/>
      </c>
      <c r="L189" s="7" t="str">
        <f>IFERROR(IF(A190&lt;&gt;A189,AVERAGEIF(A$9:A189,A189,S$9:S189),""),"")</f>
        <v/>
      </c>
      <c r="M189" s="7" t="str">
        <f>IFERROR(IF(A190&lt;&gt;A189,AVERAGEIF(A$9:A189,A189,T$9:T189),""),"")</f>
        <v/>
      </c>
      <c r="N189" s="7" t="str" cm="1">
        <f t="array" ref="N189">IFERROR(IF(A190&lt;&gt;A189,_xlfn.STDEV.P(IF(A$9:A189=A189,T$9:T189)),""),"")</f>
        <v/>
      </c>
      <c r="O189" s="7" t="str" cm="1">
        <f t="array" ref="O189">IFERROR(IF(A190&lt;&gt;A189,_xlfn.STDEV.P(IF(A$9:A189=A189,S$9:S189)),""),"")</f>
        <v/>
      </c>
      <c r="P189" s="8" t="str">
        <f t="shared" si="65"/>
        <v/>
      </c>
      <c r="Q189" s="8" t="str">
        <f t="shared" si="66"/>
        <v/>
      </c>
      <c r="R189" s="8" t="str">
        <f t="shared" si="67"/>
        <v/>
      </c>
      <c r="S189" s="9" t="str">
        <f t="shared" si="68"/>
        <v/>
      </c>
      <c r="T189" s="9" t="str">
        <f t="shared" si="69"/>
        <v/>
      </c>
      <c r="U189" s="14"/>
      <c r="V189" s="15"/>
      <c r="W189" s="14" t="str">
        <f t="shared" si="70"/>
        <v/>
      </c>
      <c r="X189" s="15"/>
      <c r="Y189" s="2"/>
      <c r="AB189" s="22">
        <f t="shared" si="71"/>
        <v>1</v>
      </c>
      <c r="AC189" s="11"/>
      <c r="AD189" s="11"/>
      <c r="AE189" s="13"/>
      <c r="AF189" s="12"/>
      <c r="AG189" s="13"/>
      <c r="AH189" s="14"/>
      <c r="AI189" s="81" t="str">
        <f t="shared" si="72"/>
        <v/>
      </c>
      <c r="AJ189" s="15"/>
      <c r="AK189" s="6" t="e">
        <f t="shared" si="73"/>
        <v>#N/A</v>
      </c>
      <c r="AL189" s="6" t="str">
        <f>IF(AB190&lt;&gt;AB189,AVERAGEIF(AB$9:AB189,AB189,AK$9:AK189),"")</f>
        <v/>
      </c>
      <c r="AM189" s="7" t="str">
        <f>IFERROR(IF(AB190&lt;&gt;AB189,AVERAGEIF(AB$9:AB189,AB189,AT$9:AT189),""),"")</f>
        <v/>
      </c>
      <c r="AN189" s="7" t="str">
        <f>IFERROR(IF(AB190&lt;&gt;AB189,AVERAGEIF(AB$9:AB189,AB189,AU$9:AU189),""),"")</f>
        <v/>
      </c>
      <c r="AO189" s="7" t="str" cm="1">
        <f t="array" ref="AO189">IFERROR(IF(AB190&lt;&gt;AB189,_xlfn.STDEV.P(IF(AB$9:AB189=AB189,AU$9:AU189)),""),"")</f>
        <v/>
      </c>
      <c r="AP189" s="7" t="str" cm="1">
        <f t="array" ref="AP189">IFERROR(IF(AB190&lt;&gt;AB189,_xlfn.STDEV.P(IF(AB$9:AB189=AB189,AT$9:AT189)),""),"")</f>
        <v/>
      </c>
      <c r="AQ189" s="8" t="str">
        <f t="shared" si="74"/>
        <v/>
      </c>
      <c r="AR189" s="8" t="str">
        <f t="shared" si="75"/>
        <v/>
      </c>
      <c r="AS189" s="8" t="str">
        <f t="shared" si="76"/>
        <v/>
      </c>
      <c r="AT189" s="9" t="str">
        <f t="shared" si="77"/>
        <v/>
      </c>
      <c r="AU189" s="9" t="str">
        <f t="shared" si="78"/>
        <v/>
      </c>
      <c r="AV189" s="14"/>
      <c r="AW189" s="15"/>
      <c r="AX189" s="14" t="str">
        <f t="shared" si="79"/>
        <v/>
      </c>
      <c r="AY189" s="15"/>
      <c r="AZ189" s="23"/>
      <c r="EW189" t="s">
        <v>46</v>
      </c>
      <c r="EX189" s="33">
        <v>1180</v>
      </c>
      <c r="EY189" s="33" t="s">
        <v>531</v>
      </c>
      <c r="EZ189" s="33">
        <v>508633</v>
      </c>
      <c r="FA189" s="33" t="s">
        <v>51</v>
      </c>
      <c r="FB189" s="33" t="s">
        <v>473</v>
      </c>
      <c r="FC189" s="33" t="s">
        <v>53</v>
      </c>
      <c r="FD189" s="33" t="s">
        <v>476</v>
      </c>
      <c r="FE189" s="33">
        <v>2020</v>
      </c>
      <c r="FF189" s="33" t="s">
        <v>474</v>
      </c>
      <c r="FG189" s="33" t="s">
        <v>477</v>
      </c>
      <c r="FH189" s="33" t="s">
        <v>478</v>
      </c>
      <c r="FI189" s="33" t="s">
        <v>479</v>
      </c>
      <c r="FJ189" t="s">
        <v>474</v>
      </c>
      <c r="FM189" s="32" t="s">
        <v>528</v>
      </c>
      <c r="FN189" t="s">
        <v>529</v>
      </c>
      <c r="FO189" t="s">
        <v>530</v>
      </c>
      <c r="FP189" t="str">
        <f t="shared" si="61"/>
        <v>B</v>
      </c>
      <c r="GU189" s="53">
        <v>186</v>
      </c>
      <c r="GV189" s="53">
        <v>183</v>
      </c>
    </row>
    <row r="190" spans="1:204" ht="15.5" x14ac:dyDescent="0.35">
      <c r="A190" s="95">
        <f t="shared" si="62"/>
        <v>1</v>
      </c>
      <c r="B190" s="11"/>
      <c r="C190" s="11"/>
      <c r="D190" s="92" t="str">
        <f>IFERROR(
IF(AND(OR(Planilla!B190="C",Planilla!B190="c"), VLOOKUP(E190,EX:FJ,13,0)="C"), "OK",IF(AND(OR(Planilla!B190="C",Planilla!B190="c"), OR(VLOOKUP(E190,EX:FJ,13,0)="B", VLOOKUP(E190,EX:FJ,13,0)="A")), "DEFICIT",IF(
AND(OR(Planilla!B190="B", Planilla!B190="BPAL"), VLOOKUP(E190,EX:FJ,13,0)="B"), "OK",IF(AND(OR(Planilla!B190="B", Planilla!B190="BPAL"), VLOOKUP(E190,EX:FJ,13,0)="A"), "DEFICIT",IF(AND(OR(Planilla!B190="B", Planilla!B190="BPAL"), VLOOKUP(E190,EX:FJ,13,0)="C"), "SOBREOFERTA",IF(AND(Planilla!B190="A", VLOOKUP(E190,EX:FJ,13,0)="A"), "OK",IF(
AND(Planilla!B190="A", OR(VLOOKUP(E190,EX:FJ,13,0)="B", VLOOKUP(E190,EX:FJ,13,0)="C")), "SOBREOFERTA",""
))))))),"")</f>
        <v/>
      </c>
      <c r="E190" s="12"/>
      <c r="F190" s="13"/>
      <c r="G190" s="14"/>
      <c r="H190" s="81" t="str">
        <f t="shared" si="63"/>
        <v/>
      </c>
      <c r="I190" s="7"/>
      <c r="J190" s="6" t="e">
        <f t="shared" si="64"/>
        <v>#N/A</v>
      </c>
      <c r="K190" s="6" t="str">
        <f>IF(A191&lt;&gt;A190,AVERAGEIF(A$9:A190,A190,J$9:J190),"")</f>
        <v/>
      </c>
      <c r="L190" s="7" t="str">
        <f>IFERROR(IF(A191&lt;&gt;A190,AVERAGEIF(A$9:A190,A190,S$9:S190),""),"")</f>
        <v/>
      </c>
      <c r="M190" s="7" t="str">
        <f>IFERROR(IF(A191&lt;&gt;A190,AVERAGEIF(A$9:A190,A190,T$9:T190),""),"")</f>
        <v/>
      </c>
      <c r="N190" s="7" t="str" cm="1">
        <f t="array" ref="N190">IFERROR(IF(A191&lt;&gt;A190,_xlfn.STDEV.P(IF(A$9:A190=A190,T$9:T190)),""),"")</f>
        <v/>
      </c>
      <c r="O190" s="7" t="str" cm="1">
        <f t="array" ref="O190">IFERROR(IF(A191&lt;&gt;A190,_xlfn.STDEV.P(IF(A$9:A190=A190,S$9:S190)),""),"")</f>
        <v/>
      </c>
      <c r="P190" s="8" t="str">
        <f t="shared" si="65"/>
        <v/>
      </c>
      <c r="Q190" s="8" t="str">
        <f t="shared" si="66"/>
        <v/>
      </c>
      <c r="R190" s="8" t="str">
        <f t="shared" si="67"/>
        <v/>
      </c>
      <c r="S190" s="9" t="str">
        <f t="shared" si="68"/>
        <v/>
      </c>
      <c r="T190" s="9" t="str">
        <f t="shared" si="69"/>
        <v/>
      </c>
      <c r="U190" s="14"/>
      <c r="V190" s="15"/>
      <c r="W190" s="14" t="str">
        <f t="shared" si="70"/>
        <v/>
      </c>
      <c r="X190" s="15"/>
      <c r="Y190" s="2"/>
      <c r="AB190" s="22">
        <f t="shared" si="71"/>
        <v>1</v>
      </c>
      <c r="AC190" s="11"/>
      <c r="AD190" s="11"/>
      <c r="AE190" s="13"/>
      <c r="AF190" s="12"/>
      <c r="AG190" s="13"/>
      <c r="AH190" s="14"/>
      <c r="AI190" s="81" t="str">
        <f t="shared" si="72"/>
        <v/>
      </c>
      <c r="AJ190" s="15"/>
      <c r="AK190" s="6" t="e">
        <f t="shared" si="73"/>
        <v>#N/A</v>
      </c>
      <c r="AL190" s="6" t="str">
        <f>IF(AB191&lt;&gt;AB190,AVERAGEIF(AB$9:AB190,AB190,AK$9:AK190),"")</f>
        <v/>
      </c>
      <c r="AM190" s="7" t="str">
        <f>IFERROR(IF(AB191&lt;&gt;AB190,AVERAGEIF(AB$9:AB190,AB190,AT$9:AT190),""),"")</f>
        <v/>
      </c>
      <c r="AN190" s="7" t="str">
        <f>IFERROR(IF(AB191&lt;&gt;AB190,AVERAGEIF(AB$9:AB190,AB190,AU$9:AU190),""),"")</f>
        <v/>
      </c>
      <c r="AO190" s="7" t="str" cm="1">
        <f t="array" ref="AO190">IFERROR(IF(AB191&lt;&gt;AB190,_xlfn.STDEV.P(IF(AB$9:AB190=AB190,AU$9:AU190)),""),"")</f>
        <v/>
      </c>
      <c r="AP190" s="7" t="str" cm="1">
        <f t="array" ref="AP190">IFERROR(IF(AB191&lt;&gt;AB190,_xlfn.STDEV.P(IF(AB$9:AB190=AB190,AT$9:AT190)),""),"")</f>
        <v/>
      </c>
      <c r="AQ190" s="8" t="str">
        <f t="shared" si="74"/>
        <v/>
      </c>
      <c r="AR190" s="8" t="str">
        <f t="shared" si="75"/>
        <v/>
      </c>
      <c r="AS190" s="8" t="str">
        <f t="shared" si="76"/>
        <v/>
      </c>
      <c r="AT190" s="9" t="str">
        <f t="shared" si="77"/>
        <v/>
      </c>
      <c r="AU190" s="9" t="str">
        <f t="shared" si="78"/>
        <v/>
      </c>
      <c r="AV190" s="14"/>
      <c r="AW190" s="15"/>
      <c r="AX190" s="14" t="str">
        <f t="shared" si="79"/>
        <v/>
      </c>
      <c r="AY190" s="15"/>
      <c r="AZ190" s="23"/>
      <c r="EW190" t="s">
        <v>46</v>
      </c>
      <c r="EX190" s="33">
        <v>1181</v>
      </c>
      <c r="EY190" s="33" t="s">
        <v>532</v>
      </c>
      <c r="EZ190" s="33">
        <v>508651</v>
      </c>
      <c r="FA190" s="33" t="s">
        <v>51</v>
      </c>
      <c r="FB190" s="33" t="s">
        <v>473</v>
      </c>
      <c r="FC190" s="33" t="s">
        <v>53</v>
      </c>
      <c r="FD190" s="33" t="s">
        <v>476</v>
      </c>
      <c r="FE190" s="33">
        <v>2020</v>
      </c>
      <c r="FF190" s="33" t="s">
        <v>474</v>
      </c>
      <c r="FG190" s="33" t="s">
        <v>477</v>
      </c>
      <c r="FH190" s="33" t="s">
        <v>478</v>
      </c>
      <c r="FI190" s="33" t="s">
        <v>479</v>
      </c>
      <c r="FJ190" t="s">
        <v>474</v>
      </c>
      <c r="FM190" s="32" t="s">
        <v>528</v>
      </c>
      <c r="FN190" t="s">
        <v>529</v>
      </c>
      <c r="FO190" t="s">
        <v>530</v>
      </c>
      <c r="FP190" t="str">
        <f t="shared" si="61"/>
        <v>B</v>
      </c>
      <c r="GU190" s="53">
        <v>187</v>
      </c>
      <c r="GV190" s="53">
        <v>184</v>
      </c>
    </row>
    <row r="191" spans="1:204" ht="15.5" x14ac:dyDescent="0.35">
      <c r="A191" s="95">
        <f t="shared" si="62"/>
        <v>1</v>
      </c>
      <c r="B191" s="11"/>
      <c r="C191" s="11"/>
      <c r="D191" s="92" t="str">
        <f>IFERROR(
IF(AND(OR(Planilla!B191="C",Planilla!B191="c"), VLOOKUP(E191,EX:FJ,13,0)="C"), "OK",IF(AND(OR(Planilla!B191="C",Planilla!B191="c"), OR(VLOOKUP(E191,EX:FJ,13,0)="B", VLOOKUP(E191,EX:FJ,13,0)="A")), "DEFICIT",IF(
AND(OR(Planilla!B191="B", Planilla!B191="BPAL"), VLOOKUP(E191,EX:FJ,13,0)="B"), "OK",IF(AND(OR(Planilla!B191="B", Planilla!B191="BPAL"), VLOOKUP(E191,EX:FJ,13,0)="A"), "DEFICIT",IF(AND(OR(Planilla!B191="B", Planilla!B191="BPAL"), VLOOKUP(E191,EX:FJ,13,0)="C"), "SOBREOFERTA",IF(AND(Planilla!B191="A", VLOOKUP(E191,EX:FJ,13,0)="A"), "OK",IF(
AND(Planilla!B191="A", OR(VLOOKUP(E191,EX:FJ,13,0)="B", VLOOKUP(E191,EX:FJ,13,0)="C")), "SOBREOFERTA",""
))))))),"")</f>
        <v/>
      </c>
      <c r="E191" s="12"/>
      <c r="F191" s="13"/>
      <c r="G191" s="14"/>
      <c r="H191" s="81" t="str">
        <f t="shared" si="63"/>
        <v/>
      </c>
      <c r="I191" s="7"/>
      <c r="J191" s="6" t="e">
        <f t="shared" si="64"/>
        <v>#N/A</v>
      </c>
      <c r="K191" s="6" t="str">
        <f>IF(A192&lt;&gt;A191,AVERAGEIF(A$9:A191,A191,J$9:J191),"")</f>
        <v/>
      </c>
      <c r="L191" s="7" t="str">
        <f>IFERROR(IF(A192&lt;&gt;A191,AVERAGEIF(A$9:A191,A191,S$9:S191),""),"")</f>
        <v/>
      </c>
      <c r="M191" s="7" t="str">
        <f>IFERROR(IF(A192&lt;&gt;A191,AVERAGEIF(A$9:A191,A191,T$9:T191),""),"")</f>
        <v/>
      </c>
      <c r="N191" s="7" t="str" cm="1">
        <f t="array" ref="N191">IFERROR(IF(A192&lt;&gt;A191,_xlfn.STDEV.P(IF(A$9:A191=A191,T$9:T191)),""),"")</f>
        <v/>
      </c>
      <c r="O191" s="7" t="str" cm="1">
        <f t="array" ref="O191">IFERROR(IF(A192&lt;&gt;A191,_xlfn.STDEV.P(IF(A$9:A191=A191,S$9:S191)),""),"")</f>
        <v/>
      </c>
      <c r="P191" s="8" t="str">
        <f t="shared" si="65"/>
        <v/>
      </c>
      <c r="Q191" s="8" t="str">
        <f t="shared" si="66"/>
        <v/>
      </c>
      <c r="R191" s="8" t="str">
        <f t="shared" si="67"/>
        <v/>
      </c>
      <c r="S191" s="9" t="str">
        <f t="shared" si="68"/>
        <v/>
      </c>
      <c r="T191" s="9" t="str">
        <f t="shared" si="69"/>
        <v/>
      </c>
      <c r="U191" s="14"/>
      <c r="V191" s="15"/>
      <c r="W191" s="14" t="str">
        <f t="shared" si="70"/>
        <v/>
      </c>
      <c r="X191" s="15"/>
      <c r="Y191" s="2"/>
      <c r="AB191" s="22">
        <f t="shared" si="71"/>
        <v>1</v>
      </c>
      <c r="AC191" s="11"/>
      <c r="AD191" s="11"/>
      <c r="AE191" s="13"/>
      <c r="AF191" s="12"/>
      <c r="AG191" s="13"/>
      <c r="AH191" s="14"/>
      <c r="AI191" s="81" t="str">
        <f t="shared" si="72"/>
        <v/>
      </c>
      <c r="AJ191" s="15"/>
      <c r="AK191" s="6" t="e">
        <f t="shared" si="73"/>
        <v>#N/A</v>
      </c>
      <c r="AL191" s="6" t="str">
        <f>IF(AB192&lt;&gt;AB191,AVERAGEIF(AB$9:AB191,AB191,AK$9:AK191),"")</f>
        <v/>
      </c>
      <c r="AM191" s="7" t="str">
        <f>IFERROR(IF(AB192&lt;&gt;AB191,AVERAGEIF(AB$9:AB191,AB191,AT$9:AT191),""),"")</f>
        <v/>
      </c>
      <c r="AN191" s="7" t="str">
        <f>IFERROR(IF(AB192&lt;&gt;AB191,AVERAGEIF(AB$9:AB191,AB191,AU$9:AU191),""),"")</f>
        <v/>
      </c>
      <c r="AO191" s="7" t="str" cm="1">
        <f t="array" ref="AO191">IFERROR(IF(AB192&lt;&gt;AB191,_xlfn.STDEV.P(IF(AB$9:AB191=AB191,AU$9:AU191)),""),"")</f>
        <v/>
      </c>
      <c r="AP191" s="7" t="str" cm="1">
        <f t="array" ref="AP191">IFERROR(IF(AB192&lt;&gt;AB191,_xlfn.STDEV.P(IF(AB$9:AB191=AB191,AT$9:AT191)),""),"")</f>
        <v/>
      </c>
      <c r="AQ191" s="8" t="str">
        <f t="shared" si="74"/>
        <v/>
      </c>
      <c r="AR191" s="8" t="str">
        <f t="shared" si="75"/>
        <v/>
      </c>
      <c r="AS191" s="8" t="str">
        <f t="shared" si="76"/>
        <v/>
      </c>
      <c r="AT191" s="9" t="str">
        <f t="shared" si="77"/>
        <v/>
      </c>
      <c r="AU191" s="9" t="str">
        <f t="shared" si="78"/>
        <v/>
      </c>
      <c r="AV191" s="14"/>
      <c r="AW191" s="15"/>
      <c r="AX191" s="14" t="str">
        <f t="shared" si="79"/>
        <v/>
      </c>
      <c r="AY191" s="15"/>
      <c r="AZ191" s="23"/>
      <c r="EW191" t="s">
        <v>46</v>
      </c>
      <c r="EX191" s="33">
        <v>1182</v>
      </c>
      <c r="EY191" s="33" t="s">
        <v>533</v>
      </c>
      <c r="EZ191" s="33">
        <v>508236</v>
      </c>
      <c r="FA191" s="33" t="s">
        <v>51</v>
      </c>
      <c r="FB191" s="33" t="s">
        <v>473</v>
      </c>
      <c r="FC191" s="33" t="s">
        <v>53</v>
      </c>
      <c r="FD191" s="33" t="s">
        <v>476</v>
      </c>
      <c r="FE191" s="33">
        <v>2020</v>
      </c>
      <c r="FF191" s="33" t="s">
        <v>474</v>
      </c>
      <c r="FG191" s="33" t="s">
        <v>477</v>
      </c>
      <c r="FH191" s="33" t="s">
        <v>478</v>
      </c>
      <c r="FI191" s="33" t="s">
        <v>479</v>
      </c>
      <c r="FJ191" t="s">
        <v>474</v>
      </c>
      <c r="FM191" s="32" t="s">
        <v>528</v>
      </c>
      <c r="FN191" t="s">
        <v>529</v>
      </c>
      <c r="FO191" t="s">
        <v>530</v>
      </c>
      <c r="FP191" t="str">
        <f t="shared" si="61"/>
        <v>B</v>
      </c>
      <c r="GU191" s="53">
        <v>188</v>
      </c>
      <c r="GV191" s="53">
        <v>185</v>
      </c>
    </row>
    <row r="192" spans="1:204" ht="15.5" x14ac:dyDescent="0.35">
      <c r="A192" s="95">
        <f t="shared" si="62"/>
        <v>1</v>
      </c>
      <c r="B192" s="11"/>
      <c r="C192" s="11"/>
      <c r="D192" s="92" t="str">
        <f>IFERROR(
IF(AND(OR(Planilla!B192="C",Planilla!B192="c"), VLOOKUP(E192,EX:FJ,13,0)="C"), "OK",IF(AND(OR(Planilla!B192="C",Planilla!B192="c"), OR(VLOOKUP(E192,EX:FJ,13,0)="B", VLOOKUP(E192,EX:FJ,13,0)="A")), "DEFICIT",IF(
AND(OR(Planilla!B192="B", Planilla!B192="BPAL"), VLOOKUP(E192,EX:FJ,13,0)="B"), "OK",IF(AND(OR(Planilla!B192="B", Planilla!B192="BPAL"), VLOOKUP(E192,EX:FJ,13,0)="A"), "DEFICIT",IF(AND(OR(Planilla!B192="B", Planilla!B192="BPAL"), VLOOKUP(E192,EX:FJ,13,0)="C"), "SOBREOFERTA",IF(AND(Planilla!B192="A", VLOOKUP(E192,EX:FJ,13,0)="A"), "OK",IF(
AND(Planilla!B192="A", OR(VLOOKUP(E192,EX:FJ,13,0)="B", VLOOKUP(E192,EX:FJ,13,0)="C")), "SOBREOFERTA",""
))))))),"")</f>
        <v/>
      </c>
      <c r="E192" s="12"/>
      <c r="F192" s="13"/>
      <c r="G192" s="14"/>
      <c r="H192" s="81" t="str">
        <f t="shared" si="63"/>
        <v/>
      </c>
      <c r="I192" s="7"/>
      <c r="J192" s="6" t="e">
        <f t="shared" si="64"/>
        <v>#N/A</v>
      </c>
      <c r="K192" s="6" t="str">
        <f>IF(A193&lt;&gt;A192,AVERAGEIF(A$9:A192,A192,J$9:J192),"")</f>
        <v/>
      </c>
      <c r="L192" s="7" t="str">
        <f>IFERROR(IF(A193&lt;&gt;A192,AVERAGEIF(A$9:A192,A192,S$9:S192),""),"")</f>
        <v/>
      </c>
      <c r="M192" s="7" t="str">
        <f>IFERROR(IF(A193&lt;&gt;A192,AVERAGEIF(A$9:A192,A192,T$9:T192),""),"")</f>
        <v/>
      </c>
      <c r="N192" s="7" t="str" cm="1">
        <f t="array" ref="N192">IFERROR(IF(A193&lt;&gt;A192,_xlfn.STDEV.P(IF(A$9:A192=A192,T$9:T192)),""),"")</f>
        <v/>
      </c>
      <c r="O192" s="7" t="str" cm="1">
        <f t="array" ref="O192">IFERROR(IF(A193&lt;&gt;A192,_xlfn.STDEV.P(IF(A$9:A192=A192,S$9:S192)),""),"")</f>
        <v/>
      </c>
      <c r="P192" s="8" t="str">
        <f t="shared" si="65"/>
        <v/>
      </c>
      <c r="Q192" s="8" t="str">
        <f t="shared" si="66"/>
        <v/>
      </c>
      <c r="R192" s="8" t="str">
        <f t="shared" si="67"/>
        <v/>
      </c>
      <c r="S192" s="9" t="str">
        <f t="shared" si="68"/>
        <v/>
      </c>
      <c r="T192" s="9" t="str">
        <f t="shared" si="69"/>
        <v/>
      </c>
      <c r="U192" s="14"/>
      <c r="V192" s="15"/>
      <c r="W192" s="14" t="str">
        <f t="shared" si="70"/>
        <v/>
      </c>
      <c r="X192" s="15"/>
      <c r="Y192" s="2"/>
      <c r="AB192" s="22">
        <f t="shared" si="71"/>
        <v>1</v>
      </c>
      <c r="AC192" s="11"/>
      <c r="AD192" s="11"/>
      <c r="AE192" s="13"/>
      <c r="AF192" s="12"/>
      <c r="AG192" s="13"/>
      <c r="AH192" s="14"/>
      <c r="AI192" s="81" t="str">
        <f t="shared" si="72"/>
        <v/>
      </c>
      <c r="AJ192" s="15"/>
      <c r="AK192" s="6" t="e">
        <f t="shared" si="73"/>
        <v>#N/A</v>
      </c>
      <c r="AL192" s="6" t="str">
        <f>IF(AB193&lt;&gt;AB192,AVERAGEIF(AB$9:AB192,AB192,AK$9:AK192),"")</f>
        <v/>
      </c>
      <c r="AM192" s="7" t="str">
        <f>IFERROR(IF(AB193&lt;&gt;AB192,AVERAGEIF(AB$9:AB192,AB192,AT$9:AT192),""),"")</f>
        <v/>
      </c>
      <c r="AN192" s="7" t="str">
        <f>IFERROR(IF(AB193&lt;&gt;AB192,AVERAGEIF(AB$9:AB192,AB192,AU$9:AU192),""),"")</f>
        <v/>
      </c>
      <c r="AO192" s="7" t="str" cm="1">
        <f t="array" ref="AO192">IFERROR(IF(AB193&lt;&gt;AB192,_xlfn.STDEV.P(IF(AB$9:AB192=AB192,AU$9:AU192)),""),"")</f>
        <v/>
      </c>
      <c r="AP192" s="7" t="str" cm="1">
        <f t="array" ref="AP192">IFERROR(IF(AB193&lt;&gt;AB192,_xlfn.STDEV.P(IF(AB$9:AB192=AB192,AT$9:AT192)),""),"")</f>
        <v/>
      </c>
      <c r="AQ192" s="8" t="str">
        <f t="shared" si="74"/>
        <v/>
      </c>
      <c r="AR192" s="8" t="str">
        <f t="shared" si="75"/>
        <v/>
      </c>
      <c r="AS192" s="8" t="str">
        <f t="shared" si="76"/>
        <v/>
      </c>
      <c r="AT192" s="9" t="str">
        <f t="shared" si="77"/>
        <v/>
      </c>
      <c r="AU192" s="9" t="str">
        <f t="shared" si="78"/>
        <v/>
      </c>
      <c r="AV192" s="14"/>
      <c r="AW192" s="15"/>
      <c r="AX192" s="14" t="str">
        <f t="shared" si="79"/>
        <v/>
      </c>
      <c r="AY192" s="15"/>
      <c r="AZ192" s="23"/>
      <c r="EW192" t="s">
        <v>46</v>
      </c>
      <c r="EX192" s="33">
        <v>1183</v>
      </c>
      <c r="EY192" s="33" t="s">
        <v>534</v>
      </c>
      <c r="EZ192" s="33">
        <v>508307</v>
      </c>
      <c r="FA192" s="33" t="s">
        <v>51</v>
      </c>
      <c r="FB192" s="33" t="s">
        <v>473</v>
      </c>
      <c r="FC192" s="33" t="s">
        <v>53</v>
      </c>
      <c r="FD192" s="33" t="s">
        <v>476</v>
      </c>
      <c r="FE192" s="33">
        <v>2020</v>
      </c>
      <c r="FF192" s="33" t="s">
        <v>474</v>
      </c>
      <c r="FG192" s="33" t="s">
        <v>477</v>
      </c>
      <c r="FH192" s="33" t="s">
        <v>478</v>
      </c>
      <c r="FI192" s="33" t="s">
        <v>479</v>
      </c>
      <c r="FJ192" t="s">
        <v>474</v>
      </c>
      <c r="FM192" s="32" t="s">
        <v>528</v>
      </c>
      <c r="FN192" t="s">
        <v>529</v>
      </c>
      <c r="FO192" t="s">
        <v>530</v>
      </c>
      <c r="FP192" t="str">
        <f t="shared" si="61"/>
        <v>B</v>
      </c>
      <c r="GU192" s="53">
        <v>189</v>
      </c>
      <c r="GV192" s="53">
        <v>186</v>
      </c>
    </row>
    <row r="193" spans="1:204" ht="15.5" x14ac:dyDescent="0.35">
      <c r="A193" s="95">
        <f t="shared" si="62"/>
        <v>1</v>
      </c>
      <c r="B193" s="11"/>
      <c r="C193" s="11"/>
      <c r="D193" s="92" t="str">
        <f>IFERROR(
IF(AND(OR(Planilla!B193="C",Planilla!B193="c"), VLOOKUP(E193,EX:FJ,13,0)="C"), "OK",IF(AND(OR(Planilla!B193="C",Planilla!B193="c"), OR(VLOOKUP(E193,EX:FJ,13,0)="B", VLOOKUP(E193,EX:FJ,13,0)="A")), "DEFICIT",IF(
AND(OR(Planilla!B193="B", Planilla!B193="BPAL"), VLOOKUP(E193,EX:FJ,13,0)="B"), "OK",IF(AND(OR(Planilla!B193="B", Planilla!B193="BPAL"), VLOOKUP(E193,EX:FJ,13,0)="A"), "DEFICIT",IF(AND(OR(Planilla!B193="B", Planilla!B193="BPAL"), VLOOKUP(E193,EX:FJ,13,0)="C"), "SOBREOFERTA",IF(AND(Planilla!B193="A", VLOOKUP(E193,EX:FJ,13,0)="A"), "OK",IF(
AND(Planilla!B193="A", OR(VLOOKUP(E193,EX:FJ,13,0)="B", VLOOKUP(E193,EX:FJ,13,0)="C")), "SOBREOFERTA",""
))))))),"")</f>
        <v/>
      </c>
      <c r="E193" s="12"/>
      <c r="F193" s="13"/>
      <c r="G193" s="14"/>
      <c r="H193" s="81" t="str">
        <f t="shared" si="63"/>
        <v/>
      </c>
      <c r="I193" s="7"/>
      <c r="J193" s="6" t="e">
        <f t="shared" si="64"/>
        <v>#N/A</v>
      </c>
      <c r="K193" s="6" t="str">
        <f>IF(A194&lt;&gt;A193,AVERAGEIF(A$9:A193,A193,J$9:J193),"")</f>
        <v/>
      </c>
      <c r="L193" s="7" t="str">
        <f>IFERROR(IF(A194&lt;&gt;A193,AVERAGEIF(A$9:A193,A193,S$9:S193),""),"")</f>
        <v/>
      </c>
      <c r="M193" s="7" t="str">
        <f>IFERROR(IF(A194&lt;&gt;A193,AVERAGEIF(A$9:A193,A193,T$9:T193),""),"")</f>
        <v/>
      </c>
      <c r="N193" s="7" t="str" cm="1">
        <f t="array" ref="N193">IFERROR(IF(A194&lt;&gt;A193,_xlfn.STDEV.P(IF(A$9:A193=A193,T$9:T193)),""),"")</f>
        <v/>
      </c>
      <c r="O193" s="7" t="str" cm="1">
        <f t="array" ref="O193">IFERROR(IF(A194&lt;&gt;A193,_xlfn.STDEV.P(IF(A$9:A193=A193,S$9:S193)),""),"")</f>
        <v/>
      </c>
      <c r="P193" s="8" t="str">
        <f t="shared" si="65"/>
        <v/>
      </c>
      <c r="Q193" s="8" t="str">
        <f t="shared" si="66"/>
        <v/>
      </c>
      <c r="R193" s="8" t="str">
        <f t="shared" si="67"/>
        <v/>
      </c>
      <c r="S193" s="9" t="str">
        <f t="shared" si="68"/>
        <v/>
      </c>
      <c r="T193" s="9" t="str">
        <f t="shared" si="69"/>
        <v/>
      </c>
      <c r="U193" s="14"/>
      <c r="V193" s="15"/>
      <c r="W193" s="14" t="str">
        <f t="shared" si="70"/>
        <v/>
      </c>
      <c r="X193" s="15"/>
      <c r="Y193" s="2"/>
      <c r="AB193" s="22">
        <f t="shared" si="71"/>
        <v>1</v>
      </c>
      <c r="AC193" s="11"/>
      <c r="AD193" s="11"/>
      <c r="AE193" s="13"/>
      <c r="AF193" s="12"/>
      <c r="AG193" s="13"/>
      <c r="AH193" s="14"/>
      <c r="AI193" s="81" t="str">
        <f t="shared" si="72"/>
        <v/>
      </c>
      <c r="AJ193" s="15"/>
      <c r="AK193" s="6" t="e">
        <f t="shared" si="73"/>
        <v>#N/A</v>
      </c>
      <c r="AL193" s="6" t="str">
        <f>IF(AB194&lt;&gt;AB193,AVERAGEIF(AB$9:AB193,AB193,AK$9:AK193),"")</f>
        <v/>
      </c>
      <c r="AM193" s="7" t="str">
        <f>IFERROR(IF(AB194&lt;&gt;AB193,AVERAGEIF(AB$9:AB193,AB193,AT$9:AT193),""),"")</f>
        <v/>
      </c>
      <c r="AN193" s="7" t="str">
        <f>IFERROR(IF(AB194&lt;&gt;AB193,AVERAGEIF(AB$9:AB193,AB193,AU$9:AU193),""),"")</f>
        <v/>
      </c>
      <c r="AO193" s="7" t="str" cm="1">
        <f t="array" ref="AO193">IFERROR(IF(AB194&lt;&gt;AB193,_xlfn.STDEV.P(IF(AB$9:AB193=AB193,AU$9:AU193)),""),"")</f>
        <v/>
      </c>
      <c r="AP193" s="7" t="str" cm="1">
        <f t="array" ref="AP193">IFERROR(IF(AB194&lt;&gt;AB193,_xlfn.STDEV.P(IF(AB$9:AB193=AB193,AT$9:AT193)),""),"")</f>
        <v/>
      </c>
      <c r="AQ193" s="8" t="str">
        <f t="shared" si="74"/>
        <v/>
      </c>
      <c r="AR193" s="8" t="str">
        <f t="shared" si="75"/>
        <v/>
      </c>
      <c r="AS193" s="8" t="str">
        <f t="shared" si="76"/>
        <v/>
      </c>
      <c r="AT193" s="9" t="str">
        <f t="shared" si="77"/>
        <v/>
      </c>
      <c r="AU193" s="9" t="str">
        <f t="shared" si="78"/>
        <v/>
      </c>
      <c r="AV193" s="14"/>
      <c r="AW193" s="15"/>
      <c r="AX193" s="14" t="str">
        <f t="shared" si="79"/>
        <v/>
      </c>
      <c r="AY193" s="15"/>
      <c r="AZ193" s="23"/>
      <c r="EW193" t="s">
        <v>46</v>
      </c>
      <c r="EX193" s="33">
        <v>1231</v>
      </c>
      <c r="EY193" s="33" t="s">
        <v>535</v>
      </c>
      <c r="EZ193" s="33">
        <v>508215</v>
      </c>
      <c r="FA193" s="33" t="s">
        <v>51</v>
      </c>
      <c r="FB193" s="33" t="s">
        <v>473</v>
      </c>
      <c r="FC193" s="33" t="s">
        <v>53</v>
      </c>
      <c r="FD193" s="33" t="s">
        <v>476</v>
      </c>
      <c r="FE193" s="33">
        <v>2020</v>
      </c>
      <c r="FF193" s="33" t="s">
        <v>474</v>
      </c>
      <c r="FG193" s="33" t="s">
        <v>470</v>
      </c>
      <c r="FH193" s="33" t="s">
        <v>471</v>
      </c>
      <c r="FI193" s="33" t="s">
        <v>467</v>
      </c>
      <c r="FJ193" t="s">
        <v>474</v>
      </c>
      <c r="FM193" s="32" t="s">
        <v>528</v>
      </c>
      <c r="FN193" t="s">
        <v>529</v>
      </c>
      <c r="FO193" t="s">
        <v>530</v>
      </c>
      <c r="FP193" t="str">
        <f t="shared" ref="FP193:FP256" si="80">VLOOKUP(FO193,EX:FF,9,0)</f>
        <v>B</v>
      </c>
      <c r="GU193" s="53">
        <v>190</v>
      </c>
      <c r="GV193" s="53">
        <v>187</v>
      </c>
    </row>
    <row r="194" spans="1:204" ht="15.5" x14ac:dyDescent="0.35">
      <c r="A194" s="95">
        <f t="shared" si="62"/>
        <v>1</v>
      </c>
      <c r="B194" s="11"/>
      <c r="C194" s="11"/>
      <c r="D194" s="92" t="str">
        <f>IFERROR(
IF(AND(OR(Planilla!B194="C",Planilla!B194="c"), VLOOKUP(E194,EX:FJ,13,0)="C"), "OK",IF(AND(OR(Planilla!B194="C",Planilla!B194="c"), OR(VLOOKUP(E194,EX:FJ,13,0)="B", VLOOKUP(E194,EX:FJ,13,0)="A")), "DEFICIT",IF(
AND(OR(Planilla!B194="B", Planilla!B194="BPAL"), VLOOKUP(E194,EX:FJ,13,0)="B"), "OK",IF(AND(OR(Planilla!B194="B", Planilla!B194="BPAL"), VLOOKUP(E194,EX:FJ,13,0)="A"), "DEFICIT",IF(AND(OR(Planilla!B194="B", Planilla!B194="BPAL"), VLOOKUP(E194,EX:FJ,13,0)="C"), "SOBREOFERTA",IF(AND(Planilla!B194="A", VLOOKUP(E194,EX:FJ,13,0)="A"), "OK",IF(
AND(Planilla!B194="A", OR(VLOOKUP(E194,EX:FJ,13,0)="B", VLOOKUP(E194,EX:FJ,13,0)="C")), "SOBREOFERTA",""
))))))),"")</f>
        <v/>
      </c>
      <c r="E194" s="12"/>
      <c r="F194" s="13"/>
      <c r="G194" s="14"/>
      <c r="H194" s="81" t="str">
        <f t="shared" si="63"/>
        <v/>
      </c>
      <c r="I194" s="7"/>
      <c r="J194" s="6" t="e">
        <f t="shared" si="64"/>
        <v>#N/A</v>
      </c>
      <c r="K194" s="6" t="str">
        <f>IF(A195&lt;&gt;A194,AVERAGEIF(A$9:A194,A194,J$9:J194),"")</f>
        <v/>
      </c>
      <c r="L194" s="7" t="str">
        <f>IFERROR(IF(A195&lt;&gt;A194,AVERAGEIF(A$9:A194,A194,S$9:S194),""),"")</f>
        <v/>
      </c>
      <c r="M194" s="7" t="str">
        <f>IFERROR(IF(A195&lt;&gt;A194,AVERAGEIF(A$9:A194,A194,T$9:T194),""),"")</f>
        <v/>
      </c>
      <c r="N194" s="7" t="str" cm="1">
        <f t="array" ref="N194">IFERROR(IF(A195&lt;&gt;A194,_xlfn.STDEV.P(IF(A$9:A194=A194,T$9:T194)),""),"")</f>
        <v/>
      </c>
      <c r="O194" s="7" t="str" cm="1">
        <f t="array" ref="O194">IFERROR(IF(A195&lt;&gt;A194,_xlfn.STDEV.P(IF(A$9:A194=A194,S$9:S194)),""),"")</f>
        <v/>
      </c>
      <c r="P194" s="8" t="str">
        <f t="shared" si="65"/>
        <v/>
      </c>
      <c r="Q194" s="8" t="str">
        <f t="shared" si="66"/>
        <v/>
      </c>
      <c r="R194" s="8" t="str">
        <f t="shared" si="67"/>
        <v/>
      </c>
      <c r="S194" s="9" t="str">
        <f t="shared" si="68"/>
        <v/>
      </c>
      <c r="T194" s="9" t="str">
        <f t="shared" si="69"/>
        <v/>
      </c>
      <c r="U194" s="14"/>
      <c r="V194" s="15"/>
      <c r="W194" s="14" t="str">
        <f t="shared" si="70"/>
        <v/>
      </c>
      <c r="X194" s="15"/>
      <c r="Y194" s="2"/>
      <c r="AB194" s="22">
        <f t="shared" si="71"/>
        <v>1</v>
      </c>
      <c r="AC194" s="11"/>
      <c r="AD194" s="11"/>
      <c r="AE194" s="13"/>
      <c r="AF194" s="12"/>
      <c r="AG194" s="13"/>
      <c r="AH194" s="14"/>
      <c r="AI194" s="81" t="str">
        <f t="shared" si="72"/>
        <v/>
      </c>
      <c r="AJ194" s="15"/>
      <c r="AK194" s="6" t="e">
        <f t="shared" si="73"/>
        <v>#N/A</v>
      </c>
      <c r="AL194" s="6" t="str">
        <f>IF(AB195&lt;&gt;AB194,AVERAGEIF(AB$9:AB194,AB194,AK$9:AK194),"")</f>
        <v/>
      </c>
      <c r="AM194" s="7" t="str">
        <f>IFERROR(IF(AB195&lt;&gt;AB194,AVERAGEIF(AB$9:AB194,AB194,AT$9:AT194),""),"")</f>
        <v/>
      </c>
      <c r="AN194" s="7" t="str">
        <f>IFERROR(IF(AB195&lt;&gt;AB194,AVERAGEIF(AB$9:AB194,AB194,AU$9:AU194),""),"")</f>
        <v/>
      </c>
      <c r="AO194" s="7" t="str" cm="1">
        <f t="array" ref="AO194">IFERROR(IF(AB195&lt;&gt;AB194,_xlfn.STDEV.P(IF(AB$9:AB194=AB194,AU$9:AU194)),""),"")</f>
        <v/>
      </c>
      <c r="AP194" s="7" t="str" cm="1">
        <f t="array" ref="AP194">IFERROR(IF(AB195&lt;&gt;AB194,_xlfn.STDEV.P(IF(AB$9:AB194=AB194,AT$9:AT194)),""),"")</f>
        <v/>
      </c>
      <c r="AQ194" s="8" t="str">
        <f t="shared" si="74"/>
        <v/>
      </c>
      <c r="AR194" s="8" t="str">
        <f t="shared" si="75"/>
        <v/>
      </c>
      <c r="AS194" s="8" t="str">
        <f t="shared" si="76"/>
        <v/>
      </c>
      <c r="AT194" s="9" t="str">
        <f t="shared" si="77"/>
        <v/>
      </c>
      <c r="AU194" s="9" t="str">
        <f t="shared" si="78"/>
        <v/>
      </c>
      <c r="AV194" s="14"/>
      <c r="AW194" s="15"/>
      <c r="AX194" s="14" t="str">
        <f t="shared" si="79"/>
        <v/>
      </c>
      <c r="AY194" s="15"/>
      <c r="AZ194" s="23"/>
      <c r="EW194" t="s">
        <v>46</v>
      </c>
      <c r="EX194" s="33">
        <v>1184</v>
      </c>
      <c r="EY194" s="33" t="s">
        <v>536</v>
      </c>
      <c r="EZ194" s="33">
        <v>508655</v>
      </c>
      <c r="FA194" s="33" t="s">
        <v>51</v>
      </c>
      <c r="FB194" s="33" t="s">
        <v>473</v>
      </c>
      <c r="FC194" s="33" t="s">
        <v>53</v>
      </c>
      <c r="FD194" s="33" t="s">
        <v>476</v>
      </c>
      <c r="FE194" s="33">
        <v>2020</v>
      </c>
      <c r="FF194" s="33" t="s">
        <v>474</v>
      </c>
      <c r="FG194" s="33" t="s">
        <v>477</v>
      </c>
      <c r="FH194" s="33" t="s">
        <v>478</v>
      </c>
      <c r="FI194" s="33" t="s">
        <v>479</v>
      </c>
      <c r="FJ194" t="s">
        <v>474</v>
      </c>
      <c r="FM194" s="32" t="s">
        <v>537</v>
      </c>
      <c r="FN194" t="s">
        <v>538</v>
      </c>
      <c r="FO194" t="s">
        <v>539</v>
      </c>
      <c r="FP194" t="str">
        <f t="shared" si="80"/>
        <v>B</v>
      </c>
      <c r="GU194" s="53">
        <v>191</v>
      </c>
      <c r="GV194" s="53">
        <v>188</v>
      </c>
    </row>
    <row r="195" spans="1:204" ht="15.5" x14ac:dyDescent="0.35">
      <c r="A195" s="95">
        <f t="shared" si="62"/>
        <v>1</v>
      </c>
      <c r="B195" s="11"/>
      <c r="C195" s="11"/>
      <c r="D195" s="92" t="str">
        <f>IFERROR(
IF(AND(OR(Planilla!B195="C",Planilla!B195="c"), VLOOKUP(E195,EX:FJ,13,0)="C"), "OK",IF(AND(OR(Planilla!B195="C",Planilla!B195="c"), OR(VLOOKUP(E195,EX:FJ,13,0)="B", VLOOKUP(E195,EX:FJ,13,0)="A")), "DEFICIT",IF(
AND(OR(Planilla!B195="B", Planilla!B195="BPAL"), VLOOKUP(E195,EX:FJ,13,0)="B"), "OK",IF(AND(OR(Planilla!B195="B", Planilla!B195="BPAL"), VLOOKUP(E195,EX:FJ,13,0)="A"), "DEFICIT",IF(AND(OR(Planilla!B195="B", Planilla!B195="BPAL"), VLOOKUP(E195,EX:FJ,13,0)="C"), "SOBREOFERTA",IF(AND(Planilla!B195="A", VLOOKUP(E195,EX:FJ,13,0)="A"), "OK",IF(
AND(Planilla!B195="A", OR(VLOOKUP(E195,EX:FJ,13,0)="B", VLOOKUP(E195,EX:FJ,13,0)="C")), "SOBREOFERTA",""
))))))),"")</f>
        <v/>
      </c>
      <c r="E195" s="12"/>
      <c r="F195" s="13"/>
      <c r="G195" s="14"/>
      <c r="H195" s="81" t="str">
        <f t="shared" si="63"/>
        <v/>
      </c>
      <c r="I195" s="7"/>
      <c r="J195" s="6" t="e">
        <f t="shared" si="64"/>
        <v>#N/A</v>
      </c>
      <c r="K195" s="6" t="str">
        <f>IF(A196&lt;&gt;A195,AVERAGEIF(A$9:A195,A195,J$9:J195),"")</f>
        <v/>
      </c>
      <c r="L195" s="7" t="str">
        <f>IFERROR(IF(A196&lt;&gt;A195,AVERAGEIF(A$9:A195,A195,S$9:S195),""),"")</f>
        <v/>
      </c>
      <c r="M195" s="7" t="str">
        <f>IFERROR(IF(A196&lt;&gt;A195,AVERAGEIF(A$9:A195,A195,T$9:T195),""),"")</f>
        <v/>
      </c>
      <c r="N195" s="7" t="str" cm="1">
        <f t="array" ref="N195">IFERROR(IF(A196&lt;&gt;A195,_xlfn.STDEV.P(IF(A$9:A195=A195,T$9:T195)),""),"")</f>
        <v/>
      </c>
      <c r="O195" s="7" t="str" cm="1">
        <f t="array" ref="O195">IFERROR(IF(A196&lt;&gt;A195,_xlfn.STDEV.P(IF(A$9:A195=A195,S$9:S195)),""),"")</f>
        <v/>
      </c>
      <c r="P195" s="8" t="str">
        <f t="shared" si="65"/>
        <v/>
      </c>
      <c r="Q195" s="8" t="str">
        <f t="shared" si="66"/>
        <v/>
      </c>
      <c r="R195" s="8" t="str">
        <f t="shared" si="67"/>
        <v/>
      </c>
      <c r="S195" s="9" t="str">
        <f t="shared" si="68"/>
        <v/>
      </c>
      <c r="T195" s="9" t="str">
        <f t="shared" si="69"/>
        <v/>
      </c>
      <c r="U195" s="14"/>
      <c r="V195" s="15"/>
      <c r="W195" s="14" t="str">
        <f t="shared" si="70"/>
        <v/>
      </c>
      <c r="X195" s="15"/>
      <c r="Y195" s="2"/>
      <c r="AB195" s="22">
        <f t="shared" si="71"/>
        <v>1</v>
      </c>
      <c r="AC195" s="11"/>
      <c r="AD195" s="11"/>
      <c r="AE195" s="13"/>
      <c r="AF195" s="12"/>
      <c r="AG195" s="13"/>
      <c r="AH195" s="14"/>
      <c r="AI195" s="81" t="str">
        <f t="shared" si="72"/>
        <v/>
      </c>
      <c r="AJ195" s="15"/>
      <c r="AK195" s="6" t="e">
        <f t="shared" si="73"/>
        <v>#N/A</v>
      </c>
      <c r="AL195" s="6" t="str">
        <f>IF(AB196&lt;&gt;AB195,AVERAGEIF(AB$9:AB195,AB195,AK$9:AK195),"")</f>
        <v/>
      </c>
      <c r="AM195" s="7" t="str">
        <f>IFERROR(IF(AB196&lt;&gt;AB195,AVERAGEIF(AB$9:AB195,AB195,AT$9:AT195),""),"")</f>
        <v/>
      </c>
      <c r="AN195" s="7" t="str">
        <f>IFERROR(IF(AB196&lt;&gt;AB195,AVERAGEIF(AB$9:AB195,AB195,AU$9:AU195),""),"")</f>
        <v/>
      </c>
      <c r="AO195" s="7" t="str" cm="1">
        <f t="array" ref="AO195">IFERROR(IF(AB196&lt;&gt;AB195,_xlfn.STDEV.P(IF(AB$9:AB195=AB195,AU$9:AU195)),""),"")</f>
        <v/>
      </c>
      <c r="AP195" s="7" t="str" cm="1">
        <f t="array" ref="AP195">IFERROR(IF(AB196&lt;&gt;AB195,_xlfn.STDEV.P(IF(AB$9:AB195=AB195,AT$9:AT195)),""),"")</f>
        <v/>
      </c>
      <c r="AQ195" s="8" t="str">
        <f t="shared" si="74"/>
        <v/>
      </c>
      <c r="AR195" s="8" t="str">
        <f t="shared" si="75"/>
        <v/>
      </c>
      <c r="AS195" s="8" t="str">
        <f t="shared" si="76"/>
        <v/>
      </c>
      <c r="AT195" s="9" t="str">
        <f t="shared" si="77"/>
        <v/>
      </c>
      <c r="AU195" s="9" t="str">
        <f t="shared" si="78"/>
        <v/>
      </c>
      <c r="AV195" s="14"/>
      <c r="AW195" s="15"/>
      <c r="AX195" s="14" t="str">
        <f t="shared" si="79"/>
        <v/>
      </c>
      <c r="AY195" s="15"/>
      <c r="AZ195" s="23"/>
      <c r="EW195" t="s">
        <v>46</v>
      </c>
      <c r="EX195" s="33">
        <v>1185</v>
      </c>
      <c r="EY195" s="33" t="s">
        <v>540</v>
      </c>
      <c r="EZ195" s="33">
        <v>508198</v>
      </c>
      <c r="FA195" s="33" t="s">
        <v>51</v>
      </c>
      <c r="FB195" s="33" t="s">
        <v>473</v>
      </c>
      <c r="FC195" s="33" t="s">
        <v>53</v>
      </c>
      <c r="FD195" s="33" t="s">
        <v>476</v>
      </c>
      <c r="FE195" s="33">
        <v>2020</v>
      </c>
      <c r="FF195" s="33" t="s">
        <v>474</v>
      </c>
      <c r="FG195" s="33" t="s">
        <v>477</v>
      </c>
      <c r="FH195" s="33" t="s">
        <v>478</v>
      </c>
      <c r="FI195" s="33" t="s">
        <v>479</v>
      </c>
      <c r="FJ195" t="s">
        <v>474</v>
      </c>
      <c r="FM195" s="32" t="s">
        <v>537</v>
      </c>
      <c r="FN195" t="s">
        <v>538</v>
      </c>
      <c r="FO195" t="s">
        <v>539</v>
      </c>
      <c r="FP195" t="str">
        <f t="shared" si="80"/>
        <v>B</v>
      </c>
      <c r="GU195" s="53">
        <v>192</v>
      </c>
      <c r="GV195" s="53">
        <v>189</v>
      </c>
    </row>
    <row r="196" spans="1:204" ht="15.5" x14ac:dyDescent="0.35">
      <c r="A196" s="95">
        <f t="shared" si="62"/>
        <v>1</v>
      </c>
      <c r="B196" s="11"/>
      <c r="C196" s="11"/>
      <c r="D196" s="92" t="str">
        <f>IFERROR(
IF(AND(OR(Planilla!B196="C",Planilla!B196="c"), VLOOKUP(E196,EX:FJ,13,0)="C"), "OK",IF(AND(OR(Planilla!B196="C",Planilla!B196="c"), OR(VLOOKUP(E196,EX:FJ,13,0)="B", VLOOKUP(E196,EX:FJ,13,0)="A")), "DEFICIT",IF(
AND(OR(Planilla!B196="B", Planilla!B196="BPAL"), VLOOKUP(E196,EX:FJ,13,0)="B"), "OK",IF(AND(OR(Planilla!B196="B", Planilla!B196="BPAL"), VLOOKUP(E196,EX:FJ,13,0)="A"), "DEFICIT",IF(AND(OR(Planilla!B196="B", Planilla!B196="BPAL"), VLOOKUP(E196,EX:FJ,13,0)="C"), "SOBREOFERTA",IF(AND(Planilla!B196="A", VLOOKUP(E196,EX:FJ,13,0)="A"), "OK",IF(
AND(Planilla!B196="A", OR(VLOOKUP(E196,EX:FJ,13,0)="B", VLOOKUP(E196,EX:FJ,13,0)="C")), "SOBREOFERTA",""
))))))),"")</f>
        <v/>
      </c>
      <c r="E196" s="12"/>
      <c r="F196" s="13"/>
      <c r="G196" s="14"/>
      <c r="H196" s="81" t="str">
        <f t="shared" si="63"/>
        <v/>
      </c>
      <c r="I196" s="7"/>
      <c r="J196" s="6" t="e">
        <f t="shared" si="64"/>
        <v>#N/A</v>
      </c>
      <c r="K196" s="6" t="str">
        <f>IF(A197&lt;&gt;A196,AVERAGEIF(A$9:A196,A196,J$9:J196),"")</f>
        <v/>
      </c>
      <c r="L196" s="7" t="str">
        <f>IFERROR(IF(A197&lt;&gt;A196,AVERAGEIF(A$9:A196,A196,S$9:S196),""),"")</f>
        <v/>
      </c>
      <c r="M196" s="7" t="str">
        <f>IFERROR(IF(A197&lt;&gt;A196,AVERAGEIF(A$9:A196,A196,T$9:T196),""),"")</f>
        <v/>
      </c>
      <c r="N196" s="7" t="str" cm="1">
        <f t="array" ref="N196">IFERROR(IF(A197&lt;&gt;A196,_xlfn.STDEV.P(IF(A$9:A196=A196,T$9:T196)),""),"")</f>
        <v/>
      </c>
      <c r="O196" s="7" t="str" cm="1">
        <f t="array" ref="O196">IFERROR(IF(A197&lt;&gt;A196,_xlfn.STDEV.P(IF(A$9:A196=A196,S$9:S196)),""),"")</f>
        <v/>
      </c>
      <c r="P196" s="8" t="str">
        <f t="shared" si="65"/>
        <v/>
      </c>
      <c r="Q196" s="8" t="str">
        <f t="shared" si="66"/>
        <v/>
      </c>
      <c r="R196" s="8" t="str">
        <f t="shared" si="67"/>
        <v/>
      </c>
      <c r="S196" s="9" t="str">
        <f t="shared" si="68"/>
        <v/>
      </c>
      <c r="T196" s="9" t="str">
        <f t="shared" si="69"/>
        <v/>
      </c>
      <c r="U196" s="14"/>
      <c r="V196" s="15"/>
      <c r="W196" s="14" t="str">
        <f t="shared" si="70"/>
        <v/>
      </c>
      <c r="X196" s="15"/>
      <c r="Y196" s="2"/>
      <c r="AB196" s="22">
        <f t="shared" si="71"/>
        <v>1</v>
      </c>
      <c r="AC196" s="11"/>
      <c r="AD196" s="11"/>
      <c r="AE196" s="13"/>
      <c r="AF196" s="12"/>
      <c r="AG196" s="13"/>
      <c r="AH196" s="14"/>
      <c r="AI196" s="81" t="str">
        <f t="shared" si="72"/>
        <v/>
      </c>
      <c r="AJ196" s="15"/>
      <c r="AK196" s="6" t="e">
        <f t="shared" si="73"/>
        <v>#N/A</v>
      </c>
      <c r="AL196" s="6" t="str">
        <f>IF(AB197&lt;&gt;AB196,AVERAGEIF(AB$9:AB196,AB196,AK$9:AK196),"")</f>
        <v/>
      </c>
      <c r="AM196" s="7" t="str">
        <f>IFERROR(IF(AB197&lt;&gt;AB196,AVERAGEIF(AB$9:AB196,AB196,AT$9:AT196),""),"")</f>
        <v/>
      </c>
      <c r="AN196" s="7" t="str">
        <f>IFERROR(IF(AB197&lt;&gt;AB196,AVERAGEIF(AB$9:AB196,AB196,AU$9:AU196),""),"")</f>
        <v/>
      </c>
      <c r="AO196" s="7" t="str" cm="1">
        <f t="array" ref="AO196">IFERROR(IF(AB197&lt;&gt;AB196,_xlfn.STDEV.P(IF(AB$9:AB196=AB196,AU$9:AU196)),""),"")</f>
        <v/>
      </c>
      <c r="AP196" s="7" t="str" cm="1">
        <f t="array" ref="AP196">IFERROR(IF(AB197&lt;&gt;AB196,_xlfn.STDEV.P(IF(AB$9:AB196=AB196,AT$9:AT196)),""),"")</f>
        <v/>
      </c>
      <c r="AQ196" s="8" t="str">
        <f t="shared" si="74"/>
        <v/>
      </c>
      <c r="AR196" s="8" t="str">
        <f t="shared" si="75"/>
        <v/>
      </c>
      <c r="AS196" s="8" t="str">
        <f t="shared" si="76"/>
        <v/>
      </c>
      <c r="AT196" s="9" t="str">
        <f t="shared" si="77"/>
        <v/>
      </c>
      <c r="AU196" s="9" t="str">
        <f t="shared" si="78"/>
        <v/>
      </c>
      <c r="AV196" s="14"/>
      <c r="AW196" s="15"/>
      <c r="AX196" s="14" t="str">
        <f t="shared" si="79"/>
        <v/>
      </c>
      <c r="AY196" s="15"/>
      <c r="AZ196" s="23"/>
      <c r="EW196" t="s">
        <v>46</v>
      </c>
      <c r="EX196" s="33">
        <v>1232</v>
      </c>
      <c r="EY196" s="33" t="s">
        <v>541</v>
      </c>
      <c r="EZ196" s="33">
        <v>509348</v>
      </c>
      <c r="FA196" s="33" t="s">
        <v>51</v>
      </c>
      <c r="FB196" s="33" t="s">
        <v>473</v>
      </c>
      <c r="FC196" s="33" t="s">
        <v>53</v>
      </c>
      <c r="FD196" s="33" t="s">
        <v>476</v>
      </c>
      <c r="FE196" s="33">
        <v>2020</v>
      </c>
      <c r="FF196" s="33" t="s">
        <v>474</v>
      </c>
      <c r="FG196" s="33" t="s">
        <v>470</v>
      </c>
      <c r="FH196" s="33" t="s">
        <v>471</v>
      </c>
      <c r="FI196" s="33" t="s">
        <v>467</v>
      </c>
      <c r="FJ196" t="s">
        <v>474</v>
      </c>
      <c r="FM196" s="32" t="s">
        <v>537</v>
      </c>
      <c r="FN196" t="s">
        <v>538</v>
      </c>
      <c r="FO196" t="s">
        <v>539</v>
      </c>
      <c r="FP196" t="str">
        <f t="shared" si="80"/>
        <v>B</v>
      </c>
      <c r="GU196" s="53">
        <v>193</v>
      </c>
      <c r="GV196" s="53">
        <v>190</v>
      </c>
    </row>
    <row r="197" spans="1:204" ht="15.5" x14ac:dyDescent="0.35">
      <c r="A197" s="95">
        <f t="shared" si="62"/>
        <v>1</v>
      </c>
      <c r="B197" s="11"/>
      <c r="C197" s="11"/>
      <c r="D197" s="92" t="str">
        <f>IFERROR(
IF(AND(OR(Planilla!B197="C",Planilla!B197="c"), VLOOKUP(E197,EX:FJ,13,0)="C"), "OK",IF(AND(OR(Planilla!B197="C",Planilla!B197="c"), OR(VLOOKUP(E197,EX:FJ,13,0)="B", VLOOKUP(E197,EX:FJ,13,0)="A")), "DEFICIT",IF(
AND(OR(Planilla!B197="B", Planilla!B197="BPAL"), VLOOKUP(E197,EX:FJ,13,0)="B"), "OK",IF(AND(OR(Planilla!B197="B", Planilla!B197="BPAL"), VLOOKUP(E197,EX:FJ,13,0)="A"), "DEFICIT",IF(AND(OR(Planilla!B197="B", Planilla!B197="BPAL"), VLOOKUP(E197,EX:FJ,13,0)="C"), "SOBREOFERTA",IF(AND(Planilla!B197="A", VLOOKUP(E197,EX:FJ,13,0)="A"), "OK",IF(
AND(Planilla!B197="A", OR(VLOOKUP(E197,EX:FJ,13,0)="B", VLOOKUP(E197,EX:FJ,13,0)="C")), "SOBREOFERTA",""
))))))),"")</f>
        <v/>
      </c>
      <c r="E197" s="12"/>
      <c r="F197" s="13"/>
      <c r="G197" s="14"/>
      <c r="H197" s="81" t="str">
        <f t="shared" si="63"/>
        <v/>
      </c>
      <c r="I197" s="7"/>
      <c r="J197" s="6" t="e">
        <f t="shared" si="64"/>
        <v>#N/A</v>
      </c>
      <c r="K197" s="6" t="str">
        <f>IF(A198&lt;&gt;A197,AVERAGEIF(A$9:A197,A197,J$9:J197),"")</f>
        <v/>
      </c>
      <c r="L197" s="7" t="str">
        <f>IFERROR(IF(A198&lt;&gt;A197,AVERAGEIF(A$9:A197,A197,S$9:S197),""),"")</f>
        <v/>
      </c>
      <c r="M197" s="7" t="str">
        <f>IFERROR(IF(A198&lt;&gt;A197,AVERAGEIF(A$9:A197,A197,T$9:T197),""),"")</f>
        <v/>
      </c>
      <c r="N197" s="7" t="str" cm="1">
        <f t="array" ref="N197">IFERROR(IF(A198&lt;&gt;A197,_xlfn.STDEV.P(IF(A$9:A197=A197,T$9:T197)),""),"")</f>
        <v/>
      </c>
      <c r="O197" s="7" t="str" cm="1">
        <f t="array" ref="O197">IFERROR(IF(A198&lt;&gt;A197,_xlfn.STDEV.P(IF(A$9:A197=A197,S$9:S197)),""),"")</f>
        <v/>
      </c>
      <c r="P197" s="8" t="str">
        <f t="shared" si="65"/>
        <v/>
      </c>
      <c r="Q197" s="8" t="str">
        <f t="shared" si="66"/>
        <v/>
      </c>
      <c r="R197" s="8" t="str">
        <f t="shared" si="67"/>
        <v/>
      </c>
      <c r="S197" s="9" t="str">
        <f t="shared" si="68"/>
        <v/>
      </c>
      <c r="T197" s="9" t="str">
        <f t="shared" si="69"/>
        <v/>
      </c>
      <c r="U197" s="14"/>
      <c r="V197" s="15"/>
      <c r="W197" s="14" t="str">
        <f t="shared" si="70"/>
        <v/>
      </c>
      <c r="X197" s="15"/>
      <c r="Y197" s="2"/>
      <c r="AB197" s="22">
        <f t="shared" si="71"/>
        <v>1</v>
      </c>
      <c r="AC197" s="11"/>
      <c r="AD197" s="11"/>
      <c r="AE197" s="13"/>
      <c r="AF197" s="12"/>
      <c r="AG197" s="13"/>
      <c r="AH197" s="14"/>
      <c r="AI197" s="81" t="str">
        <f t="shared" si="72"/>
        <v/>
      </c>
      <c r="AJ197" s="15"/>
      <c r="AK197" s="6" t="e">
        <f t="shared" si="73"/>
        <v>#N/A</v>
      </c>
      <c r="AL197" s="6" t="str">
        <f>IF(AB198&lt;&gt;AB197,AVERAGEIF(AB$9:AB197,AB197,AK$9:AK197),"")</f>
        <v/>
      </c>
      <c r="AM197" s="7" t="str">
        <f>IFERROR(IF(AB198&lt;&gt;AB197,AVERAGEIF(AB$9:AB197,AB197,AT$9:AT197),""),"")</f>
        <v/>
      </c>
      <c r="AN197" s="7" t="str">
        <f>IFERROR(IF(AB198&lt;&gt;AB197,AVERAGEIF(AB$9:AB197,AB197,AU$9:AU197),""),"")</f>
        <v/>
      </c>
      <c r="AO197" s="7" t="str" cm="1">
        <f t="array" ref="AO197">IFERROR(IF(AB198&lt;&gt;AB197,_xlfn.STDEV.P(IF(AB$9:AB197=AB197,AU$9:AU197)),""),"")</f>
        <v/>
      </c>
      <c r="AP197" s="7" t="str" cm="1">
        <f t="array" ref="AP197">IFERROR(IF(AB198&lt;&gt;AB197,_xlfn.STDEV.P(IF(AB$9:AB197=AB197,AT$9:AT197)),""),"")</f>
        <v/>
      </c>
      <c r="AQ197" s="8" t="str">
        <f t="shared" si="74"/>
        <v/>
      </c>
      <c r="AR197" s="8" t="str">
        <f t="shared" si="75"/>
        <v/>
      </c>
      <c r="AS197" s="8" t="str">
        <f t="shared" si="76"/>
        <v/>
      </c>
      <c r="AT197" s="9" t="str">
        <f t="shared" si="77"/>
        <v/>
      </c>
      <c r="AU197" s="9" t="str">
        <f t="shared" si="78"/>
        <v/>
      </c>
      <c r="AV197" s="14"/>
      <c r="AW197" s="15"/>
      <c r="AX197" s="14" t="str">
        <f t="shared" si="79"/>
        <v/>
      </c>
      <c r="AY197" s="15"/>
      <c r="AZ197" s="23"/>
      <c r="EW197" t="s">
        <v>46</v>
      </c>
      <c r="EX197" s="33">
        <v>1233</v>
      </c>
      <c r="EY197" s="33" t="s">
        <v>542</v>
      </c>
      <c r="EZ197" s="33">
        <v>509467</v>
      </c>
      <c r="FA197" s="33" t="s">
        <v>51</v>
      </c>
      <c r="FB197" s="33" t="s">
        <v>473</v>
      </c>
      <c r="FC197" s="33" t="s">
        <v>53</v>
      </c>
      <c r="FD197" s="33" t="s">
        <v>476</v>
      </c>
      <c r="FE197" s="33">
        <v>2020</v>
      </c>
      <c r="FF197" s="33" t="s">
        <v>474</v>
      </c>
      <c r="FG197" s="33" t="s">
        <v>470</v>
      </c>
      <c r="FH197" s="33" t="s">
        <v>471</v>
      </c>
      <c r="FI197" s="33" t="s">
        <v>467</v>
      </c>
      <c r="FJ197" t="s">
        <v>474</v>
      </c>
      <c r="FM197" s="32" t="s">
        <v>537</v>
      </c>
      <c r="FN197" t="s">
        <v>538</v>
      </c>
      <c r="FO197" t="s">
        <v>539</v>
      </c>
      <c r="FP197" t="str">
        <f t="shared" si="80"/>
        <v>B</v>
      </c>
      <c r="GU197" s="53">
        <v>194</v>
      </c>
      <c r="GV197" s="53">
        <v>191</v>
      </c>
    </row>
    <row r="198" spans="1:204" ht="15.5" x14ac:dyDescent="0.35">
      <c r="A198" s="95">
        <f t="shared" si="62"/>
        <v>1</v>
      </c>
      <c r="B198" s="11"/>
      <c r="C198" s="11"/>
      <c r="D198" s="92" t="str">
        <f>IFERROR(
IF(AND(OR(Planilla!B198="C",Planilla!B198="c"), VLOOKUP(E198,EX:FJ,13,0)="C"), "OK",IF(AND(OR(Planilla!B198="C",Planilla!B198="c"), OR(VLOOKUP(E198,EX:FJ,13,0)="B", VLOOKUP(E198,EX:FJ,13,0)="A")), "DEFICIT",IF(
AND(OR(Planilla!B198="B", Planilla!B198="BPAL"), VLOOKUP(E198,EX:FJ,13,0)="B"), "OK",IF(AND(OR(Planilla!B198="B", Planilla!B198="BPAL"), VLOOKUP(E198,EX:FJ,13,0)="A"), "DEFICIT",IF(AND(OR(Planilla!B198="B", Planilla!B198="BPAL"), VLOOKUP(E198,EX:FJ,13,0)="C"), "SOBREOFERTA",IF(AND(Planilla!B198="A", VLOOKUP(E198,EX:FJ,13,0)="A"), "OK",IF(
AND(Planilla!B198="A", OR(VLOOKUP(E198,EX:FJ,13,0)="B", VLOOKUP(E198,EX:FJ,13,0)="C")), "SOBREOFERTA",""
))))))),"")</f>
        <v/>
      </c>
      <c r="E198" s="12"/>
      <c r="F198" s="13"/>
      <c r="G198" s="14"/>
      <c r="H198" s="81" t="str">
        <f t="shared" si="63"/>
        <v/>
      </c>
      <c r="I198" s="7"/>
      <c r="J198" s="6" t="e">
        <f t="shared" si="64"/>
        <v>#N/A</v>
      </c>
      <c r="K198" s="6" t="str">
        <f>IF(A199&lt;&gt;A198,AVERAGEIF(A$9:A198,A198,J$9:J198),"")</f>
        <v/>
      </c>
      <c r="L198" s="7" t="str">
        <f>IFERROR(IF(A199&lt;&gt;A198,AVERAGEIF(A$9:A198,A198,S$9:S198),""),"")</f>
        <v/>
      </c>
      <c r="M198" s="7" t="str">
        <f>IFERROR(IF(A199&lt;&gt;A198,AVERAGEIF(A$9:A198,A198,T$9:T198),""),"")</f>
        <v/>
      </c>
      <c r="N198" s="7" t="str" cm="1">
        <f t="array" ref="N198">IFERROR(IF(A199&lt;&gt;A198,_xlfn.STDEV.P(IF(A$9:A198=A198,T$9:T198)),""),"")</f>
        <v/>
      </c>
      <c r="O198" s="7" t="str" cm="1">
        <f t="array" ref="O198">IFERROR(IF(A199&lt;&gt;A198,_xlfn.STDEV.P(IF(A$9:A198=A198,S$9:S198)),""),"")</f>
        <v/>
      </c>
      <c r="P198" s="8" t="str">
        <f t="shared" si="65"/>
        <v/>
      </c>
      <c r="Q198" s="8" t="str">
        <f t="shared" si="66"/>
        <v/>
      </c>
      <c r="R198" s="8" t="str">
        <f t="shared" si="67"/>
        <v/>
      </c>
      <c r="S198" s="9" t="str">
        <f t="shared" si="68"/>
        <v/>
      </c>
      <c r="T198" s="9" t="str">
        <f t="shared" si="69"/>
        <v/>
      </c>
      <c r="U198" s="14"/>
      <c r="V198" s="15"/>
      <c r="W198" s="14" t="str">
        <f t="shared" si="70"/>
        <v/>
      </c>
      <c r="X198" s="15"/>
      <c r="Y198" s="2"/>
      <c r="AB198" s="22">
        <f t="shared" si="71"/>
        <v>1</v>
      </c>
      <c r="AC198" s="11"/>
      <c r="AD198" s="11"/>
      <c r="AE198" s="13"/>
      <c r="AF198" s="12"/>
      <c r="AG198" s="13"/>
      <c r="AH198" s="14"/>
      <c r="AI198" s="81" t="str">
        <f t="shared" si="72"/>
        <v/>
      </c>
      <c r="AJ198" s="15"/>
      <c r="AK198" s="6" t="e">
        <f t="shared" si="73"/>
        <v>#N/A</v>
      </c>
      <c r="AL198" s="6" t="str">
        <f>IF(AB199&lt;&gt;AB198,AVERAGEIF(AB$9:AB198,AB198,AK$9:AK198),"")</f>
        <v/>
      </c>
      <c r="AM198" s="7" t="str">
        <f>IFERROR(IF(AB199&lt;&gt;AB198,AVERAGEIF(AB$9:AB198,AB198,AT$9:AT198),""),"")</f>
        <v/>
      </c>
      <c r="AN198" s="7" t="str">
        <f>IFERROR(IF(AB199&lt;&gt;AB198,AVERAGEIF(AB$9:AB198,AB198,AU$9:AU198),""),"")</f>
        <v/>
      </c>
      <c r="AO198" s="7" t="str" cm="1">
        <f t="array" ref="AO198">IFERROR(IF(AB199&lt;&gt;AB198,_xlfn.STDEV.P(IF(AB$9:AB198=AB198,AU$9:AU198)),""),"")</f>
        <v/>
      </c>
      <c r="AP198" s="7" t="str" cm="1">
        <f t="array" ref="AP198">IFERROR(IF(AB199&lt;&gt;AB198,_xlfn.STDEV.P(IF(AB$9:AB198=AB198,AT$9:AT198)),""),"")</f>
        <v/>
      </c>
      <c r="AQ198" s="8" t="str">
        <f t="shared" si="74"/>
        <v/>
      </c>
      <c r="AR198" s="8" t="str">
        <f t="shared" si="75"/>
        <v/>
      </c>
      <c r="AS198" s="8" t="str">
        <f t="shared" si="76"/>
        <v/>
      </c>
      <c r="AT198" s="9" t="str">
        <f t="shared" si="77"/>
        <v/>
      </c>
      <c r="AU198" s="9" t="str">
        <f t="shared" si="78"/>
        <v/>
      </c>
      <c r="AV198" s="14"/>
      <c r="AW198" s="15"/>
      <c r="AX198" s="14" t="str">
        <f t="shared" si="79"/>
        <v/>
      </c>
      <c r="AY198" s="15"/>
      <c r="AZ198" s="23"/>
      <c r="EW198" t="s">
        <v>46</v>
      </c>
      <c r="EX198" s="33">
        <v>1162</v>
      </c>
      <c r="EY198" s="33" t="s">
        <v>543</v>
      </c>
      <c r="EZ198" s="33">
        <v>507981</v>
      </c>
      <c r="FA198" s="33" t="s">
        <v>51</v>
      </c>
      <c r="FB198" s="33" t="s">
        <v>473</v>
      </c>
      <c r="FC198" s="33" t="s">
        <v>53</v>
      </c>
      <c r="FD198" s="33" t="s">
        <v>476</v>
      </c>
      <c r="FE198" s="33">
        <v>2020</v>
      </c>
      <c r="FF198" s="33" t="s">
        <v>474</v>
      </c>
      <c r="FG198" s="33" t="s">
        <v>477</v>
      </c>
      <c r="FH198" s="33" t="s">
        <v>478</v>
      </c>
      <c r="FI198" s="33" t="s">
        <v>479</v>
      </c>
      <c r="FJ198" t="s">
        <v>474</v>
      </c>
      <c r="FM198" s="32" t="s">
        <v>537</v>
      </c>
      <c r="FN198" t="s">
        <v>538</v>
      </c>
      <c r="FO198" t="s">
        <v>539</v>
      </c>
      <c r="FP198" t="str">
        <f t="shared" si="80"/>
        <v>B</v>
      </c>
      <c r="GU198" s="53">
        <v>195</v>
      </c>
      <c r="GV198" s="53">
        <v>192</v>
      </c>
    </row>
    <row r="199" spans="1:204" ht="15.5" x14ac:dyDescent="0.35">
      <c r="A199" s="95">
        <f t="shared" si="62"/>
        <v>1</v>
      </c>
      <c r="B199" s="11"/>
      <c r="C199" s="11"/>
      <c r="D199" s="92" t="str">
        <f>IFERROR(
IF(AND(OR(Planilla!B199="C",Planilla!B199="c"), VLOOKUP(E199,EX:FJ,13,0)="C"), "OK",IF(AND(OR(Planilla!B199="C",Planilla!B199="c"), OR(VLOOKUP(E199,EX:FJ,13,0)="B", VLOOKUP(E199,EX:FJ,13,0)="A")), "DEFICIT",IF(
AND(OR(Planilla!B199="B", Planilla!B199="BPAL"), VLOOKUP(E199,EX:FJ,13,0)="B"), "OK",IF(AND(OR(Planilla!B199="B", Planilla!B199="BPAL"), VLOOKUP(E199,EX:FJ,13,0)="A"), "DEFICIT",IF(AND(OR(Planilla!B199="B", Planilla!B199="BPAL"), VLOOKUP(E199,EX:FJ,13,0)="C"), "SOBREOFERTA",IF(AND(Planilla!B199="A", VLOOKUP(E199,EX:FJ,13,0)="A"), "OK",IF(
AND(Planilla!B199="A", OR(VLOOKUP(E199,EX:FJ,13,0)="B", VLOOKUP(E199,EX:FJ,13,0)="C")), "SOBREOFERTA",""
))))))),"")</f>
        <v/>
      </c>
      <c r="E199" s="12"/>
      <c r="F199" s="13"/>
      <c r="G199" s="14"/>
      <c r="H199" s="81" t="str">
        <f t="shared" si="63"/>
        <v/>
      </c>
      <c r="I199" s="7"/>
      <c r="J199" s="6" t="e">
        <f t="shared" si="64"/>
        <v>#N/A</v>
      </c>
      <c r="K199" s="6" t="str">
        <f>IF(A200&lt;&gt;A199,AVERAGEIF(A$9:A199,A199,J$9:J199),"")</f>
        <v/>
      </c>
      <c r="L199" s="7" t="str">
        <f>IFERROR(IF(A200&lt;&gt;A199,AVERAGEIF(A$9:A199,A199,S$9:S199),""),"")</f>
        <v/>
      </c>
      <c r="M199" s="7" t="str">
        <f>IFERROR(IF(A200&lt;&gt;A199,AVERAGEIF(A$9:A199,A199,T$9:T199),""),"")</f>
        <v/>
      </c>
      <c r="N199" s="7" t="str" cm="1">
        <f t="array" ref="N199">IFERROR(IF(A200&lt;&gt;A199,_xlfn.STDEV.P(IF(A$9:A199=A199,T$9:T199)),""),"")</f>
        <v/>
      </c>
      <c r="O199" s="7" t="str" cm="1">
        <f t="array" ref="O199">IFERROR(IF(A200&lt;&gt;A199,_xlfn.STDEV.P(IF(A$9:A199=A199,S$9:S199)),""),"")</f>
        <v/>
      </c>
      <c r="P199" s="8" t="str">
        <f t="shared" si="65"/>
        <v/>
      </c>
      <c r="Q199" s="8" t="str">
        <f t="shared" si="66"/>
        <v/>
      </c>
      <c r="R199" s="8" t="str">
        <f t="shared" si="67"/>
        <v/>
      </c>
      <c r="S199" s="9" t="str">
        <f t="shared" si="68"/>
        <v/>
      </c>
      <c r="T199" s="9" t="str">
        <f t="shared" si="69"/>
        <v/>
      </c>
      <c r="U199" s="14"/>
      <c r="V199" s="15"/>
      <c r="W199" s="14" t="str">
        <f t="shared" si="70"/>
        <v/>
      </c>
      <c r="X199" s="15"/>
      <c r="Y199" s="2"/>
      <c r="AB199" s="22">
        <f t="shared" si="71"/>
        <v>1</v>
      </c>
      <c r="AC199" s="11"/>
      <c r="AD199" s="11"/>
      <c r="AE199" s="13"/>
      <c r="AF199" s="12"/>
      <c r="AG199" s="13"/>
      <c r="AH199" s="14"/>
      <c r="AI199" s="81" t="str">
        <f t="shared" si="72"/>
        <v/>
      </c>
      <c r="AJ199" s="15"/>
      <c r="AK199" s="6" t="e">
        <f t="shared" si="73"/>
        <v>#N/A</v>
      </c>
      <c r="AL199" s="6" t="str">
        <f>IF(AB200&lt;&gt;AB199,AVERAGEIF(AB$9:AB199,AB199,AK$9:AK199),"")</f>
        <v/>
      </c>
      <c r="AM199" s="7" t="str">
        <f>IFERROR(IF(AB200&lt;&gt;AB199,AVERAGEIF(AB$9:AB199,AB199,AT$9:AT199),""),"")</f>
        <v/>
      </c>
      <c r="AN199" s="7" t="str">
        <f>IFERROR(IF(AB200&lt;&gt;AB199,AVERAGEIF(AB$9:AB199,AB199,AU$9:AU199),""),"")</f>
        <v/>
      </c>
      <c r="AO199" s="7" t="str" cm="1">
        <f t="array" ref="AO199">IFERROR(IF(AB200&lt;&gt;AB199,_xlfn.STDEV.P(IF(AB$9:AB199=AB199,AU$9:AU199)),""),"")</f>
        <v/>
      </c>
      <c r="AP199" s="7" t="str" cm="1">
        <f t="array" ref="AP199">IFERROR(IF(AB200&lt;&gt;AB199,_xlfn.STDEV.P(IF(AB$9:AB199=AB199,AT$9:AT199)),""),"")</f>
        <v/>
      </c>
      <c r="AQ199" s="8" t="str">
        <f t="shared" si="74"/>
        <v/>
      </c>
      <c r="AR199" s="8" t="str">
        <f t="shared" si="75"/>
        <v/>
      </c>
      <c r="AS199" s="8" t="str">
        <f t="shared" si="76"/>
        <v/>
      </c>
      <c r="AT199" s="9" t="str">
        <f t="shared" si="77"/>
        <v/>
      </c>
      <c r="AU199" s="9" t="str">
        <f t="shared" si="78"/>
        <v/>
      </c>
      <c r="AV199" s="14"/>
      <c r="AW199" s="15"/>
      <c r="AX199" s="14" t="str">
        <f t="shared" si="79"/>
        <v/>
      </c>
      <c r="AY199" s="15"/>
      <c r="AZ199" s="23"/>
      <c r="EW199" t="s">
        <v>46</v>
      </c>
      <c r="EX199" s="33">
        <v>1187</v>
      </c>
      <c r="EY199" s="33" t="s">
        <v>544</v>
      </c>
      <c r="EZ199" s="33">
        <v>508404</v>
      </c>
      <c r="FA199" s="33" t="s">
        <v>51</v>
      </c>
      <c r="FB199" s="33" t="s">
        <v>473</v>
      </c>
      <c r="FC199" s="33" t="s">
        <v>53</v>
      </c>
      <c r="FD199" s="33" t="s">
        <v>476</v>
      </c>
      <c r="FE199" s="33">
        <v>2020</v>
      </c>
      <c r="FF199" s="33" t="s">
        <v>474</v>
      </c>
      <c r="FG199" s="33" t="s">
        <v>477</v>
      </c>
      <c r="FH199" s="33" t="s">
        <v>478</v>
      </c>
      <c r="FI199" s="33" t="s">
        <v>479</v>
      </c>
      <c r="FJ199" t="s">
        <v>474</v>
      </c>
      <c r="FM199" s="32" t="s">
        <v>537</v>
      </c>
      <c r="FN199" t="s">
        <v>538</v>
      </c>
      <c r="FO199" t="s">
        <v>539</v>
      </c>
      <c r="FP199" t="str">
        <f t="shared" si="80"/>
        <v>B</v>
      </c>
      <c r="GU199" s="53">
        <v>196</v>
      </c>
      <c r="GV199" s="53">
        <v>193</v>
      </c>
    </row>
    <row r="200" spans="1:204" ht="15.5" x14ac:dyDescent="0.35">
      <c r="A200" s="95">
        <f t="shared" si="62"/>
        <v>1</v>
      </c>
      <c r="B200" s="11"/>
      <c r="C200" s="11"/>
      <c r="D200" s="92" t="str">
        <f>IFERROR(
IF(AND(OR(Planilla!B200="C",Planilla!B200="c"), VLOOKUP(E200,EX:FJ,13,0)="C"), "OK",IF(AND(OR(Planilla!B200="C",Planilla!B200="c"), OR(VLOOKUP(E200,EX:FJ,13,0)="B", VLOOKUP(E200,EX:FJ,13,0)="A")), "DEFICIT",IF(
AND(OR(Planilla!B200="B", Planilla!B200="BPAL"), VLOOKUP(E200,EX:FJ,13,0)="B"), "OK",IF(AND(OR(Planilla!B200="B", Planilla!B200="BPAL"), VLOOKUP(E200,EX:FJ,13,0)="A"), "DEFICIT",IF(AND(OR(Planilla!B200="B", Planilla!B200="BPAL"), VLOOKUP(E200,EX:FJ,13,0)="C"), "SOBREOFERTA",IF(AND(Planilla!B200="A", VLOOKUP(E200,EX:FJ,13,0)="A"), "OK",IF(
AND(Planilla!B200="A", OR(VLOOKUP(E200,EX:FJ,13,0)="B", VLOOKUP(E200,EX:FJ,13,0)="C")), "SOBREOFERTA",""
))))))),"")</f>
        <v/>
      </c>
      <c r="E200" s="12"/>
      <c r="F200" s="13"/>
      <c r="G200" s="14"/>
      <c r="H200" s="81" t="str">
        <f t="shared" si="63"/>
        <v/>
      </c>
      <c r="I200" s="7"/>
      <c r="J200" s="6" t="e">
        <f t="shared" si="64"/>
        <v>#N/A</v>
      </c>
      <c r="K200" s="6" t="str">
        <f>IF(A201&lt;&gt;A200,AVERAGEIF(A$9:A200,A200,J$9:J200),"")</f>
        <v/>
      </c>
      <c r="L200" s="7" t="str">
        <f>IFERROR(IF(A201&lt;&gt;A200,AVERAGEIF(A$9:A200,A200,S$9:S200),""),"")</f>
        <v/>
      </c>
      <c r="M200" s="7" t="str">
        <f>IFERROR(IF(A201&lt;&gt;A200,AVERAGEIF(A$9:A200,A200,T$9:T200),""),"")</f>
        <v/>
      </c>
      <c r="N200" s="7" t="str" cm="1">
        <f t="array" ref="N200">IFERROR(IF(A201&lt;&gt;A200,_xlfn.STDEV.P(IF(A$9:A200=A200,T$9:T200)),""),"")</f>
        <v/>
      </c>
      <c r="O200" s="7" t="str" cm="1">
        <f t="array" ref="O200">IFERROR(IF(A201&lt;&gt;A200,_xlfn.STDEV.P(IF(A$9:A200=A200,S$9:S200)),""),"")</f>
        <v/>
      </c>
      <c r="P200" s="8" t="str">
        <f t="shared" si="65"/>
        <v/>
      </c>
      <c r="Q200" s="8" t="str">
        <f t="shared" si="66"/>
        <v/>
      </c>
      <c r="R200" s="8" t="str">
        <f t="shared" si="67"/>
        <v/>
      </c>
      <c r="S200" s="9" t="str">
        <f t="shared" si="68"/>
        <v/>
      </c>
      <c r="T200" s="9" t="str">
        <f t="shared" si="69"/>
        <v/>
      </c>
      <c r="U200" s="14"/>
      <c r="V200" s="15"/>
      <c r="W200" s="14" t="str">
        <f t="shared" si="70"/>
        <v/>
      </c>
      <c r="X200" s="15"/>
      <c r="Y200" s="2"/>
      <c r="AB200" s="22">
        <f t="shared" si="71"/>
        <v>1</v>
      </c>
      <c r="AC200" s="11"/>
      <c r="AD200" s="11"/>
      <c r="AE200" s="13"/>
      <c r="AF200" s="12"/>
      <c r="AG200" s="13"/>
      <c r="AH200" s="14"/>
      <c r="AI200" s="81" t="str">
        <f t="shared" si="72"/>
        <v/>
      </c>
      <c r="AJ200" s="15"/>
      <c r="AK200" s="6" t="e">
        <f t="shared" si="73"/>
        <v>#N/A</v>
      </c>
      <c r="AL200" s="6" t="str">
        <f>IF(AB201&lt;&gt;AB200,AVERAGEIF(AB$9:AB200,AB200,AK$9:AK200),"")</f>
        <v/>
      </c>
      <c r="AM200" s="7" t="str">
        <f>IFERROR(IF(AB201&lt;&gt;AB200,AVERAGEIF(AB$9:AB200,AB200,AT$9:AT200),""),"")</f>
        <v/>
      </c>
      <c r="AN200" s="7" t="str">
        <f>IFERROR(IF(AB201&lt;&gt;AB200,AVERAGEIF(AB$9:AB200,AB200,AU$9:AU200),""),"")</f>
        <v/>
      </c>
      <c r="AO200" s="7" t="str" cm="1">
        <f t="array" ref="AO200">IFERROR(IF(AB201&lt;&gt;AB200,_xlfn.STDEV.P(IF(AB$9:AB200=AB200,AU$9:AU200)),""),"")</f>
        <v/>
      </c>
      <c r="AP200" s="7" t="str" cm="1">
        <f t="array" ref="AP200">IFERROR(IF(AB201&lt;&gt;AB200,_xlfn.STDEV.P(IF(AB$9:AB200=AB200,AT$9:AT200)),""),"")</f>
        <v/>
      </c>
      <c r="AQ200" s="8" t="str">
        <f t="shared" si="74"/>
        <v/>
      </c>
      <c r="AR200" s="8" t="str">
        <f t="shared" si="75"/>
        <v/>
      </c>
      <c r="AS200" s="8" t="str">
        <f t="shared" si="76"/>
        <v/>
      </c>
      <c r="AT200" s="9" t="str">
        <f t="shared" si="77"/>
        <v/>
      </c>
      <c r="AU200" s="9" t="str">
        <f t="shared" si="78"/>
        <v/>
      </c>
      <c r="AV200" s="14"/>
      <c r="AW200" s="15"/>
      <c r="AX200" s="14" t="str">
        <f t="shared" si="79"/>
        <v/>
      </c>
      <c r="AY200" s="15"/>
      <c r="AZ200" s="23"/>
      <c r="EW200" t="s">
        <v>46</v>
      </c>
      <c r="EX200" s="33">
        <v>1188</v>
      </c>
      <c r="EY200" s="33" t="s">
        <v>545</v>
      </c>
      <c r="EZ200" s="33">
        <v>509585</v>
      </c>
      <c r="FA200" s="33" t="s">
        <v>51</v>
      </c>
      <c r="FB200" s="33" t="s">
        <v>473</v>
      </c>
      <c r="FC200" s="33" t="s">
        <v>53</v>
      </c>
      <c r="FD200" s="33" t="s">
        <v>476</v>
      </c>
      <c r="FE200" s="33">
        <v>2020</v>
      </c>
      <c r="FF200" s="33" t="s">
        <v>474</v>
      </c>
      <c r="FG200" s="33" t="s">
        <v>477</v>
      </c>
      <c r="FH200" s="33" t="s">
        <v>478</v>
      </c>
      <c r="FI200" s="33" t="s">
        <v>479</v>
      </c>
      <c r="FJ200" t="s">
        <v>474</v>
      </c>
      <c r="FM200" s="32" t="s">
        <v>537</v>
      </c>
      <c r="FN200" t="s">
        <v>538</v>
      </c>
      <c r="FO200" t="s">
        <v>539</v>
      </c>
      <c r="FP200" t="str">
        <f t="shared" si="80"/>
        <v>B</v>
      </c>
      <c r="GU200" s="53">
        <v>197</v>
      </c>
      <c r="GV200" s="53">
        <v>194</v>
      </c>
    </row>
    <row r="201" spans="1:204" ht="15.5" x14ac:dyDescent="0.35">
      <c r="A201" s="95">
        <f t="shared" si="62"/>
        <v>1</v>
      </c>
      <c r="B201" s="11"/>
      <c r="C201" s="11"/>
      <c r="D201" s="92" t="str">
        <f>IFERROR(
IF(AND(OR(Planilla!B201="C",Planilla!B201="c"), VLOOKUP(E201,EX:FJ,13,0)="C"), "OK",IF(AND(OR(Planilla!B201="C",Planilla!B201="c"), OR(VLOOKUP(E201,EX:FJ,13,0)="B", VLOOKUP(E201,EX:FJ,13,0)="A")), "DEFICIT",IF(
AND(OR(Planilla!B201="B", Planilla!B201="BPAL"), VLOOKUP(E201,EX:FJ,13,0)="B"), "OK",IF(AND(OR(Planilla!B201="B", Planilla!B201="BPAL"), VLOOKUP(E201,EX:FJ,13,0)="A"), "DEFICIT",IF(AND(OR(Planilla!B201="B", Planilla!B201="BPAL"), VLOOKUP(E201,EX:FJ,13,0)="C"), "SOBREOFERTA",IF(AND(Planilla!B201="A", VLOOKUP(E201,EX:FJ,13,0)="A"), "OK",IF(
AND(Planilla!B201="A", OR(VLOOKUP(E201,EX:FJ,13,0)="B", VLOOKUP(E201,EX:FJ,13,0)="C")), "SOBREOFERTA",""
))))))),"")</f>
        <v/>
      </c>
      <c r="E201" s="12"/>
      <c r="F201" s="13"/>
      <c r="G201" s="14"/>
      <c r="H201" s="81" t="str">
        <f t="shared" si="63"/>
        <v/>
      </c>
      <c r="I201" s="7"/>
      <c r="J201" s="6" t="e">
        <f t="shared" si="64"/>
        <v>#N/A</v>
      </c>
      <c r="K201" s="6" t="str">
        <f>IF(A202&lt;&gt;A201,AVERAGEIF(A$9:A201,A201,J$9:J201),"")</f>
        <v/>
      </c>
      <c r="L201" s="7" t="str">
        <f>IFERROR(IF(A202&lt;&gt;A201,AVERAGEIF(A$9:A201,A201,S$9:S201),""),"")</f>
        <v/>
      </c>
      <c r="M201" s="7" t="str">
        <f>IFERROR(IF(A202&lt;&gt;A201,AVERAGEIF(A$9:A201,A201,T$9:T201),""),"")</f>
        <v/>
      </c>
      <c r="N201" s="7" t="str" cm="1">
        <f t="array" ref="N201">IFERROR(IF(A202&lt;&gt;A201,_xlfn.STDEV.P(IF(A$9:A201=A201,T$9:T201)),""),"")</f>
        <v/>
      </c>
      <c r="O201" s="7" t="str" cm="1">
        <f t="array" ref="O201">IFERROR(IF(A202&lt;&gt;A201,_xlfn.STDEV.P(IF(A$9:A201=A201,S$9:S201)),""),"")</f>
        <v/>
      </c>
      <c r="P201" s="8" t="str">
        <f t="shared" si="65"/>
        <v/>
      </c>
      <c r="Q201" s="8" t="str">
        <f t="shared" si="66"/>
        <v/>
      </c>
      <c r="R201" s="8" t="str">
        <f t="shared" si="67"/>
        <v/>
      </c>
      <c r="S201" s="9" t="str">
        <f t="shared" si="68"/>
        <v/>
      </c>
      <c r="T201" s="9" t="str">
        <f t="shared" si="69"/>
        <v/>
      </c>
      <c r="U201" s="14"/>
      <c r="V201" s="15"/>
      <c r="W201" s="14" t="str">
        <f t="shared" si="70"/>
        <v/>
      </c>
      <c r="X201" s="15"/>
      <c r="Y201" s="2"/>
      <c r="AB201" s="22">
        <f t="shared" si="71"/>
        <v>1</v>
      </c>
      <c r="AC201" s="11"/>
      <c r="AD201" s="11"/>
      <c r="AE201" s="13"/>
      <c r="AF201" s="12"/>
      <c r="AG201" s="13"/>
      <c r="AH201" s="14"/>
      <c r="AI201" s="81" t="str">
        <f t="shared" si="72"/>
        <v/>
      </c>
      <c r="AJ201" s="15"/>
      <c r="AK201" s="6" t="e">
        <f t="shared" si="73"/>
        <v>#N/A</v>
      </c>
      <c r="AL201" s="6" t="str">
        <f>IF(AB202&lt;&gt;AB201,AVERAGEIF(AB$9:AB201,AB201,AK$9:AK201),"")</f>
        <v/>
      </c>
      <c r="AM201" s="7" t="str">
        <f>IFERROR(IF(AB202&lt;&gt;AB201,AVERAGEIF(AB$9:AB201,AB201,AT$9:AT201),""),"")</f>
        <v/>
      </c>
      <c r="AN201" s="7" t="str">
        <f>IFERROR(IF(AB202&lt;&gt;AB201,AVERAGEIF(AB$9:AB201,AB201,AU$9:AU201),""),"")</f>
        <v/>
      </c>
      <c r="AO201" s="7" t="str" cm="1">
        <f t="array" ref="AO201">IFERROR(IF(AB202&lt;&gt;AB201,_xlfn.STDEV.P(IF(AB$9:AB201=AB201,AU$9:AU201)),""),"")</f>
        <v/>
      </c>
      <c r="AP201" s="7" t="str" cm="1">
        <f t="array" ref="AP201">IFERROR(IF(AB202&lt;&gt;AB201,_xlfn.STDEV.P(IF(AB$9:AB201=AB201,AT$9:AT201)),""),"")</f>
        <v/>
      </c>
      <c r="AQ201" s="8" t="str">
        <f t="shared" si="74"/>
        <v/>
      </c>
      <c r="AR201" s="8" t="str">
        <f t="shared" si="75"/>
        <v/>
      </c>
      <c r="AS201" s="8" t="str">
        <f t="shared" si="76"/>
        <v/>
      </c>
      <c r="AT201" s="9" t="str">
        <f t="shared" si="77"/>
        <v/>
      </c>
      <c r="AU201" s="9" t="str">
        <f t="shared" si="78"/>
        <v/>
      </c>
      <c r="AV201" s="14"/>
      <c r="AW201" s="15"/>
      <c r="AX201" s="14" t="str">
        <f t="shared" si="79"/>
        <v/>
      </c>
      <c r="AY201" s="15"/>
      <c r="AZ201" s="23"/>
      <c r="EW201" t="s">
        <v>46</v>
      </c>
      <c r="EX201" s="33">
        <v>1189</v>
      </c>
      <c r="EY201" s="33" t="s">
        <v>546</v>
      </c>
      <c r="EZ201" s="33">
        <v>509583</v>
      </c>
      <c r="FA201" s="33" t="s">
        <v>51</v>
      </c>
      <c r="FB201" s="33" t="s">
        <v>473</v>
      </c>
      <c r="FC201" s="33" t="s">
        <v>53</v>
      </c>
      <c r="FD201" s="33" t="s">
        <v>476</v>
      </c>
      <c r="FE201" s="33">
        <v>2020</v>
      </c>
      <c r="FF201" s="33" t="s">
        <v>474</v>
      </c>
      <c r="FG201" s="33" t="s">
        <v>477</v>
      </c>
      <c r="FH201" s="33" t="s">
        <v>478</v>
      </c>
      <c r="FI201" s="33" t="s">
        <v>479</v>
      </c>
      <c r="FJ201" t="s">
        <v>474</v>
      </c>
      <c r="FM201" s="32" t="s">
        <v>547</v>
      </c>
      <c r="FN201" t="s">
        <v>548</v>
      </c>
      <c r="FO201" t="s">
        <v>549</v>
      </c>
      <c r="FP201" t="str">
        <f t="shared" si="80"/>
        <v>B</v>
      </c>
      <c r="GU201" s="53">
        <v>198</v>
      </c>
      <c r="GV201" s="53">
        <v>195</v>
      </c>
    </row>
    <row r="202" spans="1:204" ht="15.5" x14ac:dyDescent="0.35">
      <c r="A202" s="95">
        <f t="shared" si="62"/>
        <v>1</v>
      </c>
      <c r="B202" s="11"/>
      <c r="C202" s="11"/>
      <c r="D202" s="92" t="str">
        <f>IFERROR(
IF(AND(OR(Planilla!B202="C",Planilla!B202="c"), VLOOKUP(E202,EX:FJ,13,0)="C"), "OK",IF(AND(OR(Planilla!B202="C",Planilla!B202="c"), OR(VLOOKUP(E202,EX:FJ,13,0)="B", VLOOKUP(E202,EX:FJ,13,0)="A")), "DEFICIT",IF(
AND(OR(Planilla!B202="B", Planilla!B202="BPAL"), VLOOKUP(E202,EX:FJ,13,0)="B"), "OK",IF(AND(OR(Planilla!B202="B", Planilla!B202="BPAL"), VLOOKUP(E202,EX:FJ,13,0)="A"), "DEFICIT",IF(AND(OR(Planilla!B202="B", Planilla!B202="BPAL"), VLOOKUP(E202,EX:FJ,13,0)="C"), "SOBREOFERTA",IF(AND(Planilla!B202="A", VLOOKUP(E202,EX:FJ,13,0)="A"), "OK",IF(
AND(Planilla!B202="A", OR(VLOOKUP(E202,EX:FJ,13,0)="B", VLOOKUP(E202,EX:FJ,13,0)="C")), "SOBREOFERTA",""
))))))),"")</f>
        <v/>
      </c>
      <c r="E202" s="12"/>
      <c r="F202" s="13"/>
      <c r="G202" s="14"/>
      <c r="H202" s="81" t="str">
        <f t="shared" si="63"/>
        <v/>
      </c>
      <c r="I202" s="7"/>
      <c r="J202" s="6" t="e">
        <f t="shared" si="64"/>
        <v>#N/A</v>
      </c>
      <c r="K202" s="6" t="str">
        <f>IF(A203&lt;&gt;A202,AVERAGEIF(A$9:A202,A202,J$9:J202),"")</f>
        <v/>
      </c>
      <c r="L202" s="7" t="str">
        <f>IFERROR(IF(A203&lt;&gt;A202,AVERAGEIF(A$9:A202,A202,S$9:S202),""),"")</f>
        <v/>
      </c>
      <c r="M202" s="7" t="str">
        <f>IFERROR(IF(A203&lt;&gt;A202,AVERAGEIF(A$9:A202,A202,T$9:T202),""),"")</f>
        <v/>
      </c>
      <c r="N202" s="7" t="str" cm="1">
        <f t="array" ref="N202">IFERROR(IF(A203&lt;&gt;A202,_xlfn.STDEV.P(IF(A$9:A202=A202,T$9:T202)),""),"")</f>
        <v/>
      </c>
      <c r="O202" s="7" t="str" cm="1">
        <f t="array" ref="O202">IFERROR(IF(A203&lt;&gt;A202,_xlfn.STDEV.P(IF(A$9:A202=A202,S$9:S202)),""),"")</f>
        <v/>
      </c>
      <c r="P202" s="8" t="str">
        <f t="shared" si="65"/>
        <v/>
      </c>
      <c r="Q202" s="8" t="str">
        <f t="shared" si="66"/>
        <v/>
      </c>
      <c r="R202" s="8" t="str">
        <f t="shared" si="67"/>
        <v/>
      </c>
      <c r="S202" s="9" t="str">
        <f t="shared" si="68"/>
        <v/>
      </c>
      <c r="T202" s="9" t="str">
        <f t="shared" si="69"/>
        <v/>
      </c>
      <c r="U202" s="14"/>
      <c r="V202" s="15"/>
      <c r="W202" s="14" t="str">
        <f t="shared" si="70"/>
        <v/>
      </c>
      <c r="X202" s="15"/>
      <c r="Y202" s="2"/>
      <c r="AB202" s="22">
        <f t="shared" si="71"/>
        <v>1</v>
      </c>
      <c r="AC202" s="11"/>
      <c r="AD202" s="11"/>
      <c r="AE202" s="13"/>
      <c r="AF202" s="12"/>
      <c r="AG202" s="13"/>
      <c r="AH202" s="14"/>
      <c r="AI202" s="81" t="str">
        <f t="shared" si="72"/>
        <v/>
      </c>
      <c r="AJ202" s="15"/>
      <c r="AK202" s="6" t="e">
        <f t="shared" si="73"/>
        <v>#N/A</v>
      </c>
      <c r="AL202" s="6" t="str">
        <f>IF(AB203&lt;&gt;AB202,AVERAGEIF(AB$9:AB202,AB202,AK$9:AK202),"")</f>
        <v/>
      </c>
      <c r="AM202" s="7" t="str">
        <f>IFERROR(IF(AB203&lt;&gt;AB202,AVERAGEIF(AB$9:AB202,AB202,AT$9:AT202),""),"")</f>
        <v/>
      </c>
      <c r="AN202" s="7" t="str">
        <f>IFERROR(IF(AB203&lt;&gt;AB202,AVERAGEIF(AB$9:AB202,AB202,AU$9:AU202),""),"")</f>
        <v/>
      </c>
      <c r="AO202" s="7" t="str" cm="1">
        <f t="array" ref="AO202">IFERROR(IF(AB203&lt;&gt;AB202,_xlfn.STDEV.P(IF(AB$9:AB202=AB202,AU$9:AU202)),""),"")</f>
        <v/>
      </c>
      <c r="AP202" s="7" t="str" cm="1">
        <f t="array" ref="AP202">IFERROR(IF(AB203&lt;&gt;AB202,_xlfn.STDEV.P(IF(AB$9:AB202=AB202,AT$9:AT202)),""),"")</f>
        <v/>
      </c>
      <c r="AQ202" s="8" t="str">
        <f t="shared" si="74"/>
        <v/>
      </c>
      <c r="AR202" s="8" t="str">
        <f t="shared" si="75"/>
        <v/>
      </c>
      <c r="AS202" s="8" t="str">
        <f t="shared" si="76"/>
        <v/>
      </c>
      <c r="AT202" s="9" t="str">
        <f t="shared" si="77"/>
        <v/>
      </c>
      <c r="AU202" s="9" t="str">
        <f t="shared" si="78"/>
        <v/>
      </c>
      <c r="AV202" s="14"/>
      <c r="AW202" s="15"/>
      <c r="AX202" s="14" t="str">
        <f t="shared" si="79"/>
        <v/>
      </c>
      <c r="AY202" s="15"/>
      <c r="AZ202" s="23"/>
      <c r="EW202" t="s">
        <v>46</v>
      </c>
      <c r="EX202" s="33">
        <v>1190</v>
      </c>
      <c r="EY202" s="33" t="s">
        <v>550</v>
      </c>
      <c r="EZ202" s="33">
        <v>509444</v>
      </c>
      <c r="FA202" s="33" t="s">
        <v>51</v>
      </c>
      <c r="FB202" s="33" t="s">
        <v>473</v>
      </c>
      <c r="FC202" s="33" t="s">
        <v>53</v>
      </c>
      <c r="FD202" s="33" t="s">
        <v>476</v>
      </c>
      <c r="FE202" s="33">
        <v>2020</v>
      </c>
      <c r="FF202" s="33" t="s">
        <v>474</v>
      </c>
      <c r="FG202" s="33" t="s">
        <v>477</v>
      </c>
      <c r="FH202" s="33" t="s">
        <v>478</v>
      </c>
      <c r="FI202" s="33" t="s">
        <v>479</v>
      </c>
      <c r="FJ202" t="s">
        <v>474</v>
      </c>
      <c r="FM202" s="32" t="s">
        <v>547</v>
      </c>
      <c r="FN202" t="s">
        <v>548</v>
      </c>
      <c r="FO202" t="s">
        <v>549</v>
      </c>
      <c r="FP202" t="str">
        <f t="shared" si="80"/>
        <v>B</v>
      </c>
      <c r="GU202" s="53">
        <v>199</v>
      </c>
      <c r="GV202" s="53">
        <v>196</v>
      </c>
    </row>
    <row r="203" spans="1:204" ht="15.5" x14ac:dyDescent="0.35">
      <c r="A203" s="95">
        <f t="shared" si="62"/>
        <v>1</v>
      </c>
      <c r="B203" s="11"/>
      <c r="C203" s="11"/>
      <c r="D203" s="92" t="str">
        <f>IFERROR(
IF(AND(OR(Planilla!B203="C",Planilla!B203="c"), VLOOKUP(E203,EX:FJ,13,0)="C"), "OK",IF(AND(OR(Planilla!B203="C",Planilla!B203="c"), OR(VLOOKUP(E203,EX:FJ,13,0)="B", VLOOKUP(E203,EX:FJ,13,0)="A")), "DEFICIT",IF(
AND(OR(Planilla!B203="B", Planilla!B203="BPAL"), VLOOKUP(E203,EX:FJ,13,0)="B"), "OK",IF(AND(OR(Planilla!B203="B", Planilla!B203="BPAL"), VLOOKUP(E203,EX:FJ,13,0)="A"), "DEFICIT",IF(AND(OR(Planilla!B203="B", Planilla!B203="BPAL"), VLOOKUP(E203,EX:FJ,13,0)="C"), "SOBREOFERTA",IF(AND(Planilla!B203="A", VLOOKUP(E203,EX:FJ,13,0)="A"), "OK",IF(
AND(Planilla!B203="A", OR(VLOOKUP(E203,EX:FJ,13,0)="B", VLOOKUP(E203,EX:FJ,13,0)="C")), "SOBREOFERTA",""
))))))),"")</f>
        <v/>
      </c>
      <c r="E203" s="12"/>
      <c r="F203" s="13"/>
      <c r="G203" s="14"/>
      <c r="H203" s="81" t="str">
        <f t="shared" si="63"/>
        <v/>
      </c>
      <c r="I203" s="7"/>
      <c r="J203" s="6" t="e">
        <f t="shared" si="64"/>
        <v>#N/A</v>
      </c>
      <c r="K203" s="6" t="str">
        <f>IF(A204&lt;&gt;A203,AVERAGEIF(A$9:A203,A203,J$9:J203),"")</f>
        <v/>
      </c>
      <c r="L203" s="7" t="str">
        <f>IFERROR(IF(A204&lt;&gt;A203,AVERAGEIF(A$9:A203,A203,S$9:S203),""),"")</f>
        <v/>
      </c>
      <c r="M203" s="7" t="str">
        <f>IFERROR(IF(A204&lt;&gt;A203,AVERAGEIF(A$9:A203,A203,T$9:T203),""),"")</f>
        <v/>
      </c>
      <c r="N203" s="7" t="str" cm="1">
        <f t="array" ref="N203">IFERROR(IF(A204&lt;&gt;A203,_xlfn.STDEV.P(IF(A$9:A203=A203,T$9:T203)),""),"")</f>
        <v/>
      </c>
      <c r="O203" s="7" t="str" cm="1">
        <f t="array" ref="O203">IFERROR(IF(A204&lt;&gt;A203,_xlfn.STDEV.P(IF(A$9:A203=A203,S$9:S203)),""),"")</f>
        <v/>
      </c>
      <c r="P203" s="8" t="str">
        <f t="shared" si="65"/>
        <v/>
      </c>
      <c r="Q203" s="8" t="str">
        <f t="shared" si="66"/>
        <v/>
      </c>
      <c r="R203" s="8" t="str">
        <f t="shared" si="67"/>
        <v/>
      </c>
      <c r="S203" s="9" t="str">
        <f t="shared" si="68"/>
        <v/>
      </c>
      <c r="T203" s="9" t="str">
        <f t="shared" si="69"/>
        <v/>
      </c>
      <c r="U203" s="14"/>
      <c r="V203" s="15"/>
      <c r="W203" s="14" t="str">
        <f t="shared" si="70"/>
        <v/>
      </c>
      <c r="X203" s="15"/>
      <c r="Y203" s="2"/>
      <c r="AB203" s="22">
        <f t="shared" si="71"/>
        <v>1</v>
      </c>
      <c r="AC203" s="11"/>
      <c r="AD203" s="11"/>
      <c r="AE203" s="13"/>
      <c r="AF203" s="12"/>
      <c r="AG203" s="13"/>
      <c r="AH203" s="14"/>
      <c r="AI203" s="81" t="str">
        <f t="shared" si="72"/>
        <v/>
      </c>
      <c r="AJ203" s="15"/>
      <c r="AK203" s="6" t="e">
        <f t="shared" si="73"/>
        <v>#N/A</v>
      </c>
      <c r="AL203" s="6" t="str">
        <f>IF(AB204&lt;&gt;AB203,AVERAGEIF(AB$9:AB203,AB203,AK$9:AK203),"")</f>
        <v/>
      </c>
      <c r="AM203" s="7" t="str">
        <f>IFERROR(IF(AB204&lt;&gt;AB203,AVERAGEIF(AB$9:AB203,AB203,AT$9:AT203),""),"")</f>
        <v/>
      </c>
      <c r="AN203" s="7" t="str">
        <f>IFERROR(IF(AB204&lt;&gt;AB203,AVERAGEIF(AB$9:AB203,AB203,AU$9:AU203),""),"")</f>
        <v/>
      </c>
      <c r="AO203" s="7" t="str" cm="1">
        <f t="array" ref="AO203">IFERROR(IF(AB204&lt;&gt;AB203,_xlfn.STDEV.P(IF(AB$9:AB203=AB203,AU$9:AU203)),""),"")</f>
        <v/>
      </c>
      <c r="AP203" s="7" t="str" cm="1">
        <f t="array" ref="AP203">IFERROR(IF(AB204&lt;&gt;AB203,_xlfn.STDEV.P(IF(AB$9:AB203=AB203,AT$9:AT203)),""),"")</f>
        <v/>
      </c>
      <c r="AQ203" s="8" t="str">
        <f t="shared" si="74"/>
        <v/>
      </c>
      <c r="AR203" s="8" t="str">
        <f t="shared" si="75"/>
        <v/>
      </c>
      <c r="AS203" s="8" t="str">
        <f t="shared" si="76"/>
        <v/>
      </c>
      <c r="AT203" s="9" t="str">
        <f t="shared" si="77"/>
        <v/>
      </c>
      <c r="AU203" s="9" t="str">
        <f t="shared" si="78"/>
        <v/>
      </c>
      <c r="AV203" s="14"/>
      <c r="AW203" s="15"/>
      <c r="AX203" s="14" t="str">
        <f t="shared" si="79"/>
        <v/>
      </c>
      <c r="AY203" s="15"/>
      <c r="AZ203" s="23"/>
      <c r="EW203" t="s">
        <v>46</v>
      </c>
      <c r="EX203" s="33">
        <v>1191</v>
      </c>
      <c r="EY203" s="33" t="s">
        <v>551</v>
      </c>
      <c r="EZ203" s="33">
        <v>509171</v>
      </c>
      <c r="FA203" s="33" t="s">
        <v>51</v>
      </c>
      <c r="FB203" s="33" t="s">
        <v>473</v>
      </c>
      <c r="FC203" s="33" t="s">
        <v>53</v>
      </c>
      <c r="FD203" s="33" t="s">
        <v>476</v>
      </c>
      <c r="FE203" s="33">
        <v>2020</v>
      </c>
      <c r="FF203" s="33" t="s">
        <v>474</v>
      </c>
      <c r="FG203" s="33" t="s">
        <v>477</v>
      </c>
      <c r="FH203" s="33" t="s">
        <v>478</v>
      </c>
      <c r="FI203" s="33" t="s">
        <v>479</v>
      </c>
      <c r="FJ203" t="s">
        <v>474</v>
      </c>
      <c r="FM203" s="32" t="s">
        <v>547</v>
      </c>
      <c r="FN203" t="s">
        <v>548</v>
      </c>
      <c r="FO203" t="s">
        <v>549</v>
      </c>
      <c r="FP203" t="str">
        <f t="shared" si="80"/>
        <v>B</v>
      </c>
      <c r="GU203" s="53">
        <v>200</v>
      </c>
      <c r="GV203" s="53">
        <v>197</v>
      </c>
    </row>
    <row r="204" spans="1:204" ht="15.5" x14ac:dyDescent="0.35">
      <c r="A204" s="95">
        <f t="shared" si="62"/>
        <v>1</v>
      </c>
      <c r="B204" s="11"/>
      <c r="C204" s="11"/>
      <c r="D204" s="92" t="str">
        <f>IFERROR(
IF(AND(OR(Planilla!B204="C",Planilla!B204="c"), VLOOKUP(E204,EX:FJ,13,0)="C"), "OK",IF(AND(OR(Planilla!B204="C",Planilla!B204="c"), OR(VLOOKUP(E204,EX:FJ,13,0)="B", VLOOKUP(E204,EX:FJ,13,0)="A")), "DEFICIT",IF(
AND(OR(Planilla!B204="B", Planilla!B204="BPAL"), VLOOKUP(E204,EX:FJ,13,0)="B"), "OK",IF(AND(OR(Planilla!B204="B", Planilla!B204="BPAL"), VLOOKUP(E204,EX:FJ,13,0)="A"), "DEFICIT",IF(AND(OR(Planilla!B204="B", Planilla!B204="BPAL"), VLOOKUP(E204,EX:FJ,13,0)="C"), "SOBREOFERTA",IF(AND(Planilla!B204="A", VLOOKUP(E204,EX:FJ,13,0)="A"), "OK",IF(
AND(Planilla!B204="A", OR(VLOOKUP(E204,EX:FJ,13,0)="B", VLOOKUP(E204,EX:FJ,13,0)="C")), "SOBREOFERTA",""
))))))),"")</f>
        <v/>
      </c>
      <c r="E204" s="12"/>
      <c r="F204" s="13"/>
      <c r="G204" s="14"/>
      <c r="H204" s="81" t="str">
        <f t="shared" si="63"/>
        <v/>
      </c>
      <c r="I204" s="7"/>
      <c r="J204" s="6" t="e">
        <f t="shared" si="64"/>
        <v>#N/A</v>
      </c>
      <c r="K204" s="6" t="str">
        <f>IF(A205&lt;&gt;A204,AVERAGEIF(A$9:A204,A204,J$9:J204),"")</f>
        <v/>
      </c>
      <c r="L204" s="7" t="str">
        <f>IFERROR(IF(A205&lt;&gt;A204,AVERAGEIF(A$9:A204,A204,S$9:S204),""),"")</f>
        <v/>
      </c>
      <c r="M204" s="7" t="str">
        <f>IFERROR(IF(A205&lt;&gt;A204,AVERAGEIF(A$9:A204,A204,T$9:T204),""),"")</f>
        <v/>
      </c>
      <c r="N204" s="7" t="str" cm="1">
        <f t="array" ref="N204">IFERROR(IF(A205&lt;&gt;A204,_xlfn.STDEV.P(IF(A$9:A204=A204,T$9:T204)),""),"")</f>
        <v/>
      </c>
      <c r="O204" s="7" t="str" cm="1">
        <f t="array" ref="O204">IFERROR(IF(A205&lt;&gt;A204,_xlfn.STDEV.P(IF(A$9:A204=A204,S$9:S204)),""),"")</f>
        <v/>
      </c>
      <c r="P204" s="8" t="str">
        <f t="shared" si="65"/>
        <v/>
      </c>
      <c r="Q204" s="8" t="str">
        <f t="shared" si="66"/>
        <v/>
      </c>
      <c r="R204" s="8" t="str">
        <f t="shared" si="67"/>
        <v/>
      </c>
      <c r="S204" s="9" t="str">
        <f t="shared" si="68"/>
        <v/>
      </c>
      <c r="T204" s="9" t="str">
        <f t="shared" si="69"/>
        <v/>
      </c>
      <c r="U204" s="14"/>
      <c r="V204" s="15"/>
      <c r="W204" s="14" t="str">
        <f t="shared" si="70"/>
        <v/>
      </c>
      <c r="X204" s="15"/>
      <c r="Y204" s="2"/>
      <c r="AB204" s="22">
        <f t="shared" si="71"/>
        <v>1</v>
      </c>
      <c r="AC204" s="11"/>
      <c r="AD204" s="11"/>
      <c r="AE204" s="13"/>
      <c r="AF204" s="12"/>
      <c r="AG204" s="13"/>
      <c r="AH204" s="14"/>
      <c r="AI204" s="81" t="str">
        <f t="shared" si="72"/>
        <v/>
      </c>
      <c r="AJ204" s="15"/>
      <c r="AK204" s="6" t="e">
        <f t="shared" si="73"/>
        <v>#N/A</v>
      </c>
      <c r="AL204" s="6" t="str">
        <f>IF(AB205&lt;&gt;AB204,AVERAGEIF(AB$9:AB204,AB204,AK$9:AK204),"")</f>
        <v/>
      </c>
      <c r="AM204" s="7" t="str">
        <f>IFERROR(IF(AB205&lt;&gt;AB204,AVERAGEIF(AB$9:AB204,AB204,AT$9:AT204),""),"")</f>
        <v/>
      </c>
      <c r="AN204" s="7" t="str">
        <f>IFERROR(IF(AB205&lt;&gt;AB204,AVERAGEIF(AB$9:AB204,AB204,AU$9:AU204),""),"")</f>
        <v/>
      </c>
      <c r="AO204" s="7" t="str" cm="1">
        <f t="array" ref="AO204">IFERROR(IF(AB205&lt;&gt;AB204,_xlfn.STDEV.P(IF(AB$9:AB204=AB204,AU$9:AU204)),""),"")</f>
        <v/>
      </c>
      <c r="AP204" s="7" t="str" cm="1">
        <f t="array" ref="AP204">IFERROR(IF(AB205&lt;&gt;AB204,_xlfn.STDEV.P(IF(AB$9:AB204=AB204,AT$9:AT204)),""),"")</f>
        <v/>
      </c>
      <c r="AQ204" s="8" t="str">
        <f t="shared" si="74"/>
        <v/>
      </c>
      <c r="AR204" s="8" t="str">
        <f t="shared" si="75"/>
        <v/>
      </c>
      <c r="AS204" s="8" t="str">
        <f t="shared" si="76"/>
        <v/>
      </c>
      <c r="AT204" s="9" t="str">
        <f t="shared" si="77"/>
        <v/>
      </c>
      <c r="AU204" s="9" t="str">
        <f t="shared" si="78"/>
        <v/>
      </c>
      <c r="AV204" s="14"/>
      <c r="AW204" s="15"/>
      <c r="AX204" s="14" t="str">
        <f t="shared" si="79"/>
        <v/>
      </c>
      <c r="AY204" s="15"/>
      <c r="AZ204" s="23"/>
      <c r="EW204" t="s">
        <v>46</v>
      </c>
      <c r="EX204" s="33">
        <v>1192</v>
      </c>
      <c r="EY204" s="33" t="s">
        <v>552</v>
      </c>
      <c r="EZ204" s="33">
        <v>509572</v>
      </c>
      <c r="FA204" s="33" t="s">
        <v>51</v>
      </c>
      <c r="FB204" s="33" t="s">
        <v>473</v>
      </c>
      <c r="FC204" s="33" t="s">
        <v>53</v>
      </c>
      <c r="FD204" s="33" t="s">
        <v>476</v>
      </c>
      <c r="FE204" s="33">
        <v>2020</v>
      </c>
      <c r="FF204" s="33" t="s">
        <v>474</v>
      </c>
      <c r="FG204" s="33" t="s">
        <v>477</v>
      </c>
      <c r="FH204" s="33" t="s">
        <v>478</v>
      </c>
      <c r="FI204" s="33" t="s">
        <v>479</v>
      </c>
      <c r="FJ204" t="s">
        <v>474</v>
      </c>
      <c r="FM204" s="32" t="s">
        <v>547</v>
      </c>
      <c r="FN204" t="s">
        <v>548</v>
      </c>
      <c r="FO204" t="s">
        <v>549</v>
      </c>
      <c r="FP204" t="str">
        <f t="shared" si="80"/>
        <v>B</v>
      </c>
      <c r="GV204" s="53">
        <v>198</v>
      </c>
    </row>
    <row r="205" spans="1:204" ht="15.5" x14ac:dyDescent="0.35">
      <c r="A205" s="95">
        <f t="shared" si="62"/>
        <v>1</v>
      </c>
      <c r="B205" s="11"/>
      <c r="C205" s="11"/>
      <c r="D205" s="92" t="str">
        <f>IFERROR(
IF(AND(OR(Planilla!B205="C",Planilla!B205="c"), VLOOKUP(E205,EX:FJ,13,0)="C"), "OK",IF(AND(OR(Planilla!B205="C",Planilla!B205="c"), OR(VLOOKUP(E205,EX:FJ,13,0)="B", VLOOKUP(E205,EX:FJ,13,0)="A")), "DEFICIT",IF(
AND(OR(Planilla!B205="B", Planilla!B205="BPAL"), VLOOKUP(E205,EX:FJ,13,0)="B"), "OK",IF(AND(OR(Planilla!B205="B", Planilla!B205="BPAL"), VLOOKUP(E205,EX:FJ,13,0)="A"), "DEFICIT",IF(AND(OR(Planilla!B205="B", Planilla!B205="BPAL"), VLOOKUP(E205,EX:FJ,13,0)="C"), "SOBREOFERTA",IF(AND(Planilla!B205="A", VLOOKUP(E205,EX:FJ,13,0)="A"), "OK",IF(
AND(Planilla!B205="A", OR(VLOOKUP(E205,EX:FJ,13,0)="B", VLOOKUP(E205,EX:FJ,13,0)="C")), "SOBREOFERTA",""
))))))),"")</f>
        <v/>
      </c>
      <c r="E205" s="12"/>
      <c r="F205" s="13"/>
      <c r="G205" s="14"/>
      <c r="H205" s="81" t="str">
        <f t="shared" si="63"/>
        <v/>
      </c>
      <c r="I205" s="7"/>
      <c r="J205" s="6" t="e">
        <f t="shared" si="64"/>
        <v>#N/A</v>
      </c>
      <c r="K205" s="6" t="str">
        <f>IF(A206&lt;&gt;A205,AVERAGEIF(A$9:A205,A205,J$9:J205),"")</f>
        <v/>
      </c>
      <c r="L205" s="7" t="str">
        <f>IFERROR(IF(A206&lt;&gt;A205,AVERAGEIF(A$9:A205,A205,S$9:S205),""),"")</f>
        <v/>
      </c>
      <c r="M205" s="7" t="str">
        <f>IFERROR(IF(A206&lt;&gt;A205,AVERAGEIF(A$9:A205,A205,T$9:T205),""),"")</f>
        <v/>
      </c>
      <c r="N205" s="7" t="str" cm="1">
        <f t="array" ref="N205">IFERROR(IF(A206&lt;&gt;A205,_xlfn.STDEV.P(IF(A$9:A205=A205,T$9:T205)),""),"")</f>
        <v/>
      </c>
      <c r="O205" s="7" t="str" cm="1">
        <f t="array" ref="O205">IFERROR(IF(A206&lt;&gt;A205,_xlfn.STDEV.P(IF(A$9:A205=A205,S$9:S205)),""),"")</f>
        <v/>
      </c>
      <c r="P205" s="8" t="str">
        <f t="shared" si="65"/>
        <v/>
      </c>
      <c r="Q205" s="8" t="str">
        <f t="shared" si="66"/>
        <v/>
      </c>
      <c r="R205" s="8" t="str">
        <f t="shared" si="67"/>
        <v/>
      </c>
      <c r="S205" s="9" t="str">
        <f t="shared" si="68"/>
        <v/>
      </c>
      <c r="T205" s="9" t="str">
        <f t="shared" si="69"/>
        <v/>
      </c>
      <c r="U205" s="14"/>
      <c r="V205" s="15"/>
      <c r="W205" s="14" t="str">
        <f t="shared" si="70"/>
        <v/>
      </c>
      <c r="X205" s="15"/>
      <c r="Y205" s="2"/>
      <c r="AB205" s="22">
        <f t="shared" si="71"/>
        <v>1</v>
      </c>
      <c r="AC205" s="11"/>
      <c r="AD205" s="11"/>
      <c r="AE205" s="13"/>
      <c r="AF205" s="12"/>
      <c r="AG205" s="13"/>
      <c r="AH205" s="14"/>
      <c r="AI205" s="81" t="str">
        <f t="shared" si="72"/>
        <v/>
      </c>
      <c r="AJ205" s="15"/>
      <c r="AK205" s="6" t="e">
        <f t="shared" si="73"/>
        <v>#N/A</v>
      </c>
      <c r="AL205" s="6" t="str">
        <f>IF(AB206&lt;&gt;AB205,AVERAGEIF(AB$9:AB205,AB205,AK$9:AK205),"")</f>
        <v/>
      </c>
      <c r="AM205" s="7" t="str">
        <f>IFERROR(IF(AB206&lt;&gt;AB205,AVERAGEIF(AB$9:AB205,AB205,AT$9:AT205),""),"")</f>
        <v/>
      </c>
      <c r="AN205" s="7" t="str">
        <f>IFERROR(IF(AB206&lt;&gt;AB205,AVERAGEIF(AB$9:AB205,AB205,AU$9:AU205),""),"")</f>
        <v/>
      </c>
      <c r="AO205" s="7" t="str" cm="1">
        <f t="array" ref="AO205">IFERROR(IF(AB206&lt;&gt;AB205,_xlfn.STDEV.P(IF(AB$9:AB205=AB205,AU$9:AU205)),""),"")</f>
        <v/>
      </c>
      <c r="AP205" s="7" t="str" cm="1">
        <f t="array" ref="AP205">IFERROR(IF(AB206&lt;&gt;AB205,_xlfn.STDEV.P(IF(AB$9:AB205=AB205,AT$9:AT205)),""),"")</f>
        <v/>
      </c>
      <c r="AQ205" s="8" t="str">
        <f t="shared" si="74"/>
        <v/>
      </c>
      <c r="AR205" s="8" t="str">
        <f t="shared" si="75"/>
        <v/>
      </c>
      <c r="AS205" s="8" t="str">
        <f t="shared" si="76"/>
        <v/>
      </c>
      <c r="AT205" s="9" t="str">
        <f t="shared" si="77"/>
        <v/>
      </c>
      <c r="AU205" s="9" t="str">
        <f t="shared" si="78"/>
        <v/>
      </c>
      <c r="AV205" s="14"/>
      <c r="AW205" s="15"/>
      <c r="AX205" s="14" t="str">
        <f t="shared" si="79"/>
        <v/>
      </c>
      <c r="AY205" s="15"/>
      <c r="AZ205" s="23"/>
      <c r="EW205" t="s">
        <v>46</v>
      </c>
      <c r="EX205" s="33">
        <v>1193</v>
      </c>
      <c r="EY205" s="33" t="s">
        <v>553</v>
      </c>
      <c r="EZ205" s="33">
        <v>508475</v>
      </c>
      <c r="FA205" s="33" t="s">
        <v>51</v>
      </c>
      <c r="FB205" s="33" t="s">
        <v>473</v>
      </c>
      <c r="FC205" s="33" t="s">
        <v>53</v>
      </c>
      <c r="FD205" s="33" t="s">
        <v>476</v>
      </c>
      <c r="FE205" s="33">
        <v>2020</v>
      </c>
      <c r="FF205" s="33" t="s">
        <v>474</v>
      </c>
      <c r="FG205" s="33" t="s">
        <v>477</v>
      </c>
      <c r="FH205" s="33" t="s">
        <v>478</v>
      </c>
      <c r="FI205" s="33" t="s">
        <v>479</v>
      </c>
      <c r="FJ205" t="s">
        <v>474</v>
      </c>
      <c r="FM205" s="32" t="s">
        <v>554</v>
      </c>
      <c r="FN205" t="s">
        <v>555</v>
      </c>
      <c r="FO205" t="s">
        <v>556</v>
      </c>
      <c r="FP205" t="str">
        <f t="shared" si="80"/>
        <v>B</v>
      </c>
      <c r="GV205" s="53">
        <v>199</v>
      </c>
    </row>
    <row r="206" spans="1:204" ht="15.5" x14ac:dyDescent="0.35">
      <c r="A206" s="95">
        <f t="shared" ref="A206:A269" si="81">HOUR(G206)+1</f>
        <v>1</v>
      </c>
      <c r="B206" s="11"/>
      <c r="C206" s="11"/>
      <c r="D206" s="92" t="str">
        <f>IFERROR(
IF(AND(OR(Planilla!B206="C",Planilla!B206="c"), VLOOKUP(E206,EX:FJ,13,0)="C"), "OK",IF(AND(OR(Planilla!B206="C",Planilla!B206="c"), OR(VLOOKUP(E206,EX:FJ,13,0)="B", VLOOKUP(E206,EX:FJ,13,0)="A")), "DEFICIT",IF(
AND(OR(Planilla!B206="B", Planilla!B206="BPAL"), VLOOKUP(E206,EX:FJ,13,0)="B"), "OK",IF(AND(OR(Planilla!B206="B", Planilla!B206="BPAL"), VLOOKUP(E206,EX:FJ,13,0)="A"), "DEFICIT",IF(AND(OR(Planilla!B206="B", Planilla!B206="BPAL"), VLOOKUP(E206,EX:FJ,13,0)="C"), "SOBREOFERTA",IF(AND(Planilla!B206="A", VLOOKUP(E206,EX:FJ,13,0)="A"), "OK",IF(
AND(Planilla!B206="A", OR(VLOOKUP(E206,EX:FJ,13,0)="B", VLOOKUP(E206,EX:FJ,13,0)="C")), "SOBREOFERTA",""
))))))),"")</f>
        <v/>
      </c>
      <c r="E206" s="12"/>
      <c r="F206" s="13"/>
      <c r="G206" s="14"/>
      <c r="H206" s="81" t="str">
        <f t="shared" ref="H206:H269" si="82">IF(I206="","",IF(AND((I206-G206)&gt;=TIME(0,0,0),(I206-G206)&lt;TIME(0,3,0)),"OK",IF(AND((I206-G206)&gt;=TIME(0,3,0),(I206-G206)&lt;TIME(0,5,0)),"RETRASO DE 3-5 MIN",IF(AND((I206-G206)&gt;=TIME(0,5,0),(I206-G206)&lt;TIME(0,10,0)),"RETRASO DE 5-10 MIN",IF((I206-G206)&gt;=TIME(0,10,0),"RETRASO &gt;10 MIN",         IF(AND((G206-I206)&gt;=TIME(0,0,0),(G206-I206)&lt;TIME(0,3,0)),"OK",IF((G206-I206)&gt;=TIME(0,3,0),"ADELANTADO")))))))</f>
        <v/>
      </c>
      <c r="I206" s="7"/>
      <c r="J206" s="6" t="e">
        <f t="shared" ref="J206:J269" si="83">IF(A206&lt;&gt;"",HLOOKUP(VALUE(TEXT(G206,"h:mm:ss")),IF($C$6="Laboral",$FT$4:$GR$227,IF($C$6="Sábado",$FT$231:$GR$452,$FT$456:$GR$656)),VLOOKUP($C$4,$GZ$2:$HB$99,3,0)+IF(C$5="Ida",0,1),1),"")</f>
        <v>#N/A</v>
      </c>
      <c r="K206" s="6" t="str">
        <f>IF(A207&lt;&gt;A206,AVERAGEIF(A$9:A206,A206,J$9:J206),"")</f>
        <v/>
      </c>
      <c r="L206" s="7" t="str">
        <f>IFERROR(IF(A207&lt;&gt;A206,AVERAGEIF(A$9:A206,A206,S$9:S206),""),"")</f>
        <v/>
      </c>
      <c r="M206" s="7" t="str">
        <f>IFERROR(IF(A207&lt;&gt;A206,AVERAGEIF(A$9:A206,A206,T$9:T206),""),"")</f>
        <v/>
      </c>
      <c r="N206" s="7" t="str" cm="1">
        <f t="array" ref="N206">IFERROR(IF(A207&lt;&gt;A206,_xlfn.STDEV.P(IF(A$9:A206=A206,T$9:T206)),""),"")</f>
        <v/>
      </c>
      <c r="O206" s="7" t="str" cm="1">
        <f t="array" ref="O206">IFERROR(IF(A207&lt;&gt;A206,_xlfn.STDEV.P(IF(A$9:A206=A206,S$9:S206)),""),"")</f>
        <v/>
      </c>
      <c r="P206" s="8" t="str">
        <f t="shared" ref="P206:P269" si="84">IFERROR(IF(A206&lt;&gt;A207,MAX((((M206*24*60)/2)*(1+POWER((((N206*24*60) / (M206*24*60) )),2))) + ((M206*24*60 )*-0.1 + (K206*0.015)) +1,(((M206*24*60)/2)*(1+POWER((((N206*24*60) / (M206*24*60 ))),2)))),""),"")</f>
        <v/>
      </c>
      <c r="Q206" s="8" t="str">
        <f t="shared" ref="Q206:Q269" si="85">IF(AND(O206&lt;&gt;"",L206&lt;&gt;""),IF(A206&lt;&gt;A207,((L206*24*60) / 2 ) * (1 + POWER(((O206*24*60) / (L206*24*60)),2)),""),"")</f>
        <v/>
      </c>
      <c r="R206" s="8" t="str">
        <f t="shared" ref="R206:R269" si="86">IF(Q206&lt;&gt;"",MAX(P206,Q206),"")</f>
        <v/>
      </c>
      <c r="S206" s="9" t="str">
        <f t="shared" ref="S206:S269" si="87">IF(I206&lt;&gt;"H. Sale Real",IF(AND(I207&lt;&gt;"",LEFT(C207,2)&lt;&gt;"NC"),IF(AND(I206&lt;&gt;"",LEFT(C206,2)&lt;&gt;"NC",I206&lt;&gt;"H. Sale Real"),IF(I207-I206&lt;0.208333333333333,I207-I206,""),IF(AND(I205&lt;&gt;"",LEFT(C205,2)&lt;&gt;"NC",I205&lt;&gt;"H. Sale Real"),IF(I207-I205&lt;0.208333333333333,I207-I205,""),IF(AND(I204&lt;&gt;"",LEFT(C204,2)&lt;&gt;"NC",I204&lt;&gt;"H. Sale Real"),IF(I207-I204&lt;0.208333333333333,I207-I204,""),IF(AND(I203&lt;&gt;"",LEFT(C203,2)&lt;&gt;"NC",I203&lt;&gt;"H. Sale Real"),IF(I207-I203&lt;0.208333333333333,I207-I203,""),IF(AND(I202&lt;&gt;"",LEFT(C202,2)&lt;&gt;"NC",I202&lt;&gt;"H. Sale Real"),IF(I207-I202&lt;0.208333333333333,I207-I202,""),""))))),""),"")</f>
        <v/>
      </c>
      <c r="T206" s="9" t="str">
        <f t="shared" ref="T206:T269" si="88">IF(G206&lt;&gt;"H. Sale Real",IF(AND(G207&lt;&gt;"",LEFT(C207,2)&lt;&gt;"NC"),IF(AND(G206&lt;&gt;"",LEFT(C206,2)&lt;&gt;"NC",G206&lt;&gt;"H. Sale Real"),IF(G207-G206&lt;0.208333333333333,G207-G206,""),IF(AND(G205&lt;&gt;"",LEFT(C205,2)&lt;&gt;"NC",G205&lt;&gt;"H. Sale Real"),IF(G207-G205&lt;0.208333333333333,G207-G205,""),IF(AND(G204&lt;&gt;"",LEFT(C204,2)&lt;&gt;"NC",G204&lt;&gt;"H. Sale Real"),IF(G207-G204&lt;0.208333333333333,G207-G204,""),IF(AND(G203&lt;&gt;"",LEFT(C203,2)&lt;&gt;"NC",G203&lt;&gt;"H. Sale Real"),IF(G207-G203&lt;0.208333333333333,G207-G203,""),IF(AND(G202&lt;&gt;"",LEFT(C202,2)&lt;&gt;"NC",G202&lt;&gt;"H. Sale Real"),IF(G207-G202&lt;0.208333333333333,G207-G202,""),""))))),""),"")</f>
        <v/>
      </c>
      <c r="U206" s="14"/>
      <c r="V206" s="15"/>
      <c r="W206" s="14" t="str">
        <f t="shared" ref="W206:W269" si="89">IF(G206&lt;&gt;"",IF(AND(W205&lt;&gt;"IE",P206&lt;&gt;0,R206&lt;&gt;""),IF(IFERROR((P206/R206),0) &lt;=1,IFERROR(P206/R206,""),1),""),"")</f>
        <v/>
      </c>
      <c r="X206" s="15"/>
      <c r="Y206" s="2"/>
      <c r="AB206" s="22">
        <f t="shared" ref="AB206:AB269" si="90">HOUR(AH206)+1</f>
        <v>1</v>
      </c>
      <c r="AC206" s="11"/>
      <c r="AD206" s="11"/>
      <c r="AE206" s="13"/>
      <c r="AF206" s="12"/>
      <c r="AG206" s="13"/>
      <c r="AH206" s="14"/>
      <c r="AI206" s="81" t="str">
        <f t="shared" ref="AI206:AI269" si="91">IF(AJ206="","",IF(AND((AJ206-AH206)&gt;=TIME(0,0,0),(AJ206-AH206)&lt;TIME(0,3,0)),"OK",IF(AND((AJ206-AH206)&gt;=TIME(0,3,0),(AJ206-AH206)&lt;TIME(0,5,0)),"RETRASO DE 3-5 MIN",IF(AND((AJ206-AH206)&gt;=TIME(0,5,0),(AJ206-AH206)&lt;TIME(0,10,0)),"RETRASO DE 5-10 MIN",IF((AJ206-AH206)&gt;=TIME(0,10,0),"RETRASO &gt;10 MIN",         IF(AND((AH206-AJ206)&gt;=TIME(0,0,0),(AH206-AJ206)&lt;TIME(0,3,0)),"OK",IF((AH206-AJ206)&gt;=TIME(0,3,0),"ADELANTADO")))))))</f>
        <v/>
      </c>
      <c r="AJ206" s="15"/>
      <c r="AK206" s="6" t="e">
        <f t="shared" ref="AK206:AK269" si="92">IF(AB206&lt;&gt;"",HLOOKUP(VALUE(TEXT(AH206,"h:mm:ss")),IF($C$6="Laboral",$FT$4:$GR$227,IF($C$6="Sábado",$FT$231:$GR$452,$FT$456:$GR$656)),VLOOKUP($C$4,$GZ$2:$HB$99,3,0)+IF(AD$5="Ida",0,1),1),"")</f>
        <v>#N/A</v>
      </c>
      <c r="AL206" s="6" t="str">
        <f>IF(AB207&lt;&gt;AB206,AVERAGEIF(AB$9:AB206,AB206,AK$9:AK206),"")</f>
        <v/>
      </c>
      <c r="AM206" s="7" t="str">
        <f>IFERROR(IF(AB207&lt;&gt;AB206,AVERAGEIF(AB$9:AB206,AB206,AT$9:AT206),""),"")</f>
        <v/>
      </c>
      <c r="AN206" s="7" t="str">
        <f>IFERROR(IF(AB207&lt;&gt;AB206,AVERAGEIF(AB$9:AB206,AB206,AU$9:AU206),""),"")</f>
        <v/>
      </c>
      <c r="AO206" s="7" t="str" cm="1">
        <f t="array" ref="AO206">IFERROR(IF(AB207&lt;&gt;AB206,_xlfn.STDEV.P(IF(AB$9:AB206=AB206,AU$9:AU206)),""),"")</f>
        <v/>
      </c>
      <c r="AP206" s="7" t="str" cm="1">
        <f t="array" ref="AP206">IFERROR(IF(AB207&lt;&gt;AB206,_xlfn.STDEV.P(IF(AB$9:AB206=AB206,AT$9:AT206)),""),"")</f>
        <v/>
      </c>
      <c r="AQ206" s="8" t="str">
        <f t="shared" ref="AQ206:AQ269" si="93">IFERROR(IF(AB206&lt;&gt;AB207,MAX((((AN206*24*60)/2)*(1+POWER((((AO206*24*60) / (AN206*24*60) )),2))) + ((AN206*24*60 )*-0.1 + (AL206*0.015)) +1,(((AN206*24*60)/2)*(1+POWER((((AO206*24*60) / (AN206*24*60 ))),2)))),""),"")</f>
        <v/>
      </c>
      <c r="AR206" s="8" t="str">
        <f t="shared" ref="AR206:AR269" si="94">IF(AND(AP206&lt;&gt;"",AM206&lt;&gt;""),IF(AB206&lt;&gt;AB207,((AM206*24*60) / 2 ) * (1 + POWER(((AP206*24*60) / (AM206*24*60)),2)),""),"")</f>
        <v/>
      </c>
      <c r="AS206" s="8" t="str">
        <f t="shared" ref="AS206:AS269" si="95">IF(AR206&lt;&gt;"",MAX(AQ206,AR206),"")</f>
        <v/>
      </c>
      <c r="AT206" s="9" t="str">
        <f t="shared" ref="AT206:AT269" si="96">IF(AJ206&lt;&gt;"H. Sale Real",IF(AND(AJ207&lt;&gt;"",LEFT(AD207,2)&lt;&gt;"NC"),IF(AND(AJ206&lt;&gt;"",LEFT(AD206,2)&lt;&gt;"NC",AJ206&lt;&gt;"H. Sale Real"),IF(AJ207-AJ206&lt;0.208333333333333,AJ207-AJ206,""),IF(AND(AJ205&lt;&gt;"",LEFT(AD205,2)&lt;&gt;"NC",AJ205&lt;&gt;"H. Sale Real"),IF(AJ207-AJ205&lt;0.208333333333333,AJ207-AJ205,""),IF(AND(AJ204&lt;&gt;"",LEFT(AD204,2)&lt;&gt;"NC",AJ204&lt;&gt;"H. Sale Real"),IF(AJ207-AJ204&lt;0.208333333333333,AJ207-AJ204,""),IF(AND(AJ203&lt;&gt;"",LEFT(AD203,2)&lt;&gt;"NC",AJ203&lt;&gt;"H. Sale Real"),IF(AJ207-AJ203&lt;0.208333333333333,AJ207-AJ203,""),IF(AND(AJ202&lt;&gt;"",LEFT(AD202,2)&lt;&gt;"NC",AJ202&lt;&gt;"H. Sale Real"),IF(AJ207-AJ202&lt;0.208333333333333,AJ207-AJ202,""),""))))),""),"")</f>
        <v/>
      </c>
      <c r="AU206" s="9" t="str">
        <f t="shared" ref="AU206:AU269" si="97">IF(AH206&lt;&gt;"H. Sale Real",IF(AND(AH207&lt;&gt;"",LEFT(AD207,2)&lt;&gt;"NC"),IF(AND(AH206&lt;&gt;"",LEFT(AD206,2)&lt;&gt;"NC",AH206&lt;&gt;"H. Sale Real"),IF(AH207-AH206&lt;0.208333333333333,AH207-AH206,""),IF(AND(AH205&lt;&gt;"",LEFT(AD205,2)&lt;&gt;"NC",AH205&lt;&gt;"H. Sale Real"),IF(AH207-AH205&lt;0.208333333333333,AH207-AH205,""),IF(AND(AH204&lt;&gt;"",LEFT(AD204,2)&lt;&gt;"NC",AH204&lt;&gt;"H. Sale Real"),IF(AH207-AH204&lt;0.208333333333333,AH207-AH204,""),IF(AND(AH203&lt;&gt;"",LEFT(AD203,2)&lt;&gt;"NC",AH203&lt;&gt;"H. Sale Real"),IF(AH207-AH203&lt;0.208333333333333,AH207-AH203,""),IF(AND(AH202&lt;&gt;"",LEFT(AD202,2)&lt;&gt;"NC",AH202&lt;&gt;"H. Sale Real"),IF(AH207-AH202&lt;0.208333333333333,AH207-AH202,""),""))))),""),"")</f>
        <v/>
      </c>
      <c r="AV206" s="14"/>
      <c r="AW206" s="15"/>
      <c r="AX206" s="14" t="str">
        <f t="shared" ref="AX206:AX269" si="98">IF(AH206&lt;&gt;"",IF(AND(AX205&lt;&gt;"IE",AQ206&lt;&gt;0,AS206&lt;&gt;""),IF(IFERROR((AQ206/AS206),0) &lt;=1,IFERROR(AQ206/AS206,""),1),""),"")</f>
        <v/>
      </c>
      <c r="AY206" s="15"/>
      <c r="AZ206" s="23"/>
      <c r="EW206" t="s">
        <v>46</v>
      </c>
      <c r="EX206" s="33">
        <v>1194</v>
      </c>
      <c r="EY206" s="33" t="s">
        <v>557</v>
      </c>
      <c r="EZ206" s="33">
        <v>507974</v>
      </c>
      <c r="FA206" s="33" t="s">
        <v>51</v>
      </c>
      <c r="FB206" s="33" t="s">
        <v>473</v>
      </c>
      <c r="FC206" s="33" t="s">
        <v>53</v>
      </c>
      <c r="FD206" s="33" t="s">
        <v>476</v>
      </c>
      <c r="FE206" s="33">
        <v>2020</v>
      </c>
      <c r="FF206" s="33" t="s">
        <v>474</v>
      </c>
      <c r="FG206" s="33" t="s">
        <v>477</v>
      </c>
      <c r="FH206" s="33" t="s">
        <v>478</v>
      </c>
      <c r="FI206" s="33" t="s">
        <v>479</v>
      </c>
      <c r="FJ206" t="s">
        <v>474</v>
      </c>
      <c r="FM206" s="32" t="s">
        <v>554</v>
      </c>
      <c r="FN206" t="s">
        <v>555</v>
      </c>
      <c r="FO206" t="s">
        <v>556</v>
      </c>
      <c r="FP206" t="str">
        <f t="shared" si="80"/>
        <v>B</v>
      </c>
      <c r="GV206" s="53">
        <v>200</v>
      </c>
    </row>
    <row r="207" spans="1:204" ht="15.5" x14ac:dyDescent="0.35">
      <c r="A207" s="95">
        <f t="shared" si="81"/>
        <v>1</v>
      </c>
      <c r="B207" s="11"/>
      <c r="C207" s="11"/>
      <c r="D207" s="92" t="str">
        <f>IFERROR(
IF(AND(OR(Planilla!B207="C",Planilla!B207="c"), VLOOKUP(E207,EX:FJ,13,0)="C"), "OK",IF(AND(OR(Planilla!B207="C",Planilla!B207="c"), OR(VLOOKUP(E207,EX:FJ,13,0)="B", VLOOKUP(E207,EX:FJ,13,0)="A")), "DEFICIT",IF(
AND(OR(Planilla!B207="B", Planilla!B207="BPAL"), VLOOKUP(E207,EX:FJ,13,0)="B"), "OK",IF(AND(OR(Planilla!B207="B", Planilla!B207="BPAL"), VLOOKUP(E207,EX:FJ,13,0)="A"), "DEFICIT",IF(AND(OR(Planilla!B207="B", Planilla!B207="BPAL"), VLOOKUP(E207,EX:FJ,13,0)="C"), "SOBREOFERTA",IF(AND(Planilla!B207="A", VLOOKUP(E207,EX:FJ,13,0)="A"), "OK",IF(
AND(Planilla!B207="A", OR(VLOOKUP(E207,EX:FJ,13,0)="B", VLOOKUP(E207,EX:FJ,13,0)="C")), "SOBREOFERTA",""
))))))),"")</f>
        <v/>
      </c>
      <c r="E207" s="12"/>
      <c r="F207" s="13"/>
      <c r="G207" s="14"/>
      <c r="H207" s="81" t="str">
        <f t="shared" si="82"/>
        <v/>
      </c>
      <c r="I207" s="7"/>
      <c r="J207" s="6" t="e">
        <f t="shared" si="83"/>
        <v>#N/A</v>
      </c>
      <c r="K207" s="6" t="str">
        <f>IF(A208&lt;&gt;A207,AVERAGEIF(A$9:A207,A207,J$9:J207),"")</f>
        <v/>
      </c>
      <c r="L207" s="7" t="str">
        <f>IFERROR(IF(A208&lt;&gt;A207,AVERAGEIF(A$9:A207,A207,S$9:S207),""),"")</f>
        <v/>
      </c>
      <c r="M207" s="7" t="str">
        <f>IFERROR(IF(A208&lt;&gt;A207,AVERAGEIF(A$9:A207,A207,T$9:T207),""),"")</f>
        <v/>
      </c>
      <c r="N207" s="7" t="str" cm="1">
        <f t="array" ref="N207">IFERROR(IF(A208&lt;&gt;A207,_xlfn.STDEV.P(IF(A$9:A207=A207,T$9:T207)),""),"")</f>
        <v/>
      </c>
      <c r="O207" s="7" t="str" cm="1">
        <f t="array" ref="O207">IFERROR(IF(A208&lt;&gt;A207,_xlfn.STDEV.P(IF(A$9:A207=A207,S$9:S207)),""),"")</f>
        <v/>
      </c>
      <c r="P207" s="8" t="str">
        <f t="shared" si="84"/>
        <v/>
      </c>
      <c r="Q207" s="8" t="str">
        <f t="shared" si="85"/>
        <v/>
      </c>
      <c r="R207" s="8" t="str">
        <f t="shared" si="86"/>
        <v/>
      </c>
      <c r="S207" s="9" t="str">
        <f t="shared" si="87"/>
        <v/>
      </c>
      <c r="T207" s="9" t="str">
        <f t="shared" si="88"/>
        <v/>
      </c>
      <c r="U207" s="14"/>
      <c r="V207" s="15"/>
      <c r="W207" s="14" t="str">
        <f t="shared" si="89"/>
        <v/>
      </c>
      <c r="X207" s="15"/>
      <c r="Y207" s="2"/>
      <c r="AB207" s="22">
        <f t="shared" si="90"/>
        <v>1</v>
      </c>
      <c r="AC207" s="11"/>
      <c r="AD207" s="11"/>
      <c r="AE207" s="13"/>
      <c r="AF207" s="12"/>
      <c r="AG207" s="13"/>
      <c r="AH207" s="14"/>
      <c r="AI207" s="81" t="str">
        <f t="shared" si="91"/>
        <v/>
      </c>
      <c r="AJ207" s="15"/>
      <c r="AK207" s="6" t="e">
        <f t="shared" si="92"/>
        <v>#N/A</v>
      </c>
      <c r="AL207" s="6" t="str">
        <f>IF(AB208&lt;&gt;AB207,AVERAGEIF(AB$9:AB207,AB207,AK$9:AK207),"")</f>
        <v/>
      </c>
      <c r="AM207" s="7" t="str">
        <f>IFERROR(IF(AB208&lt;&gt;AB207,AVERAGEIF(AB$9:AB207,AB207,AT$9:AT207),""),"")</f>
        <v/>
      </c>
      <c r="AN207" s="7" t="str">
        <f>IFERROR(IF(AB208&lt;&gt;AB207,AVERAGEIF(AB$9:AB207,AB207,AU$9:AU207),""),"")</f>
        <v/>
      </c>
      <c r="AO207" s="7" t="str" cm="1">
        <f t="array" ref="AO207">IFERROR(IF(AB208&lt;&gt;AB207,_xlfn.STDEV.P(IF(AB$9:AB207=AB207,AU$9:AU207)),""),"")</f>
        <v/>
      </c>
      <c r="AP207" s="7" t="str" cm="1">
        <f t="array" ref="AP207">IFERROR(IF(AB208&lt;&gt;AB207,_xlfn.STDEV.P(IF(AB$9:AB207=AB207,AT$9:AT207)),""),"")</f>
        <v/>
      </c>
      <c r="AQ207" s="8" t="str">
        <f t="shared" si="93"/>
        <v/>
      </c>
      <c r="AR207" s="8" t="str">
        <f t="shared" si="94"/>
        <v/>
      </c>
      <c r="AS207" s="8" t="str">
        <f t="shared" si="95"/>
        <v/>
      </c>
      <c r="AT207" s="9" t="str">
        <f t="shared" si="96"/>
        <v/>
      </c>
      <c r="AU207" s="9" t="str">
        <f t="shared" si="97"/>
        <v/>
      </c>
      <c r="AV207" s="14"/>
      <c r="AW207" s="15"/>
      <c r="AX207" s="14" t="str">
        <f t="shared" si="98"/>
        <v/>
      </c>
      <c r="AY207" s="15"/>
      <c r="AZ207" s="23"/>
      <c r="EW207" t="s">
        <v>46</v>
      </c>
      <c r="EX207" s="33">
        <v>1195</v>
      </c>
      <c r="EY207" s="33" t="s">
        <v>558</v>
      </c>
      <c r="EZ207" s="33">
        <v>508008</v>
      </c>
      <c r="FA207" s="33" t="s">
        <v>51</v>
      </c>
      <c r="FB207" s="33" t="s">
        <v>473</v>
      </c>
      <c r="FC207" s="33" t="s">
        <v>53</v>
      </c>
      <c r="FD207" s="33" t="s">
        <v>476</v>
      </c>
      <c r="FE207" s="33">
        <v>2020</v>
      </c>
      <c r="FF207" s="33" t="s">
        <v>474</v>
      </c>
      <c r="FG207" s="33" t="s">
        <v>477</v>
      </c>
      <c r="FH207" s="33" t="s">
        <v>478</v>
      </c>
      <c r="FI207" s="33" t="s">
        <v>479</v>
      </c>
      <c r="FJ207" t="s">
        <v>474</v>
      </c>
      <c r="FM207" s="32" t="s">
        <v>559</v>
      </c>
      <c r="FN207" t="s">
        <v>560</v>
      </c>
      <c r="FO207" t="s">
        <v>561</v>
      </c>
      <c r="FP207" t="str">
        <f t="shared" si="80"/>
        <v>B</v>
      </c>
      <c r="GV207" s="53">
        <v>201</v>
      </c>
    </row>
    <row r="208" spans="1:204" ht="15.5" x14ac:dyDescent="0.35">
      <c r="A208" s="95">
        <f t="shared" si="81"/>
        <v>1</v>
      </c>
      <c r="B208" s="11"/>
      <c r="C208" s="11"/>
      <c r="D208" s="92" t="str">
        <f>IFERROR(
IF(AND(OR(Planilla!B208="C",Planilla!B208="c"), VLOOKUP(E208,EX:FJ,13,0)="C"), "OK",IF(AND(OR(Planilla!B208="C",Planilla!B208="c"), OR(VLOOKUP(E208,EX:FJ,13,0)="B", VLOOKUP(E208,EX:FJ,13,0)="A")), "DEFICIT",IF(
AND(OR(Planilla!B208="B", Planilla!B208="BPAL"), VLOOKUP(E208,EX:FJ,13,0)="B"), "OK",IF(AND(OR(Planilla!B208="B", Planilla!B208="BPAL"), VLOOKUP(E208,EX:FJ,13,0)="A"), "DEFICIT",IF(AND(OR(Planilla!B208="B", Planilla!B208="BPAL"), VLOOKUP(E208,EX:FJ,13,0)="C"), "SOBREOFERTA",IF(AND(Planilla!B208="A", VLOOKUP(E208,EX:FJ,13,0)="A"), "OK",IF(
AND(Planilla!B208="A", OR(VLOOKUP(E208,EX:FJ,13,0)="B", VLOOKUP(E208,EX:FJ,13,0)="C")), "SOBREOFERTA",""
))))))),"")</f>
        <v/>
      </c>
      <c r="E208" s="12"/>
      <c r="F208" s="13"/>
      <c r="G208" s="14"/>
      <c r="H208" s="81" t="str">
        <f t="shared" si="82"/>
        <v/>
      </c>
      <c r="I208" s="7"/>
      <c r="J208" s="6" t="e">
        <f t="shared" si="83"/>
        <v>#N/A</v>
      </c>
      <c r="K208" s="6" t="str">
        <f>IF(A209&lt;&gt;A208,AVERAGEIF(A$9:A208,A208,J$9:J208),"")</f>
        <v/>
      </c>
      <c r="L208" s="7" t="str">
        <f>IFERROR(IF(A209&lt;&gt;A208,AVERAGEIF(A$9:A208,A208,S$9:S208),""),"")</f>
        <v/>
      </c>
      <c r="M208" s="7" t="str">
        <f>IFERROR(IF(A209&lt;&gt;A208,AVERAGEIF(A$9:A208,A208,T$9:T208),""),"")</f>
        <v/>
      </c>
      <c r="N208" s="7" t="str" cm="1">
        <f t="array" ref="N208">IFERROR(IF(A209&lt;&gt;A208,_xlfn.STDEV.P(IF(A$9:A208=A208,T$9:T208)),""),"")</f>
        <v/>
      </c>
      <c r="O208" s="7" t="str" cm="1">
        <f t="array" ref="O208">IFERROR(IF(A209&lt;&gt;A208,_xlfn.STDEV.P(IF(A$9:A208=A208,S$9:S208)),""),"")</f>
        <v/>
      </c>
      <c r="P208" s="8" t="str">
        <f t="shared" si="84"/>
        <v/>
      </c>
      <c r="Q208" s="8" t="str">
        <f t="shared" si="85"/>
        <v/>
      </c>
      <c r="R208" s="8" t="str">
        <f t="shared" si="86"/>
        <v/>
      </c>
      <c r="S208" s="9" t="str">
        <f t="shared" si="87"/>
        <v/>
      </c>
      <c r="T208" s="9" t="str">
        <f t="shared" si="88"/>
        <v/>
      </c>
      <c r="U208" s="14"/>
      <c r="V208" s="15"/>
      <c r="W208" s="14" t="str">
        <f t="shared" si="89"/>
        <v/>
      </c>
      <c r="X208" s="15"/>
      <c r="Y208" s="2"/>
      <c r="AB208" s="22">
        <f t="shared" si="90"/>
        <v>1</v>
      </c>
      <c r="AC208" s="11"/>
      <c r="AD208" s="11"/>
      <c r="AE208" s="13"/>
      <c r="AF208" s="12"/>
      <c r="AG208" s="13"/>
      <c r="AH208" s="14"/>
      <c r="AI208" s="81" t="str">
        <f t="shared" si="91"/>
        <v/>
      </c>
      <c r="AJ208" s="15"/>
      <c r="AK208" s="6" t="e">
        <f t="shared" si="92"/>
        <v>#N/A</v>
      </c>
      <c r="AL208" s="6" t="str">
        <f>IF(AB209&lt;&gt;AB208,AVERAGEIF(AB$9:AB208,AB208,AK$9:AK208),"")</f>
        <v/>
      </c>
      <c r="AM208" s="7" t="str">
        <f>IFERROR(IF(AB209&lt;&gt;AB208,AVERAGEIF(AB$9:AB208,AB208,AT$9:AT208),""),"")</f>
        <v/>
      </c>
      <c r="AN208" s="7" t="str">
        <f>IFERROR(IF(AB209&lt;&gt;AB208,AVERAGEIF(AB$9:AB208,AB208,AU$9:AU208),""),"")</f>
        <v/>
      </c>
      <c r="AO208" s="7" t="str" cm="1">
        <f t="array" ref="AO208">IFERROR(IF(AB209&lt;&gt;AB208,_xlfn.STDEV.P(IF(AB$9:AB208=AB208,AU$9:AU208)),""),"")</f>
        <v/>
      </c>
      <c r="AP208" s="7" t="str" cm="1">
        <f t="array" ref="AP208">IFERROR(IF(AB209&lt;&gt;AB208,_xlfn.STDEV.P(IF(AB$9:AB208=AB208,AT$9:AT208)),""),"")</f>
        <v/>
      </c>
      <c r="AQ208" s="8" t="str">
        <f t="shared" si="93"/>
        <v/>
      </c>
      <c r="AR208" s="8" t="str">
        <f t="shared" si="94"/>
        <v/>
      </c>
      <c r="AS208" s="8" t="str">
        <f t="shared" si="95"/>
        <v/>
      </c>
      <c r="AT208" s="9" t="str">
        <f t="shared" si="96"/>
        <v/>
      </c>
      <c r="AU208" s="9" t="str">
        <f t="shared" si="97"/>
        <v/>
      </c>
      <c r="AV208" s="14"/>
      <c r="AW208" s="15"/>
      <c r="AX208" s="14" t="str">
        <f t="shared" si="98"/>
        <v/>
      </c>
      <c r="AY208" s="15"/>
      <c r="AZ208" s="23"/>
      <c r="EW208" t="s">
        <v>46</v>
      </c>
      <c r="EX208" s="33">
        <v>1196</v>
      </c>
      <c r="EY208" s="33" t="s">
        <v>562</v>
      </c>
      <c r="EZ208" s="33">
        <v>507878</v>
      </c>
      <c r="FA208" s="33" t="s">
        <v>51</v>
      </c>
      <c r="FB208" s="33" t="s">
        <v>473</v>
      </c>
      <c r="FC208" s="33" t="s">
        <v>53</v>
      </c>
      <c r="FD208" s="33" t="s">
        <v>476</v>
      </c>
      <c r="FE208" s="33">
        <v>2020</v>
      </c>
      <c r="FF208" s="33" t="s">
        <v>474</v>
      </c>
      <c r="FG208" s="33" t="s">
        <v>477</v>
      </c>
      <c r="FH208" s="33" t="s">
        <v>478</v>
      </c>
      <c r="FI208" s="33" t="s">
        <v>479</v>
      </c>
      <c r="FJ208" t="s">
        <v>474</v>
      </c>
      <c r="FM208" s="32" t="s">
        <v>563</v>
      </c>
      <c r="FN208" t="s">
        <v>564</v>
      </c>
      <c r="FO208" t="s">
        <v>565</v>
      </c>
      <c r="FP208" t="str">
        <f t="shared" si="80"/>
        <v>B</v>
      </c>
      <c r="GV208" s="53">
        <v>202</v>
      </c>
    </row>
    <row r="209" spans="1:204" ht="15.5" x14ac:dyDescent="0.35">
      <c r="A209" s="95">
        <f t="shared" si="81"/>
        <v>1</v>
      </c>
      <c r="B209" s="11"/>
      <c r="C209" s="11"/>
      <c r="D209" s="92" t="str">
        <f>IFERROR(
IF(AND(OR(Planilla!B209="C",Planilla!B209="c"), VLOOKUP(E209,EX:FJ,13,0)="C"), "OK",IF(AND(OR(Planilla!B209="C",Planilla!B209="c"), OR(VLOOKUP(E209,EX:FJ,13,0)="B", VLOOKUP(E209,EX:FJ,13,0)="A")), "DEFICIT",IF(
AND(OR(Planilla!B209="B", Planilla!B209="BPAL"), VLOOKUP(E209,EX:FJ,13,0)="B"), "OK",IF(AND(OR(Planilla!B209="B", Planilla!B209="BPAL"), VLOOKUP(E209,EX:FJ,13,0)="A"), "DEFICIT",IF(AND(OR(Planilla!B209="B", Planilla!B209="BPAL"), VLOOKUP(E209,EX:FJ,13,0)="C"), "SOBREOFERTA",IF(AND(Planilla!B209="A", VLOOKUP(E209,EX:FJ,13,0)="A"), "OK",IF(
AND(Planilla!B209="A", OR(VLOOKUP(E209,EX:FJ,13,0)="B", VLOOKUP(E209,EX:FJ,13,0)="C")), "SOBREOFERTA",""
))))))),"")</f>
        <v/>
      </c>
      <c r="E209" s="12"/>
      <c r="F209" s="13"/>
      <c r="G209" s="14"/>
      <c r="H209" s="81" t="str">
        <f t="shared" si="82"/>
        <v/>
      </c>
      <c r="I209" s="7"/>
      <c r="J209" s="6" t="e">
        <f t="shared" si="83"/>
        <v>#N/A</v>
      </c>
      <c r="K209" s="6" t="str">
        <f>IF(A210&lt;&gt;A209,AVERAGEIF(A$9:A209,A209,J$9:J209),"")</f>
        <v/>
      </c>
      <c r="L209" s="7" t="str">
        <f>IFERROR(IF(A210&lt;&gt;A209,AVERAGEIF(A$9:A209,A209,S$9:S209),""),"")</f>
        <v/>
      </c>
      <c r="M209" s="7" t="str">
        <f>IFERROR(IF(A210&lt;&gt;A209,AVERAGEIF(A$9:A209,A209,T$9:T209),""),"")</f>
        <v/>
      </c>
      <c r="N209" s="7" t="str" cm="1">
        <f t="array" ref="N209">IFERROR(IF(A210&lt;&gt;A209,_xlfn.STDEV.P(IF(A$9:A209=A209,T$9:T209)),""),"")</f>
        <v/>
      </c>
      <c r="O209" s="7" t="str" cm="1">
        <f t="array" ref="O209">IFERROR(IF(A210&lt;&gt;A209,_xlfn.STDEV.P(IF(A$9:A209=A209,S$9:S209)),""),"")</f>
        <v/>
      </c>
      <c r="P209" s="8" t="str">
        <f t="shared" si="84"/>
        <v/>
      </c>
      <c r="Q209" s="8" t="str">
        <f t="shared" si="85"/>
        <v/>
      </c>
      <c r="R209" s="8" t="str">
        <f t="shared" si="86"/>
        <v/>
      </c>
      <c r="S209" s="9" t="str">
        <f t="shared" si="87"/>
        <v/>
      </c>
      <c r="T209" s="9" t="str">
        <f t="shared" si="88"/>
        <v/>
      </c>
      <c r="U209" s="14"/>
      <c r="V209" s="15"/>
      <c r="W209" s="14" t="str">
        <f t="shared" si="89"/>
        <v/>
      </c>
      <c r="X209" s="15"/>
      <c r="Y209" s="2"/>
      <c r="AB209" s="22">
        <f t="shared" si="90"/>
        <v>1</v>
      </c>
      <c r="AC209" s="11"/>
      <c r="AD209" s="11"/>
      <c r="AE209" s="13"/>
      <c r="AF209" s="12"/>
      <c r="AG209" s="13"/>
      <c r="AH209" s="14"/>
      <c r="AI209" s="81" t="str">
        <f t="shared" si="91"/>
        <v/>
      </c>
      <c r="AJ209" s="15"/>
      <c r="AK209" s="6" t="e">
        <f t="shared" si="92"/>
        <v>#N/A</v>
      </c>
      <c r="AL209" s="6" t="str">
        <f>IF(AB210&lt;&gt;AB209,AVERAGEIF(AB$9:AB209,AB209,AK$9:AK209),"")</f>
        <v/>
      </c>
      <c r="AM209" s="7" t="str">
        <f>IFERROR(IF(AB210&lt;&gt;AB209,AVERAGEIF(AB$9:AB209,AB209,AT$9:AT209),""),"")</f>
        <v/>
      </c>
      <c r="AN209" s="7" t="str">
        <f>IFERROR(IF(AB210&lt;&gt;AB209,AVERAGEIF(AB$9:AB209,AB209,AU$9:AU209),""),"")</f>
        <v/>
      </c>
      <c r="AO209" s="7" t="str" cm="1">
        <f t="array" ref="AO209">IFERROR(IF(AB210&lt;&gt;AB209,_xlfn.STDEV.P(IF(AB$9:AB209=AB209,AU$9:AU209)),""),"")</f>
        <v/>
      </c>
      <c r="AP209" s="7" t="str" cm="1">
        <f t="array" ref="AP209">IFERROR(IF(AB210&lt;&gt;AB209,_xlfn.STDEV.P(IF(AB$9:AB209=AB209,AT$9:AT209)),""),"")</f>
        <v/>
      </c>
      <c r="AQ209" s="8" t="str">
        <f t="shared" si="93"/>
        <v/>
      </c>
      <c r="AR209" s="8" t="str">
        <f t="shared" si="94"/>
        <v/>
      </c>
      <c r="AS209" s="8" t="str">
        <f t="shared" si="95"/>
        <v/>
      </c>
      <c r="AT209" s="9" t="str">
        <f t="shared" si="96"/>
        <v/>
      </c>
      <c r="AU209" s="9" t="str">
        <f t="shared" si="97"/>
        <v/>
      </c>
      <c r="AV209" s="14"/>
      <c r="AW209" s="15"/>
      <c r="AX209" s="14" t="str">
        <f t="shared" si="98"/>
        <v/>
      </c>
      <c r="AY209" s="15"/>
      <c r="AZ209" s="23"/>
      <c r="EW209" t="s">
        <v>46</v>
      </c>
      <c r="EX209" s="33">
        <v>1197</v>
      </c>
      <c r="EY209" s="33" t="s">
        <v>566</v>
      </c>
      <c r="EZ209" s="33">
        <v>507933</v>
      </c>
      <c r="FA209" s="33" t="s">
        <v>51</v>
      </c>
      <c r="FB209" s="33" t="s">
        <v>473</v>
      </c>
      <c r="FC209" s="33" t="s">
        <v>53</v>
      </c>
      <c r="FD209" s="33" t="s">
        <v>476</v>
      </c>
      <c r="FE209" s="33">
        <v>2020</v>
      </c>
      <c r="FF209" s="33" t="s">
        <v>474</v>
      </c>
      <c r="FG209" s="33" t="s">
        <v>477</v>
      </c>
      <c r="FH209" s="33" t="s">
        <v>478</v>
      </c>
      <c r="FI209" s="33" t="s">
        <v>479</v>
      </c>
      <c r="FJ209" t="s">
        <v>474</v>
      </c>
      <c r="FM209" s="32" t="s">
        <v>563</v>
      </c>
      <c r="FN209" t="s">
        <v>564</v>
      </c>
      <c r="FO209" t="s">
        <v>565</v>
      </c>
      <c r="FP209" t="str">
        <f t="shared" si="80"/>
        <v>B</v>
      </c>
      <c r="GV209" s="53">
        <v>203</v>
      </c>
    </row>
    <row r="210" spans="1:204" ht="15.5" x14ac:dyDescent="0.35">
      <c r="A210" s="95">
        <f t="shared" si="81"/>
        <v>1</v>
      </c>
      <c r="B210" s="11"/>
      <c r="C210" s="11"/>
      <c r="D210" s="92" t="str">
        <f>IFERROR(
IF(AND(OR(Planilla!B210="C",Planilla!B210="c"), VLOOKUP(E210,EX:FJ,13,0)="C"), "OK",IF(AND(OR(Planilla!B210="C",Planilla!B210="c"), OR(VLOOKUP(E210,EX:FJ,13,0)="B", VLOOKUP(E210,EX:FJ,13,0)="A")), "DEFICIT",IF(
AND(OR(Planilla!B210="B", Planilla!B210="BPAL"), VLOOKUP(E210,EX:FJ,13,0)="B"), "OK",IF(AND(OR(Planilla!B210="B", Planilla!B210="BPAL"), VLOOKUP(E210,EX:FJ,13,0)="A"), "DEFICIT",IF(AND(OR(Planilla!B210="B", Planilla!B210="BPAL"), VLOOKUP(E210,EX:FJ,13,0)="C"), "SOBREOFERTA",IF(AND(Planilla!B210="A", VLOOKUP(E210,EX:FJ,13,0)="A"), "OK",IF(
AND(Planilla!B210="A", OR(VLOOKUP(E210,EX:FJ,13,0)="B", VLOOKUP(E210,EX:FJ,13,0)="C")), "SOBREOFERTA",""
))))))),"")</f>
        <v/>
      </c>
      <c r="E210" s="12"/>
      <c r="F210" s="13"/>
      <c r="G210" s="14"/>
      <c r="H210" s="81" t="str">
        <f t="shared" si="82"/>
        <v/>
      </c>
      <c r="I210" s="7"/>
      <c r="J210" s="6" t="e">
        <f t="shared" si="83"/>
        <v>#N/A</v>
      </c>
      <c r="K210" s="6" t="str">
        <f>IF(A211&lt;&gt;A210,AVERAGEIF(A$9:A210,A210,J$9:J210),"")</f>
        <v/>
      </c>
      <c r="L210" s="7" t="str">
        <f>IFERROR(IF(A211&lt;&gt;A210,AVERAGEIF(A$9:A210,A210,S$9:S210),""),"")</f>
        <v/>
      </c>
      <c r="M210" s="7" t="str">
        <f>IFERROR(IF(A211&lt;&gt;A210,AVERAGEIF(A$9:A210,A210,T$9:T210),""),"")</f>
        <v/>
      </c>
      <c r="N210" s="7" t="str" cm="1">
        <f t="array" ref="N210">IFERROR(IF(A211&lt;&gt;A210,_xlfn.STDEV.P(IF(A$9:A210=A210,T$9:T210)),""),"")</f>
        <v/>
      </c>
      <c r="O210" s="7" t="str" cm="1">
        <f t="array" ref="O210">IFERROR(IF(A211&lt;&gt;A210,_xlfn.STDEV.P(IF(A$9:A210=A210,S$9:S210)),""),"")</f>
        <v/>
      </c>
      <c r="P210" s="8" t="str">
        <f t="shared" si="84"/>
        <v/>
      </c>
      <c r="Q210" s="8" t="str">
        <f t="shared" si="85"/>
        <v/>
      </c>
      <c r="R210" s="8" t="str">
        <f t="shared" si="86"/>
        <v/>
      </c>
      <c r="S210" s="9" t="str">
        <f t="shared" si="87"/>
        <v/>
      </c>
      <c r="T210" s="9" t="str">
        <f t="shared" si="88"/>
        <v/>
      </c>
      <c r="U210" s="14"/>
      <c r="V210" s="15"/>
      <c r="W210" s="14" t="str">
        <f t="shared" si="89"/>
        <v/>
      </c>
      <c r="X210" s="15"/>
      <c r="Y210" s="2"/>
      <c r="AB210" s="22">
        <f t="shared" si="90"/>
        <v>1</v>
      </c>
      <c r="AC210" s="11"/>
      <c r="AD210" s="11"/>
      <c r="AE210" s="13"/>
      <c r="AF210" s="12"/>
      <c r="AG210" s="13"/>
      <c r="AH210" s="14"/>
      <c r="AI210" s="81" t="str">
        <f t="shared" si="91"/>
        <v/>
      </c>
      <c r="AJ210" s="15"/>
      <c r="AK210" s="6" t="e">
        <f t="shared" si="92"/>
        <v>#N/A</v>
      </c>
      <c r="AL210" s="6" t="str">
        <f>IF(AB211&lt;&gt;AB210,AVERAGEIF(AB$9:AB210,AB210,AK$9:AK210),"")</f>
        <v/>
      </c>
      <c r="AM210" s="7" t="str">
        <f>IFERROR(IF(AB211&lt;&gt;AB210,AVERAGEIF(AB$9:AB210,AB210,AT$9:AT210),""),"")</f>
        <v/>
      </c>
      <c r="AN210" s="7" t="str">
        <f>IFERROR(IF(AB211&lt;&gt;AB210,AVERAGEIF(AB$9:AB210,AB210,AU$9:AU210),""),"")</f>
        <v/>
      </c>
      <c r="AO210" s="7" t="str" cm="1">
        <f t="array" ref="AO210">IFERROR(IF(AB211&lt;&gt;AB210,_xlfn.STDEV.P(IF(AB$9:AB210=AB210,AU$9:AU210)),""),"")</f>
        <v/>
      </c>
      <c r="AP210" s="7" t="str" cm="1">
        <f t="array" ref="AP210">IFERROR(IF(AB211&lt;&gt;AB210,_xlfn.STDEV.P(IF(AB$9:AB210=AB210,AT$9:AT210)),""),"")</f>
        <v/>
      </c>
      <c r="AQ210" s="8" t="str">
        <f t="shared" si="93"/>
        <v/>
      </c>
      <c r="AR210" s="8" t="str">
        <f t="shared" si="94"/>
        <v/>
      </c>
      <c r="AS210" s="8" t="str">
        <f t="shared" si="95"/>
        <v/>
      </c>
      <c r="AT210" s="9" t="str">
        <f t="shared" si="96"/>
        <v/>
      </c>
      <c r="AU210" s="9" t="str">
        <f t="shared" si="97"/>
        <v/>
      </c>
      <c r="AV210" s="14"/>
      <c r="AW210" s="15"/>
      <c r="AX210" s="14" t="str">
        <f t="shared" si="98"/>
        <v/>
      </c>
      <c r="AY210" s="15"/>
      <c r="AZ210" s="23"/>
      <c r="EW210" t="s">
        <v>46</v>
      </c>
      <c r="EX210" s="33">
        <v>1198</v>
      </c>
      <c r="EY210" s="33" t="s">
        <v>567</v>
      </c>
      <c r="EZ210" s="33">
        <v>508173</v>
      </c>
      <c r="FA210" s="33" t="s">
        <v>51</v>
      </c>
      <c r="FB210" s="33" t="s">
        <v>473</v>
      </c>
      <c r="FC210" s="33" t="s">
        <v>53</v>
      </c>
      <c r="FD210" s="33" t="s">
        <v>476</v>
      </c>
      <c r="FE210" s="33">
        <v>2020</v>
      </c>
      <c r="FF210" s="33" t="s">
        <v>474</v>
      </c>
      <c r="FG210" s="33" t="s">
        <v>477</v>
      </c>
      <c r="FH210" s="33" t="s">
        <v>478</v>
      </c>
      <c r="FI210" s="33" t="s">
        <v>479</v>
      </c>
      <c r="FJ210" t="s">
        <v>474</v>
      </c>
      <c r="FM210" s="32" t="s">
        <v>563</v>
      </c>
      <c r="FN210" t="s">
        <v>564</v>
      </c>
      <c r="FO210" t="s">
        <v>565</v>
      </c>
      <c r="FP210" t="str">
        <f t="shared" si="80"/>
        <v>B</v>
      </c>
      <c r="GV210" s="53">
        <v>204</v>
      </c>
    </row>
    <row r="211" spans="1:204" ht="15.5" x14ac:dyDescent="0.35">
      <c r="A211" s="95">
        <f t="shared" si="81"/>
        <v>1</v>
      </c>
      <c r="B211" s="11"/>
      <c r="C211" s="11"/>
      <c r="D211" s="92" t="str">
        <f>IFERROR(
IF(AND(OR(Planilla!B211="C",Planilla!B211="c"), VLOOKUP(E211,EX:FJ,13,0)="C"), "OK",IF(AND(OR(Planilla!B211="C",Planilla!B211="c"), OR(VLOOKUP(E211,EX:FJ,13,0)="B", VLOOKUP(E211,EX:FJ,13,0)="A")), "DEFICIT",IF(
AND(OR(Planilla!B211="B", Planilla!B211="BPAL"), VLOOKUP(E211,EX:FJ,13,0)="B"), "OK",IF(AND(OR(Planilla!B211="B", Planilla!B211="BPAL"), VLOOKUP(E211,EX:FJ,13,0)="A"), "DEFICIT",IF(AND(OR(Planilla!B211="B", Planilla!B211="BPAL"), VLOOKUP(E211,EX:FJ,13,0)="C"), "SOBREOFERTA",IF(AND(Planilla!B211="A", VLOOKUP(E211,EX:FJ,13,0)="A"), "OK",IF(
AND(Planilla!B211="A", OR(VLOOKUP(E211,EX:FJ,13,0)="B", VLOOKUP(E211,EX:FJ,13,0)="C")), "SOBREOFERTA",""
))))))),"")</f>
        <v/>
      </c>
      <c r="E211" s="12"/>
      <c r="F211" s="13"/>
      <c r="G211" s="14"/>
      <c r="H211" s="81" t="str">
        <f t="shared" si="82"/>
        <v/>
      </c>
      <c r="I211" s="7"/>
      <c r="J211" s="6" t="e">
        <f t="shared" si="83"/>
        <v>#N/A</v>
      </c>
      <c r="K211" s="6" t="str">
        <f>IF(A212&lt;&gt;A211,AVERAGEIF(A$9:A211,A211,J$9:J211),"")</f>
        <v/>
      </c>
      <c r="L211" s="7" t="str">
        <f>IFERROR(IF(A212&lt;&gt;A211,AVERAGEIF(A$9:A211,A211,S$9:S211),""),"")</f>
        <v/>
      </c>
      <c r="M211" s="7" t="str">
        <f>IFERROR(IF(A212&lt;&gt;A211,AVERAGEIF(A$9:A211,A211,T$9:T211),""),"")</f>
        <v/>
      </c>
      <c r="N211" s="7" t="str" cm="1">
        <f t="array" ref="N211">IFERROR(IF(A212&lt;&gt;A211,_xlfn.STDEV.P(IF(A$9:A211=A211,T$9:T211)),""),"")</f>
        <v/>
      </c>
      <c r="O211" s="7" t="str" cm="1">
        <f t="array" ref="O211">IFERROR(IF(A212&lt;&gt;A211,_xlfn.STDEV.P(IF(A$9:A211=A211,S$9:S211)),""),"")</f>
        <v/>
      </c>
      <c r="P211" s="8" t="str">
        <f t="shared" si="84"/>
        <v/>
      </c>
      <c r="Q211" s="8" t="str">
        <f t="shared" si="85"/>
        <v/>
      </c>
      <c r="R211" s="8" t="str">
        <f t="shared" si="86"/>
        <v/>
      </c>
      <c r="S211" s="9" t="str">
        <f t="shared" si="87"/>
        <v/>
      </c>
      <c r="T211" s="9" t="str">
        <f t="shared" si="88"/>
        <v/>
      </c>
      <c r="U211" s="14"/>
      <c r="V211" s="15"/>
      <c r="W211" s="14" t="str">
        <f t="shared" si="89"/>
        <v/>
      </c>
      <c r="X211" s="15"/>
      <c r="Y211" s="2"/>
      <c r="AB211" s="22">
        <f t="shared" si="90"/>
        <v>1</v>
      </c>
      <c r="AC211" s="11"/>
      <c r="AD211" s="11"/>
      <c r="AE211" s="13"/>
      <c r="AF211" s="12"/>
      <c r="AG211" s="13"/>
      <c r="AH211" s="14"/>
      <c r="AI211" s="81" t="str">
        <f t="shared" si="91"/>
        <v/>
      </c>
      <c r="AJ211" s="15"/>
      <c r="AK211" s="6" t="e">
        <f t="shared" si="92"/>
        <v>#N/A</v>
      </c>
      <c r="AL211" s="6" t="str">
        <f>IF(AB212&lt;&gt;AB211,AVERAGEIF(AB$9:AB211,AB211,AK$9:AK211),"")</f>
        <v/>
      </c>
      <c r="AM211" s="7" t="str">
        <f>IFERROR(IF(AB212&lt;&gt;AB211,AVERAGEIF(AB$9:AB211,AB211,AT$9:AT211),""),"")</f>
        <v/>
      </c>
      <c r="AN211" s="7" t="str">
        <f>IFERROR(IF(AB212&lt;&gt;AB211,AVERAGEIF(AB$9:AB211,AB211,AU$9:AU211),""),"")</f>
        <v/>
      </c>
      <c r="AO211" s="7" t="str" cm="1">
        <f t="array" ref="AO211">IFERROR(IF(AB212&lt;&gt;AB211,_xlfn.STDEV.P(IF(AB$9:AB211=AB211,AU$9:AU211)),""),"")</f>
        <v/>
      </c>
      <c r="AP211" s="7" t="str" cm="1">
        <f t="array" ref="AP211">IFERROR(IF(AB212&lt;&gt;AB211,_xlfn.STDEV.P(IF(AB$9:AB211=AB211,AT$9:AT211)),""),"")</f>
        <v/>
      </c>
      <c r="AQ211" s="8" t="str">
        <f t="shared" si="93"/>
        <v/>
      </c>
      <c r="AR211" s="8" t="str">
        <f t="shared" si="94"/>
        <v/>
      </c>
      <c r="AS211" s="8" t="str">
        <f t="shared" si="95"/>
        <v/>
      </c>
      <c r="AT211" s="9" t="str">
        <f t="shared" si="96"/>
        <v/>
      </c>
      <c r="AU211" s="9" t="str">
        <f t="shared" si="97"/>
        <v/>
      </c>
      <c r="AV211" s="14"/>
      <c r="AW211" s="15"/>
      <c r="AX211" s="14" t="str">
        <f t="shared" si="98"/>
        <v/>
      </c>
      <c r="AY211" s="15"/>
      <c r="AZ211" s="23"/>
      <c r="EW211" t="s">
        <v>46</v>
      </c>
      <c r="EX211" s="33">
        <v>1199</v>
      </c>
      <c r="EY211" s="33" t="s">
        <v>568</v>
      </c>
      <c r="EZ211" s="33">
        <v>480074</v>
      </c>
      <c r="FA211" s="33" t="s">
        <v>51</v>
      </c>
      <c r="FB211" s="33" t="s">
        <v>473</v>
      </c>
      <c r="FC211" s="33" t="s">
        <v>53</v>
      </c>
      <c r="FD211" s="33" t="s">
        <v>569</v>
      </c>
      <c r="FE211" s="33">
        <v>2021</v>
      </c>
      <c r="FF211" s="33" t="s">
        <v>474</v>
      </c>
      <c r="FG211" s="33" t="s">
        <v>477</v>
      </c>
      <c r="FH211" s="33" t="s">
        <v>478</v>
      </c>
      <c r="FI211" s="33" t="s">
        <v>479</v>
      </c>
      <c r="FJ211" t="s">
        <v>474</v>
      </c>
      <c r="FM211" s="32" t="s">
        <v>563</v>
      </c>
      <c r="FN211" t="s">
        <v>564</v>
      </c>
      <c r="FO211" t="s">
        <v>565</v>
      </c>
      <c r="FP211" t="str">
        <f t="shared" si="80"/>
        <v>B</v>
      </c>
      <c r="GV211" s="53">
        <v>205</v>
      </c>
    </row>
    <row r="212" spans="1:204" ht="15.5" x14ac:dyDescent="0.35">
      <c r="A212" s="95">
        <f t="shared" si="81"/>
        <v>1</v>
      </c>
      <c r="B212" s="11"/>
      <c r="C212" s="11"/>
      <c r="D212" s="92" t="str">
        <f>IFERROR(
IF(AND(OR(Planilla!B212="C",Planilla!B212="c"), VLOOKUP(E212,EX:FJ,13,0)="C"), "OK",IF(AND(OR(Planilla!B212="C",Planilla!B212="c"), OR(VLOOKUP(E212,EX:FJ,13,0)="B", VLOOKUP(E212,EX:FJ,13,0)="A")), "DEFICIT",IF(
AND(OR(Planilla!B212="B", Planilla!B212="BPAL"), VLOOKUP(E212,EX:FJ,13,0)="B"), "OK",IF(AND(OR(Planilla!B212="B", Planilla!B212="BPAL"), VLOOKUP(E212,EX:FJ,13,0)="A"), "DEFICIT",IF(AND(OR(Planilla!B212="B", Planilla!B212="BPAL"), VLOOKUP(E212,EX:FJ,13,0)="C"), "SOBREOFERTA",IF(AND(Planilla!B212="A", VLOOKUP(E212,EX:FJ,13,0)="A"), "OK",IF(
AND(Planilla!B212="A", OR(VLOOKUP(E212,EX:FJ,13,0)="B", VLOOKUP(E212,EX:FJ,13,0)="C")), "SOBREOFERTA",""
))))))),"")</f>
        <v/>
      </c>
      <c r="E212" s="12"/>
      <c r="F212" s="13"/>
      <c r="G212" s="14"/>
      <c r="H212" s="81" t="str">
        <f t="shared" si="82"/>
        <v/>
      </c>
      <c r="I212" s="7"/>
      <c r="J212" s="6" t="e">
        <f t="shared" si="83"/>
        <v>#N/A</v>
      </c>
      <c r="K212" s="6" t="str">
        <f>IF(A213&lt;&gt;A212,AVERAGEIF(A$9:A212,A212,J$9:J212),"")</f>
        <v/>
      </c>
      <c r="L212" s="7" t="str">
        <f>IFERROR(IF(A213&lt;&gt;A212,AVERAGEIF(A$9:A212,A212,S$9:S212),""),"")</f>
        <v/>
      </c>
      <c r="M212" s="7" t="str">
        <f>IFERROR(IF(A213&lt;&gt;A212,AVERAGEIF(A$9:A212,A212,T$9:T212),""),"")</f>
        <v/>
      </c>
      <c r="N212" s="7" t="str" cm="1">
        <f t="array" ref="N212">IFERROR(IF(A213&lt;&gt;A212,_xlfn.STDEV.P(IF(A$9:A212=A212,T$9:T212)),""),"")</f>
        <v/>
      </c>
      <c r="O212" s="7" t="str" cm="1">
        <f t="array" ref="O212">IFERROR(IF(A213&lt;&gt;A212,_xlfn.STDEV.P(IF(A$9:A212=A212,S$9:S212)),""),"")</f>
        <v/>
      </c>
      <c r="P212" s="8" t="str">
        <f t="shared" si="84"/>
        <v/>
      </c>
      <c r="Q212" s="8" t="str">
        <f t="shared" si="85"/>
        <v/>
      </c>
      <c r="R212" s="8" t="str">
        <f t="shared" si="86"/>
        <v/>
      </c>
      <c r="S212" s="9" t="str">
        <f t="shared" si="87"/>
        <v/>
      </c>
      <c r="T212" s="9" t="str">
        <f t="shared" si="88"/>
        <v/>
      </c>
      <c r="U212" s="14"/>
      <c r="V212" s="15"/>
      <c r="W212" s="14" t="str">
        <f t="shared" si="89"/>
        <v/>
      </c>
      <c r="X212" s="15"/>
      <c r="Y212" s="2"/>
      <c r="AB212" s="22">
        <f t="shared" si="90"/>
        <v>1</v>
      </c>
      <c r="AC212" s="11"/>
      <c r="AD212" s="11"/>
      <c r="AE212" s="13"/>
      <c r="AF212" s="12"/>
      <c r="AG212" s="13"/>
      <c r="AH212" s="14"/>
      <c r="AI212" s="81" t="str">
        <f t="shared" si="91"/>
        <v/>
      </c>
      <c r="AJ212" s="15"/>
      <c r="AK212" s="6" t="e">
        <f t="shared" si="92"/>
        <v>#N/A</v>
      </c>
      <c r="AL212" s="6" t="str">
        <f>IF(AB213&lt;&gt;AB212,AVERAGEIF(AB$9:AB212,AB212,AK$9:AK212),"")</f>
        <v/>
      </c>
      <c r="AM212" s="7" t="str">
        <f>IFERROR(IF(AB213&lt;&gt;AB212,AVERAGEIF(AB$9:AB212,AB212,AT$9:AT212),""),"")</f>
        <v/>
      </c>
      <c r="AN212" s="7" t="str">
        <f>IFERROR(IF(AB213&lt;&gt;AB212,AVERAGEIF(AB$9:AB212,AB212,AU$9:AU212),""),"")</f>
        <v/>
      </c>
      <c r="AO212" s="7" t="str" cm="1">
        <f t="array" ref="AO212">IFERROR(IF(AB213&lt;&gt;AB212,_xlfn.STDEV.P(IF(AB$9:AB212=AB212,AU$9:AU212)),""),"")</f>
        <v/>
      </c>
      <c r="AP212" s="7" t="str" cm="1">
        <f t="array" ref="AP212">IFERROR(IF(AB213&lt;&gt;AB212,_xlfn.STDEV.P(IF(AB$9:AB212=AB212,AT$9:AT212)),""),"")</f>
        <v/>
      </c>
      <c r="AQ212" s="8" t="str">
        <f t="shared" si="93"/>
        <v/>
      </c>
      <c r="AR212" s="8" t="str">
        <f t="shared" si="94"/>
        <v/>
      </c>
      <c r="AS212" s="8" t="str">
        <f t="shared" si="95"/>
        <v/>
      </c>
      <c r="AT212" s="9" t="str">
        <f t="shared" si="96"/>
        <v/>
      </c>
      <c r="AU212" s="9" t="str">
        <f t="shared" si="97"/>
        <v/>
      </c>
      <c r="AV212" s="14"/>
      <c r="AW212" s="15"/>
      <c r="AX212" s="14" t="str">
        <f t="shared" si="98"/>
        <v/>
      </c>
      <c r="AY212" s="15"/>
      <c r="AZ212" s="23"/>
      <c r="EW212" t="s">
        <v>46</v>
      </c>
      <c r="EX212" s="33">
        <v>1200</v>
      </c>
      <c r="EY212" s="33" t="s">
        <v>570</v>
      </c>
      <c r="EZ212" s="33">
        <v>552632</v>
      </c>
      <c r="FA212" s="33" t="s">
        <v>51</v>
      </c>
      <c r="FB212" s="33" t="s">
        <v>473</v>
      </c>
      <c r="FC212" s="33" t="s">
        <v>53</v>
      </c>
      <c r="FD212" s="33" t="s">
        <v>476</v>
      </c>
      <c r="FE212" s="33">
        <v>2022</v>
      </c>
      <c r="FF212" s="33" t="s">
        <v>474</v>
      </c>
      <c r="FG212" s="33" t="s">
        <v>477</v>
      </c>
      <c r="FH212" s="33" t="s">
        <v>478</v>
      </c>
      <c r="FI212" s="33" t="s">
        <v>479</v>
      </c>
      <c r="FJ212" t="s">
        <v>474</v>
      </c>
      <c r="FM212" s="32" t="s">
        <v>563</v>
      </c>
      <c r="FN212" t="s">
        <v>564</v>
      </c>
      <c r="FO212" t="s">
        <v>565</v>
      </c>
      <c r="FP212" t="str">
        <f t="shared" si="80"/>
        <v>B</v>
      </c>
      <c r="GV212" s="53">
        <v>206</v>
      </c>
    </row>
    <row r="213" spans="1:204" ht="15.5" x14ac:dyDescent="0.35">
      <c r="A213" s="95">
        <f t="shared" si="81"/>
        <v>1</v>
      </c>
      <c r="B213" s="11"/>
      <c r="C213" s="11"/>
      <c r="D213" s="92" t="str">
        <f>IFERROR(
IF(AND(OR(Planilla!B213="C",Planilla!B213="c"), VLOOKUP(E213,EX:FJ,13,0)="C"), "OK",IF(AND(OR(Planilla!B213="C",Planilla!B213="c"), OR(VLOOKUP(E213,EX:FJ,13,0)="B", VLOOKUP(E213,EX:FJ,13,0)="A")), "DEFICIT",IF(
AND(OR(Planilla!B213="B", Planilla!B213="BPAL"), VLOOKUP(E213,EX:FJ,13,0)="B"), "OK",IF(AND(OR(Planilla!B213="B", Planilla!B213="BPAL"), VLOOKUP(E213,EX:FJ,13,0)="A"), "DEFICIT",IF(AND(OR(Planilla!B213="B", Planilla!B213="BPAL"), VLOOKUP(E213,EX:FJ,13,0)="C"), "SOBREOFERTA",IF(AND(Planilla!B213="A", VLOOKUP(E213,EX:FJ,13,0)="A"), "OK",IF(
AND(Planilla!B213="A", OR(VLOOKUP(E213,EX:FJ,13,0)="B", VLOOKUP(E213,EX:FJ,13,0)="C")), "SOBREOFERTA",""
))))))),"")</f>
        <v/>
      </c>
      <c r="E213" s="12"/>
      <c r="F213" s="13"/>
      <c r="G213" s="14"/>
      <c r="H213" s="81" t="str">
        <f t="shared" si="82"/>
        <v/>
      </c>
      <c r="I213" s="7"/>
      <c r="J213" s="6" t="e">
        <f t="shared" si="83"/>
        <v>#N/A</v>
      </c>
      <c r="K213" s="6" t="str">
        <f>IF(A214&lt;&gt;A213,AVERAGEIF(A$9:A213,A213,J$9:J213),"")</f>
        <v/>
      </c>
      <c r="L213" s="7" t="str">
        <f>IFERROR(IF(A214&lt;&gt;A213,AVERAGEIF(A$9:A213,A213,S$9:S213),""),"")</f>
        <v/>
      </c>
      <c r="M213" s="7" t="str">
        <f>IFERROR(IF(A214&lt;&gt;A213,AVERAGEIF(A$9:A213,A213,T$9:T213),""),"")</f>
        <v/>
      </c>
      <c r="N213" s="7" t="str" cm="1">
        <f t="array" ref="N213">IFERROR(IF(A214&lt;&gt;A213,_xlfn.STDEV.P(IF(A$9:A213=A213,T$9:T213)),""),"")</f>
        <v/>
      </c>
      <c r="O213" s="7" t="str" cm="1">
        <f t="array" ref="O213">IFERROR(IF(A214&lt;&gt;A213,_xlfn.STDEV.P(IF(A$9:A213=A213,S$9:S213)),""),"")</f>
        <v/>
      </c>
      <c r="P213" s="8" t="str">
        <f t="shared" si="84"/>
        <v/>
      </c>
      <c r="Q213" s="8" t="str">
        <f t="shared" si="85"/>
        <v/>
      </c>
      <c r="R213" s="8" t="str">
        <f t="shared" si="86"/>
        <v/>
      </c>
      <c r="S213" s="9" t="str">
        <f t="shared" si="87"/>
        <v/>
      </c>
      <c r="T213" s="9" t="str">
        <f t="shared" si="88"/>
        <v/>
      </c>
      <c r="U213" s="14"/>
      <c r="V213" s="15"/>
      <c r="W213" s="14" t="str">
        <f t="shared" si="89"/>
        <v/>
      </c>
      <c r="X213" s="15"/>
      <c r="Y213" s="2"/>
      <c r="AB213" s="22">
        <f t="shared" si="90"/>
        <v>1</v>
      </c>
      <c r="AC213" s="11"/>
      <c r="AD213" s="11"/>
      <c r="AE213" s="13"/>
      <c r="AF213" s="12"/>
      <c r="AG213" s="13"/>
      <c r="AH213" s="14"/>
      <c r="AI213" s="81" t="str">
        <f t="shared" si="91"/>
        <v/>
      </c>
      <c r="AJ213" s="15"/>
      <c r="AK213" s="6" t="e">
        <f t="shared" si="92"/>
        <v>#N/A</v>
      </c>
      <c r="AL213" s="6" t="str">
        <f>IF(AB214&lt;&gt;AB213,AVERAGEIF(AB$9:AB213,AB213,AK$9:AK213),"")</f>
        <v/>
      </c>
      <c r="AM213" s="7" t="str">
        <f>IFERROR(IF(AB214&lt;&gt;AB213,AVERAGEIF(AB$9:AB213,AB213,AT$9:AT213),""),"")</f>
        <v/>
      </c>
      <c r="AN213" s="7" t="str">
        <f>IFERROR(IF(AB214&lt;&gt;AB213,AVERAGEIF(AB$9:AB213,AB213,AU$9:AU213),""),"")</f>
        <v/>
      </c>
      <c r="AO213" s="7" t="str" cm="1">
        <f t="array" ref="AO213">IFERROR(IF(AB214&lt;&gt;AB213,_xlfn.STDEV.P(IF(AB$9:AB213=AB213,AU$9:AU213)),""),"")</f>
        <v/>
      </c>
      <c r="AP213" s="7" t="str" cm="1">
        <f t="array" ref="AP213">IFERROR(IF(AB214&lt;&gt;AB213,_xlfn.STDEV.P(IF(AB$9:AB213=AB213,AT$9:AT213)),""),"")</f>
        <v/>
      </c>
      <c r="AQ213" s="8" t="str">
        <f t="shared" si="93"/>
        <v/>
      </c>
      <c r="AR213" s="8" t="str">
        <f t="shared" si="94"/>
        <v/>
      </c>
      <c r="AS213" s="8" t="str">
        <f t="shared" si="95"/>
        <v/>
      </c>
      <c r="AT213" s="9" t="str">
        <f t="shared" si="96"/>
        <v/>
      </c>
      <c r="AU213" s="9" t="str">
        <f t="shared" si="97"/>
        <v/>
      </c>
      <c r="AV213" s="14"/>
      <c r="AW213" s="15"/>
      <c r="AX213" s="14" t="str">
        <f t="shared" si="98"/>
        <v/>
      </c>
      <c r="AY213" s="15"/>
      <c r="AZ213" s="23"/>
      <c r="EW213" t="s">
        <v>46</v>
      </c>
      <c r="EX213" s="33">
        <v>1234</v>
      </c>
      <c r="EY213" s="33" t="s">
        <v>571</v>
      </c>
      <c r="EZ213" s="33">
        <v>552649</v>
      </c>
      <c r="FA213" s="33" t="s">
        <v>51</v>
      </c>
      <c r="FB213" s="33" t="s">
        <v>473</v>
      </c>
      <c r="FC213" s="33" t="s">
        <v>53</v>
      </c>
      <c r="FD213" s="33" t="s">
        <v>476</v>
      </c>
      <c r="FE213" s="33">
        <v>2022</v>
      </c>
      <c r="FF213" s="33" t="s">
        <v>474</v>
      </c>
      <c r="FG213" s="33" t="s">
        <v>470</v>
      </c>
      <c r="FH213" s="33" t="s">
        <v>471</v>
      </c>
      <c r="FI213" s="33" t="s">
        <v>467</v>
      </c>
      <c r="FJ213" t="s">
        <v>474</v>
      </c>
      <c r="FM213" s="32" t="s">
        <v>563</v>
      </c>
      <c r="FN213" t="s">
        <v>564</v>
      </c>
      <c r="FO213" t="s">
        <v>565</v>
      </c>
      <c r="FP213" t="str">
        <f t="shared" si="80"/>
        <v>B</v>
      </c>
      <c r="GV213" s="53">
        <v>207</v>
      </c>
    </row>
    <row r="214" spans="1:204" ht="15.5" x14ac:dyDescent="0.35">
      <c r="A214" s="95">
        <f t="shared" si="81"/>
        <v>1</v>
      </c>
      <c r="B214" s="11"/>
      <c r="C214" s="11"/>
      <c r="D214" s="92" t="str">
        <f>IFERROR(
IF(AND(OR(Planilla!B214="C",Planilla!B214="c"), VLOOKUP(E214,EX:FJ,13,0)="C"), "OK",IF(AND(OR(Planilla!B214="C",Planilla!B214="c"), OR(VLOOKUP(E214,EX:FJ,13,0)="B", VLOOKUP(E214,EX:FJ,13,0)="A")), "DEFICIT",IF(
AND(OR(Planilla!B214="B", Planilla!B214="BPAL"), VLOOKUP(E214,EX:FJ,13,0)="B"), "OK",IF(AND(OR(Planilla!B214="B", Planilla!B214="BPAL"), VLOOKUP(E214,EX:FJ,13,0)="A"), "DEFICIT",IF(AND(OR(Planilla!B214="B", Planilla!B214="BPAL"), VLOOKUP(E214,EX:FJ,13,0)="C"), "SOBREOFERTA",IF(AND(Planilla!B214="A", VLOOKUP(E214,EX:FJ,13,0)="A"), "OK",IF(
AND(Planilla!B214="A", OR(VLOOKUP(E214,EX:FJ,13,0)="B", VLOOKUP(E214,EX:FJ,13,0)="C")), "SOBREOFERTA",""
))))))),"")</f>
        <v/>
      </c>
      <c r="E214" s="12"/>
      <c r="F214" s="13"/>
      <c r="G214" s="14"/>
      <c r="H214" s="81" t="str">
        <f t="shared" si="82"/>
        <v/>
      </c>
      <c r="I214" s="7"/>
      <c r="J214" s="6" t="e">
        <f t="shared" si="83"/>
        <v>#N/A</v>
      </c>
      <c r="K214" s="6" t="str">
        <f>IF(A215&lt;&gt;A214,AVERAGEIF(A$9:A214,A214,J$9:J214),"")</f>
        <v/>
      </c>
      <c r="L214" s="7" t="str">
        <f>IFERROR(IF(A215&lt;&gt;A214,AVERAGEIF(A$9:A214,A214,S$9:S214),""),"")</f>
        <v/>
      </c>
      <c r="M214" s="7" t="str">
        <f>IFERROR(IF(A215&lt;&gt;A214,AVERAGEIF(A$9:A214,A214,T$9:T214),""),"")</f>
        <v/>
      </c>
      <c r="N214" s="7" t="str" cm="1">
        <f t="array" ref="N214">IFERROR(IF(A215&lt;&gt;A214,_xlfn.STDEV.P(IF(A$9:A214=A214,T$9:T214)),""),"")</f>
        <v/>
      </c>
      <c r="O214" s="7" t="str" cm="1">
        <f t="array" ref="O214">IFERROR(IF(A215&lt;&gt;A214,_xlfn.STDEV.P(IF(A$9:A214=A214,S$9:S214)),""),"")</f>
        <v/>
      </c>
      <c r="P214" s="8" t="str">
        <f t="shared" si="84"/>
        <v/>
      </c>
      <c r="Q214" s="8" t="str">
        <f t="shared" si="85"/>
        <v/>
      </c>
      <c r="R214" s="8" t="str">
        <f t="shared" si="86"/>
        <v/>
      </c>
      <c r="S214" s="9" t="str">
        <f t="shared" si="87"/>
        <v/>
      </c>
      <c r="T214" s="9" t="str">
        <f t="shared" si="88"/>
        <v/>
      </c>
      <c r="U214" s="14"/>
      <c r="V214" s="15"/>
      <c r="W214" s="14" t="str">
        <f t="shared" si="89"/>
        <v/>
      </c>
      <c r="X214" s="15"/>
      <c r="Y214" s="2"/>
      <c r="AB214" s="22">
        <f t="shared" si="90"/>
        <v>1</v>
      </c>
      <c r="AC214" s="11"/>
      <c r="AD214" s="11"/>
      <c r="AE214" s="13"/>
      <c r="AF214" s="12"/>
      <c r="AG214" s="13"/>
      <c r="AH214" s="14"/>
      <c r="AI214" s="81" t="str">
        <f t="shared" si="91"/>
        <v/>
      </c>
      <c r="AJ214" s="15"/>
      <c r="AK214" s="6" t="e">
        <f t="shared" si="92"/>
        <v>#N/A</v>
      </c>
      <c r="AL214" s="6" t="str">
        <f>IF(AB215&lt;&gt;AB214,AVERAGEIF(AB$9:AB214,AB214,AK$9:AK214),"")</f>
        <v/>
      </c>
      <c r="AM214" s="7" t="str">
        <f>IFERROR(IF(AB215&lt;&gt;AB214,AVERAGEIF(AB$9:AB214,AB214,AT$9:AT214),""),"")</f>
        <v/>
      </c>
      <c r="AN214" s="7" t="str">
        <f>IFERROR(IF(AB215&lt;&gt;AB214,AVERAGEIF(AB$9:AB214,AB214,AU$9:AU214),""),"")</f>
        <v/>
      </c>
      <c r="AO214" s="7" t="str" cm="1">
        <f t="array" ref="AO214">IFERROR(IF(AB215&lt;&gt;AB214,_xlfn.STDEV.P(IF(AB$9:AB214=AB214,AU$9:AU214)),""),"")</f>
        <v/>
      </c>
      <c r="AP214" s="7" t="str" cm="1">
        <f t="array" ref="AP214">IFERROR(IF(AB215&lt;&gt;AB214,_xlfn.STDEV.P(IF(AB$9:AB214=AB214,AT$9:AT214)),""),"")</f>
        <v/>
      </c>
      <c r="AQ214" s="8" t="str">
        <f t="shared" si="93"/>
        <v/>
      </c>
      <c r="AR214" s="8" t="str">
        <f t="shared" si="94"/>
        <v/>
      </c>
      <c r="AS214" s="8" t="str">
        <f t="shared" si="95"/>
        <v/>
      </c>
      <c r="AT214" s="9" t="str">
        <f t="shared" si="96"/>
        <v/>
      </c>
      <c r="AU214" s="9" t="str">
        <f t="shared" si="97"/>
        <v/>
      </c>
      <c r="AV214" s="14"/>
      <c r="AW214" s="15"/>
      <c r="AX214" s="14" t="str">
        <f t="shared" si="98"/>
        <v/>
      </c>
      <c r="AY214" s="15"/>
      <c r="AZ214" s="23"/>
      <c r="EW214" t="s">
        <v>46</v>
      </c>
      <c r="EX214" s="33">
        <v>1235</v>
      </c>
      <c r="EY214" s="33" t="s">
        <v>572</v>
      </c>
      <c r="EZ214" s="33">
        <v>552624</v>
      </c>
      <c r="FA214" s="33" t="s">
        <v>51</v>
      </c>
      <c r="FB214" s="33" t="s">
        <v>473</v>
      </c>
      <c r="FC214" s="33" t="s">
        <v>53</v>
      </c>
      <c r="FD214" s="33" t="s">
        <v>476</v>
      </c>
      <c r="FE214" s="33">
        <v>2022</v>
      </c>
      <c r="FF214" s="33" t="s">
        <v>474</v>
      </c>
      <c r="FG214" s="33" t="s">
        <v>470</v>
      </c>
      <c r="FH214" s="33" t="s">
        <v>471</v>
      </c>
      <c r="FI214" s="33" t="s">
        <v>467</v>
      </c>
      <c r="FJ214" t="s">
        <v>474</v>
      </c>
      <c r="FM214" s="32" t="s">
        <v>573</v>
      </c>
      <c r="FN214" t="s">
        <v>574</v>
      </c>
      <c r="FO214" t="s">
        <v>575</v>
      </c>
      <c r="FP214" t="str">
        <f t="shared" si="80"/>
        <v>B</v>
      </c>
      <c r="GV214" s="53">
        <v>208</v>
      </c>
    </row>
    <row r="215" spans="1:204" ht="15.5" x14ac:dyDescent="0.35">
      <c r="A215" s="95">
        <f t="shared" si="81"/>
        <v>1</v>
      </c>
      <c r="B215" s="11"/>
      <c r="C215" s="11"/>
      <c r="D215" s="92" t="str">
        <f>IFERROR(
IF(AND(OR(Planilla!B215="C",Planilla!B215="c"), VLOOKUP(E215,EX:FJ,13,0)="C"), "OK",IF(AND(OR(Planilla!B215="C",Planilla!B215="c"), OR(VLOOKUP(E215,EX:FJ,13,0)="B", VLOOKUP(E215,EX:FJ,13,0)="A")), "DEFICIT",IF(
AND(OR(Planilla!B215="B", Planilla!B215="BPAL"), VLOOKUP(E215,EX:FJ,13,0)="B"), "OK",IF(AND(OR(Planilla!B215="B", Planilla!B215="BPAL"), VLOOKUP(E215,EX:FJ,13,0)="A"), "DEFICIT",IF(AND(OR(Planilla!B215="B", Planilla!B215="BPAL"), VLOOKUP(E215,EX:FJ,13,0)="C"), "SOBREOFERTA",IF(AND(Planilla!B215="A", VLOOKUP(E215,EX:FJ,13,0)="A"), "OK",IF(
AND(Planilla!B215="A", OR(VLOOKUP(E215,EX:FJ,13,0)="B", VLOOKUP(E215,EX:FJ,13,0)="C")), "SOBREOFERTA",""
))))))),"")</f>
        <v/>
      </c>
      <c r="E215" s="12"/>
      <c r="F215" s="13"/>
      <c r="G215" s="14"/>
      <c r="H215" s="81" t="str">
        <f t="shared" si="82"/>
        <v/>
      </c>
      <c r="I215" s="7"/>
      <c r="J215" s="6" t="e">
        <f t="shared" si="83"/>
        <v>#N/A</v>
      </c>
      <c r="K215" s="6" t="str">
        <f>IF(A216&lt;&gt;A215,AVERAGEIF(A$9:A215,A215,J$9:J215),"")</f>
        <v/>
      </c>
      <c r="L215" s="7" t="str">
        <f>IFERROR(IF(A216&lt;&gt;A215,AVERAGEIF(A$9:A215,A215,S$9:S215),""),"")</f>
        <v/>
      </c>
      <c r="M215" s="7" t="str">
        <f>IFERROR(IF(A216&lt;&gt;A215,AVERAGEIF(A$9:A215,A215,T$9:T215),""),"")</f>
        <v/>
      </c>
      <c r="N215" s="7" t="str" cm="1">
        <f t="array" ref="N215">IFERROR(IF(A216&lt;&gt;A215,_xlfn.STDEV.P(IF(A$9:A215=A215,T$9:T215)),""),"")</f>
        <v/>
      </c>
      <c r="O215" s="7" t="str" cm="1">
        <f t="array" ref="O215">IFERROR(IF(A216&lt;&gt;A215,_xlfn.STDEV.P(IF(A$9:A215=A215,S$9:S215)),""),"")</f>
        <v/>
      </c>
      <c r="P215" s="8" t="str">
        <f t="shared" si="84"/>
        <v/>
      </c>
      <c r="Q215" s="8" t="str">
        <f t="shared" si="85"/>
        <v/>
      </c>
      <c r="R215" s="8" t="str">
        <f t="shared" si="86"/>
        <v/>
      </c>
      <c r="S215" s="9" t="str">
        <f t="shared" si="87"/>
        <v/>
      </c>
      <c r="T215" s="9" t="str">
        <f t="shared" si="88"/>
        <v/>
      </c>
      <c r="U215" s="14"/>
      <c r="V215" s="15"/>
      <c r="W215" s="14" t="str">
        <f t="shared" si="89"/>
        <v/>
      </c>
      <c r="X215" s="15"/>
      <c r="Y215" s="2"/>
      <c r="AB215" s="22">
        <f t="shared" si="90"/>
        <v>1</v>
      </c>
      <c r="AC215" s="11"/>
      <c r="AD215" s="11"/>
      <c r="AE215" s="13"/>
      <c r="AF215" s="12"/>
      <c r="AG215" s="13"/>
      <c r="AH215" s="14"/>
      <c r="AI215" s="81" t="str">
        <f t="shared" si="91"/>
        <v/>
      </c>
      <c r="AJ215" s="15"/>
      <c r="AK215" s="6" t="e">
        <f t="shared" si="92"/>
        <v>#N/A</v>
      </c>
      <c r="AL215" s="6" t="str">
        <f>IF(AB216&lt;&gt;AB215,AVERAGEIF(AB$9:AB215,AB215,AK$9:AK215),"")</f>
        <v/>
      </c>
      <c r="AM215" s="7" t="str">
        <f>IFERROR(IF(AB216&lt;&gt;AB215,AVERAGEIF(AB$9:AB215,AB215,AT$9:AT215),""),"")</f>
        <v/>
      </c>
      <c r="AN215" s="7" t="str">
        <f>IFERROR(IF(AB216&lt;&gt;AB215,AVERAGEIF(AB$9:AB215,AB215,AU$9:AU215),""),"")</f>
        <v/>
      </c>
      <c r="AO215" s="7" t="str" cm="1">
        <f t="array" ref="AO215">IFERROR(IF(AB216&lt;&gt;AB215,_xlfn.STDEV.P(IF(AB$9:AB215=AB215,AU$9:AU215)),""),"")</f>
        <v/>
      </c>
      <c r="AP215" s="7" t="str" cm="1">
        <f t="array" ref="AP215">IFERROR(IF(AB216&lt;&gt;AB215,_xlfn.STDEV.P(IF(AB$9:AB215=AB215,AT$9:AT215)),""),"")</f>
        <v/>
      </c>
      <c r="AQ215" s="8" t="str">
        <f t="shared" si="93"/>
        <v/>
      </c>
      <c r="AR215" s="8" t="str">
        <f t="shared" si="94"/>
        <v/>
      </c>
      <c r="AS215" s="8" t="str">
        <f t="shared" si="95"/>
        <v/>
      </c>
      <c r="AT215" s="9" t="str">
        <f t="shared" si="96"/>
        <v/>
      </c>
      <c r="AU215" s="9" t="str">
        <f t="shared" si="97"/>
        <v/>
      </c>
      <c r="AV215" s="14"/>
      <c r="AW215" s="15"/>
      <c r="AX215" s="14" t="str">
        <f t="shared" si="98"/>
        <v/>
      </c>
      <c r="AY215" s="15"/>
      <c r="AZ215" s="23"/>
      <c r="EW215" t="s">
        <v>46</v>
      </c>
      <c r="EX215" s="33">
        <v>1236</v>
      </c>
      <c r="EY215" s="33" t="s">
        <v>576</v>
      </c>
      <c r="EZ215" s="33">
        <v>552338</v>
      </c>
      <c r="FA215" s="33" t="s">
        <v>51</v>
      </c>
      <c r="FB215" s="33" t="s">
        <v>473</v>
      </c>
      <c r="FC215" s="33" t="s">
        <v>53</v>
      </c>
      <c r="FD215" s="33" t="s">
        <v>476</v>
      </c>
      <c r="FE215" s="33">
        <v>2022</v>
      </c>
      <c r="FF215" s="33" t="s">
        <v>474</v>
      </c>
      <c r="FG215" s="33" t="s">
        <v>470</v>
      </c>
      <c r="FH215" s="33" t="s">
        <v>471</v>
      </c>
      <c r="FI215" s="33" t="s">
        <v>467</v>
      </c>
      <c r="FJ215" t="s">
        <v>474</v>
      </c>
      <c r="FM215" s="32" t="s">
        <v>573</v>
      </c>
      <c r="FN215" t="s">
        <v>574</v>
      </c>
      <c r="FO215" t="s">
        <v>575</v>
      </c>
      <c r="FP215" t="str">
        <f t="shared" si="80"/>
        <v>B</v>
      </c>
      <c r="GV215" s="53">
        <v>209</v>
      </c>
    </row>
    <row r="216" spans="1:204" ht="15.5" x14ac:dyDescent="0.35">
      <c r="A216" s="95">
        <f t="shared" si="81"/>
        <v>1</v>
      </c>
      <c r="B216" s="11"/>
      <c r="C216" s="11"/>
      <c r="D216" s="92" t="str">
        <f>IFERROR(
IF(AND(OR(Planilla!B216="C",Planilla!B216="c"), VLOOKUP(E216,EX:FJ,13,0)="C"), "OK",IF(AND(OR(Planilla!B216="C",Planilla!B216="c"), OR(VLOOKUP(E216,EX:FJ,13,0)="B", VLOOKUP(E216,EX:FJ,13,0)="A")), "DEFICIT",IF(
AND(OR(Planilla!B216="B", Planilla!B216="BPAL"), VLOOKUP(E216,EX:FJ,13,0)="B"), "OK",IF(AND(OR(Planilla!B216="B", Planilla!B216="BPAL"), VLOOKUP(E216,EX:FJ,13,0)="A"), "DEFICIT",IF(AND(OR(Planilla!B216="B", Planilla!B216="BPAL"), VLOOKUP(E216,EX:FJ,13,0)="C"), "SOBREOFERTA",IF(AND(Planilla!B216="A", VLOOKUP(E216,EX:FJ,13,0)="A"), "OK",IF(
AND(Planilla!B216="A", OR(VLOOKUP(E216,EX:FJ,13,0)="B", VLOOKUP(E216,EX:FJ,13,0)="C")), "SOBREOFERTA",""
))))))),"")</f>
        <v/>
      </c>
      <c r="E216" s="12"/>
      <c r="F216" s="13"/>
      <c r="G216" s="14"/>
      <c r="H216" s="81" t="str">
        <f t="shared" si="82"/>
        <v/>
      </c>
      <c r="I216" s="7"/>
      <c r="J216" s="6" t="e">
        <f t="shared" si="83"/>
        <v>#N/A</v>
      </c>
      <c r="K216" s="6" t="str">
        <f>IF(A217&lt;&gt;A216,AVERAGEIF(A$9:A216,A216,J$9:J216),"")</f>
        <v/>
      </c>
      <c r="L216" s="7" t="str">
        <f>IFERROR(IF(A217&lt;&gt;A216,AVERAGEIF(A$9:A216,A216,S$9:S216),""),"")</f>
        <v/>
      </c>
      <c r="M216" s="7" t="str">
        <f>IFERROR(IF(A217&lt;&gt;A216,AVERAGEIF(A$9:A216,A216,T$9:T216),""),"")</f>
        <v/>
      </c>
      <c r="N216" s="7" t="str" cm="1">
        <f t="array" ref="N216">IFERROR(IF(A217&lt;&gt;A216,_xlfn.STDEV.P(IF(A$9:A216=A216,T$9:T216)),""),"")</f>
        <v/>
      </c>
      <c r="O216" s="7" t="str" cm="1">
        <f t="array" ref="O216">IFERROR(IF(A217&lt;&gt;A216,_xlfn.STDEV.P(IF(A$9:A216=A216,S$9:S216)),""),"")</f>
        <v/>
      </c>
      <c r="P216" s="8" t="str">
        <f t="shared" si="84"/>
        <v/>
      </c>
      <c r="Q216" s="8" t="str">
        <f t="shared" si="85"/>
        <v/>
      </c>
      <c r="R216" s="8" t="str">
        <f t="shared" si="86"/>
        <v/>
      </c>
      <c r="S216" s="9" t="str">
        <f t="shared" si="87"/>
        <v/>
      </c>
      <c r="T216" s="9" t="str">
        <f t="shared" si="88"/>
        <v/>
      </c>
      <c r="U216" s="14"/>
      <c r="V216" s="15"/>
      <c r="W216" s="14" t="str">
        <f t="shared" si="89"/>
        <v/>
      </c>
      <c r="X216" s="15"/>
      <c r="Y216" s="2"/>
      <c r="AB216" s="22">
        <f t="shared" si="90"/>
        <v>1</v>
      </c>
      <c r="AC216" s="11"/>
      <c r="AD216" s="11"/>
      <c r="AE216" s="13"/>
      <c r="AF216" s="12"/>
      <c r="AG216" s="13"/>
      <c r="AH216" s="14"/>
      <c r="AI216" s="81" t="str">
        <f t="shared" si="91"/>
        <v/>
      </c>
      <c r="AJ216" s="15"/>
      <c r="AK216" s="6" t="e">
        <f t="shared" si="92"/>
        <v>#N/A</v>
      </c>
      <c r="AL216" s="6" t="str">
        <f>IF(AB217&lt;&gt;AB216,AVERAGEIF(AB$9:AB216,AB216,AK$9:AK216),"")</f>
        <v/>
      </c>
      <c r="AM216" s="7" t="str">
        <f>IFERROR(IF(AB217&lt;&gt;AB216,AVERAGEIF(AB$9:AB216,AB216,AT$9:AT216),""),"")</f>
        <v/>
      </c>
      <c r="AN216" s="7" t="str">
        <f>IFERROR(IF(AB217&lt;&gt;AB216,AVERAGEIF(AB$9:AB216,AB216,AU$9:AU216),""),"")</f>
        <v/>
      </c>
      <c r="AO216" s="7" t="str" cm="1">
        <f t="array" ref="AO216">IFERROR(IF(AB217&lt;&gt;AB216,_xlfn.STDEV.P(IF(AB$9:AB216=AB216,AU$9:AU216)),""),"")</f>
        <v/>
      </c>
      <c r="AP216" s="7" t="str" cm="1">
        <f t="array" ref="AP216">IFERROR(IF(AB217&lt;&gt;AB216,_xlfn.STDEV.P(IF(AB$9:AB216=AB216,AT$9:AT216)),""),"")</f>
        <v/>
      </c>
      <c r="AQ216" s="8" t="str">
        <f t="shared" si="93"/>
        <v/>
      </c>
      <c r="AR216" s="8" t="str">
        <f t="shared" si="94"/>
        <v/>
      </c>
      <c r="AS216" s="8" t="str">
        <f t="shared" si="95"/>
        <v/>
      </c>
      <c r="AT216" s="9" t="str">
        <f t="shared" si="96"/>
        <v/>
      </c>
      <c r="AU216" s="9" t="str">
        <f t="shared" si="97"/>
        <v/>
      </c>
      <c r="AV216" s="14"/>
      <c r="AW216" s="15"/>
      <c r="AX216" s="14" t="str">
        <f t="shared" si="98"/>
        <v/>
      </c>
      <c r="AY216" s="15"/>
      <c r="AZ216" s="23"/>
      <c r="EW216" t="s">
        <v>46</v>
      </c>
      <c r="EX216" s="33">
        <v>1237</v>
      </c>
      <c r="EY216" s="33" t="s">
        <v>577</v>
      </c>
      <c r="EZ216" s="33">
        <v>552333</v>
      </c>
      <c r="FA216" s="33" t="s">
        <v>51</v>
      </c>
      <c r="FB216" s="33" t="s">
        <v>473</v>
      </c>
      <c r="FC216" s="33" t="s">
        <v>53</v>
      </c>
      <c r="FD216" s="33" t="s">
        <v>476</v>
      </c>
      <c r="FE216" s="33">
        <v>2022</v>
      </c>
      <c r="FF216" s="33" t="s">
        <v>474</v>
      </c>
      <c r="FG216" s="33" t="s">
        <v>470</v>
      </c>
      <c r="FH216" s="33" t="s">
        <v>471</v>
      </c>
      <c r="FI216" s="33" t="s">
        <v>467</v>
      </c>
      <c r="FJ216" t="s">
        <v>474</v>
      </c>
      <c r="FM216" s="32" t="s">
        <v>578</v>
      </c>
      <c r="FN216" t="s">
        <v>579</v>
      </c>
      <c r="FO216" t="s">
        <v>580</v>
      </c>
      <c r="FP216" t="str">
        <f t="shared" si="80"/>
        <v>B</v>
      </c>
      <c r="GV216" s="53">
        <v>210</v>
      </c>
    </row>
    <row r="217" spans="1:204" ht="15.5" x14ac:dyDescent="0.35">
      <c r="A217" s="95">
        <f t="shared" si="81"/>
        <v>1</v>
      </c>
      <c r="B217" s="11"/>
      <c r="C217" s="11"/>
      <c r="D217" s="92" t="str">
        <f>IFERROR(
IF(AND(OR(Planilla!B217="C",Planilla!B217="c"), VLOOKUP(E217,EX:FJ,13,0)="C"), "OK",IF(AND(OR(Planilla!B217="C",Planilla!B217="c"), OR(VLOOKUP(E217,EX:FJ,13,0)="B", VLOOKUP(E217,EX:FJ,13,0)="A")), "DEFICIT",IF(
AND(OR(Planilla!B217="B", Planilla!B217="BPAL"), VLOOKUP(E217,EX:FJ,13,0)="B"), "OK",IF(AND(OR(Planilla!B217="B", Planilla!B217="BPAL"), VLOOKUP(E217,EX:FJ,13,0)="A"), "DEFICIT",IF(AND(OR(Planilla!B217="B", Planilla!B217="BPAL"), VLOOKUP(E217,EX:FJ,13,0)="C"), "SOBREOFERTA",IF(AND(Planilla!B217="A", VLOOKUP(E217,EX:FJ,13,0)="A"), "OK",IF(
AND(Planilla!B217="A", OR(VLOOKUP(E217,EX:FJ,13,0)="B", VLOOKUP(E217,EX:FJ,13,0)="C")), "SOBREOFERTA",""
))))))),"")</f>
        <v/>
      </c>
      <c r="E217" s="12"/>
      <c r="F217" s="13"/>
      <c r="G217" s="14"/>
      <c r="H217" s="81" t="str">
        <f t="shared" si="82"/>
        <v/>
      </c>
      <c r="I217" s="7"/>
      <c r="J217" s="6" t="e">
        <f t="shared" si="83"/>
        <v>#N/A</v>
      </c>
      <c r="K217" s="6" t="str">
        <f>IF(A218&lt;&gt;A217,AVERAGEIF(A$9:A217,A217,J$9:J217),"")</f>
        <v/>
      </c>
      <c r="L217" s="7" t="str">
        <f>IFERROR(IF(A218&lt;&gt;A217,AVERAGEIF(A$9:A217,A217,S$9:S217),""),"")</f>
        <v/>
      </c>
      <c r="M217" s="7" t="str">
        <f>IFERROR(IF(A218&lt;&gt;A217,AVERAGEIF(A$9:A217,A217,T$9:T217),""),"")</f>
        <v/>
      </c>
      <c r="N217" s="7" t="str" cm="1">
        <f t="array" ref="N217">IFERROR(IF(A218&lt;&gt;A217,_xlfn.STDEV.P(IF(A$9:A217=A217,T$9:T217)),""),"")</f>
        <v/>
      </c>
      <c r="O217" s="7" t="str" cm="1">
        <f t="array" ref="O217">IFERROR(IF(A218&lt;&gt;A217,_xlfn.STDEV.P(IF(A$9:A217=A217,S$9:S217)),""),"")</f>
        <v/>
      </c>
      <c r="P217" s="8" t="str">
        <f t="shared" si="84"/>
        <v/>
      </c>
      <c r="Q217" s="8" t="str">
        <f t="shared" si="85"/>
        <v/>
      </c>
      <c r="R217" s="8" t="str">
        <f t="shared" si="86"/>
        <v/>
      </c>
      <c r="S217" s="9" t="str">
        <f t="shared" si="87"/>
        <v/>
      </c>
      <c r="T217" s="9" t="str">
        <f t="shared" si="88"/>
        <v/>
      </c>
      <c r="U217" s="14"/>
      <c r="V217" s="15"/>
      <c r="W217" s="14" t="str">
        <f t="shared" si="89"/>
        <v/>
      </c>
      <c r="X217" s="15"/>
      <c r="Y217" s="2"/>
      <c r="AB217" s="22">
        <f t="shared" si="90"/>
        <v>1</v>
      </c>
      <c r="AC217" s="11"/>
      <c r="AD217" s="11"/>
      <c r="AE217" s="13"/>
      <c r="AF217" s="12"/>
      <c r="AG217" s="13"/>
      <c r="AH217" s="14"/>
      <c r="AI217" s="81" t="str">
        <f t="shared" si="91"/>
        <v/>
      </c>
      <c r="AJ217" s="15"/>
      <c r="AK217" s="6" t="e">
        <f t="shared" si="92"/>
        <v>#N/A</v>
      </c>
      <c r="AL217" s="6" t="str">
        <f>IF(AB218&lt;&gt;AB217,AVERAGEIF(AB$9:AB217,AB217,AK$9:AK217),"")</f>
        <v/>
      </c>
      <c r="AM217" s="7" t="str">
        <f>IFERROR(IF(AB218&lt;&gt;AB217,AVERAGEIF(AB$9:AB217,AB217,AT$9:AT217),""),"")</f>
        <v/>
      </c>
      <c r="AN217" s="7" t="str">
        <f>IFERROR(IF(AB218&lt;&gt;AB217,AVERAGEIF(AB$9:AB217,AB217,AU$9:AU217),""),"")</f>
        <v/>
      </c>
      <c r="AO217" s="7" t="str" cm="1">
        <f t="array" ref="AO217">IFERROR(IF(AB218&lt;&gt;AB217,_xlfn.STDEV.P(IF(AB$9:AB217=AB217,AU$9:AU217)),""),"")</f>
        <v/>
      </c>
      <c r="AP217" s="7" t="str" cm="1">
        <f t="array" ref="AP217">IFERROR(IF(AB218&lt;&gt;AB217,_xlfn.STDEV.P(IF(AB$9:AB217=AB217,AT$9:AT217)),""),"")</f>
        <v/>
      </c>
      <c r="AQ217" s="8" t="str">
        <f t="shared" si="93"/>
        <v/>
      </c>
      <c r="AR217" s="8" t="str">
        <f t="shared" si="94"/>
        <v/>
      </c>
      <c r="AS217" s="8" t="str">
        <f t="shared" si="95"/>
        <v/>
      </c>
      <c r="AT217" s="9" t="str">
        <f t="shared" si="96"/>
        <v/>
      </c>
      <c r="AU217" s="9" t="str">
        <f t="shared" si="97"/>
        <v/>
      </c>
      <c r="AV217" s="14"/>
      <c r="AW217" s="15"/>
      <c r="AX217" s="14" t="str">
        <f t="shared" si="98"/>
        <v/>
      </c>
      <c r="AY217" s="15"/>
      <c r="AZ217" s="23"/>
      <c r="EW217" t="s">
        <v>46</v>
      </c>
      <c r="EX217" s="33">
        <v>1201</v>
      </c>
      <c r="EY217" s="33" t="s">
        <v>581</v>
      </c>
      <c r="EZ217" s="33">
        <v>552881</v>
      </c>
      <c r="FA217" s="33" t="s">
        <v>51</v>
      </c>
      <c r="FB217" s="33" t="s">
        <v>473</v>
      </c>
      <c r="FC217" s="33" t="s">
        <v>53</v>
      </c>
      <c r="FD217" s="33" t="s">
        <v>476</v>
      </c>
      <c r="FE217" s="33">
        <v>2022</v>
      </c>
      <c r="FF217" s="33" t="s">
        <v>474</v>
      </c>
      <c r="FG217" s="33" t="s">
        <v>477</v>
      </c>
      <c r="FH217" s="33" t="s">
        <v>478</v>
      </c>
      <c r="FI217" s="33" t="s">
        <v>479</v>
      </c>
      <c r="FJ217" t="s">
        <v>474</v>
      </c>
      <c r="FM217" s="32" t="s">
        <v>578</v>
      </c>
      <c r="FN217" t="s">
        <v>579</v>
      </c>
      <c r="FO217" t="s">
        <v>580</v>
      </c>
      <c r="FP217" t="str">
        <f t="shared" si="80"/>
        <v>B</v>
      </c>
      <c r="GV217" s="53">
        <v>211</v>
      </c>
    </row>
    <row r="218" spans="1:204" ht="15.5" x14ac:dyDescent="0.35">
      <c r="A218" s="95">
        <f t="shared" si="81"/>
        <v>1</v>
      </c>
      <c r="B218" s="11"/>
      <c r="C218" s="11"/>
      <c r="D218" s="92" t="str">
        <f>IFERROR(
IF(AND(OR(Planilla!B218="C",Planilla!B218="c"), VLOOKUP(E218,EX:FJ,13,0)="C"), "OK",IF(AND(OR(Planilla!B218="C",Planilla!B218="c"), OR(VLOOKUP(E218,EX:FJ,13,0)="B", VLOOKUP(E218,EX:FJ,13,0)="A")), "DEFICIT",IF(
AND(OR(Planilla!B218="B", Planilla!B218="BPAL"), VLOOKUP(E218,EX:FJ,13,0)="B"), "OK",IF(AND(OR(Planilla!B218="B", Planilla!B218="BPAL"), VLOOKUP(E218,EX:FJ,13,0)="A"), "DEFICIT",IF(AND(OR(Planilla!B218="B", Planilla!B218="BPAL"), VLOOKUP(E218,EX:FJ,13,0)="C"), "SOBREOFERTA",IF(AND(Planilla!B218="A", VLOOKUP(E218,EX:FJ,13,0)="A"), "OK",IF(
AND(Planilla!B218="A", OR(VLOOKUP(E218,EX:FJ,13,0)="B", VLOOKUP(E218,EX:FJ,13,0)="C")), "SOBREOFERTA",""
))))))),"")</f>
        <v/>
      </c>
      <c r="E218" s="12"/>
      <c r="F218" s="13"/>
      <c r="G218" s="14"/>
      <c r="H218" s="81" t="str">
        <f t="shared" si="82"/>
        <v/>
      </c>
      <c r="I218" s="7"/>
      <c r="J218" s="6" t="e">
        <f t="shared" si="83"/>
        <v>#N/A</v>
      </c>
      <c r="K218" s="6" t="str">
        <f>IF(A219&lt;&gt;A218,AVERAGEIF(A$9:A218,A218,J$9:J218),"")</f>
        <v/>
      </c>
      <c r="L218" s="7" t="str">
        <f>IFERROR(IF(A219&lt;&gt;A218,AVERAGEIF(A$9:A218,A218,S$9:S218),""),"")</f>
        <v/>
      </c>
      <c r="M218" s="7" t="str">
        <f>IFERROR(IF(A219&lt;&gt;A218,AVERAGEIF(A$9:A218,A218,T$9:T218),""),"")</f>
        <v/>
      </c>
      <c r="N218" s="7" t="str" cm="1">
        <f t="array" ref="N218">IFERROR(IF(A219&lt;&gt;A218,_xlfn.STDEV.P(IF(A$9:A218=A218,T$9:T218)),""),"")</f>
        <v/>
      </c>
      <c r="O218" s="7" t="str" cm="1">
        <f t="array" ref="O218">IFERROR(IF(A219&lt;&gt;A218,_xlfn.STDEV.P(IF(A$9:A218=A218,S$9:S218)),""),"")</f>
        <v/>
      </c>
      <c r="P218" s="8" t="str">
        <f t="shared" si="84"/>
        <v/>
      </c>
      <c r="Q218" s="8" t="str">
        <f t="shared" si="85"/>
        <v/>
      </c>
      <c r="R218" s="8" t="str">
        <f t="shared" si="86"/>
        <v/>
      </c>
      <c r="S218" s="9" t="str">
        <f t="shared" si="87"/>
        <v/>
      </c>
      <c r="T218" s="9" t="str">
        <f t="shared" si="88"/>
        <v/>
      </c>
      <c r="U218" s="14"/>
      <c r="V218" s="15"/>
      <c r="W218" s="14" t="str">
        <f t="shared" si="89"/>
        <v/>
      </c>
      <c r="X218" s="15"/>
      <c r="Y218" s="2"/>
      <c r="AB218" s="22">
        <f t="shared" si="90"/>
        <v>1</v>
      </c>
      <c r="AC218" s="11"/>
      <c r="AD218" s="11"/>
      <c r="AE218" s="13"/>
      <c r="AF218" s="12"/>
      <c r="AG218" s="13"/>
      <c r="AH218" s="14"/>
      <c r="AI218" s="81" t="str">
        <f t="shared" si="91"/>
        <v/>
      </c>
      <c r="AJ218" s="15"/>
      <c r="AK218" s="6" t="e">
        <f t="shared" si="92"/>
        <v>#N/A</v>
      </c>
      <c r="AL218" s="6" t="str">
        <f>IF(AB219&lt;&gt;AB218,AVERAGEIF(AB$9:AB218,AB218,AK$9:AK218),"")</f>
        <v/>
      </c>
      <c r="AM218" s="7" t="str">
        <f>IFERROR(IF(AB219&lt;&gt;AB218,AVERAGEIF(AB$9:AB218,AB218,AT$9:AT218),""),"")</f>
        <v/>
      </c>
      <c r="AN218" s="7" t="str">
        <f>IFERROR(IF(AB219&lt;&gt;AB218,AVERAGEIF(AB$9:AB218,AB218,AU$9:AU218),""),"")</f>
        <v/>
      </c>
      <c r="AO218" s="7" t="str" cm="1">
        <f t="array" ref="AO218">IFERROR(IF(AB219&lt;&gt;AB218,_xlfn.STDEV.P(IF(AB$9:AB218=AB218,AU$9:AU218)),""),"")</f>
        <v/>
      </c>
      <c r="AP218" s="7" t="str" cm="1">
        <f t="array" ref="AP218">IFERROR(IF(AB219&lt;&gt;AB218,_xlfn.STDEV.P(IF(AB$9:AB218=AB218,AT$9:AT218)),""),"")</f>
        <v/>
      </c>
      <c r="AQ218" s="8" t="str">
        <f t="shared" si="93"/>
        <v/>
      </c>
      <c r="AR218" s="8" t="str">
        <f t="shared" si="94"/>
        <v/>
      </c>
      <c r="AS218" s="8" t="str">
        <f t="shared" si="95"/>
        <v/>
      </c>
      <c r="AT218" s="9" t="str">
        <f t="shared" si="96"/>
        <v/>
      </c>
      <c r="AU218" s="9" t="str">
        <f t="shared" si="97"/>
        <v/>
      </c>
      <c r="AV218" s="14"/>
      <c r="AW218" s="15"/>
      <c r="AX218" s="14" t="str">
        <f t="shared" si="98"/>
        <v/>
      </c>
      <c r="AY218" s="15"/>
      <c r="AZ218" s="23"/>
      <c r="EW218" t="s">
        <v>46</v>
      </c>
      <c r="EX218" s="33">
        <v>1238</v>
      </c>
      <c r="EY218" s="33" t="s">
        <v>582</v>
      </c>
      <c r="EZ218" s="33">
        <v>550630</v>
      </c>
      <c r="FA218" s="33" t="s">
        <v>51</v>
      </c>
      <c r="FB218" s="33" t="s">
        <v>473</v>
      </c>
      <c r="FC218" s="33" t="s">
        <v>53</v>
      </c>
      <c r="FD218" s="33" t="s">
        <v>476</v>
      </c>
      <c r="FE218" s="33">
        <v>2022</v>
      </c>
      <c r="FF218" s="33" t="s">
        <v>474</v>
      </c>
      <c r="FG218" s="33" t="s">
        <v>470</v>
      </c>
      <c r="FH218" s="33" t="s">
        <v>471</v>
      </c>
      <c r="FI218" s="33" t="s">
        <v>467</v>
      </c>
      <c r="FJ218" t="s">
        <v>474</v>
      </c>
      <c r="FM218" s="32" t="s">
        <v>578</v>
      </c>
      <c r="FN218" t="s">
        <v>579</v>
      </c>
      <c r="FO218" t="s">
        <v>580</v>
      </c>
      <c r="FP218" t="str">
        <f t="shared" si="80"/>
        <v>B</v>
      </c>
      <c r="GV218" s="53">
        <v>212</v>
      </c>
    </row>
    <row r="219" spans="1:204" ht="15.5" x14ac:dyDescent="0.35">
      <c r="A219" s="95">
        <f t="shared" si="81"/>
        <v>1</v>
      </c>
      <c r="B219" s="11"/>
      <c r="C219" s="11"/>
      <c r="D219" s="92" t="str">
        <f>IFERROR(
IF(AND(OR(Planilla!B219="C",Planilla!B219="c"), VLOOKUP(E219,EX:FJ,13,0)="C"), "OK",IF(AND(OR(Planilla!B219="C",Planilla!B219="c"), OR(VLOOKUP(E219,EX:FJ,13,0)="B", VLOOKUP(E219,EX:FJ,13,0)="A")), "DEFICIT",IF(
AND(OR(Planilla!B219="B", Planilla!B219="BPAL"), VLOOKUP(E219,EX:FJ,13,0)="B"), "OK",IF(AND(OR(Planilla!B219="B", Planilla!B219="BPAL"), VLOOKUP(E219,EX:FJ,13,0)="A"), "DEFICIT",IF(AND(OR(Planilla!B219="B", Planilla!B219="BPAL"), VLOOKUP(E219,EX:FJ,13,0)="C"), "SOBREOFERTA",IF(AND(Planilla!B219="A", VLOOKUP(E219,EX:FJ,13,0)="A"), "OK",IF(
AND(Planilla!B219="A", OR(VLOOKUP(E219,EX:FJ,13,0)="B", VLOOKUP(E219,EX:FJ,13,0)="C")), "SOBREOFERTA",""
))))))),"")</f>
        <v/>
      </c>
      <c r="E219" s="12"/>
      <c r="F219" s="13"/>
      <c r="G219" s="14"/>
      <c r="H219" s="81" t="str">
        <f t="shared" si="82"/>
        <v/>
      </c>
      <c r="I219" s="7"/>
      <c r="J219" s="6" t="e">
        <f t="shared" si="83"/>
        <v>#N/A</v>
      </c>
      <c r="K219" s="6" t="str">
        <f>IF(A220&lt;&gt;A219,AVERAGEIF(A$9:A219,A219,J$9:J219),"")</f>
        <v/>
      </c>
      <c r="L219" s="7" t="str">
        <f>IFERROR(IF(A220&lt;&gt;A219,AVERAGEIF(A$9:A219,A219,S$9:S219),""),"")</f>
        <v/>
      </c>
      <c r="M219" s="7" t="str">
        <f>IFERROR(IF(A220&lt;&gt;A219,AVERAGEIF(A$9:A219,A219,T$9:T219),""),"")</f>
        <v/>
      </c>
      <c r="N219" s="7" t="str" cm="1">
        <f t="array" ref="N219">IFERROR(IF(A220&lt;&gt;A219,_xlfn.STDEV.P(IF(A$9:A219=A219,T$9:T219)),""),"")</f>
        <v/>
      </c>
      <c r="O219" s="7" t="str" cm="1">
        <f t="array" ref="O219">IFERROR(IF(A220&lt;&gt;A219,_xlfn.STDEV.P(IF(A$9:A219=A219,S$9:S219)),""),"")</f>
        <v/>
      </c>
      <c r="P219" s="8" t="str">
        <f t="shared" si="84"/>
        <v/>
      </c>
      <c r="Q219" s="8" t="str">
        <f t="shared" si="85"/>
        <v/>
      </c>
      <c r="R219" s="8" t="str">
        <f t="shared" si="86"/>
        <v/>
      </c>
      <c r="S219" s="9" t="str">
        <f t="shared" si="87"/>
        <v/>
      </c>
      <c r="T219" s="9" t="str">
        <f t="shared" si="88"/>
        <v/>
      </c>
      <c r="U219" s="14"/>
      <c r="V219" s="15"/>
      <c r="W219" s="14" t="str">
        <f t="shared" si="89"/>
        <v/>
      </c>
      <c r="X219" s="15"/>
      <c r="Y219" s="2"/>
      <c r="AB219" s="22">
        <f t="shared" si="90"/>
        <v>1</v>
      </c>
      <c r="AC219" s="11"/>
      <c r="AD219" s="11"/>
      <c r="AE219" s="13"/>
      <c r="AF219" s="12"/>
      <c r="AG219" s="13"/>
      <c r="AH219" s="14"/>
      <c r="AI219" s="81" t="str">
        <f t="shared" si="91"/>
        <v/>
      </c>
      <c r="AJ219" s="15"/>
      <c r="AK219" s="6" t="e">
        <f t="shared" si="92"/>
        <v>#N/A</v>
      </c>
      <c r="AL219" s="6" t="str">
        <f>IF(AB220&lt;&gt;AB219,AVERAGEIF(AB$9:AB219,AB219,AK$9:AK219),"")</f>
        <v/>
      </c>
      <c r="AM219" s="7" t="str">
        <f>IFERROR(IF(AB220&lt;&gt;AB219,AVERAGEIF(AB$9:AB219,AB219,AT$9:AT219),""),"")</f>
        <v/>
      </c>
      <c r="AN219" s="7" t="str">
        <f>IFERROR(IF(AB220&lt;&gt;AB219,AVERAGEIF(AB$9:AB219,AB219,AU$9:AU219),""),"")</f>
        <v/>
      </c>
      <c r="AO219" s="7" t="str" cm="1">
        <f t="array" ref="AO219">IFERROR(IF(AB220&lt;&gt;AB219,_xlfn.STDEV.P(IF(AB$9:AB219=AB219,AU$9:AU219)),""),"")</f>
        <v/>
      </c>
      <c r="AP219" s="7" t="str" cm="1">
        <f t="array" ref="AP219">IFERROR(IF(AB220&lt;&gt;AB219,_xlfn.STDEV.P(IF(AB$9:AB219=AB219,AT$9:AT219)),""),"")</f>
        <v/>
      </c>
      <c r="AQ219" s="8" t="str">
        <f t="shared" si="93"/>
        <v/>
      </c>
      <c r="AR219" s="8" t="str">
        <f t="shared" si="94"/>
        <v/>
      </c>
      <c r="AS219" s="8" t="str">
        <f t="shared" si="95"/>
        <v/>
      </c>
      <c r="AT219" s="9" t="str">
        <f t="shared" si="96"/>
        <v/>
      </c>
      <c r="AU219" s="9" t="str">
        <f t="shared" si="97"/>
        <v/>
      </c>
      <c r="AV219" s="14"/>
      <c r="AW219" s="15"/>
      <c r="AX219" s="14" t="str">
        <f t="shared" si="98"/>
        <v/>
      </c>
      <c r="AY219" s="15"/>
      <c r="AZ219" s="23"/>
      <c r="EW219" t="s">
        <v>46</v>
      </c>
      <c r="EX219" s="33">
        <v>1202</v>
      </c>
      <c r="EY219" s="33" t="s">
        <v>583</v>
      </c>
      <c r="EZ219" s="33">
        <v>552303</v>
      </c>
      <c r="FA219" s="33" t="s">
        <v>51</v>
      </c>
      <c r="FB219" s="33" t="s">
        <v>473</v>
      </c>
      <c r="FC219" s="33" t="s">
        <v>53</v>
      </c>
      <c r="FD219" s="33" t="s">
        <v>476</v>
      </c>
      <c r="FE219" s="33">
        <v>2022</v>
      </c>
      <c r="FF219" s="33" t="s">
        <v>474</v>
      </c>
      <c r="FG219" s="33" t="s">
        <v>477</v>
      </c>
      <c r="FH219" s="33" t="s">
        <v>478</v>
      </c>
      <c r="FI219" s="33" t="s">
        <v>479</v>
      </c>
      <c r="FJ219" t="s">
        <v>474</v>
      </c>
      <c r="FM219" s="32" t="s">
        <v>578</v>
      </c>
      <c r="FN219" t="s">
        <v>579</v>
      </c>
      <c r="FO219" t="s">
        <v>580</v>
      </c>
      <c r="FP219" t="str">
        <f t="shared" si="80"/>
        <v>B</v>
      </c>
      <c r="GV219" s="53">
        <v>213</v>
      </c>
    </row>
    <row r="220" spans="1:204" ht="15.5" x14ac:dyDescent="0.35">
      <c r="A220" s="95">
        <f t="shared" si="81"/>
        <v>1</v>
      </c>
      <c r="B220" s="11"/>
      <c r="C220" s="11"/>
      <c r="D220" s="92" t="str">
        <f>IFERROR(
IF(AND(OR(Planilla!B220="C",Planilla!B220="c"), VLOOKUP(E220,EX:FJ,13,0)="C"), "OK",IF(AND(OR(Planilla!B220="C",Planilla!B220="c"), OR(VLOOKUP(E220,EX:FJ,13,0)="B", VLOOKUP(E220,EX:FJ,13,0)="A")), "DEFICIT",IF(
AND(OR(Planilla!B220="B", Planilla!B220="BPAL"), VLOOKUP(E220,EX:FJ,13,0)="B"), "OK",IF(AND(OR(Planilla!B220="B", Planilla!B220="BPAL"), VLOOKUP(E220,EX:FJ,13,0)="A"), "DEFICIT",IF(AND(OR(Planilla!B220="B", Planilla!B220="BPAL"), VLOOKUP(E220,EX:FJ,13,0)="C"), "SOBREOFERTA",IF(AND(Planilla!B220="A", VLOOKUP(E220,EX:FJ,13,0)="A"), "OK",IF(
AND(Planilla!B220="A", OR(VLOOKUP(E220,EX:FJ,13,0)="B", VLOOKUP(E220,EX:FJ,13,0)="C")), "SOBREOFERTA",""
))))))),"")</f>
        <v/>
      </c>
      <c r="E220" s="12"/>
      <c r="F220" s="13"/>
      <c r="G220" s="14"/>
      <c r="H220" s="81" t="str">
        <f t="shared" si="82"/>
        <v/>
      </c>
      <c r="I220" s="7"/>
      <c r="J220" s="6" t="e">
        <f t="shared" si="83"/>
        <v>#N/A</v>
      </c>
      <c r="K220" s="6" t="str">
        <f>IF(A221&lt;&gt;A220,AVERAGEIF(A$9:A220,A220,J$9:J220),"")</f>
        <v/>
      </c>
      <c r="L220" s="7" t="str">
        <f>IFERROR(IF(A221&lt;&gt;A220,AVERAGEIF(A$9:A220,A220,S$9:S220),""),"")</f>
        <v/>
      </c>
      <c r="M220" s="7" t="str">
        <f>IFERROR(IF(A221&lt;&gt;A220,AVERAGEIF(A$9:A220,A220,T$9:T220),""),"")</f>
        <v/>
      </c>
      <c r="N220" s="7" t="str" cm="1">
        <f t="array" ref="N220">IFERROR(IF(A221&lt;&gt;A220,_xlfn.STDEV.P(IF(A$9:A220=A220,T$9:T220)),""),"")</f>
        <v/>
      </c>
      <c r="O220" s="7" t="str" cm="1">
        <f t="array" ref="O220">IFERROR(IF(A221&lt;&gt;A220,_xlfn.STDEV.P(IF(A$9:A220=A220,S$9:S220)),""),"")</f>
        <v/>
      </c>
      <c r="P220" s="8" t="str">
        <f t="shared" si="84"/>
        <v/>
      </c>
      <c r="Q220" s="8" t="str">
        <f t="shared" si="85"/>
        <v/>
      </c>
      <c r="R220" s="8" t="str">
        <f t="shared" si="86"/>
        <v/>
      </c>
      <c r="S220" s="9" t="str">
        <f t="shared" si="87"/>
        <v/>
      </c>
      <c r="T220" s="9" t="str">
        <f t="shared" si="88"/>
        <v/>
      </c>
      <c r="U220" s="14"/>
      <c r="V220" s="15"/>
      <c r="W220" s="14" t="str">
        <f t="shared" si="89"/>
        <v/>
      </c>
      <c r="X220" s="15"/>
      <c r="Y220" s="2"/>
      <c r="AB220" s="22">
        <f t="shared" si="90"/>
        <v>1</v>
      </c>
      <c r="AC220" s="11"/>
      <c r="AD220" s="11"/>
      <c r="AE220" s="13"/>
      <c r="AF220" s="12"/>
      <c r="AG220" s="13"/>
      <c r="AH220" s="14"/>
      <c r="AI220" s="81" t="str">
        <f t="shared" si="91"/>
        <v/>
      </c>
      <c r="AJ220" s="15"/>
      <c r="AK220" s="6" t="e">
        <f t="shared" si="92"/>
        <v>#N/A</v>
      </c>
      <c r="AL220" s="6" t="str">
        <f>IF(AB221&lt;&gt;AB220,AVERAGEIF(AB$9:AB220,AB220,AK$9:AK220),"")</f>
        <v/>
      </c>
      <c r="AM220" s="7" t="str">
        <f>IFERROR(IF(AB221&lt;&gt;AB220,AVERAGEIF(AB$9:AB220,AB220,AT$9:AT220),""),"")</f>
        <v/>
      </c>
      <c r="AN220" s="7" t="str">
        <f>IFERROR(IF(AB221&lt;&gt;AB220,AVERAGEIF(AB$9:AB220,AB220,AU$9:AU220),""),"")</f>
        <v/>
      </c>
      <c r="AO220" s="7" t="str" cm="1">
        <f t="array" ref="AO220">IFERROR(IF(AB221&lt;&gt;AB220,_xlfn.STDEV.P(IF(AB$9:AB220=AB220,AU$9:AU220)),""),"")</f>
        <v/>
      </c>
      <c r="AP220" s="7" t="str" cm="1">
        <f t="array" ref="AP220">IFERROR(IF(AB221&lt;&gt;AB220,_xlfn.STDEV.P(IF(AB$9:AB220=AB220,AT$9:AT220)),""),"")</f>
        <v/>
      </c>
      <c r="AQ220" s="8" t="str">
        <f t="shared" si="93"/>
        <v/>
      </c>
      <c r="AR220" s="8" t="str">
        <f t="shared" si="94"/>
        <v/>
      </c>
      <c r="AS220" s="8" t="str">
        <f t="shared" si="95"/>
        <v/>
      </c>
      <c r="AT220" s="9" t="str">
        <f t="shared" si="96"/>
        <v/>
      </c>
      <c r="AU220" s="9" t="str">
        <f t="shared" si="97"/>
        <v/>
      </c>
      <c r="AV220" s="14"/>
      <c r="AW220" s="15"/>
      <c r="AX220" s="14" t="str">
        <f t="shared" si="98"/>
        <v/>
      </c>
      <c r="AY220" s="15"/>
      <c r="AZ220" s="23"/>
      <c r="EW220" t="s">
        <v>46</v>
      </c>
      <c r="EX220" s="33">
        <v>1203</v>
      </c>
      <c r="EY220" s="33" t="s">
        <v>584</v>
      </c>
      <c r="EZ220" s="33">
        <v>551701</v>
      </c>
      <c r="FA220" s="33" t="s">
        <v>51</v>
      </c>
      <c r="FB220" s="33" t="s">
        <v>473</v>
      </c>
      <c r="FC220" s="33" t="s">
        <v>53</v>
      </c>
      <c r="FD220" s="33" t="s">
        <v>476</v>
      </c>
      <c r="FE220" s="33">
        <v>2022</v>
      </c>
      <c r="FF220" s="33" t="s">
        <v>474</v>
      </c>
      <c r="FG220" s="33" t="s">
        <v>477</v>
      </c>
      <c r="FH220" s="33" t="s">
        <v>478</v>
      </c>
      <c r="FI220" s="33" t="s">
        <v>479</v>
      </c>
      <c r="FJ220" t="s">
        <v>474</v>
      </c>
      <c r="FM220" s="32" t="s">
        <v>578</v>
      </c>
      <c r="FN220" t="s">
        <v>579</v>
      </c>
      <c r="FO220" t="s">
        <v>580</v>
      </c>
      <c r="FP220" t="str">
        <f t="shared" si="80"/>
        <v>B</v>
      </c>
      <c r="GV220" s="53">
        <v>214</v>
      </c>
    </row>
    <row r="221" spans="1:204" ht="15.5" x14ac:dyDescent="0.35">
      <c r="A221" s="95">
        <f t="shared" si="81"/>
        <v>1</v>
      </c>
      <c r="B221" s="11"/>
      <c r="C221" s="11"/>
      <c r="D221" s="92" t="str">
        <f>IFERROR(
IF(AND(OR(Planilla!B221="C",Planilla!B221="c"), VLOOKUP(E221,EX:FJ,13,0)="C"), "OK",IF(AND(OR(Planilla!B221="C",Planilla!B221="c"), OR(VLOOKUP(E221,EX:FJ,13,0)="B", VLOOKUP(E221,EX:FJ,13,0)="A")), "DEFICIT",IF(
AND(OR(Planilla!B221="B", Planilla!B221="BPAL"), VLOOKUP(E221,EX:FJ,13,0)="B"), "OK",IF(AND(OR(Planilla!B221="B", Planilla!B221="BPAL"), VLOOKUP(E221,EX:FJ,13,0)="A"), "DEFICIT",IF(AND(OR(Planilla!B221="B", Planilla!B221="BPAL"), VLOOKUP(E221,EX:FJ,13,0)="C"), "SOBREOFERTA",IF(AND(Planilla!B221="A", VLOOKUP(E221,EX:FJ,13,0)="A"), "OK",IF(
AND(Planilla!B221="A", OR(VLOOKUP(E221,EX:FJ,13,0)="B", VLOOKUP(E221,EX:FJ,13,0)="C")), "SOBREOFERTA",""
))))))),"")</f>
        <v/>
      </c>
      <c r="E221" s="12"/>
      <c r="F221" s="13"/>
      <c r="G221" s="14"/>
      <c r="H221" s="81" t="str">
        <f t="shared" si="82"/>
        <v/>
      </c>
      <c r="I221" s="7"/>
      <c r="J221" s="6" t="e">
        <f t="shared" si="83"/>
        <v>#N/A</v>
      </c>
      <c r="K221" s="6" t="str">
        <f>IF(A222&lt;&gt;A221,AVERAGEIF(A$9:A221,A221,J$9:J221),"")</f>
        <v/>
      </c>
      <c r="L221" s="7" t="str">
        <f>IFERROR(IF(A222&lt;&gt;A221,AVERAGEIF(A$9:A221,A221,S$9:S221),""),"")</f>
        <v/>
      </c>
      <c r="M221" s="7" t="str">
        <f>IFERROR(IF(A222&lt;&gt;A221,AVERAGEIF(A$9:A221,A221,T$9:T221),""),"")</f>
        <v/>
      </c>
      <c r="N221" s="7" t="str" cm="1">
        <f t="array" ref="N221">IFERROR(IF(A222&lt;&gt;A221,_xlfn.STDEV.P(IF(A$9:A221=A221,T$9:T221)),""),"")</f>
        <v/>
      </c>
      <c r="O221" s="7" t="str" cm="1">
        <f t="array" ref="O221">IFERROR(IF(A222&lt;&gt;A221,_xlfn.STDEV.P(IF(A$9:A221=A221,S$9:S221)),""),"")</f>
        <v/>
      </c>
      <c r="P221" s="8" t="str">
        <f t="shared" si="84"/>
        <v/>
      </c>
      <c r="Q221" s="8" t="str">
        <f t="shared" si="85"/>
        <v/>
      </c>
      <c r="R221" s="8" t="str">
        <f t="shared" si="86"/>
        <v/>
      </c>
      <c r="S221" s="9" t="str">
        <f t="shared" si="87"/>
        <v/>
      </c>
      <c r="T221" s="9" t="str">
        <f t="shared" si="88"/>
        <v/>
      </c>
      <c r="U221" s="14"/>
      <c r="V221" s="15"/>
      <c r="W221" s="14" t="str">
        <f t="shared" si="89"/>
        <v/>
      </c>
      <c r="X221" s="15"/>
      <c r="Y221" s="2"/>
      <c r="AB221" s="22">
        <f t="shared" si="90"/>
        <v>1</v>
      </c>
      <c r="AC221" s="11"/>
      <c r="AD221" s="11"/>
      <c r="AE221" s="13"/>
      <c r="AF221" s="12"/>
      <c r="AG221" s="13"/>
      <c r="AH221" s="14"/>
      <c r="AI221" s="81" t="str">
        <f t="shared" si="91"/>
        <v/>
      </c>
      <c r="AJ221" s="15"/>
      <c r="AK221" s="6" t="e">
        <f t="shared" si="92"/>
        <v>#N/A</v>
      </c>
      <c r="AL221" s="6" t="str">
        <f>IF(AB222&lt;&gt;AB221,AVERAGEIF(AB$9:AB221,AB221,AK$9:AK221),"")</f>
        <v/>
      </c>
      <c r="AM221" s="7" t="str">
        <f>IFERROR(IF(AB222&lt;&gt;AB221,AVERAGEIF(AB$9:AB221,AB221,AT$9:AT221),""),"")</f>
        <v/>
      </c>
      <c r="AN221" s="7" t="str">
        <f>IFERROR(IF(AB222&lt;&gt;AB221,AVERAGEIF(AB$9:AB221,AB221,AU$9:AU221),""),"")</f>
        <v/>
      </c>
      <c r="AO221" s="7" t="str" cm="1">
        <f t="array" ref="AO221">IFERROR(IF(AB222&lt;&gt;AB221,_xlfn.STDEV.P(IF(AB$9:AB221=AB221,AU$9:AU221)),""),"")</f>
        <v/>
      </c>
      <c r="AP221" s="7" t="str" cm="1">
        <f t="array" ref="AP221">IFERROR(IF(AB222&lt;&gt;AB221,_xlfn.STDEV.P(IF(AB$9:AB221=AB221,AT$9:AT221)),""),"")</f>
        <v/>
      </c>
      <c r="AQ221" s="8" t="str">
        <f t="shared" si="93"/>
        <v/>
      </c>
      <c r="AR221" s="8" t="str">
        <f t="shared" si="94"/>
        <v/>
      </c>
      <c r="AS221" s="8" t="str">
        <f t="shared" si="95"/>
        <v/>
      </c>
      <c r="AT221" s="9" t="str">
        <f t="shared" si="96"/>
        <v/>
      </c>
      <c r="AU221" s="9" t="str">
        <f t="shared" si="97"/>
        <v/>
      </c>
      <c r="AV221" s="14"/>
      <c r="AW221" s="15"/>
      <c r="AX221" s="14" t="str">
        <f t="shared" si="98"/>
        <v/>
      </c>
      <c r="AY221" s="15"/>
      <c r="AZ221" s="23"/>
      <c r="EW221" t="s">
        <v>46</v>
      </c>
      <c r="EX221" s="33">
        <v>1239</v>
      </c>
      <c r="EY221" s="33" t="s">
        <v>585</v>
      </c>
      <c r="EZ221" s="33">
        <v>552373</v>
      </c>
      <c r="FA221" s="33" t="s">
        <v>51</v>
      </c>
      <c r="FB221" s="33" t="s">
        <v>473</v>
      </c>
      <c r="FC221" s="33" t="s">
        <v>53</v>
      </c>
      <c r="FD221" s="33" t="s">
        <v>476</v>
      </c>
      <c r="FE221" s="33">
        <v>2022</v>
      </c>
      <c r="FF221" s="33" t="s">
        <v>474</v>
      </c>
      <c r="FG221" s="33" t="s">
        <v>470</v>
      </c>
      <c r="FH221" s="33" t="s">
        <v>471</v>
      </c>
      <c r="FI221" s="33" t="s">
        <v>467</v>
      </c>
      <c r="FJ221" t="s">
        <v>474</v>
      </c>
      <c r="FM221" s="32" t="s">
        <v>586</v>
      </c>
      <c r="FN221" t="s">
        <v>587</v>
      </c>
      <c r="FO221" t="s">
        <v>588</v>
      </c>
      <c r="FP221" t="str">
        <f t="shared" si="80"/>
        <v>B</v>
      </c>
      <c r="GV221" s="53">
        <v>215</v>
      </c>
    </row>
    <row r="222" spans="1:204" ht="15.5" x14ac:dyDescent="0.35">
      <c r="A222" s="95">
        <f t="shared" si="81"/>
        <v>1</v>
      </c>
      <c r="B222" s="11"/>
      <c r="C222" s="11"/>
      <c r="D222" s="92" t="str">
        <f>IFERROR(
IF(AND(OR(Planilla!B222="C",Planilla!B222="c"), VLOOKUP(E222,EX:FJ,13,0)="C"), "OK",IF(AND(OR(Planilla!B222="C",Planilla!B222="c"), OR(VLOOKUP(E222,EX:FJ,13,0)="B", VLOOKUP(E222,EX:FJ,13,0)="A")), "DEFICIT",IF(
AND(OR(Planilla!B222="B", Planilla!B222="BPAL"), VLOOKUP(E222,EX:FJ,13,0)="B"), "OK",IF(AND(OR(Planilla!B222="B", Planilla!B222="BPAL"), VLOOKUP(E222,EX:FJ,13,0)="A"), "DEFICIT",IF(AND(OR(Planilla!B222="B", Planilla!B222="BPAL"), VLOOKUP(E222,EX:FJ,13,0)="C"), "SOBREOFERTA",IF(AND(Planilla!B222="A", VLOOKUP(E222,EX:FJ,13,0)="A"), "OK",IF(
AND(Planilla!B222="A", OR(VLOOKUP(E222,EX:FJ,13,0)="B", VLOOKUP(E222,EX:FJ,13,0)="C")), "SOBREOFERTA",""
))))))),"")</f>
        <v/>
      </c>
      <c r="E222" s="12"/>
      <c r="F222" s="13"/>
      <c r="G222" s="14"/>
      <c r="H222" s="81" t="str">
        <f t="shared" si="82"/>
        <v/>
      </c>
      <c r="I222" s="7"/>
      <c r="J222" s="6" t="e">
        <f t="shared" si="83"/>
        <v>#N/A</v>
      </c>
      <c r="K222" s="6" t="str">
        <f>IF(A223&lt;&gt;A222,AVERAGEIF(A$9:A222,A222,J$9:J222),"")</f>
        <v/>
      </c>
      <c r="L222" s="7" t="str">
        <f>IFERROR(IF(A223&lt;&gt;A222,AVERAGEIF(A$9:A222,A222,S$9:S222),""),"")</f>
        <v/>
      </c>
      <c r="M222" s="7" t="str">
        <f>IFERROR(IF(A223&lt;&gt;A222,AVERAGEIF(A$9:A222,A222,T$9:T222),""),"")</f>
        <v/>
      </c>
      <c r="N222" s="7" t="str" cm="1">
        <f t="array" ref="N222">IFERROR(IF(A223&lt;&gt;A222,_xlfn.STDEV.P(IF(A$9:A222=A222,T$9:T222)),""),"")</f>
        <v/>
      </c>
      <c r="O222" s="7" t="str" cm="1">
        <f t="array" ref="O222">IFERROR(IF(A223&lt;&gt;A222,_xlfn.STDEV.P(IF(A$9:A222=A222,S$9:S222)),""),"")</f>
        <v/>
      </c>
      <c r="P222" s="8" t="str">
        <f t="shared" si="84"/>
        <v/>
      </c>
      <c r="Q222" s="8" t="str">
        <f t="shared" si="85"/>
        <v/>
      </c>
      <c r="R222" s="8" t="str">
        <f t="shared" si="86"/>
        <v/>
      </c>
      <c r="S222" s="9" t="str">
        <f t="shared" si="87"/>
        <v/>
      </c>
      <c r="T222" s="9" t="str">
        <f t="shared" si="88"/>
        <v/>
      </c>
      <c r="U222" s="14"/>
      <c r="V222" s="15"/>
      <c r="W222" s="14" t="str">
        <f t="shared" si="89"/>
        <v/>
      </c>
      <c r="X222" s="15"/>
      <c r="Y222" s="2"/>
      <c r="AB222" s="22">
        <f t="shared" si="90"/>
        <v>1</v>
      </c>
      <c r="AC222" s="11"/>
      <c r="AD222" s="11"/>
      <c r="AE222" s="13"/>
      <c r="AF222" s="12"/>
      <c r="AG222" s="13"/>
      <c r="AH222" s="14"/>
      <c r="AI222" s="81" t="str">
        <f t="shared" si="91"/>
        <v/>
      </c>
      <c r="AJ222" s="15"/>
      <c r="AK222" s="6" t="e">
        <f t="shared" si="92"/>
        <v>#N/A</v>
      </c>
      <c r="AL222" s="6" t="str">
        <f>IF(AB223&lt;&gt;AB222,AVERAGEIF(AB$9:AB222,AB222,AK$9:AK222),"")</f>
        <v/>
      </c>
      <c r="AM222" s="7" t="str">
        <f>IFERROR(IF(AB223&lt;&gt;AB222,AVERAGEIF(AB$9:AB222,AB222,AT$9:AT222),""),"")</f>
        <v/>
      </c>
      <c r="AN222" s="7" t="str">
        <f>IFERROR(IF(AB223&lt;&gt;AB222,AVERAGEIF(AB$9:AB222,AB222,AU$9:AU222),""),"")</f>
        <v/>
      </c>
      <c r="AO222" s="7" t="str" cm="1">
        <f t="array" ref="AO222">IFERROR(IF(AB223&lt;&gt;AB222,_xlfn.STDEV.P(IF(AB$9:AB222=AB222,AU$9:AU222)),""),"")</f>
        <v/>
      </c>
      <c r="AP222" s="7" t="str" cm="1">
        <f t="array" ref="AP222">IFERROR(IF(AB223&lt;&gt;AB222,_xlfn.STDEV.P(IF(AB$9:AB222=AB222,AT$9:AT222)),""),"")</f>
        <v/>
      </c>
      <c r="AQ222" s="8" t="str">
        <f t="shared" si="93"/>
        <v/>
      </c>
      <c r="AR222" s="8" t="str">
        <f t="shared" si="94"/>
        <v/>
      </c>
      <c r="AS222" s="8" t="str">
        <f t="shared" si="95"/>
        <v/>
      </c>
      <c r="AT222" s="9" t="str">
        <f t="shared" si="96"/>
        <v/>
      </c>
      <c r="AU222" s="9" t="str">
        <f t="shared" si="97"/>
        <v/>
      </c>
      <c r="AV222" s="14"/>
      <c r="AW222" s="15"/>
      <c r="AX222" s="14" t="str">
        <f t="shared" si="98"/>
        <v/>
      </c>
      <c r="AY222" s="15"/>
      <c r="AZ222" s="23"/>
      <c r="EW222" t="s">
        <v>46</v>
      </c>
      <c r="EX222" s="33">
        <v>1240</v>
      </c>
      <c r="EY222" s="33" t="s">
        <v>589</v>
      </c>
      <c r="EZ222" s="33">
        <v>552573</v>
      </c>
      <c r="FA222" s="33" t="s">
        <v>51</v>
      </c>
      <c r="FB222" s="33" t="s">
        <v>473</v>
      </c>
      <c r="FC222" s="33" t="s">
        <v>53</v>
      </c>
      <c r="FD222" s="33" t="s">
        <v>476</v>
      </c>
      <c r="FE222" s="33">
        <v>2022</v>
      </c>
      <c r="FF222" s="33" t="s">
        <v>474</v>
      </c>
      <c r="FG222" s="33" t="s">
        <v>470</v>
      </c>
      <c r="FH222" s="33" t="s">
        <v>471</v>
      </c>
      <c r="FI222" s="33" t="s">
        <v>467</v>
      </c>
      <c r="FJ222" t="s">
        <v>474</v>
      </c>
      <c r="FM222" s="32" t="s">
        <v>586</v>
      </c>
      <c r="FN222" t="s">
        <v>587</v>
      </c>
      <c r="FO222" t="s">
        <v>588</v>
      </c>
      <c r="FP222" t="str">
        <f t="shared" si="80"/>
        <v>B</v>
      </c>
      <c r="GV222" s="53">
        <v>216</v>
      </c>
    </row>
    <row r="223" spans="1:204" ht="15.5" x14ac:dyDescent="0.35">
      <c r="A223" s="95">
        <f t="shared" si="81"/>
        <v>1</v>
      </c>
      <c r="B223" s="11"/>
      <c r="C223" s="11"/>
      <c r="D223" s="92" t="str">
        <f>IFERROR(
IF(AND(OR(Planilla!B223="C",Planilla!B223="c"), VLOOKUP(E223,EX:FJ,13,0)="C"), "OK",IF(AND(OR(Planilla!B223="C",Planilla!B223="c"), OR(VLOOKUP(E223,EX:FJ,13,0)="B", VLOOKUP(E223,EX:FJ,13,0)="A")), "DEFICIT",IF(
AND(OR(Planilla!B223="B", Planilla!B223="BPAL"), VLOOKUP(E223,EX:FJ,13,0)="B"), "OK",IF(AND(OR(Planilla!B223="B", Planilla!B223="BPAL"), VLOOKUP(E223,EX:FJ,13,0)="A"), "DEFICIT",IF(AND(OR(Planilla!B223="B", Planilla!B223="BPAL"), VLOOKUP(E223,EX:FJ,13,0)="C"), "SOBREOFERTA",IF(AND(Planilla!B223="A", VLOOKUP(E223,EX:FJ,13,0)="A"), "OK",IF(
AND(Planilla!B223="A", OR(VLOOKUP(E223,EX:FJ,13,0)="B", VLOOKUP(E223,EX:FJ,13,0)="C")), "SOBREOFERTA",""
))))))),"")</f>
        <v/>
      </c>
      <c r="E223" s="12"/>
      <c r="F223" s="13"/>
      <c r="G223" s="14"/>
      <c r="H223" s="81" t="str">
        <f t="shared" si="82"/>
        <v/>
      </c>
      <c r="I223" s="7"/>
      <c r="J223" s="6" t="e">
        <f t="shared" si="83"/>
        <v>#N/A</v>
      </c>
      <c r="K223" s="6" t="str">
        <f>IF(A224&lt;&gt;A223,AVERAGEIF(A$9:A223,A223,J$9:J223),"")</f>
        <v/>
      </c>
      <c r="L223" s="7" t="str">
        <f>IFERROR(IF(A224&lt;&gt;A223,AVERAGEIF(A$9:A223,A223,S$9:S223),""),"")</f>
        <v/>
      </c>
      <c r="M223" s="7" t="str">
        <f>IFERROR(IF(A224&lt;&gt;A223,AVERAGEIF(A$9:A223,A223,T$9:T223),""),"")</f>
        <v/>
      </c>
      <c r="N223" s="7" t="str" cm="1">
        <f t="array" ref="N223">IFERROR(IF(A224&lt;&gt;A223,_xlfn.STDEV.P(IF(A$9:A223=A223,T$9:T223)),""),"")</f>
        <v/>
      </c>
      <c r="O223" s="7" t="str" cm="1">
        <f t="array" ref="O223">IFERROR(IF(A224&lt;&gt;A223,_xlfn.STDEV.P(IF(A$9:A223=A223,S$9:S223)),""),"")</f>
        <v/>
      </c>
      <c r="P223" s="8" t="str">
        <f t="shared" si="84"/>
        <v/>
      </c>
      <c r="Q223" s="8" t="str">
        <f t="shared" si="85"/>
        <v/>
      </c>
      <c r="R223" s="8" t="str">
        <f t="shared" si="86"/>
        <v/>
      </c>
      <c r="S223" s="9" t="str">
        <f t="shared" si="87"/>
        <v/>
      </c>
      <c r="T223" s="9" t="str">
        <f t="shared" si="88"/>
        <v/>
      </c>
      <c r="U223" s="14"/>
      <c r="V223" s="15"/>
      <c r="W223" s="14" t="str">
        <f t="shared" si="89"/>
        <v/>
      </c>
      <c r="X223" s="15"/>
      <c r="Y223" s="2"/>
      <c r="AB223" s="22">
        <f t="shared" si="90"/>
        <v>1</v>
      </c>
      <c r="AC223" s="11"/>
      <c r="AD223" s="11"/>
      <c r="AE223" s="13"/>
      <c r="AF223" s="12"/>
      <c r="AG223" s="13"/>
      <c r="AH223" s="14"/>
      <c r="AI223" s="81" t="str">
        <f t="shared" si="91"/>
        <v/>
      </c>
      <c r="AJ223" s="15"/>
      <c r="AK223" s="6" t="e">
        <f t="shared" si="92"/>
        <v>#N/A</v>
      </c>
      <c r="AL223" s="6" t="str">
        <f>IF(AB224&lt;&gt;AB223,AVERAGEIF(AB$9:AB223,AB223,AK$9:AK223),"")</f>
        <v/>
      </c>
      <c r="AM223" s="7" t="str">
        <f>IFERROR(IF(AB224&lt;&gt;AB223,AVERAGEIF(AB$9:AB223,AB223,AT$9:AT223),""),"")</f>
        <v/>
      </c>
      <c r="AN223" s="7" t="str">
        <f>IFERROR(IF(AB224&lt;&gt;AB223,AVERAGEIF(AB$9:AB223,AB223,AU$9:AU223),""),"")</f>
        <v/>
      </c>
      <c r="AO223" s="7" t="str" cm="1">
        <f t="array" ref="AO223">IFERROR(IF(AB224&lt;&gt;AB223,_xlfn.STDEV.P(IF(AB$9:AB223=AB223,AU$9:AU223)),""),"")</f>
        <v/>
      </c>
      <c r="AP223" s="7" t="str" cm="1">
        <f t="array" ref="AP223">IFERROR(IF(AB224&lt;&gt;AB223,_xlfn.STDEV.P(IF(AB$9:AB223=AB223,AT$9:AT223)),""),"")</f>
        <v/>
      </c>
      <c r="AQ223" s="8" t="str">
        <f t="shared" si="93"/>
        <v/>
      </c>
      <c r="AR223" s="8" t="str">
        <f t="shared" si="94"/>
        <v/>
      </c>
      <c r="AS223" s="8" t="str">
        <f t="shared" si="95"/>
        <v/>
      </c>
      <c r="AT223" s="9" t="str">
        <f t="shared" si="96"/>
        <v/>
      </c>
      <c r="AU223" s="9" t="str">
        <f t="shared" si="97"/>
        <v/>
      </c>
      <c r="AV223" s="14"/>
      <c r="AW223" s="15"/>
      <c r="AX223" s="14" t="str">
        <f t="shared" si="98"/>
        <v/>
      </c>
      <c r="AY223" s="15"/>
      <c r="AZ223" s="23"/>
      <c r="EW223" t="s">
        <v>46</v>
      </c>
      <c r="EX223" s="33">
        <v>1241</v>
      </c>
      <c r="EY223" s="33" t="s">
        <v>590</v>
      </c>
      <c r="EZ223" s="33">
        <v>550568</v>
      </c>
      <c r="FA223" s="33" t="s">
        <v>51</v>
      </c>
      <c r="FB223" s="33" t="s">
        <v>473</v>
      </c>
      <c r="FC223" s="33" t="s">
        <v>53</v>
      </c>
      <c r="FD223" s="33" t="s">
        <v>476</v>
      </c>
      <c r="FE223" s="33">
        <v>2022</v>
      </c>
      <c r="FF223" s="33" t="s">
        <v>474</v>
      </c>
      <c r="FG223" s="33" t="s">
        <v>470</v>
      </c>
      <c r="FH223" s="33" t="s">
        <v>471</v>
      </c>
      <c r="FI223" s="33" t="s">
        <v>467</v>
      </c>
      <c r="FJ223" t="s">
        <v>474</v>
      </c>
      <c r="FM223" s="32" t="s">
        <v>586</v>
      </c>
      <c r="FN223" t="s">
        <v>587</v>
      </c>
      <c r="FO223" t="s">
        <v>588</v>
      </c>
      <c r="FP223" t="str">
        <f t="shared" si="80"/>
        <v>B</v>
      </c>
      <c r="GV223" s="53">
        <v>217</v>
      </c>
    </row>
    <row r="224" spans="1:204" ht="15.5" x14ac:dyDescent="0.35">
      <c r="A224" s="95">
        <f t="shared" si="81"/>
        <v>1</v>
      </c>
      <c r="B224" s="11"/>
      <c r="C224" s="11"/>
      <c r="D224" s="92" t="str">
        <f>IFERROR(
IF(AND(OR(Planilla!B224="C",Planilla!B224="c"), VLOOKUP(E224,EX:FJ,13,0)="C"), "OK",IF(AND(OR(Planilla!B224="C",Planilla!B224="c"), OR(VLOOKUP(E224,EX:FJ,13,0)="B", VLOOKUP(E224,EX:FJ,13,0)="A")), "DEFICIT",IF(
AND(OR(Planilla!B224="B", Planilla!B224="BPAL"), VLOOKUP(E224,EX:FJ,13,0)="B"), "OK",IF(AND(OR(Planilla!B224="B", Planilla!B224="BPAL"), VLOOKUP(E224,EX:FJ,13,0)="A"), "DEFICIT",IF(AND(OR(Planilla!B224="B", Planilla!B224="BPAL"), VLOOKUP(E224,EX:FJ,13,0)="C"), "SOBREOFERTA",IF(AND(Planilla!B224="A", VLOOKUP(E224,EX:FJ,13,0)="A"), "OK",IF(
AND(Planilla!B224="A", OR(VLOOKUP(E224,EX:FJ,13,0)="B", VLOOKUP(E224,EX:FJ,13,0)="C")), "SOBREOFERTA",""
))))))),"")</f>
        <v/>
      </c>
      <c r="E224" s="12"/>
      <c r="F224" s="13"/>
      <c r="G224" s="14"/>
      <c r="H224" s="81" t="str">
        <f t="shared" si="82"/>
        <v/>
      </c>
      <c r="I224" s="7"/>
      <c r="J224" s="6" t="e">
        <f t="shared" si="83"/>
        <v>#N/A</v>
      </c>
      <c r="K224" s="6" t="str">
        <f>IF(A225&lt;&gt;A224,AVERAGEIF(A$9:A224,A224,J$9:J224),"")</f>
        <v/>
      </c>
      <c r="L224" s="7" t="str">
        <f>IFERROR(IF(A225&lt;&gt;A224,AVERAGEIF(A$9:A224,A224,S$9:S224),""),"")</f>
        <v/>
      </c>
      <c r="M224" s="7" t="str">
        <f>IFERROR(IF(A225&lt;&gt;A224,AVERAGEIF(A$9:A224,A224,T$9:T224),""),"")</f>
        <v/>
      </c>
      <c r="N224" s="7" t="str" cm="1">
        <f t="array" ref="N224">IFERROR(IF(A225&lt;&gt;A224,_xlfn.STDEV.P(IF(A$9:A224=A224,T$9:T224)),""),"")</f>
        <v/>
      </c>
      <c r="O224" s="7" t="str" cm="1">
        <f t="array" ref="O224">IFERROR(IF(A225&lt;&gt;A224,_xlfn.STDEV.P(IF(A$9:A224=A224,S$9:S224)),""),"")</f>
        <v/>
      </c>
      <c r="P224" s="8" t="str">
        <f t="shared" si="84"/>
        <v/>
      </c>
      <c r="Q224" s="8" t="str">
        <f t="shared" si="85"/>
        <v/>
      </c>
      <c r="R224" s="8" t="str">
        <f t="shared" si="86"/>
        <v/>
      </c>
      <c r="S224" s="9" t="str">
        <f t="shared" si="87"/>
        <v/>
      </c>
      <c r="T224" s="9" t="str">
        <f t="shared" si="88"/>
        <v/>
      </c>
      <c r="U224" s="14"/>
      <c r="V224" s="15"/>
      <c r="W224" s="14" t="str">
        <f t="shared" si="89"/>
        <v/>
      </c>
      <c r="X224" s="15"/>
      <c r="Y224" s="2"/>
      <c r="AB224" s="22">
        <f t="shared" si="90"/>
        <v>1</v>
      </c>
      <c r="AC224" s="11"/>
      <c r="AD224" s="11"/>
      <c r="AE224" s="13"/>
      <c r="AF224" s="12"/>
      <c r="AG224" s="13"/>
      <c r="AH224" s="14"/>
      <c r="AI224" s="81" t="str">
        <f t="shared" si="91"/>
        <v/>
      </c>
      <c r="AJ224" s="15"/>
      <c r="AK224" s="6" t="e">
        <f t="shared" si="92"/>
        <v>#N/A</v>
      </c>
      <c r="AL224" s="6" t="str">
        <f>IF(AB225&lt;&gt;AB224,AVERAGEIF(AB$9:AB224,AB224,AK$9:AK224),"")</f>
        <v/>
      </c>
      <c r="AM224" s="7" t="str">
        <f>IFERROR(IF(AB225&lt;&gt;AB224,AVERAGEIF(AB$9:AB224,AB224,AT$9:AT224),""),"")</f>
        <v/>
      </c>
      <c r="AN224" s="7" t="str">
        <f>IFERROR(IF(AB225&lt;&gt;AB224,AVERAGEIF(AB$9:AB224,AB224,AU$9:AU224),""),"")</f>
        <v/>
      </c>
      <c r="AO224" s="7" t="str" cm="1">
        <f t="array" ref="AO224">IFERROR(IF(AB225&lt;&gt;AB224,_xlfn.STDEV.P(IF(AB$9:AB224=AB224,AU$9:AU224)),""),"")</f>
        <v/>
      </c>
      <c r="AP224" s="7" t="str" cm="1">
        <f t="array" ref="AP224">IFERROR(IF(AB225&lt;&gt;AB224,_xlfn.STDEV.P(IF(AB$9:AB224=AB224,AT$9:AT224)),""),"")</f>
        <v/>
      </c>
      <c r="AQ224" s="8" t="str">
        <f t="shared" si="93"/>
        <v/>
      </c>
      <c r="AR224" s="8" t="str">
        <f t="shared" si="94"/>
        <v/>
      </c>
      <c r="AS224" s="8" t="str">
        <f t="shared" si="95"/>
        <v/>
      </c>
      <c r="AT224" s="9" t="str">
        <f t="shared" si="96"/>
        <v/>
      </c>
      <c r="AU224" s="9" t="str">
        <f t="shared" si="97"/>
        <v/>
      </c>
      <c r="AV224" s="14"/>
      <c r="AW224" s="15"/>
      <c r="AX224" s="14" t="str">
        <f t="shared" si="98"/>
        <v/>
      </c>
      <c r="AY224" s="15"/>
      <c r="AZ224" s="23"/>
      <c r="EW224" t="s">
        <v>46</v>
      </c>
      <c r="EX224" s="33">
        <v>1204</v>
      </c>
      <c r="EY224" s="33" t="s">
        <v>591</v>
      </c>
      <c r="EZ224" s="33">
        <v>551734</v>
      </c>
      <c r="FA224" s="33" t="s">
        <v>51</v>
      </c>
      <c r="FB224" s="33" t="s">
        <v>473</v>
      </c>
      <c r="FC224" s="33" t="s">
        <v>53</v>
      </c>
      <c r="FD224" s="33" t="s">
        <v>476</v>
      </c>
      <c r="FE224" s="33">
        <v>2022</v>
      </c>
      <c r="FF224" s="33" t="s">
        <v>474</v>
      </c>
      <c r="FG224" s="33" t="s">
        <v>477</v>
      </c>
      <c r="FH224" s="33" t="s">
        <v>478</v>
      </c>
      <c r="FI224" s="33" t="s">
        <v>479</v>
      </c>
      <c r="FJ224" t="s">
        <v>474</v>
      </c>
      <c r="FM224" s="32" t="s">
        <v>586</v>
      </c>
      <c r="FN224" t="s">
        <v>587</v>
      </c>
      <c r="FO224" t="s">
        <v>588</v>
      </c>
      <c r="FP224" t="str">
        <f t="shared" si="80"/>
        <v>B</v>
      </c>
      <c r="GV224" s="53">
        <v>218</v>
      </c>
    </row>
    <row r="225" spans="1:206" ht="15.5" x14ac:dyDescent="0.35">
      <c r="A225" s="95">
        <f t="shared" si="81"/>
        <v>1</v>
      </c>
      <c r="B225" s="11"/>
      <c r="C225" s="11"/>
      <c r="D225" s="92" t="str">
        <f>IFERROR(
IF(AND(OR(Planilla!B225="C",Planilla!B225="c"), VLOOKUP(E225,EX:FJ,13,0)="C"), "OK",IF(AND(OR(Planilla!B225="C",Planilla!B225="c"), OR(VLOOKUP(E225,EX:FJ,13,0)="B", VLOOKUP(E225,EX:FJ,13,0)="A")), "DEFICIT",IF(
AND(OR(Planilla!B225="B", Planilla!B225="BPAL"), VLOOKUP(E225,EX:FJ,13,0)="B"), "OK",IF(AND(OR(Planilla!B225="B", Planilla!B225="BPAL"), VLOOKUP(E225,EX:FJ,13,0)="A"), "DEFICIT",IF(AND(OR(Planilla!B225="B", Planilla!B225="BPAL"), VLOOKUP(E225,EX:FJ,13,0)="C"), "SOBREOFERTA",IF(AND(Planilla!B225="A", VLOOKUP(E225,EX:FJ,13,0)="A"), "OK",IF(
AND(Planilla!B225="A", OR(VLOOKUP(E225,EX:FJ,13,0)="B", VLOOKUP(E225,EX:FJ,13,0)="C")), "SOBREOFERTA",""
))))))),"")</f>
        <v/>
      </c>
      <c r="E225" s="12"/>
      <c r="F225" s="13"/>
      <c r="G225" s="14"/>
      <c r="H225" s="81" t="str">
        <f t="shared" si="82"/>
        <v/>
      </c>
      <c r="I225" s="7"/>
      <c r="J225" s="6" t="e">
        <f t="shared" si="83"/>
        <v>#N/A</v>
      </c>
      <c r="K225" s="6" t="str">
        <f>IF(A226&lt;&gt;A225,AVERAGEIF(A$9:A225,A225,J$9:J225),"")</f>
        <v/>
      </c>
      <c r="L225" s="7" t="str">
        <f>IFERROR(IF(A226&lt;&gt;A225,AVERAGEIF(A$9:A225,A225,S$9:S225),""),"")</f>
        <v/>
      </c>
      <c r="M225" s="7" t="str">
        <f>IFERROR(IF(A226&lt;&gt;A225,AVERAGEIF(A$9:A225,A225,T$9:T225),""),"")</f>
        <v/>
      </c>
      <c r="N225" s="7" t="str" cm="1">
        <f t="array" ref="N225">IFERROR(IF(A226&lt;&gt;A225,_xlfn.STDEV.P(IF(A$9:A225=A225,T$9:T225)),""),"")</f>
        <v/>
      </c>
      <c r="O225" s="7" t="str" cm="1">
        <f t="array" ref="O225">IFERROR(IF(A226&lt;&gt;A225,_xlfn.STDEV.P(IF(A$9:A225=A225,S$9:S225)),""),"")</f>
        <v/>
      </c>
      <c r="P225" s="8" t="str">
        <f t="shared" si="84"/>
        <v/>
      </c>
      <c r="Q225" s="8" t="str">
        <f t="shared" si="85"/>
        <v/>
      </c>
      <c r="R225" s="8" t="str">
        <f t="shared" si="86"/>
        <v/>
      </c>
      <c r="S225" s="9" t="str">
        <f t="shared" si="87"/>
        <v/>
      </c>
      <c r="T225" s="9" t="str">
        <f t="shared" si="88"/>
        <v/>
      </c>
      <c r="U225" s="14"/>
      <c r="V225" s="15"/>
      <c r="W225" s="14" t="str">
        <f t="shared" si="89"/>
        <v/>
      </c>
      <c r="X225" s="15"/>
      <c r="Y225" s="2"/>
      <c r="AB225" s="22">
        <f t="shared" si="90"/>
        <v>1</v>
      </c>
      <c r="AC225" s="11"/>
      <c r="AD225" s="11"/>
      <c r="AE225" s="13"/>
      <c r="AF225" s="12"/>
      <c r="AG225" s="13"/>
      <c r="AH225" s="14"/>
      <c r="AI225" s="81" t="str">
        <f t="shared" si="91"/>
        <v/>
      </c>
      <c r="AJ225" s="15"/>
      <c r="AK225" s="6" t="e">
        <f t="shared" si="92"/>
        <v>#N/A</v>
      </c>
      <c r="AL225" s="6" t="str">
        <f>IF(AB226&lt;&gt;AB225,AVERAGEIF(AB$9:AB225,AB225,AK$9:AK225),"")</f>
        <v/>
      </c>
      <c r="AM225" s="7" t="str">
        <f>IFERROR(IF(AB226&lt;&gt;AB225,AVERAGEIF(AB$9:AB225,AB225,AT$9:AT225),""),"")</f>
        <v/>
      </c>
      <c r="AN225" s="7" t="str">
        <f>IFERROR(IF(AB226&lt;&gt;AB225,AVERAGEIF(AB$9:AB225,AB225,AU$9:AU225),""),"")</f>
        <v/>
      </c>
      <c r="AO225" s="7" t="str" cm="1">
        <f t="array" ref="AO225">IFERROR(IF(AB226&lt;&gt;AB225,_xlfn.STDEV.P(IF(AB$9:AB225=AB225,AU$9:AU225)),""),"")</f>
        <v/>
      </c>
      <c r="AP225" s="7" t="str" cm="1">
        <f t="array" ref="AP225">IFERROR(IF(AB226&lt;&gt;AB225,_xlfn.STDEV.P(IF(AB$9:AB225=AB225,AT$9:AT225)),""),"")</f>
        <v/>
      </c>
      <c r="AQ225" s="8" t="str">
        <f t="shared" si="93"/>
        <v/>
      </c>
      <c r="AR225" s="8" t="str">
        <f t="shared" si="94"/>
        <v/>
      </c>
      <c r="AS225" s="8" t="str">
        <f t="shared" si="95"/>
        <v/>
      </c>
      <c r="AT225" s="9" t="str">
        <f t="shared" si="96"/>
        <v/>
      </c>
      <c r="AU225" s="9" t="str">
        <f t="shared" si="97"/>
        <v/>
      </c>
      <c r="AV225" s="14"/>
      <c r="AW225" s="15"/>
      <c r="AX225" s="14" t="str">
        <f t="shared" si="98"/>
        <v/>
      </c>
      <c r="AY225" s="15"/>
      <c r="AZ225" s="23"/>
      <c r="EW225" t="s">
        <v>46</v>
      </c>
      <c r="EX225" s="33">
        <v>1242</v>
      </c>
      <c r="EY225" s="33" t="s">
        <v>592</v>
      </c>
      <c r="EZ225" s="33">
        <v>552393</v>
      </c>
      <c r="FA225" s="33" t="s">
        <v>51</v>
      </c>
      <c r="FB225" s="33" t="s">
        <v>473</v>
      </c>
      <c r="FC225" s="33" t="s">
        <v>53</v>
      </c>
      <c r="FD225" s="33" t="s">
        <v>476</v>
      </c>
      <c r="FE225" s="33">
        <v>2022</v>
      </c>
      <c r="FF225" s="33" t="s">
        <v>474</v>
      </c>
      <c r="FG225" s="33" t="s">
        <v>470</v>
      </c>
      <c r="FH225" s="33" t="s">
        <v>471</v>
      </c>
      <c r="FI225" s="33" t="s">
        <v>467</v>
      </c>
      <c r="FJ225" t="s">
        <v>474</v>
      </c>
      <c r="FM225" s="32" t="s">
        <v>593</v>
      </c>
      <c r="FN225" t="s">
        <v>594</v>
      </c>
      <c r="FO225" t="s">
        <v>595</v>
      </c>
      <c r="FP225" t="str">
        <f t="shared" si="80"/>
        <v>B</v>
      </c>
      <c r="GV225" s="53">
        <v>219</v>
      </c>
    </row>
    <row r="226" spans="1:206" ht="15.5" x14ac:dyDescent="0.35">
      <c r="A226" s="95">
        <f t="shared" si="81"/>
        <v>1</v>
      </c>
      <c r="B226" s="11"/>
      <c r="C226" s="11"/>
      <c r="D226" s="92" t="str">
        <f>IFERROR(
IF(AND(OR(Planilla!B226="C",Planilla!B226="c"), VLOOKUP(E226,EX:FJ,13,0)="C"), "OK",IF(AND(OR(Planilla!B226="C",Planilla!B226="c"), OR(VLOOKUP(E226,EX:FJ,13,0)="B", VLOOKUP(E226,EX:FJ,13,0)="A")), "DEFICIT",IF(
AND(OR(Planilla!B226="B", Planilla!B226="BPAL"), VLOOKUP(E226,EX:FJ,13,0)="B"), "OK",IF(AND(OR(Planilla!B226="B", Planilla!B226="BPAL"), VLOOKUP(E226,EX:FJ,13,0)="A"), "DEFICIT",IF(AND(OR(Planilla!B226="B", Planilla!B226="BPAL"), VLOOKUP(E226,EX:FJ,13,0)="C"), "SOBREOFERTA",IF(AND(Planilla!B226="A", VLOOKUP(E226,EX:FJ,13,0)="A"), "OK",IF(
AND(Planilla!B226="A", OR(VLOOKUP(E226,EX:FJ,13,0)="B", VLOOKUP(E226,EX:FJ,13,0)="C")), "SOBREOFERTA",""
))))))),"")</f>
        <v/>
      </c>
      <c r="E226" s="12"/>
      <c r="F226" s="13"/>
      <c r="G226" s="14"/>
      <c r="H226" s="81" t="str">
        <f t="shared" si="82"/>
        <v/>
      </c>
      <c r="I226" s="7"/>
      <c r="J226" s="6" t="e">
        <f t="shared" si="83"/>
        <v>#N/A</v>
      </c>
      <c r="K226" s="6" t="str">
        <f>IF(A227&lt;&gt;A226,AVERAGEIF(A$9:A226,A226,J$9:J226),"")</f>
        <v/>
      </c>
      <c r="L226" s="7" t="str">
        <f>IFERROR(IF(A227&lt;&gt;A226,AVERAGEIF(A$9:A226,A226,S$9:S226),""),"")</f>
        <v/>
      </c>
      <c r="M226" s="7" t="str">
        <f>IFERROR(IF(A227&lt;&gt;A226,AVERAGEIF(A$9:A226,A226,T$9:T226),""),"")</f>
        <v/>
      </c>
      <c r="N226" s="7" t="str" cm="1">
        <f t="array" ref="N226">IFERROR(IF(A227&lt;&gt;A226,_xlfn.STDEV.P(IF(A$9:A226=A226,T$9:T226)),""),"")</f>
        <v/>
      </c>
      <c r="O226" s="7" t="str" cm="1">
        <f t="array" ref="O226">IFERROR(IF(A227&lt;&gt;A226,_xlfn.STDEV.P(IF(A$9:A226=A226,S$9:S226)),""),"")</f>
        <v/>
      </c>
      <c r="P226" s="8" t="str">
        <f t="shared" si="84"/>
        <v/>
      </c>
      <c r="Q226" s="8" t="str">
        <f t="shared" si="85"/>
        <v/>
      </c>
      <c r="R226" s="8" t="str">
        <f t="shared" si="86"/>
        <v/>
      </c>
      <c r="S226" s="9" t="str">
        <f t="shared" si="87"/>
        <v/>
      </c>
      <c r="T226" s="9" t="str">
        <f t="shared" si="88"/>
        <v/>
      </c>
      <c r="U226" s="14"/>
      <c r="V226" s="15"/>
      <c r="W226" s="14" t="str">
        <f t="shared" si="89"/>
        <v/>
      </c>
      <c r="X226" s="15"/>
      <c r="Y226" s="2"/>
      <c r="AB226" s="22">
        <f t="shared" si="90"/>
        <v>1</v>
      </c>
      <c r="AC226" s="11"/>
      <c r="AD226" s="11"/>
      <c r="AE226" s="13"/>
      <c r="AF226" s="12"/>
      <c r="AG226" s="13"/>
      <c r="AH226" s="14"/>
      <c r="AI226" s="81" t="str">
        <f t="shared" si="91"/>
        <v/>
      </c>
      <c r="AJ226" s="15"/>
      <c r="AK226" s="6" t="e">
        <f t="shared" si="92"/>
        <v>#N/A</v>
      </c>
      <c r="AL226" s="6" t="str">
        <f>IF(AB227&lt;&gt;AB226,AVERAGEIF(AB$9:AB226,AB226,AK$9:AK226),"")</f>
        <v/>
      </c>
      <c r="AM226" s="7" t="str">
        <f>IFERROR(IF(AB227&lt;&gt;AB226,AVERAGEIF(AB$9:AB226,AB226,AT$9:AT226),""),"")</f>
        <v/>
      </c>
      <c r="AN226" s="7" t="str">
        <f>IFERROR(IF(AB227&lt;&gt;AB226,AVERAGEIF(AB$9:AB226,AB226,AU$9:AU226),""),"")</f>
        <v/>
      </c>
      <c r="AO226" s="7" t="str" cm="1">
        <f t="array" ref="AO226">IFERROR(IF(AB227&lt;&gt;AB226,_xlfn.STDEV.P(IF(AB$9:AB226=AB226,AU$9:AU226)),""),"")</f>
        <v/>
      </c>
      <c r="AP226" s="7" t="str" cm="1">
        <f t="array" ref="AP226">IFERROR(IF(AB227&lt;&gt;AB226,_xlfn.STDEV.P(IF(AB$9:AB226=AB226,AT$9:AT226)),""),"")</f>
        <v/>
      </c>
      <c r="AQ226" s="8" t="str">
        <f t="shared" si="93"/>
        <v/>
      </c>
      <c r="AR226" s="8" t="str">
        <f t="shared" si="94"/>
        <v/>
      </c>
      <c r="AS226" s="8" t="str">
        <f t="shared" si="95"/>
        <v/>
      </c>
      <c r="AT226" s="9" t="str">
        <f t="shared" si="96"/>
        <v/>
      </c>
      <c r="AU226" s="9" t="str">
        <f t="shared" si="97"/>
        <v/>
      </c>
      <c r="AV226" s="14"/>
      <c r="AW226" s="15"/>
      <c r="AX226" s="14" t="str">
        <f t="shared" si="98"/>
        <v/>
      </c>
      <c r="AY226" s="15"/>
      <c r="AZ226" s="23"/>
      <c r="EW226" t="s">
        <v>46</v>
      </c>
      <c r="EX226" s="33">
        <v>1243</v>
      </c>
      <c r="EY226" s="33" t="s">
        <v>596</v>
      </c>
      <c r="EZ226" s="33">
        <v>550593</v>
      </c>
      <c r="FA226" s="33" t="s">
        <v>51</v>
      </c>
      <c r="FB226" s="33" t="s">
        <v>473</v>
      </c>
      <c r="FC226" s="33" t="s">
        <v>53</v>
      </c>
      <c r="FD226" s="33" t="s">
        <v>476</v>
      </c>
      <c r="FE226" s="33">
        <v>2022</v>
      </c>
      <c r="FF226" s="33" t="s">
        <v>474</v>
      </c>
      <c r="FG226" s="33" t="s">
        <v>470</v>
      </c>
      <c r="FH226" s="33" t="s">
        <v>471</v>
      </c>
      <c r="FI226" s="33" t="s">
        <v>467</v>
      </c>
      <c r="FJ226" t="s">
        <v>474</v>
      </c>
      <c r="FM226" s="32" t="s">
        <v>593</v>
      </c>
      <c r="FN226" t="s">
        <v>594</v>
      </c>
      <c r="FO226" t="s">
        <v>595</v>
      </c>
      <c r="FP226" t="str">
        <f t="shared" si="80"/>
        <v>B</v>
      </c>
      <c r="GV226" s="53">
        <v>220</v>
      </c>
    </row>
    <row r="227" spans="1:206" ht="15.5" x14ac:dyDescent="0.35">
      <c r="A227" s="95">
        <f t="shared" si="81"/>
        <v>1</v>
      </c>
      <c r="B227" s="11"/>
      <c r="C227" s="11"/>
      <c r="D227" s="92" t="str">
        <f>IFERROR(
IF(AND(OR(Planilla!B227="C",Planilla!B227="c"), VLOOKUP(E227,EX:FJ,13,0)="C"), "OK",IF(AND(OR(Planilla!B227="C",Planilla!B227="c"), OR(VLOOKUP(E227,EX:FJ,13,0)="B", VLOOKUP(E227,EX:FJ,13,0)="A")), "DEFICIT",IF(
AND(OR(Planilla!B227="B", Planilla!B227="BPAL"), VLOOKUP(E227,EX:FJ,13,0)="B"), "OK",IF(AND(OR(Planilla!B227="B", Planilla!B227="BPAL"), VLOOKUP(E227,EX:FJ,13,0)="A"), "DEFICIT",IF(AND(OR(Planilla!B227="B", Planilla!B227="BPAL"), VLOOKUP(E227,EX:FJ,13,0)="C"), "SOBREOFERTA",IF(AND(Planilla!B227="A", VLOOKUP(E227,EX:FJ,13,0)="A"), "OK",IF(
AND(Planilla!B227="A", OR(VLOOKUP(E227,EX:FJ,13,0)="B", VLOOKUP(E227,EX:FJ,13,0)="C")), "SOBREOFERTA",""
))))))),"")</f>
        <v/>
      </c>
      <c r="E227" s="12"/>
      <c r="F227" s="13"/>
      <c r="G227" s="14"/>
      <c r="H227" s="81" t="str">
        <f t="shared" si="82"/>
        <v/>
      </c>
      <c r="I227" s="7"/>
      <c r="J227" s="6" t="e">
        <f t="shared" si="83"/>
        <v>#N/A</v>
      </c>
      <c r="K227" s="6" t="str">
        <f>IF(A228&lt;&gt;A227,AVERAGEIF(A$9:A227,A227,J$9:J227),"")</f>
        <v/>
      </c>
      <c r="L227" s="7" t="str">
        <f>IFERROR(IF(A228&lt;&gt;A227,AVERAGEIF(A$9:A227,A227,S$9:S227),""),"")</f>
        <v/>
      </c>
      <c r="M227" s="7" t="str">
        <f>IFERROR(IF(A228&lt;&gt;A227,AVERAGEIF(A$9:A227,A227,T$9:T227),""),"")</f>
        <v/>
      </c>
      <c r="N227" s="7" t="str" cm="1">
        <f t="array" ref="N227">IFERROR(IF(A228&lt;&gt;A227,_xlfn.STDEV.P(IF(A$9:A227=A227,T$9:T227)),""),"")</f>
        <v/>
      </c>
      <c r="O227" s="7" t="str" cm="1">
        <f t="array" ref="O227">IFERROR(IF(A228&lt;&gt;A227,_xlfn.STDEV.P(IF(A$9:A227=A227,S$9:S227)),""),"")</f>
        <v/>
      </c>
      <c r="P227" s="8" t="str">
        <f t="shared" si="84"/>
        <v/>
      </c>
      <c r="Q227" s="8" t="str">
        <f t="shared" si="85"/>
        <v/>
      </c>
      <c r="R227" s="8" t="str">
        <f t="shared" si="86"/>
        <v/>
      </c>
      <c r="S227" s="9" t="str">
        <f t="shared" si="87"/>
        <v/>
      </c>
      <c r="T227" s="9" t="str">
        <f t="shared" si="88"/>
        <v/>
      </c>
      <c r="U227" s="14"/>
      <c r="V227" s="15"/>
      <c r="W227" s="14" t="str">
        <f t="shared" si="89"/>
        <v/>
      </c>
      <c r="X227" s="15"/>
      <c r="Y227" s="2"/>
      <c r="AB227" s="22">
        <f t="shared" si="90"/>
        <v>1</v>
      </c>
      <c r="AC227" s="11"/>
      <c r="AD227" s="11"/>
      <c r="AE227" s="13"/>
      <c r="AF227" s="12"/>
      <c r="AG227" s="13"/>
      <c r="AH227" s="14"/>
      <c r="AI227" s="81" t="str">
        <f t="shared" si="91"/>
        <v/>
      </c>
      <c r="AJ227" s="15"/>
      <c r="AK227" s="6" t="e">
        <f t="shared" si="92"/>
        <v>#N/A</v>
      </c>
      <c r="AL227" s="6" t="str">
        <f>IF(AB228&lt;&gt;AB227,AVERAGEIF(AB$9:AB227,AB227,AK$9:AK227),"")</f>
        <v/>
      </c>
      <c r="AM227" s="7" t="str">
        <f>IFERROR(IF(AB228&lt;&gt;AB227,AVERAGEIF(AB$9:AB227,AB227,AT$9:AT227),""),"")</f>
        <v/>
      </c>
      <c r="AN227" s="7" t="str">
        <f>IFERROR(IF(AB228&lt;&gt;AB227,AVERAGEIF(AB$9:AB227,AB227,AU$9:AU227),""),"")</f>
        <v/>
      </c>
      <c r="AO227" s="7" t="str" cm="1">
        <f t="array" ref="AO227">IFERROR(IF(AB228&lt;&gt;AB227,_xlfn.STDEV.P(IF(AB$9:AB227=AB227,AU$9:AU227)),""),"")</f>
        <v/>
      </c>
      <c r="AP227" s="7" t="str" cm="1">
        <f t="array" ref="AP227">IFERROR(IF(AB228&lt;&gt;AB227,_xlfn.STDEV.P(IF(AB$9:AB227=AB227,AT$9:AT227)),""),"")</f>
        <v/>
      </c>
      <c r="AQ227" s="8" t="str">
        <f t="shared" si="93"/>
        <v/>
      </c>
      <c r="AR227" s="8" t="str">
        <f t="shared" si="94"/>
        <v/>
      </c>
      <c r="AS227" s="8" t="str">
        <f t="shared" si="95"/>
        <v/>
      </c>
      <c r="AT227" s="9" t="str">
        <f t="shared" si="96"/>
        <v/>
      </c>
      <c r="AU227" s="9" t="str">
        <f t="shared" si="97"/>
        <v/>
      </c>
      <c r="AV227" s="14"/>
      <c r="AW227" s="15"/>
      <c r="AX227" s="14" t="str">
        <f t="shared" si="98"/>
        <v/>
      </c>
      <c r="AY227" s="15"/>
      <c r="AZ227" s="23"/>
      <c r="EW227" t="s">
        <v>46</v>
      </c>
      <c r="EX227" s="33">
        <v>1244</v>
      </c>
      <c r="EY227" s="33" t="s">
        <v>597</v>
      </c>
      <c r="EZ227" s="33">
        <v>550451</v>
      </c>
      <c r="FA227" s="33" t="s">
        <v>51</v>
      </c>
      <c r="FB227" s="33" t="s">
        <v>473</v>
      </c>
      <c r="FC227" s="33" t="s">
        <v>53</v>
      </c>
      <c r="FD227" s="33" t="s">
        <v>476</v>
      </c>
      <c r="FE227" s="33">
        <v>2022</v>
      </c>
      <c r="FF227" s="33" t="s">
        <v>474</v>
      </c>
      <c r="FG227" s="33" t="s">
        <v>470</v>
      </c>
      <c r="FH227" s="33" t="s">
        <v>471</v>
      </c>
      <c r="FI227" s="33" t="s">
        <v>467</v>
      </c>
      <c r="FJ227" t="s">
        <v>474</v>
      </c>
      <c r="FM227" s="32" t="s">
        <v>598</v>
      </c>
      <c r="FN227" t="s">
        <v>599</v>
      </c>
      <c r="FO227" t="s">
        <v>600</v>
      </c>
      <c r="FP227" t="str">
        <f t="shared" si="80"/>
        <v>B</v>
      </c>
      <c r="GV227" s="53">
        <v>221</v>
      </c>
    </row>
    <row r="228" spans="1:206" ht="15.5" x14ac:dyDescent="0.35">
      <c r="A228" s="95">
        <f t="shared" si="81"/>
        <v>1</v>
      </c>
      <c r="B228" s="11"/>
      <c r="C228" s="11"/>
      <c r="D228" s="92" t="str">
        <f>IFERROR(
IF(AND(OR(Planilla!B228="C",Planilla!B228="c"), VLOOKUP(E228,EX:FJ,13,0)="C"), "OK",IF(AND(OR(Planilla!B228="C",Planilla!B228="c"), OR(VLOOKUP(E228,EX:FJ,13,0)="B", VLOOKUP(E228,EX:FJ,13,0)="A")), "DEFICIT",IF(
AND(OR(Planilla!B228="B", Planilla!B228="BPAL"), VLOOKUP(E228,EX:FJ,13,0)="B"), "OK",IF(AND(OR(Planilla!B228="B", Planilla!B228="BPAL"), VLOOKUP(E228,EX:FJ,13,0)="A"), "DEFICIT",IF(AND(OR(Planilla!B228="B", Planilla!B228="BPAL"), VLOOKUP(E228,EX:FJ,13,0)="C"), "SOBREOFERTA",IF(AND(Planilla!B228="A", VLOOKUP(E228,EX:FJ,13,0)="A"), "OK",IF(
AND(Planilla!B228="A", OR(VLOOKUP(E228,EX:FJ,13,0)="B", VLOOKUP(E228,EX:FJ,13,0)="C")), "SOBREOFERTA",""
))))))),"")</f>
        <v/>
      </c>
      <c r="E228" s="12"/>
      <c r="F228" s="13"/>
      <c r="G228" s="14"/>
      <c r="H228" s="81" t="str">
        <f t="shared" si="82"/>
        <v/>
      </c>
      <c r="I228" s="7"/>
      <c r="J228" s="6" t="e">
        <f t="shared" si="83"/>
        <v>#N/A</v>
      </c>
      <c r="K228" s="6" t="str">
        <f>IF(A229&lt;&gt;A228,AVERAGEIF(A$9:A228,A228,J$9:J228),"")</f>
        <v/>
      </c>
      <c r="L228" s="7" t="str">
        <f>IFERROR(IF(A229&lt;&gt;A228,AVERAGEIF(A$9:A228,A228,S$9:S228),""),"")</f>
        <v/>
      </c>
      <c r="M228" s="7" t="str">
        <f>IFERROR(IF(A229&lt;&gt;A228,AVERAGEIF(A$9:A228,A228,T$9:T228),""),"")</f>
        <v/>
      </c>
      <c r="N228" s="7" t="str" cm="1">
        <f t="array" ref="N228">IFERROR(IF(A229&lt;&gt;A228,_xlfn.STDEV.P(IF(A$9:A228=A228,T$9:T228)),""),"")</f>
        <v/>
      </c>
      <c r="O228" s="7" t="str" cm="1">
        <f t="array" ref="O228">IFERROR(IF(A229&lt;&gt;A228,_xlfn.STDEV.P(IF(A$9:A228=A228,S$9:S228)),""),"")</f>
        <v/>
      </c>
      <c r="P228" s="8" t="str">
        <f t="shared" si="84"/>
        <v/>
      </c>
      <c r="Q228" s="8" t="str">
        <f t="shared" si="85"/>
        <v/>
      </c>
      <c r="R228" s="8" t="str">
        <f t="shared" si="86"/>
        <v/>
      </c>
      <c r="S228" s="9" t="str">
        <f t="shared" si="87"/>
        <v/>
      </c>
      <c r="T228" s="9" t="str">
        <f t="shared" si="88"/>
        <v/>
      </c>
      <c r="U228" s="14"/>
      <c r="V228" s="15"/>
      <c r="W228" s="14" t="str">
        <f t="shared" si="89"/>
        <v/>
      </c>
      <c r="X228" s="15"/>
      <c r="Y228" s="2"/>
      <c r="AB228" s="22">
        <f t="shared" si="90"/>
        <v>1</v>
      </c>
      <c r="AC228" s="11"/>
      <c r="AD228" s="11"/>
      <c r="AE228" s="13"/>
      <c r="AF228" s="12"/>
      <c r="AG228" s="13"/>
      <c r="AH228" s="14"/>
      <c r="AI228" s="81" t="str">
        <f t="shared" si="91"/>
        <v/>
      </c>
      <c r="AJ228" s="15"/>
      <c r="AK228" s="6" t="e">
        <f t="shared" si="92"/>
        <v>#N/A</v>
      </c>
      <c r="AL228" s="6" t="str">
        <f>IF(AB229&lt;&gt;AB228,AVERAGEIF(AB$9:AB228,AB228,AK$9:AK228),"")</f>
        <v/>
      </c>
      <c r="AM228" s="7" t="str">
        <f>IFERROR(IF(AB229&lt;&gt;AB228,AVERAGEIF(AB$9:AB228,AB228,AT$9:AT228),""),"")</f>
        <v/>
      </c>
      <c r="AN228" s="7" t="str">
        <f>IFERROR(IF(AB229&lt;&gt;AB228,AVERAGEIF(AB$9:AB228,AB228,AU$9:AU228),""),"")</f>
        <v/>
      </c>
      <c r="AO228" s="7" t="str" cm="1">
        <f t="array" ref="AO228">IFERROR(IF(AB229&lt;&gt;AB228,_xlfn.STDEV.P(IF(AB$9:AB228=AB228,AU$9:AU228)),""),"")</f>
        <v/>
      </c>
      <c r="AP228" s="7" t="str" cm="1">
        <f t="array" ref="AP228">IFERROR(IF(AB229&lt;&gt;AB228,_xlfn.STDEV.P(IF(AB$9:AB228=AB228,AT$9:AT228)),""),"")</f>
        <v/>
      </c>
      <c r="AQ228" s="8" t="str">
        <f t="shared" si="93"/>
        <v/>
      </c>
      <c r="AR228" s="8" t="str">
        <f t="shared" si="94"/>
        <v/>
      </c>
      <c r="AS228" s="8" t="str">
        <f t="shared" si="95"/>
        <v/>
      </c>
      <c r="AT228" s="9" t="str">
        <f t="shared" si="96"/>
        <v/>
      </c>
      <c r="AU228" s="9" t="str">
        <f t="shared" si="97"/>
        <v/>
      </c>
      <c r="AV228" s="14"/>
      <c r="AW228" s="15"/>
      <c r="AX228" s="14" t="str">
        <f t="shared" si="98"/>
        <v/>
      </c>
      <c r="AY228" s="15"/>
      <c r="AZ228" s="23"/>
      <c r="EW228" t="s">
        <v>46</v>
      </c>
      <c r="EX228" s="33">
        <v>1205</v>
      </c>
      <c r="EY228" s="33" t="s">
        <v>601</v>
      </c>
      <c r="EZ228" s="33">
        <v>551900</v>
      </c>
      <c r="FA228" s="33" t="s">
        <v>51</v>
      </c>
      <c r="FB228" s="33" t="s">
        <v>473</v>
      </c>
      <c r="FC228" s="33" t="s">
        <v>53</v>
      </c>
      <c r="FD228" s="33" t="s">
        <v>476</v>
      </c>
      <c r="FE228" s="33">
        <v>2022</v>
      </c>
      <c r="FF228" s="33" t="s">
        <v>474</v>
      </c>
      <c r="FG228" s="33" t="s">
        <v>477</v>
      </c>
      <c r="FH228" s="33" t="s">
        <v>478</v>
      </c>
      <c r="FI228" s="33" t="s">
        <v>479</v>
      </c>
      <c r="FJ228" t="s">
        <v>474</v>
      </c>
      <c r="FM228" s="32" t="s">
        <v>598</v>
      </c>
      <c r="FN228" t="s">
        <v>599</v>
      </c>
      <c r="FO228" t="s">
        <v>600</v>
      </c>
      <c r="FP228" t="str">
        <f t="shared" si="80"/>
        <v>B</v>
      </c>
      <c r="GV228" s="53">
        <v>222</v>
      </c>
    </row>
    <row r="229" spans="1:206" ht="15.5" x14ac:dyDescent="0.35">
      <c r="A229" s="95">
        <f t="shared" si="81"/>
        <v>1</v>
      </c>
      <c r="B229" s="11"/>
      <c r="C229" s="11"/>
      <c r="D229" s="92" t="str">
        <f>IFERROR(
IF(AND(OR(Planilla!B229="C",Planilla!B229="c"), VLOOKUP(E229,EX:FJ,13,0)="C"), "OK",IF(AND(OR(Planilla!B229="C",Planilla!B229="c"), OR(VLOOKUP(E229,EX:FJ,13,0)="B", VLOOKUP(E229,EX:FJ,13,0)="A")), "DEFICIT",IF(
AND(OR(Planilla!B229="B", Planilla!B229="BPAL"), VLOOKUP(E229,EX:FJ,13,0)="B"), "OK",IF(AND(OR(Planilla!B229="B", Planilla!B229="BPAL"), VLOOKUP(E229,EX:FJ,13,0)="A"), "DEFICIT",IF(AND(OR(Planilla!B229="B", Planilla!B229="BPAL"), VLOOKUP(E229,EX:FJ,13,0)="C"), "SOBREOFERTA",IF(AND(Planilla!B229="A", VLOOKUP(E229,EX:FJ,13,0)="A"), "OK",IF(
AND(Planilla!B229="A", OR(VLOOKUP(E229,EX:FJ,13,0)="B", VLOOKUP(E229,EX:FJ,13,0)="C")), "SOBREOFERTA",""
))))))),"")</f>
        <v/>
      </c>
      <c r="E229" s="12"/>
      <c r="F229" s="13"/>
      <c r="G229" s="14"/>
      <c r="H229" s="81" t="str">
        <f t="shared" si="82"/>
        <v/>
      </c>
      <c r="I229" s="7"/>
      <c r="J229" s="6" t="e">
        <f t="shared" si="83"/>
        <v>#N/A</v>
      </c>
      <c r="K229" s="6" t="str">
        <f>IF(A230&lt;&gt;A229,AVERAGEIF(A$9:A229,A229,J$9:J229),"")</f>
        <v/>
      </c>
      <c r="L229" s="7" t="str">
        <f>IFERROR(IF(A230&lt;&gt;A229,AVERAGEIF(A$9:A229,A229,S$9:S229),""),"")</f>
        <v/>
      </c>
      <c r="M229" s="7" t="str">
        <f>IFERROR(IF(A230&lt;&gt;A229,AVERAGEIF(A$9:A229,A229,T$9:T229),""),"")</f>
        <v/>
      </c>
      <c r="N229" s="7" t="str" cm="1">
        <f t="array" ref="N229">IFERROR(IF(A230&lt;&gt;A229,_xlfn.STDEV.P(IF(A$9:A229=A229,T$9:T229)),""),"")</f>
        <v/>
      </c>
      <c r="O229" s="7" t="str" cm="1">
        <f t="array" ref="O229">IFERROR(IF(A230&lt;&gt;A229,_xlfn.STDEV.P(IF(A$9:A229=A229,S$9:S229)),""),"")</f>
        <v/>
      </c>
      <c r="P229" s="8" t="str">
        <f t="shared" si="84"/>
        <v/>
      </c>
      <c r="Q229" s="8" t="str">
        <f t="shared" si="85"/>
        <v/>
      </c>
      <c r="R229" s="8" t="str">
        <f t="shared" si="86"/>
        <v/>
      </c>
      <c r="S229" s="9" t="str">
        <f t="shared" si="87"/>
        <v/>
      </c>
      <c r="T229" s="9" t="str">
        <f t="shared" si="88"/>
        <v/>
      </c>
      <c r="U229" s="14"/>
      <c r="V229" s="15"/>
      <c r="W229" s="14" t="str">
        <f t="shared" si="89"/>
        <v/>
      </c>
      <c r="X229" s="15"/>
      <c r="Y229" s="2"/>
      <c r="AB229" s="22">
        <f t="shared" si="90"/>
        <v>1</v>
      </c>
      <c r="AC229" s="11"/>
      <c r="AD229" s="11"/>
      <c r="AE229" s="13"/>
      <c r="AF229" s="12"/>
      <c r="AG229" s="13"/>
      <c r="AH229" s="14"/>
      <c r="AI229" s="81" t="str">
        <f t="shared" si="91"/>
        <v/>
      </c>
      <c r="AJ229" s="15"/>
      <c r="AK229" s="6" t="e">
        <f t="shared" si="92"/>
        <v>#N/A</v>
      </c>
      <c r="AL229" s="6" t="str">
        <f>IF(AB230&lt;&gt;AB229,AVERAGEIF(AB$9:AB229,AB229,AK$9:AK229),"")</f>
        <v/>
      </c>
      <c r="AM229" s="7" t="str">
        <f>IFERROR(IF(AB230&lt;&gt;AB229,AVERAGEIF(AB$9:AB229,AB229,AT$9:AT229),""),"")</f>
        <v/>
      </c>
      <c r="AN229" s="7" t="str">
        <f>IFERROR(IF(AB230&lt;&gt;AB229,AVERAGEIF(AB$9:AB229,AB229,AU$9:AU229),""),"")</f>
        <v/>
      </c>
      <c r="AO229" s="7" t="str" cm="1">
        <f t="array" ref="AO229">IFERROR(IF(AB230&lt;&gt;AB229,_xlfn.STDEV.P(IF(AB$9:AB229=AB229,AU$9:AU229)),""),"")</f>
        <v/>
      </c>
      <c r="AP229" s="7" t="str" cm="1">
        <f t="array" ref="AP229">IFERROR(IF(AB230&lt;&gt;AB229,_xlfn.STDEV.P(IF(AB$9:AB229=AB229,AT$9:AT229)),""),"")</f>
        <v/>
      </c>
      <c r="AQ229" s="8" t="str">
        <f t="shared" si="93"/>
        <v/>
      </c>
      <c r="AR229" s="8" t="str">
        <f t="shared" si="94"/>
        <v/>
      </c>
      <c r="AS229" s="8" t="str">
        <f t="shared" si="95"/>
        <v/>
      </c>
      <c r="AT229" s="9" t="str">
        <f t="shared" si="96"/>
        <v/>
      </c>
      <c r="AU229" s="9" t="str">
        <f t="shared" si="97"/>
        <v/>
      </c>
      <c r="AV229" s="14"/>
      <c r="AW229" s="15"/>
      <c r="AX229" s="14" t="str">
        <f t="shared" si="98"/>
        <v/>
      </c>
      <c r="AY229" s="15"/>
      <c r="AZ229" s="23"/>
      <c r="EW229" t="s">
        <v>46</v>
      </c>
      <c r="EX229" s="33">
        <v>1206</v>
      </c>
      <c r="EY229" s="33" t="s">
        <v>602</v>
      </c>
      <c r="EZ229" s="33">
        <v>553953</v>
      </c>
      <c r="FA229" s="33" t="s">
        <v>51</v>
      </c>
      <c r="FB229" s="33" t="s">
        <v>473</v>
      </c>
      <c r="FC229" s="33" t="s">
        <v>53</v>
      </c>
      <c r="FD229" s="33" t="s">
        <v>476</v>
      </c>
      <c r="FE229" s="33">
        <v>2022</v>
      </c>
      <c r="FF229" s="33" t="s">
        <v>474</v>
      </c>
      <c r="FG229" s="33" t="s">
        <v>477</v>
      </c>
      <c r="FH229" s="33" t="s">
        <v>478</v>
      </c>
      <c r="FI229" s="33" t="s">
        <v>479</v>
      </c>
      <c r="FJ229" t="s">
        <v>474</v>
      </c>
      <c r="FM229" s="32" t="s">
        <v>598</v>
      </c>
      <c r="FN229" t="s">
        <v>599</v>
      </c>
      <c r="FO229" t="s">
        <v>600</v>
      </c>
      <c r="FP229" t="str">
        <f t="shared" si="80"/>
        <v>B</v>
      </c>
      <c r="GV229" s="53">
        <v>223</v>
      </c>
    </row>
    <row r="230" spans="1:206" ht="15.5" x14ac:dyDescent="0.35">
      <c r="A230" s="95">
        <f t="shared" si="81"/>
        <v>1</v>
      </c>
      <c r="B230" s="11"/>
      <c r="C230" s="11"/>
      <c r="D230" s="92" t="str">
        <f>IFERROR(
IF(AND(OR(Planilla!B230="C",Planilla!B230="c"), VLOOKUP(E230,EX:FJ,13,0)="C"), "OK",IF(AND(OR(Planilla!B230="C",Planilla!B230="c"), OR(VLOOKUP(E230,EX:FJ,13,0)="B", VLOOKUP(E230,EX:FJ,13,0)="A")), "DEFICIT",IF(
AND(OR(Planilla!B230="B", Planilla!B230="BPAL"), VLOOKUP(E230,EX:FJ,13,0)="B"), "OK",IF(AND(OR(Planilla!B230="B", Planilla!B230="BPAL"), VLOOKUP(E230,EX:FJ,13,0)="A"), "DEFICIT",IF(AND(OR(Planilla!B230="B", Planilla!B230="BPAL"), VLOOKUP(E230,EX:FJ,13,0)="C"), "SOBREOFERTA",IF(AND(Planilla!B230="A", VLOOKUP(E230,EX:FJ,13,0)="A"), "OK",IF(
AND(Planilla!B230="A", OR(VLOOKUP(E230,EX:FJ,13,0)="B", VLOOKUP(E230,EX:FJ,13,0)="C")), "SOBREOFERTA",""
))))))),"")</f>
        <v/>
      </c>
      <c r="E230" s="12"/>
      <c r="F230" s="13"/>
      <c r="G230" s="14"/>
      <c r="H230" s="81" t="str">
        <f t="shared" si="82"/>
        <v/>
      </c>
      <c r="I230" s="7"/>
      <c r="J230" s="6" t="e">
        <f t="shared" si="83"/>
        <v>#N/A</v>
      </c>
      <c r="K230" s="6" t="str">
        <f>IF(A231&lt;&gt;A230,AVERAGEIF(A$9:A230,A230,J$9:J230),"")</f>
        <v/>
      </c>
      <c r="L230" s="7" t="str">
        <f>IFERROR(IF(A231&lt;&gt;A230,AVERAGEIF(A$9:A230,A230,S$9:S230),""),"")</f>
        <v/>
      </c>
      <c r="M230" s="7" t="str">
        <f>IFERROR(IF(A231&lt;&gt;A230,AVERAGEIF(A$9:A230,A230,T$9:T230),""),"")</f>
        <v/>
      </c>
      <c r="N230" s="7" t="str" cm="1">
        <f t="array" ref="N230">IFERROR(IF(A231&lt;&gt;A230,_xlfn.STDEV.P(IF(A$9:A230=A230,T$9:T230)),""),"")</f>
        <v/>
      </c>
      <c r="O230" s="7" t="str" cm="1">
        <f t="array" ref="O230">IFERROR(IF(A231&lt;&gt;A230,_xlfn.STDEV.P(IF(A$9:A230=A230,S$9:S230)),""),"")</f>
        <v/>
      </c>
      <c r="P230" s="8" t="str">
        <f t="shared" si="84"/>
        <v/>
      </c>
      <c r="Q230" s="8" t="str">
        <f t="shared" si="85"/>
        <v/>
      </c>
      <c r="R230" s="8" t="str">
        <f t="shared" si="86"/>
        <v/>
      </c>
      <c r="S230" s="9" t="str">
        <f t="shared" si="87"/>
        <v/>
      </c>
      <c r="T230" s="9" t="str">
        <f t="shared" si="88"/>
        <v/>
      </c>
      <c r="U230" s="14"/>
      <c r="V230" s="15"/>
      <c r="W230" s="14" t="str">
        <f t="shared" si="89"/>
        <v/>
      </c>
      <c r="X230" s="15"/>
      <c r="Y230" s="2"/>
      <c r="AB230" s="22">
        <f t="shared" si="90"/>
        <v>1</v>
      </c>
      <c r="AC230" s="11"/>
      <c r="AD230" s="11"/>
      <c r="AE230" s="13"/>
      <c r="AF230" s="12"/>
      <c r="AG230" s="13"/>
      <c r="AH230" s="14"/>
      <c r="AI230" s="81" t="str">
        <f t="shared" si="91"/>
        <v/>
      </c>
      <c r="AJ230" s="15"/>
      <c r="AK230" s="6" t="e">
        <f t="shared" si="92"/>
        <v>#N/A</v>
      </c>
      <c r="AL230" s="6" t="str">
        <f>IF(AB231&lt;&gt;AB230,AVERAGEIF(AB$9:AB230,AB230,AK$9:AK230),"")</f>
        <v/>
      </c>
      <c r="AM230" s="7" t="str">
        <f>IFERROR(IF(AB231&lt;&gt;AB230,AVERAGEIF(AB$9:AB230,AB230,AT$9:AT230),""),"")</f>
        <v/>
      </c>
      <c r="AN230" s="7" t="str">
        <f>IFERROR(IF(AB231&lt;&gt;AB230,AVERAGEIF(AB$9:AB230,AB230,AU$9:AU230),""),"")</f>
        <v/>
      </c>
      <c r="AO230" s="7" t="str" cm="1">
        <f t="array" ref="AO230">IFERROR(IF(AB231&lt;&gt;AB230,_xlfn.STDEV.P(IF(AB$9:AB230=AB230,AU$9:AU230)),""),"")</f>
        <v/>
      </c>
      <c r="AP230" s="7" t="str" cm="1">
        <f t="array" ref="AP230">IFERROR(IF(AB231&lt;&gt;AB230,_xlfn.STDEV.P(IF(AB$9:AB230=AB230,AT$9:AT230)),""),"")</f>
        <v/>
      </c>
      <c r="AQ230" s="8" t="str">
        <f t="shared" si="93"/>
        <v/>
      </c>
      <c r="AR230" s="8" t="str">
        <f t="shared" si="94"/>
        <v/>
      </c>
      <c r="AS230" s="8" t="str">
        <f t="shared" si="95"/>
        <v/>
      </c>
      <c r="AT230" s="9" t="str">
        <f t="shared" si="96"/>
        <v/>
      </c>
      <c r="AU230" s="9" t="str">
        <f t="shared" si="97"/>
        <v/>
      </c>
      <c r="AV230" s="14"/>
      <c r="AW230" s="15"/>
      <c r="AX230" s="14" t="str">
        <f t="shared" si="98"/>
        <v/>
      </c>
      <c r="AY230" s="15"/>
      <c r="AZ230" s="23"/>
      <c r="EW230" t="s">
        <v>46</v>
      </c>
      <c r="EX230" s="33">
        <v>1207</v>
      </c>
      <c r="EY230" s="33" t="s">
        <v>603</v>
      </c>
      <c r="EZ230" s="33">
        <v>551716</v>
      </c>
      <c r="FA230" s="33" t="s">
        <v>51</v>
      </c>
      <c r="FB230" s="33" t="s">
        <v>473</v>
      </c>
      <c r="FC230" s="33" t="s">
        <v>53</v>
      </c>
      <c r="FD230" s="33" t="s">
        <v>476</v>
      </c>
      <c r="FE230" s="33">
        <v>2022</v>
      </c>
      <c r="FF230" s="33" t="s">
        <v>474</v>
      </c>
      <c r="FG230" s="33" t="s">
        <v>477</v>
      </c>
      <c r="FH230" s="33" t="s">
        <v>478</v>
      </c>
      <c r="FI230" s="33" t="s">
        <v>479</v>
      </c>
      <c r="FJ230" t="s">
        <v>474</v>
      </c>
      <c r="FM230" s="32" t="s">
        <v>604</v>
      </c>
      <c r="FN230" t="s">
        <v>605</v>
      </c>
      <c r="FO230" t="s">
        <v>606</v>
      </c>
      <c r="FP230" t="str">
        <f t="shared" si="80"/>
        <v>B</v>
      </c>
      <c r="FT230" s="68" t="s">
        <v>7379</v>
      </c>
      <c r="FU230" s="54" t="s">
        <v>7353</v>
      </c>
      <c r="FV230" s="54" t="s">
        <v>7354</v>
      </c>
      <c r="FW230" s="54" t="s">
        <v>7355</v>
      </c>
      <c r="FX230" s="54" t="s">
        <v>7356</v>
      </c>
      <c r="FY230" s="54" t="s">
        <v>7357</v>
      </c>
      <c r="FZ230" s="54" t="s">
        <v>7358</v>
      </c>
      <c r="GA230" s="54" t="s">
        <v>7359</v>
      </c>
      <c r="GB230" s="54" t="s">
        <v>7360</v>
      </c>
      <c r="GC230" s="54" t="s">
        <v>7361</v>
      </c>
      <c r="GD230" s="54" t="s">
        <v>7362</v>
      </c>
      <c r="GE230" s="54" t="s">
        <v>7363</v>
      </c>
      <c r="GF230" s="54" t="s">
        <v>7364</v>
      </c>
      <c r="GG230" s="54" t="s">
        <v>7365</v>
      </c>
      <c r="GH230" s="54" t="s">
        <v>7366</v>
      </c>
      <c r="GI230" s="54" t="s">
        <v>7367</v>
      </c>
      <c r="GJ230" s="54" t="s">
        <v>7368</v>
      </c>
      <c r="GK230" s="54" t="s">
        <v>7369</v>
      </c>
      <c r="GL230" s="54" t="s">
        <v>7370</v>
      </c>
      <c r="GM230" s="54" t="s">
        <v>7371</v>
      </c>
      <c r="GN230" s="54" t="s">
        <v>7372</v>
      </c>
      <c r="GO230" s="54" t="s">
        <v>7373</v>
      </c>
      <c r="GP230" s="54" t="s">
        <v>7374</v>
      </c>
      <c r="GQ230" s="54" t="s">
        <v>7375</v>
      </c>
      <c r="GR230" s="54" t="s">
        <v>7376</v>
      </c>
      <c r="GS230" s="55"/>
      <c r="GT230" s="54"/>
      <c r="GU230" s="56"/>
      <c r="GV230" s="53">
        <v>224</v>
      </c>
      <c r="GW230" s="55"/>
      <c r="GX230" s="55"/>
    </row>
    <row r="231" spans="1:206" ht="15.5" x14ac:dyDescent="0.35">
      <c r="A231" s="95">
        <f t="shared" si="81"/>
        <v>1</v>
      </c>
      <c r="B231" s="11"/>
      <c r="C231" s="11"/>
      <c r="D231" s="92" t="str">
        <f>IFERROR(
IF(AND(OR(Planilla!B231="C",Planilla!B231="c"), VLOOKUP(E231,EX:FJ,13,0)="C"), "OK",IF(AND(OR(Planilla!B231="C",Planilla!B231="c"), OR(VLOOKUP(E231,EX:FJ,13,0)="B", VLOOKUP(E231,EX:FJ,13,0)="A")), "DEFICIT",IF(
AND(OR(Planilla!B231="B", Planilla!B231="BPAL"), VLOOKUP(E231,EX:FJ,13,0)="B"), "OK",IF(AND(OR(Planilla!B231="B", Planilla!B231="BPAL"), VLOOKUP(E231,EX:FJ,13,0)="A"), "DEFICIT",IF(AND(OR(Planilla!B231="B", Planilla!B231="BPAL"), VLOOKUP(E231,EX:FJ,13,0)="C"), "SOBREOFERTA",IF(AND(Planilla!B231="A", VLOOKUP(E231,EX:FJ,13,0)="A"), "OK",IF(
AND(Planilla!B231="A", OR(VLOOKUP(E231,EX:FJ,13,0)="B", VLOOKUP(E231,EX:FJ,13,0)="C")), "SOBREOFERTA",""
))))))),"")</f>
        <v/>
      </c>
      <c r="E231" s="12"/>
      <c r="F231" s="13"/>
      <c r="G231" s="14"/>
      <c r="H231" s="81" t="str">
        <f t="shared" si="82"/>
        <v/>
      </c>
      <c r="I231" s="7"/>
      <c r="J231" s="6" t="e">
        <f t="shared" si="83"/>
        <v>#N/A</v>
      </c>
      <c r="K231" s="6" t="str">
        <f>IF(A232&lt;&gt;A231,AVERAGEIF(A$9:A231,A231,J$9:J231),"")</f>
        <v/>
      </c>
      <c r="L231" s="7" t="str">
        <f>IFERROR(IF(A232&lt;&gt;A231,AVERAGEIF(A$9:A231,A231,S$9:S231),""),"")</f>
        <v/>
      </c>
      <c r="M231" s="7" t="str">
        <f>IFERROR(IF(A232&lt;&gt;A231,AVERAGEIF(A$9:A231,A231,T$9:T231),""),"")</f>
        <v/>
      </c>
      <c r="N231" s="7" t="str" cm="1">
        <f t="array" ref="N231">IFERROR(IF(A232&lt;&gt;A231,_xlfn.STDEV.P(IF(A$9:A231=A231,T$9:T231)),""),"")</f>
        <v/>
      </c>
      <c r="O231" s="7" t="str" cm="1">
        <f t="array" ref="O231">IFERROR(IF(A232&lt;&gt;A231,_xlfn.STDEV.P(IF(A$9:A231=A231,S$9:S231)),""),"")</f>
        <v/>
      </c>
      <c r="P231" s="8" t="str">
        <f t="shared" si="84"/>
        <v/>
      </c>
      <c r="Q231" s="8" t="str">
        <f t="shared" si="85"/>
        <v/>
      </c>
      <c r="R231" s="8" t="str">
        <f t="shared" si="86"/>
        <v/>
      </c>
      <c r="S231" s="9" t="str">
        <f t="shared" si="87"/>
        <v/>
      </c>
      <c r="T231" s="9" t="str">
        <f t="shared" si="88"/>
        <v/>
      </c>
      <c r="U231" s="14"/>
      <c r="V231" s="15"/>
      <c r="W231" s="14" t="str">
        <f t="shared" si="89"/>
        <v/>
      </c>
      <c r="X231" s="15"/>
      <c r="Y231" s="2"/>
      <c r="AB231" s="22">
        <f t="shared" si="90"/>
        <v>1</v>
      </c>
      <c r="AC231" s="11"/>
      <c r="AD231" s="11"/>
      <c r="AE231" s="13"/>
      <c r="AF231" s="12"/>
      <c r="AG231" s="13"/>
      <c r="AH231" s="14"/>
      <c r="AI231" s="81" t="str">
        <f t="shared" si="91"/>
        <v/>
      </c>
      <c r="AJ231" s="15"/>
      <c r="AK231" s="6" t="e">
        <f t="shared" si="92"/>
        <v>#N/A</v>
      </c>
      <c r="AL231" s="6" t="str">
        <f>IF(AB232&lt;&gt;AB231,AVERAGEIF(AB$9:AB231,AB231,AK$9:AK231),"")</f>
        <v/>
      </c>
      <c r="AM231" s="7" t="str">
        <f>IFERROR(IF(AB232&lt;&gt;AB231,AVERAGEIF(AB$9:AB231,AB231,AT$9:AT231),""),"")</f>
        <v/>
      </c>
      <c r="AN231" s="7" t="str">
        <f>IFERROR(IF(AB232&lt;&gt;AB231,AVERAGEIF(AB$9:AB231,AB231,AU$9:AU231),""),"")</f>
        <v/>
      </c>
      <c r="AO231" s="7" t="str" cm="1">
        <f t="array" ref="AO231">IFERROR(IF(AB232&lt;&gt;AB231,_xlfn.STDEV.P(IF(AB$9:AB231=AB231,AU$9:AU231)),""),"")</f>
        <v/>
      </c>
      <c r="AP231" s="7" t="str" cm="1">
        <f t="array" ref="AP231">IFERROR(IF(AB232&lt;&gt;AB231,_xlfn.STDEV.P(IF(AB$9:AB231=AB231,AT$9:AT231)),""),"")</f>
        <v/>
      </c>
      <c r="AQ231" s="8" t="str">
        <f t="shared" si="93"/>
        <v/>
      </c>
      <c r="AR231" s="8" t="str">
        <f t="shared" si="94"/>
        <v/>
      </c>
      <c r="AS231" s="8" t="str">
        <f t="shared" si="95"/>
        <v/>
      </c>
      <c r="AT231" s="9" t="str">
        <f t="shared" si="96"/>
        <v/>
      </c>
      <c r="AU231" s="9" t="str">
        <f t="shared" si="97"/>
        <v/>
      </c>
      <c r="AV231" s="14"/>
      <c r="AW231" s="15"/>
      <c r="AX231" s="14" t="str">
        <f t="shared" si="98"/>
        <v/>
      </c>
      <c r="AY231" s="15"/>
      <c r="AZ231" s="23"/>
      <c r="EW231" t="s">
        <v>46</v>
      </c>
      <c r="EX231" s="33">
        <v>1208</v>
      </c>
      <c r="EY231" s="33" t="s">
        <v>607</v>
      </c>
      <c r="EZ231" s="33">
        <v>551695</v>
      </c>
      <c r="FA231" s="33" t="s">
        <v>51</v>
      </c>
      <c r="FB231" s="33" t="s">
        <v>473</v>
      </c>
      <c r="FC231" s="33" t="s">
        <v>53</v>
      </c>
      <c r="FD231" s="33" t="s">
        <v>476</v>
      </c>
      <c r="FE231" s="33">
        <v>2022</v>
      </c>
      <c r="FF231" s="33" t="s">
        <v>474</v>
      </c>
      <c r="FG231" s="33" t="s">
        <v>477</v>
      </c>
      <c r="FH231" s="33" t="s">
        <v>478</v>
      </c>
      <c r="FI231" s="33" t="s">
        <v>479</v>
      </c>
      <c r="FJ231" t="s">
        <v>474</v>
      </c>
      <c r="FM231" s="32" t="s">
        <v>604</v>
      </c>
      <c r="FN231" t="s">
        <v>605</v>
      </c>
      <c r="FO231" t="s">
        <v>606</v>
      </c>
      <c r="FP231" t="str">
        <f t="shared" si="80"/>
        <v>B</v>
      </c>
      <c r="FT231" s="68" t="s">
        <v>7377</v>
      </c>
      <c r="FU231" s="57">
        <v>0</v>
      </c>
      <c r="FV231" s="57">
        <v>4.1666666666666664E-2</v>
      </c>
      <c r="FW231" s="57">
        <v>8.3333333333333301E-2</v>
      </c>
      <c r="FX231" s="57">
        <v>0.125</v>
      </c>
      <c r="FY231" s="57">
        <v>0.16666666666666699</v>
      </c>
      <c r="FZ231" s="57">
        <v>0.20833333333333301</v>
      </c>
      <c r="GA231" s="57">
        <v>0.25</v>
      </c>
      <c r="GB231" s="57">
        <v>0.29166666666666702</v>
      </c>
      <c r="GC231" s="57">
        <v>0.33333333333333298</v>
      </c>
      <c r="GD231" s="57">
        <v>0.375</v>
      </c>
      <c r="GE231" s="57">
        <v>0.41666666666666702</v>
      </c>
      <c r="GF231" s="57">
        <v>0.45833333333333298</v>
      </c>
      <c r="GG231" s="57">
        <v>0.5</v>
      </c>
      <c r="GH231" s="57">
        <v>0.54166666666666696</v>
      </c>
      <c r="GI231" s="57">
        <v>0.58333333333333304</v>
      </c>
      <c r="GJ231" s="57">
        <v>0.625</v>
      </c>
      <c r="GK231" s="57">
        <v>0.66666666666666696</v>
      </c>
      <c r="GL231" s="57">
        <v>0.70833333333333304</v>
      </c>
      <c r="GM231" s="57">
        <v>0.75</v>
      </c>
      <c r="GN231" s="57">
        <v>0.79166666666666696</v>
      </c>
      <c r="GO231" s="57">
        <v>0.83333333333333304</v>
      </c>
      <c r="GP231" s="57">
        <v>0.875</v>
      </c>
      <c r="GQ231" s="57">
        <v>0.91666666666666696</v>
      </c>
      <c r="GR231" s="57">
        <v>0.95833333333333304</v>
      </c>
      <c r="GS231" s="58"/>
      <c r="GT231" s="54"/>
      <c r="GU231" s="53">
        <v>1</v>
      </c>
      <c r="GV231" s="53">
        <v>225</v>
      </c>
      <c r="GW231" s="55"/>
      <c r="GX231" s="55"/>
    </row>
    <row r="232" spans="1:206" ht="15.5" x14ac:dyDescent="0.35">
      <c r="A232" s="95">
        <f t="shared" si="81"/>
        <v>1</v>
      </c>
      <c r="B232" s="11"/>
      <c r="C232" s="11"/>
      <c r="D232" s="92" t="str">
        <f>IFERROR(
IF(AND(OR(Planilla!B232="C",Planilla!B232="c"), VLOOKUP(E232,EX:FJ,13,0)="C"), "OK",IF(AND(OR(Planilla!B232="C",Planilla!B232="c"), OR(VLOOKUP(E232,EX:FJ,13,0)="B", VLOOKUP(E232,EX:FJ,13,0)="A")), "DEFICIT",IF(
AND(OR(Planilla!B232="B", Planilla!B232="BPAL"), VLOOKUP(E232,EX:FJ,13,0)="B"), "OK",IF(AND(OR(Planilla!B232="B", Planilla!B232="BPAL"), VLOOKUP(E232,EX:FJ,13,0)="A"), "DEFICIT",IF(AND(OR(Planilla!B232="B", Planilla!B232="BPAL"), VLOOKUP(E232,EX:FJ,13,0)="C"), "SOBREOFERTA",IF(AND(Planilla!B232="A", VLOOKUP(E232,EX:FJ,13,0)="A"), "OK",IF(
AND(Planilla!B232="A", OR(VLOOKUP(E232,EX:FJ,13,0)="B", VLOOKUP(E232,EX:FJ,13,0)="C")), "SOBREOFERTA",""
))))))),"")</f>
        <v/>
      </c>
      <c r="E232" s="12"/>
      <c r="F232" s="13"/>
      <c r="G232" s="14"/>
      <c r="H232" s="81" t="str">
        <f t="shared" si="82"/>
        <v/>
      </c>
      <c r="I232" s="7"/>
      <c r="J232" s="6" t="e">
        <f t="shared" si="83"/>
        <v>#N/A</v>
      </c>
      <c r="K232" s="6" t="str">
        <f>IF(A233&lt;&gt;A232,AVERAGEIF(A$9:A232,A232,J$9:J232),"")</f>
        <v/>
      </c>
      <c r="L232" s="7" t="str">
        <f>IFERROR(IF(A233&lt;&gt;A232,AVERAGEIF(A$9:A232,A232,S$9:S232),""),"")</f>
        <v/>
      </c>
      <c r="M232" s="7" t="str">
        <f>IFERROR(IF(A233&lt;&gt;A232,AVERAGEIF(A$9:A232,A232,T$9:T232),""),"")</f>
        <v/>
      </c>
      <c r="N232" s="7" t="str" cm="1">
        <f t="array" ref="N232">IFERROR(IF(A233&lt;&gt;A232,_xlfn.STDEV.P(IF(A$9:A232=A232,T$9:T232)),""),"")</f>
        <v/>
      </c>
      <c r="O232" s="7" t="str" cm="1">
        <f t="array" ref="O232">IFERROR(IF(A233&lt;&gt;A232,_xlfn.STDEV.P(IF(A$9:A232=A232,S$9:S232)),""),"")</f>
        <v/>
      </c>
      <c r="P232" s="8" t="str">
        <f t="shared" si="84"/>
        <v/>
      </c>
      <c r="Q232" s="8" t="str">
        <f t="shared" si="85"/>
        <v/>
      </c>
      <c r="R232" s="8" t="str">
        <f t="shared" si="86"/>
        <v/>
      </c>
      <c r="S232" s="9" t="str">
        <f t="shared" si="87"/>
        <v/>
      </c>
      <c r="T232" s="9" t="str">
        <f t="shared" si="88"/>
        <v/>
      </c>
      <c r="U232" s="14"/>
      <c r="V232" s="15"/>
      <c r="W232" s="14" t="str">
        <f t="shared" si="89"/>
        <v/>
      </c>
      <c r="X232" s="15"/>
      <c r="Y232" s="2"/>
      <c r="AB232" s="22">
        <f t="shared" si="90"/>
        <v>1</v>
      </c>
      <c r="AC232" s="11"/>
      <c r="AD232" s="11"/>
      <c r="AE232" s="13"/>
      <c r="AF232" s="12"/>
      <c r="AG232" s="13"/>
      <c r="AH232" s="14"/>
      <c r="AI232" s="81" t="str">
        <f t="shared" si="91"/>
        <v/>
      </c>
      <c r="AJ232" s="15"/>
      <c r="AK232" s="6" t="e">
        <f t="shared" si="92"/>
        <v>#N/A</v>
      </c>
      <c r="AL232" s="6" t="str">
        <f>IF(AB233&lt;&gt;AB232,AVERAGEIF(AB$9:AB232,AB232,AK$9:AK232),"")</f>
        <v/>
      </c>
      <c r="AM232" s="7" t="str">
        <f>IFERROR(IF(AB233&lt;&gt;AB232,AVERAGEIF(AB$9:AB232,AB232,AT$9:AT232),""),"")</f>
        <v/>
      </c>
      <c r="AN232" s="7" t="str">
        <f>IFERROR(IF(AB233&lt;&gt;AB232,AVERAGEIF(AB$9:AB232,AB232,AU$9:AU232),""),"")</f>
        <v/>
      </c>
      <c r="AO232" s="7" t="str" cm="1">
        <f t="array" ref="AO232">IFERROR(IF(AB233&lt;&gt;AB232,_xlfn.STDEV.P(IF(AB$9:AB232=AB232,AU$9:AU232)),""),"")</f>
        <v/>
      </c>
      <c r="AP232" s="7" t="str" cm="1">
        <f t="array" ref="AP232">IFERROR(IF(AB233&lt;&gt;AB232,_xlfn.STDEV.P(IF(AB$9:AB232=AB232,AT$9:AT232)),""),"")</f>
        <v/>
      </c>
      <c r="AQ232" s="8" t="str">
        <f t="shared" si="93"/>
        <v/>
      </c>
      <c r="AR232" s="8" t="str">
        <f t="shared" si="94"/>
        <v/>
      </c>
      <c r="AS232" s="8" t="str">
        <f t="shared" si="95"/>
        <v/>
      </c>
      <c r="AT232" s="9" t="str">
        <f t="shared" si="96"/>
        <v/>
      </c>
      <c r="AU232" s="9" t="str">
        <f t="shared" si="97"/>
        <v/>
      </c>
      <c r="AV232" s="14"/>
      <c r="AW232" s="15"/>
      <c r="AX232" s="14" t="str">
        <f t="shared" si="98"/>
        <v/>
      </c>
      <c r="AY232" s="15"/>
      <c r="AZ232" s="23"/>
      <c r="EW232" t="s">
        <v>46</v>
      </c>
      <c r="EX232" s="33">
        <v>1209</v>
      </c>
      <c r="EY232" s="33" t="s">
        <v>608</v>
      </c>
      <c r="EZ232" s="33">
        <v>551682</v>
      </c>
      <c r="FA232" s="33" t="s">
        <v>51</v>
      </c>
      <c r="FB232" s="33" t="s">
        <v>473</v>
      </c>
      <c r="FC232" s="33" t="s">
        <v>53</v>
      </c>
      <c r="FD232" s="33" t="s">
        <v>476</v>
      </c>
      <c r="FE232" s="33">
        <v>2022</v>
      </c>
      <c r="FF232" s="33" t="s">
        <v>474</v>
      </c>
      <c r="FG232" s="33" t="s">
        <v>477</v>
      </c>
      <c r="FH232" s="33" t="s">
        <v>478</v>
      </c>
      <c r="FI232" s="33" t="s">
        <v>479</v>
      </c>
      <c r="FJ232" t="s">
        <v>474</v>
      </c>
      <c r="FM232" s="32" t="s">
        <v>604</v>
      </c>
      <c r="FN232" t="s">
        <v>605</v>
      </c>
      <c r="FO232" t="s">
        <v>606</v>
      </c>
      <c r="FP232" t="str">
        <f t="shared" si="80"/>
        <v>B</v>
      </c>
      <c r="FT232" s="68" t="s">
        <v>7378</v>
      </c>
      <c r="FU232" s="59">
        <v>1</v>
      </c>
      <c r="FV232" s="59">
        <v>1</v>
      </c>
      <c r="FW232" s="59">
        <v>1</v>
      </c>
      <c r="FX232" s="59">
        <v>1</v>
      </c>
      <c r="FY232" s="59">
        <v>1</v>
      </c>
      <c r="FZ232" s="59">
        <v>1</v>
      </c>
      <c r="GA232" s="59">
        <v>1</v>
      </c>
      <c r="GB232" s="59">
        <v>1</v>
      </c>
      <c r="GC232" s="59">
        <v>1</v>
      </c>
      <c r="GD232" s="59">
        <v>1</v>
      </c>
      <c r="GE232" s="59">
        <v>1</v>
      </c>
      <c r="GF232" s="59">
        <v>1</v>
      </c>
      <c r="GG232" s="59">
        <v>1</v>
      </c>
      <c r="GH232" s="59">
        <v>1</v>
      </c>
      <c r="GI232" s="59">
        <v>1</v>
      </c>
      <c r="GJ232" s="59">
        <v>1</v>
      </c>
      <c r="GK232" s="59">
        <v>1</v>
      </c>
      <c r="GL232" s="59">
        <v>1</v>
      </c>
      <c r="GM232" s="59">
        <v>1</v>
      </c>
      <c r="GN232" s="59">
        <v>1</v>
      </c>
      <c r="GO232" s="59">
        <v>1</v>
      </c>
      <c r="GP232" s="59">
        <v>1</v>
      </c>
      <c r="GQ232" s="59">
        <v>1</v>
      </c>
      <c r="GR232" s="59">
        <v>1</v>
      </c>
      <c r="GS232" s="55"/>
      <c r="GT232" s="59"/>
      <c r="GU232" s="53">
        <v>2</v>
      </c>
      <c r="GV232" s="53">
        <v>226</v>
      </c>
      <c r="GW232" s="55"/>
      <c r="GX232" s="55"/>
    </row>
    <row r="233" spans="1:206" ht="15.5" x14ac:dyDescent="0.35">
      <c r="A233" s="95">
        <f t="shared" si="81"/>
        <v>1</v>
      </c>
      <c r="B233" s="11"/>
      <c r="C233" s="11"/>
      <c r="D233" s="92" t="str">
        <f>IFERROR(
IF(AND(OR(Planilla!B233="C",Planilla!B233="c"), VLOOKUP(E233,EX:FJ,13,0)="C"), "OK",IF(AND(OR(Planilla!B233="C",Planilla!B233="c"), OR(VLOOKUP(E233,EX:FJ,13,0)="B", VLOOKUP(E233,EX:FJ,13,0)="A")), "DEFICIT",IF(
AND(OR(Planilla!B233="B", Planilla!B233="BPAL"), VLOOKUP(E233,EX:FJ,13,0)="B"), "OK",IF(AND(OR(Planilla!B233="B", Planilla!B233="BPAL"), VLOOKUP(E233,EX:FJ,13,0)="A"), "DEFICIT",IF(AND(OR(Planilla!B233="B", Planilla!B233="BPAL"), VLOOKUP(E233,EX:FJ,13,0)="C"), "SOBREOFERTA",IF(AND(Planilla!B233="A", VLOOKUP(E233,EX:FJ,13,0)="A"), "OK",IF(
AND(Planilla!B233="A", OR(VLOOKUP(E233,EX:FJ,13,0)="B", VLOOKUP(E233,EX:FJ,13,0)="C")), "SOBREOFERTA",""
))))))),"")</f>
        <v/>
      </c>
      <c r="E233" s="12"/>
      <c r="F233" s="13"/>
      <c r="G233" s="14"/>
      <c r="H233" s="81" t="str">
        <f t="shared" si="82"/>
        <v/>
      </c>
      <c r="I233" s="7"/>
      <c r="J233" s="6" t="e">
        <f t="shared" si="83"/>
        <v>#N/A</v>
      </c>
      <c r="K233" s="6" t="str">
        <f>IF(A234&lt;&gt;A233,AVERAGEIF(A$9:A233,A233,J$9:J233),"")</f>
        <v/>
      </c>
      <c r="L233" s="7" t="str">
        <f>IFERROR(IF(A234&lt;&gt;A233,AVERAGEIF(A$9:A233,A233,S$9:S233),""),"")</f>
        <v/>
      </c>
      <c r="M233" s="7" t="str">
        <f>IFERROR(IF(A234&lt;&gt;A233,AVERAGEIF(A$9:A233,A233,T$9:T233),""),"")</f>
        <v/>
      </c>
      <c r="N233" s="7" t="str" cm="1">
        <f t="array" ref="N233">IFERROR(IF(A234&lt;&gt;A233,_xlfn.STDEV.P(IF(A$9:A233=A233,T$9:T233)),""),"")</f>
        <v/>
      </c>
      <c r="O233" s="7" t="str" cm="1">
        <f t="array" ref="O233">IFERROR(IF(A234&lt;&gt;A233,_xlfn.STDEV.P(IF(A$9:A233=A233,S$9:S233)),""),"")</f>
        <v/>
      </c>
      <c r="P233" s="8" t="str">
        <f t="shared" si="84"/>
        <v/>
      </c>
      <c r="Q233" s="8" t="str">
        <f t="shared" si="85"/>
        <v/>
      </c>
      <c r="R233" s="8" t="str">
        <f t="shared" si="86"/>
        <v/>
      </c>
      <c r="S233" s="9" t="str">
        <f t="shared" si="87"/>
        <v/>
      </c>
      <c r="T233" s="9" t="str">
        <f t="shared" si="88"/>
        <v/>
      </c>
      <c r="U233" s="14"/>
      <c r="V233" s="15"/>
      <c r="W233" s="14" t="str">
        <f t="shared" si="89"/>
        <v/>
      </c>
      <c r="X233" s="15"/>
      <c r="Y233" s="2"/>
      <c r="AB233" s="22">
        <f t="shared" si="90"/>
        <v>1</v>
      </c>
      <c r="AC233" s="11"/>
      <c r="AD233" s="11"/>
      <c r="AE233" s="13"/>
      <c r="AF233" s="12"/>
      <c r="AG233" s="13"/>
      <c r="AH233" s="14"/>
      <c r="AI233" s="81" t="str">
        <f t="shared" si="91"/>
        <v/>
      </c>
      <c r="AJ233" s="15"/>
      <c r="AK233" s="6" t="e">
        <f t="shared" si="92"/>
        <v>#N/A</v>
      </c>
      <c r="AL233" s="6" t="str">
        <f>IF(AB234&lt;&gt;AB233,AVERAGEIF(AB$9:AB233,AB233,AK$9:AK233),"")</f>
        <v/>
      </c>
      <c r="AM233" s="7" t="str">
        <f>IFERROR(IF(AB234&lt;&gt;AB233,AVERAGEIF(AB$9:AB233,AB233,AT$9:AT233),""),"")</f>
        <v/>
      </c>
      <c r="AN233" s="7" t="str">
        <f>IFERROR(IF(AB234&lt;&gt;AB233,AVERAGEIF(AB$9:AB233,AB233,AU$9:AU233),""),"")</f>
        <v/>
      </c>
      <c r="AO233" s="7" t="str" cm="1">
        <f t="array" ref="AO233">IFERROR(IF(AB234&lt;&gt;AB233,_xlfn.STDEV.P(IF(AB$9:AB233=AB233,AU$9:AU233)),""),"")</f>
        <v/>
      </c>
      <c r="AP233" s="7" t="str" cm="1">
        <f t="array" ref="AP233">IFERROR(IF(AB234&lt;&gt;AB233,_xlfn.STDEV.P(IF(AB$9:AB233=AB233,AT$9:AT233)),""),"")</f>
        <v/>
      </c>
      <c r="AQ233" s="8" t="str">
        <f t="shared" si="93"/>
        <v/>
      </c>
      <c r="AR233" s="8" t="str">
        <f t="shared" si="94"/>
        <v/>
      </c>
      <c r="AS233" s="8" t="str">
        <f t="shared" si="95"/>
        <v/>
      </c>
      <c r="AT233" s="9" t="str">
        <f t="shared" si="96"/>
        <v/>
      </c>
      <c r="AU233" s="9" t="str">
        <f t="shared" si="97"/>
        <v/>
      </c>
      <c r="AV233" s="14"/>
      <c r="AW233" s="15"/>
      <c r="AX233" s="14" t="str">
        <f t="shared" si="98"/>
        <v/>
      </c>
      <c r="AY233" s="15"/>
      <c r="AZ233" s="23"/>
      <c r="EW233" t="s">
        <v>46</v>
      </c>
      <c r="EX233" s="33">
        <v>1210</v>
      </c>
      <c r="EY233" s="33" t="s">
        <v>609</v>
      </c>
      <c r="EZ233" s="33">
        <v>551698</v>
      </c>
      <c r="FA233" s="33" t="s">
        <v>51</v>
      </c>
      <c r="FB233" s="33" t="s">
        <v>473</v>
      </c>
      <c r="FC233" s="33" t="s">
        <v>53</v>
      </c>
      <c r="FD233" s="33" t="s">
        <v>476</v>
      </c>
      <c r="FE233" s="33">
        <v>2022</v>
      </c>
      <c r="FF233" s="33" t="s">
        <v>474</v>
      </c>
      <c r="FG233" s="33" t="s">
        <v>477</v>
      </c>
      <c r="FH233" s="33" t="s">
        <v>478</v>
      </c>
      <c r="FI233" s="33" t="s">
        <v>479</v>
      </c>
      <c r="FJ233" t="s">
        <v>474</v>
      </c>
      <c r="FM233" s="32" t="s">
        <v>610</v>
      </c>
      <c r="FN233" t="s">
        <v>611</v>
      </c>
      <c r="FO233" t="s">
        <v>612</v>
      </c>
      <c r="FP233" t="str">
        <f t="shared" si="80"/>
        <v>B</v>
      </c>
      <c r="FT233" s="69" t="s">
        <v>7388</v>
      </c>
      <c r="FU233" s="60">
        <v>27.905000000000001</v>
      </c>
      <c r="FV233" s="60">
        <v>0</v>
      </c>
      <c r="FW233" s="60">
        <v>0</v>
      </c>
      <c r="FX233" s="60">
        <v>0</v>
      </c>
      <c r="FY233" s="60">
        <v>0</v>
      </c>
      <c r="FZ233" s="60">
        <v>10.39</v>
      </c>
      <c r="GA233" s="60">
        <v>20.38</v>
      </c>
      <c r="GB233" s="60">
        <v>19.195</v>
      </c>
      <c r="GC233" s="60">
        <v>18.46</v>
      </c>
      <c r="GD233" s="60">
        <v>17.695</v>
      </c>
      <c r="GE233" s="60">
        <v>17.005000000000003</v>
      </c>
      <c r="GF233" s="60">
        <v>16.515000000000001</v>
      </c>
      <c r="GG233" s="60">
        <v>15.719999999999999</v>
      </c>
      <c r="GH233" s="60">
        <v>15.7</v>
      </c>
      <c r="GI233" s="60">
        <v>16.16</v>
      </c>
      <c r="GJ233" s="60">
        <v>16.310000000000002</v>
      </c>
      <c r="GK233" s="60">
        <v>15.59</v>
      </c>
      <c r="GL233" s="60">
        <v>15.01</v>
      </c>
      <c r="GM233" s="60">
        <v>15.045</v>
      </c>
      <c r="GN233" s="60">
        <v>16.059999999999999</v>
      </c>
      <c r="GO233" s="60">
        <v>16.924999999999997</v>
      </c>
      <c r="GP233" s="60">
        <v>18.365000000000002</v>
      </c>
      <c r="GQ233" s="60">
        <v>19.814999999999998</v>
      </c>
      <c r="GR233" s="60">
        <v>22.984999999999999</v>
      </c>
      <c r="GU233" s="53">
        <v>3</v>
      </c>
      <c r="GV233" s="53">
        <v>227</v>
      </c>
    </row>
    <row r="234" spans="1:206" ht="15.5" x14ac:dyDescent="0.35">
      <c r="A234" s="95">
        <f t="shared" si="81"/>
        <v>1</v>
      </c>
      <c r="B234" s="11"/>
      <c r="C234" s="11"/>
      <c r="D234" s="92" t="str">
        <f>IFERROR(
IF(AND(OR(Planilla!B234="C",Planilla!B234="c"), VLOOKUP(E234,EX:FJ,13,0)="C"), "OK",IF(AND(OR(Planilla!B234="C",Planilla!B234="c"), OR(VLOOKUP(E234,EX:FJ,13,0)="B", VLOOKUP(E234,EX:FJ,13,0)="A")), "DEFICIT",IF(
AND(OR(Planilla!B234="B", Planilla!B234="BPAL"), VLOOKUP(E234,EX:FJ,13,0)="B"), "OK",IF(AND(OR(Planilla!B234="B", Planilla!B234="BPAL"), VLOOKUP(E234,EX:FJ,13,0)="A"), "DEFICIT",IF(AND(OR(Planilla!B234="B", Planilla!B234="BPAL"), VLOOKUP(E234,EX:FJ,13,0)="C"), "SOBREOFERTA",IF(AND(Planilla!B234="A", VLOOKUP(E234,EX:FJ,13,0)="A"), "OK",IF(
AND(Planilla!B234="A", OR(VLOOKUP(E234,EX:FJ,13,0)="B", VLOOKUP(E234,EX:FJ,13,0)="C")), "SOBREOFERTA",""
))))))),"")</f>
        <v/>
      </c>
      <c r="E234" s="12"/>
      <c r="F234" s="13"/>
      <c r="G234" s="14"/>
      <c r="H234" s="81" t="str">
        <f t="shared" si="82"/>
        <v/>
      </c>
      <c r="I234" s="7"/>
      <c r="J234" s="6" t="e">
        <f t="shared" si="83"/>
        <v>#N/A</v>
      </c>
      <c r="K234" s="6" t="str">
        <f>IF(A235&lt;&gt;A234,AVERAGEIF(A$9:A234,A234,J$9:J234),"")</f>
        <v/>
      </c>
      <c r="L234" s="7" t="str">
        <f>IFERROR(IF(A235&lt;&gt;A234,AVERAGEIF(A$9:A234,A234,S$9:S234),""),"")</f>
        <v/>
      </c>
      <c r="M234" s="7" t="str">
        <f>IFERROR(IF(A235&lt;&gt;A234,AVERAGEIF(A$9:A234,A234,T$9:T234),""),"")</f>
        <v/>
      </c>
      <c r="N234" s="7" t="str" cm="1">
        <f t="array" ref="N234">IFERROR(IF(A235&lt;&gt;A234,_xlfn.STDEV.P(IF(A$9:A234=A234,T$9:T234)),""),"")</f>
        <v/>
      </c>
      <c r="O234" s="7" t="str" cm="1">
        <f t="array" ref="O234">IFERROR(IF(A235&lt;&gt;A234,_xlfn.STDEV.P(IF(A$9:A234=A234,S$9:S234)),""),"")</f>
        <v/>
      </c>
      <c r="P234" s="8" t="str">
        <f t="shared" si="84"/>
        <v/>
      </c>
      <c r="Q234" s="8" t="str">
        <f t="shared" si="85"/>
        <v/>
      </c>
      <c r="R234" s="8" t="str">
        <f t="shared" si="86"/>
        <v/>
      </c>
      <c r="S234" s="9" t="str">
        <f t="shared" si="87"/>
        <v/>
      </c>
      <c r="T234" s="9" t="str">
        <f t="shared" si="88"/>
        <v/>
      </c>
      <c r="U234" s="14"/>
      <c r="V234" s="15"/>
      <c r="W234" s="14" t="str">
        <f t="shared" si="89"/>
        <v/>
      </c>
      <c r="X234" s="15"/>
      <c r="Y234" s="2"/>
      <c r="AB234" s="22">
        <f t="shared" si="90"/>
        <v>1</v>
      </c>
      <c r="AC234" s="11"/>
      <c r="AD234" s="11"/>
      <c r="AE234" s="13"/>
      <c r="AF234" s="12"/>
      <c r="AG234" s="13"/>
      <c r="AH234" s="14"/>
      <c r="AI234" s="81" t="str">
        <f t="shared" si="91"/>
        <v/>
      </c>
      <c r="AJ234" s="15"/>
      <c r="AK234" s="6" t="e">
        <f t="shared" si="92"/>
        <v>#N/A</v>
      </c>
      <c r="AL234" s="6" t="str">
        <f>IF(AB235&lt;&gt;AB234,AVERAGEIF(AB$9:AB234,AB234,AK$9:AK234),"")</f>
        <v/>
      </c>
      <c r="AM234" s="7" t="str">
        <f>IFERROR(IF(AB235&lt;&gt;AB234,AVERAGEIF(AB$9:AB234,AB234,AT$9:AT234),""),"")</f>
        <v/>
      </c>
      <c r="AN234" s="7" t="str">
        <f>IFERROR(IF(AB235&lt;&gt;AB234,AVERAGEIF(AB$9:AB234,AB234,AU$9:AU234),""),"")</f>
        <v/>
      </c>
      <c r="AO234" s="7" t="str" cm="1">
        <f t="array" ref="AO234">IFERROR(IF(AB235&lt;&gt;AB234,_xlfn.STDEV.P(IF(AB$9:AB234=AB234,AU$9:AU234)),""),"")</f>
        <v/>
      </c>
      <c r="AP234" s="7" t="str" cm="1">
        <f t="array" ref="AP234">IFERROR(IF(AB235&lt;&gt;AB234,_xlfn.STDEV.P(IF(AB$9:AB234=AB234,AT$9:AT234)),""),"")</f>
        <v/>
      </c>
      <c r="AQ234" s="8" t="str">
        <f t="shared" si="93"/>
        <v/>
      </c>
      <c r="AR234" s="8" t="str">
        <f t="shared" si="94"/>
        <v/>
      </c>
      <c r="AS234" s="8" t="str">
        <f t="shared" si="95"/>
        <v/>
      </c>
      <c r="AT234" s="9" t="str">
        <f t="shared" si="96"/>
        <v/>
      </c>
      <c r="AU234" s="9" t="str">
        <f t="shared" si="97"/>
        <v/>
      </c>
      <c r="AV234" s="14"/>
      <c r="AW234" s="15"/>
      <c r="AX234" s="14" t="str">
        <f t="shared" si="98"/>
        <v/>
      </c>
      <c r="AY234" s="15"/>
      <c r="AZ234" s="23"/>
      <c r="EW234" t="s">
        <v>46</v>
      </c>
      <c r="EX234" s="33">
        <v>1245</v>
      </c>
      <c r="EY234" s="33" t="s">
        <v>613</v>
      </c>
      <c r="EZ234" s="33">
        <v>551645</v>
      </c>
      <c r="FA234" s="33" t="s">
        <v>51</v>
      </c>
      <c r="FB234" s="33" t="s">
        <v>473</v>
      </c>
      <c r="FC234" s="33" t="s">
        <v>53</v>
      </c>
      <c r="FD234" s="33" t="s">
        <v>476</v>
      </c>
      <c r="FE234" s="33">
        <v>2022</v>
      </c>
      <c r="FF234" s="33" t="s">
        <v>474</v>
      </c>
      <c r="FG234" s="33" t="s">
        <v>470</v>
      </c>
      <c r="FH234" s="33" t="s">
        <v>471</v>
      </c>
      <c r="FI234" s="33" t="s">
        <v>467</v>
      </c>
      <c r="FJ234" t="s">
        <v>474</v>
      </c>
      <c r="FM234" s="32" t="s">
        <v>610</v>
      </c>
      <c r="FN234" t="s">
        <v>611</v>
      </c>
      <c r="FO234" t="s">
        <v>612</v>
      </c>
      <c r="FP234" t="str">
        <f t="shared" si="80"/>
        <v>B</v>
      </c>
      <c r="FT234" s="69" t="s">
        <v>7396</v>
      </c>
      <c r="FU234" s="60">
        <v>0</v>
      </c>
      <c r="FV234" s="60">
        <v>0</v>
      </c>
      <c r="FW234" s="60">
        <v>0</v>
      </c>
      <c r="FX234" s="60">
        <v>0</v>
      </c>
      <c r="FY234" s="60">
        <v>0</v>
      </c>
      <c r="FZ234" s="60">
        <v>20.61</v>
      </c>
      <c r="GA234" s="60">
        <v>19.79</v>
      </c>
      <c r="GB234" s="60">
        <v>18.61</v>
      </c>
      <c r="GC234" s="60">
        <v>17.96</v>
      </c>
      <c r="GD234" s="60">
        <v>17.100000000000001</v>
      </c>
      <c r="GE234" s="60">
        <v>15.75</v>
      </c>
      <c r="GF234" s="60">
        <v>15.135</v>
      </c>
      <c r="GG234" s="60">
        <v>14.91</v>
      </c>
      <c r="GH234" s="60">
        <v>15.154999999999999</v>
      </c>
      <c r="GI234" s="60">
        <v>15.605</v>
      </c>
      <c r="GJ234" s="60">
        <v>15.684999999999999</v>
      </c>
      <c r="GK234" s="60">
        <v>15.73</v>
      </c>
      <c r="GL234" s="60">
        <v>16.045000000000002</v>
      </c>
      <c r="GM234" s="60">
        <v>16.579999999999998</v>
      </c>
      <c r="GN234" s="60">
        <v>17.75</v>
      </c>
      <c r="GO234" s="60">
        <v>18.434999999999999</v>
      </c>
      <c r="GP234" s="60">
        <v>19.84</v>
      </c>
      <c r="GQ234" s="60">
        <v>21.484999999999999</v>
      </c>
      <c r="GR234" s="60">
        <v>0</v>
      </c>
      <c r="GU234" s="53">
        <v>4</v>
      </c>
      <c r="GV234" s="53">
        <v>228</v>
      </c>
    </row>
    <row r="235" spans="1:206" ht="15.5" x14ac:dyDescent="0.35">
      <c r="A235" s="95">
        <f t="shared" si="81"/>
        <v>1</v>
      </c>
      <c r="B235" s="11"/>
      <c r="C235" s="11"/>
      <c r="D235" s="92" t="str">
        <f>IFERROR(
IF(AND(OR(Planilla!B235="C",Planilla!B235="c"), VLOOKUP(E235,EX:FJ,13,0)="C"), "OK",IF(AND(OR(Planilla!B235="C",Planilla!B235="c"), OR(VLOOKUP(E235,EX:FJ,13,0)="B", VLOOKUP(E235,EX:FJ,13,0)="A")), "DEFICIT",IF(
AND(OR(Planilla!B235="B", Planilla!B235="BPAL"), VLOOKUP(E235,EX:FJ,13,0)="B"), "OK",IF(AND(OR(Planilla!B235="B", Planilla!B235="BPAL"), VLOOKUP(E235,EX:FJ,13,0)="A"), "DEFICIT",IF(AND(OR(Planilla!B235="B", Planilla!B235="BPAL"), VLOOKUP(E235,EX:FJ,13,0)="C"), "SOBREOFERTA",IF(AND(Planilla!B235="A", VLOOKUP(E235,EX:FJ,13,0)="A"), "OK",IF(
AND(Planilla!B235="A", OR(VLOOKUP(E235,EX:FJ,13,0)="B", VLOOKUP(E235,EX:FJ,13,0)="C")), "SOBREOFERTA",""
))))))),"")</f>
        <v/>
      </c>
      <c r="E235" s="12"/>
      <c r="F235" s="13"/>
      <c r="G235" s="14"/>
      <c r="H235" s="81" t="str">
        <f t="shared" si="82"/>
        <v/>
      </c>
      <c r="I235" s="7"/>
      <c r="J235" s="6" t="e">
        <f t="shared" si="83"/>
        <v>#N/A</v>
      </c>
      <c r="K235" s="6" t="str">
        <f>IF(A236&lt;&gt;A235,AVERAGEIF(A$9:A235,A235,J$9:J235),"")</f>
        <v/>
      </c>
      <c r="L235" s="7" t="str">
        <f>IFERROR(IF(A236&lt;&gt;A235,AVERAGEIF(A$9:A235,A235,S$9:S235),""),"")</f>
        <v/>
      </c>
      <c r="M235" s="7" t="str">
        <f>IFERROR(IF(A236&lt;&gt;A235,AVERAGEIF(A$9:A235,A235,T$9:T235),""),"")</f>
        <v/>
      </c>
      <c r="N235" s="7" t="str" cm="1">
        <f t="array" ref="N235">IFERROR(IF(A236&lt;&gt;A235,_xlfn.STDEV.P(IF(A$9:A235=A235,T$9:T235)),""),"")</f>
        <v/>
      </c>
      <c r="O235" s="7" t="str" cm="1">
        <f t="array" ref="O235">IFERROR(IF(A236&lt;&gt;A235,_xlfn.STDEV.P(IF(A$9:A235=A235,S$9:S235)),""),"")</f>
        <v/>
      </c>
      <c r="P235" s="8" t="str">
        <f t="shared" si="84"/>
        <v/>
      </c>
      <c r="Q235" s="8" t="str">
        <f t="shared" si="85"/>
        <v/>
      </c>
      <c r="R235" s="8" t="str">
        <f t="shared" si="86"/>
        <v/>
      </c>
      <c r="S235" s="9" t="str">
        <f t="shared" si="87"/>
        <v/>
      </c>
      <c r="T235" s="9" t="str">
        <f t="shared" si="88"/>
        <v/>
      </c>
      <c r="U235" s="14"/>
      <c r="V235" s="15"/>
      <c r="W235" s="14" t="str">
        <f t="shared" si="89"/>
        <v/>
      </c>
      <c r="X235" s="15"/>
      <c r="Y235" s="2"/>
      <c r="AB235" s="22">
        <f t="shared" si="90"/>
        <v>1</v>
      </c>
      <c r="AC235" s="11"/>
      <c r="AD235" s="11"/>
      <c r="AE235" s="13"/>
      <c r="AF235" s="12"/>
      <c r="AG235" s="13"/>
      <c r="AH235" s="14"/>
      <c r="AI235" s="81" t="str">
        <f t="shared" si="91"/>
        <v/>
      </c>
      <c r="AJ235" s="15"/>
      <c r="AK235" s="6" t="e">
        <f t="shared" si="92"/>
        <v>#N/A</v>
      </c>
      <c r="AL235" s="6" t="str">
        <f>IF(AB236&lt;&gt;AB235,AVERAGEIF(AB$9:AB235,AB235,AK$9:AK235),"")</f>
        <v/>
      </c>
      <c r="AM235" s="7" t="str">
        <f>IFERROR(IF(AB236&lt;&gt;AB235,AVERAGEIF(AB$9:AB235,AB235,AT$9:AT235),""),"")</f>
        <v/>
      </c>
      <c r="AN235" s="7" t="str">
        <f>IFERROR(IF(AB236&lt;&gt;AB235,AVERAGEIF(AB$9:AB235,AB235,AU$9:AU235),""),"")</f>
        <v/>
      </c>
      <c r="AO235" s="7" t="str" cm="1">
        <f t="array" ref="AO235">IFERROR(IF(AB236&lt;&gt;AB235,_xlfn.STDEV.P(IF(AB$9:AB235=AB235,AU$9:AU235)),""),"")</f>
        <v/>
      </c>
      <c r="AP235" s="7" t="str" cm="1">
        <f t="array" ref="AP235">IFERROR(IF(AB236&lt;&gt;AB235,_xlfn.STDEV.P(IF(AB$9:AB235=AB235,AT$9:AT235)),""),"")</f>
        <v/>
      </c>
      <c r="AQ235" s="8" t="str">
        <f t="shared" si="93"/>
        <v/>
      </c>
      <c r="AR235" s="8" t="str">
        <f t="shared" si="94"/>
        <v/>
      </c>
      <c r="AS235" s="8" t="str">
        <f t="shared" si="95"/>
        <v/>
      </c>
      <c r="AT235" s="9" t="str">
        <f t="shared" si="96"/>
        <v/>
      </c>
      <c r="AU235" s="9" t="str">
        <f t="shared" si="97"/>
        <v/>
      </c>
      <c r="AV235" s="14"/>
      <c r="AW235" s="15"/>
      <c r="AX235" s="14" t="str">
        <f t="shared" si="98"/>
        <v/>
      </c>
      <c r="AY235" s="15"/>
      <c r="AZ235" s="23"/>
      <c r="EW235" t="s">
        <v>46</v>
      </c>
      <c r="EX235" s="33">
        <v>1246</v>
      </c>
      <c r="EY235" s="33" t="s">
        <v>614</v>
      </c>
      <c r="EZ235" s="33">
        <v>551661</v>
      </c>
      <c r="FA235" s="33" t="s">
        <v>51</v>
      </c>
      <c r="FB235" s="33" t="s">
        <v>473</v>
      </c>
      <c r="FC235" s="33" t="s">
        <v>53</v>
      </c>
      <c r="FD235" s="33" t="s">
        <v>476</v>
      </c>
      <c r="FE235" s="33">
        <v>2022</v>
      </c>
      <c r="FF235" s="33" t="s">
        <v>474</v>
      </c>
      <c r="FG235" s="33" t="s">
        <v>470</v>
      </c>
      <c r="FH235" s="33" t="s">
        <v>471</v>
      </c>
      <c r="FI235" s="33" t="s">
        <v>467</v>
      </c>
      <c r="FJ235" t="s">
        <v>474</v>
      </c>
      <c r="FM235" s="32" t="s">
        <v>615</v>
      </c>
      <c r="FN235" t="s">
        <v>616</v>
      </c>
      <c r="FO235" t="s">
        <v>617</v>
      </c>
      <c r="FP235" t="str">
        <f t="shared" si="80"/>
        <v>B</v>
      </c>
      <c r="FT235" s="69">
        <v>105</v>
      </c>
      <c r="FU235" s="60">
        <v>0</v>
      </c>
      <c r="FV235" s="60">
        <v>0</v>
      </c>
      <c r="FW235" s="60">
        <v>0</v>
      </c>
      <c r="FX235" s="60">
        <v>0</v>
      </c>
      <c r="FY235" s="60">
        <v>0</v>
      </c>
      <c r="FZ235" s="60">
        <v>9.94</v>
      </c>
      <c r="GA235" s="60">
        <v>19.7</v>
      </c>
      <c r="GB235" s="60">
        <v>19.234999999999999</v>
      </c>
      <c r="GC235" s="60">
        <v>19.07</v>
      </c>
      <c r="GD235" s="60">
        <v>18.07</v>
      </c>
      <c r="GE235" s="60">
        <v>16.744999999999997</v>
      </c>
      <c r="GF235" s="60">
        <v>16.074999999999999</v>
      </c>
      <c r="GG235" s="60">
        <v>15.495000000000001</v>
      </c>
      <c r="GH235" s="60">
        <v>15.84</v>
      </c>
      <c r="GI235" s="60">
        <v>16.369999999999997</v>
      </c>
      <c r="GJ235" s="60">
        <v>17.02</v>
      </c>
      <c r="GK235" s="60">
        <v>17.11</v>
      </c>
      <c r="GL235" s="60">
        <v>16.97</v>
      </c>
      <c r="GM235" s="60">
        <v>16.914999999999999</v>
      </c>
      <c r="GN235" s="60">
        <v>17.524999999999999</v>
      </c>
      <c r="GO235" s="60">
        <v>18.520000000000003</v>
      </c>
      <c r="GP235" s="60">
        <v>19.795000000000002</v>
      </c>
      <c r="GQ235" s="60">
        <v>21.5</v>
      </c>
      <c r="GR235" s="60">
        <v>23.509999999999998</v>
      </c>
      <c r="GU235" s="53">
        <v>5</v>
      </c>
      <c r="GV235" s="53">
        <v>229</v>
      </c>
    </row>
    <row r="236" spans="1:206" ht="15.5" x14ac:dyDescent="0.35">
      <c r="A236" s="95">
        <f t="shared" si="81"/>
        <v>1</v>
      </c>
      <c r="B236" s="11"/>
      <c r="C236" s="11"/>
      <c r="D236" s="92" t="str">
        <f>IFERROR(
IF(AND(OR(Planilla!B236="C",Planilla!B236="c"), VLOOKUP(E236,EX:FJ,13,0)="C"), "OK",IF(AND(OR(Planilla!B236="C",Planilla!B236="c"), OR(VLOOKUP(E236,EX:FJ,13,0)="B", VLOOKUP(E236,EX:FJ,13,0)="A")), "DEFICIT",IF(
AND(OR(Planilla!B236="B", Planilla!B236="BPAL"), VLOOKUP(E236,EX:FJ,13,0)="B"), "OK",IF(AND(OR(Planilla!B236="B", Planilla!B236="BPAL"), VLOOKUP(E236,EX:FJ,13,0)="A"), "DEFICIT",IF(AND(OR(Planilla!B236="B", Planilla!B236="BPAL"), VLOOKUP(E236,EX:FJ,13,0)="C"), "SOBREOFERTA",IF(AND(Planilla!B236="A", VLOOKUP(E236,EX:FJ,13,0)="A"), "OK",IF(
AND(Planilla!B236="A", OR(VLOOKUP(E236,EX:FJ,13,0)="B", VLOOKUP(E236,EX:FJ,13,0)="C")), "SOBREOFERTA",""
))))))),"")</f>
        <v/>
      </c>
      <c r="E236" s="12"/>
      <c r="F236" s="13"/>
      <c r="G236" s="14"/>
      <c r="H236" s="81" t="str">
        <f t="shared" si="82"/>
        <v/>
      </c>
      <c r="I236" s="7"/>
      <c r="J236" s="6" t="e">
        <f t="shared" si="83"/>
        <v>#N/A</v>
      </c>
      <c r="K236" s="6" t="str">
        <f>IF(A237&lt;&gt;A236,AVERAGEIF(A$9:A236,A236,J$9:J236),"")</f>
        <v/>
      </c>
      <c r="L236" s="7" t="str">
        <f>IFERROR(IF(A237&lt;&gt;A236,AVERAGEIF(A$9:A236,A236,S$9:S236),""),"")</f>
        <v/>
      </c>
      <c r="M236" s="7" t="str">
        <f>IFERROR(IF(A237&lt;&gt;A236,AVERAGEIF(A$9:A236,A236,T$9:T236),""),"")</f>
        <v/>
      </c>
      <c r="N236" s="7" t="str" cm="1">
        <f t="array" ref="N236">IFERROR(IF(A237&lt;&gt;A236,_xlfn.STDEV.P(IF(A$9:A236=A236,T$9:T236)),""),"")</f>
        <v/>
      </c>
      <c r="O236" s="7" t="str" cm="1">
        <f t="array" ref="O236">IFERROR(IF(A237&lt;&gt;A236,_xlfn.STDEV.P(IF(A$9:A236=A236,S$9:S236)),""),"")</f>
        <v/>
      </c>
      <c r="P236" s="8" t="str">
        <f t="shared" si="84"/>
        <v/>
      </c>
      <c r="Q236" s="8" t="str">
        <f t="shared" si="85"/>
        <v/>
      </c>
      <c r="R236" s="8" t="str">
        <f t="shared" si="86"/>
        <v/>
      </c>
      <c r="S236" s="9" t="str">
        <f t="shared" si="87"/>
        <v/>
      </c>
      <c r="T236" s="9" t="str">
        <f t="shared" si="88"/>
        <v/>
      </c>
      <c r="U236" s="14"/>
      <c r="V236" s="15"/>
      <c r="W236" s="14" t="str">
        <f t="shared" si="89"/>
        <v/>
      </c>
      <c r="X236" s="15"/>
      <c r="Y236" s="2"/>
      <c r="AB236" s="22">
        <f t="shared" si="90"/>
        <v>1</v>
      </c>
      <c r="AC236" s="11"/>
      <c r="AD236" s="11"/>
      <c r="AE236" s="13"/>
      <c r="AF236" s="12"/>
      <c r="AG236" s="13"/>
      <c r="AH236" s="14"/>
      <c r="AI236" s="81" t="str">
        <f t="shared" si="91"/>
        <v/>
      </c>
      <c r="AJ236" s="15"/>
      <c r="AK236" s="6" t="e">
        <f t="shared" si="92"/>
        <v>#N/A</v>
      </c>
      <c r="AL236" s="6" t="str">
        <f>IF(AB237&lt;&gt;AB236,AVERAGEIF(AB$9:AB236,AB236,AK$9:AK236),"")</f>
        <v/>
      </c>
      <c r="AM236" s="7" t="str">
        <f>IFERROR(IF(AB237&lt;&gt;AB236,AVERAGEIF(AB$9:AB236,AB236,AT$9:AT236),""),"")</f>
        <v/>
      </c>
      <c r="AN236" s="7" t="str">
        <f>IFERROR(IF(AB237&lt;&gt;AB236,AVERAGEIF(AB$9:AB236,AB236,AU$9:AU236),""),"")</f>
        <v/>
      </c>
      <c r="AO236" s="7" t="str" cm="1">
        <f t="array" ref="AO236">IFERROR(IF(AB237&lt;&gt;AB236,_xlfn.STDEV.P(IF(AB$9:AB236=AB236,AU$9:AU236)),""),"")</f>
        <v/>
      </c>
      <c r="AP236" s="7" t="str" cm="1">
        <f t="array" ref="AP236">IFERROR(IF(AB237&lt;&gt;AB236,_xlfn.STDEV.P(IF(AB$9:AB236=AB236,AT$9:AT236)),""),"")</f>
        <v/>
      </c>
      <c r="AQ236" s="8" t="str">
        <f t="shared" si="93"/>
        <v/>
      </c>
      <c r="AR236" s="8" t="str">
        <f t="shared" si="94"/>
        <v/>
      </c>
      <c r="AS236" s="8" t="str">
        <f t="shared" si="95"/>
        <v/>
      </c>
      <c r="AT236" s="9" t="str">
        <f t="shared" si="96"/>
        <v/>
      </c>
      <c r="AU236" s="9" t="str">
        <f t="shared" si="97"/>
        <v/>
      </c>
      <c r="AV236" s="14"/>
      <c r="AW236" s="15"/>
      <c r="AX236" s="14" t="str">
        <f t="shared" si="98"/>
        <v/>
      </c>
      <c r="AY236" s="15"/>
      <c r="AZ236" s="23"/>
      <c r="EW236" t="s">
        <v>46</v>
      </c>
      <c r="EX236" s="33">
        <v>1211</v>
      </c>
      <c r="EY236" s="33" t="s">
        <v>618</v>
      </c>
      <c r="EZ236" s="33">
        <v>554610</v>
      </c>
      <c r="FA236" s="33" t="s">
        <v>51</v>
      </c>
      <c r="FB236" s="33" t="s">
        <v>473</v>
      </c>
      <c r="FC236" s="33" t="s">
        <v>53</v>
      </c>
      <c r="FD236" s="33" t="s">
        <v>476</v>
      </c>
      <c r="FE236" s="33">
        <v>2022</v>
      </c>
      <c r="FF236" s="33" t="s">
        <v>474</v>
      </c>
      <c r="FG236" s="33" t="s">
        <v>477</v>
      </c>
      <c r="FH236" s="33" t="s">
        <v>478</v>
      </c>
      <c r="FI236" s="33" t="s">
        <v>479</v>
      </c>
      <c r="FJ236" t="s">
        <v>474</v>
      </c>
      <c r="FM236" s="32" t="s">
        <v>615</v>
      </c>
      <c r="FN236" t="s">
        <v>616</v>
      </c>
      <c r="FO236" t="s">
        <v>617</v>
      </c>
      <c r="FP236" t="str">
        <f t="shared" si="80"/>
        <v>B</v>
      </c>
      <c r="FT236" s="69">
        <v>105</v>
      </c>
      <c r="FU236" s="60">
        <v>0</v>
      </c>
      <c r="FV236" s="60">
        <v>0</v>
      </c>
      <c r="FW236" s="60">
        <v>0</v>
      </c>
      <c r="FX236" s="60">
        <v>0</v>
      </c>
      <c r="FY236" s="60">
        <v>0</v>
      </c>
      <c r="FZ236" s="60">
        <v>22.3</v>
      </c>
      <c r="GA236" s="60">
        <v>20.835000000000001</v>
      </c>
      <c r="GB236" s="60">
        <v>20.115000000000002</v>
      </c>
      <c r="GC236" s="60">
        <v>19.02</v>
      </c>
      <c r="GD236" s="60">
        <v>18.100000000000001</v>
      </c>
      <c r="GE236" s="60">
        <v>17.16</v>
      </c>
      <c r="GF236" s="60">
        <v>15.965</v>
      </c>
      <c r="GG236" s="60">
        <v>15.43</v>
      </c>
      <c r="GH236" s="60">
        <v>16</v>
      </c>
      <c r="GI236" s="60">
        <v>16.64</v>
      </c>
      <c r="GJ236" s="60">
        <v>17.015000000000001</v>
      </c>
      <c r="GK236" s="60">
        <v>17.07</v>
      </c>
      <c r="GL236" s="60">
        <v>17.3</v>
      </c>
      <c r="GM236" s="60">
        <v>17.59</v>
      </c>
      <c r="GN236" s="60">
        <v>18.27</v>
      </c>
      <c r="GO236" s="60">
        <v>19.060000000000002</v>
      </c>
      <c r="GP236" s="60">
        <v>19.54</v>
      </c>
      <c r="GQ236" s="60">
        <v>21.8</v>
      </c>
      <c r="GR236" s="60">
        <v>24.119999999999997</v>
      </c>
      <c r="GU236" s="53">
        <v>6</v>
      </c>
      <c r="GV236" s="53">
        <v>230</v>
      </c>
    </row>
    <row r="237" spans="1:206" ht="15.5" x14ac:dyDescent="0.35">
      <c r="A237" s="95">
        <f t="shared" si="81"/>
        <v>1</v>
      </c>
      <c r="B237" s="11"/>
      <c r="C237" s="11"/>
      <c r="D237" s="92" t="str">
        <f>IFERROR(
IF(AND(OR(Planilla!B237="C",Planilla!B237="c"), VLOOKUP(E237,EX:FJ,13,0)="C"), "OK",IF(AND(OR(Planilla!B237="C",Planilla!B237="c"), OR(VLOOKUP(E237,EX:FJ,13,0)="B", VLOOKUP(E237,EX:FJ,13,0)="A")), "DEFICIT",IF(
AND(OR(Planilla!B237="B", Planilla!B237="BPAL"), VLOOKUP(E237,EX:FJ,13,0)="B"), "OK",IF(AND(OR(Planilla!B237="B", Planilla!B237="BPAL"), VLOOKUP(E237,EX:FJ,13,0)="A"), "DEFICIT",IF(AND(OR(Planilla!B237="B", Planilla!B237="BPAL"), VLOOKUP(E237,EX:FJ,13,0)="C"), "SOBREOFERTA",IF(AND(Planilla!B237="A", VLOOKUP(E237,EX:FJ,13,0)="A"), "OK",IF(
AND(Planilla!B237="A", OR(VLOOKUP(E237,EX:FJ,13,0)="B", VLOOKUP(E237,EX:FJ,13,0)="C")), "SOBREOFERTA",""
))))))),"")</f>
        <v/>
      </c>
      <c r="E237" s="12"/>
      <c r="F237" s="13"/>
      <c r="G237" s="14"/>
      <c r="H237" s="81" t="str">
        <f t="shared" si="82"/>
        <v/>
      </c>
      <c r="I237" s="7"/>
      <c r="J237" s="6" t="e">
        <f t="shared" si="83"/>
        <v>#N/A</v>
      </c>
      <c r="K237" s="6" t="str">
        <f>IF(A238&lt;&gt;A237,AVERAGEIF(A$9:A237,A237,J$9:J237),"")</f>
        <v/>
      </c>
      <c r="L237" s="7" t="str">
        <f>IFERROR(IF(A238&lt;&gt;A237,AVERAGEIF(A$9:A237,A237,S$9:S237),""),"")</f>
        <v/>
      </c>
      <c r="M237" s="7" t="str">
        <f>IFERROR(IF(A238&lt;&gt;A237,AVERAGEIF(A$9:A237,A237,T$9:T237),""),"")</f>
        <v/>
      </c>
      <c r="N237" s="7" t="str" cm="1">
        <f t="array" ref="N237">IFERROR(IF(A238&lt;&gt;A237,_xlfn.STDEV.P(IF(A$9:A237=A237,T$9:T237)),""),"")</f>
        <v/>
      </c>
      <c r="O237" s="7" t="str" cm="1">
        <f t="array" ref="O237">IFERROR(IF(A238&lt;&gt;A237,_xlfn.STDEV.P(IF(A$9:A237=A237,S$9:S237)),""),"")</f>
        <v/>
      </c>
      <c r="P237" s="8" t="str">
        <f t="shared" si="84"/>
        <v/>
      </c>
      <c r="Q237" s="8" t="str">
        <f t="shared" si="85"/>
        <v/>
      </c>
      <c r="R237" s="8" t="str">
        <f t="shared" si="86"/>
        <v/>
      </c>
      <c r="S237" s="9" t="str">
        <f t="shared" si="87"/>
        <v/>
      </c>
      <c r="T237" s="9" t="str">
        <f t="shared" si="88"/>
        <v/>
      </c>
      <c r="U237" s="14"/>
      <c r="V237" s="15"/>
      <c r="W237" s="14" t="str">
        <f t="shared" si="89"/>
        <v/>
      </c>
      <c r="X237" s="15"/>
      <c r="Y237" s="2"/>
      <c r="AB237" s="22">
        <f t="shared" si="90"/>
        <v>1</v>
      </c>
      <c r="AC237" s="11"/>
      <c r="AD237" s="11"/>
      <c r="AE237" s="13"/>
      <c r="AF237" s="12"/>
      <c r="AG237" s="13"/>
      <c r="AH237" s="14"/>
      <c r="AI237" s="81" t="str">
        <f t="shared" si="91"/>
        <v/>
      </c>
      <c r="AJ237" s="15"/>
      <c r="AK237" s="6" t="e">
        <f t="shared" si="92"/>
        <v>#N/A</v>
      </c>
      <c r="AL237" s="6" t="str">
        <f>IF(AB238&lt;&gt;AB237,AVERAGEIF(AB$9:AB237,AB237,AK$9:AK237),"")</f>
        <v/>
      </c>
      <c r="AM237" s="7" t="str">
        <f>IFERROR(IF(AB238&lt;&gt;AB237,AVERAGEIF(AB$9:AB237,AB237,AT$9:AT237),""),"")</f>
        <v/>
      </c>
      <c r="AN237" s="7" t="str">
        <f>IFERROR(IF(AB238&lt;&gt;AB237,AVERAGEIF(AB$9:AB237,AB237,AU$9:AU237),""),"")</f>
        <v/>
      </c>
      <c r="AO237" s="7" t="str" cm="1">
        <f t="array" ref="AO237">IFERROR(IF(AB238&lt;&gt;AB237,_xlfn.STDEV.P(IF(AB$9:AB237=AB237,AU$9:AU237)),""),"")</f>
        <v/>
      </c>
      <c r="AP237" s="7" t="str" cm="1">
        <f t="array" ref="AP237">IFERROR(IF(AB238&lt;&gt;AB237,_xlfn.STDEV.P(IF(AB$9:AB237=AB237,AT$9:AT237)),""),"")</f>
        <v/>
      </c>
      <c r="AQ237" s="8" t="str">
        <f t="shared" si="93"/>
        <v/>
      </c>
      <c r="AR237" s="8" t="str">
        <f t="shared" si="94"/>
        <v/>
      </c>
      <c r="AS237" s="8" t="str">
        <f t="shared" si="95"/>
        <v/>
      </c>
      <c r="AT237" s="9" t="str">
        <f t="shared" si="96"/>
        <v/>
      </c>
      <c r="AU237" s="9" t="str">
        <f t="shared" si="97"/>
        <v/>
      </c>
      <c r="AV237" s="14"/>
      <c r="AW237" s="15"/>
      <c r="AX237" s="14" t="str">
        <f t="shared" si="98"/>
        <v/>
      </c>
      <c r="AY237" s="15"/>
      <c r="AZ237" s="23"/>
      <c r="EW237" t="s">
        <v>46</v>
      </c>
      <c r="EX237" s="33">
        <v>1212</v>
      </c>
      <c r="EY237" s="33" t="s">
        <v>619</v>
      </c>
      <c r="EZ237" s="33">
        <v>554682</v>
      </c>
      <c r="FA237" s="33" t="s">
        <v>51</v>
      </c>
      <c r="FB237" s="33" t="s">
        <v>473</v>
      </c>
      <c r="FC237" s="33" t="s">
        <v>53</v>
      </c>
      <c r="FD237" s="33" t="s">
        <v>476</v>
      </c>
      <c r="FE237" s="33">
        <v>2022</v>
      </c>
      <c r="FF237" s="33" t="s">
        <v>474</v>
      </c>
      <c r="FG237" s="33" t="s">
        <v>477</v>
      </c>
      <c r="FH237" s="33" t="s">
        <v>478</v>
      </c>
      <c r="FI237" s="33" t="s">
        <v>479</v>
      </c>
      <c r="FJ237" t="s">
        <v>474</v>
      </c>
      <c r="FM237" s="32" t="s">
        <v>615</v>
      </c>
      <c r="FN237" t="s">
        <v>616</v>
      </c>
      <c r="FO237" t="s">
        <v>617</v>
      </c>
      <c r="FP237" t="str">
        <f t="shared" si="80"/>
        <v>B</v>
      </c>
      <c r="FT237" s="69" t="s">
        <v>7403</v>
      </c>
      <c r="FU237" s="60">
        <v>0</v>
      </c>
      <c r="FV237" s="60">
        <v>0</v>
      </c>
      <c r="FW237" s="60">
        <v>0</v>
      </c>
      <c r="FX237" s="60">
        <v>0</v>
      </c>
      <c r="FY237" s="60">
        <v>0</v>
      </c>
      <c r="FZ237" s="60">
        <v>14.93</v>
      </c>
      <c r="GA237" s="60">
        <v>28.285</v>
      </c>
      <c r="GB237" s="60">
        <v>26.844999999999999</v>
      </c>
      <c r="GC237" s="60">
        <v>27.795000000000002</v>
      </c>
      <c r="GD237" s="60">
        <v>27.54</v>
      </c>
      <c r="GE237" s="60">
        <v>27.65</v>
      </c>
      <c r="GF237" s="60">
        <v>27.55</v>
      </c>
      <c r="GG237" s="60">
        <v>26.435000000000002</v>
      </c>
      <c r="GH237" s="60">
        <v>25.86</v>
      </c>
      <c r="GI237" s="60">
        <v>26.635000000000002</v>
      </c>
      <c r="GJ237" s="60">
        <v>27.009999999999998</v>
      </c>
      <c r="GK237" s="60">
        <v>26.895</v>
      </c>
      <c r="GL237" s="60">
        <v>27.104999999999997</v>
      </c>
      <c r="GM237" s="60">
        <v>26.549999999999997</v>
      </c>
      <c r="GN237" s="60">
        <v>26.354999999999997</v>
      </c>
      <c r="GO237" s="60">
        <v>28.17</v>
      </c>
      <c r="GP237" s="60">
        <v>29.48</v>
      </c>
      <c r="GQ237" s="60">
        <v>29.229999999999997</v>
      </c>
      <c r="GR237" s="60">
        <v>0</v>
      </c>
      <c r="GU237" s="53">
        <v>7</v>
      </c>
      <c r="GV237" s="53">
        <v>231</v>
      </c>
    </row>
    <row r="238" spans="1:206" ht="15.5" x14ac:dyDescent="0.35">
      <c r="A238" s="95">
        <f t="shared" si="81"/>
        <v>1</v>
      </c>
      <c r="B238" s="11"/>
      <c r="C238" s="11"/>
      <c r="D238" s="92" t="str">
        <f>IFERROR(
IF(AND(OR(Planilla!B238="C",Planilla!B238="c"), VLOOKUP(E238,EX:FJ,13,0)="C"), "OK",IF(AND(OR(Planilla!B238="C",Planilla!B238="c"), OR(VLOOKUP(E238,EX:FJ,13,0)="B", VLOOKUP(E238,EX:FJ,13,0)="A")), "DEFICIT",IF(
AND(OR(Planilla!B238="B", Planilla!B238="BPAL"), VLOOKUP(E238,EX:FJ,13,0)="B"), "OK",IF(AND(OR(Planilla!B238="B", Planilla!B238="BPAL"), VLOOKUP(E238,EX:FJ,13,0)="A"), "DEFICIT",IF(AND(OR(Planilla!B238="B", Planilla!B238="BPAL"), VLOOKUP(E238,EX:FJ,13,0)="C"), "SOBREOFERTA",IF(AND(Planilla!B238="A", VLOOKUP(E238,EX:FJ,13,0)="A"), "OK",IF(
AND(Planilla!B238="A", OR(VLOOKUP(E238,EX:FJ,13,0)="B", VLOOKUP(E238,EX:FJ,13,0)="C")), "SOBREOFERTA",""
))))))),"")</f>
        <v/>
      </c>
      <c r="E238" s="12"/>
      <c r="F238" s="13"/>
      <c r="G238" s="14"/>
      <c r="H238" s="81" t="str">
        <f t="shared" si="82"/>
        <v/>
      </c>
      <c r="I238" s="7"/>
      <c r="J238" s="6" t="e">
        <f t="shared" si="83"/>
        <v>#N/A</v>
      </c>
      <c r="K238" s="6" t="str">
        <f>IF(A239&lt;&gt;A238,AVERAGEIF(A$9:A238,A238,J$9:J238),"")</f>
        <v/>
      </c>
      <c r="L238" s="7" t="str">
        <f>IFERROR(IF(A239&lt;&gt;A238,AVERAGEIF(A$9:A238,A238,S$9:S238),""),"")</f>
        <v/>
      </c>
      <c r="M238" s="7" t="str">
        <f>IFERROR(IF(A239&lt;&gt;A238,AVERAGEIF(A$9:A238,A238,T$9:T238),""),"")</f>
        <v/>
      </c>
      <c r="N238" s="7" t="str" cm="1">
        <f t="array" ref="N238">IFERROR(IF(A239&lt;&gt;A238,_xlfn.STDEV.P(IF(A$9:A238=A238,T$9:T238)),""),"")</f>
        <v/>
      </c>
      <c r="O238" s="7" t="str" cm="1">
        <f t="array" ref="O238">IFERROR(IF(A239&lt;&gt;A238,_xlfn.STDEV.P(IF(A$9:A238=A238,S$9:S238)),""),"")</f>
        <v/>
      </c>
      <c r="P238" s="8" t="str">
        <f t="shared" si="84"/>
        <v/>
      </c>
      <c r="Q238" s="8" t="str">
        <f t="shared" si="85"/>
        <v/>
      </c>
      <c r="R238" s="8" t="str">
        <f t="shared" si="86"/>
        <v/>
      </c>
      <c r="S238" s="9" t="str">
        <f t="shared" si="87"/>
        <v/>
      </c>
      <c r="T238" s="9" t="str">
        <f t="shared" si="88"/>
        <v/>
      </c>
      <c r="U238" s="14"/>
      <c r="V238" s="15"/>
      <c r="W238" s="14" t="str">
        <f t="shared" si="89"/>
        <v/>
      </c>
      <c r="X238" s="15"/>
      <c r="Y238" s="2"/>
      <c r="AB238" s="22">
        <f t="shared" si="90"/>
        <v>1</v>
      </c>
      <c r="AC238" s="11"/>
      <c r="AD238" s="11"/>
      <c r="AE238" s="13"/>
      <c r="AF238" s="12"/>
      <c r="AG238" s="13"/>
      <c r="AH238" s="14"/>
      <c r="AI238" s="81" t="str">
        <f t="shared" si="91"/>
        <v/>
      </c>
      <c r="AJ238" s="15"/>
      <c r="AK238" s="6" t="e">
        <f t="shared" si="92"/>
        <v>#N/A</v>
      </c>
      <c r="AL238" s="6" t="str">
        <f>IF(AB239&lt;&gt;AB238,AVERAGEIF(AB$9:AB238,AB238,AK$9:AK238),"")</f>
        <v/>
      </c>
      <c r="AM238" s="7" t="str">
        <f>IFERROR(IF(AB239&lt;&gt;AB238,AVERAGEIF(AB$9:AB238,AB238,AT$9:AT238),""),"")</f>
        <v/>
      </c>
      <c r="AN238" s="7" t="str">
        <f>IFERROR(IF(AB239&lt;&gt;AB238,AVERAGEIF(AB$9:AB238,AB238,AU$9:AU238),""),"")</f>
        <v/>
      </c>
      <c r="AO238" s="7" t="str" cm="1">
        <f t="array" ref="AO238">IFERROR(IF(AB239&lt;&gt;AB238,_xlfn.STDEV.P(IF(AB$9:AB238=AB238,AU$9:AU238)),""),"")</f>
        <v/>
      </c>
      <c r="AP238" s="7" t="str" cm="1">
        <f t="array" ref="AP238">IFERROR(IF(AB239&lt;&gt;AB238,_xlfn.STDEV.P(IF(AB$9:AB238=AB238,AT$9:AT238)),""),"")</f>
        <v/>
      </c>
      <c r="AQ238" s="8" t="str">
        <f t="shared" si="93"/>
        <v/>
      </c>
      <c r="AR238" s="8" t="str">
        <f t="shared" si="94"/>
        <v/>
      </c>
      <c r="AS238" s="8" t="str">
        <f t="shared" si="95"/>
        <v/>
      </c>
      <c r="AT238" s="9" t="str">
        <f t="shared" si="96"/>
        <v/>
      </c>
      <c r="AU238" s="9" t="str">
        <f t="shared" si="97"/>
        <v/>
      </c>
      <c r="AV238" s="14"/>
      <c r="AW238" s="15"/>
      <c r="AX238" s="14" t="str">
        <f t="shared" si="98"/>
        <v/>
      </c>
      <c r="AY238" s="15"/>
      <c r="AZ238" s="23"/>
      <c r="EW238" t="s">
        <v>46</v>
      </c>
      <c r="EX238" s="33">
        <v>1213</v>
      </c>
      <c r="EY238" s="33" t="s">
        <v>620</v>
      </c>
      <c r="EZ238" s="33">
        <v>554694</v>
      </c>
      <c r="FA238" s="33" t="s">
        <v>51</v>
      </c>
      <c r="FB238" s="33" t="s">
        <v>473</v>
      </c>
      <c r="FC238" s="33" t="s">
        <v>53</v>
      </c>
      <c r="FD238" s="33" t="s">
        <v>476</v>
      </c>
      <c r="FE238" s="33">
        <v>2022</v>
      </c>
      <c r="FF238" s="33" t="s">
        <v>474</v>
      </c>
      <c r="FG238" s="33" t="s">
        <v>470</v>
      </c>
      <c r="FH238" s="33" t="s">
        <v>471</v>
      </c>
      <c r="FI238" s="33" t="s">
        <v>467</v>
      </c>
      <c r="FJ238" t="s">
        <v>474</v>
      </c>
      <c r="FM238" s="32" t="s">
        <v>615</v>
      </c>
      <c r="FN238" t="s">
        <v>616</v>
      </c>
      <c r="FO238" t="s">
        <v>617</v>
      </c>
      <c r="FP238" t="str">
        <f t="shared" si="80"/>
        <v>B</v>
      </c>
      <c r="FT238" s="69" t="s">
        <v>7404</v>
      </c>
      <c r="FU238" s="60">
        <v>14.065</v>
      </c>
      <c r="FV238" s="60">
        <v>0</v>
      </c>
      <c r="FW238" s="60">
        <v>0</v>
      </c>
      <c r="FX238" s="60">
        <v>0</v>
      </c>
      <c r="FY238" s="60">
        <v>15.085000000000001</v>
      </c>
      <c r="FZ238" s="60">
        <v>27.195</v>
      </c>
      <c r="GA238" s="60">
        <v>22.855</v>
      </c>
      <c r="GB238" s="60">
        <v>21.39</v>
      </c>
      <c r="GC238" s="60">
        <v>20.66</v>
      </c>
      <c r="GD238" s="60">
        <v>19.844999999999999</v>
      </c>
      <c r="GE238" s="60">
        <v>18.79</v>
      </c>
      <c r="GF238" s="60">
        <v>17.895</v>
      </c>
      <c r="GG238" s="60">
        <v>17.420000000000002</v>
      </c>
      <c r="GH238" s="60">
        <v>16.78</v>
      </c>
      <c r="GI238" s="60">
        <v>17.5</v>
      </c>
      <c r="GJ238" s="60">
        <v>18.254999999999999</v>
      </c>
      <c r="GK238" s="60">
        <v>18.009999999999998</v>
      </c>
      <c r="GL238" s="60">
        <v>18.035</v>
      </c>
      <c r="GM238" s="60">
        <v>17.63</v>
      </c>
      <c r="GN238" s="60">
        <v>18.504999999999999</v>
      </c>
      <c r="GO238" s="60">
        <v>20.09</v>
      </c>
      <c r="GP238" s="60">
        <v>22.074999999999999</v>
      </c>
      <c r="GQ238" s="60">
        <v>23.16</v>
      </c>
      <c r="GR238" s="60">
        <v>25.299999999999997</v>
      </c>
      <c r="GU238" s="53">
        <v>8</v>
      </c>
      <c r="GV238" s="53">
        <v>232</v>
      </c>
    </row>
    <row r="239" spans="1:206" ht="15.5" x14ac:dyDescent="0.35">
      <c r="A239" s="95">
        <f t="shared" si="81"/>
        <v>1</v>
      </c>
      <c r="B239" s="11"/>
      <c r="C239" s="11"/>
      <c r="D239" s="92" t="str">
        <f>IFERROR(
IF(AND(OR(Planilla!B239="C",Planilla!B239="c"), VLOOKUP(E239,EX:FJ,13,0)="C"), "OK",IF(AND(OR(Planilla!B239="C",Planilla!B239="c"), OR(VLOOKUP(E239,EX:FJ,13,0)="B", VLOOKUP(E239,EX:FJ,13,0)="A")), "DEFICIT",IF(
AND(OR(Planilla!B239="B", Planilla!B239="BPAL"), VLOOKUP(E239,EX:FJ,13,0)="B"), "OK",IF(AND(OR(Planilla!B239="B", Planilla!B239="BPAL"), VLOOKUP(E239,EX:FJ,13,0)="A"), "DEFICIT",IF(AND(OR(Planilla!B239="B", Planilla!B239="BPAL"), VLOOKUP(E239,EX:FJ,13,0)="C"), "SOBREOFERTA",IF(AND(Planilla!B239="A", VLOOKUP(E239,EX:FJ,13,0)="A"), "OK",IF(
AND(Planilla!B239="A", OR(VLOOKUP(E239,EX:FJ,13,0)="B", VLOOKUP(E239,EX:FJ,13,0)="C")), "SOBREOFERTA",""
))))))),"")</f>
        <v/>
      </c>
      <c r="E239" s="12"/>
      <c r="F239" s="13"/>
      <c r="G239" s="14"/>
      <c r="H239" s="81" t="str">
        <f t="shared" si="82"/>
        <v/>
      </c>
      <c r="I239" s="7"/>
      <c r="J239" s="6" t="e">
        <f t="shared" si="83"/>
        <v>#N/A</v>
      </c>
      <c r="K239" s="6" t="str">
        <f>IF(A240&lt;&gt;A239,AVERAGEIF(A$9:A239,A239,J$9:J239),"")</f>
        <v/>
      </c>
      <c r="L239" s="7" t="str">
        <f>IFERROR(IF(A240&lt;&gt;A239,AVERAGEIF(A$9:A239,A239,S$9:S239),""),"")</f>
        <v/>
      </c>
      <c r="M239" s="7" t="str">
        <f>IFERROR(IF(A240&lt;&gt;A239,AVERAGEIF(A$9:A239,A239,T$9:T239),""),"")</f>
        <v/>
      </c>
      <c r="N239" s="7" t="str" cm="1">
        <f t="array" ref="N239">IFERROR(IF(A240&lt;&gt;A239,_xlfn.STDEV.P(IF(A$9:A239=A239,T$9:T239)),""),"")</f>
        <v/>
      </c>
      <c r="O239" s="7" t="str" cm="1">
        <f t="array" ref="O239">IFERROR(IF(A240&lt;&gt;A239,_xlfn.STDEV.P(IF(A$9:A239=A239,S$9:S239)),""),"")</f>
        <v/>
      </c>
      <c r="P239" s="8" t="str">
        <f t="shared" si="84"/>
        <v/>
      </c>
      <c r="Q239" s="8" t="str">
        <f t="shared" si="85"/>
        <v/>
      </c>
      <c r="R239" s="8" t="str">
        <f t="shared" si="86"/>
        <v/>
      </c>
      <c r="S239" s="9" t="str">
        <f t="shared" si="87"/>
        <v/>
      </c>
      <c r="T239" s="9" t="str">
        <f t="shared" si="88"/>
        <v/>
      </c>
      <c r="U239" s="14"/>
      <c r="V239" s="15"/>
      <c r="W239" s="14" t="str">
        <f t="shared" si="89"/>
        <v/>
      </c>
      <c r="X239" s="15"/>
      <c r="Y239" s="2"/>
      <c r="AB239" s="22">
        <f t="shared" si="90"/>
        <v>1</v>
      </c>
      <c r="AC239" s="11"/>
      <c r="AD239" s="11"/>
      <c r="AE239" s="13"/>
      <c r="AF239" s="12"/>
      <c r="AG239" s="13"/>
      <c r="AH239" s="14"/>
      <c r="AI239" s="81" t="str">
        <f t="shared" si="91"/>
        <v/>
      </c>
      <c r="AJ239" s="15"/>
      <c r="AK239" s="6" t="e">
        <f t="shared" si="92"/>
        <v>#N/A</v>
      </c>
      <c r="AL239" s="6" t="str">
        <f>IF(AB240&lt;&gt;AB239,AVERAGEIF(AB$9:AB239,AB239,AK$9:AK239),"")</f>
        <v/>
      </c>
      <c r="AM239" s="7" t="str">
        <f>IFERROR(IF(AB240&lt;&gt;AB239,AVERAGEIF(AB$9:AB239,AB239,AT$9:AT239),""),"")</f>
        <v/>
      </c>
      <c r="AN239" s="7" t="str">
        <f>IFERROR(IF(AB240&lt;&gt;AB239,AVERAGEIF(AB$9:AB239,AB239,AU$9:AU239),""),"")</f>
        <v/>
      </c>
      <c r="AO239" s="7" t="str" cm="1">
        <f t="array" ref="AO239">IFERROR(IF(AB240&lt;&gt;AB239,_xlfn.STDEV.P(IF(AB$9:AB239=AB239,AU$9:AU239)),""),"")</f>
        <v/>
      </c>
      <c r="AP239" s="7" t="str" cm="1">
        <f t="array" ref="AP239">IFERROR(IF(AB240&lt;&gt;AB239,_xlfn.STDEV.P(IF(AB$9:AB239=AB239,AT$9:AT239)),""),"")</f>
        <v/>
      </c>
      <c r="AQ239" s="8" t="str">
        <f t="shared" si="93"/>
        <v/>
      </c>
      <c r="AR239" s="8" t="str">
        <f t="shared" si="94"/>
        <v/>
      </c>
      <c r="AS239" s="8" t="str">
        <f t="shared" si="95"/>
        <v/>
      </c>
      <c r="AT239" s="9" t="str">
        <f t="shared" si="96"/>
        <v/>
      </c>
      <c r="AU239" s="9" t="str">
        <f t="shared" si="97"/>
        <v/>
      </c>
      <c r="AV239" s="14"/>
      <c r="AW239" s="15"/>
      <c r="AX239" s="14" t="str">
        <f t="shared" si="98"/>
        <v/>
      </c>
      <c r="AY239" s="15"/>
      <c r="AZ239" s="23"/>
      <c r="EW239" t="s">
        <v>46</v>
      </c>
      <c r="EX239" s="33">
        <v>1214</v>
      </c>
      <c r="EY239" s="33" t="s">
        <v>621</v>
      </c>
      <c r="EZ239" s="33">
        <v>555374</v>
      </c>
      <c r="FA239" s="33" t="s">
        <v>51</v>
      </c>
      <c r="FB239" s="33" t="s">
        <v>473</v>
      </c>
      <c r="FC239" s="33" t="s">
        <v>53</v>
      </c>
      <c r="FD239" s="33" t="s">
        <v>476</v>
      </c>
      <c r="FE239" s="33">
        <v>2022</v>
      </c>
      <c r="FF239" s="33" t="s">
        <v>474</v>
      </c>
      <c r="FG239" s="33" t="s">
        <v>470</v>
      </c>
      <c r="FH239" s="33" t="s">
        <v>471</v>
      </c>
      <c r="FI239" s="33" t="s">
        <v>467</v>
      </c>
      <c r="FJ239" t="s">
        <v>474</v>
      </c>
      <c r="FM239" s="32" t="s">
        <v>615</v>
      </c>
      <c r="FN239" t="s">
        <v>616</v>
      </c>
      <c r="FO239" t="s">
        <v>617</v>
      </c>
      <c r="FP239" t="str">
        <f t="shared" si="80"/>
        <v>B</v>
      </c>
      <c r="FT239" s="69" t="s">
        <v>7404</v>
      </c>
      <c r="FU239" s="60">
        <v>0</v>
      </c>
      <c r="FV239" s="60">
        <v>0</v>
      </c>
      <c r="FW239" s="60">
        <v>0</v>
      </c>
      <c r="FX239" s="60">
        <v>0</v>
      </c>
      <c r="FY239" s="60">
        <v>14.605</v>
      </c>
      <c r="FZ239" s="60">
        <v>27.134999999999998</v>
      </c>
      <c r="GA239" s="60">
        <v>24.509999999999998</v>
      </c>
      <c r="GB239" s="60">
        <v>22.29</v>
      </c>
      <c r="GC239" s="60">
        <v>22.380000000000003</v>
      </c>
      <c r="GD239" s="60">
        <v>21.454999999999998</v>
      </c>
      <c r="GE239" s="60">
        <v>20.174999999999997</v>
      </c>
      <c r="GF239" s="60">
        <v>18.91</v>
      </c>
      <c r="GG239" s="60">
        <v>17.100000000000001</v>
      </c>
      <c r="GH239" s="60">
        <v>16.100000000000001</v>
      </c>
      <c r="GI239" s="60">
        <v>16.574999999999999</v>
      </c>
      <c r="GJ239" s="60">
        <v>17.545000000000002</v>
      </c>
      <c r="GK239" s="60">
        <v>17.984999999999999</v>
      </c>
      <c r="GL239" s="60">
        <v>16.965</v>
      </c>
      <c r="GM239" s="60">
        <v>16.774999999999999</v>
      </c>
      <c r="GN239" s="60">
        <v>17.255000000000003</v>
      </c>
      <c r="GO239" s="60">
        <v>18.324999999999999</v>
      </c>
      <c r="GP239" s="60">
        <v>20.384999999999998</v>
      </c>
      <c r="GQ239" s="60">
        <v>23.33</v>
      </c>
      <c r="GR239" s="60">
        <v>26.299999999999997</v>
      </c>
      <c r="GU239" s="53">
        <v>9</v>
      </c>
      <c r="GV239" s="53">
        <v>233</v>
      </c>
    </row>
    <row r="240" spans="1:206" ht="15.5" x14ac:dyDescent="0.35">
      <c r="A240" s="95">
        <f t="shared" si="81"/>
        <v>1</v>
      </c>
      <c r="B240" s="11"/>
      <c r="C240" s="11"/>
      <c r="D240" s="92" t="str">
        <f>IFERROR(
IF(AND(OR(Planilla!B240="C",Planilla!B240="c"), VLOOKUP(E240,EX:FJ,13,0)="C"), "OK",IF(AND(OR(Planilla!B240="C",Planilla!B240="c"), OR(VLOOKUP(E240,EX:FJ,13,0)="B", VLOOKUP(E240,EX:FJ,13,0)="A")), "DEFICIT",IF(
AND(OR(Planilla!B240="B", Planilla!B240="BPAL"), VLOOKUP(E240,EX:FJ,13,0)="B"), "OK",IF(AND(OR(Planilla!B240="B", Planilla!B240="BPAL"), VLOOKUP(E240,EX:FJ,13,0)="A"), "DEFICIT",IF(AND(OR(Planilla!B240="B", Planilla!B240="BPAL"), VLOOKUP(E240,EX:FJ,13,0)="C"), "SOBREOFERTA",IF(AND(Planilla!B240="A", VLOOKUP(E240,EX:FJ,13,0)="A"), "OK",IF(
AND(Planilla!B240="A", OR(VLOOKUP(E240,EX:FJ,13,0)="B", VLOOKUP(E240,EX:FJ,13,0)="C")), "SOBREOFERTA",""
))))))),"")</f>
        <v/>
      </c>
      <c r="E240" s="12"/>
      <c r="F240" s="13"/>
      <c r="G240" s="14"/>
      <c r="H240" s="81" t="str">
        <f t="shared" si="82"/>
        <v/>
      </c>
      <c r="I240" s="7"/>
      <c r="J240" s="6" t="e">
        <f t="shared" si="83"/>
        <v>#N/A</v>
      </c>
      <c r="K240" s="6" t="str">
        <f>IF(A241&lt;&gt;A240,AVERAGEIF(A$9:A240,A240,J$9:J240),"")</f>
        <v/>
      </c>
      <c r="L240" s="7" t="str">
        <f>IFERROR(IF(A241&lt;&gt;A240,AVERAGEIF(A$9:A240,A240,S$9:S240),""),"")</f>
        <v/>
      </c>
      <c r="M240" s="7" t="str">
        <f>IFERROR(IF(A241&lt;&gt;A240,AVERAGEIF(A$9:A240,A240,T$9:T240),""),"")</f>
        <v/>
      </c>
      <c r="N240" s="7" t="str" cm="1">
        <f t="array" ref="N240">IFERROR(IF(A241&lt;&gt;A240,_xlfn.STDEV.P(IF(A$9:A240=A240,T$9:T240)),""),"")</f>
        <v/>
      </c>
      <c r="O240" s="7" t="str" cm="1">
        <f t="array" ref="O240">IFERROR(IF(A241&lt;&gt;A240,_xlfn.STDEV.P(IF(A$9:A240=A240,S$9:S240)),""),"")</f>
        <v/>
      </c>
      <c r="P240" s="8" t="str">
        <f t="shared" si="84"/>
        <v/>
      </c>
      <c r="Q240" s="8" t="str">
        <f t="shared" si="85"/>
        <v/>
      </c>
      <c r="R240" s="8" t="str">
        <f t="shared" si="86"/>
        <v/>
      </c>
      <c r="S240" s="9" t="str">
        <f t="shared" si="87"/>
        <v/>
      </c>
      <c r="T240" s="9" t="str">
        <f t="shared" si="88"/>
        <v/>
      </c>
      <c r="U240" s="14"/>
      <c r="V240" s="15"/>
      <c r="W240" s="14" t="str">
        <f t="shared" si="89"/>
        <v/>
      </c>
      <c r="X240" s="15"/>
      <c r="Y240" s="2"/>
      <c r="AB240" s="22">
        <f t="shared" si="90"/>
        <v>1</v>
      </c>
      <c r="AC240" s="11"/>
      <c r="AD240" s="11"/>
      <c r="AE240" s="13"/>
      <c r="AF240" s="12"/>
      <c r="AG240" s="13"/>
      <c r="AH240" s="14"/>
      <c r="AI240" s="81" t="str">
        <f t="shared" si="91"/>
        <v/>
      </c>
      <c r="AJ240" s="15"/>
      <c r="AK240" s="6" t="e">
        <f t="shared" si="92"/>
        <v>#N/A</v>
      </c>
      <c r="AL240" s="6" t="str">
        <f>IF(AB241&lt;&gt;AB240,AVERAGEIF(AB$9:AB240,AB240,AK$9:AK240),"")</f>
        <v/>
      </c>
      <c r="AM240" s="7" t="str">
        <f>IFERROR(IF(AB241&lt;&gt;AB240,AVERAGEIF(AB$9:AB240,AB240,AT$9:AT240),""),"")</f>
        <v/>
      </c>
      <c r="AN240" s="7" t="str">
        <f>IFERROR(IF(AB241&lt;&gt;AB240,AVERAGEIF(AB$9:AB240,AB240,AU$9:AU240),""),"")</f>
        <v/>
      </c>
      <c r="AO240" s="7" t="str" cm="1">
        <f t="array" ref="AO240">IFERROR(IF(AB241&lt;&gt;AB240,_xlfn.STDEV.P(IF(AB$9:AB240=AB240,AU$9:AU240)),""),"")</f>
        <v/>
      </c>
      <c r="AP240" s="7" t="str" cm="1">
        <f t="array" ref="AP240">IFERROR(IF(AB241&lt;&gt;AB240,_xlfn.STDEV.P(IF(AB$9:AB240=AB240,AT$9:AT240)),""),"")</f>
        <v/>
      </c>
      <c r="AQ240" s="8" t="str">
        <f t="shared" si="93"/>
        <v/>
      </c>
      <c r="AR240" s="8" t="str">
        <f t="shared" si="94"/>
        <v/>
      </c>
      <c r="AS240" s="8" t="str">
        <f t="shared" si="95"/>
        <v/>
      </c>
      <c r="AT240" s="9" t="str">
        <f t="shared" si="96"/>
        <v/>
      </c>
      <c r="AU240" s="9" t="str">
        <f t="shared" si="97"/>
        <v/>
      </c>
      <c r="AV240" s="14"/>
      <c r="AW240" s="15"/>
      <c r="AX240" s="14" t="str">
        <f t="shared" si="98"/>
        <v/>
      </c>
      <c r="AY240" s="15"/>
      <c r="AZ240" s="23"/>
      <c r="EW240" t="s">
        <v>46</v>
      </c>
      <c r="EX240" s="33">
        <v>1215</v>
      </c>
      <c r="EY240" s="33" t="s">
        <v>622</v>
      </c>
      <c r="EZ240" s="33">
        <v>555138</v>
      </c>
      <c r="FA240" s="33" t="s">
        <v>51</v>
      </c>
      <c r="FB240" s="33" t="s">
        <v>473</v>
      </c>
      <c r="FC240" s="33" t="s">
        <v>53</v>
      </c>
      <c r="FD240" s="33" t="s">
        <v>476</v>
      </c>
      <c r="FE240" s="33">
        <v>2022</v>
      </c>
      <c r="FF240" s="33" t="s">
        <v>474</v>
      </c>
      <c r="FG240" s="33" t="s">
        <v>470</v>
      </c>
      <c r="FH240" s="33" t="s">
        <v>471</v>
      </c>
      <c r="FI240" s="33" t="s">
        <v>467</v>
      </c>
      <c r="FJ240" t="s">
        <v>474</v>
      </c>
      <c r="FM240" s="32" t="s">
        <v>615</v>
      </c>
      <c r="FN240" t="s">
        <v>616</v>
      </c>
      <c r="FO240" t="s">
        <v>617</v>
      </c>
      <c r="FP240" t="str">
        <f t="shared" si="80"/>
        <v>B</v>
      </c>
      <c r="FT240" s="69" t="s">
        <v>7397</v>
      </c>
      <c r="FU240" s="60">
        <v>0</v>
      </c>
      <c r="FV240" s="60">
        <v>0</v>
      </c>
      <c r="FW240" s="60">
        <v>0</v>
      </c>
      <c r="FX240" s="60">
        <v>0</v>
      </c>
      <c r="FY240" s="60">
        <v>0</v>
      </c>
      <c r="FZ240" s="60">
        <v>12.38</v>
      </c>
      <c r="GA240" s="60">
        <v>23.975000000000001</v>
      </c>
      <c r="GB240" s="60">
        <v>24.405000000000001</v>
      </c>
      <c r="GC240" s="60">
        <v>24.9</v>
      </c>
      <c r="GD240" s="60">
        <v>24.41</v>
      </c>
      <c r="GE240" s="60">
        <v>23.240000000000002</v>
      </c>
      <c r="GF240" s="60">
        <v>21.869999999999997</v>
      </c>
      <c r="GG240" s="60">
        <v>20.43</v>
      </c>
      <c r="GH240" s="60">
        <v>20.324999999999999</v>
      </c>
      <c r="GI240" s="60">
        <v>20.865000000000002</v>
      </c>
      <c r="GJ240" s="60">
        <v>21.67</v>
      </c>
      <c r="GK240" s="60">
        <v>22.265000000000001</v>
      </c>
      <c r="GL240" s="60">
        <v>21.740000000000002</v>
      </c>
      <c r="GM240" s="60">
        <v>22.024999999999999</v>
      </c>
      <c r="GN240" s="60">
        <v>22.39</v>
      </c>
      <c r="GO240" s="60">
        <v>23.88</v>
      </c>
      <c r="GP240" s="60">
        <v>25.740000000000002</v>
      </c>
      <c r="GQ240" s="60">
        <v>26.754999999999999</v>
      </c>
      <c r="GR240" s="60">
        <v>0</v>
      </c>
      <c r="GU240" s="53">
        <v>10</v>
      </c>
      <c r="GV240" s="53">
        <v>234</v>
      </c>
    </row>
    <row r="241" spans="1:204" ht="15.5" x14ac:dyDescent="0.35">
      <c r="A241" s="95">
        <f t="shared" si="81"/>
        <v>1</v>
      </c>
      <c r="B241" s="11"/>
      <c r="C241" s="11"/>
      <c r="D241" s="92" t="str">
        <f>IFERROR(
IF(AND(OR(Planilla!B241="C",Planilla!B241="c"), VLOOKUP(E241,EX:FJ,13,0)="C"), "OK",IF(AND(OR(Planilla!B241="C",Planilla!B241="c"), OR(VLOOKUP(E241,EX:FJ,13,0)="B", VLOOKUP(E241,EX:FJ,13,0)="A")), "DEFICIT",IF(
AND(OR(Planilla!B241="B", Planilla!B241="BPAL"), VLOOKUP(E241,EX:FJ,13,0)="B"), "OK",IF(AND(OR(Planilla!B241="B", Planilla!B241="BPAL"), VLOOKUP(E241,EX:FJ,13,0)="A"), "DEFICIT",IF(AND(OR(Planilla!B241="B", Planilla!B241="BPAL"), VLOOKUP(E241,EX:FJ,13,0)="C"), "SOBREOFERTA",IF(AND(Planilla!B241="A", VLOOKUP(E241,EX:FJ,13,0)="A"), "OK",IF(
AND(Planilla!B241="A", OR(VLOOKUP(E241,EX:FJ,13,0)="B", VLOOKUP(E241,EX:FJ,13,0)="C")), "SOBREOFERTA",""
))))))),"")</f>
        <v/>
      </c>
      <c r="E241" s="12"/>
      <c r="F241" s="13"/>
      <c r="G241" s="14"/>
      <c r="H241" s="81" t="str">
        <f t="shared" si="82"/>
        <v/>
      </c>
      <c r="I241" s="7"/>
      <c r="J241" s="6" t="e">
        <f t="shared" si="83"/>
        <v>#N/A</v>
      </c>
      <c r="K241" s="6" t="str">
        <f>IF(A242&lt;&gt;A241,AVERAGEIF(A$9:A241,A241,J$9:J241),"")</f>
        <v/>
      </c>
      <c r="L241" s="7" t="str">
        <f>IFERROR(IF(A242&lt;&gt;A241,AVERAGEIF(A$9:A241,A241,S$9:S241),""),"")</f>
        <v/>
      </c>
      <c r="M241" s="7" t="str">
        <f>IFERROR(IF(A242&lt;&gt;A241,AVERAGEIF(A$9:A241,A241,T$9:T241),""),"")</f>
        <v/>
      </c>
      <c r="N241" s="7" t="str" cm="1">
        <f t="array" ref="N241">IFERROR(IF(A242&lt;&gt;A241,_xlfn.STDEV.P(IF(A$9:A241=A241,T$9:T241)),""),"")</f>
        <v/>
      </c>
      <c r="O241" s="7" t="str" cm="1">
        <f t="array" ref="O241">IFERROR(IF(A242&lt;&gt;A241,_xlfn.STDEV.P(IF(A$9:A241=A241,S$9:S241)),""),"")</f>
        <v/>
      </c>
      <c r="P241" s="8" t="str">
        <f t="shared" si="84"/>
        <v/>
      </c>
      <c r="Q241" s="8" t="str">
        <f t="shared" si="85"/>
        <v/>
      </c>
      <c r="R241" s="8" t="str">
        <f t="shared" si="86"/>
        <v/>
      </c>
      <c r="S241" s="9" t="str">
        <f t="shared" si="87"/>
        <v/>
      </c>
      <c r="T241" s="9" t="str">
        <f t="shared" si="88"/>
        <v/>
      </c>
      <c r="U241" s="14"/>
      <c r="V241" s="15"/>
      <c r="W241" s="14" t="str">
        <f t="shared" si="89"/>
        <v/>
      </c>
      <c r="X241" s="15"/>
      <c r="Y241" s="2"/>
      <c r="AB241" s="22">
        <f t="shared" si="90"/>
        <v>1</v>
      </c>
      <c r="AC241" s="11"/>
      <c r="AD241" s="11"/>
      <c r="AE241" s="13"/>
      <c r="AF241" s="12"/>
      <c r="AG241" s="13"/>
      <c r="AH241" s="14"/>
      <c r="AI241" s="81" t="str">
        <f t="shared" si="91"/>
        <v/>
      </c>
      <c r="AJ241" s="15"/>
      <c r="AK241" s="6" t="e">
        <f t="shared" si="92"/>
        <v>#N/A</v>
      </c>
      <c r="AL241" s="6" t="str">
        <f>IF(AB242&lt;&gt;AB241,AVERAGEIF(AB$9:AB241,AB241,AK$9:AK241),"")</f>
        <v/>
      </c>
      <c r="AM241" s="7" t="str">
        <f>IFERROR(IF(AB242&lt;&gt;AB241,AVERAGEIF(AB$9:AB241,AB241,AT$9:AT241),""),"")</f>
        <v/>
      </c>
      <c r="AN241" s="7" t="str">
        <f>IFERROR(IF(AB242&lt;&gt;AB241,AVERAGEIF(AB$9:AB241,AB241,AU$9:AU241),""),"")</f>
        <v/>
      </c>
      <c r="AO241" s="7" t="str" cm="1">
        <f t="array" ref="AO241">IFERROR(IF(AB242&lt;&gt;AB241,_xlfn.STDEV.P(IF(AB$9:AB241=AB241,AU$9:AU241)),""),"")</f>
        <v/>
      </c>
      <c r="AP241" s="7" t="str" cm="1">
        <f t="array" ref="AP241">IFERROR(IF(AB242&lt;&gt;AB241,_xlfn.STDEV.P(IF(AB$9:AB241=AB241,AT$9:AT241)),""),"")</f>
        <v/>
      </c>
      <c r="AQ241" s="8" t="str">
        <f t="shared" si="93"/>
        <v/>
      </c>
      <c r="AR241" s="8" t="str">
        <f t="shared" si="94"/>
        <v/>
      </c>
      <c r="AS241" s="8" t="str">
        <f t="shared" si="95"/>
        <v/>
      </c>
      <c r="AT241" s="9" t="str">
        <f t="shared" si="96"/>
        <v/>
      </c>
      <c r="AU241" s="9" t="str">
        <f t="shared" si="97"/>
        <v/>
      </c>
      <c r="AV241" s="14"/>
      <c r="AW241" s="15"/>
      <c r="AX241" s="14" t="str">
        <f t="shared" si="98"/>
        <v/>
      </c>
      <c r="AY241" s="15"/>
      <c r="AZ241" s="23"/>
      <c r="EW241" t="s">
        <v>46</v>
      </c>
      <c r="EX241" s="33">
        <v>1216</v>
      </c>
      <c r="EY241" s="33" t="s">
        <v>623</v>
      </c>
      <c r="EZ241" s="33">
        <v>555050</v>
      </c>
      <c r="FA241" s="33" t="s">
        <v>51</v>
      </c>
      <c r="FB241" s="33" t="s">
        <v>473</v>
      </c>
      <c r="FC241" s="33" t="s">
        <v>53</v>
      </c>
      <c r="FD241" s="33" t="s">
        <v>476</v>
      </c>
      <c r="FE241" s="33">
        <v>2022</v>
      </c>
      <c r="FF241" s="33" t="s">
        <v>474</v>
      </c>
      <c r="FG241" s="33" t="s">
        <v>470</v>
      </c>
      <c r="FH241" s="33" t="s">
        <v>471</v>
      </c>
      <c r="FI241" s="33" t="s">
        <v>467</v>
      </c>
      <c r="FJ241" t="s">
        <v>474</v>
      </c>
      <c r="FM241" s="32" t="s">
        <v>624</v>
      </c>
      <c r="FN241" t="s">
        <v>625</v>
      </c>
      <c r="FO241" t="s">
        <v>626</v>
      </c>
      <c r="FP241" t="str">
        <f t="shared" si="80"/>
        <v>B</v>
      </c>
      <c r="FT241" s="69" t="s">
        <v>7405</v>
      </c>
      <c r="FU241" s="60">
        <v>0</v>
      </c>
      <c r="FV241" s="60">
        <v>0</v>
      </c>
      <c r="FW241" s="60">
        <v>0</v>
      </c>
      <c r="FX241" s="60">
        <v>0</v>
      </c>
      <c r="FY241" s="60">
        <v>0</v>
      </c>
      <c r="FZ241" s="60">
        <v>11.23</v>
      </c>
      <c r="GA241" s="60">
        <v>20.939999999999998</v>
      </c>
      <c r="GB241" s="60">
        <v>19.265000000000001</v>
      </c>
      <c r="GC241" s="60">
        <v>18.259999999999998</v>
      </c>
      <c r="GD241" s="60">
        <v>17.234999999999999</v>
      </c>
      <c r="GE241" s="60">
        <v>16.149999999999999</v>
      </c>
      <c r="GF241" s="60">
        <v>14.975000000000001</v>
      </c>
      <c r="GG241" s="60">
        <v>13.815000000000001</v>
      </c>
      <c r="GH241" s="60">
        <v>13.844999999999999</v>
      </c>
      <c r="GI241" s="60">
        <v>14.635</v>
      </c>
      <c r="GJ241" s="60">
        <v>15.315</v>
      </c>
      <c r="GK241" s="60">
        <v>15.33</v>
      </c>
      <c r="GL241" s="60">
        <v>15.115</v>
      </c>
      <c r="GM241" s="60">
        <v>15.145</v>
      </c>
      <c r="GN241" s="60">
        <v>15.25</v>
      </c>
      <c r="GO241" s="60">
        <v>16.395</v>
      </c>
      <c r="GP241" s="60">
        <v>17.835000000000001</v>
      </c>
      <c r="GQ241" s="60">
        <v>20.325000000000003</v>
      </c>
      <c r="GR241" s="60">
        <v>22.574999999999999</v>
      </c>
      <c r="GU241" s="53">
        <v>11</v>
      </c>
      <c r="GV241" s="53">
        <v>235</v>
      </c>
    </row>
    <row r="242" spans="1:204" ht="15.5" x14ac:dyDescent="0.35">
      <c r="A242" s="95">
        <f t="shared" si="81"/>
        <v>1</v>
      </c>
      <c r="B242" s="11"/>
      <c r="C242" s="11"/>
      <c r="D242" s="92" t="str">
        <f>IFERROR(
IF(AND(OR(Planilla!B242="C",Planilla!B242="c"), VLOOKUP(E242,EX:FJ,13,0)="C"), "OK",IF(AND(OR(Planilla!B242="C",Planilla!B242="c"), OR(VLOOKUP(E242,EX:FJ,13,0)="B", VLOOKUP(E242,EX:FJ,13,0)="A")), "DEFICIT",IF(
AND(OR(Planilla!B242="B", Planilla!B242="BPAL"), VLOOKUP(E242,EX:FJ,13,0)="B"), "OK",IF(AND(OR(Planilla!B242="B", Planilla!B242="BPAL"), VLOOKUP(E242,EX:FJ,13,0)="A"), "DEFICIT",IF(AND(OR(Planilla!B242="B", Planilla!B242="BPAL"), VLOOKUP(E242,EX:FJ,13,0)="C"), "SOBREOFERTA",IF(AND(Planilla!B242="A", VLOOKUP(E242,EX:FJ,13,0)="A"), "OK",IF(
AND(Planilla!B242="A", OR(VLOOKUP(E242,EX:FJ,13,0)="B", VLOOKUP(E242,EX:FJ,13,0)="C")), "SOBREOFERTA",""
))))))),"")</f>
        <v/>
      </c>
      <c r="E242" s="12"/>
      <c r="F242" s="13"/>
      <c r="G242" s="14"/>
      <c r="H242" s="81" t="str">
        <f t="shared" si="82"/>
        <v/>
      </c>
      <c r="I242" s="7"/>
      <c r="J242" s="6" t="e">
        <f t="shared" si="83"/>
        <v>#N/A</v>
      </c>
      <c r="K242" s="6" t="str">
        <f>IF(A243&lt;&gt;A242,AVERAGEIF(A$9:A242,A242,J$9:J242),"")</f>
        <v/>
      </c>
      <c r="L242" s="7" t="str">
        <f>IFERROR(IF(A243&lt;&gt;A242,AVERAGEIF(A$9:A242,A242,S$9:S242),""),"")</f>
        <v/>
      </c>
      <c r="M242" s="7" t="str">
        <f>IFERROR(IF(A243&lt;&gt;A242,AVERAGEIF(A$9:A242,A242,T$9:T242),""),"")</f>
        <v/>
      </c>
      <c r="N242" s="7" t="str" cm="1">
        <f t="array" ref="N242">IFERROR(IF(A243&lt;&gt;A242,_xlfn.STDEV.P(IF(A$9:A242=A242,T$9:T242)),""),"")</f>
        <v/>
      </c>
      <c r="O242" s="7" t="str" cm="1">
        <f t="array" ref="O242">IFERROR(IF(A243&lt;&gt;A242,_xlfn.STDEV.P(IF(A$9:A242=A242,S$9:S242)),""),"")</f>
        <v/>
      </c>
      <c r="P242" s="8" t="str">
        <f t="shared" si="84"/>
        <v/>
      </c>
      <c r="Q242" s="8" t="str">
        <f t="shared" si="85"/>
        <v/>
      </c>
      <c r="R242" s="8" t="str">
        <f t="shared" si="86"/>
        <v/>
      </c>
      <c r="S242" s="9" t="str">
        <f t="shared" si="87"/>
        <v/>
      </c>
      <c r="T242" s="9" t="str">
        <f t="shared" si="88"/>
        <v/>
      </c>
      <c r="U242" s="14"/>
      <c r="V242" s="15"/>
      <c r="W242" s="14" t="str">
        <f t="shared" si="89"/>
        <v/>
      </c>
      <c r="X242" s="15"/>
      <c r="Y242" s="2"/>
      <c r="AB242" s="22">
        <f t="shared" si="90"/>
        <v>1</v>
      </c>
      <c r="AC242" s="11"/>
      <c r="AD242" s="11"/>
      <c r="AE242" s="13"/>
      <c r="AF242" s="12"/>
      <c r="AG242" s="13"/>
      <c r="AH242" s="14"/>
      <c r="AI242" s="81" t="str">
        <f t="shared" si="91"/>
        <v/>
      </c>
      <c r="AJ242" s="15"/>
      <c r="AK242" s="6" t="e">
        <f t="shared" si="92"/>
        <v>#N/A</v>
      </c>
      <c r="AL242" s="6" t="str">
        <f>IF(AB243&lt;&gt;AB242,AVERAGEIF(AB$9:AB242,AB242,AK$9:AK242),"")</f>
        <v/>
      </c>
      <c r="AM242" s="7" t="str">
        <f>IFERROR(IF(AB243&lt;&gt;AB242,AVERAGEIF(AB$9:AB242,AB242,AT$9:AT242),""),"")</f>
        <v/>
      </c>
      <c r="AN242" s="7" t="str">
        <f>IFERROR(IF(AB243&lt;&gt;AB242,AVERAGEIF(AB$9:AB242,AB242,AU$9:AU242),""),"")</f>
        <v/>
      </c>
      <c r="AO242" s="7" t="str" cm="1">
        <f t="array" ref="AO242">IFERROR(IF(AB243&lt;&gt;AB242,_xlfn.STDEV.P(IF(AB$9:AB242=AB242,AU$9:AU242)),""),"")</f>
        <v/>
      </c>
      <c r="AP242" s="7" t="str" cm="1">
        <f t="array" ref="AP242">IFERROR(IF(AB243&lt;&gt;AB242,_xlfn.STDEV.P(IF(AB$9:AB242=AB242,AT$9:AT242)),""),"")</f>
        <v/>
      </c>
      <c r="AQ242" s="8" t="str">
        <f t="shared" si="93"/>
        <v/>
      </c>
      <c r="AR242" s="8" t="str">
        <f t="shared" si="94"/>
        <v/>
      </c>
      <c r="AS242" s="8" t="str">
        <f t="shared" si="95"/>
        <v/>
      </c>
      <c r="AT242" s="9" t="str">
        <f t="shared" si="96"/>
        <v/>
      </c>
      <c r="AU242" s="9" t="str">
        <f t="shared" si="97"/>
        <v/>
      </c>
      <c r="AV242" s="14"/>
      <c r="AW242" s="15"/>
      <c r="AX242" s="14" t="str">
        <f t="shared" si="98"/>
        <v/>
      </c>
      <c r="AY242" s="15"/>
      <c r="AZ242" s="23"/>
      <c r="EW242" t="s">
        <v>46</v>
      </c>
      <c r="EX242" s="33">
        <v>1217</v>
      </c>
      <c r="EY242" s="33" t="s">
        <v>627</v>
      </c>
      <c r="EZ242" s="33">
        <v>593684</v>
      </c>
      <c r="FA242" s="33" t="s">
        <v>51</v>
      </c>
      <c r="FB242" s="33" t="s">
        <v>473</v>
      </c>
      <c r="FC242" s="33" t="s">
        <v>53</v>
      </c>
      <c r="FD242" s="33" t="s">
        <v>476</v>
      </c>
      <c r="FE242" s="33">
        <v>2023</v>
      </c>
      <c r="FF242" s="33" t="s">
        <v>474</v>
      </c>
      <c r="FG242" s="33" t="s">
        <v>470</v>
      </c>
      <c r="FH242" s="33" t="s">
        <v>471</v>
      </c>
      <c r="FI242" s="33" t="s">
        <v>467</v>
      </c>
      <c r="FJ242" t="s">
        <v>474</v>
      </c>
      <c r="FM242" s="32" t="s">
        <v>624</v>
      </c>
      <c r="FN242" t="s">
        <v>625</v>
      </c>
      <c r="FO242" t="s">
        <v>626</v>
      </c>
      <c r="FP242" t="str">
        <f t="shared" si="80"/>
        <v>B</v>
      </c>
      <c r="FT242" s="69">
        <v>120</v>
      </c>
      <c r="FU242" s="60">
        <v>0</v>
      </c>
      <c r="FV242" s="60">
        <v>0</v>
      </c>
      <c r="FW242" s="60">
        <v>0</v>
      </c>
      <c r="FX242" s="60">
        <v>0</v>
      </c>
      <c r="FY242" s="60">
        <v>13.725</v>
      </c>
      <c r="FZ242" s="60">
        <v>24.4</v>
      </c>
      <c r="GA242" s="60">
        <v>20.939999999999998</v>
      </c>
      <c r="GB242" s="60">
        <v>20.07</v>
      </c>
      <c r="GC242" s="60">
        <v>19.61</v>
      </c>
      <c r="GD242" s="60">
        <v>18.634999999999998</v>
      </c>
      <c r="GE242" s="60">
        <v>17.829999999999998</v>
      </c>
      <c r="GF242" s="60">
        <v>16.98</v>
      </c>
      <c r="GG242" s="60">
        <v>16.25</v>
      </c>
      <c r="GH242" s="60">
        <v>16.21</v>
      </c>
      <c r="GI242" s="60">
        <v>17.13</v>
      </c>
      <c r="GJ242" s="60">
        <v>17.954999999999998</v>
      </c>
      <c r="GK242" s="60">
        <v>18.325000000000003</v>
      </c>
      <c r="GL242" s="60">
        <v>18.185000000000002</v>
      </c>
      <c r="GM242" s="60">
        <v>18.225000000000001</v>
      </c>
      <c r="GN242" s="60">
        <v>19.03</v>
      </c>
      <c r="GO242" s="60">
        <v>20.350000000000001</v>
      </c>
      <c r="GP242" s="60">
        <v>21.914999999999999</v>
      </c>
      <c r="GQ242" s="60">
        <v>24.32</v>
      </c>
      <c r="GR242" s="60">
        <v>26.759999999999998</v>
      </c>
      <c r="GU242" s="53">
        <v>12</v>
      </c>
      <c r="GV242" s="53">
        <v>236</v>
      </c>
    </row>
    <row r="243" spans="1:204" ht="15.5" x14ac:dyDescent="0.35">
      <c r="A243" s="95">
        <f t="shared" si="81"/>
        <v>1</v>
      </c>
      <c r="B243" s="11"/>
      <c r="C243" s="11"/>
      <c r="D243" s="92" t="str">
        <f>IFERROR(
IF(AND(OR(Planilla!B243="C",Planilla!B243="c"), VLOOKUP(E243,EX:FJ,13,0)="C"), "OK",IF(AND(OR(Planilla!B243="C",Planilla!B243="c"), OR(VLOOKUP(E243,EX:FJ,13,0)="B", VLOOKUP(E243,EX:FJ,13,0)="A")), "DEFICIT",IF(
AND(OR(Planilla!B243="B", Planilla!B243="BPAL"), VLOOKUP(E243,EX:FJ,13,0)="B"), "OK",IF(AND(OR(Planilla!B243="B", Planilla!B243="BPAL"), VLOOKUP(E243,EX:FJ,13,0)="A"), "DEFICIT",IF(AND(OR(Planilla!B243="B", Planilla!B243="BPAL"), VLOOKUP(E243,EX:FJ,13,0)="C"), "SOBREOFERTA",IF(AND(Planilla!B243="A", VLOOKUP(E243,EX:FJ,13,0)="A"), "OK",IF(
AND(Planilla!B243="A", OR(VLOOKUP(E243,EX:FJ,13,0)="B", VLOOKUP(E243,EX:FJ,13,0)="C")), "SOBREOFERTA",""
))))))),"")</f>
        <v/>
      </c>
      <c r="E243" s="12"/>
      <c r="F243" s="13"/>
      <c r="G243" s="14"/>
      <c r="H243" s="81" t="str">
        <f t="shared" si="82"/>
        <v/>
      </c>
      <c r="I243" s="7"/>
      <c r="J243" s="6" t="e">
        <f t="shared" si="83"/>
        <v>#N/A</v>
      </c>
      <c r="K243" s="6" t="str">
        <f>IF(A244&lt;&gt;A243,AVERAGEIF(A$9:A243,A243,J$9:J243),"")</f>
        <v/>
      </c>
      <c r="L243" s="7" t="str">
        <f>IFERROR(IF(A244&lt;&gt;A243,AVERAGEIF(A$9:A243,A243,S$9:S243),""),"")</f>
        <v/>
      </c>
      <c r="M243" s="7" t="str">
        <f>IFERROR(IF(A244&lt;&gt;A243,AVERAGEIF(A$9:A243,A243,T$9:T243),""),"")</f>
        <v/>
      </c>
      <c r="N243" s="7" t="str" cm="1">
        <f t="array" ref="N243">IFERROR(IF(A244&lt;&gt;A243,_xlfn.STDEV.P(IF(A$9:A243=A243,T$9:T243)),""),"")</f>
        <v/>
      </c>
      <c r="O243" s="7" t="str" cm="1">
        <f t="array" ref="O243">IFERROR(IF(A244&lt;&gt;A243,_xlfn.STDEV.P(IF(A$9:A243=A243,S$9:S243)),""),"")</f>
        <v/>
      </c>
      <c r="P243" s="8" t="str">
        <f t="shared" si="84"/>
        <v/>
      </c>
      <c r="Q243" s="8" t="str">
        <f t="shared" si="85"/>
        <v/>
      </c>
      <c r="R243" s="8" t="str">
        <f t="shared" si="86"/>
        <v/>
      </c>
      <c r="S243" s="9" t="str">
        <f t="shared" si="87"/>
        <v/>
      </c>
      <c r="T243" s="9" t="str">
        <f t="shared" si="88"/>
        <v/>
      </c>
      <c r="U243" s="14"/>
      <c r="V243" s="15"/>
      <c r="W243" s="14" t="str">
        <f t="shared" si="89"/>
        <v/>
      </c>
      <c r="X243" s="15"/>
      <c r="Y243" s="2"/>
      <c r="AB243" s="22">
        <f t="shared" si="90"/>
        <v>1</v>
      </c>
      <c r="AC243" s="11"/>
      <c r="AD243" s="11"/>
      <c r="AE243" s="13"/>
      <c r="AF243" s="12"/>
      <c r="AG243" s="13"/>
      <c r="AH243" s="14"/>
      <c r="AI243" s="81" t="str">
        <f t="shared" si="91"/>
        <v/>
      </c>
      <c r="AJ243" s="15"/>
      <c r="AK243" s="6" t="e">
        <f t="shared" si="92"/>
        <v>#N/A</v>
      </c>
      <c r="AL243" s="6" t="str">
        <f>IF(AB244&lt;&gt;AB243,AVERAGEIF(AB$9:AB243,AB243,AK$9:AK243),"")</f>
        <v/>
      </c>
      <c r="AM243" s="7" t="str">
        <f>IFERROR(IF(AB244&lt;&gt;AB243,AVERAGEIF(AB$9:AB243,AB243,AT$9:AT243),""),"")</f>
        <v/>
      </c>
      <c r="AN243" s="7" t="str">
        <f>IFERROR(IF(AB244&lt;&gt;AB243,AVERAGEIF(AB$9:AB243,AB243,AU$9:AU243),""),"")</f>
        <v/>
      </c>
      <c r="AO243" s="7" t="str" cm="1">
        <f t="array" ref="AO243">IFERROR(IF(AB244&lt;&gt;AB243,_xlfn.STDEV.P(IF(AB$9:AB243=AB243,AU$9:AU243)),""),"")</f>
        <v/>
      </c>
      <c r="AP243" s="7" t="str" cm="1">
        <f t="array" ref="AP243">IFERROR(IF(AB244&lt;&gt;AB243,_xlfn.STDEV.P(IF(AB$9:AB243=AB243,AT$9:AT243)),""),"")</f>
        <v/>
      </c>
      <c r="AQ243" s="8" t="str">
        <f t="shared" si="93"/>
        <v/>
      </c>
      <c r="AR243" s="8" t="str">
        <f t="shared" si="94"/>
        <v/>
      </c>
      <c r="AS243" s="8" t="str">
        <f t="shared" si="95"/>
        <v/>
      </c>
      <c r="AT243" s="9" t="str">
        <f t="shared" si="96"/>
        <v/>
      </c>
      <c r="AU243" s="9" t="str">
        <f t="shared" si="97"/>
        <v/>
      </c>
      <c r="AV243" s="14"/>
      <c r="AW243" s="15"/>
      <c r="AX243" s="14" t="str">
        <f t="shared" si="98"/>
        <v/>
      </c>
      <c r="AY243" s="15"/>
      <c r="AZ243" s="23"/>
      <c r="EW243" t="s">
        <v>46</v>
      </c>
      <c r="EX243" s="33">
        <v>1218</v>
      </c>
      <c r="EY243" s="33" t="s">
        <v>628</v>
      </c>
      <c r="EZ243" s="33">
        <v>593717</v>
      </c>
      <c r="FA243" s="33" t="s">
        <v>51</v>
      </c>
      <c r="FB243" s="33" t="s">
        <v>473</v>
      </c>
      <c r="FC243" s="33" t="s">
        <v>53</v>
      </c>
      <c r="FD243" s="33" t="s">
        <v>476</v>
      </c>
      <c r="FE243" s="33">
        <v>2023</v>
      </c>
      <c r="FF243" s="33" t="s">
        <v>474</v>
      </c>
      <c r="FG243" s="33" t="s">
        <v>470</v>
      </c>
      <c r="FH243" s="33" t="s">
        <v>471</v>
      </c>
      <c r="FI243" s="33" t="s">
        <v>467</v>
      </c>
      <c r="FJ243" t="s">
        <v>474</v>
      </c>
      <c r="FM243" s="32" t="s">
        <v>624</v>
      </c>
      <c r="FN243" t="s">
        <v>625</v>
      </c>
      <c r="FO243" t="s">
        <v>626</v>
      </c>
      <c r="FP243" t="str">
        <f t="shared" si="80"/>
        <v>B</v>
      </c>
      <c r="FT243" s="69">
        <v>120</v>
      </c>
      <c r="FU243" s="60">
        <v>27.8</v>
      </c>
      <c r="FV243" s="60">
        <v>0</v>
      </c>
      <c r="FW243" s="60">
        <v>0</v>
      </c>
      <c r="FX243" s="60">
        <v>0</v>
      </c>
      <c r="FY243" s="60">
        <v>0</v>
      </c>
      <c r="FZ243" s="60">
        <v>12</v>
      </c>
      <c r="GA243" s="60">
        <v>23.03</v>
      </c>
      <c r="GB243" s="60">
        <v>21</v>
      </c>
      <c r="GC243" s="60">
        <v>19.885000000000002</v>
      </c>
      <c r="GD243" s="60">
        <v>19.3</v>
      </c>
      <c r="GE243" s="60">
        <v>18.18</v>
      </c>
      <c r="GF243" s="60">
        <v>16.96</v>
      </c>
      <c r="GG243" s="60">
        <v>16.664999999999999</v>
      </c>
      <c r="GH243" s="60">
        <v>17.055</v>
      </c>
      <c r="GI243" s="60">
        <v>17.704999999999998</v>
      </c>
      <c r="GJ243" s="60">
        <v>17.984999999999999</v>
      </c>
      <c r="GK243" s="60">
        <v>18.270000000000003</v>
      </c>
      <c r="GL243" s="60">
        <v>18.305</v>
      </c>
      <c r="GM243" s="60">
        <v>18.41</v>
      </c>
      <c r="GN243" s="60">
        <v>18.829999999999998</v>
      </c>
      <c r="GO243" s="60">
        <v>19.630000000000003</v>
      </c>
      <c r="GP243" s="60">
        <v>20.994999999999997</v>
      </c>
      <c r="GQ243" s="60">
        <v>23.795000000000002</v>
      </c>
      <c r="GR243" s="60">
        <v>25.9</v>
      </c>
      <c r="GU243" s="53">
        <v>13</v>
      </c>
      <c r="GV243" s="53">
        <v>237</v>
      </c>
    </row>
    <row r="244" spans="1:204" ht="15.5" x14ac:dyDescent="0.35">
      <c r="A244" s="95">
        <f t="shared" si="81"/>
        <v>1</v>
      </c>
      <c r="B244" s="11"/>
      <c r="C244" s="11"/>
      <c r="D244" s="92" t="str">
        <f>IFERROR(
IF(AND(OR(Planilla!B244="C",Planilla!B244="c"), VLOOKUP(E244,EX:FJ,13,0)="C"), "OK",IF(AND(OR(Planilla!B244="C",Planilla!B244="c"), OR(VLOOKUP(E244,EX:FJ,13,0)="B", VLOOKUP(E244,EX:FJ,13,0)="A")), "DEFICIT",IF(
AND(OR(Planilla!B244="B", Planilla!B244="BPAL"), VLOOKUP(E244,EX:FJ,13,0)="B"), "OK",IF(AND(OR(Planilla!B244="B", Planilla!B244="BPAL"), VLOOKUP(E244,EX:FJ,13,0)="A"), "DEFICIT",IF(AND(OR(Planilla!B244="B", Planilla!B244="BPAL"), VLOOKUP(E244,EX:FJ,13,0)="C"), "SOBREOFERTA",IF(AND(Planilla!B244="A", VLOOKUP(E244,EX:FJ,13,0)="A"), "OK",IF(
AND(Planilla!B244="A", OR(VLOOKUP(E244,EX:FJ,13,0)="B", VLOOKUP(E244,EX:FJ,13,0)="C")), "SOBREOFERTA",""
))))))),"")</f>
        <v/>
      </c>
      <c r="E244" s="12"/>
      <c r="F244" s="13"/>
      <c r="G244" s="14"/>
      <c r="H244" s="81" t="str">
        <f t="shared" si="82"/>
        <v/>
      </c>
      <c r="I244" s="7"/>
      <c r="J244" s="6" t="e">
        <f t="shared" si="83"/>
        <v>#N/A</v>
      </c>
      <c r="K244" s="6" t="str">
        <f>IF(A245&lt;&gt;A244,AVERAGEIF(A$9:A244,A244,J$9:J244),"")</f>
        <v/>
      </c>
      <c r="L244" s="7" t="str">
        <f>IFERROR(IF(A245&lt;&gt;A244,AVERAGEIF(A$9:A244,A244,S$9:S244),""),"")</f>
        <v/>
      </c>
      <c r="M244" s="7" t="str">
        <f>IFERROR(IF(A245&lt;&gt;A244,AVERAGEIF(A$9:A244,A244,T$9:T244),""),"")</f>
        <v/>
      </c>
      <c r="N244" s="7" t="str" cm="1">
        <f t="array" ref="N244">IFERROR(IF(A245&lt;&gt;A244,_xlfn.STDEV.P(IF(A$9:A244=A244,T$9:T244)),""),"")</f>
        <v/>
      </c>
      <c r="O244" s="7" t="str" cm="1">
        <f t="array" ref="O244">IFERROR(IF(A245&lt;&gt;A244,_xlfn.STDEV.P(IF(A$9:A244=A244,S$9:S244)),""),"")</f>
        <v/>
      </c>
      <c r="P244" s="8" t="str">
        <f t="shared" si="84"/>
        <v/>
      </c>
      <c r="Q244" s="8" t="str">
        <f t="shared" si="85"/>
        <v/>
      </c>
      <c r="R244" s="8" t="str">
        <f t="shared" si="86"/>
        <v/>
      </c>
      <c r="S244" s="9" t="str">
        <f t="shared" si="87"/>
        <v/>
      </c>
      <c r="T244" s="9" t="str">
        <f t="shared" si="88"/>
        <v/>
      </c>
      <c r="U244" s="14"/>
      <c r="V244" s="15"/>
      <c r="W244" s="14" t="str">
        <f t="shared" si="89"/>
        <v/>
      </c>
      <c r="X244" s="15"/>
      <c r="Y244" s="2"/>
      <c r="AB244" s="22">
        <f t="shared" si="90"/>
        <v>1</v>
      </c>
      <c r="AC244" s="11"/>
      <c r="AD244" s="11"/>
      <c r="AE244" s="13"/>
      <c r="AF244" s="12"/>
      <c r="AG244" s="13"/>
      <c r="AH244" s="14"/>
      <c r="AI244" s="81" t="str">
        <f t="shared" si="91"/>
        <v/>
      </c>
      <c r="AJ244" s="15"/>
      <c r="AK244" s="6" t="e">
        <f t="shared" si="92"/>
        <v>#N/A</v>
      </c>
      <c r="AL244" s="6" t="str">
        <f>IF(AB245&lt;&gt;AB244,AVERAGEIF(AB$9:AB244,AB244,AK$9:AK244),"")</f>
        <v/>
      </c>
      <c r="AM244" s="7" t="str">
        <f>IFERROR(IF(AB245&lt;&gt;AB244,AVERAGEIF(AB$9:AB244,AB244,AT$9:AT244),""),"")</f>
        <v/>
      </c>
      <c r="AN244" s="7" t="str">
        <f>IFERROR(IF(AB245&lt;&gt;AB244,AVERAGEIF(AB$9:AB244,AB244,AU$9:AU244),""),"")</f>
        <v/>
      </c>
      <c r="AO244" s="7" t="str" cm="1">
        <f t="array" ref="AO244">IFERROR(IF(AB245&lt;&gt;AB244,_xlfn.STDEV.P(IF(AB$9:AB244=AB244,AU$9:AU244)),""),"")</f>
        <v/>
      </c>
      <c r="AP244" s="7" t="str" cm="1">
        <f t="array" ref="AP244">IFERROR(IF(AB245&lt;&gt;AB244,_xlfn.STDEV.P(IF(AB$9:AB244=AB244,AT$9:AT244)),""),"")</f>
        <v/>
      </c>
      <c r="AQ244" s="8" t="str">
        <f t="shared" si="93"/>
        <v/>
      </c>
      <c r="AR244" s="8" t="str">
        <f t="shared" si="94"/>
        <v/>
      </c>
      <c r="AS244" s="8" t="str">
        <f t="shared" si="95"/>
        <v/>
      </c>
      <c r="AT244" s="9" t="str">
        <f t="shared" si="96"/>
        <v/>
      </c>
      <c r="AU244" s="9" t="str">
        <f t="shared" si="97"/>
        <v/>
      </c>
      <c r="AV244" s="14"/>
      <c r="AW244" s="15"/>
      <c r="AX244" s="14" t="str">
        <f t="shared" si="98"/>
        <v/>
      </c>
      <c r="AY244" s="15"/>
      <c r="AZ244" s="23"/>
      <c r="EW244" t="s">
        <v>46</v>
      </c>
      <c r="EX244" s="33">
        <v>1247</v>
      </c>
      <c r="EY244" s="33" t="s">
        <v>629</v>
      </c>
      <c r="EZ244" s="33">
        <v>592427</v>
      </c>
      <c r="FA244" s="33" t="s">
        <v>51</v>
      </c>
      <c r="FB244" s="33" t="s">
        <v>473</v>
      </c>
      <c r="FC244" s="33" t="s">
        <v>53</v>
      </c>
      <c r="FD244" s="33" t="s">
        <v>476</v>
      </c>
      <c r="FE244" s="33">
        <v>2023</v>
      </c>
      <c r="FF244" s="33" t="s">
        <v>474</v>
      </c>
      <c r="FG244" s="33" t="s">
        <v>470</v>
      </c>
      <c r="FH244" s="33" t="s">
        <v>471</v>
      </c>
      <c r="FI244" s="33" t="s">
        <v>467</v>
      </c>
      <c r="FJ244" t="s">
        <v>474</v>
      </c>
      <c r="FM244" s="32" t="s">
        <v>624</v>
      </c>
      <c r="FN244" t="s">
        <v>625</v>
      </c>
      <c r="FO244" t="s">
        <v>626</v>
      </c>
      <c r="FP244" t="str">
        <f t="shared" si="80"/>
        <v>B</v>
      </c>
      <c r="FT244" s="69" t="s">
        <v>7406</v>
      </c>
      <c r="FU244" s="60">
        <v>0</v>
      </c>
      <c r="FV244" s="60">
        <v>0</v>
      </c>
      <c r="FW244" s="60">
        <v>0</v>
      </c>
      <c r="FX244" s="60">
        <v>0</v>
      </c>
      <c r="FY244" s="60">
        <v>0</v>
      </c>
      <c r="FZ244" s="60">
        <v>13.305</v>
      </c>
      <c r="GA244" s="60">
        <v>24.72</v>
      </c>
      <c r="GB244" s="60">
        <v>23.740000000000002</v>
      </c>
      <c r="GC244" s="60">
        <v>23.46</v>
      </c>
      <c r="GD244" s="60">
        <v>22.25</v>
      </c>
      <c r="GE244" s="60">
        <v>20.204999999999998</v>
      </c>
      <c r="GF244" s="60">
        <v>19.504999999999999</v>
      </c>
      <c r="GG244" s="60">
        <v>18.850000000000001</v>
      </c>
      <c r="GH244" s="60">
        <v>18.240000000000002</v>
      </c>
      <c r="GI244" s="60">
        <v>18.634999999999998</v>
      </c>
      <c r="GJ244" s="60">
        <v>18.954999999999998</v>
      </c>
      <c r="GK244" s="60">
        <v>19.555</v>
      </c>
      <c r="GL244" s="60">
        <v>19.314999999999998</v>
      </c>
      <c r="GM244" s="60">
        <v>19.424999999999997</v>
      </c>
      <c r="GN244" s="60">
        <v>20.225000000000001</v>
      </c>
      <c r="GO244" s="60">
        <v>21.35</v>
      </c>
      <c r="GP244" s="60">
        <v>23.225000000000001</v>
      </c>
      <c r="GQ244" s="60">
        <v>24.625</v>
      </c>
      <c r="GR244" s="60">
        <v>25.97</v>
      </c>
      <c r="GU244" s="53">
        <v>14</v>
      </c>
      <c r="GV244" s="53">
        <v>238</v>
      </c>
    </row>
    <row r="245" spans="1:204" ht="15.5" x14ac:dyDescent="0.35">
      <c r="A245" s="95">
        <f t="shared" si="81"/>
        <v>1</v>
      </c>
      <c r="B245" s="11"/>
      <c r="C245" s="11"/>
      <c r="D245" s="92" t="str">
        <f>IFERROR(
IF(AND(OR(Planilla!B245="C",Planilla!B245="c"), VLOOKUP(E245,EX:FJ,13,0)="C"), "OK",IF(AND(OR(Planilla!B245="C",Planilla!B245="c"), OR(VLOOKUP(E245,EX:FJ,13,0)="B", VLOOKUP(E245,EX:FJ,13,0)="A")), "DEFICIT",IF(
AND(OR(Planilla!B245="B", Planilla!B245="BPAL"), VLOOKUP(E245,EX:FJ,13,0)="B"), "OK",IF(AND(OR(Planilla!B245="B", Planilla!B245="BPAL"), VLOOKUP(E245,EX:FJ,13,0)="A"), "DEFICIT",IF(AND(OR(Planilla!B245="B", Planilla!B245="BPAL"), VLOOKUP(E245,EX:FJ,13,0)="C"), "SOBREOFERTA",IF(AND(Planilla!B245="A", VLOOKUP(E245,EX:FJ,13,0)="A"), "OK",IF(
AND(Planilla!B245="A", OR(VLOOKUP(E245,EX:FJ,13,0)="B", VLOOKUP(E245,EX:FJ,13,0)="C")), "SOBREOFERTA",""
))))))),"")</f>
        <v/>
      </c>
      <c r="E245" s="12"/>
      <c r="F245" s="13"/>
      <c r="G245" s="14"/>
      <c r="H245" s="81" t="str">
        <f t="shared" si="82"/>
        <v/>
      </c>
      <c r="I245" s="7"/>
      <c r="J245" s="6" t="e">
        <f t="shared" si="83"/>
        <v>#N/A</v>
      </c>
      <c r="K245" s="6" t="str">
        <f>IF(A246&lt;&gt;A245,AVERAGEIF(A$9:A245,A245,J$9:J245),"")</f>
        <v/>
      </c>
      <c r="L245" s="7" t="str">
        <f>IFERROR(IF(A246&lt;&gt;A245,AVERAGEIF(A$9:A245,A245,S$9:S245),""),"")</f>
        <v/>
      </c>
      <c r="M245" s="7" t="str">
        <f>IFERROR(IF(A246&lt;&gt;A245,AVERAGEIF(A$9:A245,A245,T$9:T245),""),"")</f>
        <v/>
      </c>
      <c r="N245" s="7" t="str" cm="1">
        <f t="array" ref="N245">IFERROR(IF(A246&lt;&gt;A245,_xlfn.STDEV.P(IF(A$9:A245=A245,T$9:T245)),""),"")</f>
        <v/>
      </c>
      <c r="O245" s="7" t="str" cm="1">
        <f t="array" ref="O245">IFERROR(IF(A246&lt;&gt;A245,_xlfn.STDEV.P(IF(A$9:A245=A245,S$9:S245)),""),"")</f>
        <v/>
      </c>
      <c r="P245" s="8" t="str">
        <f t="shared" si="84"/>
        <v/>
      </c>
      <c r="Q245" s="8" t="str">
        <f t="shared" si="85"/>
        <v/>
      </c>
      <c r="R245" s="8" t="str">
        <f t="shared" si="86"/>
        <v/>
      </c>
      <c r="S245" s="9" t="str">
        <f t="shared" si="87"/>
        <v/>
      </c>
      <c r="T245" s="9" t="str">
        <f t="shared" si="88"/>
        <v/>
      </c>
      <c r="U245" s="14"/>
      <c r="V245" s="15"/>
      <c r="W245" s="14" t="str">
        <f t="shared" si="89"/>
        <v/>
      </c>
      <c r="X245" s="15"/>
      <c r="Y245" s="2"/>
      <c r="AB245" s="22">
        <f t="shared" si="90"/>
        <v>1</v>
      </c>
      <c r="AC245" s="11"/>
      <c r="AD245" s="11"/>
      <c r="AE245" s="13"/>
      <c r="AF245" s="12"/>
      <c r="AG245" s="13"/>
      <c r="AH245" s="14"/>
      <c r="AI245" s="81" t="str">
        <f t="shared" si="91"/>
        <v/>
      </c>
      <c r="AJ245" s="15"/>
      <c r="AK245" s="6" t="e">
        <f t="shared" si="92"/>
        <v>#N/A</v>
      </c>
      <c r="AL245" s="6" t="str">
        <f>IF(AB246&lt;&gt;AB245,AVERAGEIF(AB$9:AB245,AB245,AK$9:AK245),"")</f>
        <v/>
      </c>
      <c r="AM245" s="7" t="str">
        <f>IFERROR(IF(AB246&lt;&gt;AB245,AVERAGEIF(AB$9:AB245,AB245,AT$9:AT245),""),"")</f>
        <v/>
      </c>
      <c r="AN245" s="7" t="str">
        <f>IFERROR(IF(AB246&lt;&gt;AB245,AVERAGEIF(AB$9:AB245,AB245,AU$9:AU245),""),"")</f>
        <v/>
      </c>
      <c r="AO245" s="7" t="str" cm="1">
        <f t="array" ref="AO245">IFERROR(IF(AB246&lt;&gt;AB245,_xlfn.STDEV.P(IF(AB$9:AB245=AB245,AU$9:AU245)),""),"")</f>
        <v/>
      </c>
      <c r="AP245" s="7" t="str" cm="1">
        <f t="array" ref="AP245">IFERROR(IF(AB246&lt;&gt;AB245,_xlfn.STDEV.P(IF(AB$9:AB245=AB245,AT$9:AT245)),""),"")</f>
        <v/>
      </c>
      <c r="AQ245" s="8" t="str">
        <f t="shared" si="93"/>
        <v/>
      </c>
      <c r="AR245" s="8" t="str">
        <f t="shared" si="94"/>
        <v/>
      </c>
      <c r="AS245" s="8" t="str">
        <f t="shared" si="95"/>
        <v/>
      </c>
      <c r="AT245" s="9" t="str">
        <f t="shared" si="96"/>
        <v/>
      </c>
      <c r="AU245" s="9" t="str">
        <f t="shared" si="97"/>
        <v/>
      </c>
      <c r="AV245" s="14"/>
      <c r="AW245" s="15"/>
      <c r="AX245" s="14" t="str">
        <f t="shared" si="98"/>
        <v/>
      </c>
      <c r="AY245" s="15"/>
      <c r="AZ245" s="23"/>
      <c r="EW245" t="s">
        <v>46</v>
      </c>
      <c r="EX245" s="33">
        <v>1248</v>
      </c>
      <c r="EY245" s="33" t="s">
        <v>630</v>
      </c>
      <c r="EZ245" s="33">
        <v>593907</v>
      </c>
      <c r="FA245" s="33" t="s">
        <v>51</v>
      </c>
      <c r="FB245" s="33" t="s">
        <v>473</v>
      </c>
      <c r="FC245" s="33" t="s">
        <v>53</v>
      </c>
      <c r="FD245" s="33" t="s">
        <v>476</v>
      </c>
      <c r="FE245" s="33">
        <v>2023</v>
      </c>
      <c r="FF245" s="33" t="s">
        <v>474</v>
      </c>
      <c r="FG245" s="33" t="s">
        <v>470</v>
      </c>
      <c r="FH245" s="33" t="s">
        <v>471</v>
      </c>
      <c r="FI245" s="33" t="s">
        <v>467</v>
      </c>
      <c r="FJ245" t="s">
        <v>474</v>
      </c>
      <c r="FM245" s="32" t="s">
        <v>624</v>
      </c>
      <c r="FN245" t="s">
        <v>625</v>
      </c>
      <c r="FO245" t="s">
        <v>626</v>
      </c>
      <c r="FP245" t="str">
        <f t="shared" si="80"/>
        <v>B</v>
      </c>
      <c r="FT245" s="69" t="s">
        <v>7407</v>
      </c>
      <c r="FU245" s="60">
        <v>0</v>
      </c>
      <c r="FV245" s="60">
        <v>0</v>
      </c>
      <c r="FW245" s="60">
        <v>0</v>
      </c>
      <c r="FX245" s="60">
        <v>0</v>
      </c>
      <c r="FY245" s="60">
        <v>0</v>
      </c>
      <c r="FZ245" s="60">
        <v>26.560000000000002</v>
      </c>
      <c r="GA245" s="60">
        <v>23.355</v>
      </c>
      <c r="GB245" s="60">
        <v>21.344999999999999</v>
      </c>
      <c r="GC245" s="60">
        <v>20.365000000000002</v>
      </c>
      <c r="GD245" s="60">
        <v>19.880000000000003</v>
      </c>
      <c r="GE245" s="60">
        <v>19.655000000000001</v>
      </c>
      <c r="GF245" s="60">
        <v>18.755000000000003</v>
      </c>
      <c r="GG245" s="60">
        <v>18.170000000000002</v>
      </c>
      <c r="GH245" s="60">
        <v>17.38</v>
      </c>
      <c r="GI245" s="60">
        <v>18.015000000000001</v>
      </c>
      <c r="GJ245" s="60">
        <v>18.244999999999997</v>
      </c>
      <c r="GK245" s="60">
        <v>17.73</v>
      </c>
      <c r="GL245" s="60">
        <v>17.475000000000001</v>
      </c>
      <c r="GM245" s="60">
        <v>17.164999999999999</v>
      </c>
      <c r="GN245" s="60">
        <v>17</v>
      </c>
      <c r="GO245" s="60">
        <v>18.409999999999997</v>
      </c>
      <c r="GP245" s="60">
        <v>20.58</v>
      </c>
      <c r="GQ245" s="60">
        <v>23.07</v>
      </c>
      <c r="GR245" s="60">
        <v>25.44</v>
      </c>
      <c r="GU245" s="53">
        <v>15</v>
      </c>
      <c r="GV245" s="53">
        <v>239</v>
      </c>
    </row>
    <row r="246" spans="1:204" ht="15.5" x14ac:dyDescent="0.35">
      <c r="A246" s="95">
        <f t="shared" si="81"/>
        <v>1</v>
      </c>
      <c r="B246" s="11"/>
      <c r="C246" s="11"/>
      <c r="D246" s="92" t="str">
        <f>IFERROR(
IF(AND(OR(Planilla!B246="C",Planilla!B246="c"), VLOOKUP(E246,EX:FJ,13,0)="C"), "OK",IF(AND(OR(Planilla!B246="C",Planilla!B246="c"), OR(VLOOKUP(E246,EX:FJ,13,0)="B", VLOOKUP(E246,EX:FJ,13,0)="A")), "DEFICIT",IF(
AND(OR(Planilla!B246="B", Planilla!B246="BPAL"), VLOOKUP(E246,EX:FJ,13,0)="B"), "OK",IF(AND(OR(Planilla!B246="B", Planilla!B246="BPAL"), VLOOKUP(E246,EX:FJ,13,0)="A"), "DEFICIT",IF(AND(OR(Planilla!B246="B", Planilla!B246="BPAL"), VLOOKUP(E246,EX:FJ,13,0)="C"), "SOBREOFERTA",IF(AND(Planilla!B246="A", VLOOKUP(E246,EX:FJ,13,0)="A"), "OK",IF(
AND(Planilla!B246="A", OR(VLOOKUP(E246,EX:FJ,13,0)="B", VLOOKUP(E246,EX:FJ,13,0)="C")), "SOBREOFERTA",""
))))))),"")</f>
        <v/>
      </c>
      <c r="E246" s="12"/>
      <c r="F246" s="13"/>
      <c r="G246" s="14"/>
      <c r="H246" s="81" t="str">
        <f t="shared" si="82"/>
        <v/>
      </c>
      <c r="I246" s="7"/>
      <c r="J246" s="6" t="e">
        <f t="shared" si="83"/>
        <v>#N/A</v>
      </c>
      <c r="K246" s="6" t="str">
        <f>IF(A247&lt;&gt;A246,AVERAGEIF(A$9:A246,A246,J$9:J246),"")</f>
        <v/>
      </c>
      <c r="L246" s="7" t="str">
        <f>IFERROR(IF(A247&lt;&gt;A246,AVERAGEIF(A$9:A246,A246,S$9:S246),""),"")</f>
        <v/>
      </c>
      <c r="M246" s="7" t="str">
        <f>IFERROR(IF(A247&lt;&gt;A246,AVERAGEIF(A$9:A246,A246,T$9:T246),""),"")</f>
        <v/>
      </c>
      <c r="N246" s="7" t="str" cm="1">
        <f t="array" ref="N246">IFERROR(IF(A247&lt;&gt;A246,_xlfn.STDEV.P(IF(A$9:A246=A246,T$9:T246)),""),"")</f>
        <v/>
      </c>
      <c r="O246" s="7" t="str" cm="1">
        <f t="array" ref="O246">IFERROR(IF(A247&lt;&gt;A246,_xlfn.STDEV.P(IF(A$9:A246=A246,S$9:S246)),""),"")</f>
        <v/>
      </c>
      <c r="P246" s="8" t="str">
        <f t="shared" si="84"/>
        <v/>
      </c>
      <c r="Q246" s="8" t="str">
        <f t="shared" si="85"/>
        <v/>
      </c>
      <c r="R246" s="8" t="str">
        <f t="shared" si="86"/>
        <v/>
      </c>
      <c r="S246" s="9" t="str">
        <f t="shared" si="87"/>
        <v/>
      </c>
      <c r="T246" s="9" t="str">
        <f t="shared" si="88"/>
        <v/>
      </c>
      <c r="U246" s="14"/>
      <c r="V246" s="15"/>
      <c r="W246" s="14" t="str">
        <f t="shared" si="89"/>
        <v/>
      </c>
      <c r="X246" s="15"/>
      <c r="Y246" s="2"/>
      <c r="AB246" s="22">
        <f t="shared" si="90"/>
        <v>1</v>
      </c>
      <c r="AC246" s="11"/>
      <c r="AD246" s="11"/>
      <c r="AE246" s="13"/>
      <c r="AF246" s="12"/>
      <c r="AG246" s="13"/>
      <c r="AH246" s="14"/>
      <c r="AI246" s="81" t="str">
        <f t="shared" si="91"/>
        <v/>
      </c>
      <c r="AJ246" s="15"/>
      <c r="AK246" s="6" t="e">
        <f t="shared" si="92"/>
        <v>#N/A</v>
      </c>
      <c r="AL246" s="6" t="str">
        <f>IF(AB247&lt;&gt;AB246,AVERAGEIF(AB$9:AB246,AB246,AK$9:AK246),"")</f>
        <v/>
      </c>
      <c r="AM246" s="7" t="str">
        <f>IFERROR(IF(AB247&lt;&gt;AB246,AVERAGEIF(AB$9:AB246,AB246,AT$9:AT246),""),"")</f>
        <v/>
      </c>
      <c r="AN246" s="7" t="str">
        <f>IFERROR(IF(AB247&lt;&gt;AB246,AVERAGEIF(AB$9:AB246,AB246,AU$9:AU246),""),"")</f>
        <v/>
      </c>
      <c r="AO246" s="7" t="str" cm="1">
        <f t="array" ref="AO246">IFERROR(IF(AB247&lt;&gt;AB246,_xlfn.STDEV.P(IF(AB$9:AB246=AB246,AU$9:AU246)),""),"")</f>
        <v/>
      </c>
      <c r="AP246" s="7" t="str" cm="1">
        <f t="array" ref="AP246">IFERROR(IF(AB247&lt;&gt;AB246,_xlfn.STDEV.P(IF(AB$9:AB246=AB246,AT$9:AT246)),""),"")</f>
        <v/>
      </c>
      <c r="AQ246" s="8" t="str">
        <f t="shared" si="93"/>
        <v/>
      </c>
      <c r="AR246" s="8" t="str">
        <f t="shared" si="94"/>
        <v/>
      </c>
      <c r="AS246" s="8" t="str">
        <f t="shared" si="95"/>
        <v/>
      </c>
      <c r="AT246" s="9" t="str">
        <f t="shared" si="96"/>
        <v/>
      </c>
      <c r="AU246" s="9" t="str">
        <f t="shared" si="97"/>
        <v/>
      </c>
      <c r="AV246" s="14"/>
      <c r="AW246" s="15"/>
      <c r="AX246" s="14" t="str">
        <f t="shared" si="98"/>
        <v/>
      </c>
      <c r="AY246" s="15"/>
      <c r="AZ246" s="23"/>
      <c r="EW246" t="s">
        <v>46</v>
      </c>
      <c r="EX246" s="33">
        <v>1219</v>
      </c>
      <c r="EY246" s="33" t="s">
        <v>631</v>
      </c>
      <c r="EZ246" s="33">
        <v>593887</v>
      </c>
      <c r="FA246" s="33" t="s">
        <v>51</v>
      </c>
      <c r="FB246" s="33" t="s">
        <v>473</v>
      </c>
      <c r="FC246" s="33" t="s">
        <v>53</v>
      </c>
      <c r="FD246" s="33" t="s">
        <v>476</v>
      </c>
      <c r="FE246" s="33">
        <v>2023</v>
      </c>
      <c r="FF246" s="33" t="s">
        <v>474</v>
      </c>
      <c r="FG246" s="33" t="s">
        <v>470</v>
      </c>
      <c r="FH246" s="33" t="s">
        <v>471</v>
      </c>
      <c r="FI246" s="33" t="s">
        <v>467</v>
      </c>
      <c r="FJ246" t="s">
        <v>474</v>
      </c>
      <c r="FM246" s="32" t="s">
        <v>624</v>
      </c>
      <c r="FN246" t="s">
        <v>625</v>
      </c>
      <c r="FO246" t="s">
        <v>626</v>
      </c>
      <c r="FP246" t="str">
        <f t="shared" si="80"/>
        <v>B</v>
      </c>
      <c r="FT246" s="69" t="s">
        <v>7407</v>
      </c>
      <c r="FU246" s="60">
        <v>0</v>
      </c>
      <c r="FV246" s="60">
        <v>0</v>
      </c>
      <c r="FW246" s="60">
        <v>0</v>
      </c>
      <c r="FX246" s="60">
        <v>0</v>
      </c>
      <c r="FY246" s="60">
        <v>0</v>
      </c>
      <c r="FZ246" s="60">
        <v>14.565</v>
      </c>
      <c r="GA246" s="60">
        <v>26.59</v>
      </c>
      <c r="GB246" s="60">
        <v>22.34</v>
      </c>
      <c r="GC246" s="60">
        <v>20.715</v>
      </c>
      <c r="GD246" s="60">
        <v>20.524999999999999</v>
      </c>
      <c r="GE246" s="60">
        <v>19.765000000000001</v>
      </c>
      <c r="GF246" s="60">
        <v>18.975000000000001</v>
      </c>
      <c r="GG246" s="60">
        <v>18.2</v>
      </c>
      <c r="GH246" s="60">
        <v>17.68</v>
      </c>
      <c r="GI246" s="60">
        <v>16.91</v>
      </c>
      <c r="GJ246" s="60">
        <v>17.25</v>
      </c>
      <c r="GK246" s="60">
        <v>17.309999999999999</v>
      </c>
      <c r="GL246" s="60">
        <v>17.37</v>
      </c>
      <c r="GM246" s="60">
        <v>16.875</v>
      </c>
      <c r="GN246" s="60">
        <v>16.935000000000002</v>
      </c>
      <c r="GO246" s="60">
        <v>17.939999999999998</v>
      </c>
      <c r="GP246" s="60">
        <v>20.04</v>
      </c>
      <c r="GQ246" s="60">
        <v>22.564999999999998</v>
      </c>
      <c r="GR246" s="60">
        <v>25.740000000000002</v>
      </c>
      <c r="GU246" s="53">
        <v>16</v>
      </c>
      <c r="GV246" s="53">
        <v>240</v>
      </c>
    </row>
    <row r="247" spans="1:204" ht="15.5" x14ac:dyDescent="0.35">
      <c r="A247" s="95">
        <f t="shared" si="81"/>
        <v>1</v>
      </c>
      <c r="B247" s="11"/>
      <c r="C247" s="11"/>
      <c r="D247" s="92" t="str">
        <f>IFERROR(
IF(AND(OR(Planilla!B247="C",Planilla!B247="c"), VLOOKUP(E247,EX:FJ,13,0)="C"), "OK",IF(AND(OR(Planilla!B247="C",Planilla!B247="c"), OR(VLOOKUP(E247,EX:FJ,13,0)="B", VLOOKUP(E247,EX:FJ,13,0)="A")), "DEFICIT",IF(
AND(OR(Planilla!B247="B", Planilla!B247="BPAL"), VLOOKUP(E247,EX:FJ,13,0)="B"), "OK",IF(AND(OR(Planilla!B247="B", Planilla!B247="BPAL"), VLOOKUP(E247,EX:FJ,13,0)="A"), "DEFICIT",IF(AND(OR(Planilla!B247="B", Planilla!B247="BPAL"), VLOOKUP(E247,EX:FJ,13,0)="C"), "SOBREOFERTA",IF(AND(Planilla!B247="A", VLOOKUP(E247,EX:FJ,13,0)="A"), "OK",IF(
AND(Planilla!B247="A", OR(VLOOKUP(E247,EX:FJ,13,0)="B", VLOOKUP(E247,EX:FJ,13,0)="C")), "SOBREOFERTA",""
))))))),"")</f>
        <v/>
      </c>
      <c r="E247" s="12"/>
      <c r="F247" s="13"/>
      <c r="G247" s="14"/>
      <c r="H247" s="81" t="str">
        <f t="shared" si="82"/>
        <v/>
      </c>
      <c r="I247" s="7"/>
      <c r="J247" s="6" t="e">
        <f t="shared" si="83"/>
        <v>#N/A</v>
      </c>
      <c r="K247" s="6" t="str">
        <f>IF(A248&lt;&gt;A247,AVERAGEIF(A$9:A247,A247,J$9:J247),"")</f>
        <v/>
      </c>
      <c r="L247" s="7" t="str">
        <f>IFERROR(IF(A248&lt;&gt;A247,AVERAGEIF(A$9:A247,A247,S$9:S247),""),"")</f>
        <v/>
      </c>
      <c r="M247" s="7" t="str">
        <f>IFERROR(IF(A248&lt;&gt;A247,AVERAGEIF(A$9:A247,A247,T$9:T247),""),"")</f>
        <v/>
      </c>
      <c r="N247" s="7" t="str" cm="1">
        <f t="array" ref="N247">IFERROR(IF(A248&lt;&gt;A247,_xlfn.STDEV.P(IF(A$9:A247=A247,T$9:T247)),""),"")</f>
        <v/>
      </c>
      <c r="O247" s="7" t="str" cm="1">
        <f t="array" ref="O247">IFERROR(IF(A248&lt;&gt;A247,_xlfn.STDEV.P(IF(A$9:A247=A247,S$9:S247)),""),"")</f>
        <v/>
      </c>
      <c r="P247" s="8" t="str">
        <f t="shared" si="84"/>
        <v/>
      </c>
      <c r="Q247" s="8" t="str">
        <f t="shared" si="85"/>
        <v/>
      </c>
      <c r="R247" s="8" t="str">
        <f t="shared" si="86"/>
        <v/>
      </c>
      <c r="S247" s="9" t="str">
        <f t="shared" si="87"/>
        <v/>
      </c>
      <c r="T247" s="9" t="str">
        <f t="shared" si="88"/>
        <v/>
      </c>
      <c r="U247" s="14"/>
      <c r="V247" s="15"/>
      <c r="W247" s="14" t="str">
        <f t="shared" si="89"/>
        <v/>
      </c>
      <c r="X247" s="15"/>
      <c r="Y247" s="2"/>
      <c r="AB247" s="22">
        <f t="shared" si="90"/>
        <v>1</v>
      </c>
      <c r="AC247" s="11"/>
      <c r="AD247" s="11"/>
      <c r="AE247" s="13"/>
      <c r="AF247" s="12"/>
      <c r="AG247" s="13"/>
      <c r="AH247" s="14"/>
      <c r="AI247" s="81" t="str">
        <f t="shared" si="91"/>
        <v/>
      </c>
      <c r="AJ247" s="15"/>
      <c r="AK247" s="6" t="e">
        <f t="shared" si="92"/>
        <v>#N/A</v>
      </c>
      <c r="AL247" s="6" t="str">
        <f>IF(AB248&lt;&gt;AB247,AVERAGEIF(AB$9:AB247,AB247,AK$9:AK247),"")</f>
        <v/>
      </c>
      <c r="AM247" s="7" t="str">
        <f>IFERROR(IF(AB248&lt;&gt;AB247,AVERAGEIF(AB$9:AB247,AB247,AT$9:AT247),""),"")</f>
        <v/>
      </c>
      <c r="AN247" s="7" t="str">
        <f>IFERROR(IF(AB248&lt;&gt;AB247,AVERAGEIF(AB$9:AB247,AB247,AU$9:AU247),""),"")</f>
        <v/>
      </c>
      <c r="AO247" s="7" t="str" cm="1">
        <f t="array" ref="AO247">IFERROR(IF(AB248&lt;&gt;AB247,_xlfn.STDEV.P(IF(AB$9:AB247=AB247,AU$9:AU247)),""),"")</f>
        <v/>
      </c>
      <c r="AP247" s="7" t="str" cm="1">
        <f t="array" ref="AP247">IFERROR(IF(AB248&lt;&gt;AB247,_xlfn.STDEV.P(IF(AB$9:AB247=AB247,AT$9:AT247)),""),"")</f>
        <v/>
      </c>
      <c r="AQ247" s="8" t="str">
        <f t="shared" si="93"/>
        <v/>
      </c>
      <c r="AR247" s="8" t="str">
        <f t="shared" si="94"/>
        <v/>
      </c>
      <c r="AS247" s="8" t="str">
        <f t="shared" si="95"/>
        <v/>
      </c>
      <c r="AT247" s="9" t="str">
        <f t="shared" si="96"/>
        <v/>
      </c>
      <c r="AU247" s="9" t="str">
        <f t="shared" si="97"/>
        <v/>
      </c>
      <c r="AV247" s="14"/>
      <c r="AW247" s="15"/>
      <c r="AX247" s="14" t="str">
        <f t="shared" si="98"/>
        <v/>
      </c>
      <c r="AY247" s="15"/>
      <c r="AZ247" s="23"/>
      <c r="EW247" t="s">
        <v>46</v>
      </c>
      <c r="EX247" s="33">
        <v>1220</v>
      </c>
      <c r="EY247" s="33" t="s">
        <v>632</v>
      </c>
      <c r="EZ247" s="33">
        <v>593899</v>
      </c>
      <c r="FA247" s="33" t="s">
        <v>51</v>
      </c>
      <c r="FB247" s="33" t="s">
        <v>473</v>
      </c>
      <c r="FC247" s="33" t="s">
        <v>53</v>
      </c>
      <c r="FD247" s="33" t="s">
        <v>476</v>
      </c>
      <c r="FE247" s="33">
        <v>2023</v>
      </c>
      <c r="FF247" s="33" t="s">
        <v>474</v>
      </c>
      <c r="FG247" s="33" t="s">
        <v>470</v>
      </c>
      <c r="FH247" s="33" t="s">
        <v>471</v>
      </c>
      <c r="FI247" s="33" t="s">
        <v>467</v>
      </c>
      <c r="FJ247" t="s">
        <v>474</v>
      </c>
      <c r="FM247" s="32" t="s">
        <v>624</v>
      </c>
      <c r="FN247" t="s">
        <v>625</v>
      </c>
      <c r="FO247" t="s">
        <v>626</v>
      </c>
      <c r="FP247" t="str">
        <f t="shared" si="80"/>
        <v>B</v>
      </c>
      <c r="FT247" s="69" t="s">
        <v>7389</v>
      </c>
      <c r="FU247" s="60">
        <v>0</v>
      </c>
      <c r="FV247" s="60">
        <v>0</v>
      </c>
      <c r="FW247" s="60">
        <v>0</v>
      </c>
      <c r="FX247" s="60">
        <v>0</v>
      </c>
      <c r="FY247" s="60">
        <v>0</v>
      </c>
      <c r="FZ247" s="60">
        <v>22</v>
      </c>
      <c r="GA247" s="60">
        <v>20.445</v>
      </c>
      <c r="GB247" s="60">
        <v>19.585000000000001</v>
      </c>
      <c r="GC247" s="60">
        <v>18.86</v>
      </c>
      <c r="GD247" s="60">
        <v>17.835000000000001</v>
      </c>
      <c r="GE247" s="60">
        <v>17.05</v>
      </c>
      <c r="GF247" s="60">
        <v>16.055</v>
      </c>
      <c r="GG247" s="60">
        <v>15.965</v>
      </c>
      <c r="GH247" s="60">
        <v>15.89</v>
      </c>
      <c r="GI247" s="60">
        <v>16.690000000000001</v>
      </c>
      <c r="GJ247" s="60">
        <v>17.024999999999999</v>
      </c>
      <c r="GK247" s="60">
        <v>17.384999999999998</v>
      </c>
      <c r="GL247" s="60">
        <v>17.274999999999999</v>
      </c>
      <c r="GM247" s="60">
        <v>17.155000000000001</v>
      </c>
      <c r="GN247" s="60">
        <v>17.729999999999997</v>
      </c>
      <c r="GO247" s="60">
        <v>18.77</v>
      </c>
      <c r="GP247" s="60">
        <v>19.939999999999998</v>
      </c>
      <c r="GQ247" s="60">
        <v>21.324999999999999</v>
      </c>
      <c r="GR247" s="60">
        <v>22.57</v>
      </c>
      <c r="GU247" s="53">
        <v>17</v>
      </c>
      <c r="GV247" s="53">
        <v>241</v>
      </c>
    </row>
    <row r="248" spans="1:204" ht="15.5" x14ac:dyDescent="0.35">
      <c r="A248" s="95">
        <f t="shared" si="81"/>
        <v>1</v>
      </c>
      <c r="B248" s="11"/>
      <c r="C248" s="11"/>
      <c r="D248" s="92" t="str">
        <f>IFERROR(
IF(AND(OR(Planilla!B248="C",Planilla!B248="c"), VLOOKUP(E248,EX:FJ,13,0)="C"), "OK",IF(AND(OR(Planilla!B248="C",Planilla!B248="c"), OR(VLOOKUP(E248,EX:FJ,13,0)="B", VLOOKUP(E248,EX:FJ,13,0)="A")), "DEFICIT",IF(
AND(OR(Planilla!B248="B", Planilla!B248="BPAL"), VLOOKUP(E248,EX:FJ,13,0)="B"), "OK",IF(AND(OR(Planilla!B248="B", Planilla!B248="BPAL"), VLOOKUP(E248,EX:FJ,13,0)="A"), "DEFICIT",IF(AND(OR(Planilla!B248="B", Planilla!B248="BPAL"), VLOOKUP(E248,EX:FJ,13,0)="C"), "SOBREOFERTA",IF(AND(Planilla!B248="A", VLOOKUP(E248,EX:FJ,13,0)="A"), "OK",IF(
AND(Planilla!B248="A", OR(VLOOKUP(E248,EX:FJ,13,0)="B", VLOOKUP(E248,EX:FJ,13,0)="C")), "SOBREOFERTA",""
))))))),"")</f>
        <v/>
      </c>
      <c r="E248" s="12"/>
      <c r="F248" s="13"/>
      <c r="G248" s="14"/>
      <c r="H248" s="81" t="str">
        <f t="shared" si="82"/>
        <v/>
      </c>
      <c r="I248" s="7"/>
      <c r="J248" s="6" t="e">
        <f t="shared" si="83"/>
        <v>#N/A</v>
      </c>
      <c r="K248" s="6" t="str">
        <f>IF(A249&lt;&gt;A248,AVERAGEIF(A$9:A248,A248,J$9:J248),"")</f>
        <v/>
      </c>
      <c r="L248" s="7" t="str">
        <f>IFERROR(IF(A249&lt;&gt;A248,AVERAGEIF(A$9:A248,A248,S$9:S248),""),"")</f>
        <v/>
      </c>
      <c r="M248" s="7" t="str">
        <f>IFERROR(IF(A249&lt;&gt;A248,AVERAGEIF(A$9:A248,A248,T$9:T248),""),"")</f>
        <v/>
      </c>
      <c r="N248" s="7" t="str" cm="1">
        <f t="array" ref="N248">IFERROR(IF(A249&lt;&gt;A248,_xlfn.STDEV.P(IF(A$9:A248=A248,T$9:T248)),""),"")</f>
        <v/>
      </c>
      <c r="O248" s="7" t="str" cm="1">
        <f t="array" ref="O248">IFERROR(IF(A249&lt;&gt;A248,_xlfn.STDEV.P(IF(A$9:A248=A248,S$9:S248)),""),"")</f>
        <v/>
      </c>
      <c r="P248" s="8" t="str">
        <f t="shared" si="84"/>
        <v/>
      </c>
      <c r="Q248" s="8" t="str">
        <f t="shared" si="85"/>
        <v/>
      </c>
      <c r="R248" s="8" t="str">
        <f t="shared" si="86"/>
        <v/>
      </c>
      <c r="S248" s="9" t="str">
        <f t="shared" si="87"/>
        <v/>
      </c>
      <c r="T248" s="9" t="str">
        <f t="shared" si="88"/>
        <v/>
      </c>
      <c r="U248" s="14"/>
      <c r="V248" s="15"/>
      <c r="W248" s="14" t="str">
        <f t="shared" si="89"/>
        <v/>
      </c>
      <c r="X248" s="15"/>
      <c r="Y248" s="2"/>
      <c r="AB248" s="22">
        <f t="shared" si="90"/>
        <v>1</v>
      </c>
      <c r="AC248" s="11"/>
      <c r="AD248" s="11"/>
      <c r="AE248" s="13"/>
      <c r="AF248" s="12"/>
      <c r="AG248" s="13"/>
      <c r="AH248" s="14"/>
      <c r="AI248" s="81" t="str">
        <f t="shared" si="91"/>
        <v/>
      </c>
      <c r="AJ248" s="15"/>
      <c r="AK248" s="6" t="e">
        <f t="shared" si="92"/>
        <v>#N/A</v>
      </c>
      <c r="AL248" s="6" t="str">
        <f>IF(AB249&lt;&gt;AB248,AVERAGEIF(AB$9:AB248,AB248,AK$9:AK248),"")</f>
        <v/>
      </c>
      <c r="AM248" s="7" t="str">
        <f>IFERROR(IF(AB249&lt;&gt;AB248,AVERAGEIF(AB$9:AB248,AB248,AT$9:AT248),""),"")</f>
        <v/>
      </c>
      <c r="AN248" s="7" t="str">
        <f>IFERROR(IF(AB249&lt;&gt;AB248,AVERAGEIF(AB$9:AB248,AB248,AU$9:AU248),""),"")</f>
        <v/>
      </c>
      <c r="AO248" s="7" t="str" cm="1">
        <f t="array" ref="AO248">IFERROR(IF(AB249&lt;&gt;AB248,_xlfn.STDEV.P(IF(AB$9:AB248=AB248,AU$9:AU248)),""),"")</f>
        <v/>
      </c>
      <c r="AP248" s="7" t="str" cm="1">
        <f t="array" ref="AP248">IFERROR(IF(AB249&lt;&gt;AB248,_xlfn.STDEV.P(IF(AB$9:AB248=AB248,AT$9:AT248)),""),"")</f>
        <v/>
      </c>
      <c r="AQ248" s="8" t="str">
        <f t="shared" si="93"/>
        <v/>
      </c>
      <c r="AR248" s="8" t="str">
        <f t="shared" si="94"/>
        <v/>
      </c>
      <c r="AS248" s="8" t="str">
        <f t="shared" si="95"/>
        <v/>
      </c>
      <c r="AT248" s="9" t="str">
        <f t="shared" si="96"/>
        <v/>
      </c>
      <c r="AU248" s="9" t="str">
        <f t="shared" si="97"/>
        <v/>
      </c>
      <c r="AV248" s="14"/>
      <c r="AW248" s="15"/>
      <c r="AX248" s="14" t="str">
        <f t="shared" si="98"/>
        <v/>
      </c>
      <c r="AY248" s="15"/>
      <c r="AZ248" s="23"/>
      <c r="EW248" t="s">
        <v>46</v>
      </c>
      <c r="EX248" s="33">
        <v>1221</v>
      </c>
      <c r="EY248" s="33" t="s">
        <v>633</v>
      </c>
      <c r="EZ248" s="33">
        <v>593420</v>
      </c>
      <c r="FA248" s="33" t="s">
        <v>51</v>
      </c>
      <c r="FB248" s="33" t="s">
        <v>473</v>
      </c>
      <c r="FC248" s="33" t="s">
        <v>53</v>
      </c>
      <c r="FD248" s="33" t="s">
        <v>476</v>
      </c>
      <c r="FE248" s="33">
        <v>2023</v>
      </c>
      <c r="FF248" s="33" t="s">
        <v>474</v>
      </c>
      <c r="FG248" s="33" t="s">
        <v>470</v>
      </c>
      <c r="FH248" s="33" t="s">
        <v>471</v>
      </c>
      <c r="FI248" s="33" t="s">
        <v>467</v>
      </c>
      <c r="FJ248" t="s">
        <v>474</v>
      </c>
      <c r="FM248" s="32" t="s">
        <v>624</v>
      </c>
      <c r="FN248" t="s">
        <v>625</v>
      </c>
      <c r="FO248" t="s">
        <v>626</v>
      </c>
      <c r="FP248" t="str">
        <f t="shared" si="80"/>
        <v>B</v>
      </c>
      <c r="FT248" s="69" t="s">
        <v>7408</v>
      </c>
      <c r="FU248" s="60">
        <v>17.984999999999999</v>
      </c>
      <c r="FV248" s="60">
        <v>0</v>
      </c>
      <c r="FW248" s="60">
        <v>0</v>
      </c>
      <c r="FX248" s="60">
        <v>0</v>
      </c>
      <c r="FY248" s="60">
        <v>0</v>
      </c>
      <c r="FZ248" s="60">
        <v>12.26</v>
      </c>
      <c r="GA248" s="60">
        <v>22.75</v>
      </c>
      <c r="GB248" s="60">
        <v>21.594999999999999</v>
      </c>
      <c r="GC248" s="60">
        <v>20.759999999999998</v>
      </c>
      <c r="GD248" s="60">
        <v>20.175000000000001</v>
      </c>
      <c r="GE248" s="60">
        <v>20.105</v>
      </c>
      <c r="GF248" s="60">
        <v>19.574999999999999</v>
      </c>
      <c r="GG248" s="60">
        <v>18.935000000000002</v>
      </c>
      <c r="GH248" s="60">
        <v>18.734999999999999</v>
      </c>
      <c r="GI248" s="60">
        <v>19.489999999999998</v>
      </c>
      <c r="GJ248" s="60">
        <v>20.869999999999997</v>
      </c>
      <c r="GK248" s="60">
        <v>21.055</v>
      </c>
      <c r="GL248" s="60">
        <v>21.975000000000001</v>
      </c>
      <c r="GM248" s="60">
        <v>23.03</v>
      </c>
      <c r="GN248" s="60">
        <v>24.835000000000001</v>
      </c>
      <c r="GO248" s="60">
        <v>26.274999999999999</v>
      </c>
      <c r="GP248" s="60">
        <v>28.835000000000001</v>
      </c>
      <c r="GQ248" s="60">
        <v>31.585000000000001</v>
      </c>
      <c r="GR248" s="60">
        <v>33.019999999999996</v>
      </c>
      <c r="GU248" s="53">
        <v>18</v>
      </c>
      <c r="GV248" s="53">
        <v>242</v>
      </c>
    </row>
    <row r="249" spans="1:204" ht="15.5" x14ac:dyDescent="0.35">
      <c r="A249" s="95">
        <f t="shared" si="81"/>
        <v>1</v>
      </c>
      <c r="B249" s="11"/>
      <c r="C249" s="11"/>
      <c r="D249" s="92" t="str">
        <f>IFERROR(
IF(AND(OR(Planilla!B249="C",Planilla!B249="c"), VLOOKUP(E249,EX:FJ,13,0)="C"), "OK",IF(AND(OR(Planilla!B249="C",Planilla!B249="c"), OR(VLOOKUP(E249,EX:FJ,13,0)="B", VLOOKUP(E249,EX:FJ,13,0)="A")), "DEFICIT",IF(
AND(OR(Planilla!B249="B", Planilla!B249="BPAL"), VLOOKUP(E249,EX:FJ,13,0)="B"), "OK",IF(AND(OR(Planilla!B249="B", Planilla!B249="BPAL"), VLOOKUP(E249,EX:FJ,13,0)="A"), "DEFICIT",IF(AND(OR(Planilla!B249="B", Planilla!B249="BPAL"), VLOOKUP(E249,EX:FJ,13,0)="C"), "SOBREOFERTA",IF(AND(Planilla!B249="A", VLOOKUP(E249,EX:FJ,13,0)="A"), "OK",IF(
AND(Planilla!B249="A", OR(VLOOKUP(E249,EX:FJ,13,0)="B", VLOOKUP(E249,EX:FJ,13,0)="C")), "SOBREOFERTA",""
))))))),"")</f>
        <v/>
      </c>
      <c r="E249" s="12"/>
      <c r="F249" s="13"/>
      <c r="G249" s="14"/>
      <c r="H249" s="81" t="str">
        <f t="shared" si="82"/>
        <v/>
      </c>
      <c r="I249" s="7"/>
      <c r="J249" s="6" t="e">
        <f t="shared" si="83"/>
        <v>#N/A</v>
      </c>
      <c r="K249" s="6" t="str">
        <f>IF(A250&lt;&gt;A249,AVERAGEIF(A$9:A249,A249,J$9:J249),"")</f>
        <v/>
      </c>
      <c r="L249" s="7" t="str">
        <f>IFERROR(IF(A250&lt;&gt;A249,AVERAGEIF(A$9:A249,A249,S$9:S249),""),"")</f>
        <v/>
      </c>
      <c r="M249" s="7" t="str">
        <f>IFERROR(IF(A250&lt;&gt;A249,AVERAGEIF(A$9:A249,A249,T$9:T249),""),"")</f>
        <v/>
      </c>
      <c r="N249" s="7" t="str" cm="1">
        <f t="array" ref="N249">IFERROR(IF(A250&lt;&gt;A249,_xlfn.STDEV.P(IF(A$9:A249=A249,T$9:T249)),""),"")</f>
        <v/>
      </c>
      <c r="O249" s="7" t="str" cm="1">
        <f t="array" ref="O249">IFERROR(IF(A250&lt;&gt;A249,_xlfn.STDEV.P(IF(A$9:A249=A249,S$9:S249)),""),"")</f>
        <v/>
      </c>
      <c r="P249" s="8" t="str">
        <f t="shared" si="84"/>
        <v/>
      </c>
      <c r="Q249" s="8" t="str">
        <f t="shared" si="85"/>
        <v/>
      </c>
      <c r="R249" s="8" t="str">
        <f t="shared" si="86"/>
        <v/>
      </c>
      <c r="S249" s="9" t="str">
        <f t="shared" si="87"/>
        <v/>
      </c>
      <c r="T249" s="9" t="str">
        <f t="shared" si="88"/>
        <v/>
      </c>
      <c r="U249" s="14"/>
      <c r="V249" s="15"/>
      <c r="W249" s="14" t="str">
        <f t="shared" si="89"/>
        <v/>
      </c>
      <c r="X249" s="15"/>
      <c r="Y249" s="2"/>
      <c r="AB249" s="22">
        <f t="shared" si="90"/>
        <v>1</v>
      </c>
      <c r="AC249" s="11"/>
      <c r="AD249" s="11"/>
      <c r="AE249" s="13"/>
      <c r="AF249" s="12"/>
      <c r="AG249" s="13"/>
      <c r="AH249" s="14"/>
      <c r="AI249" s="81" t="str">
        <f t="shared" si="91"/>
        <v/>
      </c>
      <c r="AJ249" s="15"/>
      <c r="AK249" s="6" t="e">
        <f t="shared" si="92"/>
        <v>#N/A</v>
      </c>
      <c r="AL249" s="6" t="str">
        <f>IF(AB250&lt;&gt;AB249,AVERAGEIF(AB$9:AB249,AB249,AK$9:AK249),"")</f>
        <v/>
      </c>
      <c r="AM249" s="7" t="str">
        <f>IFERROR(IF(AB250&lt;&gt;AB249,AVERAGEIF(AB$9:AB249,AB249,AT$9:AT249),""),"")</f>
        <v/>
      </c>
      <c r="AN249" s="7" t="str">
        <f>IFERROR(IF(AB250&lt;&gt;AB249,AVERAGEIF(AB$9:AB249,AB249,AU$9:AU249),""),"")</f>
        <v/>
      </c>
      <c r="AO249" s="7" t="str" cm="1">
        <f t="array" ref="AO249">IFERROR(IF(AB250&lt;&gt;AB249,_xlfn.STDEV.P(IF(AB$9:AB249=AB249,AU$9:AU249)),""),"")</f>
        <v/>
      </c>
      <c r="AP249" s="7" t="str" cm="1">
        <f t="array" ref="AP249">IFERROR(IF(AB250&lt;&gt;AB249,_xlfn.STDEV.P(IF(AB$9:AB249=AB249,AT$9:AT249)),""),"")</f>
        <v/>
      </c>
      <c r="AQ249" s="8" t="str">
        <f t="shared" si="93"/>
        <v/>
      </c>
      <c r="AR249" s="8" t="str">
        <f t="shared" si="94"/>
        <v/>
      </c>
      <c r="AS249" s="8" t="str">
        <f t="shared" si="95"/>
        <v/>
      </c>
      <c r="AT249" s="9" t="str">
        <f t="shared" si="96"/>
        <v/>
      </c>
      <c r="AU249" s="9" t="str">
        <f t="shared" si="97"/>
        <v/>
      </c>
      <c r="AV249" s="14"/>
      <c r="AW249" s="15"/>
      <c r="AX249" s="14" t="str">
        <f t="shared" si="98"/>
        <v/>
      </c>
      <c r="AY249" s="15"/>
      <c r="AZ249" s="23"/>
      <c r="EW249" t="s">
        <v>46</v>
      </c>
      <c r="EX249" s="33">
        <v>1222</v>
      </c>
      <c r="EY249" s="33" t="s">
        <v>634</v>
      </c>
      <c r="EZ249" s="33">
        <v>593506</v>
      </c>
      <c r="FA249" s="33" t="s">
        <v>51</v>
      </c>
      <c r="FB249" s="33" t="s">
        <v>473</v>
      </c>
      <c r="FC249" s="33" t="s">
        <v>53</v>
      </c>
      <c r="FD249" s="33" t="s">
        <v>476</v>
      </c>
      <c r="FE249" s="33">
        <v>2023</v>
      </c>
      <c r="FF249" s="33" t="s">
        <v>474</v>
      </c>
      <c r="FG249" s="33" t="s">
        <v>470</v>
      </c>
      <c r="FH249" s="33" t="s">
        <v>471</v>
      </c>
      <c r="FI249" s="33" t="s">
        <v>467</v>
      </c>
      <c r="FJ249" t="s">
        <v>474</v>
      </c>
      <c r="FM249" s="32" t="s">
        <v>624</v>
      </c>
      <c r="FN249" t="s">
        <v>625</v>
      </c>
      <c r="FO249" t="s">
        <v>626</v>
      </c>
      <c r="FP249" t="str">
        <f t="shared" si="80"/>
        <v>B</v>
      </c>
      <c r="FT249" s="69" t="s">
        <v>7408</v>
      </c>
      <c r="FU249" s="60">
        <v>0</v>
      </c>
      <c r="FV249" s="60">
        <v>0</v>
      </c>
      <c r="FW249" s="60">
        <v>0</v>
      </c>
      <c r="FX249" s="60">
        <v>0</v>
      </c>
      <c r="FY249" s="60">
        <v>0</v>
      </c>
      <c r="FZ249" s="60">
        <v>12.94</v>
      </c>
      <c r="GA249" s="60">
        <v>24.555</v>
      </c>
      <c r="GB249" s="60">
        <v>22.86</v>
      </c>
      <c r="GC249" s="60">
        <v>22.564999999999998</v>
      </c>
      <c r="GD249" s="60">
        <v>21.77</v>
      </c>
      <c r="GE249" s="60">
        <v>20.41</v>
      </c>
      <c r="GF249" s="60">
        <v>18.454999999999998</v>
      </c>
      <c r="GG249" s="60">
        <v>16.600000000000001</v>
      </c>
      <c r="GH249" s="60">
        <v>15.285</v>
      </c>
      <c r="GI249" s="60">
        <v>15.09</v>
      </c>
      <c r="GJ249" s="60">
        <v>16.27</v>
      </c>
      <c r="GK249" s="60">
        <v>17.130000000000003</v>
      </c>
      <c r="GL249" s="60">
        <v>17.055</v>
      </c>
      <c r="GM249" s="60">
        <v>17.015000000000001</v>
      </c>
      <c r="GN249" s="60">
        <v>17.689999999999998</v>
      </c>
      <c r="GO249" s="60">
        <v>19.035</v>
      </c>
      <c r="GP249" s="60">
        <v>21.4</v>
      </c>
      <c r="GQ249" s="60">
        <v>24.274999999999999</v>
      </c>
      <c r="GR249" s="60">
        <v>26.634999999999998</v>
      </c>
      <c r="GU249" s="53">
        <v>19</v>
      </c>
      <c r="GV249" s="53">
        <v>243</v>
      </c>
    </row>
    <row r="250" spans="1:204" ht="15.5" x14ac:dyDescent="0.35">
      <c r="A250" s="95">
        <f t="shared" si="81"/>
        <v>1</v>
      </c>
      <c r="B250" s="11"/>
      <c r="C250" s="11"/>
      <c r="D250" s="92" t="str">
        <f>IFERROR(
IF(AND(OR(Planilla!B250="C",Planilla!B250="c"), VLOOKUP(E250,EX:FJ,13,0)="C"), "OK",IF(AND(OR(Planilla!B250="C",Planilla!B250="c"), OR(VLOOKUP(E250,EX:FJ,13,0)="B", VLOOKUP(E250,EX:FJ,13,0)="A")), "DEFICIT",IF(
AND(OR(Planilla!B250="B", Planilla!B250="BPAL"), VLOOKUP(E250,EX:FJ,13,0)="B"), "OK",IF(AND(OR(Planilla!B250="B", Planilla!B250="BPAL"), VLOOKUP(E250,EX:FJ,13,0)="A"), "DEFICIT",IF(AND(OR(Planilla!B250="B", Planilla!B250="BPAL"), VLOOKUP(E250,EX:FJ,13,0)="C"), "SOBREOFERTA",IF(AND(Planilla!B250="A", VLOOKUP(E250,EX:FJ,13,0)="A"), "OK",IF(
AND(Planilla!B250="A", OR(VLOOKUP(E250,EX:FJ,13,0)="B", VLOOKUP(E250,EX:FJ,13,0)="C")), "SOBREOFERTA",""
))))))),"")</f>
        <v/>
      </c>
      <c r="E250" s="12"/>
      <c r="F250" s="13"/>
      <c r="G250" s="14"/>
      <c r="H250" s="81" t="str">
        <f t="shared" si="82"/>
        <v/>
      </c>
      <c r="I250" s="7"/>
      <c r="J250" s="6" t="e">
        <f t="shared" si="83"/>
        <v>#N/A</v>
      </c>
      <c r="K250" s="6" t="str">
        <f>IF(A251&lt;&gt;A250,AVERAGEIF(A$9:A250,A250,J$9:J250),"")</f>
        <v/>
      </c>
      <c r="L250" s="7" t="str">
        <f>IFERROR(IF(A251&lt;&gt;A250,AVERAGEIF(A$9:A250,A250,S$9:S250),""),"")</f>
        <v/>
      </c>
      <c r="M250" s="7" t="str">
        <f>IFERROR(IF(A251&lt;&gt;A250,AVERAGEIF(A$9:A250,A250,T$9:T250),""),"")</f>
        <v/>
      </c>
      <c r="N250" s="7" t="str" cm="1">
        <f t="array" ref="N250">IFERROR(IF(A251&lt;&gt;A250,_xlfn.STDEV.P(IF(A$9:A250=A250,T$9:T250)),""),"")</f>
        <v/>
      </c>
      <c r="O250" s="7" t="str" cm="1">
        <f t="array" ref="O250">IFERROR(IF(A251&lt;&gt;A250,_xlfn.STDEV.P(IF(A$9:A250=A250,S$9:S250)),""),"")</f>
        <v/>
      </c>
      <c r="P250" s="8" t="str">
        <f t="shared" si="84"/>
        <v/>
      </c>
      <c r="Q250" s="8" t="str">
        <f t="shared" si="85"/>
        <v/>
      </c>
      <c r="R250" s="8" t="str">
        <f t="shared" si="86"/>
        <v/>
      </c>
      <c r="S250" s="9" t="str">
        <f t="shared" si="87"/>
        <v/>
      </c>
      <c r="T250" s="9" t="str">
        <f t="shared" si="88"/>
        <v/>
      </c>
      <c r="U250" s="14"/>
      <c r="V250" s="15"/>
      <c r="W250" s="14" t="str">
        <f t="shared" si="89"/>
        <v/>
      </c>
      <c r="X250" s="15"/>
      <c r="Y250" s="2"/>
      <c r="AB250" s="22">
        <f t="shared" si="90"/>
        <v>1</v>
      </c>
      <c r="AC250" s="11"/>
      <c r="AD250" s="11"/>
      <c r="AE250" s="13"/>
      <c r="AF250" s="12"/>
      <c r="AG250" s="13"/>
      <c r="AH250" s="14"/>
      <c r="AI250" s="81" t="str">
        <f t="shared" si="91"/>
        <v/>
      </c>
      <c r="AJ250" s="15"/>
      <c r="AK250" s="6" t="e">
        <f t="shared" si="92"/>
        <v>#N/A</v>
      </c>
      <c r="AL250" s="6" t="str">
        <f>IF(AB251&lt;&gt;AB250,AVERAGEIF(AB$9:AB250,AB250,AK$9:AK250),"")</f>
        <v/>
      </c>
      <c r="AM250" s="7" t="str">
        <f>IFERROR(IF(AB251&lt;&gt;AB250,AVERAGEIF(AB$9:AB250,AB250,AT$9:AT250),""),"")</f>
        <v/>
      </c>
      <c r="AN250" s="7" t="str">
        <f>IFERROR(IF(AB251&lt;&gt;AB250,AVERAGEIF(AB$9:AB250,AB250,AU$9:AU250),""),"")</f>
        <v/>
      </c>
      <c r="AO250" s="7" t="str" cm="1">
        <f t="array" ref="AO250">IFERROR(IF(AB251&lt;&gt;AB250,_xlfn.STDEV.P(IF(AB$9:AB250=AB250,AU$9:AU250)),""),"")</f>
        <v/>
      </c>
      <c r="AP250" s="7" t="str" cm="1">
        <f t="array" ref="AP250">IFERROR(IF(AB251&lt;&gt;AB250,_xlfn.STDEV.P(IF(AB$9:AB250=AB250,AT$9:AT250)),""),"")</f>
        <v/>
      </c>
      <c r="AQ250" s="8" t="str">
        <f t="shared" si="93"/>
        <v/>
      </c>
      <c r="AR250" s="8" t="str">
        <f t="shared" si="94"/>
        <v/>
      </c>
      <c r="AS250" s="8" t="str">
        <f t="shared" si="95"/>
        <v/>
      </c>
      <c r="AT250" s="9" t="str">
        <f t="shared" si="96"/>
        <v/>
      </c>
      <c r="AU250" s="9" t="str">
        <f t="shared" si="97"/>
        <v/>
      </c>
      <c r="AV250" s="14"/>
      <c r="AW250" s="15"/>
      <c r="AX250" s="14" t="str">
        <f t="shared" si="98"/>
        <v/>
      </c>
      <c r="AY250" s="15"/>
      <c r="AZ250" s="23"/>
      <c r="EW250" t="s">
        <v>46</v>
      </c>
      <c r="EX250" s="33">
        <v>1223</v>
      </c>
      <c r="EY250" s="33" t="s">
        <v>635</v>
      </c>
      <c r="EZ250" s="33">
        <v>593418</v>
      </c>
      <c r="FA250" s="33" t="s">
        <v>51</v>
      </c>
      <c r="FB250" s="33" t="s">
        <v>473</v>
      </c>
      <c r="FC250" s="33" t="s">
        <v>53</v>
      </c>
      <c r="FD250" s="33" t="s">
        <v>476</v>
      </c>
      <c r="FE250" s="33">
        <v>2023</v>
      </c>
      <c r="FF250" s="33" t="s">
        <v>474</v>
      </c>
      <c r="FG250" s="33" t="s">
        <v>470</v>
      </c>
      <c r="FH250" s="33" t="s">
        <v>471</v>
      </c>
      <c r="FI250" s="33" t="s">
        <v>467</v>
      </c>
      <c r="FJ250" t="s">
        <v>474</v>
      </c>
      <c r="FM250" s="32" t="s">
        <v>636</v>
      </c>
      <c r="FN250" t="s">
        <v>637</v>
      </c>
      <c r="FO250" t="s">
        <v>638</v>
      </c>
      <c r="FP250" t="str">
        <f t="shared" si="80"/>
        <v>B</v>
      </c>
      <c r="FT250" s="69" t="s">
        <v>7409</v>
      </c>
      <c r="FU250" s="60">
        <v>0</v>
      </c>
      <c r="FV250" s="60">
        <v>0</v>
      </c>
      <c r="FW250" s="60">
        <v>0</v>
      </c>
      <c r="FX250" s="60">
        <v>0</v>
      </c>
      <c r="FY250" s="60">
        <v>0</v>
      </c>
      <c r="FZ250" s="60">
        <v>9.4450000000000003</v>
      </c>
      <c r="GA250" s="60">
        <v>19.524999999999999</v>
      </c>
      <c r="GB250" s="60">
        <v>19.785</v>
      </c>
      <c r="GC250" s="60">
        <v>19.09</v>
      </c>
      <c r="GD250" s="60">
        <v>18.965</v>
      </c>
      <c r="GE250" s="60">
        <v>18.035</v>
      </c>
      <c r="GF250" s="60">
        <v>18.630000000000003</v>
      </c>
      <c r="GG250" s="60">
        <v>18.094999999999999</v>
      </c>
      <c r="GH250" s="60">
        <v>17.805</v>
      </c>
      <c r="GI250" s="60">
        <v>18.585000000000001</v>
      </c>
      <c r="GJ250" s="60">
        <v>18.835000000000001</v>
      </c>
      <c r="GK250" s="60">
        <v>19.899999999999999</v>
      </c>
      <c r="GL250" s="60">
        <v>21.48</v>
      </c>
      <c r="GM250" s="60">
        <v>24.075000000000003</v>
      </c>
      <c r="GN250" s="60">
        <v>26.62</v>
      </c>
      <c r="GO250" s="60">
        <v>27.245000000000001</v>
      </c>
      <c r="GP250" s="60">
        <v>28.005000000000003</v>
      </c>
      <c r="GQ250" s="60">
        <v>30.074999999999999</v>
      </c>
      <c r="GR250" s="60">
        <v>15.59</v>
      </c>
      <c r="GU250" s="53">
        <v>20</v>
      </c>
      <c r="GV250" s="53">
        <v>244</v>
      </c>
    </row>
    <row r="251" spans="1:204" ht="15.5" x14ac:dyDescent="0.35">
      <c r="A251" s="95">
        <f t="shared" si="81"/>
        <v>1</v>
      </c>
      <c r="B251" s="11"/>
      <c r="C251" s="11"/>
      <c r="D251" s="92" t="str">
        <f>IFERROR(
IF(AND(OR(Planilla!B251="C",Planilla!B251="c"), VLOOKUP(E251,EX:FJ,13,0)="C"), "OK",IF(AND(OR(Planilla!B251="C",Planilla!B251="c"), OR(VLOOKUP(E251,EX:FJ,13,0)="B", VLOOKUP(E251,EX:FJ,13,0)="A")), "DEFICIT",IF(
AND(OR(Planilla!B251="B", Planilla!B251="BPAL"), VLOOKUP(E251,EX:FJ,13,0)="B"), "OK",IF(AND(OR(Planilla!B251="B", Planilla!B251="BPAL"), VLOOKUP(E251,EX:FJ,13,0)="A"), "DEFICIT",IF(AND(OR(Planilla!B251="B", Planilla!B251="BPAL"), VLOOKUP(E251,EX:FJ,13,0)="C"), "SOBREOFERTA",IF(AND(Planilla!B251="A", VLOOKUP(E251,EX:FJ,13,0)="A"), "OK",IF(
AND(Planilla!B251="A", OR(VLOOKUP(E251,EX:FJ,13,0)="B", VLOOKUP(E251,EX:FJ,13,0)="C")), "SOBREOFERTA",""
))))))),"")</f>
        <v/>
      </c>
      <c r="E251" s="12"/>
      <c r="F251" s="13"/>
      <c r="G251" s="14"/>
      <c r="H251" s="81" t="str">
        <f t="shared" si="82"/>
        <v/>
      </c>
      <c r="I251" s="7"/>
      <c r="J251" s="6" t="e">
        <f t="shared" si="83"/>
        <v>#N/A</v>
      </c>
      <c r="K251" s="6" t="str">
        <f>IF(A252&lt;&gt;A251,AVERAGEIF(A$9:A251,A251,J$9:J251),"")</f>
        <v/>
      </c>
      <c r="L251" s="7" t="str">
        <f>IFERROR(IF(A252&lt;&gt;A251,AVERAGEIF(A$9:A251,A251,S$9:S251),""),"")</f>
        <v/>
      </c>
      <c r="M251" s="7" t="str">
        <f>IFERROR(IF(A252&lt;&gt;A251,AVERAGEIF(A$9:A251,A251,T$9:T251),""),"")</f>
        <v/>
      </c>
      <c r="N251" s="7" t="str" cm="1">
        <f t="array" ref="N251">IFERROR(IF(A252&lt;&gt;A251,_xlfn.STDEV.P(IF(A$9:A251=A251,T$9:T251)),""),"")</f>
        <v/>
      </c>
      <c r="O251" s="7" t="str" cm="1">
        <f t="array" ref="O251">IFERROR(IF(A252&lt;&gt;A251,_xlfn.STDEV.P(IF(A$9:A251=A251,S$9:S251)),""),"")</f>
        <v/>
      </c>
      <c r="P251" s="8" t="str">
        <f t="shared" si="84"/>
        <v/>
      </c>
      <c r="Q251" s="8" t="str">
        <f t="shared" si="85"/>
        <v/>
      </c>
      <c r="R251" s="8" t="str">
        <f t="shared" si="86"/>
        <v/>
      </c>
      <c r="S251" s="9" t="str">
        <f t="shared" si="87"/>
        <v/>
      </c>
      <c r="T251" s="9" t="str">
        <f t="shared" si="88"/>
        <v/>
      </c>
      <c r="U251" s="14"/>
      <c r="V251" s="15"/>
      <c r="W251" s="14" t="str">
        <f t="shared" si="89"/>
        <v/>
      </c>
      <c r="X251" s="15"/>
      <c r="Y251" s="2"/>
      <c r="AB251" s="22">
        <f t="shared" si="90"/>
        <v>1</v>
      </c>
      <c r="AC251" s="11"/>
      <c r="AD251" s="11"/>
      <c r="AE251" s="13"/>
      <c r="AF251" s="12"/>
      <c r="AG251" s="13"/>
      <c r="AH251" s="14"/>
      <c r="AI251" s="81" t="str">
        <f t="shared" si="91"/>
        <v/>
      </c>
      <c r="AJ251" s="15"/>
      <c r="AK251" s="6" t="e">
        <f t="shared" si="92"/>
        <v>#N/A</v>
      </c>
      <c r="AL251" s="6" t="str">
        <f>IF(AB252&lt;&gt;AB251,AVERAGEIF(AB$9:AB251,AB251,AK$9:AK251),"")</f>
        <v/>
      </c>
      <c r="AM251" s="7" t="str">
        <f>IFERROR(IF(AB252&lt;&gt;AB251,AVERAGEIF(AB$9:AB251,AB251,AT$9:AT251),""),"")</f>
        <v/>
      </c>
      <c r="AN251" s="7" t="str">
        <f>IFERROR(IF(AB252&lt;&gt;AB251,AVERAGEIF(AB$9:AB251,AB251,AU$9:AU251),""),"")</f>
        <v/>
      </c>
      <c r="AO251" s="7" t="str" cm="1">
        <f t="array" ref="AO251">IFERROR(IF(AB252&lt;&gt;AB251,_xlfn.STDEV.P(IF(AB$9:AB251=AB251,AU$9:AU251)),""),"")</f>
        <v/>
      </c>
      <c r="AP251" s="7" t="str" cm="1">
        <f t="array" ref="AP251">IFERROR(IF(AB252&lt;&gt;AB251,_xlfn.STDEV.P(IF(AB$9:AB251=AB251,AT$9:AT251)),""),"")</f>
        <v/>
      </c>
      <c r="AQ251" s="8" t="str">
        <f t="shared" si="93"/>
        <v/>
      </c>
      <c r="AR251" s="8" t="str">
        <f t="shared" si="94"/>
        <v/>
      </c>
      <c r="AS251" s="8" t="str">
        <f t="shared" si="95"/>
        <v/>
      </c>
      <c r="AT251" s="9" t="str">
        <f t="shared" si="96"/>
        <v/>
      </c>
      <c r="AU251" s="9" t="str">
        <f t="shared" si="97"/>
        <v/>
      </c>
      <c r="AV251" s="14"/>
      <c r="AW251" s="15"/>
      <c r="AX251" s="14" t="str">
        <f t="shared" si="98"/>
        <v/>
      </c>
      <c r="AY251" s="15"/>
      <c r="AZ251" s="23"/>
      <c r="EW251" t="s">
        <v>46</v>
      </c>
      <c r="EX251" s="33">
        <v>1224</v>
      </c>
      <c r="EY251" s="33" t="s">
        <v>639</v>
      </c>
      <c r="EZ251" s="33">
        <v>593145</v>
      </c>
      <c r="FA251" s="33" t="s">
        <v>51</v>
      </c>
      <c r="FB251" s="33" t="s">
        <v>473</v>
      </c>
      <c r="FC251" s="33" t="s">
        <v>53</v>
      </c>
      <c r="FD251" s="33" t="s">
        <v>476</v>
      </c>
      <c r="FE251" s="33">
        <v>2023</v>
      </c>
      <c r="FF251" s="33" t="s">
        <v>474</v>
      </c>
      <c r="FG251" s="33" t="s">
        <v>470</v>
      </c>
      <c r="FH251" s="33" t="s">
        <v>471</v>
      </c>
      <c r="FI251" s="33" t="s">
        <v>467</v>
      </c>
      <c r="FJ251" t="s">
        <v>474</v>
      </c>
      <c r="FM251" s="32" t="s">
        <v>636</v>
      </c>
      <c r="FN251" t="s">
        <v>637</v>
      </c>
      <c r="FO251" t="s">
        <v>638</v>
      </c>
      <c r="FP251" t="str">
        <f t="shared" si="80"/>
        <v>B</v>
      </c>
      <c r="FT251" s="69" t="s">
        <v>7409</v>
      </c>
      <c r="FU251" s="60">
        <v>0</v>
      </c>
      <c r="FV251" s="60">
        <v>0</v>
      </c>
      <c r="FW251" s="60">
        <v>0</v>
      </c>
      <c r="FX251" s="60">
        <v>0</v>
      </c>
      <c r="FY251" s="60">
        <v>0</v>
      </c>
      <c r="FZ251" s="60">
        <v>35.284999999999997</v>
      </c>
      <c r="GA251" s="60">
        <v>30.125</v>
      </c>
      <c r="GB251" s="60">
        <v>23.92</v>
      </c>
      <c r="GC251" s="60">
        <v>24.274999999999999</v>
      </c>
      <c r="GD251" s="60">
        <v>24.625</v>
      </c>
      <c r="GE251" s="60">
        <v>24.53</v>
      </c>
      <c r="GF251" s="60">
        <v>22.664999999999999</v>
      </c>
      <c r="GG251" s="60">
        <v>21.594999999999999</v>
      </c>
      <c r="GH251" s="60">
        <v>19.324999999999999</v>
      </c>
      <c r="GI251" s="60">
        <v>19.02</v>
      </c>
      <c r="GJ251" s="60">
        <v>19.8</v>
      </c>
      <c r="GK251" s="60">
        <v>20.435000000000002</v>
      </c>
      <c r="GL251" s="60">
        <v>19.734999999999999</v>
      </c>
      <c r="GM251" s="60">
        <v>20.524999999999999</v>
      </c>
      <c r="GN251" s="60">
        <v>20.984999999999999</v>
      </c>
      <c r="GO251" s="60">
        <v>21.265000000000001</v>
      </c>
      <c r="GP251" s="60">
        <v>22.954999999999998</v>
      </c>
      <c r="GQ251" s="60">
        <v>25.105</v>
      </c>
      <c r="GR251" s="60">
        <v>0</v>
      </c>
      <c r="GU251" s="53">
        <v>21</v>
      </c>
      <c r="GV251" s="53">
        <v>245</v>
      </c>
    </row>
    <row r="252" spans="1:204" ht="15.5" x14ac:dyDescent="0.35">
      <c r="A252" s="95">
        <f t="shared" si="81"/>
        <v>1</v>
      </c>
      <c r="B252" s="11"/>
      <c r="C252" s="11"/>
      <c r="D252" s="92" t="str">
        <f>IFERROR(
IF(AND(OR(Planilla!B252="C",Planilla!B252="c"), VLOOKUP(E252,EX:FJ,13,0)="C"), "OK",IF(AND(OR(Planilla!B252="C",Planilla!B252="c"), OR(VLOOKUP(E252,EX:FJ,13,0)="B", VLOOKUP(E252,EX:FJ,13,0)="A")), "DEFICIT",IF(
AND(OR(Planilla!B252="B", Planilla!B252="BPAL"), VLOOKUP(E252,EX:FJ,13,0)="B"), "OK",IF(AND(OR(Planilla!B252="B", Planilla!B252="BPAL"), VLOOKUP(E252,EX:FJ,13,0)="A"), "DEFICIT",IF(AND(OR(Planilla!B252="B", Planilla!B252="BPAL"), VLOOKUP(E252,EX:FJ,13,0)="C"), "SOBREOFERTA",IF(AND(Planilla!B252="A", VLOOKUP(E252,EX:FJ,13,0)="A"), "OK",IF(
AND(Planilla!B252="A", OR(VLOOKUP(E252,EX:FJ,13,0)="B", VLOOKUP(E252,EX:FJ,13,0)="C")), "SOBREOFERTA",""
))))))),"")</f>
        <v/>
      </c>
      <c r="E252" s="12"/>
      <c r="F252" s="13"/>
      <c r="G252" s="14"/>
      <c r="H252" s="81" t="str">
        <f t="shared" si="82"/>
        <v/>
      </c>
      <c r="I252" s="7"/>
      <c r="J252" s="6" t="e">
        <f t="shared" si="83"/>
        <v>#N/A</v>
      </c>
      <c r="K252" s="6" t="str">
        <f>IF(A253&lt;&gt;A252,AVERAGEIF(A$9:A252,A252,J$9:J252),"")</f>
        <v/>
      </c>
      <c r="L252" s="7" t="str">
        <f>IFERROR(IF(A253&lt;&gt;A252,AVERAGEIF(A$9:A252,A252,S$9:S252),""),"")</f>
        <v/>
      </c>
      <c r="M252" s="7" t="str">
        <f>IFERROR(IF(A253&lt;&gt;A252,AVERAGEIF(A$9:A252,A252,T$9:T252),""),"")</f>
        <v/>
      </c>
      <c r="N252" s="7" t="str" cm="1">
        <f t="array" ref="N252">IFERROR(IF(A253&lt;&gt;A252,_xlfn.STDEV.P(IF(A$9:A252=A252,T$9:T252)),""),"")</f>
        <v/>
      </c>
      <c r="O252" s="7" t="str" cm="1">
        <f t="array" ref="O252">IFERROR(IF(A253&lt;&gt;A252,_xlfn.STDEV.P(IF(A$9:A252=A252,S$9:S252)),""),"")</f>
        <v/>
      </c>
      <c r="P252" s="8" t="str">
        <f t="shared" si="84"/>
        <v/>
      </c>
      <c r="Q252" s="8" t="str">
        <f t="shared" si="85"/>
        <v/>
      </c>
      <c r="R252" s="8" t="str">
        <f t="shared" si="86"/>
        <v/>
      </c>
      <c r="S252" s="9" t="str">
        <f t="shared" si="87"/>
        <v/>
      </c>
      <c r="T252" s="9" t="str">
        <f t="shared" si="88"/>
        <v/>
      </c>
      <c r="U252" s="14"/>
      <c r="V252" s="15"/>
      <c r="W252" s="14" t="str">
        <f t="shared" si="89"/>
        <v/>
      </c>
      <c r="X252" s="15"/>
      <c r="Y252" s="2"/>
      <c r="AB252" s="22">
        <f t="shared" si="90"/>
        <v>1</v>
      </c>
      <c r="AC252" s="11"/>
      <c r="AD252" s="11"/>
      <c r="AE252" s="13"/>
      <c r="AF252" s="12"/>
      <c r="AG252" s="13"/>
      <c r="AH252" s="14"/>
      <c r="AI252" s="81" t="str">
        <f t="shared" si="91"/>
        <v/>
      </c>
      <c r="AJ252" s="15"/>
      <c r="AK252" s="6" t="e">
        <f t="shared" si="92"/>
        <v>#N/A</v>
      </c>
      <c r="AL252" s="6" t="str">
        <f>IF(AB253&lt;&gt;AB252,AVERAGEIF(AB$9:AB252,AB252,AK$9:AK252),"")</f>
        <v/>
      </c>
      <c r="AM252" s="7" t="str">
        <f>IFERROR(IF(AB253&lt;&gt;AB252,AVERAGEIF(AB$9:AB252,AB252,AT$9:AT252),""),"")</f>
        <v/>
      </c>
      <c r="AN252" s="7" t="str">
        <f>IFERROR(IF(AB253&lt;&gt;AB252,AVERAGEIF(AB$9:AB252,AB252,AU$9:AU252),""),"")</f>
        <v/>
      </c>
      <c r="AO252" s="7" t="str" cm="1">
        <f t="array" ref="AO252">IFERROR(IF(AB253&lt;&gt;AB252,_xlfn.STDEV.P(IF(AB$9:AB252=AB252,AU$9:AU252)),""),"")</f>
        <v/>
      </c>
      <c r="AP252" s="7" t="str" cm="1">
        <f t="array" ref="AP252">IFERROR(IF(AB253&lt;&gt;AB252,_xlfn.STDEV.P(IF(AB$9:AB252=AB252,AT$9:AT252)),""),"")</f>
        <v/>
      </c>
      <c r="AQ252" s="8" t="str">
        <f t="shared" si="93"/>
        <v/>
      </c>
      <c r="AR252" s="8" t="str">
        <f t="shared" si="94"/>
        <v/>
      </c>
      <c r="AS252" s="8" t="str">
        <f t="shared" si="95"/>
        <v/>
      </c>
      <c r="AT252" s="9" t="str">
        <f t="shared" si="96"/>
        <v/>
      </c>
      <c r="AU252" s="9" t="str">
        <f t="shared" si="97"/>
        <v/>
      </c>
      <c r="AV252" s="14"/>
      <c r="AW252" s="15"/>
      <c r="AX252" s="14" t="str">
        <f t="shared" si="98"/>
        <v/>
      </c>
      <c r="AY252" s="15"/>
      <c r="AZ252" s="23"/>
      <c r="EW252" t="s">
        <v>46</v>
      </c>
      <c r="EX252" s="33">
        <v>1251</v>
      </c>
      <c r="EY252" s="33" t="s">
        <v>640</v>
      </c>
      <c r="EZ252" s="33" t="s">
        <v>641</v>
      </c>
      <c r="FA252" s="33" t="s">
        <v>343</v>
      </c>
      <c r="FB252" s="33" t="s">
        <v>344</v>
      </c>
      <c r="FC252" s="33" t="s">
        <v>345</v>
      </c>
      <c r="FD252" s="33" t="s">
        <v>346</v>
      </c>
      <c r="FE252" s="33">
        <v>2025</v>
      </c>
      <c r="FF252" s="33" t="s">
        <v>59</v>
      </c>
      <c r="FG252" s="33" t="s">
        <v>386</v>
      </c>
      <c r="FH252" s="33" t="s">
        <v>387</v>
      </c>
      <c r="FI252" s="33" t="s">
        <v>407</v>
      </c>
      <c r="FJ252" t="s">
        <v>59</v>
      </c>
      <c r="FM252" s="32" t="s">
        <v>636</v>
      </c>
      <c r="FN252" t="s">
        <v>637</v>
      </c>
      <c r="FO252" t="s">
        <v>638</v>
      </c>
      <c r="FP252" t="str">
        <f t="shared" si="80"/>
        <v>B</v>
      </c>
      <c r="FT252" s="69" t="s">
        <v>7398</v>
      </c>
      <c r="FU252" s="60">
        <v>0</v>
      </c>
      <c r="FV252" s="60">
        <v>0</v>
      </c>
      <c r="FW252" s="60">
        <v>0</v>
      </c>
      <c r="FX252" s="60">
        <v>0</v>
      </c>
      <c r="FY252" s="60">
        <v>0</v>
      </c>
      <c r="FZ252" s="60">
        <v>11.015000000000001</v>
      </c>
      <c r="GA252" s="60">
        <v>21.78</v>
      </c>
      <c r="GB252" s="60">
        <v>21.265000000000001</v>
      </c>
      <c r="GC252" s="60">
        <v>20.675000000000001</v>
      </c>
      <c r="GD252" s="60">
        <v>19.384999999999998</v>
      </c>
      <c r="GE252" s="60">
        <v>17.934999999999999</v>
      </c>
      <c r="GF252" s="60">
        <v>17.21</v>
      </c>
      <c r="GG252" s="60">
        <v>17.035</v>
      </c>
      <c r="GH252" s="60">
        <v>17.479999999999997</v>
      </c>
      <c r="GI252" s="60">
        <v>18.105</v>
      </c>
      <c r="GJ252" s="60">
        <v>18.61</v>
      </c>
      <c r="GK252" s="60">
        <v>18.420000000000002</v>
      </c>
      <c r="GL252" s="60">
        <v>18.655000000000001</v>
      </c>
      <c r="GM252" s="60">
        <v>18.61</v>
      </c>
      <c r="GN252" s="60">
        <v>19.48</v>
      </c>
      <c r="GO252" s="60">
        <v>20.8</v>
      </c>
      <c r="GP252" s="60">
        <v>22.884999999999998</v>
      </c>
      <c r="GQ252" s="60">
        <v>24.395</v>
      </c>
      <c r="GR252" s="60">
        <v>0</v>
      </c>
      <c r="GU252" s="53">
        <v>22</v>
      </c>
      <c r="GV252" s="53">
        <v>246</v>
      </c>
    </row>
    <row r="253" spans="1:204" ht="15.5" x14ac:dyDescent="0.35">
      <c r="A253" s="95">
        <f t="shared" si="81"/>
        <v>1</v>
      </c>
      <c r="B253" s="11"/>
      <c r="C253" s="11"/>
      <c r="D253" s="92" t="str">
        <f>IFERROR(
IF(AND(OR(Planilla!B253="C",Planilla!B253="c"), VLOOKUP(E253,EX:FJ,13,0)="C"), "OK",IF(AND(OR(Planilla!B253="C",Planilla!B253="c"), OR(VLOOKUP(E253,EX:FJ,13,0)="B", VLOOKUP(E253,EX:FJ,13,0)="A")), "DEFICIT",IF(
AND(OR(Planilla!B253="B", Planilla!B253="BPAL"), VLOOKUP(E253,EX:FJ,13,0)="B"), "OK",IF(AND(OR(Planilla!B253="B", Planilla!B253="BPAL"), VLOOKUP(E253,EX:FJ,13,0)="A"), "DEFICIT",IF(AND(OR(Planilla!B253="B", Planilla!B253="BPAL"), VLOOKUP(E253,EX:FJ,13,0)="C"), "SOBREOFERTA",IF(AND(Planilla!B253="A", VLOOKUP(E253,EX:FJ,13,0)="A"), "OK",IF(
AND(Planilla!B253="A", OR(VLOOKUP(E253,EX:FJ,13,0)="B", VLOOKUP(E253,EX:FJ,13,0)="C")), "SOBREOFERTA",""
))))))),"")</f>
        <v/>
      </c>
      <c r="E253" s="12"/>
      <c r="F253" s="13"/>
      <c r="G253" s="14"/>
      <c r="H253" s="81" t="str">
        <f t="shared" si="82"/>
        <v/>
      </c>
      <c r="I253" s="7"/>
      <c r="J253" s="6" t="e">
        <f t="shared" si="83"/>
        <v>#N/A</v>
      </c>
      <c r="K253" s="6" t="str">
        <f>IF(A254&lt;&gt;A253,AVERAGEIF(A$9:A253,A253,J$9:J253),"")</f>
        <v/>
      </c>
      <c r="L253" s="7" t="str">
        <f>IFERROR(IF(A254&lt;&gt;A253,AVERAGEIF(A$9:A253,A253,S$9:S253),""),"")</f>
        <v/>
      </c>
      <c r="M253" s="7" t="str">
        <f>IFERROR(IF(A254&lt;&gt;A253,AVERAGEIF(A$9:A253,A253,T$9:T253),""),"")</f>
        <v/>
      </c>
      <c r="N253" s="7" t="str" cm="1">
        <f t="array" ref="N253">IFERROR(IF(A254&lt;&gt;A253,_xlfn.STDEV.P(IF(A$9:A253=A253,T$9:T253)),""),"")</f>
        <v/>
      </c>
      <c r="O253" s="7" t="str" cm="1">
        <f t="array" ref="O253">IFERROR(IF(A254&lt;&gt;A253,_xlfn.STDEV.P(IF(A$9:A253=A253,S$9:S253)),""),"")</f>
        <v/>
      </c>
      <c r="P253" s="8" t="str">
        <f t="shared" si="84"/>
        <v/>
      </c>
      <c r="Q253" s="8" t="str">
        <f t="shared" si="85"/>
        <v/>
      </c>
      <c r="R253" s="8" t="str">
        <f t="shared" si="86"/>
        <v/>
      </c>
      <c r="S253" s="9" t="str">
        <f t="shared" si="87"/>
        <v/>
      </c>
      <c r="T253" s="9" t="str">
        <f t="shared" si="88"/>
        <v/>
      </c>
      <c r="U253" s="14"/>
      <c r="V253" s="15"/>
      <c r="W253" s="14" t="str">
        <f t="shared" si="89"/>
        <v/>
      </c>
      <c r="X253" s="15"/>
      <c r="Y253" s="2"/>
      <c r="AB253" s="22">
        <f t="shared" si="90"/>
        <v>1</v>
      </c>
      <c r="AC253" s="11"/>
      <c r="AD253" s="11"/>
      <c r="AE253" s="13"/>
      <c r="AF253" s="12"/>
      <c r="AG253" s="13"/>
      <c r="AH253" s="14"/>
      <c r="AI253" s="81" t="str">
        <f t="shared" si="91"/>
        <v/>
      </c>
      <c r="AJ253" s="15"/>
      <c r="AK253" s="6" t="e">
        <f t="shared" si="92"/>
        <v>#N/A</v>
      </c>
      <c r="AL253" s="6" t="str">
        <f>IF(AB254&lt;&gt;AB253,AVERAGEIF(AB$9:AB253,AB253,AK$9:AK253),"")</f>
        <v/>
      </c>
      <c r="AM253" s="7" t="str">
        <f>IFERROR(IF(AB254&lt;&gt;AB253,AVERAGEIF(AB$9:AB253,AB253,AT$9:AT253),""),"")</f>
        <v/>
      </c>
      <c r="AN253" s="7" t="str">
        <f>IFERROR(IF(AB254&lt;&gt;AB253,AVERAGEIF(AB$9:AB253,AB253,AU$9:AU253),""),"")</f>
        <v/>
      </c>
      <c r="AO253" s="7" t="str" cm="1">
        <f t="array" ref="AO253">IFERROR(IF(AB254&lt;&gt;AB253,_xlfn.STDEV.P(IF(AB$9:AB253=AB253,AU$9:AU253)),""),"")</f>
        <v/>
      </c>
      <c r="AP253" s="7" t="str" cm="1">
        <f t="array" ref="AP253">IFERROR(IF(AB254&lt;&gt;AB253,_xlfn.STDEV.P(IF(AB$9:AB253=AB253,AT$9:AT253)),""),"")</f>
        <v/>
      </c>
      <c r="AQ253" s="8" t="str">
        <f t="shared" si="93"/>
        <v/>
      </c>
      <c r="AR253" s="8" t="str">
        <f t="shared" si="94"/>
        <v/>
      </c>
      <c r="AS253" s="8" t="str">
        <f t="shared" si="95"/>
        <v/>
      </c>
      <c r="AT253" s="9" t="str">
        <f t="shared" si="96"/>
        <v/>
      </c>
      <c r="AU253" s="9" t="str">
        <f t="shared" si="97"/>
        <v/>
      </c>
      <c r="AV253" s="14"/>
      <c r="AW253" s="15"/>
      <c r="AX253" s="14" t="str">
        <f t="shared" si="98"/>
        <v/>
      </c>
      <c r="AY253" s="15"/>
      <c r="AZ253" s="23"/>
      <c r="EW253" t="s">
        <v>46</v>
      </c>
      <c r="EX253" s="33">
        <v>1252</v>
      </c>
      <c r="EY253" s="33" t="s">
        <v>642</v>
      </c>
      <c r="EZ253" s="33" t="s">
        <v>643</v>
      </c>
      <c r="FA253" s="33" t="s">
        <v>343</v>
      </c>
      <c r="FB253" s="33" t="s">
        <v>344</v>
      </c>
      <c r="FC253" s="33" t="s">
        <v>345</v>
      </c>
      <c r="FD253" s="33" t="s">
        <v>346</v>
      </c>
      <c r="FE253" s="33">
        <v>2025</v>
      </c>
      <c r="FF253" s="33" t="s">
        <v>59</v>
      </c>
      <c r="FG253" s="33" t="s">
        <v>477</v>
      </c>
      <c r="FH253" s="33" t="s">
        <v>478</v>
      </c>
      <c r="FI253" s="33" t="s">
        <v>479</v>
      </c>
      <c r="FJ253" t="s">
        <v>59</v>
      </c>
      <c r="FM253" s="32" t="s">
        <v>636</v>
      </c>
      <c r="FN253" t="s">
        <v>637</v>
      </c>
      <c r="FO253" t="s">
        <v>638</v>
      </c>
      <c r="FP253" t="str">
        <f t="shared" si="80"/>
        <v>B</v>
      </c>
      <c r="FT253" s="69">
        <v>722</v>
      </c>
      <c r="FU253" s="60">
        <v>0</v>
      </c>
      <c r="FV253" s="60">
        <v>0</v>
      </c>
      <c r="FW253" s="60">
        <v>0</v>
      </c>
      <c r="FX253" s="60">
        <v>0</v>
      </c>
      <c r="FY253" s="60">
        <v>16.14</v>
      </c>
      <c r="FZ253" s="60">
        <v>30.560000000000002</v>
      </c>
      <c r="GA253" s="60">
        <v>26.22</v>
      </c>
      <c r="GB253" s="60">
        <v>24.314999999999998</v>
      </c>
      <c r="GC253" s="60">
        <v>23.740000000000002</v>
      </c>
      <c r="GD253" s="60">
        <v>22.875</v>
      </c>
      <c r="GE253" s="60">
        <v>22.255000000000003</v>
      </c>
      <c r="GF253" s="60">
        <v>21.925000000000001</v>
      </c>
      <c r="GG253" s="60">
        <v>21.094999999999999</v>
      </c>
      <c r="GH253" s="60">
        <v>20.225000000000001</v>
      </c>
      <c r="GI253" s="60">
        <v>20.795000000000002</v>
      </c>
      <c r="GJ253" s="60">
        <v>21.15</v>
      </c>
      <c r="GK253" s="60">
        <v>21.365000000000002</v>
      </c>
      <c r="GL253" s="60">
        <v>21.035</v>
      </c>
      <c r="GM253" s="60">
        <v>21.015000000000001</v>
      </c>
      <c r="GN253" s="60">
        <v>21.65</v>
      </c>
      <c r="GO253" s="60">
        <v>22.14</v>
      </c>
      <c r="GP253" s="60">
        <v>23.9</v>
      </c>
      <c r="GQ253" s="60">
        <v>26.024999999999999</v>
      </c>
      <c r="GR253" s="60">
        <v>27.615000000000002</v>
      </c>
      <c r="GU253" s="53">
        <v>23</v>
      </c>
      <c r="GV253" s="53">
        <v>247</v>
      </c>
    </row>
    <row r="254" spans="1:204" ht="15.5" x14ac:dyDescent="0.35">
      <c r="A254" s="95">
        <f t="shared" si="81"/>
        <v>1</v>
      </c>
      <c r="B254" s="11"/>
      <c r="C254" s="11"/>
      <c r="D254" s="92" t="str">
        <f>IFERROR(
IF(AND(OR(Planilla!B254="C",Planilla!B254="c"), VLOOKUP(E254,EX:FJ,13,0)="C"), "OK",IF(AND(OR(Planilla!B254="C",Planilla!B254="c"), OR(VLOOKUP(E254,EX:FJ,13,0)="B", VLOOKUP(E254,EX:FJ,13,0)="A")), "DEFICIT",IF(
AND(OR(Planilla!B254="B", Planilla!B254="BPAL"), VLOOKUP(E254,EX:FJ,13,0)="B"), "OK",IF(AND(OR(Planilla!B254="B", Planilla!B254="BPAL"), VLOOKUP(E254,EX:FJ,13,0)="A"), "DEFICIT",IF(AND(OR(Planilla!B254="B", Planilla!B254="BPAL"), VLOOKUP(E254,EX:FJ,13,0)="C"), "SOBREOFERTA",IF(AND(Planilla!B254="A", VLOOKUP(E254,EX:FJ,13,0)="A"), "OK",IF(
AND(Planilla!B254="A", OR(VLOOKUP(E254,EX:FJ,13,0)="B", VLOOKUP(E254,EX:FJ,13,0)="C")), "SOBREOFERTA",""
))))))),"")</f>
        <v/>
      </c>
      <c r="E254" s="12"/>
      <c r="F254" s="13"/>
      <c r="G254" s="14"/>
      <c r="H254" s="81" t="str">
        <f t="shared" si="82"/>
        <v/>
      </c>
      <c r="I254" s="7"/>
      <c r="J254" s="6" t="e">
        <f t="shared" si="83"/>
        <v>#N/A</v>
      </c>
      <c r="K254" s="6" t="str">
        <f>IF(A255&lt;&gt;A254,AVERAGEIF(A$9:A254,A254,J$9:J254),"")</f>
        <v/>
      </c>
      <c r="L254" s="7" t="str">
        <f>IFERROR(IF(A255&lt;&gt;A254,AVERAGEIF(A$9:A254,A254,S$9:S254),""),"")</f>
        <v/>
      </c>
      <c r="M254" s="7" t="str">
        <f>IFERROR(IF(A255&lt;&gt;A254,AVERAGEIF(A$9:A254,A254,T$9:T254),""),"")</f>
        <v/>
      </c>
      <c r="N254" s="7" t="str" cm="1">
        <f t="array" ref="N254">IFERROR(IF(A255&lt;&gt;A254,_xlfn.STDEV.P(IF(A$9:A254=A254,T$9:T254)),""),"")</f>
        <v/>
      </c>
      <c r="O254" s="7" t="str" cm="1">
        <f t="array" ref="O254">IFERROR(IF(A255&lt;&gt;A254,_xlfn.STDEV.P(IF(A$9:A254=A254,S$9:S254)),""),"")</f>
        <v/>
      </c>
      <c r="P254" s="8" t="str">
        <f t="shared" si="84"/>
        <v/>
      </c>
      <c r="Q254" s="8" t="str">
        <f t="shared" si="85"/>
        <v/>
      </c>
      <c r="R254" s="8" t="str">
        <f t="shared" si="86"/>
        <v/>
      </c>
      <c r="S254" s="9" t="str">
        <f t="shared" si="87"/>
        <v/>
      </c>
      <c r="T254" s="9" t="str">
        <f t="shared" si="88"/>
        <v/>
      </c>
      <c r="U254" s="14"/>
      <c r="V254" s="15"/>
      <c r="W254" s="14" t="str">
        <f t="shared" si="89"/>
        <v/>
      </c>
      <c r="X254" s="15"/>
      <c r="Y254" s="2"/>
      <c r="AB254" s="22">
        <f t="shared" si="90"/>
        <v>1</v>
      </c>
      <c r="AC254" s="11"/>
      <c r="AD254" s="11"/>
      <c r="AE254" s="13"/>
      <c r="AF254" s="12"/>
      <c r="AG254" s="13"/>
      <c r="AH254" s="14"/>
      <c r="AI254" s="81" t="str">
        <f t="shared" si="91"/>
        <v/>
      </c>
      <c r="AJ254" s="15"/>
      <c r="AK254" s="6" t="e">
        <f t="shared" si="92"/>
        <v>#N/A</v>
      </c>
      <c r="AL254" s="6" t="str">
        <f>IF(AB255&lt;&gt;AB254,AVERAGEIF(AB$9:AB254,AB254,AK$9:AK254),"")</f>
        <v/>
      </c>
      <c r="AM254" s="7" t="str">
        <f>IFERROR(IF(AB255&lt;&gt;AB254,AVERAGEIF(AB$9:AB254,AB254,AT$9:AT254),""),"")</f>
        <v/>
      </c>
      <c r="AN254" s="7" t="str">
        <f>IFERROR(IF(AB255&lt;&gt;AB254,AVERAGEIF(AB$9:AB254,AB254,AU$9:AU254),""),"")</f>
        <v/>
      </c>
      <c r="AO254" s="7" t="str" cm="1">
        <f t="array" ref="AO254">IFERROR(IF(AB255&lt;&gt;AB254,_xlfn.STDEV.P(IF(AB$9:AB254=AB254,AU$9:AU254)),""),"")</f>
        <v/>
      </c>
      <c r="AP254" s="7" t="str" cm="1">
        <f t="array" ref="AP254">IFERROR(IF(AB255&lt;&gt;AB254,_xlfn.STDEV.P(IF(AB$9:AB254=AB254,AT$9:AT254)),""),"")</f>
        <v/>
      </c>
      <c r="AQ254" s="8" t="str">
        <f t="shared" si="93"/>
        <v/>
      </c>
      <c r="AR254" s="8" t="str">
        <f t="shared" si="94"/>
        <v/>
      </c>
      <c r="AS254" s="8" t="str">
        <f t="shared" si="95"/>
        <v/>
      </c>
      <c r="AT254" s="9" t="str">
        <f t="shared" si="96"/>
        <v/>
      </c>
      <c r="AU254" s="9" t="str">
        <f t="shared" si="97"/>
        <v/>
      </c>
      <c r="AV254" s="14"/>
      <c r="AW254" s="15"/>
      <c r="AX254" s="14" t="str">
        <f t="shared" si="98"/>
        <v/>
      </c>
      <c r="AY254" s="15"/>
      <c r="AZ254" s="23"/>
      <c r="EW254" t="s">
        <v>46</v>
      </c>
      <c r="EX254" s="33">
        <v>1253</v>
      </c>
      <c r="EY254" s="33" t="s">
        <v>644</v>
      </c>
      <c r="EZ254" s="33" t="s">
        <v>645</v>
      </c>
      <c r="FA254" s="33" t="s">
        <v>343</v>
      </c>
      <c r="FB254" s="33" t="s">
        <v>344</v>
      </c>
      <c r="FC254" s="33" t="s">
        <v>345</v>
      </c>
      <c r="FD254" s="33" t="s">
        <v>346</v>
      </c>
      <c r="FE254" s="33">
        <v>2025</v>
      </c>
      <c r="FF254" s="33" t="s">
        <v>59</v>
      </c>
      <c r="FG254" s="33" t="s">
        <v>470</v>
      </c>
      <c r="FH254" s="33" t="s">
        <v>471</v>
      </c>
      <c r="FI254" s="33" t="s">
        <v>467</v>
      </c>
      <c r="FJ254" t="s">
        <v>59</v>
      </c>
      <c r="FM254" s="32" t="s">
        <v>636</v>
      </c>
      <c r="FN254" t="s">
        <v>637</v>
      </c>
      <c r="FO254" t="s">
        <v>638</v>
      </c>
      <c r="FP254" t="str">
        <f t="shared" si="80"/>
        <v>B</v>
      </c>
      <c r="FT254" s="69">
        <v>722</v>
      </c>
      <c r="FU254" s="60">
        <v>29.945</v>
      </c>
      <c r="FV254" s="60">
        <v>15.28</v>
      </c>
      <c r="FW254" s="60">
        <v>0</v>
      </c>
      <c r="FX254" s="60">
        <v>0</v>
      </c>
      <c r="FY254" s="60">
        <v>0</v>
      </c>
      <c r="FZ254" s="60">
        <v>16.344999999999999</v>
      </c>
      <c r="GA254" s="60">
        <v>30.245000000000001</v>
      </c>
      <c r="GB254" s="60">
        <v>26.45</v>
      </c>
      <c r="GC254" s="60">
        <v>24.675000000000001</v>
      </c>
      <c r="GD254" s="60">
        <v>24.185000000000002</v>
      </c>
      <c r="GE254" s="60">
        <v>24.04</v>
      </c>
      <c r="GF254" s="60">
        <v>22.37</v>
      </c>
      <c r="GG254" s="60">
        <v>20.564999999999998</v>
      </c>
      <c r="GH254" s="60">
        <v>19.655000000000001</v>
      </c>
      <c r="GI254" s="60">
        <v>21.355</v>
      </c>
      <c r="GJ254" s="60">
        <v>22.72</v>
      </c>
      <c r="GK254" s="60">
        <v>21.9</v>
      </c>
      <c r="GL254" s="60">
        <v>21.954999999999998</v>
      </c>
      <c r="GM254" s="60">
        <v>22.045000000000002</v>
      </c>
      <c r="GN254" s="60">
        <v>22.29</v>
      </c>
      <c r="GO254" s="60">
        <v>23.125</v>
      </c>
      <c r="GP254" s="60">
        <v>24.755000000000003</v>
      </c>
      <c r="GQ254" s="60">
        <v>27.524999999999999</v>
      </c>
      <c r="GR254" s="60">
        <v>29.4</v>
      </c>
      <c r="GU254" s="53">
        <v>24</v>
      </c>
      <c r="GV254" s="53">
        <v>248</v>
      </c>
    </row>
    <row r="255" spans="1:204" ht="15.5" x14ac:dyDescent="0.35">
      <c r="A255" s="95">
        <f t="shared" si="81"/>
        <v>1</v>
      </c>
      <c r="B255" s="11"/>
      <c r="C255" s="11"/>
      <c r="D255" s="92" t="str">
        <f>IFERROR(
IF(AND(OR(Planilla!B255="C",Planilla!B255="c"), VLOOKUP(E255,EX:FJ,13,0)="C"), "OK",IF(AND(OR(Planilla!B255="C",Planilla!B255="c"), OR(VLOOKUP(E255,EX:FJ,13,0)="B", VLOOKUP(E255,EX:FJ,13,0)="A")), "DEFICIT",IF(
AND(OR(Planilla!B255="B", Planilla!B255="BPAL"), VLOOKUP(E255,EX:FJ,13,0)="B"), "OK",IF(AND(OR(Planilla!B255="B", Planilla!B255="BPAL"), VLOOKUP(E255,EX:FJ,13,0)="A"), "DEFICIT",IF(AND(OR(Planilla!B255="B", Planilla!B255="BPAL"), VLOOKUP(E255,EX:FJ,13,0)="C"), "SOBREOFERTA",IF(AND(Planilla!B255="A", VLOOKUP(E255,EX:FJ,13,0)="A"), "OK",IF(
AND(Planilla!B255="A", OR(VLOOKUP(E255,EX:FJ,13,0)="B", VLOOKUP(E255,EX:FJ,13,0)="C")), "SOBREOFERTA",""
))))))),"")</f>
        <v/>
      </c>
      <c r="E255" s="12"/>
      <c r="F255" s="13"/>
      <c r="G255" s="14"/>
      <c r="H255" s="81" t="str">
        <f t="shared" si="82"/>
        <v/>
      </c>
      <c r="I255" s="7"/>
      <c r="J255" s="6" t="e">
        <f t="shared" si="83"/>
        <v>#N/A</v>
      </c>
      <c r="K255" s="6" t="str">
        <f>IF(A256&lt;&gt;A255,AVERAGEIF(A$9:A255,A255,J$9:J255),"")</f>
        <v/>
      </c>
      <c r="L255" s="7" t="str">
        <f>IFERROR(IF(A256&lt;&gt;A255,AVERAGEIF(A$9:A255,A255,S$9:S255),""),"")</f>
        <v/>
      </c>
      <c r="M255" s="7" t="str">
        <f>IFERROR(IF(A256&lt;&gt;A255,AVERAGEIF(A$9:A255,A255,T$9:T255),""),"")</f>
        <v/>
      </c>
      <c r="N255" s="7" t="str" cm="1">
        <f t="array" ref="N255">IFERROR(IF(A256&lt;&gt;A255,_xlfn.STDEV.P(IF(A$9:A255=A255,T$9:T255)),""),"")</f>
        <v/>
      </c>
      <c r="O255" s="7" t="str" cm="1">
        <f t="array" ref="O255">IFERROR(IF(A256&lt;&gt;A255,_xlfn.STDEV.P(IF(A$9:A255=A255,S$9:S255)),""),"")</f>
        <v/>
      </c>
      <c r="P255" s="8" t="str">
        <f t="shared" si="84"/>
        <v/>
      </c>
      <c r="Q255" s="8" t="str">
        <f t="shared" si="85"/>
        <v/>
      </c>
      <c r="R255" s="8" t="str">
        <f t="shared" si="86"/>
        <v/>
      </c>
      <c r="S255" s="9" t="str">
        <f t="shared" si="87"/>
        <v/>
      </c>
      <c r="T255" s="9" t="str">
        <f t="shared" si="88"/>
        <v/>
      </c>
      <c r="U255" s="14"/>
      <c r="V255" s="15"/>
      <c r="W255" s="14" t="str">
        <f t="shared" si="89"/>
        <v/>
      </c>
      <c r="X255" s="15"/>
      <c r="Y255" s="2"/>
      <c r="AB255" s="22">
        <f t="shared" si="90"/>
        <v>1</v>
      </c>
      <c r="AC255" s="11"/>
      <c r="AD255" s="11"/>
      <c r="AE255" s="13"/>
      <c r="AF255" s="12"/>
      <c r="AG255" s="13"/>
      <c r="AH255" s="14"/>
      <c r="AI255" s="81" t="str">
        <f t="shared" si="91"/>
        <v/>
      </c>
      <c r="AJ255" s="15"/>
      <c r="AK255" s="6" t="e">
        <f t="shared" si="92"/>
        <v>#N/A</v>
      </c>
      <c r="AL255" s="6" t="str">
        <f>IF(AB256&lt;&gt;AB255,AVERAGEIF(AB$9:AB255,AB255,AK$9:AK255),"")</f>
        <v/>
      </c>
      <c r="AM255" s="7" t="str">
        <f>IFERROR(IF(AB256&lt;&gt;AB255,AVERAGEIF(AB$9:AB255,AB255,AT$9:AT255),""),"")</f>
        <v/>
      </c>
      <c r="AN255" s="7" t="str">
        <f>IFERROR(IF(AB256&lt;&gt;AB255,AVERAGEIF(AB$9:AB255,AB255,AU$9:AU255),""),"")</f>
        <v/>
      </c>
      <c r="AO255" s="7" t="str" cm="1">
        <f t="array" ref="AO255">IFERROR(IF(AB256&lt;&gt;AB255,_xlfn.STDEV.P(IF(AB$9:AB255=AB255,AU$9:AU255)),""),"")</f>
        <v/>
      </c>
      <c r="AP255" s="7" t="str" cm="1">
        <f t="array" ref="AP255">IFERROR(IF(AB256&lt;&gt;AB255,_xlfn.STDEV.P(IF(AB$9:AB255=AB255,AT$9:AT255)),""),"")</f>
        <v/>
      </c>
      <c r="AQ255" s="8" t="str">
        <f t="shared" si="93"/>
        <v/>
      </c>
      <c r="AR255" s="8" t="str">
        <f t="shared" si="94"/>
        <v/>
      </c>
      <c r="AS255" s="8" t="str">
        <f t="shared" si="95"/>
        <v/>
      </c>
      <c r="AT255" s="9" t="str">
        <f t="shared" si="96"/>
        <v/>
      </c>
      <c r="AU255" s="9" t="str">
        <f t="shared" si="97"/>
        <v/>
      </c>
      <c r="AV255" s="14"/>
      <c r="AW255" s="15"/>
      <c r="AX255" s="14" t="str">
        <f t="shared" si="98"/>
        <v/>
      </c>
      <c r="AY255" s="15"/>
      <c r="AZ255" s="23"/>
      <c r="EW255" t="s">
        <v>46</v>
      </c>
      <c r="EX255" s="33">
        <v>1254</v>
      </c>
      <c r="EY255" s="33" t="s">
        <v>646</v>
      </c>
      <c r="EZ255" s="33" t="s">
        <v>647</v>
      </c>
      <c r="FA255" s="33" t="s">
        <v>343</v>
      </c>
      <c r="FB255" s="33" t="s">
        <v>344</v>
      </c>
      <c r="FC255" s="33" t="s">
        <v>345</v>
      </c>
      <c r="FD255" s="33" t="s">
        <v>346</v>
      </c>
      <c r="FE255" s="33">
        <v>2025</v>
      </c>
      <c r="FF255" s="33" t="s">
        <v>59</v>
      </c>
      <c r="FG255" s="33" t="s">
        <v>470</v>
      </c>
      <c r="FH255" s="33" t="s">
        <v>471</v>
      </c>
      <c r="FI255" s="33" t="s">
        <v>467</v>
      </c>
      <c r="FJ255" t="s">
        <v>59</v>
      </c>
      <c r="FM255" s="32" t="s">
        <v>636</v>
      </c>
      <c r="FN255" t="s">
        <v>637</v>
      </c>
      <c r="FO255" t="s">
        <v>638</v>
      </c>
      <c r="FP255" t="str">
        <f t="shared" si="80"/>
        <v>B</v>
      </c>
      <c r="FT255" s="69" t="s">
        <v>7390</v>
      </c>
      <c r="FU255" s="60">
        <v>0</v>
      </c>
      <c r="FV255" s="60">
        <v>0</v>
      </c>
      <c r="FW255" s="60">
        <v>0</v>
      </c>
      <c r="FX255" s="60">
        <v>0</v>
      </c>
      <c r="FY255" s="60">
        <v>0</v>
      </c>
      <c r="FZ255" s="60">
        <v>9.8000000000000007</v>
      </c>
      <c r="GA255" s="60">
        <v>19.365000000000002</v>
      </c>
      <c r="GB255" s="60">
        <v>18.490000000000002</v>
      </c>
      <c r="GC255" s="60">
        <v>17.78</v>
      </c>
      <c r="GD255" s="60">
        <v>16.23</v>
      </c>
      <c r="GE255" s="60">
        <v>14.635</v>
      </c>
      <c r="GF255" s="60">
        <v>13.59</v>
      </c>
      <c r="GG255" s="60">
        <v>13.29</v>
      </c>
      <c r="GH255" s="60">
        <v>13.41</v>
      </c>
      <c r="GI255" s="60">
        <v>14.305</v>
      </c>
      <c r="GJ255" s="60">
        <v>14.73</v>
      </c>
      <c r="GK255" s="60">
        <v>15.02</v>
      </c>
      <c r="GL255" s="60">
        <v>15.309999999999999</v>
      </c>
      <c r="GM255" s="60">
        <v>15.739999999999998</v>
      </c>
      <c r="GN255" s="60">
        <v>16.405000000000001</v>
      </c>
      <c r="GO255" s="60">
        <v>17.934999999999999</v>
      </c>
      <c r="GP255" s="60">
        <v>19.605</v>
      </c>
      <c r="GQ255" s="60">
        <v>20.54</v>
      </c>
      <c r="GR255" s="60">
        <v>0</v>
      </c>
      <c r="GU255" s="53">
        <v>25</v>
      </c>
      <c r="GV255" s="53">
        <v>249</v>
      </c>
    </row>
    <row r="256" spans="1:204" ht="15.5" x14ac:dyDescent="0.35">
      <c r="A256" s="95">
        <f t="shared" si="81"/>
        <v>1</v>
      </c>
      <c r="B256" s="11"/>
      <c r="C256" s="11"/>
      <c r="D256" s="92" t="str">
        <f>IFERROR(
IF(AND(OR(Planilla!B256="C",Planilla!B256="c"), VLOOKUP(E256,EX:FJ,13,0)="C"), "OK",IF(AND(OR(Planilla!B256="C",Planilla!B256="c"), OR(VLOOKUP(E256,EX:FJ,13,0)="B", VLOOKUP(E256,EX:FJ,13,0)="A")), "DEFICIT",IF(
AND(OR(Planilla!B256="B", Planilla!B256="BPAL"), VLOOKUP(E256,EX:FJ,13,0)="B"), "OK",IF(AND(OR(Planilla!B256="B", Planilla!B256="BPAL"), VLOOKUP(E256,EX:FJ,13,0)="A"), "DEFICIT",IF(AND(OR(Planilla!B256="B", Planilla!B256="BPAL"), VLOOKUP(E256,EX:FJ,13,0)="C"), "SOBREOFERTA",IF(AND(Planilla!B256="A", VLOOKUP(E256,EX:FJ,13,0)="A"), "OK",IF(
AND(Planilla!B256="A", OR(VLOOKUP(E256,EX:FJ,13,0)="B", VLOOKUP(E256,EX:FJ,13,0)="C")), "SOBREOFERTA",""
))))))),"")</f>
        <v/>
      </c>
      <c r="E256" s="12"/>
      <c r="F256" s="13"/>
      <c r="G256" s="14"/>
      <c r="H256" s="81" t="str">
        <f t="shared" si="82"/>
        <v/>
      </c>
      <c r="I256" s="7"/>
      <c r="J256" s="6" t="e">
        <f t="shared" si="83"/>
        <v>#N/A</v>
      </c>
      <c r="K256" s="6" t="str">
        <f>IF(A257&lt;&gt;A256,AVERAGEIF(A$9:A256,A256,J$9:J256),"")</f>
        <v/>
      </c>
      <c r="L256" s="7" t="str">
        <f>IFERROR(IF(A257&lt;&gt;A256,AVERAGEIF(A$9:A256,A256,S$9:S256),""),"")</f>
        <v/>
      </c>
      <c r="M256" s="7" t="str">
        <f>IFERROR(IF(A257&lt;&gt;A256,AVERAGEIF(A$9:A256,A256,T$9:T256),""),"")</f>
        <v/>
      </c>
      <c r="N256" s="7" t="str" cm="1">
        <f t="array" ref="N256">IFERROR(IF(A257&lt;&gt;A256,_xlfn.STDEV.P(IF(A$9:A256=A256,T$9:T256)),""),"")</f>
        <v/>
      </c>
      <c r="O256" s="7" t="str" cm="1">
        <f t="array" ref="O256">IFERROR(IF(A257&lt;&gt;A256,_xlfn.STDEV.P(IF(A$9:A256=A256,S$9:S256)),""),"")</f>
        <v/>
      </c>
      <c r="P256" s="8" t="str">
        <f t="shared" si="84"/>
        <v/>
      </c>
      <c r="Q256" s="8" t="str">
        <f t="shared" si="85"/>
        <v/>
      </c>
      <c r="R256" s="8" t="str">
        <f t="shared" si="86"/>
        <v/>
      </c>
      <c r="S256" s="9" t="str">
        <f t="shared" si="87"/>
        <v/>
      </c>
      <c r="T256" s="9" t="str">
        <f t="shared" si="88"/>
        <v/>
      </c>
      <c r="U256" s="14"/>
      <c r="V256" s="15"/>
      <c r="W256" s="14" t="str">
        <f t="shared" si="89"/>
        <v/>
      </c>
      <c r="X256" s="15"/>
      <c r="Y256" s="2"/>
      <c r="AB256" s="22">
        <f t="shared" si="90"/>
        <v>1</v>
      </c>
      <c r="AC256" s="11"/>
      <c r="AD256" s="11"/>
      <c r="AE256" s="13"/>
      <c r="AF256" s="12"/>
      <c r="AG256" s="13"/>
      <c r="AH256" s="14"/>
      <c r="AI256" s="81" t="str">
        <f t="shared" si="91"/>
        <v/>
      </c>
      <c r="AJ256" s="15"/>
      <c r="AK256" s="6" t="e">
        <f t="shared" si="92"/>
        <v>#N/A</v>
      </c>
      <c r="AL256" s="6" t="str">
        <f>IF(AB257&lt;&gt;AB256,AVERAGEIF(AB$9:AB256,AB256,AK$9:AK256),"")</f>
        <v/>
      </c>
      <c r="AM256" s="7" t="str">
        <f>IFERROR(IF(AB257&lt;&gt;AB256,AVERAGEIF(AB$9:AB256,AB256,AT$9:AT256),""),"")</f>
        <v/>
      </c>
      <c r="AN256" s="7" t="str">
        <f>IFERROR(IF(AB257&lt;&gt;AB256,AVERAGEIF(AB$9:AB256,AB256,AU$9:AU256),""),"")</f>
        <v/>
      </c>
      <c r="AO256" s="7" t="str" cm="1">
        <f t="array" ref="AO256">IFERROR(IF(AB257&lt;&gt;AB256,_xlfn.STDEV.P(IF(AB$9:AB256=AB256,AU$9:AU256)),""),"")</f>
        <v/>
      </c>
      <c r="AP256" s="7" t="str" cm="1">
        <f t="array" ref="AP256">IFERROR(IF(AB257&lt;&gt;AB256,_xlfn.STDEV.P(IF(AB$9:AB256=AB256,AT$9:AT256)),""),"")</f>
        <v/>
      </c>
      <c r="AQ256" s="8" t="str">
        <f t="shared" si="93"/>
        <v/>
      </c>
      <c r="AR256" s="8" t="str">
        <f t="shared" si="94"/>
        <v/>
      </c>
      <c r="AS256" s="8" t="str">
        <f t="shared" si="95"/>
        <v/>
      </c>
      <c r="AT256" s="9" t="str">
        <f t="shared" si="96"/>
        <v/>
      </c>
      <c r="AU256" s="9" t="str">
        <f t="shared" si="97"/>
        <v/>
      </c>
      <c r="AV256" s="14"/>
      <c r="AW256" s="15"/>
      <c r="AX256" s="14" t="str">
        <f t="shared" si="98"/>
        <v/>
      </c>
      <c r="AY256" s="15"/>
      <c r="AZ256" s="23"/>
      <c r="EW256" t="s">
        <v>46</v>
      </c>
      <c r="EX256" s="33">
        <v>1255</v>
      </c>
      <c r="EY256" s="33" t="s">
        <v>648</v>
      </c>
      <c r="EZ256" s="33" t="s">
        <v>649</v>
      </c>
      <c r="FA256" s="33" t="s">
        <v>343</v>
      </c>
      <c r="FB256" s="33" t="s">
        <v>344</v>
      </c>
      <c r="FC256" s="33" t="s">
        <v>345</v>
      </c>
      <c r="FD256" s="33" t="s">
        <v>346</v>
      </c>
      <c r="FE256" s="33">
        <v>2025</v>
      </c>
      <c r="FF256" s="33" t="s">
        <v>59</v>
      </c>
      <c r="FG256" s="33" t="s">
        <v>477</v>
      </c>
      <c r="FH256" s="33" t="s">
        <v>478</v>
      </c>
      <c r="FI256" s="33" t="s">
        <v>479</v>
      </c>
      <c r="FJ256" t="s">
        <v>59</v>
      </c>
      <c r="FM256" s="32" t="s">
        <v>636</v>
      </c>
      <c r="FN256" t="s">
        <v>637</v>
      </c>
      <c r="FO256" t="s">
        <v>638</v>
      </c>
      <c r="FP256" t="str">
        <f t="shared" si="80"/>
        <v>B</v>
      </c>
      <c r="FT256" s="69" t="s">
        <v>7411</v>
      </c>
      <c r="FU256" s="60">
        <v>0</v>
      </c>
      <c r="FV256" s="60">
        <v>0</v>
      </c>
      <c r="FW256" s="60">
        <v>0</v>
      </c>
      <c r="FX256" s="60">
        <v>0</v>
      </c>
      <c r="FY256" s="60">
        <v>0</v>
      </c>
      <c r="FZ256" s="60">
        <v>26.655000000000001</v>
      </c>
      <c r="GA256" s="60">
        <v>24.009999999999998</v>
      </c>
      <c r="GB256" s="60">
        <v>21.655000000000001</v>
      </c>
      <c r="GC256" s="60">
        <v>21.14</v>
      </c>
      <c r="GD256" s="60">
        <v>20.92</v>
      </c>
      <c r="GE256" s="60">
        <v>20.29</v>
      </c>
      <c r="GF256" s="60">
        <v>18.38</v>
      </c>
      <c r="GG256" s="60">
        <v>17.634999999999998</v>
      </c>
      <c r="GH256" s="60">
        <v>17.125</v>
      </c>
      <c r="GI256" s="60">
        <v>17.189999999999998</v>
      </c>
      <c r="GJ256" s="60">
        <v>17.670000000000002</v>
      </c>
      <c r="GK256" s="60">
        <v>17.814999999999998</v>
      </c>
      <c r="GL256" s="60">
        <v>17.734999999999999</v>
      </c>
      <c r="GM256" s="60">
        <v>17.89</v>
      </c>
      <c r="GN256" s="60">
        <v>18.105</v>
      </c>
      <c r="GO256" s="60">
        <v>19.009999999999998</v>
      </c>
      <c r="GP256" s="60">
        <v>21.15</v>
      </c>
      <c r="GQ256" s="60">
        <v>22.259999999999998</v>
      </c>
      <c r="GR256" s="60">
        <v>21.439999999999998</v>
      </c>
      <c r="GU256" s="53">
        <v>26</v>
      </c>
      <c r="GV256" s="53">
        <v>250</v>
      </c>
    </row>
    <row r="257" spans="1:204" ht="15.5" x14ac:dyDescent="0.35">
      <c r="A257" s="95">
        <f t="shared" si="81"/>
        <v>1</v>
      </c>
      <c r="B257" s="11"/>
      <c r="C257" s="11"/>
      <c r="D257" s="92" t="str">
        <f>IFERROR(
IF(AND(OR(Planilla!B257="C",Planilla!B257="c"), VLOOKUP(E257,EX:FJ,13,0)="C"), "OK",IF(AND(OR(Planilla!B257="C",Planilla!B257="c"), OR(VLOOKUP(E257,EX:FJ,13,0)="B", VLOOKUP(E257,EX:FJ,13,0)="A")), "DEFICIT",IF(
AND(OR(Planilla!B257="B", Planilla!B257="BPAL"), VLOOKUP(E257,EX:FJ,13,0)="B"), "OK",IF(AND(OR(Planilla!B257="B", Planilla!B257="BPAL"), VLOOKUP(E257,EX:FJ,13,0)="A"), "DEFICIT",IF(AND(OR(Planilla!B257="B", Planilla!B257="BPAL"), VLOOKUP(E257,EX:FJ,13,0)="C"), "SOBREOFERTA",IF(AND(Planilla!B257="A", VLOOKUP(E257,EX:FJ,13,0)="A"), "OK",IF(
AND(Planilla!B257="A", OR(VLOOKUP(E257,EX:FJ,13,0)="B", VLOOKUP(E257,EX:FJ,13,0)="C")), "SOBREOFERTA",""
))))))),"")</f>
        <v/>
      </c>
      <c r="E257" s="12"/>
      <c r="F257" s="13"/>
      <c r="G257" s="14"/>
      <c r="H257" s="81" t="str">
        <f t="shared" si="82"/>
        <v/>
      </c>
      <c r="I257" s="7"/>
      <c r="J257" s="6" t="e">
        <f t="shared" si="83"/>
        <v>#N/A</v>
      </c>
      <c r="K257" s="6" t="str">
        <f>IF(A258&lt;&gt;A257,AVERAGEIF(A$9:A257,A257,J$9:J257),"")</f>
        <v/>
      </c>
      <c r="L257" s="7" t="str">
        <f>IFERROR(IF(A258&lt;&gt;A257,AVERAGEIF(A$9:A257,A257,S$9:S257),""),"")</f>
        <v/>
      </c>
      <c r="M257" s="7" t="str">
        <f>IFERROR(IF(A258&lt;&gt;A257,AVERAGEIF(A$9:A257,A257,T$9:T257),""),"")</f>
        <v/>
      </c>
      <c r="N257" s="7" t="str" cm="1">
        <f t="array" ref="N257">IFERROR(IF(A258&lt;&gt;A257,_xlfn.STDEV.P(IF(A$9:A257=A257,T$9:T257)),""),"")</f>
        <v/>
      </c>
      <c r="O257" s="7" t="str" cm="1">
        <f t="array" ref="O257">IFERROR(IF(A258&lt;&gt;A257,_xlfn.STDEV.P(IF(A$9:A257=A257,S$9:S257)),""),"")</f>
        <v/>
      </c>
      <c r="P257" s="8" t="str">
        <f t="shared" si="84"/>
        <v/>
      </c>
      <c r="Q257" s="8" t="str">
        <f t="shared" si="85"/>
        <v/>
      </c>
      <c r="R257" s="8" t="str">
        <f t="shared" si="86"/>
        <v/>
      </c>
      <c r="S257" s="9" t="str">
        <f t="shared" si="87"/>
        <v/>
      </c>
      <c r="T257" s="9" t="str">
        <f t="shared" si="88"/>
        <v/>
      </c>
      <c r="U257" s="14"/>
      <c r="V257" s="15"/>
      <c r="W257" s="14" t="str">
        <f t="shared" si="89"/>
        <v/>
      </c>
      <c r="X257" s="15"/>
      <c r="Y257" s="2"/>
      <c r="AB257" s="22">
        <f t="shared" si="90"/>
        <v>1</v>
      </c>
      <c r="AC257" s="11"/>
      <c r="AD257" s="11"/>
      <c r="AE257" s="13"/>
      <c r="AF257" s="12"/>
      <c r="AG257" s="13"/>
      <c r="AH257" s="14"/>
      <c r="AI257" s="81" t="str">
        <f t="shared" si="91"/>
        <v/>
      </c>
      <c r="AJ257" s="15"/>
      <c r="AK257" s="6" t="e">
        <f t="shared" si="92"/>
        <v>#N/A</v>
      </c>
      <c r="AL257" s="6" t="str">
        <f>IF(AB258&lt;&gt;AB257,AVERAGEIF(AB$9:AB257,AB257,AK$9:AK257),"")</f>
        <v/>
      </c>
      <c r="AM257" s="7" t="str">
        <f>IFERROR(IF(AB258&lt;&gt;AB257,AVERAGEIF(AB$9:AB257,AB257,AT$9:AT257),""),"")</f>
        <v/>
      </c>
      <c r="AN257" s="7" t="str">
        <f>IFERROR(IF(AB258&lt;&gt;AB257,AVERAGEIF(AB$9:AB257,AB257,AU$9:AU257),""),"")</f>
        <v/>
      </c>
      <c r="AO257" s="7" t="str" cm="1">
        <f t="array" ref="AO257">IFERROR(IF(AB258&lt;&gt;AB257,_xlfn.STDEV.P(IF(AB$9:AB257=AB257,AU$9:AU257)),""),"")</f>
        <v/>
      </c>
      <c r="AP257" s="7" t="str" cm="1">
        <f t="array" ref="AP257">IFERROR(IF(AB258&lt;&gt;AB257,_xlfn.STDEV.P(IF(AB$9:AB257=AB257,AT$9:AT257)),""),"")</f>
        <v/>
      </c>
      <c r="AQ257" s="8" t="str">
        <f t="shared" si="93"/>
        <v/>
      </c>
      <c r="AR257" s="8" t="str">
        <f t="shared" si="94"/>
        <v/>
      </c>
      <c r="AS257" s="8" t="str">
        <f t="shared" si="95"/>
        <v/>
      </c>
      <c r="AT257" s="9" t="str">
        <f t="shared" si="96"/>
        <v/>
      </c>
      <c r="AU257" s="9" t="str">
        <f t="shared" si="97"/>
        <v/>
      </c>
      <c r="AV257" s="14"/>
      <c r="AW257" s="15"/>
      <c r="AX257" s="14" t="str">
        <f t="shared" si="98"/>
        <v/>
      </c>
      <c r="AY257" s="15"/>
      <c r="AZ257" s="23"/>
      <c r="EW257" t="s">
        <v>46</v>
      </c>
      <c r="EX257" s="33">
        <v>1256</v>
      </c>
      <c r="EY257" s="33" t="s">
        <v>650</v>
      </c>
      <c r="EZ257" s="33" t="s">
        <v>651</v>
      </c>
      <c r="FA257" s="33" t="s">
        <v>343</v>
      </c>
      <c r="FB257" s="33" t="s">
        <v>344</v>
      </c>
      <c r="FC257" s="33" t="s">
        <v>345</v>
      </c>
      <c r="FD257" s="33" t="s">
        <v>346</v>
      </c>
      <c r="FE257" s="33">
        <v>2025</v>
      </c>
      <c r="FF257" s="33" t="s">
        <v>59</v>
      </c>
      <c r="FG257" s="33" t="s">
        <v>386</v>
      </c>
      <c r="FH257" s="33" t="s">
        <v>387</v>
      </c>
      <c r="FI257" s="33" t="s">
        <v>407</v>
      </c>
      <c r="FJ257" t="s">
        <v>59</v>
      </c>
      <c r="FM257" s="32" t="s">
        <v>652</v>
      </c>
      <c r="FN257" t="s">
        <v>653</v>
      </c>
      <c r="FO257" t="s">
        <v>654</v>
      </c>
      <c r="FP257" t="str">
        <f t="shared" ref="FP257:FP320" si="99">VLOOKUP(FO257,EX:FF,9,0)</f>
        <v>B</v>
      </c>
      <c r="FT257" s="69" t="s">
        <v>7412</v>
      </c>
      <c r="FU257" s="60">
        <v>0</v>
      </c>
      <c r="FV257" s="60">
        <v>0</v>
      </c>
      <c r="FW257" s="60">
        <v>0</v>
      </c>
      <c r="FX257" s="60">
        <v>0</v>
      </c>
      <c r="FY257" s="60">
        <v>13.24</v>
      </c>
      <c r="FZ257" s="60">
        <v>23.92</v>
      </c>
      <c r="GA257" s="60">
        <v>21.53</v>
      </c>
      <c r="GB257" s="60">
        <v>19.604999999999997</v>
      </c>
      <c r="GC257" s="60">
        <v>18.630000000000003</v>
      </c>
      <c r="GD257" s="60">
        <v>17.600000000000001</v>
      </c>
      <c r="GE257" s="60">
        <v>16.465</v>
      </c>
      <c r="GF257" s="60">
        <v>14.995000000000001</v>
      </c>
      <c r="GG257" s="60">
        <v>13.86</v>
      </c>
      <c r="GH257" s="60">
        <v>13.865</v>
      </c>
      <c r="GI257" s="60">
        <v>14.670000000000002</v>
      </c>
      <c r="GJ257" s="60">
        <v>15.285</v>
      </c>
      <c r="GK257" s="60">
        <v>15.75</v>
      </c>
      <c r="GL257" s="60">
        <v>16.07</v>
      </c>
      <c r="GM257" s="60">
        <v>16.72</v>
      </c>
      <c r="GN257" s="60">
        <v>17.59</v>
      </c>
      <c r="GO257" s="60">
        <v>18.734999999999999</v>
      </c>
      <c r="GP257" s="60">
        <v>20.22</v>
      </c>
      <c r="GQ257" s="60">
        <v>21.634999999999998</v>
      </c>
      <c r="GR257" s="60">
        <v>23.494999999999997</v>
      </c>
      <c r="GU257" s="53">
        <v>27</v>
      </c>
      <c r="GV257" s="53">
        <v>251</v>
      </c>
    </row>
    <row r="258" spans="1:204" ht="15.5" x14ac:dyDescent="0.35">
      <c r="A258" s="95">
        <f t="shared" si="81"/>
        <v>1</v>
      </c>
      <c r="B258" s="11"/>
      <c r="C258" s="11"/>
      <c r="D258" s="92" t="str">
        <f>IFERROR(
IF(AND(OR(Planilla!B258="C",Planilla!B258="c"), VLOOKUP(E258,EX:FJ,13,0)="C"), "OK",IF(AND(OR(Planilla!B258="C",Planilla!B258="c"), OR(VLOOKUP(E258,EX:FJ,13,0)="B", VLOOKUP(E258,EX:FJ,13,0)="A")), "DEFICIT",IF(
AND(OR(Planilla!B258="B", Planilla!B258="BPAL"), VLOOKUP(E258,EX:FJ,13,0)="B"), "OK",IF(AND(OR(Planilla!B258="B", Planilla!B258="BPAL"), VLOOKUP(E258,EX:FJ,13,0)="A"), "DEFICIT",IF(AND(OR(Planilla!B258="B", Planilla!B258="BPAL"), VLOOKUP(E258,EX:FJ,13,0)="C"), "SOBREOFERTA",IF(AND(Planilla!B258="A", VLOOKUP(E258,EX:FJ,13,0)="A"), "OK",IF(
AND(Planilla!B258="A", OR(VLOOKUP(E258,EX:FJ,13,0)="B", VLOOKUP(E258,EX:FJ,13,0)="C")), "SOBREOFERTA",""
))))))),"")</f>
        <v/>
      </c>
      <c r="E258" s="12"/>
      <c r="F258" s="13"/>
      <c r="G258" s="14"/>
      <c r="H258" s="81" t="str">
        <f t="shared" si="82"/>
        <v/>
      </c>
      <c r="I258" s="7"/>
      <c r="J258" s="6" t="e">
        <f t="shared" si="83"/>
        <v>#N/A</v>
      </c>
      <c r="K258" s="6" t="str">
        <f>IF(A259&lt;&gt;A258,AVERAGEIF(A$9:A258,A258,J$9:J258),"")</f>
        <v/>
      </c>
      <c r="L258" s="7" t="str">
        <f>IFERROR(IF(A259&lt;&gt;A258,AVERAGEIF(A$9:A258,A258,S$9:S258),""),"")</f>
        <v/>
      </c>
      <c r="M258" s="7" t="str">
        <f>IFERROR(IF(A259&lt;&gt;A258,AVERAGEIF(A$9:A258,A258,T$9:T258),""),"")</f>
        <v/>
      </c>
      <c r="N258" s="7" t="str" cm="1">
        <f t="array" ref="N258">IFERROR(IF(A259&lt;&gt;A258,_xlfn.STDEV.P(IF(A$9:A258=A258,T$9:T258)),""),"")</f>
        <v/>
      </c>
      <c r="O258" s="7" t="str" cm="1">
        <f t="array" ref="O258">IFERROR(IF(A259&lt;&gt;A258,_xlfn.STDEV.P(IF(A$9:A258=A258,S$9:S258)),""),"")</f>
        <v/>
      </c>
      <c r="P258" s="8" t="str">
        <f t="shared" si="84"/>
        <v/>
      </c>
      <c r="Q258" s="8" t="str">
        <f t="shared" si="85"/>
        <v/>
      </c>
      <c r="R258" s="8" t="str">
        <f t="shared" si="86"/>
        <v/>
      </c>
      <c r="S258" s="9" t="str">
        <f t="shared" si="87"/>
        <v/>
      </c>
      <c r="T258" s="9" t="str">
        <f t="shared" si="88"/>
        <v/>
      </c>
      <c r="U258" s="14"/>
      <c r="V258" s="15"/>
      <c r="W258" s="14" t="str">
        <f t="shared" si="89"/>
        <v/>
      </c>
      <c r="X258" s="15"/>
      <c r="Y258" s="2"/>
      <c r="AB258" s="22">
        <f t="shared" si="90"/>
        <v>1</v>
      </c>
      <c r="AC258" s="11"/>
      <c r="AD258" s="11"/>
      <c r="AE258" s="13"/>
      <c r="AF258" s="12"/>
      <c r="AG258" s="13"/>
      <c r="AH258" s="14"/>
      <c r="AI258" s="81" t="str">
        <f t="shared" si="91"/>
        <v/>
      </c>
      <c r="AJ258" s="15"/>
      <c r="AK258" s="6" t="e">
        <f t="shared" si="92"/>
        <v>#N/A</v>
      </c>
      <c r="AL258" s="6" t="str">
        <f>IF(AB259&lt;&gt;AB258,AVERAGEIF(AB$9:AB258,AB258,AK$9:AK258),"")</f>
        <v/>
      </c>
      <c r="AM258" s="7" t="str">
        <f>IFERROR(IF(AB259&lt;&gt;AB258,AVERAGEIF(AB$9:AB258,AB258,AT$9:AT258),""),"")</f>
        <v/>
      </c>
      <c r="AN258" s="7" t="str">
        <f>IFERROR(IF(AB259&lt;&gt;AB258,AVERAGEIF(AB$9:AB258,AB258,AU$9:AU258),""),"")</f>
        <v/>
      </c>
      <c r="AO258" s="7" t="str" cm="1">
        <f t="array" ref="AO258">IFERROR(IF(AB259&lt;&gt;AB258,_xlfn.STDEV.P(IF(AB$9:AB258=AB258,AU$9:AU258)),""),"")</f>
        <v/>
      </c>
      <c r="AP258" s="7" t="str" cm="1">
        <f t="array" ref="AP258">IFERROR(IF(AB259&lt;&gt;AB258,_xlfn.STDEV.P(IF(AB$9:AB258=AB258,AT$9:AT258)),""),"")</f>
        <v/>
      </c>
      <c r="AQ258" s="8" t="str">
        <f t="shared" si="93"/>
        <v/>
      </c>
      <c r="AR258" s="8" t="str">
        <f t="shared" si="94"/>
        <v/>
      </c>
      <c r="AS258" s="8" t="str">
        <f t="shared" si="95"/>
        <v/>
      </c>
      <c r="AT258" s="9" t="str">
        <f t="shared" si="96"/>
        <v/>
      </c>
      <c r="AU258" s="9" t="str">
        <f t="shared" si="97"/>
        <v/>
      </c>
      <c r="AV258" s="14"/>
      <c r="AW258" s="15"/>
      <c r="AX258" s="14" t="str">
        <f t="shared" si="98"/>
        <v/>
      </c>
      <c r="AY258" s="15"/>
      <c r="AZ258" s="23"/>
      <c r="EW258" t="s">
        <v>46</v>
      </c>
      <c r="EX258" s="33">
        <v>1257</v>
      </c>
      <c r="EY258" s="33" t="s">
        <v>655</v>
      </c>
      <c r="EZ258" s="33" t="s">
        <v>656</v>
      </c>
      <c r="FA258" s="33" t="s">
        <v>343</v>
      </c>
      <c r="FB258" s="33" t="s">
        <v>344</v>
      </c>
      <c r="FC258" s="33" t="s">
        <v>345</v>
      </c>
      <c r="FD258" s="33" t="s">
        <v>346</v>
      </c>
      <c r="FE258" s="33">
        <v>2025</v>
      </c>
      <c r="FF258" s="33" t="s">
        <v>59</v>
      </c>
      <c r="FG258" s="33" t="s">
        <v>477</v>
      </c>
      <c r="FH258" s="33" t="s">
        <v>478</v>
      </c>
      <c r="FI258" s="33" t="s">
        <v>479</v>
      </c>
      <c r="FJ258" t="s">
        <v>59</v>
      </c>
      <c r="FM258" s="32" t="s">
        <v>652</v>
      </c>
      <c r="FN258" t="s">
        <v>653</v>
      </c>
      <c r="FO258" t="s">
        <v>654</v>
      </c>
      <c r="FP258" t="str">
        <f t="shared" si="99"/>
        <v>B</v>
      </c>
      <c r="FT258" s="69" t="s">
        <v>7415</v>
      </c>
      <c r="FU258" s="60">
        <v>0</v>
      </c>
      <c r="FV258" s="60">
        <v>0</v>
      </c>
      <c r="FW258" s="60">
        <v>0</v>
      </c>
      <c r="FX258" s="60">
        <v>0</v>
      </c>
      <c r="FY258" s="60">
        <v>0</v>
      </c>
      <c r="FZ258" s="60">
        <v>14.93</v>
      </c>
      <c r="GA258" s="60">
        <v>28.285</v>
      </c>
      <c r="GB258" s="60">
        <v>26.844999999999999</v>
      </c>
      <c r="GC258" s="60">
        <v>27.795000000000002</v>
      </c>
      <c r="GD258" s="60">
        <v>27.54</v>
      </c>
      <c r="GE258" s="60">
        <v>27.65</v>
      </c>
      <c r="GF258" s="60">
        <v>27.55</v>
      </c>
      <c r="GG258" s="60">
        <v>26.435000000000002</v>
      </c>
      <c r="GH258" s="60">
        <v>25.86</v>
      </c>
      <c r="GI258" s="60">
        <v>26.635000000000002</v>
      </c>
      <c r="GJ258" s="60">
        <v>27.009999999999998</v>
      </c>
      <c r="GK258" s="60">
        <v>26.895</v>
      </c>
      <c r="GL258" s="60">
        <v>27.104999999999997</v>
      </c>
      <c r="GM258" s="60">
        <v>26.549999999999997</v>
      </c>
      <c r="GN258" s="60">
        <v>26.354999999999997</v>
      </c>
      <c r="GO258" s="60">
        <v>28.17</v>
      </c>
      <c r="GP258" s="60">
        <v>29.48</v>
      </c>
      <c r="GQ258" s="60">
        <v>29.229999999999997</v>
      </c>
      <c r="GR258" s="60">
        <v>0</v>
      </c>
      <c r="GU258" s="53">
        <v>28</v>
      </c>
      <c r="GV258" s="53">
        <v>252</v>
      </c>
    </row>
    <row r="259" spans="1:204" ht="15.5" x14ac:dyDescent="0.35">
      <c r="A259" s="95">
        <f t="shared" si="81"/>
        <v>1</v>
      </c>
      <c r="B259" s="11"/>
      <c r="C259" s="11"/>
      <c r="D259" s="92" t="str">
        <f>IFERROR(
IF(AND(OR(Planilla!B259="C",Planilla!B259="c"), VLOOKUP(E259,EX:FJ,13,0)="C"), "OK",IF(AND(OR(Planilla!B259="C",Planilla!B259="c"), OR(VLOOKUP(E259,EX:FJ,13,0)="B", VLOOKUP(E259,EX:FJ,13,0)="A")), "DEFICIT",IF(
AND(OR(Planilla!B259="B", Planilla!B259="BPAL"), VLOOKUP(E259,EX:FJ,13,0)="B"), "OK",IF(AND(OR(Planilla!B259="B", Planilla!B259="BPAL"), VLOOKUP(E259,EX:FJ,13,0)="A"), "DEFICIT",IF(AND(OR(Planilla!B259="B", Planilla!B259="BPAL"), VLOOKUP(E259,EX:FJ,13,0)="C"), "SOBREOFERTA",IF(AND(Planilla!B259="A", VLOOKUP(E259,EX:FJ,13,0)="A"), "OK",IF(
AND(Planilla!B259="A", OR(VLOOKUP(E259,EX:FJ,13,0)="B", VLOOKUP(E259,EX:FJ,13,0)="C")), "SOBREOFERTA",""
))))))),"")</f>
        <v/>
      </c>
      <c r="E259" s="12"/>
      <c r="F259" s="13"/>
      <c r="G259" s="14"/>
      <c r="H259" s="81" t="str">
        <f t="shared" si="82"/>
        <v/>
      </c>
      <c r="I259" s="7"/>
      <c r="J259" s="6" t="e">
        <f t="shared" si="83"/>
        <v>#N/A</v>
      </c>
      <c r="K259" s="6" t="str">
        <f>IF(A260&lt;&gt;A259,AVERAGEIF(A$9:A259,A259,J$9:J259),"")</f>
        <v/>
      </c>
      <c r="L259" s="7" t="str">
        <f>IFERROR(IF(A260&lt;&gt;A259,AVERAGEIF(A$9:A259,A259,S$9:S259),""),"")</f>
        <v/>
      </c>
      <c r="M259" s="7" t="str">
        <f>IFERROR(IF(A260&lt;&gt;A259,AVERAGEIF(A$9:A259,A259,T$9:T259),""),"")</f>
        <v/>
      </c>
      <c r="N259" s="7" t="str" cm="1">
        <f t="array" ref="N259">IFERROR(IF(A260&lt;&gt;A259,_xlfn.STDEV.P(IF(A$9:A259=A259,T$9:T259)),""),"")</f>
        <v/>
      </c>
      <c r="O259" s="7" t="str" cm="1">
        <f t="array" ref="O259">IFERROR(IF(A260&lt;&gt;A259,_xlfn.STDEV.P(IF(A$9:A259=A259,S$9:S259)),""),"")</f>
        <v/>
      </c>
      <c r="P259" s="8" t="str">
        <f t="shared" si="84"/>
        <v/>
      </c>
      <c r="Q259" s="8" t="str">
        <f t="shared" si="85"/>
        <v/>
      </c>
      <c r="R259" s="8" t="str">
        <f t="shared" si="86"/>
        <v/>
      </c>
      <c r="S259" s="9" t="str">
        <f t="shared" si="87"/>
        <v/>
      </c>
      <c r="T259" s="9" t="str">
        <f t="shared" si="88"/>
        <v/>
      </c>
      <c r="U259" s="14"/>
      <c r="V259" s="15"/>
      <c r="W259" s="14" t="str">
        <f t="shared" si="89"/>
        <v/>
      </c>
      <c r="X259" s="15"/>
      <c r="Y259" s="2"/>
      <c r="AB259" s="22">
        <f t="shared" si="90"/>
        <v>1</v>
      </c>
      <c r="AC259" s="11"/>
      <c r="AD259" s="11"/>
      <c r="AE259" s="13"/>
      <c r="AF259" s="12"/>
      <c r="AG259" s="13"/>
      <c r="AH259" s="14"/>
      <c r="AI259" s="81" t="str">
        <f t="shared" si="91"/>
        <v/>
      </c>
      <c r="AJ259" s="15"/>
      <c r="AK259" s="6" t="e">
        <f t="shared" si="92"/>
        <v>#N/A</v>
      </c>
      <c r="AL259" s="6" t="str">
        <f>IF(AB260&lt;&gt;AB259,AVERAGEIF(AB$9:AB259,AB259,AK$9:AK259),"")</f>
        <v/>
      </c>
      <c r="AM259" s="7" t="str">
        <f>IFERROR(IF(AB260&lt;&gt;AB259,AVERAGEIF(AB$9:AB259,AB259,AT$9:AT259),""),"")</f>
        <v/>
      </c>
      <c r="AN259" s="7" t="str">
        <f>IFERROR(IF(AB260&lt;&gt;AB259,AVERAGEIF(AB$9:AB259,AB259,AU$9:AU259),""),"")</f>
        <v/>
      </c>
      <c r="AO259" s="7" t="str" cm="1">
        <f t="array" ref="AO259">IFERROR(IF(AB260&lt;&gt;AB259,_xlfn.STDEV.P(IF(AB$9:AB259=AB259,AU$9:AU259)),""),"")</f>
        <v/>
      </c>
      <c r="AP259" s="7" t="str" cm="1">
        <f t="array" ref="AP259">IFERROR(IF(AB260&lt;&gt;AB259,_xlfn.STDEV.P(IF(AB$9:AB259=AB259,AT$9:AT259)),""),"")</f>
        <v/>
      </c>
      <c r="AQ259" s="8" t="str">
        <f t="shared" si="93"/>
        <v/>
      </c>
      <c r="AR259" s="8" t="str">
        <f t="shared" si="94"/>
        <v/>
      </c>
      <c r="AS259" s="8" t="str">
        <f t="shared" si="95"/>
        <v/>
      </c>
      <c r="AT259" s="9" t="str">
        <f t="shared" si="96"/>
        <v/>
      </c>
      <c r="AU259" s="9" t="str">
        <f t="shared" si="97"/>
        <v/>
      </c>
      <c r="AV259" s="14"/>
      <c r="AW259" s="15"/>
      <c r="AX259" s="14" t="str">
        <f t="shared" si="98"/>
        <v/>
      </c>
      <c r="AY259" s="15"/>
      <c r="AZ259" s="23"/>
      <c r="EW259" t="s">
        <v>46</v>
      </c>
      <c r="EX259" s="33">
        <v>1258</v>
      </c>
      <c r="EY259" s="33" t="s">
        <v>657</v>
      </c>
      <c r="EZ259" s="33" t="s">
        <v>658</v>
      </c>
      <c r="FA259" s="33" t="s">
        <v>343</v>
      </c>
      <c r="FB259" s="33" t="s">
        <v>344</v>
      </c>
      <c r="FC259" s="33" t="s">
        <v>345</v>
      </c>
      <c r="FD259" s="33" t="s">
        <v>346</v>
      </c>
      <c r="FE259" s="33">
        <v>2025</v>
      </c>
      <c r="FF259" s="33" t="s">
        <v>59</v>
      </c>
      <c r="FG259" s="33" t="s">
        <v>386</v>
      </c>
      <c r="FH259" s="33" t="s">
        <v>387</v>
      </c>
      <c r="FI259" s="33" t="s">
        <v>407</v>
      </c>
      <c r="FJ259" t="s">
        <v>59</v>
      </c>
      <c r="FM259" s="32" t="s">
        <v>652</v>
      </c>
      <c r="FN259" t="s">
        <v>653</v>
      </c>
      <c r="FO259" t="s">
        <v>654</v>
      </c>
      <c r="FP259" t="str">
        <f t="shared" si="99"/>
        <v>B</v>
      </c>
      <c r="FT259" s="69" t="s">
        <v>7391</v>
      </c>
      <c r="FU259" s="60">
        <v>0</v>
      </c>
      <c r="FV259" s="60">
        <v>0</v>
      </c>
      <c r="FW259" s="60">
        <v>0</v>
      </c>
      <c r="FX259" s="60">
        <v>0</v>
      </c>
      <c r="FY259" s="60">
        <v>0</v>
      </c>
      <c r="FZ259" s="60">
        <v>10.3</v>
      </c>
      <c r="GA259" s="60">
        <v>20.43</v>
      </c>
      <c r="GB259" s="60">
        <v>20.020000000000003</v>
      </c>
      <c r="GC259" s="60">
        <v>19.510000000000002</v>
      </c>
      <c r="GD259" s="60">
        <v>18.61</v>
      </c>
      <c r="GE259" s="60">
        <v>17.66</v>
      </c>
      <c r="GF259" s="60">
        <v>16.585000000000001</v>
      </c>
      <c r="GG259" s="60">
        <v>15.55</v>
      </c>
      <c r="GH259" s="60">
        <v>15.494999999999999</v>
      </c>
      <c r="GI259" s="60">
        <v>16.365000000000002</v>
      </c>
      <c r="GJ259" s="60">
        <v>16.25</v>
      </c>
      <c r="GK259" s="60">
        <v>16.265000000000001</v>
      </c>
      <c r="GL259" s="60">
        <v>16.605</v>
      </c>
      <c r="GM259" s="60">
        <v>17.149999999999999</v>
      </c>
      <c r="GN259" s="60">
        <v>17.73</v>
      </c>
      <c r="GO259" s="60">
        <v>19.41</v>
      </c>
      <c r="GP259" s="60">
        <v>20.234999999999999</v>
      </c>
      <c r="GQ259" s="60">
        <v>22.475000000000001</v>
      </c>
      <c r="GR259" s="60">
        <v>24.024999999999999</v>
      </c>
      <c r="GU259" s="53">
        <v>29</v>
      </c>
      <c r="GV259" s="53">
        <v>253</v>
      </c>
    </row>
    <row r="260" spans="1:204" ht="15.5" x14ac:dyDescent="0.35">
      <c r="A260" s="95">
        <f t="shared" si="81"/>
        <v>1</v>
      </c>
      <c r="B260" s="11"/>
      <c r="C260" s="11"/>
      <c r="D260" s="92" t="str">
        <f>IFERROR(
IF(AND(OR(Planilla!B260="C",Planilla!B260="c"), VLOOKUP(E260,EX:FJ,13,0)="C"), "OK",IF(AND(OR(Planilla!B260="C",Planilla!B260="c"), OR(VLOOKUP(E260,EX:FJ,13,0)="B", VLOOKUP(E260,EX:FJ,13,0)="A")), "DEFICIT",IF(
AND(OR(Planilla!B260="B", Planilla!B260="BPAL"), VLOOKUP(E260,EX:FJ,13,0)="B"), "OK",IF(AND(OR(Planilla!B260="B", Planilla!B260="BPAL"), VLOOKUP(E260,EX:FJ,13,0)="A"), "DEFICIT",IF(AND(OR(Planilla!B260="B", Planilla!B260="BPAL"), VLOOKUP(E260,EX:FJ,13,0)="C"), "SOBREOFERTA",IF(AND(Planilla!B260="A", VLOOKUP(E260,EX:FJ,13,0)="A"), "OK",IF(
AND(Planilla!B260="A", OR(VLOOKUP(E260,EX:FJ,13,0)="B", VLOOKUP(E260,EX:FJ,13,0)="C")), "SOBREOFERTA",""
))))))),"")</f>
        <v/>
      </c>
      <c r="E260" s="12"/>
      <c r="F260" s="13"/>
      <c r="G260" s="14"/>
      <c r="H260" s="81" t="str">
        <f t="shared" si="82"/>
        <v/>
      </c>
      <c r="I260" s="7"/>
      <c r="J260" s="6" t="e">
        <f t="shared" si="83"/>
        <v>#N/A</v>
      </c>
      <c r="K260" s="6" t="str">
        <f>IF(A261&lt;&gt;A260,AVERAGEIF(A$9:A260,A260,J$9:J260),"")</f>
        <v/>
      </c>
      <c r="L260" s="7" t="str">
        <f>IFERROR(IF(A261&lt;&gt;A260,AVERAGEIF(A$9:A260,A260,S$9:S260),""),"")</f>
        <v/>
      </c>
      <c r="M260" s="7" t="str">
        <f>IFERROR(IF(A261&lt;&gt;A260,AVERAGEIF(A$9:A260,A260,T$9:T260),""),"")</f>
        <v/>
      </c>
      <c r="N260" s="7" t="str" cm="1">
        <f t="array" ref="N260">IFERROR(IF(A261&lt;&gt;A260,_xlfn.STDEV.P(IF(A$9:A260=A260,T$9:T260)),""),"")</f>
        <v/>
      </c>
      <c r="O260" s="7" t="str" cm="1">
        <f t="array" ref="O260">IFERROR(IF(A261&lt;&gt;A260,_xlfn.STDEV.P(IF(A$9:A260=A260,S$9:S260)),""),"")</f>
        <v/>
      </c>
      <c r="P260" s="8" t="str">
        <f t="shared" si="84"/>
        <v/>
      </c>
      <c r="Q260" s="8" t="str">
        <f t="shared" si="85"/>
        <v/>
      </c>
      <c r="R260" s="8" t="str">
        <f t="shared" si="86"/>
        <v/>
      </c>
      <c r="S260" s="9" t="str">
        <f t="shared" si="87"/>
        <v/>
      </c>
      <c r="T260" s="9" t="str">
        <f t="shared" si="88"/>
        <v/>
      </c>
      <c r="U260" s="14"/>
      <c r="V260" s="15"/>
      <c r="W260" s="14" t="str">
        <f t="shared" si="89"/>
        <v/>
      </c>
      <c r="X260" s="15"/>
      <c r="Y260" s="2"/>
      <c r="AB260" s="22">
        <f t="shared" si="90"/>
        <v>1</v>
      </c>
      <c r="AC260" s="11"/>
      <c r="AD260" s="11"/>
      <c r="AE260" s="13"/>
      <c r="AF260" s="12"/>
      <c r="AG260" s="13"/>
      <c r="AH260" s="14"/>
      <c r="AI260" s="81" t="str">
        <f t="shared" si="91"/>
        <v/>
      </c>
      <c r="AJ260" s="15"/>
      <c r="AK260" s="6" t="e">
        <f t="shared" si="92"/>
        <v>#N/A</v>
      </c>
      <c r="AL260" s="6" t="str">
        <f>IF(AB261&lt;&gt;AB260,AVERAGEIF(AB$9:AB260,AB260,AK$9:AK260),"")</f>
        <v/>
      </c>
      <c r="AM260" s="7" t="str">
        <f>IFERROR(IF(AB261&lt;&gt;AB260,AVERAGEIF(AB$9:AB260,AB260,AT$9:AT260),""),"")</f>
        <v/>
      </c>
      <c r="AN260" s="7" t="str">
        <f>IFERROR(IF(AB261&lt;&gt;AB260,AVERAGEIF(AB$9:AB260,AB260,AU$9:AU260),""),"")</f>
        <v/>
      </c>
      <c r="AO260" s="7" t="str" cm="1">
        <f t="array" ref="AO260">IFERROR(IF(AB261&lt;&gt;AB260,_xlfn.STDEV.P(IF(AB$9:AB260=AB260,AU$9:AU260)),""),"")</f>
        <v/>
      </c>
      <c r="AP260" s="7" t="str" cm="1">
        <f t="array" ref="AP260">IFERROR(IF(AB261&lt;&gt;AB260,_xlfn.STDEV.P(IF(AB$9:AB260=AB260,AT$9:AT260)),""),"")</f>
        <v/>
      </c>
      <c r="AQ260" s="8" t="str">
        <f t="shared" si="93"/>
        <v/>
      </c>
      <c r="AR260" s="8" t="str">
        <f t="shared" si="94"/>
        <v/>
      </c>
      <c r="AS260" s="8" t="str">
        <f t="shared" si="95"/>
        <v/>
      </c>
      <c r="AT260" s="9" t="str">
        <f t="shared" si="96"/>
        <v/>
      </c>
      <c r="AU260" s="9" t="str">
        <f t="shared" si="97"/>
        <v/>
      </c>
      <c r="AV260" s="14"/>
      <c r="AW260" s="15"/>
      <c r="AX260" s="14" t="str">
        <f t="shared" si="98"/>
        <v/>
      </c>
      <c r="AY260" s="15"/>
      <c r="AZ260" s="23"/>
      <c r="EW260" t="s">
        <v>46</v>
      </c>
      <c r="EX260" s="33">
        <v>1259</v>
      </c>
      <c r="EY260" s="33" t="s">
        <v>659</v>
      </c>
      <c r="EZ260" s="33" t="s">
        <v>660</v>
      </c>
      <c r="FA260" s="33" t="s">
        <v>343</v>
      </c>
      <c r="FB260" s="33" t="s">
        <v>344</v>
      </c>
      <c r="FC260" s="33" t="s">
        <v>345</v>
      </c>
      <c r="FD260" s="33" t="s">
        <v>346</v>
      </c>
      <c r="FE260" s="33">
        <v>2025</v>
      </c>
      <c r="FF260" s="33" t="s">
        <v>59</v>
      </c>
      <c r="FG260" s="33" t="s">
        <v>386</v>
      </c>
      <c r="FH260" s="33" t="s">
        <v>387</v>
      </c>
      <c r="FI260" s="33" t="s">
        <v>407</v>
      </c>
      <c r="FJ260" t="s">
        <v>59</v>
      </c>
      <c r="FM260" s="32" t="s">
        <v>652</v>
      </c>
      <c r="FN260" t="s">
        <v>653</v>
      </c>
      <c r="FO260" t="s">
        <v>654</v>
      </c>
      <c r="FP260" t="str">
        <f t="shared" si="99"/>
        <v>B</v>
      </c>
      <c r="FT260" s="69" t="s">
        <v>7399</v>
      </c>
      <c r="FU260" s="60">
        <v>0</v>
      </c>
      <c r="FV260" s="60">
        <v>0</v>
      </c>
      <c r="FW260" s="60">
        <v>0</v>
      </c>
      <c r="FX260" s="60">
        <v>0</v>
      </c>
      <c r="FY260" s="60">
        <v>0</v>
      </c>
      <c r="FZ260" s="60">
        <v>23.884999999999998</v>
      </c>
      <c r="GA260" s="60">
        <v>22.645000000000003</v>
      </c>
      <c r="GB260" s="60">
        <v>22.545000000000002</v>
      </c>
      <c r="GC260" s="60">
        <v>21.83</v>
      </c>
      <c r="GD260" s="60">
        <v>21.094999999999999</v>
      </c>
      <c r="GE260" s="60">
        <v>20.024999999999999</v>
      </c>
      <c r="GF260" s="60">
        <v>19.424999999999997</v>
      </c>
      <c r="GG260" s="60">
        <v>19.060000000000002</v>
      </c>
      <c r="GH260" s="60">
        <v>19.755000000000003</v>
      </c>
      <c r="GI260" s="60">
        <v>20.295000000000002</v>
      </c>
      <c r="GJ260" s="60">
        <v>20.23</v>
      </c>
      <c r="GK260" s="60">
        <v>19.810000000000002</v>
      </c>
      <c r="GL260" s="60">
        <v>19.939999999999998</v>
      </c>
      <c r="GM260" s="60">
        <v>20.185000000000002</v>
      </c>
      <c r="GN260" s="60">
        <v>21.07</v>
      </c>
      <c r="GO260" s="60">
        <v>22.545000000000002</v>
      </c>
      <c r="GP260" s="60">
        <v>23.61</v>
      </c>
      <c r="GQ260" s="60">
        <v>25.490000000000002</v>
      </c>
      <c r="GR260" s="60">
        <v>0</v>
      </c>
      <c r="GU260" s="53">
        <v>30</v>
      </c>
      <c r="GV260" s="53">
        <v>254</v>
      </c>
    </row>
    <row r="261" spans="1:204" ht="15.5" x14ac:dyDescent="0.35">
      <c r="A261" s="95">
        <f t="shared" si="81"/>
        <v>1</v>
      </c>
      <c r="B261" s="11"/>
      <c r="C261" s="11"/>
      <c r="D261" s="92" t="str">
        <f>IFERROR(
IF(AND(OR(Planilla!B261="C",Planilla!B261="c"), VLOOKUP(E261,EX:FJ,13,0)="C"), "OK",IF(AND(OR(Planilla!B261="C",Planilla!B261="c"), OR(VLOOKUP(E261,EX:FJ,13,0)="B", VLOOKUP(E261,EX:FJ,13,0)="A")), "DEFICIT",IF(
AND(OR(Planilla!B261="B", Planilla!B261="BPAL"), VLOOKUP(E261,EX:FJ,13,0)="B"), "OK",IF(AND(OR(Planilla!B261="B", Planilla!B261="BPAL"), VLOOKUP(E261,EX:FJ,13,0)="A"), "DEFICIT",IF(AND(OR(Planilla!B261="B", Planilla!B261="BPAL"), VLOOKUP(E261,EX:FJ,13,0)="C"), "SOBREOFERTA",IF(AND(Planilla!B261="A", VLOOKUP(E261,EX:FJ,13,0)="A"), "OK",IF(
AND(Planilla!B261="A", OR(VLOOKUP(E261,EX:FJ,13,0)="B", VLOOKUP(E261,EX:FJ,13,0)="C")), "SOBREOFERTA",""
))))))),"")</f>
        <v/>
      </c>
      <c r="E261" s="12"/>
      <c r="F261" s="13"/>
      <c r="G261" s="14"/>
      <c r="H261" s="81" t="str">
        <f t="shared" si="82"/>
        <v/>
      </c>
      <c r="I261" s="7"/>
      <c r="J261" s="6" t="e">
        <f t="shared" si="83"/>
        <v>#N/A</v>
      </c>
      <c r="K261" s="6" t="str">
        <f>IF(A262&lt;&gt;A261,AVERAGEIF(A$9:A261,A261,J$9:J261),"")</f>
        <v/>
      </c>
      <c r="L261" s="7" t="str">
        <f>IFERROR(IF(A262&lt;&gt;A261,AVERAGEIF(A$9:A261,A261,S$9:S261),""),"")</f>
        <v/>
      </c>
      <c r="M261" s="7" t="str">
        <f>IFERROR(IF(A262&lt;&gt;A261,AVERAGEIF(A$9:A261,A261,T$9:T261),""),"")</f>
        <v/>
      </c>
      <c r="N261" s="7" t="str" cm="1">
        <f t="array" ref="N261">IFERROR(IF(A262&lt;&gt;A261,_xlfn.STDEV.P(IF(A$9:A261=A261,T$9:T261)),""),"")</f>
        <v/>
      </c>
      <c r="O261" s="7" t="str" cm="1">
        <f t="array" ref="O261">IFERROR(IF(A262&lt;&gt;A261,_xlfn.STDEV.P(IF(A$9:A261=A261,S$9:S261)),""),"")</f>
        <v/>
      </c>
      <c r="P261" s="8" t="str">
        <f t="shared" si="84"/>
        <v/>
      </c>
      <c r="Q261" s="8" t="str">
        <f t="shared" si="85"/>
        <v/>
      </c>
      <c r="R261" s="8" t="str">
        <f t="shared" si="86"/>
        <v/>
      </c>
      <c r="S261" s="9" t="str">
        <f t="shared" si="87"/>
        <v/>
      </c>
      <c r="T261" s="9" t="str">
        <f t="shared" si="88"/>
        <v/>
      </c>
      <c r="U261" s="14"/>
      <c r="V261" s="15"/>
      <c r="W261" s="14" t="str">
        <f t="shared" si="89"/>
        <v/>
      </c>
      <c r="X261" s="15"/>
      <c r="Y261" s="2"/>
      <c r="AB261" s="22">
        <f t="shared" si="90"/>
        <v>1</v>
      </c>
      <c r="AC261" s="11"/>
      <c r="AD261" s="11"/>
      <c r="AE261" s="13"/>
      <c r="AF261" s="12"/>
      <c r="AG261" s="13"/>
      <c r="AH261" s="14"/>
      <c r="AI261" s="81" t="str">
        <f t="shared" si="91"/>
        <v/>
      </c>
      <c r="AJ261" s="15"/>
      <c r="AK261" s="6" t="e">
        <f t="shared" si="92"/>
        <v>#N/A</v>
      </c>
      <c r="AL261" s="6" t="str">
        <f>IF(AB262&lt;&gt;AB261,AVERAGEIF(AB$9:AB261,AB261,AK$9:AK261),"")</f>
        <v/>
      </c>
      <c r="AM261" s="7" t="str">
        <f>IFERROR(IF(AB262&lt;&gt;AB261,AVERAGEIF(AB$9:AB261,AB261,AT$9:AT261),""),"")</f>
        <v/>
      </c>
      <c r="AN261" s="7" t="str">
        <f>IFERROR(IF(AB262&lt;&gt;AB261,AVERAGEIF(AB$9:AB261,AB261,AU$9:AU261),""),"")</f>
        <v/>
      </c>
      <c r="AO261" s="7" t="str" cm="1">
        <f t="array" ref="AO261">IFERROR(IF(AB262&lt;&gt;AB261,_xlfn.STDEV.P(IF(AB$9:AB261=AB261,AU$9:AU261)),""),"")</f>
        <v/>
      </c>
      <c r="AP261" s="7" t="str" cm="1">
        <f t="array" ref="AP261">IFERROR(IF(AB262&lt;&gt;AB261,_xlfn.STDEV.P(IF(AB$9:AB261=AB261,AT$9:AT261)),""),"")</f>
        <v/>
      </c>
      <c r="AQ261" s="8" t="str">
        <f t="shared" si="93"/>
        <v/>
      </c>
      <c r="AR261" s="8" t="str">
        <f t="shared" si="94"/>
        <v/>
      </c>
      <c r="AS261" s="8" t="str">
        <f t="shared" si="95"/>
        <v/>
      </c>
      <c r="AT261" s="9" t="str">
        <f t="shared" si="96"/>
        <v/>
      </c>
      <c r="AU261" s="9" t="str">
        <f t="shared" si="97"/>
        <v/>
      </c>
      <c r="AV261" s="14"/>
      <c r="AW261" s="15"/>
      <c r="AX261" s="14" t="str">
        <f t="shared" si="98"/>
        <v/>
      </c>
      <c r="AY261" s="15"/>
      <c r="AZ261" s="23"/>
      <c r="EW261" t="s">
        <v>46</v>
      </c>
      <c r="EX261" s="33">
        <v>1260</v>
      </c>
      <c r="EY261" s="33" t="s">
        <v>661</v>
      </c>
      <c r="EZ261" s="33" t="s">
        <v>662</v>
      </c>
      <c r="FA261" s="33" t="s">
        <v>343</v>
      </c>
      <c r="FB261" s="33" t="s">
        <v>344</v>
      </c>
      <c r="FC261" s="33" t="s">
        <v>345</v>
      </c>
      <c r="FD261" s="33" t="s">
        <v>346</v>
      </c>
      <c r="FE261" s="33">
        <v>2025</v>
      </c>
      <c r="FF261" s="33" t="s">
        <v>59</v>
      </c>
      <c r="FG261" s="33" t="s">
        <v>386</v>
      </c>
      <c r="FH261" s="33" t="s">
        <v>387</v>
      </c>
      <c r="FI261" s="33" t="s">
        <v>407</v>
      </c>
      <c r="FJ261" t="s">
        <v>59</v>
      </c>
      <c r="FM261" s="32" t="s">
        <v>652</v>
      </c>
      <c r="FN261" t="s">
        <v>653</v>
      </c>
      <c r="FO261" t="s">
        <v>654</v>
      </c>
      <c r="FP261" t="str">
        <f t="shared" si="99"/>
        <v>B</v>
      </c>
      <c r="FT261" s="69" t="s">
        <v>7400</v>
      </c>
      <c r="FU261" s="60">
        <v>22.39</v>
      </c>
      <c r="FV261" s="60">
        <v>23.835000000000001</v>
      </c>
      <c r="FW261" s="60">
        <v>24.454999999999998</v>
      </c>
      <c r="FX261" s="60">
        <v>24.39</v>
      </c>
      <c r="FY261" s="60">
        <v>23.72</v>
      </c>
      <c r="FZ261" s="60">
        <v>22.34</v>
      </c>
      <c r="GA261" s="60">
        <v>22.16</v>
      </c>
      <c r="GB261" s="60">
        <v>0</v>
      </c>
      <c r="GC261" s="60">
        <v>0</v>
      </c>
      <c r="GD261" s="60">
        <v>0</v>
      </c>
      <c r="GE261" s="60">
        <v>0</v>
      </c>
      <c r="GF261" s="60">
        <v>0</v>
      </c>
      <c r="GG261" s="60">
        <v>0</v>
      </c>
      <c r="GH261" s="60">
        <v>0</v>
      </c>
      <c r="GI261" s="60">
        <v>0</v>
      </c>
      <c r="GJ261" s="60">
        <v>0</v>
      </c>
      <c r="GK261" s="60">
        <v>0</v>
      </c>
      <c r="GL261" s="60">
        <v>0</v>
      </c>
      <c r="GM261" s="60">
        <v>0</v>
      </c>
      <c r="GN261" s="60">
        <v>0</v>
      </c>
      <c r="GO261" s="60">
        <v>0</v>
      </c>
      <c r="GP261" s="60">
        <v>0</v>
      </c>
      <c r="GQ261" s="60">
        <v>11.05</v>
      </c>
      <c r="GR261" s="60">
        <v>21.984999999999999</v>
      </c>
      <c r="GU261" s="53">
        <v>31</v>
      </c>
      <c r="GV261" s="53">
        <v>255</v>
      </c>
    </row>
    <row r="262" spans="1:204" ht="15.5" x14ac:dyDescent="0.35">
      <c r="A262" s="95">
        <f t="shared" si="81"/>
        <v>1</v>
      </c>
      <c r="B262" s="11"/>
      <c r="C262" s="11"/>
      <c r="D262" s="92" t="str">
        <f>IFERROR(
IF(AND(OR(Planilla!B262="C",Planilla!B262="c"), VLOOKUP(E262,EX:FJ,13,0)="C"), "OK",IF(AND(OR(Planilla!B262="C",Planilla!B262="c"), OR(VLOOKUP(E262,EX:FJ,13,0)="B", VLOOKUP(E262,EX:FJ,13,0)="A")), "DEFICIT",IF(
AND(OR(Planilla!B262="B", Planilla!B262="BPAL"), VLOOKUP(E262,EX:FJ,13,0)="B"), "OK",IF(AND(OR(Planilla!B262="B", Planilla!B262="BPAL"), VLOOKUP(E262,EX:FJ,13,0)="A"), "DEFICIT",IF(AND(OR(Planilla!B262="B", Planilla!B262="BPAL"), VLOOKUP(E262,EX:FJ,13,0)="C"), "SOBREOFERTA",IF(AND(Planilla!B262="A", VLOOKUP(E262,EX:FJ,13,0)="A"), "OK",IF(
AND(Planilla!B262="A", OR(VLOOKUP(E262,EX:FJ,13,0)="B", VLOOKUP(E262,EX:FJ,13,0)="C")), "SOBREOFERTA",""
))))))),"")</f>
        <v/>
      </c>
      <c r="E262" s="12"/>
      <c r="F262" s="13"/>
      <c r="G262" s="14"/>
      <c r="H262" s="81" t="str">
        <f t="shared" si="82"/>
        <v/>
      </c>
      <c r="I262" s="7"/>
      <c r="J262" s="6" t="e">
        <f t="shared" si="83"/>
        <v>#N/A</v>
      </c>
      <c r="K262" s="6" t="str">
        <f>IF(A263&lt;&gt;A262,AVERAGEIF(A$9:A262,A262,J$9:J262),"")</f>
        <v/>
      </c>
      <c r="L262" s="7" t="str">
        <f>IFERROR(IF(A263&lt;&gt;A262,AVERAGEIF(A$9:A262,A262,S$9:S262),""),"")</f>
        <v/>
      </c>
      <c r="M262" s="7" t="str">
        <f>IFERROR(IF(A263&lt;&gt;A262,AVERAGEIF(A$9:A262,A262,T$9:T262),""),"")</f>
        <v/>
      </c>
      <c r="N262" s="7" t="str" cm="1">
        <f t="array" ref="N262">IFERROR(IF(A263&lt;&gt;A262,_xlfn.STDEV.P(IF(A$9:A262=A262,T$9:T262)),""),"")</f>
        <v/>
      </c>
      <c r="O262" s="7" t="str" cm="1">
        <f t="array" ref="O262">IFERROR(IF(A263&lt;&gt;A262,_xlfn.STDEV.P(IF(A$9:A262=A262,S$9:S262)),""),"")</f>
        <v/>
      </c>
      <c r="P262" s="8" t="str">
        <f t="shared" si="84"/>
        <v/>
      </c>
      <c r="Q262" s="8" t="str">
        <f t="shared" si="85"/>
        <v/>
      </c>
      <c r="R262" s="8" t="str">
        <f t="shared" si="86"/>
        <v/>
      </c>
      <c r="S262" s="9" t="str">
        <f t="shared" si="87"/>
        <v/>
      </c>
      <c r="T262" s="9" t="str">
        <f t="shared" si="88"/>
        <v/>
      </c>
      <c r="U262" s="14"/>
      <c r="V262" s="15"/>
      <c r="W262" s="14" t="str">
        <f t="shared" si="89"/>
        <v/>
      </c>
      <c r="X262" s="15"/>
      <c r="Y262" s="2"/>
      <c r="AB262" s="22">
        <f t="shared" si="90"/>
        <v>1</v>
      </c>
      <c r="AC262" s="11"/>
      <c r="AD262" s="11"/>
      <c r="AE262" s="13"/>
      <c r="AF262" s="12"/>
      <c r="AG262" s="13"/>
      <c r="AH262" s="14"/>
      <c r="AI262" s="81" t="str">
        <f t="shared" si="91"/>
        <v/>
      </c>
      <c r="AJ262" s="15"/>
      <c r="AK262" s="6" t="e">
        <f t="shared" si="92"/>
        <v>#N/A</v>
      </c>
      <c r="AL262" s="6" t="str">
        <f>IF(AB263&lt;&gt;AB262,AVERAGEIF(AB$9:AB262,AB262,AK$9:AK262),"")</f>
        <v/>
      </c>
      <c r="AM262" s="7" t="str">
        <f>IFERROR(IF(AB263&lt;&gt;AB262,AVERAGEIF(AB$9:AB262,AB262,AT$9:AT262),""),"")</f>
        <v/>
      </c>
      <c r="AN262" s="7" t="str">
        <f>IFERROR(IF(AB263&lt;&gt;AB262,AVERAGEIF(AB$9:AB262,AB262,AU$9:AU262),""),"")</f>
        <v/>
      </c>
      <c r="AO262" s="7" t="str" cm="1">
        <f t="array" ref="AO262">IFERROR(IF(AB263&lt;&gt;AB262,_xlfn.STDEV.P(IF(AB$9:AB262=AB262,AU$9:AU262)),""),"")</f>
        <v/>
      </c>
      <c r="AP262" s="7" t="str" cm="1">
        <f t="array" ref="AP262">IFERROR(IF(AB263&lt;&gt;AB262,_xlfn.STDEV.P(IF(AB$9:AB262=AB262,AT$9:AT262)),""),"")</f>
        <v/>
      </c>
      <c r="AQ262" s="8" t="str">
        <f t="shared" si="93"/>
        <v/>
      </c>
      <c r="AR262" s="8" t="str">
        <f t="shared" si="94"/>
        <v/>
      </c>
      <c r="AS262" s="8" t="str">
        <f t="shared" si="95"/>
        <v/>
      </c>
      <c r="AT262" s="9" t="str">
        <f t="shared" si="96"/>
        <v/>
      </c>
      <c r="AU262" s="9" t="str">
        <f t="shared" si="97"/>
        <v/>
      </c>
      <c r="AV262" s="14"/>
      <c r="AW262" s="15"/>
      <c r="AX262" s="14" t="str">
        <f t="shared" si="98"/>
        <v/>
      </c>
      <c r="AY262" s="15"/>
      <c r="AZ262" s="23"/>
      <c r="EW262" t="s">
        <v>46</v>
      </c>
      <c r="EX262" s="33">
        <v>1261</v>
      </c>
      <c r="EY262" s="33" t="s">
        <v>663</v>
      </c>
      <c r="EZ262" s="33" t="s">
        <v>664</v>
      </c>
      <c r="FA262" s="33" t="s">
        <v>343</v>
      </c>
      <c r="FB262" s="33" t="s">
        <v>344</v>
      </c>
      <c r="FC262" s="33" t="s">
        <v>345</v>
      </c>
      <c r="FD262" s="33" t="s">
        <v>346</v>
      </c>
      <c r="FE262" s="33">
        <v>2025</v>
      </c>
      <c r="FF262" s="33" t="s">
        <v>59</v>
      </c>
      <c r="FG262" s="33" t="s">
        <v>386</v>
      </c>
      <c r="FH262" s="33" t="s">
        <v>387</v>
      </c>
      <c r="FI262" s="33" t="s">
        <v>407</v>
      </c>
      <c r="FJ262" t="s">
        <v>59</v>
      </c>
      <c r="FM262" s="32" t="s">
        <v>665</v>
      </c>
      <c r="FN262" t="s">
        <v>666</v>
      </c>
      <c r="FO262" t="s">
        <v>667</v>
      </c>
      <c r="FP262" t="e">
        <f t="shared" si="99"/>
        <v>#N/A</v>
      </c>
      <c r="FT262" s="69" t="s">
        <v>7413</v>
      </c>
      <c r="FU262" s="60">
        <v>0</v>
      </c>
      <c r="FV262" s="60">
        <v>0</v>
      </c>
      <c r="FW262" s="60">
        <v>0</v>
      </c>
      <c r="FX262" s="60">
        <v>0</v>
      </c>
      <c r="FY262" s="60">
        <v>0</v>
      </c>
      <c r="FZ262" s="60">
        <v>0</v>
      </c>
      <c r="GA262" s="60">
        <v>9.1</v>
      </c>
      <c r="GB262" s="60">
        <v>16.064999999999998</v>
      </c>
      <c r="GC262" s="60">
        <v>14.135</v>
      </c>
      <c r="GD262" s="60">
        <v>14.625</v>
      </c>
      <c r="GE262" s="60">
        <v>15.46</v>
      </c>
      <c r="GF262" s="60">
        <v>14.594999999999999</v>
      </c>
      <c r="GG262" s="60">
        <v>14.33</v>
      </c>
      <c r="GH262" s="60">
        <v>13.54</v>
      </c>
      <c r="GI262" s="60">
        <v>13.11</v>
      </c>
      <c r="GJ262" s="60">
        <v>13.654999999999999</v>
      </c>
      <c r="GK262" s="60">
        <v>14.23</v>
      </c>
      <c r="GL262" s="60">
        <v>16.09</v>
      </c>
      <c r="GM262" s="60">
        <v>17.425000000000001</v>
      </c>
      <c r="GN262" s="60">
        <v>18.314999999999998</v>
      </c>
      <c r="GO262" s="60">
        <v>19.484999999999999</v>
      </c>
      <c r="GP262" s="60">
        <v>20.785</v>
      </c>
      <c r="GQ262" s="60">
        <v>21.57</v>
      </c>
      <c r="GR262" s="60">
        <v>11.195</v>
      </c>
      <c r="GU262" s="53">
        <v>32</v>
      </c>
      <c r="GV262" s="53">
        <v>256</v>
      </c>
    </row>
    <row r="263" spans="1:204" ht="15.5" x14ac:dyDescent="0.35">
      <c r="A263" s="95">
        <f t="shared" si="81"/>
        <v>1</v>
      </c>
      <c r="B263" s="11"/>
      <c r="C263" s="11"/>
      <c r="D263" s="92" t="str">
        <f>IFERROR(
IF(AND(OR(Planilla!B263="C",Planilla!B263="c"), VLOOKUP(E263,EX:FJ,13,0)="C"), "OK",IF(AND(OR(Planilla!B263="C",Planilla!B263="c"), OR(VLOOKUP(E263,EX:FJ,13,0)="B", VLOOKUP(E263,EX:FJ,13,0)="A")), "DEFICIT",IF(
AND(OR(Planilla!B263="B", Planilla!B263="BPAL"), VLOOKUP(E263,EX:FJ,13,0)="B"), "OK",IF(AND(OR(Planilla!B263="B", Planilla!B263="BPAL"), VLOOKUP(E263,EX:FJ,13,0)="A"), "DEFICIT",IF(AND(OR(Planilla!B263="B", Planilla!B263="BPAL"), VLOOKUP(E263,EX:FJ,13,0)="C"), "SOBREOFERTA",IF(AND(Planilla!B263="A", VLOOKUP(E263,EX:FJ,13,0)="A"), "OK",IF(
AND(Planilla!B263="A", OR(VLOOKUP(E263,EX:FJ,13,0)="B", VLOOKUP(E263,EX:FJ,13,0)="C")), "SOBREOFERTA",""
))))))),"")</f>
        <v/>
      </c>
      <c r="E263" s="12"/>
      <c r="F263" s="13"/>
      <c r="G263" s="14"/>
      <c r="H263" s="81" t="str">
        <f t="shared" si="82"/>
        <v/>
      </c>
      <c r="I263" s="7"/>
      <c r="J263" s="6" t="e">
        <f t="shared" si="83"/>
        <v>#N/A</v>
      </c>
      <c r="K263" s="6" t="str">
        <f>IF(A264&lt;&gt;A263,AVERAGEIF(A$9:A263,A263,J$9:J263),"")</f>
        <v/>
      </c>
      <c r="L263" s="7" t="str">
        <f>IFERROR(IF(A264&lt;&gt;A263,AVERAGEIF(A$9:A263,A263,S$9:S263),""),"")</f>
        <v/>
      </c>
      <c r="M263" s="7" t="str">
        <f>IFERROR(IF(A264&lt;&gt;A263,AVERAGEIF(A$9:A263,A263,T$9:T263),""),"")</f>
        <v/>
      </c>
      <c r="N263" s="7" t="str" cm="1">
        <f t="array" ref="N263">IFERROR(IF(A264&lt;&gt;A263,_xlfn.STDEV.P(IF(A$9:A263=A263,T$9:T263)),""),"")</f>
        <v/>
      </c>
      <c r="O263" s="7" t="str" cm="1">
        <f t="array" ref="O263">IFERROR(IF(A264&lt;&gt;A263,_xlfn.STDEV.P(IF(A$9:A263=A263,S$9:S263)),""),"")</f>
        <v/>
      </c>
      <c r="P263" s="8" t="str">
        <f t="shared" si="84"/>
        <v/>
      </c>
      <c r="Q263" s="8" t="str">
        <f t="shared" si="85"/>
        <v/>
      </c>
      <c r="R263" s="8" t="str">
        <f t="shared" si="86"/>
        <v/>
      </c>
      <c r="S263" s="9" t="str">
        <f t="shared" si="87"/>
        <v/>
      </c>
      <c r="T263" s="9" t="str">
        <f t="shared" si="88"/>
        <v/>
      </c>
      <c r="U263" s="14"/>
      <c r="V263" s="15"/>
      <c r="W263" s="14" t="str">
        <f t="shared" si="89"/>
        <v/>
      </c>
      <c r="X263" s="15"/>
      <c r="Y263" s="2"/>
      <c r="AB263" s="22">
        <f t="shared" si="90"/>
        <v>1</v>
      </c>
      <c r="AC263" s="11"/>
      <c r="AD263" s="11"/>
      <c r="AE263" s="13"/>
      <c r="AF263" s="12"/>
      <c r="AG263" s="13"/>
      <c r="AH263" s="14"/>
      <c r="AI263" s="81" t="str">
        <f t="shared" si="91"/>
        <v/>
      </c>
      <c r="AJ263" s="15"/>
      <c r="AK263" s="6" t="e">
        <f t="shared" si="92"/>
        <v>#N/A</v>
      </c>
      <c r="AL263" s="6" t="str">
        <f>IF(AB264&lt;&gt;AB263,AVERAGEIF(AB$9:AB263,AB263,AK$9:AK263),"")</f>
        <v/>
      </c>
      <c r="AM263" s="7" t="str">
        <f>IFERROR(IF(AB264&lt;&gt;AB263,AVERAGEIF(AB$9:AB263,AB263,AT$9:AT263),""),"")</f>
        <v/>
      </c>
      <c r="AN263" s="7" t="str">
        <f>IFERROR(IF(AB264&lt;&gt;AB263,AVERAGEIF(AB$9:AB263,AB263,AU$9:AU263),""),"")</f>
        <v/>
      </c>
      <c r="AO263" s="7" t="str" cm="1">
        <f t="array" ref="AO263">IFERROR(IF(AB264&lt;&gt;AB263,_xlfn.STDEV.P(IF(AB$9:AB263=AB263,AU$9:AU263)),""),"")</f>
        <v/>
      </c>
      <c r="AP263" s="7" t="str" cm="1">
        <f t="array" ref="AP263">IFERROR(IF(AB264&lt;&gt;AB263,_xlfn.STDEV.P(IF(AB$9:AB263=AB263,AT$9:AT263)),""),"")</f>
        <v/>
      </c>
      <c r="AQ263" s="8" t="str">
        <f t="shared" si="93"/>
        <v/>
      </c>
      <c r="AR263" s="8" t="str">
        <f t="shared" si="94"/>
        <v/>
      </c>
      <c r="AS263" s="8" t="str">
        <f t="shared" si="95"/>
        <v/>
      </c>
      <c r="AT263" s="9" t="str">
        <f t="shared" si="96"/>
        <v/>
      </c>
      <c r="AU263" s="9" t="str">
        <f t="shared" si="97"/>
        <v/>
      </c>
      <c r="AV263" s="14"/>
      <c r="AW263" s="15"/>
      <c r="AX263" s="14" t="str">
        <f t="shared" si="98"/>
        <v/>
      </c>
      <c r="AY263" s="15"/>
      <c r="AZ263" s="23"/>
      <c r="EW263" t="s">
        <v>46</v>
      </c>
      <c r="EX263" s="33">
        <v>1262</v>
      </c>
      <c r="EY263" s="33" t="s">
        <v>668</v>
      </c>
      <c r="EZ263" s="33" t="s">
        <v>669</v>
      </c>
      <c r="FA263" s="33" t="s">
        <v>343</v>
      </c>
      <c r="FB263" s="33" t="s">
        <v>344</v>
      </c>
      <c r="FC263" s="33" t="s">
        <v>345</v>
      </c>
      <c r="FD263" s="33" t="s">
        <v>346</v>
      </c>
      <c r="FE263" s="33">
        <v>2025</v>
      </c>
      <c r="FF263" s="33" t="s">
        <v>59</v>
      </c>
      <c r="FG263" s="33" t="s">
        <v>477</v>
      </c>
      <c r="FH263" s="33" t="s">
        <v>478</v>
      </c>
      <c r="FI263" s="33" t="s">
        <v>479</v>
      </c>
      <c r="FJ263" t="s">
        <v>59</v>
      </c>
      <c r="FM263" s="32" t="s">
        <v>670</v>
      </c>
      <c r="FN263" t="s">
        <v>671</v>
      </c>
      <c r="FO263" t="s">
        <v>672</v>
      </c>
      <c r="FP263" t="str">
        <f t="shared" si="99"/>
        <v>B</v>
      </c>
      <c r="FT263" s="69" t="s">
        <v>7414</v>
      </c>
      <c r="FU263" s="60">
        <v>0</v>
      </c>
      <c r="FV263" s="60">
        <v>0</v>
      </c>
      <c r="FW263" s="60">
        <v>0</v>
      </c>
      <c r="FX263" s="60">
        <v>0</v>
      </c>
      <c r="FY263" s="60">
        <v>0</v>
      </c>
      <c r="FZ263" s="60">
        <v>12.404999999999999</v>
      </c>
      <c r="GA263" s="60">
        <v>22.945</v>
      </c>
      <c r="GB263" s="60">
        <v>21.605</v>
      </c>
      <c r="GC263" s="60">
        <v>20.97</v>
      </c>
      <c r="GD263" s="60">
        <v>19.990000000000002</v>
      </c>
      <c r="GE263" s="60">
        <v>19.185000000000002</v>
      </c>
      <c r="GF263" s="60">
        <v>18.259999999999998</v>
      </c>
      <c r="GG263" s="60">
        <v>17.579999999999998</v>
      </c>
      <c r="GH263" s="60">
        <v>17.795000000000002</v>
      </c>
      <c r="GI263" s="60">
        <v>17.78</v>
      </c>
      <c r="GJ263" s="60">
        <v>17.920000000000002</v>
      </c>
      <c r="GK263" s="60">
        <v>18.465</v>
      </c>
      <c r="GL263" s="60">
        <v>18.064999999999998</v>
      </c>
      <c r="GM263" s="60">
        <v>17.600000000000001</v>
      </c>
      <c r="GN263" s="60">
        <v>18.424999999999997</v>
      </c>
      <c r="GO263" s="60">
        <v>20.02</v>
      </c>
      <c r="GP263" s="60">
        <v>21.45</v>
      </c>
      <c r="GQ263" s="60">
        <v>22.39</v>
      </c>
      <c r="GR263" s="60">
        <v>11.734999999999999</v>
      </c>
      <c r="GU263" s="53">
        <v>33</v>
      </c>
      <c r="GV263" s="53">
        <v>257</v>
      </c>
    </row>
    <row r="264" spans="1:204" ht="15.5" x14ac:dyDescent="0.35">
      <c r="A264" s="95">
        <f t="shared" si="81"/>
        <v>1</v>
      </c>
      <c r="B264" s="11"/>
      <c r="C264" s="11"/>
      <c r="D264" s="92" t="str">
        <f>IFERROR(
IF(AND(OR(Planilla!B264="C",Planilla!B264="c"), VLOOKUP(E264,EX:FJ,13,0)="C"), "OK",IF(AND(OR(Planilla!B264="C",Planilla!B264="c"), OR(VLOOKUP(E264,EX:FJ,13,0)="B", VLOOKUP(E264,EX:FJ,13,0)="A")), "DEFICIT",IF(
AND(OR(Planilla!B264="B", Planilla!B264="BPAL"), VLOOKUP(E264,EX:FJ,13,0)="B"), "OK",IF(AND(OR(Planilla!B264="B", Planilla!B264="BPAL"), VLOOKUP(E264,EX:FJ,13,0)="A"), "DEFICIT",IF(AND(OR(Planilla!B264="B", Planilla!B264="BPAL"), VLOOKUP(E264,EX:FJ,13,0)="C"), "SOBREOFERTA",IF(AND(Planilla!B264="A", VLOOKUP(E264,EX:FJ,13,0)="A"), "OK",IF(
AND(Planilla!B264="A", OR(VLOOKUP(E264,EX:FJ,13,0)="B", VLOOKUP(E264,EX:FJ,13,0)="C")), "SOBREOFERTA",""
))))))),"")</f>
        <v/>
      </c>
      <c r="E264" s="12"/>
      <c r="F264" s="13"/>
      <c r="G264" s="14"/>
      <c r="H264" s="81" t="str">
        <f t="shared" si="82"/>
        <v/>
      </c>
      <c r="I264" s="7"/>
      <c r="J264" s="6" t="e">
        <f t="shared" si="83"/>
        <v>#N/A</v>
      </c>
      <c r="K264" s="6" t="str">
        <f>IF(A265&lt;&gt;A264,AVERAGEIF(A$9:A264,A264,J$9:J264),"")</f>
        <v/>
      </c>
      <c r="L264" s="7" t="str">
        <f>IFERROR(IF(A265&lt;&gt;A264,AVERAGEIF(A$9:A264,A264,S$9:S264),""),"")</f>
        <v/>
      </c>
      <c r="M264" s="7" t="str">
        <f>IFERROR(IF(A265&lt;&gt;A264,AVERAGEIF(A$9:A264,A264,T$9:T264),""),"")</f>
        <v/>
      </c>
      <c r="N264" s="7" t="str" cm="1">
        <f t="array" ref="N264">IFERROR(IF(A265&lt;&gt;A264,_xlfn.STDEV.P(IF(A$9:A264=A264,T$9:T264)),""),"")</f>
        <v/>
      </c>
      <c r="O264" s="7" t="str" cm="1">
        <f t="array" ref="O264">IFERROR(IF(A265&lt;&gt;A264,_xlfn.STDEV.P(IF(A$9:A264=A264,S$9:S264)),""),"")</f>
        <v/>
      </c>
      <c r="P264" s="8" t="str">
        <f t="shared" si="84"/>
        <v/>
      </c>
      <c r="Q264" s="8" t="str">
        <f t="shared" si="85"/>
        <v/>
      </c>
      <c r="R264" s="8" t="str">
        <f t="shared" si="86"/>
        <v/>
      </c>
      <c r="S264" s="9" t="str">
        <f t="shared" si="87"/>
        <v/>
      </c>
      <c r="T264" s="9" t="str">
        <f t="shared" si="88"/>
        <v/>
      </c>
      <c r="U264" s="14"/>
      <c r="V264" s="15"/>
      <c r="W264" s="14" t="str">
        <f t="shared" si="89"/>
        <v/>
      </c>
      <c r="X264" s="15"/>
      <c r="Y264" s="2"/>
      <c r="AB264" s="22">
        <f t="shared" si="90"/>
        <v>1</v>
      </c>
      <c r="AC264" s="11"/>
      <c r="AD264" s="11"/>
      <c r="AE264" s="13"/>
      <c r="AF264" s="12"/>
      <c r="AG264" s="13"/>
      <c r="AH264" s="14"/>
      <c r="AI264" s="81" t="str">
        <f t="shared" si="91"/>
        <v/>
      </c>
      <c r="AJ264" s="15"/>
      <c r="AK264" s="6" t="e">
        <f t="shared" si="92"/>
        <v>#N/A</v>
      </c>
      <c r="AL264" s="6" t="str">
        <f>IF(AB265&lt;&gt;AB264,AVERAGEIF(AB$9:AB264,AB264,AK$9:AK264),"")</f>
        <v/>
      </c>
      <c r="AM264" s="7" t="str">
        <f>IFERROR(IF(AB265&lt;&gt;AB264,AVERAGEIF(AB$9:AB264,AB264,AT$9:AT264),""),"")</f>
        <v/>
      </c>
      <c r="AN264" s="7" t="str">
        <f>IFERROR(IF(AB265&lt;&gt;AB264,AVERAGEIF(AB$9:AB264,AB264,AU$9:AU264),""),"")</f>
        <v/>
      </c>
      <c r="AO264" s="7" t="str" cm="1">
        <f t="array" ref="AO264">IFERROR(IF(AB265&lt;&gt;AB264,_xlfn.STDEV.P(IF(AB$9:AB264=AB264,AU$9:AU264)),""),"")</f>
        <v/>
      </c>
      <c r="AP264" s="7" t="str" cm="1">
        <f t="array" ref="AP264">IFERROR(IF(AB265&lt;&gt;AB264,_xlfn.STDEV.P(IF(AB$9:AB264=AB264,AT$9:AT264)),""),"")</f>
        <v/>
      </c>
      <c r="AQ264" s="8" t="str">
        <f t="shared" si="93"/>
        <v/>
      </c>
      <c r="AR264" s="8" t="str">
        <f t="shared" si="94"/>
        <v/>
      </c>
      <c r="AS264" s="8" t="str">
        <f t="shared" si="95"/>
        <v/>
      </c>
      <c r="AT264" s="9" t="str">
        <f t="shared" si="96"/>
        <v/>
      </c>
      <c r="AU264" s="9" t="str">
        <f t="shared" si="97"/>
        <v/>
      </c>
      <c r="AV264" s="14"/>
      <c r="AW264" s="15"/>
      <c r="AX264" s="14" t="str">
        <f t="shared" si="98"/>
        <v/>
      </c>
      <c r="AY264" s="15"/>
      <c r="AZ264" s="23"/>
      <c r="EW264" t="s">
        <v>46</v>
      </c>
      <c r="EX264" s="33">
        <v>1263</v>
      </c>
      <c r="EY264" s="33" t="s">
        <v>673</v>
      </c>
      <c r="EZ264" s="33" t="s">
        <v>674</v>
      </c>
      <c r="FA264" s="33" t="s">
        <v>343</v>
      </c>
      <c r="FB264" s="33" t="s">
        <v>344</v>
      </c>
      <c r="FC264" s="33" t="s">
        <v>345</v>
      </c>
      <c r="FD264" s="33" t="s">
        <v>346</v>
      </c>
      <c r="FE264" s="33">
        <v>2025</v>
      </c>
      <c r="FF264" s="33" t="s">
        <v>59</v>
      </c>
      <c r="FG264" s="33" t="s">
        <v>386</v>
      </c>
      <c r="FH264" s="33" t="s">
        <v>387</v>
      </c>
      <c r="FI264" s="33" t="s">
        <v>407</v>
      </c>
      <c r="FJ264" t="s">
        <v>59</v>
      </c>
      <c r="FM264" s="32" t="s">
        <v>670</v>
      </c>
      <c r="FN264" t="s">
        <v>671</v>
      </c>
      <c r="FO264" t="s">
        <v>672</v>
      </c>
      <c r="FP264" t="str">
        <f t="shared" si="99"/>
        <v>B</v>
      </c>
      <c r="FT264" s="69">
        <v>410</v>
      </c>
      <c r="FU264" s="60">
        <v>0</v>
      </c>
      <c r="FV264" s="60">
        <v>0</v>
      </c>
      <c r="FW264" s="60">
        <v>0</v>
      </c>
      <c r="FX264" s="60">
        <v>0</v>
      </c>
      <c r="FY264" s="60">
        <v>16</v>
      </c>
      <c r="FZ264" s="60">
        <v>29.674999999999997</v>
      </c>
      <c r="GA264" s="60">
        <v>27.6</v>
      </c>
      <c r="GB264" s="60">
        <v>27.004999999999999</v>
      </c>
      <c r="GC264" s="60">
        <v>26.354999999999997</v>
      </c>
      <c r="GD264" s="60">
        <v>25.795000000000002</v>
      </c>
      <c r="GE264" s="60">
        <v>24.91</v>
      </c>
      <c r="GF264" s="60">
        <v>24.17</v>
      </c>
      <c r="GG264" s="60">
        <v>23.62</v>
      </c>
      <c r="GH264" s="60">
        <v>23.37</v>
      </c>
      <c r="GI264" s="60">
        <v>24.495000000000001</v>
      </c>
      <c r="GJ264" s="60">
        <v>25.25</v>
      </c>
      <c r="GK264" s="60">
        <v>25.064999999999998</v>
      </c>
      <c r="GL264" s="60">
        <v>26.115000000000002</v>
      </c>
      <c r="GM264" s="60">
        <v>26.6</v>
      </c>
      <c r="GN264" s="60">
        <v>27.114999999999998</v>
      </c>
      <c r="GO264" s="60">
        <v>28.414999999999999</v>
      </c>
      <c r="GP264" s="60">
        <v>30.274999999999999</v>
      </c>
      <c r="GQ264" s="60">
        <v>31.395</v>
      </c>
      <c r="GR264" s="60">
        <v>32.085000000000001</v>
      </c>
      <c r="GU264" s="53">
        <v>34</v>
      </c>
      <c r="GV264" s="53">
        <v>258</v>
      </c>
    </row>
    <row r="265" spans="1:204" ht="15.5" x14ac:dyDescent="0.35">
      <c r="A265" s="95">
        <f t="shared" si="81"/>
        <v>1</v>
      </c>
      <c r="B265" s="11"/>
      <c r="C265" s="11"/>
      <c r="D265" s="92" t="str">
        <f>IFERROR(
IF(AND(OR(Planilla!B265="C",Planilla!B265="c"), VLOOKUP(E265,EX:FJ,13,0)="C"), "OK",IF(AND(OR(Planilla!B265="C",Planilla!B265="c"), OR(VLOOKUP(E265,EX:FJ,13,0)="B", VLOOKUP(E265,EX:FJ,13,0)="A")), "DEFICIT",IF(
AND(OR(Planilla!B265="B", Planilla!B265="BPAL"), VLOOKUP(E265,EX:FJ,13,0)="B"), "OK",IF(AND(OR(Planilla!B265="B", Planilla!B265="BPAL"), VLOOKUP(E265,EX:FJ,13,0)="A"), "DEFICIT",IF(AND(OR(Planilla!B265="B", Planilla!B265="BPAL"), VLOOKUP(E265,EX:FJ,13,0)="C"), "SOBREOFERTA",IF(AND(Planilla!B265="A", VLOOKUP(E265,EX:FJ,13,0)="A"), "OK",IF(
AND(Planilla!B265="A", OR(VLOOKUP(E265,EX:FJ,13,0)="B", VLOOKUP(E265,EX:FJ,13,0)="C")), "SOBREOFERTA",""
))))))),"")</f>
        <v/>
      </c>
      <c r="E265" s="12"/>
      <c r="F265" s="13"/>
      <c r="G265" s="14"/>
      <c r="H265" s="81" t="str">
        <f t="shared" si="82"/>
        <v/>
      </c>
      <c r="I265" s="7"/>
      <c r="J265" s="6" t="e">
        <f t="shared" si="83"/>
        <v>#N/A</v>
      </c>
      <c r="K265" s="6" t="str">
        <f>IF(A266&lt;&gt;A265,AVERAGEIF(A$9:A265,A265,J$9:J265),"")</f>
        <v/>
      </c>
      <c r="L265" s="7" t="str">
        <f>IFERROR(IF(A266&lt;&gt;A265,AVERAGEIF(A$9:A265,A265,S$9:S265),""),"")</f>
        <v/>
      </c>
      <c r="M265" s="7" t="str">
        <f>IFERROR(IF(A266&lt;&gt;A265,AVERAGEIF(A$9:A265,A265,T$9:T265),""),"")</f>
        <v/>
      </c>
      <c r="N265" s="7" t="str" cm="1">
        <f t="array" ref="N265">IFERROR(IF(A266&lt;&gt;A265,_xlfn.STDEV.P(IF(A$9:A265=A265,T$9:T265)),""),"")</f>
        <v/>
      </c>
      <c r="O265" s="7" t="str" cm="1">
        <f t="array" ref="O265">IFERROR(IF(A266&lt;&gt;A265,_xlfn.STDEV.P(IF(A$9:A265=A265,S$9:S265)),""),"")</f>
        <v/>
      </c>
      <c r="P265" s="8" t="str">
        <f t="shared" si="84"/>
        <v/>
      </c>
      <c r="Q265" s="8" t="str">
        <f t="shared" si="85"/>
        <v/>
      </c>
      <c r="R265" s="8" t="str">
        <f t="shared" si="86"/>
        <v/>
      </c>
      <c r="S265" s="9" t="str">
        <f t="shared" si="87"/>
        <v/>
      </c>
      <c r="T265" s="9" t="str">
        <f t="shared" si="88"/>
        <v/>
      </c>
      <c r="U265" s="14"/>
      <c r="V265" s="15"/>
      <c r="W265" s="14" t="str">
        <f t="shared" si="89"/>
        <v/>
      </c>
      <c r="X265" s="15"/>
      <c r="Y265" s="2"/>
      <c r="AB265" s="22">
        <f t="shared" si="90"/>
        <v>1</v>
      </c>
      <c r="AC265" s="11"/>
      <c r="AD265" s="11"/>
      <c r="AE265" s="13"/>
      <c r="AF265" s="12"/>
      <c r="AG265" s="13"/>
      <c r="AH265" s="14"/>
      <c r="AI265" s="81" t="str">
        <f t="shared" si="91"/>
        <v/>
      </c>
      <c r="AJ265" s="15"/>
      <c r="AK265" s="6" t="e">
        <f t="shared" si="92"/>
        <v>#N/A</v>
      </c>
      <c r="AL265" s="6" t="str">
        <f>IF(AB266&lt;&gt;AB265,AVERAGEIF(AB$9:AB265,AB265,AK$9:AK265),"")</f>
        <v/>
      </c>
      <c r="AM265" s="7" t="str">
        <f>IFERROR(IF(AB266&lt;&gt;AB265,AVERAGEIF(AB$9:AB265,AB265,AT$9:AT265),""),"")</f>
        <v/>
      </c>
      <c r="AN265" s="7" t="str">
        <f>IFERROR(IF(AB266&lt;&gt;AB265,AVERAGEIF(AB$9:AB265,AB265,AU$9:AU265),""),"")</f>
        <v/>
      </c>
      <c r="AO265" s="7" t="str" cm="1">
        <f t="array" ref="AO265">IFERROR(IF(AB266&lt;&gt;AB265,_xlfn.STDEV.P(IF(AB$9:AB265=AB265,AU$9:AU265)),""),"")</f>
        <v/>
      </c>
      <c r="AP265" s="7" t="str" cm="1">
        <f t="array" ref="AP265">IFERROR(IF(AB266&lt;&gt;AB265,_xlfn.STDEV.P(IF(AB$9:AB265=AB265,AT$9:AT265)),""),"")</f>
        <v/>
      </c>
      <c r="AQ265" s="8" t="str">
        <f t="shared" si="93"/>
        <v/>
      </c>
      <c r="AR265" s="8" t="str">
        <f t="shared" si="94"/>
        <v/>
      </c>
      <c r="AS265" s="8" t="str">
        <f t="shared" si="95"/>
        <v/>
      </c>
      <c r="AT265" s="9" t="str">
        <f t="shared" si="96"/>
        <v/>
      </c>
      <c r="AU265" s="9" t="str">
        <f t="shared" si="97"/>
        <v/>
      </c>
      <c r="AV265" s="14"/>
      <c r="AW265" s="15"/>
      <c r="AX265" s="14" t="str">
        <f t="shared" si="98"/>
        <v/>
      </c>
      <c r="AY265" s="15"/>
      <c r="AZ265" s="23"/>
      <c r="EW265" t="s">
        <v>46</v>
      </c>
      <c r="EX265" s="33">
        <v>1264</v>
      </c>
      <c r="EY265" s="33" t="s">
        <v>675</v>
      </c>
      <c r="EZ265" s="33" t="s">
        <v>676</v>
      </c>
      <c r="FA265" s="33" t="s">
        <v>343</v>
      </c>
      <c r="FB265" s="33" t="s">
        <v>344</v>
      </c>
      <c r="FC265" s="33" t="s">
        <v>345</v>
      </c>
      <c r="FD265" s="33" t="s">
        <v>346</v>
      </c>
      <c r="FE265" s="33">
        <v>2025</v>
      </c>
      <c r="FF265" s="33" t="s">
        <v>59</v>
      </c>
      <c r="FG265" s="33" t="s">
        <v>386</v>
      </c>
      <c r="FH265" s="33" t="s">
        <v>387</v>
      </c>
      <c r="FI265" s="33" t="s">
        <v>407</v>
      </c>
      <c r="FJ265" t="s">
        <v>59</v>
      </c>
      <c r="FM265" s="32" t="s">
        <v>670</v>
      </c>
      <c r="FN265" t="s">
        <v>671</v>
      </c>
      <c r="FO265" t="s">
        <v>672</v>
      </c>
      <c r="FP265" t="str">
        <f t="shared" si="99"/>
        <v>B</v>
      </c>
      <c r="FT265" s="69">
        <v>410</v>
      </c>
      <c r="FU265" s="60">
        <v>27.605</v>
      </c>
      <c r="FV265" s="60">
        <v>0</v>
      </c>
      <c r="FW265" s="60">
        <v>0</v>
      </c>
      <c r="FX265" s="60">
        <v>0</v>
      </c>
      <c r="FY265" s="60">
        <v>0</v>
      </c>
      <c r="FZ265" s="60">
        <v>13.225</v>
      </c>
      <c r="GA265" s="60">
        <v>25.555</v>
      </c>
      <c r="GB265" s="60">
        <v>23.939999999999998</v>
      </c>
      <c r="GC265" s="60">
        <v>23.134999999999998</v>
      </c>
      <c r="GD265" s="60">
        <v>22.335000000000001</v>
      </c>
      <c r="GE265" s="60">
        <v>20.945</v>
      </c>
      <c r="GF265" s="60">
        <v>19.195</v>
      </c>
      <c r="GG265" s="60">
        <v>18.814999999999998</v>
      </c>
      <c r="GH265" s="60">
        <v>18.899999999999999</v>
      </c>
      <c r="GI265" s="60">
        <v>19.57</v>
      </c>
      <c r="GJ265" s="60">
        <v>20.82</v>
      </c>
      <c r="GK265" s="60">
        <v>20.774999999999999</v>
      </c>
      <c r="GL265" s="60">
        <v>19.715</v>
      </c>
      <c r="GM265" s="60">
        <v>19.350000000000001</v>
      </c>
      <c r="GN265" s="60">
        <v>19.86</v>
      </c>
      <c r="GO265" s="60">
        <v>20.344999999999999</v>
      </c>
      <c r="GP265" s="60">
        <v>21.48</v>
      </c>
      <c r="GQ265" s="60">
        <v>23.295000000000002</v>
      </c>
      <c r="GR265" s="60">
        <v>25.365000000000002</v>
      </c>
      <c r="GU265" s="53">
        <v>35</v>
      </c>
      <c r="GV265" s="53">
        <v>259</v>
      </c>
    </row>
    <row r="266" spans="1:204" ht="15.5" x14ac:dyDescent="0.35">
      <c r="A266" s="95">
        <f t="shared" si="81"/>
        <v>1</v>
      </c>
      <c r="B266" s="11"/>
      <c r="C266" s="11"/>
      <c r="D266" s="92" t="str">
        <f>IFERROR(
IF(AND(OR(Planilla!B266="C",Planilla!B266="c"), VLOOKUP(E266,EX:FJ,13,0)="C"), "OK",IF(AND(OR(Planilla!B266="C",Planilla!B266="c"), OR(VLOOKUP(E266,EX:FJ,13,0)="B", VLOOKUP(E266,EX:FJ,13,0)="A")), "DEFICIT",IF(
AND(OR(Planilla!B266="B", Planilla!B266="BPAL"), VLOOKUP(E266,EX:FJ,13,0)="B"), "OK",IF(AND(OR(Planilla!B266="B", Planilla!B266="BPAL"), VLOOKUP(E266,EX:FJ,13,0)="A"), "DEFICIT",IF(AND(OR(Planilla!B266="B", Planilla!B266="BPAL"), VLOOKUP(E266,EX:FJ,13,0)="C"), "SOBREOFERTA",IF(AND(Planilla!B266="A", VLOOKUP(E266,EX:FJ,13,0)="A"), "OK",IF(
AND(Planilla!B266="A", OR(VLOOKUP(E266,EX:FJ,13,0)="B", VLOOKUP(E266,EX:FJ,13,0)="C")), "SOBREOFERTA",""
))))))),"")</f>
        <v/>
      </c>
      <c r="E266" s="12"/>
      <c r="F266" s="13"/>
      <c r="G266" s="14"/>
      <c r="H266" s="81" t="str">
        <f t="shared" si="82"/>
        <v/>
      </c>
      <c r="I266" s="7"/>
      <c r="J266" s="6" t="e">
        <f t="shared" si="83"/>
        <v>#N/A</v>
      </c>
      <c r="K266" s="6" t="str">
        <f>IF(A267&lt;&gt;A266,AVERAGEIF(A$9:A266,A266,J$9:J266),"")</f>
        <v/>
      </c>
      <c r="L266" s="7" t="str">
        <f>IFERROR(IF(A267&lt;&gt;A266,AVERAGEIF(A$9:A266,A266,S$9:S266),""),"")</f>
        <v/>
      </c>
      <c r="M266" s="7" t="str">
        <f>IFERROR(IF(A267&lt;&gt;A266,AVERAGEIF(A$9:A266,A266,T$9:T266),""),"")</f>
        <v/>
      </c>
      <c r="N266" s="7" t="str" cm="1">
        <f t="array" ref="N266">IFERROR(IF(A267&lt;&gt;A266,_xlfn.STDEV.P(IF(A$9:A266=A266,T$9:T266)),""),"")</f>
        <v/>
      </c>
      <c r="O266" s="7" t="str" cm="1">
        <f t="array" ref="O266">IFERROR(IF(A267&lt;&gt;A266,_xlfn.STDEV.P(IF(A$9:A266=A266,S$9:S266)),""),"")</f>
        <v/>
      </c>
      <c r="P266" s="8" t="str">
        <f t="shared" si="84"/>
        <v/>
      </c>
      <c r="Q266" s="8" t="str">
        <f t="shared" si="85"/>
        <v/>
      </c>
      <c r="R266" s="8" t="str">
        <f t="shared" si="86"/>
        <v/>
      </c>
      <c r="S266" s="9" t="str">
        <f t="shared" si="87"/>
        <v/>
      </c>
      <c r="T266" s="9" t="str">
        <f t="shared" si="88"/>
        <v/>
      </c>
      <c r="U266" s="14"/>
      <c r="V266" s="15"/>
      <c r="W266" s="14" t="str">
        <f t="shared" si="89"/>
        <v/>
      </c>
      <c r="X266" s="15"/>
      <c r="Y266" s="2"/>
      <c r="AB266" s="22">
        <f t="shared" si="90"/>
        <v>1</v>
      </c>
      <c r="AC266" s="11"/>
      <c r="AD266" s="11"/>
      <c r="AE266" s="13"/>
      <c r="AF266" s="12"/>
      <c r="AG266" s="13"/>
      <c r="AH266" s="14"/>
      <c r="AI266" s="81" t="str">
        <f t="shared" si="91"/>
        <v/>
      </c>
      <c r="AJ266" s="15"/>
      <c r="AK266" s="6" t="e">
        <f t="shared" si="92"/>
        <v>#N/A</v>
      </c>
      <c r="AL266" s="6" t="str">
        <f>IF(AB267&lt;&gt;AB266,AVERAGEIF(AB$9:AB266,AB266,AK$9:AK266),"")</f>
        <v/>
      </c>
      <c r="AM266" s="7" t="str">
        <f>IFERROR(IF(AB267&lt;&gt;AB266,AVERAGEIF(AB$9:AB266,AB266,AT$9:AT266),""),"")</f>
        <v/>
      </c>
      <c r="AN266" s="7" t="str">
        <f>IFERROR(IF(AB267&lt;&gt;AB266,AVERAGEIF(AB$9:AB266,AB266,AU$9:AU266),""),"")</f>
        <v/>
      </c>
      <c r="AO266" s="7" t="str" cm="1">
        <f t="array" ref="AO266">IFERROR(IF(AB267&lt;&gt;AB266,_xlfn.STDEV.P(IF(AB$9:AB266=AB266,AU$9:AU266)),""),"")</f>
        <v/>
      </c>
      <c r="AP266" s="7" t="str" cm="1">
        <f t="array" ref="AP266">IFERROR(IF(AB267&lt;&gt;AB266,_xlfn.STDEV.P(IF(AB$9:AB266=AB266,AT$9:AT266)),""),"")</f>
        <v/>
      </c>
      <c r="AQ266" s="8" t="str">
        <f t="shared" si="93"/>
        <v/>
      </c>
      <c r="AR266" s="8" t="str">
        <f t="shared" si="94"/>
        <v/>
      </c>
      <c r="AS266" s="8" t="str">
        <f t="shared" si="95"/>
        <v/>
      </c>
      <c r="AT266" s="9" t="str">
        <f t="shared" si="96"/>
        <v/>
      </c>
      <c r="AU266" s="9" t="str">
        <f t="shared" si="97"/>
        <v/>
      </c>
      <c r="AV266" s="14"/>
      <c r="AW266" s="15"/>
      <c r="AX266" s="14" t="str">
        <f t="shared" si="98"/>
        <v/>
      </c>
      <c r="AY266" s="15"/>
      <c r="AZ266" s="23"/>
      <c r="EW266" t="s">
        <v>46</v>
      </c>
      <c r="EX266" s="33">
        <v>1265</v>
      </c>
      <c r="EY266" s="33" t="s">
        <v>677</v>
      </c>
      <c r="EZ266" s="33" t="s">
        <v>678</v>
      </c>
      <c r="FA266" s="33" t="s">
        <v>343</v>
      </c>
      <c r="FB266" s="33" t="s">
        <v>344</v>
      </c>
      <c r="FC266" s="33" t="s">
        <v>345</v>
      </c>
      <c r="FD266" s="33" t="s">
        <v>346</v>
      </c>
      <c r="FE266" s="33">
        <v>2025</v>
      </c>
      <c r="FF266" s="33" t="s">
        <v>59</v>
      </c>
      <c r="FG266" s="33" t="s">
        <v>477</v>
      </c>
      <c r="FH266" s="33" t="s">
        <v>478</v>
      </c>
      <c r="FI266" s="33" t="s">
        <v>479</v>
      </c>
      <c r="FJ266" t="s">
        <v>59</v>
      </c>
      <c r="FM266" s="32" t="s">
        <v>670</v>
      </c>
      <c r="FN266" t="s">
        <v>671</v>
      </c>
      <c r="FO266" t="s">
        <v>672</v>
      </c>
      <c r="FP266" t="str">
        <f t="shared" si="99"/>
        <v>B</v>
      </c>
      <c r="FT266" s="69" t="s">
        <v>7419</v>
      </c>
      <c r="FU266" s="61">
        <v>0</v>
      </c>
      <c r="FV266" s="61">
        <v>0</v>
      </c>
      <c r="FW266" s="61">
        <v>0</v>
      </c>
      <c r="FX266" s="61">
        <v>0</v>
      </c>
      <c r="FY266" s="61">
        <v>0</v>
      </c>
      <c r="FZ266" s="61">
        <v>10.65</v>
      </c>
      <c r="GA266" s="61">
        <v>19.914999999999999</v>
      </c>
      <c r="GB266" s="61">
        <v>18.295000000000002</v>
      </c>
      <c r="GC266" s="61">
        <v>17.149999999999999</v>
      </c>
      <c r="GD266" s="61">
        <v>15.875</v>
      </c>
      <c r="GE266" s="61">
        <v>14.484999999999999</v>
      </c>
      <c r="GF266" s="61">
        <v>13.469999999999999</v>
      </c>
      <c r="GG266" s="61">
        <v>13.52</v>
      </c>
      <c r="GH266" s="61">
        <v>13.99</v>
      </c>
      <c r="GI266" s="61">
        <v>14.364999999999998</v>
      </c>
      <c r="GJ266" s="61">
        <v>14.875</v>
      </c>
      <c r="GK266" s="61">
        <v>14.955</v>
      </c>
      <c r="GL266" s="61">
        <v>15.18</v>
      </c>
      <c r="GM266" s="61">
        <v>16.149999999999999</v>
      </c>
      <c r="GN266" s="61">
        <v>16.920000000000002</v>
      </c>
      <c r="GO266" s="61">
        <v>17.920000000000002</v>
      </c>
      <c r="GP266" s="61">
        <v>18.854999999999997</v>
      </c>
      <c r="GQ266" s="61">
        <v>9.4350000000000005</v>
      </c>
      <c r="GR266" s="61">
        <v>0</v>
      </c>
      <c r="GU266" s="53">
        <v>36</v>
      </c>
      <c r="GV266" s="53">
        <v>260</v>
      </c>
    </row>
    <row r="267" spans="1:204" ht="15.5" x14ac:dyDescent="0.35">
      <c r="A267" s="95">
        <f t="shared" si="81"/>
        <v>1</v>
      </c>
      <c r="B267" s="11"/>
      <c r="C267" s="11"/>
      <c r="D267" s="92" t="str">
        <f>IFERROR(
IF(AND(OR(Planilla!B267="C",Planilla!B267="c"), VLOOKUP(E267,EX:FJ,13,0)="C"), "OK",IF(AND(OR(Planilla!B267="C",Planilla!B267="c"), OR(VLOOKUP(E267,EX:FJ,13,0)="B", VLOOKUP(E267,EX:FJ,13,0)="A")), "DEFICIT",IF(
AND(OR(Planilla!B267="B", Planilla!B267="BPAL"), VLOOKUP(E267,EX:FJ,13,0)="B"), "OK",IF(AND(OR(Planilla!B267="B", Planilla!B267="BPAL"), VLOOKUP(E267,EX:FJ,13,0)="A"), "DEFICIT",IF(AND(OR(Planilla!B267="B", Planilla!B267="BPAL"), VLOOKUP(E267,EX:FJ,13,0)="C"), "SOBREOFERTA",IF(AND(Planilla!B267="A", VLOOKUP(E267,EX:FJ,13,0)="A"), "OK",IF(
AND(Planilla!B267="A", OR(VLOOKUP(E267,EX:FJ,13,0)="B", VLOOKUP(E267,EX:FJ,13,0)="C")), "SOBREOFERTA",""
))))))),"")</f>
        <v/>
      </c>
      <c r="E267" s="12"/>
      <c r="F267" s="13"/>
      <c r="G267" s="14"/>
      <c r="H267" s="81" t="str">
        <f t="shared" si="82"/>
        <v/>
      </c>
      <c r="I267" s="7"/>
      <c r="J267" s="6" t="e">
        <f t="shared" si="83"/>
        <v>#N/A</v>
      </c>
      <c r="K267" s="6" t="str">
        <f>IF(A268&lt;&gt;A267,AVERAGEIF(A$9:A267,A267,J$9:J267),"")</f>
        <v/>
      </c>
      <c r="L267" s="7" t="str">
        <f>IFERROR(IF(A268&lt;&gt;A267,AVERAGEIF(A$9:A267,A267,S$9:S267),""),"")</f>
        <v/>
      </c>
      <c r="M267" s="7" t="str">
        <f>IFERROR(IF(A268&lt;&gt;A267,AVERAGEIF(A$9:A267,A267,T$9:T267),""),"")</f>
        <v/>
      </c>
      <c r="N267" s="7" t="str" cm="1">
        <f t="array" ref="N267">IFERROR(IF(A268&lt;&gt;A267,_xlfn.STDEV.P(IF(A$9:A267=A267,T$9:T267)),""),"")</f>
        <v/>
      </c>
      <c r="O267" s="7" t="str" cm="1">
        <f t="array" ref="O267">IFERROR(IF(A268&lt;&gt;A267,_xlfn.STDEV.P(IF(A$9:A267=A267,S$9:S267)),""),"")</f>
        <v/>
      </c>
      <c r="P267" s="8" t="str">
        <f t="shared" si="84"/>
        <v/>
      </c>
      <c r="Q267" s="8" t="str">
        <f t="shared" si="85"/>
        <v/>
      </c>
      <c r="R267" s="8" t="str">
        <f t="shared" si="86"/>
        <v/>
      </c>
      <c r="S267" s="9" t="str">
        <f t="shared" si="87"/>
        <v/>
      </c>
      <c r="T267" s="9" t="str">
        <f t="shared" si="88"/>
        <v/>
      </c>
      <c r="U267" s="14"/>
      <c r="V267" s="15"/>
      <c r="W267" s="14" t="str">
        <f t="shared" si="89"/>
        <v/>
      </c>
      <c r="X267" s="15"/>
      <c r="Y267" s="2"/>
      <c r="AB267" s="22">
        <f t="shared" si="90"/>
        <v>1</v>
      </c>
      <c r="AC267" s="11"/>
      <c r="AD267" s="11"/>
      <c r="AE267" s="13"/>
      <c r="AF267" s="12"/>
      <c r="AG267" s="13"/>
      <c r="AH267" s="14"/>
      <c r="AI267" s="81" t="str">
        <f t="shared" si="91"/>
        <v/>
      </c>
      <c r="AJ267" s="15"/>
      <c r="AK267" s="6" t="e">
        <f t="shared" si="92"/>
        <v>#N/A</v>
      </c>
      <c r="AL267" s="6" t="str">
        <f>IF(AB268&lt;&gt;AB267,AVERAGEIF(AB$9:AB267,AB267,AK$9:AK267),"")</f>
        <v/>
      </c>
      <c r="AM267" s="7" t="str">
        <f>IFERROR(IF(AB268&lt;&gt;AB267,AVERAGEIF(AB$9:AB267,AB267,AT$9:AT267),""),"")</f>
        <v/>
      </c>
      <c r="AN267" s="7" t="str">
        <f>IFERROR(IF(AB268&lt;&gt;AB267,AVERAGEIF(AB$9:AB267,AB267,AU$9:AU267),""),"")</f>
        <v/>
      </c>
      <c r="AO267" s="7" t="str" cm="1">
        <f t="array" ref="AO267">IFERROR(IF(AB268&lt;&gt;AB267,_xlfn.STDEV.P(IF(AB$9:AB267=AB267,AU$9:AU267)),""),"")</f>
        <v/>
      </c>
      <c r="AP267" s="7" t="str" cm="1">
        <f t="array" ref="AP267">IFERROR(IF(AB268&lt;&gt;AB267,_xlfn.STDEV.P(IF(AB$9:AB267=AB267,AT$9:AT267)),""),"")</f>
        <v/>
      </c>
      <c r="AQ267" s="8" t="str">
        <f t="shared" si="93"/>
        <v/>
      </c>
      <c r="AR267" s="8" t="str">
        <f t="shared" si="94"/>
        <v/>
      </c>
      <c r="AS267" s="8" t="str">
        <f t="shared" si="95"/>
        <v/>
      </c>
      <c r="AT267" s="9" t="str">
        <f t="shared" si="96"/>
        <v/>
      </c>
      <c r="AU267" s="9" t="str">
        <f t="shared" si="97"/>
        <v/>
      </c>
      <c r="AV267" s="14"/>
      <c r="AW267" s="15"/>
      <c r="AX267" s="14" t="str">
        <f t="shared" si="98"/>
        <v/>
      </c>
      <c r="AY267" s="15"/>
      <c r="AZ267" s="23"/>
      <c r="EW267" t="s">
        <v>46</v>
      </c>
      <c r="EX267" s="33">
        <v>1266</v>
      </c>
      <c r="EY267" s="33" t="s">
        <v>679</v>
      </c>
      <c r="EZ267" s="33" t="s">
        <v>680</v>
      </c>
      <c r="FA267" s="33" t="s">
        <v>343</v>
      </c>
      <c r="FB267" s="33" t="s">
        <v>344</v>
      </c>
      <c r="FC267" s="33" t="s">
        <v>345</v>
      </c>
      <c r="FD267" s="33" t="s">
        <v>346</v>
      </c>
      <c r="FE267" s="33">
        <v>2025</v>
      </c>
      <c r="FF267" s="33" t="s">
        <v>59</v>
      </c>
      <c r="FG267" s="33" t="s">
        <v>470</v>
      </c>
      <c r="FH267" s="33" t="s">
        <v>471</v>
      </c>
      <c r="FI267" s="33" t="s">
        <v>467</v>
      </c>
      <c r="FJ267" t="s">
        <v>59</v>
      </c>
      <c r="FM267" s="32" t="s">
        <v>670</v>
      </c>
      <c r="FN267" t="s">
        <v>671</v>
      </c>
      <c r="FO267" t="s">
        <v>672</v>
      </c>
      <c r="FP267" t="str">
        <f t="shared" si="99"/>
        <v>B</v>
      </c>
      <c r="FT267" s="69" t="s">
        <v>7421</v>
      </c>
      <c r="FU267" s="61">
        <v>21.62</v>
      </c>
      <c r="FV267" s="61">
        <v>23.355</v>
      </c>
      <c r="FW267" s="61">
        <v>24.21</v>
      </c>
      <c r="FX267" s="61">
        <v>24.755000000000003</v>
      </c>
      <c r="FY267" s="61">
        <v>24.424999999999997</v>
      </c>
      <c r="FZ267" s="61">
        <v>11.765000000000001</v>
      </c>
      <c r="GA267" s="61">
        <v>0</v>
      </c>
      <c r="GB267" s="61">
        <v>0</v>
      </c>
      <c r="GC267" s="61">
        <v>0</v>
      </c>
      <c r="GD267" s="61">
        <v>0</v>
      </c>
      <c r="GE267" s="61">
        <v>0</v>
      </c>
      <c r="GF267" s="61">
        <v>0</v>
      </c>
      <c r="GG267" s="61">
        <v>0</v>
      </c>
      <c r="GH267" s="61">
        <v>0</v>
      </c>
      <c r="GI267" s="61">
        <v>0</v>
      </c>
      <c r="GJ267" s="61">
        <v>0</v>
      </c>
      <c r="GK267" s="61">
        <v>0</v>
      </c>
      <c r="GL267" s="61">
        <v>0</v>
      </c>
      <c r="GM267" s="61">
        <v>0</v>
      </c>
      <c r="GN267" s="61">
        <v>0</v>
      </c>
      <c r="GO267" s="61">
        <v>0</v>
      </c>
      <c r="GP267" s="61">
        <v>0</v>
      </c>
      <c r="GQ267" s="61">
        <v>10.61</v>
      </c>
      <c r="GR267" s="61">
        <v>21.740000000000002</v>
      </c>
      <c r="GU267" s="53">
        <v>37</v>
      </c>
      <c r="GV267" s="53">
        <v>261</v>
      </c>
    </row>
    <row r="268" spans="1:204" ht="15.5" x14ac:dyDescent="0.35">
      <c r="A268" s="95">
        <f t="shared" si="81"/>
        <v>1</v>
      </c>
      <c r="B268" s="11"/>
      <c r="C268" s="11"/>
      <c r="D268" s="92" t="str">
        <f>IFERROR(
IF(AND(OR(Planilla!B268="C",Planilla!B268="c"), VLOOKUP(E268,EX:FJ,13,0)="C"), "OK",IF(AND(OR(Planilla!B268="C",Planilla!B268="c"), OR(VLOOKUP(E268,EX:FJ,13,0)="B", VLOOKUP(E268,EX:FJ,13,0)="A")), "DEFICIT",IF(
AND(OR(Planilla!B268="B", Planilla!B268="BPAL"), VLOOKUP(E268,EX:FJ,13,0)="B"), "OK",IF(AND(OR(Planilla!B268="B", Planilla!B268="BPAL"), VLOOKUP(E268,EX:FJ,13,0)="A"), "DEFICIT",IF(AND(OR(Planilla!B268="B", Planilla!B268="BPAL"), VLOOKUP(E268,EX:FJ,13,0)="C"), "SOBREOFERTA",IF(AND(Planilla!B268="A", VLOOKUP(E268,EX:FJ,13,0)="A"), "OK",IF(
AND(Planilla!B268="A", OR(VLOOKUP(E268,EX:FJ,13,0)="B", VLOOKUP(E268,EX:FJ,13,0)="C")), "SOBREOFERTA",""
))))))),"")</f>
        <v/>
      </c>
      <c r="E268" s="12"/>
      <c r="F268" s="13"/>
      <c r="G268" s="14"/>
      <c r="H268" s="81" t="str">
        <f t="shared" si="82"/>
        <v/>
      </c>
      <c r="I268" s="7"/>
      <c r="J268" s="6" t="e">
        <f t="shared" si="83"/>
        <v>#N/A</v>
      </c>
      <c r="K268" s="6" t="str">
        <f>IF(A269&lt;&gt;A268,AVERAGEIF(A$9:A268,A268,J$9:J268),"")</f>
        <v/>
      </c>
      <c r="L268" s="7" t="str">
        <f>IFERROR(IF(A269&lt;&gt;A268,AVERAGEIF(A$9:A268,A268,S$9:S268),""),"")</f>
        <v/>
      </c>
      <c r="M268" s="7" t="str">
        <f>IFERROR(IF(A269&lt;&gt;A268,AVERAGEIF(A$9:A268,A268,T$9:T268),""),"")</f>
        <v/>
      </c>
      <c r="N268" s="7" t="str" cm="1">
        <f t="array" ref="N268">IFERROR(IF(A269&lt;&gt;A268,_xlfn.STDEV.P(IF(A$9:A268=A268,T$9:T268)),""),"")</f>
        <v/>
      </c>
      <c r="O268" s="7" t="str" cm="1">
        <f t="array" ref="O268">IFERROR(IF(A269&lt;&gt;A268,_xlfn.STDEV.P(IF(A$9:A268=A268,S$9:S268)),""),"")</f>
        <v/>
      </c>
      <c r="P268" s="8" t="str">
        <f t="shared" si="84"/>
        <v/>
      </c>
      <c r="Q268" s="8" t="str">
        <f t="shared" si="85"/>
        <v/>
      </c>
      <c r="R268" s="8" t="str">
        <f t="shared" si="86"/>
        <v/>
      </c>
      <c r="S268" s="9" t="str">
        <f t="shared" si="87"/>
        <v/>
      </c>
      <c r="T268" s="9" t="str">
        <f t="shared" si="88"/>
        <v/>
      </c>
      <c r="U268" s="14"/>
      <c r="V268" s="15"/>
      <c r="W268" s="14" t="str">
        <f t="shared" si="89"/>
        <v/>
      </c>
      <c r="X268" s="15"/>
      <c r="Y268" s="2"/>
      <c r="AB268" s="22">
        <f t="shared" si="90"/>
        <v>1</v>
      </c>
      <c r="AC268" s="11"/>
      <c r="AD268" s="11"/>
      <c r="AE268" s="13"/>
      <c r="AF268" s="12"/>
      <c r="AG268" s="13"/>
      <c r="AH268" s="14"/>
      <c r="AI268" s="81" t="str">
        <f t="shared" si="91"/>
        <v/>
      </c>
      <c r="AJ268" s="15"/>
      <c r="AK268" s="6" t="e">
        <f t="shared" si="92"/>
        <v>#N/A</v>
      </c>
      <c r="AL268" s="6" t="str">
        <f>IF(AB269&lt;&gt;AB268,AVERAGEIF(AB$9:AB268,AB268,AK$9:AK268),"")</f>
        <v/>
      </c>
      <c r="AM268" s="7" t="str">
        <f>IFERROR(IF(AB269&lt;&gt;AB268,AVERAGEIF(AB$9:AB268,AB268,AT$9:AT268),""),"")</f>
        <v/>
      </c>
      <c r="AN268" s="7" t="str">
        <f>IFERROR(IF(AB269&lt;&gt;AB268,AVERAGEIF(AB$9:AB268,AB268,AU$9:AU268),""),"")</f>
        <v/>
      </c>
      <c r="AO268" s="7" t="str" cm="1">
        <f t="array" ref="AO268">IFERROR(IF(AB269&lt;&gt;AB268,_xlfn.STDEV.P(IF(AB$9:AB268=AB268,AU$9:AU268)),""),"")</f>
        <v/>
      </c>
      <c r="AP268" s="7" t="str" cm="1">
        <f t="array" ref="AP268">IFERROR(IF(AB269&lt;&gt;AB268,_xlfn.STDEV.P(IF(AB$9:AB268=AB268,AT$9:AT268)),""),"")</f>
        <v/>
      </c>
      <c r="AQ268" s="8" t="str">
        <f t="shared" si="93"/>
        <v/>
      </c>
      <c r="AR268" s="8" t="str">
        <f t="shared" si="94"/>
        <v/>
      </c>
      <c r="AS268" s="8" t="str">
        <f t="shared" si="95"/>
        <v/>
      </c>
      <c r="AT268" s="9" t="str">
        <f t="shared" si="96"/>
        <v/>
      </c>
      <c r="AU268" s="9" t="str">
        <f t="shared" si="97"/>
        <v/>
      </c>
      <c r="AV268" s="14"/>
      <c r="AW268" s="15"/>
      <c r="AX268" s="14" t="str">
        <f t="shared" si="98"/>
        <v/>
      </c>
      <c r="AY268" s="15"/>
      <c r="AZ268" s="23"/>
      <c r="EW268" t="s">
        <v>46</v>
      </c>
      <c r="EX268" s="33">
        <v>1267</v>
      </c>
      <c r="EY268" s="33" t="s">
        <v>681</v>
      </c>
      <c r="EZ268" s="33" t="s">
        <v>682</v>
      </c>
      <c r="FA268" s="33" t="s">
        <v>343</v>
      </c>
      <c r="FB268" s="33" t="s">
        <v>344</v>
      </c>
      <c r="FC268" s="33" t="s">
        <v>345</v>
      </c>
      <c r="FD268" s="33" t="s">
        <v>346</v>
      </c>
      <c r="FE268" s="33">
        <v>2025</v>
      </c>
      <c r="FF268" s="33" t="s">
        <v>59</v>
      </c>
      <c r="FG268" s="33" t="s">
        <v>386</v>
      </c>
      <c r="FH268" s="33" t="s">
        <v>387</v>
      </c>
      <c r="FI268" s="33" t="s">
        <v>407</v>
      </c>
      <c r="FJ268" t="s">
        <v>59</v>
      </c>
      <c r="FM268" s="32" t="s">
        <v>670</v>
      </c>
      <c r="FN268" t="s">
        <v>671</v>
      </c>
      <c r="FO268" t="s">
        <v>672</v>
      </c>
      <c r="FP268" t="str">
        <f t="shared" si="99"/>
        <v>B</v>
      </c>
      <c r="FT268" s="69" t="s">
        <v>7423</v>
      </c>
      <c r="FU268" s="61">
        <v>0</v>
      </c>
      <c r="FV268" s="61">
        <v>0</v>
      </c>
      <c r="FW268" s="61">
        <v>0</v>
      </c>
      <c r="FX268" s="61">
        <v>0</v>
      </c>
      <c r="FY268" s="61">
        <v>0</v>
      </c>
      <c r="FZ268" s="61">
        <v>22.835000000000001</v>
      </c>
      <c r="GA268" s="61">
        <v>20.329999999999998</v>
      </c>
      <c r="GB268" s="61">
        <v>18.344999999999999</v>
      </c>
      <c r="GC268" s="61">
        <v>18.190000000000001</v>
      </c>
      <c r="GD268" s="61">
        <v>16.96</v>
      </c>
      <c r="GE268" s="61">
        <v>15.435</v>
      </c>
      <c r="GF268" s="61">
        <v>14.84</v>
      </c>
      <c r="GG268" s="61">
        <v>14.86</v>
      </c>
      <c r="GH268" s="61">
        <v>15.145</v>
      </c>
      <c r="GI268" s="61">
        <v>16.329999999999998</v>
      </c>
      <c r="GJ268" s="61">
        <v>16.225000000000001</v>
      </c>
      <c r="GK268" s="61">
        <v>16.200000000000003</v>
      </c>
      <c r="GL268" s="61">
        <v>16.600000000000001</v>
      </c>
      <c r="GM268" s="61">
        <v>17.555</v>
      </c>
      <c r="GN268" s="61">
        <v>18.335000000000001</v>
      </c>
      <c r="GO268" s="61">
        <v>18.619999999999997</v>
      </c>
      <c r="GP268" s="61">
        <v>19.489999999999998</v>
      </c>
      <c r="GQ268" s="61">
        <v>20.594999999999999</v>
      </c>
      <c r="GR268" s="61">
        <v>11.19</v>
      </c>
      <c r="GU268" s="53">
        <v>38</v>
      </c>
      <c r="GV268" s="53">
        <v>262</v>
      </c>
    </row>
    <row r="269" spans="1:204" ht="15.5" x14ac:dyDescent="0.35">
      <c r="A269" s="95">
        <f t="shared" si="81"/>
        <v>1</v>
      </c>
      <c r="B269" s="11"/>
      <c r="C269" s="11"/>
      <c r="D269" s="92" t="str">
        <f>IFERROR(
IF(AND(OR(Planilla!B269="C",Planilla!B269="c"), VLOOKUP(E269,EX:FJ,13,0)="C"), "OK",IF(AND(OR(Planilla!B269="C",Planilla!B269="c"), OR(VLOOKUP(E269,EX:FJ,13,0)="B", VLOOKUP(E269,EX:FJ,13,0)="A")), "DEFICIT",IF(
AND(OR(Planilla!B269="B", Planilla!B269="BPAL"), VLOOKUP(E269,EX:FJ,13,0)="B"), "OK",IF(AND(OR(Planilla!B269="B", Planilla!B269="BPAL"), VLOOKUP(E269,EX:FJ,13,0)="A"), "DEFICIT",IF(AND(OR(Planilla!B269="B", Planilla!B269="BPAL"), VLOOKUP(E269,EX:FJ,13,0)="C"), "SOBREOFERTA",IF(AND(Planilla!B269="A", VLOOKUP(E269,EX:FJ,13,0)="A"), "OK",IF(
AND(Planilla!B269="A", OR(VLOOKUP(E269,EX:FJ,13,0)="B", VLOOKUP(E269,EX:FJ,13,0)="C")), "SOBREOFERTA",""
))))))),"")</f>
        <v/>
      </c>
      <c r="E269" s="12"/>
      <c r="F269" s="13"/>
      <c r="G269" s="14"/>
      <c r="H269" s="81" t="str">
        <f t="shared" si="82"/>
        <v/>
      </c>
      <c r="I269" s="7"/>
      <c r="J269" s="6" t="e">
        <f t="shared" si="83"/>
        <v>#N/A</v>
      </c>
      <c r="K269" s="6" t="str">
        <f>IF(A270&lt;&gt;A269,AVERAGEIF(A$9:A269,A269,J$9:J269),"")</f>
        <v/>
      </c>
      <c r="L269" s="7" t="str">
        <f>IFERROR(IF(A270&lt;&gt;A269,AVERAGEIF(A$9:A269,A269,S$9:S269),""),"")</f>
        <v/>
      </c>
      <c r="M269" s="7" t="str">
        <f>IFERROR(IF(A270&lt;&gt;A269,AVERAGEIF(A$9:A269,A269,T$9:T269),""),"")</f>
        <v/>
      </c>
      <c r="N269" s="7" t="str" cm="1">
        <f t="array" ref="N269">IFERROR(IF(A270&lt;&gt;A269,_xlfn.STDEV.P(IF(A$9:A269=A269,T$9:T269)),""),"")</f>
        <v/>
      </c>
      <c r="O269" s="7" t="str" cm="1">
        <f t="array" ref="O269">IFERROR(IF(A270&lt;&gt;A269,_xlfn.STDEV.P(IF(A$9:A269=A269,S$9:S269)),""),"")</f>
        <v/>
      </c>
      <c r="P269" s="8" t="str">
        <f t="shared" si="84"/>
        <v/>
      </c>
      <c r="Q269" s="8" t="str">
        <f t="shared" si="85"/>
        <v/>
      </c>
      <c r="R269" s="8" t="str">
        <f t="shared" si="86"/>
        <v/>
      </c>
      <c r="S269" s="9" t="str">
        <f t="shared" si="87"/>
        <v/>
      </c>
      <c r="T269" s="9" t="str">
        <f t="shared" si="88"/>
        <v/>
      </c>
      <c r="U269" s="14"/>
      <c r="V269" s="15"/>
      <c r="W269" s="14" t="str">
        <f t="shared" si="89"/>
        <v/>
      </c>
      <c r="X269" s="15"/>
      <c r="Y269" s="2"/>
      <c r="AB269" s="22">
        <f t="shared" si="90"/>
        <v>1</v>
      </c>
      <c r="AC269" s="11"/>
      <c r="AD269" s="11"/>
      <c r="AE269" s="13"/>
      <c r="AF269" s="12"/>
      <c r="AG269" s="13"/>
      <c r="AH269" s="14"/>
      <c r="AI269" s="81" t="str">
        <f t="shared" si="91"/>
        <v/>
      </c>
      <c r="AJ269" s="15"/>
      <c r="AK269" s="6" t="e">
        <f t="shared" si="92"/>
        <v>#N/A</v>
      </c>
      <c r="AL269" s="6" t="str">
        <f>IF(AB270&lt;&gt;AB269,AVERAGEIF(AB$9:AB269,AB269,AK$9:AK269),"")</f>
        <v/>
      </c>
      <c r="AM269" s="7" t="str">
        <f>IFERROR(IF(AB270&lt;&gt;AB269,AVERAGEIF(AB$9:AB269,AB269,AT$9:AT269),""),"")</f>
        <v/>
      </c>
      <c r="AN269" s="7" t="str">
        <f>IFERROR(IF(AB270&lt;&gt;AB269,AVERAGEIF(AB$9:AB269,AB269,AU$9:AU269),""),"")</f>
        <v/>
      </c>
      <c r="AO269" s="7" t="str" cm="1">
        <f t="array" ref="AO269">IFERROR(IF(AB270&lt;&gt;AB269,_xlfn.STDEV.P(IF(AB$9:AB269=AB269,AU$9:AU269)),""),"")</f>
        <v/>
      </c>
      <c r="AP269" s="7" t="str" cm="1">
        <f t="array" ref="AP269">IFERROR(IF(AB270&lt;&gt;AB269,_xlfn.STDEV.P(IF(AB$9:AB269=AB269,AT$9:AT269)),""),"")</f>
        <v/>
      </c>
      <c r="AQ269" s="8" t="str">
        <f t="shared" si="93"/>
        <v/>
      </c>
      <c r="AR269" s="8" t="str">
        <f t="shared" si="94"/>
        <v/>
      </c>
      <c r="AS269" s="8" t="str">
        <f t="shared" si="95"/>
        <v/>
      </c>
      <c r="AT269" s="9" t="str">
        <f t="shared" si="96"/>
        <v/>
      </c>
      <c r="AU269" s="9" t="str">
        <f t="shared" si="97"/>
        <v/>
      </c>
      <c r="AV269" s="14"/>
      <c r="AW269" s="15"/>
      <c r="AX269" s="14" t="str">
        <f t="shared" si="98"/>
        <v/>
      </c>
      <c r="AY269" s="15"/>
      <c r="AZ269" s="23"/>
      <c r="EW269" t="s">
        <v>46</v>
      </c>
      <c r="EX269" s="33">
        <v>1268</v>
      </c>
      <c r="EY269" s="33" t="s">
        <v>683</v>
      </c>
      <c r="EZ269" s="33" t="s">
        <v>684</v>
      </c>
      <c r="FA269" s="33" t="s">
        <v>343</v>
      </c>
      <c r="FB269" s="33" t="s">
        <v>344</v>
      </c>
      <c r="FC269" s="33" t="s">
        <v>345</v>
      </c>
      <c r="FD269" s="33" t="s">
        <v>346</v>
      </c>
      <c r="FE269" s="33">
        <v>2025</v>
      </c>
      <c r="FF269" s="33" t="s">
        <v>59</v>
      </c>
      <c r="FG269" s="33" t="s">
        <v>386</v>
      </c>
      <c r="FH269" s="33" t="s">
        <v>387</v>
      </c>
      <c r="FI269" s="33" t="s">
        <v>407</v>
      </c>
      <c r="FJ269" t="s">
        <v>59</v>
      </c>
      <c r="FM269" s="32" t="s">
        <v>685</v>
      </c>
      <c r="FN269" t="s">
        <v>686</v>
      </c>
      <c r="FO269" t="s">
        <v>687</v>
      </c>
      <c r="FP269" t="str">
        <f t="shared" si="99"/>
        <v>B</v>
      </c>
      <c r="FT269" s="69" t="s">
        <v>7426</v>
      </c>
      <c r="FU269" s="61">
        <v>0</v>
      </c>
      <c r="FV269" s="61">
        <v>0</v>
      </c>
      <c r="FW269" s="61">
        <v>0</v>
      </c>
      <c r="FX269" s="61">
        <v>0</v>
      </c>
      <c r="FY269" s="61">
        <v>0</v>
      </c>
      <c r="FZ269" s="61">
        <v>13.355</v>
      </c>
      <c r="GA269" s="61">
        <v>26.105</v>
      </c>
      <c r="GB269" s="61">
        <v>24.585000000000001</v>
      </c>
      <c r="GC269" s="61">
        <v>24.43</v>
      </c>
      <c r="GD269" s="61">
        <v>24.505000000000003</v>
      </c>
      <c r="GE269" s="61">
        <v>23.884999999999998</v>
      </c>
      <c r="GF269" s="61">
        <v>22.805</v>
      </c>
      <c r="GG269" s="61">
        <v>21.55</v>
      </c>
      <c r="GH269" s="61">
        <v>20.675000000000001</v>
      </c>
      <c r="GI269" s="61">
        <v>21.299999999999997</v>
      </c>
      <c r="GJ269" s="61">
        <v>22.119999999999997</v>
      </c>
      <c r="GK269" s="61">
        <v>21.97</v>
      </c>
      <c r="GL269" s="61">
        <v>21.9</v>
      </c>
      <c r="GM269" s="61">
        <v>22.134999999999998</v>
      </c>
      <c r="GN269" s="61">
        <v>22.38</v>
      </c>
      <c r="GO269" s="61">
        <v>22.990000000000002</v>
      </c>
      <c r="GP269" s="61">
        <v>23.895</v>
      </c>
      <c r="GQ269" s="61">
        <v>25.880000000000003</v>
      </c>
      <c r="GR269" s="61">
        <v>28.259999999999998</v>
      </c>
      <c r="GU269" s="53">
        <v>39</v>
      </c>
      <c r="GV269" s="53">
        <v>263</v>
      </c>
    </row>
    <row r="270" spans="1:204" ht="15.5" x14ac:dyDescent="0.35">
      <c r="A270" s="95">
        <f t="shared" ref="A270:A333" si="100">HOUR(G270)+1</f>
        <v>1</v>
      </c>
      <c r="B270" s="11"/>
      <c r="C270" s="11"/>
      <c r="D270" s="92" t="str">
        <f>IFERROR(
IF(AND(OR(Planilla!B270="C",Planilla!B270="c"), VLOOKUP(E270,EX:FJ,13,0)="C"), "OK",IF(AND(OR(Planilla!B270="C",Planilla!B270="c"), OR(VLOOKUP(E270,EX:FJ,13,0)="B", VLOOKUP(E270,EX:FJ,13,0)="A")), "DEFICIT",IF(
AND(OR(Planilla!B270="B", Planilla!B270="BPAL"), VLOOKUP(E270,EX:FJ,13,0)="B"), "OK",IF(AND(OR(Planilla!B270="B", Planilla!B270="BPAL"), VLOOKUP(E270,EX:FJ,13,0)="A"), "DEFICIT",IF(AND(OR(Planilla!B270="B", Planilla!B270="BPAL"), VLOOKUP(E270,EX:FJ,13,0)="C"), "SOBREOFERTA",IF(AND(Planilla!B270="A", VLOOKUP(E270,EX:FJ,13,0)="A"), "OK",IF(
AND(Planilla!B270="A", OR(VLOOKUP(E270,EX:FJ,13,0)="B", VLOOKUP(E270,EX:FJ,13,0)="C")), "SOBREOFERTA",""
))))))),"")</f>
        <v/>
      </c>
      <c r="E270" s="12"/>
      <c r="F270" s="13"/>
      <c r="G270" s="14"/>
      <c r="H270" s="81" t="str">
        <f t="shared" ref="H270:H333" si="101">IF(I270="","",IF(AND((I270-G270)&gt;=TIME(0,0,0),(I270-G270)&lt;TIME(0,3,0)),"OK",IF(AND((I270-G270)&gt;=TIME(0,3,0),(I270-G270)&lt;TIME(0,5,0)),"RETRASO DE 3-5 MIN",IF(AND((I270-G270)&gt;=TIME(0,5,0),(I270-G270)&lt;TIME(0,10,0)),"RETRASO DE 5-10 MIN",IF((I270-G270)&gt;=TIME(0,10,0),"RETRASO &gt;10 MIN",         IF(AND((G270-I270)&gt;=TIME(0,0,0),(G270-I270)&lt;TIME(0,3,0)),"OK",IF((G270-I270)&gt;=TIME(0,3,0),"ADELANTADO")))))))</f>
        <v/>
      </c>
      <c r="I270" s="7"/>
      <c r="J270" s="6" t="e">
        <f t="shared" ref="J270:J333" si="102">IF(A270&lt;&gt;"",HLOOKUP(VALUE(TEXT(G270,"h:mm:ss")),IF($C$6="Laboral",$FT$4:$GR$227,IF($C$6="Sábado",$FT$231:$GR$452,$FT$456:$GR$656)),VLOOKUP($C$4,$GZ$2:$HB$99,3,0)+IF(C$5="Ida",0,1),1),"")</f>
        <v>#N/A</v>
      </c>
      <c r="K270" s="6" t="str">
        <f>IF(A271&lt;&gt;A270,AVERAGEIF(A$9:A270,A270,J$9:J270),"")</f>
        <v/>
      </c>
      <c r="L270" s="7" t="str">
        <f>IFERROR(IF(A271&lt;&gt;A270,AVERAGEIF(A$9:A270,A270,S$9:S270),""),"")</f>
        <v/>
      </c>
      <c r="M270" s="7" t="str">
        <f>IFERROR(IF(A271&lt;&gt;A270,AVERAGEIF(A$9:A270,A270,T$9:T270),""),"")</f>
        <v/>
      </c>
      <c r="N270" s="7" t="str" cm="1">
        <f t="array" ref="N270">IFERROR(IF(A271&lt;&gt;A270,_xlfn.STDEV.P(IF(A$9:A270=A270,T$9:T270)),""),"")</f>
        <v/>
      </c>
      <c r="O270" s="7" t="str" cm="1">
        <f t="array" ref="O270">IFERROR(IF(A271&lt;&gt;A270,_xlfn.STDEV.P(IF(A$9:A270=A270,S$9:S270)),""),"")</f>
        <v/>
      </c>
      <c r="P270" s="8" t="str">
        <f t="shared" ref="P270:P333" si="103">IFERROR(IF(A270&lt;&gt;A271,MAX((((M270*24*60)/2)*(1+POWER((((N270*24*60) / (M270*24*60) )),2))) + ((M270*24*60 )*-0.1 + (K270*0.015)) +1,(((M270*24*60)/2)*(1+POWER((((N270*24*60) / (M270*24*60 ))),2)))),""),"")</f>
        <v/>
      </c>
      <c r="Q270" s="8" t="str">
        <f t="shared" ref="Q270:Q333" si="104">IF(AND(O270&lt;&gt;"",L270&lt;&gt;""),IF(A270&lt;&gt;A271,((L270*24*60) / 2 ) * (1 + POWER(((O270*24*60) / (L270*24*60)),2)),""),"")</f>
        <v/>
      </c>
      <c r="R270" s="8" t="str">
        <f t="shared" ref="R270:R333" si="105">IF(Q270&lt;&gt;"",MAX(P270,Q270),"")</f>
        <v/>
      </c>
      <c r="S270" s="9" t="str">
        <f t="shared" ref="S270:S333" si="106">IF(I270&lt;&gt;"H. Sale Real",IF(AND(I271&lt;&gt;"",LEFT(C271,2)&lt;&gt;"NC"),IF(AND(I270&lt;&gt;"",LEFT(C270,2)&lt;&gt;"NC",I270&lt;&gt;"H. Sale Real"),IF(I271-I270&lt;0.208333333333333,I271-I270,""),IF(AND(I269&lt;&gt;"",LEFT(C269,2)&lt;&gt;"NC",I269&lt;&gt;"H. Sale Real"),IF(I271-I269&lt;0.208333333333333,I271-I269,""),IF(AND(I268&lt;&gt;"",LEFT(C268,2)&lt;&gt;"NC",I268&lt;&gt;"H. Sale Real"),IF(I271-I268&lt;0.208333333333333,I271-I268,""),IF(AND(I267&lt;&gt;"",LEFT(C267,2)&lt;&gt;"NC",I267&lt;&gt;"H. Sale Real"),IF(I271-I267&lt;0.208333333333333,I271-I267,""),IF(AND(I266&lt;&gt;"",LEFT(C266,2)&lt;&gt;"NC",I266&lt;&gt;"H. Sale Real"),IF(I271-I266&lt;0.208333333333333,I271-I266,""),""))))),""),"")</f>
        <v/>
      </c>
      <c r="T270" s="9" t="str">
        <f t="shared" ref="T270:T333" si="107">IF(G270&lt;&gt;"H. Sale Real",IF(AND(G271&lt;&gt;"",LEFT(C271,2)&lt;&gt;"NC"),IF(AND(G270&lt;&gt;"",LEFT(C270,2)&lt;&gt;"NC",G270&lt;&gt;"H. Sale Real"),IF(G271-G270&lt;0.208333333333333,G271-G270,""),IF(AND(G269&lt;&gt;"",LEFT(C269,2)&lt;&gt;"NC",G269&lt;&gt;"H. Sale Real"),IF(G271-G269&lt;0.208333333333333,G271-G269,""),IF(AND(G268&lt;&gt;"",LEFT(C268,2)&lt;&gt;"NC",G268&lt;&gt;"H. Sale Real"),IF(G271-G268&lt;0.208333333333333,G271-G268,""),IF(AND(G267&lt;&gt;"",LEFT(C267,2)&lt;&gt;"NC",G267&lt;&gt;"H. Sale Real"),IF(G271-G267&lt;0.208333333333333,G271-G267,""),IF(AND(G266&lt;&gt;"",LEFT(C266,2)&lt;&gt;"NC",G266&lt;&gt;"H. Sale Real"),IF(G271-G266&lt;0.208333333333333,G271-G266,""),""))))),""),"")</f>
        <v/>
      </c>
      <c r="U270" s="14"/>
      <c r="V270" s="15"/>
      <c r="W270" s="14" t="str">
        <f t="shared" ref="W270:W333" si="108">IF(G270&lt;&gt;"",IF(AND(W269&lt;&gt;"IE",P270&lt;&gt;0,R270&lt;&gt;""),IF(IFERROR((P270/R270),0) &lt;=1,IFERROR(P270/R270,""),1),""),"")</f>
        <v/>
      </c>
      <c r="X270" s="15"/>
      <c r="Y270" s="2"/>
      <c r="AB270" s="22">
        <f t="shared" ref="AB270:AB333" si="109">HOUR(AH270)+1</f>
        <v>1</v>
      </c>
      <c r="AC270" s="11"/>
      <c r="AD270" s="11"/>
      <c r="AE270" s="13"/>
      <c r="AF270" s="12"/>
      <c r="AG270" s="13"/>
      <c r="AH270" s="14"/>
      <c r="AI270" s="81" t="str">
        <f t="shared" ref="AI270:AI333" si="110">IF(AJ270="","",IF(AND((AJ270-AH270)&gt;=TIME(0,0,0),(AJ270-AH270)&lt;TIME(0,3,0)),"OK",IF(AND((AJ270-AH270)&gt;=TIME(0,3,0),(AJ270-AH270)&lt;TIME(0,5,0)),"RETRASO DE 3-5 MIN",IF(AND((AJ270-AH270)&gt;=TIME(0,5,0),(AJ270-AH270)&lt;TIME(0,10,0)),"RETRASO DE 5-10 MIN",IF((AJ270-AH270)&gt;=TIME(0,10,0),"RETRASO &gt;10 MIN",         IF(AND((AH270-AJ270)&gt;=TIME(0,0,0),(AH270-AJ270)&lt;TIME(0,3,0)),"OK",IF((AH270-AJ270)&gt;=TIME(0,3,0),"ADELANTADO")))))))</f>
        <v/>
      </c>
      <c r="AJ270" s="15"/>
      <c r="AK270" s="6" t="e">
        <f t="shared" ref="AK270:AK333" si="111">IF(AB270&lt;&gt;"",HLOOKUP(VALUE(TEXT(AH270,"h:mm:ss")),IF($C$6="Laboral",$FT$4:$GR$227,IF($C$6="Sábado",$FT$231:$GR$452,$FT$456:$GR$656)),VLOOKUP($C$4,$GZ$2:$HB$99,3,0)+IF(AD$5="Ida",0,1),1),"")</f>
        <v>#N/A</v>
      </c>
      <c r="AL270" s="6" t="str">
        <f>IF(AB271&lt;&gt;AB270,AVERAGEIF(AB$9:AB270,AB270,AK$9:AK270),"")</f>
        <v/>
      </c>
      <c r="AM270" s="7" t="str">
        <f>IFERROR(IF(AB271&lt;&gt;AB270,AVERAGEIF(AB$9:AB270,AB270,AT$9:AT270),""),"")</f>
        <v/>
      </c>
      <c r="AN270" s="7" t="str">
        <f>IFERROR(IF(AB271&lt;&gt;AB270,AVERAGEIF(AB$9:AB270,AB270,AU$9:AU270),""),"")</f>
        <v/>
      </c>
      <c r="AO270" s="7" t="str" cm="1">
        <f t="array" ref="AO270">IFERROR(IF(AB271&lt;&gt;AB270,_xlfn.STDEV.P(IF(AB$9:AB270=AB270,AU$9:AU270)),""),"")</f>
        <v/>
      </c>
      <c r="AP270" s="7" t="str" cm="1">
        <f t="array" ref="AP270">IFERROR(IF(AB271&lt;&gt;AB270,_xlfn.STDEV.P(IF(AB$9:AB270=AB270,AT$9:AT270)),""),"")</f>
        <v/>
      </c>
      <c r="AQ270" s="8" t="str">
        <f t="shared" ref="AQ270:AQ333" si="112">IFERROR(IF(AB270&lt;&gt;AB271,MAX((((AN270*24*60)/2)*(1+POWER((((AO270*24*60) / (AN270*24*60) )),2))) + ((AN270*24*60 )*-0.1 + (AL270*0.015)) +1,(((AN270*24*60)/2)*(1+POWER((((AO270*24*60) / (AN270*24*60 ))),2)))),""),"")</f>
        <v/>
      </c>
      <c r="AR270" s="8" t="str">
        <f t="shared" ref="AR270:AR333" si="113">IF(AND(AP270&lt;&gt;"",AM270&lt;&gt;""),IF(AB270&lt;&gt;AB271,((AM270*24*60) / 2 ) * (1 + POWER(((AP270*24*60) / (AM270*24*60)),2)),""),"")</f>
        <v/>
      </c>
      <c r="AS270" s="8" t="str">
        <f t="shared" ref="AS270:AS333" si="114">IF(AR270&lt;&gt;"",MAX(AQ270,AR270),"")</f>
        <v/>
      </c>
      <c r="AT270" s="9" t="str">
        <f t="shared" ref="AT270:AT333" si="115">IF(AJ270&lt;&gt;"H. Sale Real",IF(AND(AJ271&lt;&gt;"",LEFT(AD271,2)&lt;&gt;"NC"),IF(AND(AJ270&lt;&gt;"",LEFT(AD270,2)&lt;&gt;"NC",AJ270&lt;&gt;"H. Sale Real"),IF(AJ271-AJ270&lt;0.208333333333333,AJ271-AJ270,""),IF(AND(AJ269&lt;&gt;"",LEFT(AD269,2)&lt;&gt;"NC",AJ269&lt;&gt;"H. Sale Real"),IF(AJ271-AJ269&lt;0.208333333333333,AJ271-AJ269,""),IF(AND(AJ268&lt;&gt;"",LEFT(AD268,2)&lt;&gt;"NC",AJ268&lt;&gt;"H. Sale Real"),IF(AJ271-AJ268&lt;0.208333333333333,AJ271-AJ268,""),IF(AND(AJ267&lt;&gt;"",LEFT(AD267,2)&lt;&gt;"NC",AJ267&lt;&gt;"H. Sale Real"),IF(AJ271-AJ267&lt;0.208333333333333,AJ271-AJ267,""),IF(AND(AJ266&lt;&gt;"",LEFT(AD266,2)&lt;&gt;"NC",AJ266&lt;&gt;"H. Sale Real"),IF(AJ271-AJ266&lt;0.208333333333333,AJ271-AJ266,""),""))))),""),"")</f>
        <v/>
      </c>
      <c r="AU270" s="9" t="str">
        <f t="shared" ref="AU270:AU333" si="116">IF(AH270&lt;&gt;"H. Sale Real",IF(AND(AH271&lt;&gt;"",LEFT(AD271,2)&lt;&gt;"NC"),IF(AND(AH270&lt;&gt;"",LEFT(AD270,2)&lt;&gt;"NC",AH270&lt;&gt;"H. Sale Real"),IF(AH271-AH270&lt;0.208333333333333,AH271-AH270,""),IF(AND(AH269&lt;&gt;"",LEFT(AD269,2)&lt;&gt;"NC",AH269&lt;&gt;"H. Sale Real"),IF(AH271-AH269&lt;0.208333333333333,AH271-AH269,""),IF(AND(AH268&lt;&gt;"",LEFT(AD268,2)&lt;&gt;"NC",AH268&lt;&gt;"H. Sale Real"),IF(AH271-AH268&lt;0.208333333333333,AH271-AH268,""),IF(AND(AH267&lt;&gt;"",LEFT(AD267,2)&lt;&gt;"NC",AH267&lt;&gt;"H. Sale Real"),IF(AH271-AH267&lt;0.208333333333333,AH271-AH267,""),IF(AND(AH266&lt;&gt;"",LEFT(AD266,2)&lt;&gt;"NC",AH266&lt;&gt;"H. Sale Real"),IF(AH271-AH266&lt;0.208333333333333,AH271-AH266,""),""))))),""),"")</f>
        <v/>
      </c>
      <c r="AV270" s="14"/>
      <c r="AW270" s="15"/>
      <c r="AX270" s="14" t="str">
        <f t="shared" ref="AX270:AX333" si="117">IF(AH270&lt;&gt;"",IF(AND(AX269&lt;&gt;"IE",AQ270&lt;&gt;0,AS270&lt;&gt;""),IF(IFERROR((AQ270/AS270),0) &lt;=1,IFERROR(AQ270/AS270,""),1),""),"")</f>
        <v/>
      </c>
      <c r="AY270" s="15"/>
      <c r="AZ270" s="23"/>
      <c r="EW270" t="s">
        <v>46</v>
      </c>
      <c r="EX270" s="33">
        <v>1269</v>
      </c>
      <c r="EY270" s="33" t="s">
        <v>688</v>
      </c>
      <c r="EZ270" s="33" t="s">
        <v>689</v>
      </c>
      <c r="FA270" s="33" t="s">
        <v>343</v>
      </c>
      <c r="FB270" s="33" t="s">
        <v>344</v>
      </c>
      <c r="FC270" s="33" t="s">
        <v>345</v>
      </c>
      <c r="FD270" s="33" t="s">
        <v>346</v>
      </c>
      <c r="FE270" s="33">
        <v>2025</v>
      </c>
      <c r="FF270" s="33" t="s">
        <v>59</v>
      </c>
      <c r="FG270" s="33" t="s">
        <v>477</v>
      </c>
      <c r="FH270" s="33" t="s">
        <v>478</v>
      </c>
      <c r="FI270" s="33" t="s">
        <v>479</v>
      </c>
      <c r="FJ270" t="s">
        <v>59</v>
      </c>
      <c r="FM270" s="32" t="s">
        <v>685</v>
      </c>
      <c r="FN270" t="s">
        <v>686</v>
      </c>
      <c r="FO270" t="s">
        <v>687</v>
      </c>
      <c r="FP270" t="str">
        <f t="shared" si="99"/>
        <v>B</v>
      </c>
      <c r="FT270" s="69" t="s">
        <v>7426</v>
      </c>
      <c r="FU270" s="61">
        <v>0</v>
      </c>
      <c r="FV270" s="61">
        <v>0</v>
      </c>
      <c r="FW270" s="61">
        <v>0</v>
      </c>
      <c r="FX270" s="61">
        <v>0</v>
      </c>
      <c r="FY270" s="61">
        <v>0</v>
      </c>
      <c r="FZ270" s="61">
        <v>13.58</v>
      </c>
      <c r="GA270" s="61">
        <v>25.75</v>
      </c>
      <c r="GB270" s="61">
        <v>25.085000000000001</v>
      </c>
      <c r="GC270" s="61">
        <v>25.35</v>
      </c>
      <c r="GD270" s="61">
        <v>25.53</v>
      </c>
      <c r="GE270" s="61">
        <v>24.814999999999998</v>
      </c>
      <c r="GF270" s="61">
        <v>24.21</v>
      </c>
      <c r="GG270" s="61">
        <v>22.984999999999999</v>
      </c>
      <c r="GH270" s="61">
        <v>22.15</v>
      </c>
      <c r="GI270" s="61">
        <v>22.75</v>
      </c>
      <c r="GJ270" s="61">
        <v>23.375</v>
      </c>
      <c r="GK270" s="61">
        <v>23.47</v>
      </c>
      <c r="GL270" s="61">
        <v>23.295000000000002</v>
      </c>
      <c r="GM270" s="61">
        <v>23.22</v>
      </c>
      <c r="GN270" s="61">
        <v>23.454999999999998</v>
      </c>
      <c r="GO270" s="61">
        <v>23.729999999999997</v>
      </c>
      <c r="GP270" s="61">
        <v>25.42</v>
      </c>
      <c r="GQ270" s="61">
        <v>27.66</v>
      </c>
      <c r="GR270" s="61">
        <v>14.05</v>
      </c>
      <c r="GU270" s="53">
        <v>40</v>
      </c>
      <c r="GV270" s="53">
        <v>264</v>
      </c>
    </row>
    <row r="271" spans="1:204" ht="15.5" x14ac:dyDescent="0.35">
      <c r="A271" s="95">
        <f t="shared" si="100"/>
        <v>1</v>
      </c>
      <c r="B271" s="11"/>
      <c r="C271" s="11"/>
      <c r="D271" s="92" t="str">
        <f>IFERROR(
IF(AND(OR(Planilla!B271="C",Planilla!B271="c"), VLOOKUP(E271,EX:FJ,13,0)="C"), "OK",IF(AND(OR(Planilla!B271="C",Planilla!B271="c"), OR(VLOOKUP(E271,EX:FJ,13,0)="B", VLOOKUP(E271,EX:FJ,13,0)="A")), "DEFICIT",IF(
AND(OR(Planilla!B271="B", Planilla!B271="BPAL"), VLOOKUP(E271,EX:FJ,13,0)="B"), "OK",IF(AND(OR(Planilla!B271="B", Planilla!B271="BPAL"), VLOOKUP(E271,EX:FJ,13,0)="A"), "DEFICIT",IF(AND(OR(Planilla!B271="B", Planilla!B271="BPAL"), VLOOKUP(E271,EX:FJ,13,0)="C"), "SOBREOFERTA",IF(AND(Planilla!B271="A", VLOOKUP(E271,EX:FJ,13,0)="A"), "OK",IF(
AND(Planilla!B271="A", OR(VLOOKUP(E271,EX:FJ,13,0)="B", VLOOKUP(E271,EX:FJ,13,0)="C")), "SOBREOFERTA",""
))))))),"")</f>
        <v/>
      </c>
      <c r="E271" s="12"/>
      <c r="F271" s="13"/>
      <c r="G271" s="14"/>
      <c r="H271" s="81" t="str">
        <f t="shared" si="101"/>
        <v/>
      </c>
      <c r="I271" s="7"/>
      <c r="J271" s="6" t="e">
        <f t="shared" si="102"/>
        <v>#N/A</v>
      </c>
      <c r="K271" s="6" t="str">
        <f>IF(A272&lt;&gt;A271,AVERAGEIF(A$9:A271,A271,J$9:J271),"")</f>
        <v/>
      </c>
      <c r="L271" s="7" t="str">
        <f>IFERROR(IF(A272&lt;&gt;A271,AVERAGEIF(A$9:A271,A271,S$9:S271),""),"")</f>
        <v/>
      </c>
      <c r="M271" s="7" t="str">
        <f>IFERROR(IF(A272&lt;&gt;A271,AVERAGEIF(A$9:A271,A271,T$9:T271),""),"")</f>
        <v/>
      </c>
      <c r="N271" s="7" t="str" cm="1">
        <f t="array" ref="N271">IFERROR(IF(A272&lt;&gt;A271,_xlfn.STDEV.P(IF(A$9:A271=A271,T$9:T271)),""),"")</f>
        <v/>
      </c>
      <c r="O271" s="7" t="str" cm="1">
        <f t="array" ref="O271">IFERROR(IF(A272&lt;&gt;A271,_xlfn.STDEV.P(IF(A$9:A271=A271,S$9:S271)),""),"")</f>
        <v/>
      </c>
      <c r="P271" s="8" t="str">
        <f t="shared" si="103"/>
        <v/>
      </c>
      <c r="Q271" s="8" t="str">
        <f t="shared" si="104"/>
        <v/>
      </c>
      <c r="R271" s="8" t="str">
        <f t="shared" si="105"/>
        <v/>
      </c>
      <c r="S271" s="9" t="str">
        <f t="shared" si="106"/>
        <v/>
      </c>
      <c r="T271" s="9" t="str">
        <f t="shared" si="107"/>
        <v/>
      </c>
      <c r="U271" s="14"/>
      <c r="V271" s="15"/>
      <c r="W271" s="14" t="str">
        <f t="shared" si="108"/>
        <v/>
      </c>
      <c r="X271" s="15"/>
      <c r="Y271" s="2"/>
      <c r="AB271" s="22">
        <f t="shared" si="109"/>
        <v>1</v>
      </c>
      <c r="AC271" s="11"/>
      <c r="AD271" s="11"/>
      <c r="AE271" s="13"/>
      <c r="AF271" s="12"/>
      <c r="AG271" s="13"/>
      <c r="AH271" s="14"/>
      <c r="AI271" s="81" t="str">
        <f t="shared" si="110"/>
        <v/>
      </c>
      <c r="AJ271" s="15"/>
      <c r="AK271" s="6" t="e">
        <f t="shared" si="111"/>
        <v>#N/A</v>
      </c>
      <c r="AL271" s="6" t="str">
        <f>IF(AB272&lt;&gt;AB271,AVERAGEIF(AB$9:AB271,AB271,AK$9:AK271),"")</f>
        <v/>
      </c>
      <c r="AM271" s="7" t="str">
        <f>IFERROR(IF(AB272&lt;&gt;AB271,AVERAGEIF(AB$9:AB271,AB271,AT$9:AT271),""),"")</f>
        <v/>
      </c>
      <c r="AN271" s="7" t="str">
        <f>IFERROR(IF(AB272&lt;&gt;AB271,AVERAGEIF(AB$9:AB271,AB271,AU$9:AU271),""),"")</f>
        <v/>
      </c>
      <c r="AO271" s="7" t="str" cm="1">
        <f t="array" ref="AO271">IFERROR(IF(AB272&lt;&gt;AB271,_xlfn.STDEV.P(IF(AB$9:AB271=AB271,AU$9:AU271)),""),"")</f>
        <v/>
      </c>
      <c r="AP271" s="7" t="str" cm="1">
        <f t="array" ref="AP271">IFERROR(IF(AB272&lt;&gt;AB271,_xlfn.STDEV.P(IF(AB$9:AB271=AB271,AT$9:AT271)),""),"")</f>
        <v/>
      </c>
      <c r="AQ271" s="8" t="str">
        <f t="shared" si="112"/>
        <v/>
      </c>
      <c r="AR271" s="8" t="str">
        <f t="shared" si="113"/>
        <v/>
      </c>
      <c r="AS271" s="8" t="str">
        <f t="shared" si="114"/>
        <v/>
      </c>
      <c r="AT271" s="9" t="str">
        <f t="shared" si="115"/>
        <v/>
      </c>
      <c r="AU271" s="9" t="str">
        <f t="shared" si="116"/>
        <v/>
      </c>
      <c r="AV271" s="14"/>
      <c r="AW271" s="15"/>
      <c r="AX271" s="14" t="str">
        <f t="shared" si="117"/>
        <v/>
      </c>
      <c r="AY271" s="15"/>
      <c r="AZ271" s="23"/>
      <c r="EW271" t="s">
        <v>46</v>
      </c>
      <c r="EX271" s="33">
        <v>1270</v>
      </c>
      <c r="EY271" s="33" t="s">
        <v>690</v>
      </c>
      <c r="EZ271" s="33" t="s">
        <v>691</v>
      </c>
      <c r="FA271" s="33" t="s">
        <v>343</v>
      </c>
      <c r="FB271" s="33" t="s">
        <v>344</v>
      </c>
      <c r="FC271" s="33" t="s">
        <v>345</v>
      </c>
      <c r="FD271" s="33" t="s">
        <v>346</v>
      </c>
      <c r="FE271" s="33">
        <v>2025</v>
      </c>
      <c r="FF271" s="33" t="s">
        <v>59</v>
      </c>
      <c r="FG271" s="33" t="s">
        <v>477</v>
      </c>
      <c r="FH271" s="33" t="s">
        <v>478</v>
      </c>
      <c r="FI271" s="33" t="s">
        <v>479</v>
      </c>
      <c r="FJ271" t="s">
        <v>59</v>
      </c>
      <c r="FM271" s="32" t="s">
        <v>685</v>
      </c>
      <c r="FN271" t="s">
        <v>686</v>
      </c>
      <c r="FO271" t="s">
        <v>687</v>
      </c>
      <c r="FP271" t="str">
        <f t="shared" si="99"/>
        <v>B</v>
      </c>
      <c r="FT271" s="69" t="s">
        <v>7424</v>
      </c>
      <c r="FU271" s="61">
        <v>0</v>
      </c>
      <c r="FV271" s="61">
        <v>0</v>
      </c>
      <c r="FW271" s="61">
        <v>0</v>
      </c>
      <c r="FX271" s="61">
        <v>0</v>
      </c>
      <c r="FY271" s="61">
        <v>0</v>
      </c>
      <c r="FZ271" s="61">
        <v>28.035</v>
      </c>
      <c r="GA271" s="61">
        <v>25.715</v>
      </c>
      <c r="GB271" s="61">
        <v>24.009999999999998</v>
      </c>
      <c r="GC271" s="61">
        <v>23.18</v>
      </c>
      <c r="GD271" s="61">
        <v>22.619999999999997</v>
      </c>
      <c r="GE271" s="61">
        <v>21.78</v>
      </c>
      <c r="GF271" s="61">
        <v>20.21</v>
      </c>
      <c r="GG271" s="61">
        <v>19.079999999999998</v>
      </c>
      <c r="GH271" s="61">
        <v>19.064999999999998</v>
      </c>
      <c r="GI271" s="61">
        <v>19.53</v>
      </c>
      <c r="GJ271" s="61">
        <v>19.675000000000001</v>
      </c>
      <c r="GK271" s="61">
        <v>19.2</v>
      </c>
      <c r="GL271" s="61">
        <v>18.865000000000002</v>
      </c>
      <c r="GM271" s="61">
        <v>19.085000000000001</v>
      </c>
      <c r="GN271" s="61">
        <v>19.64</v>
      </c>
      <c r="GO271" s="61">
        <v>20.125</v>
      </c>
      <c r="GP271" s="61">
        <v>22.060000000000002</v>
      </c>
      <c r="GQ271" s="61">
        <v>21.43</v>
      </c>
      <c r="GR271" s="61">
        <v>0</v>
      </c>
      <c r="GU271" s="53">
        <v>41</v>
      </c>
      <c r="GV271" s="53">
        <v>265</v>
      </c>
    </row>
    <row r="272" spans="1:204" ht="15.5" x14ac:dyDescent="0.35">
      <c r="A272" s="95">
        <f t="shared" si="100"/>
        <v>1</v>
      </c>
      <c r="B272" s="11"/>
      <c r="C272" s="11"/>
      <c r="D272" s="92" t="str">
        <f>IFERROR(
IF(AND(OR(Planilla!B272="C",Planilla!B272="c"), VLOOKUP(E272,EX:FJ,13,0)="C"), "OK",IF(AND(OR(Planilla!B272="C",Planilla!B272="c"), OR(VLOOKUP(E272,EX:FJ,13,0)="B", VLOOKUP(E272,EX:FJ,13,0)="A")), "DEFICIT",IF(
AND(OR(Planilla!B272="B", Planilla!B272="BPAL"), VLOOKUP(E272,EX:FJ,13,0)="B"), "OK",IF(AND(OR(Planilla!B272="B", Planilla!B272="BPAL"), VLOOKUP(E272,EX:FJ,13,0)="A"), "DEFICIT",IF(AND(OR(Planilla!B272="B", Planilla!B272="BPAL"), VLOOKUP(E272,EX:FJ,13,0)="C"), "SOBREOFERTA",IF(AND(Planilla!B272="A", VLOOKUP(E272,EX:FJ,13,0)="A"), "OK",IF(
AND(Planilla!B272="A", OR(VLOOKUP(E272,EX:FJ,13,0)="B", VLOOKUP(E272,EX:FJ,13,0)="C")), "SOBREOFERTA",""
))))))),"")</f>
        <v/>
      </c>
      <c r="E272" s="12"/>
      <c r="F272" s="13"/>
      <c r="G272" s="14"/>
      <c r="H272" s="81" t="str">
        <f t="shared" si="101"/>
        <v/>
      </c>
      <c r="I272" s="7"/>
      <c r="J272" s="6" t="e">
        <f t="shared" si="102"/>
        <v>#N/A</v>
      </c>
      <c r="K272" s="6" t="str">
        <f>IF(A273&lt;&gt;A272,AVERAGEIF(A$9:A272,A272,J$9:J272),"")</f>
        <v/>
      </c>
      <c r="L272" s="7" t="str">
        <f>IFERROR(IF(A273&lt;&gt;A272,AVERAGEIF(A$9:A272,A272,S$9:S272),""),"")</f>
        <v/>
      </c>
      <c r="M272" s="7" t="str">
        <f>IFERROR(IF(A273&lt;&gt;A272,AVERAGEIF(A$9:A272,A272,T$9:T272),""),"")</f>
        <v/>
      </c>
      <c r="N272" s="7" t="str" cm="1">
        <f t="array" ref="N272">IFERROR(IF(A273&lt;&gt;A272,_xlfn.STDEV.P(IF(A$9:A272=A272,T$9:T272)),""),"")</f>
        <v/>
      </c>
      <c r="O272" s="7" t="str" cm="1">
        <f t="array" ref="O272">IFERROR(IF(A273&lt;&gt;A272,_xlfn.STDEV.P(IF(A$9:A272=A272,S$9:S272)),""),"")</f>
        <v/>
      </c>
      <c r="P272" s="8" t="str">
        <f t="shared" si="103"/>
        <v/>
      </c>
      <c r="Q272" s="8" t="str">
        <f t="shared" si="104"/>
        <v/>
      </c>
      <c r="R272" s="8" t="str">
        <f t="shared" si="105"/>
        <v/>
      </c>
      <c r="S272" s="9" t="str">
        <f t="shared" si="106"/>
        <v/>
      </c>
      <c r="T272" s="9" t="str">
        <f t="shared" si="107"/>
        <v/>
      </c>
      <c r="U272" s="14"/>
      <c r="V272" s="15"/>
      <c r="W272" s="14" t="str">
        <f t="shared" si="108"/>
        <v/>
      </c>
      <c r="X272" s="15"/>
      <c r="Y272" s="2"/>
      <c r="AB272" s="22">
        <f t="shared" si="109"/>
        <v>1</v>
      </c>
      <c r="AC272" s="11"/>
      <c r="AD272" s="11"/>
      <c r="AE272" s="13"/>
      <c r="AF272" s="12"/>
      <c r="AG272" s="13"/>
      <c r="AH272" s="14"/>
      <c r="AI272" s="81" t="str">
        <f t="shared" si="110"/>
        <v/>
      </c>
      <c r="AJ272" s="15"/>
      <c r="AK272" s="6" t="e">
        <f t="shared" si="111"/>
        <v>#N/A</v>
      </c>
      <c r="AL272" s="6" t="str">
        <f>IF(AB273&lt;&gt;AB272,AVERAGEIF(AB$9:AB272,AB272,AK$9:AK272),"")</f>
        <v/>
      </c>
      <c r="AM272" s="7" t="str">
        <f>IFERROR(IF(AB273&lt;&gt;AB272,AVERAGEIF(AB$9:AB272,AB272,AT$9:AT272),""),"")</f>
        <v/>
      </c>
      <c r="AN272" s="7" t="str">
        <f>IFERROR(IF(AB273&lt;&gt;AB272,AVERAGEIF(AB$9:AB272,AB272,AU$9:AU272),""),"")</f>
        <v/>
      </c>
      <c r="AO272" s="7" t="str" cm="1">
        <f t="array" ref="AO272">IFERROR(IF(AB273&lt;&gt;AB272,_xlfn.STDEV.P(IF(AB$9:AB272=AB272,AU$9:AU272)),""),"")</f>
        <v/>
      </c>
      <c r="AP272" s="7" t="str" cm="1">
        <f t="array" ref="AP272">IFERROR(IF(AB273&lt;&gt;AB272,_xlfn.STDEV.P(IF(AB$9:AB272=AB272,AT$9:AT272)),""),"")</f>
        <v/>
      </c>
      <c r="AQ272" s="8" t="str">
        <f t="shared" si="112"/>
        <v/>
      </c>
      <c r="AR272" s="8" t="str">
        <f t="shared" si="113"/>
        <v/>
      </c>
      <c r="AS272" s="8" t="str">
        <f t="shared" si="114"/>
        <v/>
      </c>
      <c r="AT272" s="9" t="str">
        <f t="shared" si="115"/>
        <v/>
      </c>
      <c r="AU272" s="9" t="str">
        <f t="shared" si="116"/>
        <v/>
      </c>
      <c r="AV272" s="14"/>
      <c r="AW272" s="15"/>
      <c r="AX272" s="14" t="str">
        <f t="shared" si="117"/>
        <v/>
      </c>
      <c r="AY272" s="15"/>
      <c r="AZ272" s="23"/>
      <c r="EW272" t="s">
        <v>46</v>
      </c>
      <c r="EX272" s="33">
        <v>1271</v>
      </c>
      <c r="EY272" s="33" t="s">
        <v>692</v>
      </c>
      <c r="EZ272" s="33" t="s">
        <v>693</v>
      </c>
      <c r="FA272" s="33" t="s">
        <v>343</v>
      </c>
      <c r="FB272" s="33" t="s">
        <v>344</v>
      </c>
      <c r="FC272" s="33" t="s">
        <v>345</v>
      </c>
      <c r="FD272" s="33" t="s">
        <v>346</v>
      </c>
      <c r="FE272" s="33">
        <v>2025</v>
      </c>
      <c r="FF272" s="33" t="s">
        <v>59</v>
      </c>
      <c r="FG272" s="33" t="s">
        <v>386</v>
      </c>
      <c r="FH272" s="33" t="s">
        <v>387</v>
      </c>
      <c r="FI272" s="33" t="s">
        <v>407</v>
      </c>
      <c r="FJ272" t="s">
        <v>59</v>
      </c>
      <c r="FM272" s="32" t="s">
        <v>685</v>
      </c>
      <c r="FN272" t="s">
        <v>686</v>
      </c>
      <c r="FO272" t="s">
        <v>687</v>
      </c>
      <c r="FP272" t="str">
        <f t="shared" si="99"/>
        <v>B</v>
      </c>
      <c r="FT272" s="69" t="s">
        <v>7444</v>
      </c>
      <c r="FU272" s="61">
        <v>0</v>
      </c>
      <c r="FV272" s="61">
        <v>0</v>
      </c>
      <c r="FW272" s="61">
        <v>0</v>
      </c>
      <c r="FX272" s="61">
        <v>0</v>
      </c>
      <c r="FY272" s="61">
        <v>0</v>
      </c>
      <c r="FZ272" s="61">
        <v>11.01</v>
      </c>
      <c r="GA272" s="61">
        <v>21.25</v>
      </c>
      <c r="GB272" s="61">
        <v>20.25</v>
      </c>
      <c r="GC272" s="61">
        <v>19.73</v>
      </c>
      <c r="GD272" s="61">
        <v>19.03</v>
      </c>
      <c r="GE272" s="61">
        <v>17.899999999999999</v>
      </c>
      <c r="GF272" s="61">
        <v>16.975000000000001</v>
      </c>
      <c r="GG272" s="61">
        <v>15.58</v>
      </c>
      <c r="GH272" s="61">
        <v>15.285</v>
      </c>
      <c r="GI272" s="61">
        <v>16.509999999999998</v>
      </c>
      <c r="GJ272" s="61">
        <v>16.240000000000002</v>
      </c>
      <c r="GK272" s="61">
        <v>15.43</v>
      </c>
      <c r="GL272" s="61">
        <v>14.85</v>
      </c>
      <c r="GM272" s="61">
        <v>14.96</v>
      </c>
      <c r="GN272" s="61">
        <v>16.34</v>
      </c>
      <c r="GO272" s="61">
        <v>17.11</v>
      </c>
      <c r="GP272" s="61">
        <v>18.195</v>
      </c>
      <c r="GQ272" s="61">
        <v>19.2</v>
      </c>
      <c r="GR272" s="61">
        <v>0</v>
      </c>
      <c r="GU272" s="53">
        <v>42</v>
      </c>
      <c r="GV272" s="53">
        <v>266</v>
      </c>
    </row>
    <row r="273" spans="1:204" ht="15.5" x14ac:dyDescent="0.35">
      <c r="A273" s="95">
        <f t="shared" si="100"/>
        <v>1</v>
      </c>
      <c r="B273" s="11"/>
      <c r="C273" s="11"/>
      <c r="D273" s="92" t="str">
        <f>IFERROR(
IF(AND(OR(Planilla!B273="C",Planilla!B273="c"), VLOOKUP(E273,EX:FJ,13,0)="C"), "OK",IF(AND(OR(Planilla!B273="C",Planilla!B273="c"), OR(VLOOKUP(E273,EX:FJ,13,0)="B", VLOOKUP(E273,EX:FJ,13,0)="A")), "DEFICIT",IF(
AND(OR(Planilla!B273="B", Planilla!B273="BPAL"), VLOOKUP(E273,EX:FJ,13,0)="B"), "OK",IF(AND(OR(Planilla!B273="B", Planilla!B273="BPAL"), VLOOKUP(E273,EX:FJ,13,0)="A"), "DEFICIT",IF(AND(OR(Planilla!B273="B", Planilla!B273="BPAL"), VLOOKUP(E273,EX:FJ,13,0)="C"), "SOBREOFERTA",IF(AND(Planilla!B273="A", VLOOKUP(E273,EX:FJ,13,0)="A"), "OK",IF(
AND(Planilla!B273="A", OR(VLOOKUP(E273,EX:FJ,13,0)="B", VLOOKUP(E273,EX:FJ,13,0)="C")), "SOBREOFERTA",""
))))))),"")</f>
        <v/>
      </c>
      <c r="E273" s="12"/>
      <c r="F273" s="13"/>
      <c r="G273" s="14"/>
      <c r="H273" s="81" t="str">
        <f t="shared" si="101"/>
        <v/>
      </c>
      <c r="I273" s="7"/>
      <c r="J273" s="6" t="e">
        <f t="shared" si="102"/>
        <v>#N/A</v>
      </c>
      <c r="K273" s="6" t="str">
        <f>IF(A274&lt;&gt;A273,AVERAGEIF(A$9:A273,A273,J$9:J273),"")</f>
        <v/>
      </c>
      <c r="L273" s="7" t="str">
        <f>IFERROR(IF(A274&lt;&gt;A273,AVERAGEIF(A$9:A273,A273,S$9:S273),""),"")</f>
        <v/>
      </c>
      <c r="M273" s="7" t="str">
        <f>IFERROR(IF(A274&lt;&gt;A273,AVERAGEIF(A$9:A273,A273,T$9:T273),""),"")</f>
        <v/>
      </c>
      <c r="N273" s="7" t="str" cm="1">
        <f t="array" ref="N273">IFERROR(IF(A274&lt;&gt;A273,_xlfn.STDEV.P(IF(A$9:A273=A273,T$9:T273)),""),"")</f>
        <v/>
      </c>
      <c r="O273" s="7" t="str" cm="1">
        <f t="array" ref="O273">IFERROR(IF(A274&lt;&gt;A273,_xlfn.STDEV.P(IF(A$9:A273=A273,S$9:S273)),""),"")</f>
        <v/>
      </c>
      <c r="P273" s="8" t="str">
        <f t="shared" si="103"/>
        <v/>
      </c>
      <c r="Q273" s="8" t="str">
        <f t="shared" si="104"/>
        <v/>
      </c>
      <c r="R273" s="8" t="str">
        <f t="shared" si="105"/>
        <v/>
      </c>
      <c r="S273" s="9" t="str">
        <f t="shared" si="106"/>
        <v/>
      </c>
      <c r="T273" s="9" t="str">
        <f t="shared" si="107"/>
        <v/>
      </c>
      <c r="U273" s="14"/>
      <c r="V273" s="15"/>
      <c r="W273" s="14" t="str">
        <f t="shared" si="108"/>
        <v/>
      </c>
      <c r="X273" s="15"/>
      <c r="Y273" s="2"/>
      <c r="AB273" s="22">
        <f t="shared" si="109"/>
        <v>1</v>
      </c>
      <c r="AC273" s="11"/>
      <c r="AD273" s="11"/>
      <c r="AE273" s="13"/>
      <c r="AF273" s="12"/>
      <c r="AG273" s="13"/>
      <c r="AH273" s="14"/>
      <c r="AI273" s="81" t="str">
        <f t="shared" si="110"/>
        <v/>
      </c>
      <c r="AJ273" s="15"/>
      <c r="AK273" s="6" t="e">
        <f t="shared" si="111"/>
        <v>#N/A</v>
      </c>
      <c r="AL273" s="6" t="str">
        <f>IF(AB274&lt;&gt;AB273,AVERAGEIF(AB$9:AB273,AB273,AK$9:AK273),"")</f>
        <v/>
      </c>
      <c r="AM273" s="7" t="str">
        <f>IFERROR(IF(AB274&lt;&gt;AB273,AVERAGEIF(AB$9:AB273,AB273,AT$9:AT273),""),"")</f>
        <v/>
      </c>
      <c r="AN273" s="7" t="str">
        <f>IFERROR(IF(AB274&lt;&gt;AB273,AVERAGEIF(AB$9:AB273,AB273,AU$9:AU273),""),"")</f>
        <v/>
      </c>
      <c r="AO273" s="7" t="str" cm="1">
        <f t="array" ref="AO273">IFERROR(IF(AB274&lt;&gt;AB273,_xlfn.STDEV.P(IF(AB$9:AB273=AB273,AU$9:AU273)),""),"")</f>
        <v/>
      </c>
      <c r="AP273" s="7" t="str" cm="1">
        <f t="array" ref="AP273">IFERROR(IF(AB274&lt;&gt;AB273,_xlfn.STDEV.P(IF(AB$9:AB273=AB273,AT$9:AT273)),""),"")</f>
        <v/>
      </c>
      <c r="AQ273" s="8" t="str">
        <f t="shared" si="112"/>
        <v/>
      </c>
      <c r="AR273" s="8" t="str">
        <f t="shared" si="113"/>
        <v/>
      </c>
      <c r="AS273" s="8" t="str">
        <f t="shared" si="114"/>
        <v/>
      </c>
      <c r="AT273" s="9" t="str">
        <f t="shared" si="115"/>
        <v/>
      </c>
      <c r="AU273" s="9" t="str">
        <f t="shared" si="116"/>
        <v/>
      </c>
      <c r="AV273" s="14"/>
      <c r="AW273" s="15"/>
      <c r="AX273" s="14" t="str">
        <f t="shared" si="117"/>
        <v/>
      </c>
      <c r="AY273" s="15"/>
      <c r="AZ273" s="23"/>
      <c r="EW273" t="s">
        <v>46</v>
      </c>
      <c r="EX273" s="33">
        <v>1272</v>
      </c>
      <c r="EY273" s="33" t="s">
        <v>694</v>
      </c>
      <c r="EZ273" s="33" t="s">
        <v>695</v>
      </c>
      <c r="FA273" s="33" t="s">
        <v>343</v>
      </c>
      <c r="FB273" s="33" t="s">
        <v>344</v>
      </c>
      <c r="FC273" s="33" t="s">
        <v>345</v>
      </c>
      <c r="FD273" s="33" t="s">
        <v>346</v>
      </c>
      <c r="FE273" s="33">
        <v>2025</v>
      </c>
      <c r="FF273" s="33" t="s">
        <v>59</v>
      </c>
      <c r="FG273" s="33" t="s">
        <v>477</v>
      </c>
      <c r="FH273" s="33" t="s">
        <v>478</v>
      </c>
      <c r="FI273" s="33" t="s">
        <v>479</v>
      </c>
      <c r="FJ273" t="s">
        <v>59</v>
      </c>
      <c r="FM273" s="32" t="s">
        <v>685</v>
      </c>
      <c r="FN273" t="s">
        <v>686</v>
      </c>
      <c r="FO273" t="s">
        <v>687</v>
      </c>
      <c r="FP273" t="str">
        <f t="shared" si="99"/>
        <v>B</v>
      </c>
      <c r="FT273" s="69" t="s">
        <v>7445</v>
      </c>
      <c r="FU273" s="61">
        <v>0</v>
      </c>
      <c r="FV273" s="61">
        <v>0</v>
      </c>
      <c r="FW273" s="61">
        <v>0</v>
      </c>
      <c r="FX273" s="61">
        <v>0</v>
      </c>
      <c r="FY273" s="61">
        <v>0</v>
      </c>
      <c r="FZ273" s="61">
        <v>10.215</v>
      </c>
      <c r="GA273" s="61">
        <v>20.059999999999999</v>
      </c>
      <c r="GB273" s="61">
        <v>19.54</v>
      </c>
      <c r="GC273" s="61">
        <v>18.215</v>
      </c>
      <c r="GD273" s="61">
        <v>16.875</v>
      </c>
      <c r="GE273" s="61">
        <v>15.495000000000001</v>
      </c>
      <c r="GF273" s="61">
        <v>13.975000000000001</v>
      </c>
      <c r="GG273" s="61">
        <v>13.025</v>
      </c>
      <c r="GH273" s="61">
        <v>13.46</v>
      </c>
      <c r="GI273" s="61">
        <v>14.36</v>
      </c>
      <c r="GJ273" s="61">
        <v>14.725000000000001</v>
      </c>
      <c r="GK273" s="61">
        <v>14.54</v>
      </c>
      <c r="GL273" s="61">
        <v>14.525</v>
      </c>
      <c r="GM273" s="61">
        <v>14.99</v>
      </c>
      <c r="GN273" s="61">
        <v>15.885000000000002</v>
      </c>
      <c r="GO273" s="61">
        <v>16.579999999999998</v>
      </c>
      <c r="GP273" s="61">
        <v>18.009999999999998</v>
      </c>
      <c r="GQ273" s="61">
        <v>19.16</v>
      </c>
      <c r="GR273" s="61">
        <v>0</v>
      </c>
      <c r="GU273" s="53">
        <v>43</v>
      </c>
      <c r="GV273" s="53">
        <v>267</v>
      </c>
    </row>
    <row r="274" spans="1:204" ht="15.5" x14ac:dyDescent="0.35">
      <c r="A274" s="95">
        <f t="shared" si="100"/>
        <v>1</v>
      </c>
      <c r="B274" s="11"/>
      <c r="C274" s="11"/>
      <c r="D274" s="92" t="str">
        <f>IFERROR(
IF(AND(OR(Planilla!B274="C",Planilla!B274="c"), VLOOKUP(E274,EX:FJ,13,0)="C"), "OK",IF(AND(OR(Planilla!B274="C",Planilla!B274="c"), OR(VLOOKUP(E274,EX:FJ,13,0)="B", VLOOKUP(E274,EX:FJ,13,0)="A")), "DEFICIT",IF(
AND(OR(Planilla!B274="B", Planilla!B274="BPAL"), VLOOKUP(E274,EX:FJ,13,0)="B"), "OK",IF(AND(OR(Planilla!B274="B", Planilla!B274="BPAL"), VLOOKUP(E274,EX:FJ,13,0)="A"), "DEFICIT",IF(AND(OR(Planilla!B274="B", Planilla!B274="BPAL"), VLOOKUP(E274,EX:FJ,13,0)="C"), "SOBREOFERTA",IF(AND(Planilla!B274="A", VLOOKUP(E274,EX:FJ,13,0)="A"), "OK",IF(
AND(Planilla!B274="A", OR(VLOOKUP(E274,EX:FJ,13,0)="B", VLOOKUP(E274,EX:FJ,13,0)="C")), "SOBREOFERTA",""
))))))),"")</f>
        <v/>
      </c>
      <c r="E274" s="12"/>
      <c r="F274" s="13"/>
      <c r="G274" s="14"/>
      <c r="H274" s="81" t="str">
        <f t="shared" si="101"/>
        <v/>
      </c>
      <c r="I274" s="7"/>
      <c r="J274" s="6" t="e">
        <f t="shared" si="102"/>
        <v>#N/A</v>
      </c>
      <c r="K274" s="6" t="str">
        <f>IF(A275&lt;&gt;A274,AVERAGEIF(A$9:A274,A274,J$9:J274),"")</f>
        <v/>
      </c>
      <c r="L274" s="7" t="str">
        <f>IFERROR(IF(A275&lt;&gt;A274,AVERAGEIF(A$9:A274,A274,S$9:S274),""),"")</f>
        <v/>
      </c>
      <c r="M274" s="7" t="str">
        <f>IFERROR(IF(A275&lt;&gt;A274,AVERAGEIF(A$9:A274,A274,T$9:T274),""),"")</f>
        <v/>
      </c>
      <c r="N274" s="7" t="str" cm="1">
        <f t="array" ref="N274">IFERROR(IF(A275&lt;&gt;A274,_xlfn.STDEV.P(IF(A$9:A274=A274,T$9:T274)),""),"")</f>
        <v/>
      </c>
      <c r="O274" s="7" t="str" cm="1">
        <f t="array" ref="O274">IFERROR(IF(A275&lt;&gt;A274,_xlfn.STDEV.P(IF(A$9:A274=A274,S$9:S274)),""),"")</f>
        <v/>
      </c>
      <c r="P274" s="8" t="str">
        <f t="shared" si="103"/>
        <v/>
      </c>
      <c r="Q274" s="8" t="str">
        <f t="shared" si="104"/>
        <v/>
      </c>
      <c r="R274" s="8" t="str">
        <f t="shared" si="105"/>
        <v/>
      </c>
      <c r="S274" s="9" t="str">
        <f t="shared" si="106"/>
        <v/>
      </c>
      <c r="T274" s="9" t="str">
        <f t="shared" si="107"/>
        <v/>
      </c>
      <c r="U274" s="14"/>
      <c r="V274" s="15"/>
      <c r="W274" s="14" t="str">
        <f t="shared" si="108"/>
        <v/>
      </c>
      <c r="X274" s="15"/>
      <c r="Y274" s="2"/>
      <c r="AB274" s="22">
        <f t="shared" si="109"/>
        <v>1</v>
      </c>
      <c r="AC274" s="11"/>
      <c r="AD274" s="11"/>
      <c r="AE274" s="13"/>
      <c r="AF274" s="12"/>
      <c r="AG274" s="13"/>
      <c r="AH274" s="14"/>
      <c r="AI274" s="81" t="str">
        <f t="shared" si="110"/>
        <v/>
      </c>
      <c r="AJ274" s="15"/>
      <c r="AK274" s="6" t="e">
        <f t="shared" si="111"/>
        <v>#N/A</v>
      </c>
      <c r="AL274" s="6" t="str">
        <f>IF(AB275&lt;&gt;AB274,AVERAGEIF(AB$9:AB274,AB274,AK$9:AK274),"")</f>
        <v/>
      </c>
      <c r="AM274" s="7" t="str">
        <f>IFERROR(IF(AB275&lt;&gt;AB274,AVERAGEIF(AB$9:AB274,AB274,AT$9:AT274),""),"")</f>
        <v/>
      </c>
      <c r="AN274" s="7" t="str">
        <f>IFERROR(IF(AB275&lt;&gt;AB274,AVERAGEIF(AB$9:AB274,AB274,AU$9:AU274),""),"")</f>
        <v/>
      </c>
      <c r="AO274" s="7" t="str" cm="1">
        <f t="array" ref="AO274">IFERROR(IF(AB275&lt;&gt;AB274,_xlfn.STDEV.P(IF(AB$9:AB274=AB274,AU$9:AU274)),""),"")</f>
        <v/>
      </c>
      <c r="AP274" s="7" t="str" cm="1">
        <f t="array" ref="AP274">IFERROR(IF(AB275&lt;&gt;AB274,_xlfn.STDEV.P(IF(AB$9:AB274=AB274,AT$9:AT274)),""),"")</f>
        <v/>
      </c>
      <c r="AQ274" s="8" t="str">
        <f t="shared" si="112"/>
        <v/>
      </c>
      <c r="AR274" s="8" t="str">
        <f t="shared" si="113"/>
        <v/>
      </c>
      <c r="AS274" s="8" t="str">
        <f t="shared" si="114"/>
        <v/>
      </c>
      <c r="AT274" s="9" t="str">
        <f t="shared" si="115"/>
        <v/>
      </c>
      <c r="AU274" s="9" t="str">
        <f t="shared" si="116"/>
        <v/>
      </c>
      <c r="AV274" s="14"/>
      <c r="AW274" s="15"/>
      <c r="AX274" s="14" t="str">
        <f t="shared" si="117"/>
        <v/>
      </c>
      <c r="AY274" s="15"/>
      <c r="AZ274" s="23"/>
      <c r="EW274" t="s">
        <v>46</v>
      </c>
      <c r="EX274" s="33">
        <v>1273</v>
      </c>
      <c r="EY274" s="33" t="s">
        <v>696</v>
      </c>
      <c r="EZ274" s="33" t="s">
        <v>697</v>
      </c>
      <c r="FA274" s="33" t="s">
        <v>343</v>
      </c>
      <c r="FB274" s="33" t="s">
        <v>344</v>
      </c>
      <c r="FC274" s="33" t="s">
        <v>345</v>
      </c>
      <c r="FD274" s="33" t="s">
        <v>346</v>
      </c>
      <c r="FE274" s="33">
        <v>2025</v>
      </c>
      <c r="FF274" s="33" t="s">
        <v>59</v>
      </c>
      <c r="FG274" s="33" t="s">
        <v>386</v>
      </c>
      <c r="FH274" s="33" t="s">
        <v>387</v>
      </c>
      <c r="FI274" s="33" t="s">
        <v>407</v>
      </c>
      <c r="FJ274" t="s">
        <v>59</v>
      </c>
      <c r="FM274" s="32" t="s">
        <v>698</v>
      </c>
      <c r="FN274" t="s">
        <v>699</v>
      </c>
      <c r="FO274" t="s">
        <v>700</v>
      </c>
      <c r="FP274" t="str">
        <f t="shared" si="99"/>
        <v>B</v>
      </c>
      <c r="FT274" s="69" t="s">
        <v>7447</v>
      </c>
      <c r="FU274" s="61">
        <v>25.89</v>
      </c>
      <c r="FV274" s="61">
        <v>0</v>
      </c>
      <c r="FW274" s="61">
        <v>0</v>
      </c>
      <c r="FX274" s="61">
        <v>0</v>
      </c>
      <c r="FY274" s="61">
        <v>0</v>
      </c>
      <c r="FZ274" s="61">
        <v>12.135</v>
      </c>
      <c r="GA274" s="61">
        <v>22.700000000000003</v>
      </c>
      <c r="GB274" s="61">
        <v>20.204999999999998</v>
      </c>
      <c r="GC274" s="61">
        <v>18.645</v>
      </c>
      <c r="GD274" s="61">
        <v>18.125</v>
      </c>
      <c r="GE274" s="61">
        <v>17.335000000000001</v>
      </c>
      <c r="GF274" s="61">
        <v>16.184999999999999</v>
      </c>
      <c r="GG274" s="61">
        <v>15.649999999999999</v>
      </c>
      <c r="GH274" s="61">
        <v>15.45</v>
      </c>
      <c r="GI274" s="61">
        <v>15.43</v>
      </c>
      <c r="GJ274" s="61">
        <v>15.484999999999999</v>
      </c>
      <c r="GK274" s="61">
        <v>15.5</v>
      </c>
      <c r="GL274" s="61">
        <v>15.774999999999999</v>
      </c>
      <c r="GM274" s="61">
        <v>15.925000000000001</v>
      </c>
      <c r="GN274" s="61">
        <v>16.645</v>
      </c>
      <c r="GO274" s="61">
        <v>17.649999999999999</v>
      </c>
      <c r="GP274" s="61">
        <v>18.995000000000001</v>
      </c>
      <c r="GQ274" s="61">
        <v>20.295000000000002</v>
      </c>
      <c r="GR274" s="61">
        <v>23.270000000000003</v>
      </c>
      <c r="GU274" s="53">
        <v>44</v>
      </c>
      <c r="GV274" s="53">
        <v>268</v>
      </c>
    </row>
    <row r="275" spans="1:204" ht="15.5" x14ac:dyDescent="0.35">
      <c r="A275" s="95">
        <f t="shared" si="100"/>
        <v>1</v>
      </c>
      <c r="B275" s="11"/>
      <c r="C275" s="11"/>
      <c r="D275" s="92" t="str">
        <f>IFERROR(
IF(AND(OR(Planilla!B275="C",Planilla!B275="c"), VLOOKUP(E275,EX:FJ,13,0)="C"), "OK",IF(AND(OR(Planilla!B275="C",Planilla!B275="c"), OR(VLOOKUP(E275,EX:FJ,13,0)="B", VLOOKUP(E275,EX:FJ,13,0)="A")), "DEFICIT",IF(
AND(OR(Planilla!B275="B", Planilla!B275="BPAL"), VLOOKUP(E275,EX:FJ,13,0)="B"), "OK",IF(AND(OR(Planilla!B275="B", Planilla!B275="BPAL"), VLOOKUP(E275,EX:FJ,13,0)="A"), "DEFICIT",IF(AND(OR(Planilla!B275="B", Planilla!B275="BPAL"), VLOOKUP(E275,EX:FJ,13,0)="C"), "SOBREOFERTA",IF(AND(Planilla!B275="A", VLOOKUP(E275,EX:FJ,13,0)="A"), "OK",IF(
AND(Planilla!B275="A", OR(VLOOKUP(E275,EX:FJ,13,0)="B", VLOOKUP(E275,EX:FJ,13,0)="C")), "SOBREOFERTA",""
))))))),"")</f>
        <v/>
      </c>
      <c r="E275" s="12"/>
      <c r="F275" s="13"/>
      <c r="G275" s="14"/>
      <c r="H275" s="81" t="str">
        <f t="shared" si="101"/>
        <v/>
      </c>
      <c r="I275" s="7"/>
      <c r="J275" s="6" t="e">
        <f t="shared" si="102"/>
        <v>#N/A</v>
      </c>
      <c r="K275" s="6" t="str">
        <f>IF(A276&lt;&gt;A275,AVERAGEIF(A$9:A275,A275,J$9:J275),"")</f>
        <v/>
      </c>
      <c r="L275" s="7" t="str">
        <f>IFERROR(IF(A276&lt;&gt;A275,AVERAGEIF(A$9:A275,A275,S$9:S275),""),"")</f>
        <v/>
      </c>
      <c r="M275" s="7" t="str">
        <f>IFERROR(IF(A276&lt;&gt;A275,AVERAGEIF(A$9:A275,A275,T$9:T275),""),"")</f>
        <v/>
      </c>
      <c r="N275" s="7" t="str" cm="1">
        <f t="array" ref="N275">IFERROR(IF(A276&lt;&gt;A275,_xlfn.STDEV.P(IF(A$9:A275=A275,T$9:T275)),""),"")</f>
        <v/>
      </c>
      <c r="O275" s="7" t="str" cm="1">
        <f t="array" ref="O275">IFERROR(IF(A276&lt;&gt;A275,_xlfn.STDEV.P(IF(A$9:A275=A275,S$9:S275)),""),"")</f>
        <v/>
      </c>
      <c r="P275" s="8" t="str">
        <f t="shared" si="103"/>
        <v/>
      </c>
      <c r="Q275" s="8" t="str">
        <f t="shared" si="104"/>
        <v/>
      </c>
      <c r="R275" s="8" t="str">
        <f t="shared" si="105"/>
        <v/>
      </c>
      <c r="S275" s="9" t="str">
        <f t="shared" si="106"/>
        <v/>
      </c>
      <c r="T275" s="9" t="str">
        <f t="shared" si="107"/>
        <v/>
      </c>
      <c r="U275" s="14"/>
      <c r="V275" s="15"/>
      <c r="W275" s="14" t="str">
        <f t="shared" si="108"/>
        <v/>
      </c>
      <c r="X275" s="15"/>
      <c r="Y275" s="2"/>
      <c r="AB275" s="22">
        <f t="shared" si="109"/>
        <v>1</v>
      </c>
      <c r="AC275" s="11"/>
      <c r="AD275" s="11"/>
      <c r="AE275" s="13"/>
      <c r="AF275" s="12"/>
      <c r="AG275" s="13"/>
      <c r="AH275" s="14"/>
      <c r="AI275" s="81" t="str">
        <f t="shared" si="110"/>
        <v/>
      </c>
      <c r="AJ275" s="15"/>
      <c r="AK275" s="6" t="e">
        <f t="shared" si="111"/>
        <v>#N/A</v>
      </c>
      <c r="AL275" s="6" t="str">
        <f>IF(AB276&lt;&gt;AB275,AVERAGEIF(AB$9:AB275,AB275,AK$9:AK275),"")</f>
        <v/>
      </c>
      <c r="AM275" s="7" t="str">
        <f>IFERROR(IF(AB276&lt;&gt;AB275,AVERAGEIF(AB$9:AB275,AB275,AT$9:AT275),""),"")</f>
        <v/>
      </c>
      <c r="AN275" s="7" t="str">
        <f>IFERROR(IF(AB276&lt;&gt;AB275,AVERAGEIF(AB$9:AB275,AB275,AU$9:AU275),""),"")</f>
        <v/>
      </c>
      <c r="AO275" s="7" t="str" cm="1">
        <f t="array" ref="AO275">IFERROR(IF(AB276&lt;&gt;AB275,_xlfn.STDEV.P(IF(AB$9:AB275=AB275,AU$9:AU275)),""),"")</f>
        <v/>
      </c>
      <c r="AP275" s="7" t="str" cm="1">
        <f t="array" ref="AP275">IFERROR(IF(AB276&lt;&gt;AB275,_xlfn.STDEV.P(IF(AB$9:AB275=AB275,AT$9:AT275)),""),"")</f>
        <v/>
      </c>
      <c r="AQ275" s="8" t="str">
        <f t="shared" si="112"/>
        <v/>
      </c>
      <c r="AR275" s="8" t="str">
        <f t="shared" si="113"/>
        <v/>
      </c>
      <c r="AS275" s="8" t="str">
        <f t="shared" si="114"/>
        <v/>
      </c>
      <c r="AT275" s="9" t="str">
        <f t="shared" si="115"/>
        <v/>
      </c>
      <c r="AU275" s="9" t="str">
        <f t="shared" si="116"/>
        <v/>
      </c>
      <c r="AV275" s="14"/>
      <c r="AW275" s="15"/>
      <c r="AX275" s="14" t="str">
        <f t="shared" si="117"/>
        <v/>
      </c>
      <c r="AY275" s="15"/>
      <c r="AZ275" s="23"/>
      <c r="EW275" t="s">
        <v>46</v>
      </c>
      <c r="EX275" s="33">
        <v>1274</v>
      </c>
      <c r="EY275" s="33" t="s">
        <v>701</v>
      </c>
      <c r="EZ275" s="33" t="s">
        <v>702</v>
      </c>
      <c r="FA275" s="33" t="s">
        <v>343</v>
      </c>
      <c r="FB275" s="33" t="s">
        <v>344</v>
      </c>
      <c r="FC275" s="33" t="s">
        <v>345</v>
      </c>
      <c r="FD275" s="33" t="s">
        <v>346</v>
      </c>
      <c r="FE275" s="33">
        <v>2025</v>
      </c>
      <c r="FF275" s="33" t="s">
        <v>59</v>
      </c>
      <c r="FG275" s="33" t="s">
        <v>477</v>
      </c>
      <c r="FH275" s="33" t="s">
        <v>478</v>
      </c>
      <c r="FI275" s="33" t="s">
        <v>479</v>
      </c>
      <c r="FJ275" t="s">
        <v>59</v>
      </c>
      <c r="FM275" s="32" t="s">
        <v>698</v>
      </c>
      <c r="FN275" t="s">
        <v>699</v>
      </c>
      <c r="FO275" t="s">
        <v>700</v>
      </c>
      <c r="FP275" t="str">
        <f t="shared" si="99"/>
        <v>B</v>
      </c>
      <c r="FT275" s="69" t="s">
        <v>7447</v>
      </c>
      <c r="FU275" s="61">
        <v>0</v>
      </c>
      <c r="FV275" s="61">
        <v>0</v>
      </c>
      <c r="FW275" s="61">
        <v>0</v>
      </c>
      <c r="FX275" s="61">
        <v>0</v>
      </c>
      <c r="FY275" s="61">
        <v>27.125</v>
      </c>
      <c r="FZ275" s="61">
        <v>23.38</v>
      </c>
      <c r="GA275" s="61">
        <v>20.774999999999999</v>
      </c>
      <c r="GB275" s="61">
        <v>19.454999999999998</v>
      </c>
      <c r="GC275" s="61">
        <v>18.86</v>
      </c>
      <c r="GD275" s="61">
        <v>17.844999999999999</v>
      </c>
      <c r="GE275" s="61">
        <v>17.024999999999999</v>
      </c>
      <c r="GF275" s="61">
        <v>16.634999999999998</v>
      </c>
      <c r="GG275" s="61">
        <v>16.04</v>
      </c>
      <c r="GH275" s="61">
        <v>16.055</v>
      </c>
      <c r="GI275" s="61">
        <v>16.545000000000002</v>
      </c>
      <c r="GJ275" s="61">
        <v>16.36</v>
      </c>
      <c r="GK275" s="61">
        <v>16.105</v>
      </c>
      <c r="GL275" s="61">
        <v>16.45</v>
      </c>
      <c r="GM275" s="61">
        <v>16.795000000000002</v>
      </c>
      <c r="GN275" s="61">
        <v>17.414999999999999</v>
      </c>
      <c r="GO275" s="61">
        <v>18.034999999999997</v>
      </c>
      <c r="GP275" s="61">
        <v>19.375</v>
      </c>
      <c r="GQ275" s="61">
        <v>21.365000000000002</v>
      </c>
      <c r="GR275" s="61">
        <v>23.545000000000002</v>
      </c>
      <c r="GU275" s="53">
        <v>45</v>
      </c>
      <c r="GV275" s="53">
        <v>269</v>
      </c>
    </row>
    <row r="276" spans="1:204" ht="15.5" x14ac:dyDescent="0.35">
      <c r="A276" s="95">
        <f t="shared" si="100"/>
        <v>1</v>
      </c>
      <c r="B276" s="11"/>
      <c r="C276" s="11"/>
      <c r="D276" s="92" t="str">
        <f>IFERROR(
IF(AND(OR(Planilla!B276="C",Planilla!B276="c"), VLOOKUP(E276,EX:FJ,13,0)="C"), "OK",IF(AND(OR(Planilla!B276="C",Planilla!B276="c"), OR(VLOOKUP(E276,EX:FJ,13,0)="B", VLOOKUP(E276,EX:FJ,13,0)="A")), "DEFICIT",IF(
AND(OR(Planilla!B276="B", Planilla!B276="BPAL"), VLOOKUP(E276,EX:FJ,13,0)="B"), "OK",IF(AND(OR(Planilla!B276="B", Planilla!B276="BPAL"), VLOOKUP(E276,EX:FJ,13,0)="A"), "DEFICIT",IF(AND(OR(Planilla!B276="B", Planilla!B276="BPAL"), VLOOKUP(E276,EX:FJ,13,0)="C"), "SOBREOFERTA",IF(AND(Planilla!B276="A", VLOOKUP(E276,EX:FJ,13,0)="A"), "OK",IF(
AND(Planilla!B276="A", OR(VLOOKUP(E276,EX:FJ,13,0)="B", VLOOKUP(E276,EX:FJ,13,0)="C")), "SOBREOFERTA",""
))))))),"")</f>
        <v/>
      </c>
      <c r="E276" s="12"/>
      <c r="F276" s="13"/>
      <c r="G276" s="14"/>
      <c r="H276" s="81" t="str">
        <f t="shared" si="101"/>
        <v/>
      </c>
      <c r="I276" s="7"/>
      <c r="J276" s="6" t="e">
        <f t="shared" si="102"/>
        <v>#N/A</v>
      </c>
      <c r="K276" s="6" t="str">
        <f>IF(A277&lt;&gt;A276,AVERAGEIF(A$9:A276,A276,J$9:J276),"")</f>
        <v/>
      </c>
      <c r="L276" s="7" t="str">
        <f>IFERROR(IF(A277&lt;&gt;A276,AVERAGEIF(A$9:A276,A276,S$9:S276),""),"")</f>
        <v/>
      </c>
      <c r="M276" s="7" t="str">
        <f>IFERROR(IF(A277&lt;&gt;A276,AVERAGEIF(A$9:A276,A276,T$9:T276),""),"")</f>
        <v/>
      </c>
      <c r="N276" s="7" t="str" cm="1">
        <f t="array" ref="N276">IFERROR(IF(A277&lt;&gt;A276,_xlfn.STDEV.P(IF(A$9:A276=A276,T$9:T276)),""),"")</f>
        <v/>
      </c>
      <c r="O276" s="7" t="str" cm="1">
        <f t="array" ref="O276">IFERROR(IF(A277&lt;&gt;A276,_xlfn.STDEV.P(IF(A$9:A276=A276,S$9:S276)),""),"")</f>
        <v/>
      </c>
      <c r="P276" s="8" t="str">
        <f t="shared" si="103"/>
        <v/>
      </c>
      <c r="Q276" s="8" t="str">
        <f t="shared" si="104"/>
        <v/>
      </c>
      <c r="R276" s="8" t="str">
        <f t="shared" si="105"/>
        <v/>
      </c>
      <c r="S276" s="9" t="str">
        <f t="shared" si="106"/>
        <v/>
      </c>
      <c r="T276" s="9" t="str">
        <f t="shared" si="107"/>
        <v/>
      </c>
      <c r="U276" s="14"/>
      <c r="V276" s="15"/>
      <c r="W276" s="14" t="str">
        <f t="shared" si="108"/>
        <v/>
      </c>
      <c r="X276" s="15"/>
      <c r="Y276" s="2"/>
      <c r="AB276" s="22">
        <f t="shared" si="109"/>
        <v>1</v>
      </c>
      <c r="AC276" s="11"/>
      <c r="AD276" s="11"/>
      <c r="AE276" s="13"/>
      <c r="AF276" s="12"/>
      <c r="AG276" s="13"/>
      <c r="AH276" s="14"/>
      <c r="AI276" s="81" t="str">
        <f t="shared" si="110"/>
        <v/>
      </c>
      <c r="AJ276" s="15"/>
      <c r="AK276" s="6" t="e">
        <f t="shared" si="111"/>
        <v>#N/A</v>
      </c>
      <c r="AL276" s="6" t="str">
        <f>IF(AB277&lt;&gt;AB276,AVERAGEIF(AB$9:AB276,AB276,AK$9:AK276),"")</f>
        <v/>
      </c>
      <c r="AM276" s="7" t="str">
        <f>IFERROR(IF(AB277&lt;&gt;AB276,AVERAGEIF(AB$9:AB276,AB276,AT$9:AT276),""),"")</f>
        <v/>
      </c>
      <c r="AN276" s="7" t="str">
        <f>IFERROR(IF(AB277&lt;&gt;AB276,AVERAGEIF(AB$9:AB276,AB276,AU$9:AU276),""),"")</f>
        <v/>
      </c>
      <c r="AO276" s="7" t="str" cm="1">
        <f t="array" ref="AO276">IFERROR(IF(AB277&lt;&gt;AB276,_xlfn.STDEV.P(IF(AB$9:AB276=AB276,AU$9:AU276)),""),"")</f>
        <v/>
      </c>
      <c r="AP276" s="7" t="str" cm="1">
        <f t="array" ref="AP276">IFERROR(IF(AB277&lt;&gt;AB276,_xlfn.STDEV.P(IF(AB$9:AB276=AB276,AT$9:AT276)),""),"")</f>
        <v/>
      </c>
      <c r="AQ276" s="8" t="str">
        <f t="shared" si="112"/>
        <v/>
      </c>
      <c r="AR276" s="8" t="str">
        <f t="shared" si="113"/>
        <v/>
      </c>
      <c r="AS276" s="8" t="str">
        <f t="shared" si="114"/>
        <v/>
      </c>
      <c r="AT276" s="9" t="str">
        <f t="shared" si="115"/>
        <v/>
      </c>
      <c r="AU276" s="9" t="str">
        <f t="shared" si="116"/>
        <v/>
      </c>
      <c r="AV276" s="14"/>
      <c r="AW276" s="15"/>
      <c r="AX276" s="14" t="str">
        <f t="shared" si="117"/>
        <v/>
      </c>
      <c r="AY276" s="15"/>
      <c r="AZ276" s="23"/>
      <c r="EW276" t="s">
        <v>46</v>
      </c>
      <c r="EX276" s="33">
        <v>1275</v>
      </c>
      <c r="EY276" s="33" t="s">
        <v>703</v>
      </c>
      <c r="EZ276" s="33" t="s">
        <v>704</v>
      </c>
      <c r="FA276" s="33" t="s">
        <v>343</v>
      </c>
      <c r="FB276" s="33" t="s">
        <v>344</v>
      </c>
      <c r="FC276" s="33" t="s">
        <v>345</v>
      </c>
      <c r="FD276" s="33" t="s">
        <v>346</v>
      </c>
      <c r="FE276" s="33">
        <v>2025</v>
      </c>
      <c r="FF276" s="33" t="s">
        <v>59</v>
      </c>
      <c r="FG276" s="33" t="s">
        <v>477</v>
      </c>
      <c r="FH276" s="33" t="s">
        <v>478</v>
      </c>
      <c r="FI276" s="33" t="s">
        <v>479</v>
      </c>
      <c r="FJ276" t="s">
        <v>59</v>
      </c>
      <c r="FM276" s="32" t="s">
        <v>705</v>
      </c>
      <c r="FN276" t="s">
        <v>706</v>
      </c>
      <c r="FO276" t="s">
        <v>707</v>
      </c>
      <c r="FP276" t="str">
        <f t="shared" si="99"/>
        <v>B</v>
      </c>
      <c r="FT276" s="69" t="s">
        <v>7448</v>
      </c>
      <c r="FU276" s="61">
        <v>26.234999999999999</v>
      </c>
      <c r="FV276" s="61">
        <v>0</v>
      </c>
      <c r="FW276" s="61">
        <v>0</v>
      </c>
      <c r="FX276" s="61">
        <v>0</v>
      </c>
      <c r="FY276" s="61">
        <v>0</v>
      </c>
      <c r="FZ276" s="61">
        <v>11.94</v>
      </c>
      <c r="GA276" s="61">
        <v>22.32</v>
      </c>
      <c r="GB276" s="61">
        <v>20.59</v>
      </c>
      <c r="GC276" s="61">
        <v>19.399999999999999</v>
      </c>
      <c r="GD276" s="61">
        <v>18.375</v>
      </c>
      <c r="GE276" s="61">
        <v>17.634999999999998</v>
      </c>
      <c r="GF276" s="61">
        <v>16.745000000000001</v>
      </c>
      <c r="GG276" s="61">
        <v>15.824999999999999</v>
      </c>
      <c r="GH276" s="61">
        <v>15.625</v>
      </c>
      <c r="GI276" s="61">
        <v>16.23</v>
      </c>
      <c r="GJ276" s="61">
        <v>16.375</v>
      </c>
      <c r="GK276" s="61">
        <v>16.234999999999999</v>
      </c>
      <c r="GL276" s="61">
        <v>16.174999999999997</v>
      </c>
      <c r="GM276" s="61">
        <v>16.510000000000002</v>
      </c>
      <c r="GN276" s="61">
        <v>17.04</v>
      </c>
      <c r="GO276" s="61">
        <v>17.990000000000002</v>
      </c>
      <c r="GP276" s="61">
        <v>18.89</v>
      </c>
      <c r="GQ276" s="61">
        <v>19.75</v>
      </c>
      <c r="GR276" s="61">
        <v>22.72</v>
      </c>
      <c r="GU276" s="53">
        <v>46</v>
      </c>
      <c r="GV276" s="53">
        <v>270</v>
      </c>
    </row>
    <row r="277" spans="1:204" ht="15.5" x14ac:dyDescent="0.35">
      <c r="A277" s="95">
        <f t="shared" si="100"/>
        <v>1</v>
      </c>
      <c r="B277" s="11"/>
      <c r="C277" s="11"/>
      <c r="D277" s="92" t="str">
        <f>IFERROR(
IF(AND(OR(Planilla!B277="C",Planilla!B277="c"), VLOOKUP(E277,EX:FJ,13,0)="C"), "OK",IF(AND(OR(Planilla!B277="C",Planilla!B277="c"), OR(VLOOKUP(E277,EX:FJ,13,0)="B", VLOOKUP(E277,EX:FJ,13,0)="A")), "DEFICIT",IF(
AND(OR(Planilla!B277="B", Planilla!B277="BPAL"), VLOOKUP(E277,EX:FJ,13,0)="B"), "OK",IF(AND(OR(Planilla!B277="B", Planilla!B277="BPAL"), VLOOKUP(E277,EX:FJ,13,0)="A"), "DEFICIT",IF(AND(OR(Planilla!B277="B", Planilla!B277="BPAL"), VLOOKUP(E277,EX:FJ,13,0)="C"), "SOBREOFERTA",IF(AND(Planilla!B277="A", VLOOKUP(E277,EX:FJ,13,0)="A"), "OK",IF(
AND(Planilla!B277="A", OR(VLOOKUP(E277,EX:FJ,13,0)="B", VLOOKUP(E277,EX:FJ,13,0)="C")), "SOBREOFERTA",""
))))))),"")</f>
        <v/>
      </c>
      <c r="E277" s="12"/>
      <c r="F277" s="13"/>
      <c r="G277" s="14"/>
      <c r="H277" s="81" t="str">
        <f t="shared" si="101"/>
        <v/>
      </c>
      <c r="I277" s="7"/>
      <c r="J277" s="6" t="e">
        <f t="shared" si="102"/>
        <v>#N/A</v>
      </c>
      <c r="K277" s="6" t="str">
        <f>IF(A278&lt;&gt;A277,AVERAGEIF(A$9:A277,A277,J$9:J277),"")</f>
        <v/>
      </c>
      <c r="L277" s="7" t="str">
        <f>IFERROR(IF(A278&lt;&gt;A277,AVERAGEIF(A$9:A277,A277,S$9:S277),""),"")</f>
        <v/>
      </c>
      <c r="M277" s="7" t="str">
        <f>IFERROR(IF(A278&lt;&gt;A277,AVERAGEIF(A$9:A277,A277,T$9:T277),""),"")</f>
        <v/>
      </c>
      <c r="N277" s="7" t="str" cm="1">
        <f t="array" ref="N277">IFERROR(IF(A278&lt;&gt;A277,_xlfn.STDEV.P(IF(A$9:A277=A277,T$9:T277)),""),"")</f>
        <v/>
      </c>
      <c r="O277" s="7" t="str" cm="1">
        <f t="array" ref="O277">IFERROR(IF(A278&lt;&gt;A277,_xlfn.STDEV.P(IF(A$9:A277=A277,S$9:S277)),""),"")</f>
        <v/>
      </c>
      <c r="P277" s="8" t="str">
        <f t="shared" si="103"/>
        <v/>
      </c>
      <c r="Q277" s="8" t="str">
        <f t="shared" si="104"/>
        <v/>
      </c>
      <c r="R277" s="8" t="str">
        <f t="shared" si="105"/>
        <v/>
      </c>
      <c r="S277" s="9" t="str">
        <f t="shared" si="106"/>
        <v/>
      </c>
      <c r="T277" s="9" t="str">
        <f t="shared" si="107"/>
        <v/>
      </c>
      <c r="U277" s="14"/>
      <c r="V277" s="15"/>
      <c r="W277" s="14" t="str">
        <f t="shared" si="108"/>
        <v/>
      </c>
      <c r="X277" s="15"/>
      <c r="Y277" s="2"/>
      <c r="AB277" s="22">
        <f t="shared" si="109"/>
        <v>1</v>
      </c>
      <c r="AC277" s="11"/>
      <c r="AD277" s="11"/>
      <c r="AE277" s="13"/>
      <c r="AF277" s="12"/>
      <c r="AG277" s="13"/>
      <c r="AH277" s="14"/>
      <c r="AI277" s="81" t="str">
        <f t="shared" si="110"/>
        <v/>
      </c>
      <c r="AJ277" s="15"/>
      <c r="AK277" s="6" t="e">
        <f t="shared" si="111"/>
        <v>#N/A</v>
      </c>
      <c r="AL277" s="6" t="str">
        <f>IF(AB278&lt;&gt;AB277,AVERAGEIF(AB$9:AB277,AB277,AK$9:AK277),"")</f>
        <v/>
      </c>
      <c r="AM277" s="7" t="str">
        <f>IFERROR(IF(AB278&lt;&gt;AB277,AVERAGEIF(AB$9:AB277,AB277,AT$9:AT277),""),"")</f>
        <v/>
      </c>
      <c r="AN277" s="7" t="str">
        <f>IFERROR(IF(AB278&lt;&gt;AB277,AVERAGEIF(AB$9:AB277,AB277,AU$9:AU277),""),"")</f>
        <v/>
      </c>
      <c r="AO277" s="7" t="str" cm="1">
        <f t="array" ref="AO277">IFERROR(IF(AB278&lt;&gt;AB277,_xlfn.STDEV.P(IF(AB$9:AB277=AB277,AU$9:AU277)),""),"")</f>
        <v/>
      </c>
      <c r="AP277" s="7" t="str" cm="1">
        <f t="array" ref="AP277">IFERROR(IF(AB278&lt;&gt;AB277,_xlfn.STDEV.P(IF(AB$9:AB277=AB277,AT$9:AT277)),""),"")</f>
        <v/>
      </c>
      <c r="AQ277" s="8" t="str">
        <f t="shared" si="112"/>
        <v/>
      </c>
      <c r="AR277" s="8" t="str">
        <f t="shared" si="113"/>
        <v/>
      </c>
      <c r="AS277" s="8" t="str">
        <f t="shared" si="114"/>
        <v/>
      </c>
      <c r="AT277" s="9" t="str">
        <f t="shared" si="115"/>
        <v/>
      </c>
      <c r="AU277" s="9" t="str">
        <f t="shared" si="116"/>
        <v/>
      </c>
      <c r="AV277" s="14"/>
      <c r="AW277" s="15"/>
      <c r="AX277" s="14" t="str">
        <f t="shared" si="117"/>
        <v/>
      </c>
      <c r="AY277" s="15"/>
      <c r="AZ277" s="23"/>
      <c r="EW277" t="s">
        <v>46</v>
      </c>
      <c r="EX277" s="33">
        <v>1276</v>
      </c>
      <c r="EY277" s="33" t="s">
        <v>708</v>
      </c>
      <c r="EZ277" s="33" t="s">
        <v>709</v>
      </c>
      <c r="FA277" s="33" t="s">
        <v>343</v>
      </c>
      <c r="FB277" s="33" t="s">
        <v>344</v>
      </c>
      <c r="FC277" s="33" t="s">
        <v>345</v>
      </c>
      <c r="FD277" s="33" t="s">
        <v>346</v>
      </c>
      <c r="FE277" s="33">
        <v>2025</v>
      </c>
      <c r="FF277" s="33" t="s">
        <v>59</v>
      </c>
      <c r="FG277" s="33" t="s">
        <v>477</v>
      </c>
      <c r="FH277" s="33" t="s">
        <v>478</v>
      </c>
      <c r="FI277" s="33" t="s">
        <v>479</v>
      </c>
      <c r="FJ277" t="s">
        <v>59</v>
      </c>
      <c r="FM277" s="32" t="s">
        <v>710</v>
      </c>
      <c r="FN277" t="s">
        <v>711</v>
      </c>
      <c r="FO277" t="s">
        <v>712</v>
      </c>
      <c r="FP277" t="str">
        <f t="shared" si="99"/>
        <v>B</v>
      </c>
      <c r="FT277" s="69" t="s">
        <v>7448</v>
      </c>
      <c r="FU277" s="61">
        <v>0</v>
      </c>
      <c r="FV277" s="61">
        <v>0</v>
      </c>
      <c r="FW277" s="61">
        <v>0</v>
      </c>
      <c r="FX277" s="61">
        <v>0</v>
      </c>
      <c r="FY277" s="61">
        <v>13.05</v>
      </c>
      <c r="FZ277" s="61">
        <v>23.255000000000003</v>
      </c>
      <c r="GA277" s="61">
        <v>21.295000000000002</v>
      </c>
      <c r="GB277" s="61">
        <v>20.215</v>
      </c>
      <c r="GC277" s="61">
        <v>18.984999999999999</v>
      </c>
      <c r="GD277" s="61">
        <v>18.015000000000001</v>
      </c>
      <c r="GE277" s="61">
        <v>17.005000000000003</v>
      </c>
      <c r="GF277" s="61">
        <v>16.024999999999999</v>
      </c>
      <c r="GG277" s="61">
        <v>15.670000000000002</v>
      </c>
      <c r="GH277" s="61">
        <v>15.605</v>
      </c>
      <c r="GI277" s="61">
        <v>15.605</v>
      </c>
      <c r="GJ277" s="61">
        <v>15.335000000000001</v>
      </c>
      <c r="GK277" s="61">
        <v>15.465</v>
      </c>
      <c r="GL277" s="61">
        <v>15.89</v>
      </c>
      <c r="GM277" s="61">
        <v>16.234999999999999</v>
      </c>
      <c r="GN277" s="61">
        <v>16.97</v>
      </c>
      <c r="GO277" s="61">
        <v>17.855</v>
      </c>
      <c r="GP277" s="61">
        <v>19.035</v>
      </c>
      <c r="GQ277" s="61">
        <v>20.78</v>
      </c>
      <c r="GR277" s="61">
        <v>23.324999999999999</v>
      </c>
      <c r="GU277" s="53">
        <v>47</v>
      </c>
      <c r="GV277" s="53">
        <v>271</v>
      </c>
    </row>
    <row r="278" spans="1:204" ht="15.5" x14ac:dyDescent="0.35">
      <c r="A278" s="95">
        <f t="shared" si="100"/>
        <v>1</v>
      </c>
      <c r="B278" s="11"/>
      <c r="C278" s="11"/>
      <c r="D278" s="92" t="str">
        <f>IFERROR(
IF(AND(OR(Planilla!B278="C",Planilla!B278="c"), VLOOKUP(E278,EX:FJ,13,0)="C"), "OK",IF(AND(OR(Planilla!B278="C",Planilla!B278="c"), OR(VLOOKUP(E278,EX:FJ,13,0)="B", VLOOKUP(E278,EX:FJ,13,0)="A")), "DEFICIT",IF(
AND(OR(Planilla!B278="B", Planilla!B278="BPAL"), VLOOKUP(E278,EX:FJ,13,0)="B"), "OK",IF(AND(OR(Planilla!B278="B", Planilla!B278="BPAL"), VLOOKUP(E278,EX:FJ,13,0)="A"), "DEFICIT",IF(AND(OR(Planilla!B278="B", Planilla!B278="BPAL"), VLOOKUP(E278,EX:FJ,13,0)="C"), "SOBREOFERTA",IF(AND(Planilla!B278="A", VLOOKUP(E278,EX:FJ,13,0)="A"), "OK",IF(
AND(Planilla!B278="A", OR(VLOOKUP(E278,EX:FJ,13,0)="B", VLOOKUP(E278,EX:FJ,13,0)="C")), "SOBREOFERTA",""
))))))),"")</f>
        <v/>
      </c>
      <c r="E278" s="12"/>
      <c r="F278" s="13"/>
      <c r="G278" s="14"/>
      <c r="H278" s="81" t="str">
        <f t="shared" si="101"/>
        <v/>
      </c>
      <c r="I278" s="7"/>
      <c r="J278" s="6" t="e">
        <f t="shared" si="102"/>
        <v>#N/A</v>
      </c>
      <c r="K278" s="6" t="str">
        <f>IF(A279&lt;&gt;A278,AVERAGEIF(A$9:A278,A278,J$9:J278),"")</f>
        <v/>
      </c>
      <c r="L278" s="7" t="str">
        <f>IFERROR(IF(A279&lt;&gt;A278,AVERAGEIF(A$9:A278,A278,S$9:S278),""),"")</f>
        <v/>
      </c>
      <c r="M278" s="7" t="str">
        <f>IFERROR(IF(A279&lt;&gt;A278,AVERAGEIF(A$9:A278,A278,T$9:T278),""),"")</f>
        <v/>
      </c>
      <c r="N278" s="7" t="str" cm="1">
        <f t="array" ref="N278">IFERROR(IF(A279&lt;&gt;A278,_xlfn.STDEV.P(IF(A$9:A278=A278,T$9:T278)),""),"")</f>
        <v/>
      </c>
      <c r="O278" s="7" t="str" cm="1">
        <f t="array" ref="O278">IFERROR(IF(A279&lt;&gt;A278,_xlfn.STDEV.P(IF(A$9:A278=A278,S$9:S278)),""),"")</f>
        <v/>
      </c>
      <c r="P278" s="8" t="str">
        <f t="shared" si="103"/>
        <v/>
      </c>
      <c r="Q278" s="8" t="str">
        <f t="shared" si="104"/>
        <v/>
      </c>
      <c r="R278" s="8" t="str">
        <f t="shared" si="105"/>
        <v/>
      </c>
      <c r="S278" s="9" t="str">
        <f t="shared" si="106"/>
        <v/>
      </c>
      <c r="T278" s="9" t="str">
        <f t="shared" si="107"/>
        <v/>
      </c>
      <c r="U278" s="14"/>
      <c r="V278" s="15"/>
      <c r="W278" s="14" t="str">
        <f t="shared" si="108"/>
        <v/>
      </c>
      <c r="X278" s="15"/>
      <c r="Y278" s="2"/>
      <c r="AB278" s="22">
        <f t="shared" si="109"/>
        <v>1</v>
      </c>
      <c r="AC278" s="11"/>
      <c r="AD278" s="11"/>
      <c r="AE278" s="13"/>
      <c r="AF278" s="12"/>
      <c r="AG278" s="13"/>
      <c r="AH278" s="14"/>
      <c r="AI278" s="81" t="str">
        <f t="shared" si="110"/>
        <v/>
      </c>
      <c r="AJ278" s="15"/>
      <c r="AK278" s="6" t="e">
        <f t="shared" si="111"/>
        <v>#N/A</v>
      </c>
      <c r="AL278" s="6" t="str">
        <f>IF(AB279&lt;&gt;AB278,AVERAGEIF(AB$9:AB278,AB278,AK$9:AK278),"")</f>
        <v/>
      </c>
      <c r="AM278" s="7" t="str">
        <f>IFERROR(IF(AB279&lt;&gt;AB278,AVERAGEIF(AB$9:AB278,AB278,AT$9:AT278),""),"")</f>
        <v/>
      </c>
      <c r="AN278" s="7" t="str">
        <f>IFERROR(IF(AB279&lt;&gt;AB278,AVERAGEIF(AB$9:AB278,AB278,AU$9:AU278),""),"")</f>
        <v/>
      </c>
      <c r="AO278" s="7" t="str" cm="1">
        <f t="array" ref="AO278">IFERROR(IF(AB279&lt;&gt;AB278,_xlfn.STDEV.P(IF(AB$9:AB278=AB278,AU$9:AU278)),""),"")</f>
        <v/>
      </c>
      <c r="AP278" s="7" t="str" cm="1">
        <f t="array" ref="AP278">IFERROR(IF(AB279&lt;&gt;AB278,_xlfn.STDEV.P(IF(AB$9:AB278=AB278,AT$9:AT278)),""),"")</f>
        <v/>
      </c>
      <c r="AQ278" s="8" t="str">
        <f t="shared" si="112"/>
        <v/>
      </c>
      <c r="AR278" s="8" t="str">
        <f t="shared" si="113"/>
        <v/>
      </c>
      <c r="AS278" s="8" t="str">
        <f t="shared" si="114"/>
        <v/>
      </c>
      <c r="AT278" s="9" t="str">
        <f t="shared" si="115"/>
        <v/>
      </c>
      <c r="AU278" s="9" t="str">
        <f t="shared" si="116"/>
        <v/>
      </c>
      <c r="AV278" s="14"/>
      <c r="AW278" s="15"/>
      <c r="AX278" s="14" t="str">
        <f t="shared" si="117"/>
        <v/>
      </c>
      <c r="AY278" s="15"/>
      <c r="AZ278" s="23"/>
      <c r="EW278" t="s">
        <v>46</v>
      </c>
      <c r="EX278" s="33">
        <v>1277</v>
      </c>
      <c r="EY278" s="33" t="s">
        <v>713</v>
      </c>
      <c r="EZ278" s="33" t="s">
        <v>714</v>
      </c>
      <c r="FA278" s="33" t="s">
        <v>343</v>
      </c>
      <c r="FB278" s="33" t="s">
        <v>344</v>
      </c>
      <c r="FC278" s="33" t="s">
        <v>345</v>
      </c>
      <c r="FD278" s="33" t="s">
        <v>346</v>
      </c>
      <c r="FE278" s="33">
        <v>2025</v>
      </c>
      <c r="FF278" s="33" t="s">
        <v>59</v>
      </c>
      <c r="FG278" s="33" t="s">
        <v>470</v>
      </c>
      <c r="FH278" s="33" t="s">
        <v>471</v>
      </c>
      <c r="FI278" s="33" t="s">
        <v>467</v>
      </c>
      <c r="FJ278" t="s">
        <v>59</v>
      </c>
      <c r="FM278" s="32" t="s">
        <v>710</v>
      </c>
      <c r="FN278" t="s">
        <v>711</v>
      </c>
      <c r="FO278" t="s">
        <v>712</v>
      </c>
      <c r="FP278" t="str">
        <f t="shared" si="99"/>
        <v>B</v>
      </c>
      <c r="FT278" s="69" t="s">
        <v>7449</v>
      </c>
      <c r="FU278" s="61">
        <v>0</v>
      </c>
      <c r="FV278" s="61">
        <v>0</v>
      </c>
      <c r="FW278" s="61">
        <v>0</v>
      </c>
      <c r="FX278" s="61">
        <v>0</v>
      </c>
      <c r="FY278" s="61">
        <v>0</v>
      </c>
      <c r="FZ278" s="61">
        <v>11.984999999999999</v>
      </c>
      <c r="GA278" s="61">
        <v>22.215</v>
      </c>
      <c r="GB278" s="61">
        <v>20.240000000000002</v>
      </c>
      <c r="GC278" s="61">
        <v>18.59</v>
      </c>
      <c r="GD278" s="61">
        <v>17.075000000000003</v>
      </c>
      <c r="GE278" s="61">
        <v>16.399999999999999</v>
      </c>
      <c r="GF278" s="61">
        <v>15.965</v>
      </c>
      <c r="GG278" s="61">
        <v>14.25</v>
      </c>
      <c r="GH278" s="61">
        <v>13.14</v>
      </c>
      <c r="GI278" s="61">
        <v>13.995000000000001</v>
      </c>
      <c r="GJ278" s="61">
        <v>14.940000000000001</v>
      </c>
      <c r="GK278" s="61">
        <v>14.81</v>
      </c>
      <c r="GL278" s="61">
        <v>14.36</v>
      </c>
      <c r="GM278" s="61">
        <v>14.15</v>
      </c>
      <c r="GN278" s="61">
        <v>15.59</v>
      </c>
      <c r="GO278" s="61">
        <v>18.71</v>
      </c>
      <c r="GP278" s="61">
        <v>19.895</v>
      </c>
      <c r="GQ278" s="61">
        <v>20.65</v>
      </c>
      <c r="GR278" s="61">
        <v>21.9</v>
      </c>
      <c r="GU278" s="53">
        <v>48</v>
      </c>
      <c r="GV278" s="53">
        <v>272</v>
      </c>
    </row>
    <row r="279" spans="1:204" ht="15.5" x14ac:dyDescent="0.35">
      <c r="A279" s="95">
        <f t="shared" si="100"/>
        <v>1</v>
      </c>
      <c r="B279" s="11"/>
      <c r="C279" s="11"/>
      <c r="D279" s="92" t="str">
        <f>IFERROR(
IF(AND(OR(Planilla!B279="C",Planilla!B279="c"), VLOOKUP(E279,EX:FJ,13,0)="C"), "OK",IF(AND(OR(Planilla!B279="C",Planilla!B279="c"), OR(VLOOKUP(E279,EX:FJ,13,0)="B", VLOOKUP(E279,EX:FJ,13,0)="A")), "DEFICIT",IF(
AND(OR(Planilla!B279="B", Planilla!B279="BPAL"), VLOOKUP(E279,EX:FJ,13,0)="B"), "OK",IF(AND(OR(Planilla!B279="B", Planilla!B279="BPAL"), VLOOKUP(E279,EX:FJ,13,0)="A"), "DEFICIT",IF(AND(OR(Planilla!B279="B", Planilla!B279="BPAL"), VLOOKUP(E279,EX:FJ,13,0)="C"), "SOBREOFERTA",IF(AND(Planilla!B279="A", VLOOKUP(E279,EX:FJ,13,0)="A"), "OK",IF(
AND(Planilla!B279="A", OR(VLOOKUP(E279,EX:FJ,13,0)="B", VLOOKUP(E279,EX:FJ,13,0)="C")), "SOBREOFERTA",""
))))))),"")</f>
        <v/>
      </c>
      <c r="E279" s="12"/>
      <c r="F279" s="13"/>
      <c r="G279" s="14"/>
      <c r="H279" s="81" t="str">
        <f t="shared" si="101"/>
        <v/>
      </c>
      <c r="I279" s="7"/>
      <c r="J279" s="6" t="e">
        <f t="shared" si="102"/>
        <v>#N/A</v>
      </c>
      <c r="K279" s="6" t="str">
        <f>IF(A280&lt;&gt;A279,AVERAGEIF(A$9:A279,A279,J$9:J279),"")</f>
        <v/>
      </c>
      <c r="L279" s="7" t="str">
        <f>IFERROR(IF(A280&lt;&gt;A279,AVERAGEIF(A$9:A279,A279,S$9:S279),""),"")</f>
        <v/>
      </c>
      <c r="M279" s="7" t="str">
        <f>IFERROR(IF(A280&lt;&gt;A279,AVERAGEIF(A$9:A279,A279,T$9:T279),""),"")</f>
        <v/>
      </c>
      <c r="N279" s="7" t="str" cm="1">
        <f t="array" ref="N279">IFERROR(IF(A280&lt;&gt;A279,_xlfn.STDEV.P(IF(A$9:A279=A279,T$9:T279)),""),"")</f>
        <v/>
      </c>
      <c r="O279" s="7" t="str" cm="1">
        <f t="array" ref="O279">IFERROR(IF(A280&lt;&gt;A279,_xlfn.STDEV.P(IF(A$9:A279=A279,S$9:S279)),""),"")</f>
        <v/>
      </c>
      <c r="P279" s="8" t="str">
        <f t="shared" si="103"/>
        <v/>
      </c>
      <c r="Q279" s="8" t="str">
        <f t="shared" si="104"/>
        <v/>
      </c>
      <c r="R279" s="8" t="str">
        <f t="shared" si="105"/>
        <v/>
      </c>
      <c r="S279" s="9" t="str">
        <f t="shared" si="106"/>
        <v/>
      </c>
      <c r="T279" s="9" t="str">
        <f t="shared" si="107"/>
        <v/>
      </c>
      <c r="U279" s="14"/>
      <c r="V279" s="15"/>
      <c r="W279" s="14" t="str">
        <f t="shared" si="108"/>
        <v/>
      </c>
      <c r="X279" s="15"/>
      <c r="Y279" s="2"/>
      <c r="AB279" s="22">
        <f t="shared" si="109"/>
        <v>1</v>
      </c>
      <c r="AC279" s="11"/>
      <c r="AD279" s="11"/>
      <c r="AE279" s="13"/>
      <c r="AF279" s="12"/>
      <c r="AG279" s="13"/>
      <c r="AH279" s="14"/>
      <c r="AI279" s="81" t="str">
        <f t="shared" si="110"/>
        <v/>
      </c>
      <c r="AJ279" s="15"/>
      <c r="AK279" s="6" t="e">
        <f t="shared" si="111"/>
        <v>#N/A</v>
      </c>
      <c r="AL279" s="6" t="str">
        <f>IF(AB280&lt;&gt;AB279,AVERAGEIF(AB$9:AB279,AB279,AK$9:AK279),"")</f>
        <v/>
      </c>
      <c r="AM279" s="7" t="str">
        <f>IFERROR(IF(AB280&lt;&gt;AB279,AVERAGEIF(AB$9:AB279,AB279,AT$9:AT279),""),"")</f>
        <v/>
      </c>
      <c r="AN279" s="7" t="str">
        <f>IFERROR(IF(AB280&lt;&gt;AB279,AVERAGEIF(AB$9:AB279,AB279,AU$9:AU279),""),"")</f>
        <v/>
      </c>
      <c r="AO279" s="7" t="str" cm="1">
        <f t="array" ref="AO279">IFERROR(IF(AB280&lt;&gt;AB279,_xlfn.STDEV.P(IF(AB$9:AB279=AB279,AU$9:AU279)),""),"")</f>
        <v/>
      </c>
      <c r="AP279" s="7" t="str" cm="1">
        <f t="array" ref="AP279">IFERROR(IF(AB280&lt;&gt;AB279,_xlfn.STDEV.P(IF(AB$9:AB279=AB279,AT$9:AT279)),""),"")</f>
        <v/>
      </c>
      <c r="AQ279" s="8" t="str">
        <f t="shared" si="112"/>
        <v/>
      </c>
      <c r="AR279" s="8" t="str">
        <f t="shared" si="113"/>
        <v/>
      </c>
      <c r="AS279" s="8" t="str">
        <f t="shared" si="114"/>
        <v/>
      </c>
      <c r="AT279" s="9" t="str">
        <f t="shared" si="115"/>
        <v/>
      </c>
      <c r="AU279" s="9" t="str">
        <f t="shared" si="116"/>
        <v/>
      </c>
      <c r="AV279" s="14"/>
      <c r="AW279" s="15"/>
      <c r="AX279" s="14" t="str">
        <f t="shared" si="117"/>
        <v/>
      </c>
      <c r="AY279" s="15"/>
      <c r="AZ279" s="23"/>
      <c r="EW279" t="s">
        <v>46</v>
      </c>
      <c r="EX279" s="33">
        <v>1278</v>
      </c>
      <c r="EY279" s="33" t="s">
        <v>715</v>
      </c>
      <c r="EZ279" s="33" t="s">
        <v>716</v>
      </c>
      <c r="FA279" s="33" t="s">
        <v>343</v>
      </c>
      <c r="FB279" s="33" t="s">
        <v>344</v>
      </c>
      <c r="FC279" s="33" t="s">
        <v>345</v>
      </c>
      <c r="FD279" s="33" t="s">
        <v>346</v>
      </c>
      <c r="FE279" s="33">
        <v>2025</v>
      </c>
      <c r="FF279" s="33" t="s">
        <v>59</v>
      </c>
      <c r="FG279" s="33" t="s">
        <v>386</v>
      </c>
      <c r="FH279" s="33" t="s">
        <v>387</v>
      </c>
      <c r="FI279" s="33" t="s">
        <v>407</v>
      </c>
      <c r="FJ279" t="s">
        <v>59</v>
      </c>
      <c r="FM279" s="32" t="s">
        <v>710</v>
      </c>
      <c r="FN279" t="s">
        <v>711</v>
      </c>
      <c r="FO279" t="s">
        <v>712</v>
      </c>
      <c r="FP279" t="str">
        <f t="shared" si="99"/>
        <v>B</v>
      </c>
      <c r="FT279" s="69" t="s">
        <v>7449</v>
      </c>
      <c r="FU279" s="61">
        <v>12.66</v>
      </c>
      <c r="FV279" s="61">
        <v>0</v>
      </c>
      <c r="FW279" s="61">
        <v>0</v>
      </c>
      <c r="FX279" s="61">
        <v>0</v>
      </c>
      <c r="FY279" s="61">
        <v>0</v>
      </c>
      <c r="FZ279" s="61">
        <v>11.085000000000001</v>
      </c>
      <c r="GA279" s="61">
        <v>22.92</v>
      </c>
      <c r="GB279" s="61">
        <v>21.880000000000003</v>
      </c>
      <c r="GC279" s="61">
        <v>20.314999999999998</v>
      </c>
      <c r="GD279" s="61">
        <v>19.579999999999998</v>
      </c>
      <c r="GE279" s="61">
        <v>18.435000000000002</v>
      </c>
      <c r="GF279" s="61">
        <v>17.324999999999999</v>
      </c>
      <c r="GG279" s="61">
        <v>16.61</v>
      </c>
      <c r="GH279" s="61">
        <v>16.37</v>
      </c>
      <c r="GI279" s="61">
        <v>16.954999999999998</v>
      </c>
      <c r="GJ279" s="61">
        <v>16.914999999999999</v>
      </c>
      <c r="GK279" s="61">
        <v>17.064999999999998</v>
      </c>
      <c r="GL279" s="61">
        <v>16.72</v>
      </c>
      <c r="GM279" s="61">
        <v>16.23</v>
      </c>
      <c r="GN279" s="61">
        <v>16.86</v>
      </c>
      <c r="GO279" s="61">
        <v>17.805</v>
      </c>
      <c r="GP279" s="61">
        <v>19.78</v>
      </c>
      <c r="GQ279" s="61">
        <v>21.22</v>
      </c>
      <c r="GR279" s="61">
        <v>23.560000000000002</v>
      </c>
      <c r="GU279" s="53">
        <v>49</v>
      </c>
      <c r="GV279" s="53">
        <v>273</v>
      </c>
    </row>
    <row r="280" spans="1:204" ht="15.5" x14ac:dyDescent="0.35">
      <c r="A280" s="95">
        <f t="shared" si="100"/>
        <v>1</v>
      </c>
      <c r="B280" s="11"/>
      <c r="C280" s="11"/>
      <c r="D280" s="92" t="str">
        <f>IFERROR(
IF(AND(OR(Planilla!B280="C",Planilla!B280="c"), VLOOKUP(E280,EX:FJ,13,0)="C"), "OK",IF(AND(OR(Planilla!B280="C",Planilla!B280="c"), OR(VLOOKUP(E280,EX:FJ,13,0)="B", VLOOKUP(E280,EX:FJ,13,0)="A")), "DEFICIT",IF(
AND(OR(Planilla!B280="B", Planilla!B280="BPAL"), VLOOKUP(E280,EX:FJ,13,0)="B"), "OK",IF(AND(OR(Planilla!B280="B", Planilla!B280="BPAL"), VLOOKUP(E280,EX:FJ,13,0)="A"), "DEFICIT",IF(AND(OR(Planilla!B280="B", Planilla!B280="BPAL"), VLOOKUP(E280,EX:FJ,13,0)="C"), "SOBREOFERTA",IF(AND(Planilla!B280="A", VLOOKUP(E280,EX:FJ,13,0)="A"), "OK",IF(
AND(Planilla!B280="A", OR(VLOOKUP(E280,EX:FJ,13,0)="B", VLOOKUP(E280,EX:FJ,13,0)="C")), "SOBREOFERTA",""
))))))),"")</f>
        <v/>
      </c>
      <c r="E280" s="12"/>
      <c r="F280" s="13"/>
      <c r="G280" s="14"/>
      <c r="H280" s="81" t="str">
        <f t="shared" si="101"/>
        <v/>
      </c>
      <c r="I280" s="7"/>
      <c r="J280" s="6" t="e">
        <f t="shared" si="102"/>
        <v>#N/A</v>
      </c>
      <c r="K280" s="6" t="str">
        <f>IF(A281&lt;&gt;A280,AVERAGEIF(A$9:A280,A280,J$9:J280),"")</f>
        <v/>
      </c>
      <c r="L280" s="7" t="str">
        <f>IFERROR(IF(A281&lt;&gt;A280,AVERAGEIF(A$9:A280,A280,S$9:S280),""),"")</f>
        <v/>
      </c>
      <c r="M280" s="7" t="str">
        <f>IFERROR(IF(A281&lt;&gt;A280,AVERAGEIF(A$9:A280,A280,T$9:T280),""),"")</f>
        <v/>
      </c>
      <c r="N280" s="7" t="str" cm="1">
        <f t="array" ref="N280">IFERROR(IF(A281&lt;&gt;A280,_xlfn.STDEV.P(IF(A$9:A280=A280,T$9:T280)),""),"")</f>
        <v/>
      </c>
      <c r="O280" s="7" t="str" cm="1">
        <f t="array" ref="O280">IFERROR(IF(A281&lt;&gt;A280,_xlfn.STDEV.P(IF(A$9:A280=A280,S$9:S280)),""),"")</f>
        <v/>
      </c>
      <c r="P280" s="8" t="str">
        <f t="shared" si="103"/>
        <v/>
      </c>
      <c r="Q280" s="8" t="str">
        <f t="shared" si="104"/>
        <v/>
      </c>
      <c r="R280" s="8" t="str">
        <f t="shared" si="105"/>
        <v/>
      </c>
      <c r="S280" s="9" t="str">
        <f t="shared" si="106"/>
        <v/>
      </c>
      <c r="T280" s="9" t="str">
        <f t="shared" si="107"/>
        <v/>
      </c>
      <c r="U280" s="14"/>
      <c r="V280" s="15"/>
      <c r="W280" s="14" t="str">
        <f t="shared" si="108"/>
        <v/>
      </c>
      <c r="X280" s="15"/>
      <c r="Y280" s="2"/>
      <c r="AB280" s="22">
        <f t="shared" si="109"/>
        <v>1</v>
      </c>
      <c r="AC280" s="11"/>
      <c r="AD280" s="11"/>
      <c r="AE280" s="13"/>
      <c r="AF280" s="12"/>
      <c r="AG280" s="13"/>
      <c r="AH280" s="14"/>
      <c r="AI280" s="81" t="str">
        <f t="shared" si="110"/>
        <v/>
      </c>
      <c r="AJ280" s="15"/>
      <c r="AK280" s="6" t="e">
        <f t="shared" si="111"/>
        <v>#N/A</v>
      </c>
      <c r="AL280" s="6" t="str">
        <f>IF(AB281&lt;&gt;AB280,AVERAGEIF(AB$9:AB280,AB280,AK$9:AK280),"")</f>
        <v/>
      </c>
      <c r="AM280" s="7" t="str">
        <f>IFERROR(IF(AB281&lt;&gt;AB280,AVERAGEIF(AB$9:AB280,AB280,AT$9:AT280),""),"")</f>
        <v/>
      </c>
      <c r="AN280" s="7" t="str">
        <f>IFERROR(IF(AB281&lt;&gt;AB280,AVERAGEIF(AB$9:AB280,AB280,AU$9:AU280),""),"")</f>
        <v/>
      </c>
      <c r="AO280" s="7" t="str" cm="1">
        <f t="array" ref="AO280">IFERROR(IF(AB281&lt;&gt;AB280,_xlfn.STDEV.P(IF(AB$9:AB280=AB280,AU$9:AU280)),""),"")</f>
        <v/>
      </c>
      <c r="AP280" s="7" t="str" cm="1">
        <f t="array" ref="AP280">IFERROR(IF(AB281&lt;&gt;AB280,_xlfn.STDEV.P(IF(AB$9:AB280=AB280,AT$9:AT280)),""),"")</f>
        <v/>
      </c>
      <c r="AQ280" s="8" t="str">
        <f t="shared" si="112"/>
        <v/>
      </c>
      <c r="AR280" s="8" t="str">
        <f t="shared" si="113"/>
        <v/>
      </c>
      <c r="AS280" s="8" t="str">
        <f t="shared" si="114"/>
        <v/>
      </c>
      <c r="AT280" s="9" t="str">
        <f t="shared" si="115"/>
        <v/>
      </c>
      <c r="AU280" s="9" t="str">
        <f t="shared" si="116"/>
        <v/>
      </c>
      <c r="AV280" s="14"/>
      <c r="AW280" s="15"/>
      <c r="AX280" s="14" t="str">
        <f t="shared" si="117"/>
        <v/>
      </c>
      <c r="AY280" s="15"/>
      <c r="AZ280" s="23"/>
      <c r="EW280" t="s">
        <v>46</v>
      </c>
      <c r="EX280" s="33">
        <v>1279</v>
      </c>
      <c r="EY280" s="33" t="s">
        <v>717</v>
      </c>
      <c r="EZ280" s="33" t="s">
        <v>718</v>
      </c>
      <c r="FA280" s="33" t="s">
        <v>343</v>
      </c>
      <c r="FB280" s="33" t="s">
        <v>344</v>
      </c>
      <c r="FC280" s="33" t="s">
        <v>345</v>
      </c>
      <c r="FD280" s="33" t="s">
        <v>346</v>
      </c>
      <c r="FE280" s="33">
        <v>2025</v>
      </c>
      <c r="FF280" s="33" t="s">
        <v>59</v>
      </c>
      <c r="FG280" s="33" t="s">
        <v>477</v>
      </c>
      <c r="FH280" s="33" t="s">
        <v>478</v>
      </c>
      <c r="FI280" s="33" t="s">
        <v>479</v>
      </c>
      <c r="FJ280" t="s">
        <v>59</v>
      </c>
      <c r="FM280" s="32" t="s">
        <v>710</v>
      </c>
      <c r="FN280" t="s">
        <v>711</v>
      </c>
      <c r="FO280" t="s">
        <v>712</v>
      </c>
      <c r="FP280" t="str">
        <f t="shared" si="99"/>
        <v>B</v>
      </c>
      <c r="FT280" s="69" t="s">
        <v>7430</v>
      </c>
      <c r="FU280" s="61">
        <v>0</v>
      </c>
      <c r="FV280" s="61">
        <v>0</v>
      </c>
      <c r="FW280" s="61">
        <v>0</v>
      </c>
      <c r="FX280" s="61">
        <v>0</v>
      </c>
      <c r="FY280" s="61">
        <v>0</v>
      </c>
      <c r="FZ280" s="61">
        <v>23.324999999999999</v>
      </c>
      <c r="GA280" s="61">
        <v>21.509999999999998</v>
      </c>
      <c r="GB280" s="61">
        <v>20.365000000000002</v>
      </c>
      <c r="GC280" s="61">
        <v>19.020000000000003</v>
      </c>
      <c r="GD280" s="61">
        <v>17.645</v>
      </c>
      <c r="GE280" s="61">
        <v>0</v>
      </c>
      <c r="GF280" s="61">
        <v>0</v>
      </c>
      <c r="GG280" s="61">
        <v>0</v>
      </c>
      <c r="GH280" s="61">
        <v>0</v>
      </c>
      <c r="GI280" s="61">
        <v>0</v>
      </c>
      <c r="GJ280" s="61">
        <v>0</v>
      </c>
      <c r="GK280" s="61">
        <v>0</v>
      </c>
      <c r="GL280" s="61">
        <v>0</v>
      </c>
      <c r="GM280" s="61">
        <v>0</v>
      </c>
      <c r="GN280" s="61">
        <v>0</v>
      </c>
      <c r="GO280" s="61">
        <v>0</v>
      </c>
      <c r="GP280" s="61">
        <v>0</v>
      </c>
      <c r="GQ280" s="61">
        <v>0</v>
      </c>
      <c r="GR280" s="61">
        <v>0</v>
      </c>
      <c r="GU280" s="53">
        <v>50</v>
      </c>
      <c r="GV280" s="53">
        <v>274</v>
      </c>
    </row>
    <row r="281" spans="1:204" ht="15.5" x14ac:dyDescent="0.35">
      <c r="A281" s="95">
        <f t="shared" si="100"/>
        <v>1</v>
      </c>
      <c r="B281" s="11"/>
      <c r="C281" s="11"/>
      <c r="D281" s="92" t="str">
        <f>IFERROR(
IF(AND(OR(Planilla!B281="C",Planilla!B281="c"), VLOOKUP(E281,EX:FJ,13,0)="C"), "OK",IF(AND(OR(Planilla!B281="C",Planilla!B281="c"), OR(VLOOKUP(E281,EX:FJ,13,0)="B", VLOOKUP(E281,EX:FJ,13,0)="A")), "DEFICIT",IF(
AND(OR(Planilla!B281="B", Planilla!B281="BPAL"), VLOOKUP(E281,EX:FJ,13,0)="B"), "OK",IF(AND(OR(Planilla!B281="B", Planilla!B281="BPAL"), VLOOKUP(E281,EX:FJ,13,0)="A"), "DEFICIT",IF(AND(OR(Planilla!B281="B", Planilla!B281="BPAL"), VLOOKUP(E281,EX:FJ,13,0)="C"), "SOBREOFERTA",IF(AND(Planilla!B281="A", VLOOKUP(E281,EX:FJ,13,0)="A"), "OK",IF(
AND(Planilla!B281="A", OR(VLOOKUP(E281,EX:FJ,13,0)="B", VLOOKUP(E281,EX:FJ,13,0)="C")), "SOBREOFERTA",""
))))))),"")</f>
        <v/>
      </c>
      <c r="E281" s="12"/>
      <c r="F281" s="13"/>
      <c r="G281" s="14"/>
      <c r="H281" s="81" t="str">
        <f t="shared" si="101"/>
        <v/>
      </c>
      <c r="I281" s="7"/>
      <c r="J281" s="6" t="e">
        <f t="shared" si="102"/>
        <v>#N/A</v>
      </c>
      <c r="K281" s="6" t="str">
        <f>IF(A282&lt;&gt;A281,AVERAGEIF(A$9:A281,A281,J$9:J281),"")</f>
        <v/>
      </c>
      <c r="L281" s="7" t="str">
        <f>IFERROR(IF(A282&lt;&gt;A281,AVERAGEIF(A$9:A281,A281,S$9:S281),""),"")</f>
        <v/>
      </c>
      <c r="M281" s="7" t="str">
        <f>IFERROR(IF(A282&lt;&gt;A281,AVERAGEIF(A$9:A281,A281,T$9:T281),""),"")</f>
        <v/>
      </c>
      <c r="N281" s="7" t="str" cm="1">
        <f t="array" ref="N281">IFERROR(IF(A282&lt;&gt;A281,_xlfn.STDEV.P(IF(A$9:A281=A281,T$9:T281)),""),"")</f>
        <v/>
      </c>
      <c r="O281" s="7" t="str" cm="1">
        <f t="array" ref="O281">IFERROR(IF(A282&lt;&gt;A281,_xlfn.STDEV.P(IF(A$9:A281=A281,S$9:S281)),""),"")</f>
        <v/>
      </c>
      <c r="P281" s="8" t="str">
        <f t="shared" si="103"/>
        <v/>
      </c>
      <c r="Q281" s="8" t="str">
        <f t="shared" si="104"/>
        <v/>
      </c>
      <c r="R281" s="8" t="str">
        <f t="shared" si="105"/>
        <v/>
      </c>
      <c r="S281" s="9" t="str">
        <f t="shared" si="106"/>
        <v/>
      </c>
      <c r="T281" s="9" t="str">
        <f t="shared" si="107"/>
        <v/>
      </c>
      <c r="U281" s="14"/>
      <c r="V281" s="15"/>
      <c r="W281" s="14" t="str">
        <f t="shared" si="108"/>
        <v/>
      </c>
      <c r="X281" s="15"/>
      <c r="Y281" s="2"/>
      <c r="AB281" s="22">
        <f t="shared" si="109"/>
        <v>1</v>
      </c>
      <c r="AC281" s="11"/>
      <c r="AD281" s="11"/>
      <c r="AE281" s="13"/>
      <c r="AF281" s="12"/>
      <c r="AG281" s="13"/>
      <c r="AH281" s="14"/>
      <c r="AI281" s="81" t="str">
        <f t="shared" si="110"/>
        <v/>
      </c>
      <c r="AJ281" s="15"/>
      <c r="AK281" s="6" t="e">
        <f t="shared" si="111"/>
        <v>#N/A</v>
      </c>
      <c r="AL281" s="6" t="str">
        <f>IF(AB282&lt;&gt;AB281,AVERAGEIF(AB$9:AB281,AB281,AK$9:AK281),"")</f>
        <v/>
      </c>
      <c r="AM281" s="7" t="str">
        <f>IFERROR(IF(AB282&lt;&gt;AB281,AVERAGEIF(AB$9:AB281,AB281,AT$9:AT281),""),"")</f>
        <v/>
      </c>
      <c r="AN281" s="7" t="str">
        <f>IFERROR(IF(AB282&lt;&gt;AB281,AVERAGEIF(AB$9:AB281,AB281,AU$9:AU281),""),"")</f>
        <v/>
      </c>
      <c r="AO281" s="7" t="str" cm="1">
        <f t="array" ref="AO281">IFERROR(IF(AB282&lt;&gt;AB281,_xlfn.STDEV.P(IF(AB$9:AB281=AB281,AU$9:AU281)),""),"")</f>
        <v/>
      </c>
      <c r="AP281" s="7" t="str" cm="1">
        <f t="array" ref="AP281">IFERROR(IF(AB282&lt;&gt;AB281,_xlfn.STDEV.P(IF(AB$9:AB281=AB281,AT$9:AT281)),""),"")</f>
        <v/>
      </c>
      <c r="AQ281" s="8" t="str">
        <f t="shared" si="112"/>
        <v/>
      </c>
      <c r="AR281" s="8" t="str">
        <f t="shared" si="113"/>
        <v/>
      </c>
      <c r="AS281" s="8" t="str">
        <f t="shared" si="114"/>
        <v/>
      </c>
      <c r="AT281" s="9" t="str">
        <f t="shared" si="115"/>
        <v/>
      </c>
      <c r="AU281" s="9" t="str">
        <f t="shared" si="116"/>
        <v/>
      </c>
      <c r="AV281" s="14"/>
      <c r="AW281" s="15"/>
      <c r="AX281" s="14" t="str">
        <f t="shared" si="117"/>
        <v/>
      </c>
      <c r="AY281" s="15"/>
      <c r="AZ281" s="23"/>
      <c r="EW281" t="s">
        <v>46</v>
      </c>
      <c r="EX281" s="33">
        <v>1280</v>
      </c>
      <c r="EY281" s="33" t="s">
        <v>719</v>
      </c>
      <c r="EZ281" s="33" t="s">
        <v>720</v>
      </c>
      <c r="FA281" s="33" t="s">
        <v>343</v>
      </c>
      <c r="FB281" s="33" t="s">
        <v>344</v>
      </c>
      <c r="FC281" s="33" t="s">
        <v>345</v>
      </c>
      <c r="FD281" s="33" t="s">
        <v>346</v>
      </c>
      <c r="FE281" s="33">
        <v>2025</v>
      </c>
      <c r="FF281" s="33" t="s">
        <v>59</v>
      </c>
      <c r="FG281" s="33" t="s">
        <v>477</v>
      </c>
      <c r="FH281" s="33" t="s">
        <v>478</v>
      </c>
      <c r="FI281" s="33" t="s">
        <v>479</v>
      </c>
      <c r="FJ281" t="s">
        <v>59</v>
      </c>
      <c r="FM281" s="32" t="s">
        <v>710</v>
      </c>
      <c r="FN281" t="s">
        <v>711</v>
      </c>
      <c r="FO281" t="s">
        <v>712</v>
      </c>
      <c r="FP281" t="str">
        <f t="shared" si="99"/>
        <v>B</v>
      </c>
      <c r="FT281" s="69" t="s">
        <v>7425</v>
      </c>
      <c r="FU281" s="61">
        <v>0</v>
      </c>
      <c r="FV281" s="61">
        <v>0</v>
      </c>
      <c r="FW281" s="61">
        <v>0</v>
      </c>
      <c r="FX281" s="61">
        <v>0</v>
      </c>
      <c r="FY281" s="61">
        <v>0</v>
      </c>
      <c r="FZ281" s="61">
        <v>16.614999999999998</v>
      </c>
      <c r="GA281" s="61">
        <v>30.195</v>
      </c>
      <c r="GB281" s="61">
        <v>28.094999999999999</v>
      </c>
      <c r="GC281" s="61">
        <v>28.774999999999999</v>
      </c>
      <c r="GD281" s="61">
        <v>29.19</v>
      </c>
      <c r="GE281" s="61">
        <v>29.004999999999999</v>
      </c>
      <c r="GF281" s="61">
        <v>28.02</v>
      </c>
      <c r="GG281" s="61">
        <v>27.754999999999999</v>
      </c>
      <c r="GH281" s="61">
        <v>27.475000000000001</v>
      </c>
      <c r="GI281" s="61">
        <v>27.545000000000002</v>
      </c>
      <c r="GJ281" s="61">
        <v>27.585000000000001</v>
      </c>
      <c r="GK281" s="61">
        <v>27.535</v>
      </c>
      <c r="GL281" s="61">
        <v>27.990000000000002</v>
      </c>
      <c r="GM281" s="61">
        <v>27.905000000000001</v>
      </c>
      <c r="GN281" s="61">
        <v>28.09</v>
      </c>
      <c r="GO281" s="61">
        <v>30.675000000000001</v>
      </c>
      <c r="GP281" s="61">
        <v>32.349999999999994</v>
      </c>
      <c r="GQ281" s="61">
        <v>33.18</v>
      </c>
      <c r="GR281" s="61">
        <v>0</v>
      </c>
      <c r="GU281" s="53">
        <v>51</v>
      </c>
      <c r="GV281" s="53">
        <v>275</v>
      </c>
    </row>
    <row r="282" spans="1:204" ht="15.5" x14ac:dyDescent="0.35">
      <c r="A282" s="95">
        <f t="shared" si="100"/>
        <v>1</v>
      </c>
      <c r="B282" s="11"/>
      <c r="C282" s="11"/>
      <c r="D282" s="92" t="str">
        <f>IFERROR(
IF(AND(OR(Planilla!B282="C",Planilla!B282="c"), VLOOKUP(E282,EX:FJ,13,0)="C"), "OK",IF(AND(OR(Planilla!B282="C",Planilla!B282="c"), OR(VLOOKUP(E282,EX:FJ,13,0)="B", VLOOKUP(E282,EX:FJ,13,0)="A")), "DEFICIT",IF(
AND(OR(Planilla!B282="B", Planilla!B282="BPAL"), VLOOKUP(E282,EX:FJ,13,0)="B"), "OK",IF(AND(OR(Planilla!B282="B", Planilla!B282="BPAL"), VLOOKUP(E282,EX:FJ,13,0)="A"), "DEFICIT",IF(AND(OR(Planilla!B282="B", Planilla!B282="BPAL"), VLOOKUP(E282,EX:FJ,13,0)="C"), "SOBREOFERTA",IF(AND(Planilla!B282="A", VLOOKUP(E282,EX:FJ,13,0)="A"), "OK",IF(
AND(Planilla!B282="A", OR(VLOOKUP(E282,EX:FJ,13,0)="B", VLOOKUP(E282,EX:FJ,13,0)="C")), "SOBREOFERTA",""
))))))),"")</f>
        <v/>
      </c>
      <c r="E282" s="12"/>
      <c r="F282" s="13"/>
      <c r="G282" s="14"/>
      <c r="H282" s="81" t="str">
        <f t="shared" si="101"/>
        <v/>
      </c>
      <c r="I282" s="7"/>
      <c r="J282" s="6" t="e">
        <f t="shared" si="102"/>
        <v>#N/A</v>
      </c>
      <c r="K282" s="6" t="str">
        <f>IF(A283&lt;&gt;A282,AVERAGEIF(A$9:A282,A282,J$9:J282),"")</f>
        <v/>
      </c>
      <c r="L282" s="7" t="str">
        <f>IFERROR(IF(A283&lt;&gt;A282,AVERAGEIF(A$9:A282,A282,S$9:S282),""),"")</f>
        <v/>
      </c>
      <c r="M282" s="7" t="str">
        <f>IFERROR(IF(A283&lt;&gt;A282,AVERAGEIF(A$9:A282,A282,T$9:T282),""),"")</f>
        <v/>
      </c>
      <c r="N282" s="7" t="str" cm="1">
        <f t="array" ref="N282">IFERROR(IF(A283&lt;&gt;A282,_xlfn.STDEV.P(IF(A$9:A282=A282,T$9:T282)),""),"")</f>
        <v/>
      </c>
      <c r="O282" s="7" t="str" cm="1">
        <f t="array" ref="O282">IFERROR(IF(A283&lt;&gt;A282,_xlfn.STDEV.P(IF(A$9:A282=A282,S$9:S282)),""),"")</f>
        <v/>
      </c>
      <c r="P282" s="8" t="str">
        <f t="shared" si="103"/>
        <v/>
      </c>
      <c r="Q282" s="8" t="str">
        <f t="shared" si="104"/>
        <v/>
      </c>
      <c r="R282" s="8" t="str">
        <f t="shared" si="105"/>
        <v/>
      </c>
      <c r="S282" s="9" t="str">
        <f t="shared" si="106"/>
        <v/>
      </c>
      <c r="T282" s="9" t="str">
        <f t="shared" si="107"/>
        <v/>
      </c>
      <c r="U282" s="14"/>
      <c r="V282" s="15"/>
      <c r="W282" s="14" t="str">
        <f t="shared" si="108"/>
        <v/>
      </c>
      <c r="X282" s="15"/>
      <c r="Y282" s="2"/>
      <c r="AB282" s="22">
        <f t="shared" si="109"/>
        <v>1</v>
      </c>
      <c r="AC282" s="11"/>
      <c r="AD282" s="11"/>
      <c r="AE282" s="13"/>
      <c r="AF282" s="12"/>
      <c r="AG282" s="13"/>
      <c r="AH282" s="14"/>
      <c r="AI282" s="81" t="str">
        <f t="shared" si="110"/>
        <v/>
      </c>
      <c r="AJ282" s="15"/>
      <c r="AK282" s="6" t="e">
        <f t="shared" si="111"/>
        <v>#N/A</v>
      </c>
      <c r="AL282" s="6" t="str">
        <f>IF(AB283&lt;&gt;AB282,AVERAGEIF(AB$9:AB282,AB282,AK$9:AK282),"")</f>
        <v/>
      </c>
      <c r="AM282" s="7" t="str">
        <f>IFERROR(IF(AB283&lt;&gt;AB282,AVERAGEIF(AB$9:AB282,AB282,AT$9:AT282),""),"")</f>
        <v/>
      </c>
      <c r="AN282" s="7" t="str">
        <f>IFERROR(IF(AB283&lt;&gt;AB282,AVERAGEIF(AB$9:AB282,AB282,AU$9:AU282),""),"")</f>
        <v/>
      </c>
      <c r="AO282" s="7" t="str" cm="1">
        <f t="array" ref="AO282">IFERROR(IF(AB283&lt;&gt;AB282,_xlfn.STDEV.P(IF(AB$9:AB282=AB282,AU$9:AU282)),""),"")</f>
        <v/>
      </c>
      <c r="AP282" s="7" t="str" cm="1">
        <f t="array" ref="AP282">IFERROR(IF(AB283&lt;&gt;AB282,_xlfn.STDEV.P(IF(AB$9:AB282=AB282,AT$9:AT282)),""),"")</f>
        <v/>
      </c>
      <c r="AQ282" s="8" t="str">
        <f t="shared" si="112"/>
        <v/>
      </c>
      <c r="AR282" s="8" t="str">
        <f t="shared" si="113"/>
        <v/>
      </c>
      <c r="AS282" s="8" t="str">
        <f t="shared" si="114"/>
        <v/>
      </c>
      <c r="AT282" s="9" t="str">
        <f t="shared" si="115"/>
        <v/>
      </c>
      <c r="AU282" s="9" t="str">
        <f t="shared" si="116"/>
        <v/>
      </c>
      <c r="AV282" s="14"/>
      <c r="AW282" s="15"/>
      <c r="AX282" s="14" t="str">
        <f t="shared" si="117"/>
        <v/>
      </c>
      <c r="AY282" s="15"/>
      <c r="AZ282" s="23"/>
      <c r="EW282" t="s">
        <v>46</v>
      </c>
      <c r="EX282" s="33">
        <v>1281</v>
      </c>
      <c r="EY282" s="33" t="s">
        <v>721</v>
      </c>
      <c r="EZ282" s="33" t="s">
        <v>722</v>
      </c>
      <c r="FA282" s="33" t="s">
        <v>343</v>
      </c>
      <c r="FB282" s="33" t="s">
        <v>344</v>
      </c>
      <c r="FC282" s="33" t="s">
        <v>345</v>
      </c>
      <c r="FD282" s="33" t="s">
        <v>346</v>
      </c>
      <c r="FE282" s="33">
        <v>2025</v>
      </c>
      <c r="FF282" s="33" t="s">
        <v>59</v>
      </c>
      <c r="FG282" s="33" t="s">
        <v>386</v>
      </c>
      <c r="FH282" s="33" t="s">
        <v>387</v>
      </c>
      <c r="FI282" s="33" t="s">
        <v>407</v>
      </c>
      <c r="FJ282" t="s">
        <v>59</v>
      </c>
      <c r="FM282" s="32" t="s">
        <v>723</v>
      </c>
      <c r="FN282" t="s">
        <v>724</v>
      </c>
      <c r="FO282" t="s">
        <v>725</v>
      </c>
      <c r="FP282" t="str">
        <f t="shared" si="99"/>
        <v>B</v>
      </c>
      <c r="FT282" s="69" t="s">
        <v>7435</v>
      </c>
      <c r="FU282" s="61">
        <v>0</v>
      </c>
      <c r="FV282" s="61">
        <v>0</v>
      </c>
      <c r="FW282" s="61">
        <v>0</v>
      </c>
      <c r="FX282" s="61">
        <v>0</v>
      </c>
      <c r="FY282" s="61">
        <v>12.55</v>
      </c>
      <c r="FZ282" s="61">
        <v>23.905000000000001</v>
      </c>
      <c r="GA282" s="61">
        <v>21.97</v>
      </c>
      <c r="GB282" s="61">
        <v>21.009999999999998</v>
      </c>
      <c r="GC282" s="61">
        <v>20.134999999999998</v>
      </c>
      <c r="GD282" s="61">
        <v>18.835000000000001</v>
      </c>
      <c r="GE282" s="61">
        <v>17.865000000000002</v>
      </c>
      <c r="GF282" s="61">
        <v>17.005000000000003</v>
      </c>
      <c r="GG282" s="61">
        <v>16.395000000000003</v>
      </c>
      <c r="GH282" s="61">
        <v>15.945</v>
      </c>
      <c r="GI282" s="61">
        <v>16.254999999999999</v>
      </c>
      <c r="GJ282" s="61">
        <v>16.965</v>
      </c>
      <c r="GK282" s="61">
        <v>16.41</v>
      </c>
      <c r="GL282" s="61">
        <v>16.329999999999998</v>
      </c>
      <c r="GM282" s="61">
        <v>16.88</v>
      </c>
      <c r="GN282" s="61">
        <v>17.994999999999997</v>
      </c>
      <c r="GO282" s="61">
        <v>18.984999999999999</v>
      </c>
      <c r="GP282" s="61">
        <v>20.285</v>
      </c>
      <c r="GQ282" s="61">
        <v>21.14</v>
      </c>
      <c r="GR282" s="61">
        <v>0</v>
      </c>
      <c r="GU282" s="53">
        <v>52</v>
      </c>
      <c r="GV282" s="53">
        <v>276</v>
      </c>
    </row>
    <row r="283" spans="1:204" ht="15.5" x14ac:dyDescent="0.35">
      <c r="A283" s="95">
        <f t="shared" si="100"/>
        <v>1</v>
      </c>
      <c r="B283" s="11"/>
      <c r="C283" s="11"/>
      <c r="D283" s="92" t="str">
        <f>IFERROR(
IF(AND(OR(Planilla!B283="C",Planilla!B283="c"), VLOOKUP(E283,EX:FJ,13,0)="C"), "OK",IF(AND(OR(Planilla!B283="C",Planilla!B283="c"), OR(VLOOKUP(E283,EX:FJ,13,0)="B", VLOOKUP(E283,EX:FJ,13,0)="A")), "DEFICIT",IF(
AND(OR(Planilla!B283="B", Planilla!B283="BPAL"), VLOOKUP(E283,EX:FJ,13,0)="B"), "OK",IF(AND(OR(Planilla!B283="B", Planilla!B283="BPAL"), VLOOKUP(E283,EX:FJ,13,0)="A"), "DEFICIT",IF(AND(OR(Planilla!B283="B", Planilla!B283="BPAL"), VLOOKUP(E283,EX:FJ,13,0)="C"), "SOBREOFERTA",IF(AND(Planilla!B283="A", VLOOKUP(E283,EX:FJ,13,0)="A"), "OK",IF(
AND(Planilla!B283="A", OR(VLOOKUP(E283,EX:FJ,13,0)="B", VLOOKUP(E283,EX:FJ,13,0)="C")), "SOBREOFERTA",""
))))))),"")</f>
        <v/>
      </c>
      <c r="E283" s="12"/>
      <c r="F283" s="13"/>
      <c r="G283" s="14"/>
      <c r="H283" s="81" t="str">
        <f t="shared" si="101"/>
        <v/>
      </c>
      <c r="I283" s="7"/>
      <c r="J283" s="6" t="e">
        <f t="shared" si="102"/>
        <v>#N/A</v>
      </c>
      <c r="K283" s="6" t="str">
        <f>IF(A284&lt;&gt;A283,AVERAGEIF(A$9:A283,A283,J$9:J283),"")</f>
        <v/>
      </c>
      <c r="L283" s="7" t="str">
        <f>IFERROR(IF(A284&lt;&gt;A283,AVERAGEIF(A$9:A283,A283,S$9:S283),""),"")</f>
        <v/>
      </c>
      <c r="M283" s="7" t="str">
        <f>IFERROR(IF(A284&lt;&gt;A283,AVERAGEIF(A$9:A283,A283,T$9:T283),""),"")</f>
        <v/>
      </c>
      <c r="N283" s="7" t="str" cm="1">
        <f t="array" ref="N283">IFERROR(IF(A284&lt;&gt;A283,_xlfn.STDEV.P(IF(A$9:A283=A283,T$9:T283)),""),"")</f>
        <v/>
      </c>
      <c r="O283" s="7" t="str" cm="1">
        <f t="array" ref="O283">IFERROR(IF(A284&lt;&gt;A283,_xlfn.STDEV.P(IF(A$9:A283=A283,S$9:S283)),""),"")</f>
        <v/>
      </c>
      <c r="P283" s="8" t="str">
        <f t="shared" si="103"/>
        <v/>
      </c>
      <c r="Q283" s="8" t="str">
        <f t="shared" si="104"/>
        <v/>
      </c>
      <c r="R283" s="8" t="str">
        <f t="shared" si="105"/>
        <v/>
      </c>
      <c r="S283" s="9" t="str">
        <f t="shared" si="106"/>
        <v/>
      </c>
      <c r="T283" s="9" t="str">
        <f t="shared" si="107"/>
        <v/>
      </c>
      <c r="U283" s="14"/>
      <c r="V283" s="15"/>
      <c r="W283" s="14" t="str">
        <f t="shared" si="108"/>
        <v/>
      </c>
      <c r="X283" s="15"/>
      <c r="Y283" s="2"/>
      <c r="AB283" s="22">
        <f t="shared" si="109"/>
        <v>1</v>
      </c>
      <c r="AC283" s="11"/>
      <c r="AD283" s="11"/>
      <c r="AE283" s="13"/>
      <c r="AF283" s="12"/>
      <c r="AG283" s="13"/>
      <c r="AH283" s="14"/>
      <c r="AI283" s="81" t="str">
        <f t="shared" si="110"/>
        <v/>
      </c>
      <c r="AJ283" s="15"/>
      <c r="AK283" s="6" t="e">
        <f t="shared" si="111"/>
        <v>#N/A</v>
      </c>
      <c r="AL283" s="6" t="str">
        <f>IF(AB284&lt;&gt;AB283,AVERAGEIF(AB$9:AB283,AB283,AK$9:AK283),"")</f>
        <v/>
      </c>
      <c r="AM283" s="7" t="str">
        <f>IFERROR(IF(AB284&lt;&gt;AB283,AVERAGEIF(AB$9:AB283,AB283,AT$9:AT283),""),"")</f>
        <v/>
      </c>
      <c r="AN283" s="7" t="str">
        <f>IFERROR(IF(AB284&lt;&gt;AB283,AVERAGEIF(AB$9:AB283,AB283,AU$9:AU283),""),"")</f>
        <v/>
      </c>
      <c r="AO283" s="7" t="str" cm="1">
        <f t="array" ref="AO283">IFERROR(IF(AB284&lt;&gt;AB283,_xlfn.STDEV.P(IF(AB$9:AB283=AB283,AU$9:AU283)),""),"")</f>
        <v/>
      </c>
      <c r="AP283" s="7" t="str" cm="1">
        <f t="array" ref="AP283">IFERROR(IF(AB284&lt;&gt;AB283,_xlfn.STDEV.P(IF(AB$9:AB283=AB283,AT$9:AT283)),""),"")</f>
        <v/>
      </c>
      <c r="AQ283" s="8" t="str">
        <f t="shared" si="112"/>
        <v/>
      </c>
      <c r="AR283" s="8" t="str">
        <f t="shared" si="113"/>
        <v/>
      </c>
      <c r="AS283" s="8" t="str">
        <f t="shared" si="114"/>
        <v/>
      </c>
      <c r="AT283" s="9" t="str">
        <f t="shared" si="115"/>
        <v/>
      </c>
      <c r="AU283" s="9" t="str">
        <f t="shared" si="116"/>
        <v/>
      </c>
      <c r="AV283" s="14"/>
      <c r="AW283" s="15"/>
      <c r="AX283" s="14" t="str">
        <f t="shared" si="117"/>
        <v/>
      </c>
      <c r="AY283" s="15"/>
      <c r="AZ283" s="23"/>
      <c r="EW283" t="s">
        <v>46</v>
      </c>
      <c r="EX283" s="33">
        <v>1282</v>
      </c>
      <c r="EY283" s="33" t="s">
        <v>726</v>
      </c>
      <c r="EZ283" s="33" t="s">
        <v>727</v>
      </c>
      <c r="FA283" s="33" t="s">
        <v>343</v>
      </c>
      <c r="FB283" s="33" t="s">
        <v>344</v>
      </c>
      <c r="FC283" s="33" t="s">
        <v>345</v>
      </c>
      <c r="FD283" s="33" t="s">
        <v>346</v>
      </c>
      <c r="FE283" s="33">
        <v>2025</v>
      </c>
      <c r="FF283" s="33" t="s">
        <v>59</v>
      </c>
      <c r="FG283" s="33" t="s">
        <v>477</v>
      </c>
      <c r="FH283" s="33" t="s">
        <v>478</v>
      </c>
      <c r="FI283" s="33" t="s">
        <v>479</v>
      </c>
      <c r="FJ283" t="s">
        <v>59</v>
      </c>
      <c r="FM283" s="32" t="s">
        <v>728</v>
      </c>
      <c r="FN283" t="s">
        <v>729</v>
      </c>
      <c r="FO283" t="s">
        <v>730</v>
      </c>
      <c r="FP283" t="str">
        <f t="shared" si="99"/>
        <v>B</v>
      </c>
      <c r="FT283" s="69" t="s">
        <v>7435</v>
      </c>
      <c r="FU283" s="61">
        <v>11.984999999999999</v>
      </c>
      <c r="FV283" s="61">
        <v>0</v>
      </c>
      <c r="FW283" s="61">
        <v>0</v>
      </c>
      <c r="FX283" s="61">
        <v>0</v>
      </c>
      <c r="FY283" s="61">
        <v>0</v>
      </c>
      <c r="FZ283" s="61">
        <v>11.91</v>
      </c>
      <c r="GA283" s="61">
        <v>23.035</v>
      </c>
      <c r="GB283" s="61">
        <v>21.68</v>
      </c>
      <c r="GC283" s="61">
        <v>20.884999999999998</v>
      </c>
      <c r="GD283" s="61">
        <v>19.645000000000003</v>
      </c>
      <c r="GE283" s="61">
        <v>18.094999999999999</v>
      </c>
      <c r="GF283" s="61">
        <v>16.704999999999998</v>
      </c>
      <c r="GG283" s="61">
        <v>16.21</v>
      </c>
      <c r="GH283" s="61">
        <v>16.100000000000001</v>
      </c>
      <c r="GI283" s="61">
        <v>16.45</v>
      </c>
      <c r="GJ283" s="61">
        <v>17.225000000000001</v>
      </c>
      <c r="GK283" s="61">
        <v>16.884999999999998</v>
      </c>
      <c r="GL283" s="61">
        <v>16.5</v>
      </c>
      <c r="GM283" s="61">
        <v>16.28</v>
      </c>
      <c r="GN283" s="61">
        <v>16.43</v>
      </c>
      <c r="GO283" s="61">
        <v>17.38</v>
      </c>
      <c r="GP283" s="61">
        <v>18.565000000000001</v>
      </c>
      <c r="GQ283" s="61">
        <v>20.399999999999999</v>
      </c>
      <c r="GR283" s="61">
        <v>22.515000000000001</v>
      </c>
      <c r="GU283" s="53">
        <v>53</v>
      </c>
      <c r="GV283" s="53">
        <v>277</v>
      </c>
    </row>
    <row r="284" spans="1:204" ht="15.5" x14ac:dyDescent="0.35">
      <c r="A284" s="95">
        <f t="shared" si="100"/>
        <v>1</v>
      </c>
      <c r="B284" s="11"/>
      <c r="C284" s="11"/>
      <c r="D284" s="92" t="str">
        <f>IFERROR(
IF(AND(OR(Planilla!B284="C",Planilla!B284="c"), VLOOKUP(E284,EX:FJ,13,0)="C"), "OK",IF(AND(OR(Planilla!B284="C",Planilla!B284="c"), OR(VLOOKUP(E284,EX:FJ,13,0)="B", VLOOKUP(E284,EX:FJ,13,0)="A")), "DEFICIT",IF(
AND(OR(Planilla!B284="B", Planilla!B284="BPAL"), VLOOKUP(E284,EX:FJ,13,0)="B"), "OK",IF(AND(OR(Planilla!B284="B", Planilla!B284="BPAL"), VLOOKUP(E284,EX:FJ,13,0)="A"), "DEFICIT",IF(AND(OR(Planilla!B284="B", Planilla!B284="BPAL"), VLOOKUP(E284,EX:FJ,13,0)="C"), "SOBREOFERTA",IF(AND(Planilla!B284="A", VLOOKUP(E284,EX:FJ,13,0)="A"), "OK",IF(
AND(Planilla!B284="A", OR(VLOOKUP(E284,EX:FJ,13,0)="B", VLOOKUP(E284,EX:FJ,13,0)="C")), "SOBREOFERTA",""
))))))),"")</f>
        <v/>
      </c>
      <c r="E284" s="12"/>
      <c r="F284" s="13"/>
      <c r="G284" s="14"/>
      <c r="H284" s="81" t="str">
        <f t="shared" si="101"/>
        <v/>
      </c>
      <c r="I284" s="7"/>
      <c r="J284" s="6" t="e">
        <f t="shared" si="102"/>
        <v>#N/A</v>
      </c>
      <c r="K284" s="6" t="str">
        <f>IF(A285&lt;&gt;A284,AVERAGEIF(A$9:A284,A284,J$9:J284),"")</f>
        <v/>
      </c>
      <c r="L284" s="7" t="str">
        <f>IFERROR(IF(A285&lt;&gt;A284,AVERAGEIF(A$9:A284,A284,S$9:S284),""),"")</f>
        <v/>
      </c>
      <c r="M284" s="7" t="str">
        <f>IFERROR(IF(A285&lt;&gt;A284,AVERAGEIF(A$9:A284,A284,T$9:T284),""),"")</f>
        <v/>
      </c>
      <c r="N284" s="7" t="str" cm="1">
        <f t="array" ref="N284">IFERROR(IF(A285&lt;&gt;A284,_xlfn.STDEV.P(IF(A$9:A284=A284,T$9:T284)),""),"")</f>
        <v/>
      </c>
      <c r="O284" s="7" t="str" cm="1">
        <f t="array" ref="O284">IFERROR(IF(A285&lt;&gt;A284,_xlfn.STDEV.P(IF(A$9:A284=A284,S$9:S284)),""),"")</f>
        <v/>
      </c>
      <c r="P284" s="8" t="str">
        <f t="shared" si="103"/>
        <v/>
      </c>
      <c r="Q284" s="8" t="str">
        <f t="shared" si="104"/>
        <v/>
      </c>
      <c r="R284" s="8" t="str">
        <f t="shared" si="105"/>
        <v/>
      </c>
      <c r="S284" s="9" t="str">
        <f t="shared" si="106"/>
        <v/>
      </c>
      <c r="T284" s="9" t="str">
        <f t="shared" si="107"/>
        <v/>
      </c>
      <c r="U284" s="14"/>
      <c r="V284" s="15"/>
      <c r="W284" s="14" t="str">
        <f t="shared" si="108"/>
        <v/>
      </c>
      <c r="X284" s="15"/>
      <c r="Y284" s="2"/>
      <c r="AB284" s="22">
        <f t="shared" si="109"/>
        <v>1</v>
      </c>
      <c r="AC284" s="11"/>
      <c r="AD284" s="11"/>
      <c r="AE284" s="13"/>
      <c r="AF284" s="12"/>
      <c r="AG284" s="13"/>
      <c r="AH284" s="14"/>
      <c r="AI284" s="81" t="str">
        <f t="shared" si="110"/>
        <v/>
      </c>
      <c r="AJ284" s="15"/>
      <c r="AK284" s="6" t="e">
        <f t="shared" si="111"/>
        <v>#N/A</v>
      </c>
      <c r="AL284" s="6" t="str">
        <f>IF(AB285&lt;&gt;AB284,AVERAGEIF(AB$9:AB284,AB284,AK$9:AK284),"")</f>
        <v/>
      </c>
      <c r="AM284" s="7" t="str">
        <f>IFERROR(IF(AB285&lt;&gt;AB284,AVERAGEIF(AB$9:AB284,AB284,AT$9:AT284),""),"")</f>
        <v/>
      </c>
      <c r="AN284" s="7" t="str">
        <f>IFERROR(IF(AB285&lt;&gt;AB284,AVERAGEIF(AB$9:AB284,AB284,AU$9:AU284),""),"")</f>
        <v/>
      </c>
      <c r="AO284" s="7" t="str" cm="1">
        <f t="array" ref="AO284">IFERROR(IF(AB285&lt;&gt;AB284,_xlfn.STDEV.P(IF(AB$9:AB284=AB284,AU$9:AU284)),""),"")</f>
        <v/>
      </c>
      <c r="AP284" s="7" t="str" cm="1">
        <f t="array" ref="AP284">IFERROR(IF(AB285&lt;&gt;AB284,_xlfn.STDEV.P(IF(AB$9:AB284=AB284,AT$9:AT284)),""),"")</f>
        <v/>
      </c>
      <c r="AQ284" s="8" t="str">
        <f t="shared" si="112"/>
        <v/>
      </c>
      <c r="AR284" s="8" t="str">
        <f t="shared" si="113"/>
        <v/>
      </c>
      <c r="AS284" s="8" t="str">
        <f t="shared" si="114"/>
        <v/>
      </c>
      <c r="AT284" s="9" t="str">
        <f t="shared" si="115"/>
        <v/>
      </c>
      <c r="AU284" s="9" t="str">
        <f t="shared" si="116"/>
        <v/>
      </c>
      <c r="AV284" s="14"/>
      <c r="AW284" s="15"/>
      <c r="AX284" s="14" t="str">
        <f t="shared" si="117"/>
        <v/>
      </c>
      <c r="AY284" s="15"/>
      <c r="AZ284" s="23"/>
      <c r="EW284" t="s">
        <v>46</v>
      </c>
      <c r="EX284" s="33">
        <v>1283</v>
      </c>
      <c r="EY284" s="33" t="s">
        <v>731</v>
      </c>
      <c r="EZ284" s="33" t="s">
        <v>732</v>
      </c>
      <c r="FA284" s="33" t="s">
        <v>343</v>
      </c>
      <c r="FB284" s="33" t="s">
        <v>344</v>
      </c>
      <c r="FC284" s="33" t="s">
        <v>345</v>
      </c>
      <c r="FD284" s="33" t="s">
        <v>346</v>
      </c>
      <c r="FE284" s="33">
        <v>2025</v>
      </c>
      <c r="FF284" s="33" t="s">
        <v>59</v>
      </c>
      <c r="FG284" s="33" t="s">
        <v>386</v>
      </c>
      <c r="FH284" s="33" t="s">
        <v>387</v>
      </c>
      <c r="FI284" s="33" t="s">
        <v>407</v>
      </c>
      <c r="FJ284" t="s">
        <v>59</v>
      </c>
      <c r="FM284" s="32" t="s">
        <v>728</v>
      </c>
      <c r="FN284" t="s">
        <v>729</v>
      </c>
      <c r="FO284" t="s">
        <v>730</v>
      </c>
      <c r="FP284" t="str">
        <f t="shared" si="99"/>
        <v>B</v>
      </c>
      <c r="FT284" s="69" t="s">
        <v>7436</v>
      </c>
      <c r="FU284" s="61">
        <v>0</v>
      </c>
      <c r="FV284" s="61">
        <v>0</v>
      </c>
      <c r="FW284" s="61">
        <v>0</v>
      </c>
      <c r="FX284" s="61">
        <v>0</v>
      </c>
      <c r="FY284" s="61">
        <v>0</v>
      </c>
      <c r="FZ284" s="61">
        <v>23.689999999999998</v>
      </c>
      <c r="GA284" s="61">
        <v>21.024999999999999</v>
      </c>
      <c r="GB284" s="61">
        <v>19.684999999999999</v>
      </c>
      <c r="GC284" s="61">
        <v>18.649999999999999</v>
      </c>
      <c r="GD284" s="61">
        <v>17.645000000000003</v>
      </c>
      <c r="GE284" s="61">
        <v>16.73</v>
      </c>
      <c r="GF284" s="61">
        <v>16.25</v>
      </c>
      <c r="GG284" s="61">
        <v>15.805</v>
      </c>
      <c r="GH284" s="61">
        <v>15.785</v>
      </c>
      <c r="GI284" s="61">
        <v>16.365000000000002</v>
      </c>
      <c r="GJ284" s="61">
        <v>16.53</v>
      </c>
      <c r="GK284" s="61">
        <v>15.81</v>
      </c>
      <c r="GL284" s="61">
        <v>15.855</v>
      </c>
      <c r="GM284" s="61">
        <v>16.695</v>
      </c>
      <c r="GN284" s="61">
        <v>17.73</v>
      </c>
      <c r="GO284" s="61">
        <v>18.905000000000001</v>
      </c>
      <c r="GP284" s="61">
        <v>20.28</v>
      </c>
      <c r="GQ284" s="61">
        <v>21.815000000000001</v>
      </c>
      <c r="GR284" s="61">
        <v>0</v>
      </c>
      <c r="GU284" s="53">
        <v>54</v>
      </c>
      <c r="GV284" s="53">
        <v>278</v>
      </c>
    </row>
    <row r="285" spans="1:204" ht="15.5" x14ac:dyDescent="0.35">
      <c r="A285" s="95">
        <f t="shared" si="100"/>
        <v>1</v>
      </c>
      <c r="B285" s="11"/>
      <c r="C285" s="11"/>
      <c r="D285" s="92" t="str">
        <f>IFERROR(
IF(AND(OR(Planilla!B285="C",Planilla!B285="c"), VLOOKUP(E285,EX:FJ,13,0)="C"), "OK",IF(AND(OR(Planilla!B285="C",Planilla!B285="c"), OR(VLOOKUP(E285,EX:FJ,13,0)="B", VLOOKUP(E285,EX:FJ,13,0)="A")), "DEFICIT",IF(
AND(OR(Planilla!B285="B", Planilla!B285="BPAL"), VLOOKUP(E285,EX:FJ,13,0)="B"), "OK",IF(AND(OR(Planilla!B285="B", Planilla!B285="BPAL"), VLOOKUP(E285,EX:FJ,13,0)="A"), "DEFICIT",IF(AND(OR(Planilla!B285="B", Planilla!B285="BPAL"), VLOOKUP(E285,EX:FJ,13,0)="C"), "SOBREOFERTA",IF(AND(Planilla!B285="A", VLOOKUP(E285,EX:FJ,13,0)="A"), "OK",IF(
AND(Planilla!B285="A", OR(VLOOKUP(E285,EX:FJ,13,0)="B", VLOOKUP(E285,EX:FJ,13,0)="C")), "SOBREOFERTA",""
))))))),"")</f>
        <v/>
      </c>
      <c r="E285" s="12"/>
      <c r="F285" s="13"/>
      <c r="G285" s="14"/>
      <c r="H285" s="81" t="str">
        <f t="shared" si="101"/>
        <v/>
      </c>
      <c r="I285" s="7"/>
      <c r="J285" s="6" t="e">
        <f t="shared" si="102"/>
        <v>#N/A</v>
      </c>
      <c r="K285" s="6" t="str">
        <f>IF(A286&lt;&gt;A285,AVERAGEIF(A$9:A285,A285,J$9:J285),"")</f>
        <v/>
      </c>
      <c r="L285" s="7" t="str">
        <f>IFERROR(IF(A286&lt;&gt;A285,AVERAGEIF(A$9:A285,A285,S$9:S285),""),"")</f>
        <v/>
      </c>
      <c r="M285" s="7" t="str">
        <f>IFERROR(IF(A286&lt;&gt;A285,AVERAGEIF(A$9:A285,A285,T$9:T285),""),"")</f>
        <v/>
      </c>
      <c r="N285" s="7" t="str" cm="1">
        <f t="array" ref="N285">IFERROR(IF(A286&lt;&gt;A285,_xlfn.STDEV.P(IF(A$9:A285=A285,T$9:T285)),""),"")</f>
        <v/>
      </c>
      <c r="O285" s="7" t="str" cm="1">
        <f t="array" ref="O285">IFERROR(IF(A286&lt;&gt;A285,_xlfn.STDEV.P(IF(A$9:A285=A285,S$9:S285)),""),"")</f>
        <v/>
      </c>
      <c r="P285" s="8" t="str">
        <f t="shared" si="103"/>
        <v/>
      </c>
      <c r="Q285" s="8" t="str">
        <f t="shared" si="104"/>
        <v/>
      </c>
      <c r="R285" s="8" t="str">
        <f t="shared" si="105"/>
        <v/>
      </c>
      <c r="S285" s="9" t="str">
        <f t="shared" si="106"/>
        <v/>
      </c>
      <c r="T285" s="9" t="str">
        <f t="shared" si="107"/>
        <v/>
      </c>
      <c r="U285" s="14"/>
      <c r="V285" s="15"/>
      <c r="W285" s="14" t="str">
        <f t="shared" si="108"/>
        <v/>
      </c>
      <c r="X285" s="15"/>
      <c r="Y285" s="2"/>
      <c r="AB285" s="22">
        <f t="shared" si="109"/>
        <v>1</v>
      </c>
      <c r="AC285" s="11"/>
      <c r="AD285" s="11"/>
      <c r="AE285" s="13"/>
      <c r="AF285" s="12"/>
      <c r="AG285" s="13"/>
      <c r="AH285" s="14"/>
      <c r="AI285" s="81" t="str">
        <f t="shared" si="110"/>
        <v/>
      </c>
      <c r="AJ285" s="15"/>
      <c r="AK285" s="6" t="e">
        <f t="shared" si="111"/>
        <v>#N/A</v>
      </c>
      <c r="AL285" s="6" t="str">
        <f>IF(AB286&lt;&gt;AB285,AVERAGEIF(AB$9:AB285,AB285,AK$9:AK285),"")</f>
        <v/>
      </c>
      <c r="AM285" s="7" t="str">
        <f>IFERROR(IF(AB286&lt;&gt;AB285,AVERAGEIF(AB$9:AB285,AB285,AT$9:AT285),""),"")</f>
        <v/>
      </c>
      <c r="AN285" s="7" t="str">
        <f>IFERROR(IF(AB286&lt;&gt;AB285,AVERAGEIF(AB$9:AB285,AB285,AU$9:AU285),""),"")</f>
        <v/>
      </c>
      <c r="AO285" s="7" t="str" cm="1">
        <f t="array" ref="AO285">IFERROR(IF(AB286&lt;&gt;AB285,_xlfn.STDEV.P(IF(AB$9:AB285=AB285,AU$9:AU285)),""),"")</f>
        <v/>
      </c>
      <c r="AP285" s="7" t="str" cm="1">
        <f t="array" ref="AP285">IFERROR(IF(AB286&lt;&gt;AB285,_xlfn.STDEV.P(IF(AB$9:AB285=AB285,AT$9:AT285)),""),"")</f>
        <v/>
      </c>
      <c r="AQ285" s="8" t="str">
        <f t="shared" si="112"/>
        <v/>
      </c>
      <c r="AR285" s="8" t="str">
        <f t="shared" si="113"/>
        <v/>
      </c>
      <c r="AS285" s="8" t="str">
        <f t="shared" si="114"/>
        <v/>
      </c>
      <c r="AT285" s="9" t="str">
        <f t="shared" si="115"/>
        <v/>
      </c>
      <c r="AU285" s="9" t="str">
        <f t="shared" si="116"/>
        <v/>
      </c>
      <c r="AV285" s="14"/>
      <c r="AW285" s="15"/>
      <c r="AX285" s="14" t="str">
        <f t="shared" si="117"/>
        <v/>
      </c>
      <c r="AY285" s="15"/>
      <c r="AZ285" s="23"/>
      <c r="EW285" t="s">
        <v>46</v>
      </c>
      <c r="EX285" s="33">
        <v>1284</v>
      </c>
      <c r="EY285" s="33" t="s">
        <v>733</v>
      </c>
      <c r="EZ285" s="33" t="s">
        <v>734</v>
      </c>
      <c r="FA285" s="33" t="s">
        <v>343</v>
      </c>
      <c r="FB285" s="33" t="s">
        <v>344</v>
      </c>
      <c r="FC285" s="33" t="s">
        <v>345</v>
      </c>
      <c r="FD285" s="33" t="s">
        <v>346</v>
      </c>
      <c r="FE285" s="33">
        <v>2025</v>
      </c>
      <c r="FF285" s="33" t="s">
        <v>59</v>
      </c>
      <c r="FG285" s="33" t="s">
        <v>477</v>
      </c>
      <c r="FH285" s="33" t="s">
        <v>478</v>
      </c>
      <c r="FI285" s="33" t="s">
        <v>479</v>
      </c>
      <c r="FJ285" t="s">
        <v>59</v>
      </c>
      <c r="FM285" s="32" t="s">
        <v>735</v>
      </c>
      <c r="FN285" t="s">
        <v>736</v>
      </c>
      <c r="FO285" t="s">
        <v>737</v>
      </c>
      <c r="FP285" t="str">
        <f t="shared" si="99"/>
        <v>B</v>
      </c>
      <c r="FT285" s="69" t="s">
        <v>7436</v>
      </c>
      <c r="FU285" s="61">
        <v>12.7</v>
      </c>
      <c r="FV285" s="61">
        <v>0</v>
      </c>
      <c r="FW285" s="61">
        <v>0</v>
      </c>
      <c r="FX285" s="61">
        <v>0</v>
      </c>
      <c r="FY285" s="61">
        <v>0</v>
      </c>
      <c r="FZ285" s="61">
        <v>11.78</v>
      </c>
      <c r="GA285" s="61">
        <v>22.86</v>
      </c>
      <c r="GB285" s="61">
        <v>21.685000000000002</v>
      </c>
      <c r="GC285" s="61">
        <v>20.28</v>
      </c>
      <c r="GD285" s="61">
        <v>19.245000000000001</v>
      </c>
      <c r="GE285" s="61">
        <v>18.11</v>
      </c>
      <c r="GF285" s="61">
        <v>17.045000000000002</v>
      </c>
      <c r="GG285" s="61">
        <v>16.55</v>
      </c>
      <c r="GH285" s="61">
        <v>16.79</v>
      </c>
      <c r="GI285" s="61">
        <v>16.645000000000003</v>
      </c>
      <c r="GJ285" s="61">
        <v>16.450000000000003</v>
      </c>
      <c r="GK285" s="61">
        <v>16.270000000000003</v>
      </c>
      <c r="GL285" s="61">
        <v>16.46</v>
      </c>
      <c r="GM285" s="61">
        <v>16.634999999999998</v>
      </c>
      <c r="GN285" s="61">
        <v>16.72</v>
      </c>
      <c r="GO285" s="61">
        <v>17.625</v>
      </c>
      <c r="GP285" s="61">
        <v>19.015000000000001</v>
      </c>
      <c r="GQ285" s="61">
        <v>20.28</v>
      </c>
      <c r="GR285" s="61">
        <v>21.740000000000002</v>
      </c>
      <c r="GU285" s="53">
        <v>55</v>
      </c>
      <c r="GV285" s="53">
        <v>279</v>
      </c>
    </row>
    <row r="286" spans="1:204" ht="15.5" x14ac:dyDescent="0.35">
      <c r="A286" s="95">
        <f t="shared" si="100"/>
        <v>1</v>
      </c>
      <c r="B286" s="11"/>
      <c r="C286" s="11"/>
      <c r="D286" s="92" t="str">
        <f>IFERROR(
IF(AND(OR(Planilla!B286="C",Planilla!B286="c"), VLOOKUP(E286,EX:FJ,13,0)="C"), "OK",IF(AND(OR(Planilla!B286="C",Planilla!B286="c"), OR(VLOOKUP(E286,EX:FJ,13,0)="B", VLOOKUP(E286,EX:FJ,13,0)="A")), "DEFICIT",IF(
AND(OR(Planilla!B286="B", Planilla!B286="BPAL"), VLOOKUP(E286,EX:FJ,13,0)="B"), "OK",IF(AND(OR(Planilla!B286="B", Planilla!B286="BPAL"), VLOOKUP(E286,EX:FJ,13,0)="A"), "DEFICIT",IF(AND(OR(Planilla!B286="B", Planilla!B286="BPAL"), VLOOKUP(E286,EX:FJ,13,0)="C"), "SOBREOFERTA",IF(AND(Planilla!B286="A", VLOOKUP(E286,EX:FJ,13,0)="A"), "OK",IF(
AND(Planilla!B286="A", OR(VLOOKUP(E286,EX:FJ,13,0)="B", VLOOKUP(E286,EX:FJ,13,0)="C")), "SOBREOFERTA",""
))))))),"")</f>
        <v/>
      </c>
      <c r="E286" s="12"/>
      <c r="F286" s="13"/>
      <c r="G286" s="14"/>
      <c r="H286" s="81" t="str">
        <f t="shared" si="101"/>
        <v/>
      </c>
      <c r="I286" s="7"/>
      <c r="J286" s="6" t="e">
        <f t="shared" si="102"/>
        <v>#N/A</v>
      </c>
      <c r="K286" s="6" t="str">
        <f>IF(A287&lt;&gt;A286,AVERAGEIF(A$9:A286,A286,J$9:J286),"")</f>
        <v/>
      </c>
      <c r="L286" s="7" t="str">
        <f>IFERROR(IF(A287&lt;&gt;A286,AVERAGEIF(A$9:A286,A286,S$9:S286),""),"")</f>
        <v/>
      </c>
      <c r="M286" s="7" t="str">
        <f>IFERROR(IF(A287&lt;&gt;A286,AVERAGEIF(A$9:A286,A286,T$9:T286),""),"")</f>
        <v/>
      </c>
      <c r="N286" s="7" t="str" cm="1">
        <f t="array" ref="N286">IFERROR(IF(A287&lt;&gt;A286,_xlfn.STDEV.P(IF(A$9:A286=A286,T$9:T286)),""),"")</f>
        <v/>
      </c>
      <c r="O286" s="7" t="str" cm="1">
        <f t="array" ref="O286">IFERROR(IF(A287&lt;&gt;A286,_xlfn.STDEV.P(IF(A$9:A286=A286,S$9:S286)),""),"")</f>
        <v/>
      </c>
      <c r="P286" s="8" t="str">
        <f t="shared" si="103"/>
        <v/>
      </c>
      <c r="Q286" s="8" t="str">
        <f t="shared" si="104"/>
        <v/>
      </c>
      <c r="R286" s="8" t="str">
        <f t="shared" si="105"/>
        <v/>
      </c>
      <c r="S286" s="9" t="str">
        <f t="shared" si="106"/>
        <v/>
      </c>
      <c r="T286" s="9" t="str">
        <f t="shared" si="107"/>
        <v/>
      </c>
      <c r="U286" s="14"/>
      <c r="V286" s="15"/>
      <c r="W286" s="14" t="str">
        <f t="shared" si="108"/>
        <v/>
      </c>
      <c r="X286" s="15"/>
      <c r="Y286" s="2"/>
      <c r="AB286" s="22">
        <f t="shared" si="109"/>
        <v>1</v>
      </c>
      <c r="AC286" s="11"/>
      <c r="AD286" s="11"/>
      <c r="AE286" s="13"/>
      <c r="AF286" s="12"/>
      <c r="AG286" s="13"/>
      <c r="AH286" s="14"/>
      <c r="AI286" s="81" t="str">
        <f t="shared" si="110"/>
        <v/>
      </c>
      <c r="AJ286" s="15"/>
      <c r="AK286" s="6" t="e">
        <f t="shared" si="111"/>
        <v>#N/A</v>
      </c>
      <c r="AL286" s="6" t="str">
        <f>IF(AB287&lt;&gt;AB286,AVERAGEIF(AB$9:AB286,AB286,AK$9:AK286),"")</f>
        <v/>
      </c>
      <c r="AM286" s="7" t="str">
        <f>IFERROR(IF(AB287&lt;&gt;AB286,AVERAGEIF(AB$9:AB286,AB286,AT$9:AT286),""),"")</f>
        <v/>
      </c>
      <c r="AN286" s="7" t="str">
        <f>IFERROR(IF(AB287&lt;&gt;AB286,AVERAGEIF(AB$9:AB286,AB286,AU$9:AU286),""),"")</f>
        <v/>
      </c>
      <c r="AO286" s="7" t="str" cm="1">
        <f t="array" ref="AO286">IFERROR(IF(AB287&lt;&gt;AB286,_xlfn.STDEV.P(IF(AB$9:AB286=AB286,AU$9:AU286)),""),"")</f>
        <v/>
      </c>
      <c r="AP286" s="7" t="str" cm="1">
        <f t="array" ref="AP286">IFERROR(IF(AB287&lt;&gt;AB286,_xlfn.STDEV.P(IF(AB$9:AB286=AB286,AT$9:AT286)),""),"")</f>
        <v/>
      </c>
      <c r="AQ286" s="8" t="str">
        <f t="shared" si="112"/>
        <v/>
      </c>
      <c r="AR286" s="8" t="str">
        <f t="shared" si="113"/>
        <v/>
      </c>
      <c r="AS286" s="8" t="str">
        <f t="shared" si="114"/>
        <v/>
      </c>
      <c r="AT286" s="9" t="str">
        <f t="shared" si="115"/>
        <v/>
      </c>
      <c r="AU286" s="9" t="str">
        <f t="shared" si="116"/>
        <v/>
      </c>
      <c r="AV286" s="14"/>
      <c r="AW286" s="15"/>
      <c r="AX286" s="14" t="str">
        <f t="shared" si="117"/>
        <v/>
      </c>
      <c r="AY286" s="15"/>
      <c r="AZ286" s="23"/>
      <c r="EW286" t="s">
        <v>46</v>
      </c>
      <c r="EX286" s="33">
        <v>1285</v>
      </c>
      <c r="EY286" s="33" t="s">
        <v>738</v>
      </c>
      <c r="EZ286" s="33" t="s">
        <v>739</v>
      </c>
      <c r="FA286" s="33" t="s">
        <v>343</v>
      </c>
      <c r="FB286" s="33" t="s">
        <v>344</v>
      </c>
      <c r="FC286" s="33" t="s">
        <v>345</v>
      </c>
      <c r="FD286" s="33" t="s">
        <v>346</v>
      </c>
      <c r="FE286" s="33">
        <v>2025</v>
      </c>
      <c r="FF286" s="33" t="s">
        <v>59</v>
      </c>
      <c r="FG286" s="33" t="s">
        <v>386</v>
      </c>
      <c r="FH286" s="33" t="s">
        <v>387</v>
      </c>
      <c r="FI286" s="33" t="s">
        <v>407</v>
      </c>
      <c r="FJ286" t="s">
        <v>59</v>
      </c>
      <c r="FM286" s="32" t="s">
        <v>735</v>
      </c>
      <c r="FN286" t="s">
        <v>736</v>
      </c>
      <c r="FO286" t="s">
        <v>737</v>
      </c>
      <c r="FP286" t="str">
        <f t="shared" si="99"/>
        <v>B</v>
      </c>
      <c r="FT286" s="69" t="s">
        <v>7450</v>
      </c>
      <c r="FU286" s="61">
        <v>29.15</v>
      </c>
      <c r="FV286" s="61">
        <v>30.314999999999998</v>
      </c>
      <c r="FW286" s="61">
        <v>30.675000000000001</v>
      </c>
      <c r="FX286" s="61">
        <v>31.615000000000002</v>
      </c>
      <c r="FY286" s="61">
        <v>30.914999999999999</v>
      </c>
      <c r="FZ286" s="61">
        <v>28.225000000000001</v>
      </c>
      <c r="GA286" s="61">
        <v>24.71</v>
      </c>
      <c r="GB286" s="61">
        <v>21.814999999999998</v>
      </c>
      <c r="GC286" s="61">
        <v>20.435000000000002</v>
      </c>
      <c r="GD286" s="61">
        <v>19.87</v>
      </c>
      <c r="GE286" s="61">
        <v>18.98</v>
      </c>
      <c r="GF286" s="61">
        <v>18.004999999999999</v>
      </c>
      <c r="GG286" s="61">
        <v>17.035</v>
      </c>
      <c r="GH286" s="61">
        <v>17.245000000000001</v>
      </c>
      <c r="GI286" s="61">
        <v>17.434999999999999</v>
      </c>
      <c r="GJ286" s="61">
        <v>17.265000000000001</v>
      </c>
      <c r="GK286" s="61">
        <v>16.765000000000001</v>
      </c>
      <c r="GL286" s="61">
        <v>16.59</v>
      </c>
      <c r="GM286" s="61">
        <v>16.924999999999997</v>
      </c>
      <c r="GN286" s="61">
        <v>17.765000000000001</v>
      </c>
      <c r="GO286" s="61">
        <v>19.024999999999999</v>
      </c>
      <c r="GP286" s="61">
        <v>19.625</v>
      </c>
      <c r="GQ286" s="61">
        <v>21.435000000000002</v>
      </c>
      <c r="GR286" s="61">
        <v>24.515000000000001</v>
      </c>
      <c r="GU286" s="53">
        <v>56</v>
      </c>
      <c r="GV286" s="53">
        <v>280</v>
      </c>
    </row>
    <row r="287" spans="1:204" ht="15.5" x14ac:dyDescent="0.35">
      <c r="A287" s="95">
        <f t="shared" si="100"/>
        <v>1</v>
      </c>
      <c r="B287" s="11"/>
      <c r="C287" s="11"/>
      <c r="D287" s="92" t="str">
        <f>IFERROR(
IF(AND(OR(Planilla!B287="C",Planilla!B287="c"), VLOOKUP(E287,EX:FJ,13,0)="C"), "OK",IF(AND(OR(Planilla!B287="C",Planilla!B287="c"), OR(VLOOKUP(E287,EX:FJ,13,0)="B", VLOOKUP(E287,EX:FJ,13,0)="A")), "DEFICIT",IF(
AND(OR(Planilla!B287="B", Planilla!B287="BPAL"), VLOOKUP(E287,EX:FJ,13,0)="B"), "OK",IF(AND(OR(Planilla!B287="B", Planilla!B287="BPAL"), VLOOKUP(E287,EX:FJ,13,0)="A"), "DEFICIT",IF(AND(OR(Planilla!B287="B", Planilla!B287="BPAL"), VLOOKUP(E287,EX:FJ,13,0)="C"), "SOBREOFERTA",IF(AND(Planilla!B287="A", VLOOKUP(E287,EX:FJ,13,0)="A"), "OK",IF(
AND(Planilla!B287="A", OR(VLOOKUP(E287,EX:FJ,13,0)="B", VLOOKUP(E287,EX:FJ,13,0)="C")), "SOBREOFERTA",""
))))))),"")</f>
        <v/>
      </c>
      <c r="E287" s="12"/>
      <c r="F287" s="13"/>
      <c r="G287" s="14"/>
      <c r="H287" s="81" t="str">
        <f t="shared" si="101"/>
        <v/>
      </c>
      <c r="I287" s="7"/>
      <c r="J287" s="6" t="e">
        <f t="shared" si="102"/>
        <v>#N/A</v>
      </c>
      <c r="K287" s="6" t="str">
        <f>IF(A288&lt;&gt;A287,AVERAGEIF(A$9:A287,A287,J$9:J287),"")</f>
        <v/>
      </c>
      <c r="L287" s="7" t="str">
        <f>IFERROR(IF(A288&lt;&gt;A287,AVERAGEIF(A$9:A287,A287,S$9:S287),""),"")</f>
        <v/>
      </c>
      <c r="M287" s="7" t="str">
        <f>IFERROR(IF(A288&lt;&gt;A287,AVERAGEIF(A$9:A287,A287,T$9:T287),""),"")</f>
        <v/>
      </c>
      <c r="N287" s="7" t="str" cm="1">
        <f t="array" ref="N287">IFERROR(IF(A288&lt;&gt;A287,_xlfn.STDEV.P(IF(A$9:A287=A287,T$9:T287)),""),"")</f>
        <v/>
      </c>
      <c r="O287" s="7" t="str" cm="1">
        <f t="array" ref="O287">IFERROR(IF(A288&lt;&gt;A287,_xlfn.STDEV.P(IF(A$9:A287=A287,S$9:S287)),""),"")</f>
        <v/>
      </c>
      <c r="P287" s="8" t="str">
        <f t="shared" si="103"/>
        <v/>
      </c>
      <c r="Q287" s="8" t="str">
        <f t="shared" si="104"/>
        <v/>
      </c>
      <c r="R287" s="8" t="str">
        <f t="shared" si="105"/>
        <v/>
      </c>
      <c r="S287" s="9" t="str">
        <f t="shared" si="106"/>
        <v/>
      </c>
      <c r="T287" s="9" t="str">
        <f t="shared" si="107"/>
        <v/>
      </c>
      <c r="U287" s="14"/>
      <c r="V287" s="15"/>
      <c r="W287" s="14" t="str">
        <f t="shared" si="108"/>
        <v/>
      </c>
      <c r="X287" s="15"/>
      <c r="Y287" s="2"/>
      <c r="AB287" s="22">
        <f t="shared" si="109"/>
        <v>1</v>
      </c>
      <c r="AC287" s="11"/>
      <c r="AD287" s="11"/>
      <c r="AE287" s="13"/>
      <c r="AF287" s="12"/>
      <c r="AG287" s="13"/>
      <c r="AH287" s="14"/>
      <c r="AI287" s="81" t="str">
        <f t="shared" si="110"/>
        <v/>
      </c>
      <c r="AJ287" s="15"/>
      <c r="AK287" s="6" t="e">
        <f t="shared" si="111"/>
        <v>#N/A</v>
      </c>
      <c r="AL287" s="6" t="str">
        <f>IF(AB288&lt;&gt;AB287,AVERAGEIF(AB$9:AB287,AB287,AK$9:AK287),"")</f>
        <v/>
      </c>
      <c r="AM287" s="7" t="str">
        <f>IFERROR(IF(AB288&lt;&gt;AB287,AVERAGEIF(AB$9:AB287,AB287,AT$9:AT287),""),"")</f>
        <v/>
      </c>
      <c r="AN287" s="7" t="str">
        <f>IFERROR(IF(AB288&lt;&gt;AB287,AVERAGEIF(AB$9:AB287,AB287,AU$9:AU287),""),"")</f>
        <v/>
      </c>
      <c r="AO287" s="7" t="str" cm="1">
        <f t="array" ref="AO287">IFERROR(IF(AB288&lt;&gt;AB287,_xlfn.STDEV.P(IF(AB$9:AB287=AB287,AU$9:AU287)),""),"")</f>
        <v/>
      </c>
      <c r="AP287" s="7" t="str" cm="1">
        <f t="array" ref="AP287">IFERROR(IF(AB288&lt;&gt;AB287,_xlfn.STDEV.P(IF(AB$9:AB287=AB287,AT$9:AT287)),""),"")</f>
        <v/>
      </c>
      <c r="AQ287" s="8" t="str">
        <f t="shared" si="112"/>
        <v/>
      </c>
      <c r="AR287" s="8" t="str">
        <f t="shared" si="113"/>
        <v/>
      </c>
      <c r="AS287" s="8" t="str">
        <f t="shared" si="114"/>
        <v/>
      </c>
      <c r="AT287" s="9" t="str">
        <f t="shared" si="115"/>
        <v/>
      </c>
      <c r="AU287" s="9" t="str">
        <f t="shared" si="116"/>
        <v/>
      </c>
      <c r="AV287" s="14"/>
      <c r="AW287" s="15"/>
      <c r="AX287" s="14" t="str">
        <f t="shared" si="117"/>
        <v/>
      </c>
      <c r="AY287" s="15"/>
      <c r="AZ287" s="23"/>
      <c r="EW287" t="s">
        <v>46</v>
      </c>
      <c r="EX287" s="33">
        <v>1286</v>
      </c>
      <c r="EY287" s="33" t="s">
        <v>740</v>
      </c>
      <c r="EZ287" s="33" t="s">
        <v>741</v>
      </c>
      <c r="FA287" s="33" t="s">
        <v>343</v>
      </c>
      <c r="FB287" s="33" t="s">
        <v>344</v>
      </c>
      <c r="FC287" s="33" t="s">
        <v>345</v>
      </c>
      <c r="FD287" s="33" t="s">
        <v>346</v>
      </c>
      <c r="FE287" s="33">
        <v>2025</v>
      </c>
      <c r="FF287" s="33" t="s">
        <v>59</v>
      </c>
      <c r="FG287" s="33" t="s">
        <v>477</v>
      </c>
      <c r="FH287" s="33" t="s">
        <v>478</v>
      </c>
      <c r="FI287" s="33" t="s">
        <v>479</v>
      </c>
      <c r="FJ287" t="s">
        <v>59</v>
      </c>
      <c r="FM287" s="32" t="s">
        <v>735</v>
      </c>
      <c r="FN287" t="s">
        <v>736</v>
      </c>
      <c r="FO287" t="s">
        <v>737</v>
      </c>
      <c r="FP287" t="str">
        <f t="shared" si="99"/>
        <v>B</v>
      </c>
      <c r="FT287" s="69" t="s">
        <v>7450</v>
      </c>
      <c r="FU287" s="61">
        <v>28.314999999999998</v>
      </c>
      <c r="FV287" s="61">
        <v>28.990000000000002</v>
      </c>
      <c r="FW287" s="61">
        <v>29.935000000000002</v>
      </c>
      <c r="FX287" s="61">
        <v>30.72</v>
      </c>
      <c r="FY287" s="61">
        <v>30.585000000000001</v>
      </c>
      <c r="FZ287" s="61">
        <v>27.86</v>
      </c>
      <c r="GA287" s="61">
        <v>24.060000000000002</v>
      </c>
      <c r="GB287" s="61">
        <v>21.865000000000002</v>
      </c>
      <c r="GC287" s="61">
        <v>20.895</v>
      </c>
      <c r="GD287" s="61">
        <v>19.835000000000001</v>
      </c>
      <c r="GE287" s="61">
        <v>19.035</v>
      </c>
      <c r="GF287" s="61">
        <v>17.755000000000003</v>
      </c>
      <c r="GG287" s="61">
        <v>16.939999999999998</v>
      </c>
      <c r="GH287" s="61">
        <v>17.149999999999999</v>
      </c>
      <c r="GI287" s="61">
        <v>17.535</v>
      </c>
      <c r="GJ287" s="61">
        <v>17.365000000000002</v>
      </c>
      <c r="GK287" s="61">
        <v>17.405000000000001</v>
      </c>
      <c r="GL287" s="61">
        <v>17.29</v>
      </c>
      <c r="GM287" s="61">
        <v>17.73</v>
      </c>
      <c r="GN287" s="61">
        <v>18.625</v>
      </c>
      <c r="GO287" s="61">
        <v>19.655000000000001</v>
      </c>
      <c r="GP287" s="61">
        <v>20.375</v>
      </c>
      <c r="GQ287" s="61">
        <v>22.740000000000002</v>
      </c>
      <c r="GR287" s="61">
        <v>25.740000000000002</v>
      </c>
      <c r="GU287" s="53">
        <v>57</v>
      </c>
      <c r="GV287" s="53">
        <v>281</v>
      </c>
    </row>
    <row r="288" spans="1:204" ht="15.5" x14ac:dyDescent="0.35">
      <c r="A288" s="95">
        <f t="shared" si="100"/>
        <v>1</v>
      </c>
      <c r="B288" s="11"/>
      <c r="C288" s="11"/>
      <c r="D288" s="92" t="str">
        <f>IFERROR(
IF(AND(OR(Planilla!B288="C",Planilla!B288="c"), VLOOKUP(E288,EX:FJ,13,0)="C"), "OK",IF(AND(OR(Planilla!B288="C",Planilla!B288="c"), OR(VLOOKUP(E288,EX:FJ,13,0)="B", VLOOKUP(E288,EX:FJ,13,0)="A")), "DEFICIT",IF(
AND(OR(Planilla!B288="B", Planilla!B288="BPAL"), VLOOKUP(E288,EX:FJ,13,0)="B"), "OK",IF(AND(OR(Planilla!B288="B", Planilla!B288="BPAL"), VLOOKUP(E288,EX:FJ,13,0)="A"), "DEFICIT",IF(AND(OR(Planilla!B288="B", Planilla!B288="BPAL"), VLOOKUP(E288,EX:FJ,13,0)="C"), "SOBREOFERTA",IF(AND(Planilla!B288="A", VLOOKUP(E288,EX:FJ,13,0)="A"), "OK",IF(
AND(Planilla!B288="A", OR(VLOOKUP(E288,EX:FJ,13,0)="B", VLOOKUP(E288,EX:FJ,13,0)="C")), "SOBREOFERTA",""
))))))),"")</f>
        <v/>
      </c>
      <c r="E288" s="12"/>
      <c r="F288" s="13"/>
      <c r="G288" s="14"/>
      <c r="H288" s="81" t="str">
        <f t="shared" si="101"/>
        <v/>
      </c>
      <c r="I288" s="7"/>
      <c r="J288" s="6" t="e">
        <f t="shared" si="102"/>
        <v>#N/A</v>
      </c>
      <c r="K288" s="6" t="str">
        <f>IF(A289&lt;&gt;A288,AVERAGEIF(A$9:A288,A288,J$9:J288),"")</f>
        <v/>
      </c>
      <c r="L288" s="7" t="str">
        <f>IFERROR(IF(A289&lt;&gt;A288,AVERAGEIF(A$9:A288,A288,S$9:S288),""),"")</f>
        <v/>
      </c>
      <c r="M288" s="7" t="str">
        <f>IFERROR(IF(A289&lt;&gt;A288,AVERAGEIF(A$9:A288,A288,T$9:T288),""),"")</f>
        <v/>
      </c>
      <c r="N288" s="7" t="str" cm="1">
        <f t="array" ref="N288">IFERROR(IF(A289&lt;&gt;A288,_xlfn.STDEV.P(IF(A$9:A288=A288,T$9:T288)),""),"")</f>
        <v/>
      </c>
      <c r="O288" s="7" t="str" cm="1">
        <f t="array" ref="O288">IFERROR(IF(A289&lt;&gt;A288,_xlfn.STDEV.P(IF(A$9:A288=A288,S$9:S288)),""),"")</f>
        <v/>
      </c>
      <c r="P288" s="8" t="str">
        <f t="shared" si="103"/>
        <v/>
      </c>
      <c r="Q288" s="8" t="str">
        <f t="shared" si="104"/>
        <v/>
      </c>
      <c r="R288" s="8" t="str">
        <f t="shared" si="105"/>
        <v/>
      </c>
      <c r="S288" s="9" t="str">
        <f t="shared" si="106"/>
        <v/>
      </c>
      <c r="T288" s="9" t="str">
        <f t="shared" si="107"/>
        <v/>
      </c>
      <c r="U288" s="14"/>
      <c r="V288" s="15"/>
      <c r="W288" s="14" t="str">
        <f t="shared" si="108"/>
        <v/>
      </c>
      <c r="X288" s="15"/>
      <c r="Y288" s="2"/>
      <c r="AB288" s="22">
        <f t="shared" si="109"/>
        <v>1</v>
      </c>
      <c r="AC288" s="11"/>
      <c r="AD288" s="11"/>
      <c r="AE288" s="13"/>
      <c r="AF288" s="12"/>
      <c r="AG288" s="13"/>
      <c r="AH288" s="14"/>
      <c r="AI288" s="81" t="str">
        <f t="shared" si="110"/>
        <v/>
      </c>
      <c r="AJ288" s="15"/>
      <c r="AK288" s="6" t="e">
        <f t="shared" si="111"/>
        <v>#N/A</v>
      </c>
      <c r="AL288" s="6" t="str">
        <f>IF(AB289&lt;&gt;AB288,AVERAGEIF(AB$9:AB288,AB288,AK$9:AK288),"")</f>
        <v/>
      </c>
      <c r="AM288" s="7" t="str">
        <f>IFERROR(IF(AB289&lt;&gt;AB288,AVERAGEIF(AB$9:AB288,AB288,AT$9:AT288),""),"")</f>
        <v/>
      </c>
      <c r="AN288" s="7" t="str">
        <f>IFERROR(IF(AB289&lt;&gt;AB288,AVERAGEIF(AB$9:AB288,AB288,AU$9:AU288),""),"")</f>
        <v/>
      </c>
      <c r="AO288" s="7" t="str" cm="1">
        <f t="array" ref="AO288">IFERROR(IF(AB289&lt;&gt;AB288,_xlfn.STDEV.P(IF(AB$9:AB288=AB288,AU$9:AU288)),""),"")</f>
        <v/>
      </c>
      <c r="AP288" s="7" t="str" cm="1">
        <f t="array" ref="AP288">IFERROR(IF(AB289&lt;&gt;AB288,_xlfn.STDEV.P(IF(AB$9:AB288=AB288,AT$9:AT288)),""),"")</f>
        <v/>
      </c>
      <c r="AQ288" s="8" t="str">
        <f t="shared" si="112"/>
        <v/>
      </c>
      <c r="AR288" s="8" t="str">
        <f t="shared" si="113"/>
        <v/>
      </c>
      <c r="AS288" s="8" t="str">
        <f t="shared" si="114"/>
        <v/>
      </c>
      <c r="AT288" s="9" t="str">
        <f t="shared" si="115"/>
        <v/>
      </c>
      <c r="AU288" s="9" t="str">
        <f t="shared" si="116"/>
        <v/>
      </c>
      <c r="AV288" s="14"/>
      <c r="AW288" s="15"/>
      <c r="AX288" s="14" t="str">
        <f t="shared" si="117"/>
        <v/>
      </c>
      <c r="AY288" s="15"/>
      <c r="AZ288" s="23"/>
      <c r="EW288" t="s">
        <v>46</v>
      </c>
      <c r="EX288" s="33">
        <v>1287</v>
      </c>
      <c r="EY288" s="33" t="s">
        <v>742</v>
      </c>
      <c r="EZ288" s="33" t="s">
        <v>743</v>
      </c>
      <c r="FA288" s="33" t="s">
        <v>343</v>
      </c>
      <c r="FB288" s="33" t="s">
        <v>344</v>
      </c>
      <c r="FC288" s="33" t="s">
        <v>345</v>
      </c>
      <c r="FD288" s="33" t="s">
        <v>346</v>
      </c>
      <c r="FE288" s="33">
        <v>2025</v>
      </c>
      <c r="FF288" s="33" t="s">
        <v>59</v>
      </c>
      <c r="FG288" s="33" t="s">
        <v>386</v>
      </c>
      <c r="FH288" s="33" t="s">
        <v>387</v>
      </c>
      <c r="FI288" s="33" t="s">
        <v>407</v>
      </c>
      <c r="FJ288" t="s">
        <v>59</v>
      </c>
      <c r="FM288" s="32" t="s">
        <v>744</v>
      </c>
      <c r="FN288" t="s">
        <v>745</v>
      </c>
      <c r="FO288" t="s">
        <v>746</v>
      </c>
      <c r="FP288" t="str">
        <f t="shared" si="99"/>
        <v>B</v>
      </c>
      <c r="FT288" s="69" t="s">
        <v>7437</v>
      </c>
      <c r="FU288" s="61">
        <v>15.305</v>
      </c>
      <c r="FV288" s="61">
        <v>0</v>
      </c>
      <c r="FW288" s="61">
        <v>0</v>
      </c>
      <c r="FX288" s="61">
        <v>0</v>
      </c>
      <c r="FY288" s="61">
        <v>0</v>
      </c>
      <c r="FZ288" s="61">
        <v>24.439999999999998</v>
      </c>
      <c r="GA288" s="61">
        <v>21.95</v>
      </c>
      <c r="GB288" s="61">
        <v>20.975000000000001</v>
      </c>
      <c r="GC288" s="61">
        <v>19.454999999999998</v>
      </c>
      <c r="GD288" s="61">
        <v>17.939999999999998</v>
      </c>
      <c r="GE288" s="61">
        <v>16.814999999999998</v>
      </c>
      <c r="GF288" s="61">
        <v>15.899999999999999</v>
      </c>
      <c r="GG288" s="61">
        <v>15.21</v>
      </c>
      <c r="GH288" s="61">
        <v>15.365</v>
      </c>
      <c r="GI288" s="61">
        <v>15.97</v>
      </c>
      <c r="GJ288" s="61">
        <v>16.215</v>
      </c>
      <c r="GK288" s="61">
        <v>16.104999999999997</v>
      </c>
      <c r="GL288" s="61">
        <v>16.02</v>
      </c>
      <c r="GM288" s="61">
        <v>16.579999999999998</v>
      </c>
      <c r="GN288" s="61">
        <v>17.805</v>
      </c>
      <c r="GO288" s="61">
        <v>18.739999999999998</v>
      </c>
      <c r="GP288" s="61">
        <v>19.925000000000001</v>
      </c>
      <c r="GQ288" s="61">
        <v>22.305</v>
      </c>
      <c r="GR288" s="61">
        <v>23.25</v>
      </c>
      <c r="GU288" s="53">
        <v>58</v>
      </c>
      <c r="GV288" s="53">
        <v>282</v>
      </c>
    </row>
    <row r="289" spans="1:204" ht="15.5" x14ac:dyDescent="0.35">
      <c r="A289" s="95">
        <f t="shared" si="100"/>
        <v>1</v>
      </c>
      <c r="B289" s="11"/>
      <c r="C289" s="11"/>
      <c r="D289" s="92" t="str">
        <f>IFERROR(
IF(AND(OR(Planilla!B289="C",Planilla!B289="c"), VLOOKUP(E289,EX:FJ,13,0)="C"), "OK",IF(AND(OR(Planilla!B289="C",Planilla!B289="c"), OR(VLOOKUP(E289,EX:FJ,13,0)="B", VLOOKUP(E289,EX:FJ,13,0)="A")), "DEFICIT",IF(
AND(OR(Planilla!B289="B", Planilla!B289="BPAL"), VLOOKUP(E289,EX:FJ,13,0)="B"), "OK",IF(AND(OR(Planilla!B289="B", Planilla!B289="BPAL"), VLOOKUP(E289,EX:FJ,13,0)="A"), "DEFICIT",IF(AND(OR(Planilla!B289="B", Planilla!B289="BPAL"), VLOOKUP(E289,EX:FJ,13,0)="C"), "SOBREOFERTA",IF(AND(Planilla!B289="A", VLOOKUP(E289,EX:FJ,13,0)="A"), "OK",IF(
AND(Planilla!B289="A", OR(VLOOKUP(E289,EX:FJ,13,0)="B", VLOOKUP(E289,EX:FJ,13,0)="C")), "SOBREOFERTA",""
))))))),"")</f>
        <v/>
      </c>
      <c r="E289" s="12"/>
      <c r="F289" s="13"/>
      <c r="G289" s="14"/>
      <c r="H289" s="81" t="str">
        <f t="shared" si="101"/>
        <v/>
      </c>
      <c r="I289" s="7"/>
      <c r="J289" s="6" t="e">
        <f t="shared" si="102"/>
        <v>#N/A</v>
      </c>
      <c r="K289" s="6" t="str">
        <f>IF(A290&lt;&gt;A289,AVERAGEIF(A$9:A289,A289,J$9:J289),"")</f>
        <v/>
      </c>
      <c r="L289" s="7" t="str">
        <f>IFERROR(IF(A290&lt;&gt;A289,AVERAGEIF(A$9:A289,A289,S$9:S289),""),"")</f>
        <v/>
      </c>
      <c r="M289" s="7" t="str">
        <f>IFERROR(IF(A290&lt;&gt;A289,AVERAGEIF(A$9:A289,A289,T$9:T289),""),"")</f>
        <v/>
      </c>
      <c r="N289" s="7" t="str" cm="1">
        <f t="array" ref="N289">IFERROR(IF(A290&lt;&gt;A289,_xlfn.STDEV.P(IF(A$9:A289=A289,T$9:T289)),""),"")</f>
        <v/>
      </c>
      <c r="O289" s="7" t="str" cm="1">
        <f t="array" ref="O289">IFERROR(IF(A290&lt;&gt;A289,_xlfn.STDEV.P(IF(A$9:A289=A289,S$9:S289)),""),"")</f>
        <v/>
      </c>
      <c r="P289" s="8" t="str">
        <f t="shared" si="103"/>
        <v/>
      </c>
      <c r="Q289" s="8" t="str">
        <f t="shared" si="104"/>
        <v/>
      </c>
      <c r="R289" s="8" t="str">
        <f t="shared" si="105"/>
        <v/>
      </c>
      <c r="S289" s="9" t="str">
        <f t="shared" si="106"/>
        <v/>
      </c>
      <c r="T289" s="9" t="str">
        <f t="shared" si="107"/>
        <v/>
      </c>
      <c r="U289" s="14"/>
      <c r="V289" s="15"/>
      <c r="W289" s="14" t="str">
        <f t="shared" si="108"/>
        <v/>
      </c>
      <c r="X289" s="15"/>
      <c r="Y289" s="2"/>
      <c r="AB289" s="22">
        <f t="shared" si="109"/>
        <v>1</v>
      </c>
      <c r="AC289" s="11"/>
      <c r="AD289" s="11"/>
      <c r="AE289" s="13"/>
      <c r="AF289" s="12"/>
      <c r="AG289" s="13"/>
      <c r="AH289" s="14"/>
      <c r="AI289" s="81" t="str">
        <f t="shared" si="110"/>
        <v/>
      </c>
      <c r="AJ289" s="15"/>
      <c r="AK289" s="6" t="e">
        <f t="shared" si="111"/>
        <v>#N/A</v>
      </c>
      <c r="AL289" s="6" t="str">
        <f>IF(AB290&lt;&gt;AB289,AVERAGEIF(AB$9:AB289,AB289,AK$9:AK289),"")</f>
        <v/>
      </c>
      <c r="AM289" s="7" t="str">
        <f>IFERROR(IF(AB290&lt;&gt;AB289,AVERAGEIF(AB$9:AB289,AB289,AT$9:AT289),""),"")</f>
        <v/>
      </c>
      <c r="AN289" s="7" t="str">
        <f>IFERROR(IF(AB290&lt;&gt;AB289,AVERAGEIF(AB$9:AB289,AB289,AU$9:AU289),""),"")</f>
        <v/>
      </c>
      <c r="AO289" s="7" t="str" cm="1">
        <f t="array" ref="AO289">IFERROR(IF(AB290&lt;&gt;AB289,_xlfn.STDEV.P(IF(AB$9:AB289=AB289,AU$9:AU289)),""),"")</f>
        <v/>
      </c>
      <c r="AP289" s="7" t="str" cm="1">
        <f t="array" ref="AP289">IFERROR(IF(AB290&lt;&gt;AB289,_xlfn.STDEV.P(IF(AB$9:AB289=AB289,AT$9:AT289)),""),"")</f>
        <v/>
      </c>
      <c r="AQ289" s="8" t="str">
        <f t="shared" si="112"/>
        <v/>
      </c>
      <c r="AR289" s="8" t="str">
        <f t="shared" si="113"/>
        <v/>
      </c>
      <c r="AS289" s="8" t="str">
        <f t="shared" si="114"/>
        <v/>
      </c>
      <c r="AT289" s="9" t="str">
        <f t="shared" si="115"/>
        <v/>
      </c>
      <c r="AU289" s="9" t="str">
        <f t="shared" si="116"/>
        <v/>
      </c>
      <c r="AV289" s="14"/>
      <c r="AW289" s="15"/>
      <c r="AX289" s="14" t="str">
        <f t="shared" si="117"/>
        <v/>
      </c>
      <c r="AY289" s="15"/>
      <c r="AZ289" s="23"/>
      <c r="EW289" t="s">
        <v>46</v>
      </c>
      <c r="EX289" s="33">
        <v>1288</v>
      </c>
      <c r="EY289" s="33" t="s">
        <v>747</v>
      </c>
      <c r="EZ289" s="33" t="s">
        <v>748</v>
      </c>
      <c r="FA289" s="33" t="s">
        <v>343</v>
      </c>
      <c r="FB289" s="33" t="s">
        <v>344</v>
      </c>
      <c r="FC289" s="33" t="s">
        <v>345</v>
      </c>
      <c r="FD289" s="33" t="s">
        <v>346</v>
      </c>
      <c r="FE289" s="33">
        <v>2025</v>
      </c>
      <c r="FF289" s="33" t="s">
        <v>59</v>
      </c>
      <c r="FG289" s="33" t="s">
        <v>477</v>
      </c>
      <c r="FH289" s="33" t="s">
        <v>478</v>
      </c>
      <c r="FI289" s="33" t="s">
        <v>479</v>
      </c>
      <c r="FJ289" t="s">
        <v>59</v>
      </c>
      <c r="FM289" s="32" t="s">
        <v>749</v>
      </c>
      <c r="FN289" t="s">
        <v>750</v>
      </c>
      <c r="FO289" t="s">
        <v>751</v>
      </c>
      <c r="FP289" t="str">
        <f t="shared" si="99"/>
        <v>B</v>
      </c>
      <c r="FT289" s="69" t="s">
        <v>7437</v>
      </c>
      <c r="FU289" s="61">
        <v>28.244999999999997</v>
      </c>
      <c r="FV289" s="61">
        <v>0</v>
      </c>
      <c r="FW289" s="61">
        <v>0</v>
      </c>
      <c r="FX289" s="61">
        <v>0</v>
      </c>
      <c r="FY289" s="61">
        <v>0</v>
      </c>
      <c r="FZ289" s="61">
        <v>0</v>
      </c>
      <c r="GA289" s="61">
        <v>23.535</v>
      </c>
      <c r="GB289" s="61">
        <v>22.7</v>
      </c>
      <c r="GC289" s="61">
        <v>21.484999999999999</v>
      </c>
      <c r="GD289" s="61">
        <v>20.405000000000001</v>
      </c>
      <c r="GE289" s="61">
        <v>18.810000000000002</v>
      </c>
      <c r="GF289" s="61">
        <v>17.189999999999998</v>
      </c>
      <c r="GG289" s="61">
        <v>16.3</v>
      </c>
      <c r="GH289" s="61">
        <v>16.130000000000003</v>
      </c>
      <c r="GI289" s="61">
        <v>16.414999999999999</v>
      </c>
      <c r="GJ289" s="61">
        <v>16.965</v>
      </c>
      <c r="GK289" s="61">
        <v>16.965</v>
      </c>
      <c r="GL289" s="61">
        <v>16.204999999999998</v>
      </c>
      <c r="GM289" s="61">
        <v>16.024999999999999</v>
      </c>
      <c r="GN289" s="61">
        <v>16.875</v>
      </c>
      <c r="GO289" s="61">
        <v>18.420000000000002</v>
      </c>
      <c r="GP289" s="61">
        <v>20.074999999999999</v>
      </c>
      <c r="GQ289" s="61">
        <v>22.759999999999998</v>
      </c>
      <c r="GR289" s="61">
        <v>23.68</v>
      </c>
      <c r="GU289" s="53">
        <v>59</v>
      </c>
      <c r="GV289" s="53">
        <v>283</v>
      </c>
    </row>
    <row r="290" spans="1:204" ht="15.5" x14ac:dyDescent="0.35">
      <c r="A290" s="95">
        <f t="shared" si="100"/>
        <v>1</v>
      </c>
      <c r="B290" s="11"/>
      <c r="C290" s="11"/>
      <c r="D290" s="92" t="str">
        <f>IFERROR(
IF(AND(OR(Planilla!B290="C",Planilla!B290="c"), VLOOKUP(E290,EX:FJ,13,0)="C"), "OK",IF(AND(OR(Planilla!B290="C",Planilla!B290="c"), OR(VLOOKUP(E290,EX:FJ,13,0)="B", VLOOKUP(E290,EX:FJ,13,0)="A")), "DEFICIT",IF(
AND(OR(Planilla!B290="B", Planilla!B290="BPAL"), VLOOKUP(E290,EX:FJ,13,0)="B"), "OK",IF(AND(OR(Planilla!B290="B", Planilla!B290="BPAL"), VLOOKUP(E290,EX:FJ,13,0)="A"), "DEFICIT",IF(AND(OR(Planilla!B290="B", Planilla!B290="BPAL"), VLOOKUP(E290,EX:FJ,13,0)="C"), "SOBREOFERTA",IF(AND(Planilla!B290="A", VLOOKUP(E290,EX:FJ,13,0)="A"), "OK",IF(
AND(Planilla!B290="A", OR(VLOOKUP(E290,EX:FJ,13,0)="B", VLOOKUP(E290,EX:FJ,13,0)="C")), "SOBREOFERTA",""
))))))),"")</f>
        <v/>
      </c>
      <c r="E290" s="12"/>
      <c r="F290" s="13"/>
      <c r="G290" s="14"/>
      <c r="H290" s="81" t="str">
        <f t="shared" si="101"/>
        <v/>
      </c>
      <c r="I290" s="7"/>
      <c r="J290" s="6" t="e">
        <f t="shared" si="102"/>
        <v>#N/A</v>
      </c>
      <c r="K290" s="6" t="str">
        <f>IF(A291&lt;&gt;A290,AVERAGEIF(A$9:A290,A290,J$9:J290),"")</f>
        <v/>
      </c>
      <c r="L290" s="7" t="str">
        <f>IFERROR(IF(A291&lt;&gt;A290,AVERAGEIF(A$9:A290,A290,S$9:S290),""),"")</f>
        <v/>
      </c>
      <c r="M290" s="7" t="str">
        <f>IFERROR(IF(A291&lt;&gt;A290,AVERAGEIF(A$9:A290,A290,T$9:T290),""),"")</f>
        <v/>
      </c>
      <c r="N290" s="7" t="str" cm="1">
        <f t="array" ref="N290">IFERROR(IF(A291&lt;&gt;A290,_xlfn.STDEV.P(IF(A$9:A290=A290,T$9:T290)),""),"")</f>
        <v/>
      </c>
      <c r="O290" s="7" t="str" cm="1">
        <f t="array" ref="O290">IFERROR(IF(A291&lt;&gt;A290,_xlfn.STDEV.P(IF(A$9:A290=A290,S$9:S290)),""),"")</f>
        <v/>
      </c>
      <c r="P290" s="8" t="str">
        <f t="shared" si="103"/>
        <v/>
      </c>
      <c r="Q290" s="8" t="str">
        <f t="shared" si="104"/>
        <v/>
      </c>
      <c r="R290" s="8" t="str">
        <f t="shared" si="105"/>
        <v/>
      </c>
      <c r="S290" s="9" t="str">
        <f t="shared" si="106"/>
        <v/>
      </c>
      <c r="T290" s="9" t="str">
        <f t="shared" si="107"/>
        <v/>
      </c>
      <c r="U290" s="14"/>
      <c r="V290" s="15"/>
      <c r="W290" s="14" t="str">
        <f t="shared" si="108"/>
        <v/>
      </c>
      <c r="X290" s="15"/>
      <c r="Y290" s="2"/>
      <c r="AB290" s="22">
        <f t="shared" si="109"/>
        <v>1</v>
      </c>
      <c r="AC290" s="11"/>
      <c r="AD290" s="11"/>
      <c r="AE290" s="13"/>
      <c r="AF290" s="12"/>
      <c r="AG290" s="13"/>
      <c r="AH290" s="14"/>
      <c r="AI290" s="81" t="str">
        <f t="shared" si="110"/>
        <v/>
      </c>
      <c r="AJ290" s="15"/>
      <c r="AK290" s="6" t="e">
        <f t="shared" si="111"/>
        <v>#N/A</v>
      </c>
      <c r="AL290" s="6" t="str">
        <f>IF(AB291&lt;&gt;AB290,AVERAGEIF(AB$9:AB290,AB290,AK$9:AK290),"")</f>
        <v/>
      </c>
      <c r="AM290" s="7" t="str">
        <f>IFERROR(IF(AB291&lt;&gt;AB290,AVERAGEIF(AB$9:AB290,AB290,AT$9:AT290),""),"")</f>
        <v/>
      </c>
      <c r="AN290" s="7" t="str">
        <f>IFERROR(IF(AB291&lt;&gt;AB290,AVERAGEIF(AB$9:AB290,AB290,AU$9:AU290),""),"")</f>
        <v/>
      </c>
      <c r="AO290" s="7" t="str" cm="1">
        <f t="array" ref="AO290">IFERROR(IF(AB291&lt;&gt;AB290,_xlfn.STDEV.P(IF(AB$9:AB290=AB290,AU$9:AU290)),""),"")</f>
        <v/>
      </c>
      <c r="AP290" s="7" t="str" cm="1">
        <f t="array" ref="AP290">IFERROR(IF(AB291&lt;&gt;AB290,_xlfn.STDEV.P(IF(AB$9:AB290=AB290,AT$9:AT290)),""),"")</f>
        <v/>
      </c>
      <c r="AQ290" s="8" t="str">
        <f t="shared" si="112"/>
        <v/>
      </c>
      <c r="AR290" s="8" t="str">
        <f t="shared" si="113"/>
        <v/>
      </c>
      <c r="AS290" s="8" t="str">
        <f t="shared" si="114"/>
        <v/>
      </c>
      <c r="AT290" s="9" t="str">
        <f t="shared" si="115"/>
        <v/>
      </c>
      <c r="AU290" s="9" t="str">
        <f t="shared" si="116"/>
        <v/>
      </c>
      <c r="AV290" s="14"/>
      <c r="AW290" s="15"/>
      <c r="AX290" s="14" t="str">
        <f t="shared" si="117"/>
        <v/>
      </c>
      <c r="AY290" s="15"/>
      <c r="AZ290" s="23"/>
      <c r="EW290" t="s">
        <v>46</v>
      </c>
      <c r="EX290" s="33">
        <v>1289</v>
      </c>
      <c r="EY290" s="33" t="s">
        <v>752</v>
      </c>
      <c r="EZ290" s="33" t="s">
        <v>753</v>
      </c>
      <c r="FA290" s="33" t="s">
        <v>343</v>
      </c>
      <c r="FB290" s="33" t="s">
        <v>344</v>
      </c>
      <c r="FC290" s="33" t="s">
        <v>345</v>
      </c>
      <c r="FD290" s="33" t="s">
        <v>346</v>
      </c>
      <c r="FE290" s="33">
        <v>2025</v>
      </c>
      <c r="FF290" s="33" t="s">
        <v>59</v>
      </c>
      <c r="FG290" s="33" t="s">
        <v>386</v>
      </c>
      <c r="FH290" s="33" t="s">
        <v>387</v>
      </c>
      <c r="FI290" s="33" t="s">
        <v>407</v>
      </c>
      <c r="FJ290" t="s">
        <v>59</v>
      </c>
      <c r="FM290" s="32" t="s">
        <v>749</v>
      </c>
      <c r="FN290" t="s">
        <v>750</v>
      </c>
      <c r="FO290" t="s">
        <v>751</v>
      </c>
      <c r="FP290" t="str">
        <f t="shared" si="99"/>
        <v>B</v>
      </c>
      <c r="FT290" s="69" t="s">
        <v>7440</v>
      </c>
      <c r="FU290" s="61">
        <v>26.96</v>
      </c>
      <c r="FV290" s="61">
        <v>27.484999999999999</v>
      </c>
      <c r="FW290" s="61">
        <v>28.32</v>
      </c>
      <c r="FX290" s="61">
        <v>29.15</v>
      </c>
      <c r="FY290" s="61">
        <v>27.954999999999998</v>
      </c>
      <c r="FZ290" s="61">
        <v>24.990000000000002</v>
      </c>
      <c r="GA290" s="61">
        <v>23.765000000000001</v>
      </c>
      <c r="GB290" s="61">
        <v>0</v>
      </c>
      <c r="GC290" s="61">
        <v>0</v>
      </c>
      <c r="GD290" s="61">
        <v>0</v>
      </c>
      <c r="GE290" s="61">
        <v>0</v>
      </c>
      <c r="GF290" s="61">
        <v>0</v>
      </c>
      <c r="GG290" s="61">
        <v>0</v>
      </c>
      <c r="GH290" s="61">
        <v>0</v>
      </c>
      <c r="GI290" s="61">
        <v>0</v>
      </c>
      <c r="GJ290" s="61">
        <v>0</v>
      </c>
      <c r="GK290" s="61">
        <v>0</v>
      </c>
      <c r="GL290" s="61">
        <v>0</v>
      </c>
      <c r="GM290" s="61">
        <v>0</v>
      </c>
      <c r="GN290" s="61">
        <v>0</v>
      </c>
      <c r="GO290" s="61">
        <v>0</v>
      </c>
      <c r="GP290" s="61">
        <v>11.935</v>
      </c>
      <c r="GQ290" s="61">
        <v>24.274999999999999</v>
      </c>
      <c r="GR290" s="61">
        <v>25.27</v>
      </c>
      <c r="GU290" s="53">
        <v>60</v>
      </c>
      <c r="GV290" s="53">
        <v>284</v>
      </c>
    </row>
    <row r="291" spans="1:204" ht="15.5" x14ac:dyDescent="0.35">
      <c r="A291" s="95">
        <f t="shared" si="100"/>
        <v>1</v>
      </c>
      <c r="B291" s="11"/>
      <c r="C291" s="11"/>
      <c r="D291" s="92" t="str">
        <f>IFERROR(
IF(AND(OR(Planilla!B291="C",Planilla!B291="c"), VLOOKUP(E291,EX:FJ,13,0)="C"), "OK",IF(AND(OR(Planilla!B291="C",Planilla!B291="c"), OR(VLOOKUP(E291,EX:FJ,13,0)="B", VLOOKUP(E291,EX:FJ,13,0)="A")), "DEFICIT",IF(
AND(OR(Planilla!B291="B", Planilla!B291="BPAL"), VLOOKUP(E291,EX:FJ,13,0)="B"), "OK",IF(AND(OR(Planilla!B291="B", Planilla!B291="BPAL"), VLOOKUP(E291,EX:FJ,13,0)="A"), "DEFICIT",IF(AND(OR(Planilla!B291="B", Planilla!B291="BPAL"), VLOOKUP(E291,EX:FJ,13,0)="C"), "SOBREOFERTA",IF(AND(Planilla!B291="A", VLOOKUP(E291,EX:FJ,13,0)="A"), "OK",IF(
AND(Planilla!B291="A", OR(VLOOKUP(E291,EX:FJ,13,0)="B", VLOOKUP(E291,EX:FJ,13,0)="C")), "SOBREOFERTA",""
))))))),"")</f>
        <v/>
      </c>
      <c r="E291" s="12"/>
      <c r="F291" s="13"/>
      <c r="G291" s="14"/>
      <c r="H291" s="81" t="str">
        <f t="shared" si="101"/>
        <v/>
      </c>
      <c r="I291" s="7"/>
      <c r="J291" s="6" t="e">
        <f t="shared" si="102"/>
        <v>#N/A</v>
      </c>
      <c r="K291" s="6" t="str">
        <f>IF(A292&lt;&gt;A291,AVERAGEIF(A$9:A291,A291,J$9:J291),"")</f>
        <v/>
      </c>
      <c r="L291" s="7" t="str">
        <f>IFERROR(IF(A292&lt;&gt;A291,AVERAGEIF(A$9:A291,A291,S$9:S291),""),"")</f>
        <v/>
      </c>
      <c r="M291" s="7" t="str">
        <f>IFERROR(IF(A292&lt;&gt;A291,AVERAGEIF(A$9:A291,A291,T$9:T291),""),"")</f>
        <v/>
      </c>
      <c r="N291" s="7" t="str" cm="1">
        <f t="array" ref="N291">IFERROR(IF(A292&lt;&gt;A291,_xlfn.STDEV.P(IF(A$9:A291=A291,T$9:T291)),""),"")</f>
        <v/>
      </c>
      <c r="O291" s="7" t="str" cm="1">
        <f t="array" ref="O291">IFERROR(IF(A292&lt;&gt;A291,_xlfn.STDEV.P(IF(A$9:A291=A291,S$9:S291)),""),"")</f>
        <v/>
      </c>
      <c r="P291" s="8" t="str">
        <f t="shared" si="103"/>
        <v/>
      </c>
      <c r="Q291" s="8" t="str">
        <f t="shared" si="104"/>
        <v/>
      </c>
      <c r="R291" s="8" t="str">
        <f t="shared" si="105"/>
        <v/>
      </c>
      <c r="S291" s="9" t="str">
        <f t="shared" si="106"/>
        <v/>
      </c>
      <c r="T291" s="9" t="str">
        <f t="shared" si="107"/>
        <v/>
      </c>
      <c r="U291" s="14"/>
      <c r="V291" s="15"/>
      <c r="W291" s="14" t="str">
        <f t="shared" si="108"/>
        <v/>
      </c>
      <c r="X291" s="15"/>
      <c r="Y291" s="2"/>
      <c r="AB291" s="22">
        <f t="shared" si="109"/>
        <v>1</v>
      </c>
      <c r="AC291" s="11"/>
      <c r="AD291" s="11"/>
      <c r="AE291" s="13"/>
      <c r="AF291" s="12"/>
      <c r="AG291" s="13"/>
      <c r="AH291" s="14"/>
      <c r="AI291" s="81" t="str">
        <f t="shared" si="110"/>
        <v/>
      </c>
      <c r="AJ291" s="15"/>
      <c r="AK291" s="6" t="e">
        <f t="shared" si="111"/>
        <v>#N/A</v>
      </c>
      <c r="AL291" s="6" t="str">
        <f>IF(AB292&lt;&gt;AB291,AVERAGEIF(AB$9:AB291,AB291,AK$9:AK291),"")</f>
        <v/>
      </c>
      <c r="AM291" s="7" t="str">
        <f>IFERROR(IF(AB292&lt;&gt;AB291,AVERAGEIF(AB$9:AB291,AB291,AT$9:AT291),""),"")</f>
        <v/>
      </c>
      <c r="AN291" s="7" t="str">
        <f>IFERROR(IF(AB292&lt;&gt;AB291,AVERAGEIF(AB$9:AB291,AB291,AU$9:AU291),""),"")</f>
        <v/>
      </c>
      <c r="AO291" s="7" t="str" cm="1">
        <f t="array" ref="AO291">IFERROR(IF(AB292&lt;&gt;AB291,_xlfn.STDEV.P(IF(AB$9:AB291=AB291,AU$9:AU291)),""),"")</f>
        <v/>
      </c>
      <c r="AP291" s="7" t="str" cm="1">
        <f t="array" ref="AP291">IFERROR(IF(AB292&lt;&gt;AB291,_xlfn.STDEV.P(IF(AB$9:AB291=AB291,AT$9:AT291)),""),"")</f>
        <v/>
      </c>
      <c r="AQ291" s="8" t="str">
        <f t="shared" si="112"/>
        <v/>
      </c>
      <c r="AR291" s="8" t="str">
        <f t="shared" si="113"/>
        <v/>
      </c>
      <c r="AS291" s="8" t="str">
        <f t="shared" si="114"/>
        <v/>
      </c>
      <c r="AT291" s="9" t="str">
        <f t="shared" si="115"/>
        <v/>
      </c>
      <c r="AU291" s="9" t="str">
        <f t="shared" si="116"/>
        <v/>
      </c>
      <c r="AV291" s="14"/>
      <c r="AW291" s="15"/>
      <c r="AX291" s="14" t="str">
        <f t="shared" si="117"/>
        <v/>
      </c>
      <c r="AY291" s="15"/>
      <c r="AZ291" s="23"/>
      <c r="EW291" t="s">
        <v>46</v>
      </c>
      <c r="EX291" s="33">
        <v>1290</v>
      </c>
      <c r="EY291" s="33" t="s">
        <v>754</v>
      </c>
      <c r="EZ291" s="33" t="s">
        <v>755</v>
      </c>
      <c r="FA291" s="33" t="s">
        <v>343</v>
      </c>
      <c r="FB291" s="33" t="s">
        <v>344</v>
      </c>
      <c r="FC291" s="33" t="s">
        <v>345</v>
      </c>
      <c r="FD291" s="33" t="s">
        <v>346</v>
      </c>
      <c r="FE291" s="33">
        <v>2025</v>
      </c>
      <c r="FF291" s="33" t="s">
        <v>59</v>
      </c>
      <c r="FG291" s="33" t="s">
        <v>477</v>
      </c>
      <c r="FH291" s="33" t="s">
        <v>478</v>
      </c>
      <c r="FI291" s="33" t="s">
        <v>479</v>
      </c>
      <c r="FJ291" t="s">
        <v>59</v>
      </c>
      <c r="FM291" s="32" t="s">
        <v>749</v>
      </c>
      <c r="FN291" t="s">
        <v>750</v>
      </c>
      <c r="FO291" t="s">
        <v>751</v>
      </c>
      <c r="FP291" t="str">
        <f t="shared" si="99"/>
        <v>B</v>
      </c>
      <c r="FT291" s="69" t="s">
        <v>7440</v>
      </c>
      <c r="FU291" s="61">
        <v>25.164999999999999</v>
      </c>
      <c r="FV291" s="61">
        <v>27.23</v>
      </c>
      <c r="FW291" s="61">
        <v>28.484999999999999</v>
      </c>
      <c r="FX291" s="61">
        <v>27.73</v>
      </c>
      <c r="FY291" s="61">
        <v>28.09</v>
      </c>
      <c r="FZ291" s="61">
        <v>27.89</v>
      </c>
      <c r="GA291" s="61">
        <v>25.869999999999997</v>
      </c>
      <c r="GB291" s="61">
        <v>12.645</v>
      </c>
      <c r="GC291" s="61">
        <v>0</v>
      </c>
      <c r="GD291" s="61">
        <v>0</v>
      </c>
      <c r="GE291" s="61">
        <v>0</v>
      </c>
      <c r="GF291" s="61">
        <v>0</v>
      </c>
      <c r="GG291" s="61">
        <v>0</v>
      </c>
      <c r="GH291" s="61">
        <v>0</v>
      </c>
      <c r="GI291" s="61">
        <v>0</v>
      </c>
      <c r="GJ291" s="61">
        <v>0</v>
      </c>
      <c r="GK291" s="61">
        <v>0</v>
      </c>
      <c r="GL291" s="61">
        <v>0</v>
      </c>
      <c r="GM291" s="61">
        <v>0</v>
      </c>
      <c r="GN291" s="61">
        <v>0</v>
      </c>
      <c r="GO291" s="61">
        <v>0</v>
      </c>
      <c r="GP291" s="61">
        <v>0</v>
      </c>
      <c r="GQ291" s="61">
        <v>0</v>
      </c>
      <c r="GR291" s="61">
        <v>24.96</v>
      </c>
      <c r="GU291" s="53">
        <v>61</v>
      </c>
      <c r="GV291" s="53">
        <v>285</v>
      </c>
    </row>
    <row r="292" spans="1:204" ht="15.5" x14ac:dyDescent="0.35">
      <c r="A292" s="95">
        <f t="shared" si="100"/>
        <v>1</v>
      </c>
      <c r="B292" s="11"/>
      <c r="C292" s="11"/>
      <c r="D292" s="92" t="str">
        <f>IFERROR(
IF(AND(OR(Planilla!B292="C",Planilla!B292="c"), VLOOKUP(E292,EX:FJ,13,0)="C"), "OK",IF(AND(OR(Planilla!B292="C",Planilla!B292="c"), OR(VLOOKUP(E292,EX:FJ,13,0)="B", VLOOKUP(E292,EX:FJ,13,0)="A")), "DEFICIT",IF(
AND(OR(Planilla!B292="B", Planilla!B292="BPAL"), VLOOKUP(E292,EX:FJ,13,0)="B"), "OK",IF(AND(OR(Planilla!B292="B", Planilla!B292="BPAL"), VLOOKUP(E292,EX:FJ,13,0)="A"), "DEFICIT",IF(AND(OR(Planilla!B292="B", Planilla!B292="BPAL"), VLOOKUP(E292,EX:FJ,13,0)="C"), "SOBREOFERTA",IF(AND(Planilla!B292="A", VLOOKUP(E292,EX:FJ,13,0)="A"), "OK",IF(
AND(Planilla!B292="A", OR(VLOOKUP(E292,EX:FJ,13,0)="B", VLOOKUP(E292,EX:FJ,13,0)="C")), "SOBREOFERTA",""
))))))),"")</f>
        <v/>
      </c>
      <c r="E292" s="12"/>
      <c r="F292" s="13"/>
      <c r="G292" s="14"/>
      <c r="H292" s="81" t="str">
        <f t="shared" si="101"/>
        <v/>
      </c>
      <c r="I292" s="7"/>
      <c r="J292" s="6" t="e">
        <f t="shared" si="102"/>
        <v>#N/A</v>
      </c>
      <c r="K292" s="6" t="str">
        <f>IF(A293&lt;&gt;A292,AVERAGEIF(A$9:A292,A292,J$9:J292),"")</f>
        <v/>
      </c>
      <c r="L292" s="7" t="str">
        <f>IFERROR(IF(A293&lt;&gt;A292,AVERAGEIF(A$9:A292,A292,S$9:S292),""),"")</f>
        <v/>
      </c>
      <c r="M292" s="7" t="str">
        <f>IFERROR(IF(A293&lt;&gt;A292,AVERAGEIF(A$9:A292,A292,T$9:T292),""),"")</f>
        <v/>
      </c>
      <c r="N292" s="7" t="str" cm="1">
        <f t="array" ref="N292">IFERROR(IF(A293&lt;&gt;A292,_xlfn.STDEV.P(IF(A$9:A292=A292,T$9:T292)),""),"")</f>
        <v/>
      </c>
      <c r="O292" s="7" t="str" cm="1">
        <f t="array" ref="O292">IFERROR(IF(A293&lt;&gt;A292,_xlfn.STDEV.P(IF(A$9:A292=A292,S$9:S292)),""),"")</f>
        <v/>
      </c>
      <c r="P292" s="8" t="str">
        <f t="shared" si="103"/>
        <v/>
      </c>
      <c r="Q292" s="8" t="str">
        <f t="shared" si="104"/>
        <v/>
      </c>
      <c r="R292" s="8" t="str">
        <f t="shared" si="105"/>
        <v/>
      </c>
      <c r="S292" s="9" t="str">
        <f t="shared" si="106"/>
        <v/>
      </c>
      <c r="T292" s="9" t="str">
        <f t="shared" si="107"/>
        <v/>
      </c>
      <c r="U292" s="14"/>
      <c r="V292" s="15"/>
      <c r="W292" s="14" t="str">
        <f t="shared" si="108"/>
        <v/>
      </c>
      <c r="X292" s="15"/>
      <c r="Y292" s="2"/>
      <c r="AB292" s="22">
        <f t="shared" si="109"/>
        <v>1</v>
      </c>
      <c r="AC292" s="11"/>
      <c r="AD292" s="11"/>
      <c r="AE292" s="13"/>
      <c r="AF292" s="12"/>
      <c r="AG292" s="13"/>
      <c r="AH292" s="14"/>
      <c r="AI292" s="81" t="str">
        <f t="shared" si="110"/>
        <v/>
      </c>
      <c r="AJ292" s="15"/>
      <c r="AK292" s="6" t="e">
        <f t="shared" si="111"/>
        <v>#N/A</v>
      </c>
      <c r="AL292" s="6" t="str">
        <f>IF(AB293&lt;&gt;AB292,AVERAGEIF(AB$9:AB292,AB292,AK$9:AK292),"")</f>
        <v/>
      </c>
      <c r="AM292" s="7" t="str">
        <f>IFERROR(IF(AB293&lt;&gt;AB292,AVERAGEIF(AB$9:AB292,AB292,AT$9:AT292),""),"")</f>
        <v/>
      </c>
      <c r="AN292" s="7" t="str">
        <f>IFERROR(IF(AB293&lt;&gt;AB292,AVERAGEIF(AB$9:AB292,AB292,AU$9:AU292),""),"")</f>
        <v/>
      </c>
      <c r="AO292" s="7" t="str" cm="1">
        <f t="array" ref="AO292">IFERROR(IF(AB293&lt;&gt;AB292,_xlfn.STDEV.P(IF(AB$9:AB292=AB292,AU$9:AU292)),""),"")</f>
        <v/>
      </c>
      <c r="AP292" s="7" t="str" cm="1">
        <f t="array" ref="AP292">IFERROR(IF(AB293&lt;&gt;AB292,_xlfn.STDEV.P(IF(AB$9:AB292=AB292,AT$9:AT292)),""),"")</f>
        <v/>
      </c>
      <c r="AQ292" s="8" t="str">
        <f t="shared" si="112"/>
        <v/>
      </c>
      <c r="AR292" s="8" t="str">
        <f t="shared" si="113"/>
        <v/>
      </c>
      <c r="AS292" s="8" t="str">
        <f t="shared" si="114"/>
        <v/>
      </c>
      <c r="AT292" s="9" t="str">
        <f t="shared" si="115"/>
        <v/>
      </c>
      <c r="AU292" s="9" t="str">
        <f t="shared" si="116"/>
        <v/>
      </c>
      <c r="AV292" s="14"/>
      <c r="AW292" s="15"/>
      <c r="AX292" s="14" t="str">
        <f t="shared" si="117"/>
        <v/>
      </c>
      <c r="AY292" s="15"/>
      <c r="AZ292" s="23"/>
      <c r="EW292" t="s">
        <v>46</v>
      </c>
      <c r="EX292" s="33">
        <v>1291</v>
      </c>
      <c r="EY292" s="33" t="s">
        <v>756</v>
      </c>
      <c r="EZ292" s="33" t="s">
        <v>757</v>
      </c>
      <c r="FA292" s="33" t="s">
        <v>343</v>
      </c>
      <c r="FB292" s="33" t="s">
        <v>344</v>
      </c>
      <c r="FC292" s="33" t="s">
        <v>345</v>
      </c>
      <c r="FD292" s="33" t="s">
        <v>346</v>
      </c>
      <c r="FE292" s="33">
        <v>2025</v>
      </c>
      <c r="FF292" s="33" t="s">
        <v>59</v>
      </c>
      <c r="FG292" s="33" t="s">
        <v>477</v>
      </c>
      <c r="FH292" s="33" t="s">
        <v>478</v>
      </c>
      <c r="FI292" s="33" t="s">
        <v>479</v>
      </c>
      <c r="FJ292" t="s">
        <v>59</v>
      </c>
      <c r="FM292" s="32" t="s">
        <v>749</v>
      </c>
      <c r="FN292" t="s">
        <v>750</v>
      </c>
      <c r="FO292" t="s">
        <v>751</v>
      </c>
      <c r="FP292" t="str">
        <f t="shared" si="99"/>
        <v>B</v>
      </c>
      <c r="FT292" s="69" t="s">
        <v>7442</v>
      </c>
      <c r="FU292" s="61">
        <v>0</v>
      </c>
      <c r="FV292" s="61">
        <v>0</v>
      </c>
      <c r="FW292" s="61">
        <v>0</v>
      </c>
      <c r="FX292" s="61">
        <v>0</v>
      </c>
      <c r="FY292" s="61">
        <v>0</v>
      </c>
      <c r="FZ292" s="61">
        <v>26.285</v>
      </c>
      <c r="GA292" s="61">
        <v>22.98</v>
      </c>
      <c r="GB292" s="61">
        <v>21.355</v>
      </c>
      <c r="GC292" s="61">
        <v>20.954999999999998</v>
      </c>
      <c r="GD292" s="61">
        <v>19.865000000000002</v>
      </c>
      <c r="GE292" s="61">
        <v>18.369999999999997</v>
      </c>
      <c r="GF292" s="61">
        <v>17.170000000000002</v>
      </c>
      <c r="GG292" s="61">
        <v>16.119999999999997</v>
      </c>
      <c r="GH292" s="61">
        <v>16.149999999999999</v>
      </c>
      <c r="GI292" s="61">
        <v>16.725000000000001</v>
      </c>
      <c r="GJ292" s="61">
        <v>17.074999999999999</v>
      </c>
      <c r="GK292" s="61">
        <v>16.88</v>
      </c>
      <c r="GL292" s="61">
        <v>16.619999999999997</v>
      </c>
      <c r="GM292" s="61">
        <v>15.855</v>
      </c>
      <c r="GN292" s="61">
        <v>16.04</v>
      </c>
      <c r="GO292" s="61">
        <v>17.725000000000001</v>
      </c>
      <c r="GP292" s="61">
        <v>18.835000000000001</v>
      </c>
      <c r="GQ292" s="61">
        <v>20.355</v>
      </c>
      <c r="GR292" s="61">
        <v>21.614999999999998</v>
      </c>
      <c r="GU292" s="53">
        <v>62</v>
      </c>
      <c r="GV292" s="53">
        <v>286</v>
      </c>
    </row>
    <row r="293" spans="1:204" ht="15.5" x14ac:dyDescent="0.35">
      <c r="A293" s="95">
        <f t="shared" si="100"/>
        <v>1</v>
      </c>
      <c r="B293" s="11"/>
      <c r="C293" s="11"/>
      <c r="D293" s="92" t="str">
        <f>IFERROR(
IF(AND(OR(Planilla!B293="C",Planilla!B293="c"), VLOOKUP(E293,EX:FJ,13,0)="C"), "OK",IF(AND(OR(Planilla!B293="C",Planilla!B293="c"), OR(VLOOKUP(E293,EX:FJ,13,0)="B", VLOOKUP(E293,EX:FJ,13,0)="A")), "DEFICIT",IF(
AND(OR(Planilla!B293="B", Planilla!B293="BPAL"), VLOOKUP(E293,EX:FJ,13,0)="B"), "OK",IF(AND(OR(Planilla!B293="B", Planilla!B293="BPAL"), VLOOKUP(E293,EX:FJ,13,0)="A"), "DEFICIT",IF(AND(OR(Planilla!B293="B", Planilla!B293="BPAL"), VLOOKUP(E293,EX:FJ,13,0)="C"), "SOBREOFERTA",IF(AND(Planilla!B293="A", VLOOKUP(E293,EX:FJ,13,0)="A"), "OK",IF(
AND(Planilla!B293="A", OR(VLOOKUP(E293,EX:FJ,13,0)="B", VLOOKUP(E293,EX:FJ,13,0)="C")), "SOBREOFERTA",""
))))))),"")</f>
        <v/>
      </c>
      <c r="E293" s="12"/>
      <c r="F293" s="13"/>
      <c r="G293" s="14"/>
      <c r="H293" s="81" t="str">
        <f t="shared" si="101"/>
        <v/>
      </c>
      <c r="I293" s="7"/>
      <c r="J293" s="6" t="e">
        <f t="shared" si="102"/>
        <v>#N/A</v>
      </c>
      <c r="K293" s="6" t="str">
        <f>IF(A294&lt;&gt;A293,AVERAGEIF(A$9:A293,A293,J$9:J293),"")</f>
        <v/>
      </c>
      <c r="L293" s="7" t="str">
        <f>IFERROR(IF(A294&lt;&gt;A293,AVERAGEIF(A$9:A293,A293,S$9:S293),""),"")</f>
        <v/>
      </c>
      <c r="M293" s="7" t="str">
        <f>IFERROR(IF(A294&lt;&gt;A293,AVERAGEIF(A$9:A293,A293,T$9:T293),""),"")</f>
        <v/>
      </c>
      <c r="N293" s="7" t="str" cm="1">
        <f t="array" ref="N293">IFERROR(IF(A294&lt;&gt;A293,_xlfn.STDEV.P(IF(A$9:A293=A293,T$9:T293)),""),"")</f>
        <v/>
      </c>
      <c r="O293" s="7" t="str" cm="1">
        <f t="array" ref="O293">IFERROR(IF(A294&lt;&gt;A293,_xlfn.STDEV.P(IF(A$9:A293=A293,S$9:S293)),""),"")</f>
        <v/>
      </c>
      <c r="P293" s="8" t="str">
        <f t="shared" si="103"/>
        <v/>
      </c>
      <c r="Q293" s="8" t="str">
        <f t="shared" si="104"/>
        <v/>
      </c>
      <c r="R293" s="8" t="str">
        <f t="shared" si="105"/>
        <v/>
      </c>
      <c r="S293" s="9" t="str">
        <f t="shared" si="106"/>
        <v/>
      </c>
      <c r="T293" s="9" t="str">
        <f t="shared" si="107"/>
        <v/>
      </c>
      <c r="U293" s="14"/>
      <c r="V293" s="15"/>
      <c r="W293" s="14" t="str">
        <f t="shared" si="108"/>
        <v/>
      </c>
      <c r="X293" s="15"/>
      <c r="Y293" s="2"/>
      <c r="AB293" s="22">
        <f t="shared" si="109"/>
        <v>1</v>
      </c>
      <c r="AC293" s="11"/>
      <c r="AD293" s="11"/>
      <c r="AE293" s="13"/>
      <c r="AF293" s="12"/>
      <c r="AG293" s="13"/>
      <c r="AH293" s="14"/>
      <c r="AI293" s="81" t="str">
        <f t="shared" si="110"/>
        <v/>
      </c>
      <c r="AJ293" s="15"/>
      <c r="AK293" s="6" t="e">
        <f t="shared" si="111"/>
        <v>#N/A</v>
      </c>
      <c r="AL293" s="6" t="str">
        <f>IF(AB294&lt;&gt;AB293,AVERAGEIF(AB$9:AB293,AB293,AK$9:AK293),"")</f>
        <v/>
      </c>
      <c r="AM293" s="7" t="str">
        <f>IFERROR(IF(AB294&lt;&gt;AB293,AVERAGEIF(AB$9:AB293,AB293,AT$9:AT293),""),"")</f>
        <v/>
      </c>
      <c r="AN293" s="7" t="str">
        <f>IFERROR(IF(AB294&lt;&gt;AB293,AVERAGEIF(AB$9:AB293,AB293,AU$9:AU293),""),"")</f>
        <v/>
      </c>
      <c r="AO293" s="7" t="str" cm="1">
        <f t="array" ref="AO293">IFERROR(IF(AB294&lt;&gt;AB293,_xlfn.STDEV.P(IF(AB$9:AB293=AB293,AU$9:AU293)),""),"")</f>
        <v/>
      </c>
      <c r="AP293" s="7" t="str" cm="1">
        <f t="array" ref="AP293">IFERROR(IF(AB294&lt;&gt;AB293,_xlfn.STDEV.P(IF(AB$9:AB293=AB293,AT$9:AT293)),""),"")</f>
        <v/>
      </c>
      <c r="AQ293" s="8" t="str">
        <f t="shared" si="112"/>
        <v/>
      </c>
      <c r="AR293" s="8" t="str">
        <f t="shared" si="113"/>
        <v/>
      </c>
      <c r="AS293" s="8" t="str">
        <f t="shared" si="114"/>
        <v/>
      </c>
      <c r="AT293" s="9" t="str">
        <f t="shared" si="115"/>
        <v/>
      </c>
      <c r="AU293" s="9" t="str">
        <f t="shared" si="116"/>
        <v/>
      </c>
      <c r="AV293" s="14"/>
      <c r="AW293" s="15"/>
      <c r="AX293" s="14" t="str">
        <f t="shared" si="117"/>
        <v/>
      </c>
      <c r="AY293" s="15"/>
      <c r="AZ293" s="23"/>
      <c r="EW293" t="s">
        <v>46</v>
      </c>
      <c r="EX293" s="33">
        <v>1292</v>
      </c>
      <c r="EY293" s="33" t="s">
        <v>758</v>
      </c>
      <c r="EZ293" s="33" t="s">
        <v>759</v>
      </c>
      <c r="FA293" s="33" t="s">
        <v>343</v>
      </c>
      <c r="FB293" s="33" t="s">
        <v>344</v>
      </c>
      <c r="FC293" s="33" t="s">
        <v>345</v>
      </c>
      <c r="FD293" s="33" t="s">
        <v>346</v>
      </c>
      <c r="FE293" s="33">
        <v>2025</v>
      </c>
      <c r="FF293" s="33" t="s">
        <v>59</v>
      </c>
      <c r="FG293" s="33" t="s">
        <v>477</v>
      </c>
      <c r="FH293" s="33" t="s">
        <v>478</v>
      </c>
      <c r="FI293" s="33" t="s">
        <v>479</v>
      </c>
      <c r="FJ293" t="s">
        <v>59</v>
      </c>
      <c r="FM293" s="32" t="s">
        <v>749</v>
      </c>
      <c r="FN293" t="s">
        <v>750</v>
      </c>
      <c r="FO293" t="s">
        <v>751</v>
      </c>
      <c r="FP293" t="str">
        <f t="shared" si="99"/>
        <v>B</v>
      </c>
      <c r="FT293" s="69" t="s">
        <v>7442</v>
      </c>
      <c r="FU293" s="61">
        <v>12.105</v>
      </c>
      <c r="FV293" s="61">
        <v>0</v>
      </c>
      <c r="FW293" s="61">
        <v>0</v>
      </c>
      <c r="FX293" s="61">
        <v>0</v>
      </c>
      <c r="FY293" s="61">
        <v>0</v>
      </c>
      <c r="FZ293" s="61">
        <v>14.375</v>
      </c>
      <c r="GA293" s="61">
        <v>26.954999999999998</v>
      </c>
      <c r="GB293" s="61">
        <v>23.355</v>
      </c>
      <c r="GC293" s="61">
        <v>20.715</v>
      </c>
      <c r="GD293" s="61">
        <v>18.8</v>
      </c>
      <c r="GE293" s="61">
        <v>18.965</v>
      </c>
      <c r="GF293" s="61">
        <v>17.505000000000003</v>
      </c>
      <c r="GG293" s="61">
        <v>16.04</v>
      </c>
      <c r="GH293" s="61">
        <v>15.234999999999999</v>
      </c>
      <c r="GI293" s="61">
        <v>14.79</v>
      </c>
      <c r="GJ293" s="61">
        <v>14.475000000000001</v>
      </c>
      <c r="GK293" s="61">
        <v>15.25</v>
      </c>
      <c r="GL293" s="61">
        <v>14.455</v>
      </c>
      <c r="GM293" s="61">
        <v>14.04</v>
      </c>
      <c r="GN293" s="61">
        <v>14.53</v>
      </c>
      <c r="GO293" s="61">
        <v>15.484999999999999</v>
      </c>
      <c r="GP293" s="61">
        <v>17.509999999999998</v>
      </c>
      <c r="GQ293" s="61">
        <v>19.185000000000002</v>
      </c>
      <c r="GR293" s="61">
        <v>20.5</v>
      </c>
      <c r="GU293" s="53">
        <v>63</v>
      </c>
      <c r="GV293" s="53">
        <v>287</v>
      </c>
    </row>
    <row r="294" spans="1:204" ht="15.5" x14ac:dyDescent="0.35">
      <c r="A294" s="95">
        <f t="shared" si="100"/>
        <v>1</v>
      </c>
      <c r="B294" s="11"/>
      <c r="C294" s="11"/>
      <c r="D294" s="92" t="str">
        <f>IFERROR(
IF(AND(OR(Planilla!B294="C",Planilla!B294="c"), VLOOKUP(E294,EX:FJ,13,0)="C"), "OK",IF(AND(OR(Planilla!B294="C",Planilla!B294="c"), OR(VLOOKUP(E294,EX:FJ,13,0)="B", VLOOKUP(E294,EX:FJ,13,0)="A")), "DEFICIT",IF(
AND(OR(Planilla!B294="B", Planilla!B294="BPAL"), VLOOKUP(E294,EX:FJ,13,0)="B"), "OK",IF(AND(OR(Planilla!B294="B", Planilla!B294="BPAL"), VLOOKUP(E294,EX:FJ,13,0)="A"), "DEFICIT",IF(AND(OR(Planilla!B294="B", Planilla!B294="BPAL"), VLOOKUP(E294,EX:FJ,13,0)="C"), "SOBREOFERTA",IF(AND(Planilla!B294="A", VLOOKUP(E294,EX:FJ,13,0)="A"), "OK",IF(
AND(Planilla!B294="A", OR(VLOOKUP(E294,EX:FJ,13,0)="B", VLOOKUP(E294,EX:FJ,13,0)="C")), "SOBREOFERTA",""
))))))),"")</f>
        <v/>
      </c>
      <c r="E294" s="12"/>
      <c r="F294" s="13"/>
      <c r="G294" s="14"/>
      <c r="H294" s="81" t="str">
        <f t="shared" si="101"/>
        <v/>
      </c>
      <c r="I294" s="7"/>
      <c r="J294" s="6" t="e">
        <f t="shared" si="102"/>
        <v>#N/A</v>
      </c>
      <c r="K294" s="6" t="str">
        <f>IF(A295&lt;&gt;A294,AVERAGEIF(A$9:A294,A294,J$9:J294),"")</f>
        <v/>
      </c>
      <c r="L294" s="7" t="str">
        <f>IFERROR(IF(A295&lt;&gt;A294,AVERAGEIF(A$9:A294,A294,S$9:S294),""),"")</f>
        <v/>
      </c>
      <c r="M294" s="7" t="str">
        <f>IFERROR(IF(A295&lt;&gt;A294,AVERAGEIF(A$9:A294,A294,T$9:T294),""),"")</f>
        <v/>
      </c>
      <c r="N294" s="7" t="str" cm="1">
        <f t="array" ref="N294">IFERROR(IF(A295&lt;&gt;A294,_xlfn.STDEV.P(IF(A$9:A294=A294,T$9:T294)),""),"")</f>
        <v/>
      </c>
      <c r="O294" s="7" t="str" cm="1">
        <f t="array" ref="O294">IFERROR(IF(A295&lt;&gt;A294,_xlfn.STDEV.P(IF(A$9:A294=A294,S$9:S294)),""),"")</f>
        <v/>
      </c>
      <c r="P294" s="8" t="str">
        <f t="shared" si="103"/>
        <v/>
      </c>
      <c r="Q294" s="8" t="str">
        <f t="shared" si="104"/>
        <v/>
      </c>
      <c r="R294" s="8" t="str">
        <f t="shared" si="105"/>
        <v/>
      </c>
      <c r="S294" s="9" t="str">
        <f t="shared" si="106"/>
        <v/>
      </c>
      <c r="T294" s="9" t="str">
        <f t="shared" si="107"/>
        <v/>
      </c>
      <c r="U294" s="14"/>
      <c r="V294" s="15"/>
      <c r="W294" s="14" t="str">
        <f t="shared" si="108"/>
        <v/>
      </c>
      <c r="X294" s="15"/>
      <c r="Y294" s="2"/>
      <c r="AB294" s="22">
        <f t="shared" si="109"/>
        <v>1</v>
      </c>
      <c r="AC294" s="11"/>
      <c r="AD294" s="11"/>
      <c r="AE294" s="13"/>
      <c r="AF294" s="12"/>
      <c r="AG294" s="13"/>
      <c r="AH294" s="14"/>
      <c r="AI294" s="81" t="str">
        <f t="shared" si="110"/>
        <v/>
      </c>
      <c r="AJ294" s="15"/>
      <c r="AK294" s="6" t="e">
        <f t="shared" si="111"/>
        <v>#N/A</v>
      </c>
      <c r="AL294" s="6" t="str">
        <f>IF(AB295&lt;&gt;AB294,AVERAGEIF(AB$9:AB294,AB294,AK$9:AK294),"")</f>
        <v/>
      </c>
      <c r="AM294" s="7" t="str">
        <f>IFERROR(IF(AB295&lt;&gt;AB294,AVERAGEIF(AB$9:AB294,AB294,AT$9:AT294),""),"")</f>
        <v/>
      </c>
      <c r="AN294" s="7" t="str">
        <f>IFERROR(IF(AB295&lt;&gt;AB294,AVERAGEIF(AB$9:AB294,AB294,AU$9:AU294),""),"")</f>
        <v/>
      </c>
      <c r="AO294" s="7" t="str" cm="1">
        <f t="array" ref="AO294">IFERROR(IF(AB295&lt;&gt;AB294,_xlfn.STDEV.P(IF(AB$9:AB294=AB294,AU$9:AU294)),""),"")</f>
        <v/>
      </c>
      <c r="AP294" s="7" t="str" cm="1">
        <f t="array" ref="AP294">IFERROR(IF(AB295&lt;&gt;AB294,_xlfn.STDEV.P(IF(AB$9:AB294=AB294,AT$9:AT294)),""),"")</f>
        <v/>
      </c>
      <c r="AQ294" s="8" t="str">
        <f t="shared" si="112"/>
        <v/>
      </c>
      <c r="AR294" s="8" t="str">
        <f t="shared" si="113"/>
        <v/>
      </c>
      <c r="AS294" s="8" t="str">
        <f t="shared" si="114"/>
        <v/>
      </c>
      <c r="AT294" s="9" t="str">
        <f t="shared" si="115"/>
        <v/>
      </c>
      <c r="AU294" s="9" t="str">
        <f t="shared" si="116"/>
        <v/>
      </c>
      <c r="AV294" s="14"/>
      <c r="AW294" s="15"/>
      <c r="AX294" s="14" t="str">
        <f t="shared" si="117"/>
        <v/>
      </c>
      <c r="AY294" s="15"/>
      <c r="AZ294" s="23"/>
      <c r="EW294" t="s">
        <v>46</v>
      </c>
      <c r="EX294" s="33">
        <v>1293</v>
      </c>
      <c r="EY294" s="33" t="s">
        <v>760</v>
      </c>
      <c r="EZ294" s="33" t="s">
        <v>761</v>
      </c>
      <c r="FA294" s="33" t="s">
        <v>343</v>
      </c>
      <c r="FB294" s="33" t="s">
        <v>344</v>
      </c>
      <c r="FC294" s="33" t="s">
        <v>345</v>
      </c>
      <c r="FD294" s="33" t="s">
        <v>346</v>
      </c>
      <c r="FE294" s="33">
        <v>2025</v>
      </c>
      <c r="FF294" s="33" t="s">
        <v>59</v>
      </c>
      <c r="FG294" s="33" t="s">
        <v>477</v>
      </c>
      <c r="FH294" s="33" t="s">
        <v>478</v>
      </c>
      <c r="FI294" s="33" t="s">
        <v>479</v>
      </c>
      <c r="FJ294" t="s">
        <v>59</v>
      </c>
      <c r="FM294" s="32" t="s">
        <v>749</v>
      </c>
      <c r="FN294" t="s">
        <v>750</v>
      </c>
      <c r="FO294" t="s">
        <v>751</v>
      </c>
      <c r="FP294" t="str">
        <f t="shared" si="99"/>
        <v>B</v>
      </c>
      <c r="FT294" s="69">
        <v>102</v>
      </c>
      <c r="FU294" s="61">
        <v>28.25</v>
      </c>
      <c r="FV294" s="61">
        <v>14.42</v>
      </c>
      <c r="FW294" s="61">
        <v>0</v>
      </c>
      <c r="FX294" s="61">
        <v>0</v>
      </c>
      <c r="FY294" s="61">
        <v>0</v>
      </c>
      <c r="FZ294" s="61">
        <v>12.51</v>
      </c>
      <c r="GA294" s="61">
        <v>24.31</v>
      </c>
      <c r="GB294" s="61">
        <v>22.66</v>
      </c>
      <c r="GC294" s="61">
        <v>20.954999999999998</v>
      </c>
      <c r="GD294" s="61">
        <v>19.88</v>
      </c>
      <c r="GE294" s="61">
        <v>18.740000000000002</v>
      </c>
      <c r="GF294" s="61">
        <v>17.744999999999997</v>
      </c>
      <c r="GG294" s="61">
        <v>16.814999999999998</v>
      </c>
      <c r="GH294" s="61">
        <v>16.535</v>
      </c>
      <c r="GI294" s="61">
        <v>17.270000000000003</v>
      </c>
      <c r="GJ294" s="61">
        <v>17.734999999999999</v>
      </c>
      <c r="GK294" s="61">
        <v>17.670000000000002</v>
      </c>
      <c r="GL294" s="61">
        <v>17.850000000000001</v>
      </c>
      <c r="GM294" s="61">
        <v>18.14</v>
      </c>
      <c r="GN294" s="61">
        <v>18.865000000000002</v>
      </c>
      <c r="GO294" s="61">
        <v>20.32</v>
      </c>
      <c r="GP294" s="61">
        <v>21.674999999999997</v>
      </c>
      <c r="GQ294" s="61">
        <v>24.380000000000003</v>
      </c>
      <c r="GR294" s="61">
        <v>27.22</v>
      </c>
      <c r="GU294" s="53">
        <v>64</v>
      </c>
      <c r="GV294" s="53">
        <v>288</v>
      </c>
    </row>
    <row r="295" spans="1:204" ht="15.5" x14ac:dyDescent="0.35">
      <c r="A295" s="95">
        <f t="shared" si="100"/>
        <v>1</v>
      </c>
      <c r="B295" s="11"/>
      <c r="C295" s="11"/>
      <c r="D295" s="92" t="str">
        <f>IFERROR(
IF(AND(OR(Planilla!B295="C",Planilla!B295="c"), VLOOKUP(E295,EX:FJ,13,0)="C"), "OK",IF(AND(OR(Planilla!B295="C",Planilla!B295="c"), OR(VLOOKUP(E295,EX:FJ,13,0)="B", VLOOKUP(E295,EX:FJ,13,0)="A")), "DEFICIT",IF(
AND(OR(Planilla!B295="B", Planilla!B295="BPAL"), VLOOKUP(E295,EX:FJ,13,0)="B"), "OK",IF(AND(OR(Planilla!B295="B", Planilla!B295="BPAL"), VLOOKUP(E295,EX:FJ,13,0)="A"), "DEFICIT",IF(AND(OR(Planilla!B295="B", Planilla!B295="BPAL"), VLOOKUP(E295,EX:FJ,13,0)="C"), "SOBREOFERTA",IF(AND(Planilla!B295="A", VLOOKUP(E295,EX:FJ,13,0)="A"), "OK",IF(
AND(Planilla!B295="A", OR(VLOOKUP(E295,EX:FJ,13,0)="B", VLOOKUP(E295,EX:FJ,13,0)="C")), "SOBREOFERTA",""
))))))),"")</f>
        <v/>
      </c>
      <c r="E295" s="12"/>
      <c r="F295" s="13"/>
      <c r="G295" s="14"/>
      <c r="H295" s="81" t="str">
        <f t="shared" si="101"/>
        <v/>
      </c>
      <c r="I295" s="7"/>
      <c r="J295" s="6" t="e">
        <f t="shared" si="102"/>
        <v>#N/A</v>
      </c>
      <c r="K295" s="6" t="str">
        <f>IF(A296&lt;&gt;A295,AVERAGEIF(A$9:A295,A295,J$9:J295),"")</f>
        <v/>
      </c>
      <c r="L295" s="7" t="str">
        <f>IFERROR(IF(A296&lt;&gt;A295,AVERAGEIF(A$9:A295,A295,S$9:S295),""),"")</f>
        <v/>
      </c>
      <c r="M295" s="7" t="str">
        <f>IFERROR(IF(A296&lt;&gt;A295,AVERAGEIF(A$9:A295,A295,T$9:T295),""),"")</f>
        <v/>
      </c>
      <c r="N295" s="7" t="str" cm="1">
        <f t="array" ref="N295">IFERROR(IF(A296&lt;&gt;A295,_xlfn.STDEV.P(IF(A$9:A295=A295,T$9:T295)),""),"")</f>
        <v/>
      </c>
      <c r="O295" s="7" t="str" cm="1">
        <f t="array" ref="O295">IFERROR(IF(A296&lt;&gt;A295,_xlfn.STDEV.P(IF(A$9:A295=A295,S$9:S295)),""),"")</f>
        <v/>
      </c>
      <c r="P295" s="8" t="str">
        <f t="shared" si="103"/>
        <v/>
      </c>
      <c r="Q295" s="8" t="str">
        <f t="shared" si="104"/>
        <v/>
      </c>
      <c r="R295" s="8" t="str">
        <f t="shared" si="105"/>
        <v/>
      </c>
      <c r="S295" s="9" t="str">
        <f t="shared" si="106"/>
        <v/>
      </c>
      <c r="T295" s="9" t="str">
        <f t="shared" si="107"/>
        <v/>
      </c>
      <c r="U295" s="14"/>
      <c r="V295" s="15"/>
      <c r="W295" s="14" t="str">
        <f t="shared" si="108"/>
        <v/>
      </c>
      <c r="X295" s="15"/>
      <c r="Y295" s="2"/>
      <c r="AB295" s="22">
        <f t="shared" si="109"/>
        <v>1</v>
      </c>
      <c r="AC295" s="11"/>
      <c r="AD295" s="11"/>
      <c r="AE295" s="13"/>
      <c r="AF295" s="12"/>
      <c r="AG295" s="13"/>
      <c r="AH295" s="14"/>
      <c r="AI295" s="81" t="str">
        <f t="shared" si="110"/>
        <v/>
      </c>
      <c r="AJ295" s="15"/>
      <c r="AK295" s="6" t="e">
        <f t="shared" si="111"/>
        <v>#N/A</v>
      </c>
      <c r="AL295" s="6" t="str">
        <f>IF(AB296&lt;&gt;AB295,AVERAGEIF(AB$9:AB295,AB295,AK$9:AK295),"")</f>
        <v/>
      </c>
      <c r="AM295" s="7" t="str">
        <f>IFERROR(IF(AB296&lt;&gt;AB295,AVERAGEIF(AB$9:AB295,AB295,AT$9:AT295),""),"")</f>
        <v/>
      </c>
      <c r="AN295" s="7" t="str">
        <f>IFERROR(IF(AB296&lt;&gt;AB295,AVERAGEIF(AB$9:AB295,AB295,AU$9:AU295),""),"")</f>
        <v/>
      </c>
      <c r="AO295" s="7" t="str" cm="1">
        <f t="array" ref="AO295">IFERROR(IF(AB296&lt;&gt;AB295,_xlfn.STDEV.P(IF(AB$9:AB295=AB295,AU$9:AU295)),""),"")</f>
        <v/>
      </c>
      <c r="AP295" s="7" t="str" cm="1">
        <f t="array" ref="AP295">IFERROR(IF(AB296&lt;&gt;AB295,_xlfn.STDEV.P(IF(AB$9:AB295=AB295,AT$9:AT295)),""),"")</f>
        <v/>
      </c>
      <c r="AQ295" s="8" t="str">
        <f t="shared" si="112"/>
        <v/>
      </c>
      <c r="AR295" s="8" t="str">
        <f t="shared" si="113"/>
        <v/>
      </c>
      <c r="AS295" s="8" t="str">
        <f t="shared" si="114"/>
        <v/>
      </c>
      <c r="AT295" s="9" t="str">
        <f t="shared" si="115"/>
        <v/>
      </c>
      <c r="AU295" s="9" t="str">
        <f t="shared" si="116"/>
        <v/>
      </c>
      <c r="AV295" s="14"/>
      <c r="AW295" s="15"/>
      <c r="AX295" s="14" t="str">
        <f t="shared" si="117"/>
        <v/>
      </c>
      <c r="AY295" s="15"/>
      <c r="AZ295" s="23"/>
      <c r="EW295" t="s">
        <v>46</v>
      </c>
      <c r="EX295" s="33">
        <v>1294</v>
      </c>
      <c r="EY295" s="33" t="s">
        <v>762</v>
      </c>
      <c r="EZ295" s="33" t="s">
        <v>763</v>
      </c>
      <c r="FA295" s="33" t="s">
        <v>343</v>
      </c>
      <c r="FB295" s="33" t="s">
        <v>344</v>
      </c>
      <c r="FC295" s="33" t="s">
        <v>345</v>
      </c>
      <c r="FD295" s="33" t="s">
        <v>346</v>
      </c>
      <c r="FE295" s="33">
        <v>2025</v>
      </c>
      <c r="FF295" s="33" t="s">
        <v>59</v>
      </c>
      <c r="FG295" s="33" t="s">
        <v>477</v>
      </c>
      <c r="FH295" s="33" t="s">
        <v>478</v>
      </c>
      <c r="FI295" s="33" t="s">
        <v>479</v>
      </c>
      <c r="FJ295" t="s">
        <v>59</v>
      </c>
      <c r="FM295" s="32" t="s">
        <v>749</v>
      </c>
      <c r="FN295" t="s">
        <v>750</v>
      </c>
      <c r="FO295" t="s">
        <v>751</v>
      </c>
      <c r="FP295" t="str">
        <f t="shared" si="99"/>
        <v>B</v>
      </c>
      <c r="FT295" s="69">
        <v>102</v>
      </c>
      <c r="FU295" s="61">
        <v>29.085000000000001</v>
      </c>
      <c r="FV295" s="61">
        <v>0</v>
      </c>
      <c r="FW295" s="61">
        <v>0</v>
      </c>
      <c r="FX295" s="61">
        <v>0</v>
      </c>
      <c r="FY295" s="61">
        <v>31.105</v>
      </c>
      <c r="FZ295" s="61">
        <v>28.245000000000001</v>
      </c>
      <c r="GA295" s="61">
        <v>24.79</v>
      </c>
      <c r="GB295" s="61">
        <v>23.494999999999997</v>
      </c>
      <c r="GC295" s="61">
        <v>21.240000000000002</v>
      </c>
      <c r="GD295" s="61">
        <v>20.329999999999998</v>
      </c>
      <c r="GE295" s="61">
        <v>19.09</v>
      </c>
      <c r="GF295" s="61">
        <v>17.920000000000002</v>
      </c>
      <c r="GG295" s="61">
        <v>17.005000000000003</v>
      </c>
      <c r="GH295" s="61">
        <v>17.11</v>
      </c>
      <c r="GI295" s="61">
        <v>18.305</v>
      </c>
      <c r="GJ295" s="61">
        <v>18.799999999999997</v>
      </c>
      <c r="GK295" s="61">
        <v>18.170000000000002</v>
      </c>
      <c r="GL295" s="61">
        <v>18.295000000000002</v>
      </c>
      <c r="GM295" s="61">
        <v>19.29</v>
      </c>
      <c r="GN295" s="61">
        <v>20.240000000000002</v>
      </c>
      <c r="GO295" s="61">
        <v>22.004999999999999</v>
      </c>
      <c r="GP295" s="61">
        <v>23.66</v>
      </c>
      <c r="GQ295" s="61">
        <v>25.44</v>
      </c>
      <c r="GR295" s="61">
        <v>26.785</v>
      </c>
      <c r="GU295" s="53">
        <v>65</v>
      </c>
      <c r="GV295" s="53">
        <v>289</v>
      </c>
    </row>
    <row r="296" spans="1:204" ht="15.5" x14ac:dyDescent="0.35">
      <c r="A296" s="95">
        <f t="shared" si="100"/>
        <v>1</v>
      </c>
      <c r="B296" s="11"/>
      <c r="C296" s="11"/>
      <c r="D296" s="92" t="str">
        <f>IFERROR(
IF(AND(OR(Planilla!B296="C",Planilla!B296="c"), VLOOKUP(E296,EX:FJ,13,0)="C"), "OK",IF(AND(OR(Planilla!B296="C",Planilla!B296="c"), OR(VLOOKUP(E296,EX:FJ,13,0)="B", VLOOKUP(E296,EX:FJ,13,0)="A")), "DEFICIT",IF(
AND(OR(Planilla!B296="B", Planilla!B296="BPAL"), VLOOKUP(E296,EX:FJ,13,0)="B"), "OK",IF(AND(OR(Planilla!B296="B", Planilla!B296="BPAL"), VLOOKUP(E296,EX:FJ,13,0)="A"), "DEFICIT",IF(AND(OR(Planilla!B296="B", Planilla!B296="BPAL"), VLOOKUP(E296,EX:FJ,13,0)="C"), "SOBREOFERTA",IF(AND(Planilla!B296="A", VLOOKUP(E296,EX:FJ,13,0)="A"), "OK",IF(
AND(Planilla!B296="A", OR(VLOOKUP(E296,EX:FJ,13,0)="B", VLOOKUP(E296,EX:FJ,13,0)="C")), "SOBREOFERTA",""
))))))),"")</f>
        <v/>
      </c>
      <c r="E296" s="12"/>
      <c r="F296" s="13"/>
      <c r="G296" s="14"/>
      <c r="H296" s="81" t="str">
        <f t="shared" si="101"/>
        <v/>
      </c>
      <c r="I296" s="7"/>
      <c r="J296" s="6" t="e">
        <f t="shared" si="102"/>
        <v>#N/A</v>
      </c>
      <c r="K296" s="6" t="str">
        <f>IF(A297&lt;&gt;A296,AVERAGEIF(A$9:A296,A296,J$9:J296),"")</f>
        <v/>
      </c>
      <c r="L296" s="7" t="str">
        <f>IFERROR(IF(A297&lt;&gt;A296,AVERAGEIF(A$9:A296,A296,S$9:S296),""),"")</f>
        <v/>
      </c>
      <c r="M296" s="7" t="str">
        <f>IFERROR(IF(A297&lt;&gt;A296,AVERAGEIF(A$9:A296,A296,T$9:T296),""),"")</f>
        <v/>
      </c>
      <c r="N296" s="7" t="str" cm="1">
        <f t="array" ref="N296">IFERROR(IF(A297&lt;&gt;A296,_xlfn.STDEV.P(IF(A$9:A296=A296,T$9:T296)),""),"")</f>
        <v/>
      </c>
      <c r="O296" s="7" t="str" cm="1">
        <f t="array" ref="O296">IFERROR(IF(A297&lt;&gt;A296,_xlfn.STDEV.P(IF(A$9:A296=A296,S$9:S296)),""),"")</f>
        <v/>
      </c>
      <c r="P296" s="8" t="str">
        <f t="shared" si="103"/>
        <v/>
      </c>
      <c r="Q296" s="8" t="str">
        <f t="shared" si="104"/>
        <v/>
      </c>
      <c r="R296" s="8" t="str">
        <f t="shared" si="105"/>
        <v/>
      </c>
      <c r="S296" s="9" t="str">
        <f t="shared" si="106"/>
        <v/>
      </c>
      <c r="T296" s="9" t="str">
        <f t="shared" si="107"/>
        <v/>
      </c>
      <c r="U296" s="14"/>
      <c r="V296" s="15"/>
      <c r="W296" s="14" t="str">
        <f t="shared" si="108"/>
        <v/>
      </c>
      <c r="X296" s="15"/>
      <c r="Y296" s="2"/>
      <c r="AB296" s="22">
        <f t="shared" si="109"/>
        <v>1</v>
      </c>
      <c r="AC296" s="11"/>
      <c r="AD296" s="11"/>
      <c r="AE296" s="13"/>
      <c r="AF296" s="12"/>
      <c r="AG296" s="13"/>
      <c r="AH296" s="14"/>
      <c r="AI296" s="81" t="str">
        <f t="shared" si="110"/>
        <v/>
      </c>
      <c r="AJ296" s="15"/>
      <c r="AK296" s="6" t="e">
        <f t="shared" si="111"/>
        <v>#N/A</v>
      </c>
      <c r="AL296" s="6" t="str">
        <f>IF(AB297&lt;&gt;AB296,AVERAGEIF(AB$9:AB296,AB296,AK$9:AK296),"")</f>
        <v/>
      </c>
      <c r="AM296" s="7" t="str">
        <f>IFERROR(IF(AB297&lt;&gt;AB296,AVERAGEIF(AB$9:AB296,AB296,AT$9:AT296),""),"")</f>
        <v/>
      </c>
      <c r="AN296" s="7" t="str">
        <f>IFERROR(IF(AB297&lt;&gt;AB296,AVERAGEIF(AB$9:AB296,AB296,AU$9:AU296),""),"")</f>
        <v/>
      </c>
      <c r="AO296" s="7" t="str" cm="1">
        <f t="array" ref="AO296">IFERROR(IF(AB297&lt;&gt;AB296,_xlfn.STDEV.P(IF(AB$9:AB296=AB296,AU$9:AU296)),""),"")</f>
        <v/>
      </c>
      <c r="AP296" s="7" t="str" cm="1">
        <f t="array" ref="AP296">IFERROR(IF(AB297&lt;&gt;AB296,_xlfn.STDEV.P(IF(AB$9:AB296=AB296,AT$9:AT296)),""),"")</f>
        <v/>
      </c>
      <c r="AQ296" s="8" t="str">
        <f t="shared" si="112"/>
        <v/>
      </c>
      <c r="AR296" s="8" t="str">
        <f t="shared" si="113"/>
        <v/>
      </c>
      <c r="AS296" s="8" t="str">
        <f t="shared" si="114"/>
        <v/>
      </c>
      <c r="AT296" s="9" t="str">
        <f t="shared" si="115"/>
        <v/>
      </c>
      <c r="AU296" s="9" t="str">
        <f t="shared" si="116"/>
        <v/>
      </c>
      <c r="AV296" s="14"/>
      <c r="AW296" s="15"/>
      <c r="AX296" s="14" t="str">
        <f t="shared" si="117"/>
        <v/>
      </c>
      <c r="AY296" s="15"/>
      <c r="AZ296" s="23"/>
      <c r="EW296" t="s">
        <v>46</v>
      </c>
      <c r="EX296" s="33">
        <v>1295</v>
      </c>
      <c r="EY296" s="33" t="s">
        <v>764</v>
      </c>
      <c r="EZ296" s="33" t="s">
        <v>765</v>
      </c>
      <c r="FA296" s="33" t="s">
        <v>343</v>
      </c>
      <c r="FB296" s="33" t="s">
        <v>344</v>
      </c>
      <c r="FC296" s="33" t="s">
        <v>345</v>
      </c>
      <c r="FD296" s="33" t="s">
        <v>346</v>
      </c>
      <c r="FE296" s="33">
        <v>2025</v>
      </c>
      <c r="FF296" s="33" t="s">
        <v>59</v>
      </c>
      <c r="FG296" s="33" t="s">
        <v>477</v>
      </c>
      <c r="FH296" s="33" t="s">
        <v>478</v>
      </c>
      <c r="FI296" s="33" t="s">
        <v>479</v>
      </c>
      <c r="FJ296" t="s">
        <v>59</v>
      </c>
      <c r="FM296" s="32" t="s">
        <v>749</v>
      </c>
      <c r="FN296" t="s">
        <v>750</v>
      </c>
      <c r="FO296" t="s">
        <v>751</v>
      </c>
      <c r="FP296" t="str">
        <f t="shared" si="99"/>
        <v>B</v>
      </c>
      <c r="FT296" s="69">
        <v>124</v>
      </c>
      <c r="FU296" s="61">
        <v>12.345000000000001</v>
      </c>
      <c r="FV296" s="61">
        <v>0</v>
      </c>
      <c r="FW296" s="61">
        <v>0</v>
      </c>
      <c r="FX296" s="61">
        <v>0</v>
      </c>
      <c r="FY296" s="61">
        <v>0</v>
      </c>
      <c r="FZ296" s="61">
        <v>11.86</v>
      </c>
      <c r="GA296" s="61">
        <v>22.49</v>
      </c>
      <c r="GB296" s="61">
        <v>20.935000000000002</v>
      </c>
      <c r="GC296" s="61">
        <v>19.97</v>
      </c>
      <c r="GD296" s="61">
        <v>18.619999999999997</v>
      </c>
      <c r="GE296" s="61">
        <v>17.14</v>
      </c>
      <c r="GF296" s="61">
        <v>16.14</v>
      </c>
      <c r="GG296" s="61">
        <v>15.725</v>
      </c>
      <c r="GH296" s="61">
        <v>15.219999999999999</v>
      </c>
      <c r="GI296" s="61">
        <v>14.865</v>
      </c>
      <c r="GJ296" s="61">
        <v>15.19</v>
      </c>
      <c r="GK296" s="61">
        <v>15.57</v>
      </c>
      <c r="GL296" s="61">
        <v>15.625</v>
      </c>
      <c r="GM296" s="61">
        <v>15.925000000000001</v>
      </c>
      <c r="GN296" s="61">
        <v>16.88</v>
      </c>
      <c r="GO296" s="61">
        <v>17.755000000000003</v>
      </c>
      <c r="GP296" s="61">
        <v>18.994999999999997</v>
      </c>
      <c r="GQ296" s="61">
        <v>21.380000000000003</v>
      </c>
      <c r="GR296" s="61">
        <v>24.4</v>
      </c>
      <c r="GU296" s="53">
        <v>66</v>
      </c>
      <c r="GV296" s="53">
        <v>290</v>
      </c>
    </row>
    <row r="297" spans="1:204" ht="15.5" x14ac:dyDescent="0.35">
      <c r="A297" s="95">
        <f t="shared" si="100"/>
        <v>1</v>
      </c>
      <c r="B297" s="11"/>
      <c r="C297" s="11"/>
      <c r="D297" s="92" t="str">
        <f>IFERROR(
IF(AND(OR(Planilla!B297="C",Planilla!B297="c"), VLOOKUP(E297,EX:FJ,13,0)="C"), "OK",IF(AND(OR(Planilla!B297="C",Planilla!B297="c"), OR(VLOOKUP(E297,EX:FJ,13,0)="B", VLOOKUP(E297,EX:FJ,13,0)="A")), "DEFICIT",IF(
AND(OR(Planilla!B297="B", Planilla!B297="BPAL"), VLOOKUP(E297,EX:FJ,13,0)="B"), "OK",IF(AND(OR(Planilla!B297="B", Planilla!B297="BPAL"), VLOOKUP(E297,EX:FJ,13,0)="A"), "DEFICIT",IF(AND(OR(Planilla!B297="B", Planilla!B297="BPAL"), VLOOKUP(E297,EX:FJ,13,0)="C"), "SOBREOFERTA",IF(AND(Planilla!B297="A", VLOOKUP(E297,EX:FJ,13,0)="A"), "OK",IF(
AND(Planilla!B297="A", OR(VLOOKUP(E297,EX:FJ,13,0)="B", VLOOKUP(E297,EX:FJ,13,0)="C")), "SOBREOFERTA",""
))))))),"")</f>
        <v/>
      </c>
      <c r="E297" s="12"/>
      <c r="F297" s="13"/>
      <c r="G297" s="14"/>
      <c r="H297" s="81" t="str">
        <f t="shared" si="101"/>
        <v/>
      </c>
      <c r="I297" s="7"/>
      <c r="J297" s="6" t="e">
        <f t="shared" si="102"/>
        <v>#N/A</v>
      </c>
      <c r="K297" s="6" t="str">
        <f>IF(A298&lt;&gt;A297,AVERAGEIF(A$9:A297,A297,J$9:J297),"")</f>
        <v/>
      </c>
      <c r="L297" s="7" t="str">
        <f>IFERROR(IF(A298&lt;&gt;A297,AVERAGEIF(A$9:A297,A297,S$9:S297),""),"")</f>
        <v/>
      </c>
      <c r="M297" s="7" t="str">
        <f>IFERROR(IF(A298&lt;&gt;A297,AVERAGEIF(A$9:A297,A297,T$9:T297),""),"")</f>
        <v/>
      </c>
      <c r="N297" s="7" t="str" cm="1">
        <f t="array" ref="N297">IFERROR(IF(A298&lt;&gt;A297,_xlfn.STDEV.P(IF(A$9:A297=A297,T$9:T297)),""),"")</f>
        <v/>
      </c>
      <c r="O297" s="7" t="str" cm="1">
        <f t="array" ref="O297">IFERROR(IF(A298&lt;&gt;A297,_xlfn.STDEV.P(IF(A$9:A297=A297,S$9:S297)),""),"")</f>
        <v/>
      </c>
      <c r="P297" s="8" t="str">
        <f t="shared" si="103"/>
        <v/>
      </c>
      <c r="Q297" s="8" t="str">
        <f t="shared" si="104"/>
        <v/>
      </c>
      <c r="R297" s="8" t="str">
        <f t="shared" si="105"/>
        <v/>
      </c>
      <c r="S297" s="9" t="str">
        <f t="shared" si="106"/>
        <v/>
      </c>
      <c r="T297" s="9" t="str">
        <f t="shared" si="107"/>
        <v/>
      </c>
      <c r="U297" s="14"/>
      <c r="V297" s="15"/>
      <c r="W297" s="14" t="str">
        <f t="shared" si="108"/>
        <v/>
      </c>
      <c r="X297" s="15"/>
      <c r="Y297" s="2"/>
      <c r="AB297" s="22">
        <f t="shared" si="109"/>
        <v>1</v>
      </c>
      <c r="AC297" s="11"/>
      <c r="AD297" s="11"/>
      <c r="AE297" s="13"/>
      <c r="AF297" s="12"/>
      <c r="AG297" s="13"/>
      <c r="AH297" s="14"/>
      <c r="AI297" s="81" t="str">
        <f t="shared" si="110"/>
        <v/>
      </c>
      <c r="AJ297" s="15"/>
      <c r="AK297" s="6" t="e">
        <f t="shared" si="111"/>
        <v>#N/A</v>
      </c>
      <c r="AL297" s="6" t="str">
        <f>IF(AB298&lt;&gt;AB297,AVERAGEIF(AB$9:AB297,AB297,AK$9:AK297),"")</f>
        <v/>
      </c>
      <c r="AM297" s="7" t="str">
        <f>IFERROR(IF(AB298&lt;&gt;AB297,AVERAGEIF(AB$9:AB297,AB297,AT$9:AT297),""),"")</f>
        <v/>
      </c>
      <c r="AN297" s="7" t="str">
        <f>IFERROR(IF(AB298&lt;&gt;AB297,AVERAGEIF(AB$9:AB297,AB297,AU$9:AU297),""),"")</f>
        <v/>
      </c>
      <c r="AO297" s="7" t="str" cm="1">
        <f t="array" ref="AO297">IFERROR(IF(AB298&lt;&gt;AB297,_xlfn.STDEV.P(IF(AB$9:AB297=AB297,AU$9:AU297)),""),"")</f>
        <v/>
      </c>
      <c r="AP297" s="7" t="str" cm="1">
        <f t="array" ref="AP297">IFERROR(IF(AB298&lt;&gt;AB297,_xlfn.STDEV.P(IF(AB$9:AB297=AB297,AT$9:AT297)),""),"")</f>
        <v/>
      </c>
      <c r="AQ297" s="8" t="str">
        <f t="shared" si="112"/>
        <v/>
      </c>
      <c r="AR297" s="8" t="str">
        <f t="shared" si="113"/>
        <v/>
      </c>
      <c r="AS297" s="8" t="str">
        <f t="shared" si="114"/>
        <v/>
      </c>
      <c r="AT297" s="9" t="str">
        <f t="shared" si="115"/>
        <v/>
      </c>
      <c r="AU297" s="9" t="str">
        <f t="shared" si="116"/>
        <v/>
      </c>
      <c r="AV297" s="14"/>
      <c r="AW297" s="15"/>
      <c r="AX297" s="14" t="str">
        <f t="shared" si="117"/>
        <v/>
      </c>
      <c r="AY297" s="15"/>
      <c r="AZ297" s="23"/>
      <c r="EW297" t="s">
        <v>46</v>
      </c>
      <c r="EX297" s="33">
        <v>1296</v>
      </c>
      <c r="EY297" s="33" t="s">
        <v>766</v>
      </c>
      <c r="EZ297" s="33" t="s">
        <v>767</v>
      </c>
      <c r="FA297" s="33" t="s">
        <v>343</v>
      </c>
      <c r="FB297" s="33" t="s">
        <v>344</v>
      </c>
      <c r="FC297" s="33" t="s">
        <v>345</v>
      </c>
      <c r="FD297" s="33" t="s">
        <v>346</v>
      </c>
      <c r="FE297" s="33">
        <v>2025</v>
      </c>
      <c r="FF297" s="33" t="s">
        <v>59</v>
      </c>
      <c r="FG297" s="33" t="s">
        <v>477</v>
      </c>
      <c r="FH297" s="33" t="s">
        <v>478</v>
      </c>
      <c r="FI297" s="33" t="s">
        <v>479</v>
      </c>
      <c r="FJ297" t="s">
        <v>59</v>
      </c>
      <c r="FM297" s="32" t="s">
        <v>749</v>
      </c>
      <c r="FN297" t="s">
        <v>750</v>
      </c>
      <c r="FO297" t="s">
        <v>751</v>
      </c>
      <c r="FP297" t="str">
        <f t="shared" si="99"/>
        <v>B</v>
      </c>
      <c r="FT297" s="69">
        <v>124</v>
      </c>
      <c r="FU297" s="61">
        <v>0</v>
      </c>
      <c r="FV297" s="61">
        <v>0</v>
      </c>
      <c r="FW297" s="61">
        <v>0</v>
      </c>
      <c r="FX297" s="61">
        <v>13.55</v>
      </c>
      <c r="FY297" s="61">
        <v>27.439999999999998</v>
      </c>
      <c r="FZ297" s="61">
        <v>25.305</v>
      </c>
      <c r="GA297" s="61">
        <v>22.155000000000001</v>
      </c>
      <c r="GB297" s="61">
        <v>20.79</v>
      </c>
      <c r="GC297" s="61">
        <v>18.939999999999998</v>
      </c>
      <c r="GD297" s="61">
        <v>17.59</v>
      </c>
      <c r="GE297" s="61">
        <v>17.274999999999999</v>
      </c>
      <c r="GF297" s="61">
        <v>16.555</v>
      </c>
      <c r="GG297" s="61">
        <v>15.574999999999999</v>
      </c>
      <c r="GH297" s="61">
        <v>15.940000000000001</v>
      </c>
      <c r="GI297" s="61">
        <v>16.36</v>
      </c>
      <c r="GJ297" s="61">
        <v>16.465</v>
      </c>
      <c r="GK297" s="61">
        <v>16.225000000000001</v>
      </c>
      <c r="GL297" s="61">
        <v>16.215000000000003</v>
      </c>
      <c r="GM297" s="61">
        <v>16.97</v>
      </c>
      <c r="GN297" s="61">
        <v>18.5</v>
      </c>
      <c r="GO297" s="61">
        <v>20.28</v>
      </c>
      <c r="GP297" s="61">
        <v>21.53</v>
      </c>
      <c r="GQ297" s="61">
        <v>23.515000000000001</v>
      </c>
      <c r="GR297" s="61">
        <v>25.65</v>
      </c>
      <c r="GU297" s="53">
        <v>67</v>
      </c>
      <c r="GV297" s="53">
        <v>291</v>
      </c>
    </row>
    <row r="298" spans="1:204" ht="15.5" x14ac:dyDescent="0.35">
      <c r="A298" s="95">
        <f t="shared" si="100"/>
        <v>1</v>
      </c>
      <c r="B298" s="11"/>
      <c r="C298" s="11"/>
      <c r="D298" s="92" t="str">
        <f>IFERROR(
IF(AND(OR(Planilla!B298="C",Planilla!B298="c"), VLOOKUP(E298,EX:FJ,13,0)="C"), "OK",IF(AND(OR(Planilla!B298="C",Planilla!B298="c"), OR(VLOOKUP(E298,EX:FJ,13,0)="B", VLOOKUP(E298,EX:FJ,13,0)="A")), "DEFICIT",IF(
AND(OR(Planilla!B298="B", Planilla!B298="BPAL"), VLOOKUP(E298,EX:FJ,13,0)="B"), "OK",IF(AND(OR(Planilla!B298="B", Planilla!B298="BPAL"), VLOOKUP(E298,EX:FJ,13,0)="A"), "DEFICIT",IF(AND(OR(Planilla!B298="B", Planilla!B298="BPAL"), VLOOKUP(E298,EX:FJ,13,0)="C"), "SOBREOFERTA",IF(AND(Planilla!B298="A", VLOOKUP(E298,EX:FJ,13,0)="A"), "OK",IF(
AND(Planilla!B298="A", OR(VLOOKUP(E298,EX:FJ,13,0)="B", VLOOKUP(E298,EX:FJ,13,0)="C")), "SOBREOFERTA",""
))))))),"")</f>
        <v/>
      </c>
      <c r="E298" s="12"/>
      <c r="F298" s="13"/>
      <c r="G298" s="14"/>
      <c r="H298" s="81" t="str">
        <f t="shared" si="101"/>
        <v/>
      </c>
      <c r="I298" s="7"/>
      <c r="J298" s="6" t="e">
        <f t="shared" si="102"/>
        <v>#N/A</v>
      </c>
      <c r="K298" s="6" t="str">
        <f>IF(A299&lt;&gt;A298,AVERAGEIF(A$9:A298,A298,J$9:J298),"")</f>
        <v/>
      </c>
      <c r="L298" s="7" t="str">
        <f>IFERROR(IF(A299&lt;&gt;A298,AVERAGEIF(A$9:A298,A298,S$9:S298),""),"")</f>
        <v/>
      </c>
      <c r="M298" s="7" t="str">
        <f>IFERROR(IF(A299&lt;&gt;A298,AVERAGEIF(A$9:A298,A298,T$9:T298),""),"")</f>
        <v/>
      </c>
      <c r="N298" s="7" t="str" cm="1">
        <f t="array" ref="N298">IFERROR(IF(A299&lt;&gt;A298,_xlfn.STDEV.P(IF(A$9:A298=A298,T$9:T298)),""),"")</f>
        <v/>
      </c>
      <c r="O298" s="7" t="str" cm="1">
        <f t="array" ref="O298">IFERROR(IF(A299&lt;&gt;A298,_xlfn.STDEV.P(IF(A$9:A298=A298,S$9:S298)),""),"")</f>
        <v/>
      </c>
      <c r="P298" s="8" t="str">
        <f t="shared" si="103"/>
        <v/>
      </c>
      <c r="Q298" s="8" t="str">
        <f t="shared" si="104"/>
        <v/>
      </c>
      <c r="R298" s="8" t="str">
        <f t="shared" si="105"/>
        <v/>
      </c>
      <c r="S298" s="9" t="str">
        <f t="shared" si="106"/>
        <v/>
      </c>
      <c r="T298" s="9" t="str">
        <f t="shared" si="107"/>
        <v/>
      </c>
      <c r="U298" s="14"/>
      <c r="V298" s="15"/>
      <c r="W298" s="14" t="str">
        <f t="shared" si="108"/>
        <v/>
      </c>
      <c r="X298" s="15"/>
      <c r="Y298" s="2"/>
      <c r="AB298" s="22">
        <f t="shared" si="109"/>
        <v>1</v>
      </c>
      <c r="AC298" s="11"/>
      <c r="AD298" s="11"/>
      <c r="AE298" s="13"/>
      <c r="AF298" s="12"/>
      <c r="AG298" s="13"/>
      <c r="AH298" s="14"/>
      <c r="AI298" s="81" t="str">
        <f t="shared" si="110"/>
        <v/>
      </c>
      <c r="AJ298" s="15"/>
      <c r="AK298" s="6" t="e">
        <f t="shared" si="111"/>
        <v>#N/A</v>
      </c>
      <c r="AL298" s="6" t="str">
        <f>IF(AB299&lt;&gt;AB298,AVERAGEIF(AB$9:AB298,AB298,AK$9:AK298),"")</f>
        <v/>
      </c>
      <c r="AM298" s="7" t="str">
        <f>IFERROR(IF(AB299&lt;&gt;AB298,AVERAGEIF(AB$9:AB298,AB298,AT$9:AT298),""),"")</f>
        <v/>
      </c>
      <c r="AN298" s="7" t="str">
        <f>IFERROR(IF(AB299&lt;&gt;AB298,AVERAGEIF(AB$9:AB298,AB298,AU$9:AU298),""),"")</f>
        <v/>
      </c>
      <c r="AO298" s="7" t="str" cm="1">
        <f t="array" ref="AO298">IFERROR(IF(AB299&lt;&gt;AB298,_xlfn.STDEV.P(IF(AB$9:AB298=AB298,AU$9:AU298)),""),"")</f>
        <v/>
      </c>
      <c r="AP298" s="7" t="str" cm="1">
        <f t="array" ref="AP298">IFERROR(IF(AB299&lt;&gt;AB298,_xlfn.STDEV.P(IF(AB$9:AB298=AB298,AT$9:AT298)),""),"")</f>
        <v/>
      </c>
      <c r="AQ298" s="8" t="str">
        <f t="shared" si="112"/>
        <v/>
      </c>
      <c r="AR298" s="8" t="str">
        <f t="shared" si="113"/>
        <v/>
      </c>
      <c r="AS298" s="8" t="str">
        <f t="shared" si="114"/>
        <v/>
      </c>
      <c r="AT298" s="9" t="str">
        <f t="shared" si="115"/>
        <v/>
      </c>
      <c r="AU298" s="9" t="str">
        <f t="shared" si="116"/>
        <v/>
      </c>
      <c r="AV298" s="14"/>
      <c r="AW298" s="15"/>
      <c r="AX298" s="14" t="str">
        <f t="shared" si="117"/>
        <v/>
      </c>
      <c r="AY298" s="15"/>
      <c r="AZ298" s="23"/>
      <c r="EW298" t="s">
        <v>46</v>
      </c>
      <c r="EX298" s="33">
        <v>1297</v>
      </c>
      <c r="EY298" s="33" t="s">
        <v>768</v>
      </c>
      <c r="EZ298" s="33" t="s">
        <v>769</v>
      </c>
      <c r="FA298" s="33" t="s">
        <v>343</v>
      </c>
      <c r="FB298" s="33" t="s">
        <v>344</v>
      </c>
      <c r="FC298" s="33" t="s">
        <v>345</v>
      </c>
      <c r="FD298" s="33" t="s">
        <v>346</v>
      </c>
      <c r="FE298" s="33">
        <v>2025</v>
      </c>
      <c r="FF298" s="33" t="s">
        <v>59</v>
      </c>
      <c r="FG298" s="33" t="s">
        <v>470</v>
      </c>
      <c r="FH298" s="33" t="s">
        <v>471</v>
      </c>
      <c r="FI298" s="33" t="s">
        <v>467</v>
      </c>
      <c r="FJ298" t="s">
        <v>59</v>
      </c>
      <c r="FM298" s="32" t="s">
        <v>770</v>
      </c>
      <c r="FN298" t="s">
        <v>771</v>
      </c>
      <c r="FO298" t="s">
        <v>772</v>
      </c>
      <c r="FP298" t="str">
        <f t="shared" si="99"/>
        <v>B</v>
      </c>
      <c r="FT298" s="69">
        <v>712</v>
      </c>
      <c r="FU298" s="61">
        <v>30.6</v>
      </c>
      <c r="FV298" s="61">
        <v>31.785</v>
      </c>
      <c r="FW298" s="61">
        <v>32.680000000000007</v>
      </c>
      <c r="FX298" s="61">
        <v>32.81</v>
      </c>
      <c r="FY298" s="61">
        <v>30.22</v>
      </c>
      <c r="FZ298" s="61">
        <v>26.295000000000002</v>
      </c>
      <c r="GA298" s="61">
        <v>24.32</v>
      </c>
      <c r="GB298" s="61">
        <v>22.814999999999998</v>
      </c>
      <c r="GC298" s="61">
        <v>21.46</v>
      </c>
      <c r="GD298" s="61">
        <v>20.454999999999998</v>
      </c>
      <c r="GE298" s="61">
        <v>19.18</v>
      </c>
      <c r="GF298" s="61">
        <v>17.935000000000002</v>
      </c>
      <c r="GG298" s="61">
        <v>17.685000000000002</v>
      </c>
      <c r="GH298" s="61">
        <v>18.600000000000001</v>
      </c>
      <c r="GI298" s="61">
        <v>19.645000000000003</v>
      </c>
      <c r="GJ298" s="61">
        <v>19.995000000000001</v>
      </c>
      <c r="GK298" s="61">
        <v>19.725000000000001</v>
      </c>
      <c r="GL298" s="61">
        <v>19.64</v>
      </c>
      <c r="GM298" s="61">
        <v>20.935000000000002</v>
      </c>
      <c r="GN298" s="61">
        <v>22.594999999999999</v>
      </c>
      <c r="GO298" s="61">
        <v>24.215</v>
      </c>
      <c r="GP298" s="61">
        <v>25.634999999999998</v>
      </c>
      <c r="GQ298" s="61">
        <v>26.66</v>
      </c>
      <c r="GR298" s="61">
        <v>28.564999999999998</v>
      </c>
      <c r="GU298" s="53">
        <v>68</v>
      </c>
      <c r="GV298" s="53">
        <v>292</v>
      </c>
    </row>
    <row r="299" spans="1:204" ht="15.5" x14ac:dyDescent="0.35">
      <c r="A299" s="95">
        <f t="shared" si="100"/>
        <v>1</v>
      </c>
      <c r="B299" s="11"/>
      <c r="C299" s="11"/>
      <c r="D299" s="92" t="str">
        <f>IFERROR(
IF(AND(OR(Planilla!B299="C",Planilla!B299="c"), VLOOKUP(E299,EX:FJ,13,0)="C"), "OK",IF(AND(OR(Planilla!B299="C",Planilla!B299="c"), OR(VLOOKUP(E299,EX:FJ,13,0)="B", VLOOKUP(E299,EX:FJ,13,0)="A")), "DEFICIT",IF(
AND(OR(Planilla!B299="B", Planilla!B299="BPAL"), VLOOKUP(E299,EX:FJ,13,0)="B"), "OK",IF(AND(OR(Planilla!B299="B", Planilla!B299="BPAL"), VLOOKUP(E299,EX:FJ,13,0)="A"), "DEFICIT",IF(AND(OR(Planilla!B299="B", Planilla!B299="BPAL"), VLOOKUP(E299,EX:FJ,13,0)="C"), "SOBREOFERTA",IF(AND(Planilla!B299="A", VLOOKUP(E299,EX:FJ,13,0)="A"), "OK",IF(
AND(Planilla!B299="A", OR(VLOOKUP(E299,EX:FJ,13,0)="B", VLOOKUP(E299,EX:FJ,13,0)="C")), "SOBREOFERTA",""
))))))),"")</f>
        <v/>
      </c>
      <c r="E299" s="12"/>
      <c r="F299" s="13"/>
      <c r="G299" s="14"/>
      <c r="H299" s="81" t="str">
        <f t="shared" si="101"/>
        <v/>
      </c>
      <c r="I299" s="7"/>
      <c r="J299" s="6" t="e">
        <f t="shared" si="102"/>
        <v>#N/A</v>
      </c>
      <c r="K299" s="6" t="str">
        <f>IF(A300&lt;&gt;A299,AVERAGEIF(A$9:A299,A299,J$9:J299),"")</f>
        <v/>
      </c>
      <c r="L299" s="7" t="str">
        <f>IFERROR(IF(A300&lt;&gt;A299,AVERAGEIF(A$9:A299,A299,S$9:S299),""),"")</f>
        <v/>
      </c>
      <c r="M299" s="7" t="str">
        <f>IFERROR(IF(A300&lt;&gt;A299,AVERAGEIF(A$9:A299,A299,T$9:T299),""),"")</f>
        <v/>
      </c>
      <c r="N299" s="7" t="str" cm="1">
        <f t="array" ref="N299">IFERROR(IF(A300&lt;&gt;A299,_xlfn.STDEV.P(IF(A$9:A299=A299,T$9:T299)),""),"")</f>
        <v/>
      </c>
      <c r="O299" s="7" t="str" cm="1">
        <f t="array" ref="O299">IFERROR(IF(A300&lt;&gt;A299,_xlfn.STDEV.P(IF(A$9:A299=A299,S$9:S299)),""),"")</f>
        <v/>
      </c>
      <c r="P299" s="8" t="str">
        <f t="shared" si="103"/>
        <v/>
      </c>
      <c r="Q299" s="8" t="str">
        <f t="shared" si="104"/>
        <v/>
      </c>
      <c r="R299" s="8" t="str">
        <f t="shared" si="105"/>
        <v/>
      </c>
      <c r="S299" s="9" t="str">
        <f t="shared" si="106"/>
        <v/>
      </c>
      <c r="T299" s="9" t="str">
        <f t="shared" si="107"/>
        <v/>
      </c>
      <c r="U299" s="14"/>
      <c r="V299" s="15"/>
      <c r="W299" s="14" t="str">
        <f t="shared" si="108"/>
        <v/>
      </c>
      <c r="X299" s="15"/>
      <c r="Y299" s="2"/>
      <c r="AB299" s="22">
        <f t="shared" si="109"/>
        <v>1</v>
      </c>
      <c r="AC299" s="11"/>
      <c r="AD299" s="11"/>
      <c r="AE299" s="13"/>
      <c r="AF299" s="12"/>
      <c r="AG299" s="13"/>
      <c r="AH299" s="14"/>
      <c r="AI299" s="81" t="str">
        <f t="shared" si="110"/>
        <v/>
      </c>
      <c r="AJ299" s="15"/>
      <c r="AK299" s="6" t="e">
        <f t="shared" si="111"/>
        <v>#N/A</v>
      </c>
      <c r="AL299" s="6" t="str">
        <f>IF(AB300&lt;&gt;AB299,AVERAGEIF(AB$9:AB299,AB299,AK$9:AK299),"")</f>
        <v/>
      </c>
      <c r="AM299" s="7" t="str">
        <f>IFERROR(IF(AB300&lt;&gt;AB299,AVERAGEIF(AB$9:AB299,AB299,AT$9:AT299),""),"")</f>
        <v/>
      </c>
      <c r="AN299" s="7" t="str">
        <f>IFERROR(IF(AB300&lt;&gt;AB299,AVERAGEIF(AB$9:AB299,AB299,AU$9:AU299),""),"")</f>
        <v/>
      </c>
      <c r="AO299" s="7" t="str" cm="1">
        <f t="array" ref="AO299">IFERROR(IF(AB300&lt;&gt;AB299,_xlfn.STDEV.P(IF(AB$9:AB299=AB299,AU$9:AU299)),""),"")</f>
        <v/>
      </c>
      <c r="AP299" s="7" t="str" cm="1">
        <f t="array" ref="AP299">IFERROR(IF(AB300&lt;&gt;AB299,_xlfn.STDEV.P(IF(AB$9:AB299=AB299,AT$9:AT299)),""),"")</f>
        <v/>
      </c>
      <c r="AQ299" s="8" t="str">
        <f t="shared" si="112"/>
        <v/>
      </c>
      <c r="AR299" s="8" t="str">
        <f t="shared" si="113"/>
        <v/>
      </c>
      <c r="AS299" s="8" t="str">
        <f t="shared" si="114"/>
        <v/>
      </c>
      <c r="AT299" s="9" t="str">
        <f t="shared" si="115"/>
        <v/>
      </c>
      <c r="AU299" s="9" t="str">
        <f t="shared" si="116"/>
        <v/>
      </c>
      <c r="AV299" s="14"/>
      <c r="AW299" s="15"/>
      <c r="AX299" s="14" t="str">
        <f t="shared" si="117"/>
        <v/>
      </c>
      <c r="AY299" s="15"/>
      <c r="AZ299" s="23"/>
      <c r="EW299" t="s">
        <v>46</v>
      </c>
      <c r="EX299" s="33">
        <v>1298</v>
      </c>
      <c r="EY299" s="33" t="s">
        <v>773</v>
      </c>
      <c r="EZ299" s="33" t="s">
        <v>774</v>
      </c>
      <c r="FA299" s="33" t="s">
        <v>343</v>
      </c>
      <c r="FB299" s="33" t="s">
        <v>344</v>
      </c>
      <c r="FC299" s="33" t="s">
        <v>345</v>
      </c>
      <c r="FD299" s="33" t="s">
        <v>346</v>
      </c>
      <c r="FE299" s="33">
        <v>2025</v>
      </c>
      <c r="FF299" s="33" t="s">
        <v>59</v>
      </c>
      <c r="FG299" s="33" t="s">
        <v>470</v>
      </c>
      <c r="FH299" s="33" t="s">
        <v>471</v>
      </c>
      <c r="FI299" s="33" t="s">
        <v>467</v>
      </c>
      <c r="FJ299" t="s">
        <v>59</v>
      </c>
      <c r="FM299" s="32" t="s">
        <v>775</v>
      </c>
      <c r="FN299" t="s">
        <v>776</v>
      </c>
      <c r="FO299" t="s">
        <v>777</v>
      </c>
      <c r="FP299" t="str">
        <f t="shared" si="99"/>
        <v>B</v>
      </c>
      <c r="FT299" s="69">
        <v>712</v>
      </c>
      <c r="FU299" s="61">
        <v>27.939999999999998</v>
      </c>
      <c r="FV299" s="61">
        <v>29.68</v>
      </c>
      <c r="FW299" s="61">
        <v>30.695</v>
      </c>
      <c r="FX299" s="61">
        <v>31.34</v>
      </c>
      <c r="FY299" s="61">
        <v>31.85</v>
      </c>
      <c r="FZ299" s="61">
        <v>29.755000000000003</v>
      </c>
      <c r="GA299" s="61">
        <v>26.9</v>
      </c>
      <c r="GB299" s="61">
        <v>25.035</v>
      </c>
      <c r="GC299" s="61">
        <v>23.295000000000002</v>
      </c>
      <c r="GD299" s="61">
        <v>21.454999999999998</v>
      </c>
      <c r="GE299" s="61">
        <v>19.7</v>
      </c>
      <c r="GF299" s="61">
        <v>18.520000000000003</v>
      </c>
      <c r="GG299" s="61">
        <v>17.745000000000001</v>
      </c>
      <c r="GH299" s="61">
        <v>17.690000000000001</v>
      </c>
      <c r="GI299" s="61">
        <v>18.53</v>
      </c>
      <c r="GJ299" s="61">
        <v>19.079999999999998</v>
      </c>
      <c r="GK299" s="61">
        <v>19.494999999999997</v>
      </c>
      <c r="GL299" s="61">
        <v>19.935000000000002</v>
      </c>
      <c r="GM299" s="61">
        <v>20.23</v>
      </c>
      <c r="GN299" s="61">
        <v>20.420000000000002</v>
      </c>
      <c r="GO299" s="61">
        <v>21.4</v>
      </c>
      <c r="GP299" s="61">
        <v>23.265000000000001</v>
      </c>
      <c r="GQ299" s="61">
        <v>25.310000000000002</v>
      </c>
      <c r="GR299" s="61">
        <v>26.594999999999999</v>
      </c>
      <c r="GU299" s="53">
        <v>69</v>
      </c>
      <c r="GV299" s="53">
        <v>293</v>
      </c>
    </row>
    <row r="300" spans="1:204" ht="15.5" x14ac:dyDescent="0.35">
      <c r="A300" s="95">
        <f t="shared" si="100"/>
        <v>1</v>
      </c>
      <c r="B300" s="11"/>
      <c r="C300" s="11"/>
      <c r="D300" s="92" t="str">
        <f>IFERROR(
IF(AND(OR(Planilla!B300="C",Planilla!B300="c"), VLOOKUP(E300,EX:FJ,13,0)="C"), "OK",IF(AND(OR(Planilla!B300="C",Planilla!B300="c"), OR(VLOOKUP(E300,EX:FJ,13,0)="B", VLOOKUP(E300,EX:FJ,13,0)="A")), "DEFICIT",IF(
AND(OR(Planilla!B300="B", Planilla!B300="BPAL"), VLOOKUP(E300,EX:FJ,13,0)="B"), "OK",IF(AND(OR(Planilla!B300="B", Planilla!B300="BPAL"), VLOOKUP(E300,EX:FJ,13,0)="A"), "DEFICIT",IF(AND(OR(Planilla!B300="B", Planilla!B300="BPAL"), VLOOKUP(E300,EX:FJ,13,0)="C"), "SOBREOFERTA",IF(AND(Planilla!B300="A", VLOOKUP(E300,EX:FJ,13,0)="A"), "OK",IF(
AND(Planilla!B300="A", OR(VLOOKUP(E300,EX:FJ,13,0)="B", VLOOKUP(E300,EX:FJ,13,0)="C")), "SOBREOFERTA",""
))))))),"")</f>
        <v/>
      </c>
      <c r="E300" s="12"/>
      <c r="F300" s="13"/>
      <c r="G300" s="14"/>
      <c r="H300" s="81" t="str">
        <f t="shared" si="101"/>
        <v/>
      </c>
      <c r="I300" s="7"/>
      <c r="J300" s="6" t="e">
        <f t="shared" si="102"/>
        <v>#N/A</v>
      </c>
      <c r="K300" s="6" t="str">
        <f>IF(A301&lt;&gt;A300,AVERAGEIF(A$9:A300,A300,J$9:J300),"")</f>
        <v/>
      </c>
      <c r="L300" s="7" t="str">
        <f>IFERROR(IF(A301&lt;&gt;A300,AVERAGEIF(A$9:A300,A300,S$9:S300),""),"")</f>
        <v/>
      </c>
      <c r="M300" s="7" t="str">
        <f>IFERROR(IF(A301&lt;&gt;A300,AVERAGEIF(A$9:A300,A300,T$9:T300),""),"")</f>
        <v/>
      </c>
      <c r="N300" s="7" t="str" cm="1">
        <f t="array" ref="N300">IFERROR(IF(A301&lt;&gt;A300,_xlfn.STDEV.P(IF(A$9:A300=A300,T$9:T300)),""),"")</f>
        <v/>
      </c>
      <c r="O300" s="7" t="str" cm="1">
        <f t="array" ref="O300">IFERROR(IF(A301&lt;&gt;A300,_xlfn.STDEV.P(IF(A$9:A300=A300,S$9:S300)),""),"")</f>
        <v/>
      </c>
      <c r="P300" s="8" t="str">
        <f t="shared" si="103"/>
        <v/>
      </c>
      <c r="Q300" s="8" t="str">
        <f t="shared" si="104"/>
        <v/>
      </c>
      <c r="R300" s="8" t="str">
        <f t="shared" si="105"/>
        <v/>
      </c>
      <c r="S300" s="9" t="str">
        <f t="shared" si="106"/>
        <v/>
      </c>
      <c r="T300" s="9" t="str">
        <f t="shared" si="107"/>
        <v/>
      </c>
      <c r="U300" s="14"/>
      <c r="V300" s="15"/>
      <c r="W300" s="14" t="str">
        <f t="shared" si="108"/>
        <v/>
      </c>
      <c r="X300" s="15"/>
      <c r="Y300" s="2"/>
      <c r="AB300" s="22">
        <f t="shared" si="109"/>
        <v>1</v>
      </c>
      <c r="AC300" s="11"/>
      <c r="AD300" s="11"/>
      <c r="AE300" s="13"/>
      <c r="AF300" s="12"/>
      <c r="AG300" s="13"/>
      <c r="AH300" s="14"/>
      <c r="AI300" s="81" t="str">
        <f t="shared" si="110"/>
        <v/>
      </c>
      <c r="AJ300" s="15"/>
      <c r="AK300" s="6" t="e">
        <f t="shared" si="111"/>
        <v>#N/A</v>
      </c>
      <c r="AL300" s="6" t="str">
        <f>IF(AB301&lt;&gt;AB300,AVERAGEIF(AB$9:AB300,AB300,AK$9:AK300),"")</f>
        <v/>
      </c>
      <c r="AM300" s="7" t="str">
        <f>IFERROR(IF(AB301&lt;&gt;AB300,AVERAGEIF(AB$9:AB300,AB300,AT$9:AT300),""),"")</f>
        <v/>
      </c>
      <c r="AN300" s="7" t="str">
        <f>IFERROR(IF(AB301&lt;&gt;AB300,AVERAGEIF(AB$9:AB300,AB300,AU$9:AU300),""),"")</f>
        <v/>
      </c>
      <c r="AO300" s="7" t="str" cm="1">
        <f t="array" ref="AO300">IFERROR(IF(AB301&lt;&gt;AB300,_xlfn.STDEV.P(IF(AB$9:AB300=AB300,AU$9:AU300)),""),"")</f>
        <v/>
      </c>
      <c r="AP300" s="7" t="str" cm="1">
        <f t="array" ref="AP300">IFERROR(IF(AB301&lt;&gt;AB300,_xlfn.STDEV.P(IF(AB$9:AB300=AB300,AT$9:AT300)),""),"")</f>
        <v/>
      </c>
      <c r="AQ300" s="8" t="str">
        <f t="shared" si="112"/>
        <v/>
      </c>
      <c r="AR300" s="8" t="str">
        <f t="shared" si="113"/>
        <v/>
      </c>
      <c r="AS300" s="8" t="str">
        <f t="shared" si="114"/>
        <v/>
      </c>
      <c r="AT300" s="9" t="str">
        <f t="shared" si="115"/>
        <v/>
      </c>
      <c r="AU300" s="9" t="str">
        <f t="shared" si="116"/>
        <v/>
      </c>
      <c r="AV300" s="14"/>
      <c r="AW300" s="15"/>
      <c r="AX300" s="14" t="str">
        <f t="shared" si="117"/>
        <v/>
      </c>
      <c r="AY300" s="15"/>
      <c r="AZ300" s="23"/>
      <c r="EW300" t="s">
        <v>46</v>
      </c>
      <c r="EX300" s="33">
        <v>1299</v>
      </c>
      <c r="EY300" s="33" t="s">
        <v>778</v>
      </c>
      <c r="EZ300" s="33" t="s">
        <v>779</v>
      </c>
      <c r="FA300" s="33" t="s">
        <v>343</v>
      </c>
      <c r="FB300" s="33" t="s">
        <v>344</v>
      </c>
      <c r="FC300" s="33" t="s">
        <v>345</v>
      </c>
      <c r="FD300" s="33" t="s">
        <v>346</v>
      </c>
      <c r="FE300" s="33">
        <v>2025</v>
      </c>
      <c r="FF300" s="33" t="s">
        <v>59</v>
      </c>
      <c r="FG300" s="33" t="s">
        <v>386</v>
      </c>
      <c r="FH300" s="33" t="s">
        <v>387</v>
      </c>
      <c r="FI300" s="33" t="s">
        <v>407</v>
      </c>
      <c r="FJ300" t="s">
        <v>59</v>
      </c>
      <c r="FM300" s="32" t="s">
        <v>775</v>
      </c>
      <c r="FN300" t="s">
        <v>776</v>
      </c>
      <c r="FO300" t="s">
        <v>777</v>
      </c>
      <c r="FP300" t="str">
        <f t="shared" si="99"/>
        <v>B</v>
      </c>
      <c r="GU300" s="53">
        <v>70</v>
      </c>
      <c r="GV300" s="53">
        <v>294</v>
      </c>
    </row>
    <row r="301" spans="1:204" ht="15.5" x14ac:dyDescent="0.35">
      <c r="A301" s="95">
        <f t="shared" si="100"/>
        <v>1</v>
      </c>
      <c r="B301" s="11"/>
      <c r="C301" s="11"/>
      <c r="D301" s="92" t="str">
        <f>IFERROR(
IF(AND(OR(Planilla!B301="C",Planilla!B301="c"), VLOOKUP(E301,EX:FJ,13,0)="C"), "OK",IF(AND(OR(Planilla!B301="C",Planilla!B301="c"), OR(VLOOKUP(E301,EX:FJ,13,0)="B", VLOOKUP(E301,EX:FJ,13,0)="A")), "DEFICIT",IF(
AND(OR(Planilla!B301="B", Planilla!B301="BPAL"), VLOOKUP(E301,EX:FJ,13,0)="B"), "OK",IF(AND(OR(Planilla!B301="B", Planilla!B301="BPAL"), VLOOKUP(E301,EX:FJ,13,0)="A"), "DEFICIT",IF(AND(OR(Planilla!B301="B", Planilla!B301="BPAL"), VLOOKUP(E301,EX:FJ,13,0)="C"), "SOBREOFERTA",IF(AND(Planilla!B301="A", VLOOKUP(E301,EX:FJ,13,0)="A"), "OK",IF(
AND(Planilla!B301="A", OR(VLOOKUP(E301,EX:FJ,13,0)="B", VLOOKUP(E301,EX:FJ,13,0)="C")), "SOBREOFERTA",""
))))))),"")</f>
        <v/>
      </c>
      <c r="E301" s="12"/>
      <c r="F301" s="13"/>
      <c r="G301" s="14"/>
      <c r="H301" s="81" t="str">
        <f t="shared" si="101"/>
        <v/>
      </c>
      <c r="I301" s="7"/>
      <c r="J301" s="6" t="e">
        <f t="shared" si="102"/>
        <v>#N/A</v>
      </c>
      <c r="K301" s="6" t="str">
        <f>IF(A302&lt;&gt;A301,AVERAGEIF(A$9:A301,A301,J$9:J301),"")</f>
        <v/>
      </c>
      <c r="L301" s="7" t="str">
        <f>IFERROR(IF(A302&lt;&gt;A301,AVERAGEIF(A$9:A301,A301,S$9:S301),""),"")</f>
        <v/>
      </c>
      <c r="M301" s="7" t="str">
        <f>IFERROR(IF(A302&lt;&gt;A301,AVERAGEIF(A$9:A301,A301,T$9:T301),""),"")</f>
        <v/>
      </c>
      <c r="N301" s="7" t="str" cm="1">
        <f t="array" ref="N301">IFERROR(IF(A302&lt;&gt;A301,_xlfn.STDEV.P(IF(A$9:A301=A301,T$9:T301)),""),"")</f>
        <v/>
      </c>
      <c r="O301" s="7" t="str" cm="1">
        <f t="array" ref="O301">IFERROR(IF(A302&lt;&gt;A301,_xlfn.STDEV.P(IF(A$9:A301=A301,S$9:S301)),""),"")</f>
        <v/>
      </c>
      <c r="P301" s="8" t="str">
        <f t="shared" si="103"/>
        <v/>
      </c>
      <c r="Q301" s="8" t="str">
        <f t="shared" si="104"/>
        <v/>
      </c>
      <c r="R301" s="8" t="str">
        <f t="shared" si="105"/>
        <v/>
      </c>
      <c r="S301" s="9" t="str">
        <f t="shared" si="106"/>
        <v/>
      </c>
      <c r="T301" s="9" t="str">
        <f t="shared" si="107"/>
        <v/>
      </c>
      <c r="U301" s="14"/>
      <c r="V301" s="15"/>
      <c r="W301" s="14" t="str">
        <f t="shared" si="108"/>
        <v/>
      </c>
      <c r="X301" s="15"/>
      <c r="Y301" s="2"/>
      <c r="AB301" s="22">
        <f t="shared" si="109"/>
        <v>1</v>
      </c>
      <c r="AC301" s="11"/>
      <c r="AD301" s="11"/>
      <c r="AE301" s="13"/>
      <c r="AF301" s="12"/>
      <c r="AG301" s="13"/>
      <c r="AH301" s="14"/>
      <c r="AI301" s="81" t="str">
        <f t="shared" si="110"/>
        <v/>
      </c>
      <c r="AJ301" s="15"/>
      <c r="AK301" s="6" t="e">
        <f t="shared" si="111"/>
        <v>#N/A</v>
      </c>
      <c r="AL301" s="6" t="str">
        <f>IF(AB302&lt;&gt;AB301,AVERAGEIF(AB$9:AB301,AB301,AK$9:AK301),"")</f>
        <v/>
      </c>
      <c r="AM301" s="7" t="str">
        <f>IFERROR(IF(AB302&lt;&gt;AB301,AVERAGEIF(AB$9:AB301,AB301,AT$9:AT301),""),"")</f>
        <v/>
      </c>
      <c r="AN301" s="7" t="str">
        <f>IFERROR(IF(AB302&lt;&gt;AB301,AVERAGEIF(AB$9:AB301,AB301,AU$9:AU301),""),"")</f>
        <v/>
      </c>
      <c r="AO301" s="7" t="str" cm="1">
        <f t="array" ref="AO301">IFERROR(IF(AB302&lt;&gt;AB301,_xlfn.STDEV.P(IF(AB$9:AB301=AB301,AU$9:AU301)),""),"")</f>
        <v/>
      </c>
      <c r="AP301" s="7" t="str" cm="1">
        <f t="array" ref="AP301">IFERROR(IF(AB302&lt;&gt;AB301,_xlfn.STDEV.P(IF(AB$9:AB301=AB301,AT$9:AT301)),""),"")</f>
        <v/>
      </c>
      <c r="AQ301" s="8" t="str">
        <f t="shared" si="112"/>
        <v/>
      </c>
      <c r="AR301" s="8" t="str">
        <f t="shared" si="113"/>
        <v/>
      </c>
      <c r="AS301" s="8" t="str">
        <f t="shared" si="114"/>
        <v/>
      </c>
      <c r="AT301" s="9" t="str">
        <f t="shared" si="115"/>
        <v/>
      </c>
      <c r="AU301" s="9" t="str">
        <f t="shared" si="116"/>
        <v/>
      </c>
      <c r="AV301" s="14"/>
      <c r="AW301" s="15"/>
      <c r="AX301" s="14" t="str">
        <f t="shared" si="117"/>
        <v/>
      </c>
      <c r="AY301" s="15"/>
      <c r="AZ301" s="23"/>
      <c r="EW301" t="s">
        <v>46</v>
      </c>
      <c r="EX301" s="33">
        <v>1300</v>
      </c>
      <c r="EY301" s="33" t="s">
        <v>780</v>
      </c>
      <c r="EZ301" s="33" t="s">
        <v>781</v>
      </c>
      <c r="FA301" s="33" t="s">
        <v>343</v>
      </c>
      <c r="FB301" s="33" t="s">
        <v>344</v>
      </c>
      <c r="FC301" s="33" t="s">
        <v>345</v>
      </c>
      <c r="FD301" s="33" t="s">
        <v>346</v>
      </c>
      <c r="FE301" s="33">
        <v>2025</v>
      </c>
      <c r="FF301" s="33" t="s">
        <v>59</v>
      </c>
      <c r="FG301" s="33" t="s">
        <v>386</v>
      </c>
      <c r="FH301" s="33" t="s">
        <v>387</v>
      </c>
      <c r="FI301" s="33" t="s">
        <v>407</v>
      </c>
      <c r="FJ301" t="s">
        <v>59</v>
      </c>
      <c r="FM301" s="32" t="s">
        <v>775</v>
      </c>
      <c r="FN301" t="s">
        <v>776</v>
      </c>
      <c r="FO301" t="s">
        <v>777</v>
      </c>
      <c r="FP301" t="str">
        <f t="shared" si="99"/>
        <v>B</v>
      </c>
      <c r="GU301" s="53">
        <v>71</v>
      </c>
      <c r="GV301" s="53">
        <v>295</v>
      </c>
    </row>
    <row r="302" spans="1:204" ht="15.5" x14ac:dyDescent="0.35">
      <c r="A302" s="95">
        <f t="shared" si="100"/>
        <v>1</v>
      </c>
      <c r="B302" s="11"/>
      <c r="C302" s="11"/>
      <c r="D302" s="92" t="str">
        <f>IFERROR(
IF(AND(OR(Planilla!B302="C",Planilla!B302="c"), VLOOKUP(E302,EX:FJ,13,0)="C"), "OK",IF(AND(OR(Planilla!B302="C",Planilla!B302="c"), OR(VLOOKUP(E302,EX:FJ,13,0)="B", VLOOKUP(E302,EX:FJ,13,0)="A")), "DEFICIT",IF(
AND(OR(Planilla!B302="B", Planilla!B302="BPAL"), VLOOKUP(E302,EX:FJ,13,0)="B"), "OK",IF(AND(OR(Planilla!B302="B", Planilla!B302="BPAL"), VLOOKUP(E302,EX:FJ,13,0)="A"), "DEFICIT",IF(AND(OR(Planilla!B302="B", Planilla!B302="BPAL"), VLOOKUP(E302,EX:FJ,13,0)="C"), "SOBREOFERTA",IF(AND(Planilla!B302="A", VLOOKUP(E302,EX:FJ,13,0)="A"), "OK",IF(
AND(Planilla!B302="A", OR(VLOOKUP(E302,EX:FJ,13,0)="B", VLOOKUP(E302,EX:FJ,13,0)="C")), "SOBREOFERTA",""
))))))),"")</f>
        <v/>
      </c>
      <c r="E302" s="12"/>
      <c r="F302" s="13"/>
      <c r="G302" s="14"/>
      <c r="H302" s="81" t="str">
        <f t="shared" si="101"/>
        <v/>
      </c>
      <c r="I302" s="7"/>
      <c r="J302" s="6" t="e">
        <f t="shared" si="102"/>
        <v>#N/A</v>
      </c>
      <c r="K302" s="6" t="str">
        <f>IF(A303&lt;&gt;A302,AVERAGEIF(A$9:A302,A302,J$9:J302),"")</f>
        <v/>
      </c>
      <c r="L302" s="7" t="str">
        <f>IFERROR(IF(A303&lt;&gt;A302,AVERAGEIF(A$9:A302,A302,S$9:S302),""),"")</f>
        <v/>
      </c>
      <c r="M302" s="7" t="str">
        <f>IFERROR(IF(A303&lt;&gt;A302,AVERAGEIF(A$9:A302,A302,T$9:T302),""),"")</f>
        <v/>
      </c>
      <c r="N302" s="7" t="str" cm="1">
        <f t="array" ref="N302">IFERROR(IF(A303&lt;&gt;A302,_xlfn.STDEV.P(IF(A$9:A302=A302,T$9:T302)),""),"")</f>
        <v/>
      </c>
      <c r="O302" s="7" t="str" cm="1">
        <f t="array" ref="O302">IFERROR(IF(A303&lt;&gt;A302,_xlfn.STDEV.P(IF(A$9:A302=A302,S$9:S302)),""),"")</f>
        <v/>
      </c>
      <c r="P302" s="8" t="str">
        <f t="shared" si="103"/>
        <v/>
      </c>
      <c r="Q302" s="8" t="str">
        <f t="shared" si="104"/>
        <v/>
      </c>
      <c r="R302" s="8" t="str">
        <f t="shared" si="105"/>
        <v/>
      </c>
      <c r="S302" s="9" t="str">
        <f t="shared" si="106"/>
        <v/>
      </c>
      <c r="T302" s="9" t="str">
        <f t="shared" si="107"/>
        <v/>
      </c>
      <c r="U302" s="14"/>
      <c r="V302" s="15"/>
      <c r="W302" s="14" t="str">
        <f t="shared" si="108"/>
        <v/>
      </c>
      <c r="X302" s="15"/>
      <c r="Y302" s="2"/>
      <c r="AB302" s="22">
        <f t="shared" si="109"/>
        <v>1</v>
      </c>
      <c r="AC302" s="11"/>
      <c r="AD302" s="11"/>
      <c r="AE302" s="13"/>
      <c r="AF302" s="12"/>
      <c r="AG302" s="13"/>
      <c r="AH302" s="14"/>
      <c r="AI302" s="81" t="str">
        <f t="shared" si="110"/>
        <v/>
      </c>
      <c r="AJ302" s="15"/>
      <c r="AK302" s="6" t="e">
        <f t="shared" si="111"/>
        <v>#N/A</v>
      </c>
      <c r="AL302" s="6" t="str">
        <f>IF(AB303&lt;&gt;AB302,AVERAGEIF(AB$9:AB302,AB302,AK$9:AK302),"")</f>
        <v/>
      </c>
      <c r="AM302" s="7" t="str">
        <f>IFERROR(IF(AB303&lt;&gt;AB302,AVERAGEIF(AB$9:AB302,AB302,AT$9:AT302),""),"")</f>
        <v/>
      </c>
      <c r="AN302" s="7" t="str">
        <f>IFERROR(IF(AB303&lt;&gt;AB302,AVERAGEIF(AB$9:AB302,AB302,AU$9:AU302),""),"")</f>
        <v/>
      </c>
      <c r="AO302" s="7" t="str" cm="1">
        <f t="array" ref="AO302">IFERROR(IF(AB303&lt;&gt;AB302,_xlfn.STDEV.P(IF(AB$9:AB302=AB302,AU$9:AU302)),""),"")</f>
        <v/>
      </c>
      <c r="AP302" s="7" t="str" cm="1">
        <f t="array" ref="AP302">IFERROR(IF(AB303&lt;&gt;AB302,_xlfn.STDEV.P(IF(AB$9:AB302=AB302,AT$9:AT302)),""),"")</f>
        <v/>
      </c>
      <c r="AQ302" s="8" t="str">
        <f t="shared" si="112"/>
        <v/>
      </c>
      <c r="AR302" s="8" t="str">
        <f t="shared" si="113"/>
        <v/>
      </c>
      <c r="AS302" s="8" t="str">
        <f t="shared" si="114"/>
        <v/>
      </c>
      <c r="AT302" s="9" t="str">
        <f t="shared" si="115"/>
        <v/>
      </c>
      <c r="AU302" s="9" t="str">
        <f t="shared" si="116"/>
        <v/>
      </c>
      <c r="AV302" s="14"/>
      <c r="AW302" s="15"/>
      <c r="AX302" s="14" t="str">
        <f t="shared" si="117"/>
        <v/>
      </c>
      <c r="AY302" s="15"/>
      <c r="AZ302" s="23"/>
      <c r="EW302" t="s">
        <v>46</v>
      </c>
      <c r="EX302" s="33">
        <v>1301</v>
      </c>
      <c r="EY302" s="33" t="s">
        <v>782</v>
      </c>
      <c r="EZ302" s="33" t="s">
        <v>783</v>
      </c>
      <c r="FA302" s="33" t="s">
        <v>343</v>
      </c>
      <c r="FB302" s="33" t="s">
        <v>344</v>
      </c>
      <c r="FC302" s="33" t="s">
        <v>345</v>
      </c>
      <c r="FD302" s="33" t="s">
        <v>346</v>
      </c>
      <c r="FE302" s="33">
        <v>2025</v>
      </c>
      <c r="FF302" s="33" t="s">
        <v>59</v>
      </c>
      <c r="FG302" s="33" t="s">
        <v>386</v>
      </c>
      <c r="FH302" s="33" t="s">
        <v>387</v>
      </c>
      <c r="FI302" s="33" t="s">
        <v>407</v>
      </c>
      <c r="FJ302" t="s">
        <v>59</v>
      </c>
      <c r="FM302" s="32" t="s">
        <v>784</v>
      </c>
      <c r="FN302" t="s">
        <v>785</v>
      </c>
      <c r="FO302" t="s">
        <v>786</v>
      </c>
      <c r="FP302" t="str">
        <f t="shared" si="99"/>
        <v>B</v>
      </c>
      <c r="GU302" s="53">
        <v>72</v>
      </c>
      <c r="GV302" s="53">
        <v>296</v>
      </c>
    </row>
    <row r="303" spans="1:204" ht="15.5" x14ac:dyDescent="0.35">
      <c r="A303" s="95">
        <f t="shared" si="100"/>
        <v>1</v>
      </c>
      <c r="B303" s="11"/>
      <c r="C303" s="11"/>
      <c r="D303" s="92" t="str">
        <f>IFERROR(
IF(AND(OR(Planilla!B303="C",Planilla!B303="c"), VLOOKUP(E303,EX:FJ,13,0)="C"), "OK",IF(AND(OR(Planilla!B303="C",Planilla!B303="c"), OR(VLOOKUP(E303,EX:FJ,13,0)="B", VLOOKUP(E303,EX:FJ,13,0)="A")), "DEFICIT",IF(
AND(OR(Planilla!B303="B", Planilla!B303="BPAL"), VLOOKUP(E303,EX:FJ,13,0)="B"), "OK",IF(AND(OR(Planilla!B303="B", Planilla!B303="BPAL"), VLOOKUP(E303,EX:FJ,13,0)="A"), "DEFICIT",IF(AND(OR(Planilla!B303="B", Planilla!B303="BPAL"), VLOOKUP(E303,EX:FJ,13,0)="C"), "SOBREOFERTA",IF(AND(Planilla!B303="A", VLOOKUP(E303,EX:FJ,13,0)="A"), "OK",IF(
AND(Planilla!B303="A", OR(VLOOKUP(E303,EX:FJ,13,0)="B", VLOOKUP(E303,EX:FJ,13,0)="C")), "SOBREOFERTA",""
))))))),"")</f>
        <v/>
      </c>
      <c r="E303" s="12"/>
      <c r="F303" s="13"/>
      <c r="G303" s="14"/>
      <c r="H303" s="81" t="str">
        <f t="shared" si="101"/>
        <v/>
      </c>
      <c r="I303" s="7"/>
      <c r="J303" s="6" t="e">
        <f t="shared" si="102"/>
        <v>#N/A</v>
      </c>
      <c r="K303" s="6" t="str">
        <f>IF(A304&lt;&gt;A303,AVERAGEIF(A$9:A303,A303,J$9:J303),"")</f>
        <v/>
      </c>
      <c r="L303" s="7" t="str">
        <f>IFERROR(IF(A304&lt;&gt;A303,AVERAGEIF(A$9:A303,A303,S$9:S303),""),"")</f>
        <v/>
      </c>
      <c r="M303" s="7" t="str">
        <f>IFERROR(IF(A304&lt;&gt;A303,AVERAGEIF(A$9:A303,A303,T$9:T303),""),"")</f>
        <v/>
      </c>
      <c r="N303" s="7" t="str" cm="1">
        <f t="array" ref="N303">IFERROR(IF(A304&lt;&gt;A303,_xlfn.STDEV.P(IF(A$9:A303=A303,T$9:T303)),""),"")</f>
        <v/>
      </c>
      <c r="O303" s="7" t="str" cm="1">
        <f t="array" ref="O303">IFERROR(IF(A304&lt;&gt;A303,_xlfn.STDEV.P(IF(A$9:A303=A303,S$9:S303)),""),"")</f>
        <v/>
      </c>
      <c r="P303" s="8" t="str">
        <f t="shared" si="103"/>
        <v/>
      </c>
      <c r="Q303" s="8" t="str">
        <f t="shared" si="104"/>
        <v/>
      </c>
      <c r="R303" s="8" t="str">
        <f t="shared" si="105"/>
        <v/>
      </c>
      <c r="S303" s="9" t="str">
        <f t="shared" si="106"/>
        <v/>
      </c>
      <c r="T303" s="9" t="str">
        <f t="shared" si="107"/>
        <v/>
      </c>
      <c r="U303" s="14"/>
      <c r="V303" s="15"/>
      <c r="W303" s="14" t="str">
        <f t="shared" si="108"/>
        <v/>
      </c>
      <c r="X303" s="15"/>
      <c r="Y303" s="2"/>
      <c r="AB303" s="22">
        <f t="shared" si="109"/>
        <v>1</v>
      </c>
      <c r="AC303" s="11"/>
      <c r="AD303" s="11"/>
      <c r="AE303" s="13"/>
      <c r="AF303" s="12"/>
      <c r="AG303" s="13"/>
      <c r="AH303" s="14"/>
      <c r="AI303" s="81" t="str">
        <f t="shared" si="110"/>
        <v/>
      </c>
      <c r="AJ303" s="15"/>
      <c r="AK303" s="6" t="e">
        <f t="shared" si="111"/>
        <v>#N/A</v>
      </c>
      <c r="AL303" s="6" t="str">
        <f>IF(AB304&lt;&gt;AB303,AVERAGEIF(AB$9:AB303,AB303,AK$9:AK303),"")</f>
        <v/>
      </c>
      <c r="AM303" s="7" t="str">
        <f>IFERROR(IF(AB304&lt;&gt;AB303,AVERAGEIF(AB$9:AB303,AB303,AT$9:AT303),""),"")</f>
        <v/>
      </c>
      <c r="AN303" s="7" t="str">
        <f>IFERROR(IF(AB304&lt;&gt;AB303,AVERAGEIF(AB$9:AB303,AB303,AU$9:AU303),""),"")</f>
        <v/>
      </c>
      <c r="AO303" s="7" t="str" cm="1">
        <f t="array" ref="AO303">IFERROR(IF(AB304&lt;&gt;AB303,_xlfn.STDEV.P(IF(AB$9:AB303=AB303,AU$9:AU303)),""),"")</f>
        <v/>
      </c>
      <c r="AP303" s="7" t="str" cm="1">
        <f t="array" ref="AP303">IFERROR(IF(AB304&lt;&gt;AB303,_xlfn.STDEV.P(IF(AB$9:AB303=AB303,AT$9:AT303)),""),"")</f>
        <v/>
      </c>
      <c r="AQ303" s="8" t="str">
        <f t="shared" si="112"/>
        <v/>
      </c>
      <c r="AR303" s="8" t="str">
        <f t="shared" si="113"/>
        <v/>
      </c>
      <c r="AS303" s="8" t="str">
        <f t="shared" si="114"/>
        <v/>
      </c>
      <c r="AT303" s="9" t="str">
        <f t="shared" si="115"/>
        <v/>
      </c>
      <c r="AU303" s="9" t="str">
        <f t="shared" si="116"/>
        <v/>
      </c>
      <c r="AV303" s="14"/>
      <c r="AW303" s="15"/>
      <c r="AX303" s="14" t="str">
        <f t="shared" si="117"/>
        <v/>
      </c>
      <c r="AY303" s="15"/>
      <c r="AZ303" s="23"/>
      <c r="EW303" t="s">
        <v>46</v>
      </c>
      <c r="EX303" s="33">
        <v>1302</v>
      </c>
      <c r="EY303" s="33" t="s">
        <v>787</v>
      </c>
      <c r="EZ303" s="33" t="s">
        <v>788</v>
      </c>
      <c r="FA303" s="33" t="s">
        <v>343</v>
      </c>
      <c r="FB303" s="33" t="s">
        <v>344</v>
      </c>
      <c r="FC303" s="33" t="s">
        <v>345</v>
      </c>
      <c r="FD303" s="33" t="s">
        <v>346</v>
      </c>
      <c r="FE303" s="33">
        <v>2025</v>
      </c>
      <c r="FF303" s="33" t="s">
        <v>59</v>
      </c>
      <c r="FG303" s="33" t="s">
        <v>386</v>
      </c>
      <c r="FH303" s="33" t="s">
        <v>387</v>
      </c>
      <c r="FI303" s="33" t="s">
        <v>407</v>
      </c>
      <c r="FJ303" t="s">
        <v>59</v>
      </c>
      <c r="FM303" s="32" t="s">
        <v>784</v>
      </c>
      <c r="FN303" t="s">
        <v>785</v>
      </c>
      <c r="FO303" t="s">
        <v>786</v>
      </c>
      <c r="FP303" t="str">
        <f t="shared" si="99"/>
        <v>B</v>
      </c>
      <c r="GU303" s="53">
        <v>73</v>
      </c>
      <c r="GV303" s="53">
        <v>297</v>
      </c>
    </row>
    <row r="304" spans="1:204" ht="15.5" x14ac:dyDescent="0.35">
      <c r="A304" s="95">
        <f t="shared" si="100"/>
        <v>1</v>
      </c>
      <c r="B304" s="11"/>
      <c r="C304" s="11"/>
      <c r="D304" s="92" t="str">
        <f>IFERROR(
IF(AND(OR(Planilla!B304="C",Planilla!B304="c"), VLOOKUP(E304,EX:FJ,13,0)="C"), "OK",IF(AND(OR(Planilla!B304="C",Planilla!B304="c"), OR(VLOOKUP(E304,EX:FJ,13,0)="B", VLOOKUP(E304,EX:FJ,13,0)="A")), "DEFICIT",IF(
AND(OR(Planilla!B304="B", Planilla!B304="BPAL"), VLOOKUP(E304,EX:FJ,13,0)="B"), "OK",IF(AND(OR(Planilla!B304="B", Planilla!B304="BPAL"), VLOOKUP(E304,EX:FJ,13,0)="A"), "DEFICIT",IF(AND(OR(Planilla!B304="B", Planilla!B304="BPAL"), VLOOKUP(E304,EX:FJ,13,0)="C"), "SOBREOFERTA",IF(AND(Planilla!B304="A", VLOOKUP(E304,EX:FJ,13,0)="A"), "OK",IF(
AND(Planilla!B304="A", OR(VLOOKUP(E304,EX:FJ,13,0)="B", VLOOKUP(E304,EX:FJ,13,0)="C")), "SOBREOFERTA",""
))))))),"")</f>
        <v/>
      </c>
      <c r="E304" s="12"/>
      <c r="F304" s="13"/>
      <c r="G304" s="14"/>
      <c r="H304" s="81" t="str">
        <f t="shared" si="101"/>
        <v/>
      </c>
      <c r="I304" s="7"/>
      <c r="J304" s="6" t="e">
        <f t="shared" si="102"/>
        <v>#N/A</v>
      </c>
      <c r="K304" s="6" t="str">
        <f>IF(A305&lt;&gt;A304,AVERAGEIF(A$9:A304,A304,J$9:J304),"")</f>
        <v/>
      </c>
      <c r="L304" s="7" t="str">
        <f>IFERROR(IF(A305&lt;&gt;A304,AVERAGEIF(A$9:A304,A304,S$9:S304),""),"")</f>
        <v/>
      </c>
      <c r="M304" s="7" t="str">
        <f>IFERROR(IF(A305&lt;&gt;A304,AVERAGEIF(A$9:A304,A304,T$9:T304),""),"")</f>
        <v/>
      </c>
      <c r="N304" s="7" t="str" cm="1">
        <f t="array" ref="N304">IFERROR(IF(A305&lt;&gt;A304,_xlfn.STDEV.P(IF(A$9:A304=A304,T$9:T304)),""),"")</f>
        <v/>
      </c>
      <c r="O304" s="7" t="str" cm="1">
        <f t="array" ref="O304">IFERROR(IF(A305&lt;&gt;A304,_xlfn.STDEV.P(IF(A$9:A304=A304,S$9:S304)),""),"")</f>
        <v/>
      </c>
      <c r="P304" s="8" t="str">
        <f t="shared" si="103"/>
        <v/>
      </c>
      <c r="Q304" s="8" t="str">
        <f t="shared" si="104"/>
        <v/>
      </c>
      <c r="R304" s="8" t="str">
        <f t="shared" si="105"/>
        <v/>
      </c>
      <c r="S304" s="9" t="str">
        <f t="shared" si="106"/>
        <v/>
      </c>
      <c r="T304" s="9" t="str">
        <f t="shared" si="107"/>
        <v/>
      </c>
      <c r="U304" s="14"/>
      <c r="V304" s="15"/>
      <c r="W304" s="14" t="str">
        <f t="shared" si="108"/>
        <v/>
      </c>
      <c r="X304" s="15"/>
      <c r="Y304" s="2"/>
      <c r="AB304" s="22">
        <f t="shared" si="109"/>
        <v>1</v>
      </c>
      <c r="AC304" s="11"/>
      <c r="AD304" s="11"/>
      <c r="AE304" s="13"/>
      <c r="AF304" s="12"/>
      <c r="AG304" s="13"/>
      <c r="AH304" s="14"/>
      <c r="AI304" s="81" t="str">
        <f t="shared" si="110"/>
        <v/>
      </c>
      <c r="AJ304" s="15"/>
      <c r="AK304" s="6" t="e">
        <f t="shared" si="111"/>
        <v>#N/A</v>
      </c>
      <c r="AL304" s="6" t="str">
        <f>IF(AB305&lt;&gt;AB304,AVERAGEIF(AB$9:AB304,AB304,AK$9:AK304),"")</f>
        <v/>
      </c>
      <c r="AM304" s="7" t="str">
        <f>IFERROR(IF(AB305&lt;&gt;AB304,AVERAGEIF(AB$9:AB304,AB304,AT$9:AT304),""),"")</f>
        <v/>
      </c>
      <c r="AN304" s="7" t="str">
        <f>IFERROR(IF(AB305&lt;&gt;AB304,AVERAGEIF(AB$9:AB304,AB304,AU$9:AU304),""),"")</f>
        <v/>
      </c>
      <c r="AO304" s="7" t="str" cm="1">
        <f t="array" ref="AO304">IFERROR(IF(AB305&lt;&gt;AB304,_xlfn.STDEV.P(IF(AB$9:AB304=AB304,AU$9:AU304)),""),"")</f>
        <v/>
      </c>
      <c r="AP304" s="7" t="str" cm="1">
        <f t="array" ref="AP304">IFERROR(IF(AB305&lt;&gt;AB304,_xlfn.STDEV.P(IF(AB$9:AB304=AB304,AT$9:AT304)),""),"")</f>
        <v/>
      </c>
      <c r="AQ304" s="8" t="str">
        <f t="shared" si="112"/>
        <v/>
      </c>
      <c r="AR304" s="8" t="str">
        <f t="shared" si="113"/>
        <v/>
      </c>
      <c r="AS304" s="8" t="str">
        <f t="shared" si="114"/>
        <v/>
      </c>
      <c r="AT304" s="9" t="str">
        <f t="shared" si="115"/>
        <v/>
      </c>
      <c r="AU304" s="9" t="str">
        <f t="shared" si="116"/>
        <v/>
      </c>
      <c r="AV304" s="14"/>
      <c r="AW304" s="15"/>
      <c r="AX304" s="14" t="str">
        <f t="shared" si="117"/>
        <v/>
      </c>
      <c r="AY304" s="15"/>
      <c r="AZ304" s="23"/>
      <c r="EW304" t="s">
        <v>46</v>
      </c>
      <c r="EX304" s="33">
        <v>1303</v>
      </c>
      <c r="EY304" s="33" t="s">
        <v>789</v>
      </c>
      <c r="EZ304" s="33" t="s">
        <v>790</v>
      </c>
      <c r="FA304" s="33" t="s">
        <v>343</v>
      </c>
      <c r="FB304" s="33" t="s">
        <v>344</v>
      </c>
      <c r="FC304" s="33" t="s">
        <v>345</v>
      </c>
      <c r="FD304" s="33" t="s">
        <v>346</v>
      </c>
      <c r="FE304" s="33">
        <v>2025</v>
      </c>
      <c r="FF304" s="33" t="s">
        <v>59</v>
      </c>
      <c r="FG304" s="33" t="s">
        <v>477</v>
      </c>
      <c r="FH304" s="33" t="s">
        <v>478</v>
      </c>
      <c r="FI304" s="33" t="s">
        <v>479</v>
      </c>
      <c r="FJ304" t="s">
        <v>59</v>
      </c>
      <c r="FM304" s="32" t="s">
        <v>784</v>
      </c>
      <c r="FN304" t="s">
        <v>785</v>
      </c>
      <c r="FO304" t="s">
        <v>786</v>
      </c>
      <c r="FP304" t="str">
        <f t="shared" si="99"/>
        <v>B</v>
      </c>
      <c r="GU304" s="53">
        <v>74</v>
      </c>
      <c r="GV304" s="53">
        <v>298</v>
      </c>
    </row>
    <row r="305" spans="1:204" ht="15.5" x14ac:dyDescent="0.35">
      <c r="A305" s="95">
        <f t="shared" si="100"/>
        <v>1</v>
      </c>
      <c r="B305" s="11"/>
      <c r="C305" s="11"/>
      <c r="D305" s="92" t="str">
        <f>IFERROR(
IF(AND(OR(Planilla!B305="C",Planilla!B305="c"), VLOOKUP(E305,EX:FJ,13,0)="C"), "OK",IF(AND(OR(Planilla!B305="C",Planilla!B305="c"), OR(VLOOKUP(E305,EX:FJ,13,0)="B", VLOOKUP(E305,EX:FJ,13,0)="A")), "DEFICIT",IF(
AND(OR(Planilla!B305="B", Planilla!B305="BPAL"), VLOOKUP(E305,EX:FJ,13,0)="B"), "OK",IF(AND(OR(Planilla!B305="B", Planilla!B305="BPAL"), VLOOKUP(E305,EX:FJ,13,0)="A"), "DEFICIT",IF(AND(OR(Planilla!B305="B", Planilla!B305="BPAL"), VLOOKUP(E305,EX:FJ,13,0)="C"), "SOBREOFERTA",IF(AND(Planilla!B305="A", VLOOKUP(E305,EX:FJ,13,0)="A"), "OK",IF(
AND(Planilla!B305="A", OR(VLOOKUP(E305,EX:FJ,13,0)="B", VLOOKUP(E305,EX:FJ,13,0)="C")), "SOBREOFERTA",""
))))))),"")</f>
        <v/>
      </c>
      <c r="E305" s="12"/>
      <c r="F305" s="13"/>
      <c r="G305" s="14"/>
      <c r="H305" s="81" t="str">
        <f t="shared" si="101"/>
        <v/>
      </c>
      <c r="I305" s="7"/>
      <c r="J305" s="6" t="e">
        <f t="shared" si="102"/>
        <v>#N/A</v>
      </c>
      <c r="K305" s="6" t="str">
        <f>IF(A306&lt;&gt;A305,AVERAGEIF(A$9:A305,A305,J$9:J305),"")</f>
        <v/>
      </c>
      <c r="L305" s="7" t="str">
        <f>IFERROR(IF(A306&lt;&gt;A305,AVERAGEIF(A$9:A305,A305,S$9:S305),""),"")</f>
        <v/>
      </c>
      <c r="M305" s="7" t="str">
        <f>IFERROR(IF(A306&lt;&gt;A305,AVERAGEIF(A$9:A305,A305,T$9:T305),""),"")</f>
        <v/>
      </c>
      <c r="N305" s="7" t="str" cm="1">
        <f t="array" ref="N305">IFERROR(IF(A306&lt;&gt;A305,_xlfn.STDEV.P(IF(A$9:A305=A305,T$9:T305)),""),"")</f>
        <v/>
      </c>
      <c r="O305" s="7" t="str" cm="1">
        <f t="array" ref="O305">IFERROR(IF(A306&lt;&gt;A305,_xlfn.STDEV.P(IF(A$9:A305=A305,S$9:S305)),""),"")</f>
        <v/>
      </c>
      <c r="P305" s="8" t="str">
        <f t="shared" si="103"/>
        <v/>
      </c>
      <c r="Q305" s="8" t="str">
        <f t="shared" si="104"/>
        <v/>
      </c>
      <c r="R305" s="8" t="str">
        <f t="shared" si="105"/>
        <v/>
      </c>
      <c r="S305" s="9" t="str">
        <f t="shared" si="106"/>
        <v/>
      </c>
      <c r="T305" s="9" t="str">
        <f t="shared" si="107"/>
        <v/>
      </c>
      <c r="U305" s="14"/>
      <c r="V305" s="15"/>
      <c r="W305" s="14" t="str">
        <f t="shared" si="108"/>
        <v/>
      </c>
      <c r="X305" s="15"/>
      <c r="Y305" s="2"/>
      <c r="AB305" s="22">
        <f t="shared" si="109"/>
        <v>1</v>
      </c>
      <c r="AC305" s="11"/>
      <c r="AD305" s="11"/>
      <c r="AE305" s="13"/>
      <c r="AF305" s="12"/>
      <c r="AG305" s="13"/>
      <c r="AH305" s="14"/>
      <c r="AI305" s="81" t="str">
        <f t="shared" si="110"/>
        <v/>
      </c>
      <c r="AJ305" s="15"/>
      <c r="AK305" s="6" t="e">
        <f t="shared" si="111"/>
        <v>#N/A</v>
      </c>
      <c r="AL305" s="6" t="str">
        <f>IF(AB306&lt;&gt;AB305,AVERAGEIF(AB$9:AB305,AB305,AK$9:AK305),"")</f>
        <v/>
      </c>
      <c r="AM305" s="7" t="str">
        <f>IFERROR(IF(AB306&lt;&gt;AB305,AVERAGEIF(AB$9:AB305,AB305,AT$9:AT305),""),"")</f>
        <v/>
      </c>
      <c r="AN305" s="7" t="str">
        <f>IFERROR(IF(AB306&lt;&gt;AB305,AVERAGEIF(AB$9:AB305,AB305,AU$9:AU305),""),"")</f>
        <v/>
      </c>
      <c r="AO305" s="7" t="str" cm="1">
        <f t="array" ref="AO305">IFERROR(IF(AB306&lt;&gt;AB305,_xlfn.STDEV.P(IF(AB$9:AB305=AB305,AU$9:AU305)),""),"")</f>
        <v/>
      </c>
      <c r="AP305" s="7" t="str" cm="1">
        <f t="array" ref="AP305">IFERROR(IF(AB306&lt;&gt;AB305,_xlfn.STDEV.P(IF(AB$9:AB305=AB305,AT$9:AT305)),""),"")</f>
        <v/>
      </c>
      <c r="AQ305" s="8" t="str">
        <f t="shared" si="112"/>
        <v/>
      </c>
      <c r="AR305" s="8" t="str">
        <f t="shared" si="113"/>
        <v/>
      </c>
      <c r="AS305" s="8" t="str">
        <f t="shared" si="114"/>
        <v/>
      </c>
      <c r="AT305" s="9" t="str">
        <f t="shared" si="115"/>
        <v/>
      </c>
      <c r="AU305" s="9" t="str">
        <f t="shared" si="116"/>
        <v/>
      </c>
      <c r="AV305" s="14"/>
      <c r="AW305" s="15"/>
      <c r="AX305" s="14" t="str">
        <f t="shared" si="117"/>
        <v/>
      </c>
      <c r="AY305" s="15"/>
      <c r="AZ305" s="23"/>
      <c r="EW305" t="s">
        <v>46</v>
      </c>
      <c r="EX305" s="33">
        <v>1304</v>
      </c>
      <c r="EY305" s="33" t="s">
        <v>791</v>
      </c>
      <c r="EZ305" s="33" t="s">
        <v>792</v>
      </c>
      <c r="FA305" s="33" t="s">
        <v>343</v>
      </c>
      <c r="FB305" s="33" t="s">
        <v>344</v>
      </c>
      <c r="FC305" s="33" t="s">
        <v>345</v>
      </c>
      <c r="FD305" s="33" t="s">
        <v>346</v>
      </c>
      <c r="FE305" s="33">
        <v>2025</v>
      </c>
      <c r="FF305" s="33" t="s">
        <v>59</v>
      </c>
      <c r="FG305" s="33" t="s">
        <v>386</v>
      </c>
      <c r="FH305" s="33" t="s">
        <v>387</v>
      </c>
      <c r="FI305" s="33" t="s">
        <v>407</v>
      </c>
      <c r="FJ305" t="s">
        <v>59</v>
      </c>
      <c r="FM305" s="32" t="s">
        <v>784</v>
      </c>
      <c r="FN305" t="s">
        <v>785</v>
      </c>
      <c r="FO305" t="s">
        <v>786</v>
      </c>
      <c r="FP305" t="str">
        <f t="shared" si="99"/>
        <v>B</v>
      </c>
      <c r="GU305" s="53">
        <v>75</v>
      </c>
      <c r="GV305" s="53">
        <v>299</v>
      </c>
    </row>
    <row r="306" spans="1:204" ht="15.5" x14ac:dyDescent="0.35">
      <c r="A306" s="95">
        <f t="shared" si="100"/>
        <v>1</v>
      </c>
      <c r="B306" s="11"/>
      <c r="C306" s="11"/>
      <c r="D306" s="92" t="str">
        <f>IFERROR(
IF(AND(OR(Planilla!B306="C",Planilla!B306="c"), VLOOKUP(E306,EX:FJ,13,0)="C"), "OK",IF(AND(OR(Planilla!B306="C",Planilla!B306="c"), OR(VLOOKUP(E306,EX:FJ,13,0)="B", VLOOKUP(E306,EX:FJ,13,0)="A")), "DEFICIT",IF(
AND(OR(Planilla!B306="B", Planilla!B306="BPAL"), VLOOKUP(E306,EX:FJ,13,0)="B"), "OK",IF(AND(OR(Planilla!B306="B", Planilla!B306="BPAL"), VLOOKUP(E306,EX:FJ,13,0)="A"), "DEFICIT",IF(AND(OR(Planilla!B306="B", Planilla!B306="BPAL"), VLOOKUP(E306,EX:FJ,13,0)="C"), "SOBREOFERTA",IF(AND(Planilla!B306="A", VLOOKUP(E306,EX:FJ,13,0)="A"), "OK",IF(
AND(Planilla!B306="A", OR(VLOOKUP(E306,EX:FJ,13,0)="B", VLOOKUP(E306,EX:FJ,13,0)="C")), "SOBREOFERTA",""
))))))),"")</f>
        <v/>
      </c>
      <c r="E306" s="12"/>
      <c r="F306" s="13"/>
      <c r="G306" s="14"/>
      <c r="H306" s="81" t="str">
        <f t="shared" si="101"/>
        <v/>
      </c>
      <c r="I306" s="7"/>
      <c r="J306" s="6" t="e">
        <f t="shared" si="102"/>
        <v>#N/A</v>
      </c>
      <c r="K306" s="6" t="str">
        <f>IF(A307&lt;&gt;A306,AVERAGEIF(A$9:A306,A306,J$9:J306),"")</f>
        <v/>
      </c>
      <c r="L306" s="7" t="str">
        <f>IFERROR(IF(A307&lt;&gt;A306,AVERAGEIF(A$9:A306,A306,S$9:S306),""),"")</f>
        <v/>
      </c>
      <c r="M306" s="7" t="str">
        <f>IFERROR(IF(A307&lt;&gt;A306,AVERAGEIF(A$9:A306,A306,T$9:T306),""),"")</f>
        <v/>
      </c>
      <c r="N306" s="7" t="str" cm="1">
        <f t="array" ref="N306">IFERROR(IF(A307&lt;&gt;A306,_xlfn.STDEV.P(IF(A$9:A306=A306,T$9:T306)),""),"")</f>
        <v/>
      </c>
      <c r="O306" s="7" t="str" cm="1">
        <f t="array" ref="O306">IFERROR(IF(A307&lt;&gt;A306,_xlfn.STDEV.P(IF(A$9:A306=A306,S$9:S306)),""),"")</f>
        <v/>
      </c>
      <c r="P306" s="8" t="str">
        <f t="shared" si="103"/>
        <v/>
      </c>
      <c r="Q306" s="8" t="str">
        <f t="shared" si="104"/>
        <v/>
      </c>
      <c r="R306" s="8" t="str">
        <f t="shared" si="105"/>
        <v/>
      </c>
      <c r="S306" s="9" t="str">
        <f t="shared" si="106"/>
        <v/>
      </c>
      <c r="T306" s="9" t="str">
        <f t="shared" si="107"/>
        <v/>
      </c>
      <c r="U306" s="14"/>
      <c r="V306" s="15"/>
      <c r="W306" s="14" t="str">
        <f t="shared" si="108"/>
        <v/>
      </c>
      <c r="X306" s="15"/>
      <c r="Y306" s="2"/>
      <c r="AB306" s="22">
        <f t="shared" si="109"/>
        <v>1</v>
      </c>
      <c r="AC306" s="11"/>
      <c r="AD306" s="11"/>
      <c r="AE306" s="13"/>
      <c r="AF306" s="12"/>
      <c r="AG306" s="13"/>
      <c r="AH306" s="14"/>
      <c r="AI306" s="81" t="str">
        <f t="shared" si="110"/>
        <v/>
      </c>
      <c r="AJ306" s="15"/>
      <c r="AK306" s="6" t="e">
        <f t="shared" si="111"/>
        <v>#N/A</v>
      </c>
      <c r="AL306" s="6" t="str">
        <f>IF(AB307&lt;&gt;AB306,AVERAGEIF(AB$9:AB306,AB306,AK$9:AK306),"")</f>
        <v/>
      </c>
      <c r="AM306" s="7" t="str">
        <f>IFERROR(IF(AB307&lt;&gt;AB306,AVERAGEIF(AB$9:AB306,AB306,AT$9:AT306),""),"")</f>
        <v/>
      </c>
      <c r="AN306" s="7" t="str">
        <f>IFERROR(IF(AB307&lt;&gt;AB306,AVERAGEIF(AB$9:AB306,AB306,AU$9:AU306),""),"")</f>
        <v/>
      </c>
      <c r="AO306" s="7" t="str" cm="1">
        <f t="array" ref="AO306">IFERROR(IF(AB307&lt;&gt;AB306,_xlfn.STDEV.P(IF(AB$9:AB306=AB306,AU$9:AU306)),""),"")</f>
        <v/>
      </c>
      <c r="AP306" s="7" t="str" cm="1">
        <f t="array" ref="AP306">IFERROR(IF(AB307&lt;&gt;AB306,_xlfn.STDEV.P(IF(AB$9:AB306=AB306,AT$9:AT306)),""),"")</f>
        <v/>
      </c>
      <c r="AQ306" s="8" t="str">
        <f t="shared" si="112"/>
        <v/>
      </c>
      <c r="AR306" s="8" t="str">
        <f t="shared" si="113"/>
        <v/>
      </c>
      <c r="AS306" s="8" t="str">
        <f t="shared" si="114"/>
        <v/>
      </c>
      <c r="AT306" s="9" t="str">
        <f t="shared" si="115"/>
        <v/>
      </c>
      <c r="AU306" s="9" t="str">
        <f t="shared" si="116"/>
        <v/>
      </c>
      <c r="AV306" s="14"/>
      <c r="AW306" s="15"/>
      <c r="AX306" s="14" t="str">
        <f t="shared" si="117"/>
        <v/>
      </c>
      <c r="AY306" s="15"/>
      <c r="AZ306" s="23"/>
      <c r="EW306" t="s">
        <v>46</v>
      </c>
      <c r="EX306" s="33">
        <v>1305</v>
      </c>
      <c r="EY306" s="33" t="s">
        <v>793</v>
      </c>
      <c r="EZ306" s="33" t="s">
        <v>794</v>
      </c>
      <c r="FA306" s="33" t="s">
        <v>343</v>
      </c>
      <c r="FB306" s="33" t="s">
        <v>344</v>
      </c>
      <c r="FC306" s="33" t="s">
        <v>345</v>
      </c>
      <c r="FD306" s="33" t="s">
        <v>346</v>
      </c>
      <c r="FE306" s="33">
        <v>2025</v>
      </c>
      <c r="FF306" s="33" t="s">
        <v>59</v>
      </c>
      <c r="FG306" s="33" t="s">
        <v>386</v>
      </c>
      <c r="FH306" s="33" t="s">
        <v>387</v>
      </c>
      <c r="FI306" s="33" t="s">
        <v>407</v>
      </c>
      <c r="FJ306" t="s">
        <v>59</v>
      </c>
      <c r="FM306" s="32" t="s">
        <v>795</v>
      </c>
      <c r="FN306" t="s">
        <v>796</v>
      </c>
      <c r="FO306" t="s">
        <v>797</v>
      </c>
      <c r="FP306" t="str">
        <f t="shared" si="99"/>
        <v>B</v>
      </c>
      <c r="GU306" s="53">
        <v>76</v>
      </c>
      <c r="GV306" s="53">
        <v>300</v>
      </c>
    </row>
    <row r="307" spans="1:204" ht="15.5" x14ac:dyDescent="0.35">
      <c r="A307" s="95">
        <f t="shared" si="100"/>
        <v>1</v>
      </c>
      <c r="B307" s="11"/>
      <c r="C307" s="11"/>
      <c r="D307" s="92" t="str">
        <f>IFERROR(
IF(AND(OR(Planilla!B307="C",Planilla!B307="c"), VLOOKUP(E307,EX:FJ,13,0)="C"), "OK",IF(AND(OR(Planilla!B307="C",Planilla!B307="c"), OR(VLOOKUP(E307,EX:FJ,13,0)="B", VLOOKUP(E307,EX:FJ,13,0)="A")), "DEFICIT",IF(
AND(OR(Planilla!B307="B", Planilla!B307="BPAL"), VLOOKUP(E307,EX:FJ,13,0)="B"), "OK",IF(AND(OR(Planilla!B307="B", Planilla!B307="BPAL"), VLOOKUP(E307,EX:FJ,13,0)="A"), "DEFICIT",IF(AND(OR(Planilla!B307="B", Planilla!B307="BPAL"), VLOOKUP(E307,EX:FJ,13,0)="C"), "SOBREOFERTA",IF(AND(Planilla!B307="A", VLOOKUP(E307,EX:FJ,13,0)="A"), "OK",IF(
AND(Planilla!B307="A", OR(VLOOKUP(E307,EX:FJ,13,0)="B", VLOOKUP(E307,EX:FJ,13,0)="C")), "SOBREOFERTA",""
))))))),"")</f>
        <v/>
      </c>
      <c r="E307" s="12"/>
      <c r="F307" s="13"/>
      <c r="G307" s="14"/>
      <c r="H307" s="81" t="str">
        <f t="shared" si="101"/>
        <v/>
      </c>
      <c r="I307" s="7"/>
      <c r="J307" s="6" t="e">
        <f t="shared" si="102"/>
        <v>#N/A</v>
      </c>
      <c r="K307" s="6" t="str">
        <f>IF(A308&lt;&gt;A307,AVERAGEIF(A$9:A307,A307,J$9:J307),"")</f>
        <v/>
      </c>
      <c r="L307" s="7" t="str">
        <f>IFERROR(IF(A308&lt;&gt;A307,AVERAGEIF(A$9:A307,A307,S$9:S307),""),"")</f>
        <v/>
      </c>
      <c r="M307" s="7" t="str">
        <f>IFERROR(IF(A308&lt;&gt;A307,AVERAGEIF(A$9:A307,A307,T$9:T307),""),"")</f>
        <v/>
      </c>
      <c r="N307" s="7" t="str" cm="1">
        <f t="array" ref="N307">IFERROR(IF(A308&lt;&gt;A307,_xlfn.STDEV.P(IF(A$9:A307=A307,T$9:T307)),""),"")</f>
        <v/>
      </c>
      <c r="O307" s="7" t="str" cm="1">
        <f t="array" ref="O307">IFERROR(IF(A308&lt;&gt;A307,_xlfn.STDEV.P(IF(A$9:A307=A307,S$9:S307)),""),"")</f>
        <v/>
      </c>
      <c r="P307" s="8" t="str">
        <f t="shared" si="103"/>
        <v/>
      </c>
      <c r="Q307" s="8" t="str">
        <f t="shared" si="104"/>
        <v/>
      </c>
      <c r="R307" s="8" t="str">
        <f t="shared" si="105"/>
        <v/>
      </c>
      <c r="S307" s="9" t="str">
        <f t="shared" si="106"/>
        <v/>
      </c>
      <c r="T307" s="9" t="str">
        <f t="shared" si="107"/>
        <v/>
      </c>
      <c r="U307" s="14"/>
      <c r="V307" s="15"/>
      <c r="W307" s="14" t="str">
        <f t="shared" si="108"/>
        <v/>
      </c>
      <c r="X307" s="15"/>
      <c r="Y307" s="2"/>
      <c r="AB307" s="22">
        <f t="shared" si="109"/>
        <v>1</v>
      </c>
      <c r="AC307" s="11"/>
      <c r="AD307" s="11"/>
      <c r="AE307" s="13"/>
      <c r="AF307" s="12"/>
      <c r="AG307" s="13"/>
      <c r="AH307" s="14"/>
      <c r="AI307" s="81" t="str">
        <f t="shared" si="110"/>
        <v/>
      </c>
      <c r="AJ307" s="15"/>
      <c r="AK307" s="6" t="e">
        <f t="shared" si="111"/>
        <v>#N/A</v>
      </c>
      <c r="AL307" s="6" t="str">
        <f>IF(AB308&lt;&gt;AB307,AVERAGEIF(AB$9:AB307,AB307,AK$9:AK307),"")</f>
        <v/>
      </c>
      <c r="AM307" s="7" t="str">
        <f>IFERROR(IF(AB308&lt;&gt;AB307,AVERAGEIF(AB$9:AB307,AB307,AT$9:AT307),""),"")</f>
        <v/>
      </c>
      <c r="AN307" s="7" t="str">
        <f>IFERROR(IF(AB308&lt;&gt;AB307,AVERAGEIF(AB$9:AB307,AB307,AU$9:AU307),""),"")</f>
        <v/>
      </c>
      <c r="AO307" s="7" t="str" cm="1">
        <f t="array" ref="AO307">IFERROR(IF(AB308&lt;&gt;AB307,_xlfn.STDEV.P(IF(AB$9:AB307=AB307,AU$9:AU307)),""),"")</f>
        <v/>
      </c>
      <c r="AP307" s="7" t="str" cm="1">
        <f t="array" ref="AP307">IFERROR(IF(AB308&lt;&gt;AB307,_xlfn.STDEV.P(IF(AB$9:AB307=AB307,AT$9:AT307)),""),"")</f>
        <v/>
      </c>
      <c r="AQ307" s="8" t="str">
        <f t="shared" si="112"/>
        <v/>
      </c>
      <c r="AR307" s="8" t="str">
        <f t="shared" si="113"/>
        <v/>
      </c>
      <c r="AS307" s="8" t="str">
        <f t="shared" si="114"/>
        <v/>
      </c>
      <c r="AT307" s="9" t="str">
        <f t="shared" si="115"/>
        <v/>
      </c>
      <c r="AU307" s="9" t="str">
        <f t="shared" si="116"/>
        <v/>
      </c>
      <c r="AV307" s="14"/>
      <c r="AW307" s="15"/>
      <c r="AX307" s="14" t="str">
        <f t="shared" si="117"/>
        <v/>
      </c>
      <c r="AY307" s="15"/>
      <c r="AZ307" s="23"/>
      <c r="EW307" t="s">
        <v>46</v>
      </c>
      <c r="EX307" s="33">
        <v>1306</v>
      </c>
      <c r="EY307" s="33" t="s">
        <v>798</v>
      </c>
      <c r="EZ307" s="33" t="s">
        <v>799</v>
      </c>
      <c r="FA307" s="33" t="s">
        <v>343</v>
      </c>
      <c r="FB307" s="33" t="s">
        <v>344</v>
      </c>
      <c r="FC307" s="33" t="s">
        <v>345</v>
      </c>
      <c r="FD307" s="33" t="s">
        <v>346</v>
      </c>
      <c r="FE307" s="33">
        <v>2025</v>
      </c>
      <c r="FF307" s="33" t="s">
        <v>59</v>
      </c>
      <c r="FG307" s="33" t="s">
        <v>386</v>
      </c>
      <c r="FH307" s="33" t="s">
        <v>387</v>
      </c>
      <c r="FI307" s="33" t="s">
        <v>407</v>
      </c>
      <c r="FJ307" t="s">
        <v>59</v>
      </c>
      <c r="FM307" s="32" t="s">
        <v>795</v>
      </c>
      <c r="FN307" t="s">
        <v>796</v>
      </c>
      <c r="FO307" t="s">
        <v>797</v>
      </c>
      <c r="FP307" t="str">
        <f t="shared" si="99"/>
        <v>B</v>
      </c>
      <c r="GU307" s="53">
        <v>77</v>
      </c>
      <c r="GV307" s="53">
        <v>301</v>
      </c>
    </row>
    <row r="308" spans="1:204" ht="15.5" x14ac:dyDescent="0.35">
      <c r="A308" s="95">
        <f t="shared" si="100"/>
        <v>1</v>
      </c>
      <c r="B308" s="11"/>
      <c r="C308" s="11"/>
      <c r="D308" s="92" t="str">
        <f>IFERROR(
IF(AND(OR(Planilla!B308="C",Planilla!B308="c"), VLOOKUP(E308,EX:FJ,13,0)="C"), "OK",IF(AND(OR(Planilla!B308="C",Planilla!B308="c"), OR(VLOOKUP(E308,EX:FJ,13,0)="B", VLOOKUP(E308,EX:FJ,13,0)="A")), "DEFICIT",IF(
AND(OR(Planilla!B308="B", Planilla!B308="BPAL"), VLOOKUP(E308,EX:FJ,13,0)="B"), "OK",IF(AND(OR(Planilla!B308="B", Planilla!B308="BPAL"), VLOOKUP(E308,EX:FJ,13,0)="A"), "DEFICIT",IF(AND(OR(Planilla!B308="B", Planilla!B308="BPAL"), VLOOKUP(E308,EX:FJ,13,0)="C"), "SOBREOFERTA",IF(AND(Planilla!B308="A", VLOOKUP(E308,EX:FJ,13,0)="A"), "OK",IF(
AND(Planilla!B308="A", OR(VLOOKUP(E308,EX:FJ,13,0)="B", VLOOKUP(E308,EX:FJ,13,0)="C")), "SOBREOFERTA",""
))))))),"")</f>
        <v/>
      </c>
      <c r="E308" s="12"/>
      <c r="F308" s="13"/>
      <c r="G308" s="14"/>
      <c r="H308" s="81" t="str">
        <f t="shared" si="101"/>
        <v/>
      </c>
      <c r="I308" s="7"/>
      <c r="J308" s="6" t="e">
        <f t="shared" si="102"/>
        <v>#N/A</v>
      </c>
      <c r="K308" s="6" t="str">
        <f>IF(A309&lt;&gt;A308,AVERAGEIF(A$9:A308,A308,J$9:J308),"")</f>
        <v/>
      </c>
      <c r="L308" s="7" t="str">
        <f>IFERROR(IF(A309&lt;&gt;A308,AVERAGEIF(A$9:A308,A308,S$9:S308),""),"")</f>
        <v/>
      </c>
      <c r="M308" s="7" t="str">
        <f>IFERROR(IF(A309&lt;&gt;A308,AVERAGEIF(A$9:A308,A308,T$9:T308),""),"")</f>
        <v/>
      </c>
      <c r="N308" s="7" t="str" cm="1">
        <f t="array" ref="N308">IFERROR(IF(A309&lt;&gt;A308,_xlfn.STDEV.P(IF(A$9:A308=A308,T$9:T308)),""),"")</f>
        <v/>
      </c>
      <c r="O308" s="7" t="str" cm="1">
        <f t="array" ref="O308">IFERROR(IF(A309&lt;&gt;A308,_xlfn.STDEV.P(IF(A$9:A308=A308,S$9:S308)),""),"")</f>
        <v/>
      </c>
      <c r="P308" s="8" t="str">
        <f t="shared" si="103"/>
        <v/>
      </c>
      <c r="Q308" s="8" t="str">
        <f t="shared" si="104"/>
        <v/>
      </c>
      <c r="R308" s="8" t="str">
        <f t="shared" si="105"/>
        <v/>
      </c>
      <c r="S308" s="9" t="str">
        <f t="shared" si="106"/>
        <v/>
      </c>
      <c r="T308" s="9" t="str">
        <f t="shared" si="107"/>
        <v/>
      </c>
      <c r="U308" s="14"/>
      <c r="V308" s="15"/>
      <c r="W308" s="14" t="str">
        <f t="shared" si="108"/>
        <v/>
      </c>
      <c r="X308" s="15"/>
      <c r="Y308" s="2"/>
      <c r="AB308" s="22">
        <f t="shared" si="109"/>
        <v>1</v>
      </c>
      <c r="AC308" s="11"/>
      <c r="AD308" s="11"/>
      <c r="AE308" s="13"/>
      <c r="AF308" s="12"/>
      <c r="AG308" s="13"/>
      <c r="AH308" s="14"/>
      <c r="AI308" s="81" t="str">
        <f t="shared" si="110"/>
        <v/>
      </c>
      <c r="AJ308" s="15"/>
      <c r="AK308" s="6" t="e">
        <f t="shared" si="111"/>
        <v>#N/A</v>
      </c>
      <c r="AL308" s="6" t="str">
        <f>IF(AB309&lt;&gt;AB308,AVERAGEIF(AB$9:AB308,AB308,AK$9:AK308),"")</f>
        <v/>
      </c>
      <c r="AM308" s="7" t="str">
        <f>IFERROR(IF(AB309&lt;&gt;AB308,AVERAGEIF(AB$9:AB308,AB308,AT$9:AT308),""),"")</f>
        <v/>
      </c>
      <c r="AN308" s="7" t="str">
        <f>IFERROR(IF(AB309&lt;&gt;AB308,AVERAGEIF(AB$9:AB308,AB308,AU$9:AU308),""),"")</f>
        <v/>
      </c>
      <c r="AO308" s="7" t="str" cm="1">
        <f t="array" ref="AO308">IFERROR(IF(AB309&lt;&gt;AB308,_xlfn.STDEV.P(IF(AB$9:AB308=AB308,AU$9:AU308)),""),"")</f>
        <v/>
      </c>
      <c r="AP308" s="7" t="str" cm="1">
        <f t="array" ref="AP308">IFERROR(IF(AB309&lt;&gt;AB308,_xlfn.STDEV.P(IF(AB$9:AB308=AB308,AT$9:AT308)),""),"")</f>
        <v/>
      </c>
      <c r="AQ308" s="8" t="str">
        <f t="shared" si="112"/>
        <v/>
      </c>
      <c r="AR308" s="8" t="str">
        <f t="shared" si="113"/>
        <v/>
      </c>
      <c r="AS308" s="8" t="str">
        <f t="shared" si="114"/>
        <v/>
      </c>
      <c r="AT308" s="9" t="str">
        <f t="shared" si="115"/>
        <v/>
      </c>
      <c r="AU308" s="9" t="str">
        <f t="shared" si="116"/>
        <v/>
      </c>
      <c r="AV308" s="14"/>
      <c r="AW308" s="15"/>
      <c r="AX308" s="14" t="str">
        <f t="shared" si="117"/>
        <v/>
      </c>
      <c r="AY308" s="15"/>
      <c r="AZ308" s="23"/>
      <c r="EW308" t="s">
        <v>46</v>
      </c>
      <c r="EX308" s="33">
        <v>1307</v>
      </c>
      <c r="EY308" s="33" t="s">
        <v>800</v>
      </c>
      <c r="EZ308" s="33" t="s">
        <v>801</v>
      </c>
      <c r="FA308" s="33" t="s">
        <v>343</v>
      </c>
      <c r="FB308" s="33" t="s">
        <v>344</v>
      </c>
      <c r="FC308" s="33" t="s">
        <v>345</v>
      </c>
      <c r="FD308" s="33" t="s">
        <v>346</v>
      </c>
      <c r="FE308" s="33">
        <v>2025</v>
      </c>
      <c r="FF308" s="33" t="s">
        <v>59</v>
      </c>
      <c r="FG308" s="33" t="s">
        <v>477</v>
      </c>
      <c r="FH308" s="33" t="s">
        <v>478</v>
      </c>
      <c r="FI308" s="33" t="s">
        <v>479</v>
      </c>
      <c r="FJ308" t="s">
        <v>59</v>
      </c>
      <c r="FM308" s="32" t="s">
        <v>795</v>
      </c>
      <c r="FN308" t="s">
        <v>796</v>
      </c>
      <c r="FO308" t="s">
        <v>797</v>
      </c>
      <c r="FP308" t="str">
        <f t="shared" si="99"/>
        <v>B</v>
      </c>
      <c r="GU308" s="53">
        <v>78</v>
      </c>
      <c r="GV308" s="53">
        <v>302</v>
      </c>
    </row>
    <row r="309" spans="1:204" ht="15.5" x14ac:dyDescent="0.35">
      <c r="A309" s="95">
        <f t="shared" si="100"/>
        <v>1</v>
      </c>
      <c r="B309" s="11"/>
      <c r="C309" s="11"/>
      <c r="D309" s="92" t="str">
        <f>IFERROR(
IF(AND(OR(Planilla!B309="C",Planilla!B309="c"), VLOOKUP(E309,EX:FJ,13,0)="C"), "OK",IF(AND(OR(Planilla!B309="C",Planilla!B309="c"), OR(VLOOKUP(E309,EX:FJ,13,0)="B", VLOOKUP(E309,EX:FJ,13,0)="A")), "DEFICIT",IF(
AND(OR(Planilla!B309="B", Planilla!B309="BPAL"), VLOOKUP(E309,EX:FJ,13,0)="B"), "OK",IF(AND(OR(Planilla!B309="B", Planilla!B309="BPAL"), VLOOKUP(E309,EX:FJ,13,0)="A"), "DEFICIT",IF(AND(OR(Planilla!B309="B", Planilla!B309="BPAL"), VLOOKUP(E309,EX:FJ,13,0)="C"), "SOBREOFERTA",IF(AND(Planilla!B309="A", VLOOKUP(E309,EX:FJ,13,0)="A"), "OK",IF(
AND(Planilla!B309="A", OR(VLOOKUP(E309,EX:FJ,13,0)="B", VLOOKUP(E309,EX:FJ,13,0)="C")), "SOBREOFERTA",""
))))))),"")</f>
        <v/>
      </c>
      <c r="E309" s="12"/>
      <c r="F309" s="13"/>
      <c r="G309" s="14"/>
      <c r="H309" s="81" t="str">
        <f t="shared" si="101"/>
        <v/>
      </c>
      <c r="I309" s="7"/>
      <c r="J309" s="6" t="e">
        <f t="shared" si="102"/>
        <v>#N/A</v>
      </c>
      <c r="K309" s="6" t="str">
        <f>IF(A310&lt;&gt;A309,AVERAGEIF(A$9:A309,A309,J$9:J309),"")</f>
        <v/>
      </c>
      <c r="L309" s="7" t="str">
        <f>IFERROR(IF(A310&lt;&gt;A309,AVERAGEIF(A$9:A309,A309,S$9:S309),""),"")</f>
        <v/>
      </c>
      <c r="M309" s="7" t="str">
        <f>IFERROR(IF(A310&lt;&gt;A309,AVERAGEIF(A$9:A309,A309,T$9:T309),""),"")</f>
        <v/>
      </c>
      <c r="N309" s="7" t="str" cm="1">
        <f t="array" ref="N309">IFERROR(IF(A310&lt;&gt;A309,_xlfn.STDEV.P(IF(A$9:A309=A309,T$9:T309)),""),"")</f>
        <v/>
      </c>
      <c r="O309" s="7" t="str" cm="1">
        <f t="array" ref="O309">IFERROR(IF(A310&lt;&gt;A309,_xlfn.STDEV.P(IF(A$9:A309=A309,S$9:S309)),""),"")</f>
        <v/>
      </c>
      <c r="P309" s="8" t="str">
        <f t="shared" si="103"/>
        <v/>
      </c>
      <c r="Q309" s="8" t="str">
        <f t="shared" si="104"/>
        <v/>
      </c>
      <c r="R309" s="8" t="str">
        <f t="shared" si="105"/>
        <v/>
      </c>
      <c r="S309" s="9" t="str">
        <f t="shared" si="106"/>
        <v/>
      </c>
      <c r="T309" s="9" t="str">
        <f t="shared" si="107"/>
        <v/>
      </c>
      <c r="U309" s="14"/>
      <c r="V309" s="15"/>
      <c r="W309" s="14" t="str">
        <f t="shared" si="108"/>
        <v/>
      </c>
      <c r="X309" s="15"/>
      <c r="Y309" s="2"/>
      <c r="AB309" s="22">
        <f t="shared" si="109"/>
        <v>1</v>
      </c>
      <c r="AC309" s="11"/>
      <c r="AD309" s="11"/>
      <c r="AE309" s="13"/>
      <c r="AF309" s="12"/>
      <c r="AG309" s="13"/>
      <c r="AH309" s="14"/>
      <c r="AI309" s="81" t="str">
        <f t="shared" si="110"/>
        <v/>
      </c>
      <c r="AJ309" s="15"/>
      <c r="AK309" s="6" t="e">
        <f t="shared" si="111"/>
        <v>#N/A</v>
      </c>
      <c r="AL309" s="6" t="str">
        <f>IF(AB310&lt;&gt;AB309,AVERAGEIF(AB$9:AB309,AB309,AK$9:AK309),"")</f>
        <v/>
      </c>
      <c r="AM309" s="7" t="str">
        <f>IFERROR(IF(AB310&lt;&gt;AB309,AVERAGEIF(AB$9:AB309,AB309,AT$9:AT309),""),"")</f>
        <v/>
      </c>
      <c r="AN309" s="7" t="str">
        <f>IFERROR(IF(AB310&lt;&gt;AB309,AVERAGEIF(AB$9:AB309,AB309,AU$9:AU309),""),"")</f>
        <v/>
      </c>
      <c r="AO309" s="7" t="str" cm="1">
        <f t="array" ref="AO309">IFERROR(IF(AB310&lt;&gt;AB309,_xlfn.STDEV.P(IF(AB$9:AB309=AB309,AU$9:AU309)),""),"")</f>
        <v/>
      </c>
      <c r="AP309" s="7" t="str" cm="1">
        <f t="array" ref="AP309">IFERROR(IF(AB310&lt;&gt;AB309,_xlfn.STDEV.P(IF(AB$9:AB309=AB309,AT$9:AT309)),""),"")</f>
        <v/>
      </c>
      <c r="AQ309" s="8" t="str">
        <f t="shared" si="112"/>
        <v/>
      </c>
      <c r="AR309" s="8" t="str">
        <f t="shared" si="113"/>
        <v/>
      </c>
      <c r="AS309" s="8" t="str">
        <f t="shared" si="114"/>
        <v/>
      </c>
      <c r="AT309" s="9" t="str">
        <f t="shared" si="115"/>
        <v/>
      </c>
      <c r="AU309" s="9" t="str">
        <f t="shared" si="116"/>
        <v/>
      </c>
      <c r="AV309" s="14"/>
      <c r="AW309" s="15"/>
      <c r="AX309" s="14" t="str">
        <f t="shared" si="117"/>
        <v/>
      </c>
      <c r="AY309" s="15"/>
      <c r="AZ309" s="23"/>
      <c r="EW309" t="s">
        <v>46</v>
      </c>
      <c r="EX309" s="33">
        <v>1308</v>
      </c>
      <c r="EY309" s="33" t="s">
        <v>802</v>
      </c>
      <c r="EZ309" s="33" t="s">
        <v>803</v>
      </c>
      <c r="FA309" s="33" t="s">
        <v>343</v>
      </c>
      <c r="FB309" s="33" t="s">
        <v>344</v>
      </c>
      <c r="FC309" s="33" t="s">
        <v>345</v>
      </c>
      <c r="FD309" s="33" t="s">
        <v>346</v>
      </c>
      <c r="FE309" s="33">
        <v>2025</v>
      </c>
      <c r="FF309" s="33" t="s">
        <v>59</v>
      </c>
      <c r="FG309" s="33" t="s">
        <v>477</v>
      </c>
      <c r="FH309" s="33" t="s">
        <v>478</v>
      </c>
      <c r="FI309" s="33" t="s">
        <v>479</v>
      </c>
      <c r="FJ309" t="s">
        <v>59</v>
      </c>
      <c r="FM309" s="32" t="s">
        <v>795</v>
      </c>
      <c r="FN309" t="s">
        <v>796</v>
      </c>
      <c r="FO309" t="s">
        <v>797</v>
      </c>
      <c r="FP309" t="str">
        <f t="shared" si="99"/>
        <v>B</v>
      </c>
      <c r="GU309" s="53">
        <v>79</v>
      </c>
      <c r="GV309" s="53">
        <v>303</v>
      </c>
    </row>
    <row r="310" spans="1:204" ht="15.5" x14ac:dyDescent="0.35">
      <c r="A310" s="95">
        <f t="shared" si="100"/>
        <v>1</v>
      </c>
      <c r="B310" s="11"/>
      <c r="C310" s="11"/>
      <c r="D310" s="92" t="str">
        <f>IFERROR(
IF(AND(OR(Planilla!B310="C",Planilla!B310="c"), VLOOKUP(E310,EX:FJ,13,0)="C"), "OK",IF(AND(OR(Planilla!B310="C",Planilla!B310="c"), OR(VLOOKUP(E310,EX:FJ,13,0)="B", VLOOKUP(E310,EX:FJ,13,0)="A")), "DEFICIT",IF(
AND(OR(Planilla!B310="B", Planilla!B310="BPAL"), VLOOKUP(E310,EX:FJ,13,0)="B"), "OK",IF(AND(OR(Planilla!B310="B", Planilla!B310="BPAL"), VLOOKUP(E310,EX:FJ,13,0)="A"), "DEFICIT",IF(AND(OR(Planilla!B310="B", Planilla!B310="BPAL"), VLOOKUP(E310,EX:FJ,13,0)="C"), "SOBREOFERTA",IF(AND(Planilla!B310="A", VLOOKUP(E310,EX:FJ,13,0)="A"), "OK",IF(
AND(Planilla!B310="A", OR(VLOOKUP(E310,EX:FJ,13,0)="B", VLOOKUP(E310,EX:FJ,13,0)="C")), "SOBREOFERTA",""
))))))),"")</f>
        <v/>
      </c>
      <c r="E310" s="12"/>
      <c r="F310" s="13"/>
      <c r="G310" s="14"/>
      <c r="H310" s="81" t="str">
        <f t="shared" si="101"/>
        <v/>
      </c>
      <c r="I310" s="7"/>
      <c r="J310" s="6" t="e">
        <f t="shared" si="102"/>
        <v>#N/A</v>
      </c>
      <c r="K310" s="6" t="str">
        <f>IF(A311&lt;&gt;A310,AVERAGEIF(A$9:A310,A310,J$9:J310),"")</f>
        <v/>
      </c>
      <c r="L310" s="7" t="str">
        <f>IFERROR(IF(A311&lt;&gt;A310,AVERAGEIF(A$9:A310,A310,S$9:S310),""),"")</f>
        <v/>
      </c>
      <c r="M310" s="7" t="str">
        <f>IFERROR(IF(A311&lt;&gt;A310,AVERAGEIF(A$9:A310,A310,T$9:T310),""),"")</f>
        <v/>
      </c>
      <c r="N310" s="7" t="str" cm="1">
        <f t="array" ref="N310">IFERROR(IF(A311&lt;&gt;A310,_xlfn.STDEV.P(IF(A$9:A310=A310,T$9:T310)),""),"")</f>
        <v/>
      </c>
      <c r="O310" s="7" t="str" cm="1">
        <f t="array" ref="O310">IFERROR(IF(A311&lt;&gt;A310,_xlfn.STDEV.P(IF(A$9:A310=A310,S$9:S310)),""),"")</f>
        <v/>
      </c>
      <c r="P310" s="8" t="str">
        <f t="shared" si="103"/>
        <v/>
      </c>
      <c r="Q310" s="8" t="str">
        <f t="shared" si="104"/>
        <v/>
      </c>
      <c r="R310" s="8" t="str">
        <f t="shared" si="105"/>
        <v/>
      </c>
      <c r="S310" s="9" t="str">
        <f t="shared" si="106"/>
        <v/>
      </c>
      <c r="T310" s="9" t="str">
        <f t="shared" si="107"/>
        <v/>
      </c>
      <c r="U310" s="14"/>
      <c r="V310" s="15"/>
      <c r="W310" s="14" t="str">
        <f t="shared" si="108"/>
        <v/>
      </c>
      <c r="X310" s="15"/>
      <c r="Y310" s="2"/>
      <c r="AB310" s="22">
        <f t="shared" si="109"/>
        <v>1</v>
      </c>
      <c r="AC310" s="11"/>
      <c r="AD310" s="11"/>
      <c r="AE310" s="13"/>
      <c r="AF310" s="12"/>
      <c r="AG310" s="13"/>
      <c r="AH310" s="14"/>
      <c r="AI310" s="81" t="str">
        <f t="shared" si="110"/>
        <v/>
      </c>
      <c r="AJ310" s="15"/>
      <c r="AK310" s="6" t="e">
        <f t="shared" si="111"/>
        <v>#N/A</v>
      </c>
      <c r="AL310" s="6" t="str">
        <f>IF(AB311&lt;&gt;AB310,AVERAGEIF(AB$9:AB310,AB310,AK$9:AK310),"")</f>
        <v/>
      </c>
      <c r="AM310" s="7" t="str">
        <f>IFERROR(IF(AB311&lt;&gt;AB310,AVERAGEIF(AB$9:AB310,AB310,AT$9:AT310),""),"")</f>
        <v/>
      </c>
      <c r="AN310" s="7" t="str">
        <f>IFERROR(IF(AB311&lt;&gt;AB310,AVERAGEIF(AB$9:AB310,AB310,AU$9:AU310),""),"")</f>
        <v/>
      </c>
      <c r="AO310" s="7" t="str" cm="1">
        <f t="array" ref="AO310">IFERROR(IF(AB311&lt;&gt;AB310,_xlfn.STDEV.P(IF(AB$9:AB310=AB310,AU$9:AU310)),""),"")</f>
        <v/>
      </c>
      <c r="AP310" s="7" t="str" cm="1">
        <f t="array" ref="AP310">IFERROR(IF(AB311&lt;&gt;AB310,_xlfn.STDEV.P(IF(AB$9:AB310=AB310,AT$9:AT310)),""),"")</f>
        <v/>
      </c>
      <c r="AQ310" s="8" t="str">
        <f t="shared" si="112"/>
        <v/>
      </c>
      <c r="AR310" s="8" t="str">
        <f t="shared" si="113"/>
        <v/>
      </c>
      <c r="AS310" s="8" t="str">
        <f t="shared" si="114"/>
        <v/>
      </c>
      <c r="AT310" s="9" t="str">
        <f t="shared" si="115"/>
        <v/>
      </c>
      <c r="AU310" s="9" t="str">
        <f t="shared" si="116"/>
        <v/>
      </c>
      <c r="AV310" s="14"/>
      <c r="AW310" s="15"/>
      <c r="AX310" s="14" t="str">
        <f t="shared" si="117"/>
        <v/>
      </c>
      <c r="AY310" s="15"/>
      <c r="AZ310" s="23"/>
      <c r="EW310" t="s">
        <v>46</v>
      </c>
      <c r="EX310" s="33">
        <v>1309</v>
      </c>
      <c r="EY310" s="33" t="s">
        <v>804</v>
      </c>
      <c r="EZ310" s="33" t="s">
        <v>805</v>
      </c>
      <c r="FA310" s="33" t="s">
        <v>343</v>
      </c>
      <c r="FB310" s="33" t="s">
        <v>344</v>
      </c>
      <c r="FC310" s="33" t="s">
        <v>345</v>
      </c>
      <c r="FD310" s="33" t="s">
        <v>346</v>
      </c>
      <c r="FE310" s="33">
        <v>2025</v>
      </c>
      <c r="FF310" s="33" t="s">
        <v>59</v>
      </c>
      <c r="FG310" s="33" t="s">
        <v>477</v>
      </c>
      <c r="FH310" s="33" t="s">
        <v>478</v>
      </c>
      <c r="FI310" s="33" t="s">
        <v>479</v>
      </c>
      <c r="FJ310" t="s">
        <v>59</v>
      </c>
      <c r="FM310" s="32" t="s">
        <v>795</v>
      </c>
      <c r="FN310" t="s">
        <v>796</v>
      </c>
      <c r="FO310" t="s">
        <v>797</v>
      </c>
      <c r="FP310" t="str">
        <f t="shared" si="99"/>
        <v>B</v>
      </c>
      <c r="GU310" s="53">
        <v>80</v>
      </c>
      <c r="GV310" s="53">
        <v>304</v>
      </c>
    </row>
    <row r="311" spans="1:204" ht="15.5" x14ac:dyDescent="0.35">
      <c r="A311" s="95">
        <f t="shared" si="100"/>
        <v>1</v>
      </c>
      <c r="B311" s="11"/>
      <c r="C311" s="11"/>
      <c r="D311" s="92" t="str">
        <f>IFERROR(
IF(AND(OR(Planilla!B311="C",Planilla!B311="c"), VLOOKUP(E311,EX:FJ,13,0)="C"), "OK",IF(AND(OR(Planilla!B311="C",Planilla!B311="c"), OR(VLOOKUP(E311,EX:FJ,13,0)="B", VLOOKUP(E311,EX:FJ,13,0)="A")), "DEFICIT",IF(
AND(OR(Planilla!B311="B", Planilla!B311="BPAL"), VLOOKUP(E311,EX:FJ,13,0)="B"), "OK",IF(AND(OR(Planilla!B311="B", Planilla!B311="BPAL"), VLOOKUP(E311,EX:FJ,13,0)="A"), "DEFICIT",IF(AND(OR(Planilla!B311="B", Planilla!B311="BPAL"), VLOOKUP(E311,EX:FJ,13,0)="C"), "SOBREOFERTA",IF(AND(Planilla!B311="A", VLOOKUP(E311,EX:FJ,13,0)="A"), "OK",IF(
AND(Planilla!B311="A", OR(VLOOKUP(E311,EX:FJ,13,0)="B", VLOOKUP(E311,EX:FJ,13,0)="C")), "SOBREOFERTA",""
))))))),"")</f>
        <v/>
      </c>
      <c r="E311" s="12"/>
      <c r="F311" s="13"/>
      <c r="G311" s="14"/>
      <c r="H311" s="81" t="str">
        <f t="shared" si="101"/>
        <v/>
      </c>
      <c r="I311" s="7"/>
      <c r="J311" s="6" t="e">
        <f t="shared" si="102"/>
        <v>#N/A</v>
      </c>
      <c r="K311" s="6" t="str">
        <f>IF(A312&lt;&gt;A311,AVERAGEIF(A$9:A311,A311,J$9:J311),"")</f>
        <v/>
      </c>
      <c r="L311" s="7" t="str">
        <f>IFERROR(IF(A312&lt;&gt;A311,AVERAGEIF(A$9:A311,A311,S$9:S311),""),"")</f>
        <v/>
      </c>
      <c r="M311" s="7" t="str">
        <f>IFERROR(IF(A312&lt;&gt;A311,AVERAGEIF(A$9:A311,A311,T$9:T311),""),"")</f>
        <v/>
      </c>
      <c r="N311" s="7" t="str" cm="1">
        <f t="array" ref="N311">IFERROR(IF(A312&lt;&gt;A311,_xlfn.STDEV.P(IF(A$9:A311=A311,T$9:T311)),""),"")</f>
        <v/>
      </c>
      <c r="O311" s="7" t="str" cm="1">
        <f t="array" ref="O311">IFERROR(IF(A312&lt;&gt;A311,_xlfn.STDEV.P(IF(A$9:A311=A311,S$9:S311)),""),"")</f>
        <v/>
      </c>
      <c r="P311" s="8" t="str">
        <f t="shared" si="103"/>
        <v/>
      </c>
      <c r="Q311" s="8" t="str">
        <f t="shared" si="104"/>
        <v/>
      </c>
      <c r="R311" s="8" t="str">
        <f t="shared" si="105"/>
        <v/>
      </c>
      <c r="S311" s="9" t="str">
        <f t="shared" si="106"/>
        <v/>
      </c>
      <c r="T311" s="9" t="str">
        <f t="shared" si="107"/>
        <v/>
      </c>
      <c r="U311" s="14"/>
      <c r="V311" s="15"/>
      <c r="W311" s="14" t="str">
        <f t="shared" si="108"/>
        <v/>
      </c>
      <c r="X311" s="15"/>
      <c r="Y311" s="2"/>
      <c r="AB311" s="22">
        <f t="shared" si="109"/>
        <v>1</v>
      </c>
      <c r="AC311" s="11"/>
      <c r="AD311" s="11"/>
      <c r="AE311" s="13"/>
      <c r="AF311" s="12"/>
      <c r="AG311" s="13"/>
      <c r="AH311" s="14"/>
      <c r="AI311" s="81" t="str">
        <f t="shared" si="110"/>
        <v/>
      </c>
      <c r="AJ311" s="15"/>
      <c r="AK311" s="6" t="e">
        <f t="shared" si="111"/>
        <v>#N/A</v>
      </c>
      <c r="AL311" s="6" t="str">
        <f>IF(AB312&lt;&gt;AB311,AVERAGEIF(AB$9:AB311,AB311,AK$9:AK311),"")</f>
        <v/>
      </c>
      <c r="AM311" s="7" t="str">
        <f>IFERROR(IF(AB312&lt;&gt;AB311,AVERAGEIF(AB$9:AB311,AB311,AT$9:AT311),""),"")</f>
        <v/>
      </c>
      <c r="AN311" s="7" t="str">
        <f>IFERROR(IF(AB312&lt;&gt;AB311,AVERAGEIF(AB$9:AB311,AB311,AU$9:AU311),""),"")</f>
        <v/>
      </c>
      <c r="AO311" s="7" t="str" cm="1">
        <f t="array" ref="AO311">IFERROR(IF(AB312&lt;&gt;AB311,_xlfn.STDEV.P(IF(AB$9:AB311=AB311,AU$9:AU311)),""),"")</f>
        <v/>
      </c>
      <c r="AP311" s="7" t="str" cm="1">
        <f t="array" ref="AP311">IFERROR(IF(AB312&lt;&gt;AB311,_xlfn.STDEV.P(IF(AB$9:AB311=AB311,AT$9:AT311)),""),"")</f>
        <v/>
      </c>
      <c r="AQ311" s="8" t="str">
        <f t="shared" si="112"/>
        <v/>
      </c>
      <c r="AR311" s="8" t="str">
        <f t="shared" si="113"/>
        <v/>
      </c>
      <c r="AS311" s="8" t="str">
        <f t="shared" si="114"/>
        <v/>
      </c>
      <c r="AT311" s="9" t="str">
        <f t="shared" si="115"/>
        <v/>
      </c>
      <c r="AU311" s="9" t="str">
        <f t="shared" si="116"/>
        <v/>
      </c>
      <c r="AV311" s="14"/>
      <c r="AW311" s="15"/>
      <c r="AX311" s="14" t="str">
        <f t="shared" si="117"/>
        <v/>
      </c>
      <c r="AY311" s="15"/>
      <c r="AZ311" s="23"/>
      <c r="EW311" t="s">
        <v>46</v>
      </c>
      <c r="EX311" s="33">
        <v>1310</v>
      </c>
      <c r="EY311" s="33" t="s">
        <v>806</v>
      </c>
      <c r="EZ311" s="33" t="s">
        <v>807</v>
      </c>
      <c r="FA311" s="33" t="s">
        <v>343</v>
      </c>
      <c r="FB311" s="33" t="s">
        <v>344</v>
      </c>
      <c r="FC311" s="33" t="s">
        <v>345</v>
      </c>
      <c r="FD311" s="33" t="s">
        <v>346</v>
      </c>
      <c r="FE311" s="33">
        <v>2025</v>
      </c>
      <c r="FF311" s="33" t="s">
        <v>59</v>
      </c>
      <c r="FG311" s="33" t="s">
        <v>386</v>
      </c>
      <c r="FH311" s="33" t="s">
        <v>387</v>
      </c>
      <c r="FI311" s="33" t="s">
        <v>407</v>
      </c>
      <c r="FJ311" t="s">
        <v>59</v>
      </c>
      <c r="FM311" s="32" t="s">
        <v>808</v>
      </c>
      <c r="FN311" t="s">
        <v>809</v>
      </c>
      <c r="FO311" t="s">
        <v>810</v>
      </c>
      <c r="FP311" t="str">
        <f t="shared" si="99"/>
        <v>B</v>
      </c>
      <c r="GU311" s="53">
        <v>81</v>
      </c>
      <c r="GV311" s="53">
        <v>305</v>
      </c>
    </row>
    <row r="312" spans="1:204" ht="15.5" x14ac:dyDescent="0.35">
      <c r="A312" s="95">
        <f t="shared" si="100"/>
        <v>1</v>
      </c>
      <c r="B312" s="11"/>
      <c r="C312" s="11"/>
      <c r="D312" s="92" t="str">
        <f>IFERROR(
IF(AND(OR(Planilla!B312="C",Planilla!B312="c"), VLOOKUP(E312,EX:FJ,13,0)="C"), "OK",IF(AND(OR(Planilla!B312="C",Planilla!B312="c"), OR(VLOOKUP(E312,EX:FJ,13,0)="B", VLOOKUP(E312,EX:FJ,13,0)="A")), "DEFICIT",IF(
AND(OR(Planilla!B312="B", Planilla!B312="BPAL"), VLOOKUP(E312,EX:FJ,13,0)="B"), "OK",IF(AND(OR(Planilla!B312="B", Planilla!B312="BPAL"), VLOOKUP(E312,EX:FJ,13,0)="A"), "DEFICIT",IF(AND(OR(Planilla!B312="B", Planilla!B312="BPAL"), VLOOKUP(E312,EX:FJ,13,0)="C"), "SOBREOFERTA",IF(AND(Planilla!B312="A", VLOOKUP(E312,EX:FJ,13,0)="A"), "OK",IF(
AND(Planilla!B312="A", OR(VLOOKUP(E312,EX:FJ,13,0)="B", VLOOKUP(E312,EX:FJ,13,0)="C")), "SOBREOFERTA",""
))))))),"")</f>
        <v/>
      </c>
      <c r="E312" s="12"/>
      <c r="F312" s="13"/>
      <c r="G312" s="14"/>
      <c r="H312" s="81" t="str">
        <f t="shared" si="101"/>
        <v/>
      </c>
      <c r="I312" s="7"/>
      <c r="J312" s="6" t="e">
        <f t="shared" si="102"/>
        <v>#N/A</v>
      </c>
      <c r="K312" s="6" t="str">
        <f>IF(A313&lt;&gt;A312,AVERAGEIF(A$9:A312,A312,J$9:J312),"")</f>
        <v/>
      </c>
      <c r="L312" s="7" t="str">
        <f>IFERROR(IF(A313&lt;&gt;A312,AVERAGEIF(A$9:A312,A312,S$9:S312),""),"")</f>
        <v/>
      </c>
      <c r="M312" s="7" t="str">
        <f>IFERROR(IF(A313&lt;&gt;A312,AVERAGEIF(A$9:A312,A312,T$9:T312),""),"")</f>
        <v/>
      </c>
      <c r="N312" s="7" t="str" cm="1">
        <f t="array" ref="N312">IFERROR(IF(A313&lt;&gt;A312,_xlfn.STDEV.P(IF(A$9:A312=A312,T$9:T312)),""),"")</f>
        <v/>
      </c>
      <c r="O312" s="7" t="str" cm="1">
        <f t="array" ref="O312">IFERROR(IF(A313&lt;&gt;A312,_xlfn.STDEV.P(IF(A$9:A312=A312,S$9:S312)),""),"")</f>
        <v/>
      </c>
      <c r="P312" s="8" t="str">
        <f t="shared" si="103"/>
        <v/>
      </c>
      <c r="Q312" s="8" t="str">
        <f t="shared" si="104"/>
        <v/>
      </c>
      <c r="R312" s="8" t="str">
        <f t="shared" si="105"/>
        <v/>
      </c>
      <c r="S312" s="9" t="str">
        <f t="shared" si="106"/>
        <v/>
      </c>
      <c r="T312" s="9" t="str">
        <f t="shared" si="107"/>
        <v/>
      </c>
      <c r="U312" s="14"/>
      <c r="V312" s="15"/>
      <c r="W312" s="14" t="str">
        <f t="shared" si="108"/>
        <v/>
      </c>
      <c r="X312" s="15"/>
      <c r="Y312" s="2"/>
      <c r="AB312" s="22">
        <f t="shared" si="109"/>
        <v>1</v>
      </c>
      <c r="AC312" s="11"/>
      <c r="AD312" s="11"/>
      <c r="AE312" s="13"/>
      <c r="AF312" s="12"/>
      <c r="AG312" s="13"/>
      <c r="AH312" s="14"/>
      <c r="AI312" s="81" t="str">
        <f t="shared" si="110"/>
        <v/>
      </c>
      <c r="AJ312" s="15"/>
      <c r="AK312" s="6" t="e">
        <f t="shared" si="111"/>
        <v>#N/A</v>
      </c>
      <c r="AL312" s="6" t="str">
        <f>IF(AB313&lt;&gt;AB312,AVERAGEIF(AB$9:AB312,AB312,AK$9:AK312),"")</f>
        <v/>
      </c>
      <c r="AM312" s="7" t="str">
        <f>IFERROR(IF(AB313&lt;&gt;AB312,AVERAGEIF(AB$9:AB312,AB312,AT$9:AT312),""),"")</f>
        <v/>
      </c>
      <c r="AN312" s="7" t="str">
        <f>IFERROR(IF(AB313&lt;&gt;AB312,AVERAGEIF(AB$9:AB312,AB312,AU$9:AU312),""),"")</f>
        <v/>
      </c>
      <c r="AO312" s="7" t="str" cm="1">
        <f t="array" ref="AO312">IFERROR(IF(AB313&lt;&gt;AB312,_xlfn.STDEV.P(IF(AB$9:AB312=AB312,AU$9:AU312)),""),"")</f>
        <v/>
      </c>
      <c r="AP312" s="7" t="str" cm="1">
        <f t="array" ref="AP312">IFERROR(IF(AB313&lt;&gt;AB312,_xlfn.STDEV.P(IF(AB$9:AB312=AB312,AT$9:AT312)),""),"")</f>
        <v/>
      </c>
      <c r="AQ312" s="8" t="str">
        <f t="shared" si="112"/>
        <v/>
      </c>
      <c r="AR312" s="8" t="str">
        <f t="shared" si="113"/>
        <v/>
      </c>
      <c r="AS312" s="8" t="str">
        <f t="shared" si="114"/>
        <v/>
      </c>
      <c r="AT312" s="9" t="str">
        <f t="shared" si="115"/>
        <v/>
      </c>
      <c r="AU312" s="9" t="str">
        <f t="shared" si="116"/>
        <v/>
      </c>
      <c r="AV312" s="14"/>
      <c r="AW312" s="15"/>
      <c r="AX312" s="14" t="str">
        <f t="shared" si="117"/>
        <v/>
      </c>
      <c r="AY312" s="15"/>
      <c r="AZ312" s="23"/>
      <c r="EW312" t="s">
        <v>46</v>
      </c>
      <c r="EX312" s="33">
        <v>1311</v>
      </c>
      <c r="EY312" s="33" t="s">
        <v>811</v>
      </c>
      <c r="EZ312" s="33" t="s">
        <v>812</v>
      </c>
      <c r="FA312" s="33" t="s">
        <v>343</v>
      </c>
      <c r="FB312" s="33" t="s">
        <v>344</v>
      </c>
      <c r="FC312" s="33" t="s">
        <v>345</v>
      </c>
      <c r="FD312" s="33" t="s">
        <v>346</v>
      </c>
      <c r="FE312" s="33">
        <v>2025</v>
      </c>
      <c r="FF312" s="33" t="s">
        <v>59</v>
      </c>
      <c r="FG312" s="33" t="s">
        <v>386</v>
      </c>
      <c r="FH312" s="33" t="s">
        <v>387</v>
      </c>
      <c r="FI312" s="33" t="s">
        <v>407</v>
      </c>
      <c r="FJ312" t="s">
        <v>59</v>
      </c>
      <c r="FM312" s="32" t="s">
        <v>808</v>
      </c>
      <c r="FN312" t="s">
        <v>809</v>
      </c>
      <c r="FO312" t="s">
        <v>810</v>
      </c>
      <c r="FP312" t="str">
        <f t="shared" si="99"/>
        <v>B</v>
      </c>
      <c r="GU312" s="53">
        <v>82</v>
      </c>
      <c r="GV312" s="53">
        <v>306</v>
      </c>
    </row>
    <row r="313" spans="1:204" ht="15.5" x14ac:dyDescent="0.35">
      <c r="A313" s="95">
        <f t="shared" si="100"/>
        <v>1</v>
      </c>
      <c r="B313" s="11"/>
      <c r="C313" s="11"/>
      <c r="D313" s="92" t="str">
        <f>IFERROR(
IF(AND(OR(Planilla!B313="C",Planilla!B313="c"), VLOOKUP(E313,EX:FJ,13,0)="C"), "OK",IF(AND(OR(Planilla!B313="C",Planilla!B313="c"), OR(VLOOKUP(E313,EX:FJ,13,0)="B", VLOOKUP(E313,EX:FJ,13,0)="A")), "DEFICIT",IF(
AND(OR(Planilla!B313="B", Planilla!B313="BPAL"), VLOOKUP(E313,EX:FJ,13,0)="B"), "OK",IF(AND(OR(Planilla!B313="B", Planilla!B313="BPAL"), VLOOKUP(E313,EX:FJ,13,0)="A"), "DEFICIT",IF(AND(OR(Planilla!B313="B", Planilla!B313="BPAL"), VLOOKUP(E313,EX:FJ,13,0)="C"), "SOBREOFERTA",IF(AND(Planilla!B313="A", VLOOKUP(E313,EX:FJ,13,0)="A"), "OK",IF(
AND(Planilla!B313="A", OR(VLOOKUP(E313,EX:FJ,13,0)="B", VLOOKUP(E313,EX:FJ,13,0)="C")), "SOBREOFERTA",""
))))))),"")</f>
        <v/>
      </c>
      <c r="E313" s="12"/>
      <c r="F313" s="13"/>
      <c r="G313" s="14"/>
      <c r="H313" s="81" t="str">
        <f t="shared" si="101"/>
        <v/>
      </c>
      <c r="I313" s="7"/>
      <c r="J313" s="6" t="e">
        <f t="shared" si="102"/>
        <v>#N/A</v>
      </c>
      <c r="K313" s="6" t="str">
        <f>IF(A314&lt;&gt;A313,AVERAGEIF(A$9:A313,A313,J$9:J313),"")</f>
        <v/>
      </c>
      <c r="L313" s="7" t="str">
        <f>IFERROR(IF(A314&lt;&gt;A313,AVERAGEIF(A$9:A313,A313,S$9:S313),""),"")</f>
        <v/>
      </c>
      <c r="M313" s="7" t="str">
        <f>IFERROR(IF(A314&lt;&gt;A313,AVERAGEIF(A$9:A313,A313,T$9:T313),""),"")</f>
        <v/>
      </c>
      <c r="N313" s="7" t="str" cm="1">
        <f t="array" ref="N313">IFERROR(IF(A314&lt;&gt;A313,_xlfn.STDEV.P(IF(A$9:A313=A313,T$9:T313)),""),"")</f>
        <v/>
      </c>
      <c r="O313" s="7" t="str" cm="1">
        <f t="array" ref="O313">IFERROR(IF(A314&lt;&gt;A313,_xlfn.STDEV.P(IF(A$9:A313=A313,S$9:S313)),""),"")</f>
        <v/>
      </c>
      <c r="P313" s="8" t="str">
        <f t="shared" si="103"/>
        <v/>
      </c>
      <c r="Q313" s="8" t="str">
        <f t="shared" si="104"/>
        <v/>
      </c>
      <c r="R313" s="8" t="str">
        <f t="shared" si="105"/>
        <v/>
      </c>
      <c r="S313" s="9" t="str">
        <f t="shared" si="106"/>
        <v/>
      </c>
      <c r="T313" s="9" t="str">
        <f t="shared" si="107"/>
        <v/>
      </c>
      <c r="U313" s="14"/>
      <c r="V313" s="15"/>
      <c r="W313" s="14" t="str">
        <f t="shared" si="108"/>
        <v/>
      </c>
      <c r="X313" s="15"/>
      <c r="Y313" s="2"/>
      <c r="AB313" s="22">
        <f t="shared" si="109"/>
        <v>1</v>
      </c>
      <c r="AC313" s="11"/>
      <c r="AD313" s="11"/>
      <c r="AE313" s="13"/>
      <c r="AF313" s="12"/>
      <c r="AG313" s="13"/>
      <c r="AH313" s="14"/>
      <c r="AI313" s="81" t="str">
        <f t="shared" si="110"/>
        <v/>
      </c>
      <c r="AJ313" s="15"/>
      <c r="AK313" s="6" t="e">
        <f t="shared" si="111"/>
        <v>#N/A</v>
      </c>
      <c r="AL313" s="6" t="str">
        <f>IF(AB314&lt;&gt;AB313,AVERAGEIF(AB$9:AB313,AB313,AK$9:AK313),"")</f>
        <v/>
      </c>
      <c r="AM313" s="7" t="str">
        <f>IFERROR(IF(AB314&lt;&gt;AB313,AVERAGEIF(AB$9:AB313,AB313,AT$9:AT313),""),"")</f>
        <v/>
      </c>
      <c r="AN313" s="7" t="str">
        <f>IFERROR(IF(AB314&lt;&gt;AB313,AVERAGEIF(AB$9:AB313,AB313,AU$9:AU313),""),"")</f>
        <v/>
      </c>
      <c r="AO313" s="7" t="str" cm="1">
        <f t="array" ref="AO313">IFERROR(IF(AB314&lt;&gt;AB313,_xlfn.STDEV.P(IF(AB$9:AB313=AB313,AU$9:AU313)),""),"")</f>
        <v/>
      </c>
      <c r="AP313" s="7" t="str" cm="1">
        <f t="array" ref="AP313">IFERROR(IF(AB314&lt;&gt;AB313,_xlfn.STDEV.P(IF(AB$9:AB313=AB313,AT$9:AT313)),""),"")</f>
        <v/>
      </c>
      <c r="AQ313" s="8" t="str">
        <f t="shared" si="112"/>
        <v/>
      </c>
      <c r="AR313" s="8" t="str">
        <f t="shared" si="113"/>
        <v/>
      </c>
      <c r="AS313" s="8" t="str">
        <f t="shared" si="114"/>
        <v/>
      </c>
      <c r="AT313" s="9" t="str">
        <f t="shared" si="115"/>
        <v/>
      </c>
      <c r="AU313" s="9" t="str">
        <f t="shared" si="116"/>
        <v/>
      </c>
      <c r="AV313" s="14"/>
      <c r="AW313" s="15"/>
      <c r="AX313" s="14" t="str">
        <f t="shared" si="117"/>
        <v/>
      </c>
      <c r="AY313" s="15"/>
      <c r="AZ313" s="23"/>
      <c r="EW313" t="s">
        <v>46</v>
      </c>
      <c r="EX313" s="33">
        <v>1312</v>
      </c>
      <c r="EY313" s="33" t="s">
        <v>813</v>
      </c>
      <c r="EZ313" s="33" t="s">
        <v>814</v>
      </c>
      <c r="FA313" s="33" t="s">
        <v>343</v>
      </c>
      <c r="FB313" s="33" t="s">
        <v>344</v>
      </c>
      <c r="FC313" s="33" t="s">
        <v>345</v>
      </c>
      <c r="FD313" s="33" t="s">
        <v>346</v>
      </c>
      <c r="FE313" s="33">
        <v>2025</v>
      </c>
      <c r="FF313" s="33" t="s">
        <v>59</v>
      </c>
      <c r="FG313" s="33" t="s">
        <v>477</v>
      </c>
      <c r="FH313" s="33" t="s">
        <v>478</v>
      </c>
      <c r="FI313" s="33" t="s">
        <v>479</v>
      </c>
      <c r="FJ313" t="s">
        <v>59</v>
      </c>
      <c r="FM313" s="32" t="s">
        <v>808</v>
      </c>
      <c r="FN313" t="s">
        <v>809</v>
      </c>
      <c r="FO313" t="s">
        <v>810</v>
      </c>
      <c r="FP313" t="str">
        <f t="shared" si="99"/>
        <v>B</v>
      </c>
      <c r="GU313" s="53">
        <v>83</v>
      </c>
      <c r="GV313" s="53">
        <v>307</v>
      </c>
    </row>
    <row r="314" spans="1:204" ht="15.5" x14ac:dyDescent="0.35">
      <c r="A314" s="95">
        <f t="shared" si="100"/>
        <v>1</v>
      </c>
      <c r="B314" s="11"/>
      <c r="C314" s="11"/>
      <c r="D314" s="92" t="str">
        <f>IFERROR(
IF(AND(OR(Planilla!B314="C",Planilla!B314="c"), VLOOKUP(E314,EX:FJ,13,0)="C"), "OK",IF(AND(OR(Planilla!B314="C",Planilla!B314="c"), OR(VLOOKUP(E314,EX:FJ,13,0)="B", VLOOKUP(E314,EX:FJ,13,0)="A")), "DEFICIT",IF(
AND(OR(Planilla!B314="B", Planilla!B314="BPAL"), VLOOKUP(E314,EX:FJ,13,0)="B"), "OK",IF(AND(OR(Planilla!B314="B", Planilla!B314="BPAL"), VLOOKUP(E314,EX:FJ,13,0)="A"), "DEFICIT",IF(AND(OR(Planilla!B314="B", Planilla!B314="BPAL"), VLOOKUP(E314,EX:FJ,13,0)="C"), "SOBREOFERTA",IF(AND(Planilla!B314="A", VLOOKUP(E314,EX:FJ,13,0)="A"), "OK",IF(
AND(Planilla!B314="A", OR(VLOOKUP(E314,EX:FJ,13,0)="B", VLOOKUP(E314,EX:FJ,13,0)="C")), "SOBREOFERTA",""
))))))),"")</f>
        <v/>
      </c>
      <c r="E314" s="12"/>
      <c r="F314" s="13"/>
      <c r="G314" s="14"/>
      <c r="H314" s="81" t="str">
        <f t="shared" si="101"/>
        <v/>
      </c>
      <c r="I314" s="7"/>
      <c r="J314" s="6" t="e">
        <f t="shared" si="102"/>
        <v>#N/A</v>
      </c>
      <c r="K314" s="6" t="str">
        <f>IF(A315&lt;&gt;A314,AVERAGEIF(A$9:A314,A314,J$9:J314),"")</f>
        <v/>
      </c>
      <c r="L314" s="7" t="str">
        <f>IFERROR(IF(A315&lt;&gt;A314,AVERAGEIF(A$9:A314,A314,S$9:S314),""),"")</f>
        <v/>
      </c>
      <c r="M314" s="7" t="str">
        <f>IFERROR(IF(A315&lt;&gt;A314,AVERAGEIF(A$9:A314,A314,T$9:T314),""),"")</f>
        <v/>
      </c>
      <c r="N314" s="7" t="str" cm="1">
        <f t="array" ref="N314">IFERROR(IF(A315&lt;&gt;A314,_xlfn.STDEV.P(IF(A$9:A314=A314,T$9:T314)),""),"")</f>
        <v/>
      </c>
      <c r="O314" s="7" t="str" cm="1">
        <f t="array" ref="O314">IFERROR(IF(A315&lt;&gt;A314,_xlfn.STDEV.P(IF(A$9:A314=A314,S$9:S314)),""),"")</f>
        <v/>
      </c>
      <c r="P314" s="8" t="str">
        <f t="shared" si="103"/>
        <v/>
      </c>
      <c r="Q314" s="8" t="str">
        <f t="shared" si="104"/>
        <v/>
      </c>
      <c r="R314" s="8" t="str">
        <f t="shared" si="105"/>
        <v/>
      </c>
      <c r="S314" s="9" t="str">
        <f t="shared" si="106"/>
        <v/>
      </c>
      <c r="T314" s="9" t="str">
        <f t="shared" si="107"/>
        <v/>
      </c>
      <c r="U314" s="14"/>
      <c r="V314" s="15"/>
      <c r="W314" s="14" t="str">
        <f t="shared" si="108"/>
        <v/>
      </c>
      <c r="X314" s="15"/>
      <c r="Y314" s="2"/>
      <c r="AB314" s="22">
        <f t="shared" si="109"/>
        <v>1</v>
      </c>
      <c r="AC314" s="11"/>
      <c r="AD314" s="11"/>
      <c r="AE314" s="13"/>
      <c r="AF314" s="12"/>
      <c r="AG314" s="13"/>
      <c r="AH314" s="14"/>
      <c r="AI314" s="81" t="str">
        <f t="shared" si="110"/>
        <v/>
      </c>
      <c r="AJ314" s="15"/>
      <c r="AK314" s="6" t="e">
        <f t="shared" si="111"/>
        <v>#N/A</v>
      </c>
      <c r="AL314" s="6" t="str">
        <f>IF(AB315&lt;&gt;AB314,AVERAGEIF(AB$9:AB314,AB314,AK$9:AK314),"")</f>
        <v/>
      </c>
      <c r="AM314" s="7" t="str">
        <f>IFERROR(IF(AB315&lt;&gt;AB314,AVERAGEIF(AB$9:AB314,AB314,AT$9:AT314),""),"")</f>
        <v/>
      </c>
      <c r="AN314" s="7" t="str">
        <f>IFERROR(IF(AB315&lt;&gt;AB314,AVERAGEIF(AB$9:AB314,AB314,AU$9:AU314),""),"")</f>
        <v/>
      </c>
      <c r="AO314" s="7" t="str" cm="1">
        <f t="array" ref="AO314">IFERROR(IF(AB315&lt;&gt;AB314,_xlfn.STDEV.P(IF(AB$9:AB314=AB314,AU$9:AU314)),""),"")</f>
        <v/>
      </c>
      <c r="AP314" s="7" t="str" cm="1">
        <f t="array" ref="AP314">IFERROR(IF(AB315&lt;&gt;AB314,_xlfn.STDEV.P(IF(AB$9:AB314=AB314,AT$9:AT314)),""),"")</f>
        <v/>
      </c>
      <c r="AQ314" s="8" t="str">
        <f t="shared" si="112"/>
        <v/>
      </c>
      <c r="AR314" s="8" t="str">
        <f t="shared" si="113"/>
        <v/>
      </c>
      <c r="AS314" s="8" t="str">
        <f t="shared" si="114"/>
        <v/>
      </c>
      <c r="AT314" s="9" t="str">
        <f t="shared" si="115"/>
        <v/>
      </c>
      <c r="AU314" s="9" t="str">
        <f t="shared" si="116"/>
        <v/>
      </c>
      <c r="AV314" s="14"/>
      <c r="AW314" s="15"/>
      <c r="AX314" s="14" t="str">
        <f t="shared" si="117"/>
        <v/>
      </c>
      <c r="AY314" s="15"/>
      <c r="AZ314" s="23"/>
      <c r="EW314" t="s">
        <v>46</v>
      </c>
      <c r="EX314" s="33">
        <v>1313</v>
      </c>
      <c r="EY314" s="33" t="s">
        <v>815</v>
      </c>
      <c r="EZ314" s="33" t="s">
        <v>816</v>
      </c>
      <c r="FA314" s="33" t="s">
        <v>343</v>
      </c>
      <c r="FB314" s="33" t="s">
        <v>344</v>
      </c>
      <c r="FC314" s="33" t="s">
        <v>345</v>
      </c>
      <c r="FD314" s="33" t="s">
        <v>346</v>
      </c>
      <c r="FE314" s="33">
        <v>2025</v>
      </c>
      <c r="FF314" s="33" t="s">
        <v>59</v>
      </c>
      <c r="FG314" s="33" t="s">
        <v>477</v>
      </c>
      <c r="FH314" s="33" t="s">
        <v>478</v>
      </c>
      <c r="FI314" s="33" t="s">
        <v>479</v>
      </c>
      <c r="FJ314" t="s">
        <v>59</v>
      </c>
      <c r="FM314" s="32" t="s">
        <v>817</v>
      </c>
      <c r="FN314" t="s">
        <v>818</v>
      </c>
      <c r="FO314" t="s">
        <v>819</v>
      </c>
      <c r="FP314" t="str">
        <f t="shared" si="99"/>
        <v>B</v>
      </c>
      <c r="GU314" s="53">
        <v>84</v>
      </c>
      <c r="GV314" s="53">
        <v>308</v>
      </c>
    </row>
    <row r="315" spans="1:204" ht="15.5" x14ac:dyDescent="0.35">
      <c r="A315" s="95">
        <f t="shared" si="100"/>
        <v>1</v>
      </c>
      <c r="B315" s="11"/>
      <c r="C315" s="11"/>
      <c r="D315" s="92" t="str">
        <f>IFERROR(
IF(AND(OR(Planilla!B315="C",Planilla!B315="c"), VLOOKUP(E315,EX:FJ,13,0)="C"), "OK",IF(AND(OR(Planilla!B315="C",Planilla!B315="c"), OR(VLOOKUP(E315,EX:FJ,13,0)="B", VLOOKUP(E315,EX:FJ,13,0)="A")), "DEFICIT",IF(
AND(OR(Planilla!B315="B", Planilla!B315="BPAL"), VLOOKUP(E315,EX:FJ,13,0)="B"), "OK",IF(AND(OR(Planilla!B315="B", Planilla!B315="BPAL"), VLOOKUP(E315,EX:FJ,13,0)="A"), "DEFICIT",IF(AND(OR(Planilla!B315="B", Planilla!B315="BPAL"), VLOOKUP(E315,EX:FJ,13,0)="C"), "SOBREOFERTA",IF(AND(Planilla!B315="A", VLOOKUP(E315,EX:FJ,13,0)="A"), "OK",IF(
AND(Planilla!B315="A", OR(VLOOKUP(E315,EX:FJ,13,0)="B", VLOOKUP(E315,EX:FJ,13,0)="C")), "SOBREOFERTA",""
))))))),"")</f>
        <v/>
      </c>
      <c r="E315" s="12"/>
      <c r="F315" s="13"/>
      <c r="G315" s="14"/>
      <c r="H315" s="81" t="str">
        <f t="shared" si="101"/>
        <v/>
      </c>
      <c r="I315" s="7"/>
      <c r="J315" s="6" t="e">
        <f t="shared" si="102"/>
        <v>#N/A</v>
      </c>
      <c r="K315" s="6" t="str">
        <f>IF(A316&lt;&gt;A315,AVERAGEIF(A$9:A315,A315,J$9:J315),"")</f>
        <v/>
      </c>
      <c r="L315" s="7" t="str">
        <f>IFERROR(IF(A316&lt;&gt;A315,AVERAGEIF(A$9:A315,A315,S$9:S315),""),"")</f>
        <v/>
      </c>
      <c r="M315" s="7" t="str">
        <f>IFERROR(IF(A316&lt;&gt;A315,AVERAGEIF(A$9:A315,A315,T$9:T315),""),"")</f>
        <v/>
      </c>
      <c r="N315" s="7" t="str" cm="1">
        <f t="array" ref="N315">IFERROR(IF(A316&lt;&gt;A315,_xlfn.STDEV.P(IF(A$9:A315=A315,T$9:T315)),""),"")</f>
        <v/>
      </c>
      <c r="O315" s="7" t="str" cm="1">
        <f t="array" ref="O315">IFERROR(IF(A316&lt;&gt;A315,_xlfn.STDEV.P(IF(A$9:A315=A315,S$9:S315)),""),"")</f>
        <v/>
      </c>
      <c r="P315" s="8" t="str">
        <f t="shared" si="103"/>
        <v/>
      </c>
      <c r="Q315" s="8" t="str">
        <f t="shared" si="104"/>
        <v/>
      </c>
      <c r="R315" s="8" t="str">
        <f t="shared" si="105"/>
        <v/>
      </c>
      <c r="S315" s="9" t="str">
        <f t="shared" si="106"/>
        <v/>
      </c>
      <c r="T315" s="9" t="str">
        <f t="shared" si="107"/>
        <v/>
      </c>
      <c r="U315" s="14"/>
      <c r="V315" s="15"/>
      <c r="W315" s="14" t="str">
        <f t="shared" si="108"/>
        <v/>
      </c>
      <c r="X315" s="15"/>
      <c r="Y315" s="2"/>
      <c r="AB315" s="22">
        <f t="shared" si="109"/>
        <v>1</v>
      </c>
      <c r="AC315" s="11"/>
      <c r="AD315" s="11"/>
      <c r="AE315" s="13"/>
      <c r="AF315" s="12"/>
      <c r="AG315" s="13"/>
      <c r="AH315" s="14"/>
      <c r="AI315" s="81" t="str">
        <f t="shared" si="110"/>
        <v/>
      </c>
      <c r="AJ315" s="15"/>
      <c r="AK315" s="6" t="e">
        <f t="shared" si="111"/>
        <v>#N/A</v>
      </c>
      <c r="AL315" s="6" t="str">
        <f>IF(AB316&lt;&gt;AB315,AVERAGEIF(AB$9:AB315,AB315,AK$9:AK315),"")</f>
        <v/>
      </c>
      <c r="AM315" s="7" t="str">
        <f>IFERROR(IF(AB316&lt;&gt;AB315,AVERAGEIF(AB$9:AB315,AB315,AT$9:AT315),""),"")</f>
        <v/>
      </c>
      <c r="AN315" s="7" t="str">
        <f>IFERROR(IF(AB316&lt;&gt;AB315,AVERAGEIF(AB$9:AB315,AB315,AU$9:AU315),""),"")</f>
        <v/>
      </c>
      <c r="AO315" s="7" t="str" cm="1">
        <f t="array" ref="AO315">IFERROR(IF(AB316&lt;&gt;AB315,_xlfn.STDEV.P(IF(AB$9:AB315=AB315,AU$9:AU315)),""),"")</f>
        <v/>
      </c>
      <c r="AP315" s="7" t="str" cm="1">
        <f t="array" ref="AP315">IFERROR(IF(AB316&lt;&gt;AB315,_xlfn.STDEV.P(IF(AB$9:AB315=AB315,AT$9:AT315)),""),"")</f>
        <v/>
      </c>
      <c r="AQ315" s="8" t="str">
        <f t="shared" si="112"/>
        <v/>
      </c>
      <c r="AR315" s="8" t="str">
        <f t="shared" si="113"/>
        <v/>
      </c>
      <c r="AS315" s="8" t="str">
        <f t="shared" si="114"/>
        <v/>
      </c>
      <c r="AT315" s="9" t="str">
        <f t="shared" si="115"/>
        <v/>
      </c>
      <c r="AU315" s="9" t="str">
        <f t="shared" si="116"/>
        <v/>
      </c>
      <c r="AV315" s="14"/>
      <c r="AW315" s="15"/>
      <c r="AX315" s="14" t="str">
        <f t="shared" si="117"/>
        <v/>
      </c>
      <c r="AY315" s="15"/>
      <c r="AZ315" s="23"/>
      <c r="EW315" t="s">
        <v>46</v>
      </c>
      <c r="EX315" s="33">
        <v>1314</v>
      </c>
      <c r="EY315" s="33" t="s">
        <v>820</v>
      </c>
      <c r="EZ315" s="33" t="s">
        <v>821</v>
      </c>
      <c r="FA315" s="33" t="s">
        <v>343</v>
      </c>
      <c r="FB315" s="33" t="s">
        <v>344</v>
      </c>
      <c r="FC315" s="33" t="s">
        <v>345</v>
      </c>
      <c r="FD315" s="33" t="s">
        <v>346</v>
      </c>
      <c r="FE315" s="33">
        <v>2025</v>
      </c>
      <c r="FF315" s="33" t="s">
        <v>59</v>
      </c>
      <c r="FG315" s="33" t="s">
        <v>386</v>
      </c>
      <c r="FH315" s="33" t="s">
        <v>387</v>
      </c>
      <c r="FI315" s="33" t="s">
        <v>407</v>
      </c>
      <c r="FJ315" t="s">
        <v>59</v>
      </c>
      <c r="FM315" s="32" t="s">
        <v>817</v>
      </c>
      <c r="FN315" t="s">
        <v>818</v>
      </c>
      <c r="FO315" t="s">
        <v>819</v>
      </c>
      <c r="FP315" t="str">
        <f t="shared" si="99"/>
        <v>B</v>
      </c>
      <c r="GU315" s="53">
        <v>85</v>
      </c>
      <c r="GV315" s="53">
        <v>309</v>
      </c>
    </row>
    <row r="316" spans="1:204" ht="15.5" x14ac:dyDescent="0.35">
      <c r="A316" s="95">
        <f t="shared" si="100"/>
        <v>1</v>
      </c>
      <c r="B316" s="11"/>
      <c r="C316" s="11"/>
      <c r="D316" s="92" t="str">
        <f>IFERROR(
IF(AND(OR(Planilla!B316="C",Planilla!B316="c"), VLOOKUP(E316,EX:FJ,13,0)="C"), "OK",IF(AND(OR(Planilla!B316="C",Planilla!B316="c"), OR(VLOOKUP(E316,EX:FJ,13,0)="B", VLOOKUP(E316,EX:FJ,13,0)="A")), "DEFICIT",IF(
AND(OR(Planilla!B316="B", Planilla!B316="BPAL"), VLOOKUP(E316,EX:FJ,13,0)="B"), "OK",IF(AND(OR(Planilla!B316="B", Planilla!B316="BPAL"), VLOOKUP(E316,EX:FJ,13,0)="A"), "DEFICIT",IF(AND(OR(Planilla!B316="B", Planilla!B316="BPAL"), VLOOKUP(E316,EX:FJ,13,0)="C"), "SOBREOFERTA",IF(AND(Planilla!B316="A", VLOOKUP(E316,EX:FJ,13,0)="A"), "OK",IF(
AND(Planilla!B316="A", OR(VLOOKUP(E316,EX:FJ,13,0)="B", VLOOKUP(E316,EX:FJ,13,0)="C")), "SOBREOFERTA",""
))))))),"")</f>
        <v/>
      </c>
      <c r="E316" s="12"/>
      <c r="F316" s="13"/>
      <c r="G316" s="14"/>
      <c r="H316" s="81" t="str">
        <f t="shared" si="101"/>
        <v/>
      </c>
      <c r="I316" s="7"/>
      <c r="J316" s="6" t="e">
        <f t="shared" si="102"/>
        <v>#N/A</v>
      </c>
      <c r="K316" s="6" t="str">
        <f>IF(A317&lt;&gt;A316,AVERAGEIF(A$9:A316,A316,J$9:J316),"")</f>
        <v/>
      </c>
      <c r="L316" s="7" t="str">
        <f>IFERROR(IF(A317&lt;&gt;A316,AVERAGEIF(A$9:A316,A316,S$9:S316),""),"")</f>
        <v/>
      </c>
      <c r="M316" s="7" t="str">
        <f>IFERROR(IF(A317&lt;&gt;A316,AVERAGEIF(A$9:A316,A316,T$9:T316),""),"")</f>
        <v/>
      </c>
      <c r="N316" s="7" t="str" cm="1">
        <f t="array" ref="N316">IFERROR(IF(A317&lt;&gt;A316,_xlfn.STDEV.P(IF(A$9:A316=A316,T$9:T316)),""),"")</f>
        <v/>
      </c>
      <c r="O316" s="7" t="str" cm="1">
        <f t="array" ref="O316">IFERROR(IF(A317&lt;&gt;A316,_xlfn.STDEV.P(IF(A$9:A316=A316,S$9:S316)),""),"")</f>
        <v/>
      </c>
      <c r="P316" s="8" t="str">
        <f t="shared" si="103"/>
        <v/>
      </c>
      <c r="Q316" s="8" t="str">
        <f t="shared" si="104"/>
        <v/>
      </c>
      <c r="R316" s="8" t="str">
        <f t="shared" si="105"/>
        <v/>
      </c>
      <c r="S316" s="9" t="str">
        <f t="shared" si="106"/>
        <v/>
      </c>
      <c r="T316" s="9" t="str">
        <f t="shared" si="107"/>
        <v/>
      </c>
      <c r="U316" s="14"/>
      <c r="V316" s="15"/>
      <c r="W316" s="14" t="str">
        <f t="shared" si="108"/>
        <v/>
      </c>
      <c r="X316" s="15"/>
      <c r="Y316" s="2"/>
      <c r="AB316" s="22">
        <f t="shared" si="109"/>
        <v>1</v>
      </c>
      <c r="AC316" s="11"/>
      <c r="AD316" s="11"/>
      <c r="AE316" s="13"/>
      <c r="AF316" s="12"/>
      <c r="AG316" s="13"/>
      <c r="AH316" s="14"/>
      <c r="AI316" s="81" t="str">
        <f t="shared" si="110"/>
        <v/>
      </c>
      <c r="AJ316" s="15"/>
      <c r="AK316" s="6" t="e">
        <f t="shared" si="111"/>
        <v>#N/A</v>
      </c>
      <c r="AL316" s="6" t="str">
        <f>IF(AB317&lt;&gt;AB316,AVERAGEIF(AB$9:AB316,AB316,AK$9:AK316),"")</f>
        <v/>
      </c>
      <c r="AM316" s="7" t="str">
        <f>IFERROR(IF(AB317&lt;&gt;AB316,AVERAGEIF(AB$9:AB316,AB316,AT$9:AT316),""),"")</f>
        <v/>
      </c>
      <c r="AN316" s="7" t="str">
        <f>IFERROR(IF(AB317&lt;&gt;AB316,AVERAGEIF(AB$9:AB316,AB316,AU$9:AU316),""),"")</f>
        <v/>
      </c>
      <c r="AO316" s="7" t="str" cm="1">
        <f t="array" ref="AO316">IFERROR(IF(AB317&lt;&gt;AB316,_xlfn.STDEV.P(IF(AB$9:AB316=AB316,AU$9:AU316)),""),"")</f>
        <v/>
      </c>
      <c r="AP316" s="7" t="str" cm="1">
        <f t="array" ref="AP316">IFERROR(IF(AB317&lt;&gt;AB316,_xlfn.STDEV.P(IF(AB$9:AB316=AB316,AT$9:AT316)),""),"")</f>
        <v/>
      </c>
      <c r="AQ316" s="8" t="str">
        <f t="shared" si="112"/>
        <v/>
      </c>
      <c r="AR316" s="8" t="str">
        <f t="shared" si="113"/>
        <v/>
      </c>
      <c r="AS316" s="8" t="str">
        <f t="shared" si="114"/>
        <v/>
      </c>
      <c r="AT316" s="9" t="str">
        <f t="shared" si="115"/>
        <v/>
      </c>
      <c r="AU316" s="9" t="str">
        <f t="shared" si="116"/>
        <v/>
      </c>
      <c r="AV316" s="14"/>
      <c r="AW316" s="15"/>
      <c r="AX316" s="14" t="str">
        <f t="shared" si="117"/>
        <v/>
      </c>
      <c r="AY316" s="15"/>
      <c r="AZ316" s="23"/>
      <c r="EW316" t="s">
        <v>46</v>
      </c>
      <c r="EX316" s="33">
        <v>1315</v>
      </c>
      <c r="EY316" s="33" t="s">
        <v>822</v>
      </c>
      <c r="EZ316" s="33" t="s">
        <v>823</v>
      </c>
      <c r="FA316" s="33" t="s">
        <v>343</v>
      </c>
      <c r="FB316" s="33" t="s">
        <v>344</v>
      </c>
      <c r="FC316" s="33" t="s">
        <v>345</v>
      </c>
      <c r="FD316" s="33" t="s">
        <v>346</v>
      </c>
      <c r="FE316" s="33">
        <v>2025</v>
      </c>
      <c r="FF316" s="33" t="s">
        <v>59</v>
      </c>
      <c r="FG316" s="33" t="s">
        <v>386</v>
      </c>
      <c r="FH316" s="33" t="s">
        <v>387</v>
      </c>
      <c r="FI316" s="33" t="s">
        <v>407</v>
      </c>
      <c r="FJ316" t="s">
        <v>59</v>
      </c>
      <c r="FM316" s="32" t="s">
        <v>817</v>
      </c>
      <c r="FN316" t="s">
        <v>818</v>
      </c>
      <c r="FO316" t="s">
        <v>819</v>
      </c>
      <c r="FP316" t="str">
        <f t="shared" si="99"/>
        <v>B</v>
      </c>
      <c r="GU316" s="53">
        <v>86</v>
      </c>
      <c r="GV316" s="53">
        <v>310</v>
      </c>
    </row>
    <row r="317" spans="1:204" ht="15.5" x14ac:dyDescent="0.35">
      <c r="A317" s="95">
        <f t="shared" si="100"/>
        <v>1</v>
      </c>
      <c r="B317" s="11"/>
      <c r="C317" s="11"/>
      <c r="D317" s="92" t="str">
        <f>IFERROR(
IF(AND(OR(Planilla!B317="C",Planilla!B317="c"), VLOOKUP(E317,EX:FJ,13,0)="C"), "OK",IF(AND(OR(Planilla!B317="C",Planilla!B317="c"), OR(VLOOKUP(E317,EX:FJ,13,0)="B", VLOOKUP(E317,EX:FJ,13,0)="A")), "DEFICIT",IF(
AND(OR(Planilla!B317="B", Planilla!B317="BPAL"), VLOOKUP(E317,EX:FJ,13,0)="B"), "OK",IF(AND(OR(Planilla!B317="B", Planilla!B317="BPAL"), VLOOKUP(E317,EX:FJ,13,0)="A"), "DEFICIT",IF(AND(OR(Planilla!B317="B", Planilla!B317="BPAL"), VLOOKUP(E317,EX:FJ,13,0)="C"), "SOBREOFERTA",IF(AND(Planilla!B317="A", VLOOKUP(E317,EX:FJ,13,0)="A"), "OK",IF(
AND(Planilla!B317="A", OR(VLOOKUP(E317,EX:FJ,13,0)="B", VLOOKUP(E317,EX:FJ,13,0)="C")), "SOBREOFERTA",""
))))))),"")</f>
        <v/>
      </c>
      <c r="E317" s="12"/>
      <c r="F317" s="13"/>
      <c r="G317" s="14"/>
      <c r="H317" s="81" t="str">
        <f t="shared" si="101"/>
        <v/>
      </c>
      <c r="I317" s="7"/>
      <c r="J317" s="6" t="e">
        <f t="shared" si="102"/>
        <v>#N/A</v>
      </c>
      <c r="K317" s="6" t="str">
        <f>IF(A318&lt;&gt;A317,AVERAGEIF(A$9:A317,A317,J$9:J317),"")</f>
        <v/>
      </c>
      <c r="L317" s="7" t="str">
        <f>IFERROR(IF(A318&lt;&gt;A317,AVERAGEIF(A$9:A317,A317,S$9:S317),""),"")</f>
        <v/>
      </c>
      <c r="M317" s="7" t="str">
        <f>IFERROR(IF(A318&lt;&gt;A317,AVERAGEIF(A$9:A317,A317,T$9:T317),""),"")</f>
        <v/>
      </c>
      <c r="N317" s="7" t="str" cm="1">
        <f t="array" ref="N317">IFERROR(IF(A318&lt;&gt;A317,_xlfn.STDEV.P(IF(A$9:A317=A317,T$9:T317)),""),"")</f>
        <v/>
      </c>
      <c r="O317" s="7" t="str" cm="1">
        <f t="array" ref="O317">IFERROR(IF(A318&lt;&gt;A317,_xlfn.STDEV.P(IF(A$9:A317=A317,S$9:S317)),""),"")</f>
        <v/>
      </c>
      <c r="P317" s="8" t="str">
        <f t="shared" si="103"/>
        <v/>
      </c>
      <c r="Q317" s="8" t="str">
        <f t="shared" si="104"/>
        <v/>
      </c>
      <c r="R317" s="8" t="str">
        <f t="shared" si="105"/>
        <v/>
      </c>
      <c r="S317" s="9" t="str">
        <f t="shared" si="106"/>
        <v/>
      </c>
      <c r="T317" s="9" t="str">
        <f t="shared" si="107"/>
        <v/>
      </c>
      <c r="U317" s="14"/>
      <c r="V317" s="15"/>
      <c r="W317" s="14" t="str">
        <f t="shared" si="108"/>
        <v/>
      </c>
      <c r="X317" s="15"/>
      <c r="Y317" s="2"/>
      <c r="AB317" s="22">
        <f t="shared" si="109"/>
        <v>1</v>
      </c>
      <c r="AC317" s="11"/>
      <c r="AD317" s="11"/>
      <c r="AE317" s="13"/>
      <c r="AF317" s="12"/>
      <c r="AG317" s="13"/>
      <c r="AH317" s="14"/>
      <c r="AI317" s="81" t="str">
        <f t="shared" si="110"/>
        <v/>
      </c>
      <c r="AJ317" s="15"/>
      <c r="AK317" s="6" t="e">
        <f t="shared" si="111"/>
        <v>#N/A</v>
      </c>
      <c r="AL317" s="6" t="str">
        <f>IF(AB318&lt;&gt;AB317,AVERAGEIF(AB$9:AB317,AB317,AK$9:AK317),"")</f>
        <v/>
      </c>
      <c r="AM317" s="7" t="str">
        <f>IFERROR(IF(AB318&lt;&gt;AB317,AVERAGEIF(AB$9:AB317,AB317,AT$9:AT317),""),"")</f>
        <v/>
      </c>
      <c r="AN317" s="7" t="str">
        <f>IFERROR(IF(AB318&lt;&gt;AB317,AVERAGEIF(AB$9:AB317,AB317,AU$9:AU317),""),"")</f>
        <v/>
      </c>
      <c r="AO317" s="7" t="str" cm="1">
        <f t="array" ref="AO317">IFERROR(IF(AB318&lt;&gt;AB317,_xlfn.STDEV.P(IF(AB$9:AB317=AB317,AU$9:AU317)),""),"")</f>
        <v/>
      </c>
      <c r="AP317" s="7" t="str" cm="1">
        <f t="array" ref="AP317">IFERROR(IF(AB318&lt;&gt;AB317,_xlfn.STDEV.P(IF(AB$9:AB317=AB317,AT$9:AT317)),""),"")</f>
        <v/>
      </c>
      <c r="AQ317" s="8" t="str">
        <f t="shared" si="112"/>
        <v/>
      </c>
      <c r="AR317" s="8" t="str">
        <f t="shared" si="113"/>
        <v/>
      </c>
      <c r="AS317" s="8" t="str">
        <f t="shared" si="114"/>
        <v/>
      </c>
      <c r="AT317" s="9" t="str">
        <f t="shared" si="115"/>
        <v/>
      </c>
      <c r="AU317" s="9" t="str">
        <f t="shared" si="116"/>
        <v/>
      </c>
      <c r="AV317" s="14"/>
      <c r="AW317" s="15"/>
      <c r="AX317" s="14" t="str">
        <f t="shared" si="117"/>
        <v/>
      </c>
      <c r="AY317" s="15"/>
      <c r="AZ317" s="23"/>
      <c r="EW317" t="s">
        <v>46</v>
      </c>
      <c r="EX317" s="33">
        <v>1316</v>
      </c>
      <c r="EY317" s="33" t="s">
        <v>824</v>
      </c>
      <c r="EZ317" s="33" t="s">
        <v>825</v>
      </c>
      <c r="FA317" s="33" t="s">
        <v>343</v>
      </c>
      <c r="FB317" s="33" t="s">
        <v>344</v>
      </c>
      <c r="FC317" s="33" t="s">
        <v>345</v>
      </c>
      <c r="FD317" s="33" t="s">
        <v>346</v>
      </c>
      <c r="FE317" s="33">
        <v>2025</v>
      </c>
      <c r="FF317" s="33" t="s">
        <v>59</v>
      </c>
      <c r="FG317" s="33" t="s">
        <v>477</v>
      </c>
      <c r="FH317" s="33" t="s">
        <v>478</v>
      </c>
      <c r="FI317" s="33" t="s">
        <v>479</v>
      </c>
      <c r="FJ317" t="s">
        <v>59</v>
      </c>
      <c r="FM317" s="32" t="s">
        <v>817</v>
      </c>
      <c r="FN317" t="s">
        <v>818</v>
      </c>
      <c r="FO317" t="s">
        <v>819</v>
      </c>
      <c r="FP317" t="str">
        <f t="shared" si="99"/>
        <v>B</v>
      </c>
      <c r="GU317" s="53">
        <v>87</v>
      </c>
      <c r="GV317" s="53">
        <v>311</v>
      </c>
    </row>
    <row r="318" spans="1:204" ht="15.5" x14ac:dyDescent="0.35">
      <c r="A318" s="95">
        <f t="shared" si="100"/>
        <v>1</v>
      </c>
      <c r="B318" s="11"/>
      <c r="C318" s="11"/>
      <c r="D318" s="92" t="str">
        <f>IFERROR(
IF(AND(OR(Planilla!B318="C",Planilla!B318="c"), VLOOKUP(E318,EX:FJ,13,0)="C"), "OK",IF(AND(OR(Planilla!B318="C",Planilla!B318="c"), OR(VLOOKUP(E318,EX:FJ,13,0)="B", VLOOKUP(E318,EX:FJ,13,0)="A")), "DEFICIT",IF(
AND(OR(Planilla!B318="B", Planilla!B318="BPAL"), VLOOKUP(E318,EX:FJ,13,0)="B"), "OK",IF(AND(OR(Planilla!B318="B", Planilla!B318="BPAL"), VLOOKUP(E318,EX:FJ,13,0)="A"), "DEFICIT",IF(AND(OR(Planilla!B318="B", Planilla!B318="BPAL"), VLOOKUP(E318,EX:FJ,13,0)="C"), "SOBREOFERTA",IF(AND(Planilla!B318="A", VLOOKUP(E318,EX:FJ,13,0)="A"), "OK",IF(
AND(Planilla!B318="A", OR(VLOOKUP(E318,EX:FJ,13,0)="B", VLOOKUP(E318,EX:FJ,13,0)="C")), "SOBREOFERTA",""
))))))),"")</f>
        <v/>
      </c>
      <c r="E318" s="12"/>
      <c r="F318" s="13"/>
      <c r="G318" s="14"/>
      <c r="H318" s="81" t="str">
        <f t="shared" si="101"/>
        <v/>
      </c>
      <c r="I318" s="7"/>
      <c r="J318" s="6" t="e">
        <f t="shared" si="102"/>
        <v>#N/A</v>
      </c>
      <c r="K318" s="6" t="str">
        <f>IF(A319&lt;&gt;A318,AVERAGEIF(A$9:A318,A318,J$9:J318),"")</f>
        <v/>
      </c>
      <c r="L318" s="7" t="str">
        <f>IFERROR(IF(A319&lt;&gt;A318,AVERAGEIF(A$9:A318,A318,S$9:S318),""),"")</f>
        <v/>
      </c>
      <c r="M318" s="7" t="str">
        <f>IFERROR(IF(A319&lt;&gt;A318,AVERAGEIF(A$9:A318,A318,T$9:T318),""),"")</f>
        <v/>
      </c>
      <c r="N318" s="7" t="str" cm="1">
        <f t="array" ref="N318">IFERROR(IF(A319&lt;&gt;A318,_xlfn.STDEV.P(IF(A$9:A318=A318,T$9:T318)),""),"")</f>
        <v/>
      </c>
      <c r="O318" s="7" t="str" cm="1">
        <f t="array" ref="O318">IFERROR(IF(A319&lt;&gt;A318,_xlfn.STDEV.P(IF(A$9:A318=A318,S$9:S318)),""),"")</f>
        <v/>
      </c>
      <c r="P318" s="8" t="str">
        <f t="shared" si="103"/>
        <v/>
      </c>
      <c r="Q318" s="8" t="str">
        <f t="shared" si="104"/>
        <v/>
      </c>
      <c r="R318" s="8" t="str">
        <f t="shared" si="105"/>
        <v/>
      </c>
      <c r="S318" s="9" t="str">
        <f t="shared" si="106"/>
        <v/>
      </c>
      <c r="T318" s="9" t="str">
        <f t="shared" si="107"/>
        <v/>
      </c>
      <c r="U318" s="14"/>
      <c r="V318" s="15"/>
      <c r="W318" s="14" t="str">
        <f t="shared" si="108"/>
        <v/>
      </c>
      <c r="X318" s="15"/>
      <c r="Y318" s="2"/>
      <c r="AB318" s="22">
        <f t="shared" si="109"/>
        <v>1</v>
      </c>
      <c r="AC318" s="11"/>
      <c r="AD318" s="11"/>
      <c r="AE318" s="13"/>
      <c r="AF318" s="12"/>
      <c r="AG318" s="13"/>
      <c r="AH318" s="14"/>
      <c r="AI318" s="81" t="str">
        <f t="shared" si="110"/>
        <v/>
      </c>
      <c r="AJ318" s="15"/>
      <c r="AK318" s="6" t="e">
        <f t="shared" si="111"/>
        <v>#N/A</v>
      </c>
      <c r="AL318" s="6" t="str">
        <f>IF(AB319&lt;&gt;AB318,AVERAGEIF(AB$9:AB318,AB318,AK$9:AK318),"")</f>
        <v/>
      </c>
      <c r="AM318" s="7" t="str">
        <f>IFERROR(IF(AB319&lt;&gt;AB318,AVERAGEIF(AB$9:AB318,AB318,AT$9:AT318),""),"")</f>
        <v/>
      </c>
      <c r="AN318" s="7" t="str">
        <f>IFERROR(IF(AB319&lt;&gt;AB318,AVERAGEIF(AB$9:AB318,AB318,AU$9:AU318),""),"")</f>
        <v/>
      </c>
      <c r="AO318" s="7" t="str" cm="1">
        <f t="array" ref="AO318">IFERROR(IF(AB319&lt;&gt;AB318,_xlfn.STDEV.P(IF(AB$9:AB318=AB318,AU$9:AU318)),""),"")</f>
        <v/>
      </c>
      <c r="AP318" s="7" t="str" cm="1">
        <f t="array" ref="AP318">IFERROR(IF(AB319&lt;&gt;AB318,_xlfn.STDEV.P(IF(AB$9:AB318=AB318,AT$9:AT318)),""),"")</f>
        <v/>
      </c>
      <c r="AQ318" s="8" t="str">
        <f t="shared" si="112"/>
        <v/>
      </c>
      <c r="AR318" s="8" t="str">
        <f t="shared" si="113"/>
        <v/>
      </c>
      <c r="AS318" s="8" t="str">
        <f t="shared" si="114"/>
        <v/>
      </c>
      <c r="AT318" s="9" t="str">
        <f t="shared" si="115"/>
        <v/>
      </c>
      <c r="AU318" s="9" t="str">
        <f t="shared" si="116"/>
        <v/>
      </c>
      <c r="AV318" s="14"/>
      <c r="AW318" s="15"/>
      <c r="AX318" s="14" t="str">
        <f t="shared" si="117"/>
        <v/>
      </c>
      <c r="AY318" s="15"/>
      <c r="AZ318" s="23"/>
      <c r="EW318" t="s">
        <v>46</v>
      </c>
      <c r="EX318" s="33">
        <v>1317</v>
      </c>
      <c r="EY318" s="33" t="s">
        <v>826</v>
      </c>
      <c r="EZ318" s="33" t="s">
        <v>827</v>
      </c>
      <c r="FA318" s="33" t="s">
        <v>343</v>
      </c>
      <c r="FB318" s="33" t="s">
        <v>344</v>
      </c>
      <c r="FC318" s="33" t="s">
        <v>345</v>
      </c>
      <c r="FD318" s="33" t="s">
        <v>346</v>
      </c>
      <c r="FE318" s="33">
        <v>2025</v>
      </c>
      <c r="FF318" s="33" t="s">
        <v>59</v>
      </c>
      <c r="FG318" s="33" t="s">
        <v>477</v>
      </c>
      <c r="FH318" s="33" t="s">
        <v>478</v>
      </c>
      <c r="FI318" s="33" t="s">
        <v>479</v>
      </c>
      <c r="FJ318" t="s">
        <v>59</v>
      </c>
      <c r="FM318" s="32" t="s">
        <v>817</v>
      </c>
      <c r="FN318" t="s">
        <v>818</v>
      </c>
      <c r="FO318" t="s">
        <v>819</v>
      </c>
      <c r="FP318" t="str">
        <f t="shared" si="99"/>
        <v>B</v>
      </c>
      <c r="GU318" s="53">
        <v>88</v>
      </c>
      <c r="GV318" s="53">
        <v>312</v>
      </c>
    </row>
    <row r="319" spans="1:204" ht="15.5" x14ac:dyDescent="0.35">
      <c r="A319" s="95">
        <f t="shared" si="100"/>
        <v>1</v>
      </c>
      <c r="B319" s="11"/>
      <c r="C319" s="11"/>
      <c r="D319" s="92" t="str">
        <f>IFERROR(
IF(AND(OR(Planilla!B319="C",Planilla!B319="c"), VLOOKUP(E319,EX:FJ,13,0)="C"), "OK",IF(AND(OR(Planilla!B319="C",Planilla!B319="c"), OR(VLOOKUP(E319,EX:FJ,13,0)="B", VLOOKUP(E319,EX:FJ,13,0)="A")), "DEFICIT",IF(
AND(OR(Planilla!B319="B", Planilla!B319="BPAL"), VLOOKUP(E319,EX:FJ,13,0)="B"), "OK",IF(AND(OR(Planilla!B319="B", Planilla!B319="BPAL"), VLOOKUP(E319,EX:FJ,13,0)="A"), "DEFICIT",IF(AND(OR(Planilla!B319="B", Planilla!B319="BPAL"), VLOOKUP(E319,EX:FJ,13,0)="C"), "SOBREOFERTA",IF(AND(Planilla!B319="A", VLOOKUP(E319,EX:FJ,13,0)="A"), "OK",IF(
AND(Planilla!B319="A", OR(VLOOKUP(E319,EX:FJ,13,0)="B", VLOOKUP(E319,EX:FJ,13,0)="C")), "SOBREOFERTA",""
))))))),"")</f>
        <v/>
      </c>
      <c r="E319" s="12"/>
      <c r="F319" s="13"/>
      <c r="G319" s="14"/>
      <c r="H319" s="81" t="str">
        <f t="shared" si="101"/>
        <v/>
      </c>
      <c r="I319" s="7"/>
      <c r="J319" s="6" t="e">
        <f t="shared" si="102"/>
        <v>#N/A</v>
      </c>
      <c r="K319" s="6" t="str">
        <f>IF(A320&lt;&gt;A319,AVERAGEIF(A$9:A319,A319,J$9:J319),"")</f>
        <v/>
      </c>
      <c r="L319" s="7" t="str">
        <f>IFERROR(IF(A320&lt;&gt;A319,AVERAGEIF(A$9:A319,A319,S$9:S319),""),"")</f>
        <v/>
      </c>
      <c r="M319" s="7" t="str">
        <f>IFERROR(IF(A320&lt;&gt;A319,AVERAGEIF(A$9:A319,A319,T$9:T319),""),"")</f>
        <v/>
      </c>
      <c r="N319" s="7" t="str" cm="1">
        <f t="array" ref="N319">IFERROR(IF(A320&lt;&gt;A319,_xlfn.STDEV.P(IF(A$9:A319=A319,T$9:T319)),""),"")</f>
        <v/>
      </c>
      <c r="O319" s="7" t="str" cm="1">
        <f t="array" ref="O319">IFERROR(IF(A320&lt;&gt;A319,_xlfn.STDEV.P(IF(A$9:A319=A319,S$9:S319)),""),"")</f>
        <v/>
      </c>
      <c r="P319" s="8" t="str">
        <f t="shared" si="103"/>
        <v/>
      </c>
      <c r="Q319" s="8" t="str">
        <f t="shared" si="104"/>
        <v/>
      </c>
      <c r="R319" s="8" t="str">
        <f t="shared" si="105"/>
        <v/>
      </c>
      <c r="S319" s="9" t="str">
        <f t="shared" si="106"/>
        <v/>
      </c>
      <c r="T319" s="9" t="str">
        <f t="shared" si="107"/>
        <v/>
      </c>
      <c r="U319" s="14"/>
      <c r="V319" s="15"/>
      <c r="W319" s="14" t="str">
        <f t="shared" si="108"/>
        <v/>
      </c>
      <c r="X319" s="15"/>
      <c r="Y319" s="2"/>
      <c r="AB319" s="22">
        <f t="shared" si="109"/>
        <v>1</v>
      </c>
      <c r="AC319" s="11"/>
      <c r="AD319" s="11"/>
      <c r="AE319" s="13"/>
      <c r="AF319" s="12"/>
      <c r="AG319" s="13"/>
      <c r="AH319" s="14"/>
      <c r="AI319" s="81" t="str">
        <f t="shared" si="110"/>
        <v/>
      </c>
      <c r="AJ319" s="15"/>
      <c r="AK319" s="6" t="e">
        <f t="shared" si="111"/>
        <v>#N/A</v>
      </c>
      <c r="AL319" s="6" t="str">
        <f>IF(AB320&lt;&gt;AB319,AVERAGEIF(AB$9:AB319,AB319,AK$9:AK319),"")</f>
        <v/>
      </c>
      <c r="AM319" s="7" t="str">
        <f>IFERROR(IF(AB320&lt;&gt;AB319,AVERAGEIF(AB$9:AB319,AB319,AT$9:AT319),""),"")</f>
        <v/>
      </c>
      <c r="AN319" s="7" t="str">
        <f>IFERROR(IF(AB320&lt;&gt;AB319,AVERAGEIF(AB$9:AB319,AB319,AU$9:AU319),""),"")</f>
        <v/>
      </c>
      <c r="AO319" s="7" t="str" cm="1">
        <f t="array" ref="AO319">IFERROR(IF(AB320&lt;&gt;AB319,_xlfn.STDEV.P(IF(AB$9:AB319=AB319,AU$9:AU319)),""),"")</f>
        <v/>
      </c>
      <c r="AP319" s="7" t="str" cm="1">
        <f t="array" ref="AP319">IFERROR(IF(AB320&lt;&gt;AB319,_xlfn.STDEV.P(IF(AB$9:AB319=AB319,AT$9:AT319)),""),"")</f>
        <v/>
      </c>
      <c r="AQ319" s="8" t="str">
        <f t="shared" si="112"/>
        <v/>
      </c>
      <c r="AR319" s="8" t="str">
        <f t="shared" si="113"/>
        <v/>
      </c>
      <c r="AS319" s="8" t="str">
        <f t="shared" si="114"/>
        <v/>
      </c>
      <c r="AT319" s="9" t="str">
        <f t="shared" si="115"/>
        <v/>
      </c>
      <c r="AU319" s="9" t="str">
        <f t="shared" si="116"/>
        <v/>
      </c>
      <c r="AV319" s="14"/>
      <c r="AW319" s="15"/>
      <c r="AX319" s="14" t="str">
        <f t="shared" si="117"/>
        <v/>
      </c>
      <c r="AY319" s="15"/>
      <c r="AZ319" s="23"/>
      <c r="EW319" t="s">
        <v>46</v>
      </c>
      <c r="EX319" s="33">
        <v>1318</v>
      </c>
      <c r="EY319" s="33" t="s">
        <v>828</v>
      </c>
      <c r="EZ319" s="33" t="s">
        <v>829</v>
      </c>
      <c r="FA319" s="33" t="s">
        <v>343</v>
      </c>
      <c r="FB319" s="33" t="s">
        <v>344</v>
      </c>
      <c r="FC319" s="33" t="s">
        <v>345</v>
      </c>
      <c r="FD319" s="33" t="s">
        <v>346</v>
      </c>
      <c r="FE319" s="33">
        <v>2025</v>
      </c>
      <c r="FF319" s="33" t="s">
        <v>59</v>
      </c>
      <c r="FG319" s="33" t="s">
        <v>477</v>
      </c>
      <c r="FH319" s="33" t="s">
        <v>478</v>
      </c>
      <c r="FI319" s="33" t="s">
        <v>479</v>
      </c>
      <c r="FJ319" t="s">
        <v>59</v>
      </c>
      <c r="FM319" s="32" t="s">
        <v>817</v>
      </c>
      <c r="FN319" t="s">
        <v>818</v>
      </c>
      <c r="FO319" t="s">
        <v>819</v>
      </c>
      <c r="FP319" t="str">
        <f t="shared" si="99"/>
        <v>B</v>
      </c>
      <c r="GU319" s="53">
        <v>89</v>
      </c>
      <c r="GV319" s="53">
        <v>313</v>
      </c>
    </row>
    <row r="320" spans="1:204" ht="15.5" x14ac:dyDescent="0.35">
      <c r="A320" s="95">
        <f t="shared" si="100"/>
        <v>1</v>
      </c>
      <c r="B320" s="11"/>
      <c r="C320" s="11"/>
      <c r="D320" s="92" t="str">
        <f>IFERROR(
IF(AND(OR(Planilla!B320="C",Planilla!B320="c"), VLOOKUP(E320,EX:FJ,13,0)="C"), "OK",IF(AND(OR(Planilla!B320="C",Planilla!B320="c"), OR(VLOOKUP(E320,EX:FJ,13,0)="B", VLOOKUP(E320,EX:FJ,13,0)="A")), "DEFICIT",IF(
AND(OR(Planilla!B320="B", Planilla!B320="BPAL"), VLOOKUP(E320,EX:FJ,13,0)="B"), "OK",IF(AND(OR(Planilla!B320="B", Planilla!B320="BPAL"), VLOOKUP(E320,EX:FJ,13,0)="A"), "DEFICIT",IF(AND(OR(Planilla!B320="B", Planilla!B320="BPAL"), VLOOKUP(E320,EX:FJ,13,0)="C"), "SOBREOFERTA",IF(AND(Planilla!B320="A", VLOOKUP(E320,EX:FJ,13,0)="A"), "OK",IF(
AND(Planilla!B320="A", OR(VLOOKUP(E320,EX:FJ,13,0)="B", VLOOKUP(E320,EX:FJ,13,0)="C")), "SOBREOFERTA",""
))))))),"")</f>
        <v/>
      </c>
      <c r="E320" s="12"/>
      <c r="F320" s="13"/>
      <c r="G320" s="14"/>
      <c r="H320" s="81" t="str">
        <f t="shared" si="101"/>
        <v/>
      </c>
      <c r="I320" s="7"/>
      <c r="J320" s="6" t="e">
        <f t="shared" si="102"/>
        <v>#N/A</v>
      </c>
      <c r="K320" s="6" t="str">
        <f>IF(A321&lt;&gt;A320,AVERAGEIF(A$9:A320,A320,J$9:J320),"")</f>
        <v/>
      </c>
      <c r="L320" s="7" t="str">
        <f>IFERROR(IF(A321&lt;&gt;A320,AVERAGEIF(A$9:A320,A320,S$9:S320),""),"")</f>
        <v/>
      </c>
      <c r="M320" s="7" t="str">
        <f>IFERROR(IF(A321&lt;&gt;A320,AVERAGEIF(A$9:A320,A320,T$9:T320),""),"")</f>
        <v/>
      </c>
      <c r="N320" s="7" t="str" cm="1">
        <f t="array" ref="N320">IFERROR(IF(A321&lt;&gt;A320,_xlfn.STDEV.P(IF(A$9:A320=A320,T$9:T320)),""),"")</f>
        <v/>
      </c>
      <c r="O320" s="7" t="str" cm="1">
        <f t="array" ref="O320">IFERROR(IF(A321&lt;&gt;A320,_xlfn.STDEV.P(IF(A$9:A320=A320,S$9:S320)),""),"")</f>
        <v/>
      </c>
      <c r="P320" s="8" t="str">
        <f t="shared" si="103"/>
        <v/>
      </c>
      <c r="Q320" s="8" t="str">
        <f t="shared" si="104"/>
        <v/>
      </c>
      <c r="R320" s="8" t="str">
        <f t="shared" si="105"/>
        <v/>
      </c>
      <c r="S320" s="9" t="str">
        <f t="shared" si="106"/>
        <v/>
      </c>
      <c r="T320" s="9" t="str">
        <f t="shared" si="107"/>
        <v/>
      </c>
      <c r="U320" s="14"/>
      <c r="V320" s="15"/>
      <c r="W320" s="14" t="str">
        <f t="shared" si="108"/>
        <v/>
      </c>
      <c r="X320" s="15"/>
      <c r="Y320" s="2"/>
      <c r="AB320" s="22">
        <f t="shared" si="109"/>
        <v>1</v>
      </c>
      <c r="AC320" s="11"/>
      <c r="AD320" s="11"/>
      <c r="AE320" s="13"/>
      <c r="AF320" s="12"/>
      <c r="AG320" s="13"/>
      <c r="AH320" s="14"/>
      <c r="AI320" s="81" t="str">
        <f t="shared" si="110"/>
        <v/>
      </c>
      <c r="AJ320" s="15"/>
      <c r="AK320" s="6" t="e">
        <f t="shared" si="111"/>
        <v>#N/A</v>
      </c>
      <c r="AL320" s="6" t="str">
        <f>IF(AB321&lt;&gt;AB320,AVERAGEIF(AB$9:AB320,AB320,AK$9:AK320),"")</f>
        <v/>
      </c>
      <c r="AM320" s="7" t="str">
        <f>IFERROR(IF(AB321&lt;&gt;AB320,AVERAGEIF(AB$9:AB320,AB320,AT$9:AT320),""),"")</f>
        <v/>
      </c>
      <c r="AN320" s="7" t="str">
        <f>IFERROR(IF(AB321&lt;&gt;AB320,AVERAGEIF(AB$9:AB320,AB320,AU$9:AU320),""),"")</f>
        <v/>
      </c>
      <c r="AO320" s="7" t="str" cm="1">
        <f t="array" ref="AO320">IFERROR(IF(AB321&lt;&gt;AB320,_xlfn.STDEV.P(IF(AB$9:AB320=AB320,AU$9:AU320)),""),"")</f>
        <v/>
      </c>
      <c r="AP320" s="7" t="str" cm="1">
        <f t="array" ref="AP320">IFERROR(IF(AB321&lt;&gt;AB320,_xlfn.STDEV.P(IF(AB$9:AB320=AB320,AT$9:AT320)),""),"")</f>
        <v/>
      </c>
      <c r="AQ320" s="8" t="str">
        <f t="shared" si="112"/>
        <v/>
      </c>
      <c r="AR320" s="8" t="str">
        <f t="shared" si="113"/>
        <v/>
      </c>
      <c r="AS320" s="8" t="str">
        <f t="shared" si="114"/>
        <v/>
      </c>
      <c r="AT320" s="9" t="str">
        <f t="shared" si="115"/>
        <v/>
      </c>
      <c r="AU320" s="9" t="str">
        <f t="shared" si="116"/>
        <v/>
      </c>
      <c r="AV320" s="14"/>
      <c r="AW320" s="15"/>
      <c r="AX320" s="14" t="str">
        <f t="shared" si="117"/>
        <v/>
      </c>
      <c r="AY320" s="15"/>
      <c r="AZ320" s="23"/>
      <c r="EW320" t="s">
        <v>46</v>
      </c>
      <c r="EX320" s="33">
        <v>1319</v>
      </c>
      <c r="EY320" s="33" t="s">
        <v>830</v>
      </c>
      <c r="EZ320" s="33" t="s">
        <v>831</v>
      </c>
      <c r="FA320" s="33" t="s">
        <v>343</v>
      </c>
      <c r="FB320" s="33" t="s">
        <v>344</v>
      </c>
      <c r="FC320" s="33" t="s">
        <v>345</v>
      </c>
      <c r="FD320" s="33" t="s">
        <v>346</v>
      </c>
      <c r="FE320" s="33">
        <v>2025</v>
      </c>
      <c r="FF320" s="33" t="s">
        <v>59</v>
      </c>
      <c r="FG320" s="33" t="s">
        <v>477</v>
      </c>
      <c r="FH320" s="33" t="s">
        <v>478</v>
      </c>
      <c r="FI320" s="33" t="s">
        <v>479</v>
      </c>
      <c r="FJ320" t="s">
        <v>59</v>
      </c>
      <c r="FM320" s="32" t="s">
        <v>817</v>
      </c>
      <c r="FN320" t="s">
        <v>818</v>
      </c>
      <c r="FO320" t="s">
        <v>819</v>
      </c>
      <c r="FP320" t="str">
        <f t="shared" si="99"/>
        <v>B</v>
      </c>
      <c r="GU320" s="53">
        <v>90</v>
      </c>
      <c r="GV320" s="53">
        <v>314</v>
      </c>
    </row>
    <row r="321" spans="1:204" ht="15.5" x14ac:dyDescent="0.35">
      <c r="A321" s="95">
        <f t="shared" si="100"/>
        <v>1</v>
      </c>
      <c r="B321" s="11"/>
      <c r="C321" s="11"/>
      <c r="D321" s="92" t="str">
        <f>IFERROR(
IF(AND(OR(Planilla!B321="C",Planilla!B321="c"), VLOOKUP(E321,EX:FJ,13,0)="C"), "OK",IF(AND(OR(Planilla!B321="C",Planilla!B321="c"), OR(VLOOKUP(E321,EX:FJ,13,0)="B", VLOOKUP(E321,EX:FJ,13,0)="A")), "DEFICIT",IF(
AND(OR(Planilla!B321="B", Planilla!B321="BPAL"), VLOOKUP(E321,EX:FJ,13,0)="B"), "OK",IF(AND(OR(Planilla!B321="B", Planilla!B321="BPAL"), VLOOKUP(E321,EX:FJ,13,0)="A"), "DEFICIT",IF(AND(OR(Planilla!B321="B", Planilla!B321="BPAL"), VLOOKUP(E321,EX:FJ,13,0)="C"), "SOBREOFERTA",IF(AND(Planilla!B321="A", VLOOKUP(E321,EX:FJ,13,0)="A"), "OK",IF(
AND(Planilla!B321="A", OR(VLOOKUP(E321,EX:FJ,13,0)="B", VLOOKUP(E321,EX:FJ,13,0)="C")), "SOBREOFERTA",""
))))))),"")</f>
        <v/>
      </c>
      <c r="E321" s="12"/>
      <c r="F321" s="13"/>
      <c r="G321" s="14"/>
      <c r="H321" s="81" t="str">
        <f t="shared" si="101"/>
        <v/>
      </c>
      <c r="I321" s="7"/>
      <c r="J321" s="6" t="e">
        <f t="shared" si="102"/>
        <v>#N/A</v>
      </c>
      <c r="K321" s="6" t="str">
        <f>IF(A322&lt;&gt;A321,AVERAGEIF(A$9:A321,A321,J$9:J321),"")</f>
        <v/>
      </c>
      <c r="L321" s="7" t="str">
        <f>IFERROR(IF(A322&lt;&gt;A321,AVERAGEIF(A$9:A321,A321,S$9:S321),""),"")</f>
        <v/>
      </c>
      <c r="M321" s="7" t="str">
        <f>IFERROR(IF(A322&lt;&gt;A321,AVERAGEIF(A$9:A321,A321,T$9:T321),""),"")</f>
        <v/>
      </c>
      <c r="N321" s="7" t="str" cm="1">
        <f t="array" ref="N321">IFERROR(IF(A322&lt;&gt;A321,_xlfn.STDEV.P(IF(A$9:A321=A321,T$9:T321)),""),"")</f>
        <v/>
      </c>
      <c r="O321" s="7" t="str" cm="1">
        <f t="array" ref="O321">IFERROR(IF(A322&lt;&gt;A321,_xlfn.STDEV.P(IF(A$9:A321=A321,S$9:S321)),""),"")</f>
        <v/>
      </c>
      <c r="P321" s="8" t="str">
        <f t="shared" si="103"/>
        <v/>
      </c>
      <c r="Q321" s="8" t="str">
        <f t="shared" si="104"/>
        <v/>
      </c>
      <c r="R321" s="8" t="str">
        <f t="shared" si="105"/>
        <v/>
      </c>
      <c r="S321" s="9" t="str">
        <f t="shared" si="106"/>
        <v/>
      </c>
      <c r="T321" s="9" t="str">
        <f t="shared" si="107"/>
        <v/>
      </c>
      <c r="U321" s="14"/>
      <c r="V321" s="15"/>
      <c r="W321" s="14" t="str">
        <f t="shared" si="108"/>
        <v/>
      </c>
      <c r="X321" s="15"/>
      <c r="Y321" s="2"/>
      <c r="AB321" s="22">
        <f t="shared" si="109"/>
        <v>1</v>
      </c>
      <c r="AC321" s="11"/>
      <c r="AD321" s="11"/>
      <c r="AE321" s="13"/>
      <c r="AF321" s="12"/>
      <c r="AG321" s="13"/>
      <c r="AH321" s="14"/>
      <c r="AI321" s="81" t="str">
        <f t="shared" si="110"/>
        <v/>
      </c>
      <c r="AJ321" s="15"/>
      <c r="AK321" s="6" t="e">
        <f t="shared" si="111"/>
        <v>#N/A</v>
      </c>
      <c r="AL321" s="6" t="str">
        <f>IF(AB322&lt;&gt;AB321,AVERAGEIF(AB$9:AB321,AB321,AK$9:AK321),"")</f>
        <v/>
      </c>
      <c r="AM321" s="7" t="str">
        <f>IFERROR(IF(AB322&lt;&gt;AB321,AVERAGEIF(AB$9:AB321,AB321,AT$9:AT321),""),"")</f>
        <v/>
      </c>
      <c r="AN321" s="7" t="str">
        <f>IFERROR(IF(AB322&lt;&gt;AB321,AVERAGEIF(AB$9:AB321,AB321,AU$9:AU321),""),"")</f>
        <v/>
      </c>
      <c r="AO321" s="7" t="str" cm="1">
        <f t="array" ref="AO321">IFERROR(IF(AB322&lt;&gt;AB321,_xlfn.STDEV.P(IF(AB$9:AB321=AB321,AU$9:AU321)),""),"")</f>
        <v/>
      </c>
      <c r="AP321" s="7" t="str" cm="1">
        <f t="array" ref="AP321">IFERROR(IF(AB322&lt;&gt;AB321,_xlfn.STDEV.P(IF(AB$9:AB321=AB321,AT$9:AT321)),""),"")</f>
        <v/>
      </c>
      <c r="AQ321" s="8" t="str">
        <f t="shared" si="112"/>
        <v/>
      </c>
      <c r="AR321" s="8" t="str">
        <f t="shared" si="113"/>
        <v/>
      </c>
      <c r="AS321" s="8" t="str">
        <f t="shared" si="114"/>
        <v/>
      </c>
      <c r="AT321" s="9" t="str">
        <f t="shared" si="115"/>
        <v/>
      </c>
      <c r="AU321" s="9" t="str">
        <f t="shared" si="116"/>
        <v/>
      </c>
      <c r="AV321" s="14"/>
      <c r="AW321" s="15"/>
      <c r="AX321" s="14" t="str">
        <f t="shared" si="117"/>
        <v/>
      </c>
      <c r="AY321" s="15"/>
      <c r="AZ321" s="23"/>
      <c r="EW321" t="s">
        <v>46</v>
      </c>
      <c r="EX321" s="33">
        <v>1320</v>
      </c>
      <c r="EY321" s="33" t="s">
        <v>832</v>
      </c>
      <c r="EZ321" s="33" t="s">
        <v>833</v>
      </c>
      <c r="FA321" s="33" t="s">
        <v>343</v>
      </c>
      <c r="FB321" s="33" t="s">
        <v>344</v>
      </c>
      <c r="FC321" s="33" t="s">
        <v>345</v>
      </c>
      <c r="FD321" s="33" t="s">
        <v>346</v>
      </c>
      <c r="FE321" s="33">
        <v>2025</v>
      </c>
      <c r="FF321" s="33" t="s">
        <v>59</v>
      </c>
      <c r="FG321" s="33" t="s">
        <v>386</v>
      </c>
      <c r="FH321" s="33" t="s">
        <v>387</v>
      </c>
      <c r="FI321" s="33" t="s">
        <v>407</v>
      </c>
      <c r="FJ321" t="s">
        <v>59</v>
      </c>
      <c r="FM321" s="32" t="s">
        <v>834</v>
      </c>
      <c r="FN321" t="s">
        <v>835</v>
      </c>
      <c r="FO321" t="s">
        <v>836</v>
      </c>
      <c r="FP321" t="str">
        <f t="shared" ref="FP321:FP384" si="118">VLOOKUP(FO321,EX:FF,9,0)</f>
        <v>B</v>
      </c>
      <c r="GU321" s="53">
        <v>91</v>
      </c>
      <c r="GV321" s="53">
        <v>315</v>
      </c>
    </row>
    <row r="322" spans="1:204" ht="15.5" x14ac:dyDescent="0.35">
      <c r="A322" s="95">
        <f t="shared" si="100"/>
        <v>1</v>
      </c>
      <c r="B322" s="11"/>
      <c r="C322" s="11"/>
      <c r="D322" s="92" t="str">
        <f>IFERROR(
IF(AND(OR(Planilla!B322="C",Planilla!B322="c"), VLOOKUP(E322,EX:FJ,13,0)="C"), "OK",IF(AND(OR(Planilla!B322="C",Planilla!B322="c"), OR(VLOOKUP(E322,EX:FJ,13,0)="B", VLOOKUP(E322,EX:FJ,13,0)="A")), "DEFICIT",IF(
AND(OR(Planilla!B322="B", Planilla!B322="BPAL"), VLOOKUP(E322,EX:FJ,13,0)="B"), "OK",IF(AND(OR(Planilla!B322="B", Planilla!B322="BPAL"), VLOOKUP(E322,EX:FJ,13,0)="A"), "DEFICIT",IF(AND(OR(Planilla!B322="B", Planilla!B322="BPAL"), VLOOKUP(E322,EX:FJ,13,0)="C"), "SOBREOFERTA",IF(AND(Planilla!B322="A", VLOOKUP(E322,EX:FJ,13,0)="A"), "OK",IF(
AND(Planilla!B322="A", OR(VLOOKUP(E322,EX:FJ,13,0)="B", VLOOKUP(E322,EX:FJ,13,0)="C")), "SOBREOFERTA",""
))))))),"")</f>
        <v/>
      </c>
      <c r="E322" s="12"/>
      <c r="F322" s="13"/>
      <c r="G322" s="14"/>
      <c r="H322" s="81" t="str">
        <f t="shared" si="101"/>
        <v/>
      </c>
      <c r="I322" s="7"/>
      <c r="J322" s="6" t="e">
        <f t="shared" si="102"/>
        <v>#N/A</v>
      </c>
      <c r="K322" s="6" t="str">
        <f>IF(A323&lt;&gt;A322,AVERAGEIF(A$9:A322,A322,J$9:J322),"")</f>
        <v/>
      </c>
      <c r="L322" s="7" t="str">
        <f>IFERROR(IF(A323&lt;&gt;A322,AVERAGEIF(A$9:A322,A322,S$9:S322),""),"")</f>
        <v/>
      </c>
      <c r="M322" s="7" t="str">
        <f>IFERROR(IF(A323&lt;&gt;A322,AVERAGEIF(A$9:A322,A322,T$9:T322),""),"")</f>
        <v/>
      </c>
      <c r="N322" s="7" t="str" cm="1">
        <f t="array" ref="N322">IFERROR(IF(A323&lt;&gt;A322,_xlfn.STDEV.P(IF(A$9:A322=A322,T$9:T322)),""),"")</f>
        <v/>
      </c>
      <c r="O322" s="7" t="str" cm="1">
        <f t="array" ref="O322">IFERROR(IF(A323&lt;&gt;A322,_xlfn.STDEV.P(IF(A$9:A322=A322,S$9:S322)),""),"")</f>
        <v/>
      </c>
      <c r="P322" s="8" t="str">
        <f t="shared" si="103"/>
        <v/>
      </c>
      <c r="Q322" s="8" t="str">
        <f t="shared" si="104"/>
        <v/>
      </c>
      <c r="R322" s="8" t="str">
        <f t="shared" si="105"/>
        <v/>
      </c>
      <c r="S322" s="9" t="str">
        <f t="shared" si="106"/>
        <v/>
      </c>
      <c r="T322" s="9" t="str">
        <f t="shared" si="107"/>
        <v/>
      </c>
      <c r="U322" s="14"/>
      <c r="V322" s="15"/>
      <c r="W322" s="14" t="str">
        <f t="shared" si="108"/>
        <v/>
      </c>
      <c r="X322" s="15"/>
      <c r="Y322" s="2"/>
      <c r="AB322" s="22">
        <f t="shared" si="109"/>
        <v>1</v>
      </c>
      <c r="AC322" s="11"/>
      <c r="AD322" s="11"/>
      <c r="AE322" s="13"/>
      <c r="AF322" s="12"/>
      <c r="AG322" s="13"/>
      <c r="AH322" s="14"/>
      <c r="AI322" s="81" t="str">
        <f t="shared" si="110"/>
        <v/>
      </c>
      <c r="AJ322" s="15"/>
      <c r="AK322" s="6" t="e">
        <f t="shared" si="111"/>
        <v>#N/A</v>
      </c>
      <c r="AL322" s="6" t="str">
        <f>IF(AB323&lt;&gt;AB322,AVERAGEIF(AB$9:AB322,AB322,AK$9:AK322),"")</f>
        <v/>
      </c>
      <c r="AM322" s="7" t="str">
        <f>IFERROR(IF(AB323&lt;&gt;AB322,AVERAGEIF(AB$9:AB322,AB322,AT$9:AT322),""),"")</f>
        <v/>
      </c>
      <c r="AN322" s="7" t="str">
        <f>IFERROR(IF(AB323&lt;&gt;AB322,AVERAGEIF(AB$9:AB322,AB322,AU$9:AU322),""),"")</f>
        <v/>
      </c>
      <c r="AO322" s="7" t="str" cm="1">
        <f t="array" ref="AO322">IFERROR(IF(AB323&lt;&gt;AB322,_xlfn.STDEV.P(IF(AB$9:AB322=AB322,AU$9:AU322)),""),"")</f>
        <v/>
      </c>
      <c r="AP322" s="7" t="str" cm="1">
        <f t="array" ref="AP322">IFERROR(IF(AB323&lt;&gt;AB322,_xlfn.STDEV.P(IF(AB$9:AB322=AB322,AT$9:AT322)),""),"")</f>
        <v/>
      </c>
      <c r="AQ322" s="8" t="str">
        <f t="shared" si="112"/>
        <v/>
      </c>
      <c r="AR322" s="8" t="str">
        <f t="shared" si="113"/>
        <v/>
      </c>
      <c r="AS322" s="8" t="str">
        <f t="shared" si="114"/>
        <v/>
      </c>
      <c r="AT322" s="9" t="str">
        <f t="shared" si="115"/>
        <v/>
      </c>
      <c r="AU322" s="9" t="str">
        <f t="shared" si="116"/>
        <v/>
      </c>
      <c r="AV322" s="14"/>
      <c r="AW322" s="15"/>
      <c r="AX322" s="14" t="str">
        <f t="shared" si="117"/>
        <v/>
      </c>
      <c r="AY322" s="15"/>
      <c r="AZ322" s="23"/>
      <c r="EW322" t="s">
        <v>46</v>
      </c>
      <c r="EX322" s="33">
        <v>1321</v>
      </c>
      <c r="EY322" s="33" t="s">
        <v>837</v>
      </c>
      <c r="EZ322" s="33" t="s">
        <v>838</v>
      </c>
      <c r="FA322" s="33" t="s">
        <v>343</v>
      </c>
      <c r="FB322" s="33" t="s">
        <v>344</v>
      </c>
      <c r="FC322" s="33" t="s">
        <v>345</v>
      </c>
      <c r="FD322" s="33" t="s">
        <v>346</v>
      </c>
      <c r="FE322" s="33">
        <v>2025</v>
      </c>
      <c r="FF322" s="33" t="s">
        <v>59</v>
      </c>
      <c r="FG322" s="33" t="s">
        <v>477</v>
      </c>
      <c r="FH322" s="33" t="s">
        <v>478</v>
      </c>
      <c r="FI322" s="33" t="s">
        <v>479</v>
      </c>
      <c r="FJ322" t="s">
        <v>59</v>
      </c>
      <c r="FM322" s="32" t="s">
        <v>834</v>
      </c>
      <c r="FN322" t="s">
        <v>835</v>
      </c>
      <c r="FO322" t="s">
        <v>836</v>
      </c>
      <c r="FP322" t="str">
        <f t="shared" si="118"/>
        <v>B</v>
      </c>
      <c r="GU322" s="53">
        <v>92</v>
      </c>
      <c r="GV322" s="53">
        <v>316</v>
      </c>
    </row>
    <row r="323" spans="1:204" ht="15.5" x14ac:dyDescent="0.35">
      <c r="A323" s="95">
        <f t="shared" si="100"/>
        <v>1</v>
      </c>
      <c r="B323" s="11"/>
      <c r="C323" s="11"/>
      <c r="D323" s="92" t="str">
        <f>IFERROR(
IF(AND(OR(Planilla!B323="C",Planilla!B323="c"), VLOOKUP(E323,EX:FJ,13,0)="C"), "OK",IF(AND(OR(Planilla!B323="C",Planilla!B323="c"), OR(VLOOKUP(E323,EX:FJ,13,0)="B", VLOOKUP(E323,EX:FJ,13,0)="A")), "DEFICIT",IF(
AND(OR(Planilla!B323="B", Planilla!B323="BPAL"), VLOOKUP(E323,EX:FJ,13,0)="B"), "OK",IF(AND(OR(Planilla!B323="B", Planilla!B323="BPAL"), VLOOKUP(E323,EX:FJ,13,0)="A"), "DEFICIT",IF(AND(OR(Planilla!B323="B", Planilla!B323="BPAL"), VLOOKUP(E323,EX:FJ,13,0)="C"), "SOBREOFERTA",IF(AND(Planilla!B323="A", VLOOKUP(E323,EX:FJ,13,0)="A"), "OK",IF(
AND(Planilla!B323="A", OR(VLOOKUP(E323,EX:FJ,13,0)="B", VLOOKUP(E323,EX:FJ,13,0)="C")), "SOBREOFERTA",""
))))))),"")</f>
        <v/>
      </c>
      <c r="E323" s="12"/>
      <c r="F323" s="13"/>
      <c r="G323" s="14"/>
      <c r="H323" s="81" t="str">
        <f t="shared" si="101"/>
        <v/>
      </c>
      <c r="I323" s="7"/>
      <c r="J323" s="6" t="e">
        <f t="shared" si="102"/>
        <v>#N/A</v>
      </c>
      <c r="K323" s="6" t="str">
        <f>IF(A324&lt;&gt;A323,AVERAGEIF(A$9:A323,A323,J$9:J323),"")</f>
        <v/>
      </c>
      <c r="L323" s="7" t="str">
        <f>IFERROR(IF(A324&lt;&gt;A323,AVERAGEIF(A$9:A323,A323,S$9:S323),""),"")</f>
        <v/>
      </c>
      <c r="M323" s="7" t="str">
        <f>IFERROR(IF(A324&lt;&gt;A323,AVERAGEIF(A$9:A323,A323,T$9:T323),""),"")</f>
        <v/>
      </c>
      <c r="N323" s="7" t="str" cm="1">
        <f t="array" ref="N323">IFERROR(IF(A324&lt;&gt;A323,_xlfn.STDEV.P(IF(A$9:A323=A323,T$9:T323)),""),"")</f>
        <v/>
      </c>
      <c r="O323" s="7" t="str" cm="1">
        <f t="array" ref="O323">IFERROR(IF(A324&lt;&gt;A323,_xlfn.STDEV.P(IF(A$9:A323=A323,S$9:S323)),""),"")</f>
        <v/>
      </c>
      <c r="P323" s="8" t="str">
        <f t="shared" si="103"/>
        <v/>
      </c>
      <c r="Q323" s="8" t="str">
        <f t="shared" si="104"/>
        <v/>
      </c>
      <c r="R323" s="8" t="str">
        <f t="shared" si="105"/>
        <v/>
      </c>
      <c r="S323" s="9" t="str">
        <f t="shared" si="106"/>
        <v/>
      </c>
      <c r="T323" s="9" t="str">
        <f t="shared" si="107"/>
        <v/>
      </c>
      <c r="U323" s="14"/>
      <c r="V323" s="15"/>
      <c r="W323" s="14" t="str">
        <f t="shared" si="108"/>
        <v/>
      </c>
      <c r="X323" s="15"/>
      <c r="Y323" s="2"/>
      <c r="AB323" s="22">
        <f t="shared" si="109"/>
        <v>1</v>
      </c>
      <c r="AC323" s="11"/>
      <c r="AD323" s="11"/>
      <c r="AE323" s="13"/>
      <c r="AF323" s="12"/>
      <c r="AG323" s="13"/>
      <c r="AH323" s="14"/>
      <c r="AI323" s="81" t="str">
        <f t="shared" si="110"/>
        <v/>
      </c>
      <c r="AJ323" s="15"/>
      <c r="AK323" s="6" t="e">
        <f t="shared" si="111"/>
        <v>#N/A</v>
      </c>
      <c r="AL323" s="6" t="str">
        <f>IF(AB324&lt;&gt;AB323,AVERAGEIF(AB$9:AB323,AB323,AK$9:AK323),"")</f>
        <v/>
      </c>
      <c r="AM323" s="7" t="str">
        <f>IFERROR(IF(AB324&lt;&gt;AB323,AVERAGEIF(AB$9:AB323,AB323,AT$9:AT323),""),"")</f>
        <v/>
      </c>
      <c r="AN323" s="7" t="str">
        <f>IFERROR(IF(AB324&lt;&gt;AB323,AVERAGEIF(AB$9:AB323,AB323,AU$9:AU323),""),"")</f>
        <v/>
      </c>
      <c r="AO323" s="7" t="str" cm="1">
        <f t="array" ref="AO323">IFERROR(IF(AB324&lt;&gt;AB323,_xlfn.STDEV.P(IF(AB$9:AB323=AB323,AU$9:AU323)),""),"")</f>
        <v/>
      </c>
      <c r="AP323" s="7" t="str" cm="1">
        <f t="array" ref="AP323">IFERROR(IF(AB324&lt;&gt;AB323,_xlfn.STDEV.P(IF(AB$9:AB323=AB323,AT$9:AT323)),""),"")</f>
        <v/>
      </c>
      <c r="AQ323" s="8" t="str">
        <f t="shared" si="112"/>
        <v/>
      </c>
      <c r="AR323" s="8" t="str">
        <f t="shared" si="113"/>
        <v/>
      </c>
      <c r="AS323" s="8" t="str">
        <f t="shared" si="114"/>
        <v/>
      </c>
      <c r="AT323" s="9" t="str">
        <f t="shared" si="115"/>
        <v/>
      </c>
      <c r="AU323" s="9" t="str">
        <f t="shared" si="116"/>
        <v/>
      </c>
      <c r="AV323" s="14"/>
      <c r="AW323" s="15"/>
      <c r="AX323" s="14" t="str">
        <f t="shared" si="117"/>
        <v/>
      </c>
      <c r="AY323" s="15"/>
      <c r="AZ323" s="23"/>
      <c r="EW323" t="s">
        <v>46</v>
      </c>
      <c r="EX323" s="33">
        <v>1322</v>
      </c>
      <c r="EY323" s="33" t="s">
        <v>839</v>
      </c>
      <c r="EZ323" s="33" t="s">
        <v>840</v>
      </c>
      <c r="FA323" s="33" t="s">
        <v>343</v>
      </c>
      <c r="FB323" s="33" t="s">
        <v>344</v>
      </c>
      <c r="FC323" s="33" t="s">
        <v>345</v>
      </c>
      <c r="FD323" s="33" t="s">
        <v>346</v>
      </c>
      <c r="FE323" s="33">
        <v>2025</v>
      </c>
      <c r="FF323" s="33" t="s">
        <v>59</v>
      </c>
      <c r="FG323" s="33" t="s">
        <v>477</v>
      </c>
      <c r="FH323" s="33" t="s">
        <v>478</v>
      </c>
      <c r="FI323" s="33" t="s">
        <v>479</v>
      </c>
      <c r="FJ323" t="s">
        <v>59</v>
      </c>
      <c r="FM323" s="32" t="s">
        <v>841</v>
      </c>
      <c r="FN323" t="s">
        <v>842</v>
      </c>
      <c r="FO323" t="s">
        <v>843</v>
      </c>
      <c r="FP323" t="str">
        <f t="shared" si="118"/>
        <v>B</v>
      </c>
      <c r="GU323" s="53">
        <v>93</v>
      </c>
      <c r="GV323" s="53">
        <v>317</v>
      </c>
    </row>
    <row r="324" spans="1:204" ht="15.5" x14ac:dyDescent="0.35">
      <c r="A324" s="95">
        <f t="shared" si="100"/>
        <v>1</v>
      </c>
      <c r="B324" s="11"/>
      <c r="C324" s="11"/>
      <c r="D324" s="92" t="str">
        <f>IFERROR(
IF(AND(OR(Planilla!B324="C",Planilla!B324="c"), VLOOKUP(E324,EX:FJ,13,0)="C"), "OK",IF(AND(OR(Planilla!B324="C",Planilla!B324="c"), OR(VLOOKUP(E324,EX:FJ,13,0)="B", VLOOKUP(E324,EX:FJ,13,0)="A")), "DEFICIT",IF(
AND(OR(Planilla!B324="B", Planilla!B324="BPAL"), VLOOKUP(E324,EX:FJ,13,0)="B"), "OK",IF(AND(OR(Planilla!B324="B", Planilla!B324="BPAL"), VLOOKUP(E324,EX:FJ,13,0)="A"), "DEFICIT",IF(AND(OR(Planilla!B324="B", Planilla!B324="BPAL"), VLOOKUP(E324,EX:FJ,13,0)="C"), "SOBREOFERTA",IF(AND(Planilla!B324="A", VLOOKUP(E324,EX:FJ,13,0)="A"), "OK",IF(
AND(Planilla!B324="A", OR(VLOOKUP(E324,EX:FJ,13,0)="B", VLOOKUP(E324,EX:FJ,13,0)="C")), "SOBREOFERTA",""
))))))),"")</f>
        <v/>
      </c>
      <c r="E324" s="12"/>
      <c r="F324" s="13"/>
      <c r="G324" s="14"/>
      <c r="H324" s="81" t="str">
        <f t="shared" si="101"/>
        <v/>
      </c>
      <c r="I324" s="7"/>
      <c r="J324" s="6" t="e">
        <f t="shared" si="102"/>
        <v>#N/A</v>
      </c>
      <c r="K324" s="6" t="str">
        <f>IF(A325&lt;&gt;A324,AVERAGEIF(A$9:A324,A324,J$9:J324),"")</f>
        <v/>
      </c>
      <c r="L324" s="7" t="str">
        <f>IFERROR(IF(A325&lt;&gt;A324,AVERAGEIF(A$9:A324,A324,S$9:S324),""),"")</f>
        <v/>
      </c>
      <c r="M324" s="7" t="str">
        <f>IFERROR(IF(A325&lt;&gt;A324,AVERAGEIF(A$9:A324,A324,T$9:T324),""),"")</f>
        <v/>
      </c>
      <c r="N324" s="7" t="str" cm="1">
        <f t="array" ref="N324">IFERROR(IF(A325&lt;&gt;A324,_xlfn.STDEV.P(IF(A$9:A324=A324,T$9:T324)),""),"")</f>
        <v/>
      </c>
      <c r="O324" s="7" t="str" cm="1">
        <f t="array" ref="O324">IFERROR(IF(A325&lt;&gt;A324,_xlfn.STDEV.P(IF(A$9:A324=A324,S$9:S324)),""),"")</f>
        <v/>
      </c>
      <c r="P324" s="8" t="str">
        <f t="shared" si="103"/>
        <v/>
      </c>
      <c r="Q324" s="8" t="str">
        <f t="shared" si="104"/>
        <v/>
      </c>
      <c r="R324" s="8" t="str">
        <f t="shared" si="105"/>
        <v/>
      </c>
      <c r="S324" s="9" t="str">
        <f t="shared" si="106"/>
        <v/>
      </c>
      <c r="T324" s="9" t="str">
        <f t="shared" si="107"/>
        <v/>
      </c>
      <c r="U324" s="14"/>
      <c r="V324" s="15"/>
      <c r="W324" s="14" t="str">
        <f t="shared" si="108"/>
        <v/>
      </c>
      <c r="X324" s="15"/>
      <c r="Y324" s="2"/>
      <c r="AB324" s="22">
        <f t="shared" si="109"/>
        <v>1</v>
      </c>
      <c r="AC324" s="11"/>
      <c r="AD324" s="11"/>
      <c r="AE324" s="13"/>
      <c r="AF324" s="12"/>
      <c r="AG324" s="13"/>
      <c r="AH324" s="14"/>
      <c r="AI324" s="81" t="str">
        <f t="shared" si="110"/>
        <v/>
      </c>
      <c r="AJ324" s="15"/>
      <c r="AK324" s="6" t="e">
        <f t="shared" si="111"/>
        <v>#N/A</v>
      </c>
      <c r="AL324" s="6" t="str">
        <f>IF(AB325&lt;&gt;AB324,AVERAGEIF(AB$9:AB324,AB324,AK$9:AK324),"")</f>
        <v/>
      </c>
      <c r="AM324" s="7" t="str">
        <f>IFERROR(IF(AB325&lt;&gt;AB324,AVERAGEIF(AB$9:AB324,AB324,AT$9:AT324),""),"")</f>
        <v/>
      </c>
      <c r="AN324" s="7" t="str">
        <f>IFERROR(IF(AB325&lt;&gt;AB324,AVERAGEIF(AB$9:AB324,AB324,AU$9:AU324),""),"")</f>
        <v/>
      </c>
      <c r="AO324" s="7" t="str" cm="1">
        <f t="array" ref="AO324">IFERROR(IF(AB325&lt;&gt;AB324,_xlfn.STDEV.P(IF(AB$9:AB324=AB324,AU$9:AU324)),""),"")</f>
        <v/>
      </c>
      <c r="AP324" s="7" t="str" cm="1">
        <f t="array" ref="AP324">IFERROR(IF(AB325&lt;&gt;AB324,_xlfn.STDEV.P(IF(AB$9:AB324=AB324,AT$9:AT324)),""),"")</f>
        <v/>
      </c>
      <c r="AQ324" s="8" t="str">
        <f t="shared" si="112"/>
        <v/>
      </c>
      <c r="AR324" s="8" t="str">
        <f t="shared" si="113"/>
        <v/>
      </c>
      <c r="AS324" s="8" t="str">
        <f t="shared" si="114"/>
        <v/>
      </c>
      <c r="AT324" s="9" t="str">
        <f t="shared" si="115"/>
        <v/>
      </c>
      <c r="AU324" s="9" t="str">
        <f t="shared" si="116"/>
        <v/>
      </c>
      <c r="AV324" s="14"/>
      <c r="AW324" s="15"/>
      <c r="AX324" s="14" t="str">
        <f t="shared" si="117"/>
        <v/>
      </c>
      <c r="AY324" s="15"/>
      <c r="AZ324" s="23"/>
      <c r="EW324" t="s">
        <v>46</v>
      </c>
      <c r="EX324" s="33">
        <v>1323</v>
      </c>
      <c r="EY324" s="33" t="s">
        <v>844</v>
      </c>
      <c r="EZ324" s="33" t="s">
        <v>845</v>
      </c>
      <c r="FA324" s="33" t="s">
        <v>343</v>
      </c>
      <c r="FB324" s="33" t="s">
        <v>344</v>
      </c>
      <c r="FC324" s="33" t="s">
        <v>345</v>
      </c>
      <c r="FD324" s="33" t="s">
        <v>346</v>
      </c>
      <c r="FE324" s="33">
        <v>2025</v>
      </c>
      <c r="FF324" s="33" t="s">
        <v>59</v>
      </c>
      <c r="FG324" s="33" t="s">
        <v>477</v>
      </c>
      <c r="FH324" s="33" t="s">
        <v>478</v>
      </c>
      <c r="FI324" s="33" t="s">
        <v>479</v>
      </c>
      <c r="FJ324" t="s">
        <v>59</v>
      </c>
      <c r="FM324" s="32" t="s">
        <v>846</v>
      </c>
      <c r="FN324" t="s">
        <v>847</v>
      </c>
      <c r="FO324" t="s">
        <v>848</v>
      </c>
      <c r="FP324" t="str">
        <f t="shared" si="118"/>
        <v>B</v>
      </c>
      <c r="GU324" s="53">
        <v>94</v>
      </c>
      <c r="GV324" s="53">
        <v>318</v>
      </c>
    </row>
    <row r="325" spans="1:204" ht="15.5" x14ac:dyDescent="0.35">
      <c r="A325" s="95">
        <f t="shared" si="100"/>
        <v>1</v>
      </c>
      <c r="B325" s="11"/>
      <c r="C325" s="11"/>
      <c r="D325" s="92" t="str">
        <f>IFERROR(
IF(AND(OR(Planilla!B325="C",Planilla!B325="c"), VLOOKUP(E325,EX:FJ,13,0)="C"), "OK",IF(AND(OR(Planilla!B325="C",Planilla!B325="c"), OR(VLOOKUP(E325,EX:FJ,13,0)="B", VLOOKUP(E325,EX:FJ,13,0)="A")), "DEFICIT",IF(
AND(OR(Planilla!B325="B", Planilla!B325="BPAL"), VLOOKUP(E325,EX:FJ,13,0)="B"), "OK",IF(AND(OR(Planilla!B325="B", Planilla!B325="BPAL"), VLOOKUP(E325,EX:FJ,13,0)="A"), "DEFICIT",IF(AND(OR(Planilla!B325="B", Planilla!B325="BPAL"), VLOOKUP(E325,EX:FJ,13,0)="C"), "SOBREOFERTA",IF(AND(Planilla!B325="A", VLOOKUP(E325,EX:FJ,13,0)="A"), "OK",IF(
AND(Planilla!B325="A", OR(VLOOKUP(E325,EX:FJ,13,0)="B", VLOOKUP(E325,EX:FJ,13,0)="C")), "SOBREOFERTA",""
))))))),"")</f>
        <v/>
      </c>
      <c r="E325" s="12"/>
      <c r="F325" s="13"/>
      <c r="G325" s="14"/>
      <c r="H325" s="81" t="str">
        <f t="shared" si="101"/>
        <v/>
      </c>
      <c r="I325" s="7"/>
      <c r="J325" s="6" t="e">
        <f t="shared" si="102"/>
        <v>#N/A</v>
      </c>
      <c r="K325" s="6" t="str">
        <f>IF(A326&lt;&gt;A325,AVERAGEIF(A$9:A325,A325,J$9:J325),"")</f>
        <v/>
      </c>
      <c r="L325" s="7" t="str">
        <f>IFERROR(IF(A326&lt;&gt;A325,AVERAGEIF(A$9:A325,A325,S$9:S325),""),"")</f>
        <v/>
      </c>
      <c r="M325" s="7" t="str">
        <f>IFERROR(IF(A326&lt;&gt;A325,AVERAGEIF(A$9:A325,A325,T$9:T325),""),"")</f>
        <v/>
      </c>
      <c r="N325" s="7" t="str" cm="1">
        <f t="array" ref="N325">IFERROR(IF(A326&lt;&gt;A325,_xlfn.STDEV.P(IF(A$9:A325=A325,T$9:T325)),""),"")</f>
        <v/>
      </c>
      <c r="O325" s="7" t="str" cm="1">
        <f t="array" ref="O325">IFERROR(IF(A326&lt;&gt;A325,_xlfn.STDEV.P(IF(A$9:A325=A325,S$9:S325)),""),"")</f>
        <v/>
      </c>
      <c r="P325" s="8" t="str">
        <f t="shared" si="103"/>
        <v/>
      </c>
      <c r="Q325" s="8" t="str">
        <f t="shared" si="104"/>
        <v/>
      </c>
      <c r="R325" s="8" t="str">
        <f t="shared" si="105"/>
        <v/>
      </c>
      <c r="S325" s="9" t="str">
        <f t="shared" si="106"/>
        <v/>
      </c>
      <c r="T325" s="9" t="str">
        <f t="shared" si="107"/>
        <v/>
      </c>
      <c r="U325" s="14"/>
      <c r="V325" s="15"/>
      <c r="W325" s="14" t="str">
        <f t="shared" si="108"/>
        <v/>
      </c>
      <c r="X325" s="15"/>
      <c r="Y325" s="2"/>
      <c r="AB325" s="22">
        <f t="shared" si="109"/>
        <v>1</v>
      </c>
      <c r="AC325" s="11"/>
      <c r="AD325" s="11"/>
      <c r="AE325" s="13"/>
      <c r="AF325" s="12"/>
      <c r="AG325" s="13"/>
      <c r="AH325" s="14"/>
      <c r="AI325" s="81" t="str">
        <f t="shared" si="110"/>
        <v/>
      </c>
      <c r="AJ325" s="15"/>
      <c r="AK325" s="6" t="e">
        <f t="shared" si="111"/>
        <v>#N/A</v>
      </c>
      <c r="AL325" s="6" t="str">
        <f>IF(AB326&lt;&gt;AB325,AVERAGEIF(AB$9:AB325,AB325,AK$9:AK325),"")</f>
        <v/>
      </c>
      <c r="AM325" s="7" t="str">
        <f>IFERROR(IF(AB326&lt;&gt;AB325,AVERAGEIF(AB$9:AB325,AB325,AT$9:AT325),""),"")</f>
        <v/>
      </c>
      <c r="AN325" s="7" t="str">
        <f>IFERROR(IF(AB326&lt;&gt;AB325,AVERAGEIF(AB$9:AB325,AB325,AU$9:AU325),""),"")</f>
        <v/>
      </c>
      <c r="AO325" s="7" t="str" cm="1">
        <f t="array" ref="AO325">IFERROR(IF(AB326&lt;&gt;AB325,_xlfn.STDEV.P(IF(AB$9:AB325=AB325,AU$9:AU325)),""),"")</f>
        <v/>
      </c>
      <c r="AP325" s="7" t="str" cm="1">
        <f t="array" ref="AP325">IFERROR(IF(AB326&lt;&gt;AB325,_xlfn.STDEV.P(IF(AB$9:AB325=AB325,AT$9:AT325)),""),"")</f>
        <v/>
      </c>
      <c r="AQ325" s="8" t="str">
        <f t="shared" si="112"/>
        <v/>
      </c>
      <c r="AR325" s="8" t="str">
        <f t="shared" si="113"/>
        <v/>
      </c>
      <c r="AS325" s="8" t="str">
        <f t="shared" si="114"/>
        <v/>
      </c>
      <c r="AT325" s="9" t="str">
        <f t="shared" si="115"/>
        <v/>
      </c>
      <c r="AU325" s="9" t="str">
        <f t="shared" si="116"/>
        <v/>
      </c>
      <c r="AV325" s="14"/>
      <c r="AW325" s="15"/>
      <c r="AX325" s="14" t="str">
        <f t="shared" si="117"/>
        <v/>
      </c>
      <c r="AY325" s="15"/>
      <c r="AZ325" s="23"/>
      <c r="EW325" t="s">
        <v>46</v>
      </c>
      <c r="EX325" s="33">
        <v>1324</v>
      </c>
      <c r="EY325" s="33" t="s">
        <v>849</v>
      </c>
      <c r="EZ325" s="33" t="s">
        <v>850</v>
      </c>
      <c r="FA325" s="33" t="s">
        <v>343</v>
      </c>
      <c r="FB325" s="33" t="s">
        <v>344</v>
      </c>
      <c r="FC325" s="33" t="s">
        <v>345</v>
      </c>
      <c r="FD325" s="33" t="s">
        <v>346</v>
      </c>
      <c r="FE325" s="33">
        <v>2025</v>
      </c>
      <c r="FF325" s="33" t="s">
        <v>59</v>
      </c>
      <c r="FG325" s="33" t="s">
        <v>470</v>
      </c>
      <c r="FH325" s="33" t="s">
        <v>471</v>
      </c>
      <c r="FI325" s="33" t="s">
        <v>467</v>
      </c>
      <c r="FJ325" t="s">
        <v>59</v>
      </c>
      <c r="FM325" s="32" t="s">
        <v>846</v>
      </c>
      <c r="FN325" t="s">
        <v>847</v>
      </c>
      <c r="FO325" t="s">
        <v>848</v>
      </c>
      <c r="FP325" t="str">
        <f t="shared" si="118"/>
        <v>B</v>
      </c>
      <c r="GU325" s="53">
        <v>95</v>
      </c>
      <c r="GV325" s="53">
        <v>319</v>
      </c>
    </row>
    <row r="326" spans="1:204" ht="15.5" x14ac:dyDescent="0.35">
      <c r="A326" s="95">
        <f t="shared" si="100"/>
        <v>1</v>
      </c>
      <c r="B326" s="11"/>
      <c r="C326" s="11"/>
      <c r="D326" s="92" t="str">
        <f>IFERROR(
IF(AND(OR(Planilla!B326="C",Planilla!B326="c"), VLOOKUP(E326,EX:FJ,13,0)="C"), "OK",IF(AND(OR(Planilla!B326="C",Planilla!B326="c"), OR(VLOOKUP(E326,EX:FJ,13,0)="B", VLOOKUP(E326,EX:FJ,13,0)="A")), "DEFICIT",IF(
AND(OR(Planilla!B326="B", Planilla!B326="BPAL"), VLOOKUP(E326,EX:FJ,13,0)="B"), "OK",IF(AND(OR(Planilla!B326="B", Planilla!B326="BPAL"), VLOOKUP(E326,EX:FJ,13,0)="A"), "DEFICIT",IF(AND(OR(Planilla!B326="B", Planilla!B326="BPAL"), VLOOKUP(E326,EX:FJ,13,0)="C"), "SOBREOFERTA",IF(AND(Planilla!B326="A", VLOOKUP(E326,EX:FJ,13,0)="A"), "OK",IF(
AND(Planilla!B326="A", OR(VLOOKUP(E326,EX:FJ,13,0)="B", VLOOKUP(E326,EX:FJ,13,0)="C")), "SOBREOFERTA",""
))))))),"")</f>
        <v/>
      </c>
      <c r="E326" s="12"/>
      <c r="F326" s="13"/>
      <c r="G326" s="14"/>
      <c r="H326" s="81" t="str">
        <f t="shared" si="101"/>
        <v/>
      </c>
      <c r="I326" s="7"/>
      <c r="J326" s="6" t="e">
        <f t="shared" si="102"/>
        <v>#N/A</v>
      </c>
      <c r="K326" s="6" t="str">
        <f>IF(A327&lt;&gt;A326,AVERAGEIF(A$9:A326,A326,J$9:J326),"")</f>
        <v/>
      </c>
      <c r="L326" s="7" t="str">
        <f>IFERROR(IF(A327&lt;&gt;A326,AVERAGEIF(A$9:A326,A326,S$9:S326),""),"")</f>
        <v/>
      </c>
      <c r="M326" s="7" t="str">
        <f>IFERROR(IF(A327&lt;&gt;A326,AVERAGEIF(A$9:A326,A326,T$9:T326),""),"")</f>
        <v/>
      </c>
      <c r="N326" s="7" t="str" cm="1">
        <f t="array" ref="N326">IFERROR(IF(A327&lt;&gt;A326,_xlfn.STDEV.P(IF(A$9:A326=A326,T$9:T326)),""),"")</f>
        <v/>
      </c>
      <c r="O326" s="7" t="str" cm="1">
        <f t="array" ref="O326">IFERROR(IF(A327&lt;&gt;A326,_xlfn.STDEV.P(IF(A$9:A326=A326,S$9:S326)),""),"")</f>
        <v/>
      </c>
      <c r="P326" s="8" t="str">
        <f t="shared" si="103"/>
        <v/>
      </c>
      <c r="Q326" s="8" t="str">
        <f t="shared" si="104"/>
        <v/>
      </c>
      <c r="R326" s="8" t="str">
        <f t="shared" si="105"/>
        <v/>
      </c>
      <c r="S326" s="9" t="str">
        <f t="shared" si="106"/>
        <v/>
      </c>
      <c r="T326" s="9" t="str">
        <f t="shared" si="107"/>
        <v/>
      </c>
      <c r="U326" s="14"/>
      <c r="V326" s="15"/>
      <c r="W326" s="14" t="str">
        <f t="shared" si="108"/>
        <v/>
      </c>
      <c r="X326" s="15"/>
      <c r="Y326" s="2"/>
      <c r="AB326" s="22">
        <f t="shared" si="109"/>
        <v>1</v>
      </c>
      <c r="AC326" s="11"/>
      <c r="AD326" s="11"/>
      <c r="AE326" s="13"/>
      <c r="AF326" s="12"/>
      <c r="AG326" s="13"/>
      <c r="AH326" s="14"/>
      <c r="AI326" s="81" t="str">
        <f t="shared" si="110"/>
        <v/>
      </c>
      <c r="AJ326" s="15"/>
      <c r="AK326" s="6" t="e">
        <f t="shared" si="111"/>
        <v>#N/A</v>
      </c>
      <c r="AL326" s="6" t="str">
        <f>IF(AB327&lt;&gt;AB326,AVERAGEIF(AB$9:AB326,AB326,AK$9:AK326),"")</f>
        <v/>
      </c>
      <c r="AM326" s="7" t="str">
        <f>IFERROR(IF(AB327&lt;&gt;AB326,AVERAGEIF(AB$9:AB326,AB326,AT$9:AT326),""),"")</f>
        <v/>
      </c>
      <c r="AN326" s="7" t="str">
        <f>IFERROR(IF(AB327&lt;&gt;AB326,AVERAGEIF(AB$9:AB326,AB326,AU$9:AU326),""),"")</f>
        <v/>
      </c>
      <c r="AO326" s="7" t="str" cm="1">
        <f t="array" ref="AO326">IFERROR(IF(AB327&lt;&gt;AB326,_xlfn.STDEV.P(IF(AB$9:AB326=AB326,AU$9:AU326)),""),"")</f>
        <v/>
      </c>
      <c r="AP326" s="7" t="str" cm="1">
        <f t="array" ref="AP326">IFERROR(IF(AB327&lt;&gt;AB326,_xlfn.STDEV.P(IF(AB$9:AB326=AB326,AT$9:AT326)),""),"")</f>
        <v/>
      </c>
      <c r="AQ326" s="8" t="str">
        <f t="shared" si="112"/>
        <v/>
      </c>
      <c r="AR326" s="8" t="str">
        <f t="shared" si="113"/>
        <v/>
      </c>
      <c r="AS326" s="8" t="str">
        <f t="shared" si="114"/>
        <v/>
      </c>
      <c r="AT326" s="9" t="str">
        <f t="shared" si="115"/>
        <v/>
      </c>
      <c r="AU326" s="9" t="str">
        <f t="shared" si="116"/>
        <v/>
      </c>
      <c r="AV326" s="14"/>
      <c r="AW326" s="15"/>
      <c r="AX326" s="14" t="str">
        <f t="shared" si="117"/>
        <v/>
      </c>
      <c r="AY326" s="15"/>
      <c r="AZ326" s="23"/>
      <c r="EW326" t="s">
        <v>46</v>
      </c>
      <c r="EX326" s="33">
        <v>1325</v>
      </c>
      <c r="EY326" s="33" t="s">
        <v>851</v>
      </c>
      <c r="EZ326" s="33" t="s">
        <v>852</v>
      </c>
      <c r="FA326" s="33" t="s">
        <v>343</v>
      </c>
      <c r="FB326" s="33" t="s">
        <v>344</v>
      </c>
      <c r="FC326" s="33" t="s">
        <v>345</v>
      </c>
      <c r="FD326" s="33" t="s">
        <v>346</v>
      </c>
      <c r="FE326" s="33">
        <v>2025</v>
      </c>
      <c r="FF326" s="33" t="s">
        <v>59</v>
      </c>
      <c r="FG326" s="33" t="s">
        <v>470</v>
      </c>
      <c r="FH326" s="33" t="s">
        <v>471</v>
      </c>
      <c r="FI326" s="33" t="s">
        <v>467</v>
      </c>
      <c r="FJ326" t="s">
        <v>59</v>
      </c>
      <c r="FM326" s="32" t="s">
        <v>846</v>
      </c>
      <c r="FN326" t="s">
        <v>847</v>
      </c>
      <c r="FO326" t="s">
        <v>848</v>
      </c>
      <c r="FP326" t="str">
        <f t="shared" si="118"/>
        <v>B</v>
      </c>
      <c r="GU326" s="53">
        <v>96</v>
      </c>
      <c r="GV326" s="53">
        <v>320</v>
      </c>
    </row>
    <row r="327" spans="1:204" ht="15.5" x14ac:dyDescent="0.35">
      <c r="A327" s="95">
        <f t="shared" si="100"/>
        <v>1</v>
      </c>
      <c r="B327" s="11"/>
      <c r="C327" s="11"/>
      <c r="D327" s="92" t="str">
        <f>IFERROR(
IF(AND(OR(Planilla!B327="C",Planilla!B327="c"), VLOOKUP(E327,EX:FJ,13,0)="C"), "OK",IF(AND(OR(Planilla!B327="C",Planilla!B327="c"), OR(VLOOKUP(E327,EX:FJ,13,0)="B", VLOOKUP(E327,EX:FJ,13,0)="A")), "DEFICIT",IF(
AND(OR(Planilla!B327="B", Planilla!B327="BPAL"), VLOOKUP(E327,EX:FJ,13,0)="B"), "OK",IF(AND(OR(Planilla!B327="B", Planilla!B327="BPAL"), VLOOKUP(E327,EX:FJ,13,0)="A"), "DEFICIT",IF(AND(OR(Planilla!B327="B", Planilla!B327="BPAL"), VLOOKUP(E327,EX:FJ,13,0)="C"), "SOBREOFERTA",IF(AND(Planilla!B327="A", VLOOKUP(E327,EX:FJ,13,0)="A"), "OK",IF(
AND(Planilla!B327="A", OR(VLOOKUP(E327,EX:FJ,13,0)="B", VLOOKUP(E327,EX:FJ,13,0)="C")), "SOBREOFERTA",""
))))))),"")</f>
        <v/>
      </c>
      <c r="E327" s="12"/>
      <c r="F327" s="13"/>
      <c r="G327" s="14"/>
      <c r="H327" s="81" t="str">
        <f t="shared" si="101"/>
        <v/>
      </c>
      <c r="I327" s="7"/>
      <c r="J327" s="6" t="e">
        <f t="shared" si="102"/>
        <v>#N/A</v>
      </c>
      <c r="K327" s="6" t="str">
        <f>IF(A328&lt;&gt;A327,AVERAGEIF(A$9:A327,A327,J$9:J327),"")</f>
        <v/>
      </c>
      <c r="L327" s="7" t="str">
        <f>IFERROR(IF(A328&lt;&gt;A327,AVERAGEIF(A$9:A327,A327,S$9:S327),""),"")</f>
        <v/>
      </c>
      <c r="M327" s="7" t="str">
        <f>IFERROR(IF(A328&lt;&gt;A327,AVERAGEIF(A$9:A327,A327,T$9:T327),""),"")</f>
        <v/>
      </c>
      <c r="N327" s="7" t="str" cm="1">
        <f t="array" ref="N327">IFERROR(IF(A328&lt;&gt;A327,_xlfn.STDEV.P(IF(A$9:A327=A327,T$9:T327)),""),"")</f>
        <v/>
      </c>
      <c r="O327" s="7" t="str" cm="1">
        <f t="array" ref="O327">IFERROR(IF(A328&lt;&gt;A327,_xlfn.STDEV.P(IF(A$9:A327=A327,S$9:S327)),""),"")</f>
        <v/>
      </c>
      <c r="P327" s="8" t="str">
        <f t="shared" si="103"/>
        <v/>
      </c>
      <c r="Q327" s="8" t="str">
        <f t="shared" si="104"/>
        <v/>
      </c>
      <c r="R327" s="8" t="str">
        <f t="shared" si="105"/>
        <v/>
      </c>
      <c r="S327" s="9" t="str">
        <f t="shared" si="106"/>
        <v/>
      </c>
      <c r="T327" s="9" t="str">
        <f t="shared" si="107"/>
        <v/>
      </c>
      <c r="U327" s="14"/>
      <c r="V327" s="15"/>
      <c r="W327" s="14" t="str">
        <f t="shared" si="108"/>
        <v/>
      </c>
      <c r="X327" s="15"/>
      <c r="Y327" s="2"/>
      <c r="AB327" s="22">
        <f t="shared" si="109"/>
        <v>1</v>
      </c>
      <c r="AC327" s="11"/>
      <c r="AD327" s="11"/>
      <c r="AE327" s="13"/>
      <c r="AF327" s="12"/>
      <c r="AG327" s="13"/>
      <c r="AH327" s="14"/>
      <c r="AI327" s="81" t="str">
        <f t="shared" si="110"/>
        <v/>
      </c>
      <c r="AJ327" s="15"/>
      <c r="AK327" s="6" t="e">
        <f t="shared" si="111"/>
        <v>#N/A</v>
      </c>
      <c r="AL327" s="6" t="str">
        <f>IF(AB328&lt;&gt;AB327,AVERAGEIF(AB$9:AB327,AB327,AK$9:AK327),"")</f>
        <v/>
      </c>
      <c r="AM327" s="7" t="str">
        <f>IFERROR(IF(AB328&lt;&gt;AB327,AVERAGEIF(AB$9:AB327,AB327,AT$9:AT327),""),"")</f>
        <v/>
      </c>
      <c r="AN327" s="7" t="str">
        <f>IFERROR(IF(AB328&lt;&gt;AB327,AVERAGEIF(AB$9:AB327,AB327,AU$9:AU327),""),"")</f>
        <v/>
      </c>
      <c r="AO327" s="7" t="str" cm="1">
        <f t="array" ref="AO327">IFERROR(IF(AB328&lt;&gt;AB327,_xlfn.STDEV.P(IF(AB$9:AB327=AB327,AU$9:AU327)),""),"")</f>
        <v/>
      </c>
      <c r="AP327" s="7" t="str" cm="1">
        <f t="array" ref="AP327">IFERROR(IF(AB328&lt;&gt;AB327,_xlfn.STDEV.P(IF(AB$9:AB327=AB327,AT$9:AT327)),""),"")</f>
        <v/>
      </c>
      <c r="AQ327" s="8" t="str">
        <f t="shared" si="112"/>
        <v/>
      </c>
      <c r="AR327" s="8" t="str">
        <f t="shared" si="113"/>
        <v/>
      </c>
      <c r="AS327" s="8" t="str">
        <f t="shared" si="114"/>
        <v/>
      </c>
      <c r="AT327" s="9" t="str">
        <f t="shared" si="115"/>
        <v/>
      </c>
      <c r="AU327" s="9" t="str">
        <f t="shared" si="116"/>
        <v/>
      </c>
      <c r="AV327" s="14"/>
      <c r="AW327" s="15"/>
      <c r="AX327" s="14" t="str">
        <f t="shared" si="117"/>
        <v/>
      </c>
      <c r="AY327" s="15"/>
      <c r="AZ327" s="23"/>
      <c r="EW327" t="s">
        <v>46</v>
      </c>
      <c r="EX327" s="33">
        <v>1326</v>
      </c>
      <c r="EY327" s="33" t="s">
        <v>853</v>
      </c>
      <c r="EZ327" s="33" t="s">
        <v>854</v>
      </c>
      <c r="FA327" s="33" t="s">
        <v>343</v>
      </c>
      <c r="FB327" s="33" t="s">
        <v>344</v>
      </c>
      <c r="FC327" s="33" t="s">
        <v>345</v>
      </c>
      <c r="FD327" s="33" t="s">
        <v>346</v>
      </c>
      <c r="FE327" s="33">
        <v>2025</v>
      </c>
      <c r="FF327" s="33" t="s">
        <v>59</v>
      </c>
      <c r="FG327" s="33" t="s">
        <v>477</v>
      </c>
      <c r="FH327" s="33" t="s">
        <v>478</v>
      </c>
      <c r="FI327" s="33" t="s">
        <v>479</v>
      </c>
      <c r="FJ327" t="s">
        <v>59</v>
      </c>
      <c r="FM327" s="32" t="s">
        <v>855</v>
      </c>
      <c r="FN327" t="s">
        <v>856</v>
      </c>
      <c r="FO327" t="s">
        <v>857</v>
      </c>
      <c r="FP327" t="str">
        <f t="shared" si="118"/>
        <v>B</v>
      </c>
      <c r="GU327" s="53">
        <v>97</v>
      </c>
      <c r="GV327" s="53">
        <v>321</v>
      </c>
    </row>
    <row r="328" spans="1:204" ht="15.5" x14ac:dyDescent="0.35">
      <c r="A328" s="95">
        <f t="shared" si="100"/>
        <v>1</v>
      </c>
      <c r="B328" s="11"/>
      <c r="C328" s="11"/>
      <c r="D328" s="92" t="str">
        <f>IFERROR(
IF(AND(OR(Planilla!B328="C",Planilla!B328="c"), VLOOKUP(E328,EX:FJ,13,0)="C"), "OK",IF(AND(OR(Planilla!B328="C",Planilla!B328="c"), OR(VLOOKUP(E328,EX:FJ,13,0)="B", VLOOKUP(E328,EX:FJ,13,0)="A")), "DEFICIT",IF(
AND(OR(Planilla!B328="B", Planilla!B328="BPAL"), VLOOKUP(E328,EX:FJ,13,0)="B"), "OK",IF(AND(OR(Planilla!B328="B", Planilla!B328="BPAL"), VLOOKUP(E328,EX:FJ,13,0)="A"), "DEFICIT",IF(AND(OR(Planilla!B328="B", Planilla!B328="BPAL"), VLOOKUP(E328,EX:FJ,13,0)="C"), "SOBREOFERTA",IF(AND(Planilla!B328="A", VLOOKUP(E328,EX:FJ,13,0)="A"), "OK",IF(
AND(Planilla!B328="A", OR(VLOOKUP(E328,EX:FJ,13,0)="B", VLOOKUP(E328,EX:FJ,13,0)="C")), "SOBREOFERTA",""
))))))),"")</f>
        <v/>
      </c>
      <c r="E328" s="12"/>
      <c r="F328" s="13"/>
      <c r="G328" s="14"/>
      <c r="H328" s="81" t="str">
        <f t="shared" si="101"/>
        <v/>
      </c>
      <c r="I328" s="7"/>
      <c r="J328" s="6" t="e">
        <f t="shared" si="102"/>
        <v>#N/A</v>
      </c>
      <c r="K328" s="6" t="str">
        <f>IF(A329&lt;&gt;A328,AVERAGEIF(A$9:A328,A328,J$9:J328),"")</f>
        <v/>
      </c>
      <c r="L328" s="7" t="str">
        <f>IFERROR(IF(A329&lt;&gt;A328,AVERAGEIF(A$9:A328,A328,S$9:S328),""),"")</f>
        <v/>
      </c>
      <c r="M328" s="7" t="str">
        <f>IFERROR(IF(A329&lt;&gt;A328,AVERAGEIF(A$9:A328,A328,T$9:T328),""),"")</f>
        <v/>
      </c>
      <c r="N328" s="7" t="str" cm="1">
        <f t="array" ref="N328">IFERROR(IF(A329&lt;&gt;A328,_xlfn.STDEV.P(IF(A$9:A328=A328,T$9:T328)),""),"")</f>
        <v/>
      </c>
      <c r="O328" s="7" t="str" cm="1">
        <f t="array" ref="O328">IFERROR(IF(A329&lt;&gt;A328,_xlfn.STDEV.P(IF(A$9:A328=A328,S$9:S328)),""),"")</f>
        <v/>
      </c>
      <c r="P328" s="8" t="str">
        <f t="shared" si="103"/>
        <v/>
      </c>
      <c r="Q328" s="8" t="str">
        <f t="shared" si="104"/>
        <v/>
      </c>
      <c r="R328" s="8" t="str">
        <f t="shared" si="105"/>
        <v/>
      </c>
      <c r="S328" s="9" t="str">
        <f t="shared" si="106"/>
        <v/>
      </c>
      <c r="T328" s="9" t="str">
        <f t="shared" si="107"/>
        <v/>
      </c>
      <c r="U328" s="14"/>
      <c r="V328" s="15"/>
      <c r="W328" s="14" t="str">
        <f t="shared" si="108"/>
        <v/>
      </c>
      <c r="X328" s="15"/>
      <c r="Y328" s="2"/>
      <c r="AB328" s="22">
        <f t="shared" si="109"/>
        <v>1</v>
      </c>
      <c r="AC328" s="11"/>
      <c r="AD328" s="11"/>
      <c r="AE328" s="13"/>
      <c r="AF328" s="12"/>
      <c r="AG328" s="13"/>
      <c r="AH328" s="14"/>
      <c r="AI328" s="81" t="str">
        <f t="shared" si="110"/>
        <v/>
      </c>
      <c r="AJ328" s="15"/>
      <c r="AK328" s="6" t="e">
        <f t="shared" si="111"/>
        <v>#N/A</v>
      </c>
      <c r="AL328" s="6" t="str">
        <f>IF(AB329&lt;&gt;AB328,AVERAGEIF(AB$9:AB328,AB328,AK$9:AK328),"")</f>
        <v/>
      </c>
      <c r="AM328" s="7" t="str">
        <f>IFERROR(IF(AB329&lt;&gt;AB328,AVERAGEIF(AB$9:AB328,AB328,AT$9:AT328),""),"")</f>
        <v/>
      </c>
      <c r="AN328" s="7" t="str">
        <f>IFERROR(IF(AB329&lt;&gt;AB328,AVERAGEIF(AB$9:AB328,AB328,AU$9:AU328),""),"")</f>
        <v/>
      </c>
      <c r="AO328" s="7" t="str" cm="1">
        <f t="array" ref="AO328">IFERROR(IF(AB329&lt;&gt;AB328,_xlfn.STDEV.P(IF(AB$9:AB328=AB328,AU$9:AU328)),""),"")</f>
        <v/>
      </c>
      <c r="AP328" s="7" t="str" cm="1">
        <f t="array" ref="AP328">IFERROR(IF(AB329&lt;&gt;AB328,_xlfn.STDEV.P(IF(AB$9:AB328=AB328,AT$9:AT328)),""),"")</f>
        <v/>
      </c>
      <c r="AQ328" s="8" t="str">
        <f t="shared" si="112"/>
        <v/>
      </c>
      <c r="AR328" s="8" t="str">
        <f t="shared" si="113"/>
        <v/>
      </c>
      <c r="AS328" s="8" t="str">
        <f t="shared" si="114"/>
        <v/>
      </c>
      <c r="AT328" s="9" t="str">
        <f t="shared" si="115"/>
        <v/>
      </c>
      <c r="AU328" s="9" t="str">
        <f t="shared" si="116"/>
        <v/>
      </c>
      <c r="AV328" s="14"/>
      <c r="AW328" s="15"/>
      <c r="AX328" s="14" t="str">
        <f t="shared" si="117"/>
        <v/>
      </c>
      <c r="AY328" s="15"/>
      <c r="AZ328" s="23"/>
      <c r="EW328" t="s">
        <v>46</v>
      </c>
      <c r="EX328" s="33">
        <v>1327</v>
      </c>
      <c r="EY328" s="33" t="s">
        <v>858</v>
      </c>
      <c r="EZ328" s="33" t="s">
        <v>859</v>
      </c>
      <c r="FA328" s="33" t="s">
        <v>343</v>
      </c>
      <c r="FB328" s="33" t="s">
        <v>344</v>
      </c>
      <c r="FC328" s="33" t="s">
        <v>345</v>
      </c>
      <c r="FD328" s="33" t="s">
        <v>346</v>
      </c>
      <c r="FE328" s="33">
        <v>2025</v>
      </c>
      <c r="FF328" s="33" t="s">
        <v>59</v>
      </c>
      <c r="FG328" s="33" t="s">
        <v>477</v>
      </c>
      <c r="FH328" s="33" t="s">
        <v>478</v>
      </c>
      <c r="FI328" s="33" t="s">
        <v>479</v>
      </c>
      <c r="FJ328" t="s">
        <v>59</v>
      </c>
      <c r="FM328" s="32" t="s">
        <v>855</v>
      </c>
      <c r="FN328" t="s">
        <v>856</v>
      </c>
      <c r="FO328" t="s">
        <v>857</v>
      </c>
      <c r="FP328" t="str">
        <f t="shared" si="118"/>
        <v>B</v>
      </c>
      <c r="GU328" s="53">
        <v>98</v>
      </c>
      <c r="GV328" s="53">
        <v>322</v>
      </c>
    </row>
    <row r="329" spans="1:204" ht="15.5" x14ac:dyDescent="0.35">
      <c r="A329" s="95">
        <f t="shared" si="100"/>
        <v>1</v>
      </c>
      <c r="B329" s="11"/>
      <c r="C329" s="11"/>
      <c r="D329" s="92" t="str">
        <f>IFERROR(
IF(AND(OR(Planilla!B329="C",Planilla!B329="c"), VLOOKUP(E329,EX:FJ,13,0)="C"), "OK",IF(AND(OR(Planilla!B329="C",Planilla!B329="c"), OR(VLOOKUP(E329,EX:FJ,13,0)="B", VLOOKUP(E329,EX:FJ,13,0)="A")), "DEFICIT",IF(
AND(OR(Planilla!B329="B", Planilla!B329="BPAL"), VLOOKUP(E329,EX:FJ,13,0)="B"), "OK",IF(AND(OR(Planilla!B329="B", Planilla!B329="BPAL"), VLOOKUP(E329,EX:FJ,13,0)="A"), "DEFICIT",IF(AND(OR(Planilla!B329="B", Planilla!B329="BPAL"), VLOOKUP(E329,EX:FJ,13,0)="C"), "SOBREOFERTA",IF(AND(Planilla!B329="A", VLOOKUP(E329,EX:FJ,13,0)="A"), "OK",IF(
AND(Planilla!B329="A", OR(VLOOKUP(E329,EX:FJ,13,0)="B", VLOOKUP(E329,EX:FJ,13,0)="C")), "SOBREOFERTA",""
))))))),"")</f>
        <v/>
      </c>
      <c r="E329" s="12"/>
      <c r="F329" s="13"/>
      <c r="G329" s="14"/>
      <c r="H329" s="81" t="str">
        <f t="shared" si="101"/>
        <v/>
      </c>
      <c r="I329" s="7"/>
      <c r="J329" s="6" t="e">
        <f t="shared" si="102"/>
        <v>#N/A</v>
      </c>
      <c r="K329" s="6" t="str">
        <f>IF(A330&lt;&gt;A329,AVERAGEIF(A$9:A329,A329,J$9:J329),"")</f>
        <v/>
      </c>
      <c r="L329" s="7" t="str">
        <f>IFERROR(IF(A330&lt;&gt;A329,AVERAGEIF(A$9:A329,A329,S$9:S329),""),"")</f>
        <v/>
      </c>
      <c r="M329" s="7" t="str">
        <f>IFERROR(IF(A330&lt;&gt;A329,AVERAGEIF(A$9:A329,A329,T$9:T329),""),"")</f>
        <v/>
      </c>
      <c r="N329" s="7" t="str" cm="1">
        <f t="array" ref="N329">IFERROR(IF(A330&lt;&gt;A329,_xlfn.STDEV.P(IF(A$9:A329=A329,T$9:T329)),""),"")</f>
        <v/>
      </c>
      <c r="O329" s="7" t="str" cm="1">
        <f t="array" ref="O329">IFERROR(IF(A330&lt;&gt;A329,_xlfn.STDEV.P(IF(A$9:A329=A329,S$9:S329)),""),"")</f>
        <v/>
      </c>
      <c r="P329" s="8" t="str">
        <f t="shared" si="103"/>
        <v/>
      </c>
      <c r="Q329" s="8" t="str">
        <f t="shared" si="104"/>
        <v/>
      </c>
      <c r="R329" s="8" t="str">
        <f t="shared" si="105"/>
        <v/>
      </c>
      <c r="S329" s="9" t="str">
        <f t="shared" si="106"/>
        <v/>
      </c>
      <c r="T329" s="9" t="str">
        <f t="shared" si="107"/>
        <v/>
      </c>
      <c r="U329" s="14"/>
      <c r="V329" s="15"/>
      <c r="W329" s="14" t="str">
        <f t="shared" si="108"/>
        <v/>
      </c>
      <c r="X329" s="15"/>
      <c r="Y329" s="2"/>
      <c r="AB329" s="22">
        <f t="shared" si="109"/>
        <v>1</v>
      </c>
      <c r="AC329" s="11"/>
      <c r="AD329" s="11"/>
      <c r="AE329" s="13"/>
      <c r="AF329" s="12"/>
      <c r="AG329" s="13"/>
      <c r="AH329" s="14"/>
      <c r="AI329" s="81" t="str">
        <f t="shared" si="110"/>
        <v/>
      </c>
      <c r="AJ329" s="15"/>
      <c r="AK329" s="6" t="e">
        <f t="shared" si="111"/>
        <v>#N/A</v>
      </c>
      <c r="AL329" s="6" t="str">
        <f>IF(AB330&lt;&gt;AB329,AVERAGEIF(AB$9:AB329,AB329,AK$9:AK329),"")</f>
        <v/>
      </c>
      <c r="AM329" s="7" t="str">
        <f>IFERROR(IF(AB330&lt;&gt;AB329,AVERAGEIF(AB$9:AB329,AB329,AT$9:AT329),""),"")</f>
        <v/>
      </c>
      <c r="AN329" s="7" t="str">
        <f>IFERROR(IF(AB330&lt;&gt;AB329,AVERAGEIF(AB$9:AB329,AB329,AU$9:AU329),""),"")</f>
        <v/>
      </c>
      <c r="AO329" s="7" t="str" cm="1">
        <f t="array" ref="AO329">IFERROR(IF(AB330&lt;&gt;AB329,_xlfn.STDEV.P(IF(AB$9:AB329=AB329,AU$9:AU329)),""),"")</f>
        <v/>
      </c>
      <c r="AP329" s="7" t="str" cm="1">
        <f t="array" ref="AP329">IFERROR(IF(AB330&lt;&gt;AB329,_xlfn.STDEV.P(IF(AB$9:AB329=AB329,AT$9:AT329)),""),"")</f>
        <v/>
      </c>
      <c r="AQ329" s="8" t="str">
        <f t="shared" si="112"/>
        <v/>
      </c>
      <c r="AR329" s="8" t="str">
        <f t="shared" si="113"/>
        <v/>
      </c>
      <c r="AS329" s="8" t="str">
        <f t="shared" si="114"/>
        <v/>
      </c>
      <c r="AT329" s="9" t="str">
        <f t="shared" si="115"/>
        <v/>
      </c>
      <c r="AU329" s="9" t="str">
        <f t="shared" si="116"/>
        <v/>
      </c>
      <c r="AV329" s="14"/>
      <c r="AW329" s="15"/>
      <c r="AX329" s="14" t="str">
        <f t="shared" si="117"/>
        <v/>
      </c>
      <c r="AY329" s="15"/>
      <c r="AZ329" s="23"/>
      <c r="EW329" t="s">
        <v>46</v>
      </c>
      <c r="EX329" s="33">
        <v>1328</v>
      </c>
      <c r="EY329" s="33" t="s">
        <v>860</v>
      </c>
      <c r="EZ329" s="33" t="s">
        <v>861</v>
      </c>
      <c r="FA329" s="33" t="s">
        <v>343</v>
      </c>
      <c r="FB329" s="33" t="s">
        <v>344</v>
      </c>
      <c r="FC329" s="33" t="s">
        <v>345</v>
      </c>
      <c r="FD329" s="33" t="s">
        <v>346</v>
      </c>
      <c r="FE329" s="33">
        <v>2025</v>
      </c>
      <c r="FF329" s="33" t="s">
        <v>59</v>
      </c>
      <c r="FG329" s="33" t="s">
        <v>477</v>
      </c>
      <c r="FH329" s="33" t="s">
        <v>478</v>
      </c>
      <c r="FI329" s="33" t="s">
        <v>479</v>
      </c>
      <c r="FJ329" t="s">
        <v>59</v>
      </c>
      <c r="FM329" s="32" t="s">
        <v>855</v>
      </c>
      <c r="FN329" t="s">
        <v>856</v>
      </c>
      <c r="FO329" t="s">
        <v>857</v>
      </c>
      <c r="FP329" t="str">
        <f t="shared" si="118"/>
        <v>B</v>
      </c>
      <c r="GU329" s="53">
        <v>99</v>
      </c>
      <c r="GV329" s="53">
        <v>323</v>
      </c>
    </row>
    <row r="330" spans="1:204" ht="15.5" x14ac:dyDescent="0.35">
      <c r="A330" s="95">
        <f t="shared" si="100"/>
        <v>1</v>
      </c>
      <c r="B330" s="11"/>
      <c r="C330" s="11"/>
      <c r="D330" s="92" t="str">
        <f>IFERROR(
IF(AND(OR(Planilla!B330="C",Planilla!B330="c"), VLOOKUP(E330,EX:FJ,13,0)="C"), "OK",IF(AND(OR(Planilla!B330="C",Planilla!B330="c"), OR(VLOOKUP(E330,EX:FJ,13,0)="B", VLOOKUP(E330,EX:FJ,13,0)="A")), "DEFICIT",IF(
AND(OR(Planilla!B330="B", Planilla!B330="BPAL"), VLOOKUP(E330,EX:FJ,13,0)="B"), "OK",IF(AND(OR(Planilla!B330="B", Planilla!B330="BPAL"), VLOOKUP(E330,EX:FJ,13,0)="A"), "DEFICIT",IF(AND(OR(Planilla!B330="B", Planilla!B330="BPAL"), VLOOKUP(E330,EX:FJ,13,0)="C"), "SOBREOFERTA",IF(AND(Planilla!B330="A", VLOOKUP(E330,EX:FJ,13,0)="A"), "OK",IF(
AND(Planilla!B330="A", OR(VLOOKUP(E330,EX:FJ,13,0)="B", VLOOKUP(E330,EX:FJ,13,0)="C")), "SOBREOFERTA",""
))))))),"")</f>
        <v/>
      </c>
      <c r="E330" s="12"/>
      <c r="F330" s="13"/>
      <c r="G330" s="14"/>
      <c r="H330" s="81" t="str">
        <f t="shared" si="101"/>
        <v/>
      </c>
      <c r="I330" s="7"/>
      <c r="J330" s="6" t="e">
        <f t="shared" si="102"/>
        <v>#N/A</v>
      </c>
      <c r="K330" s="6" t="str">
        <f>IF(A331&lt;&gt;A330,AVERAGEIF(A$9:A330,A330,J$9:J330),"")</f>
        <v/>
      </c>
      <c r="L330" s="7" t="str">
        <f>IFERROR(IF(A331&lt;&gt;A330,AVERAGEIF(A$9:A330,A330,S$9:S330),""),"")</f>
        <v/>
      </c>
      <c r="M330" s="7" t="str">
        <f>IFERROR(IF(A331&lt;&gt;A330,AVERAGEIF(A$9:A330,A330,T$9:T330),""),"")</f>
        <v/>
      </c>
      <c r="N330" s="7" t="str" cm="1">
        <f t="array" ref="N330">IFERROR(IF(A331&lt;&gt;A330,_xlfn.STDEV.P(IF(A$9:A330=A330,T$9:T330)),""),"")</f>
        <v/>
      </c>
      <c r="O330" s="7" t="str" cm="1">
        <f t="array" ref="O330">IFERROR(IF(A331&lt;&gt;A330,_xlfn.STDEV.P(IF(A$9:A330=A330,S$9:S330)),""),"")</f>
        <v/>
      </c>
      <c r="P330" s="8" t="str">
        <f t="shared" si="103"/>
        <v/>
      </c>
      <c r="Q330" s="8" t="str">
        <f t="shared" si="104"/>
        <v/>
      </c>
      <c r="R330" s="8" t="str">
        <f t="shared" si="105"/>
        <v/>
      </c>
      <c r="S330" s="9" t="str">
        <f t="shared" si="106"/>
        <v/>
      </c>
      <c r="T330" s="9" t="str">
        <f t="shared" si="107"/>
        <v/>
      </c>
      <c r="U330" s="14"/>
      <c r="V330" s="15"/>
      <c r="W330" s="14" t="str">
        <f t="shared" si="108"/>
        <v/>
      </c>
      <c r="X330" s="15"/>
      <c r="Y330" s="2"/>
      <c r="AB330" s="22">
        <f t="shared" si="109"/>
        <v>1</v>
      </c>
      <c r="AC330" s="11"/>
      <c r="AD330" s="11"/>
      <c r="AE330" s="13"/>
      <c r="AF330" s="12"/>
      <c r="AG330" s="13"/>
      <c r="AH330" s="14"/>
      <c r="AI330" s="81" t="str">
        <f t="shared" si="110"/>
        <v/>
      </c>
      <c r="AJ330" s="15"/>
      <c r="AK330" s="6" t="e">
        <f t="shared" si="111"/>
        <v>#N/A</v>
      </c>
      <c r="AL330" s="6" t="str">
        <f>IF(AB331&lt;&gt;AB330,AVERAGEIF(AB$9:AB330,AB330,AK$9:AK330),"")</f>
        <v/>
      </c>
      <c r="AM330" s="7" t="str">
        <f>IFERROR(IF(AB331&lt;&gt;AB330,AVERAGEIF(AB$9:AB330,AB330,AT$9:AT330),""),"")</f>
        <v/>
      </c>
      <c r="AN330" s="7" t="str">
        <f>IFERROR(IF(AB331&lt;&gt;AB330,AVERAGEIF(AB$9:AB330,AB330,AU$9:AU330),""),"")</f>
        <v/>
      </c>
      <c r="AO330" s="7" t="str" cm="1">
        <f t="array" ref="AO330">IFERROR(IF(AB331&lt;&gt;AB330,_xlfn.STDEV.P(IF(AB$9:AB330=AB330,AU$9:AU330)),""),"")</f>
        <v/>
      </c>
      <c r="AP330" s="7" t="str" cm="1">
        <f t="array" ref="AP330">IFERROR(IF(AB331&lt;&gt;AB330,_xlfn.STDEV.P(IF(AB$9:AB330=AB330,AT$9:AT330)),""),"")</f>
        <v/>
      </c>
      <c r="AQ330" s="8" t="str">
        <f t="shared" si="112"/>
        <v/>
      </c>
      <c r="AR330" s="8" t="str">
        <f t="shared" si="113"/>
        <v/>
      </c>
      <c r="AS330" s="8" t="str">
        <f t="shared" si="114"/>
        <v/>
      </c>
      <c r="AT330" s="9" t="str">
        <f t="shared" si="115"/>
        <v/>
      </c>
      <c r="AU330" s="9" t="str">
        <f t="shared" si="116"/>
        <v/>
      </c>
      <c r="AV330" s="14"/>
      <c r="AW330" s="15"/>
      <c r="AX330" s="14" t="str">
        <f t="shared" si="117"/>
        <v/>
      </c>
      <c r="AY330" s="15"/>
      <c r="AZ330" s="23"/>
      <c r="EW330" t="s">
        <v>46</v>
      </c>
      <c r="EX330" s="33">
        <v>1329</v>
      </c>
      <c r="EY330" s="33" t="s">
        <v>862</v>
      </c>
      <c r="EZ330" s="33" t="s">
        <v>863</v>
      </c>
      <c r="FA330" s="33" t="s">
        <v>343</v>
      </c>
      <c r="FB330" s="33" t="s">
        <v>344</v>
      </c>
      <c r="FC330" s="33" t="s">
        <v>345</v>
      </c>
      <c r="FD330" s="33" t="s">
        <v>346</v>
      </c>
      <c r="FE330" s="33">
        <v>2025</v>
      </c>
      <c r="FF330" s="33" t="s">
        <v>59</v>
      </c>
      <c r="FG330" s="33" t="s">
        <v>477</v>
      </c>
      <c r="FH330" s="33" t="s">
        <v>478</v>
      </c>
      <c r="FI330" s="33" t="s">
        <v>479</v>
      </c>
      <c r="FJ330" t="s">
        <v>59</v>
      </c>
      <c r="FM330" s="32" t="s">
        <v>855</v>
      </c>
      <c r="FN330" t="s">
        <v>856</v>
      </c>
      <c r="FO330" t="s">
        <v>857</v>
      </c>
      <c r="FP330" t="str">
        <f t="shared" si="118"/>
        <v>B</v>
      </c>
      <c r="GU330" s="53">
        <v>100</v>
      </c>
      <c r="GV330" s="53">
        <v>324</v>
      </c>
    </row>
    <row r="331" spans="1:204" ht="15.5" x14ac:dyDescent="0.35">
      <c r="A331" s="95">
        <f t="shared" si="100"/>
        <v>1</v>
      </c>
      <c r="B331" s="11"/>
      <c r="C331" s="11"/>
      <c r="D331" s="92" t="str">
        <f>IFERROR(
IF(AND(OR(Planilla!B331="C",Planilla!B331="c"), VLOOKUP(E331,EX:FJ,13,0)="C"), "OK",IF(AND(OR(Planilla!B331="C",Planilla!B331="c"), OR(VLOOKUP(E331,EX:FJ,13,0)="B", VLOOKUP(E331,EX:FJ,13,0)="A")), "DEFICIT",IF(
AND(OR(Planilla!B331="B", Planilla!B331="BPAL"), VLOOKUP(E331,EX:FJ,13,0)="B"), "OK",IF(AND(OR(Planilla!B331="B", Planilla!B331="BPAL"), VLOOKUP(E331,EX:FJ,13,0)="A"), "DEFICIT",IF(AND(OR(Planilla!B331="B", Planilla!B331="BPAL"), VLOOKUP(E331,EX:FJ,13,0)="C"), "SOBREOFERTA",IF(AND(Planilla!B331="A", VLOOKUP(E331,EX:FJ,13,0)="A"), "OK",IF(
AND(Planilla!B331="A", OR(VLOOKUP(E331,EX:FJ,13,0)="B", VLOOKUP(E331,EX:FJ,13,0)="C")), "SOBREOFERTA",""
))))))),"")</f>
        <v/>
      </c>
      <c r="E331" s="12"/>
      <c r="F331" s="13"/>
      <c r="G331" s="14"/>
      <c r="H331" s="81" t="str">
        <f t="shared" si="101"/>
        <v/>
      </c>
      <c r="I331" s="7"/>
      <c r="J331" s="6" t="e">
        <f t="shared" si="102"/>
        <v>#N/A</v>
      </c>
      <c r="K331" s="6" t="str">
        <f>IF(A332&lt;&gt;A331,AVERAGEIF(A$9:A331,A331,J$9:J331),"")</f>
        <v/>
      </c>
      <c r="L331" s="7" t="str">
        <f>IFERROR(IF(A332&lt;&gt;A331,AVERAGEIF(A$9:A331,A331,S$9:S331),""),"")</f>
        <v/>
      </c>
      <c r="M331" s="7" t="str">
        <f>IFERROR(IF(A332&lt;&gt;A331,AVERAGEIF(A$9:A331,A331,T$9:T331),""),"")</f>
        <v/>
      </c>
      <c r="N331" s="7" t="str" cm="1">
        <f t="array" ref="N331">IFERROR(IF(A332&lt;&gt;A331,_xlfn.STDEV.P(IF(A$9:A331=A331,T$9:T331)),""),"")</f>
        <v/>
      </c>
      <c r="O331" s="7" t="str" cm="1">
        <f t="array" ref="O331">IFERROR(IF(A332&lt;&gt;A331,_xlfn.STDEV.P(IF(A$9:A331=A331,S$9:S331)),""),"")</f>
        <v/>
      </c>
      <c r="P331" s="8" t="str">
        <f t="shared" si="103"/>
        <v/>
      </c>
      <c r="Q331" s="8" t="str">
        <f t="shared" si="104"/>
        <v/>
      </c>
      <c r="R331" s="8" t="str">
        <f t="shared" si="105"/>
        <v/>
      </c>
      <c r="S331" s="9" t="str">
        <f t="shared" si="106"/>
        <v/>
      </c>
      <c r="T331" s="9" t="str">
        <f t="shared" si="107"/>
        <v/>
      </c>
      <c r="U331" s="14"/>
      <c r="V331" s="15"/>
      <c r="W331" s="14" t="str">
        <f t="shared" si="108"/>
        <v/>
      </c>
      <c r="X331" s="15"/>
      <c r="Y331" s="2"/>
      <c r="AB331" s="22">
        <f t="shared" si="109"/>
        <v>1</v>
      </c>
      <c r="AC331" s="11"/>
      <c r="AD331" s="11"/>
      <c r="AE331" s="13"/>
      <c r="AF331" s="12"/>
      <c r="AG331" s="13"/>
      <c r="AH331" s="14"/>
      <c r="AI331" s="81" t="str">
        <f t="shared" si="110"/>
        <v/>
      </c>
      <c r="AJ331" s="15"/>
      <c r="AK331" s="6" t="e">
        <f t="shared" si="111"/>
        <v>#N/A</v>
      </c>
      <c r="AL331" s="6" t="str">
        <f>IF(AB332&lt;&gt;AB331,AVERAGEIF(AB$9:AB331,AB331,AK$9:AK331),"")</f>
        <v/>
      </c>
      <c r="AM331" s="7" t="str">
        <f>IFERROR(IF(AB332&lt;&gt;AB331,AVERAGEIF(AB$9:AB331,AB331,AT$9:AT331),""),"")</f>
        <v/>
      </c>
      <c r="AN331" s="7" t="str">
        <f>IFERROR(IF(AB332&lt;&gt;AB331,AVERAGEIF(AB$9:AB331,AB331,AU$9:AU331),""),"")</f>
        <v/>
      </c>
      <c r="AO331" s="7" t="str" cm="1">
        <f t="array" ref="AO331">IFERROR(IF(AB332&lt;&gt;AB331,_xlfn.STDEV.P(IF(AB$9:AB331=AB331,AU$9:AU331)),""),"")</f>
        <v/>
      </c>
      <c r="AP331" s="7" t="str" cm="1">
        <f t="array" ref="AP331">IFERROR(IF(AB332&lt;&gt;AB331,_xlfn.STDEV.P(IF(AB$9:AB331=AB331,AT$9:AT331)),""),"")</f>
        <v/>
      </c>
      <c r="AQ331" s="8" t="str">
        <f t="shared" si="112"/>
        <v/>
      </c>
      <c r="AR331" s="8" t="str">
        <f t="shared" si="113"/>
        <v/>
      </c>
      <c r="AS331" s="8" t="str">
        <f t="shared" si="114"/>
        <v/>
      </c>
      <c r="AT331" s="9" t="str">
        <f t="shared" si="115"/>
        <v/>
      </c>
      <c r="AU331" s="9" t="str">
        <f t="shared" si="116"/>
        <v/>
      </c>
      <c r="AV331" s="14"/>
      <c r="AW331" s="15"/>
      <c r="AX331" s="14" t="str">
        <f t="shared" si="117"/>
        <v/>
      </c>
      <c r="AY331" s="15"/>
      <c r="AZ331" s="23"/>
      <c r="EW331" t="s">
        <v>46</v>
      </c>
      <c r="EX331" s="33">
        <v>1330</v>
      </c>
      <c r="EY331" s="33" t="s">
        <v>864</v>
      </c>
      <c r="EZ331" s="33" t="s">
        <v>865</v>
      </c>
      <c r="FA331" s="33" t="s">
        <v>343</v>
      </c>
      <c r="FB331" s="33" t="s">
        <v>344</v>
      </c>
      <c r="FC331" s="33" t="s">
        <v>345</v>
      </c>
      <c r="FD331" s="33" t="s">
        <v>346</v>
      </c>
      <c r="FE331" s="33">
        <v>2025</v>
      </c>
      <c r="FF331" s="33" t="s">
        <v>59</v>
      </c>
      <c r="FG331" s="33" t="s">
        <v>477</v>
      </c>
      <c r="FH331" s="33" t="s">
        <v>478</v>
      </c>
      <c r="FI331" s="33" t="s">
        <v>479</v>
      </c>
      <c r="FJ331" t="s">
        <v>59</v>
      </c>
      <c r="FM331" s="32" t="s">
        <v>855</v>
      </c>
      <c r="FN331" t="s">
        <v>856</v>
      </c>
      <c r="FO331" t="s">
        <v>857</v>
      </c>
      <c r="FP331" t="str">
        <f t="shared" si="118"/>
        <v>B</v>
      </c>
      <c r="GU331" s="53">
        <v>101</v>
      </c>
      <c r="GV331" s="53">
        <v>325</v>
      </c>
    </row>
    <row r="332" spans="1:204" ht="15.5" x14ac:dyDescent="0.35">
      <c r="A332" s="95">
        <f t="shared" si="100"/>
        <v>1</v>
      </c>
      <c r="B332" s="11"/>
      <c r="C332" s="11"/>
      <c r="D332" s="92" t="str">
        <f>IFERROR(
IF(AND(OR(Planilla!B332="C",Planilla!B332="c"), VLOOKUP(E332,EX:FJ,13,0)="C"), "OK",IF(AND(OR(Planilla!B332="C",Planilla!B332="c"), OR(VLOOKUP(E332,EX:FJ,13,0)="B", VLOOKUP(E332,EX:FJ,13,0)="A")), "DEFICIT",IF(
AND(OR(Planilla!B332="B", Planilla!B332="BPAL"), VLOOKUP(E332,EX:FJ,13,0)="B"), "OK",IF(AND(OR(Planilla!B332="B", Planilla!B332="BPAL"), VLOOKUP(E332,EX:FJ,13,0)="A"), "DEFICIT",IF(AND(OR(Planilla!B332="B", Planilla!B332="BPAL"), VLOOKUP(E332,EX:FJ,13,0)="C"), "SOBREOFERTA",IF(AND(Planilla!B332="A", VLOOKUP(E332,EX:FJ,13,0)="A"), "OK",IF(
AND(Planilla!B332="A", OR(VLOOKUP(E332,EX:FJ,13,0)="B", VLOOKUP(E332,EX:FJ,13,0)="C")), "SOBREOFERTA",""
))))))),"")</f>
        <v/>
      </c>
      <c r="E332" s="12"/>
      <c r="F332" s="13"/>
      <c r="G332" s="14"/>
      <c r="H332" s="81" t="str">
        <f t="shared" si="101"/>
        <v/>
      </c>
      <c r="I332" s="7"/>
      <c r="J332" s="6" t="e">
        <f t="shared" si="102"/>
        <v>#N/A</v>
      </c>
      <c r="K332" s="6" t="str">
        <f>IF(A333&lt;&gt;A332,AVERAGEIF(A$9:A332,A332,J$9:J332),"")</f>
        <v/>
      </c>
      <c r="L332" s="7" t="str">
        <f>IFERROR(IF(A333&lt;&gt;A332,AVERAGEIF(A$9:A332,A332,S$9:S332),""),"")</f>
        <v/>
      </c>
      <c r="M332" s="7" t="str">
        <f>IFERROR(IF(A333&lt;&gt;A332,AVERAGEIF(A$9:A332,A332,T$9:T332),""),"")</f>
        <v/>
      </c>
      <c r="N332" s="7" t="str" cm="1">
        <f t="array" ref="N332">IFERROR(IF(A333&lt;&gt;A332,_xlfn.STDEV.P(IF(A$9:A332=A332,T$9:T332)),""),"")</f>
        <v/>
      </c>
      <c r="O332" s="7" t="str" cm="1">
        <f t="array" ref="O332">IFERROR(IF(A333&lt;&gt;A332,_xlfn.STDEV.P(IF(A$9:A332=A332,S$9:S332)),""),"")</f>
        <v/>
      </c>
      <c r="P332" s="8" t="str">
        <f t="shared" si="103"/>
        <v/>
      </c>
      <c r="Q332" s="8" t="str">
        <f t="shared" si="104"/>
        <v/>
      </c>
      <c r="R332" s="8" t="str">
        <f t="shared" si="105"/>
        <v/>
      </c>
      <c r="S332" s="9" t="str">
        <f t="shared" si="106"/>
        <v/>
      </c>
      <c r="T332" s="9" t="str">
        <f t="shared" si="107"/>
        <v/>
      </c>
      <c r="U332" s="14"/>
      <c r="V332" s="15"/>
      <c r="W332" s="14" t="str">
        <f t="shared" si="108"/>
        <v/>
      </c>
      <c r="X332" s="15"/>
      <c r="Y332" s="2"/>
      <c r="AB332" s="22">
        <f t="shared" si="109"/>
        <v>1</v>
      </c>
      <c r="AC332" s="11"/>
      <c r="AD332" s="11"/>
      <c r="AE332" s="13"/>
      <c r="AF332" s="12"/>
      <c r="AG332" s="13"/>
      <c r="AH332" s="14"/>
      <c r="AI332" s="81" t="str">
        <f t="shared" si="110"/>
        <v/>
      </c>
      <c r="AJ332" s="15"/>
      <c r="AK332" s="6" t="e">
        <f t="shared" si="111"/>
        <v>#N/A</v>
      </c>
      <c r="AL332" s="6" t="str">
        <f>IF(AB333&lt;&gt;AB332,AVERAGEIF(AB$9:AB332,AB332,AK$9:AK332),"")</f>
        <v/>
      </c>
      <c r="AM332" s="7" t="str">
        <f>IFERROR(IF(AB333&lt;&gt;AB332,AVERAGEIF(AB$9:AB332,AB332,AT$9:AT332),""),"")</f>
        <v/>
      </c>
      <c r="AN332" s="7" t="str">
        <f>IFERROR(IF(AB333&lt;&gt;AB332,AVERAGEIF(AB$9:AB332,AB332,AU$9:AU332),""),"")</f>
        <v/>
      </c>
      <c r="AO332" s="7" t="str" cm="1">
        <f t="array" ref="AO332">IFERROR(IF(AB333&lt;&gt;AB332,_xlfn.STDEV.P(IF(AB$9:AB332=AB332,AU$9:AU332)),""),"")</f>
        <v/>
      </c>
      <c r="AP332" s="7" t="str" cm="1">
        <f t="array" ref="AP332">IFERROR(IF(AB333&lt;&gt;AB332,_xlfn.STDEV.P(IF(AB$9:AB332=AB332,AT$9:AT332)),""),"")</f>
        <v/>
      </c>
      <c r="AQ332" s="8" t="str">
        <f t="shared" si="112"/>
        <v/>
      </c>
      <c r="AR332" s="8" t="str">
        <f t="shared" si="113"/>
        <v/>
      </c>
      <c r="AS332" s="8" t="str">
        <f t="shared" si="114"/>
        <v/>
      </c>
      <c r="AT332" s="9" t="str">
        <f t="shared" si="115"/>
        <v/>
      </c>
      <c r="AU332" s="9" t="str">
        <f t="shared" si="116"/>
        <v/>
      </c>
      <c r="AV332" s="14"/>
      <c r="AW332" s="15"/>
      <c r="AX332" s="14" t="str">
        <f t="shared" si="117"/>
        <v/>
      </c>
      <c r="AY332" s="15"/>
      <c r="AZ332" s="23"/>
      <c r="EW332" t="s">
        <v>46</v>
      </c>
      <c r="EX332" s="33">
        <v>1331</v>
      </c>
      <c r="EY332" s="33" t="s">
        <v>866</v>
      </c>
      <c r="EZ332" s="33" t="s">
        <v>867</v>
      </c>
      <c r="FA332" s="33" t="s">
        <v>343</v>
      </c>
      <c r="FB332" s="33" t="s">
        <v>344</v>
      </c>
      <c r="FC332" s="33" t="s">
        <v>345</v>
      </c>
      <c r="FD332" s="33" t="s">
        <v>346</v>
      </c>
      <c r="FE332" s="33">
        <v>2025</v>
      </c>
      <c r="FF332" s="33" t="s">
        <v>59</v>
      </c>
      <c r="FG332" s="33" t="s">
        <v>470</v>
      </c>
      <c r="FH332" s="33" t="s">
        <v>471</v>
      </c>
      <c r="FI332" s="33" t="s">
        <v>467</v>
      </c>
      <c r="FJ332" t="s">
        <v>59</v>
      </c>
      <c r="FM332" s="32" t="s">
        <v>868</v>
      </c>
      <c r="FN332" t="s">
        <v>869</v>
      </c>
      <c r="FO332" t="s">
        <v>870</v>
      </c>
      <c r="FP332" t="str">
        <f t="shared" si="118"/>
        <v>B</v>
      </c>
      <c r="GU332" s="53">
        <v>102</v>
      </c>
      <c r="GV332" s="53">
        <v>326</v>
      </c>
    </row>
    <row r="333" spans="1:204" ht="15.5" x14ac:dyDescent="0.35">
      <c r="A333" s="95">
        <f t="shared" si="100"/>
        <v>1</v>
      </c>
      <c r="B333" s="11"/>
      <c r="C333" s="11"/>
      <c r="D333" s="92" t="str">
        <f>IFERROR(
IF(AND(OR(Planilla!B333="C",Planilla!B333="c"), VLOOKUP(E333,EX:FJ,13,0)="C"), "OK",IF(AND(OR(Planilla!B333="C",Planilla!B333="c"), OR(VLOOKUP(E333,EX:FJ,13,0)="B", VLOOKUP(E333,EX:FJ,13,0)="A")), "DEFICIT",IF(
AND(OR(Planilla!B333="B", Planilla!B333="BPAL"), VLOOKUP(E333,EX:FJ,13,0)="B"), "OK",IF(AND(OR(Planilla!B333="B", Planilla!B333="BPAL"), VLOOKUP(E333,EX:FJ,13,0)="A"), "DEFICIT",IF(AND(OR(Planilla!B333="B", Planilla!B333="BPAL"), VLOOKUP(E333,EX:FJ,13,0)="C"), "SOBREOFERTA",IF(AND(Planilla!B333="A", VLOOKUP(E333,EX:FJ,13,0)="A"), "OK",IF(
AND(Planilla!B333="A", OR(VLOOKUP(E333,EX:FJ,13,0)="B", VLOOKUP(E333,EX:FJ,13,0)="C")), "SOBREOFERTA",""
))))))),"")</f>
        <v/>
      </c>
      <c r="E333" s="12"/>
      <c r="F333" s="13"/>
      <c r="G333" s="14"/>
      <c r="H333" s="81" t="str">
        <f t="shared" si="101"/>
        <v/>
      </c>
      <c r="I333" s="7"/>
      <c r="J333" s="6" t="e">
        <f t="shared" si="102"/>
        <v>#N/A</v>
      </c>
      <c r="K333" s="6" t="str">
        <f>IF(A334&lt;&gt;A333,AVERAGEIF(A$9:A333,A333,J$9:J333),"")</f>
        <v/>
      </c>
      <c r="L333" s="7" t="str">
        <f>IFERROR(IF(A334&lt;&gt;A333,AVERAGEIF(A$9:A333,A333,S$9:S333),""),"")</f>
        <v/>
      </c>
      <c r="M333" s="7" t="str">
        <f>IFERROR(IF(A334&lt;&gt;A333,AVERAGEIF(A$9:A333,A333,T$9:T333),""),"")</f>
        <v/>
      </c>
      <c r="N333" s="7" t="str" cm="1">
        <f t="array" ref="N333">IFERROR(IF(A334&lt;&gt;A333,_xlfn.STDEV.P(IF(A$9:A333=A333,T$9:T333)),""),"")</f>
        <v/>
      </c>
      <c r="O333" s="7" t="str" cm="1">
        <f t="array" ref="O333">IFERROR(IF(A334&lt;&gt;A333,_xlfn.STDEV.P(IF(A$9:A333=A333,S$9:S333)),""),"")</f>
        <v/>
      </c>
      <c r="P333" s="8" t="str">
        <f t="shared" si="103"/>
        <v/>
      </c>
      <c r="Q333" s="8" t="str">
        <f t="shared" si="104"/>
        <v/>
      </c>
      <c r="R333" s="8" t="str">
        <f t="shared" si="105"/>
        <v/>
      </c>
      <c r="S333" s="9" t="str">
        <f t="shared" si="106"/>
        <v/>
      </c>
      <c r="T333" s="9" t="str">
        <f t="shared" si="107"/>
        <v/>
      </c>
      <c r="U333" s="14"/>
      <c r="V333" s="15"/>
      <c r="W333" s="14" t="str">
        <f t="shared" si="108"/>
        <v/>
      </c>
      <c r="X333" s="15"/>
      <c r="Y333" s="2"/>
      <c r="AB333" s="22">
        <f t="shared" si="109"/>
        <v>1</v>
      </c>
      <c r="AC333" s="11"/>
      <c r="AD333" s="11"/>
      <c r="AE333" s="13"/>
      <c r="AF333" s="12"/>
      <c r="AG333" s="13"/>
      <c r="AH333" s="14"/>
      <c r="AI333" s="81" t="str">
        <f t="shared" si="110"/>
        <v/>
      </c>
      <c r="AJ333" s="15"/>
      <c r="AK333" s="6" t="e">
        <f t="shared" si="111"/>
        <v>#N/A</v>
      </c>
      <c r="AL333" s="6" t="str">
        <f>IF(AB334&lt;&gt;AB333,AVERAGEIF(AB$9:AB333,AB333,AK$9:AK333),"")</f>
        <v/>
      </c>
      <c r="AM333" s="7" t="str">
        <f>IFERROR(IF(AB334&lt;&gt;AB333,AVERAGEIF(AB$9:AB333,AB333,AT$9:AT333),""),"")</f>
        <v/>
      </c>
      <c r="AN333" s="7" t="str">
        <f>IFERROR(IF(AB334&lt;&gt;AB333,AVERAGEIF(AB$9:AB333,AB333,AU$9:AU333),""),"")</f>
        <v/>
      </c>
      <c r="AO333" s="7" t="str" cm="1">
        <f t="array" ref="AO333">IFERROR(IF(AB334&lt;&gt;AB333,_xlfn.STDEV.P(IF(AB$9:AB333=AB333,AU$9:AU333)),""),"")</f>
        <v/>
      </c>
      <c r="AP333" s="7" t="str" cm="1">
        <f t="array" ref="AP333">IFERROR(IF(AB334&lt;&gt;AB333,_xlfn.STDEV.P(IF(AB$9:AB333=AB333,AT$9:AT333)),""),"")</f>
        <v/>
      </c>
      <c r="AQ333" s="8" t="str">
        <f t="shared" si="112"/>
        <v/>
      </c>
      <c r="AR333" s="8" t="str">
        <f t="shared" si="113"/>
        <v/>
      </c>
      <c r="AS333" s="8" t="str">
        <f t="shared" si="114"/>
        <v/>
      </c>
      <c r="AT333" s="9" t="str">
        <f t="shared" si="115"/>
        <v/>
      </c>
      <c r="AU333" s="9" t="str">
        <f t="shared" si="116"/>
        <v/>
      </c>
      <c r="AV333" s="14"/>
      <c r="AW333" s="15"/>
      <c r="AX333" s="14" t="str">
        <f t="shared" si="117"/>
        <v/>
      </c>
      <c r="AY333" s="15"/>
      <c r="AZ333" s="23"/>
      <c r="EW333" t="s">
        <v>46</v>
      </c>
      <c r="EX333" s="33">
        <v>1332</v>
      </c>
      <c r="EY333" s="33" t="s">
        <v>871</v>
      </c>
      <c r="EZ333" s="33" t="s">
        <v>872</v>
      </c>
      <c r="FA333" s="33" t="s">
        <v>343</v>
      </c>
      <c r="FB333" s="33" t="s">
        <v>344</v>
      </c>
      <c r="FC333" s="33" t="s">
        <v>345</v>
      </c>
      <c r="FD333" s="33" t="s">
        <v>346</v>
      </c>
      <c r="FE333" s="33">
        <v>2025</v>
      </c>
      <c r="FF333" s="33" t="s">
        <v>59</v>
      </c>
      <c r="FG333" s="33" t="s">
        <v>470</v>
      </c>
      <c r="FH333" s="33" t="s">
        <v>471</v>
      </c>
      <c r="FI333" s="33" t="s">
        <v>467</v>
      </c>
      <c r="FJ333" t="s">
        <v>59</v>
      </c>
      <c r="FM333" s="32" t="s">
        <v>868</v>
      </c>
      <c r="FN333" t="s">
        <v>869</v>
      </c>
      <c r="FO333" t="s">
        <v>870</v>
      </c>
      <c r="FP333" t="str">
        <f t="shared" si="118"/>
        <v>B</v>
      </c>
      <c r="GU333" s="53">
        <v>103</v>
      </c>
      <c r="GV333" s="53">
        <v>327</v>
      </c>
    </row>
    <row r="334" spans="1:204" ht="15.5" x14ac:dyDescent="0.35">
      <c r="A334" s="95">
        <f t="shared" ref="A334:A397" si="119">HOUR(G334)+1</f>
        <v>1</v>
      </c>
      <c r="B334" s="11"/>
      <c r="C334" s="11"/>
      <c r="D334" s="92" t="str">
        <f>IFERROR(
IF(AND(OR(Planilla!B334="C",Planilla!B334="c"), VLOOKUP(E334,EX:FJ,13,0)="C"), "OK",IF(AND(OR(Planilla!B334="C",Planilla!B334="c"), OR(VLOOKUP(E334,EX:FJ,13,0)="B", VLOOKUP(E334,EX:FJ,13,0)="A")), "DEFICIT",IF(
AND(OR(Planilla!B334="B", Planilla!B334="BPAL"), VLOOKUP(E334,EX:FJ,13,0)="B"), "OK",IF(AND(OR(Planilla!B334="B", Planilla!B334="BPAL"), VLOOKUP(E334,EX:FJ,13,0)="A"), "DEFICIT",IF(AND(OR(Planilla!B334="B", Planilla!B334="BPAL"), VLOOKUP(E334,EX:FJ,13,0)="C"), "SOBREOFERTA",IF(AND(Planilla!B334="A", VLOOKUP(E334,EX:FJ,13,0)="A"), "OK",IF(
AND(Planilla!B334="A", OR(VLOOKUP(E334,EX:FJ,13,0)="B", VLOOKUP(E334,EX:FJ,13,0)="C")), "SOBREOFERTA",""
))))))),"")</f>
        <v/>
      </c>
      <c r="E334" s="12"/>
      <c r="F334" s="13"/>
      <c r="G334" s="14"/>
      <c r="H334" s="81" t="str">
        <f t="shared" ref="H334:H397" si="120">IF(I334="","",IF(AND((I334-G334)&gt;=TIME(0,0,0),(I334-G334)&lt;TIME(0,3,0)),"OK",IF(AND((I334-G334)&gt;=TIME(0,3,0),(I334-G334)&lt;TIME(0,5,0)),"RETRASO DE 3-5 MIN",IF(AND((I334-G334)&gt;=TIME(0,5,0),(I334-G334)&lt;TIME(0,10,0)),"RETRASO DE 5-10 MIN",IF((I334-G334)&gt;=TIME(0,10,0),"RETRASO &gt;10 MIN",         IF(AND((G334-I334)&gt;=TIME(0,0,0),(G334-I334)&lt;TIME(0,3,0)),"OK",IF((G334-I334)&gt;=TIME(0,3,0),"ADELANTADO")))))))</f>
        <v/>
      </c>
      <c r="I334" s="7"/>
      <c r="J334" s="6" t="e">
        <f t="shared" ref="J334:J397" si="121">IF(A334&lt;&gt;"",HLOOKUP(VALUE(TEXT(G334,"h:mm:ss")),IF($C$6="Laboral",$FT$4:$GR$227,IF($C$6="Sábado",$FT$231:$GR$452,$FT$456:$GR$656)),VLOOKUP($C$4,$GZ$2:$HB$99,3,0)+IF(C$5="Ida",0,1),1),"")</f>
        <v>#N/A</v>
      </c>
      <c r="K334" s="6" t="str">
        <f>IF(A335&lt;&gt;A334,AVERAGEIF(A$9:A334,A334,J$9:J334),"")</f>
        <v/>
      </c>
      <c r="L334" s="7" t="str">
        <f>IFERROR(IF(A335&lt;&gt;A334,AVERAGEIF(A$9:A334,A334,S$9:S334),""),"")</f>
        <v/>
      </c>
      <c r="M334" s="7" t="str">
        <f>IFERROR(IF(A335&lt;&gt;A334,AVERAGEIF(A$9:A334,A334,T$9:T334),""),"")</f>
        <v/>
      </c>
      <c r="N334" s="7" t="str" cm="1">
        <f t="array" ref="N334">IFERROR(IF(A335&lt;&gt;A334,_xlfn.STDEV.P(IF(A$9:A334=A334,T$9:T334)),""),"")</f>
        <v/>
      </c>
      <c r="O334" s="7" t="str" cm="1">
        <f t="array" ref="O334">IFERROR(IF(A335&lt;&gt;A334,_xlfn.STDEV.P(IF(A$9:A334=A334,S$9:S334)),""),"")</f>
        <v/>
      </c>
      <c r="P334" s="8" t="str">
        <f t="shared" ref="P334:P397" si="122">IFERROR(IF(A334&lt;&gt;A335,MAX((((M334*24*60)/2)*(1+POWER((((N334*24*60) / (M334*24*60) )),2))) + ((M334*24*60 )*-0.1 + (K334*0.015)) +1,(((M334*24*60)/2)*(1+POWER((((N334*24*60) / (M334*24*60 ))),2)))),""),"")</f>
        <v/>
      </c>
      <c r="Q334" s="8" t="str">
        <f t="shared" ref="Q334:Q397" si="123">IF(AND(O334&lt;&gt;"",L334&lt;&gt;""),IF(A334&lt;&gt;A335,((L334*24*60) / 2 ) * (1 + POWER(((O334*24*60) / (L334*24*60)),2)),""),"")</f>
        <v/>
      </c>
      <c r="R334" s="8" t="str">
        <f t="shared" ref="R334:R397" si="124">IF(Q334&lt;&gt;"",MAX(P334,Q334),"")</f>
        <v/>
      </c>
      <c r="S334" s="9" t="str">
        <f t="shared" ref="S334:S397" si="125">IF(I334&lt;&gt;"H. Sale Real",IF(AND(I335&lt;&gt;"",LEFT(C335,2)&lt;&gt;"NC"),IF(AND(I334&lt;&gt;"",LEFT(C334,2)&lt;&gt;"NC",I334&lt;&gt;"H. Sale Real"),IF(I335-I334&lt;0.208333333333333,I335-I334,""),IF(AND(I333&lt;&gt;"",LEFT(C333,2)&lt;&gt;"NC",I333&lt;&gt;"H. Sale Real"),IF(I335-I333&lt;0.208333333333333,I335-I333,""),IF(AND(I332&lt;&gt;"",LEFT(C332,2)&lt;&gt;"NC",I332&lt;&gt;"H. Sale Real"),IF(I335-I332&lt;0.208333333333333,I335-I332,""),IF(AND(I331&lt;&gt;"",LEFT(C331,2)&lt;&gt;"NC",I331&lt;&gt;"H. Sale Real"),IF(I335-I331&lt;0.208333333333333,I335-I331,""),IF(AND(I330&lt;&gt;"",LEFT(C330,2)&lt;&gt;"NC",I330&lt;&gt;"H. Sale Real"),IF(I335-I330&lt;0.208333333333333,I335-I330,""),""))))),""),"")</f>
        <v/>
      </c>
      <c r="T334" s="9" t="str">
        <f t="shared" ref="T334:T397" si="126">IF(G334&lt;&gt;"H. Sale Real",IF(AND(G335&lt;&gt;"",LEFT(C335,2)&lt;&gt;"NC"),IF(AND(G334&lt;&gt;"",LEFT(C334,2)&lt;&gt;"NC",G334&lt;&gt;"H. Sale Real"),IF(G335-G334&lt;0.208333333333333,G335-G334,""),IF(AND(G333&lt;&gt;"",LEFT(C333,2)&lt;&gt;"NC",G333&lt;&gt;"H. Sale Real"),IF(G335-G333&lt;0.208333333333333,G335-G333,""),IF(AND(G332&lt;&gt;"",LEFT(C332,2)&lt;&gt;"NC",G332&lt;&gt;"H. Sale Real"),IF(G335-G332&lt;0.208333333333333,G335-G332,""),IF(AND(G331&lt;&gt;"",LEFT(C331,2)&lt;&gt;"NC",G331&lt;&gt;"H. Sale Real"),IF(G335-G331&lt;0.208333333333333,G335-G331,""),IF(AND(G330&lt;&gt;"",LEFT(C330,2)&lt;&gt;"NC",G330&lt;&gt;"H. Sale Real"),IF(G335-G330&lt;0.208333333333333,G335-G330,""),""))))),""),"")</f>
        <v/>
      </c>
      <c r="U334" s="14"/>
      <c r="V334" s="15"/>
      <c r="W334" s="14" t="str">
        <f t="shared" ref="W334:W397" si="127">IF(G334&lt;&gt;"",IF(AND(W333&lt;&gt;"IE",P334&lt;&gt;0,R334&lt;&gt;""),IF(IFERROR((P334/R334),0) &lt;=1,IFERROR(P334/R334,""),1),""),"")</f>
        <v/>
      </c>
      <c r="X334" s="15"/>
      <c r="Y334" s="2"/>
      <c r="AB334" s="22">
        <f t="shared" ref="AB334:AB397" si="128">HOUR(AH334)+1</f>
        <v>1</v>
      </c>
      <c r="AC334" s="11"/>
      <c r="AD334" s="11"/>
      <c r="AE334" s="13"/>
      <c r="AF334" s="12"/>
      <c r="AG334" s="13"/>
      <c r="AH334" s="14"/>
      <c r="AI334" s="81" t="str">
        <f t="shared" ref="AI334:AI397" si="129">IF(AJ334="","",IF(AND((AJ334-AH334)&gt;=TIME(0,0,0),(AJ334-AH334)&lt;TIME(0,3,0)),"OK",IF(AND((AJ334-AH334)&gt;=TIME(0,3,0),(AJ334-AH334)&lt;TIME(0,5,0)),"RETRASO DE 3-5 MIN",IF(AND((AJ334-AH334)&gt;=TIME(0,5,0),(AJ334-AH334)&lt;TIME(0,10,0)),"RETRASO DE 5-10 MIN",IF((AJ334-AH334)&gt;=TIME(0,10,0),"RETRASO &gt;10 MIN",         IF(AND((AH334-AJ334)&gt;=TIME(0,0,0),(AH334-AJ334)&lt;TIME(0,3,0)),"OK",IF((AH334-AJ334)&gt;=TIME(0,3,0),"ADELANTADO")))))))</f>
        <v/>
      </c>
      <c r="AJ334" s="15"/>
      <c r="AK334" s="6" t="e">
        <f t="shared" ref="AK334:AK397" si="130">IF(AB334&lt;&gt;"",HLOOKUP(VALUE(TEXT(AH334,"h:mm:ss")),IF($C$6="Laboral",$FT$4:$GR$227,IF($C$6="Sábado",$FT$231:$GR$452,$FT$456:$GR$656)),VLOOKUP($C$4,$GZ$2:$HB$99,3,0)+IF(AD$5="Ida",0,1),1),"")</f>
        <v>#N/A</v>
      </c>
      <c r="AL334" s="6" t="str">
        <f>IF(AB335&lt;&gt;AB334,AVERAGEIF(AB$9:AB334,AB334,AK$9:AK334),"")</f>
        <v/>
      </c>
      <c r="AM334" s="7" t="str">
        <f>IFERROR(IF(AB335&lt;&gt;AB334,AVERAGEIF(AB$9:AB334,AB334,AT$9:AT334),""),"")</f>
        <v/>
      </c>
      <c r="AN334" s="7" t="str">
        <f>IFERROR(IF(AB335&lt;&gt;AB334,AVERAGEIF(AB$9:AB334,AB334,AU$9:AU334),""),"")</f>
        <v/>
      </c>
      <c r="AO334" s="7" t="str" cm="1">
        <f t="array" ref="AO334">IFERROR(IF(AB335&lt;&gt;AB334,_xlfn.STDEV.P(IF(AB$9:AB334=AB334,AU$9:AU334)),""),"")</f>
        <v/>
      </c>
      <c r="AP334" s="7" t="str" cm="1">
        <f t="array" ref="AP334">IFERROR(IF(AB335&lt;&gt;AB334,_xlfn.STDEV.P(IF(AB$9:AB334=AB334,AT$9:AT334)),""),"")</f>
        <v/>
      </c>
      <c r="AQ334" s="8" t="str">
        <f t="shared" ref="AQ334:AQ397" si="131">IFERROR(IF(AB334&lt;&gt;AB335,MAX((((AN334*24*60)/2)*(1+POWER((((AO334*24*60) / (AN334*24*60) )),2))) + ((AN334*24*60 )*-0.1 + (AL334*0.015)) +1,(((AN334*24*60)/2)*(1+POWER((((AO334*24*60) / (AN334*24*60 ))),2)))),""),"")</f>
        <v/>
      </c>
      <c r="AR334" s="8" t="str">
        <f t="shared" ref="AR334:AR397" si="132">IF(AND(AP334&lt;&gt;"",AM334&lt;&gt;""),IF(AB334&lt;&gt;AB335,((AM334*24*60) / 2 ) * (1 + POWER(((AP334*24*60) / (AM334*24*60)),2)),""),"")</f>
        <v/>
      </c>
      <c r="AS334" s="8" t="str">
        <f t="shared" ref="AS334:AS397" si="133">IF(AR334&lt;&gt;"",MAX(AQ334,AR334),"")</f>
        <v/>
      </c>
      <c r="AT334" s="9" t="str">
        <f t="shared" ref="AT334:AT397" si="134">IF(AJ334&lt;&gt;"H. Sale Real",IF(AND(AJ335&lt;&gt;"",LEFT(AD335,2)&lt;&gt;"NC"),IF(AND(AJ334&lt;&gt;"",LEFT(AD334,2)&lt;&gt;"NC",AJ334&lt;&gt;"H. Sale Real"),IF(AJ335-AJ334&lt;0.208333333333333,AJ335-AJ334,""),IF(AND(AJ333&lt;&gt;"",LEFT(AD333,2)&lt;&gt;"NC",AJ333&lt;&gt;"H. Sale Real"),IF(AJ335-AJ333&lt;0.208333333333333,AJ335-AJ333,""),IF(AND(AJ332&lt;&gt;"",LEFT(AD332,2)&lt;&gt;"NC",AJ332&lt;&gt;"H. Sale Real"),IF(AJ335-AJ332&lt;0.208333333333333,AJ335-AJ332,""),IF(AND(AJ331&lt;&gt;"",LEFT(AD331,2)&lt;&gt;"NC",AJ331&lt;&gt;"H. Sale Real"),IF(AJ335-AJ331&lt;0.208333333333333,AJ335-AJ331,""),IF(AND(AJ330&lt;&gt;"",LEFT(AD330,2)&lt;&gt;"NC",AJ330&lt;&gt;"H. Sale Real"),IF(AJ335-AJ330&lt;0.208333333333333,AJ335-AJ330,""),""))))),""),"")</f>
        <v/>
      </c>
      <c r="AU334" s="9" t="str">
        <f t="shared" ref="AU334:AU397" si="135">IF(AH334&lt;&gt;"H. Sale Real",IF(AND(AH335&lt;&gt;"",LEFT(AD335,2)&lt;&gt;"NC"),IF(AND(AH334&lt;&gt;"",LEFT(AD334,2)&lt;&gt;"NC",AH334&lt;&gt;"H. Sale Real"),IF(AH335-AH334&lt;0.208333333333333,AH335-AH334,""),IF(AND(AH333&lt;&gt;"",LEFT(AD333,2)&lt;&gt;"NC",AH333&lt;&gt;"H. Sale Real"),IF(AH335-AH333&lt;0.208333333333333,AH335-AH333,""),IF(AND(AH332&lt;&gt;"",LEFT(AD332,2)&lt;&gt;"NC",AH332&lt;&gt;"H. Sale Real"),IF(AH335-AH332&lt;0.208333333333333,AH335-AH332,""),IF(AND(AH331&lt;&gt;"",LEFT(AD331,2)&lt;&gt;"NC",AH331&lt;&gt;"H. Sale Real"),IF(AH335-AH331&lt;0.208333333333333,AH335-AH331,""),IF(AND(AH330&lt;&gt;"",LEFT(AD330,2)&lt;&gt;"NC",AH330&lt;&gt;"H. Sale Real"),IF(AH335-AH330&lt;0.208333333333333,AH335-AH330,""),""))))),""),"")</f>
        <v/>
      </c>
      <c r="AV334" s="14"/>
      <c r="AW334" s="15"/>
      <c r="AX334" s="14" t="str">
        <f t="shared" ref="AX334:AX397" si="136">IF(AH334&lt;&gt;"",IF(AND(AX333&lt;&gt;"IE",AQ334&lt;&gt;0,AS334&lt;&gt;""),IF(IFERROR((AQ334/AS334),0) &lt;=1,IFERROR(AQ334/AS334,""),1),""),"")</f>
        <v/>
      </c>
      <c r="AY334" s="15"/>
      <c r="AZ334" s="23"/>
      <c r="EW334" t="s">
        <v>46</v>
      </c>
      <c r="EX334" s="33">
        <v>1333</v>
      </c>
      <c r="EY334" s="33" t="s">
        <v>873</v>
      </c>
      <c r="EZ334" s="33" t="s">
        <v>874</v>
      </c>
      <c r="FA334" s="33" t="s">
        <v>343</v>
      </c>
      <c r="FB334" s="33" t="s">
        <v>344</v>
      </c>
      <c r="FC334" s="33" t="s">
        <v>345</v>
      </c>
      <c r="FD334" s="33" t="s">
        <v>346</v>
      </c>
      <c r="FE334" s="33">
        <v>2025</v>
      </c>
      <c r="FF334" s="33" t="s">
        <v>59</v>
      </c>
      <c r="FG334" s="33" t="s">
        <v>477</v>
      </c>
      <c r="FH334" s="33" t="s">
        <v>478</v>
      </c>
      <c r="FI334" s="33" t="s">
        <v>479</v>
      </c>
      <c r="FJ334" t="s">
        <v>59</v>
      </c>
      <c r="FM334" s="32" t="s">
        <v>868</v>
      </c>
      <c r="FN334" t="s">
        <v>869</v>
      </c>
      <c r="FO334" t="s">
        <v>870</v>
      </c>
      <c r="FP334" t="str">
        <f t="shared" si="118"/>
        <v>B</v>
      </c>
      <c r="GU334" s="53">
        <v>104</v>
      </c>
      <c r="GV334" s="53">
        <v>328</v>
      </c>
    </row>
    <row r="335" spans="1:204" ht="15.5" x14ac:dyDescent="0.35">
      <c r="A335" s="95">
        <f t="shared" si="119"/>
        <v>1</v>
      </c>
      <c r="B335" s="11"/>
      <c r="C335" s="11"/>
      <c r="D335" s="92" t="str">
        <f>IFERROR(
IF(AND(OR(Planilla!B335="C",Planilla!B335="c"), VLOOKUP(E335,EX:FJ,13,0)="C"), "OK",IF(AND(OR(Planilla!B335="C",Planilla!B335="c"), OR(VLOOKUP(E335,EX:FJ,13,0)="B", VLOOKUP(E335,EX:FJ,13,0)="A")), "DEFICIT",IF(
AND(OR(Planilla!B335="B", Planilla!B335="BPAL"), VLOOKUP(E335,EX:FJ,13,0)="B"), "OK",IF(AND(OR(Planilla!B335="B", Planilla!B335="BPAL"), VLOOKUP(E335,EX:FJ,13,0)="A"), "DEFICIT",IF(AND(OR(Planilla!B335="B", Planilla!B335="BPAL"), VLOOKUP(E335,EX:FJ,13,0)="C"), "SOBREOFERTA",IF(AND(Planilla!B335="A", VLOOKUP(E335,EX:FJ,13,0)="A"), "OK",IF(
AND(Planilla!B335="A", OR(VLOOKUP(E335,EX:FJ,13,0)="B", VLOOKUP(E335,EX:FJ,13,0)="C")), "SOBREOFERTA",""
))))))),"")</f>
        <v/>
      </c>
      <c r="E335" s="12"/>
      <c r="F335" s="13"/>
      <c r="G335" s="14"/>
      <c r="H335" s="81" t="str">
        <f t="shared" si="120"/>
        <v/>
      </c>
      <c r="I335" s="7"/>
      <c r="J335" s="6" t="e">
        <f t="shared" si="121"/>
        <v>#N/A</v>
      </c>
      <c r="K335" s="6" t="str">
        <f>IF(A336&lt;&gt;A335,AVERAGEIF(A$9:A335,A335,J$9:J335),"")</f>
        <v/>
      </c>
      <c r="L335" s="7" t="str">
        <f>IFERROR(IF(A336&lt;&gt;A335,AVERAGEIF(A$9:A335,A335,S$9:S335),""),"")</f>
        <v/>
      </c>
      <c r="M335" s="7" t="str">
        <f>IFERROR(IF(A336&lt;&gt;A335,AVERAGEIF(A$9:A335,A335,T$9:T335),""),"")</f>
        <v/>
      </c>
      <c r="N335" s="7" t="str" cm="1">
        <f t="array" ref="N335">IFERROR(IF(A336&lt;&gt;A335,_xlfn.STDEV.P(IF(A$9:A335=A335,T$9:T335)),""),"")</f>
        <v/>
      </c>
      <c r="O335" s="7" t="str" cm="1">
        <f t="array" ref="O335">IFERROR(IF(A336&lt;&gt;A335,_xlfn.STDEV.P(IF(A$9:A335=A335,S$9:S335)),""),"")</f>
        <v/>
      </c>
      <c r="P335" s="8" t="str">
        <f t="shared" si="122"/>
        <v/>
      </c>
      <c r="Q335" s="8" t="str">
        <f t="shared" si="123"/>
        <v/>
      </c>
      <c r="R335" s="8" t="str">
        <f t="shared" si="124"/>
        <v/>
      </c>
      <c r="S335" s="9" t="str">
        <f t="shared" si="125"/>
        <v/>
      </c>
      <c r="T335" s="9" t="str">
        <f t="shared" si="126"/>
        <v/>
      </c>
      <c r="U335" s="14"/>
      <c r="V335" s="15"/>
      <c r="W335" s="14" t="str">
        <f t="shared" si="127"/>
        <v/>
      </c>
      <c r="X335" s="15"/>
      <c r="Y335" s="2"/>
      <c r="AB335" s="22">
        <f t="shared" si="128"/>
        <v>1</v>
      </c>
      <c r="AC335" s="11"/>
      <c r="AD335" s="11"/>
      <c r="AE335" s="13"/>
      <c r="AF335" s="12"/>
      <c r="AG335" s="13"/>
      <c r="AH335" s="14"/>
      <c r="AI335" s="81" t="str">
        <f t="shared" si="129"/>
        <v/>
      </c>
      <c r="AJ335" s="15"/>
      <c r="AK335" s="6" t="e">
        <f t="shared" si="130"/>
        <v>#N/A</v>
      </c>
      <c r="AL335" s="6" t="str">
        <f>IF(AB336&lt;&gt;AB335,AVERAGEIF(AB$9:AB335,AB335,AK$9:AK335),"")</f>
        <v/>
      </c>
      <c r="AM335" s="7" t="str">
        <f>IFERROR(IF(AB336&lt;&gt;AB335,AVERAGEIF(AB$9:AB335,AB335,AT$9:AT335),""),"")</f>
        <v/>
      </c>
      <c r="AN335" s="7" t="str">
        <f>IFERROR(IF(AB336&lt;&gt;AB335,AVERAGEIF(AB$9:AB335,AB335,AU$9:AU335),""),"")</f>
        <v/>
      </c>
      <c r="AO335" s="7" t="str" cm="1">
        <f t="array" ref="AO335">IFERROR(IF(AB336&lt;&gt;AB335,_xlfn.STDEV.P(IF(AB$9:AB335=AB335,AU$9:AU335)),""),"")</f>
        <v/>
      </c>
      <c r="AP335" s="7" t="str" cm="1">
        <f t="array" ref="AP335">IFERROR(IF(AB336&lt;&gt;AB335,_xlfn.STDEV.P(IF(AB$9:AB335=AB335,AT$9:AT335)),""),"")</f>
        <v/>
      </c>
      <c r="AQ335" s="8" t="str">
        <f t="shared" si="131"/>
        <v/>
      </c>
      <c r="AR335" s="8" t="str">
        <f t="shared" si="132"/>
        <v/>
      </c>
      <c r="AS335" s="8" t="str">
        <f t="shared" si="133"/>
        <v/>
      </c>
      <c r="AT335" s="9" t="str">
        <f t="shared" si="134"/>
        <v/>
      </c>
      <c r="AU335" s="9" t="str">
        <f t="shared" si="135"/>
        <v/>
      </c>
      <c r="AV335" s="14"/>
      <c r="AW335" s="15"/>
      <c r="AX335" s="14" t="str">
        <f t="shared" si="136"/>
        <v/>
      </c>
      <c r="AY335" s="15"/>
      <c r="AZ335" s="23"/>
      <c r="EW335" t="s">
        <v>46</v>
      </c>
      <c r="EX335" s="33">
        <v>1334</v>
      </c>
      <c r="EY335" s="33" t="s">
        <v>875</v>
      </c>
      <c r="EZ335" s="33" t="s">
        <v>876</v>
      </c>
      <c r="FA335" s="33" t="s">
        <v>343</v>
      </c>
      <c r="FB335" s="33" t="s">
        <v>344</v>
      </c>
      <c r="FC335" s="33" t="s">
        <v>345</v>
      </c>
      <c r="FD335" s="33" t="s">
        <v>346</v>
      </c>
      <c r="FE335" s="33">
        <v>2025</v>
      </c>
      <c r="FF335" s="33" t="s">
        <v>59</v>
      </c>
      <c r="FG335" s="33" t="s">
        <v>477</v>
      </c>
      <c r="FH335" s="33" t="s">
        <v>478</v>
      </c>
      <c r="FI335" s="33" t="s">
        <v>479</v>
      </c>
      <c r="FJ335" t="s">
        <v>59</v>
      </c>
      <c r="FM335" s="32" t="s">
        <v>868</v>
      </c>
      <c r="FN335" t="s">
        <v>869</v>
      </c>
      <c r="FO335" t="s">
        <v>870</v>
      </c>
      <c r="FP335" t="str">
        <f t="shared" si="118"/>
        <v>B</v>
      </c>
      <c r="GU335" s="53">
        <v>105</v>
      </c>
      <c r="GV335" s="53">
        <v>329</v>
      </c>
    </row>
    <row r="336" spans="1:204" ht="15.5" x14ac:dyDescent="0.35">
      <c r="A336" s="95">
        <f t="shared" si="119"/>
        <v>1</v>
      </c>
      <c r="B336" s="11"/>
      <c r="C336" s="11"/>
      <c r="D336" s="92" t="str">
        <f>IFERROR(
IF(AND(OR(Planilla!B336="C",Planilla!B336="c"), VLOOKUP(E336,EX:FJ,13,0)="C"), "OK",IF(AND(OR(Planilla!B336="C",Planilla!B336="c"), OR(VLOOKUP(E336,EX:FJ,13,0)="B", VLOOKUP(E336,EX:FJ,13,0)="A")), "DEFICIT",IF(
AND(OR(Planilla!B336="B", Planilla!B336="BPAL"), VLOOKUP(E336,EX:FJ,13,0)="B"), "OK",IF(AND(OR(Planilla!B336="B", Planilla!B336="BPAL"), VLOOKUP(E336,EX:FJ,13,0)="A"), "DEFICIT",IF(AND(OR(Planilla!B336="B", Planilla!B336="BPAL"), VLOOKUP(E336,EX:FJ,13,0)="C"), "SOBREOFERTA",IF(AND(Planilla!B336="A", VLOOKUP(E336,EX:FJ,13,0)="A"), "OK",IF(
AND(Planilla!B336="A", OR(VLOOKUP(E336,EX:FJ,13,0)="B", VLOOKUP(E336,EX:FJ,13,0)="C")), "SOBREOFERTA",""
))))))),"")</f>
        <v/>
      </c>
      <c r="E336" s="12"/>
      <c r="F336" s="13"/>
      <c r="G336" s="14"/>
      <c r="H336" s="81" t="str">
        <f t="shared" si="120"/>
        <v/>
      </c>
      <c r="I336" s="7"/>
      <c r="J336" s="6" t="e">
        <f t="shared" si="121"/>
        <v>#N/A</v>
      </c>
      <c r="K336" s="6" t="str">
        <f>IF(A337&lt;&gt;A336,AVERAGEIF(A$9:A336,A336,J$9:J336),"")</f>
        <v/>
      </c>
      <c r="L336" s="7" t="str">
        <f>IFERROR(IF(A337&lt;&gt;A336,AVERAGEIF(A$9:A336,A336,S$9:S336),""),"")</f>
        <v/>
      </c>
      <c r="M336" s="7" t="str">
        <f>IFERROR(IF(A337&lt;&gt;A336,AVERAGEIF(A$9:A336,A336,T$9:T336),""),"")</f>
        <v/>
      </c>
      <c r="N336" s="7" t="str" cm="1">
        <f t="array" ref="N336">IFERROR(IF(A337&lt;&gt;A336,_xlfn.STDEV.P(IF(A$9:A336=A336,T$9:T336)),""),"")</f>
        <v/>
      </c>
      <c r="O336" s="7" t="str" cm="1">
        <f t="array" ref="O336">IFERROR(IF(A337&lt;&gt;A336,_xlfn.STDEV.P(IF(A$9:A336=A336,S$9:S336)),""),"")</f>
        <v/>
      </c>
      <c r="P336" s="8" t="str">
        <f t="shared" si="122"/>
        <v/>
      </c>
      <c r="Q336" s="8" t="str">
        <f t="shared" si="123"/>
        <v/>
      </c>
      <c r="R336" s="8" t="str">
        <f t="shared" si="124"/>
        <v/>
      </c>
      <c r="S336" s="9" t="str">
        <f t="shared" si="125"/>
        <v/>
      </c>
      <c r="T336" s="9" t="str">
        <f t="shared" si="126"/>
        <v/>
      </c>
      <c r="U336" s="14"/>
      <c r="V336" s="15"/>
      <c r="W336" s="14" t="str">
        <f t="shared" si="127"/>
        <v/>
      </c>
      <c r="X336" s="15"/>
      <c r="Y336" s="2"/>
      <c r="AB336" s="22">
        <f t="shared" si="128"/>
        <v>1</v>
      </c>
      <c r="AC336" s="11"/>
      <c r="AD336" s="11"/>
      <c r="AE336" s="13"/>
      <c r="AF336" s="12"/>
      <c r="AG336" s="13"/>
      <c r="AH336" s="14"/>
      <c r="AI336" s="81" t="str">
        <f t="shared" si="129"/>
        <v/>
      </c>
      <c r="AJ336" s="15"/>
      <c r="AK336" s="6" t="e">
        <f t="shared" si="130"/>
        <v>#N/A</v>
      </c>
      <c r="AL336" s="6" t="str">
        <f>IF(AB337&lt;&gt;AB336,AVERAGEIF(AB$9:AB336,AB336,AK$9:AK336),"")</f>
        <v/>
      </c>
      <c r="AM336" s="7" t="str">
        <f>IFERROR(IF(AB337&lt;&gt;AB336,AVERAGEIF(AB$9:AB336,AB336,AT$9:AT336),""),"")</f>
        <v/>
      </c>
      <c r="AN336" s="7" t="str">
        <f>IFERROR(IF(AB337&lt;&gt;AB336,AVERAGEIF(AB$9:AB336,AB336,AU$9:AU336),""),"")</f>
        <v/>
      </c>
      <c r="AO336" s="7" t="str" cm="1">
        <f t="array" ref="AO336">IFERROR(IF(AB337&lt;&gt;AB336,_xlfn.STDEV.P(IF(AB$9:AB336=AB336,AU$9:AU336)),""),"")</f>
        <v/>
      </c>
      <c r="AP336" s="7" t="str" cm="1">
        <f t="array" ref="AP336">IFERROR(IF(AB337&lt;&gt;AB336,_xlfn.STDEV.P(IF(AB$9:AB336=AB336,AT$9:AT336)),""),"")</f>
        <v/>
      </c>
      <c r="AQ336" s="8" t="str">
        <f t="shared" si="131"/>
        <v/>
      </c>
      <c r="AR336" s="8" t="str">
        <f t="shared" si="132"/>
        <v/>
      </c>
      <c r="AS336" s="8" t="str">
        <f t="shared" si="133"/>
        <v/>
      </c>
      <c r="AT336" s="9" t="str">
        <f t="shared" si="134"/>
        <v/>
      </c>
      <c r="AU336" s="9" t="str">
        <f t="shared" si="135"/>
        <v/>
      </c>
      <c r="AV336" s="14"/>
      <c r="AW336" s="15"/>
      <c r="AX336" s="14" t="str">
        <f t="shared" si="136"/>
        <v/>
      </c>
      <c r="AY336" s="15"/>
      <c r="AZ336" s="23"/>
      <c r="EW336" t="s">
        <v>46</v>
      </c>
      <c r="EX336" s="33">
        <v>1335</v>
      </c>
      <c r="EY336" s="33" t="s">
        <v>877</v>
      </c>
      <c r="EZ336" s="33" t="s">
        <v>878</v>
      </c>
      <c r="FA336" s="33" t="s">
        <v>343</v>
      </c>
      <c r="FB336" s="33" t="s">
        <v>344</v>
      </c>
      <c r="FC336" s="33" t="s">
        <v>345</v>
      </c>
      <c r="FD336" s="33" t="s">
        <v>346</v>
      </c>
      <c r="FE336" s="33">
        <v>2025</v>
      </c>
      <c r="FF336" s="33" t="s">
        <v>59</v>
      </c>
      <c r="FG336" s="33" t="s">
        <v>470</v>
      </c>
      <c r="FH336" s="33" t="s">
        <v>471</v>
      </c>
      <c r="FI336" s="33" t="s">
        <v>467</v>
      </c>
      <c r="FJ336" t="s">
        <v>59</v>
      </c>
      <c r="FM336" s="32" t="s">
        <v>868</v>
      </c>
      <c r="FN336" t="s">
        <v>869</v>
      </c>
      <c r="FO336" t="s">
        <v>870</v>
      </c>
      <c r="FP336" t="str">
        <f t="shared" si="118"/>
        <v>B</v>
      </c>
      <c r="GU336" s="53">
        <v>106</v>
      </c>
      <c r="GV336" s="53">
        <v>330</v>
      </c>
    </row>
    <row r="337" spans="1:204" ht="15.5" x14ac:dyDescent="0.35">
      <c r="A337" s="95">
        <f t="shared" si="119"/>
        <v>1</v>
      </c>
      <c r="B337" s="11"/>
      <c r="C337" s="11"/>
      <c r="D337" s="92" t="str">
        <f>IFERROR(
IF(AND(OR(Planilla!B337="C",Planilla!B337="c"), VLOOKUP(E337,EX:FJ,13,0)="C"), "OK",IF(AND(OR(Planilla!B337="C",Planilla!B337="c"), OR(VLOOKUP(E337,EX:FJ,13,0)="B", VLOOKUP(E337,EX:FJ,13,0)="A")), "DEFICIT",IF(
AND(OR(Planilla!B337="B", Planilla!B337="BPAL"), VLOOKUP(E337,EX:FJ,13,0)="B"), "OK",IF(AND(OR(Planilla!B337="B", Planilla!B337="BPAL"), VLOOKUP(E337,EX:FJ,13,0)="A"), "DEFICIT",IF(AND(OR(Planilla!B337="B", Planilla!B337="BPAL"), VLOOKUP(E337,EX:FJ,13,0)="C"), "SOBREOFERTA",IF(AND(Planilla!B337="A", VLOOKUP(E337,EX:FJ,13,0)="A"), "OK",IF(
AND(Planilla!B337="A", OR(VLOOKUP(E337,EX:FJ,13,0)="B", VLOOKUP(E337,EX:FJ,13,0)="C")), "SOBREOFERTA",""
))))))),"")</f>
        <v/>
      </c>
      <c r="E337" s="12"/>
      <c r="F337" s="13"/>
      <c r="G337" s="14"/>
      <c r="H337" s="81" t="str">
        <f t="shared" si="120"/>
        <v/>
      </c>
      <c r="I337" s="7"/>
      <c r="J337" s="6" t="e">
        <f t="shared" si="121"/>
        <v>#N/A</v>
      </c>
      <c r="K337" s="6" t="str">
        <f>IF(A338&lt;&gt;A337,AVERAGEIF(A$9:A337,A337,J$9:J337),"")</f>
        <v/>
      </c>
      <c r="L337" s="7" t="str">
        <f>IFERROR(IF(A338&lt;&gt;A337,AVERAGEIF(A$9:A337,A337,S$9:S337),""),"")</f>
        <v/>
      </c>
      <c r="M337" s="7" t="str">
        <f>IFERROR(IF(A338&lt;&gt;A337,AVERAGEIF(A$9:A337,A337,T$9:T337),""),"")</f>
        <v/>
      </c>
      <c r="N337" s="7" t="str" cm="1">
        <f t="array" ref="N337">IFERROR(IF(A338&lt;&gt;A337,_xlfn.STDEV.P(IF(A$9:A337=A337,T$9:T337)),""),"")</f>
        <v/>
      </c>
      <c r="O337" s="7" t="str" cm="1">
        <f t="array" ref="O337">IFERROR(IF(A338&lt;&gt;A337,_xlfn.STDEV.P(IF(A$9:A337=A337,S$9:S337)),""),"")</f>
        <v/>
      </c>
      <c r="P337" s="8" t="str">
        <f t="shared" si="122"/>
        <v/>
      </c>
      <c r="Q337" s="8" t="str">
        <f t="shared" si="123"/>
        <v/>
      </c>
      <c r="R337" s="8" t="str">
        <f t="shared" si="124"/>
        <v/>
      </c>
      <c r="S337" s="9" t="str">
        <f t="shared" si="125"/>
        <v/>
      </c>
      <c r="T337" s="9" t="str">
        <f t="shared" si="126"/>
        <v/>
      </c>
      <c r="U337" s="14"/>
      <c r="V337" s="15"/>
      <c r="W337" s="14" t="str">
        <f t="shared" si="127"/>
        <v/>
      </c>
      <c r="X337" s="15"/>
      <c r="Y337" s="2"/>
      <c r="AB337" s="22">
        <f t="shared" si="128"/>
        <v>1</v>
      </c>
      <c r="AC337" s="11"/>
      <c r="AD337" s="11"/>
      <c r="AE337" s="13"/>
      <c r="AF337" s="12"/>
      <c r="AG337" s="13"/>
      <c r="AH337" s="14"/>
      <c r="AI337" s="81" t="str">
        <f t="shared" si="129"/>
        <v/>
      </c>
      <c r="AJ337" s="15"/>
      <c r="AK337" s="6" t="e">
        <f t="shared" si="130"/>
        <v>#N/A</v>
      </c>
      <c r="AL337" s="6" t="str">
        <f>IF(AB338&lt;&gt;AB337,AVERAGEIF(AB$9:AB337,AB337,AK$9:AK337),"")</f>
        <v/>
      </c>
      <c r="AM337" s="7" t="str">
        <f>IFERROR(IF(AB338&lt;&gt;AB337,AVERAGEIF(AB$9:AB337,AB337,AT$9:AT337),""),"")</f>
        <v/>
      </c>
      <c r="AN337" s="7" t="str">
        <f>IFERROR(IF(AB338&lt;&gt;AB337,AVERAGEIF(AB$9:AB337,AB337,AU$9:AU337),""),"")</f>
        <v/>
      </c>
      <c r="AO337" s="7" t="str" cm="1">
        <f t="array" ref="AO337">IFERROR(IF(AB338&lt;&gt;AB337,_xlfn.STDEV.P(IF(AB$9:AB337=AB337,AU$9:AU337)),""),"")</f>
        <v/>
      </c>
      <c r="AP337" s="7" t="str" cm="1">
        <f t="array" ref="AP337">IFERROR(IF(AB338&lt;&gt;AB337,_xlfn.STDEV.P(IF(AB$9:AB337=AB337,AT$9:AT337)),""),"")</f>
        <v/>
      </c>
      <c r="AQ337" s="8" t="str">
        <f t="shared" si="131"/>
        <v/>
      </c>
      <c r="AR337" s="8" t="str">
        <f t="shared" si="132"/>
        <v/>
      </c>
      <c r="AS337" s="8" t="str">
        <f t="shared" si="133"/>
        <v/>
      </c>
      <c r="AT337" s="9" t="str">
        <f t="shared" si="134"/>
        <v/>
      </c>
      <c r="AU337" s="9" t="str">
        <f t="shared" si="135"/>
        <v/>
      </c>
      <c r="AV337" s="14"/>
      <c r="AW337" s="15"/>
      <c r="AX337" s="14" t="str">
        <f t="shared" si="136"/>
        <v/>
      </c>
      <c r="AY337" s="15"/>
      <c r="AZ337" s="23"/>
      <c r="EW337" t="s">
        <v>46</v>
      </c>
      <c r="EX337" s="33">
        <v>1336</v>
      </c>
      <c r="EY337" s="33" t="s">
        <v>879</v>
      </c>
      <c r="EZ337" s="33" t="s">
        <v>880</v>
      </c>
      <c r="FA337" s="33" t="s">
        <v>343</v>
      </c>
      <c r="FB337" s="33" t="s">
        <v>344</v>
      </c>
      <c r="FC337" s="33" t="s">
        <v>345</v>
      </c>
      <c r="FD337" s="33" t="s">
        <v>346</v>
      </c>
      <c r="FE337" s="33">
        <v>2025</v>
      </c>
      <c r="FF337" s="33" t="s">
        <v>59</v>
      </c>
      <c r="FG337" s="33" t="s">
        <v>470</v>
      </c>
      <c r="FH337" s="33" t="s">
        <v>471</v>
      </c>
      <c r="FI337" s="33" t="s">
        <v>467</v>
      </c>
      <c r="FJ337" t="s">
        <v>59</v>
      </c>
      <c r="FM337" s="32" t="s">
        <v>868</v>
      </c>
      <c r="FN337" t="s">
        <v>869</v>
      </c>
      <c r="FO337" t="s">
        <v>870</v>
      </c>
      <c r="FP337" t="str">
        <f t="shared" si="118"/>
        <v>B</v>
      </c>
      <c r="GU337" s="53">
        <v>107</v>
      </c>
      <c r="GV337" s="53">
        <v>331</v>
      </c>
    </row>
    <row r="338" spans="1:204" ht="15.5" x14ac:dyDescent="0.35">
      <c r="A338" s="95">
        <f t="shared" si="119"/>
        <v>1</v>
      </c>
      <c r="B338" s="11"/>
      <c r="C338" s="11"/>
      <c r="D338" s="92" t="str">
        <f>IFERROR(
IF(AND(OR(Planilla!B338="C",Planilla!B338="c"), VLOOKUP(E338,EX:FJ,13,0)="C"), "OK",IF(AND(OR(Planilla!B338="C",Planilla!B338="c"), OR(VLOOKUP(E338,EX:FJ,13,0)="B", VLOOKUP(E338,EX:FJ,13,0)="A")), "DEFICIT",IF(
AND(OR(Planilla!B338="B", Planilla!B338="BPAL"), VLOOKUP(E338,EX:FJ,13,0)="B"), "OK",IF(AND(OR(Planilla!B338="B", Planilla!B338="BPAL"), VLOOKUP(E338,EX:FJ,13,0)="A"), "DEFICIT",IF(AND(OR(Planilla!B338="B", Planilla!B338="BPAL"), VLOOKUP(E338,EX:FJ,13,0)="C"), "SOBREOFERTA",IF(AND(Planilla!B338="A", VLOOKUP(E338,EX:FJ,13,0)="A"), "OK",IF(
AND(Planilla!B338="A", OR(VLOOKUP(E338,EX:FJ,13,0)="B", VLOOKUP(E338,EX:FJ,13,0)="C")), "SOBREOFERTA",""
))))))),"")</f>
        <v/>
      </c>
      <c r="E338" s="12"/>
      <c r="F338" s="13"/>
      <c r="G338" s="14"/>
      <c r="H338" s="81" t="str">
        <f t="shared" si="120"/>
        <v/>
      </c>
      <c r="I338" s="7"/>
      <c r="J338" s="6" t="e">
        <f t="shared" si="121"/>
        <v>#N/A</v>
      </c>
      <c r="K338" s="6" t="str">
        <f>IF(A339&lt;&gt;A338,AVERAGEIF(A$9:A338,A338,J$9:J338),"")</f>
        <v/>
      </c>
      <c r="L338" s="7" t="str">
        <f>IFERROR(IF(A339&lt;&gt;A338,AVERAGEIF(A$9:A338,A338,S$9:S338),""),"")</f>
        <v/>
      </c>
      <c r="M338" s="7" t="str">
        <f>IFERROR(IF(A339&lt;&gt;A338,AVERAGEIF(A$9:A338,A338,T$9:T338),""),"")</f>
        <v/>
      </c>
      <c r="N338" s="7" t="str" cm="1">
        <f t="array" ref="N338">IFERROR(IF(A339&lt;&gt;A338,_xlfn.STDEV.P(IF(A$9:A338=A338,T$9:T338)),""),"")</f>
        <v/>
      </c>
      <c r="O338" s="7" t="str" cm="1">
        <f t="array" ref="O338">IFERROR(IF(A339&lt;&gt;A338,_xlfn.STDEV.P(IF(A$9:A338=A338,S$9:S338)),""),"")</f>
        <v/>
      </c>
      <c r="P338" s="8" t="str">
        <f t="shared" si="122"/>
        <v/>
      </c>
      <c r="Q338" s="8" t="str">
        <f t="shared" si="123"/>
        <v/>
      </c>
      <c r="R338" s="8" t="str">
        <f t="shared" si="124"/>
        <v/>
      </c>
      <c r="S338" s="9" t="str">
        <f t="shared" si="125"/>
        <v/>
      </c>
      <c r="T338" s="9" t="str">
        <f t="shared" si="126"/>
        <v/>
      </c>
      <c r="U338" s="14"/>
      <c r="V338" s="15"/>
      <c r="W338" s="14" t="str">
        <f t="shared" si="127"/>
        <v/>
      </c>
      <c r="X338" s="15"/>
      <c r="Y338" s="2"/>
      <c r="AB338" s="22">
        <f t="shared" si="128"/>
        <v>1</v>
      </c>
      <c r="AC338" s="11"/>
      <c r="AD338" s="11"/>
      <c r="AE338" s="13"/>
      <c r="AF338" s="12"/>
      <c r="AG338" s="13"/>
      <c r="AH338" s="14"/>
      <c r="AI338" s="81" t="str">
        <f t="shared" si="129"/>
        <v/>
      </c>
      <c r="AJ338" s="15"/>
      <c r="AK338" s="6" t="e">
        <f t="shared" si="130"/>
        <v>#N/A</v>
      </c>
      <c r="AL338" s="6" t="str">
        <f>IF(AB339&lt;&gt;AB338,AVERAGEIF(AB$9:AB338,AB338,AK$9:AK338),"")</f>
        <v/>
      </c>
      <c r="AM338" s="7" t="str">
        <f>IFERROR(IF(AB339&lt;&gt;AB338,AVERAGEIF(AB$9:AB338,AB338,AT$9:AT338),""),"")</f>
        <v/>
      </c>
      <c r="AN338" s="7" t="str">
        <f>IFERROR(IF(AB339&lt;&gt;AB338,AVERAGEIF(AB$9:AB338,AB338,AU$9:AU338),""),"")</f>
        <v/>
      </c>
      <c r="AO338" s="7" t="str" cm="1">
        <f t="array" ref="AO338">IFERROR(IF(AB339&lt;&gt;AB338,_xlfn.STDEV.P(IF(AB$9:AB338=AB338,AU$9:AU338)),""),"")</f>
        <v/>
      </c>
      <c r="AP338" s="7" t="str" cm="1">
        <f t="array" ref="AP338">IFERROR(IF(AB339&lt;&gt;AB338,_xlfn.STDEV.P(IF(AB$9:AB338=AB338,AT$9:AT338)),""),"")</f>
        <v/>
      </c>
      <c r="AQ338" s="8" t="str">
        <f t="shared" si="131"/>
        <v/>
      </c>
      <c r="AR338" s="8" t="str">
        <f t="shared" si="132"/>
        <v/>
      </c>
      <c r="AS338" s="8" t="str">
        <f t="shared" si="133"/>
        <v/>
      </c>
      <c r="AT338" s="9" t="str">
        <f t="shared" si="134"/>
        <v/>
      </c>
      <c r="AU338" s="9" t="str">
        <f t="shared" si="135"/>
        <v/>
      </c>
      <c r="AV338" s="14"/>
      <c r="AW338" s="15"/>
      <c r="AX338" s="14" t="str">
        <f t="shared" si="136"/>
        <v/>
      </c>
      <c r="AY338" s="15"/>
      <c r="AZ338" s="23"/>
      <c r="EW338" t="s">
        <v>46</v>
      </c>
      <c r="EX338" s="33">
        <v>1337</v>
      </c>
      <c r="EY338" s="33" t="s">
        <v>881</v>
      </c>
      <c r="EZ338" s="33" t="s">
        <v>882</v>
      </c>
      <c r="FA338" s="33" t="s">
        <v>343</v>
      </c>
      <c r="FB338" s="33" t="s">
        <v>344</v>
      </c>
      <c r="FC338" s="33" t="s">
        <v>345</v>
      </c>
      <c r="FD338" s="33" t="s">
        <v>346</v>
      </c>
      <c r="FE338" s="33">
        <v>2025</v>
      </c>
      <c r="FF338" s="33" t="s">
        <v>59</v>
      </c>
      <c r="FG338" s="33" t="s">
        <v>470</v>
      </c>
      <c r="FH338" s="33" t="s">
        <v>471</v>
      </c>
      <c r="FI338" s="33" t="s">
        <v>467</v>
      </c>
      <c r="FJ338" t="s">
        <v>59</v>
      </c>
      <c r="FM338" s="32" t="s">
        <v>868</v>
      </c>
      <c r="FN338" t="s">
        <v>869</v>
      </c>
      <c r="FO338" t="s">
        <v>870</v>
      </c>
      <c r="FP338" t="str">
        <f t="shared" si="118"/>
        <v>B</v>
      </c>
      <c r="GU338" s="53">
        <v>108</v>
      </c>
      <c r="GV338" s="53">
        <v>332</v>
      </c>
    </row>
    <row r="339" spans="1:204" ht="15.5" x14ac:dyDescent="0.35">
      <c r="A339" s="95">
        <f t="shared" si="119"/>
        <v>1</v>
      </c>
      <c r="B339" s="11"/>
      <c r="C339" s="11"/>
      <c r="D339" s="92" t="str">
        <f>IFERROR(
IF(AND(OR(Planilla!B339="C",Planilla!B339="c"), VLOOKUP(E339,EX:FJ,13,0)="C"), "OK",IF(AND(OR(Planilla!B339="C",Planilla!B339="c"), OR(VLOOKUP(E339,EX:FJ,13,0)="B", VLOOKUP(E339,EX:FJ,13,0)="A")), "DEFICIT",IF(
AND(OR(Planilla!B339="B", Planilla!B339="BPAL"), VLOOKUP(E339,EX:FJ,13,0)="B"), "OK",IF(AND(OR(Planilla!B339="B", Planilla!B339="BPAL"), VLOOKUP(E339,EX:FJ,13,0)="A"), "DEFICIT",IF(AND(OR(Planilla!B339="B", Planilla!B339="BPAL"), VLOOKUP(E339,EX:FJ,13,0)="C"), "SOBREOFERTA",IF(AND(Planilla!B339="A", VLOOKUP(E339,EX:FJ,13,0)="A"), "OK",IF(
AND(Planilla!B339="A", OR(VLOOKUP(E339,EX:FJ,13,0)="B", VLOOKUP(E339,EX:FJ,13,0)="C")), "SOBREOFERTA",""
))))))),"")</f>
        <v/>
      </c>
      <c r="E339" s="12"/>
      <c r="F339" s="13"/>
      <c r="G339" s="14"/>
      <c r="H339" s="81" t="str">
        <f t="shared" si="120"/>
        <v/>
      </c>
      <c r="I339" s="7"/>
      <c r="J339" s="6" t="e">
        <f t="shared" si="121"/>
        <v>#N/A</v>
      </c>
      <c r="K339" s="6" t="str">
        <f>IF(A340&lt;&gt;A339,AVERAGEIF(A$9:A339,A339,J$9:J339),"")</f>
        <v/>
      </c>
      <c r="L339" s="7" t="str">
        <f>IFERROR(IF(A340&lt;&gt;A339,AVERAGEIF(A$9:A339,A339,S$9:S339),""),"")</f>
        <v/>
      </c>
      <c r="M339" s="7" t="str">
        <f>IFERROR(IF(A340&lt;&gt;A339,AVERAGEIF(A$9:A339,A339,T$9:T339),""),"")</f>
        <v/>
      </c>
      <c r="N339" s="7" t="str" cm="1">
        <f t="array" ref="N339">IFERROR(IF(A340&lt;&gt;A339,_xlfn.STDEV.P(IF(A$9:A339=A339,T$9:T339)),""),"")</f>
        <v/>
      </c>
      <c r="O339" s="7" t="str" cm="1">
        <f t="array" ref="O339">IFERROR(IF(A340&lt;&gt;A339,_xlfn.STDEV.P(IF(A$9:A339=A339,S$9:S339)),""),"")</f>
        <v/>
      </c>
      <c r="P339" s="8" t="str">
        <f t="shared" si="122"/>
        <v/>
      </c>
      <c r="Q339" s="8" t="str">
        <f t="shared" si="123"/>
        <v/>
      </c>
      <c r="R339" s="8" t="str">
        <f t="shared" si="124"/>
        <v/>
      </c>
      <c r="S339" s="9" t="str">
        <f t="shared" si="125"/>
        <v/>
      </c>
      <c r="T339" s="9" t="str">
        <f t="shared" si="126"/>
        <v/>
      </c>
      <c r="U339" s="14"/>
      <c r="V339" s="15"/>
      <c r="W339" s="14" t="str">
        <f t="shared" si="127"/>
        <v/>
      </c>
      <c r="X339" s="15"/>
      <c r="Y339" s="2"/>
      <c r="AB339" s="22">
        <f t="shared" si="128"/>
        <v>1</v>
      </c>
      <c r="AC339" s="11"/>
      <c r="AD339" s="11"/>
      <c r="AE339" s="13"/>
      <c r="AF339" s="12"/>
      <c r="AG339" s="13"/>
      <c r="AH339" s="14"/>
      <c r="AI339" s="81" t="str">
        <f t="shared" si="129"/>
        <v/>
      </c>
      <c r="AJ339" s="15"/>
      <c r="AK339" s="6" t="e">
        <f t="shared" si="130"/>
        <v>#N/A</v>
      </c>
      <c r="AL339" s="6" t="str">
        <f>IF(AB340&lt;&gt;AB339,AVERAGEIF(AB$9:AB339,AB339,AK$9:AK339),"")</f>
        <v/>
      </c>
      <c r="AM339" s="7" t="str">
        <f>IFERROR(IF(AB340&lt;&gt;AB339,AVERAGEIF(AB$9:AB339,AB339,AT$9:AT339),""),"")</f>
        <v/>
      </c>
      <c r="AN339" s="7" t="str">
        <f>IFERROR(IF(AB340&lt;&gt;AB339,AVERAGEIF(AB$9:AB339,AB339,AU$9:AU339),""),"")</f>
        <v/>
      </c>
      <c r="AO339" s="7" t="str" cm="1">
        <f t="array" ref="AO339">IFERROR(IF(AB340&lt;&gt;AB339,_xlfn.STDEV.P(IF(AB$9:AB339=AB339,AU$9:AU339)),""),"")</f>
        <v/>
      </c>
      <c r="AP339" s="7" t="str" cm="1">
        <f t="array" ref="AP339">IFERROR(IF(AB340&lt;&gt;AB339,_xlfn.STDEV.P(IF(AB$9:AB339=AB339,AT$9:AT339)),""),"")</f>
        <v/>
      </c>
      <c r="AQ339" s="8" t="str">
        <f t="shared" si="131"/>
        <v/>
      </c>
      <c r="AR339" s="8" t="str">
        <f t="shared" si="132"/>
        <v/>
      </c>
      <c r="AS339" s="8" t="str">
        <f t="shared" si="133"/>
        <v/>
      </c>
      <c r="AT339" s="9" t="str">
        <f t="shared" si="134"/>
        <v/>
      </c>
      <c r="AU339" s="9" t="str">
        <f t="shared" si="135"/>
        <v/>
      </c>
      <c r="AV339" s="14"/>
      <c r="AW339" s="15"/>
      <c r="AX339" s="14" t="str">
        <f t="shared" si="136"/>
        <v/>
      </c>
      <c r="AY339" s="15"/>
      <c r="AZ339" s="23"/>
      <c r="EW339" t="s">
        <v>46</v>
      </c>
      <c r="EX339" s="33">
        <v>1338</v>
      </c>
      <c r="EY339" s="33" t="s">
        <v>883</v>
      </c>
      <c r="EZ339" s="33" t="s">
        <v>884</v>
      </c>
      <c r="FA339" s="33" t="s">
        <v>343</v>
      </c>
      <c r="FB339" s="33" t="s">
        <v>344</v>
      </c>
      <c r="FC339" s="33" t="s">
        <v>345</v>
      </c>
      <c r="FD339" s="33" t="s">
        <v>346</v>
      </c>
      <c r="FE339" s="33">
        <v>2025</v>
      </c>
      <c r="FF339" s="33" t="s">
        <v>59</v>
      </c>
      <c r="FG339" s="33" t="s">
        <v>477</v>
      </c>
      <c r="FH339" s="33" t="s">
        <v>478</v>
      </c>
      <c r="FI339" s="33" t="s">
        <v>479</v>
      </c>
      <c r="FJ339" t="s">
        <v>59</v>
      </c>
      <c r="FM339" s="32" t="s">
        <v>868</v>
      </c>
      <c r="FN339" t="s">
        <v>869</v>
      </c>
      <c r="FO339" t="s">
        <v>870</v>
      </c>
      <c r="FP339" t="str">
        <f t="shared" si="118"/>
        <v>B</v>
      </c>
      <c r="GU339" s="53">
        <v>109</v>
      </c>
      <c r="GV339" s="53">
        <v>333</v>
      </c>
    </row>
    <row r="340" spans="1:204" ht="15.5" x14ac:dyDescent="0.35">
      <c r="A340" s="95">
        <f t="shared" si="119"/>
        <v>1</v>
      </c>
      <c r="B340" s="11"/>
      <c r="C340" s="11"/>
      <c r="D340" s="92" t="str">
        <f>IFERROR(
IF(AND(OR(Planilla!B340="C",Planilla!B340="c"), VLOOKUP(E340,EX:FJ,13,0)="C"), "OK",IF(AND(OR(Planilla!B340="C",Planilla!B340="c"), OR(VLOOKUP(E340,EX:FJ,13,0)="B", VLOOKUP(E340,EX:FJ,13,0)="A")), "DEFICIT",IF(
AND(OR(Planilla!B340="B", Planilla!B340="BPAL"), VLOOKUP(E340,EX:FJ,13,0)="B"), "OK",IF(AND(OR(Planilla!B340="B", Planilla!B340="BPAL"), VLOOKUP(E340,EX:FJ,13,0)="A"), "DEFICIT",IF(AND(OR(Planilla!B340="B", Planilla!B340="BPAL"), VLOOKUP(E340,EX:FJ,13,0)="C"), "SOBREOFERTA",IF(AND(Planilla!B340="A", VLOOKUP(E340,EX:FJ,13,0)="A"), "OK",IF(
AND(Planilla!B340="A", OR(VLOOKUP(E340,EX:FJ,13,0)="B", VLOOKUP(E340,EX:FJ,13,0)="C")), "SOBREOFERTA",""
))))))),"")</f>
        <v/>
      </c>
      <c r="E340" s="12"/>
      <c r="F340" s="13"/>
      <c r="G340" s="14"/>
      <c r="H340" s="81" t="str">
        <f t="shared" si="120"/>
        <v/>
      </c>
      <c r="I340" s="7"/>
      <c r="J340" s="6" t="e">
        <f t="shared" si="121"/>
        <v>#N/A</v>
      </c>
      <c r="K340" s="6" t="str">
        <f>IF(A341&lt;&gt;A340,AVERAGEIF(A$9:A340,A340,J$9:J340),"")</f>
        <v/>
      </c>
      <c r="L340" s="7" t="str">
        <f>IFERROR(IF(A341&lt;&gt;A340,AVERAGEIF(A$9:A340,A340,S$9:S340),""),"")</f>
        <v/>
      </c>
      <c r="M340" s="7" t="str">
        <f>IFERROR(IF(A341&lt;&gt;A340,AVERAGEIF(A$9:A340,A340,T$9:T340),""),"")</f>
        <v/>
      </c>
      <c r="N340" s="7" t="str" cm="1">
        <f t="array" ref="N340">IFERROR(IF(A341&lt;&gt;A340,_xlfn.STDEV.P(IF(A$9:A340=A340,T$9:T340)),""),"")</f>
        <v/>
      </c>
      <c r="O340" s="7" t="str" cm="1">
        <f t="array" ref="O340">IFERROR(IF(A341&lt;&gt;A340,_xlfn.STDEV.P(IF(A$9:A340=A340,S$9:S340)),""),"")</f>
        <v/>
      </c>
      <c r="P340" s="8" t="str">
        <f t="shared" si="122"/>
        <v/>
      </c>
      <c r="Q340" s="8" t="str">
        <f t="shared" si="123"/>
        <v/>
      </c>
      <c r="R340" s="8" t="str">
        <f t="shared" si="124"/>
        <v/>
      </c>
      <c r="S340" s="9" t="str">
        <f t="shared" si="125"/>
        <v/>
      </c>
      <c r="T340" s="9" t="str">
        <f t="shared" si="126"/>
        <v/>
      </c>
      <c r="U340" s="14"/>
      <c r="V340" s="15"/>
      <c r="W340" s="14" t="str">
        <f t="shared" si="127"/>
        <v/>
      </c>
      <c r="X340" s="15"/>
      <c r="Y340" s="2"/>
      <c r="AB340" s="22">
        <f t="shared" si="128"/>
        <v>1</v>
      </c>
      <c r="AC340" s="11"/>
      <c r="AD340" s="11"/>
      <c r="AE340" s="13"/>
      <c r="AF340" s="12"/>
      <c r="AG340" s="13"/>
      <c r="AH340" s="14"/>
      <c r="AI340" s="81" t="str">
        <f t="shared" si="129"/>
        <v/>
      </c>
      <c r="AJ340" s="15"/>
      <c r="AK340" s="6" t="e">
        <f t="shared" si="130"/>
        <v>#N/A</v>
      </c>
      <c r="AL340" s="6" t="str">
        <f>IF(AB341&lt;&gt;AB340,AVERAGEIF(AB$9:AB340,AB340,AK$9:AK340),"")</f>
        <v/>
      </c>
      <c r="AM340" s="7" t="str">
        <f>IFERROR(IF(AB341&lt;&gt;AB340,AVERAGEIF(AB$9:AB340,AB340,AT$9:AT340),""),"")</f>
        <v/>
      </c>
      <c r="AN340" s="7" t="str">
        <f>IFERROR(IF(AB341&lt;&gt;AB340,AVERAGEIF(AB$9:AB340,AB340,AU$9:AU340),""),"")</f>
        <v/>
      </c>
      <c r="AO340" s="7" t="str" cm="1">
        <f t="array" ref="AO340">IFERROR(IF(AB341&lt;&gt;AB340,_xlfn.STDEV.P(IF(AB$9:AB340=AB340,AU$9:AU340)),""),"")</f>
        <v/>
      </c>
      <c r="AP340" s="7" t="str" cm="1">
        <f t="array" ref="AP340">IFERROR(IF(AB341&lt;&gt;AB340,_xlfn.STDEV.P(IF(AB$9:AB340=AB340,AT$9:AT340)),""),"")</f>
        <v/>
      </c>
      <c r="AQ340" s="8" t="str">
        <f t="shared" si="131"/>
        <v/>
      </c>
      <c r="AR340" s="8" t="str">
        <f t="shared" si="132"/>
        <v/>
      </c>
      <c r="AS340" s="8" t="str">
        <f t="shared" si="133"/>
        <v/>
      </c>
      <c r="AT340" s="9" t="str">
        <f t="shared" si="134"/>
        <v/>
      </c>
      <c r="AU340" s="9" t="str">
        <f t="shared" si="135"/>
        <v/>
      </c>
      <c r="AV340" s="14"/>
      <c r="AW340" s="15"/>
      <c r="AX340" s="14" t="str">
        <f t="shared" si="136"/>
        <v/>
      </c>
      <c r="AY340" s="15"/>
      <c r="AZ340" s="23"/>
      <c r="EW340" t="s">
        <v>46</v>
      </c>
      <c r="EX340" s="33">
        <v>1339</v>
      </c>
      <c r="EY340" s="33" t="s">
        <v>885</v>
      </c>
      <c r="EZ340" s="33" t="s">
        <v>886</v>
      </c>
      <c r="FA340" s="33" t="s">
        <v>343</v>
      </c>
      <c r="FB340" s="33" t="s">
        <v>344</v>
      </c>
      <c r="FC340" s="33" t="s">
        <v>345</v>
      </c>
      <c r="FD340" s="33" t="s">
        <v>346</v>
      </c>
      <c r="FE340" s="33">
        <v>2025</v>
      </c>
      <c r="FF340" s="33" t="s">
        <v>59</v>
      </c>
      <c r="FG340" s="33" t="s">
        <v>470</v>
      </c>
      <c r="FH340" s="33" t="s">
        <v>471</v>
      </c>
      <c r="FI340" s="33" t="s">
        <v>467</v>
      </c>
      <c r="FJ340" t="s">
        <v>59</v>
      </c>
      <c r="FM340" s="32" t="s">
        <v>887</v>
      </c>
      <c r="FN340" t="s">
        <v>888</v>
      </c>
      <c r="FO340" t="s">
        <v>889</v>
      </c>
      <c r="FP340" t="str">
        <f t="shared" si="118"/>
        <v>B</v>
      </c>
      <c r="GU340" s="53">
        <v>110</v>
      </c>
      <c r="GV340" s="53">
        <v>334</v>
      </c>
    </row>
    <row r="341" spans="1:204" ht="15.5" x14ac:dyDescent="0.35">
      <c r="A341" s="95">
        <f t="shared" si="119"/>
        <v>1</v>
      </c>
      <c r="B341" s="11"/>
      <c r="C341" s="11"/>
      <c r="D341" s="92" t="str">
        <f>IFERROR(
IF(AND(OR(Planilla!B341="C",Planilla!B341="c"), VLOOKUP(E341,EX:FJ,13,0)="C"), "OK",IF(AND(OR(Planilla!B341="C",Planilla!B341="c"), OR(VLOOKUP(E341,EX:FJ,13,0)="B", VLOOKUP(E341,EX:FJ,13,0)="A")), "DEFICIT",IF(
AND(OR(Planilla!B341="B", Planilla!B341="BPAL"), VLOOKUP(E341,EX:FJ,13,0)="B"), "OK",IF(AND(OR(Planilla!B341="B", Planilla!B341="BPAL"), VLOOKUP(E341,EX:FJ,13,0)="A"), "DEFICIT",IF(AND(OR(Planilla!B341="B", Planilla!B341="BPAL"), VLOOKUP(E341,EX:FJ,13,0)="C"), "SOBREOFERTA",IF(AND(Planilla!B341="A", VLOOKUP(E341,EX:FJ,13,0)="A"), "OK",IF(
AND(Planilla!B341="A", OR(VLOOKUP(E341,EX:FJ,13,0)="B", VLOOKUP(E341,EX:FJ,13,0)="C")), "SOBREOFERTA",""
))))))),"")</f>
        <v/>
      </c>
      <c r="E341" s="12"/>
      <c r="F341" s="13"/>
      <c r="G341" s="14"/>
      <c r="H341" s="81" t="str">
        <f t="shared" si="120"/>
        <v/>
      </c>
      <c r="I341" s="7"/>
      <c r="J341" s="6" t="e">
        <f t="shared" si="121"/>
        <v>#N/A</v>
      </c>
      <c r="K341" s="6" t="str">
        <f>IF(A342&lt;&gt;A341,AVERAGEIF(A$9:A341,A341,J$9:J341),"")</f>
        <v/>
      </c>
      <c r="L341" s="7" t="str">
        <f>IFERROR(IF(A342&lt;&gt;A341,AVERAGEIF(A$9:A341,A341,S$9:S341),""),"")</f>
        <v/>
      </c>
      <c r="M341" s="7" t="str">
        <f>IFERROR(IF(A342&lt;&gt;A341,AVERAGEIF(A$9:A341,A341,T$9:T341),""),"")</f>
        <v/>
      </c>
      <c r="N341" s="7" t="str" cm="1">
        <f t="array" ref="N341">IFERROR(IF(A342&lt;&gt;A341,_xlfn.STDEV.P(IF(A$9:A341=A341,T$9:T341)),""),"")</f>
        <v/>
      </c>
      <c r="O341" s="7" t="str" cm="1">
        <f t="array" ref="O341">IFERROR(IF(A342&lt;&gt;A341,_xlfn.STDEV.P(IF(A$9:A341=A341,S$9:S341)),""),"")</f>
        <v/>
      </c>
      <c r="P341" s="8" t="str">
        <f t="shared" si="122"/>
        <v/>
      </c>
      <c r="Q341" s="8" t="str">
        <f t="shared" si="123"/>
        <v/>
      </c>
      <c r="R341" s="8" t="str">
        <f t="shared" si="124"/>
        <v/>
      </c>
      <c r="S341" s="9" t="str">
        <f t="shared" si="125"/>
        <v/>
      </c>
      <c r="T341" s="9" t="str">
        <f t="shared" si="126"/>
        <v/>
      </c>
      <c r="U341" s="14"/>
      <c r="V341" s="15"/>
      <c r="W341" s="14" t="str">
        <f t="shared" si="127"/>
        <v/>
      </c>
      <c r="X341" s="15"/>
      <c r="Y341" s="2"/>
      <c r="AB341" s="22">
        <f t="shared" si="128"/>
        <v>1</v>
      </c>
      <c r="AC341" s="11"/>
      <c r="AD341" s="11"/>
      <c r="AE341" s="13"/>
      <c r="AF341" s="12"/>
      <c r="AG341" s="13"/>
      <c r="AH341" s="14"/>
      <c r="AI341" s="81" t="str">
        <f t="shared" si="129"/>
        <v/>
      </c>
      <c r="AJ341" s="15"/>
      <c r="AK341" s="6" t="e">
        <f t="shared" si="130"/>
        <v>#N/A</v>
      </c>
      <c r="AL341" s="6" t="str">
        <f>IF(AB342&lt;&gt;AB341,AVERAGEIF(AB$9:AB341,AB341,AK$9:AK341),"")</f>
        <v/>
      </c>
      <c r="AM341" s="7" t="str">
        <f>IFERROR(IF(AB342&lt;&gt;AB341,AVERAGEIF(AB$9:AB341,AB341,AT$9:AT341),""),"")</f>
        <v/>
      </c>
      <c r="AN341" s="7" t="str">
        <f>IFERROR(IF(AB342&lt;&gt;AB341,AVERAGEIF(AB$9:AB341,AB341,AU$9:AU341),""),"")</f>
        <v/>
      </c>
      <c r="AO341" s="7" t="str" cm="1">
        <f t="array" ref="AO341">IFERROR(IF(AB342&lt;&gt;AB341,_xlfn.STDEV.P(IF(AB$9:AB341=AB341,AU$9:AU341)),""),"")</f>
        <v/>
      </c>
      <c r="AP341" s="7" t="str" cm="1">
        <f t="array" ref="AP341">IFERROR(IF(AB342&lt;&gt;AB341,_xlfn.STDEV.P(IF(AB$9:AB341=AB341,AT$9:AT341)),""),"")</f>
        <v/>
      </c>
      <c r="AQ341" s="8" t="str">
        <f t="shared" si="131"/>
        <v/>
      </c>
      <c r="AR341" s="8" t="str">
        <f t="shared" si="132"/>
        <v/>
      </c>
      <c r="AS341" s="8" t="str">
        <f t="shared" si="133"/>
        <v/>
      </c>
      <c r="AT341" s="9" t="str">
        <f t="shared" si="134"/>
        <v/>
      </c>
      <c r="AU341" s="9" t="str">
        <f t="shared" si="135"/>
        <v/>
      </c>
      <c r="AV341" s="14"/>
      <c r="AW341" s="15"/>
      <c r="AX341" s="14" t="str">
        <f t="shared" si="136"/>
        <v/>
      </c>
      <c r="AY341" s="15"/>
      <c r="AZ341" s="23"/>
      <c r="EW341" t="s">
        <v>46</v>
      </c>
      <c r="EX341" s="33">
        <v>1340</v>
      </c>
      <c r="EY341" s="33" t="s">
        <v>890</v>
      </c>
      <c r="EZ341" s="33" t="s">
        <v>891</v>
      </c>
      <c r="FA341" s="33" t="s">
        <v>343</v>
      </c>
      <c r="FB341" s="33" t="s">
        <v>344</v>
      </c>
      <c r="FC341" s="33" t="s">
        <v>345</v>
      </c>
      <c r="FD341" s="33" t="s">
        <v>346</v>
      </c>
      <c r="FE341" s="33">
        <v>2025</v>
      </c>
      <c r="FF341" s="33" t="s">
        <v>59</v>
      </c>
      <c r="FG341" s="33" t="s">
        <v>470</v>
      </c>
      <c r="FH341" s="33" t="s">
        <v>471</v>
      </c>
      <c r="FI341" s="33" t="s">
        <v>467</v>
      </c>
      <c r="FJ341" t="s">
        <v>59</v>
      </c>
      <c r="FM341" s="32" t="s">
        <v>887</v>
      </c>
      <c r="FN341" t="s">
        <v>888</v>
      </c>
      <c r="FO341" t="s">
        <v>889</v>
      </c>
      <c r="FP341" t="str">
        <f t="shared" si="118"/>
        <v>B</v>
      </c>
      <c r="GU341" s="53">
        <v>111</v>
      </c>
      <c r="GV341" s="53">
        <v>335</v>
      </c>
    </row>
    <row r="342" spans="1:204" ht="15.5" x14ac:dyDescent="0.35">
      <c r="A342" s="95">
        <f t="shared" si="119"/>
        <v>1</v>
      </c>
      <c r="B342" s="11"/>
      <c r="C342" s="11"/>
      <c r="D342" s="92" t="str">
        <f>IFERROR(
IF(AND(OR(Planilla!B342="C",Planilla!B342="c"), VLOOKUP(E342,EX:FJ,13,0)="C"), "OK",IF(AND(OR(Planilla!B342="C",Planilla!B342="c"), OR(VLOOKUP(E342,EX:FJ,13,0)="B", VLOOKUP(E342,EX:FJ,13,0)="A")), "DEFICIT",IF(
AND(OR(Planilla!B342="B", Planilla!B342="BPAL"), VLOOKUP(E342,EX:FJ,13,0)="B"), "OK",IF(AND(OR(Planilla!B342="B", Planilla!B342="BPAL"), VLOOKUP(E342,EX:FJ,13,0)="A"), "DEFICIT",IF(AND(OR(Planilla!B342="B", Planilla!B342="BPAL"), VLOOKUP(E342,EX:FJ,13,0)="C"), "SOBREOFERTA",IF(AND(Planilla!B342="A", VLOOKUP(E342,EX:FJ,13,0)="A"), "OK",IF(
AND(Planilla!B342="A", OR(VLOOKUP(E342,EX:FJ,13,0)="B", VLOOKUP(E342,EX:FJ,13,0)="C")), "SOBREOFERTA",""
))))))),"")</f>
        <v/>
      </c>
      <c r="E342" s="12"/>
      <c r="F342" s="13"/>
      <c r="G342" s="14"/>
      <c r="H342" s="81" t="str">
        <f t="shared" si="120"/>
        <v/>
      </c>
      <c r="I342" s="7"/>
      <c r="J342" s="6" t="e">
        <f t="shared" si="121"/>
        <v>#N/A</v>
      </c>
      <c r="K342" s="6" t="str">
        <f>IF(A343&lt;&gt;A342,AVERAGEIF(A$9:A342,A342,J$9:J342),"")</f>
        <v/>
      </c>
      <c r="L342" s="7" t="str">
        <f>IFERROR(IF(A343&lt;&gt;A342,AVERAGEIF(A$9:A342,A342,S$9:S342),""),"")</f>
        <v/>
      </c>
      <c r="M342" s="7" t="str">
        <f>IFERROR(IF(A343&lt;&gt;A342,AVERAGEIF(A$9:A342,A342,T$9:T342),""),"")</f>
        <v/>
      </c>
      <c r="N342" s="7" t="str" cm="1">
        <f t="array" ref="N342">IFERROR(IF(A343&lt;&gt;A342,_xlfn.STDEV.P(IF(A$9:A342=A342,T$9:T342)),""),"")</f>
        <v/>
      </c>
      <c r="O342" s="7" t="str" cm="1">
        <f t="array" ref="O342">IFERROR(IF(A343&lt;&gt;A342,_xlfn.STDEV.P(IF(A$9:A342=A342,S$9:S342)),""),"")</f>
        <v/>
      </c>
      <c r="P342" s="8" t="str">
        <f t="shared" si="122"/>
        <v/>
      </c>
      <c r="Q342" s="8" t="str">
        <f t="shared" si="123"/>
        <v/>
      </c>
      <c r="R342" s="8" t="str">
        <f t="shared" si="124"/>
        <v/>
      </c>
      <c r="S342" s="9" t="str">
        <f t="shared" si="125"/>
        <v/>
      </c>
      <c r="T342" s="9" t="str">
        <f t="shared" si="126"/>
        <v/>
      </c>
      <c r="U342" s="14"/>
      <c r="V342" s="15"/>
      <c r="W342" s="14" t="str">
        <f t="shared" si="127"/>
        <v/>
      </c>
      <c r="X342" s="15"/>
      <c r="Y342" s="2"/>
      <c r="AB342" s="22">
        <f t="shared" si="128"/>
        <v>1</v>
      </c>
      <c r="AC342" s="11"/>
      <c r="AD342" s="11"/>
      <c r="AE342" s="13"/>
      <c r="AF342" s="12"/>
      <c r="AG342" s="13"/>
      <c r="AH342" s="14"/>
      <c r="AI342" s="81" t="str">
        <f t="shared" si="129"/>
        <v/>
      </c>
      <c r="AJ342" s="15"/>
      <c r="AK342" s="6" t="e">
        <f t="shared" si="130"/>
        <v>#N/A</v>
      </c>
      <c r="AL342" s="6" t="str">
        <f>IF(AB343&lt;&gt;AB342,AVERAGEIF(AB$9:AB342,AB342,AK$9:AK342),"")</f>
        <v/>
      </c>
      <c r="AM342" s="7" t="str">
        <f>IFERROR(IF(AB343&lt;&gt;AB342,AVERAGEIF(AB$9:AB342,AB342,AT$9:AT342),""),"")</f>
        <v/>
      </c>
      <c r="AN342" s="7" t="str">
        <f>IFERROR(IF(AB343&lt;&gt;AB342,AVERAGEIF(AB$9:AB342,AB342,AU$9:AU342),""),"")</f>
        <v/>
      </c>
      <c r="AO342" s="7" t="str" cm="1">
        <f t="array" ref="AO342">IFERROR(IF(AB343&lt;&gt;AB342,_xlfn.STDEV.P(IF(AB$9:AB342=AB342,AU$9:AU342)),""),"")</f>
        <v/>
      </c>
      <c r="AP342" s="7" t="str" cm="1">
        <f t="array" ref="AP342">IFERROR(IF(AB343&lt;&gt;AB342,_xlfn.STDEV.P(IF(AB$9:AB342=AB342,AT$9:AT342)),""),"")</f>
        <v/>
      </c>
      <c r="AQ342" s="8" t="str">
        <f t="shared" si="131"/>
        <v/>
      </c>
      <c r="AR342" s="8" t="str">
        <f t="shared" si="132"/>
        <v/>
      </c>
      <c r="AS342" s="8" t="str">
        <f t="shared" si="133"/>
        <v/>
      </c>
      <c r="AT342" s="9" t="str">
        <f t="shared" si="134"/>
        <v/>
      </c>
      <c r="AU342" s="9" t="str">
        <f t="shared" si="135"/>
        <v/>
      </c>
      <c r="AV342" s="14"/>
      <c r="AW342" s="15"/>
      <c r="AX342" s="14" t="str">
        <f t="shared" si="136"/>
        <v/>
      </c>
      <c r="AY342" s="15"/>
      <c r="AZ342" s="23"/>
      <c r="EW342" t="s">
        <v>46</v>
      </c>
      <c r="EX342" s="33">
        <v>1341</v>
      </c>
      <c r="EY342" s="33" t="s">
        <v>892</v>
      </c>
      <c r="EZ342" s="33" t="s">
        <v>893</v>
      </c>
      <c r="FA342" s="33" t="s">
        <v>343</v>
      </c>
      <c r="FB342" s="33" t="s">
        <v>344</v>
      </c>
      <c r="FC342" s="33" t="s">
        <v>345</v>
      </c>
      <c r="FD342" s="33" t="s">
        <v>346</v>
      </c>
      <c r="FE342" s="33">
        <v>2025</v>
      </c>
      <c r="FF342" s="33" t="s">
        <v>59</v>
      </c>
      <c r="FG342" s="33" t="s">
        <v>470</v>
      </c>
      <c r="FH342" s="33" t="s">
        <v>471</v>
      </c>
      <c r="FI342" s="33" t="s">
        <v>467</v>
      </c>
      <c r="FJ342" t="s">
        <v>59</v>
      </c>
      <c r="FM342" s="32" t="s">
        <v>887</v>
      </c>
      <c r="FN342" t="s">
        <v>888</v>
      </c>
      <c r="FO342" t="s">
        <v>889</v>
      </c>
      <c r="FP342" t="str">
        <f t="shared" si="118"/>
        <v>B</v>
      </c>
      <c r="GU342" s="53">
        <v>112</v>
      </c>
      <c r="GV342" s="53">
        <v>336</v>
      </c>
    </row>
    <row r="343" spans="1:204" ht="15.5" x14ac:dyDescent="0.35">
      <c r="A343" s="95">
        <f t="shared" si="119"/>
        <v>1</v>
      </c>
      <c r="B343" s="11"/>
      <c r="C343" s="11"/>
      <c r="D343" s="92" t="str">
        <f>IFERROR(
IF(AND(OR(Planilla!B343="C",Planilla!B343="c"), VLOOKUP(E343,EX:FJ,13,0)="C"), "OK",IF(AND(OR(Planilla!B343="C",Planilla!B343="c"), OR(VLOOKUP(E343,EX:FJ,13,0)="B", VLOOKUP(E343,EX:FJ,13,0)="A")), "DEFICIT",IF(
AND(OR(Planilla!B343="B", Planilla!B343="BPAL"), VLOOKUP(E343,EX:FJ,13,0)="B"), "OK",IF(AND(OR(Planilla!B343="B", Planilla!B343="BPAL"), VLOOKUP(E343,EX:FJ,13,0)="A"), "DEFICIT",IF(AND(OR(Planilla!B343="B", Planilla!B343="BPAL"), VLOOKUP(E343,EX:FJ,13,0)="C"), "SOBREOFERTA",IF(AND(Planilla!B343="A", VLOOKUP(E343,EX:FJ,13,0)="A"), "OK",IF(
AND(Planilla!B343="A", OR(VLOOKUP(E343,EX:FJ,13,0)="B", VLOOKUP(E343,EX:FJ,13,0)="C")), "SOBREOFERTA",""
))))))),"")</f>
        <v/>
      </c>
      <c r="E343" s="12"/>
      <c r="F343" s="13"/>
      <c r="G343" s="14"/>
      <c r="H343" s="81" t="str">
        <f t="shared" si="120"/>
        <v/>
      </c>
      <c r="I343" s="7"/>
      <c r="J343" s="6" t="e">
        <f t="shared" si="121"/>
        <v>#N/A</v>
      </c>
      <c r="K343" s="6" t="str">
        <f>IF(A344&lt;&gt;A343,AVERAGEIF(A$9:A343,A343,J$9:J343),"")</f>
        <v/>
      </c>
      <c r="L343" s="7" t="str">
        <f>IFERROR(IF(A344&lt;&gt;A343,AVERAGEIF(A$9:A343,A343,S$9:S343),""),"")</f>
        <v/>
      </c>
      <c r="M343" s="7" t="str">
        <f>IFERROR(IF(A344&lt;&gt;A343,AVERAGEIF(A$9:A343,A343,T$9:T343),""),"")</f>
        <v/>
      </c>
      <c r="N343" s="7" t="str" cm="1">
        <f t="array" ref="N343">IFERROR(IF(A344&lt;&gt;A343,_xlfn.STDEV.P(IF(A$9:A343=A343,T$9:T343)),""),"")</f>
        <v/>
      </c>
      <c r="O343" s="7" t="str" cm="1">
        <f t="array" ref="O343">IFERROR(IF(A344&lt;&gt;A343,_xlfn.STDEV.P(IF(A$9:A343=A343,S$9:S343)),""),"")</f>
        <v/>
      </c>
      <c r="P343" s="8" t="str">
        <f t="shared" si="122"/>
        <v/>
      </c>
      <c r="Q343" s="8" t="str">
        <f t="shared" si="123"/>
        <v/>
      </c>
      <c r="R343" s="8" t="str">
        <f t="shared" si="124"/>
        <v/>
      </c>
      <c r="S343" s="9" t="str">
        <f t="shared" si="125"/>
        <v/>
      </c>
      <c r="T343" s="9" t="str">
        <f t="shared" si="126"/>
        <v/>
      </c>
      <c r="U343" s="14"/>
      <c r="V343" s="15"/>
      <c r="W343" s="14" t="str">
        <f t="shared" si="127"/>
        <v/>
      </c>
      <c r="X343" s="15"/>
      <c r="Y343" s="2"/>
      <c r="AB343" s="22">
        <f t="shared" si="128"/>
        <v>1</v>
      </c>
      <c r="AC343" s="11"/>
      <c r="AD343" s="11"/>
      <c r="AE343" s="13"/>
      <c r="AF343" s="12"/>
      <c r="AG343" s="13"/>
      <c r="AH343" s="14"/>
      <c r="AI343" s="81" t="str">
        <f t="shared" si="129"/>
        <v/>
      </c>
      <c r="AJ343" s="15"/>
      <c r="AK343" s="6" t="e">
        <f t="shared" si="130"/>
        <v>#N/A</v>
      </c>
      <c r="AL343" s="6" t="str">
        <f>IF(AB344&lt;&gt;AB343,AVERAGEIF(AB$9:AB343,AB343,AK$9:AK343),"")</f>
        <v/>
      </c>
      <c r="AM343" s="7" t="str">
        <f>IFERROR(IF(AB344&lt;&gt;AB343,AVERAGEIF(AB$9:AB343,AB343,AT$9:AT343),""),"")</f>
        <v/>
      </c>
      <c r="AN343" s="7" t="str">
        <f>IFERROR(IF(AB344&lt;&gt;AB343,AVERAGEIF(AB$9:AB343,AB343,AU$9:AU343),""),"")</f>
        <v/>
      </c>
      <c r="AO343" s="7" t="str" cm="1">
        <f t="array" ref="AO343">IFERROR(IF(AB344&lt;&gt;AB343,_xlfn.STDEV.P(IF(AB$9:AB343=AB343,AU$9:AU343)),""),"")</f>
        <v/>
      </c>
      <c r="AP343" s="7" t="str" cm="1">
        <f t="array" ref="AP343">IFERROR(IF(AB344&lt;&gt;AB343,_xlfn.STDEV.P(IF(AB$9:AB343=AB343,AT$9:AT343)),""),"")</f>
        <v/>
      </c>
      <c r="AQ343" s="8" t="str">
        <f t="shared" si="131"/>
        <v/>
      </c>
      <c r="AR343" s="8" t="str">
        <f t="shared" si="132"/>
        <v/>
      </c>
      <c r="AS343" s="8" t="str">
        <f t="shared" si="133"/>
        <v/>
      </c>
      <c r="AT343" s="9" t="str">
        <f t="shared" si="134"/>
        <v/>
      </c>
      <c r="AU343" s="9" t="str">
        <f t="shared" si="135"/>
        <v/>
      </c>
      <c r="AV343" s="14"/>
      <c r="AW343" s="15"/>
      <c r="AX343" s="14" t="str">
        <f t="shared" si="136"/>
        <v/>
      </c>
      <c r="AY343" s="15"/>
      <c r="AZ343" s="23"/>
      <c r="EW343" t="s">
        <v>46</v>
      </c>
      <c r="EX343" s="33">
        <v>1342</v>
      </c>
      <c r="EY343" s="33" t="s">
        <v>894</v>
      </c>
      <c r="EZ343" s="33" t="s">
        <v>895</v>
      </c>
      <c r="FA343" s="33" t="s">
        <v>343</v>
      </c>
      <c r="FB343" s="33" t="s">
        <v>344</v>
      </c>
      <c r="FC343" s="33" t="s">
        <v>345</v>
      </c>
      <c r="FD343" s="33" t="s">
        <v>346</v>
      </c>
      <c r="FE343" s="33">
        <v>2025</v>
      </c>
      <c r="FF343" s="33" t="s">
        <v>59</v>
      </c>
      <c r="FG343" s="33" t="s">
        <v>477</v>
      </c>
      <c r="FH343" s="33" t="s">
        <v>478</v>
      </c>
      <c r="FI343" s="33" t="s">
        <v>479</v>
      </c>
      <c r="FJ343" t="s">
        <v>59</v>
      </c>
      <c r="FM343" s="32" t="s">
        <v>887</v>
      </c>
      <c r="FN343" t="s">
        <v>888</v>
      </c>
      <c r="FO343" t="s">
        <v>889</v>
      </c>
      <c r="FP343" t="str">
        <f t="shared" si="118"/>
        <v>B</v>
      </c>
      <c r="GU343" s="53">
        <v>113</v>
      </c>
      <c r="GV343" s="53">
        <v>337</v>
      </c>
    </row>
    <row r="344" spans="1:204" ht="15.5" x14ac:dyDescent="0.35">
      <c r="A344" s="95">
        <f t="shared" si="119"/>
        <v>1</v>
      </c>
      <c r="B344" s="11"/>
      <c r="C344" s="11"/>
      <c r="D344" s="92" t="str">
        <f>IFERROR(
IF(AND(OR(Planilla!B344="C",Planilla!B344="c"), VLOOKUP(E344,EX:FJ,13,0)="C"), "OK",IF(AND(OR(Planilla!B344="C",Planilla!B344="c"), OR(VLOOKUP(E344,EX:FJ,13,0)="B", VLOOKUP(E344,EX:FJ,13,0)="A")), "DEFICIT",IF(
AND(OR(Planilla!B344="B", Planilla!B344="BPAL"), VLOOKUP(E344,EX:FJ,13,0)="B"), "OK",IF(AND(OR(Planilla!B344="B", Planilla!B344="BPAL"), VLOOKUP(E344,EX:FJ,13,0)="A"), "DEFICIT",IF(AND(OR(Planilla!B344="B", Planilla!B344="BPAL"), VLOOKUP(E344,EX:FJ,13,0)="C"), "SOBREOFERTA",IF(AND(Planilla!B344="A", VLOOKUP(E344,EX:FJ,13,0)="A"), "OK",IF(
AND(Planilla!B344="A", OR(VLOOKUP(E344,EX:FJ,13,0)="B", VLOOKUP(E344,EX:FJ,13,0)="C")), "SOBREOFERTA",""
))))))),"")</f>
        <v/>
      </c>
      <c r="E344" s="12"/>
      <c r="F344" s="13"/>
      <c r="G344" s="14"/>
      <c r="H344" s="81" t="str">
        <f t="shared" si="120"/>
        <v/>
      </c>
      <c r="I344" s="7"/>
      <c r="J344" s="6" t="e">
        <f t="shared" si="121"/>
        <v>#N/A</v>
      </c>
      <c r="K344" s="6" t="str">
        <f>IF(A345&lt;&gt;A344,AVERAGEIF(A$9:A344,A344,J$9:J344),"")</f>
        <v/>
      </c>
      <c r="L344" s="7" t="str">
        <f>IFERROR(IF(A345&lt;&gt;A344,AVERAGEIF(A$9:A344,A344,S$9:S344),""),"")</f>
        <v/>
      </c>
      <c r="M344" s="7" t="str">
        <f>IFERROR(IF(A345&lt;&gt;A344,AVERAGEIF(A$9:A344,A344,T$9:T344),""),"")</f>
        <v/>
      </c>
      <c r="N344" s="7" t="str" cm="1">
        <f t="array" ref="N344">IFERROR(IF(A345&lt;&gt;A344,_xlfn.STDEV.P(IF(A$9:A344=A344,T$9:T344)),""),"")</f>
        <v/>
      </c>
      <c r="O344" s="7" t="str" cm="1">
        <f t="array" ref="O344">IFERROR(IF(A345&lt;&gt;A344,_xlfn.STDEV.P(IF(A$9:A344=A344,S$9:S344)),""),"")</f>
        <v/>
      </c>
      <c r="P344" s="8" t="str">
        <f t="shared" si="122"/>
        <v/>
      </c>
      <c r="Q344" s="8" t="str">
        <f t="shared" si="123"/>
        <v/>
      </c>
      <c r="R344" s="8" t="str">
        <f t="shared" si="124"/>
        <v/>
      </c>
      <c r="S344" s="9" t="str">
        <f t="shared" si="125"/>
        <v/>
      </c>
      <c r="T344" s="9" t="str">
        <f t="shared" si="126"/>
        <v/>
      </c>
      <c r="U344" s="14"/>
      <c r="V344" s="15"/>
      <c r="W344" s="14" t="str">
        <f t="shared" si="127"/>
        <v/>
      </c>
      <c r="X344" s="15"/>
      <c r="Y344" s="2"/>
      <c r="AB344" s="22">
        <f t="shared" si="128"/>
        <v>1</v>
      </c>
      <c r="AC344" s="11"/>
      <c r="AD344" s="11"/>
      <c r="AE344" s="13"/>
      <c r="AF344" s="12"/>
      <c r="AG344" s="13"/>
      <c r="AH344" s="14"/>
      <c r="AI344" s="81" t="str">
        <f t="shared" si="129"/>
        <v/>
      </c>
      <c r="AJ344" s="15"/>
      <c r="AK344" s="6" t="e">
        <f t="shared" si="130"/>
        <v>#N/A</v>
      </c>
      <c r="AL344" s="6" t="str">
        <f>IF(AB345&lt;&gt;AB344,AVERAGEIF(AB$9:AB344,AB344,AK$9:AK344),"")</f>
        <v/>
      </c>
      <c r="AM344" s="7" t="str">
        <f>IFERROR(IF(AB345&lt;&gt;AB344,AVERAGEIF(AB$9:AB344,AB344,AT$9:AT344),""),"")</f>
        <v/>
      </c>
      <c r="AN344" s="7" t="str">
        <f>IFERROR(IF(AB345&lt;&gt;AB344,AVERAGEIF(AB$9:AB344,AB344,AU$9:AU344),""),"")</f>
        <v/>
      </c>
      <c r="AO344" s="7" t="str" cm="1">
        <f t="array" ref="AO344">IFERROR(IF(AB345&lt;&gt;AB344,_xlfn.STDEV.P(IF(AB$9:AB344=AB344,AU$9:AU344)),""),"")</f>
        <v/>
      </c>
      <c r="AP344" s="7" t="str" cm="1">
        <f t="array" ref="AP344">IFERROR(IF(AB345&lt;&gt;AB344,_xlfn.STDEV.P(IF(AB$9:AB344=AB344,AT$9:AT344)),""),"")</f>
        <v/>
      </c>
      <c r="AQ344" s="8" t="str">
        <f t="shared" si="131"/>
        <v/>
      </c>
      <c r="AR344" s="8" t="str">
        <f t="shared" si="132"/>
        <v/>
      </c>
      <c r="AS344" s="8" t="str">
        <f t="shared" si="133"/>
        <v/>
      </c>
      <c r="AT344" s="9" t="str">
        <f t="shared" si="134"/>
        <v/>
      </c>
      <c r="AU344" s="9" t="str">
        <f t="shared" si="135"/>
        <v/>
      </c>
      <c r="AV344" s="14"/>
      <c r="AW344" s="15"/>
      <c r="AX344" s="14" t="str">
        <f t="shared" si="136"/>
        <v/>
      </c>
      <c r="AY344" s="15"/>
      <c r="AZ344" s="23"/>
      <c r="EW344" t="s">
        <v>46</v>
      </c>
      <c r="EX344" s="33">
        <v>1343</v>
      </c>
      <c r="EY344" s="33" t="s">
        <v>896</v>
      </c>
      <c r="EZ344" s="33" t="s">
        <v>897</v>
      </c>
      <c r="FA344" s="33" t="s">
        <v>343</v>
      </c>
      <c r="FB344" s="33" t="s">
        <v>344</v>
      </c>
      <c r="FC344" s="33" t="s">
        <v>345</v>
      </c>
      <c r="FD344" s="33" t="s">
        <v>346</v>
      </c>
      <c r="FE344" s="33">
        <v>2025</v>
      </c>
      <c r="FF344" s="33" t="s">
        <v>59</v>
      </c>
      <c r="FG344" s="33" t="s">
        <v>477</v>
      </c>
      <c r="FH344" s="33" t="s">
        <v>478</v>
      </c>
      <c r="FI344" s="33" t="s">
        <v>479</v>
      </c>
      <c r="FJ344" t="s">
        <v>59</v>
      </c>
      <c r="FM344" s="32" t="s">
        <v>898</v>
      </c>
      <c r="FN344" t="s">
        <v>899</v>
      </c>
      <c r="FO344" t="s">
        <v>900</v>
      </c>
      <c r="FP344" t="str">
        <f t="shared" si="118"/>
        <v>B</v>
      </c>
      <c r="GU344" s="53">
        <v>114</v>
      </c>
      <c r="GV344" s="53">
        <v>338</v>
      </c>
    </row>
    <row r="345" spans="1:204" ht="15.5" x14ac:dyDescent="0.35">
      <c r="A345" s="95">
        <f t="shared" si="119"/>
        <v>1</v>
      </c>
      <c r="B345" s="11"/>
      <c r="C345" s="11"/>
      <c r="D345" s="92" t="str">
        <f>IFERROR(
IF(AND(OR(Planilla!B345="C",Planilla!B345="c"), VLOOKUP(E345,EX:FJ,13,0)="C"), "OK",IF(AND(OR(Planilla!B345="C",Planilla!B345="c"), OR(VLOOKUP(E345,EX:FJ,13,0)="B", VLOOKUP(E345,EX:FJ,13,0)="A")), "DEFICIT",IF(
AND(OR(Planilla!B345="B", Planilla!B345="BPAL"), VLOOKUP(E345,EX:FJ,13,0)="B"), "OK",IF(AND(OR(Planilla!B345="B", Planilla!B345="BPAL"), VLOOKUP(E345,EX:FJ,13,0)="A"), "DEFICIT",IF(AND(OR(Planilla!B345="B", Planilla!B345="BPAL"), VLOOKUP(E345,EX:FJ,13,0)="C"), "SOBREOFERTA",IF(AND(Planilla!B345="A", VLOOKUP(E345,EX:FJ,13,0)="A"), "OK",IF(
AND(Planilla!B345="A", OR(VLOOKUP(E345,EX:FJ,13,0)="B", VLOOKUP(E345,EX:FJ,13,0)="C")), "SOBREOFERTA",""
))))))),"")</f>
        <v/>
      </c>
      <c r="E345" s="12"/>
      <c r="F345" s="13"/>
      <c r="G345" s="14"/>
      <c r="H345" s="81" t="str">
        <f t="shared" si="120"/>
        <v/>
      </c>
      <c r="I345" s="7"/>
      <c r="J345" s="6" t="e">
        <f t="shared" si="121"/>
        <v>#N/A</v>
      </c>
      <c r="K345" s="6" t="str">
        <f>IF(A346&lt;&gt;A345,AVERAGEIF(A$9:A345,A345,J$9:J345),"")</f>
        <v/>
      </c>
      <c r="L345" s="7" t="str">
        <f>IFERROR(IF(A346&lt;&gt;A345,AVERAGEIF(A$9:A345,A345,S$9:S345),""),"")</f>
        <v/>
      </c>
      <c r="M345" s="7" t="str">
        <f>IFERROR(IF(A346&lt;&gt;A345,AVERAGEIF(A$9:A345,A345,T$9:T345),""),"")</f>
        <v/>
      </c>
      <c r="N345" s="7" t="str" cm="1">
        <f t="array" ref="N345">IFERROR(IF(A346&lt;&gt;A345,_xlfn.STDEV.P(IF(A$9:A345=A345,T$9:T345)),""),"")</f>
        <v/>
      </c>
      <c r="O345" s="7" t="str" cm="1">
        <f t="array" ref="O345">IFERROR(IF(A346&lt;&gt;A345,_xlfn.STDEV.P(IF(A$9:A345=A345,S$9:S345)),""),"")</f>
        <v/>
      </c>
      <c r="P345" s="8" t="str">
        <f t="shared" si="122"/>
        <v/>
      </c>
      <c r="Q345" s="8" t="str">
        <f t="shared" si="123"/>
        <v/>
      </c>
      <c r="R345" s="8" t="str">
        <f t="shared" si="124"/>
        <v/>
      </c>
      <c r="S345" s="9" t="str">
        <f t="shared" si="125"/>
        <v/>
      </c>
      <c r="T345" s="9" t="str">
        <f t="shared" si="126"/>
        <v/>
      </c>
      <c r="U345" s="14"/>
      <c r="V345" s="15"/>
      <c r="W345" s="14" t="str">
        <f t="shared" si="127"/>
        <v/>
      </c>
      <c r="X345" s="15"/>
      <c r="Y345" s="2"/>
      <c r="AB345" s="22">
        <f t="shared" si="128"/>
        <v>1</v>
      </c>
      <c r="AC345" s="11"/>
      <c r="AD345" s="11"/>
      <c r="AE345" s="13"/>
      <c r="AF345" s="12"/>
      <c r="AG345" s="13"/>
      <c r="AH345" s="14"/>
      <c r="AI345" s="81" t="str">
        <f t="shared" si="129"/>
        <v/>
      </c>
      <c r="AJ345" s="15"/>
      <c r="AK345" s="6" t="e">
        <f t="shared" si="130"/>
        <v>#N/A</v>
      </c>
      <c r="AL345" s="6" t="str">
        <f>IF(AB346&lt;&gt;AB345,AVERAGEIF(AB$9:AB345,AB345,AK$9:AK345),"")</f>
        <v/>
      </c>
      <c r="AM345" s="7" t="str">
        <f>IFERROR(IF(AB346&lt;&gt;AB345,AVERAGEIF(AB$9:AB345,AB345,AT$9:AT345),""),"")</f>
        <v/>
      </c>
      <c r="AN345" s="7" t="str">
        <f>IFERROR(IF(AB346&lt;&gt;AB345,AVERAGEIF(AB$9:AB345,AB345,AU$9:AU345),""),"")</f>
        <v/>
      </c>
      <c r="AO345" s="7" t="str" cm="1">
        <f t="array" ref="AO345">IFERROR(IF(AB346&lt;&gt;AB345,_xlfn.STDEV.P(IF(AB$9:AB345=AB345,AU$9:AU345)),""),"")</f>
        <v/>
      </c>
      <c r="AP345" s="7" t="str" cm="1">
        <f t="array" ref="AP345">IFERROR(IF(AB346&lt;&gt;AB345,_xlfn.STDEV.P(IF(AB$9:AB345=AB345,AT$9:AT345)),""),"")</f>
        <v/>
      </c>
      <c r="AQ345" s="8" t="str">
        <f t="shared" si="131"/>
        <v/>
      </c>
      <c r="AR345" s="8" t="str">
        <f t="shared" si="132"/>
        <v/>
      </c>
      <c r="AS345" s="8" t="str">
        <f t="shared" si="133"/>
        <v/>
      </c>
      <c r="AT345" s="9" t="str">
        <f t="shared" si="134"/>
        <v/>
      </c>
      <c r="AU345" s="9" t="str">
        <f t="shared" si="135"/>
        <v/>
      </c>
      <c r="AV345" s="14"/>
      <c r="AW345" s="15"/>
      <c r="AX345" s="14" t="str">
        <f t="shared" si="136"/>
        <v/>
      </c>
      <c r="AY345" s="15"/>
      <c r="AZ345" s="23"/>
      <c r="EW345" t="s">
        <v>46</v>
      </c>
      <c r="EX345" s="33">
        <v>1344</v>
      </c>
      <c r="EY345" s="33" t="s">
        <v>901</v>
      </c>
      <c r="EZ345" s="33" t="s">
        <v>902</v>
      </c>
      <c r="FA345" s="33" t="s">
        <v>343</v>
      </c>
      <c r="FB345" s="33" t="s">
        <v>344</v>
      </c>
      <c r="FC345" s="33" t="s">
        <v>345</v>
      </c>
      <c r="FD345" s="33" t="s">
        <v>346</v>
      </c>
      <c r="FE345" s="33">
        <v>2025</v>
      </c>
      <c r="FF345" s="33" t="s">
        <v>59</v>
      </c>
      <c r="FG345" s="33" t="s">
        <v>477</v>
      </c>
      <c r="FH345" s="33" t="s">
        <v>478</v>
      </c>
      <c r="FI345" s="33" t="s">
        <v>479</v>
      </c>
      <c r="FJ345" t="s">
        <v>59</v>
      </c>
      <c r="FM345" s="32" t="s">
        <v>898</v>
      </c>
      <c r="FN345" t="s">
        <v>899</v>
      </c>
      <c r="FO345" t="s">
        <v>900</v>
      </c>
      <c r="FP345" t="str">
        <f t="shared" si="118"/>
        <v>B</v>
      </c>
      <c r="GU345" s="53">
        <v>115</v>
      </c>
      <c r="GV345" s="53">
        <v>339</v>
      </c>
    </row>
    <row r="346" spans="1:204" ht="15.5" x14ac:dyDescent="0.35">
      <c r="A346" s="95">
        <f t="shared" si="119"/>
        <v>1</v>
      </c>
      <c r="B346" s="11"/>
      <c r="C346" s="11"/>
      <c r="D346" s="92" t="str">
        <f>IFERROR(
IF(AND(OR(Planilla!B346="C",Planilla!B346="c"), VLOOKUP(E346,EX:FJ,13,0)="C"), "OK",IF(AND(OR(Planilla!B346="C",Planilla!B346="c"), OR(VLOOKUP(E346,EX:FJ,13,0)="B", VLOOKUP(E346,EX:FJ,13,0)="A")), "DEFICIT",IF(
AND(OR(Planilla!B346="B", Planilla!B346="BPAL"), VLOOKUP(E346,EX:FJ,13,0)="B"), "OK",IF(AND(OR(Planilla!B346="B", Planilla!B346="BPAL"), VLOOKUP(E346,EX:FJ,13,0)="A"), "DEFICIT",IF(AND(OR(Planilla!B346="B", Planilla!B346="BPAL"), VLOOKUP(E346,EX:FJ,13,0)="C"), "SOBREOFERTA",IF(AND(Planilla!B346="A", VLOOKUP(E346,EX:FJ,13,0)="A"), "OK",IF(
AND(Planilla!B346="A", OR(VLOOKUP(E346,EX:FJ,13,0)="B", VLOOKUP(E346,EX:FJ,13,0)="C")), "SOBREOFERTA",""
))))))),"")</f>
        <v/>
      </c>
      <c r="E346" s="12"/>
      <c r="F346" s="13"/>
      <c r="G346" s="14"/>
      <c r="H346" s="81" t="str">
        <f t="shared" si="120"/>
        <v/>
      </c>
      <c r="I346" s="7"/>
      <c r="J346" s="6" t="e">
        <f t="shared" si="121"/>
        <v>#N/A</v>
      </c>
      <c r="K346" s="6" t="str">
        <f>IF(A347&lt;&gt;A346,AVERAGEIF(A$9:A346,A346,J$9:J346),"")</f>
        <v/>
      </c>
      <c r="L346" s="7" t="str">
        <f>IFERROR(IF(A347&lt;&gt;A346,AVERAGEIF(A$9:A346,A346,S$9:S346),""),"")</f>
        <v/>
      </c>
      <c r="M346" s="7" t="str">
        <f>IFERROR(IF(A347&lt;&gt;A346,AVERAGEIF(A$9:A346,A346,T$9:T346),""),"")</f>
        <v/>
      </c>
      <c r="N346" s="7" t="str" cm="1">
        <f t="array" ref="N346">IFERROR(IF(A347&lt;&gt;A346,_xlfn.STDEV.P(IF(A$9:A346=A346,T$9:T346)),""),"")</f>
        <v/>
      </c>
      <c r="O346" s="7" t="str" cm="1">
        <f t="array" ref="O346">IFERROR(IF(A347&lt;&gt;A346,_xlfn.STDEV.P(IF(A$9:A346=A346,S$9:S346)),""),"")</f>
        <v/>
      </c>
      <c r="P346" s="8" t="str">
        <f t="shared" si="122"/>
        <v/>
      </c>
      <c r="Q346" s="8" t="str">
        <f t="shared" si="123"/>
        <v/>
      </c>
      <c r="R346" s="8" t="str">
        <f t="shared" si="124"/>
        <v/>
      </c>
      <c r="S346" s="9" t="str">
        <f t="shared" si="125"/>
        <v/>
      </c>
      <c r="T346" s="9" t="str">
        <f t="shared" si="126"/>
        <v/>
      </c>
      <c r="U346" s="14"/>
      <c r="V346" s="15"/>
      <c r="W346" s="14" t="str">
        <f t="shared" si="127"/>
        <v/>
      </c>
      <c r="X346" s="15"/>
      <c r="Y346" s="2"/>
      <c r="AB346" s="22">
        <f t="shared" si="128"/>
        <v>1</v>
      </c>
      <c r="AC346" s="11"/>
      <c r="AD346" s="11"/>
      <c r="AE346" s="13"/>
      <c r="AF346" s="12"/>
      <c r="AG346" s="13"/>
      <c r="AH346" s="14"/>
      <c r="AI346" s="81" t="str">
        <f t="shared" si="129"/>
        <v/>
      </c>
      <c r="AJ346" s="15"/>
      <c r="AK346" s="6" t="e">
        <f t="shared" si="130"/>
        <v>#N/A</v>
      </c>
      <c r="AL346" s="6" t="str">
        <f>IF(AB347&lt;&gt;AB346,AVERAGEIF(AB$9:AB346,AB346,AK$9:AK346),"")</f>
        <v/>
      </c>
      <c r="AM346" s="7" t="str">
        <f>IFERROR(IF(AB347&lt;&gt;AB346,AVERAGEIF(AB$9:AB346,AB346,AT$9:AT346),""),"")</f>
        <v/>
      </c>
      <c r="AN346" s="7" t="str">
        <f>IFERROR(IF(AB347&lt;&gt;AB346,AVERAGEIF(AB$9:AB346,AB346,AU$9:AU346),""),"")</f>
        <v/>
      </c>
      <c r="AO346" s="7" t="str" cm="1">
        <f t="array" ref="AO346">IFERROR(IF(AB347&lt;&gt;AB346,_xlfn.STDEV.P(IF(AB$9:AB346=AB346,AU$9:AU346)),""),"")</f>
        <v/>
      </c>
      <c r="AP346" s="7" t="str" cm="1">
        <f t="array" ref="AP346">IFERROR(IF(AB347&lt;&gt;AB346,_xlfn.STDEV.P(IF(AB$9:AB346=AB346,AT$9:AT346)),""),"")</f>
        <v/>
      </c>
      <c r="AQ346" s="8" t="str">
        <f t="shared" si="131"/>
        <v/>
      </c>
      <c r="AR346" s="8" t="str">
        <f t="shared" si="132"/>
        <v/>
      </c>
      <c r="AS346" s="8" t="str">
        <f t="shared" si="133"/>
        <v/>
      </c>
      <c r="AT346" s="9" t="str">
        <f t="shared" si="134"/>
        <v/>
      </c>
      <c r="AU346" s="9" t="str">
        <f t="shared" si="135"/>
        <v/>
      </c>
      <c r="AV346" s="14"/>
      <c r="AW346" s="15"/>
      <c r="AX346" s="14" t="str">
        <f t="shared" si="136"/>
        <v/>
      </c>
      <c r="AY346" s="15"/>
      <c r="AZ346" s="23"/>
      <c r="EW346" t="s">
        <v>46</v>
      </c>
      <c r="EX346" s="33">
        <v>1345</v>
      </c>
      <c r="EY346" s="33" t="s">
        <v>903</v>
      </c>
      <c r="EZ346" s="33" t="s">
        <v>904</v>
      </c>
      <c r="FA346" s="33" t="s">
        <v>343</v>
      </c>
      <c r="FB346" s="33" t="s">
        <v>344</v>
      </c>
      <c r="FC346" s="33" t="s">
        <v>345</v>
      </c>
      <c r="FD346" s="33" t="s">
        <v>346</v>
      </c>
      <c r="FE346" s="33">
        <v>2025</v>
      </c>
      <c r="FF346" s="33" t="s">
        <v>59</v>
      </c>
      <c r="FG346" s="33" t="s">
        <v>477</v>
      </c>
      <c r="FH346" s="33" t="s">
        <v>478</v>
      </c>
      <c r="FI346" s="33" t="s">
        <v>479</v>
      </c>
      <c r="FJ346" t="s">
        <v>59</v>
      </c>
      <c r="FM346" s="32" t="s">
        <v>898</v>
      </c>
      <c r="FN346" t="s">
        <v>899</v>
      </c>
      <c r="FO346" t="s">
        <v>900</v>
      </c>
      <c r="FP346" t="str">
        <f t="shared" si="118"/>
        <v>B</v>
      </c>
      <c r="GU346" s="53">
        <v>116</v>
      </c>
      <c r="GV346" s="53">
        <v>340</v>
      </c>
    </row>
    <row r="347" spans="1:204" ht="15.5" x14ac:dyDescent="0.35">
      <c r="A347" s="95">
        <f t="shared" si="119"/>
        <v>1</v>
      </c>
      <c r="B347" s="11"/>
      <c r="C347" s="11"/>
      <c r="D347" s="92" t="str">
        <f>IFERROR(
IF(AND(OR(Planilla!B347="C",Planilla!B347="c"), VLOOKUP(E347,EX:FJ,13,0)="C"), "OK",IF(AND(OR(Planilla!B347="C",Planilla!B347="c"), OR(VLOOKUP(E347,EX:FJ,13,0)="B", VLOOKUP(E347,EX:FJ,13,0)="A")), "DEFICIT",IF(
AND(OR(Planilla!B347="B", Planilla!B347="BPAL"), VLOOKUP(E347,EX:FJ,13,0)="B"), "OK",IF(AND(OR(Planilla!B347="B", Planilla!B347="BPAL"), VLOOKUP(E347,EX:FJ,13,0)="A"), "DEFICIT",IF(AND(OR(Planilla!B347="B", Planilla!B347="BPAL"), VLOOKUP(E347,EX:FJ,13,0)="C"), "SOBREOFERTA",IF(AND(Planilla!B347="A", VLOOKUP(E347,EX:FJ,13,0)="A"), "OK",IF(
AND(Planilla!B347="A", OR(VLOOKUP(E347,EX:FJ,13,0)="B", VLOOKUP(E347,EX:FJ,13,0)="C")), "SOBREOFERTA",""
))))))),"")</f>
        <v/>
      </c>
      <c r="E347" s="12"/>
      <c r="F347" s="13"/>
      <c r="G347" s="14"/>
      <c r="H347" s="81" t="str">
        <f t="shared" si="120"/>
        <v/>
      </c>
      <c r="I347" s="7"/>
      <c r="J347" s="6" t="e">
        <f t="shared" si="121"/>
        <v>#N/A</v>
      </c>
      <c r="K347" s="6" t="str">
        <f>IF(A348&lt;&gt;A347,AVERAGEIF(A$9:A347,A347,J$9:J347),"")</f>
        <v/>
      </c>
      <c r="L347" s="7" t="str">
        <f>IFERROR(IF(A348&lt;&gt;A347,AVERAGEIF(A$9:A347,A347,S$9:S347),""),"")</f>
        <v/>
      </c>
      <c r="M347" s="7" t="str">
        <f>IFERROR(IF(A348&lt;&gt;A347,AVERAGEIF(A$9:A347,A347,T$9:T347),""),"")</f>
        <v/>
      </c>
      <c r="N347" s="7" t="str" cm="1">
        <f t="array" ref="N347">IFERROR(IF(A348&lt;&gt;A347,_xlfn.STDEV.P(IF(A$9:A347=A347,T$9:T347)),""),"")</f>
        <v/>
      </c>
      <c r="O347" s="7" t="str" cm="1">
        <f t="array" ref="O347">IFERROR(IF(A348&lt;&gt;A347,_xlfn.STDEV.P(IF(A$9:A347=A347,S$9:S347)),""),"")</f>
        <v/>
      </c>
      <c r="P347" s="8" t="str">
        <f t="shared" si="122"/>
        <v/>
      </c>
      <c r="Q347" s="8" t="str">
        <f t="shared" si="123"/>
        <v/>
      </c>
      <c r="R347" s="8" t="str">
        <f t="shared" si="124"/>
        <v/>
      </c>
      <c r="S347" s="9" t="str">
        <f t="shared" si="125"/>
        <v/>
      </c>
      <c r="T347" s="9" t="str">
        <f t="shared" si="126"/>
        <v/>
      </c>
      <c r="U347" s="14"/>
      <c r="V347" s="15"/>
      <c r="W347" s="14" t="str">
        <f t="shared" si="127"/>
        <v/>
      </c>
      <c r="X347" s="15"/>
      <c r="Y347" s="2"/>
      <c r="AB347" s="22">
        <f t="shared" si="128"/>
        <v>1</v>
      </c>
      <c r="AC347" s="11"/>
      <c r="AD347" s="11"/>
      <c r="AE347" s="13"/>
      <c r="AF347" s="12"/>
      <c r="AG347" s="13"/>
      <c r="AH347" s="14"/>
      <c r="AI347" s="81" t="str">
        <f t="shared" si="129"/>
        <v/>
      </c>
      <c r="AJ347" s="15"/>
      <c r="AK347" s="6" t="e">
        <f t="shared" si="130"/>
        <v>#N/A</v>
      </c>
      <c r="AL347" s="6" t="str">
        <f>IF(AB348&lt;&gt;AB347,AVERAGEIF(AB$9:AB347,AB347,AK$9:AK347),"")</f>
        <v/>
      </c>
      <c r="AM347" s="7" t="str">
        <f>IFERROR(IF(AB348&lt;&gt;AB347,AVERAGEIF(AB$9:AB347,AB347,AT$9:AT347),""),"")</f>
        <v/>
      </c>
      <c r="AN347" s="7" t="str">
        <f>IFERROR(IF(AB348&lt;&gt;AB347,AVERAGEIF(AB$9:AB347,AB347,AU$9:AU347),""),"")</f>
        <v/>
      </c>
      <c r="AO347" s="7" t="str" cm="1">
        <f t="array" ref="AO347">IFERROR(IF(AB348&lt;&gt;AB347,_xlfn.STDEV.P(IF(AB$9:AB347=AB347,AU$9:AU347)),""),"")</f>
        <v/>
      </c>
      <c r="AP347" s="7" t="str" cm="1">
        <f t="array" ref="AP347">IFERROR(IF(AB348&lt;&gt;AB347,_xlfn.STDEV.P(IF(AB$9:AB347=AB347,AT$9:AT347)),""),"")</f>
        <v/>
      </c>
      <c r="AQ347" s="8" t="str">
        <f t="shared" si="131"/>
        <v/>
      </c>
      <c r="AR347" s="8" t="str">
        <f t="shared" si="132"/>
        <v/>
      </c>
      <c r="AS347" s="8" t="str">
        <f t="shared" si="133"/>
        <v/>
      </c>
      <c r="AT347" s="9" t="str">
        <f t="shared" si="134"/>
        <v/>
      </c>
      <c r="AU347" s="9" t="str">
        <f t="shared" si="135"/>
        <v/>
      </c>
      <c r="AV347" s="14"/>
      <c r="AW347" s="15"/>
      <c r="AX347" s="14" t="str">
        <f t="shared" si="136"/>
        <v/>
      </c>
      <c r="AY347" s="15"/>
      <c r="AZ347" s="23"/>
      <c r="EW347" t="s">
        <v>46</v>
      </c>
      <c r="EX347" s="33">
        <v>1346</v>
      </c>
      <c r="EY347" s="33" t="s">
        <v>905</v>
      </c>
      <c r="EZ347" s="33" t="s">
        <v>906</v>
      </c>
      <c r="FA347" s="33" t="s">
        <v>343</v>
      </c>
      <c r="FB347" s="33" t="s">
        <v>344</v>
      </c>
      <c r="FC347" s="33" t="s">
        <v>345</v>
      </c>
      <c r="FD347" s="33" t="s">
        <v>346</v>
      </c>
      <c r="FE347" s="33">
        <v>2025</v>
      </c>
      <c r="FF347" s="33" t="s">
        <v>59</v>
      </c>
      <c r="FG347" s="33" t="s">
        <v>470</v>
      </c>
      <c r="FH347" s="33" t="s">
        <v>471</v>
      </c>
      <c r="FI347" s="33" t="s">
        <v>467</v>
      </c>
      <c r="FJ347" t="s">
        <v>59</v>
      </c>
      <c r="FM347" s="32" t="s">
        <v>898</v>
      </c>
      <c r="FN347" t="s">
        <v>899</v>
      </c>
      <c r="FO347" t="s">
        <v>900</v>
      </c>
      <c r="FP347" t="str">
        <f t="shared" si="118"/>
        <v>B</v>
      </c>
      <c r="GU347" s="53">
        <v>117</v>
      </c>
      <c r="GV347" s="53">
        <v>341</v>
      </c>
    </row>
    <row r="348" spans="1:204" ht="15.5" x14ac:dyDescent="0.35">
      <c r="A348" s="95">
        <f t="shared" si="119"/>
        <v>1</v>
      </c>
      <c r="B348" s="11"/>
      <c r="C348" s="11"/>
      <c r="D348" s="92" t="str">
        <f>IFERROR(
IF(AND(OR(Planilla!B348="C",Planilla!B348="c"), VLOOKUP(E348,EX:FJ,13,0)="C"), "OK",IF(AND(OR(Planilla!B348="C",Planilla!B348="c"), OR(VLOOKUP(E348,EX:FJ,13,0)="B", VLOOKUP(E348,EX:FJ,13,0)="A")), "DEFICIT",IF(
AND(OR(Planilla!B348="B", Planilla!B348="BPAL"), VLOOKUP(E348,EX:FJ,13,0)="B"), "OK",IF(AND(OR(Planilla!B348="B", Planilla!B348="BPAL"), VLOOKUP(E348,EX:FJ,13,0)="A"), "DEFICIT",IF(AND(OR(Planilla!B348="B", Planilla!B348="BPAL"), VLOOKUP(E348,EX:FJ,13,0)="C"), "SOBREOFERTA",IF(AND(Planilla!B348="A", VLOOKUP(E348,EX:FJ,13,0)="A"), "OK",IF(
AND(Planilla!B348="A", OR(VLOOKUP(E348,EX:FJ,13,0)="B", VLOOKUP(E348,EX:FJ,13,0)="C")), "SOBREOFERTA",""
))))))),"")</f>
        <v/>
      </c>
      <c r="E348" s="12"/>
      <c r="F348" s="13"/>
      <c r="G348" s="14"/>
      <c r="H348" s="81" t="str">
        <f t="shared" si="120"/>
        <v/>
      </c>
      <c r="I348" s="7"/>
      <c r="J348" s="6" t="e">
        <f t="shared" si="121"/>
        <v>#N/A</v>
      </c>
      <c r="K348" s="6" t="str">
        <f>IF(A349&lt;&gt;A348,AVERAGEIF(A$9:A348,A348,J$9:J348),"")</f>
        <v/>
      </c>
      <c r="L348" s="7" t="str">
        <f>IFERROR(IF(A349&lt;&gt;A348,AVERAGEIF(A$9:A348,A348,S$9:S348),""),"")</f>
        <v/>
      </c>
      <c r="M348" s="7" t="str">
        <f>IFERROR(IF(A349&lt;&gt;A348,AVERAGEIF(A$9:A348,A348,T$9:T348),""),"")</f>
        <v/>
      </c>
      <c r="N348" s="7" t="str" cm="1">
        <f t="array" ref="N348">IFERROR(IF(A349&lt;&gt;A348,_xlfn.STDEV.P(IF(A$9:A348=A348,T$9:T348)),""),"")</f>
        <v/>
      </c>
      <c r="O348" s="7" t="str" cm="1">
        <f t="array" ref="O348">IFERROR(IF(A349&lt;&gt;A348,_xlfn.STDEV.P(IF(A$9:A348=A348,S$9:S348)),""),"")</f>
        <v/>
      </c>
      <c r="P348" s="8" t="str">
        <f t="shared" si="122"/>
        <v/>
      </c>
      <c r="Q348" s="8" t="str">
        <f t="shared" si="123"/>
        <v/>
      </c>
      <c r="R348" s="8" t="str">
        <f t="shared" si="124"/>
        <v/>
      </c>
      <c r="S348" s="9" t="str">
        <f t="shared" si="125"/>
        <v/>
      </c>
      <c r="T348" s="9" t="str">
        <f t="shared" si="126"/>
        <v/>
      </c>
      <c r="U348" s="14"/>
      <c r="V348" s="15"/>
      <c r="W348" s="14" t="str">
        <f t="shared" si="127"/>
        <v/>
      </c>
      <c r="X348" s="15"/>
      <c r="Y348" s="2"/>
      <c r="AB348" s="22">
        <f t="shared" si="128"/>
        <v>1</v>
      </c>
      <c r="AC348" s="11"/>
      <c r="AD348" s="11"/>
      <c r="AE348" s="13"/>
      <c r="AF348" s="12"/>
      <c r="AG348" s="13"/>
      <c r="AH348" s="14"/>
      <c r="AI348" s="81" t="str">
        <f t="shared" si="129"/>
        <v/>
      </c>
      <c r="AJ348" s="15"/>
      <c r="AK348" s="6" t="e">
        <f t="shared" si="130"/>
        <v>#N/A</v>
      </c>
      <c r="AL348" s="6" t="str">
        <f>IF(AB349&lt;&gt;AB348,AVERAGEIF(AB$9:AB348,AB348,AK$9:AK348),"")</f>
        <v/>
      </c>
      <c r="AM348" s="7" t="str">
        <f>IFERROR(IF(AB349&lt;&gt;AB348,AVERAGEIF(AB$9:AB348,AB348,AT$9:AT348),""),"")</f>
        <v/>
      </c>
      <c r="AN348" s="7" t="str">
        <f>IFERROR(IF(AB349&lt;&gt;AB348,AVERAGEIF(AB$9:AB348,AB348,AU$9:AU348),""),"")</f>
        <v/>
      </c>
      <c r="AO348" s="7" t="str" cm="1">
        <f t="array" ref="AO348">IFERROR(IF(AB349&lt;&gt;AB348,_xlfn.STDEV.P(IF(AB$9:AB348=AB348,AU$9:AU348)),""),"")</f>
        <v/>
      </c>
      <c r="AP348" s="7" t="str" cm="1">
        <f t="array" ref="AP348">IFERROR(IF(AB349&lt;&gt;AB348,_xlfn.STDEV.P(IF(AB$9:AB348=AB348,AT$9:AT348)),""),"")</f>
        <v/>
      </c>
      <c r="AQ348" s="8" t="str">
        <f t="shared" si="131"/>
        <v/>
      </c>
      <c r="AR348" s="8" t="str">
        <f t="shared" si="132"/>
        <v/>
      </c>
      <c r="AS348" s="8" t="str">
        <f t="shared" si="133"/>
        <v/>
      </c>
      <c r="AT348" s="9" t="str">
        <f t="shared" si="134"/>
        <v/>
      </c>
      <c r="AU348" s="9" t="str">
        <f t="shared" si="135"/>
        <v/>
      </c>
      <c r="AV348" s="14"/>
      <c r="AW348" s="15"/>
      <c r="AX348" s="14" t="str">
        <f t="shared" si="136"/>
        <v/>
      </c>
      <c r="AY348" s="15"/>
      <c r="AZ348" s="23"/>
      <c r="EW348" t="s">
        <v>46</v>
      </c>
      <c r="EX348" s="33">
        <v>1347</v>
      </c>
      <c r="EY348" s="33" t="s">
        <v>907</v>
      </c>
      <c r="EZ348" s="33" t="s">
        <v>908</v>
      </c>
      <c r="FA348" s="33" t="s">
        <v>343</v>
      </c>
      <c r="FB348" s="33" t="s">
        <v>344</v>
      </c>
      <c r="FC348" s="33" t="s">
        <v>345</v>
      </c>
      <c r="FD348" s="33" t="s">
        <v>346</v>
      </c>
      <c r="FE348" s="33">
        <v>2025</v>
      </c>
      <c r="FF348" s="33" t="s">
        <v>59</v>
      </c>
      <c r="FG348" s="33" t="s">
        <v>477</v>
      </c>
      <c r="FH348" s="33" t="s">
        <v>478</v>
      </c>
      <c r="FI348" s="33" t="s">
        <v>479</v>
      </c>
      <c r="FJ348" t="s">
        <v>59</v>
      </c>
      <c r="FM348" s="32" t="s">
        <v>898</v>
      </c>
      <c r="FN348" t="s">
        <v>899</v>
      </c>
      <c r="FO348" t="s">
        <v>900</v>
      </c>
      <c r="FP348" t="str">
        <f t="shared" si="118"/>
        <v>B</v>
      </c>
      <c r="GU348" s="53">
        <v>118</v>
      </c>
      <c r="GV348" s="53">
        <v>342</v>
      </c>
    </row>
    <row r="349" spans="1:204" ht="15.5" x14ac:dyDescent="0.35">
      <c r="A349" s="95">
        <f t="shared" si="119"/>
        <v>1</v>
      </c>
      <c r="B349" s="11"/>
      <c r="C349" s="11"/>
      <c r="D349" s="92" t="str">
        <f>IFERROR(
IF(AND(OR(Planilla!B349="C",Planilla!B349="c"), VLOOKUP(E349,EX:FJ,13,0)="C"), "OK",IF(AND(OR(Planilla!B349="C",Planilla!B349="c"), OR(VLOOKUP(E349,EX:FJ,13,0)="B", VLOOKUP(E349,EX:FJ,13,0)="A")), "DEFICIT",IF(
AND(OR(Planilla!B349="B", Planilla!B349="BPAL"), VLOOKUP(E349,EX:FJ,13,0)="B"), "OK",IF(AND(OR(Planilla!B349="B", Planilla!B349="BPAL"), VLOOKUP(E349,EX:FJ,13,0)="A"), "DEFICIT",IF(AND(OR(Planilla!B349="B", Planilla!B349="BPAL"), VLOOKUP(E349,EX:FJ,13,0)="C"), "SOBREOFERTA",IF(AND(Planilla!B349="A", VLOOKUP(E349,EX:FJ,13,0)="A"), "OK",IF(
AND(Planilla!B349="A", OR(VLOOKUP(E349,EX:FJ,13,0)="B", VLOOKUP(E349,EX:FJ,13,0)="C")), "SOBREOFERTA",""
))))))),"")</f>
        <v/>
      </c>
      <c r="E349" s="12"/>
      <c r="F349" s="13"/>
      <c r="G349" s="14"/>
      <c r="H349" s="81" t="str">
        <f t="shared" si="120"/>
        <v/>
      </c>
      <c r="I349" s="7"/>
      <c r="J349" s="6" t="e">
        <f t="shared" si="121"/>
        <v>#N/A</v>
      </c>
      <c r="K349" s="6" t="str">
        <f>IF(A350&lt;&gt;A349,AVERAGEIF(A$9:A349,A349,J$9:J349),"")</f>
        <v/>
      </c>
      <c r="L349" s="7" t="str">
        <f>IFERROR(IF(A350&lt;&gt;A349,AVERAGEIF(A$9:A349,A349,S$9:S349),""),"")</f>
        <v/>
      </c>
      <c r="M349" s="7" t="str">
        <f>IFERROR(IF(A350&lt;&gt;A349,AVERAGEIF(A$9:A349,A349,T$9:T349),""),"")</f>
        <v/>
      </c>
      <c r="N349" s="7" t="str" cm="1">
        <f t="array" ref="N349">IFERROR(IF(A350&lt;&gt;A349,_xlfn.STDEV.P(IF(A$9:A349=A349,T$9:T349)),""),"")</f>
        <v/>
      </c>
      <c r="O349" s="7" t="str" cm="1">
        <f t="array" ref="O349">IFERROR(IF(A350&lt;&gt;A349,_xlfn.STDEV.P(IF(A$9:A349=A349,S$9:S349)),""),"")</f>
        <v/>
      </c>
      <c r="P349" s="8" t="str">
        <f t="shared" si="122"/>
        <v/>
      </c>
      <c r="Q349" s="8" t="str">
        <f t="shared" si="123"/>
        <v/>
      </c>
      <c r="R349" s="8" t="str">
        <f t="shared" si="124"/>
        <v/>
      </c>
      <c r="S349" s="9" t="str">
        <f t="shared" si="125"/>
        <v/>
      </c>
      <c r="T349" s="9" t="str">
        <f t="shared" si="126"/>
        <v/>
      </c>
      <c r="U349" s="14"/>
      <c r="V349" s="15"/>
      <c r="W349" s="14" t="str">
        <f t="shared" si="127"/>
        <v/>
      </c>
      <c r="X349" s="15"/>
      <c r="Y349" s="2"/>
      <c r="AB349" s="22">
        <f t="shared" si="128"/>
        <v>1</v>
      </c>
      <c r="AC349" s="11"/>
      <c r="AD349" s="11"/>
      <c r="AE349" s="13"/>
      <c r="AF349" s="12"/>
      <c r="AG349" s="13"/>
      <c r="AH349" s="14"/>
      <c r="AI349" s="81" t="str">
        <f t="shared" si="129"/>
        <v/>
      </c>
      <c r="AJ349" s="15"/>
      <c r="AK349" s="6" t="e">
        <f t="shared" si="130"/>
        <v>#N/A</v>
      </c>
      <c r="AL349" s="6" t="str">
        <f>IF(AB350&lt;&gt;AB349,AVERAGEIF(AB$9:AB349,AB349,AK$9:AK349),"")</f>
        <v/>
      </c>
      <c r="AM349" s="7" t="str">
        <f>IFERROR(IF(AB350&lt;&gt;AB349,AVERAGEIF(AB$9:AB349,AB349,AT$9:AT349),""),"")</f>
        <v/>
      </c>
      <c r="AN349" s="7" t="str">
        <f>IFERROR(IF(AB350&lt;&gt;AB349,AVERAGEIF(AB$9:AB349,AB349,AU$9:AU349),""),"")</f>
        <v/>
      </c>
      <c r="AO349" s="7" t="str" cm="1">
        <f t="array" ref="AO349">IFERROR(IF(AB350&lt;&gt;AB349,_xlfn.STDEV.P(IF(AB$9:AB349=AB349,AU$9:AU349)),""),"")</f>
        <v/>
      </c>
      <c r="AP349" s="7" t="str" cm="1">
        <f t="array" ref="AP349">IFERROR(IF(AB350&lt;&gt;AB349,_xlfn.STDEV.P(IF(AB$9:AB349=AB349,AT$9:AT349)),""),"")</f>
        <v/>
      </c>
      <c r="AQ349" s="8" t="str">
        <f t="shared" si="131"/>
        <v/>
      </c>
      <c r="AR349" s="8" t="str">
        <f t="shared" si="132"/>
        <v/>
      </c>
      <c r="AS349" s="8" t="str">
        <f t="shared" si="133"/>
        <v/>
      </c>
      <c r="AT349" s="9" t="str">
        <f t="shared" si="134"/>
        <v/>
      </c>
      <c r="AU349" s="9" t="str">
        <f t="shared" si="135"/>
        <v/>
      </c>
      <c r="AV349" s="14"/>
      <c r="AW349" s="15"/>
      <c r="AX349" s="14" t="str">
        <f t="shared" si="136"/>
        <v/>
      </c>
      <c r="AY349" s="15"/>
      <c r="AZ349" s="23"/>
      <c r="EW349" t="s">
        <v>46</v>
      </c>
      <c r="EX349" s="33">
        <v>1348</v>
      </c>
      <c r="EY349" s="33" t="s">
        <v>909</v>
      </c>
      <c r="EZ349" s="33" t="s">
        <v>910</v>
      </c>
      <c r="FA349" s="33" t="s">
        <v>343</v>
      </c>
      <c r="FB349" s="33" t="s">
        <v>344</v>
      </c>
      <c r="FC349" s="33" t="s">
        <v>345</v>
      </c>
      <c r="FD349" s="33" t="s">
        <v>346</v>
      </c>
      <c r="FE349" s="33">
        <v>2025</v>
      </c>
      <c r="FF349" s="33" t="s">
        <v>59</v>
      </c>
      <c r="FG349" s="33" t="s">
        <v>477</v>
      </c>
      <c r="FH349" s="33" t="s">
        <v>478</v>
      </c>
      <c r="FI349" s="33" t="s">
        <v>479</v>
      </c>
      <c r="FJ349" t="s">
        <v>59</v>
      </c>
      <c r="FM349" s="32" t="s">
        <v>911</v>
      </c>
      <c r="FN349" t="s">
        <v>912</v>
      </c>
      <c r="FO349" t="s">
        <v>913</v>
      </c>
      <c r="FP349" t="str">
        <f t="shared" si="118"/>
        <v>B</v>
      </c>
      <c r="GU349" s="53">
        <v>119</v>
      </c>
      <c r="GV349" s="53">
        <v>343</v>
      </c>
    </row>
    <row r="350" spans="1:204" ht="15.5" x14ac:dyDescent="0.35">
      <c r="A350" s="95">
        <f t="shared" si="119"/>
        <v>1</v>
      </c>
      <c r="B350" s="11"/>
      <c r="C350" s="11"/>
      <c r="D350" s="92" t="str">
        <f>IFERROR(
IF(AND(OR(Planilla!B350="C",Planilla!B350="c"), VLOOKUP(E350,EX:FJ,13,0)="C"), "OK",IF(AND(OR(Planilla!B350="C",Planilla!B350="c"), OR(VLOOKUP(E350,EX:FJ,13,0)="B", VLOOKUP(E350,EX:FJ,13,0)="A")), "DEFICIT",IF(
AND(OR(Planilla!B350="B", Planilla!B350="BPAL"), VLOOKUP(E350,EX:FJ,13,0)="B"), "OK",IF(AND(OR(Planilla!B350="B", Planilla!B350="BPAL"), VLOOKUP(E350,EX:FJ,13,0)="A"), "DEFICIT",IF(AND(OR(Planilla!B350="B", Planilla!B350="BPAL"), VLOOKUP(E350,EX:FJ,13,0)="C"), "SOBREOFERTA",IF(AND(Planilla!B350="A", VLOOKUP(E350,EX:FJ,13,0)="A"), "OK",IF(
AND(Planilla!B350="A", OR(VLOOKUP(E350,EX:FJ,13,0)="B", VLOOKUP(E350,EX:FJ,13,0)="C")), "SOBREOFERTA",""
))))))),"")</f>
        <v/>
      </c>
      <c r="E350" s="12"/>
      <c r="F350" s="13"/>
      <c r="G350" s="14"/>
      <c r="H350" s="81" t="str">
        <f t="shared" si="120"/>
        <v/>
      </c>
      <c r="I350" s="7"/>
      <c r="J350" s="6" t="e">
        <f t="shared" si="121"/>
        <v>#N/A</v>
      </c>
      <c r="K350" s="6" t="str">
        <f>IF(A351&lt;&gt;A350,AVERAGEIF(A$9:A350,A350,J$9:J350),"")</f>
        <v/>
      </c>
      <c r="L350" s="7" t="str">
        <f>IFERROR(IF(A351&lt;&gt;A350,AVERAGEIF(A$9:A350,A350,S$9:S350),""),"")</f>
        <v/>
      </c>
      <c r="M350" s="7" t="str">
        <f>IFERROR(IF(A351&lt;&gt;A350,AVERAGEIF(A$9:A350,A350,T$9:T350),""),"")</f>
        <v/>
      </c>
      <c r="N350" s="7" t="str" cm="1">
        <f t="array" ref="N350">IFERROR(IF(A351&lt;&gt;A350,_xlfn.STDEV.P(IF(A$9:A350=A350,T$9:T350)),""),"")</f>
        <v/>
      </c>
      <c r="O350" s="7" t="str" cm="1">
        <f t="array" ref="O350">IFERROR(IF(A351&lt;&gt;A350,_xlfn.STDEV.P(IF(A$9:A350=A350,S$9:S350)),""),"")</f>
        <v/>
      </c>
      <c r="P350" s="8" t="str">
        <f t="shared" si="122"/>
        <v/>
      </c>
      <c r="Q350" s="8" t="str">
        <f t="shared" si="123"/>
        <v/>
      </c>
      <c r="R350" s="8" t="str">
        <f t="shared" si="124"/>
        <v/>
      </c>
      <c r="S350" s="9" t="str">
        <f t="shared" si="125"/>
        <v/>
      </c>
      <c r="T350" s="9" t="str">
        <f t="shared" si="126"/>
        <v/>
      </c>
      <c r="U350" s="14"/>
      <c r="V350" s="15"/>
      <c r="W350" s="14" t="str">
        <f t="shared" si="127"/>
        <v/>
      </c>
      <c r="X350" s="15"/>
      <c r="Y350" s="2"/>
      <c r="AB350" s="22">
        <f t="shared" si="128"/>
        <v>1</v>
      </c>
      <c r="AC350" s="11"/>
      <c r="AD350" s="11"/>
      <c r="AE350" s="13"/>
      <c r="AF350" s="12"/>
      <c r="AG350" s="13"/>
      <c r="AH350" s="14"/>
      <c r="AI350" s="81" t="str">
        <f t="shared" si="129"/>
        <v/>
      </c>
      <c r="AJ350" s="15"/>
      <c r="AK350" s="6" t="e">
        <f t="shared" si="130"/>
        <v>#N/A</v>
      </c>
      <c r="AL350" s="6" t="str">
        <f>IF(AB351&lt;&gt;AB350,AVERAGEIF(AB$9:AB350,AB350,AK$9:AK350),"")</f>
        <v/>
      </c>
      <c r="AM350" s="7" t="str">
        <f>IFERROR(IF(AB351&lt;&gt;AB350,AVERAGEIF(AB$9:AB350,AB350,AT$9:AT350),""),"")</f>
        <v/>
      </c>
      <c r="AN350" s="7" t="str">
        <f>IFERROR(IF(AB351&lt;&gt;AB350,AVERAGEIF(AB$9:AB350,AB350,AU$9:AU350),""),"")</f>
        <v/>
      </c>
      <c r="AO350" s="7" t="str" cm="1">
        <f t="array" ref="AO350">IFERROR(IF(AB351&lt;&gt;AB350,_xlfn.STDEV.P(IF(AB$9:AB350=AB350,AU$9:AU350)),""),"")</f>
        <v/>
      </c>
      <c r="AP350" s="7" t="str" cm="1">
        <f t="array" ref="AP350">IFERROR(IF(AB351&lt;&gt;AB350,_xlfn.STDEV.P(IF(AB$9:AB350=AB350,AT$9:AT350)),""),"")</f>
        <v/>
      </c>
      <c r="AQ350" s="8" t="str">
        <f t="shared" si="131"/>
        <v/>
      </c>
      <c r="AR350" s="8" t="str">
        <f t="shared" si="132"/>
        <v/>
      </c>
      <c r="AS350" s="8" t="str">
        <f t="shared" si="133"/>
        <v/>
      </c>
      <c r="AT350" s="9" t="str">
        <f t="shared" si="134"/>
        <v/>
      </c>
      <c r="AU350" s="9" t="str">
        <f t="shared" si="135"/>
        <v/>
      </c>
      <c r="AV350" s="14"/>
      <c r="AW350" s="15"/>
      <c r="AX350" s="14" t="str">
        <f t="shared" si="136"/>
        <v/>
      </c>
      <c r="AY350" s="15"/>
      <c r="AZ350" s="23"/>
      <c r="EW350" t="s">
        <v>46</v>
      </c>
      <c r="EX350" s="33">
        <v>1349</v>
      </c>
      <c r="EY350" s="33" t="s">
        <v>914</v>
      </c>
      <c r="EZ350" s="33" t="s">
        <v>915</v>
      </c>
      <c r="FA350" s="33" t="s">
        <v>343</v>
      </c>
      <c r="FB350" s="33" t="s">
        <v>344</v>
      </c>
      <c r="FC350" s="33" t="s">
        <v>345</v>
      </c>
      <c r="FD350" s="33" t="s">
        <v>346</v>
      </c>
      <c r="FE350" s="33">
        <v>2025</v>
      </c>
      <c r="FF350" s="33" t="s">
        <v>59</v>
      </c>
      <c r="FG350" s="33" t="s">
        <v>470</v>
      </c>
      <c r="FH350" s="33" t="s">
        <v>471</v>
      </c>
      <c r="FI350" s="33" t="s">
        <v>467</v>
      </c>
      <c r="FJ350" t="s">
        <v>59</v>
      </c>
      <c r="FM350" s="32" t="s">
        <v>911</v>
      </c>
      <c r="FN350" t="s">
        <v>912</v>
      </c>
      <c r="FO350" t="s">
        <v>913</v>
      </c>
      <c r="FP350" t="str">
        <f t="shared" si="118"/>
        <v>B</v>
      </c>
      <c r="GU350" s="53">
        <v>120</v>
      </c>
      <c r="GV350" s="53">
        <v>344</v>
      </c>
    </row>
    <row r="351" spans="1:204" ht="15.5" x14ac:dyDescent="0.35">
      <c r="A351" s="95">
        <f t="shared" si="119"/>
        <v>1</v>
      </c>
      <c r="B351" s="11"/>
      <c r="C351" s="11"/>
      <c r="D351" s="92" t="str">
        <f>IFERROR(
IF(AND(OR(Planilla!B351="C",Planilla!B351="c"), VLOOKUP(E351,EX:FJ,13,0)="C"), "OK",IF(AND(OR(Planilla!B351="C",Planilla!B351="c"), OR(VLOOKUP(E351,EX:FJ,13,0)="B", VLOOKUP(E351,EX:FJ,13,0)="A")), "DEFICIT",IF(
AND(OR(Planilla!B351="B", Planilla!B351="BPAL"), VLOOKUP(E351,EX:FJ,13,0)="B"), "OK",IF(AND(OR(Planilla!B351="B", Planilla!B351="BPAL"), VLOOKUP(E351,EX:FJ,13,0)="A"), "DEFICIT",IF(AND(OR(Planilla!B351="B", Planilla!B351="BPAL"), VLOOKUP(E351,EX:FJ,13,0)="C"), "SOBREOFERTA",IF(AND(Planilla!B351="A", VLOOKUP(E351,EX:FJ,13,0)="A"), "OK",IF(
AND(Planilla!B351="A", OR(VLOOKUP(E351,EX:FJ,13,0)="B", VLOOKUP(E351,EX:FJ,13,0)="C")), "SOBREOFERTA",""
))))))),"")</f>
        <v/>
      </c>
      <c r="E351" s="12"/>
      <c r="F351" s="13"/>
      <c r="G351" s="14"/>
      <c r="H351" s="81" t="str">
        <f t="shared" si="120"/>
        <v/>
      </c>
      <c r="I351" s="7"/>
      <c r="J351" s="6" t="e">
        <f t="shared" si="121"/>
        <v>#N/A</v>
      </c>
      <c r="K351" s="6" t="str">
        <f>IF(A352&lt;&gt;A351,AVERAGEIF(A$9:A351,A351,J$9:J351),"")</f>
        <v/>
      </c>
      <c r="L351" s="7" t="str">
        <f>IFERROR(IF(A352&lt;&gt;A351,AVERAGEIF(A$9:A351,A351,S$9:S351),""),"")</f>
        <v/>
      </c>
      <c r="M351" s="7" t="str">
        <f>IFERROR(IF(A352&lt;&gt;A351,AVERAGEIF(A$9:A351,A351,T$9:T351),""),"")</f>
        <v/>
      </c>
      <c r="N351" s="7" t="str" cm="1">
        <f t="array" ref="N351">IFERROR(IF(A352&lt;&gt;A351,_xlfn.STDEV.P(IF(A$9:A351=A351,T$9:T351)),""),"")</f>
        <v/>
      </c>
      <c r="O351" s="7" t="str" cm="1">
        <f t="array" ref="O351">IFERROR(IF(A352&lt;&gt;A351,_xlfn.STDEV.P(IF(A$9:A351=A351,S$9:S351)),""),"")</f>
        <v/>
      </c>
      <c r="P351" s="8" t="str">
        <f t="shared" si="122"/>
        <v/>
      </c>
      <c r="Q351" s="8" t="str">
        <f t="shared" si="123"/>
        <v/>
      </c>
      <c r="R351" s="8" t="str">
        <f t="shared" si="124"/>
        <v/>
      </c>
      <c r="S351" s="9" t="str">
        <f t="shared" si="125"/>
        <v/>
      </c>
      <c r="T351" s="9" t="str">
        <f t="shared" si="126"/>
        <v/>
      </c>
      <c r="U351" s="14"/>
      <c r="V351" s="15"/>
      <c r="W351" s="14" t="str">
        <f t="shared" si="127"/>
        <v/>
      </c>
      <c r="X351" s="15"/>
      <c r="Y351" s="2"/>
      <c r="AB351" s="22">
        <f t="shared" si="128"/>
        <v>1</v>
      </c>
      <c r="AC351" s="11"/>
      <c r="AD351" s="11"/>
      <c r="AE351" s="13"/>
      <c r="AF351" s="12"/>
      <c r="AG351" s="13"/>
      <c r="AH351" s="14"/>
      <c r="AI351" s="81" t="str">
        <f t="shared" si="129"/>
        <v/>
      </c>
      <c r="AJ351" s="15"/>
      <c r="AK351" s="6" t="e">
        <f t="shared" si="130"/>
        <v>#N/A</v>
      </c>
      <c r="AL351" s="6" t="str">
        <f>IF(AB352&lt;&gt;AB351,AVERAGEIF(AB$9:AB351,AB351,AK$9:AK351),"")</f>
        <v/>
      </c>
      <c r="AM351" s="7" t="str">
        <f>IFERROR(IF(AB352&lt;&gt;AB351,AVERAGEIF(AB$9:AB351,AB351,AT$9:AT351),""),"")</f>
        <v/>
      </c>
      <c r="AN351" s="7" t="str">
        <f>IFERROR(IF(AB352&lt;&gt;AB351,AVERAGEIF(AB$9:AB351,AB351,AU$9:AU351),""),"")</f>
        <v/>
      </c>
      <c r="AO351" s="7" t="str" cm="1">
        <f t="array" ref="AO351">IFERROR(IF(AB352&lt;&gt;AB351,_xlfn.STDEV.P(IF(AB$9:AB351=AB351,AU$9:AU351)),""),"")</f>
        <v/>
      </c>
      <c r="AP351" s="7" t="str" cm="1">
        <f t="array" ref="AP351">IFERROR(IF(AB352&lt;&gt;AB351,_xlfn.STDEV.P(IF(AB$9:AB351=AB351,AT$9:AT351)),""),"")</f>
        <v/>
      </c>
      <c r="AQ351" s="8" t="str">
        <f t="shared" si="131"/>
        <v/>
      </c>
      <c r="AR351" s="8" t="str">
        <f t="shared" si="132"/>
        <v/>
      </c>
      <c r="AS351" s="8" t="str">
        <f t="shared" si="133"/>
        <v/>
      </c>
      <c r="AT351" s="9" t="str">
        <f t="shared" si="134"/>
        <v/>
      </c>
      <c r="AU351" s="9" t="str">
        <f t="shared" si="135"/>
        <v/>
      </c>
      <c r="AV351" s="14"/>
      <c r="AW351" s="15"/>
      <c r="AX351" s="14" t="str">
        <f t="shared" si="136"/>
        <v/>
      </c>
      <c r="AY351" s="15"/>
      <c r="AZ351" s="23"/>
      <c r="EW351" t="s">
        <v>46</v>
      </c>
      <c r="EX351" s="33">
        <v>1350</v>
      </c>
      <c r="EY351" s="33" t="s">
        <v>916</v>
      </c>
      <c r="EZ351" s="33" t="s">
        <v>917</v>
      </c>
      <c r="FA351" s="33" t="s">
        <v>343</v>
      </c>
      <c r="FB351" s="33" t="s">
        <v>344</v>
      </c>
      <c r="FC351" s="33" t="s">
        <v>345</v>
      </c>
      <c r="FD351" s="33" t="s">
        <v>346</v>
      </c>
      <c r="FE351" s="33">
        <v>2025</v>
      </c>
      <c r="FF351" s="33" t="s">
        <v>59</v>
      </c>
      <c r="FG351" s="33" t="s">
        <v>470</v>
      </c>
      <c r="FH351" s="33" t="s">
        <v>471</v>
      </c>
      <c r="FI351" s="33" t="s">
        <v>467</v>
      </c>
      <c r="FJ351" t="s">
        <v>59</v>
      </c>
      <c r="FM351" s="32" t="s">
        <v>911</v>
      </c>
      <c r="FN351" t="s">
        <v>912</v>
      </c>
      <c r="FO351" t="s">
        <v>913</v>
      </c>
      <c r="FP351" t="str">
        <f t="shared" si="118"/>
        <v>B</v>
      </c>
      <c r="GU351" s="53">
        <v>121</v>
      </c>
      <c r="GV351" s="53">
        <v>345</v>
      </c>
    </row>
    <row r="352" spans="1:204" ht="15.5" x14ac:dyDescent="0.35">
      <c r="A352" s="95">
        <f t="shared" si="119"/>
        <v>1</v>
      </c>
      <c r="B352" s="11"/>
      <c r="C352" s="11"/>
      <c r="D352" s="92" t="str">
        <f>IFERROR(
IF(AND(OR(Planilla!B352="C",Planilla!B352="c"), VLOOKUP(E352,EX:FJ,13,0)="C"), "OK",IF(AND(OR(Planilla!B352="C",Planilla!B352="c"), OR(VLOOKUP(E352,EX:FJ,13,0)="B", VLOOKUP(E352,EX:FJ,13,0)="A")), "DEFICIT",IF(
AND(OR(Planilla!B352="B", Planilla!B352="BPAL"), VLOOKUP(E352,EX:FJ,13,0)="B"), "OK",IF(AND(OR(Planilla!B352="B", Planilla!B352="BPAL"), VLOOKUP(E352,EX:FJ,13,0)="A"), "DEFICIT",IF(AND(OR(Planilla!B352="B", Planilla!B352="BPAL"), VLOOKUP(E352,EX:FJ,13,0)="C"), "SOBREOFERTA",IF(AND(Planilla!B352="A", VLOOKUP(E352,EX:FJ,13,0)="A"), "OK",IF(
AND(Planilla!B352="A", OR(VLOOKUP(E352,EX:FJ,13,0)="B", VLOOKUP(E352,EX:FJ,13,0)="C")), "SOBREOFERTA",""
))))))),"")</f>
        <v/>
      </c>
      <c r="E352" s="12"/>
      <c r="F352" s="13"/>
      <c r="G352" s="14"/>
      <c r="H352" s="81" t="str">
        <f t="shared" si="120"/>
        <v/>
      </c>
      <c r="I352" s="7"/>
      <c r="J352" s="6" t="e">
        <f t="shared" si="121"/>
        <v>#N/A</v>
      </c>
      <c r="K352" s="6" t="str">
        <f>IF(A353&lt;&gt;A352,AVERAGEIF(A$9:A352,A352,J$9:J352),"")</f>
        <v/>
      </c>
      <c r="L352" s="7" t="str">
        <f>IFERROR(IF(A353&lt;&gt;A352,AVERAGEIF(A$9:A352,A352,S$9:S352),""),"")</f>
        <v/>
      </c>
      <c r="M352" s="7" t="str">
        <f>IFERROR(IF(A353&lt;&gt;A352,AVERAGEIF(A$9:A352,A352,T$9:T352),""),"")</f>
        <v/>
      </c>
      <c r="N352" s="7" t="str" cm="1">
        <f t="array" ref="N352">IFERROR(IF(A353&lt;&gt;A352,_xlfn.STDEV.P(IF(A$9:A352=A352,T$9:T352)),""),"")</f>
        <v/>
      </c>
      <c r="O352" s="7" t="str" cm="1">
        <f t="array" ref="O352">IFERROR(IF(A353&lt;&gt;A352,_xlfn.STDEV.P(IF(A$9:A352=A352,S$9:S352)),""),"")</f>
        <v/>
      </c>
      <c r="P352" s="8" t="str">
        <f t="shared" si="122"/>
        <v/>
      </c>
      <c r="Q352" s="8" t="str">
        <f t="shared" si="123"/>
        <v/>
      </c>
      <c r="R352" s="8" t="str">
        <f t="shared" si="124"/>
        <v/>
      </c>
      <c r="S352" s="9" t="str">
        <f t="shared" si="125"/>
        <v/>
      </c>
      <c r="T352" s="9" t="str">
        <f t="shared" si="126"/>
        <v/>
      </c>
      <c r="U352" s="14"/>
      <c r="V352" s="15"/>
      <c r="W352" s="14" t="str">
        <f t="shared" si="127"/>
        <v/>
      </c>
      <c r="X352" s="15"/>
      <c r="Y352" s="2"/>
      <c r="AB352" s="22">
        <f t="shared" si="128"/>
        <v>1</v>
      </c>
      <c r="AC352" s="11"/>
      <c r="AD352" s="11"/>
      <c r="AE352" s="13"/>
      <c r="AF352" s="12"/>
      <c r="AG352" s="13"/>
      <c r="AH352" s="14"/>
      <c r="AI352" s="81" t="str">
        <f t="shared" si="129"/>
        <v/>
      </c>
      <c r="AJ352" s="15"/>
      <c r="AK352" s="6" t="e">
        <f t="shared" si="130"/>
        <v>#N/A</v>
      </c>
      <c r="AL352" s="6" t="str">
        <f>IF(AB353&lt;&gt;AB352,AVERAGEIF(AB$9:AB352,AB352,AK$9:AK352),"")</f>
        <v/>
      </c>
      <c r="AM352" s="7" t="str">
        <f>IFERROR(IF(AB353&lt;&gt;AB352,AVERAGEIF(AB$9:AB352,AB352,AT$9:AT352),""),"")</f>
        <v/>
      </c>
      <c r="AN352" s="7" t="str">
        <f>IFERROR(IF(AB353&lt;&gt;AB352,AVERAGEIF(AB$9:AB352,AB352,AU$9:AU352),""),"")</f>
        <v/>
      </c>
      <c r="AO352" s="7" t="str" cm="1">
        <f t="array" ref="AO352">IFERROR(IF(AB353&lt;&gt;AB352,_xlfn.STDEV.P(IF(AB$9:AB352=AB352,AU$9:AU352)),""),"")</f>
        <v/>
      </c>
      <c r="AP352" s="7" t="str" cm="1">
        <f t="array" ref="AP352">IFERROR(IF(AB353&lt;&gt;AB352,_xlfn.STDEV.P(IF(AB$9:AB352=AB352,AT$9:AT352)),""),"")</f>
        <v/>
      </c>
      <c r="AQ352" s="8" t="str">
        <f t="shared" si="131"/>
        <v/>
      </c>
      <c r="AR352" s="8" t="str">
        <f t="shared" si="132"/>
        <v/>
      </c>
      <c r="AS352" s="8" t="str">
        <f t="shared" si="133"/>
        <v/>
      </c>
      <c r="AT352" s="9" t="str">
        <f t="shared" si="134"/>
        <v/>
      </c>
      <c r="AU352" s="9" t="str">
        <f t="shared" si="135"/>
        <v/>
      </c>
      <c r="AV352" s="14"/>
      <c r="AW352" s="15"/>
      <c r="AX352" s="14" t="str">
        <f t="shared" si="136"/>
        <v/>
      </c>
      <c r="AY352" s="15"/>
      <c r="AZ352" s="23"/>
      <c r="EW352" t="s">
        <v>46</v>
      </c>
      <c r="EX352" s="33">
        <v>1351</v>
      </c>
      <c r="EY352" s="33" t="s">
        <v>918</v>
      </c>
      <c r="EZ352" s="33" t="s">
        <v>919</v>
      </c>
      <c r="FA352" s="33" t="s">
        <v>343</v>
      </c>
      <c r="FB352" s="33" t="s">
        <v>344</v>
      </c>
      <c r="FC352" s="33" t="s">
        <v>345</v>
      </c>
      <c r="FD352" s="33" t="s">
        <v>346</v>
      </c>
      <c r="FE352" s="33">
        <v>2025</v>
      </c>
      <c r="FF352" s="33" t="s">
        <v>59</v>
      </c>
      <c r="FG352" s="33" t="s">
        <v>470</v>
      </c>
      <c r="FH352" s="33" t="s">
        <v>471</v>
      </c>
      <c r="FI352" s="33" t="s">
        <v>467</v>
      </c>
      <c r="FJ352" t="s">
        <v>59</v>
      </c>
      <c r="FM352" s="32" t="s">
        <v>911</v>
      </c>
      <c r="FN352" t="s">
        <v>912</v>
      </c>
      <c r="FO352" t="s">
        <v>913</v>
      </c>
      <c r="FP352" t="str">
        <f t="shared" si="118"/>
        <v>B</v>
      </c>
      <c r="GU352" s="53">
        <v>122</v>
      </c>
      <c r="GV352" s="53">
        <v>346</v>
      </c>
    </row>
    <row r="353" spans="1:204" ht="15.5" x14ac:dyDescent="0.35">
      <c r="A353" s="95">
        <f t="shared" si="119"/>
        <v>1</v>
      </c>
      <c r="B353" s="11"/>
      <c r="C353" s="11"/>
      <c r="D353" s="92" t="str">
        <f>IFERROR(
IF(AND(OR(Planilla!B353="C",Planilla!B353="c"), VLOOKUP(E353,EX:FJ,13,0)="C"), "OK",IF(AND(OR(Planilla!B353="C",Planilla!B353="c"), OR(VLOOKUP(E353,EX:FJ,13,0)="B", VLOOKUP(E353,EX:FJ,13,0)="A")), "DEFICIT",IF(
AND(OR(Planilla!B353="B", Planilla!B353="BPAL"), VLOOKUP(E353,EX:FJ,13,0)="B"), "OK",IF(AND(OR(Planilla!B353="B", Planilla!B353="BPAL"), VLOOKUP(E353,EX:FJ,13,0)="A"), "DEFICIT",IF(AND(OR(Planilla!B353="B", Planilla!B353="BPAL"), VLOOKUP(E353,EX:FJ,13,0)="C"), "SOBREOFERTA",IF(AND(Planilla!B353="A", VLOOKUP(E353,EX:FJ,13,0)="A"), "OK",IF(
AND(Planilla!B353="A", OR(VLOOKUP(E353,EX:FJ,13,0)="B", VLOOKUP(E353,EX:FJ,13,0)="C")), "SOBREOFERTA",""
))))))),"")</f>
        <v/>
      </c>
      <c r="E353" s="12"/>
      <c r="F353" s="13"/>
      <c r="G353" s="14"/>
      <c r="H353" s="81" t="str">
        <f t="shared" si="120"/>
        <v/>
      </c>
      <c r="I353" s="7"/>
      <c r="J353" s="6" t="e">
        <f t="shared" si="121"/>
        <v>#N/A</v>
      </c>
      <c r="K353" s="6" t="str">
        <f>IF(A354&lt;&gt;A353,AVERAGEIF(A$9:A353,A353,J$9:J353),"")</f>
        <v/>
      </c>
      <c r="L353" s="7" t="str">
        <f>IFERROR(IF(A354&lt;&gt;A353,AVERAGEIF(A$9:A353,A353,S$9:S353),""),"")</f>
        <v/>
      </c>
      <c r="M353" s="7" t="str">
        <f>IFERROR(IF(A354&lt;&gt;A353,AVERAGEIF(A$9:A353,A353,T$9:T353),""),"")</f>
        <v/>
      </c>
      <c r="N353" s="7" t="str" cm="1">
        <f t="array" ref="N353">IFERROR(IF(A354&lt;&gt;A353,_xlfn.STDEV.P(IF(A$9:A353=A353,T$9:T353)),""),"")</f>
        <v/>
      </c>
      <c r="O353" s="7" t="str" cm="1">
        <f t="array" ref="O353">IFERROR(IF(A354&lt;&gt;A353,_xlfn.STDEV.P(IF(A$9:A353=A353,S$9:S353)),""),"")</f>
        <v/>
      </c>
      <c r="P353" s="8" t="str">
        <f t="shared" si="122"/>
        <v/>
      </c>
      <c r="Q353" s="8" t="str">
        <f t="shared" si="123"/>
        <v/>
      </c>
      <c r="R353" s="8" t="str">
        <f t="shared" si="124"/>
        <v/>
      </c>
      <c r="S353" s="9" t="str">
        <f t="shared" si="125"/>
        <v/>
      </c>
      <c r="T353" s="9" t="str">
        <f t="shared" si="126"/>
        <v/>
      </c>
      <c r="U353" s="14"/>
      <c r="V353" s="15"/>
      <c r="W353" s="14" t="str">
        <f t="shared" si="127"/>
        <v/>
      </c>
      <c r="X353" s="15"/>
      <c r="Y353" s="2"/>
      <c r="AB353" s="22">
        <f t="shared" si="128"/>
        <v>1</v>
      </c>
      <c r="AC353" s="11"/>
      <c r="AD353" s="11"/>
      <c r="AE353" s="13"/>
      <c r="AF353" s="12"/>
      <c r="AG353" s="13"/>
      <c r="AH353" s="14"/>
      <c r="AI353" s="81" t="str">
        <f t="shared" si="129"/>
        <v/>
      </c>
      <c r="AJ353" s="15"/>
      <c r="AK353" s="6" t="e">
        <f t="shared" si="130"/>
        <v>#N/A</v>
      </c>
      <c r="AL353" s="6" t="str">
        <f>IF(AB354&lt;&gt;AB353,AVERAGEIF(AB$9:AB353,AB353,AK$9:AK353),"")</f>
        <v/>
      </c>
      <c r="AM353" s="7" t="str">
        <f>IFERROR(IF(AB354&lt;&gt;AB353,AVERAGEIF(AB$9:AB353,AB353,AT$9:AT353),""),"")</f>
        <v/>
      </c>
      <c r="AN353" s="7" t="str">
        <f>IFERROR(IF(AB354&lt;&gt;AB353,AVERAGEIF(AB$9:AB353,AB353,AU$9:AU353),""),"")</f>
        <v/>
      </c>
      <c r="AO353" s="7" t="str" cm="1">
        <f t="array" ref="AO353">IFERROR(IF(AB354&lt;&gt;AB353,_xlfn.STDEV.P(IF(AB$9:AB353=AB353,AU$9:AU353)),""),"")</f>
        <v/>
      </c>
      <c r="AP353" s="7" t="str" cm="1">
        <f t="array" ref="AP353">IFERROR(IF(AB354&lt;&gt;AB353,_xlfn.STDEV.P(IF(AB$9:AB353=AB353,AT$9:AT353)),""),"")</f>
        <v/>
      </c>
      <c r="AQ353" s="8" t="str">
        <f t="shared" si="131"/>
        <v/>
      </c>
      <c r="AR353" s="8" t="str">
        <f t="shared" si="132"/>
        <v/>
      </c>
      <c r="AS353" s="8" t="str">
        <f t="shared" si="133"/>
        <v/>
      </c>
      <c r="AT353" s="9" t="str">
        <f t="shared" si="134"/>
        <v/>
      </c>
      <c r="AU353" s="9" t="str">
        <f t="shared" si="135"/>
        <v/>
      </c>
      <c r="AV353" s="14"/>
      <c r="AW353" s="15"/>
      <c r="AX353" s="14" t="str">
        <f t="shared" si="136"/>
        <v/>
      </c>
      <c r="AY353" s="15"/>
      <c r="AZ353" s="23"/>
      <c r="EW353" t="s">
        <v>46</v>
      </c>
      <c r="EX353" s="33">
        <v>1352</v>
      </c>
      <c r="EY353" s="33" t="s">
        <v>920</v>
      </c>
      <c r="EZ353" s="33" t="s">
        <v>921</v>
      </c>
      <c r="FA353" s="33" t="s">
        <v>343</v>
      </c>
      <c r="FB353" s="33" t="s">
        <v>344</v>
      </c>
      <c r="FC353" s="33" t="s">
        <v>345</v>
      </c>
      <c r="FD353" s="33" t="s">
        <v>346</v>
      </c>
      <c r="FE353" s="33">
        <v>2025</v>
      </c>
      <c r="FF353" s="33" t="s">
        <v>59</v>
      </c>
      <c r="FG353" s="33" t="s">
        <v>470</v>
      </c>
      <c r="FH353" s="33" t="s">
        <v>471</v>
      </c>
      <c r="FI353" s="33" t="s">
        <v>467</v>
      </c>
      <c r="FJ353" t="s">
        <v>59</v>
      </c>
      <c r="FM353" s="32" t="s">
        <v>922</v>
      </c>
      <c r="FN353" t="s">
        <v>923</v>
      </c>
      <c r="FO353" t="s">
        <v>924</v>
      </c>
      <c r="FP353" t="str">
        <f t="shared" si="118"/>
        <v>B</v>
      </c>
      <c r="GU353" s="53">
        <v>123</v>
      </c>
      <c r="GV353" s="53">
        <v>347</v>
      </c>
    </row>
    <row r="354" spans="1:204" ht="15.5" x14ac:dyDescent="0.35">
      <c r="A354" s="95">
        <f t="shared" si="119"/>
        <v>1</v>
      </c>
      <c r="B354" s="11"/>
      <c r="C354" s="11"/>
      <c r="D354" s="92" t="str">
        <f>IFERROR(
IF(AND(OR(Planilla!B354="C",Planilla!B354="c"), VLOOKUP(E354,EX:FJ,13,0)="C"), "OK",IF(AND(OR(Planilla!B354="C",Planilla!B354="c"), OR(VLOOKUP(E354,EX:FJ,13,0)="B", VLOOKUP(E354,EX:FJ,13,0)="A")), "DEFICIT",IF(
AND(OR(Planilla!B354="B", Planilla!B354="BPAL"), VLOOKUP(E354,EX:FJ,13,0)="B"), "OK",IF(AND(OR(Planilla!B354="B", Planilla!B354="BPAL"), VLOOKUP(E354,EX:FJ,13,0)="A"), "DEFICIT",IF(AND(OR(Planilla!B354="B", Planilla!B354="BPAL"), VLOOKUP(E354,EX:FJ,13,0)="C"), "SOBREOFERTA",IF(AND(Planilla!B354="A", VLOOKUP(E354,EX:FJ,13,0)="A"), "OK",IF(
AND(Planilla!B354="A", OR(VLOOKUP(E354,EX:FJ,13,0)="B", VLOOKUP(E354,EX:FJ,13,0)="C")), "SOBREOFERTA",""
))))))),"")</f>
        <v/>
      </c>
      <c r="E354" s="12"/>
      <c r="F354" s="13"/>
      <c r="G354" s="14"/>
      <c r="H354" s="81" t="str">
        <f t="shared" si="120"/>
        <v/>
      </c>
      <c r="I354" s="7"/>
      <c r="J354" s="6" t="e">
        <f t="shared" si="121"/>
        <v>#N/A</v>
      </c>
      <c r="K354" s="6" t="str">
        <f>IF(A355&lt;&gt;A354,AVERAGEIF(A$9:A354,A354,J$9:J354),"")</f>
        <v/>
      </c>
      <c r="L354" s="7" t="str">
        <f>IFERROR(IF(A355&lt;&gt;A354,AVERAGEIF(A$9:A354,A354,S$9:S354),""),"")</f>
        <v/>
      </c>
      <c r="M354" s="7" t="str">
        <f>IFERROR(IF(A355&lt;&gt;A354,AVERAGEIF(A$9:A354,A354,T$9:T354),""),"")</f>
        <v/>
      </c>
      <c r="N354" s="7" t="str" cm="1">
        <f t="array" ref="N354">IFERROR(IF(A355&lt;&gt;A354,_xlfn.STDEV.P(IF(A$9:A354=A354,T$9:T354)),""),"")</f>
        <v/>
      </c>
      <c r="O354" s="7" t="str" cm="1">
        <f t="array" ref="O354">IFERROR(IF(A355&lt;&gt;A354,_xlfn.STDEV.P(IF(A$9:A354=A354,S$9:S354)),""),"")</f>
        <v/>
      </c>
      <c r="P354" s="8" t="str">
        <f t="shared" si="122"/>
        <v/>
      </c>
      <c r="Q354" s="8" t="str">
        <f t="shared" si="123"/>
        <v/>
      </c>
      <c r="R354" s="8" t="str">
        <f t="shared" si="124"/>
        <v/>
      </c>
      <c r="S354" s="9" t="str">
        <f t="shared" si="125"/>
        <v/>
      </c>
      <c r="T354" s="9" t="str">
        <f t="shared" si="126"/>
        <v/>
      </c>
      <c r="U354" s="14"/>
      <c r="V354" s="15"/>
      <c r="W354" s="14" t="str">
        <f t="shared" si="127"/>
        <v/>
      </c>
      <c r="X354" s="15"/>
      <c r="Y354" s="2"/>
      <c r="AB354" s="22">
        <f t="shared" si="128"/>
        <v>1</v>
      </c>
      <c r="AC354" s="11"/>
      <c r="AD354" s="11"/>
      <c r="AE354" s="13"/>
      <c r="AF354" s="12"/>
      <c r="AG354" s="13"/>
      <c r="AH354" s="14"/>
      <c r="AI354" s="81" t="str">
        <f t="shared" si="129"/>
        <v/>
      </c>
      <c r="AJ354" s="15"/>
      <c r="AK354" s="6" t="e">
        <f t="shared" si="130"/>
        <v>#N/A</v>
      </c>
      <c r="AL354" s="6" t="str">
        <f>IF(AB355&lt;&gt;AB354,AVERAGEIF(AB$9:AB354,AB354,AK$9:AK354),"")</f>
        <v/>
      </c>
      <c r="AM354" s="7" t="str">
        <f>IFERROR(IF(AB355&lt;&gt;AB354,AVERAGEIF(AB$9:AB354,AB354,AT$9:AT354),""),"")</f>
        <v/>
      </c>
      <c r="AN354" s="7" t="str">
        <f>IFERROR(IF(AB355&lt;&gt;AB354,AVERAGEIF(AB$9:AB354,AB354,AU$9:AU354),""),"")</f>
        <v/>
      </c>
      <c r="AO354" s="7" t="str" cm="1">
        <f t="array" ref="AO354">IFERROR(IF(AB355&lt;&gt;AB354,_xlfn.STDEV.P(IF(AB$9:AB354=AB354,AU$9:AU354)),""),"")</f>
        <v/>
      </c>
      <c r="AP354" s="7" t="str" cm="1">
        <f t="array" ref="AP354">IFERROR(IF(AB355&lt;&gt;AB354,_xlfn.STDEV.P(IF(AB$9:AB354=AB354,AT$9:AT354)),""),"")</f>
        <v/>
      </c>
      <c r="AQ354" s="8" t="str">
        <f t="shared" si="131"/>
        <v/>
      </c>
      <c r="AR354" s="8" t="str">
        <f t="shared" si="132"/>
        <v/>
      </c>
      <c r="AS354" s="8" t="str">
        <f t="shared" si="133"/>
        <v/>
      </c>
      <c r="AT354" s="9" t="str">
        <f t="shared" si="134"/>
        <v/>
      </c>
      <c r="AU354" s="9" t="str">
        <f t="shared" si="135"/>
        <v/>
      </c>
      <c r="AV354" s="14"/>
      <c r="AW354" s="15"/>
      <c r="AX354" s="14" t="str">
        <f t="shared" si="136"/>
        <v/>
      </c>
      <c r="AY354" s="15"/>
      <c r="AZ354" s="23"/>
      <c r="EW354" t="s">
        <v>46</v>
      </c>
      <c r="EX354" s="33">
        <v>1353</v>
      </c>
      <c r="EY354" s="33" t="s">
        <v>925</v>
      </c>
      <c r="EZ354" s="33" t="s">
        <v>926</v>
      </c>
      <c r="FA354" s="33" t="s">
        <v>343</v>
      </c>
      <c r="FB354" s="33" t="s">
        <v>344</v>
      </c>
      <c r="FC354" s="33" t="s">
        <v>345</v>
      </c>
      <c r="FD354" s="33" t="s">
        <v>346</v>
      </c>
      <c r="FE354" s="33">
        <v>2025</v>
      </c>
      <c r="FF354" s="33" t="s">
        <v>59</v>
      </c>
      <c r="FG354" s="33" t="s">
        <v>470</v>
      </c>
      <c r="FH354" s="33" t="s">
        <v>471</v>
      </c>
      <c r="FI354" s="33" t="s">
        <v>467</v>
      </c>
      <c r="FJ354" t="s">
        <v>59</v>
      </c>
      <c r="FM354" s="32" t="s">
        <v>922</v>
      </c>
      <c r="FN354" t="s">
        <v>923</v>
      </c>
      <c r="FO354" t="s">
        <v>924</v>
      </c>
      <c r="FP354" t="str">
        <f t="shared" si="118"/>
        <v>B</v>
      </c>
      <c r="GU354" s="53">
        <v>124</v>
      </c>
      <c r="GV354" s="53">
        <v>348</v>
      </c>
    </row>
    <row r="355" spans="1:204" ht="15.5" x14ac:dyDescent="0.35">
      <c r="A355" s="95">
        <f t="shared" si="119"/>
        <v>1</v>
      </c>
      <c r="B355" s="11"/>
      <c r="C355" s="11"/>
      <c r="D355" s="92" t="str">
        <f>IFERROR(
IF(AND(OR(Planilla!B355="C",Planilla!B355="c"), VLOOKUP(E355,EX:FJ,13,0)="C"), "OK",IF(AND(OR(Planilla!B355="C",Planilla!B355="c"), OR(VLOOKUP(E355,EX:FJ,13,0)="B", VLOOKUP(E355,EX:FJ,13,0)="A")), "DEFICIT",IF(
AND(OR(Planilla!B355="B", Planilla!B355="BPAL"), VLOOKUP(E355,EX:FJ,13,0)="B"), "OK",IF(AND(OR(Planilla!B355="B", Planilla!B355="BPAL"), VLOOKUP(E355,EX:FJ,13,0)="A"), "DEFICIT",IF(AND(OR(Planilla!B355="B", Planilla!B355="BPAL"), VLOOKUP(E355,EX:FJ,13,0)="C"), "SOBREOFERTA",IF(AND(Planilla!B355="A", VLOOKUP(E355,EX:FJ,13,0)="A"), "OK",IF(
AND(Planilla!B355="A", OR(VLOOKUP(E355,EX:FJ,13,0)="B", VLOOKUP(E355,EX:FJ,13,0)="C")), "SOBREOFERTA",""
))))))),"")</f>
        <v/>
      </c>
      <c r="E355" s="12"/>
      <c r="F355" s="13"/>
      <c r="G355" s="14"/>
      <c r="H355" s="81" t="str">
        <f t="shared" si="120"/>
        <v/>
      </c>
      <c r="I355" s="7"/>
      <c r="J355" s="6" t="e">
        <f t="shared" si="121"/>
        <v>#N/A</v>
      </c>
      <c r="K355" s="6" t="str">
        <f>IF(A356&lt;&gt;A355,AVERAGEIF(A$9:A355,A355,J$9:J355),"")</f>
        <v/>
      </c>
      <c r="L355" s="7" t="str">
        <f>IFERROR(IF(A356&lt;&gt;A355,AVERAGEIF(A$9:A355,A355,S$9:S355),""),"")</f>
        <v/>
      </c>
      <c r="M355" s="7" t="str">
        <f>IFERROR(IF(A356&lt;&gt;A355,AVERAGEIF(A$9:A355,A355,T$9:T355),""),"")</f>
        <v/>
      </c>
      <c r="N355" s="7" t="str" cm="1">
        <f t="array" ref="N355">IFERROR(IF(A356&lt;&gt;A355,_xlfn.STDEV.P(IF(A$9:A355=A355,T$9:T355)),""),"")</f>
        <v/>
      </c>
      <c r="O355" s="7" t="str" cm="1">
        <f t="array" ref="O355">IFERROR(IF(A356&lt;&gt;A355,_xlfn.STDEV.P(IF(A$9:A355=A355,S$9:S355)),""),"")</f>
        <v/>
      </c>
      <c r="P355" s="8" t="str">
        <f t="shared" si="122"/>
        <v/>
      </c>
      <c r="Q355" s="8" t="str">
        <f t="shared" si="123"/>
        <v/>
      </c>
      <c r="R355" s="8" t="str">
        <f t="shared" si="124"/>
        <v/>
      </c>
      <c r="S355" s="9" t="str">
        <f t="shared" si="125"/>
        <v/>
      </c>
      <c r="T355" s="9" t="str">
        <f t="shared" si="126"/>
        <v/>
      </c>
      <c r="U355" s="14"/>
      <c r="V355" s="15"/>
      <c r="W355" s="14" t="str">
        <f t="shared" si="127"/>
        <v/>
      </c>
      <c r="X355" s="15"/>
      <c r="Y355" s="2"/>
      <c r="AB355" s="22">
        <f t="shared" si="128"/>
        <v>1</v>
      </c>
      <c r="AC355" s="11"/>
      <c r="AD355" s="11"/>
      <c r="AE355" s="13"/>
      <c r="AF355" s="12"/>
      <c r="AG355" s="13"/>
      <c r="AH355" s="14"/>
      <c r="AI355" s="81" t="str">
        <f t="shared" si="129"/>
        <v/>
      </c>
      <c r="AJ355" s="15"/>
      <c r="AK355" s="6" t="e">
        <f t="shared" si="130"/>
        <v>#N/A</v>
      </c>
      <c r="AL355" s="6" t="str">
        <f>IF(AB356&lt;&gt;AB355,AVERAGEIF(AB$9:AB355,AB355,AK$9:AK355),"")</f>
        <v/>
      </c>
      <c r="AM355" s="7" t="str">
        <f>IFERROR(IF(AB356&lt;&gt;AB355,AVERAGEIF(AB$9:AB355,AB355,AT$9:AT355),""),"")</f>
        <v/>
      </c>
      <c r="AN355" s="7" t="str">
        <f>IFERROR(IF(AB356&lt;&gt;AB355,AVERAGEIF(AB$9:AB355,AB355,AU$9:AU355),""),"")</f>
        <v/>
      </c>
      <c r="AO355" s="7" t="str" cm="1">
        <f t="array" ref="AO355">IFERROR(IF(AB356&lt;&gt;AB355,_xlfn.STDEV.P(IF(AB$9:AB355=AB355,AU$9:AU355)),""),"")</f>
        <v/>
      </c>
      <c r="AP355" s="7" t="str" cm="1">
        <f t="array" ref="AP355">IFERROR(IF(AB356&lt;&gt;AB355,_xlfn.STDEV.P(IF(AB$9:AB355=AB355,AT$9:AT355)),""),"")</f>
        <v/>
      </c>
      <c r="AQ355" s="8" t="str">
        <f t="shared" si="131"/>
        <v/>
      </c>
      <c r="AR355" s="8" t="str">
        <f t="shared" si="132"/>
        <v/>
      </c>
      <c r="AS355" s="8" t="str">
        <f t="shared" si="133"/>
        <v/>
      </c>
      <c r="AT355" s="9" t="str">
        <f t="shared" si="134"/>
        <v/>
      </c>
      <c r="AU355" s="9" t="str">
        <f t="shared" si="135"/>
        <v/>
      </c>
      <c r="AV355" s="14"/>
      <c r="AW355" s="15"/>
      <c r="AX355" s="14" t="str">
        <f t="shared" si="136"/>
        <v/>
      </c>
      <c r="AY355" s="15"/>
      <c r="AZ355" s="23"/>
      <c r="EW355" t="s">
        <v>46</v>
      </c>
      <c r="EX355" s="33">
        <v>1354</v>
      </c>
      <c r="EY355" s="33" t="s">
        <v>927</v>
      </c>
      <c r="EZ355" s="33" t="s">
        <v>928</v>
      </c>
      <c r="FA355" s="33" t="s">
        <v>343</v>
      </c>
      <c r="FB355" s="33" t="s">
        <v>344</v>
      </c>
      <c r="FC355" s="33" t="s">
        <v>345</v>
      </c>
      <c r="FD355" s="33" t="s">
        <v>346</v>
      </c>
      <c r="FE355" s="33">
        <v>2025</v>
      </c>
      <c r="FF355" s="33" t="s">
        <v>59</v>
      </c>
      <c r="FG355" s="33" t="s">
        <v>477</v>
      </c>
      <c r="FH355" s="33" t="s">
        <v>478</v>
      </c>
      <c r="FI355" s="33" t="s">
        <v>479</v>
      </c>
      <c r="FJ355" t="s">
        <v>59</v>
      </c>
      <c r="FM355" s="32" t="s">
        <v>922</v>
      </c>
      <c r="FN355" t="s">
        <v>923</v>
      </c>
      <c r="FO355" t="s">
        <v>924</v>
      </c>
      <c r="FP355" t="str">
        <f t="shared" si="118"/>
        <v>B</v>
      </c>
      <c r="GU355" s="53">
        <v>125</v>
      </c>
      <c r="GV355" s="53">
        <v>349</v>
      </c>
    </row>
    <row r="356" spans="1:204" ht="15.5" x14ac:dyDescent="0.35">
      <c r="A356" s="95">
        <f t="shared" si="119"/>
        <v>1</v>
      </c>
      <c r="B356" s="11"/>
      <c r="C356" s="11"/>
      <c r="D356" s="92" t="str">
        <f>IFERROR(
IF(AND(OR(Planilla!B356="C",Planilla!B356="c"), VLOOKUP(E356,EX:FJ,13,0)="C"), "OK",IF(AND(OR(Planilla!B356="C",Planilla!B356="c"), OR(VLOOKUP(E356,EX:FJ,13,0)="B", VLOOKUP(E356,EX:FJ,13,0)="A")), "DEFICIT",IF(
AND(OR(Planilla!B356="B", Planilla!B356="BPAL"), VLOOKUP(E356,EX:FJ,13,0)="B"), "OK",IF(AND(OR(Planilla!B356="B", Planilla!B356="BPAL"), VLOOKUP(E356,EX:FJ,13,0)="A"), "DEFICIT",IF(AND(OR(Planilla!B356="B", Planilla!B356="BPAL"), VLOOKUP(E356,EX:FJ,13,0)="C"), "SOBREOFERTA",IF(AND(Planilla!B356="A", VLOOKUP(E356,EX:FJ,13,0)="A"), "OK",IF(
AND(Planilla!B356="A", OR(VLOOKUP(E356,EX:FJ,13,0)="B", VLOOKUP(E356,EX:FJ,13,0)="C")), "SOBREOFERTA",""
))))))),"")</f>
        <v/>
      </c>
      <c r="E356" s="12"/>
      <c r="F356" s="13"/>
      <c r="G356" s="14"/>
      <c r="H356" s="81" t="str">
        <f t="shared" si="120"/>
        <v/>
      </c>
      <c r="I356" s="7"/>
      <c r="J356" s="6" t="e">
        <f t="shared" si="121"/>
        <v>#N/A</v>
      </c>
      <c r="K356" s="6" t="str">
        <f>IF(A357&lt;&gt;A356,AVERAGEIF(A$9:A356,A356,J$9:J356),"")</f>
        <v/>
      </c>
      <c r="L356" s="7" t="str">
        <f>IFERROR(IF(A357&lt;&gt;A356,AVERAGEIF(A$9:A356,A356,S$9:S356),""),"")</f>
        <v/>
      </c>
      <c r="M356" s="7" t="str">
        <f>IFERROR(IF(A357&lt;&gt;A356,AVERAGEIF(A$9:A356,A356,T$9:T356),""),"")</f>
        <v/>
      </c>
      <c r="N356" s="7" t="str" cm="1">
        <f t="array" ref="N356">IFERROR(IF(A357&lt;&gt;A356,_xlfn.STDEV.P(IF(A$9:A356=A356,T$9:T356)),""),"")</f>
        <v/>
      </c>
      <c r="O356" s="7" t="str" cm="1">
        <f t="array" ref="O356">IFERROR(IF(A357&lt;&gt;A356,_xlfn.STDEV.P(IF(A$9:A356=A356,S$9:S356)),""),"")</f>
        <v/>
      </c>
      <c r="P356" s="8" t="str">
        <f t="shared" si="122"/>
        <v/>
      </c>
      <c r="Q356" s="8" t="str">
        <f t="shared" si="123"/>
        <v/>
      </c>
      <c r="R356" s="8" t="str">
        <f t="shared" si="124"/>
        <v/>
      </c>
      <c r="S356" s="9" t="str">
        <f t="shared" si="125"/>
        <v/>
      </c>
      <c r="T356" s="9" t="str">
        <f t="shared" si="126"/>
        <v/>
      </c>
      <c r="U356" s="14"/>
      <c r="V356" s="15"/>
      <c r="W356" s="14" t="str">
        <f t="shared" si="127"/>
        <v/>
      </c>
      <c r="X356" s="15"/>
      <c r="Y356" s="2"/>
      <c r="AB356" s="22">
        <f t="shared" si="128"/>
        <v>1</v>
      </c>
      <c r="AC356" s="11"/>
      <c r="AD356" s="11"/>
      <c r="AE356" s="13"/>
      <c r="AF356" s="12"/>
      <c r="AG356" s="13"/>
      <c r="AH356" s="14"/>
      <c r="AI356" s="81" t="str">
        <f t="shared" si="129"/>
        <v/>
      </c>
      <c r="AJ356" s="15"/>
      <c r="AK356" s="6" t="e">
        <f t="shared" si="130"/>
        <v>#N/A</v>
      </c>
      <c r="AL356" s="6" t="str">
        <f>IF(AB357&lt;&gt;AB356,AVERAGEIF(AB$9:AB356,AB356,AK$9:AK356),"")</f>
        <v/>
      </c>
      <c r="AM356" s="7" t="str">
        <f>IFERROR(IF(AB357&lt;&gt;AB356,AVERAGEIF(AB$9:AB356,AB356,AT$9:AT356),""),"")</f>
        <v/>
      </c>
      <c r="AN356" s="7" t="str">
        <f>IFERROR(IF(AB357&lt;&gt;AB356,AVERAGEIF(AB$9:AB356,AB356,AU$9:AU356),""),"")</f>
        <v/>
      </c>
      <c r="AO356" s="7" t="str" cm="1">
        <f t="array" ref="AO356">IFERROR(IF(AB357&lt;&gt;AB356,_xlfn.STDEV.P(IF(AB$9:AB356=AB356,AU$9:AU356)),""),"")</f>
        <v/>
      </c>
      <c r="AP356" s="7" t="str" cm="1">
        <f t="array" ref="AP356">IFERROR(IF(AB357&lt;&gt;AB356,_xlfn.STDEV.P(IF(AB$9:AB356=AB356,AT$9:AT356)),""),"")</f>
        <v/>
      </c>
      <c r="AQ356" s="8" t="str">
        <f t="shared" si="131"/>
        <v/>
      </c>
      <c r="AR356" s="8" t="str">
        <f t="shared" si="132"/>
        <v/>
      </c>
      <c r="AS356" s="8" t="str">
        <f t="shared" si="133"/>
        <v/>
      </c>
      <c r="AT356" s="9" t="str">
        <f t="shared" si="134"/>
        <v/>
      </c>
      <c r="AU356" s="9" t="str">
        <f t="shared" si="135"/>
        <v/>
      </c>
      <c r="AV356" s="14"/>
      <c r="AW356" s="15"/>
      <c r="AX356" s="14" t="str">
        <f t="shared" si="136"/>
        <v/>
      </c>
      <c r="AY356" s="15"/>
      <c r="AZ356" s="23"/>
      <c r="EW356" t="s">
        <v>46</v>
      </c>
      <c r="EX356" s="33">
        <v>1355</v>
      </c>
      <c r="EY356" s="33" t="s">
        <v>929</v>
      </c>
      <c r="EZ356" s="33" t="s">
        <v>930</v>
      </c>
      <c r="FA356" s="33" t="s">
        <v>343</v>
      </c>
      <c r="FB356" s="33" t="s">
        <v>344</v>
      </c>
      <c r="FC356" s="33" t="s">
        <v>345</v>
      </c>
      <c r="FD356" s="33" t="s">
        <v>346</v>
      </c>
      <c r="FE356" s="33">
        <v>2025</v>
      </c>
      <c r="FF356" s="33" t="s">
        <v>59</v>
      </c>
      <c r="FG356" s="33" t="s">
        <v>477</v>
      </c>
      <c r="FH356" s="33" t="s">
        <v>478</v>
      </c>
      <c r="FI356" s="33" t="s">
        <v>479</v>
      </c>
      <c r="FJ356" t="s">
        <v>59</v>
      </c>
      <c r="FM356" s="32" t="s">
        <v>922</v>
      </c>
      <c r="FN356" t="s">
        <v>923</v>
      </c>
      <c r="FO356" t="s">
        <v>924</v>
      </c>
      <c r="FP356" t="str">
        <f t="shared" si="118"/>
        <v>B</v>
      </c>
      <c r="GU356" s="53">
        <v>126</v>
      </c>
      <c r="GV356" s="53">
        <v>350</v>
      </c>
    </row>
    <row r="357" spans="1:204" ht="15.5" x14ac:dyDescent="0.35">
      <c r="A357" s="95">
        <f t="shared" si="119"/>
        <v>1</v>
      </c>
      <c r="B357" s="11"/>
      <c r="C357" s="11"/>
      <c r="D357" s="92" t="str">
        <f>IFERROR(
IF(AND(OR(Planilla!B357="C",Planilla!B357="c"), VLOOKUP(E357,EX:FJ,13,0)="C"), "OK",IF(AND(OR(Planilla!B357="C",Planilla!B357="c"), OR(VLOOKUP(E357,EX:FJ,13,0)="B", VLOOKUP(E357,EX:FJ,13,0)="A")), "DEFICIT",IF(
AND(OR(Planilla!B357="B", Planilla!B357="BPAL"), VLOOKUP(E357,EX:FJ,13,0)="B"), "OK",IF(AND(OR(Planilla!B357="B", Planilla!B357="BPAL"), VLOOKUP(E357,EX:FJ,13,0)="A"), "DEFICIT",IF(AND(OR(Planilla!B357="B", Planilla!B357="BPAL"), VLOOKUP(E357,EX:FJ,13,0)="C"), "SOBREOFERTA",IF(AND(Planilla!B357="A", VLOOKUP(E357,EX:FJ,13,0)="A"), "OK",IF(
AND(Planilla!B357="A", OR(VLOOKUP(E357,EX:FJ,13,0)="B", VLOOKUP(E357,EX:FJ,13,0)="C")), "SOBREOFERTA",""
))))))),"")</f>
        <v/>
      </c>
      <c r="E357" s="12"/>
      <c r="F357" s="13"/>
      <c r="G357" s="14"/>
      <c r="H357" s="81" t="str">
        <f t="shared" si="120"/>
        <v/>
      </c>
      <c r="I357" s="7"/>
      <c r="J357" s="6" t="e">
        <f t="shared" si="121"/>
        <v>#N/A</v>
      </c>
      <c r="K357" s="6" t="str">
        <f>IF(A358&lt;&gt;A357,AVERAGEIF(A$9:A357,A357,J$9:J357),"")</f>
        <v/>
      </c>
      <c r="L357" s="7" t="str">
        <f>IFERROR(IF(A358&lt;&gt;A357,AVERAGEIF(A$9:A357,A357,S$9:S357),""),"")</f>
        <v/>
      </c>
      <c r="M357" s="7" t="str">
        <f>IFERROR(IF(A358&lt;&gt;A357,AVERAGEIF(A$9:A357,A357,T$9:T357),""),"")</f>
        <v/>
      </c>
      <c r="N357" s="7" t="str" cm="1">
        <f t="array" ref="N357">IFERROR(IF(A358&lt;&gt;A357,_xlfn.STDEV.P(IF(A$9:A357=A357,T$9:T357)),""),"")</f>
        <v/>
      </c>
      <c r="O357" s="7" t="str" cm="1">
        <f t="array" ref="O357">IFERROR(IF(A358&lt;&gt;A357,_xlfn.STDEV.P(IF(A$9:A357=A357,S$9:S357)),""),"")</f>
        <v/>
      </c>
      <c r="P357" s="8" t="str">
        <f t="shared" si="122"/>
        <v/>
      </c>
      <c r="Q357" s="8" t="str">
        <f t="shared" si="123"/>
        <v/>
      </c>
      <c r="R357" s="8" t="str">
        <f t="shared" si="124"/>
        <v/>
      </c>
      <c r="S357" s="9" t="str">
        <f t="shared" si="125"/>
        <v/>
      </c>
      <c r="T357" s="9" t="str">
        <f t="shared" si="126"/>
        <v/>
      </c>
      <c r="U357" s="14"/>
      <c r="V357" s="15"/>
      <c r="W357" s="14" t="str">
        <f t="shared" si="127"/>
        <v/>
      </c>
      <c r="X357" s="15"/>
      <c r="Y357" s="2"/>
      <c r="AB357" s="22">
        <f t="shared" si="128"/>
        <v>1</v>
      </c>
      <c r="AC357" s="11"/>
      <c r="AD357" s="11"/>
      <c r="AE357" s="13"/>
      <c r="AF357" s="12"/>
      <c r="AG357" s="13"/>
      <c r="AH357" s="14"/>
      <c r="AI357" s="81" t="str">
        <f t="shared" si="129"/>
        <v/>
      </c>
      <c r="AJ357" s="15"/>
      <c r="AK357" s="6" t="e">
        <f t="shared" si="130"/>
        <v>#N/A</v>
      </c>
      <c r="AL357" s="6" t="str">
        <f>IF(AB358&lt;&gt;AB357,AVERAGEIF(AB$9:AB357,AB357,AK$9:AK357),"")</f>
        <v/>
      </c>
      <c r="AM357" s="7" t="str">
        <f>IFERROR(IF(AB358&lt;&gt;AB357,AVERAGEIF(AB$9:AB357,AB357,AT$9:AT357),""),"")</f>
        <v/>
      </c>
      <c r="AN357" s="7" t="str">
        <f>IFERROR(IF(AB358&lt;&gt;AB357,AVERAGEIF(AB$9:AB357,AB357,AU$9:AU357),""),"")</f>
        <v/>
      </c>
      <c r="AO357" s="7" t="str" cm="1">
        <f t="array" ref="AO357">IFERROR(IF(AB358&lt;&gt;AB357,_xlfn.STDEV.P(IF(AB$9:AB357=AB357,AU$9:AU357)),""),"")</f>
        <v/>
      </c>
      <c r="AP357" s="7" t="str" cm="1">
        <f t="array" ref="AP357">IFERROR(IF(AB358&lt;&gt;AB357,_xlfn.STDEV.P(IF(AB$9:AB357=AB357,AT$9:AT357)),""),"")</f>
        <v/>
      </c>
      <c r="AQ357" s="8" t="str">
        <f t="shared" si="131"/>
        <v/>
      </c>
      <c r="AR357" s="8" t="str">
        <f t="shared" si="132"/>
        <v/>
      </c>
      <c r="AS357" s="8" t="str">
        <f t="shared" si="133"/>
        <v/>
      </c>
      <c r="AT357" s="9" t="str">
        <f t="shared" si="134"/>
        <v/>
      </c>
      <c r="AU357" s="9" t="str">
        <f t="shared" si="135"/>
        <v/>
      </c>
      <c r="AV357" s="14"/>
      <c r="AW357" s="15"/>
      <c r="AX357" s="14" t="str">
        <f t="shared" si="136"/>
        <v/>
      </c>
      <c r="AY357" s="15"/>
      <c r="AZ357" s="23"/>
      <c r="EW357" t="s">
        <v>46</v>
      </c>
      <c r="EX357" s="33">
        <v>1356</v>
      </c>
      <c r="EY357" s="33" t="s">
        <v>931</v>
      </c>
      <c r="EZ357" s="33" t="s">
        <v>932</v>
      </c>
      <c r="FA357" s="33" t="s">
        <v>343</v>
      </c>
      <c r="FB357" s="33" t="s">
        <v>344</v>
      </c>
      <c r="FC357" s="33" t="s">
        <v>345</v>
      </c>
      <c r="FD357" s="33" t="s">
        <v>346</v>
      </c>
      <c r="FE357" s="33">
        <v>2025</v>
      </c>
      <c r="FF357" s="33" t="s">
        <v>59</v>
      </c>
      <c r="FG357" s="33" t="s">
        <v>477</v>
      </c>
      <c r="FH357" s="33" t="s">
        <v>478</v>
      </c>
      <c r="FI357" s="33" t="s">
        <v>479</v>
      </c>
      <c r="FJ357" t="s">
        <v>59</v>
      </c>
      <c r="FM357" s="32" t="s">
        <v>922</v>
      </c>
      <c r="FN357" t="s">
        <v>923</v>
      </c>
      <c r="FO357" t="s">
        <v>924</v>
      </c>
      <c r="FP357" t="str">
        <f t="shared" si="118"/>
        <v>B</v>
      </c>
      <c r="GU357" s="53">
        <v>127</v>
      </c>
      <c r="GV357" s="53">
        <v>351</v>
      </c>
    </row>
    <row r="358" spans="1:204" ht="15.5" x14ac:dyDescent="0.35">
      <c r="A358" s="95">
        <f t="shared" si="119"/>
        <v>1</v>
      </c>
      <c r="B358" s="11"/>
      <c r="C358" s="11"/>
      <c r="D358" s="92" t="str">
        <f>IFERROR(
IF(AND(OR(Planilla!B358="C",Planilla!B358="c"), VLOOKUP(E358,EX:FJ,13,0)="C"), "OK",IF(AND(OR(Planilla!B358="C",Planilla!B358="c"), OR(VLOOKUP(E358,EX:FJ,13,0)="B", VLOOKUP(E358,EX:FJ,13,0)="A")), "DEFICIT",IF(
AND(OR(Planilla!B358="B", Planilla!B358="BPAL"), VLOOKUP(E358,EX:FJ,13,0)="B"), "OK",IF(AND(OR(Planilla!B358="B", Planilla!B358="BPAL"), VLOOKUP(E358,EX:FJ,13,0)="A"), "DEFICIT",IF(AND(OR(Planilla!B358="B", Planilla!B358="BPAL"), VLOOKUP(E358,EX:FJ,13,0)="C"), "SOBREOFERTA",IF(AND(Planilla!B358="A", VLOOKUP(E358,EX:FJ,13,0)="A"), "OK",IF(
AND(Planilla!B358="A", OR(VLOOKUP(E358,EX:FJ,13,0)="B", VLOOKUP(E358,EX:FJ,13,0)="C")), "SOBREOFERTA",""
))))))),"")</f>
        <v/>
      </c>
      <c r="E358" s="12"/>
      <c r="F358" s="13"/>
      <c r="G358" s="14"/>
      <c r="H358" s="81" t="str">
        <f t="shared" si="120"/>
        <v/>
      </c>
      <c r="I358" s="7"/>
      <c r="J358" s="6" t="e">
        <f t="shared" si="121"/>
        <v>#N/A</v>
      </c>
      <c r="K358" s="6" t="str">
        <f>IF(A359&lt;&gt;A358,AVERAGEIF(A$9:A358,A358,J$9:J358),"")</f>
        <v/>
      </c>
      <c r="L358" s="7" t="str">
        <f>IFERROR(IF(A359&lt;&gt;A358,AVERAGEIF(A$9:A358,A358,S$9:S358),""),"")</f>
        <v/>
      </c>
      <c r="M358" s="7" t="str">
        <f>IFERROR(IF(A359&lt;&gt;A358,AVERAGEIF(A$9:A358,A358,T$9:T358),""),"")</f>
        <v/>
      </c>
      <c r="N358" s="7" t="str" cm="1">
        <f t="array" ref="N358">IFERROR(IF(A359&lt;&gt;A358,_xlfn.STDEV.P(IF(A$9:A358=A358,T$9:T358)),""),"")</f>
        <v/>
      </c>
      <c r="O358" s="7" t="str" cm="1">
        <f t="array" ref="O358">IFERROR(IF(A359&lt;&gt;A358,_xlfn.STDEV.P(IF(A$9:A358=A358,S$9:S358)),""),"")</f>
        <v/>
      </c>
      <c r="P358" s="8" t="str">
        <f t="shared" si="122"/>
        <v/>
      </c>
      <c r="Q358" s="8" t="str">
        <f t="shared" si="123"/>
        <v/>
      </c>
      <c r="R358" s="8" t="str">
        <f t="shared" si="124"/>
        <v/>
      </c>
      <c r="S358" s="9" t="str">
        <f t="shared" si="125"/>
        <v/>
      </c>
      <c r="T358" s="9" t="str">
        <f t="shared" si="126"/>
        <v/>
      </c>
      <c r="U358" s="14"/>
      <c r="V358" s="15"/>
      <c r="W358" s="14" t="str">
        <f t="shared" si="127"/>
        <v/>
      </c>
      <c r="X358" s="15"/>
      <c r="Y358" s="2"/>
      <c r="AB358" s="22">
        <f t="shared" si="128"/>
        <v>1</v>
      </c>
      <c r="AC358" s="11"/>
      <c r="AD358" s="11"/>
      <c r="AE358" s="13"/>
      <c r="AF358" s="12"/>
      <c r="AG358" s="13"/>
      <c r="AH358" s="14"/>
      <c r="AI358" s="81" t="str">
        <f t="shared" si="129"/>
        <v/>
      </c>
      <c r="AJ358" s="15"/>
      <c r="AK358" s="6" t="e">
        <f t="shared" si="130"/>
        <v>#N/A</v>
      </c>
      <c r="AL358" s="6" t="str">
        <f>IF(AB359&lt;&gt;AB358,AVERAGEIF(AB$9:AB358,AB358,AK$9:AK358),"")</f>
        <v/>
      </c>
      <c r="AM358" s="7" t="str">
        <f>IFERROR(IF(AB359&lt;&gt;AB358,AVERAGEIF(AB$9:AB358,AB358,AT$9:AT358),""),"")</f>
        <v/>
      </c>
      <c r="AN358" s="7" t="str">
        <f>IFERROR(IF(AB359&lt;&gt;AB358,AVERAGEIF(AB$9:AB358,AB358,AU$9:AU358),""),"")</f>
        <v/>
      </c>
      <c r="AO358" s="7" t="str" cm="1">
        <f t="array" ref="AO358">IFERROR(IF(AB359&lt;&gt;AB358,_xlfn.STDEV.P(IF(AB$9:AB358=AB358,AU$9:AU358)),""),"")</f>
        <v/>
      </c>
      <c r="AP358" s="7" t="str" cm="1">
        <f t="array" ref="AP358">IFERROR(IF(AB359&lt;&gt;AB358,_xlfn.STDEV.P(IF(AB$9:AB358=AB358,AT$9:AT358)),""),"")</f>
        <v/>
      </c>
      <c r="AQ358" s="8" t="str">
        <f t="shared" si="131"/>
        <v/>
      </c>
      <c r="AR358" s="8" t="str">
        <f t="shared" si="132"/>
        <v/>
      </c>
      <c r="AS358" s="8" t="str">
        <f t="shared" si="133"/>
        <v/>
      </c>
      <c r="AT358" s="9" t="str">
        <f t="shared" si="134"/>
        <v/>
      </c>
      <c r="AU358" s="9" t="str">
        <f t="shared" si="135"/>
        <v/>
      </c>
      <c r="AV358" s="14"/>
      <c r="AW358" s="15"/>
      <c r="AX358" s="14" t="str">
        <f t="shared" si="136"/>
        <v/>
      </c>
      <c r="AY358" s="15"/>
      <c r="AZ358" s="23"/>
      <c r="EW358" t="s">
        <v>46</v>
      </c>
      <c r="EX358" s="33">
        <v>1357</v>
      </c>
      <c r="EY358" s="33" t="s">
        <v>933</v>
      </c>
      <c r="EZ358" s="33" t="s">
        <v>934</v>
      </c>
      <c r="FA358" s="33" t="s">
        <v>343</v>
      </c>
      <c r="FB358" s="33" t="s">
        <v>344</v>
      </c>
      <c r="FC358" s="33" t="s">
        <v>345</v>
      </c>
      <c r="FD358" s="33" t="s">
        <v>346</v>
      </c>
      <c r="FE358" s="33">
        <v>2025</v>
      </c>
      <c r="FF358" s="33" t="s">
        <v>59</v>
      </c>
      <c r="FG358" s="33" t="s">
        <v>470</v>
      </c>
      <c r="FH358" s="33" t="s">
        <v>471</v>
      </c>
      <c r="FI358" s="33" t="s">
        <v>467</v>
      </c>
      <c r="FJ358" t="s">
        <v>59</v>
      </c>
      <c r="FM358" s="32" t="s">
        <v>922</v>
      </c>
      <c r="FN358" t="s">
        <v>923</v>
      </c>
      <c r="FO358" t="s">
        <v>924</v>
      </c>
      <c r="FP358" t="str">
        <f t="shared" si="118"/>
        <v>B</v>
      </c>
      <c r="GU358" s="53">
        <v>128</v>
      </c>
      <c r="GV358" s="53">
        <v>352</v>
      </c>
    </row>
    <row r="359" spans="1:204" ht="15.5" x14ac:dyDescent="0.35">
      <c r="A359" s="95">
        <f t="shared" si="119"/>
        <v>1</v>
      </c>
      <c r="B359" s="11"/>
      <c r="C359" s="11"/>
      <c r="D359" s="92" t="str">
        <f>IFERROR(
IF(AND(OR(Planilla!B359="C",Planilla!B359="c"), VLOOKUP(E359,EX:FJ,13,0)="C"), "OK",IF(AND(OR(Planilla!B359="C",Planilla!B359="c"), OR(VLOOKUP(E359,EX:FJ,13,0)="B", VLOOKUP(E359,EX:FJ,13,0)="A")), "DEFICIT",IF(
AND(OR(Planilla!B359="B", Planilla!B359="BPAL"), VLOOKUP(E359,EX:FJ,13,0)="B"), "OK",IF(AND(OR(Planilla!B359="B", Planilla!B359="BPAL"), VLOOKUP(E359,EX:FJ,13,0)="A"), "DEFICIT",IF(AND(OR(Planilla!B359="B", Planilla!B359="BPAL"), VLOOKUP(E359,EX:FJ,13,0)="C"), "SOBREOFERTA",IF(AND(Planilla!B359="A", VLOOKUP(E359,EX:FJ,13,0)="A"), "OK",IF(
AND(Planilla!B359="A", OR(VLOOKUP(E359,EX:FJ,13,0)="B", VLOOKUP(E359,EX:FJ,13,0)="C")), "SOBREOFERTA",""
))))))),"")</f>
        <v/>
      </c>
      <c r="E359" s="12"/>
      <c r="F359" s="13"/>
      <c r="G359" s="14"/>
      <c r="H359" s="81" t="str">
        <f t="shared" si="120"/>
        <v/>
      </c>
      <c r="I359" s="7"/>
      <c r="J359" s="6" t="e">
        <f t="shared" si="121"/>
        <v>#N/A</v>
      </c>
      <c r="K359" s="6" t="str">
        <f>IF(A360&lt;&gt;A359,AVERAGEIF(A$9:A359,A359,J$9:J359),"")</f>
        <v/>
      </c>
      <c r="L359" s="7" t="str">
        <f>IFERROR(IF(A360&lt;&gt;A359,AVERAGEIF(A$9:A359,A359,S$9:S359),""),"")</f>
        <v/>
      </c>
      <c r="M359" s="7" t="str">
        <f>IFERROR(IF(A360&lt;&gt;A359,AVERAGEIF(A$9:A359,A359,T$9:T359),""),"")</f>
        <v/>
      </c>
      <c r="N359" s="7" t="str" cm="1">
        <f t="array" ref="N359">IFERROR(IF(A360&lt;&gt;A359,_xlfn.STDEV.P(IF(A$9:A359=A359,T$9:T359)),""),"")</f>
        <v/>
      </c>
      <c r="O359" s="7" t="str" cm="1">
        <f t="array" ref="O359">IFERROR(IF(A360&lt;&gt;A359,_xlfn.STDEV.P(IF(A$9:A359=A359,S$9:S359)),""),"")</f>
        <v/>
      </c>
      <c r="P359" s="8" t="str">
        <f t="shared" si="122"/>
        <v/>
      </c>
      <c r="Q359" s="8" t="str">
        <f t="shared" si="123"/>
        <v/>
      </c>
      <c r="R359" s="8" t="str">
        <f t="shared" si="124"/>
        <v/>
      </c>
      <c r="S359" s="9" t="str">
        <f t="shared" si="125"/>
        <v/>
      </c>
      <c r="T359" s="9" t="str">
        <f t="shared" si="126"/>
        <v/>
      </c>
      <c r="U359" s="14"/>
      <c r="V359" s="15"/>
      <c r="W359" s="14" t="str">
        <f t="shared" si="127"/>
        <v/>
      </c>
      <c r="X359" s="15"/>
      <c r="Y359" s="2"/>
      <c r="AB359" s="22">
        <f t="shared" si="128"/>
        <v>1</v>
      </c>
      <c r="AC359" s="11"/>
      <c r="AD359" s="11"/>
      <c r="AE359" s="13"/>
      <c r="AF359" s="12"/>
      <c r="AG359" s="13"/>
      <c r="AH359" s="14"/>
      <c r="AI359" s="81" t="str">
        <f t="shared" si="129"/>
        <v/>
      </c>
      <c r="AJ359" s="15"/>
      <c r="AK359" s="6" t="e">
        <f t="shared" si="130"/>
        <v>#N/A</v>
      </c>
      <c r="AL359" s="6" t="str">
        <f>IF(AB360&lt;&gt;AB359,AVERAGEIF(AB$9:AB359,AB359,AK$9:AK359),"")</f>
        <v/>
      </c>
      <c r="AM359" s="7" t="str">
        <f>IFERROR(IF(AB360&lt;&gt;AB359,AVERAGEIF(AB$9:AB359,AB359,AT$9:AT359),""),"")</f>
        <v/>
      </c>
      <c r="AN359" s="7" t="str">
        <f>IFERROR(IF(AB360&lt;&gt;AB359,AVERAGEIF(AB$9:AB359,AB359,AU$9:AU359),""),"")</f>
        <v/>
      </c>
      <c r="AO359" s="7" t="str" cm="1">
        <f t="array" ref="AO359">IFERROR(IF(AB360&lt;&gt;AB359,_xlfn.STDEV.P(IF(AB$9:AB359=AB359,AU$9:AU359)),""),"")</f>
        <v/>
      </c>
      <c r="AP359" s="7" t="str" cm="1">
        <f t="array" ref="AP359">IFERROR(IF(AB360&lt;&gt;AB359,_xlfn.STDEV.P(IF(AB$9:AB359=AB359,AT$9:AT359)),""),"")</f>
        <v/>
      </c>
      <c r="AQ359" s="8" t="str">
        <f t="shared" si="131"/>
        <v/>
      </c>
      <c r="AR359" s="8" t="str">
        <f t="shared" si="132"/>
        <v/>
      </c>
      <c r="AS359" s="8" t="str">
        <f t="shared" si="133"/>
        <v/>
      </c>
      <c r="AT359" s="9" t="str">
        <f t="shared" si="134"/>
        <v/>
      </c>
      <c r="AU359" s="9" t="str">
        <f t="shared" si="135"/>
        <v/>
      </c>
      <c r="AV359" s="14"/>
      <c r="AW359" s="15"/>
      <c r="AX359" s="14" t="str">
        <f t="shared" si="136"/>
        <v/>
      </c>
      <c r="AY359" s="15"/>
      <c r="AZ359" s="23"/>
      <c r="EW359" t="s">
        <v>46</v>
      </c>
      <c r="EX359" s="33">
        <v>1358</v>
      </c>
      <c r="EY359" s="33" t="s">
        <v>935</v>
      </c>
      <c r="EZ359" s="33" t="s">
        <v>936</v>
      </c>
      <c r="FA359" s="33" t="s">
        <v>343</v>
      </c>
      <c r="FB359" s="33" t="s">
        <v>344</v>
      </c>
      <c r="FC359" s="33" t="s">
        <v>345</v>
      </c>
      <c r="FD359" s="33" t="s">
        <v>346</v>
      </c>
      <c r="FE359" s="33">
        <v>2025</v>
      </c>
      <c r="FF359" s="33" t="s">
        <v>59</v>
      </c>
      <c r="FG359" s="33" t="s">
        <v>470</v>
      </c>
      <c r="FH359" s="33" t="s">
        <v>471</v>
      </c>
      <c r="FI359" s="33" t="s">
        <v>467</v>
      </c>
      <c r="FJ359" t="s">
        <v>59</v>
      </c>
      <c r="FM359" s="32" t="s">
        <v>922</v>
      </c>
      <c r="FN359" t="s">
        <v>923</v>
      </c>
      <c r="FO359" t="s">
        <v>924</v>
      </c>
      <c r="FP359" t="str">
        <f t="shared" si="118"/>
        <v>B</v>
      </c>
      <c r="GU359" s="53">
        <v>129</v>
      </c>
      <c r="GV359" s="53">
        <v>353</v>
      </c>
    </row>
    <row r="360" spans="1:204" ht="15.5" x14ac:dyDescent="0.35">
      <c r="A360" s="95">
        <f t="shared" si="119"/>
        <v>1</v>
      </c>
      <c r="B360" s="11"/>
      <c r="C360" s="11"/>
      <c r="D360" s="92" t="str">
        <f>IFERROR(
IF(AND(OR(Planilla!B360="C",Planilla!B360="c"), VLOOKUP(E360,EX:FJ,13,0)="C"), "OK",IF(AND(OR(Planilla!B360="C",Planilla!B360="c"), OR(VLOOKUP(E360,EX:FJ,13,0)="B", VLOOKUP(E360,EX:FJ,13,0)="A")), "DEFICIT",IF(
AND(OR(Planilla!B360="B", Planilla!B360="BPAL"), VLOOKUP(E360,EX:FJ,13,0)="B"), "OK",IF(AND(OR(Planilla!B360="B", Planilla!B360="BPAL"), VLOOKUP(E360,EX:FJ,13,0)="A"), "DEFICIT",IF(AND(OR(Planilla!B360="B", Planilla!B360="BPAL"), VLOOKUP(E360,EX:FJ,13,0)="C"), "SOBREOFERTA",IF(AND(Planilla!B360="A", VLOOKUP(E360,EX:FJ,13,0)="A"), "OK",IF(
AND(Planilla!B360="A", OR(VLOOKUP(E360,EX:FJ,13,0)="B", VLOOKUP(E360,EX:FJ,13,0)="C")), "SOBREOFERTA",""
))))))),"")</f>
        <v/>
      </c>
      <c r="E360" s="12"/>
      <c r="F360" s="13"/>
      <c r="G360" s="14"/>
      <c r="H360" s="81" t="str">
        <f t="shared" si="120"/>
        <v/>
      </c>
      <c r="I360" s="7"/>
      <c r="J360" s="6" t="e">
        <f t="shared" si="121"/>
        <v>#N/A</v>
      </c>
      <c r="K360" s="6" t="str">
        <f>IF(A361&lt;&gt;A360,AVERAGEIF(A$9:A360,A360,J$9:J360),"")</f>
        <v/>
      </c>
      <c r="L360" s="7" t="str">
        <f>IFERROR(IF(A361&lt;&gt;A360,AVERAGEIF(A$9:A360,A360,S$9:S360),""),"")</f>
        <v/>
      </c>
      <c r="M360" s="7" t="str">
        <f>IFERROR(IF(A361&lt;&gt;A360,AVERAGEIF(A$9:A360,A360,T$9:T360),""),"")</f>
        <v/>
      </c>
      <c r="N360" s="7" t="str" cm="1">
        <f t="array" ref="N360">IFERROR(IF(A361&lt;&gt;A360,_xlfn.STDEV.P(IF(A$9:A360=A360,T$9:T360)),""),"")</f>
        <v/>
      </c>
      <c r="O360" s="7" t="str" cm="1">
        <f t="array" ref="O360">IFERROR(IF(A361&lt;&gt;A360,_xlfn.STDEV.P(IF(A$9:A360=A360,S$9:S360)),""),"")</f>
        <v/>
      </c>
      <c r="P360" s="8" t="str">
        <f t="shared" si="122"/>
        <v/>
      </c>
      <c r="Q360" s="8" t="str">
        <f t="shared" si="123"/>
        <v/>
      </c>
      <c r="R360" s="8" t="str">
        <f t="shared" si="124"/>
        <v/>
      </c>
      <c r="S360" s="9" t="str">
        <f t="shared" si="125"/>
        <v/>
      </c>
      <c r="T360" s="9" t="str">
        <f t="shared" si="126"/>
        <v/>
      </c>
      <c r="U360" s="14"/>
      <c r="V360" s="15"/>
      <c r="W360" s="14" t="str">
        <f t="shared" si="127"/>
        <v/>
      </c>
      <c r="X360" s="15"/>
      <c r="Y360" s="2"/>
      <c r="AB360" s="22">
        <f t="shared" si="128"/>
        <v>1</v>
      </c>
      <c r="AC360" s="11"/>
      <c r="AD360" s="11"/>
      <c r="AE360" s="13"/>
      <c r="AF360" s="12"/>
      <c r="AG360" s="13"/>
      <c r="AH360" s="14"/>
      <c r="AI360" s="81" t="str">
        <f t="shared" si="129"/>
        <v/>
      </c>
      <c r="AJ360" s="15"/>
      <c r="AK360" s="6" t="e">
        <f t="shared" si="130"/>
        <v>#N/A</v>
      </c>
      <c r="AL360" s="6" t="str">
        <f>IF(AB361&lt;&gt;AB360,AVERAGEIF(AB$9:AB360,AB360,AK$9:AK360),"")</f>
        <v/>
      </c>
      <c r="AM360" s="7" t="str">
        <f>IFERROR(IF(AB361&lt;&gt;AB360,AVERAGEIF(AB$9:AB360,AB360,AT$9:AT360),""),"")</f>
        <v/>
      </c>
      <c r="AN360" s="7" t="str">
        <f>IFERROR(IF(AB361&lt;&gt;AB360,AVERAGEIF(AB$9:AB360,AB360,AU$9:AU360),""),"")</f>
        <v/>
      </c>
      <c r="AO360" s="7" t="str" cm="1">
        <f t="array" ref="AO360">IFERROR(IF(AB361&lt;&gt;AB360,_xlfn.STDEV.P(IF(AB$9:AB360=AB360,AU$9:AU360)),""),"")</f>
        <v/>
      </c>
      <c r="AP360" s="7" t="str" cm="1">
        <f t="array" ref="AP360">IFERROR(IF(AB361&lt;&gt;AB360,_xlfn.STDEV.P(IF(AB$9:AB360=AB360,AT$9:AT360)),""),"")</f>
        <v/>
      </c>
      <c r="AQ360" s="8" t="str">
        <f t="shared" si="131"/>
        <v/>
      </c>
      <c r="AR360" s="8" t="str">
        <f t="shared" si="132"/>
        <v/>
      </c>
      <c r="AS360" s="8" t="str">
        <f t="shared" si="133"/>
        <v/>
      </c>
      <c r="AT360" s="9" t="str">
        <f t="shared" si="134"/>
        <v/>
      </c>
      <c r="AU360" s="9" t="str">
        <f t="shared" si="135"/>
        <v/>
      </c>
      <c r="AV360" s="14"/>
      <c r="AW360" s="15"/>
      <c r="AX360" s="14" t="str">
        <f t="shared" si="136"/>
        <v/>
      </c>
      <c r="AY360" s="15"/>
      <c r="AZ360" s="23"/>
      <c r="EW360" t="s">
        <v>46</v>
      </c>
      <c r="EX360" s="33">
        <v>1359</v>
      </c>
      <c r="EY360" s="33" t="s">
        <v>937</v>
      </c>
      <c r="EZ360" s="33" t="s">
        <v>938</v>
      </c>
      <c r="FA360" s="33" t="s">
        <v>343</v>
      </c>
      <c r="FB360" s="33" t="s">
        <v>344</v>
      </c>
      <c r="FC360" s="33" t="s">
        <v>345</v>
      </c>
      <c r="FD360" s="33" t="s">
        <v>346</v>
      </c>
      <c r="FE360" s="33">
        <v>2025</v>
      </c>
      <c r="FF360" s="33" t="s">
        <v>59</v>
      </c>
      <c r="FG360" s="33" t="s">
        <v>470</v>
      </c>
      <c r="FH360" s="33" t="s">
        <v>471</v>
      </c>
      <c r="FI360" s="33" t="s">
        <v>467</v>
      </c>
      <c r="FJ360" t="s">
        <v>59</v>
      </c>
      <c r="FM360" s="32" t="s">
        <v>922</v>
      </c>
      <c r="FN360" t="s">
        <v>923</v>
      </c>
      <c r="FO360" t="s">
        <v>924</v>
      </c>
      <c r="FP360" t="str">
        <f t="shared" si="118"/>
        <v>B</v>
      </c>
      <c r="GU360" s="53">
        <v>130</v>
      </c>
      <c r="GV360" s="53">
        <v>354</v>
      </c>
    </row>
    <row r="361" spans="1:204" ht="15.5" x14ac:dyDescent="0.35">
      <c r="A361" s="95">
        <f t="shared" si="119"/>
        <v>1</v>
      </c>
      <c r="B361" s="11"/>
      <c r="C361" s="11"/>
      <c r="D361" s="92" t="str">
        <f>IFERROR(
IF(AND(OR(Planilla!B361="C",Planilla!B361="c"), VLOOKUP(E361,EX:FJ,13,0)="C"), "OK",IF(AND(OR(Planilla!B361="C",Planilla!B361="c"), OR(VLOOKUP(E361,EX:FJ,13,0)="B", VLOOKUP(E361,EX:FJ,13,0)="A")), "DEFICIT",IF(
AND(OR(Planilla!B361="B", Planilla!B361="BPAL"), VLOOKUP(E361,EX:FJ,13,0)="B"), "OK",IF(AND(OR(Planilla!B361="B", Planilla!B361="BPAL"), VLOOKUP(E361,EX:FJ,13,0)="A"), "DEFICIT",IF(AND(OR(Planilla!B361="B", Planilla!B361="BPAL"), VLOOKUP(E361,EX:FJ,13,0)="C"), "SOBREOFERTA",IF(AND(Planilla!B361="A", VLOOKUP(E361,EX:FJ,13,0)="A"), "OK",IF(
AND(Planilla!B361="A", OR(VLOOKUP(E361,EX:FJ,13,0)="B", VLOOKUP(E361,EX:FJ,13,0)="C")), "SOBREOFERTA",""
))))))),"")</f>
        <v/>
      </c>
      <c r="E361" s="12"/>
      <c r="F361" s="13"/>
      <c r="G361" s="14"/>
      <c r="H361" s="81" t="str">
        <f t="shared" si="120"/>
        <v/>
      </c>
      <c r="I361" s="7"/>
      <c r="J361" s="6" t="e">
        <f t="shared" si="121"/>
        <v>#N/A</v>
      </c>
      <c r="K361" s="6" t="str">
        <f>IF(A362&lt;&gt;A361,AVERAGEIF(A$9:A361,A361,J$9:J361),"")</f>
        <v/>
      </c>
      <c r="L361" s="7" t="str">
        <f>IFERROR(IF(A362&lt;&gt;A361,AVERAGEIF(A$9:A361,A361,S$9:S361),""),"")</f>
        <v/>
      </c>
      <c r="M361" s="7" t="str">
        <f>IFERROR(IF(A362&lt;&gt;A361,AVERAGEIF(A$9:A361,A361,T$9:T361),""),"")</f>
        <v/>
      </c>
      <c r="N361" s="7" t="str" cm="1">
        <f t="array" ref="N361">IFERROR(IF(A362&lt;&gt;A361,_xlfn.STDEV.P(IF(A$9:A361=A361,T$9:T361)),""),"")</f>
        <v/>
      </c>
      <c r="O361" s="7" t="str" cm="1">
        <f t="array" ref="O361">IFERROR(IF(A362&lt;&gt;A361,_xlfn.STDEV.P(IF(A$9:A361=A361,S$9:S361)),""),"")</f>
        <v/>
      </c>
      <c r="P361" s="8" t="str">
        <f t="shared" si="122"/>
        <v/>
      </c>
      <c r="Q361" s="8" t="str">
        <f t="shared" si="123"/>
        <v/>
      </c>
      <c r="R361" s="8" t="str">
        <f t="shared" si="124"/>
        <v/>
      </c>
      <c r="S361" s="9" t="str">
        <f t="shared" si="125"/>
        <v/>
      </c>
      <c r="T361" s="9" t="str">
        <f t="shared" si="126"/>
        <v/>
      </c>
      <c r="U361" s="14"/>
      <c r="V361" s="15"/>
      <c r="W361" s="14" t="str">
        <f t="shared" si="127"/>
        <v/>
      </c>
      <c r="X361" s="15"/>
      <c r="Y361" s="2"/>
      <c r="AB361" s="22">
        <f t="shared" si="128"/>
        <v>1</v>
      </c>
      <c r="AC361" s="11"/>
      <c r="AD361" s="11"/>
      <c r="AE361" s="13"/>
      <c r="AF361" s="12"/>
      <c r="AG361" s="13"/>
      <c r="AH361" s="14"/>
      <c r="AI361" s="81" t="str">
        <f t="shared" si="129"/>
        <v/>
      </c>
      <c r="AJ361" s="15"/>
      <c r="AK361" s="6" t="e">
        <f t="shared" si="130"/>
        <v>#N/A</v>
      </c>
      <c r="AL361" s="6" t="str">
        <f>IF(AB362&lt;&gt;AB361,AVERAGEIF(AB$9:AB361,AB361,AK$9:AK361),"")</f>
        <v/>
      </c>
      <c r="AM361" s="7" t="str">
        <f>IFERROR(IF(AB362&lt;&gt;AB361,AVERAGEIF(AB$9:AB361,AB361,AT$9:AT361),""),"")</f>
        <v/>
      </c>
      <c r="AN361" s="7" t="str">
        <f>IFERROR(IF(AB362&lt;&gt;AB361,AVERAGEIF(AB$9:AB361,AB361,AU$9:AU361),""),"")</f>
        <v/>
      </c>
      <c r="AO361" s="7" t="str" cm="1">
        <f t="array" ref="AO361">IFERROR(IF(AB362&lt;&gt;AB361,_xlfn.STDEV.P(IF(AB$9:AB361=AB361,AU$9:AU361)),""),"")</f>
        <v/>
      </c>
      <c r="AP361" s="7" t="str" cm="1">
        <f t="array" ref="AP361">IFERROR(IF(AB362&lt;&gt;AB361,_xlfn.STDEV.P(IF(AB$9:AB361=AB361,AT$9:AT361)),""),"")</f>
        <v/>
      </c>
      <c r="AQ361" s="8" t="str">
        <f t="shared" si="131"/>
        <v/>
      </c>
      <c r="AR361" s="8" t="str">
        <f t="shared" si="132"/>
        <v/>
      </c>
      <c r="AS361" s="8" t="str">
        <f t="shared" si="133"/>
        <v/>
      </c>
      <c r="AT361" s="9" t="str">
        <f t="shared" si="134"/>
        <v/>
      </c>
      <c r="AU361" s="9" t="str">
        <f t="shared" si="135"/>
        <v/>
      </c>
      <c r="AV361" s="14"/>
      <c r="AW361" s="15"/>
      <c r="AX361" s="14" t="str">
        <f t="shared" si="136"/>
        <v/>
      </c>
      <c r="AY361" s="15"/>
      <c r="AZ361" s="23"/>
      <c r="EW361" t="s">
        <v>46</v>
      </c>
      <c r="EX361" s="33">
        <v>1360</v>
      </c>
      <c r="EY361" s="33" t="s">
        <v>939</v>
      </c>
      <c r="EZ361" s="33" t="s">
        <v>940</v>
      </c>
      <c r="FA361" s="33" t="s">
        <v>343</v>
      </c>
      <c r="FB361" s="33" t="s">
        <v>344</v>
      </c>
      <c r="FC361" s="33" t="s">
        <v>345</v>
      </c>
      <c r="FD361" s="33" t="s">
        <v>346</v>
      </c>
      <c r="FE361" s="33">
        <v>2025</v>
      </c>
      <c r="FF361" s="33" t="s">
        <v>59</v>
      </c>
      <c r="FG361" s="33" t="s">
        <v>470</v>
      </c>
      <c r="FH361" s="33" t="s">
        <v>471</v>
      </c>
      <c r="FI361" s="33" t="s">
        <v>467</v>
      </c>
      <c r="FJ361" t="s">
        <v>59</v>
      </c>
      <c r="FM361" s="32" t="s">
        <v>941</v>
      </c>
      <c r="FN361" t="s">
        <v>942</v>
      </c>
      <c r="FO361" t="s">
        <v>943</v>
      </c>
      <c r="FP361" t="str">
        <f t="shared" si="118"/>
        <v>B</v>
      </c>
      <c r="GU361" s="53">
        <v>131</v>
      </c>
      <c r="GV361" s="53">
        <v>355</v>
      </c>
    </row>
    <row r="362" spans="1:204" ht="15.5" x14ac:dyDescent="0.35">
      <c r="A362" s="95">
        <f t="shared" si="119"/>
        <v>1</v>
      </c>
      <c r="B362" s="11"/>
      <c r="C362" s="11"/>
      <c r="D362" s="92" t="str">
        <f>IFERROR(
IF(AND(OR(Planilla!B362="C",Planilla!B362="c"), VLOOKUP(E362,EX:FJ,13,0)="C"), "OK",IF(AND(OR(Planilla!B362="C",Planilla!B362="c"), OR(VLOOKUP(E362,EX:FJ,13,0)="B", VLOOKUP(E362,EX:FJ,13,0)="A")), "DEFICIT",IF(
AND(OR(Planilla!B362="B", Planilla!B362="BPAL"), VLOOKUP(E362,EX:FJ,13,0)="B"), "OK",IF(AND(OR(Planilla!B362="B", Planilla!B362="BPAL"), VLOOKUP(E362,EX:FJ,13,0)="A"), "DEFICIT",IF(AND(OR(Planilla!B362="B", Planilla!B362="BPAL"), VLOOKUP(E362,EX:FJ,13,0)="C"), "SOBREOFERTA",IF(AND(Planilla!B362="A", VLOOKUP(E362,EX:FJ,13,0)="A"), "OK",IF(
AND(Planilla!B362="A", OR(VLOOKUP(E362,EX:FJ,13,0)="B", VLOOKUP(E362,EX:FJ,13,0)="C")), "SOBREOFERTA",""
))))))),"")</f>
        <v/>
      </c>
      <c r="E362" s="12"/>
      <c r="F362" s="13"/>
      <c r="G362" s="14"/>
      <c r="H362" s="81" t="str">
        <f t="shared" si="120"/>
        <v/>
      </c>
      <c r="I362" s="7"/>
      <c r="J362" s="6" t="e">
        <f t="shared" si="121"/>
        <v>#N/A</v>
      </c>
      <c r="K362" s="6" t="str">
        <f>IF(A363&lt;&gt;A362,AVERAGEIF(A$9:A362,A362,J$9:J362),"")</f>
        <v/>
      </c>
      <c r="L362" s="7" t="str">
        <f>IFERROR(IF(A363&lt;&gt;A362,AVERAGEIF(A$9:A362,A362,S$9:S362),""),"")</f>
        <v/>
      </c>
      <c r="M362" s="7" t="str">
        <f>IFERROR(IF(A363&lt;&gt;A362,AVERAGEIF(A$9:A362,A362,T$9:T362),""),"")</f>
        <v/>
      </c>
      <c r="N362" s="7" t="str" cm="1">
        <f t="array" ref="N362">IFERROR(IF(A363&lt;&gt;A362,_xlfn.STDEV.P(IF(A$9:A362=A362,T$9:T362)),""),"")</f>
        <v/>
      </c>
      <c r="O362" s="7" t="str" cm="1">
        <f t="array" ref="O362">IFERROR(IF(A363&lt;&gt;A362,_xlfn.STDEV.P(IF(A$9:A362=A362,S$9:S362)),""),"")</f>
        <v/>
      </c>
      <c r="P362" s="8" t="str">
        <f t="shared" si="122"/>
        <v/>
      </c>
      <c r="Q362" s="8" t="str">
        <f t="shared" si="123"/>
        <v/>
      </c>
      <c r="R362" s="8" t="str">
        <f t="shared" si="124"/>
        <v/>
      </c>
      <c r="S362" s="9" t="str">
        <f t="shared" si="125"/>
        <v/>
      </c>
      <c r="T362" s="9" t="str">
        <f t="shared" si="126"/>
        <v/>
      </c>
      <c r="U362" s="14"/>
      <c r="V362" s="15"/>
      <c r="W362" s="14" t="str">
        <f t="shared" si="127"/>
        <v/>
      </c>
      <c r="X362" s="15"/>
      <c r="Y362" s="2"/>
      <c r="AB362" s="22">
        <f t="shared" si="128"/>
        <v>1</v>
      </c>
      <c r="AC362" s="11"/>
      <c r="AD362" s="11"/>
      <c r="AE362" s="13"/>
      <c r="AF362" s="12"/>
      <c r="AG362" s="13"/>
      <c r="AH362" s="14"/>
      <c r="AI362" s="81" t="str">
        <f t="shared" si="129"/>
        <v/>
      </c>
      <c r="AJ362" s="15"/>
      <c r="AK362" s="6" t="e">
        <f t="shared" si="130"/>
        <v>#N/A</v>
      </c>
      <c r="AL362" s="6" t="str">
        <f>IF(AB363&lt;&gt;AB362,AVERAGEIF(AB$9:AB362,AB362,AK$9:AK362),"")</f>
        <v/>
      </c>
      <c r="AM362" s="7" t="str">
        <f>IFERROR(IF(AB363&lt;&gt;AB362,AVERAGEIF(AB$9:AB362,AB362,AT$9:AT362),""),"")</f>
        <v/>
      </c>
      <c r="AN362" s="7" t="str">
        <f>IFERROR(IF(AB363&lt;&gt;AB362,AVERAGEIF(AB$9:AB362,AB362,AU$9:AU362),""),"")</f>
        <v/>
      </c>
      <c r="AO362" s="7" t="str" cm="1">
        <f t="array" ref="AO362">IFERROR(IF(AB363&lt;&gt;AB362,_xlfn.STDEV.P(IF(AB$9:AB362=AB362,AU$9:AU362)),""),"")</f>
        <v/>
      </c>
      <c r="AP362" s="7" t="str" cm="1">
        <f t="array" ref="AP362">IFERROR(IF(AB363&lt;&gt;AB362,_xlfn.STDEV.P(IF(AB$9:AB362=AB362,AT$9:AT362)),""),"")</f>
        <v/>
      </c>
      <c r="AQ362" s="8" t="str">
        <f t="shared" si="131"/>
        <v/>
      </c>
      <c r="AR362" s="8" t="str">
        <f t="shared" si="132"/>
        <v/>
      </c>
      <c r="AS362" s="8" t="str">
        <f t="shared" si="133"/>
        <v/>
      </c>
      <c r="AT362" s="9" t="str">
        <f t="shared" si="134"/>
        <v/>
      </c>
      <c r="AU362" s="9" t="str">
        <f t="shared" si="135"/>
        <v/>
      </c>
      <c r="AV362" s="14"/>
      <c r="AW362" s="15"/>
      <c r="AX362" s="14" t="str">
        <f t="shared" si="136"/>
        <v/>
      </c>
      <c r="AY362" s="15"/>
      <c r="AZ362" s="23"/>
      <c r="EW362" t="s">
        <v>46</v>
      </c>
      <c r="EX362" s="33">
        <v>1361</v>
      </c>
      <c r="EY362" s="33" t="s">
        <v>944</v>
      </c>
      <c r="EZ362" s="33" t="s">
        <v>945</v>
      </c>
      <c r="FA362" s="33" t="s">
        <v>343</v>
      </c>
      <c r="FB362" s="33" t="s">
        <v>344</v>
      </c>
      <c r="FC362" s="33" t="s">
        <v>345</v>
      </c>
      <c r="FD362" s="33" t="s">
        <v>346</v>
      </c>
      <c r="FE362" s="33">
        <v>2025</v>
      </c>
      <c r="FF362" s="33" t="s">
        <v>59</v>
      </c>
      <c r="FG362" s="33" t="s">
        <v>470</v>
      </c>
      <c r="FH362" s="33" t="s">
        <v>471</v>
      </c>
      <c r="FI362" s="33" t="s">
        <v>467</v>
      </c>
      <c r="FJ362" t="s">
        <v>59</v>
      </c>
      <c r="FM362" s="32" t="s">
        <v>941</v>
      </c>
      <c r="FN362" t="s">
        <v>942</v>
      </c>
      <c r="FO362" t="s">
        <v>943</v>
      </c>
      <c r="FP362" t="str">
        <f t="shared" si="118"/>
        <v>B</v>
      </c>
      <c r="GU362" s="53">
        <v>132</v>
      </c>
      <c r="GV362" s="53">
        <v>356</v>
      </c>
    </row>
    <row r="363" spans="1:204" ht="15.5" x14ac:dyDescent="0.35">
      <c r="A363" s="95">
        <f t="shared" si="119"/>
        <v>1</v>
      </c>
      <c r="B363" s="11"/>
      <c r="C363" s="11"/>
      <c r="D363" s="92" t="str">
        <f>IFERROR(
IF(AND(OR(Planilla!B363="C",Planilla!B363="c"), VLOOKUP(E363,EX:FJ,13,0)="C"), "OK",IF(AND(OR(Planilla!B363="C",Planilla!B363="c"), OR(VLOOKUP(E363,EX:FJ,13,0)="B", VLOOKUP(E363,EX:FJ,13,0)="A")), "DEFICIT",IF(
AND(OR(Planilla!B363="B", Planilla!B363="BPAL"), VLOOKUP(E363,EX:FJ,13,0)="B"), "OK",IF(AND(OR(Planilla!B363="B", Planilla!B363="BPAL"), VLOOKUP(E363,EX:FJ,13,0)="A"), "DEFICIT",IF(AND(OR(Planilla!B363="B", Planilla!B363="BPAL"), VLOOKUP(E363,EX:FJ,13,0)="C"), "SOBREOFERTA",IF(AND(Planilla!B363="A", VLOOKUP(E363,EX:FJ,13,0)="A"), "OK",IF(
AND(Planilla!B363="A", OR(VLOOKUP(E363,EX:FJ,13,0)="B", VLOOKUP(E363,EX:FJ,13,0)="C")), "SOBREOFERTA",""
))))))),"")</f>
        <v/>
      </c>
      <c r="E363" s="12"/>
      <c r="F363" s="13"/>
      <c r="G363" s="14"/>
      <c r="H363" s="81" t="str">
        <f t="shared" si="120"/>
        <v/>
      </c>
      <c r="I363" s="7"/>
      <c r="J363" s="6" t="e">
        <f t="shared" si="121"/>
        <v>#N/A</v>
      </c>
      <c r="K363" s="6" t="str">
        <f>IF(A364&lt;&gt;A363,AVERAGEIF(A$9:A363,A363,J$9:J363),"")</f>
        <v/>
      </c>
      <c r="L363" s="7" t="str">
        <f>IFERROR(IF(A364&lt;&gt;A363,AVERAGEIF(A$9:A363,A363,S$9:S363),""),"")</f>
        <v/>
      </c>
      <c r="M363" s="7" t="str">
        <f>IFERROR(IF(A364&lt;&gt;A363,AVERAGEIF(A$9:A363,A363,T$9:T363),""),"")</f>
        <v/>
      </c>
      <c r="N363" s="7" t="str" cm="1">
        <f t="array" ref="N363">IFERROR(IF(A364&lt;&gt;A363,_xlfn.STDEV.P(IF(A$9:A363=A363,T$9:T363)),""),"")</f>
        <v/>
      </c>
      <c r="O363" s="7" t="str" cm="1">
        <f t="array" ref="O363">IFERROR(IF(A364&lt;&gt;A363,_xlfn.STDEV.P(IF(A$9:A363=A363,S$9:S363)),""),"")</f>
        <v/>
      </c>
      <c r="P363" s="8" t="str">
        <f t="shared" si="122"/>
        <v/>
      </c>
      <c r="Q363" s="8" t="str">
        <f t="shared" si="123"/>
        <v/>
      </c>
      <c r="R363" s="8" t="str">
        <f t="shared" si="124"/>
        <v/>
      </c>
      <c r="S363" s="9" t="str">
        <f t="shared" si="125"/>
        <v/>
      </c>
      <c r="T363" s="9" t="str">
        <f t="shared" si="126"/>
        <v/>
      </c>
      <c r="U363" s="14"/>
      <c r="V363" s="15"/>
      <c r="W363" s="14" t="str">
        <f t="shared" si="127"/>
        <v/>
      </c>
      <c r="X363" s="15"/>
      <c r="Y363" s="2"/>
      <c r="AB363" s="22">
        <f t="shared" si="128"/>
        <v>1</v>
      </c>
      <c r="AC363" s="11"/>
      <c r="AD363" s="11"/>
      <c r="AE363" s="13"/>
      <c r="AF363" s="12"/>
      <c r="AG363" s="13"/>
      <c r="AH363" s="14"/>
      <c r="AI363" s="81" t="str">
        <f t="shared" si="129"/>
        <v/>
      </c>
      <c r="AJ363" s="15"/>
      <c r="AK363" s="6" t="e">
        <f t="shared" si="130"/>
        <v>#N/A</v>
      </c>
      <c r="AL363" s="6" t="str">
        <f>IF(AB364&lt;&gt;AB363,AVERAGEIF(AB$9:AB363,AB363,AK$9:AK363),"")</f>
        <v/>
      </c>
      <c r="AM363" s="7" t="str">
        <f>IFERROR(IF(AB364&lt;&gt;AB363,AVERAGEIF(AB$9:AB363,AB363,AT$9:AT363),""),"")</f>
        <v/>
      </c>
      <c r="AN363" s="7" t="str">
        <f>IFERROR(IF(AB364&lt;&gt;AB363,AVERAGEIF(AB$9:AB363,AB363,AU$9:AU363),""),"")</f>
        <v/>
      </c>
      <c r="AO363" s="7" t="str" cm="1">
        <f t="array" ref="AO363">IFERROR(IF(AB364&lt;&gt;AB363,_xlfn.STDEV.P(IF(AB$9:AB363=AB363,AU$9:AU363)),""),"")</f>
        <v/>
      </c>
      <c r="AP363" s="7" t="str" cm="1">
        <f t="array" ref="AP363">IFERROR(IF(AB364&lt;&gt;AB363,_xlfn.STDEV.P(IF(AB$9:AB363=AB363,AT$9:AT363)),""),"")</f>
        <v/>
      </c>
      <c r="AQ363" s="8" t="str">
        <f t="shared" si="131"/>
        <v/>
      </c>
      <c r="AR363" s="8" t="str">
        <f t="shared" si="132"/>
        <v/>
      </c>
      <c r="AS363" s="8" t="str">
        <f t="shared" si="133"/>
        <v/>
      </c>
      <c r="AT363" s="9" t="str">
        <f t="shared" si="134"/>
        <v/>
      </c>
      <c r="AU363" s="9" t="str">
        <f t="shared" si="135"/>
        <v/>
      </c>
      <c r="AV363" s="14"/>
      <c r="AW363" s="15"/>
      <c r="AX363" s="14" t="str">
        <f t="shared" si="136"/>
        <v/>
      </c>
      <c r="AY363" s="15"/>
      <c r="AZ363" s="23"/>
      <c r="EW363" t="s">
        <v>46</v>
      </c>
      <c r="EX363" s="33">
        <v>1362</v>
      </c>
      <c r="EY363" s="33" t="s">
        <v>946</v>
      </c>
      <c r="EZ363" s="33" t="s">
        <v>947</v>
      </c>
      <c r="FA363" s="33" t="s">
        <v>343</v>
      </c>
      <c r="FB363" s="33" t="s">
        <v>344</v>
      </c>
      <c r="FC363" s="33" t="s">
        <v>345</v>
      </c>
      <c r="FD363" s="33" t="s">
        <v>346</v>
      </c>
      <c r="FE363" s="33">
        <v>2025</v>
      </c>
      <c r="FF363" s="33" t="s">
        <v>59</v>
      </c>
      <c r="FG363" s="33" t="s">
        <v>477</v>
      </c>
      <c r="FH363" s="33" t="s">
        <v>478</v>
      </c>
      <c r="FI363" s="33" t="s">
        <v>479</v>
      </c>
      <c r="FJ363" t="s">
        <v>59</v>
      </c>
      <c r="FM363" s="32" t="s">
        <v>941</v>
      </c>
      <c r="FN363" t="s">
        <v>942</v>
      </c>
      <c r="FO363" t="s">
        <v>943</v>
      </c>
      <c r="FP363" t="str">
        <f t="shared" si="118"/>
        <v>B</v>
      </c>
      <c r="GU363" s="53">
        <v>133</v>
      </c>
      <c r="GV363" s="53">
        <v>357</v>
      </c>
    </row>
    <row r="364" spans="1:204" ht="15.5" x14ac:dyDescent="0.35">
      <c r="A364" s="95">
        <f t="shared" si="119"/>
        <v>1</v>
      </c>
      <c r="B364" s="11"/>
      <c r="C364" s="11"/>
      <c r="D364" s="92" t="str">
        <f>IFERROR(
IF(AND(OR(Planilla!B364="C",Planilla!B364="c"), VLOOKUP(E364,EX:FJ,13,0)="C"), "OK",IF(AND(OR(Planilla!B364="C",Planilla!B364="c"), OR(VLOOKUP(E364,EX:FJ,13,0)="B", VLOOKUP(E364,EX:FJ,13,0)="A")), "DEFICIT",IF(
AND(OR(Planilla!B364="B", Planilla!B364="BPAL"), VLOOKUP(E364,EX:FJ,13,0)="B"), "OK",IF(AND(OR(Planilla!B364="B", Planilla!B364="BPAL"), VLOOKUP(E364,EX:FJ,13,0)="A"), "DEFICIT",IF(AND(OR(Planilla!B364="B", Planilla!B364="BPAL"), VLOOKUP(E364,EX:FJ,13,0)="C"), "SOBREOFERTA",IF(AND(Planilla!B364="A", VLOOKUP(E364,EX:FJ,13,0)="A"), "OK",IF(
AND(Planilla!B364="A", OR(VLOOKUP(E364,EX:FJ,13,0)="B", VLOOKUP(E364,EX:FJ,13,0)="C")), "SOBREOFERTA",""
))))))),"")</f>
        <v/>
      </c>
      <c r="E364" s="12"/>
      <c r="F364" s="13"/>
      <c r="G364" s="14"/>
      <c r="H364" s="81" t="str">
        <f t="shared" si="120"/>
        <v/>
      </c>
      <c r="I364" s="7"/>
      <c r="J364" s="6" t="e">
        <f t="shared" si="121"/>
        <v>#N/A</v>
      </c>
      <c r="K364" s="6" t="str">
        <f>IF(A365&lt;&gt;A364,AVERAGEIF(A$9:A364,A364,J$9:J364),"")</f>
        <v/>
      </c>
      <c r="L364" s="7" t="str">
        <f>IFERROR(IF(A365&lt;&gt;A364,AVERAGEIF(A$9:A364,A364,S$9:S364),""),"")</f>
        <v/>
      </c>
      <c r="M364" s="7" t="str">
        <f>IFERROR(IF(A365&lt;&gt;A364,AVERAGEIF(A$9:A364,A364,T$9:T364),""),"")</f>
        <v/>
      </c>
      <c r="N364" s="7" t="str" cm="1">
        <f t="array" ref="N364">IFERROR(IF(A365&lt;&gt;A364,_xlfn.STDEV.P(IF(A$9:A364=A364,T$9:T364)),""),"")</f>
        <v/>
      </c>
      <c r="O364" s="7" t="str" cm="1">
        <f t="array" ref="O364">IFERROR(IF(A365&lt;&gt;A364,_xlfn.STDEV.P(IF(A$9:A364=A364,S$9:S364)),""),"")</f>
        <v/>
      </c>
      <c r="P364" s="8" t="str">
        <f t="shared" si="122"/>
        <v/>
      </c>
      <c r="Q364" s="8" t="str">
        <f t="shared" si="123"/>
        <v/>
      </c>
      <c r="R364" s="8" t="str">
        <f t="shared" si="124"/>
        <v/>
      </c>
      <c r="S364" s="9" t="str">
        <f t="shared" si="125"/>
        <v/>
      </c>
      <c r="T364" s="9" t="str">
        <f t="shared" si="126"/>
        <v/>
      </c>
      <c r="U364" s="14"/>
      <c r="V364" s="15"/>
      <c r="W364" s="14" t="str">
        <f t="shared" si="127"/>
        <v/>
      </c>
      <c r="X364" s="15"/>
      <c r="Y364" s="2"/>
      <c r="AB364" s="22">
        <f t="shared" si="128"/>
        <v>1</v>
      </c>
      <c r="AC364" s="11"/>
      <c r="AD364" s="11"/>
      <c r="AE364" s="13"/>
      <c r="AF364" s="12"/>
      <c r="AG364" s="13"/>
      <c r="AH364" s="14"/>
      <c r="AI364" s="81" t="str">
        <f t="shared" si="129"/>
        <v/>
      </c>
      <c r="AJ364" s="15"/>
      <c r="AK364" s="6" t="e">
        <f t="shared" si="130"/>
        <v>#N/A</v>
      </c>
      <c r="AL364" s="6" t="str">
        <f>IF(AB365&lt;&gt;AB364,AVERAGEIF(AB$9:AB364,AB364,AK$9:AK364),"")</f>
        <v/>
      </c>
      <c r="AM364" s="7" t="str">
        <f>IFERROR(IF(AB365&lt;&gt;AB364,AVERAGEIF(AB$9:AB364,AB364,AT$9:AT364),""),"")</f>
        <v/>
      </c>
      <c r="AN364" s="7" t="str">
        <f>IFERROR(IF(AB365&lt;&gt;AB364,AVERAGEIF(AB$9:AB364,AB364,AU$9:AU364),""),"")</f>
        <v/>
      </c>
      <c r="AO364" s="7" t="str" cm="1">
        <f t="array" ref="AO364">IFERROR(IF(AB365&lt;&gt;AB364,_xlfn.STDEV.P(IF(AB$9:AB364=AB364,AU$9:AU364)),""),"")</f>
        <v/>
      </c>
      <c r="AP364" s="7" t="str" cm="1">
        <f t="array" ref="AP364">IFERROR(IF(AB365&lt;&gt;AB364,_xlfn.STDEV.P(IF(AB$9:AB364=AB364,AT$9:AT364)),""),"")</f>
        <v/>
      </c>
      <c r="AQ364" s="8" t="str">
        <f t="shared" si="131"/>
        <v/>
      </c>
      <c r="AR364" s="8" t="str">
        <f t="shared" si="132"/>
        <v/>
      </c>
      <c r="AS364" s="8" t="str">
        <f t="shared" si="133"/>
        <v/>
      </c>
      <c r="AT364" s="9" t="str">
        <f t="shared" si="134"/>
        <v/>
      </c>
      <c r="AU364" s="9" t="str">
        <f t="shared" si="135"/>
        <v/>
      </c>
      <c r="AV364" s="14"/>
      <c r="AW364" s="15"/>
      <c r="AX364" s="14" t="str">
        <f t="shared" si="136"/>
        <v/>
      </c>
      <c r="AY364" s="15"/>
      <c r="AZ364" s="23"/>
      <c r="EW364" t="s">
        <v>46</v>
      </c>
      <c r="EX364" s="33">
        <v>1363</v>
      </c>
      <c r="EY364" s="33" t="s">
        <v>948</v>
      </c>
      <c r="EZ364" s="33" t="s">
        <v>949</v>
      </c>
      <c r="FA364" s="33" t="s">
        <v>343</v>
      </c>
      <c r="FB364" s="33" t="s">
        <v>344</v>
      </c>
      <c r="FC364" s="33" t="s">
        <v>345</v>
      </c>
      <c r="FD364" s="33" t="s">
        <v>346</v>
      </c>
      <c r="FE364" s="33">
        <v>2025</v>
      </c>
      <c r="FF364" s="33" t="s">
        <v>59</v>
      </c>
      <c r="FG364" s="33" t="s">
        <v>470</v>
      </c>
      <c r="FH364" s="33" t="s">
        <v>471</v>
      </c>
      <c r="FI364" s="33" t="s">
        <v>467</v>
      </c>
      <c r="FJ364" t="s">
        <v>59</v>
      </c>
      <c r="FM364" s="32" t="s">
        <v>950</v>
      </c>
      <c r="FN364" t="s">
        <v>951</v>
      </c>
      <c r="FO364" t="s">
        <v>952</v>
      </c>
      <c r="FP364" t="str">
        <f t="shared" si="118"/>
        <v>B</v>
      </c>
      <c r="GU364" s="53">
        <v>134</v>
      </c>
      <c r="GV364" s="53">
        <v>358</v>
      </c>
    </row>
    <row r="365" spans="1:204" ht="15.5" x14ac:dyDescent="0.35">
      <c r="A365" s="95">
        <f t="shared" si="119"/>
        <v>1</v>
      </c>
      <c r="B365" s="11"/>
      <c r="C365" s="11"/>
      <c r="D365" s="92" t="str">
        <f>IFERROR(
IF(AND(OR(Planilla!B365="C",Planilla!B365="c"), VLOOKUP(E365,EX:FJ,13,0)="C"), "OK",IF(AND(OR(Planilla!B365="C",Planilla!B365="c"), OR(VLOOKUP(E365,EX:FJ,13,0)="B", VLOOKUP(E365,EX:FJ,13,0)="A")), "DEFICIT",IF(
AND(OR(Planilla!B365="B", Planilla!B365="BPAL"), VLOOKUP(E365,EX:FJ,13,0)="B"), "OK",IF(AND(OR(Planilla!B365="B", Planilla!B365="BPAL"), VLOOKUP(E365,EX:FJ,13,0)="A"), "DEFICIT",IF(AND(OR(Planilla!B365="B", Planilla!B365="BPAL"), VLOOKUP(E365,EX:FJ,13,0)="C"), "SOBREOFERTA",IF(AND(Planilla!B365="A", VLOOKUP(E365,EX:FJ,13,0)="A"), "OK",IF(
AND(Planilla!B365="A", OR(VLOOKUP(E365,EX:FJ,13,0)="B", VLOOKUP(E365,EX:FJ,13,0)="C")), "SOBREOFERTA",""
))))))),"")</f>
        <v/>
      </c>
      <c r="E365" s="12"/>
      <c r="F365" s="13"/>
      <c r="G365" s="14"/>
      <c r="H365" s="81" t="str">
        <f t="shared" si="120"/>
        <v/>
      </c>
      <c r="I365" s="7"/>
      <c r="J365" s="6" t="e">
        <f t="shared" si="121"/>
        <v>#N/A</v>
      </c>
      <c r="K365" s="6" t="str">
        <f>IF(A366&lt;&gt;A365,AVERAGEIF(A$9:A365,A365,J$9:J365),"")</f>
        <v/>
      </c>
      <c r="L365" s="7" t="str">
        <f>IFERROR(IF(A366&lt;&gt;A365,AVERAGEIF(A$9:A365,A365,S$9:S365),""),"")</f>
        <v/>
      </c>
      <c r="M365" s="7" t="str">
        <f>IFERROR(IF(A366&lt;&gt;A365,AVERAGEIF(A$9:A365,A365,T$9:T365),""),"")</f>
        <v/>
      </c>
      <c r="N365" s="7" t="str" cm="1">
        <f t="array" ref="N365">IFERROR(IF(A366&lt;&gt;A365,_xlfn.STDEV.P(IF(A$9:A365=A365,T$9:T365)),""),"")</f>
        <v/>
      </c>
      <c r="O365" s="7" t="str" cm="1">
        <f t="array" ref="O365">IFERROR(IF(A366&lt;&gt;A365,_xlfn.STDEV.P(IF(A$9:A365=A365,S$9:S365)),""),"")</f>
        <v/>
      </c>
      <c r="P365" s="8" t="str">
        <f t="shared" si="122"/>
        <v/>
      </c>
      <c r="Q365" s="8" t="str">
        <f t="shared" si="123"/>
        <v/>
      </c>
      <c r="R365" s="8" t="str">
        <f t="shared" si="124"/>
        <v/>
      </c>
      <c r="S365" s="9" t="str">
        <f t="shared" si="125"/>
        <v/>
      </c>
      <c r="T365" s="9" t="str">
        <f t="shared" si="126"/>
        <v/>
      </c>
      <c r="U365" s="14"/>
      <c r="V365" s="15"/>
      <c r="W365" s="14" t="str">
        <f t="shared" si="127"/>
        <v/>
      </c>
      <c r="X365" s="15"/>
      <c r="Y365" s="2"/>
      <c r="AB365" s="22">
        <f t="shared" si="128"/>
        <v>1</v>
      </c>
      <c r="AC365" s="11"/>
      <c r="AD365" s="11"/>
      <c r="AE365" s="13"/>
      <c r="AF365" s="12"/>
      <c r="AG365" s="13"/>
      <c r="AH365" s="14"/>
      <c r="AI365" s="81" t="str">
        <f t="shared" si="129"/>
        <v/>
      </c>
      <c r="AJ365" s="15"/>
      <c r="AK365" s="6" t="e">
        <f t="shared" si="130"/>
        <v>#N/A</v>
      </c>
      <c r="AL365" s="6" t="str">
        <f>IF(AB366&lt;&gt;AB365,AVERAGEIF(AB$9:AB365,AB365,AK$9:AK365),"")</f>
        <v/>
      </c>
      <c r="AM365" s="7" t="str">
        <f>IFERROR(IF(AB366&lt;&gt;AB365,AVERAGEIF(AB$9:AB365,AB365,AT$9:AT365),""),"")</f>
        <v/>
      </c>
      <c r="AN365" s="7" t="str">
        <f>IFERROR(IF(AB366&lt;&gt;AB365,AVERAGEIF(AB$9:AB365,AB365,AU$9:AU365),""),"")</f>
        <v/>
      </c>
      <c r="AO365" s="7" t="str" cm="1">
        <f t="array" ref="AO365">IFERROR(IF(AB366&lt;&gt;AB365,_xlfn.STDEV.P(IF(AB$9:AB365=AB365,AU$9:AU365)),""),"")</f>
        <v/>
      </c>
      <c r="AP365" s="7" t="str" cm="1">
        <f t="array" ref="AP365">IFERROR(IF(AB366&lt;&gt;AB365,_xlfn.STDEV.P(IF(AB$9:AB365=AB365,AT$9:AT365)),""),"")</f>
        <v/>
      </c>
      <c r="AQ365" s="8" t="str">
        <f t="shared" si="131"/>
        <v/>
      </c>
      <c r="AR365" s="8" t="str">
        <f t="shared" si="132"/>
        <v/>
      </c>
      <c r="AS365" s="8" t="str">
        <f t="shared" si="133"/>
        <v/>
      </c>
      <c r="AT365" s="9" t="str">
        <f t="shared" si="134"/>
        <v/>
      </c>
      <c r="AU365" s="9" t="str">
        <f t="shared" si="135"/>
        <v/>
      </c>
      <c r="AV365" s="14"/>
      <c r="AW365" s="15"/>
      <c r="AX365" s="14" t="str">
        <f t="shared" si="136"/>
        <v/>
      </c>
      <c r="AY365" s="15"/>
      <c r="AZ365" s="23"/>
      <c r="EW365" t="s">
        <v>46</v>
      </c>
      <c r="EX365" s="33">
        <v>1364</v>
      </c>
      <c r="EY365" s="33" t="s">
        <v>953</v>
      </c>
      <c r="EZ365" s="33" t="s">
        <v>954</v>
      </c>
      <c r="FA365" s="33" t="s">
        <v>343</v>
      </c>
      <c r="FB365" s="33" t="s">
        <v>344</v>
      </c>
      <c r="FC365" s="33" t="s">
        <v>345</v>
      </c>
      <c r="FD365" s="33" t="s">
        <v>346</v>
      </c>
      <c r="FE365" s="33">
        <v>2025</v>
      </c>
      <c r="FF365" s="33" t="s">
        <v>59</v>
      </c>
      <c r="FG365" s="33" t="s">
        <v>470</v>
      </c>
      <c r="FH365" s="33" t="s">
        <v>471</v>
      </c>
      <c r="FI365" s="33" t="s">
        <v>467</v>
      </c>
      <c r="FJ365" t="s">
        <v>59</v>
      </c>
      <c r="FM365" s="32" t="s">
        <v>950</v>
      </c>
      <c r="FN365" t="s">
        <v>951</v>
      </c>
      <c r="FO365" t="s">
        <v>952</v>
      </c>
      <c r="FP365" t="str">
        <f t="shared" si="118"/>
        <v>B</v>
      </c>
      <c r="GU365" s="53">
        <v>135</v>
      </c>
      <c r="GV365" s="53">
        <v>359</v>
      </c>
    </row>
    <row r="366" spans="1:204" ht="15.5" x14ac:dyDescent="0.35">
      <c r="A366" s="95">
        <f t="shared" si="119"/>
        <v>1</v>
      </c>
      <c r="B366" s="11"/>
      <c r="C366" s="11"/>
      <c r="D366" s="92" t="str">
        <f>IFERROR(
IF(AND(OR(Planilla!B366="C",Planilla!B366="c"), VLOOKUP(E366,EX:FJ,13,0)="C"), "OK",IF(AND(OR(Planilla!B366="C",Planilla!B366="c"), OR(VLOOKUP(E366,EX:FJ,13,0)="B", VLOOKUP(E366,EX:FJ,13,0)="A")), "DEFICIT",IF(
AND(OR(Planilla!B366="B", Planilla!B366="BPAL"), VLOOKUP(E366,EX:FJ,13,0)="B"), "OK",IF(AND(OR(Planilla!B366="B", Planilla!B366="BPAL"), VLOOKUP(E366,EX:FJ,13,0)="A"), "DEFICIT",IF(AND(OR(Planilla!B366="B", Planilla!B366="BPAL"), VLOOKUP(E366,EX:FJ,13,0)="C"), "SOBREOFERTA",IF(AND(Planilla!B366="A", VLOOKUP(E366,EX:FJ,13,0)="A"), "OK",IF(
AND(Planilla!B366="A", OR(VLOOKUP(E366,EX:FJ,13,0)="B", VLOOKUP(E366,EX:FJ,13,0)="C")), "SOBREOFERTA",""
))))))),"")</f>
        <v/>
      </c>
      <c r="E366" s="12"/>
      <c r="F366" s="13"/>
      <c r="G366" s="14"/>
      <c r="H366" s="81" t="str">
        <f t="shared" si="120"/>
        <v/>
      </c>
      <c r="I366" s="7"/>
      <c r="J366" s="6" t="e">
        <f t="shared" si="121"/>
        <v>#N/A</v>
      </c>
      <c r="K366" s="6" t="str">
        <f>IF(A367&lt;&gt;A366,AVERAGEIF(A$9:A366,A366,J$9:J366),"")</f>
        <v/>
      </c>
      <c r="L366" s="7" t="str">
        <f>IFERROR(IF(A367&lt;&gt;A366,AVERAGEIF(A$9:A366,A366,S$9:S366),""),"")</f>
        <v/>
      </c>
      <c r="M366" s="7" t="str">
        <f>IFERROR(IF(A367&lt;&gt;A366,AVERAGEIF(A$9:A366,A366,T$9:T366),""),"")</f>
        <v/>
      </c>
      <c r="N366" s="7" t="str" cm="1">
        <f t="array" ref="N366">IFERROR(IF(A367&lt;&gt;A366,_xlfn.STDEV.P(IF(A$9:A366=A366,T$9:T366)),""),"")</f>
        <v/>
      </c>
      <c r="O366" s="7" t="str" cm="1">
        <f t="array" ref="O366">IFERROR(IF(A367&lt;&gt;A366,_xlfn.STDEV.P(IF(A$9:A366=A366,S$9:S366)),""),"")</f>
        <v/>
      </c>
      <c r="P366" s="8" t="str">
        <f t="shared" si="122"/>
        <v/>
      </c>
      <c r="Q366" s="8" t="str">
        <f t="shared" si="123"/>
        <v/>
      </c>
      <c r="R366" s="8" t="str">
        <f t="shared" si="124"/>
        <v/>
      </c>
      <c r="S366" s="9" t="str">
        <f t="shared" si="125"/>
        <v/>
      </c>
      <c r="T366" s="9" t="str">
        <f t="shared" si="126"/>
        <v/>
      </c>
      <c r="U366" s="14"/>
      <c r="V366" s="15"/>
      <c r="W366" s="14" t="str">
        <f t="shared" si="127"/>
        <v/>
      </c>
      <c r="X366" s="15"/>
      <c r="Y366" s="2"/>
      <c r="AB366" s="22">
        <f t="shared" si="128"/>
        <v>1</v>
      </c>
      <c r="AC366" s="11"/>
      <c r="AD366" s="11"/>
      <c r="AE366" s="13"/>
      <c r="AF366" s="12"/>
      <c r="AG366" s="13"/>
      <c r="AH366" s="14"/>
      <c r="AI366" s="81" t="str">
        <f t="shared" si="129"/>
        <v/>
      </c>
      <c r="AJ366" s="15"/>
      <c r="AK366" s="6" t="e">
        <f t="shared" si="130"/>
        <v>#N/A</v>
      </c>
      <c r="AL366" s="6" t="str">
        <f>IF(AB367&lt;&gt;AB366,AVERAGEIF(AB$9:AB366,AB366,AK$9:AK366),"")</f>
        <v/>
      </c>
      <c r="AM366" s="7" t="str">
        <f>IFERROR(IF(AB367&lt;&gt;AB366,AVERAGEIF(AB$9:AB366,AB366,AT$9:AT366),""),"")</f>
        <v/>
      </c>
      <c r="AN366" s="7" t="str">
        <f>IFERROR(IF(AB367&lt;&gt;AB366,AVERAGEIF(AB$9:AB366,AB366,AU$9:AU366),""),"")</f>
        <v/>
      </c>
      <c r="AO366" s="7" t="str" cm="1">
        <f t="array" ref="AO366">IFERROR(IF(AB367&lt;&gt;AB366,_xlfn.STDEV.P(IF(AB$9:AB366=AB366,AU$9:AU366)),""),"")</f>
        <v/>
      </c>
      <c r="AP366" s="7" t="str" cm="1">
        <f t="array" ref="AP366">IFERROR(IF(AB367&lt;&gt;AB366,_xlfn.STDEV.P(IF(AB$9:AB366=AB366,AT$9:AT366)),""),"")</f>
        <v/>
      </c>
      <c r="AQ366" s="8" t="str">
        <f t="shared" si="131"/>
        <v/>
      </c>
      <c r="AR366" s="8" t="str">
        <f t="shared" si="132"/>
        <v/>
      </c>
      <c r="AS366" s="8" t="str">
        <f t="shared" si="133"/>
        <v/>
      </c>
      <c r="AT366" s="9" t="str">
        <f t="shared" si="134"/>
        <v/>
      </c>
      <c r="AU366" s="9" t="str">
        <f t="shared" si="135"/>
        <v/>
      </c>
      <c r="AV366" s="14"/>
      <c r="AW366" s="15"/>
      <c r="AX366" s="14" t="str">
        <f t="shared" si="136"/>
        <v/>
      </c>
      <c r="AY366" s="15"/>
      <c r="AZ366" s="23"/>
      <c r="EW366" t="s">
        <v>46</v>
      </c>
      <c r="EX366" s="33">
        <v>1365</v>
      </c>
      <c r="EY366" s="33" t="s">
        <v>955</v>
      </c>
      <c r="EZ366" s="33" t="s">
        <v>956</v>
      </c>
      <c r="FA366" s="33" t="s">
        <v>343</v>
      </c>
      <c r="FB366" s="33" t="s">
        <v>344</v>
      </c>
      <c r="FC366" s="33" t="s">
        <v>345</v>
      </c>
      <c r="FD366" s="33" t="s">
        <v>346</v>
      </c>
      <c r="FE366" s="33">
        <v>2025</v>
      </c>
      <c r="FF366" s="33" t="s">
        <v>59</v>
      </c>
      <c r="FG366" s="33" t="s">
        <v>477</v>
      </c>
      <c r="FH366" s="33" t="s">
        <v>478</v>
      </c>
      <c r="FI366" s="33" t="s">
        <v>479</v>
      </c>
      <c r="FJ366" t="s">
        <v>59</v>
      </c>
      <c r="FM366" s="32" t="s">
        <v>950</v>
      </c>
      <c r="FN366" t="s">
        <v>951</v>
      </c>
      <c r="FO366" t="s">
        <v>952</v>
      </c>
      <c r="FP366" t="str">
        <f t="shared" si="118"/>
        <v>B</v>
      </c>
      <c r="GU366" s="53">
        <v>136</v>
      </c>
      <c r="GV366" s="53">
        <v>360</v>
      </c>
    </row>
    <row r="367" spans="1:204" ht="15.5" x14ac:dyDescent="0.35">
      <c r="A367" s="95">
        <f t="shared" si="119"/>
        <v>1</v>
      </c>
      <c r="B367" s="11"/>
      <c r="C367" s="11"/>
      <c r="D367" s="92" t="str">
        <f>IFERROR(
IF(AND(OR(Planilla!B367="C",Planilla!B367="c"), VLOOKUP(E367,EX:FJ,13,0)="C"), "OK",IF(AND(OR(Planilla!B367="C",Planilla!B367="c"), OR(VLOOKUP(E367,EX:FJ,13,0)="B", VLOOKUP(E367,EX:FJ,13,0)="A")), "DEFICIT",IF(
AND(OR(Planilla!B367="B", Planilla!B367="BPAL"), VLOOKUP(E367,EX:FJ,13,0)="B"), "OK",IF(AND(OR(Planilla!B367="B", Planilla!B367="BPAL"), VLOOKUP(E367,EX:FJ,13,0)="A"), "DEFICIT",IF(AND(OR(Planilla!B367="B", Planilla!B367="BPAL"), VLOOKUP(E367,EX:FJ,13,0)="C"), "SOBREOFERTA",IF(AND(Planilla!B367="A", VLOOKUP(E367,EX:FJ,13,0)="A"), "OK",IF(
AND(Planilla!B367="A", OR(VLOOKUP(E367,EX:FJ,13,0)="B", VLOOKUP(E367,EX:FJ,13,0)="C")), "SOBREOFERTA",""
))))))),"")</f>
        <v/>
      </c>
      <c r="E367" s="12"/>
      <c r="F367" s="13"/>
      <c r="G367" s="14"/>
      <c r="H367" s="81" t="str">
        <f t="shared" si="120"/>
        <v/>
      </c>
      <c r="I367" s="7"/>
      <c r="J367" s="6" t="e">
        <f t="shared" si="121"/>
        <v>#N/A</v>
      </c>
      <c r="K367" s="6" t="str">
        <f>IF(A368&lt;&gt;A367,AVERAGEIF(A$9:A367,A367,J$9:J367),"")</f>
        <v/>
      </c>
      <c r="L367" s="7" t="str">
        <f>IFERROR(IF(A368&lt;&gt;A367,AVERAGEIF(A$9:A367,A367,S$9:S367),""),"")</f>
        <v/>
      </c>
      <c r="M367" s="7" t="str">
        <f>IFERROR(IF(A368&lt;&gt;A367,AVERAGEIF(A$9:A367,A367,T$9:T367),""),"")</f>
        <v/>
      </c>
      <c r="N367" s="7" t="str" cm="1">
        <f t="array" ref="N367">IFERROR(IF(A368&lt;&gt;A367,_xlfn.STDEV.P(IF(A$9:A367=A367,T$9:T367)),""),"")</f>
        <v/>
      </c>
      <c r="O367" s="7" t="str" cm="1">
        <f t="array" ref="O367">IFERROR(IF(A368&lt;&gt;A367,_xlfn.STDEV.P(IF(A$9:A367=A367,S$9:S367)),""),"")</f>
        <v/>
      </c>
      <c r="P367" s="8" t="str">
        <f t="shared" si="122"/>
        <v/>
      </c>
      <c r="Q367" s="8" t="str">
        <f t="shared" si="123"/>
        <v/>
      </c>
      <c r="R367" s="8" t="str">
        <f t="shared" si="124"/>
        <v/>
      </c>
      <c r="S367" s="9" t="str">
        <f t="shared" si="125"/>
        <v/>
      </c>
      <c r="T367" s="9" t="str">
        <f t="shared" si="126"/>
        <v/>
      </c>
      <c r="U367" s="14"/>
      <c r="V367" s="15"/>
      <c r="W367" s="14" t="str">
        <f t="shared" si="127"/>
        <v/>
      </c>
      <c r="X367" s="15"/>
      <c r="Y367" s="2"/>
      <c r="AB367" s="22">
        <f t="shared" si="128"/>
        <v>1</v>
      </c>
      <c r="AC367" s="11"/>
      <c r="AD367" s="11"/>
      <c r="AE367" s="13"/>
      <c r="AF367" s="12"/>
      <c r="AG367" s="13"/>
      <c r="AH367" s="14"/>
      <c r="AI367" s="81" t="str">
        <f t="shared" si="129"/>
        <v/>
      </c>
      <c r="AJ367" s="15"/>
      <c r="AK367" s="6" t="e">
        <f t="shared" si="130"/>
        <v>#N/A</v>
      </c>
      <c r="AL367" s="6" t="str">
        <f>IF(AB368&lt;&gt;AB367,AVERAGEIF(AB$9:AB367,AB367,AK$9:AK367),"")</f>
        <v/>
      </c>
      <c r="AM367" s="7" t="str">
        <f>IFERROR(IF(AB368&lt;&gt;AB367,AVERAGEIF(AB$9:AB367,AB367,AT$9:AT367),""),"")</f>
        <v/>
      </c>
      <c r="AN367" s="7" t="str">
        <f>IFERROR(IF(AB368&lt;&gt;AB367,AVERAGEIF(AB$9:AB367,AB367,AU$9:AU367),""),"")</f>
        <v/>
      </c>
      <c r="AO367" s="7" t="str" cm="1">
        <f t="array" ref="AO367">IFERROR(IF(AB368&lt;&gt;AB367,_xlfn.STDEV.P(IF(AB$9:AB367=AB367,AU$9:AU367)),""),"")</f>
        <v/>
      </c>
      <c r="AP367" s="7" t="str" cm="1">
        <f t="array" ref="AP367">IFERROR(IF(AB368&lt;&gt;AB367,_xlfn.STDEV.P(IF(AB$9:AB367=AB367,AT$9:AT367)),""),"")</f>
        <v/>
      </c>
      <c r="AQ367" s="8" t="str">
        <f t="shared" si="131"/>
        <v/>
      </c>
      <c r="AR367" s="8" t="str">
        <f t="shared" si="132"/>
        <v/>
      </c>
      <c r="AS367" s="8" t="str">
        <f t="shared" si="133"/>
        <v/>
      </c>
      <c r="AT367" s="9" t="str">
        <f t="shared" si="134"/>
        <v/>
      </c>
      <c r="AU367" s="9" t="str">
        <f t="shared" si="135"/>
        <v/>
      </c>
      <c r="AV367" s="14"/>
      <c r="AW367" s="15"/>
      <c r="AX367" s="14" t="str">
        <f t="shared" si="136"/>
        <v/>
      </c>
      <c r="AY367" s="15"/>
      <c r="AZ367" s="23"/>
      <c r="EW367" t="s">
        <v>46</v>
      </c>
      <c r="EX367" s="33">
        <v>1366</v>
      </c>
      <c r="EY367" s="33" t="s">
        <v>957</v>
      </c>
      <c r="EZ367" s="33" t="s">
        <v>958</v>
      </c>
      <c r="FA367" s="33" t="s">
        <v>343</v>
      </c>
      <c r="FB367" s="33" t="s">
        <v>344</v>
      </c>
      <c r="FC367" s="33" t="s">
        <v>345</v>
      </c>
      <c r="FD367" s="33" t="s">
        <v>346</v>
      </c>
      <c r="FE367" s="33">
        <v>2025</v>
      </c>
      <c r="FF367" s="33" t="s">
        <v>59</v>
      </c>
      <c r="FG367" s="33" t="s">
        <v>470</v>
      </c>
      <c r="FH367" s="33" t="s">
        <v>471</v>
      </c>
      <c r="FI367" s="33" t="s">
        <v>467</v>
      </c>
      <c r="FJ367" t="s">
        <v>59</v>
      </c>
      <c r="FM367" s="32" t="s">
        <v>950</v>
      </c>
      <c r="FN367" t="s">
        <v>951</v>
      </c>
      <c r="FO367" t="s">
        <v>952</v>
      </c>
      <c r="FP367" t="str">
        <f t="shared" si="118"/>
        <v>B</v>
      </c>
      <c r="GU367" s="53">
        <v>137</v>
      </c>
      <c r="GV367" s="53">
        <v>361</v>
      </c>
    </row>
    <row r="368" spans="1:204" ht="15.5" x14ac:dyDescent="0.35">
      <c r="A368" s="95">
        <f t="shared" si="119"/>
        <v>1</v>
      </c>
      <c r="B368" s="11"/>
      <c r="C368" s="11"/>
      <c r="D368" s="92" t="str">
        <f>IFERROR(
IF(AND(OR(Planilla!B368="C",Planilla!B368="c"), VLOOKUP(E368,EX:FJ,13,0)="C"), "OK",IF(AND(OR(Planilla!B368="C",Planilla!B368="c"), OR(VLOOKUP(E368,EX:FJ,13,0)="B", VLOOKUP(E368,EX:FJ,13,0)="A")), "DEFICIT",IF(
AND(OR(Planilla!B368="B", Planilla!B368="BPAL"), VLOOKUP(E368,EX:FJ,13,0)="B"), "OK",IF(AND(OR(Planilla!B368="B", Planilla!B368="BPAL"), VLOOKUP(E368,EX:FJ,13,0)="A"), "DEFICIT",IF(AND(OR(Planilla!B368="B", Planilla!B368="BPAL"), VLOOKUP(E368,EX:FJ,13,0)="C"), "SOBREOFERTA",IF(AND(Planilla!B368="A", VLOOKUP(E368,EX:FJ,13,0)="A"), "OK",IF(
AND(Planilla!B368="A", OR(VLOOKUP(E368,EX:FJ,13,0)="B", VLOOKUP(E368,EX:FJ,13,0)="C")), "SOBREOFERTA",""
))))))),"")</f>
        <v/>
      </c>
      <c r="E368" s="12"/>
      <c r="F368" s="13"/>
      <c r="G368" s="14"/>
      <c r="H368" s="81" t="str">
        <f t="shared" si="120"/>
        <v/>
      </c>
      <c r="I368" s="7"/>
      <c r="J368" s="6" t="e">
        <f t="shared" si="121"/>
        <v>#N/A</v>
      </c>
      <c r="K368" s="6" t="str">
        <f>IF(A369&lt;&gt;A368,AVERAGEIF(A$9:A368,A368,J$9:J368),"")</f>
        <v/>
      </c>
      <c r="L368" s="7" t="str">
        <f>IFERROR(IF(A369&lt;&gt;A368,AVERAGEIF(A$9:A368,A368,S$9:S368),""),"")</f>
        <v/>
      </c>
      <c r="M368" s="7" t="str">
        <f>IFERROR(IF(A369&lt;&gt;A368,AVERAGEIF(A$9:A368,A368,T$9:T368),""),"")</f>
        <v/>
      </c>
      <c r="N368" s="7" t="str" cm="1">
        <f t="array" ref="N368">IFERROR(IF(A369&lt;&gt;A368,_xlfn.STDEV.P(IF(A$9:A368=A368,T$9:T368)),""),"")</f>
        <v/>
      </c>
      <c r="O368" s="7" t="str" cm="1">
        <f t="array" ref="O368">IFERROR(IF(A369&lt;&gt;A368,_xlfn.STDEV.P(IF(A$9:A368=A368,S$9:S368)),""),"")</f>
        <v/>
      </c>
      <c r="P368" s="8" t="str">
        <f t="shared" si="122"/>
        <v/>
      </c>
      <c r="Q368" s="8" t="str">
        <f t="shared" si="123"/>
        <v/>
      </c>
      <c r="R368" s="8" t="str">
        <f t="shared" si="124"/>
        <v/>
      </c>
      <c r="S368" s="9" t="str">
        <f t="shared" si="125"/>
        <v/>
      </c>
      <c r="T368" s="9" t="str">
        <f t="shared" si="126"/>
        <v/>
      </c>
      <c r="U368" s="14"/>
      <c r="V368" s="15"/>
      <c r="W368" s="14" t="str">
        <f t="shared" si="127"/>
        <v/>
      </c>
      <c r="X368" s="15"/>
      <c r="Y368" s="2"/>
      <c r="AB368" s="22">
        <f t="shared" si="128"/>
        <v>1</v>
      </c>
      <c r="AC368" s="11"/>
      <c r="AD368" s="11"/>
      <c r="AE368" s="13"/>
      <c r="AF368" s="12"/>
      <c r="AG368" s="13"/>
      <c r="AH368" s="14"/>
      <c r="AI368" s="81" t="str">
        <f t="shared" si="129"/>
        <v/>
      </c>
      <c r="AJ368" s="15"/>
      <c r="AK368" s="6" t="e">
        <f t="shared" si="130"/>
        <v>#N/A</v>
      </c>
      <c r="AL368" s="6" t="str">
        <f>IF(AB369&lt;&gt;AB368,AVERAGEIF(AB$9:AB368,AB368,AK$9:AK368),"")</f>
        <v/>
      </c>
      <c r="AM368" s="7" t="str">
        <f>IFERROR(IF(AB369&lt;&gt;AB368,AVERAGEIF(AB$9:AB368,AB368,AT$9:AT368),""),"")</f>
        <v/>
      </c>
      <c r="AN368" s="7" t="str">
        <f>IFERROR(IF(AB369&lt;&gt;AB368,AVERAGEIF(AB$9:AB368,AB368,AU$9:AU368),""),"")</f>
        <v/>
      </c>
      <c r="AO368" s="7" t="str" cm="1">
        <f t="array" ref="AO368">IFERROR(IF(AB369&lt;&gt;AB368,_xlfn.STDEV.P(IF(AB$9:AB368=AB368,AU$9:AU368)),""),"")</f>
        <v/>
      </c>
      <c r="AP368" s="7" t="str" cm="1">
        <f t="array" ref="AP368">IFERROR(IF(AB369&lt;&gt;AB368,_xlfn.STDEV.P(IF(AB$9:AB368=AB368,AT$9:AT368)),""),"")</f>
        <v/>
      </c>
      <c r="AQ368" s="8" t="str">
        <f t="shared" si="131"/>
        <v/>
      </c>
      <c r="AR368" s="8" t="str">
        <f t="shared" si="132"/>
        <v/>
      </c>
      <c r="AS368" s="8" t="str">
        <f t="shared" si="133"/>
        <v/>
      </c>
      <c r="AT368" s="9" t="str">
        <f t="shared" si="134"/>
        <v/>
      </c>
      <c r="AU368" s="9" t="str">
        <f t="shared" si="135"/>
        <v/>
      </c>
      <c r="AV368" s="14"/>
      <c r="AW368" s="15"/>
      <c r="AX368" s="14" t="str">
        <f t="shared" si="136"/>
        <v/>
      </c>
      <c r="AY368" s="15"/>
      <c r="AZ368" s="23"/>
      <c r="EW368" t="s">
        <v>46</v>
      </c>
      <c r="EX368" s="33">
        <v>1367</v>
      </c>
      <c r="EY368" s="33" t="s">
        <v>959</v>
      </c>
      <c r="EZ368" s="33" t="s">
        <v>960</v>
      </c>
      <c r="FA368" s="33" t="s">
        <v>343</v>
      </c>
      <c r="FB368" s="33" t="s">
        <v>344</v>
      </c>
      <c r="FC368" s="33" t="s">
        <v>345</v>
      </c>
      <c r="FD368" s="33" t="s">
        <v>346</v>
      </c>
      <c r="FE368" s="33">
        <v>2025</v>
      </c>
      <c r="FF368" s="33" t="s">
        <v>59</v>
      </c>
      <c r="FG368" s="33" t="s">
        <v>470</v>
      </c>
      <c r="FH368" s="33" t="s">
        <v>471</v>
      </c>
      <c r="FI368" s="33" t="s">
        <v>467</v>
      </c>
      <c r="FJ368" t="s">
        <v>59</v>
      </c>
      <c r="FM368" s="32" t="s">
        <v>961</v>
      </c>
      <c r="FN368" t="s">
        <v>962</v>
      </c>
      <c r="FO368" t="s">
        <v>963</v>
      </c>
      <c r="FP368" t="str">
        <f t="shared" si="118"/>
        <v>B</v>
      </c>
      <c r="GU368" s="53">
        <v>138</v>
      </c>
      <c r="GV368" s="53">
        <v>362</v>
      </c>
    </row>
    <row r="369" spans="1:204" ht="15.5" x14ac:dyDescent="0.35">
      <c r="A369" s="95">
        <f t="shared" si="119"/>
        <v>1</v>
      </c>
      <c r="B369" s="11"/>
      <c r="C369" s="11"/>
      <c r="D369" s="92" t="str">
        <f>IFERROR(
IF(AND(OR(Planilla!B369="C",Planilla!B369="c"), VLOOKUP(E369,EX:FJ,13,0)="C"), "OK",IF(AND(OR(Planilla!B369="C",Planilla!B369="c"), OR(VLOOKUP(E369,EX:FJ,13,0)="B", VLOOKUP(E369,EX:FJ,13,0)="A")), "DEFICIT",IF(
AND(OR(Planilla!B369="B", Planilla!B369="BPAL"), VLOOKUP(E369,EX:FJ,13,0)="B"), "OK",IF(AND(OR(Planilla!B369="B", Planilla!B369="BPAL"), VLOOKUP(E369,EX:FJ,13,0)="A"), "DEFICIT",IF(AND(OR(Planilla!B369="B", Planilla!B369="BPAL"), VLOOKUP(E369,EX:FJ,13,0)="C"), "SOBREOFERTA",IF(AND(Planilla!B369="A", VLOOKUP(E369,EX:FJ,13,0)="A"), "OK",IF(
AND(Planilla!B369="A", OR(VLOOKUP(E369,EX:FJ,13,0)="B", VLOOKUP(E369,EX:FJ,13,0)="C")), "SOBREOFERTA",""
))))))),"")</f>
        <v/>
      </c>
      <c r="E369" s="12"/>
      <c r="F369" s="13"/>
      <c r="G369" s="14"/>
      <c r="H369" s="81" t="str">
        <f t="shared" si="120"/>
        <v/>
      </c>
      <c r="I369" s="7"/>
      <c r="J369" s="6" t="e">
        <f t="shared" si="121"/>
        <v>#N/A</v>
      </c>
      <c r="K369" s="6" t="str">
        <f>IF(A370&lt;&gt;A369,AVERAGEIF(A$9:A369,A369,J$9:J369),"")</f>
        <v/>
      </c>
      <c r="L369" s="7" t="str">
        <f>IFERROR(IF(A370&lt;&gt;A369,AVERAGEIF(A$9:A369,A369,S$9:S369),""),"")</f>
        <v/>
      </c>
      <c r="M369" s="7" t="str">
        <f>IFERROR(IF(A370&lt;&gt;A369,AVERAGEIF(A$9:A369,A369,T$9:T369),""),"")</f>
        <v/>
      </c>
      <c r="N369" s="7" t="str" cm="1">
        <f t="array" ref="N369">IFERROR(IF(A370&lt;&gt;A369,_xlfn.STDEV.P(IF(A$9:A369=A369,T$9:T369)),""),"")</f>
        <v/>
      </c>
      <c r="O369" s="7" t="str" cm="1">
        <f t="array" ref="O369">IFERROR(IF(A370&lt;&gt;A369,_xlfn.STDEV.P(IF(A$9:A369=A369,S$9:S369)),""),"")</f>
        <v/>
      </c>
      <c r="P369" s="8" t="str">
        <f t="shared" si="122"/>
        <v/>
      </c>
      <c r="Q369" s="8" t="str">
        <f t="shared" si="123"/>
        <v/>
      </c>
      <c r="R369" s="8" t="str">
        <f t="shared" si="124"/>
        <v/>
      </c>
      <c r="S369" s="9" t="str">
        <f t="shared" si="125"/>
        <v/>
      </c>
      <c r="T369" s="9" t="str">
        <f t="shared" si="126"/>
        <v/>
      </c>
      <c r="U369" s="14"/>
      <c r="V369" s="15"/>
      <c r="W369" s="14" t="str">
        <f t="shared" si="127"/>
        <v/>
      </c>
      <c r="X369" s="15"/>
      <c r="Y369" s="2"/>
      <c r="AB369" s="22">
        <f t="shared" si="128"/>
        <v>1</v>
      </c>
      <c r="AC369" s="11"/>
      <c r="AD369" s="11"/>
      <c r="AE369" s="13"/>
      <c r="AF369" s="12"/>
      <c r="AG369" s="13"/>
      <c r="AH369" s="14"/>
      <c r="AI369" s="81" t="str">
        <f t="shared" si="129"/>
        <v/>
      </c>
      <c r="AJ369" s="15"/>
      <c r="AK369" s="6" t="e">
        <f t="shared" si="130"/>
        <v>#N/A</v>
      </c>
      <c r="AL369" s="6" t="str">
        <f>IF(AB370&lt;&gt;AB369,AVERAGEIF(AB$9:AB369,AB369,AK$9:AK369),"")</f>
        <v/>
      </c>
      <c r="AM369" s="7" t="str">
        <f>IFERROR(IF(AB370&lt;&gt;AB369,AVERAGEIF(AB$9:AB369,AB369,AT$9:AT369),""),"")</f>
        <v/>
      </c>
      <c r="AN369" s="7" t="str">
        <f>IFERROR(IF(AB370&lt;&gt;AB369,AVERAGEIF(AB$9:AB369,AB369,AU$9:AU369),""),"")</f>
        <v/>
      </c>
      <c r="AO369" s="7" t="str" cm="1">
        <f t="array" ref="AO369">IFERROR(IF(AB370&lt;&gt;AB369,_xlfn.STDEV.P(IF(AB$9:AB369=AB369,AU$9:AU369)),""),"")</f>
        <v/>
      </c>
      <c r="AP369" s="7" t="str" cm="1">
        <f t="array" ref="AP369">IFERROR(IF(AB370&lt;&gt;AB369,_xlfn.STDEV.P(IF(AB$9:AB369=AB369,AT$9:AT369)),""),"")</f>
        <v/>
      </c>
      <c r="AQ369" s="8" t="str">
        <f t="shared" si="131"/>
        <v/>
      </c>
      <c r="AR369" s="8" t="str">
        <f t="shared" si="132"/>
        <v/>
      </c>
      <c r="AS369" s="8" t="str">
        <f t="shared" si="133"/>
        <v/>
      </c>
      <c r="AT369" s="9" t="str">
        <f t="shared" si="134"/>
        <v/>
      </c>
      <c r="AU369" s="9" t="str">
        <f t="shared" si="135"/>
        <v/>
      </c>
      <c r="AV369" s="14"/>
      <c r="AW369" s="15"/>
      <c r="AX369" s="14" t="str">
        <f t="shared" si="136"/>
        <v/>
      </c>
      <c r="AY369" s="15"/>
      <c r="AZ369" s="23"/>
      <c r="EW369" t="s">
        <v>46</v>
      </c>
      <c r="EX369" s="33">
        <v>1368</v>
      </c>
      <c r="EY369" s="33" t="s">
        <v>964</v>
      </c>
      <c r="EZ369" s="33" t="s">
        <v>965</v>
      </c>
      <c r="FA369" s="33" t="s">
        <v>343</v>
      </c>
      <c r="FB369" s="33" t="s">
        <v>344</v>
      </c>
      <c r="FC369" s="33" t="s">
        <v>345</v>
      </c>
      <c r="FD369" s="33" t="s">
        <v>346</v>
      </c>
      <c r="FE369" s="33">
        <v>2025</v>
      </c>
      <c r="FF369" s="33" t="s">
        <v>59</v>
      </c>
      <c r="FG369" s="33" t="s">
        <v>477</v>
      </c>
      <c r="FH369" s="33" t="s">
        <v>478</v>
      </c>
      <c r="FI369" s="33" t="s">
        <v>479</v>
      </c>
      <c r="FJ369" t="s">
        <v>59</v>
      </c>
      <c r="FM369" s="32" t="s">
        <v>961</v>
      </c>
      <c r="FN369" t="s">
        <v>962</v>
      </c>
      <c r="FO369" t="s">
        <v>963</v>
      </c>
      <c r="FP369" t="str">
        <f t="shared" si="118"/>
        <v>B</v>
      </c>
      <c r="GU369" s="53">
        <v>139</v>
      </c>
      <c r="GV369" s="53">
        <v>363</v>
      </c>
    </row>
    <row r="370" spans="1:204" ht="15.5" x14ac:dyDescent="0.35">
      <c r="A370" s="95">
        <f t="shared" si="119"/>
        <v>1</v>
      </c>
      <c r="B370" s="11"/>
      <c r="C370" s="11"/>
      <c r="D370" s="92" t="str">
        <f>IFERROR(
IF(AND(OR(Planilla!B370="C",Planilla!B370="c"), VLOOKUP(E370,EX:FJ,13,0)="C"), "OK",IF(AND(OR(Planilla!B370="C",Planilla!B370="c"), OR(VLOOKUP(E370,EX:FJ,13,0)="B", VLOOKUP(E370,EX:FJ,13,0)="A")), "DEFICIT",IF(
AND(OR(Planilla!B370="B", Planilla!B370="BPAL"), VLOOKUP(E370,EX:FJ,13,0)="B"), "OK",IF(AND(OR(Planilla!B370="B", Planilla!B370="BPAL"), VLOOKUP(E370,EX:FJ,13,0)="A"), "DEFICIT",IF(AND(OR(Planilla!B370="B", Planilla!B370="BPAL"), VLOOKUP(E370,EX:FJ,13,0)="C"), "SOBREOFERTA",IF(AND(Planilla!B370="A", VLOOKUP(E370,EX:FJ,13,0)="A"), "OK",IF(
AND(Planilla!B370="A", OR(VLOOKUP(E370,EX:FJ,13,0)="B", VLOOKUP(E370,EX:FJ,13,0)="C")), "SOBREOFERTA",""
))))))),"")</f>
        <v/>
      </c>
      <c r="E370" s="12"/>
      <c r="F370" s="13"/>
      <c r="G370" s="14"/>
      <c r="H370" s="81" t="str">
        <f t="shared" si="120"/>
        <v/>
      </c>
      <c r="I370" s="7"/>
      <c r="J370" s="6" t="e">
        <f t="shared" si="121"/>
        <v>#N/A</v>
      </c>
      <c r="K370" s="6" t="str">
        <f>IF(A371&lt;&gt;A370,AVERAGEIF(A$9:A370,A370,J$9:J370),"")</f>
        <v/>
      </c>
      <c r="L370" s="7" t="str">
        <f>IFERROR(IF(A371&lt;&gt;A370,AVERAGEIF(A$9:A370,A370,S$9:S370),""),"")</f>
        <v/>
      </c>
      <c r="M370" s="7" t="str">
        <f>IFERROR(IF(A371&lt;&gt;A370,AVERAGEIF(A$9:A370,A370,T$9:T370),""),"")</f>
        <v/>
      </c>
      <c r="N370" s="7" t="str" cm="1">
        <f t="array" ref="N370">IFERROR(IF(A371&lt;&gt;A370,_xlfn.STDEV.P(IF(A$9:A370=A370,T$9:T370)),""),"")</f>
        <v/>
      </c>
      <c r="O370" s="7" t="str" cm="1">
        <f t="array" ref="O370">IFERROR(IF(A371&lt;&gt;A370,_xlfn.STDEV.P(IF(A$9:A370=A370,S$9:S370)),""),"")</f>
        <v/>
      </c>
      <c r="P370" s="8" t="str">
        <f t="shared" si="122"/>
        <v/>
      </c>
      <c r="Q370" s="8" t="str">
        <f t="shared" si="123"/>
        <v/>
      </c>
      <c r="R370" s="8" t="str">
        <f t="shared" si="124"/>
        <v/>
      </c>
      <c r="S370" s="9" t="str">
        <f t="shared" si="125"/>
        <v/>
      </c>
      <c r="T370" s="9" t="str">
        <f t="shared" si="126"/>
        <v/>
      </c>
      <c r="U370" s="14"/>
      <c r="V370" s="15"/>
      <c r="W370" s="14" t="str">
        <f t="shared" si="127"/>
        <v/>
      </c>
      <c r="X370" s="15"/>
      <c r="Y370" s="2"/>
      <c r="AB370" s="22">
        <f t="shared" si="128"/>
        <v>1</v>
      </c>
      <c r="AC370" s="11"/>
      <c r="AD370" s="11"/>
      <c r="AE370" s="13"/>
      <c r="AF370" s="12"/>
      <c r="AG370" s="13"/>
      <c r="AH370" s="14"/>
      <c r="AI370" s="81" t="str">
        <f t="shared" si="129"/>
        <v/>
      </c>
      <c r="AJ370" s="15"/>
      <c r="AK370" s="6" t="e">
        <f t="shared" si="130"/>
        <v>#N/A</v>
      </c>
      <c r="AL370" s="6" t="str">
        <f>IF(AB371&lt;&gt;AB370,AVERAGEIF(AB$9:AB370,AB370,AK$9:AK370),"")</f>
        <v/>
      </c>
      <c r="AM370" s="7" t="str">
        <f>IFERROR(IF(AB371&lt;&gt;AB370,AVERAGEIF(AB$9:AB370,AB370,AT$9:AT370),""),"")</f>
        <v/>
      </c>
      <c r="AN370" s="7" t="str">
        <f>IFERROR(IF(AB371&lt;&gt;AB370,AVERAGEIF(AB$9:AB370,AB370,AU$9:AU370),""),"")</f>
        <v/>
      </c>
      <c r="AO370" s="7" t="str" cm="1">
        <f t="array" ref="AO370">IFERROR(IF(AB371&lt;&gt;AB370,_xlfn.STDEV.P(IF(AB$9:AB370=AB370,AU$9:AU370)),""),"")</f>
        <v/>
      </c>
      <c r="AP370" s="7" t="str" cm="1">
        <f t="array" ref="AP370">IFERROR(IF(AB371&lt;&gt;AB370,_xlfn.STDEV.P(IF(AB$9:AB370=AB370,AT$9:AT370)),""),"")</f>
        <v/>
      </c>
      <c r="AQ370" s="8" t="str">
        <f t="shared" si="131"/>
        <v/>
      </c>
      <c r="AR370" s="8" t="str">
        <f t="shared" si="132"/>
        <v/>
      </c>
      <c r="AS370" s="8" t="str">
        <f t="shared" si="133"/>
        <v/>
      </c>
      <c r="AT370" s="9" t="str">
        <f t="shared" si="134"/>
        <v/>
      </c>
      <c r="AU370" s="9" t="str">
        <f t="shared" si="135"/>
        <v/>
      </c>
      <c r="AV370" s="14"/>
      <c r="AW370" s="15"/>
      <c r="AX370" s="14" t="str">
        <f t="shared" si="136"/>
        <v/>
      </c>
      <c r="AY370" s="15"/>
      <c r="AZ370" s="23"/>
      <c r="EW370" t="s">
        <v>46</v>
      </c>
      <c r="EX370" s="33">
        <v>1369</v>
      </c>
      <c r="EY370" s="33" t="s">
        <v>966</v>
      </c>
      <c r="EZ370" s="33" t="s">
        <v>967</v>
      </c>
      <c r="FA370" s="33" t="s">
        <v>343</v>
      </c>
      <c r="FB370" s="33" t="s">
        <v>344</v>
      </c>
      <c r="FC370" s="33" t="s">
        <v>345</v>
      </c>
      <c r="FD370" s="33" t="s">
        <v>346</v>
      </c>
      <c r="FE370" s="33">
        <v>2025</v>
      </c>
      <c r="FF370" s="33" t="s">
        <v>59</v>
      </c>
      <c r="FG370" s="33" t="s">
        <v>470</v>
      </c>
      <c r="FH370" s="33" t="s">
        <v>471</v>
      </c>
      <c r="FI370" s="33" t="s">
        <v>467</v>
      </c>
      <c r="FJ370" t="s">
        <v>59</v>
      </c>
      <c r="FM370" s="32" t="s">
        <v>961</v>
      </c>
      <c r="FN370" t="s">
        <v>962</v>
      </c>
      <c r="FO370" t="s">
        <v>963</v>
      </c>
      <c r="FP370" t="str">
        <f t="shared" si="118"/>
        <v>B</v>
      </c>
      <c r="GU370" s="53">
        <v>140</v>
      </c>
      <c r="GV370" s="53">
        <v>364</v>
      </c>
    </row>
    <row r="371" spans="1:204" ht="15.5" x14ac:dyDescent="0.35">
      <c r="A371" s="95">
        <f t="shared" si="119"/>
        <v>1</v>
      </c>
      <c r="B371" s="11"/>
      <c r="C371" s="11"/>
      <c r="D371" s="92" t="str">
        <f>IFERROR(
IF(AND(OR(Planilla!B371="C",Planilla!B371="c"), VLOOKUP(E371,EX:FJ,13,0)="C"), "OK",IF(AND(OR(Planilla!B371="C",Planilla!B371="c"), OR(VLOOKUP(E371,EX:FJ,13,0)="B", VLOOKUP(E371,EX:FJ,13,0)="A")), "DEFICIT",IF(
AND(OR(Planilla!B371="B", Planilla!B371="BPAL"), VLOOKUP(E371,EX:FJ,13,0)="B"), "OK",IF(AND(OR(Planilla!B371="B", Planilla!B371="BPAL"), VLOOKUP(E371,EX:FJ,13,0)="A"), "DEFICIT",IF(AND(OR(Planilla!B371="B", Planilla!B371="BPAL"), VLOOKUP(E371,EX:FJ,13,0)="C"), "SOBREOFERTA",IF(AND(Planilla!B371="A", VLOOKUP(E371,EX:FJ,13,0)="A"), "OK",IF(
AND(Planilla!B371="A", OR(VLOOKUP(E371,EX:FJ,13,0)="B", VLOOKUP(E371,EX:FJ,13,0)="C")), "SOBREOFERTA",""
))))))),"")</f>
        <v/>
      </c>
      <c r="E371" s="12"/>
      <c r="F371" s="13"/>
      <c r="G371" s="14"/>
      <c r="H371" s="81" t="str">
        <f t="shared" si="120"/>
        <v/>
      </c>
      <c r="I371" s="7"/>
      <c r="J371" s="6" t="e">
        <f t="shared" si="121"/>
        <v>#N/A</v>
      </c>
      <c r="K371" s="6" t="str">
        <f>IF(A372&lt;&gt;A371,AVERAGEIF(A$9:A371,A371,J$9:J371),"")</f>
        <v/>
      </c>
      <c r="L371" s="7" t="str">
        <f>IFERROR(IF(A372&lt;&gt;A371,AVERAGEIF(A$9:A371,A371,S$9:S371),""),"")</f>
        <v/>
      </c>
      <c r="M371" s="7" t="str">
        <f>IFERROR(IF(A372&lt;&gt;A371,AVERAGEIF(A$9:A371,A371,T$9:T371),""),"")</f>
        <v/>
      </c>
      <c r="N371" s="7" t="str" cm="1">
        <f t="array" ref="N371">IFERROR(IF(A372&lt;&gt;A371,_xlfn.STDEV.P(IF(A$9:A371=A371,T$9:T371)),""),"")</f>
        <v/>
      </c>
      <c r="O371" s="7" t="str" cm="1">
        <f t="array" ref="O371">IFERROR(IF(A372&lt;&gt;A371,_xlfn.STDEV.P(IF(A$9:A371=A371,S$9:S371)),""),"")</f>
        <v/>
      </c>
      <c r="P371" s="8" t="str">
        <f t="shared" si="122"/>
        <v/>
      </c>
      <c r="Q371" s="8" t="str">
        <f t="shared" si="123"/>
        <v/>
      </c>
      <c r="R371" s="8" t="str">
        <f t="shared" si="124"/>
        <v/>
      </c>
      <c r="S371" s="9" t="str">
        <f t="shared" si="125"/>
        <v/>
      </c>
      <c r="T371" s="9" t="str">
        <f t="shared" si="126"/>
        <v/>
      </c>
      <c r="U371" s="14"/>
      <c r="V371" s="15"/>
      <c r="W371" s="14" t="str">
        <f t="shared" si="127"/>
        <v/>
      </c>
      <c r="X371" s="15"/>
      <c r="Y371" s="2"/>
      <c r="AB371" s="22">
        <f t="shared" si="128"/>
        <v>1</v>
      </c>
      <c r="AC371" s="11"/>
      <c r="AD371" s="11"/>
      <c r="AE371" s="13"/>
      <c r="AF371" s="12"/>
      <c r="AG371" s="13"/>
      <c r="AH371" s="14"/>
      <c r="AI371" s="81" t="str">
        <f t="shared" si="129"/>
        <v/>
      </c>
      <c r="AJ371" s="15"/>
      <c r="AK371" s="6" t="e">
        <f t="shared" si="130"/>
        <v>#N/A</v>
      </c>
      <c r="AL371" s="6" t="str">
        <f>IF(AB372&lt;&gt;AB371,AVERAGEIF(AB$9:AB371,AB371,AK$9:AK371),"")</f>
        <v/>
      </c>
      <c r="AM371" s="7" t="str">
        <f>IFERROR(IF(AB372&lt;&gt;AB371,AVERAGEIF(AB$9:AB371,AB371,AT$9:AT371),""),"")</f>
        <v/>
      </c>
      <c r="AN371" s="7" t="str">
        <f>IFERROR(IF(AB372&lt;&gt;AB371,AVERAGEIF(AB$9:AB371,AB371,AU$9:AU371),""),"")</f>
        <v/>
      </c>
      <c r="AO371" s="7" t="str" cm="1">
        <f t="array" ref="AO371">IFERROR(IF(AB372&lt;&gt;AB371,_xlfn.STDEV.P(IF(AB$9:AB371=AB371,AU$9:AU371)),""),"")</f>
        <v/>
      </c>
      <c r="AP371" s="7" t="str" cm="1">
        <f t="array" ref="AP371">IFERROR(IF(AB372&lt;&gt;AB371,_xlfn.STDEV.P(IF(AB$9:AB371=AB371,AT$9:AT371)),""),"")</f>
        <v/>
      </c>
      <c r="AQ371" s="8" t="str">
        <f t="shared" si="131"/>
        <v/>
      </c>
      <c r="AR371" s="8" t="str">
        <f t="shared" si="132"/>
        <v/>
      </c>
      <c r="AS371" s="8" t="str">
        <f t="shared" si="133"/>
        <v/>
      </c>
      <c r="AT371" s="9" t="str">
        <f t="shared" si="134"/>
        <v/>
      </c>
      <c r="AU371" s="9" t="str">
        <f t="shared" si="135"/>
        <v/>
      </c>
      <c r="AV371" s="14"/>
      <c r="AW371" s="15"/>
      <c r="AX371" s="14" t="str">
        <f t="shared" si="136"/>
        <v/>
      </c>
      <c r="AY371" s="15"/>
      <c r="AZ371" s="23"/>
      <c r="EW371" t="s">
        <v>46</v>
      </c>
      <c r="EX371" s="33">
        <v>1370</v>
      </c>
      <c r="EY371" s="33" t="s">
        <v>968</v>
      </c>
      <c r="EZ371" s="33" t="s">
        <v>969</v>
      </c>
      <c r="FA371" s="33" t="s">
        <v>343</v>
      </c>
      <c r="FB371" s="33" t="s">
        <v>344</v>
      </c>
      <c r="FC371" s="33" t="s">
        <v>345</v>
      </c>
      <c r="FD371" s="33" t="s">
        <v>346</v>
      </c>
      <c r="FE371" s="33">
        <v>2025</v>
      </c>
      <c r="FF371" s="33" t="s">
        <v>59</v>
      </c>
      <c r="FG371" s="33" t="s">
        <v>470</v>
      </c>
      <c r="FH371" s="33" t="s">
        <v>471</v>
      </c>
      <c r="FI371" s="33" t="s">
        <v>467</v>
      </c>
      <c r="FJ371" t="s">
        <v>59</v>
      </c>
      <c r="FM371" s="32" t="s">
        <v>961</v>
      </c>
      <c r="FN371" t="s">
        <v>962</v>
      </c>
      <c r="FO371" t="s">
        <v>963</v>
      </c>
      <c r="FP371" t="str">
        <f t="shared" si="118"/>
        <v>B</v>
      </c>
      <c r="GU371" s="53">
        <v>141</v>
      </c>
      <c r="GV371" s="53">
        <v>365</v>
      </c>
    </row>
    <row r="372" spans="1:204" ht="15.5" x14ac:dyDescent="0.35">
      <c r="A372" s="95">
        <f t="shared" si="119"/>
        <v>1</v>
      </c>
      <c r="B372" s="11"/>
      <c r="C372" s="11"/>
      <c r="D372" s="92" t="str">
        <f>IFERROR(
IF(AND(OR(Planilla!B372="C",Planilla!B372="c"), VLOOKUP(E372,EX:FJ,13,0)="C"), "OK",IF(AND(OR(Planilla!B372="C",Planilla!B372="c"), OR(VLOOKUP(E372,EX:FJ,13,0)="B", VLOOKUP(E372,EX:FJ,13,0)="A")), "DEFICIT",IF(
AND(OR(Planilla!B372="B", Planilla!B372="BPAL"), VLOOKUP(E372,EX:FJ,13,0)="B"), "OK",IF(AND(OR(Planilla!B372="B", Planilla!B372="BPAL"), VLOOKUP(E372,EX:FJ,13,0)="A"), "DEFICIT",IF(AND(OR(Planilla!B372="B", Planilla!B372="BPAL"), VLOOKUP(E372,EX:FJ,13,0)="C"), "SOBREOFERTA",IF(AND(Planilla!B372="A", VLOOKUP(E372,EX:FJ,13,0)="A"), "OK",IF(
AND(Planilla!B372="A", OR(VLOOKUP(E372,EX:FJ,13,0)="B", VLOOKUP(E372,EX:FJ,13,0)="C")), "SOBREOFERTA",""
))))))),"")</f>
        <v/>
      </c>
      <c r="E372" s="12"/>
      <c r="F372" s="13"/>
      <c r="G372" s="14"/>
      <c r="H372" s="81" t="str">
        <f t="shared" si="120"/>
        <v/>
      </c>
      <c r="I372" s="7"/>
      <c r="J372" s="6" t="e">
        <f t="shared" si="121"/>
        <v>#N/A</v>
      </c>
      <c r="K372" s="6" t="str">
        <f>IF(A373&lt;&gt;A372,AVERAGEIF(A$9:A372,A372,J$9:J372),"")</f>
        <v/>
      </c>
      <c r="L372" s="7" t="str">
        <f>IFERROR(IF(A373&lt;&gt;A372,AVERAGEIF(A$9:A372,A372,S$9:S372),""),"")</f>
        <v/>
      </c>
      <c r="M372" s="7" t="str">
        <f>IFERROR(IF(A373&lt;&gt;A372,AVERAGEIF(A$9:A372,A372,T$9:T372),""),"")</f>
        <v/>
      </c>
      <c r="N372" s="7" t="str" cm="1">
        <f t="array" ref="N372">IFERROR(IF(A373&lt;&gt;A372,_xlfn.STDEV.P(IF(A$9:A372=A372,T$9:T372)),""),"")</f>
        <v/>
      </c>
      <c r="O372" s="7" t="str" cm="1">
        <f t="array" ref="O372">IFERROR(IF(A373&lt;&gt;A372,_xlfn.STDEV.P(IF(A$9:A372=A372,S$9:S372)),""),"")</f>
        <v/>
      </c>
      <c r="P372" s="8" t="str">
        <f t="shared" si="122"/>
        <v/>
      </c>
      <c r="Q372" s="8" t="str">
        <f t="shared" si="123"/>
        <v/>
      </c>
      <c r="R372" s="8" t="str">
        <f t="shared" si="124"/>
        <v/>
      </c>
      <c r="S372" s="9" t="str">
        <f t="shared" si="125"/>
        <v/>
      </c>
      <c r="T372" s="9" t="str">
        <f t="shared" si="126"/>
        <v/>
      </c>
      <c r="U372" s="14"/>
      <c r="V372" s="15"/>
      <c r="W372" s="14" t="str">
        <f t="shared" si="127"/>
        <v/>
      </c>
      <c r="X372" s="15"/>
      <c r="Y372" s="2"/>
      <c r="AB372" s="22">
        <f t="shared" si="128"/>
        <v>1</v>
      </c>
      <c r="AC372" s="11"/>
      <c r="AD372" s="11"/>
      <c r="AE372" s="13"/>
      <c r="AF372" s="12"/>
      <c r="AG372" s="13"/>
      <c r="AH372" s="14"/>
      <c r="AI372" s="81" t="str">
        <f t="shared" si="129"/>
        <v/>
      </c>
      <c r="AJ372" s="15"/>
      <c r="AK372" s="6" t="e">
        <f t="shared" si="130"/>
        <v>#N/A</v>
      </c>
      <c r="AL372" s="6" t="str">
        <f>IF(AB373&lt;&gt;AB372,AVERAGEIF(AB$9:AB372,AB372,AK$9:AK372),"")</f>
        <v/>
      </c>
      <c r="AM372" s="7" t="str">
        <f>IFERROR(IF(AB373&lt;&gt;AB372,AVERAGEIF(AB$9:AB372,AB372,AT$9:AT372),""),"")</f>
        <v/>
      </c>
      <c r="AN372" s="7" t="str">
        <f>IFERROR(IF(AB373&lt;&gt;AB372,AVERAGEIF(AB$9:AB372,AB372,AU$9:AU372),""),"")</f>
        <v/>
      </c>
      <c r="AO372" s="7" t="str" cm="1">
        <f t="array" ref="AO372">IFERROR(IF(AB373&lt;&gt;AB372,_xlfn.STDEV.P(IF(AB$9:AB372=AB372,AU$9:AU372)),""),"")</f>
        <v/>
      </c>
      <c r="AP372" s="7" t="str" cm="1">
        <f t="array" ref="AP372">IFERROR(IF(AB373&lt;&gt;AB372,_xlfn.STDEV.P(IF(AB$9:AB372=AB372,AT$9:AT372)),""),"")</f>
        <v/>
      </c>
      <c r="AQ372" s="8" t="str">
        <f t="shared" si="131"/>
        <v/>
      </c>
      <c r="AR372" s="8" t="str">
        <f t="shared" si="132"/>
        <v/>
      </c>
      <c r="AS372" s="8" t="str">
        <f t="shared" si="133"/>
        <v/>
      </c>
      <c r="AT372" s="9" t="str">
        <f t="shared" si="134"/>
        <v/>
      </c>
      <c r="AU372" s="9" t="str">
        <f t="shared" si="135"/>
        <v/>
      </c>
      <c r="AV372" s="14"/>
      <c r="AW372" s="15"/>
      <c r="AX372" s="14" t="str">
        <f t="shared" si="136"/>
        <v/>
      </c>
      <c r="AY372" s="15"/>
      <c r="AZ372" s="23"/>
      <c r="EW372" t="s">
        <v>46</v>
      </c>
      <c r="EX372" s="33">
        <v>1371</v>
      </c>
      <c r="EY372" s="33" t="s">
        <v>970</v>
      </c>
      <c r="EZ372" s="33" t="s">
        <v>971</v>
      </c>
      <c r="FA372" s="33" t="s">
        <v>343</v>
      </c>
      <c r="FB372" s="33" t="s">
        <v>344</v>
      </c>
      <c r="FC372" s="33" t="s">
        <v>345</v>
      </c>
      <c r="FD372" s="33" t="s">
        <v>346</v>
      </c>
      <c r="FE372" s="33">
        <v>2025</v>
      </c>
      <c r="FF372" s="33" t="s">
        <v>59</v>
      </c>
      <c r="FG372" s="33" t="s">
        <v>477</v>
      </c>
      <c r="FH372" s="33" t="s">
        <v>478</v>
      </c>
      <c r="FI372" s="33" t="s">
        <v>479</v>
      </c>
      <c r="FJ372" t="s">
        <v>59</v>
      </c>
      <c r="FM372" s="32" t="s">
        <v>961</v>
      </c>
      <c r="FN372" t="s">
        <v>962</v>
      </c>
      <c r="FO372" t="s">
        <v>963</v>
      </c>
      <c r="FP372" t="str">
        <f t="shared" si="118"/>
        <v>B</v>
      </c>
      <c r="GU372" s="53">
        <v>142</v>
      </c>
      <c r="GV372" s="53">
        <v>366</v>
      </c>
    </row>
    <row r="373" spans="1:204" ht="15.5" x14ac:dyDescent="0.35">
      <c r="A373" s="95">
        <f t="shared" si="119"/>
        <v>1</v>
      </c>
      <c r="B373" s="11"/>
      <c r="C373" s="11"/>
      <c r="D373" s="92" t="str">
        <f>IFERROR(
IF(AND(OR(Planilla!B373="C",Planilla!B373="c"), VLOOKUP(E373,EX:FJ,13,0)="C"), "OK",IF(AND(OR(Planilla!B373="C",Planilla!B373="c"), OR(VLOOKUP(E373,EX:FJ,13,0)="B", VLOOKUP(E373,EX:FJ,13,0)="A")), "DEFICIT",IF(
AND(OR(Planilla!B373="B", Planilla!B373="BPAL"), VLOOKUP(E373,EX:FJ,13,0)="B"), "OK",IF(AND(OR(Planilla!B373="B", Planilla!B373="BPAL"), VLOOKUP(E373,EX:FJ,13,0)="A"), "DEFICIT",IF(AND(OR(Planilla!B373="B", Planilla!B373="BPAL"), VLOOKUP(E373,EX:FJ,13,0)="C"), "SOBREOFERTA",IF(AND(Planilla!B373="A", VLOOKUP(E373,EX:FJ,13,0)="A"), "OK",IF(
AND(Planilla!B373="A", OR(VLOOKUP(E373,EX:FJ,13,0)="B", VLOOKUP(E373,EX:FJ,13,0)="C")), "SOBREOFERTA",""
))))))),"")</f>
        <v/>
      </c>
      <c r="E373" s="12"/>
      <c r="F373" s="13"/>
      <c r="G373" s="14"/>
      <c r="H373" s="81" t="str">
        <f t="shared" si="120"/>
        <v/>
      </c>
      <c r="I373" s="7"/>
      <c r="J373" s="6" t="e">
        <f t="shared" si="121"/>
        <v>#N/A</v>
      </c>
      <c r="K373" s="6" t="str">
        <f>IF(A374&lt;&gt;A373,AVERAGEIF(A$9:A373,A373,J$9:J373),"")</f>
        <v/>
      </c>
      <c r="L373" s="7" t="str">
        <f>IFERROR(IF(A374&lt;&gt;A373,AVERAGEIF(A$9:A373,A373,S$9:S373),""),"")</f>
        <v/>
      </c>
      <c r="M373" s="7" t="str">
        <f>IFERROR(IF(A374&lt;&gt;A373,AVERAGEIF(A$9:A373,A373,T$9:T373),""),"")</f>
        <v/>
      </c>
      <c r="N373" s="7" t="str" cm="1">
        <f t="array" ref="N373">IFERROR(IF(A374&lt;&gt;A373,_xlfn.STDEV.P(IF(A$9:A373=A373,T$9:T373)),""),"")</f>
        <v/>
      </c>
      <c r="O373" s="7" t="str" cm="1">
        <f t="array" ref="O373">IFERROR(IF(A374&lt;&gt;A373,_xlfn.STDEV.P(IF(A$9:A373=A373,S$9:S373)),""),"")</f>
        <v/>
      </c>
      <c r="P373" s="8" t="str">
        <f t="shared" si="122"/>
        <v/>
      </c>
      <c r="Q373" s="8" t="str">
        <f t="shared" si="123"/>
        <v/>
      </c>
      <c r="R373" s="8" t="str">
        <f t="shared" si="124"/>
        <v/>
      </c>
      <c r="S373" s="9" t="str">
        <f t="shared" si="125"/>
        <v/>
      </c>
      <c r="T373" s="9" t="str">
        <f t="shared" si="126"/>
        <v/>
      </c>
      <c r="U373" s="14"/>
      <c r="V373" s="15"/>
      <c r="W373" s="14" t="str">
        <f t="shared" si="127"/>
        <v/>
      </c>
      <c r="X373" s="15"/>
      <c r="Y373" s="2"/>
      <c r="AB373" s="22">
        <f t="shared" si="128"/>
        <v>1</v>
      </c>
      <c r="AC373" s="11"/>
      <c r="AD373" s="11"/>
      <c r="AE373" s="13"/>
      <c r="AF373" s="12"/>
      <c r="AG373" s="13"/>
      <c r="AH373" s="14"/>
      <c r="AI373" s="81" t="str">
        <f t="shared" si="129"/>
        <v/>
      </c>
      <c r="AJ373" s="15"/>
      <c r="AK373" s="6" t="e">
        <f t="shared" si="130"/>
        <v>#N/A</v>
      </c>
      <c r="AL373" s="6" t="str">
        <f>IF(AB374&lt;&gt;AB373,AVERAGEIF(AB$9:AB373,AB373,AK$9:AK373),"")</f>
        <v/>
      </c>
      <c r="AM373" s="7" t="str">
        <f>IFERROR(IF(AB374&lt;&gt;AB373,AVERAGEIF(AB$9:AB373,AB373,AT$9:AT373),""),"")</f>
        <v/>
      </c>
      <c r="AN373" s="7" t="str">
        <f>IFERROR(IF(AB374&lt;&gt;AB373,AVERAGEIF(AB$9:AB373,AB373,AU$9:AU373),""),"")</f>
        <v/>
      </c>
      <c r="AO373" s="7" t="str" cm="1">
        <f t="array" ref="AO373">IFERROR(IF(AB374&lt;&gt;AB373,_xlfn.STDEV.P(IF(AB$9:AB373=AB373,AU$9:AU373)),""),"")</f>
        <v/>
      </c>
      <c r="AP373" s="7" t="str" cm="1">
        <f t="array" ref="AP373">IFERROR(IF(AB374&lt;&gt;AB373,_xlfn.STDEV.P(IF(AB$9:AB373=AB373,AT$9:AT373)),""),"")</f>
        <v/>
      </c>
      <c r="AQ373" s="8" t="str">
        <f t="shared" si="131"/>
        <v/>
      </c>
      <c r="AR373" s="8" t="str">
        <f t="shared" si="132"/>
        <v/>
      </c>
      <c r="AS373" s="8" t="str">
        <f t="shared" si="133"/>
        <v/>
      </c>
      <c r="AT373" s="9" t="str">
        <f t="shared" si="134"/>
        <v/>
      </c>
      <c r="AU373" s="9" t="str">
        <f t="shared" si="135"/>
        <v/>
      </c>
      <c r="AV373" s="14"/>
      <c r="AW373" s="15"/>
      <c r="AX373" s="14" t="str">
        <f t="shared" si="136"/>
        <v/>
      </c>
      <c r="AY373" s="15"/>
      <c r="AZ373" s="23"/>
      <c r="EW373" t="s">
        <v>46</v>
      </c>
      <c r="EX373" s="33">
        <v>1372</v>
      </c>
      <c r="EY373" s="33" t="s">
        <v>972</v>
      </c>
      <c r="EZ373" s="33" t="s">
        <v>973</v>
      </c>
      <c r="FA373" s="33" t="s">
        <v>343</v>
      </c>
      <c r="FB373" s="33" t="s">
        <v>344</v>
      </c>
      <c r="FC373" s="33" t="s">
        <v>345</v>
      </c>
      <c r="FD373" s="33" t="s">
        <v>346</v>
      </c>
      <c r="FE373" s="33">
        <v>2025</v>
      </c>
      <c r="FF373" s="33" t="s">
        <v>59</v>
      </c>
      <c r="FG373" s="33" t="s">
        <v>470</v>
      </c>
      <c r="FH373" s="33" t="s">
        <v>471</v>
      </c>
      <c r="FI373" s="33" t="s">
        <v>467</v>
      </c>
      <c r="FJ373" t="s">
        <v>59</v>
      </c>
      <c r="FM373" s="32" t="s">
        <v>961</v>
      </c>
      <c r="FN373" t="s">
        <v>962</v>
      </c>
      <c r="FO373" t="s">
        <v>963</v>
      </c>
      <c r="FP373" t="str">
        <f t="shared" si="118"/>
        <v>B</v>
      </c>
      <c r="GU373" s="53">
        <v>143</v>
      </c>
      <c r="GV373" s="53">
        <v>367</v>
      </c>
    </row>
    <row r="374" spans="1:204" ht="15.5" x14ac:dyDescent="0.35">
      <c r="A374" s="95">
        <f t="shared" si="119"/>
        <v>1</v>
      </c>
      <c r="B374" s="11"/>
      <c r="C374" s="11"/>
      <c r="D374" s="92" t="str">
        <f>IFERROR(
IF(AND(OR(Planilla!B374="C",Planilla!B374="c"), VLOOKUP(E374,EX:FJ,13,0)="C"), "OK",IF(AND(OR(Planilla!B374="C",Planilla!B374="c"), OR(VLOOKUP(E374,EX:FJ,13,0)="B", VLOOKUP(E374,EX:FJ,13,0)="A")), "DEFICIT",IF(
AND(OR(Planilla!B374="B", Planilla!B374="BPAL"), VLOOKUP(E374,EX:FJ,13,0)="B"), "OK",IF(AND(OR(Planilla!B374="B", Planilla!B374="BPAL"), VLOOKUP(E374,EX:FJ,13,0)="A"), "DEFICIT",IF(AND(OR(Planilla!B374="B", Planilla!B374="BPAL"), VLOOKUP(E374,EX:FJ,13,0)="C"), "SOBREOFERTA",IF(AND(Planilla!B374="A", VLOOKUP(E374,EX:FJ,13,0)="A"), "OK",IF(
AND(Planilla!B374="A", OR(VLOOKUP(E374,EX:FJ,13,0)="B", VLOOKUP(E374,EX:FJ,13,0)="C")), "SOBREOFERTA",""
))))))),"")</f>
        <v/>
      </c>
      <c r="E374" s="12"/>
      <c r="F374" s="13"/>
      <c r="G374" s="14"/>
      <c r="H374" s="81" t="str">
        <f t="shared" si="120"/>
        <v/>
      </c>
      <c r="I374" s="7"/>
      <c r="J374" s="6" t="e">
        <f t="shared" si="121"/>
        <v>#N/A</v>
      </c>
      <c r="K374" s="6" t="str">
        <f>IF(A375&lt;&gt;A374,AVERAGEIF(A$9:A374,A374,J$9:J374),"")</f>
        <v/>
      </c>
      <c r="L374" s="7" t="str">
        <f>IFERROR(IF(A375&lt;&gt;A374,AVERAGEIF(A$9:A374,A374,S$9:S374),""),"")</f>
        <v/>
      </c>
      <c r="M374" s="7" t="str">
        <f>IFERROR(IF(A375&lt;&gt;A374,AVERAGEIF(A$9:A374,A374,T$9:T374),""),"")</f>
        <v/>
      </c>
      <c r="N374" s="7" t="str" cm="1">
        <f t="array" ref="N374">IFERROR(IF(A375&lt;&gt;A374,_xlfn.STDEV.P(IF(A$9:A374=A374,T$9:T374)),""),"")</f>
        <v/>
      </c>
      <c r="O374" s="7" t="str" cm="1">
        <f t="array" ref="O374">IFERROR(IF(A375&lt;&gt;A374,_xlfn.STDEV.P(IF(A$9:A374=A374,S$9:S374)),""),"")</f>
        <v/>
      </c>
      <c r="P374" s="8" t="str">
        <f t="shared" si="122"/>
        <v/>
      </c>
      <c r="Q374" s="8" t="str">
        <f t="shared" si="123"/>
        <v/>
      </c>
      <c r="R374" s="8" t="str">
        <f t="shared" si="124"/>
        <v/>
      </c>
      <c r="S374" s="9" t="str">
        <f t="shared" si="125"/>
        <v/>
      </c>
      <c r="T374" s="9" t="str">
        <f t="shared" si="126"/>
        <v/>
      </c>
      <c r="U374" s="14"/>
      <c r="V374" s="15"/>
      <c r="W374" s="14" t="str">
        <f t="shared" si="127"/>
        <v/>
      </c>
      <c r="X374" s="15"/>
      <c r="Y374" s="2"/>
      <c r="AB374" s="22">
        <f t="shared" si="128"/>
        <v>1</v>
      </c>
      <c r="AC374" s="11"/>
      <c r="AD374" s="11"/>
      <c r="AE374" s="13"/>
      <c r="AF374" s="12"/>
      <c r="AG374" s="13"/>
      <c r="AH374" s="14"/>
      <c r="AI374" s="81" t="str">
        <f t="shared" si="129"/>
        <v/>
      </c>
      <c r="AJ374" s="15"/>
      <c r="AK374" s="6" t="e">
        <f t="shared" si="130"/>
        <v>#N/A</v>
      </c>
      <c r="AL374" s="6" t="str">
        <f>IF(AB375&lt;&gt;AB374,AVERAGEIF(AB$9:AB374,AB374,AK$9:AK374),"")</f>
        <v/>
      </c>
      <c r="AM374" s="7" t="str">
        <f>IFERROR(IF(AB375&lt;&gt;AB374,AVERAGEIF(AB$9:AB374,AB374,AT$9:AT374),""),"")</f>
        <v/>
      </c>
      <c r="AN374" s="7" t="str">
        <f>IFERROR(IF(AB375&lt;&gt;AB374,AVERAGEIF(AB$9:AB374,AB374,AU$9:AU374),""),"")</f>
        <v/>
      </c>
      <c r="AO374" s="7" t="str" cm="1">
        <f t="array" ref="AO374">IFERROR(IF(AB375&lt;&gt;AB374,_xlfn.STDEV.P(IF(AB$9:AB374=AB374,AU$9:AU374)),""),"")</f>
        <v/>
      </c>
      <c r="AP374" s="7" t="str" cm="1">
        <f t="array" ref="AP374">IFERROR(IF(AB375&lt;&gt;AB374,_xlfn.STDEV.P(IF(AB$9:AB374=AB374,AT$9:AT374)),""),"")</f>
        <v/>
      </c>
      <c r="AQ374" s="8" t="str">
        <f t="shared" si="131"/>
        <v/>
      </c>
      <c r="AR374" s="8" t="str">
        <f t="shared" si="132"/>
        <v/>
      </c>
      <c r="AS374" s="8" t="str">
        <f t="shared" si="133"/>
        <v/>
      </c>
      <c r="AT374" s="9" t="str">
        <f t="shared" si="134"/>
        <v/>
      </c>
      <c r="AU374" s="9" t="str">
        <f t="shared" si="135"/>
        <v/>
      </c>
      <c r="AV374" s="14"/>
      <c r="AW374" s="15"/>
      <c r="AX374" s="14" t="str">
        <f t="shared" si="136"/>
        <v/>
      </c>
      <c r="AY374" s="15"/>
      <c r="AZ374" s="23"/>
      <c r="EW374" t="s">
        <v>46</v>
      </c>
      <c r="EX374" s="33">
        <v>1373</v>
      </c>
      <c r="EY374" s="33" t="s">
        <v>974</v>
      </c>
      <c r="EZ374" s="33" t="s">
        <v>975</v>
      </c>
      <c r="FA374" s="33" t="s">
        <v>343</v>
      </c>
      <c r="FB374" s="33" t="s">
        <v>344</v>
      </c>
      <c r="FC374" s="33" t="s">
        <v>345</v>
      </c>
      <c r="FD374" s="33" t="s">
        <v>346</v>
      </c>
      <c r="FE374" s="33">
        <v>2025</v>
      </c>
      <c r="FF374" s="33" t="s">
        <v>59</v>
      </c>
      <c r="FG374" s="33" t="s">
        <v>477</v>
      </c>
      <c r="FH374" s="33" t="s">
        <v>478</v>
      </c>
      <c r="FI374" s="33" t="s">
        <v>479</v>
      </c>
      <c r="FJ374" t="s">
        <v>59</v>
      </c>
      <c r="FM374" s="32" t="s">
        <v>961</v>
      </c>
      <c r="FN374" t="s">
        <v>962</v>
      </c>
      <c r="FO374" t="s">
        <v>963</v>
      </c>
      <c r="FP374" t="str">
        <f t="shared" si="118"/>
        <v>B</v>
      </c>
      <c r="GU374" s="53">
        <v>144</v>
      </c>
      <c r="GV374" s="53">
        <v>368</v>
      </c>
    </row>
    <row r="375" spans="1:204" ht="15.5" x14ac:dyDescent="0.35">
      <c r="A375" s="95">
        <f t="shared" si="119"/>
        <v>1</v>
      </c>
      <c r="B375" s="11"/>
      <c r="C375" s="11"/>
      <c r="D375" s="92" t="str">
        <f>IFERROR(
IF(AND(OR(Planilla!B375="C",Planilla!B375="c"), VLOOKUP(E375,EX:FJ,13,0)="C"), "OK",IF(AND(OR(Planilla!B375="C",Planilla!B375="c"), OR(VLOOKUP(E375,EX:FJ,13,0)="B", VLOOKUP(E375,EX:FJ,13,0)="A")), "DEFICIT",IF(
AND(OR(Planilla!B375="B", Planilla!B375="BPAL"), VLOOKUP(E375,EX:FJ,13,0)="B"), "OK",IF(AND(OR(Planilla!B375="B", Planilla!B375="BPAL"), VLOOKUP(E375,EX:FJ,13,0)="A"), "DEFICIT",IF(AND(OR(Planilla!B375="B", Planilla!B375="BPAL"), VLOOKUP(E375,EX:FJ,13,0)="C"), "SOBREOFERTA",IF(AND(Planilla!B375="A", VLOOKUP(E375,EX:FJ,13,0)="A"), "OK",IF(
AND(Planilla!B375="A", OR(VLOOKUP(E375,EX:FJ,13,0)="B", VLOOKUP(E375,EX:FJ,13,0)="C")), "SOBREOFERTA",""
))))))),"")</f>
        <v/>
      </c>
      <c r="E375" s="12"/>
      <c r="F375" s="13"/>
      <c r="G375" s="14"/>
      <c r="H375" s="81" t="str">
        <f t="shared" si="120"/>
        <v/>
      </c>
      <c r="I375" s="7"/>
      <c r="J375" s="6" t="e">
        <f t="shared" si="121"/>
        <v>#N/A</v>
      </c>
      <c r="K375" s="6" t="str">
        <f>IF(A376&lt;&gt;A375,AVERAGEIF(A$9:A375,A375,J$9:J375),"")</f>
        <v/>
      </c>
      <c r="L375" s="7" t="str">
        <f>IFERROR(IF(A376&lt;&gt;A375,AVERAGEIF(A$9:A375,A375,S$9:S375),""),"")</f>
        <v/>
      </c>
      <c r="M375" s="7" t="str">
        <f>IFERROR(IF(A376&lt;&gt;A375,AVERAGEIF(A$9:A375,A375,T$9:T375),""),"")</f>
        <v/>
      </c>
      <c r="N375" s="7" t="str" cm="1">
        <f t="array" ref="N375">IFERROR(IF(A376&lt;&gt;A375,_xlfn.STDEV.P(IF(A$9:A375=A375,T$9:T375)),""),"")</f>
        <v/>
      </c>
      <c r="O375" s="7" t="str" cm="1">
        <f t="array" ref="O375">IFERROR(IF(A376&lt;&gt;A375,_xlfn.STDEV.P(IF(A$9:A375=A375,S$9:S375)),""),"")</f>
        <v/>
      </c>
      <c r="P375" s="8" t="str">
        <f t="shared" si="122"/>
        <v/>
      </c>
      <c r="Q375" s="8" t="str">
        <f t="shared" si="123"/>
        <v/>
      </c>
      <c r="R375" s="8" t="str">
        <f t="shared" si="124"/>
        <v/>
      </c>
      <c r="S375" s="9" t="str">
        <f t="shared" si="125"/>
        <v/>
      </c>
      <c r="T375" s="9" t="str">
        <f t="shared" si="126"/>
        <v/>
      </c>
      <c r="U375" s="14"/>
      <c r="V375" s="15"/>
      <c r="W375" s="14" t="str">
        <f t="shared" si="127"/>
        <v/>
      </c>
      <c r="X375" s="15"/>
      <c r="Y375" s="2"/>
      <c r="AB375" s="22">
        <f t="shared" si="128"/>
        <v>1</v>
      </c>
      <c r="AC375" s="11"/>
      <c r="AD375" s="11"/>
      <c r="AE375" s="13"/>
      <c r="AF375" s="12"/>
      <c r="AG375" s="13"/>
      <c r="AH375" s="14"/>
      <c r="AI375" s="81" t="str">
        <f t="shared" si="129"/>
        <v/>
      </c>
      <c r="AJ375" s="15"/>
      <c r="AK375" s="6" t="e">
        <f t="shared" si="130"/>
        <v>#N/A</v>
      </c>
      <c r="AL375" s="6" t="str">
        <f>IF(AB376&lt;&gt;AB375,AVERAGEIF(AB$9:AB375,AB375,AK$9:AK375),"")</f>
        <v/>
      </c>
      <c r="AM375" s="7" t="str">
        <f>IFERROR(IF(AB376&lt;&gt;AB375,AVERAGEIF(AB$9:AB375,AB375,AT$9:AT375),""),"")</f>
        <v/>
      </c>
      <c r="AN375" s="7" t="str">
        <f>IFERROR(IF(AB376&lt;&gt;AB375,AVERAGEIF(AB$9:AB375,AB375,AU$9:AU375),""),"")</f>
        <v/>
      </c>
      <c r="AO375" s="7" t="str" cm="1">
        <f t="array" ref="AO375">IFERROR(IF(AB376&lt;&gt;AB375,_xlfn.STDEV.P(IF(AB$9:AB375=AB375,AU$9:AU375)),""),"")</f>
        <v/>
      </c>
      <c r="AP375" s="7" t="str" cm="1">
        <f t="array" ref="AP375">IFERROR(IF(AB376&lt;&gt;AB375,_xlfn.STDEV.P(IF(AB$9:AB375=AB375,AT$9:AT375)),""),"")</f>
        <v/>
      </c>
      <c r="AQ375" s="8" t="str">
        <f t="shared" si="131"/>
        <v/>
      </c>
      <c r="AR375" s="8" t="str">
        <f t="shared" si="132"/>
        <v/>
      </c>
      <c r="AS375" s="8" t="str">
        <f t="shared" si="133"/>
        <v/>
      </c>
      <c r="AT375" s="9" t="str">
        <f t="shared" si="134"/>
        <v/>
      </c>
      <c r="AU375" s="9" t="str">
        <f t="shared" si="135"/>
        <v/>
      </c>
      <c r="AV375" s="14"/>
      <c r="AW375" s="15"/>
      <c r="AX375" s="14" t="str">
        <f t="shared" si="136"/>
        <v/>
      </c>
      <c r="AY375" s="15"/>
      <c r="AZ375" s="23"/>
      <c r="EW375" t="s">
        <v>46</v>
      </c>
      <c r="EX375" s="33">
        <v>1374</v>
      </c>
      <c r="EY375" s="33" t="s">
        <v>976</v>
      </c>
      <c r="EZ375" s="33" t="s">
        <v>977</v>
      </c>
      <c r="FA375" s="33" t="s">
        <v>343</v>
      </c>
      <c r="FB375" s="33" t="s">
        <v>344</v>
      </c>
      <c r="FC375" s="33" t="s">
        <v>345</v>
      </c>
      <c r="FD375" s="33" t="s">
        <v>346</v>
      </c>
      <c r="FE375" s="33">
        <v>2025</v>
      </c>
      <c r="FF375" s="33" t="s">
        <v>59</v>
      </c>
      <c r="FG375" s="33" t="s">
        <v>477</v>
      </c>
      <c r="FH375" s="33" t="s">
        <v>478</v>
      </c>
      <c r="FI375" s="33" t="s">
        <v>479</v>
      </c>
      <c r="FJ375" t="s">
        <v>59</v>
      </c>
      <c r="FM375" s="32" t="s">
        <v>961</v>
      </c>
      <c r="FN375" t="s">
        <v>962</v>
      </c>
      <c r="FO375" t="s">
        <v>963</v>
      </c>
      <c r="FP375" t="str">
        <f t="shared" si="118"/>
        <v>B</v>
      </c>
      <c r="GU375" s="53">
        <v>145</v>
      </c>
      <c r="GV375" s="53">
        <v>369</v>
      </c>
    </row>
    <row r="376" spans="1:204" ht="15.5" x14ac:dyDescent="0.35">
      <c r="A376" s="95">
        <f t="shared" si="119"/>
        <v>1</v>
      </c>
      <c r="B376" s="11"/>
      <c r="C376" s="11"/>
      <c r="D376" s="92" t="str">
        <f>IFERROR(
IF(AND(OR(Planilla!B376="C",Planilla!B376="c"), VLOOKUP(E376,EX:FJ,13,0)="C"), "OK",IF(AND(OR(Planilla!B376="C",Planilla!B376="c"), OR(VLOOKUP(E376,EX:FJ,13,0)="B", VLOOKUP(E376,EX:FJ,13,0)="A")), "DEFICIT",IF(
AND(OR(Planilla!B376="B", Planilla!B376="BPAL"), VLOOKUP(E376,EX:FJ,13,0)="B"), "OK",IF(AND(OR(Planilla!B376="B", Planilla!B376="BPAL"), VLOOKUP(E376,EX:FJ,13,0)="A"), "DEFICIT",IF(AND(OR(Planilla!B376="B", Planilla!B376="BPAL"), VLOOKUP(E376,EX:FJ,13,0)="C"), "SOBREOFERTA",IF(AND(Planilla!B376="A", VLOOKUP(E376,EX:FJ,13,0)="A"), "OK",IF(
AND(Planilla!B376="A", OR(VLOOKUP(E376,EX:FJ,13,0)="B", VLOOKUP(E376,EX:FJ,13,0)="C")), "SOBREOFERTA",""
))))))),"")</f>
        <v/>
      </c>
      <c r="E376" s="12"/>
      <c r="F376" s="13"/>
      <c r="G376" s="14"/>
      <c r="H376" s="81" t="str">
        <f t="shared" si="120"/>
        <v/>
      </c>
      <c r="I376" s="7"/>
      <c r="J376" s="6" t="e">
        <f t="shared" si="121"/>
        <v>#N/A</v>
      </c>
      <c r="K376" s="6" t="str">
        <f>IF(A377&lt;&gt;A376,AVERAGEIF(A$9:A376,A376,J$9:J376),"")</f>
        <v/>
      </c>
      <c r="L376" s="7" t="str">
        <f>IFERROR(IF(A377&lt;&gt;A376,AVERAGEIF(A$9:A376,A376,S$9:S376),""),"")</f>
        <v/>
      </c>
      <c r="M376" s="7" t="str">
        <f>IFERROR(IF(A377&lt;&gt;A376,AVERAGEIF(A$9:A376,A376,T$9:T376),""),"")</f>
        <v/>
      </c>
      <c r="N376" s="7" t="str" cm="1">
        <f t="array" ref="N376">IFERROR(IF(A377&lt;&gt;A376,_xlfn.STDEV.P(IF(A$9:A376=A376,T$9:T376)),""),"")</f>
        <v/>
      </c>
      <c r="O376" s="7" t="str" cm="1">
        <f t="array" ref="O376">IFERROR(IF(A377&lt;&gt;A376,_xlfn.STDEV.P(IF(A$9:A376=A376,S$9:S376)),""),"")</f>
        <v/>
      </c>
      <c r="P376" s="8" t="str">
        <f t="shared" si="122"/>
        <v/>
      </c>
      <c r="Q376" s="8" t="str">
        <f t="shared" si="123"/>
        <v/>
      </c>
      <c r="R376" s="8" t="str">
        <f t="shared" si="124"/>
        <v/>
      </c>
      <c r="S376" s="9" t="str">
        <f t="shared" si="125"/>
        <v/>
      </c>
      <c r="T376" s="9" t="str">
        <f t="shared" si="126"/>
        <v/>
      </c>
      <c r="U376" s="14"/>
      <c r="V376" s="15"/>
      <c r="W376" s="14" t="str">
        <f t="shared" si="127"/>
        <v/>
      </c>
      <c r="X376" s="15"/>
      <c r="Y376" s="2"/>
      <c r="AB376" s="22">
        <f t="shared" si="128"/>
        <v>1</v>
      </c>
      <c r="AC376" s="11"/>
      <c r="AD376" s="11"/>
      <c r="AE376" s="13"/>
      <c r="AF376" s="12"/>
      <c r="AG376" s="13"/>
      <c r="AH376" s="14"/>
      <c r="AI376" s="81" t="str">
        <f t="shared" si="129"/>
        <v/>
      </c>
      <c r="AJ376" s="15"/>
      <c r="AK376" s="6" t="e">
        <f t="shared" si="130"/>
        <v>#N/A</v>
      </c>
      <c r="AL376" s="6" t="str">
        <f>IF(AB377&lt;&gt;AB376,AVERAGEIF(AB$9:AB376,AB376,AK$9:AK376),"")</f>
        <v/>
      </c>
      <c r="AM376" s="7" t="str">
        <f>IFERROR(IF(AB377&lt;&gt;AB376,AVERAGEIF(AB$9:AB376,AB376,AT$9:AT376),""),"")</f>
        <v/>
      </c>
      <c r="AN376" s="7" t="str">
        <f>IFERROR(IF(AB377&lt;&gt;AB376,AVERAGEIF(AB$9:AB376,AB376,AU$9:AU376),""),"")</f>
        <v/>
      </c>
      <c r="AO376" s="7" t="str" cm="1">
        <f t="array" ref="AO376">IFERROR(IF(AB377&lt;&gt;AB376,_xlfn.STDEV.P(IF(AB$9:AB376=AB376,AU$9:AU376)),""),"")</f>
        <v/>
      </c>
      <c r="AP376" s="7" t="str" cm="1">
        <f t="array" ref="AP376">IFERROR(IF(AB377&lt;&gt;AB376,_xlfn.STDEV.P(IF(AB$9:AB376=AB376,AT$9:AT376)),""),"")</f>
        <v/>
      </c>
      <c r="AQ376" s="8" t="str">
        <f t="shared" si="131"/>
        <v/>
      </c>
      <c r="AR376" s="8" t="str">
        <f t="shared" si="132"/>
        <v/>
      </c>
      <c r="AS376" s="8" t="str">
        <f t="shared" si="133"/>
        <v/>
      </c>
      <c r="AT376" s="9" t="str">
        <f t="shared" si="134"/>
        <v/>
      </c>
      <c r="AU376" s="9" t="str">
        <f t="shared" si="135"/>
        <v/>
      </c>
      <c r="AV376" s="14"/>
      <c r="AW376" s="15"/>
      <c r="AX376" s="14" t="str">
        <f t="shared" si="136"/>
        <v/>
      </c>
      <c r="AY376" s="15"/>
      <c r="AZ376" s="23"/>
      <c r="EW376" t="s">
        <v>46</v>
      </c>
      <c r="EX376" s="33">
        <v>1375</v>
      </c>
      <c r="EY376" s="33" t="s">
        <v>978</v>
      </c>
      <c r="EZ376" s="33" t="s">
        <v>979</v>
      </c>
      <c r="FA376" s="33" t="s">
        <v>343</v>
      </c>
      <c r="FB376" s="33" t="s">
        <v>344</v>
      </c>
      <c r="FC376" s="33" t="s">
        <v>345</v>
      </c>
      <c r="FD376" s="33" t="s">
        <v>346</v>
      </c>
      <c r="FE376" s="33">
        <v>2025</v>
      </c>
      <c r="FF376" s="33" t="s">
        <v>59</v>
      </c>
      <c r="FG376" s="33" t="s">
        <v>470</v>
      </c>
      <c r="FH376" s="33" t="s">
        <v>471</v>
      </c>
      <c r="FI376" s="33" t="s">
        <v>467</v>
      </c>
      <c r="FJ376" t="s">
        <v>59</v>
      </c>
      <c r="FM376" s="32" t="s">
        <v>961</v>
      </c>
      <c r="FN376" t="s">
        <v>962</v>
      </c>
      <c r="FO376" t="s">
        <v>963</v>
      </c>
      <c r="FP376" t="str">
        <f t="shared" si="118"/>
        <v>B</v>
      </c>
      <c r="GU376" s="53">
        <v>146</v>
      </c>
      <c r="GV376" s="53">
        <v>370</v>
      </c>
    </row>
    <row r="377" spans="1:204" ht="15.5" x14ac:dyDescent="0.35">
      <c r="A377" s="95">
        <f t="shared" si="119"/>
        <v>1</v>
      </c>
      <c r="B377" s="11"/>
      <c r="C377" s="11"/>
      <c r="D377" s="92" t="str">
        <f>IFERROR(
IF(AND(OR(Planilla!B377="C",Planilla!B377="c"), VLOOKUP(E377,EX:FJ,13,0)="C"), "OK",IF(AND(OR(Planilla!B377="C",Planilla!B377="c"), OR(VLOOKUP(E377,EX:FJ,13,0)="B", VLOOKUP(E377,EX:FJ,13,0)="A")), "DEFICIT",IF(
AND(OR(Planilla!B377="B", Planilla!B377="BPAL"), VLOOKUP(E377,EX:FJ,13,0)="B"), "OK",IF(AND(OR(Planilla!B377="B", Planilla!B377="BPAL"), VLOOKUP(E377,EX:FJ,13,0)="A"), "DEFICIT",IF(AND(OR(Planilla!B377="B", Planilla!B377="BPAL"), VLOOKUP(E377,EX:FJ,13,0)="C"), "SOBREOFERTA",IF(AND(Planilla!B377="A", VLOOKUP(E377,EX:FJ,13,0)="A"), "OK",IF(
AND(Planilla!B377="A", OR(VLOOKUP(E377,EX:FJ,13,0)="B", VLOOKUP(E377,EX:FJ,13,0)="C")), "SOBREOFERTA",""
))))))),"")</f>
        <v/>
      </c>
      <c r="E377" s="12"/>
      <c r="F377" s="13"/>
      <c r="G377" s="14"/>
      <c r="H377" s="81" t="str">
        <f t="shared" si="120"/>
        <v/>
      </c>
      <c r="I377" s="7"/>
      <c r="J377" s="6" t="e">
        <f t="shared" si="121"/>
        <v>#N/A</v>
      </c>
      <c r="K377" s="6" t="str">
        <f>IF(A378&lt;&gt;A377,AVERAGEIF(A$9:A377,A377,J$9:J377),"")</f>
        <v/>
      </c>
      <c r="L377" s="7" t="str">
        <f>IFERROR(IF(A378&lt;&gt;A377,AVERAGEIF(A$9:A377,A377,S$9:S377),""),"")</f>
        <v/>
      </c>
      <c r="M377" s="7" t="str">
        <f>IFERROR(IF(A378&lt;&gt;A377,AVERAGEIF(A$9:A377,A377,T$9:T377),""),"")</f>
        <v/>
      </c>
      <c r="N377" s="7" t="str" cm="1">
        <f t="array" ref="N377">IFERROR(IF(A378&lt;&gt;A377,_xlfn.STDEV.P(IF(A$9:A377=A377,T$9:T377)),""),"")</f>
        <v/>
      </c>
      <c r="O377" s="7" t="str" cm="1">
        <f t="array" ref="O377">IFERROR(IF(A378&lt;&gt;A377,_xlfn.STDEV.P(IF(A$9:A377=A377,S$9:S377)),""),"")</f>
        <v/>
      </c>
      <c r="P377" s="8" t="str">
        <f t="shared" si="122"/>
        <v/>
      </c>
      <c r="Q377" s="8" t="str">
        <f t="shared" si="123"/>
        <v/>
      </c>
      <c r="R377" s="8" t="str">
        <f t="shared" si="124"/>
        <v/>
      </c>
      <c r="S377" s="9" t="str">
        <f t="shared" si="125"/>
        <v/>
      </c>
      <c r="T377" s="9" t="str">
        <f t="shared" si="126"/>
        <v/>
      </c>
      <c r="U377" s="14"/>
      <c r="V377" s="15"/>
      <c r="W377" s="14" t="str">
        <f t="shared" si="127"/>
        <v/>
      </c>
      <c r="X377" s="15"/>
      <c r="Y377" s="2"/>
      <c r="AB377" s="22">
        <f t="shared" si="128"/>
        <v>1</v>
      </c>
      <c r="AC377" s="11"/>
      <c r="AD377" s="11"/>
      <c r="AE377" s="13"/>
      <c r="AF377" s="12"/>
      <c r="AG377" s="13"/>
      <c r="AH377" s="14"/>
      <c r="AI377" s="81" t="str">
        <f t="shared" si="129"/>
        <v/>
      </c>
      <c r="AJ377" s="15"/>
      <c r="AK377" s="6" t="e">
        <f t="shared" si="130"/>
        <v>#N/A</v>
      </c>
      <c r="AL377" s="6" t="str">
        <f>IF(AB378&lt;&gt;AB377,AVERAGEIF(AB$9:AB377,AB377,AK$9:AK377),"")</f>
        <v/>
      </c>
      <c r="AM377" s="7" t="str">
        <f>IFERROR(IF(AB378&lt;&gt;AB377,AVERAGEIF(AB$9:AB377,AB377,AT$9:AT377),""),"")</f>
        <v/>
      </c>
      <c r="AN377" s="7" t="str">
        <f>IFERROR(IF(AB378&lt;&gt;AB377,AVERAGEIF(AB$9:AB377,AB377,AU$9:AU377),""),"")</f>
        <v/>
      </c>
      <c r="AO377" s="7" t="str" cm="1">
        <f t="array" ref="AO377">IFERROR(IF(AB378&lt;&gt;AB377,_xlfn.STDEV.P(IF(AB$9:AB377=AB377,AU$9:AU377)),""),"")</f>
        <v/>
      </c>
      <c r="AP377" s="7" t="str" cm="1">
        <f t="array" ref="AP377">IFERROR(IF(AB378&lt;&gt;AB377,_xlfn.STDEV.P(IF(AB$9:AB377=AB377,AT$9:AT377)),""),"")</f>
        <v/>
      </c>
      <c r="AQ377" s="8" t="str">
        <f t="shared" si="131"/>
        <v/>
      </c>
      <c r="AR377" s="8" t="str">
        <f t="shared" si="132"/>
        <v/>
      </c>
      <c r="AS377" s="8" t="str">
        <f t="shared" si="133"/>
        <v/>
      </c>
      <c r="AT377" s="9" t="str">
        <f t="shared" si="134"/>
        <v/>
      </c>
      <c r="AU377" s="9" t="str">
        <f t="shared" si="135"/>
        <v/>
      </c>
      <c r="AV377" s="14"/>
      <c r="AW377" s="15"/>
      <c r="AX377" s="14" t="str">
        <f t="shared" si="136"/>
        <v/>
      </c>
      <c r="AY377" s="15"/>
      <c r="AZ377" s="23"/>
      <c r="EW377" t="s">
        <v>46</v>
      </c>
      <c r="EX377" s="33">
        <v>1376</v>
      </c>
      <c r="EY377" s="33" t="s">
        <v>980</v>
      </c>
      <c r="EZ377" s="33" t="s">
        <v>981</v>
      </c>
      <c r="FA377" s="33" t="s">
        <v>343</v>
      </c>
      <c r="FB377" s="33" t="s">
        <v>344</v>
      </c>
      <c r="FC377" s="33" t="s">
        <v>345</v>
      </c>
      <c r="FD377" s="33" t="s">
        <v>346</v>
      </c>
      <c r="FE377" s="33">
        <v>2025</v>
      </c>
      <c r="FF377" s="33" t="s">
        <v>59</v>
      </c>
      <c r="FG377" s="33" t="s">
        <v>477</v>
      </c>
      <c r="FH377" s="33" t="s">
        <v>478</v>
      </c>
      <c r="FI377" s="33" t="s">
        <v>479</v>
      </c>
      <c r="FJ377" t="s">
        <v>59</v>
      </c>
      <c r="FM377" s="32" t="s">
        <v>982</v>
      </c>
      <c r="FN377" t="s">
        <v>983</v>
      </c>
      <c r="FO377" t="s">
        <v>984</v>
      </c>
      <c r="FP377" t="str">
        <f t="shared" si="118"/>
        <v>B</v>
      </c>
      <c r="GU377" s="53">
        <v>147</v>
      </c>
      <c r="GV377" s="53">
        <v>371</v>
      </c>
    </row>
    <row r="378" spans="1:204" ht="15.5" x14ac:dyDescent="0.35">
      <c r="A378" s="95">
        <f t="shared" si="119"/>
        <v>1</v>
      </c>
      <c r="B378" s="11"/>
      <c r="C378" s="11"/>
      <c r="D378" s="92" t="str">
        <f>IFERROR(
IF(AND(OR(Planilla!B378="C",Planilla!B378="c"), VLOOKUP(E378,EX:FJ,13,0)="C"), "OK",IF(AND(OR(Planilla!B378="C",Planilla!B378="c"), OR(VLOOKUP(E378,EX:FJ,13,0)="B", VLOOKUP(E378,EX:FJ,13,0)="A")), "DEFICIT",IF(
AND(OR(Planilla!B378="B", Planilla!B378="BPAL"), VLOOKUP(E378,EX:FJ,13,0)="B"), "OK",IF(AND(OR(Planilla!B378="B", Planilla!B378="BPAL"), VLOOKUP(E378,EX:FJ,13,0)="A"), "DEFICIT",IF(AND(OR(Planilla!B378="B", Planilla!B378="BPAL"), VLOOKUP(E378,EX:FJ,13,0)="C"), "SOBREOFERTA",IF(AND(Planilla!B378="A", VLOOKUP(E378,EX:FJ,13,0)="A"), "OK",IF(
AND(Planilla!B378="A", OR(VLOOKUP(E378,EX:FJ,13,0)="B", VLOOKUP(E378,EX:FJ,13,0)="C")), "SOBREOFERTA",""
))))))),"")</f>
        <v/>
      </c>
      <c r="E378" s="12"/>
      <c r="F378" s="13"/>
      <c r="G378" s="14"/>
      <c r="H378" s="81" t="str">
        <f t="shared" si="120"/>
        <v/>
      </c>
      <c r="I378" s="7"/>
      <c r="J378" s="6" t="e">
        <f t="shared" si="121"/>
        <v>#N/A</v>
      </c>
      <c r="K378" s="6" t="str">
        <f>IF(A379&lt;&gt;A378,AVERAGEIF(A$9:A378,A378,J$9:J378),"")</f>
        <v/>
      </c>
      <c r="L378" s="7" t="str">
        <f>IFERROR(IF(A379&lt;&gt;A378,AVERAGEIF(A$9:A378,A378,S$9:S378),""),"")</f>
        <v/>
      </c>
      <c r="M378" s="7" t="str">
        <f>IFERROR(IF(A379&lt;&gt;A378,AVERAGEIF(A$9:A378,A378,T$9:T378),""),"")</f>
        <v/>
      </c>
      <c r="N378" s="7" t="str" cm="1">
        <f t="array" ref="N378">IFERROR(IF(A379&lt;&gt;A378,_xlfn.STDEV.P(IF(A$9:A378=A378,T$9:T378)),""),"")</f>
        <v/>
      </c>
      <c r="O378" s="7" t="str" cm="1">
        <f t="array" ref="O378">IFERROR(IF(A379&lt;&gt;A378,_xlfn.STDEV.P(IF(A$9:A378=A378,S$9:S378)),""),"")</f>
        <v/>
      </c>
      <c r="P378" s="8" t="str">
        <f t="shared" si="122"/>
        <v/>
      </c>
      <c r="Q378" s="8" t="str">
        <f t="shared" si="123"/>
        <v/>
      </c>
      <c r="R378" s="8" t="str">
        <f t="shared" si="124"/>
        <v/>
      </c>
      <c r="S378" s="9" t="str">
        <f t="shared" si="125"/>
        <v/>
      </c>
      <c r="T378" s="9" t="str">
        <f t="shared" si="126"/>
        <v/>
      </c>
      <c r="U378" s="14"/>
      <c r="V378" s="15"/>
      <c r="W378" s="14" t="str">
        <f t="shared" si="127"/>
        <v/>
      </c>
      <c r="X378" s="15"/>
      <c r="Y378" s="2"/>
      <c r="AB378" s="22">
        <f t="shared" si="128"/>
        <v>1</v>
      </c>
      <c r="AC378" s="11"/>
      <c r="AD378" s="11"/>
      <c r="AE378" s="13"/>
      <c r="AF378" s="12"/>
      <c r="AG378" s="13"/>
      <c r="AH378" s="14"/>
      <c r="AI378" s="81" t="str">
        <f t="shared" si="129"/>
        <v/>
      </c>
      <c r="AJ378" s="15"/>
      <c r="AK378" s="6" t="e">
        <f t="shared" si="130"/>
        <v>#N/A</v>
      </c>
      <c r="AL378" s="6" t="str">
        <f>IF(AB379&lt;&gt;AB378,AVERAGEIF(AB$9:AB378,AB378,AK$9:AK378),"")</f>
        <v/>
      </c>
      <c r="AM378" s="7" t="str">
        <f>IFERROR(IF(AB379&lt;&gt;AB378,AVERAGEIF(AB$9:AB378,AB378,AT$9:AT378),""),"")</f>
        <v/>
      </c>
      <c r="AN378" s="7" t="str">
        <f>IFERROR(IF(AB379&lt;&gt;AB378,AVERAGEIF(AB$9:AB378,AB378,AU$9:AU378),""),"")</f>
        <v/>
      </c>
      <c r="AO378" s="7" t="str" cm="1">
        <f t="array" ref="AO378">IFERROR(IF(AB379&lt;&gt;AB378,_xlfn.STDEV.P(IF(AB$9:AB378=AB378,AU$9:AU378)),""),"")</f>
        <v/>
      </c>
      <c r="AP378" s="7" t="str" cm="1">
        <f t="array" ref="AP378">IFERROR(IF(AB379&lt;&gt;AB378,_xlfn.STDEV.P(IF(AB$9:AB378=AB378,AT$9:AT378)),""),"")</f>
        <v/>
      </c>
      <c r="AQ378" s="8" t="str">
        <f t="shared" si="131"/>
        <v/>
      </c>
      <c r="AR378" s="8" t="str">
        <f t="shared" si="132"/>
        <v/>
      </c>
      <c r="AS378" s="8" t="str">
        <f t="shared" si="133"/>
        <v/>
      </c>
      <c r="AT378" s="9" t="str">
        <f t="shared" si="134"/>
        <v/>
      </c>
      <c r="AU378" s="9" t="str">
        <f t="shared" si="135"/>
        <v/>
      </c>
      <c r="AV378" s="14"/>
      <c r="AW378" s="15"/>
      <c r="AX378" s="14" t="str">
        <f t="shared" si="136"/>
        <v/>
      </c>
      <c r="AY378" s="15"/>
      <c r="AZ378" s="23"/>
      <c r="EW378" t="s">
        <v>46</v>
      </c>
      <c r="EX378" s="33">
        <v>1377</v>
      </c>
      <c r="EY378" s="33" t="s">
        <v>985</v>
      </c>
      <c r="EZ378" s="33" t="s">
        <v>986</v>
      </c>
      <c r="FA378" s="33" t="s">
        <v>343</v>
      </c>
      <c r="FB378" s="33" t="s">
        <v>344</v>
      </c>
      <c r="FC378" s="33" t="s">
        <v>345</v>
      </c>
      <c r="FD378" s="33" t="s">
        <v>346</v>
      </c>
      <c r="FE378" s="33">
        <v>2025</v>
      </c>
      <c r="FF378" s="33" t="s">
        <v>59</v>
      </c>
      <c r="FG378" s="33" t="s">
        <v>477</v>
      </c>
      <c r="FH378" s="33" t="s">
        <v>478</v>
      </c>
      <c r="FI378" s="33" t="s">
        <v>479</v>
      </c>
      <c r="FJ378" t="s">
        <v>59</v>
      </c>
      <c r="FM378" s="32" t="s">
        <v>982</v>
      </c>
      <c r="FN378" t="s">
        <v>983</v>
      </c>
      <c r="FO378" t="s">
        <v>984</v>
      </c>
      <c r="FP378" t="str">
        <f t="shared" si="118"/>
        <v>B</v>
      </c>
      <c r="GU378" s="53">
        <v>148</v>
      </c>
      <c r="GV378" s="53">
        <v>372</v>
      </c>
    </row>
    <row r="379" spans="1:204" ht="15.5" x14ac:dyDescent="0.35">
      <c r="A379" s="95">
        <f t="shared" si="119"/>
        <v>1</v>
      </c>
      <c r="B379" s="11"/>
      <c r="C379" s="11"/>
      <c r="D379" s="92" t="str">
        <f>IFERROR(
IF(AND(OR(Planilla!B379="C",Planilla!B379="c"), VLOOKUP(E379,EX:FJ,13,0)="C"), "OK",IF(AND(OR(Planilla!B379="C",Planilla!B379="c"), OR(VLOOKUP(E379,EX:FJ,13,0)="B", VLOOKUP(E379,EX:FJ,13,0)="A")), "DEFICIT",IF(
AND(OR(Planilla!B379="B", Planilla!B379="BPAL"), VLOOKUP(E379,EX:FJ,13,0)="B"), "OK",IF(AND(OR(Planilla!B379="B", Planilla!B379="BPAL"), VLOOKUP(E379,EX:FJ,13,0)="A"), "DEFICIT",IF(AND(OR(Planilla!B379="B", Planilla!B379="BPAL"), VLOOKUP(E379,EX:FJ,13,0)="C"), "SOBREOFERTA",IF(AND(Planilla!B379="A", VLOOKUP(E379,EX:FJ,13,0)="A"), "OK",IF(
AND(Planilla!B379="A", OR(VLOOKUP(E379,EX:FJ,13,0)="B", VLOOKUP(E379,EX:FJ,13,0)="C")), "SOBREOFERTA",""
))))))),"")</f>
        <v/>
      </c>
      <c r="E379" s="12"/>
      <c r="F379" s="13"/>
      <c r="G379" s="14"/>
      <c r="H379" s="81" t="str">
        <f t="shared" si="120"/>
        <v/>
      </c>
      <c r="I379" s="7"/>
      <c r="J379" s="6" t="e">
        <f t="shared" si="121"/>
        <v>#N/A</v>
      </c>
      <c r="K379" s="6" t="str">
        <f>IF(A380&lt;&gt;A379,AVERAGEIF(A$9:A379,A379,J$9:J379),"")</f>
        <v/>
      </c>
      <c r="L379" s="7" t="str">
        <f>IFERROR(IF(A380&lt;&gt;A379,AVERAGEIF(A$9:A379,A379,S$9:S379),""),"")</f>
        <v/>
      </c>
      <c r="M379" s="7" t="str">
        <f>IFERROR(IF(A380&lt;&gt;A379,AVERAGEIF(A$9:A379,A379,T$9:T379),""),"")</f>
        <v/>
      </c>
      <c r="N379" s="7" t="str" cm="1">
        <f t="array" ref="N379">IFERROR(IF(A380&lt;&gt;A379,_xlfn.STDEV.P(IF(A$9:A379=A379,T$9:T379)),""),"")</f>
        <v/>
      </c>
      <c r="O379" s="7" t="str" cm="1">
        <f t="array" ref="O379">IFERROR(IF(A380&lt;&gt;A379,_xlfn.STDEV.P(IF(A$9:A379=A379,S$9:S379)),""),"")</f>
        <v/>
      </c>
      <c r="P379" s="8" t="str">
        <f t="shared" si="122"/>
        <v/>
      </c>
      <c r="Q379" s="8" t="str">
        <f t="shared" si="123"/>
        <v/>
      </c>
      <c r="R379" s="8" t="str">
        <f t="shared" si="124"/>
        <v/>
      </c>
      <c r="S379" s="9" t="str">
        <f t="shared" si="125"/>
        <v/>
      </c>
      <c r="T379" s="9" t="str">
        <f t="shared" si="126"/>
        <v/>
      </c>
      <c r="U379" s="14"/>
      <c r="V379" s="15"/>
      <c r="W379" s="14" t="str">
        <f t="shared" si="127"/>
        <v/>
      </c>
      <c r="X379" s="15"/>
      <c r="Y379" s="2"/>
      <c r="AB379" s="22">
        <f t="shared" si="128"/>
        <v>1</v>
      </c>
      <c r="AC379" s="11"/>
      <c r="AD379" s="11"/>
      <c r="AE379" s="13"/>
      <c r="AF379" s="12"/>
      <c r="AG379" s="13"/>
      <c r="AH379" s="14"/>
      <c r="AI379" s="81" t="str">
        <f t="shared" si="129"/>
        <v/>
      </c>
      <c r="AJ379" s="15"/>
      <c r="AK379" s="6" t="e">
        <f t="shared" si="130"/>
        <v>#N/A</v>
      </c>
      <c r="AL379" s="6" t="str">
        <f>IF(AB380&lt;&gt;AB379,AVERAGEIF(AB$9:AB379,AB379,AK$9:AK379),"")</f>
        <v/>
      </c>
      <c r="AM379" s="7" t="str">
        <f>IFERROR(IF(AB380&lt;&gt;AB379,AVERAGEIF(AB$9:AB379,AB379,AT$9:AT379),""),"")</f>
        <v/>
      </c>
      <c r="AN379" s="7" t="str">
        <f>IFERROR(IF(AB380&lt;&gt;AB379,AVERAGEIF(AB$9:AB379,AB379,AU$9:AU379),""),"")</f>
        <v/>
      </c>
      <c r="AO379" s="7" t="str" cm="1">
        <f t="array" ref="AO379">IFERROR(IF(AB380&lt;&gt;AB379,_xlfn.STDEV.P(IF(AB$9:AB379=AB379,AU$9:AU379)),""),"")</f>
        <v/>
      </c>
      <c r="AP379" s="7" t="str" cm="1">
        <f t="array" ref="AP379">IFERROR(IF(AB380&lt;&gt;AB379,_xlfn.STDEV.P(IF(AB$9:AB379=AB379,AT$9:AT379)),""),"")</f>
        <v/>
      </c>
      <c r="AQ379" s="8" t="str">
        <f t="shared" si="131"/>
        <v/>
      </c>
      <c r="AR379" s="8" t="str">
        <f t="shared" si="132"/>
        <v/>
      </c>
      <c r="AS379" s="8" t="str">
        <f t="shared" si="133"/>
        <v/>
      </c>
      <c r="AT379" s="9" t="str">
        <f t="shared" si="134"/>
        <v/>
      </c>
      <c r="AU379" s="9" t="str">
        <f t="shared" si="135"/>
        <v/>
      </c>
      <c r="AV379" s="14"/>
      <c r="AW379" s="15"/>
      <c r="AX379" s="14" t="str">
        <f t="shared" si="136"/>
        <v/>
      </c>
      <c r="AY379" s="15"/>
      <c r="AZ379" s="23"/>
      <c r="EW379" t="s">
        <v>46</v>
      </c>
      <c r="EX379" s="33">
        <v>1378</v>
      </c>
      <c r="EY379" s="33" t="s">
        <v>987</v>
      </c>
      <c r="EZ379" s="33" t="s">
        <v>988</v>
      </c>
      <c r="FA379" s="33" t="s">
        <v>343</v>
      </c>
      <c r="FB379" s="33" t="s">
        <v>344</v>
      </c>
      <c r="FC379" s="33" t="s">
        <v>345</v>
      </c>
      <c r="FD379" s="33" t="s">
        <v>346</v>
      </c>
      <c r="FE379" s="33">
        <v>2025</v>
      </c>
      <c r="FF379" s="33" t="s">
        <v>59</v>
      </c>
      <c r="FG379" s="33" t="s">
        <v>386</v>
      </c>
      <c r="FH379" s="33" t="s">
        <v>387</v>
      </c>
      <c r="FI379" s="33" t="s">
        <v>407</v>
      </c>
      <c r="FJ379" t="s">
        <v>59</v>
      </c>
      <c r="FM379" s="32" t="s">
        <v>982</v>
      </c>
      <c r="FN379" t="s">
        <v>983</v>
      </c>
      <c r="FO379" t="s">
        <v>984</v>
      </c>
      <c r="FP379" t="str">
        <f t="shared" si="118"/>
        <v>B</v>
      </c>
      <c r="GU379" s="53">
        <v>149</v>
      </c>
      <c r="GV379" s="53">
        <v>373</v>
      </c>
    </row>
    <row r="380" spans="1:204" ht="15.5" x14ac:dyDescent="0.35">
      <c r="A380" s="95">
        <f t="shared" si="119"/>
        <v>1</v>
      </c>
      <c r="B380" s="11"/>
      <c r="C380" s="11"/>
      <c r="D380" s="92" t="str">
        <f>IFERROR(
IF(AND(OR(Planilla!B380="C",Planilla!B380="c"), VLOOKUP(E380,EX:FJ,13,0)="C"), "OK",IF(AND(OR(Planilla!B380="C",Planilla!B380="c"), OR(VLOOKUP(E380,EX:FJ,13,0)="B", VLOOKUP(E380,EX:FJ,13,0)="A")), "DEFICIT",IF(
AND(OR(Planilla!B380="B", Planilla!B380="BPAL"), VLOOKUP(E380,EX:FJ,13,0)="B"), "OK",IF(AND(OR(Planilla!B380="B", Planilla!B380="BPAL"), VLOOKUP(E380,EX:FJ,13,0)="A"), "DEFICIT",IF(AND(OR(Planilla!B380="B", Planilla!B380="BPAL"), VLOOKUP(E380,EX:FJ,13,0)="C"), "SOBREOFERTA",IF(AND(Planilla!B380="A", VLOOKUP(E380,EX:FJ,13,0)="A"), "OK",IF(
AND(Planilla!B380="A", OR(VLOOKUP(E380,EX:FJ,13,0)="B", VLOOKUP(E380,EX:FJ,13,0)="C")), "SOBREOFERTA",""
))))))),"")</f>
        <v/>
      </c>
      <c r="E380" s="12"/>
      <c r="F380" s="13"/>
      <c r="G380" s="14"/>
      <c r="H380" s="81" t="str">
        <f t="shared" si="120"/>
        <v/>
      </c>
      <c r="I380" s="7"/>
      <c r="J380" s="6" t="e">
        <f t="shared" si="121"/>
        <v>#N/A</v>
      </c>
      <c r="K380" s="6" t="str">
        <f>IF(A381&lt;&gt;A380,AVERAGEIF(A$9:A380,A380,J$9:J380),"")</f>
        <v/>
      </c>
      <c r="L380" s="7" t="str">
        <f>IFERROR(IF(A381&lt;&gt;A380,AVERAGEIF(A$9:A380,A380,S$9:S380),""),"")</f>
        <v/>
      </c>
      <c r="M380" s="7" t="str">
        <f>IFERROR(IF(A381&lt;&gt;A380,AVERAGEIF(A$9:A380,A380,T$9:T380),""),"")</f>
        <v/>
      </c>
      <c r="N380" s="7" t="str" cm="1">
        <f t="array" ref="N380">IFERROR(IF(A381&lt;&gt;A380,_xlfn.STDEV.P(IF(A$9:A380=A380,T$9:T380)),""),"")</f>
        <v/>
      </c>
      <c r="O380" s="7" t="str" cm="1">
        <f t="array" ref="O380">IFERROR(IF(A381&lt;&gt;A380,_xlfn.STDEV.P(IF(A$9:A380=A380,S$9:S380)),""),"")</f>
        <v/>
      </c>
      <c r="P380" s="8" t="str">
        <f t="shared" si="122"/>
        <v/>
      </c>
      <c r="Q380" s="8" t="str">
        <f t="shared" si="123"/>
        <v/>
      </c>
      <c r="R380" s="8" t="str">
        <f t="shared" si="124"/>
        <v/>
      </c>
      <c r="S380" s="9" t="str">
        <f t="shared" si="125"/>
        <v/>
      </c>
      <c r="T380" s="9" t="str">
        <f t="shared" si="126"/>
        <v/>
      </c>
      <c r="U380" s="14"/>
      <c r="V380" s="15"/>
      <c r="W380" s="14" t="str">
        <f t="shared" si="127"/>
        <v/>
      </c>
      <c r="X380" s="15"/>
      <c r="Y380" s="2"/>
      <c r="AB380" s="22">
        <f t="shared" si="128"/>
        <v>1</v>
      </c>
      <c r="AC380" s="11"/>
      <c r="AD380" s="11"/>
      <c r="AE380" s="13"/>
      <c r="AF380" s="12"/>
      <c r="AG380" s="13"/>
      <c r="AH380" s="14"/>
      <c r="AI380" s="81" t="str">
        <f t="shared" si="129"/>
        <v/>
      </c>
      <c r="AJ380" s="15"/>
      <c r="AK380" s="6" t="e">
        <f t="shared" si="130"/>
        <v>#N/A</v>
      </c>
      <c r="AL380" s="6" t="str">
        <f>IF(AB381&lt;&gt;AB380,AVERAGEIF(AB$9:AB380,AB380,AK$9:AK380),"")</f>
        <v/>
      </c>
      <c r="AM380" s="7" t="str">
        <f>IFERROR(IF(AB381&lt;&gt;AB380,AVERAGEIF(AB$9:AB380,AB380,AT$9:AT380),""),"")</f>
        <v/>
      </c>
      <c r="AN380" s="7" t="str">
        <f>IFERROR(IF(AB381&lt;&gt;AB380,AVERAGEIF(AB$9:AB380,AB380,AU$9:AU380),""),"")</f>
        <v/>
      </c>
      <c r="AO380" s="7" t="str" cm="1">
        <f t="array" ref="AO380">IFERROR(IF(AB381&lt;&gt;AB380,_xlfn.STDEV.P(IF(AB$9:AB380=AB380,AU$9:AU380)),""),"")</f>
        <v/>
      </c>
      <c r="AP380" s="7" t="str" cm="1">
        <f t="array" ref="AP380">IFERROR(IF(AB381&lt;&gt;AB380,_xlfn.STDEV.P(IF(AB$9:AB380=AB380,AT$9:AT380)),""),"")</f>
        <v/>
      </c>
      <c r="AQ380" s="8" t="str">
        <f t="shared" si="131"/>
        <v/>
      </c>
      <c r="AR380" s="8" t="str">
        <f t="shared" si="132"/>
        <v/>
      </c>
      <c r="AS380" s="8" t="str">
        <f t="shared" si="133"/>
        <v/>
      </c>
      <c r="AT380" s="9" t="str">
        <f t="shared" si="134"/>
        <v/>
      </c>
      <c r="AU380" s="9" t="str">
        <f t="shared" si="135"/>
        <v/>
      </c>
      <c r="AV380" s="14"/>
      <c r="AW380" s="15"/>
      <c r="AX380" s="14" t="str">
        <f t="shared" si="136"/>
        <v/>
      </c>
      <c r="AY380" s="15"/>
      <c r="AZ380" s="23"/>
      <c r="EW380" t="s">
        <v>46</v>
      </c>
      <c r="EX380" s="33">
        <v>1379</v>
      </c>
      <c r="EY380" s="33" t="s">
        <v>989</v>
      </c>
      <c r="EZ380" s="33" t="s">
        <v>990</v>
      </c>
      <c r="FA380" s="33" t="s">
        <v>343</v>
      </c>
      <c r="FB380" s="33" t="s">
        <v>344</v>
      </c>
      <c r="FC380" s="33" t="s">
        <v>345</v>
      </c>
      <c r="FD380" s="33" t="s">
        <v>346</v>
      </c>
      <c r="FE380" s="33">
        <v>2025</v>
      </c>
      <c r="FF380" s="33" t="s">
        <v>59</v>
      </c>
      <c r="FG380" s="33" t="s">
        <v>477</v>
      </c>
      <c r="FH380" s="33" t="s">
        <v>478</v>
      </c>
      <c r="FI380" s="33" t="s">
        <v>479</v>
      </c>
      <c r="FJ380" t="s">
        <v>59</v>
      </c>
      <c r="FM380" s="32" t="s">
        <v>982</v>
      </c>
      <c r="FN380" t="s">
        <v>983</v>
      </c>
      <c r="FO380" t="s">
        <v>984</v>
      </c>
      <c r="FP380" t="str">
        <f t="shared" si="118"/>
        <v>B</v>
      </c>
      <c r="GU380" s="53">
        <v>150</v>
      </c>
      <c r="GV380" s="53">
        <v>374</v>
      </c>
    </row>
    <row r="381" spans="1:204" ht="15.5" x14ac:dyDescent="0.35">
      <c r="A381" s="95">
        <f t="shared" si="119"/>
        <v>1</v>
      </c>
      <c r="B381" s="11"/>
      <c r="C381" s="11"/>
      <c r="D381" s="92" t="str">
        <f>IFERROR(
IF(AND(OR(Planilla!B381="C",Planilla!B381="c"), VLOOKUP(E381,EX:FJ,13,0)="C"), "OK",IF(AND(OR(Planilla!B381="C",Planilla!B381="c"), OR(VLOOKUP(E381,EX:FJ,13,0)="B", VLOOKUP(E381,EX:FJ,13,0)="A")), "DEFICIT",IF(
AND(OR(Planilla!B381="B", Planilla!B381="BPAL"), VLOOKUP(E381,EX:FJ,13,0)="B"), "OK",IF(AND(OR(Planilla!B381="B", Planilla!B381="BPAL"), VLOOKUP(E381,EX:FJ,13,0)="A"), "DEFICIT",IF(AND(OR(Planilla!B381="B", Planilla!B381="BPAL"), VLOOKUP(E381,EX:FJ,13,0)="C"), "SOBREOFERTA",IF(AND(Planilla!B381="A", VLOOKUP(E381,EX:FJ,13,0)="A"), "OK",IF(
AND(Planilla!B381="A", OR(VLOOKUP(E381,EX:FJ,13,0)="B", VLOOKUP(E381,EX:FJ,13,0)="C")), "SOBREOFERTA",""
))))))),"")</f>
        <v/>
      </c>
      <c r="E381" s="12"/>
      <c r="F381" s="13"/>
      <c r="G381" s="14"/>
      <c r="H381" s="81" t="str">
        <f t="shared" si="120"/>
        <v/>
      </c>
      <c r="I381" s="7"/>
      <c r="J381" s="6" t="e">
        <f t="shared" si="121"/>
        <v>#N/A</v>
      </c>
      <c r="K381" s="6" t="str">
        <f>IF(A382&lt;&gt;A381,AVERAGEIF(A$9:A381,A381,J$9:J381),"")</f>
        <v/>
      </c>
      <c r="L381" s="7" t="str">
        <f>IFERROR(IF(A382&lt;&gt;A381,AVERAGEIF(A$9:A381,A381,S$9:S381),""),"")</f>
        <v/>
      </c>
      <c r="M381" s="7" t="str">
        <f>IFERROR(IF(A382&lt;&gt;A381,AVERAGEIF(A$9:A381,A381,T$9:T381),""),"")</f>
        <v/>
      </c>
      <c r="N381" s="7" t="str" cm="1">
        <f t="array" ref="N381">IFERROR(IF(A382&lt;&gt;A381,_xlfn.STDEV.P(IF(A$9:A381=A381,T$9:T381)),""),"")</f>
        <v/>
      </c>
      <c r="O381" s="7" t="str" cm="1">
        <f t="array" ref="O381">IFERROR(IF(A382&lt;&gt;A381,_xlfn.STDEV.P(IF(A$9:A381=A381,S$9:S381)),""),"")</f>
        <v/>
      </c>
      <c r="P381" s="8" t="str">
        <f t="shared" si="122"/>
        <v/>
      </c>
      <c r="Q381" s="8" t="str">
        <f t="shared" si="123"/>
        <v/>
      </c>
      <c r="R381" s="8" t="str">
        <f t="shared" si="124"/>
        <v/>
      </c>
      <c r="S381" s="9" t="str">
        <f t="shared" si="125"/>
        <v/>
      </c>
      <c r="T381" s="9" t="str">
        <f t="shared" si="126"/>
        <v/>
      </c>
      <c r="U381" s="14"/>
      <c r="V381" s="15"/>
      <c r="W381" s="14" t="str">
        <f t="shared" si="127"/>
        <v/>
      </c>
      <c r="X381" s="15"/>
      <c r="Y381" s="2"/>
      <c r="AB381" s="22">
        <f t="shared" si="128"/>
        <v>1</v>
      </c>
      <c r="AC381" s="11"/>
      <c r="AD381" s="11"/>
      <c r="AE381" s="13"/>
      <c r="AF381" s="12"/>
      <c r="AG381" s="13"/>
      <c r="AH381" s="14"/>
      <c r="AI381" s="81" t="str">
        <f t="shared" si="129"/>
        <v/>
      </c>
      <c r="AJ381" s="15"/>
      <c r="AK381" s="6" t="e">
        <f t="shared" si="130"/>
        <v>#N/A</v>
      </c>
      <c r="AL381" s="6" t="str">
        <f>IF(AB382&lt;&gt;AB381,AVERAGEIF(AB$9:AB381,AB381,AK$9:AK381),"")</f>
        <v/>
      </c>
      <c r="AM381" s="7" t="str">
        <f>IFERROR(IF(AB382&lt;&gt;AB381,AVERAGEIF(AB$9:AB381,AB381,AT$9:AT381),""),"")</f>
        <v/>
      </c>
      <c r="AN381" s="7" t="str">
        <f>IFERROR(IF(AB382&lt;&gt;AB381,AVERAGEIF(AB$9:AB381,AB381,AU$9:AU381),""),"")</f>
        <v/>
      </c>
      <c r="AO381" s="7" t="str" cm="1">
        <f t="array" ref="AO381">IFERROR(IF(AB382&lt;&gt;AB381,_xlfn.STDEV.P(IF(AB$9:AB381=AB381,AU$9:AU381)),""),"")</f>
        <v/>
      </c>
      <c r="AP381" s="7" t="str" cm="1">
        <f t="array" ref="AP381">IFERROR(IF(AB382&lt;&gt;AB381,_xlfn.STDEV.P(IF(AB$9:AB381=AB381,AT$9:AT381)),""),"")</f>
        <v/>
      </c>
      <c r="AQ381" s="8" t="str">
        <f t="shared" si="131"/>
        <v/>
      </c>
      <c r="AR381" s="8" t="str">
        <f t="shared" si="132"/>
        <v/>
      </c>
      <c r="AS381" s="8" t="str">
        <f t="shared" si="133"/>
        <v/>
      </c>
      <c r="AT381" s="9" t="str">
        <f t="shared" si="134"/>
        <v/>
      </c>
      <c r="AU381" s="9" t="str">
        <f t="shared" si="135"/>
        <v/>
      </c>
      <c r="AV381" s="14"/>
      <c r="AW381" s="15"/>
      <c r="AX381" s="14" t="str">
        <f t="shared" si="136"/>
        <v/>
      </c>
      <c r="AY381" s="15"/>
      <c r="AZ381" s="23"/>
      <c r="EW381" t="s">
        <v>46</v>
      </c>
      <c r="EX381" s="33">
        <v>1380</v>
      </c>
      <c r="EY381" s="33" t="s">
        <v>991</v>
      </c>
      <c r="EZ381" s="33" t="s">
        <v>992</v>
      </c>
      <c r="FA381" s="33" t="s">
        <v>343</v>
      </c>
      <c r="FB381" s="33" t="s">
        <v>344</v>
      </c>
      <c r="FC381" s="33" t="s">
        <v>345</v>
      </c>
      <c r="FD381" s="33" t="s">
        <v>346</v>
      </c>
      <c r="FE381" s="33">
        <v>2025</v>
      </c>
      <c r="FF381" s="33" t="s">
        <v>59</v>
      </c>
      <c r="FG381" s="33" t="s">
        <v>386</v>
      </c>
      <c r="FH381" s="33" t="s">
        <v>387</v>
      </c>
      <c r="FI381" s="33" t="s">
        <v>407</v>
      </c>
      <c r="FJ381" t="s">
        <v>59</v>
      </c>
      <c r="FM381" s="32" t="s">
        <v>982</v>
      </c>
      <c r="FN381" t="s">
        <v>983</v>
      </c>
      <c r="FO381" t="s">
        <v>984</v>
      </c>
      <c r="FP381" t="str">
        <f t="shared" si="118"/>
        <v>B</v>
      </c>
      <c r="GU381" s="53">
        <v>151</v>
      </c>
      <c r="GV381" s="53">
        <v>375</v>
      </c>
    </row>
    <row r="382" spans="1:204" ht="15.5" x14ac:dyDescent="0.35">
      <c r="A382" s="95">
        <f t="shared" si="119"/>
        <v>1</v>
      </c>
      <c r="B382" s="11"/>
      <c r="C382" s="11"/>
      <c r="D382" s="92" t="str">
        <f>IFERROR(
IF(AND(OR(Planilla!B382="C",Planilla!B382="c"), VLOOKUP(E382,EX:FJ,13,0)="C"), "OK",IF(AND(OR(Planilla!B382="C",Planilla!B382="c"), OR(VLOOKUP(E382,EX:FJ,13,0)="B", VLOOKUP(E382,EX:FJ,13,0)="A")), "DEFICIT",IF(
AND(OR(Planilla!B382="B", Planilla!B382="BPAL"), VLOOKUP(E382,EX:FJ,13,0)="B"), "OK",IF(AND(OR(Planilla!B382="B", Planilla!B382="BPAL"), VLOOKUP(E382,EX:FJ,13,0)="A"), "DEFICIT",IF(AND(OR(Planilla!B382="B", Planilla!B382="BPAL"), VLOOKUP(E382,EX:FJ,13,0)="C"), "SOBREOFERTA",IF(AND(Planilla!B382="A", VLOOKUP(E382,EX:FJ,13,0)="A"), "OK",IF(
AND(Planilla!B382="A", OR(VLOOKUP(E382,EX:FJ,13,0)="B", VLOOKUP(E382,EX:FJ,13,0)="C")), "SOBREOFERTA",""
))))))),"")</f>
        <v/>
      </c>
      <c r="E382" s="12"/>
      <c r="F382" s="13"/>
      <c r="G382" s="14"/>
      <c r="H382" s="81" t="str">
        <f t="shared" si="120"/>
        <v/>
      </c>
      <c r="I382" s="7"/>
      <c r="J382" s="6" t="e">
        <f t="shared" si="121"/>
        <v>#N/A</v>
      </c>
      <c r="K382" s="6" t="str">
        <f>IF(A383&lt;&gt;A382,AVERAGEIF(A$9:A382,A382,J$9:J382),"")</f>
        <v/>
      </c>
      <c r="L382" s="7" t="str">
        <f>IFERROR(IF(A383&lt;&gt;A382,AVERAGEIF(A$9:A382,A382,S$9:S382),""),"")</f>
        <v/>
      </c>
      <c r="M382" s="7" t="str">
        <f>IFERROR(IF(A383&lt;&gt;A382,AVERAGEIF(A$9:A382,A382,T$9:T382),""),"")</f>
        <v/>
      </c>
      <c r="N382" s="7" t="str" cm="1">
        <f t="array" ref="N382">IFERROR(IF(A383&lt;&gt;A382,_xlfn.STDEV.P(IF(A$9:A382=A382,T$9:T382)),""),"")</f>
        <v/>
      </c>
      <c r="O382" s="7" t="str" cm="1">
        <f t="array" ref="O382">IFERROR(IF(A383&lt;&gt;A382,_xlfn.STDEV.P(IF(A$9:A382=A382,S$9:S382)),""),"")</f>
        <v/>
      </c>
      <c r="P382" s="8" t="str">
        <f t="shared" si="122"/>
        <v/>
      </c>
      <c r="Q382" s="8" t="str">
        <f t="shared" si="123"/>
        <v/>
      </c>
      <c r="R382" s="8" t="str">
        <f t="shared" si="124"/>
        <v/>
      </c>
      <c r="S382" s="9" t="str">
        <f t="shared" si="125"/>
        <v/>
      </c>
      <c r="T382" s="9" t="str">
        <f t="shared" si="126"/>
        <v/>
      </c>
      <c r="U382" s="14"/>
      <c r="V382" s="15"/>
      <c r="W382" s="14" t="str">
        <f t="shared" si="127"/>
        <v/>
      </c>
      <c r="X382" s="15"/>
      <c r="Y382" s="2"/>
      <c r="AB382" s="22">
        <f t="shared" si="128"/>
        <v>1</v>
      </c>
      <c r="AC382" s="11"/>
      <c r="AD382" s="11"/>
      <c r="AE382" s="13"/>
      <c r="AF382" s="12"/>
      <c r="AG382" s="13"/>
      <c r="AH382" s="14"/>
      <c r="AI382" s="81" t="str">
        <f t="shared" si="129"/>
        <v/>
      </c>
      <c r="AJ382" s="15"/>
      <c r="AK382" s="6" t="e">
        <f t="shared" si="130"/>
        <v>#N/A</v>
      </c>
      <c r="AL382" s="6" t="str">
        <f>IF(AB383&lt;&gt;AB382,AVERAGEIF(AB$9:AB382,AB382,AK$9:AK382),"")</f>
        <v/>
      </c>
      <c r="AM382" s="7" t="str">
        <f>IFERROR(IF(AB383&lt;&gt;AB382,AVERAGEIF(AB$9:AB382,AB382,AT$9:AT382),""),"")</f>
        <v/>
      </c>
      <c r="AN382" s="7" t="str">
        <f>IFERROR(IF(AB383&lt;&gt;AB382,AVERAGEIF(AB$9:AB382,AB382,AU$9:AU382),""),"")</f>
        <v/>
      </c>
      <c r="AO382" s="7" t="str" cm="1">
        <f t="array" ref="AO382">IFERROR(IF(AB383&lt;&gt;AB382,_xlfn.STDEV.P(IF(AB$9:AB382=AB382,AU$9:AU382)),""),"")</f>
        <v/>
      </c>
      <c r="AP382" s="7" t="str" cm="1">
        <f t="array" ref="AP382">IFERROR(IF(AB383&lt;&gt;AB382,_xlfn.STDEV.P(IF(AB$9:AB382=AB382,AT$9:AT382)),""),"")</f>
        <v/>
      </c>
      <c r="AQ382" s="8" t="str">
        <f t="shared" si="131"/>
        <v/>
      </c>
      <c r="AR382" s="8" t="str">
        <f t="shared" si="132"/>
        <v/>
      </c>
      <c r="AS382" s="8" t="str">
        <f t="shared" si="133"/>
        <v/>
      </c>
      <c r="AT382" s="9" t="str">
        <f t="shared" si="134"/>
        <v/>
      </c>
      <c r="AU382" s="9" t="str">
        <f t="shared" si="135"/>
        <v/>
      </c>
      <c r="AV382" s="14"/>
      <c r="AW382" s="15"/>
      <c r="AX382" s="14" t="str">
        <f t="shared" si="136"/>
        <v/>
      </c>
      <c r="AY382" s="15"/>
      <c r="AZ382" s="23"/>
      <c r="EW382" t="s">
        <v>46</v>
      </c>
      <c r="EX382" s="33">
        <v>1381</v>
      </c>
      <c r="EY382" s="33" t="s">
        <v>993</v>
      </c>
      <c r="EZ382" s="33" t="s">
        <v>994</v>
      </c>
      <c r="FA382" s="33" t="s">
        <v>343</v>
      </c>
      <c r="FB382" s="33" t="s">
        <v>344</v>
      </c>
      <c r="FC382" s="33" t="s">
        <v>345</v>
      </c>
      <c r="FD382" s="33" t="s">
        <v>346</v>
      </c>
      <c r="FE382" s="33">
        <v>2025</v>
      </c>
      <c r="FF382" s="33" t="s">
        <v>59</v>
      </c>
      <c r="FG382" s="33" t="s">
        <v>477</v>
      </c>
      <c r="FH382" s="33" t="s">
        <v>478</v>
      </c>
      <c r="FI382" s="33" t="s">
        <v>479</v>
      </c>
      <c r="FJ382" t="s">
        <v>59</v>
      </c>
      <c r="FM382" s="32" t="s">
        <v>995</v>
      </c>
      <c r="FN382" t="s">
        <v>996</v>
      </c>
      <c r="FO382" t="s">
        <v>997</v>
      </c>
      <c r="FP382" t="str">
        <f t="shared" si="118"/>
        <v>B</v>
      </c>
      <c r="GU382" s="53">
        <v>152</v>
      </c>
      <c r="GV382" s="53">
        <v>376</v>
      </c>
    </row>
    <row r="383" spans="1:204" ht="15.5" x14ac:dyDescent="0.35">
      <c r="A383" s="95">
        <f t="shared" si="119"/>
        <v>1</v>
      </c>
      <c r="B383" s="11"/>
      <c r="C383" s="11"/>
      <c r="D383" s="92" t="str">
        <f>IFERROR(
IF(AND(OR(Planilla!B383="C",Planilla!B383="c"), VLOOKUP(E383,EX:FJ,13,0)="C"), "OK",IF(AND(OR(Planilla!B383="C",Planilla!B383="c"), OR(VLOOKUP(E383,EX:FJ,13,0)="B", VLOOKUP(E383,EX:FJ,13,0)="A")), "DEFICIT",IF(
AND(OR(Planilla!B383="B", Planilla!B383="BPAL"), VLOOKUP(E383,EX:FJ,13,0)="B"), "OK",IF(AND(OR(Planilla!B383="B", Planilla!B383="BPAL"), VLOOKUP(E383,EX:FJ,13,0)="A"), "DEFICIT",IF(AND(OR(Planilla!B383="B", Planilla!B383="BPAL"), VLOOKUP(E383,EX:FJ,13,0)="C"), "SOBREOFERTA",IF(AND(Planilla!B383="A", VLOOKUP(E383,EX:FJ,13,0)="A"), "OK",IF(
AND(Planilla!B383="A", OR(VLOOKUP(E383,EX:FJ,13,0)="B", VLOOKUP(E383,EX:FJ,13,0)="C")), "SOBREOFERTA",""
))))))),"")</f>
        <v/>
      </c>
      <c r="E383" s="12"/>
      <c r="F383" s="13"/>
      <c r="G383" s="14"/>
      <c r="H383" s="81" t="str">
        <f t="shared" si="120"/>
        <v/>
      </c>
      <c r="I383" s="7"/>
      <c r="J383" s="6" t="e">
        <f t="shared" si="121"/>
        <v>#N/A</v>
      </c>
      <c r="K383" s="6" t="str">
        <f>IF(A384&lt;&gt;A383,AVERAGEIF(A$9:A383,A383,J$9:J383),"")</f>
        <v/>
      </c>
      <c r="L383" s="7" t="str">
        <f>IFERROR(IF(A384&lt;&gt;A383,AVERAGEIF(A$9:A383,A383,S$9:S383),""),"")</f>
        <v/>
      </c>
      <c r="M383" s="7" t="str">
        <f>IFERROR(IF(A384&lt;&gt;A383,AVERAGEIF(A$9:A383,A383,T$9:T383),""),"")</f>
        <v/>
      </c>
      <c r="N383" s="7" t="str" cm="1">
        <f t="array" ref="N383">IFERROR(IF(A384&lt;&gt;A383,_xlfn.STDEV.P(IF(A$9:A383=A383,T$9:T383)),""),"")</f>
        <v/>
      </c>
      <c r="O383" s="7" t="str" cm="1">
        <f t="array" ref="O383">IFERROR(IF(A384&lt;&gt;A383,_xlfn.STDEV.P(IF(A$9:A383=A383,S$9:S383)),""),"")</f>
        <v/>
      </c>
      <c r="P383" s="8" t="str">
        <f t="shared" si="122"/>
        <v/>
      </c>
      <c r="Q383" s="8" t="str">
        <f t="shared" si="123"/>
        <v/>
      </c>
      <c r="R383" s="8" t="str">
        <f t="shared" si="124"/>
        <v/>
      </c>
      <c r="S383" s="9" t="str">
        <f t="shared" si="125"/>
        <v/>
      </c>
      <c r="T383" s="9" t="str">
        <f t="shared" si="126"/>
        <v/>
      </c>
      <c r="U383" s="14"/>
      <c r="V383" s="15"/>
      <c r="W383" s="14" t="str">
        <f t="shared" si="127"/>
        <v/>
      </c>
      <c r="X383" s="15"/>
      <c r="Y383" s="2"/>
      <c r="AB383" s="22">
        <f t="shared" si="128"/>
        <v>1</v>
      </c>
      <c r="AC383" s="11"/>
      <c r="AD383" s="11"/>
      <c r="AE383" s="13"/>
      <c r="AF383" s="12"/>
      <c r="AG383" s="13"/>
      <c r="AH383" s="14"/>
      <c r="AI383" s="81" t="str">
        <f t="shared" si="129"/>
        <v/>
      </c>
      <c r="AJ383" s="15"/>
      <c r="AK383" s="6" t="e">
        <f t="shared" si="130"/>
        <v>#N/A</v>
      </c>
      <c r="AL383" s="6" t="str">
        <f>IF(AB384&lt;&gt;AB383,AVERAGEIF(AB$9:AB383,AB383,AK$9:AK383),"")</f>
        <v/>
      </c>
      <c r="AM383" s="7" t="str">
        <f>IFERROR(IF(AB384&lt;&gt;AB383,AVERAGEIF(AB$9:AB383,AB383,AT$9:AT383),""),"")</f>
        <v/>
      </c>
      <c r="AN383" s="7" t="str">
        <f>IFERROR(IF(AB384&lt;&gt;AB383,AVERAGEIF(AB$9:AB383,AB383,AU$9:AU383),""),"")</f>
        <v/>
      </c>
      <c r="AO383" s="7" t="str" cm="1">
        <f t="array" ref="AO383">IFERROR(IF(AB384&lt;&gt;AB383,_xlfn.STDEV.P(IF(AB$9:AB383=AB383,AU$9:AU383)),""),"")</f>
        <v/>
      </c>
      <c r="AP383" s="7" t="str" cm="1">
        <f t="array" ref="AP383">IFERROR(IF(AB384&lt;&gt;AB383,_xlfn.STDEV.P(IF(AB$9:AB383=AB383,AT$9:AT383)),""),"")</f>
        <v/>
      </c>
      <c r="AQ383" s="8" t="str">
        <f t="shared" si="131"/>
        <v/>
      </c>
      <c r="AR383" s="8" t="str">
        <f t="shared" si="132"/>
        <v/>
      </c>
      <c r="AS383" s="8" t="str">
        <f t="shared" si="133"/>
        <v/>
      </c>
      <c r="AT383" s="9" t="str">
        <f t="shared" si="134"/>
        <v/>
      </c>
      <c r="AU383" s="9" t="str">
        <f t="shared" si="135"/>
        <v/>
      </c>
      <c r="AV383" s="14"/>
      <c r="AW383" s="15"/>
      <c r="AX383" s="14" t="str">
        <f t="shared" si="136"/>
        <v/>
      </c>
      <c r="AY383" s="15"/>
      <c r="AZ383" s="23"/>
      <c r="EW383" t="s">
        <v>46</v>
      </c>
      <c r="EX383" s="33">
        <v>1382</v>
      </c>
      <c r="EY383" s="33" t="s">
        <v>998</v>
      </c>
      <c r="EZ383" s="33" t="s">
        <v>999</v>
      </c>
      <c r="FA383" s="33" t="s">
        <v>343</v>
      </c>
      <c r="FB383" s="33" t="s">
        <v>344</v>
      </c>
      <c r="FC383" s="33" t="s">
        <v>345</v>
      </c>
      <c r="FD383" s="33" t="s">
        <v>346</v>
      </c>
      <c r="FE383" s="33">
        <v>2025</v>
      </c>
      <c r="FF383" s="33" t="s">
        <v>59</v>
      </c>
      <c r="FG383" s="33" t="s">
        <v>477</v>
      </c>
      <c r="FH383" s="33" t="s">
        <v>478</v>
      </c>
      <c r="FI383" s="33" t="s">
        <v>479</v>
      </c>
      <c r="FJ383" t="s">
        <v>59</v>
      </c>
      <c r="FM383" s="32" t="s">
        <v>995</v>
      </c>
      <c r="FN383" t="s">
        <v>996</v>
      </c>
      <c r="FO383" t="s">
        <v>997</v>
      </c>
      <c r="FP383" t="str">
        <f t="shared" si="118"/>
        <v>B</v>
      </c>
      <c r="GU383" s="53">
        <v>153</v>
      </c>
      <c r="GV383" s="53">
        <v>377</v>
      </c>
    </row>
    <row r="384" spans="1:204" ht="15.5" x14ac:dyDescent="0.35">
      <c r="A384" s="95">
        <f t="shared" si="119"/>
        <v>1</v>
      </c>
      <c r="B384" s="11"/>
      <c r="C384" s="11"/>
      <c r="D384" s="92" t="str">
        <f>IFERROR(
IF(AND(OR(Planilla!B384="C",Planilla!B384="c"), VLOOKUP(E384,EX:FJ,13,0)="C"), "OK",IF(AND(OR(Planilla!B384="C",Planilla!B384="c"), OR(VLOOKUP(E384,EX:FJ,13,0)="B", VLOOKUP(E384,EX:FJ,13,0)="A")), "DEFICIT",IF(
AND(OR(Planilla!B384="B", Planilla!B384="BPAL"), VLOOKUP(E384,EX:FJ,13,0)="B"), "OK",IF(AND(OR(Planilla!B384="B", Planilla!B384="BPAL"), VLOOKUP(E384,EX:FJ,13,0)="A"), "DEFICIT",IF(AND(OR(Planilla!B384="B", Planilla!B384="BPAL"), VLOOKUP(E384,EX:FJ,13,0)="C"), "SOBREOFERTA",IF(AND(Planilla!B384="A", VLOOKUP(E384,EX:FJ,13,0)="A"), "OK",IF(
AND(Planilla!B384="A", OR(VLOOKUP(E384,EX:FJ,13,0)="B", VLOOKUP(E384,EX:FJ,13,0)="C")), "SOBREOFERTA",""
))))))),"")</f>
        <v/>
      </c>
      <c r="E384" s="12"/>
      <c r="F384" s="13"/>
      <c r="G384" s="14"/>
      <c r="H384" s="81" t="str">
        <f t="shared" si="120"/>
        <v/>
      </c>
      <c r="I384" s="7"/>
      <c r="J384" s="6" t="e">
        <f t="shared" si="121"/>
        <v>#N/A</v>
      </c>
      <c r="K384" s="6" t="str">
        <f>IF(A385&lt;&gt;A384,AVERAGEIF(A$9:A384,A384,J$9:J384),"")</f>
        <v/>
      </c>
      <c r="L384" s="7" t="str">
        <f>IFERROR(IF(A385&lt;&gt;A384,AVERAGEIF(A$9:A384,A384,S$9:S384),""),"")</f>
        <v/>
      </c>
      <c r="M384" s="7" t="str">
        <f>IFERROR(IF(A385&lt;&gt;A384,AVERAGEIF(A$9:A384,A384,T$9:T384),""),"")</f>
        <v/>
      </c>
      <c r="N384" s="7" t="str" cm="1">
        <f t="array" ref="N384">IFERROR(IF(A385&lt;&gt;A384,_xlfn.STDEV.P(IF(A$9:A384=A384,T$9:T384)),""),"")</f>
        <v/>
      </c>
      <c r="O384" s="7" t="str" cm="1">
        <f t="array" ref="O384">IFERROR(IF(A385&lt;&gt;A384,_xlfn.STDEV.P(IF(A$9:A384=A384,S$9:S384)),""),"")</f>
        <v/>
      </c>
      <c r="P384" s="8" t="str">
        <f t="shared" si="122"/>
        <v/>
      </c>
      <c r="Q384" s="8" t="str">
        <f t="shared" si="123"/>
        <v/>
      </c>
      <c r="R384" s="8" t="str">
        <f t="shared" si="124"/>
        <v/>
      </c>
      <c r="S384" s="9" t="str">
        <f t="shared" si="125"/>
        <v/>
      </c>
      <c r="T384" s="9" t="str">
        <f t="shared" si="126"/>
        <v/>
      </c>
      <c r="U384" s="14"/>
      <c r="V384" s="15"/>
      <c r="W384" s="14" t="str">
        <f t="shared" si="127"/>
        <v/>
      </c>
      <c r="X384" s="15"/>
      <c r="Y384" s="2"/>
      <c r="AB384" s="22">
        <f t="shared" si="128"/>
        <v>1</v>
      </c>
      <c r="AC384" s="11"/>
      <c r="AD384" s="11"/>
      <c r="AE384" s="13"/>
      <c r="AF384" s="12"/>
      <c r="AG384" s="13"/>
      <c r="AH384" s="14"/>
      <c r="AI384" s="81" t="str">
        <f t="shared" si="129"/>
        <v/>
      </c>
      <c r="AJ384" s="15"/>
      <c r="AK384" s="6" t="e">
        <f t="shared" si="130"/>
        <v>#N/A</v>
      </c>
      <c r="AL384" s="6" t="str">
        <f>IF(AB385&lt;&gt;AB384,AVERAGEIF(AB$9:AB384,AB384,AK$9:AK384),"")</f>
        <v/>
      </c>
      <c r="AM384" s="7" t="str">
        <f>IFERROR(IF(AB385&lt;&gt;AB384,AVERAGEIF(AB$9:AB384,AB384,AT$9:AT384),""),"")</f>
        <v/>
      </c>
      <c r="AN384" s="7" t="str">
        <f>IFERROR(IF(AB385&lt;&gt;AB384,AVERAGEIF(AB$9:AB384,AB384,AU$9:AU384),""),"")</f>
        <v/>
      </c>
      <c r="AO384" s="7" t="str" cm="1">
        <f t="array" ref="AO384">IFERROR(IF(AB385&lt;&gt;AB384,_xlfn.STDEV.P(IF(AB$9:AB384=AB384,AU$9:AU384)),""),"")</f>
        <v/>
      </c>
      <c r="AP384" s="7" t="str" cm="1">
        <f t="array" ref="AP384">IFERROR(IF(AB385&lt;&gt;AB384,_xlfn.STDEV.P(IF(AB$9:AB384=AB384,AT$9:AT384)),""),"")</f>
        <v/>
      </c>
      <c r="AQ384" s="8" t="str">
        <f t="shared" si="131"/>
        <v/>
      </c>
      <c r="AR384" s="8" t="str">
        <f t="shared" si="132"/>
        <v/>
      </c>
      <c r="AS384" s="8" t="str">
        <f t="shared" si="133"/>
        <v/>
      </c>
      <c r="AT384" s="9" t="str">
        <f t="shared" si="134"/>
        <v/>
      </c>
      <c r="AU384" s="9" t="str">
        <f t="shared" si="135"/>
        <v/>
      </c>
      <c r="AV384" s="14"/>
      <c r="AW384" s="15"/>
      <c r="AX384" s="14" t="str">
        <f t="shared" si="136"/>
        <v/>
      </c>
      <c r="AY384" s="15"/>
      <c r="AZ384" s="23"/>
      <c r="EW384" t="s">
        <v>46</v>
      </c>
      <c r="EX384" s="33">
        <v>1383</v>
      </c>
      <c r="EY384" s="33" t="s">
        <v>1000</v>
      </c>
      <c r="EZ384" s="33" t="s">
        <v>1001</v>
      </c>
      <c r="FA384" s="33" t="s">
        <v>343</v>
      </c>
      <c r="FB384" s="33" t="s">
        <v>344</v>
      </c>
      <c r="FC384" s="33" t="s">
        <v>345</v>
      </c>
      <c r="FD384" s="33" t="s">
        <v>346</v>
      </c>
      <c r="FE384" s="33">
        <v>2025</v>
      </c>
      <c r="FF384" s="33" t="s">
        <v>59</v>
      </c>
      <c r="FG384" s="33" t="s">
        <v>477</v>
      </c>
      <c r="FH384" s="33" t="s">
        <v>478</v>
      </c>
      <c r="FI384" s="33" t="s">
        <v>479</v>
      </c>
      <c r="FJ384" t="s">
        <v>59</v>
      </c>
      <c r="FM384" s="32" t="s">
        <v>995</v>
      </c>
      <c r="FN384" t="s">
        <v>996</v>
      </c>
      <c r="FO384" t="s">
        <v>997</v>
      </c>
      <c r="FP384" t="str">
        <f t="shared" si="118"/>
        <v>B</v>
      </c>
      <c r="GU384" s="53">
        <v>154</v>
      </c>
      <c r="GV384" s="53">
        <v>378</v>
      </c>
    </row>
    <row r="385" spans="1:204" ht="15.5" x14ac:dyDescent="0.35">
      <c r="A385" s="95">
        <f t="shared" si="119"/>
        <v>1</v>
      </c>
      <c r="B385" s="11"/>
      <c r="C385" s="11"/>
      <c r="D385" s="92" t="str">
        <f>IFERROR(
IF(AND(OR(Planilla!B385="C",Planilla!B385="c"), VLOOKUP(E385,EX:FJ,13,0)="C"), "OK",IF(AND(OR(Planilla!B385="C",Planilla!B385="c"), OR(VLOOKUP(E385,EX:FJ,13,0)="B", VLOOKUP(E385,EX:FJ,13,0)="A")), "DEFICIT",IF(
AND(OR(Planilla!B385="B", Planilla!B385="BPAL"), VLOOKUP(E385,EX:FJ,13,0)="B"), "OK",IF(AND(OR(Planilla!B385="B", Planilla!B385="BPAL"), VLOOKUP(E385,EX:FJ,13,0)="A"), "DEFICIT",IF(AND(OR(Planilla!B385="B", Planilla!B385="BPAL"), VLOOKUP(E385,EX:FJ,13,0)="C"), "SOBREOFERTA",IF(AND(Planilla!B385="A", VLOOKUP(E385,EX:FJ,13,0)="A"), "OK",IF(
AND(Planilla!B385="A", OR(VLOOKUP(E385,EX:FJ,13,0)="B", VLOOKUP(E385,EX:FJ,13,0)="C")), "SOBREOFERTA",""
))))))),"")</f>
        <v/>
      </c>
      <c r="E385" s="12"/>
      <c r="F385" s="13"/>
      <c r="G385" s="14"/>
      <c r="H385" s="81" t="str">
        <f t="shared" si="120"/>
        <v/>
      </c>
      <c r="I385" s="7"/>
      <c r="J385" s="6" t="e">
        <f t="shared" si="121"/>
        <v>#N/A</v>
      </c>
      <c r="K385" s="6" t="str">
        <f>IF(A386&lt;&gt;A385,AVERAGEIF(A$9:A385,A385,J$9:J385),"")</f>
        <v/>
      </c>
      <c r="L385" s="7" t="str">
        <f>IFERROR(IF(A386&lt;&gt;A385,AVERAGEIF(A$9:A385,A385,S$9:S385),""),"")</f>
        <v/>
      </c>
      <c r="M385" s="7" t="str">
        <f>IFERROR(IF(A386&lt;&gt;A385,AVERAGEIF(A$9:A385,A385,T$9:T385),""),"")</f>
        <v/>
      </c>
      <c r="N385" s="7" t="str" cm="1">
        <f t="array" ref="N385">IFERROR(IF(A386&lt;&gt;A385,_xlfn.STDEV.P(IF(A$9:A385=A385,T$9:T385)),""),"")</f>
        <v/>
      </c>
      <c r="O385" s="7" t="str" cm="1">
        <f t="array" ref="O385">IFERROR(IF(A386&lt;&gt;A385,_xlfn.STDEV.P(IF(A$9:A385=A385,S$9:S385)),""),"")</f>
        <v/>
      </c>
      <c r="P385" s="8" t="str">
        <f t="shared" si="122"/>
        <v/>
      </c>
      <c r="Q385" s="8" t="str">
        <f t="shared" si="123"/>
        <v/>
      </c>
      <c r="R385" s="8" t="str">
        <f t="shared" si="124"/>
        <v/>
      </c>
      <c r="S385" s="9" t="str">
        <f t="shared" si="125"/>
        <v/>
      </c>
      <c r="T385" s="9" t="str">
        <f t="shared" si="126"/>
        <v/>
      </c>
      <c r="U385" s="14"/>
      <c r="V385" s="15"/>
      <c r="W385" s="14" t="str">
        <f t="shared" si="127"/>
        <v/>
      </c>
      <c r="X385" s="15"/>
      <c r="Y385" s="2"/>
      <c r="AB385" s="22">
        <f t="shared" si="128"/>
        <v>1</v>
      </c>
      <c r="AC385" s="11"/>
      <c r="AD385" s="11"/>
      <c r="AE385" s="13"/>
      <c r="AF385" s="12"/>
      <c r="AG385" s="13"/>
      <c r="AH385" s="14"/>
      <c r="AI385" s="81" t="str">
        <f t="shared" si="129"/>
        <v/>
      </c>
      <c r="AJ385" s="15"/>
      <c r="AK385" s="6" t="e">
        <f t="shared" si="130"/>
        <v>#N/A</v>
      </c>
      <c r="AL385" s="6" t="str">
        <f>IF(AB386&lt;&gt;AB385,AVERAGEIF(AB$9:AB385,AB385,AK$9:AK385),"")</f>
        <v/>
      </c>
      <c r="AM385" s="7" t="str">
        <f>IFERROR(IF(AB386&lt;&gt;AB385,AVERAGEIF(AB$9:AB385,AB385,AT$9:AT385),""),"")</f>
        <v/>
      </c>
      <c r="AN385" s="7" t="str">
        <f>IFERROR(IF(AB386&lt;&gt;AB385,AVERAGEIF(AB$9:AB385,AB385,AU$9:AU385),""),"")</f>
        <v/>
      </c>
      <c r="AO385" s="7" t="str" cm="1">
        <f t="array" ref="AO385">IFERROR(IF(AB386&lt;&gt;AB385,_xlfn.STDEV.P(IF(AB$9:AB385=AB385,AU$9:AU385)),""),"")</f>
        <v/>
      </c>
      <c r="AP385" s="7" t="str" cm="1">
        <f t="array" ref="AP385">IFERROR(IF(AB386&lt;&gt;AB385,_xlfn.STDEV.P(IF(AB$9:AB385=AB385,AT$9:AT385)),""),"")</f>
        <v/>
      </c>
      <c r="AQ385" s="8" t="str">
        <f t="shared" si="131"/>
        <v/>
      </c>
      <c r="AR385" s="8" t="str">
        <f t="shared" si="132"/>
        <v/>
      </c>
      <c r="AS385" s="8" t="str">
        <f t="shared" si="133"/>
        <v/>
      </c>
      <c r="AT385" s="9" t="str">
        <f t="shared" si="134"/>
        <v/>
      </c>
      <c r="AU385" s="9" t="str">
        <f t="shared" si="135"/>
        <v/>
      </c>
      <c r="AV385" s="14"/>
      <c r="AW385" s="15"/>
      <c r="AX385" s="14" t="str">
        <f t="shared" si="136"/>
        <v/>
      </c>
      <c r="AY385" s="15"/>
      <c r="AZ385" s="23"/>
      <c r="EW385" t="s">
        <v>46</v>
      </c>
      <c r="EX385" s="33">
        <v>1384</v>
      </c>
      <c r="EY385" s="33" t="s">
        <v>1002</v>
      </c>
      <c r="EZ385" s="33" t="s">
        <v>1003</v>
      </c>
      <c r="FA385" s="33" t="s">
        <v>343</v>
      </c>
      <c r="FB385" s="33" t="s">
        <v>344</v>
      </c>
      <c r="FC385" s="33" t="s">
        <v>345</v>
      </c>
      <c r="FD385" s="33" t="s">
        <v>346</v>
      </c>
      <c r="FE385" s="33">
        <v>2025</v>
      </c>
      <c r="FF385" s="33" t="s">
        <v>59</v>
      </c>
      <c r="FG385" s="33" t="s">
        <v>477</v>
      </c>
      <c r="FH385" s="33" t="s">
        <v>478</v>
      </c>
      <c r="FI385" s="33" t="s">
        <v>479</v>
      </c>
      <c r="FJ385" t="s">
        <v>59</v>
      </c>
      <c r="FM385" s="32" t="s">
        <v>995</v>
      </c>
      <c r="FN385" t="s">
        <v>996</v>
      </c>
      <c r="FO385" t="s">
        <v>997</v>
      </c>
      <c r="FP385" t="str">
        <f t="shared" ref="FP385:FP448" si="137">VLOOKUP(FO385,EX:FF,9,0)</f>
        <v>B</v>
      </c>
      <c r="GU385" s="53">
        <v>155</v>
      </c>
      <c r="GV385" s="53">
        <v>379</v>
      </c>
    </row>
    <row r="386" spans="1:204" ht="15.5" x14ac:dyDescent="0.35">
      <c r="A386" s="95">
        <f t="shared" si="119"/>
        <v>1</v>
      </c>
      <c r="B386" s="11"/>
      <c r="C386" s="11"/>
      <c r="D386" s="92" t="str">
        <f>IFERROR(
IF(AND(OR(Planilla!B386="C",Planilla!B386="c"), VLOOKUP(E386,EX:FJ,13,0)="C"), "OK",IF(AND(OR(Planilla!B386="C",Planilla!B386="c"), OR(VLOOKUP(E386,EX:FJ,13,0)="B", VLOOKUP(E386,EX:FJ,13,0)="A")), "DEFICIT",IF(
AND(OR(Planilla!B386="B", Planilla!B386="BPAL"), VLOOKUP(E386,EX:FJ,13,0)="B"), "OK",IF(AND(OR(Planilla!B386="B", Planilla!B386="BPAL"), VLOOKUP(E386,EX:FJ,13,0)="A"), "DEFICIT",IF(AND(OR(Planilla!B386="B", Planilla!B386="BPAL"), VLOOKUP(E386,EX:FJ,13,0)="C"), "SOBREOFERTA",IF(AND(Planilla!B386="A", VLOOKUP(E386,EX:FJ,13,0)="A"), "OK",IF(
AND(Planilla!B386="A", OR(VLOOKUP(E386,EX:FJ,13,0)="B", VLOOKUP(E386,EX:FJ,13,0)="C")), "SOBREOFERTA",""
))))))),"")</f>
        <v/>
      </c>
      <c r="E386" s="12"/>
      <c r="F386" s="13"/>
      <c r="G386" s="14"/>
      <c r="H386" s="81" t="str">
        <f t="shared" si="120"/>
        <v/>
      </c>
      <c r="I386" s="7"/>
      <c r="J386" s="6" t="e">
        <f t="shared" si="121"/>
        <v>#N/A</v>
      </c>
      <c r="K386" s="6" t="str">
        <f>IF(A387&lt;&gt;A386,AVERAGEIF(A$9:A386,A386,J$9:J386),"")</f>
        <v/>
      </c>
      <c r="L386" s="7" t="str">
        <f>IFERROR(IF(A387&lt;&gt;A386,AVERAGEIF(A$9:A386,A386,S$9:S386),""),"")</f>
        <v/>
      </c>
      <c r="M386" s="7" t="str">
        <f>IFERROR(IF(A387&lt;&gt;A386,AVERAGEIF(A$9:A386,A386,T$9:T386),""),"")</f>
        <v/>
      </c>
      <c r="N386" s="7" t="str" cm="1">
        <f t="array" ref="N386">IFERROR(IF(A387&lt;&gt;A386,_xlfn.STDEV.P(IF(A$9:A386=A386,T$9:T386)),""),"")</f>
        <v/>
      </c>
      <c r="O386" s="7" t="str" cm="1">
        <f t="array" ref="O386">IFERROR(IF(A387&lt;&gt;A386,_xlfn.STDEV.P(IF(A$9:A386=A386,S$9:S386)),""),"")</f>
        <v/>
      </c>
      <c r="P386" s="8" t="str">
        <f t="shared" si="122"/>
        <v/>
      </c>
      <c r="Q386" s="8" t="str">
        <f t="shared" si="123"/>
        <v/>
      </c>
      <c r="R386" s="8" t="str">
        <f t="shared" si="124"/>
        <v/>
      </c>
      <c r="S386" s="9" t="str">
        <f t="shared" si="125"/>
        <v/>
      </c>
      <c r="T386" s="9" t="str">
        <f t="shared" si="126"/>
        <v/>
      </c>
      <c r="U386" s="14"/>
      <c r="V386" s="15"/>
      <c r="W386" s="14" t="str">
        <f t="shared" si="127"/>
        <v/>
      </c>
      <c r="X386" s="15"/>
      <c r="Y386" s="2"/>
      <c r="AB386" s="22">
        <f t="shared" si="128"/>
        <v>1</v>
      </c>
      <c r="AC386" s="11"/>
      <c r="AD386" s="11"/>
      <c r="AE386" s="13"/>
      <c r="AF386" s="12"/>
      <c r="AG386" s="13"/>
      <c r="AH386" s="14"/>
      <c r="AI386" s="81" t="str">
        <f t="shared" si="129"/>
        <v/>
      </c>
      <c r="AJ386" s="15"/>
      <c r="AK386" s="6" t="e">
        <f t="shared" si="130"/>
        <v>#N/A</v>
      </c>
      <c r="AL386" s="6" t="str">
        <f>IF(AB387&lt;&gt;AB386,AVERAGEIF(AB$9:AB386,AB386,AK$9:AK386),"")</f>
        <v/>
      </c>
      <c r="AM386" s="7" t="str">
        <f>IFERROR(IF(AB387&lt;&gt;AB386,AVERAGEIF(AB$9:AB386,AB386,AT$9:AT386),""),"")</f>
        <v/>
      </c>
      <c r="AN386" s="7" t="str">
        <f>IFERROR(IF(AB387&lt;&gt;AB386,AVERAGEIF(AB$9:AB386,AB386,AU$9:AU386),""),"")</f>
        <v/>
      </c>
      <c r="AO386" s="7" t="str" cm="1">
        <f t="array" ref="AO386">IFERROR(IF(AB387&lt;&gt;AB386,_xlfn.STDEV.P(IF(AB$9:AB386=AB386,AU$9:AU386)),""),"")</f>
        <v/>
      </c>
      <c r="AP386" s="7" t="str" cm="1">
        <f t="array" ref="AP386">IFERROR(IF(AB387&lt;&gt;AB386,_xlfn.STDEV.P(IF(AB$9:AB386=AB386,AT$9:AT386)),""),"")</f>
        <v/>
      </c>
      <c r="AQ386" s="8" t="str">
        <f t="shared" si="131"/>
        <v/>
      </c>
      <c r="AR386" s="8" t="str">
        <f t="shared" si="132"/>
        <v/>
      </c>
      <c r="AS386" s="8" t="str">
        <f t="shared" si="133"/>
        <v/>
      </c>
      <c r="AT386" s="9" t="str">
        <f t="shared" si="134"/>
        <v/>
      </c>
      <c r="AU386" s="9" t="str">
        <f t="shared" si="135"/>
        <v/>
      </c>
      <c r="AV386" s="14"/>
      <c r="AW386" s="15"/>
      <c r="AX386" s="14" t="str">
        <f t="shared" si="136"/>
        <v/>
      </c>
      <c r="AY386" s="15"/>
      <c r="AZ386" s="23"/>
      <c r="EW386" t="s">
        <v>46</v>
      </c>
      <c r="EX386" s="33">
        <v>1385</v>
      </c>
      <c r="EY386" s="33" t="s">
        <v>1004</v>
      </c>
      <c r="EZ386" s="33" t="s">
        <v>1005</v>
      </c>
      <c r="FA386" s="33" t="s">
        <v>343</v>
      </c>
      <c r="FB386" s="33" t="s">
        <v>344</v>
      </c>
      <c r="FC386" s="33" t="s">
        <v>345</v>
      </c>
      <c r="FD386" s="33" t="s">
        <v>346</v>
      </c>
      <c r="FE386" s="33">
        <v>2025</v>
      </c>
      <c r="FF386" s="33" t="s">
        <v>59</v>
      </c>
      <c r="FG386" s="33" t="s">
        <v>386</v>
      </c>
      <c r="FH386" s="33" t="s">
        <v>387</v>
      </c>
      <c r="FI386" s="33" t="s">
        <v>407</v>
      </c>
      <c r="FJ386" t="s">
        <v>59</v>
      </c>
      <c r="FM386" s="32" t="s">
        <v>995</v>
      </c>
      <c r="FN386" t="s">
        <v>996</v>
      </c>
      <c r="FO386" t="s">
        <v>997</v>
      </c>
      <c r="FP386" t="str">
        <f t="shared" si="137"/>
        <v>B</v>
      </c>
      <c r="GU386" s="53">
        <v>156</v>
      </c>
      <c r="GV386" s="53">
        <v>380</v>
      </c>
    </row>
    <row r="387" spans="1:204" ht="15.5" x14ac:dyDescent="0.35">
      <c r="A387" s="95">
        <f t="shared" si="119"/>
        <v>1</v>
      </c>
      <c r="B387" s="11"/>
      <c r="C387" s="11"/>
      <c r="D387" s="92" t="str">
        <f>IFERROR(
IF(AND(OR(Planilla!B387="C",Planilla!B387="c"), VLOOKUP(E387,EX:FJ,13,0)="C"), "OK",IF(AND(OR(Planilla!B387="C",Planilla!B387="c"), OR(VLOOKUP(E387,EX:FJ,13,0)="B", VLOOKUP(E387,EX:FJ,13,0)="A")), "DEFICIT",IF(
AND(OR(Planilla!B387="B", Planilla!B387="BPAL"), VLOOKUP(E387,EX:FJ,13,0)="B"), "OK",IF(AND(OR(Planilla!B387="B", Planilla!B387="BPAL"), VLOOKUP(E387,EX:FJ,13,0)="A"), "DEFICIT",IF(AND(OR(Planilla!B387="B", Planilla!B387="BPAL"), VLOOKUP(E387,EX:FJ,13,0)="C"), "SOBREOFERTA",IF(AND(Planilla!B387="A", VLOOKUP(E387,EX:FJ,13,0)="A"), "OK",IF(
AND(Planilla!B387="A", OR(VLOOKUP(E387,EX:FJ,13,0)="B", VLOOKUP(E387,EX:FJ,13,0)="C")), "SOBREOFERTA",""
))))))),"")</f>
        <v/>
      </c>
      <c r="E387" s="12"/>
      <c r="F387" s="13"/>
      <c r="G387" s="14"/>
      <c r="H387" s="81" t="str">
        <f t="shared" si="120"/>
        <v/>
      </c>
      <c r="I387" s="7"/>
      <c r="J387" s="6" t="e">
        <f t="shared" si="121"/>
        <v>#N/A</v>
      </c>
      <c r="K387" s="6" t="str">
        <f>IF(A388&lt;&gt;A387,AVERAGEIF(A$9:A387,A387,J$9:J387),"")</f>
        <v/>
      </c>
      <c r="L387" s="7" t="str">
        <f>IFERROR(IF(A388&lt;&gt;A387,AVERAGEIF(A$9:A387,A387,S$9:S387),""),"")</f>
        <v/>
      </c>
      <c r="M387" s="7" t="str">
        <f>IFERROR(IF(A388&lt;&gt;A387,AVERAGEIF(A$9:A387,A387,T$9:T387),""),"")</f>
        <v/>
      </c>
      <c r="N387" s="7" t="str" cm="1">
        <f t="array" ref="N387">IFERROR(IF(A388&lt;&gt;A387,_xlfn.STDEV.P(IF(A$9:A387=A387,T$9:T387)),""),"")</f>
        <v/>
      </c>
      <c r="O387" s="7" t="str" cm="1">
        <f t="array" ref="O387">IFERROR(IF(A388&lt;&gt;A387,_xlfn.STDEV.P(IF(A$9:A387=A387,S$9:S387)),""),"")</f>
        <v/>
      </c>
      <c r="P387" s="8" t="str">
        <f t="shared" si="122"/>
        <v/>
      </c>
      <c r="Q387" s="8" t="str">
        <f t="shared" si="123"/>
        <v/>
      </c>
      <c r="R387" s="8" t="str">
        <f t="shared" si="124"/>
        <v/>
      </c>
      <c r="S387" s="9" t="str">
        <f t="shared" si="125"/>
        <v/>
      </c>
      <c r="T387" s="9" t="str">
        <f t="shared" si="126"/>
        <v/>
      </c>
      <c r="U387" s="14"/>
      <c r="V387" s="15"/>
      <c r="W387" s="14" t="str">
        <f t="shared" si="127"/>
        <v/>
      </c>
      <c r="X387" s="15"/>
      <c r="Y387" s="2"/>
      <c r="AB387" s="22">
        <f t="shared" si="128"/>
        <v>1</v>
      </c>
      <c r="AC387" s="11"/>
      <c r="AD387" s="11"/>
      <c r="AE387" s="13"/>
      <c r="AF387" s="12"/>
      <c r="AG387" s="13"/>
      <c r="AH387" s="14"/>
      <c r="AI387" s="81" t="str">
        <f t="shared" si="129"/>
        <v/>
      </c>
      <c r="AJ387" s="15"/>
      <c r="AK387" s="6" t="e">
        <f t="shared" si="130"/>
        <v>#N/A</v>
      </c>
      <c r="AL387" s="6" t="str">
        <f>IF(AB388&lt;&gt;AB387,AVERAGEIF(AB$9:AB387,AB387,AK$9:AK387),"")</f>
        <v/>
      </c>
      <c r="AM387" s="7" t="str">
        <f>IFERROR(IF(AB388&lt;&gt;AB387,AVERAGEIF(AB$9:AB387,AB387,AT$9:AT387),""),"")</f>
        <v/>
      </c>
      <c r="AN387" s="7" t="str">
        <f>IFERROR(IF(AB388&lt;&gt;AB387,AVERAGEIF(AB$9:AB387,AB387,AU$9:AU387),""),"")</f>
        <v/>
      </c>
      <c r="AO387" s="7" t="str" cm="1">
        <f t="array" ref="AO387">IFERROR(IF(AB388&lt;&gt;AB387,_xlfn.STDEV.P(IF(AB$9:AB387=AB387,AU$9:AU387)),""),"")</f>
        <v/>
      </c>
      <c r="AP387" s="7" t="str" cm="1">
        <f t="array" ref="AP387">IFERROR(IF(AB388&lt;&gt;AB387,_xlfn.STDEV.P(IF(AB$9:AB387=AB387,AT$9:AT387)),""),"")</f>
        <v/>
      </c>
      <c r="AQ387" s="8" t="str">
        <f t="shared" si="131"/>
        <v/>
      </c>
      <c r="AR387" s="8" t="str">
        <f t="shared" si="132"/>
        <v/>
      </c>
      <c r="AS387" s="8" t="str">
        <f t="shared" si="133"/>
        <v/>
      </c>
      <c r="AT387" s="9" t="str">
        <f t="shared" si="134"/>
        <v/>
      </c>
      <c r="AU387" s="9" t="str">
        <f t="shared" si="135"/>
        <v/>
      </c>
      <c r="AV387" s="14"/>
      <c r="AW387" s="15"/>
      <c r="AX387" s="14" t="str">
        <f t="shared" si="136"/>
        <v/>
      </c>
      <c r="AY387" s="15"/>
      <c r="AZ387" s="23"/>
      <c r="EW387" t="s">
        <v>46</v>
      </c>
      <c r="EX387" s="33">
        <v>1386</v>
      </c>
      <c r="EY387" s="33" t="s">
        <v>1006</v>
      </c>
      <c r="EZ387" s="33" t="s">
        <v>1007</v>
      </c>
      <c r="FA387" s="33" t="s">
        <v>343</v>
      </c>
      <c r="FB387" s="33" t="s">
        <v>344</v>
      </c>
      <c r="FC387" s="33" t="s">
        <v>345</v>
      </c>
      <c r="FD387" s="33" t="s">
        <v>346</v>
      </c>
      <c r="FE387" s="33">
        <v>2025</v>
      </c>
      <c r="FF387" s="33" t="s">
        <v>59</v>
      </c>
      <c r="FG387" s="33" t="s">
        <v>477</v>
      </c>
      <c r="FH387" s="33" t="s">
        <v>478</v>
      </c>
      <c r="FI387" s="33" t="s">
        <v>479</v>
      </c>
      <c r="FJ387" t="s">
        <v>59</v>
      </c>
      <c r="FM387" s="32" t="s">
        <v>1008</v>
      </c>
      <c r="FN387" t="s">
        <v>1009</v>
      </c>
      <c r="FO387" t="s">
        <v>1010</v>
      </c>
      <c r="FP387" t="str">
        <f t="shared" si="137"/>
        <v>B</v>
      </c>
      <c r="GU387" s="53">
        <v>157</v>
      </c>
      <c r="GV387" s="53">
        <v>381</v>
      </c>
    </row>
    <row r="388" spans="1:204" ht="15.5" x14ac:dyDescent="0.35">
      <c r="A388" s="95">
        <f t="shared" si="119"/>
        <v>1</v>
      </c>
      <c r="B388" s="11"/>
      <c r="C388" s="11"/>
      <c r="D388" s="92" t="str">
        <f>IFERROR(
IF(AND(OR(Planilla!B388="C",Planilla!B388="c"), VLOOKUP(E388,EX:FJ,13,0)="C"), "OK",IF(AND(OR(Planilla!B388="C",Planilla!B388="c"), OR(VLOOKUP(E388,EX:FJ,13,0)="B", VLOOKUP(E388,EX:FJ,13,0)="A")), "DEFICIT",IF(
AND(OR(Planilla!B388="B", Planilla!B388="BPAL"), VLOOKUP(E388,EX:FJ,13,0)="B"), "OK",IF(AND(OR(Planilla!B388="B", Planilla!B388="BPAL"), VLOOKUP(E388,EX:FJ,13,0)="A"), "DEFICIT",IF(AND(OR(Planilla!B388="B", Planilla!B388="BPAL"), VLOOKUP(E388,EX:FJ,13,0)="C"), "SOBREOFERTA",IF(AND(Planilla!B388="A", VLOOKUP(E388,EX:FJ,13,0)="A"), "OK",IF(
AND(Planilla!B388="A", OR(VLOOKUP(E388,EX:FJ,13,0)="B", VLOOKUP(E388,EX:FJ,13,0)="C")), "SOBREOFERTA",""
))))))),"")</f>
        <v/>
      </c>
      <c r="E388" s="12"/>
      <c r="F388" s="13"/>
      <c r="G388" s="14"/>
      <c r="H388" s="81" t="str">
        <f t="shared" si="120"/>
        <v/>
      </c>
      <c r="I388" s="7"/>
      <c r="J388" s="6" t="e">
        <f t="shared" si="121"/>
        <v>#N/A</v>
      </c>
      <c r="K388" s="6" t="str">
        <f>IF(A389&lt;&gt;A388,AVERAGEIF(A$9:A388,A388,J$9:J388),"")</f>
        <v/>
      </c>
      <c r="L388" s="7" t="str">
        <f>IFERROR(IF(A389&lt;&gt;A388,AVERAGEIF(A$9:A388,A388,S$9:S388),""),"")</f>
        <v/>
      </c>
      <c r="M388" s="7" t="str">
        <f>IFERROR(IF(A389&lt;&gt;A388,AVERAGEIF(A$9:A388,A388,T$9:T388),""),"")</f>
        <v/>
      </c>
      <c r="N388" s="7" t="str" cm="1">
        <f t="array" ref="N388">IFERROR(IF(A389&lt;&gt;A388,_xlfn.STDEV.P(IF(A$9:A388=A388,T$9:T388)),""),"")</f>
        <v/>
      </c>
      <c r="O388" s="7" t="str" cm="1">
        <f t="array" ref="O388">IFERROR(IF(A389&lt;&gt;A388,_xlfn.STDEV.P(IF(A$9:A388=A388,S$9:S388)),""),"")</f>
        <v/>
      </c>
      <c r="P388" s="8" t="str">
        <f t="shared" si="122"/>
        <v/>
      </c>
      <c r="Q388" s="8" t="str">
        <f t="shared" si="123"/>
        <v/>
      </c>
      <c r="R388" s="8" t="str">
        <f t="shared" si="124"/>
        <v/>
      </c>
      <c r="S388" s="9" t="str">
        <f t="shared" si="125"/>
        <v/>
      </c>
      <c r="T388" s="9" t="str">
        <f t="shared" si="126"/>
        <v/>
      </c>
      <c r="U388" s="14"/>
      <c r="V388" s="15"/>
      <c r="W388" s="14" t="str">
        <f t="shared" si="127"/>
        <v/>
      </c>
      <c r="X388" s="15"/>
      <c r="Y388" s="2"/>
      <c r="AB388" s="22">
        <f t="shared" si="128"/>
        <v>1</v>
      </c>
      <c r="AC388" s="11"/>
      <c r="AD388" s="11"/>
      <c r="AE388" s="13"/>
      <c r="AF388" s="12"/>
      <c r="AG388" s="13"/>
      <c r="AH388" s="14"/>
      <c r="AI388" s="81" t="str">
        <f t="shared" si="129"/>
        <v/>
      </c>
      <c r="AJ388" s="15"/>
      <c r="AK388" s="6" t="e">
        <f t="shared" si="130"/>
        <v>#N/A</v>
      </c>
      <c r="AL388" s="6" t="str">
        <f>IF(AB389&lt;&gt;AB388,AVERAGEIF(AB$9:AB388,AB388,AK$9:AK388),"")</f>
        <v/>
      </c>
      <c r="AM388" s="7" t="str">
        <f>IFERROR(IF(AB389&lt;&gt;AB388,AVERAGEIF(AB$9:AB388,AB388,AT$9:AT388),""),"")</f>
        <v/>
      </c>
      <c r="AN388" s="7" t="str">
        <f>IFERROR(IF(AB389&lt;&gt;AB388,AVERAGEIF(AB$9:AB388,AB388,AU$9:AU388),""),"")</f>
        <v/>
      </c>
      <c r="AO388" s="7" t="str" cm="1">
        <f t="array" ref="AO388">IFERROR(IF(AB389&lt;&gt;AB388,_xlfn.STDEV.P(IF(AB$9:AB388=AB388,AU$9:AU388)),""),"")</f>
        <v/>
      </c>
      <c r="AP388" s="7" t="str" cm="1">
        <f t="array" ref="AP388">IFERROR(IF(AB389&lt;&gt;AB388,_xlfn.STDEV.P(IF(AB$9:AB388=AB388,AT$9:AT388)),""),"")</f>
        <v/>
      </c>
      <c r="AQ388" s="8" t="str">
        <f t="shared" si="131"/>
        <v/>
      </c>
      <c r="AR388" s="8" t="str">
        <f t="shared" si="132"/>
        <v/>
      </c>
      <c r="AS388" s="8" t="str">
        <f t="shared" si="133"/>
        <v/>
      </c>
      <c r="AT388" s="9" t="str">
        <f t="shared" si="134"/>
        <v/>
      </c>
      <c r="AU388" s="9" t="str">
        <f t="shared" si="135"/>
        <v/>
      </c>
      <c r="AV388" s="14"/>
      <c r="AW388" s="15"/>
      <c r="AX388" s="14" t="str">
        <f t="shared" si="136"/>
        <v/>
      </c>
      <c r="AY388" s="15"/>
      <c r="AZ388" s="23"/>
      <c r="EW388" t="s">
        <v>46</v>
      </c>
      <c r="EX388" s="33">
        <v>1387</v>
      </c>
      <c r="EY388" s="33" t="s">
        <v>1011</v>
      </c>
      <c r="EZ388" s="33" t="s">
        <v>1012</v>
      </c>
      <c r="FA388" s="33" t="s">
        <v>343</v>
      </c>
      <c r="FB388" s="33" t="s">
        <v>344</v>
      </c>
      <c r="FC388" s="33" t="s">
        <v>345</v>
      </c>
      <c r="FD388" s="33" t="s">
        <v>346</v>
      </c>
      <c r="FE388" s="33">
        <v>2025</v>
      </c>
      <c r="FF388" s="33" t="s">
        <v>59</v>
      </c>
      <c r="FG388" s="33" t="s">
        <v>477</v>
      </c>
      <c r="FH388" s="33" t="s">
        <v>478</v>
      </c>
      <c r="FI388" s="33" t="s">
        <v>479</v>
      </c>
      <c r="FJ388" t="s">
        <v>59</v>
      </c>
      <c r="FM388" s="32" t="s">
        <v>1008</v>
      </c>
      <c r="FN388" t="s">
        <v>1009</v>
      </c>
      <c r="FO388" t="s">
        <v>1010</v>
      </c>
      <c r="FP388" t="str">
        <f t="shared" si="137"/>
        <v>B</v>
      </c>
      <c r="GU388" s="53">
        <v>158</v>
      </c>
      <c r="GV388" s="53">
        <v>382</v>
      </c>
    </row>
    <row r="389" spans="1:204" ht="15.5" x14ac:dyDescent="0.35">
      <c r="A389" s="95">
        <f t="shared" si="119"/>
        <v>1</v>
      </c>
      <c r="B389" s="11"/>
      <c r="C389" s="11"/>
      <c r="D389" s="92" t="str">
        <f>IFERROR(
IF(AND(OR(Planilla!B389="C",Planilla!B389="c"), VLOOKUP(E389,EX:FJ,13,0)="C"), "OK",IF(AND(OR(Planilla!B389="C",Planilla!B389="c"), OR(VLOOKUP(E389,EX:FJ,13,0)="B", VLOOKUP(E389,EX:FJ,13,0)="A")), "DEFICIT",IF(
AND(OR(Planilla!B389="B", Planilla!B389="BPAL"), VLOOKUP(E389,EX:FJ,13,0)="B"), "OK",IF(AND(OR(Planilla!B389="B", Planilla!B389="BPAL"), VLOOKUP(E389,EX:FJ,13,0)="A"), "DEFICIT",IF(AND(OR(Planilla!B389="B", Planilla!B389="BPAL"), VLOOKUP(E389,EX:FJ,13,0)="C"), "SOBREOFERTA",IF(AND(Planilla!B389="A", VLOOKUP(E389,EX:FJ,13,0)="A"), "OK",IF(
AND(Planilla!B389="A", OR(VLOOKUP(E389,EX:FJ,13,0)="B", VLOOKUP(E389,EX:FJ,13,0)="C")), "SOBREOFERTA",""
))))))),"")</f>
        <v/>
      </c>
      <c r="E389" s="12"/>
      <c r="F389" s="13"/>
      <c r="G389" s="14"/>
      <c r="H389" s="81" t="str">
        <f t="shared" si="120"/>
        <v/>
      </c>
      <c r="I389" s="7"/>
      <c r="J389" s="6" t="e">
        <f t="shared" si="121"/>
        <v>#N/A</v>
      </c>
      <c r="K389" s="6" t="str">
        <f>IF(A390&lt;&gt;A389,AVERAGEIF(A$9:A389,A389,J$9:J389),"")</f>
        <v/>
      </c>
      <c r="L389" s="7" t="str">
        <f>IFERROR(IF(A390&lt;&gt;A389,AVERAGEIF(A$9:A389,A389,S$9:S389),""),"")</f>
        <v/>
      </c>
      <c r="M389" s="7" t="str">
        <f>IFERROR(IF(A390&lt;&gt;A389,AVERAGEIF(A$9:A389,A389,T$9:T389),""),"")</f>
        <v/>
      </c>
      <c r="N389" s="7" t="str" cm="1">
        <f t="array" ref="N389">IFERROR(IF(A390&lt;&gt;A389,_xlfn.STDEV.P(IF(A$9:A389=A389,T$9:T389)),""),"")</f>
        <v/>
      </c>
      <c r="O389" s="7" t="str" cm="1">
        <f t="array" ref="O389">IFERROR(IF(A390&lt;&gt;A389,_xlfn.STDEV.P(IF(A$9:A389=A389,S$9:S389)),""),"")</f>
        <v/>
      </c>
      <c r="P389" s="8" t="str">
        <f t="shared" si="122"/>
        <v/>
      </c>
      <c r="Q389" s="8" t="str">
        <f t="shared" si="123"/>
        <v/>
      </c>
      <c r="R389" s="8" t="str">
        <f t="shared" si="124"/>
        <v/>
      </c>
      <c r="S389" s="9" t="str">
        <f t="shared" si="125"/>
        <v/>
      </c>
      <c r="T389" s="9" t="str">
        <f t="shared" si="126"/>
        <v/>
      </c>
      <c r="U389" s="14"/>
      <c r="V389" s="15"/>
      <c r="W389" s="14" t="str">
        <f t="shared" si="127"/>
        <v/>
      </c>
      <c r="X389" s="15"/>
      <c r="Y389" s="2"/>
      <c r="AB389" s="22">
        <f t="shared" si="128"/>
        <v>1</v>
      </c>
      <c r="AC389" s="11"/>
      <c r="AD389" s="11"/>
      <c r="AE389" s="13"/>
      <c r="AF389" s="12"/>
      <c r="AG389" s="13"/>
      <c r="AH389" s="14"/>
      <c r="AI389" s="81" t="str">
        <f t="shared" si="129"/>
        <v/>
      </c>
      <c r="AJ389" s="15"/>
      <c r="AK389" s="6" t="e">
        <f t="shared" si="130"/>
        <v>#N/A</v>
      </c>
      <c r="AL389" s="6" t="str">
        <f>IF(AB390&lt;&gt;AB389,AVERAGEIF(AB$9:AB389,AB389,AK$9:AK389),"")</f>
        <v/>
      </c>
      <c r="AM389" s="7" t="str">
        <f>IFERROR(IF(AB390&lt;&gt;AB389,AVERAGEIF(AB$9:AB389,AB389,AT$9:AT389),""),"")</f>
        <v/>
      </c>
      <c r="AN389" s="7" t="str">
        <f>IFERROR(IF(AB390&lt;&gt;AB389,AVERAGEIF(AB$9:AB389,AB389,AU$9:AU389),""),"")</f>
        <v/>
      </c>
      <c r="AO389" s="7" t="str" cm="1">
        <f t="array" ref="AO389">IFERROR(IF(AB390&lt;&gt;AB389,_xlfn.STDEV.P(IF(AB$9:AB389=AB389,AU$9:AU389)),""),"")</f>
        <v/>
      </c>
      <c r="AP389" s="7" t="str" cm="1">
        <f t="array" ref="AP389">IFERROR(IF(AB390&lt;&gt;AB389,_xlfn.STDEV.P(IF(AB$9:AB389=AB389,AT$9:AT389)),""),"")</f>
        <v/>
      </c>
      <c r="AQ389" s="8" t="str">
        <f t="shared" si="131"/>
        <v/>
      </c>
      <c r="AR389" s="8" t="str">
        <f t="shared" si="132"/>
        <v/>
      </c>
      <c r="AS389" s="8" t="str">
        <f t="shared" si="133"/>
        <v/>
      </c>
      <c r="AT389" s="9" t="str">
        <f t="shared" si="134"/>
        <v/>
      </c>
      <c r="AU389" s="9" t="str">
        <f t="shared" si="135"/>
        <v/>
      </c>
      <c r="AV389" s="14"/>
      <c r="AW389" s="15"/>
      <c r="AX389" s="14" t="str">
        <f t="shared" si="136"/>
        <v/>
      </c>
      <c r="AY389" s="15"/>
      <c r="AZ389" s="23"/>
      <c r="EW389" t="s">
        <v>46</v>
      </c>
      <c r="EX389" s="33">
        <v>1388</v>
      </c>
      <c r="EY389" s="33" t="s">
        <v>1013</v>
      </c>
      <c r="EZ389" s="33" t="s">
        <v>1014</v>
      </c>
      <c r="FA389" s="33" t="s">
        <v>343</v>
      </c>
      <c r="FB389" s="33" t="s">
        <v>344</v>
      </c>
      <c r="FC389" s="33" t="s">
        <v>345</v>
      </c>
      <c r="FD389" s="33" t="s">
        <v>346</v>
      </c>
      <c r="FE389" s="33">
        <v>2025</v>
      </c>
      <c r="FF389" s="33" t="s">
        <v>59</v>
      </c>
      <c r="FG389" s="33" t="s">
        <v>477</v>
      </c>
      <c r="FH389" s="33" t="s">
        <v>478</v>
      </c>
      <c r="FI389" s="33" t="s">
        <v>479</v>
      </c>
      <c r="FJ389" t="s">
        <v>59</v>
      </c>
      <c r="FM389" s="32" t="s">
        <v>1008</v>
      </c>
      <c r="FN389" t="s">
        <v>1009</v>
      </c>
      <c r="FO389" t="s">
        <v>1010</v>
      </c>
      <c r="FP389" t="str">
        <f t="shared" si="137"/>
        <v>B</v>
      </c>
      <c r="GU389" s="53">
        <v>159</v>
      </c>
      <c r="GV389" s="53">
        <v>383</v>
      </c>
    </row>
    <row r="390" spans="1:204" ht="15.5" x14ac:dyDescent="0.35">
      <c r="A390" s="95">
        <f t="shared" si="119"/>
        <v>1</v>
      </c>
      <c r="B390" s="11"/>
      <c r="C390" s="11"/>
      <c r="D390" s="92" t="str">
        <f>IFERROR(
IF(AND(OR(Planilla!B390="C",Planilla!B390="c"), VLOOKUP(E390,EX:FJ,13,0)="C"), "OK",IF(AND(OR(Planilla!B390="C",Planilla!B390="c"), OR(VLOOKUP(E390,EX:FJ,13,0)="B", VLOOKUP(E390,EX:FJ,13,0)="A")), "DEFICIT",IF(
AND(OR(Planilla!B390="B", Planilla!B390="BPAL"), VLOOKUP(E390,EX:FJ,13,0)="B"), "OK",IF(AND(OR(Planilla!B390="B", Planilla!B390="BPAL"), VLOOKUP(E390,EX:FJ,13,0)="A"), "DEFICIT",IF(AND(OR(Planilla!B390="B", Planilla!B390="BPAL"), VLOOKUP(E390,EX:FJ,13,0)="C"), "SOBREOFERTA",IF(AND(Planilla!B390="A", VLOOKUP(E390,EX:FJ,13,0)="A"), "OK",IF(
AND(Planilla!B390="A", OR(VLOOKUP(E390,EX:FJ,13,0)="B", VLOOKUP(E390,EX:FJ,13,0)="C")), "SOBREOFERTA",""
))))))),"")</f>
        <v/>
      </c>
      <c r="E390" s="12"/>
      <c r="F390" s="13"/>
      <c r="G390" s="14"/>
      <c r="H390" s="81" t="str">
        <f t="shared" si="120"/>
        <v/>
      </c>
      <c r="I390" s="7"/>
      <c r="J390" s="6" t="e">
        <f t="shared" si="121"/>
        <v>#N/A</v>
      </c>
      <c r="K390" s="6" t="str">
        <f>IF(A391&lt;&gt;A390,AVERAGEIF(A$9:A390,A390,J$9:J390),"")</f>
        <v/>
      </c>
      <c r="L390" s="7" t="str">
        <f>IFERROR(IF(A391&lt;&gt;A390,AVERAGEIF(A$9:A390,A390,S$9:S390),""),"")</f>
        <v/>
      </c>
      <c r="M390" s="7" t="str">
        <f>IFERROR(IF(A391&lt;&gt;A390,AVERAGEIF(A$9:A390,A390,T$9:T390),""),"")</f>
        <v/>
      </c>
      <c r="N390" s="7" t="str" cm="1">
        <f t="array" ref="N390">IFERROR(IF(A391&lt;&gt;A390,_xlfn.STDEV.P(IF(A$9:A390=A390,T$9:T390)),""),"")</f>
        <v/>
      </c>
      <c r="O390" s="7" t="str" cm="1">
        <f t="array" ref="O390">IFERROR(IF(A391&lt;&gt;A390,_xlfn.STDEV.P(IF(A$9:A390=A390,S$9:S390)),""),"")</f>
        <v/>
      </c>
      <c r="P390" s="8" t="str">
        <f t="shared" si="122"/>
        <v/>
      </c>
      <c r="Q390" s="8" t="str">
        <f t="shared" si="123"/>
        <v/>
      </c>
      <c r="R390" s="8" t="str">
        <f t="shared" si="124"/>
        <v/>
      </c>
      <c r="S390" s="9" t="str">
        <f t="shared" si="125"/>
        <v/>
      </c>
      <c r="T390" s="9" t="str">
        <f t="shared" si="126"/>
        <v/>
      </c>
      <c r="U390" s="14"/>
      <c r="V390" s="15"/>
      <c r="W390" s="14" t="str">
        <f t="shared" si="127"/>
        <v/>
      </c>
      <c r="X390" s="15"/>
      <c r="Y390" s="2"/>
      <c r="AB390" s="22">
        <f t="shared" si="128"/>
        <v>1</v>
      </c>
      <c r="AC390" s="11"/>
      <c r="AD390" s="11"/>
      <c r="AE390" s="13"/>
      <c r="AF390" s="12"/>
      <c r="AG390" s="13"/>
      <c r="AH390" s="14"/>
      <c r="AI390" s="81" t="str">
        <f t="shared" si="129"/>
        <v/>
      </c>
      <c r="AJ390" s="15"/>
      <c r="AK390" s="6" t="e">
        <f t="shared" si="130"/>
        <v>#N/A</v>
      </c>
      <c r="AL390" s="6" t="str">
        <f>IF(AB391&lt;&gt;AB390,AVERAGEIF(AB$9:AB390,AB390,AK$9:AK390),"")</f>
        <v/>
      </c>
      <c r="AM390" s="7" t="str">
        <f>IFERROR(IF(AB391&lt;&gt;AB390,AVERAGEIF(AB$9:AB390,AB390,AT$9:AT390),""),"")</f>
        <v/>
      </c>
      <c r="AN390" s="7" t="str">
        <f>IFERROR(IF(AB391&lt;&gt;AB390,AVERAGEIF(AB$9:AB390,AB390,AU$9:AU390),""),"")</f>
        <v/>
      </c>
      <c r="AO390" s="7" t="str" cm="1">
        <f t="array" ref="AO390">IFERROR(IF(AB391&lt;&gt;AB390,_xlfn.STDEV.P(IF(AB$9:AB390=AB390,AU$9:AU390)),""),"")</f>
        <v/>
      </c>
      <c r="AP390" s="7" t="str" cm="1">
        <f t="array" ref="AP390">IFERROR(IF(AB391&lt;&gt;AB390,_xlfn.STDEV.P(IF(AB$9:AB390=AB390,AT$9:AT390)),""),"")</f>
        <v/>
      </c>
      <c r="AQ390" s="8" t="str">
        <f t="shared" si="131"/>
        <v/>
      </c>
      <c r="AR390" s="8" t="str">
        <f t="shared" si="132"/>
        <v/>
      </c>
      <c r="AS390" s="8" t="str">
        <f t="shared" si="133"/>
        <v/>
      </c>
      <c r="AT390" s="9" t="str">
        <f t="shared" si="134"/>
        <v/>
      </c>
      <c r="AU390" s="9" t="str">
        <f t="shared" si="135"/>
        <v/>
      </c>
      <c r="AV390" s="14"/>
      <c r="AW390" s="15"/>
      <c r="AX390" s="14" t="str">
        <f t="shared" si="136"/>
        <v/>
      </c>
      <c r="AY390" s="15"/>
      <c r="AZ390" s="23"/>
      <c r="EW390" t="s">
        <v>46</v>
      </c>
      <c r="EX390" s="33">
        <v>1389</v>
      </c>
      <c r="EY390" s="33" t="s">
        <v>1015</v>
      </c>
      <c r="EZ390" s="33" t="s">
        <v>1016</v>
      </c>
      <c r="FA390" s="33" t="s">
        <v>343</v>
      </c>
      <c r="FB390" s="33" t="s">
        <v>344</v>
      </c>
      <c r="FC390" s="33" t="s">
        <v>345</v>
      </c>
      <c r="FD390" s="33" t="s">
        <v>346</v>
      </c>
      <c r="FE390" s="33">
        <v>2025</v>
      </c>
      <c r="FF390" s="33" t="s">
        <v>59</v>
      </c>
      <c r="FG390" s="33" t="s">
        <v>470</v>
      </c>
      <c r="FH390" s="33" t="s">
        <v>471</v>
      </c>
      <c r="FI390" s="33" t="s">
        <v>467</v>
      </c>
      <c r="FJ390" t="s">
        <v>59</v>
      </c>
      <c r="FM390" s="32" t="s">
        <v>1017</v>
      </c>
      <c r="FN390" t="s">
        <v>1018</v>
      </c>
      <c r="FO390" t="s">
        <v>1019</v>
      </c>
      <c r="FP390" t="str">
        <f t="shared" si="137"/>
        <v>B</v>
      </c>
      <c r="GU390" s="53">
        <v>160</v>
      </c>
      <c r="GV390" s="53">
        <v>384</v>
      </c>
    </row>
    <row r="391" spans="1:204" ht="15.5" x14ac:dyDescent="0.35">
      <c r="A391" s="95">
        <f t="shared" si="119"/>
        <v>1</v>
      </c>
      <c r="B391" s="11"/>
      <c r="C391" s="11"/>
      <c r="D391" s="92" t="str">
        <f>IFERROR(
IF(AND(OR(Planilla!B391="C",Planilla!B391="c"), VLOOKUP(E391,EX:FJ,13,0)="C"), "OK",IF(AND(OR(Planilla!B391="C",Planilla!B391="c"), OR(VLOOKUP(E391,EX:FJ,13,0)="B", VLOOKUP(E391,EX:FJ,13,0)="A")), "DEFICIT",IF(
AND(OR(Planilla!B391="B", Planilla!B391="BPAL"), VLOOKUP(E391,EX:FJ,13,0)="B"), "OK",IF(AND(OR(Planilla!B391="B", Planilla!B391="BPAL"), VLOOKUP(E391,EX:FJ,13,0)="A"), "DEFICIT",IF(AND(OR(Planilla!B391="B", Planilla!B391="BPAL"), VLOOKUP(E391,EX:FJ,13,0)="C"), "SOBREOFERTA",IF(AND(Planilla!B391="A", VLOOKUP(E391,EX:FJ,13,0)="A"), "OK",IF(
AND(Planilla!B391="A", OR(VLOOKUP(E391,EX:FJ,13,0)="B", VLOOKUP(E391,EX:FJ,13,0)="C")), "SOBREOFERTA",""
))))))),"")</f>
        <v/>
      </c>
      <c r="E391" s="12"/>
      <c r="F391" s="13"/>
      <c r="G391" s="14"/>
      <c r="H391" s="81" t="str">
        <f t="shared" si="120"/>
        <v/>
      </c>
      <c r="I391" s="7"/>
      <c r="J391" s="6" t="e">
        <f t="shared" si="121"/>
        <v>#N/A</v>
      </c>
      <c r="K391" s="6" t="str">
        <f>IF(A392&lt;&gt;A391,AVERAGEIF(A$9:A391,A391,J$9:J391),"")</f>
        <v/>
      </c>
      <c r="L391" s="7" t="str">
        <f>IFERROR(IF(A392&lt;&gt;A391,AVERAGEIF(A$9:A391,A391,S$9:S391),""),"")</f>
        <v/>
      </c>
      <c r="M391" s="7" t="str">
        <f>IFERROR(IF(A392&lt;&gt;A391,AVERAGEIF(A$9:A391,A391,T$9:T391),""),"")</f>
        <v/>
      </c>
      <c r="N391" s="7" t="str" cm="1">
        <f t="array" ref="N391">IFERROR(IF(A392&lt;&gt;A391,_xlfn.STDEV.P(IF(A$9:A391=A391,T$9:T391)),""),"")</f>
        <v/>
      </c>
      <c r="O391" s="7" t="str" cm="1">
        <f t="array" ref="O391">IFERROR(IF(A392&lt;&gt;A391,_xlfn.STDEV.P(IF(A$9:A391=A391,S$9:S391)),""),"")</f>
        <v/>
      </c>
      <c r="P391" s="8" t="str">
        <f t="shared" si="122"/>
        <v/>
      </c>
      <c r="Q391" s="8" t="str">
        <f t="shared" si="123"/>
        <v/>
      </c>
      <c r="R391" s="8" t="str">
        <f t="shared" si="124"/>
        <v/>
      </c>
      <c r="S391" s="9" t="str">
        <f t="shared" si="125"/>
        <v/>
      </c>
      <c r="T391" s="9" t="str">
        <f t="shared" si="126"/>
        <v/>
      </c>
      <c r="U391" s="14"/>
      <c r="V391" s="15"/>
      <c r="W391" s="14" t="str">
        <f t="shared" si="127"/>
        <v/>
      </c>
      <c r="X391" s="15"/>
      <c r="Y391" s="2"/>
      <c r="AB391" s="22">
        <f t="shared" si="128"/>
        <v>1</v>
      </c>
      <c r="AC391" s="11"/>
      <c r="AD391" s="11"/>
      <c r="AE391" s="13"/>
      <c r="AF391" s="12"/>
      <c r="AG391" s="13"/>
      <c r="AH391" s="14"/>
      <c r="AI391" s="81" t="str">
        <f t="shared" si="129"/>
        <v/>
      </c>
      <c r="AJ391" s="15"/>
      <c r="AK391" s="6" t="e">
        <f t="shared" si="130"/>
        <v>#N/A</v>
      </c>
      <c r="AL391" s="6" t="str">
        <f>IF(AB392&lt;&gt;AB391,AVERAGEIF(AB$9:AB391,AB391,AK$9:AK391),"")</f>
        <v/>
      </c>
      <c r="AM391" s="7" t="str">
        <f>IFERROR(IF(AB392&lt;&gt;AB391,AVERAGEIF(AB$9:AB391,AB391,AT$9:AT391),""),"")</f>
        <v/>
      </c>
      <c r="AN391" s="7" t="str">
        <f>IFERROR(IF(AB392&lt;&gt;AB391,AVERAGEIF(AB$9:AB391,AB391,AU$9:AU391),""),"")</f>
        <v/>
      </c>
      <c r="AO391" s="7" t="str" cm="1">
        <f t="array" ref="AO391">IFERROR(IF(AB392&lt;&gt;AB391,_xlfn.STDEV.P(IF(AB$9:AB391=AB391,AU$9:AU391)),""),"")</f>
        <v/>
      </c>
      <c r="AP391" s="7" t="str" cm="1">
        <f t="array" ref="AP391">IFERROR(IF(AB392&lt;&gt;AB391,_xlfn.STDEV.P(IF(AB$9:AB391=AB391,AT$9:AT391)),""),"")</f>
        <v/>
      </c>
      <c r="AQ391" s="8" t="str">
        <f t="shared" si="131"/>
        <v/>
      </c>
      <c r="AR391" s="8" t="str">
        <f t="shared" si="132"/>
        <v/>
      </c>
      <c r="AS391" s="8" t="str">
        <f t="shared" si="133"/>
        <v/>
      </c>
      <c r="AT391" s="9" t="str">
        <f t="shared" si="134"/>
        <v/>
      </c>
      <c r="AU391" s="9" t="str">
        <f t="shared" si="135"/>
        <v/>
      </c>
      <c r="AV391" s="14"/>
      <c r="AW391" s="15"/>
      <c r="AX391" s="14" t="str">
        <f t="shared" si="136"/>
        <v/>
      </c>
      <c r="AY391" s="15"/>
      <c r="AZ391" s="23"/>
      <c r="EW391" t="s">
        <v>46</v>
      </c>
      <c r="EX391" s="33">
        <v>1390</v>
      </c>
      <c r="EY391" s="33" t="s">
        <v>1020</v>
      </c>
      <c r="EZ391" s="33" t="s">
        <v>1021</v>
      </c>
      <c r="FA391" s="33" t="s">
        <v>343</v>
      </c>
      <c r="FB391" s="33" t="s">
        <v>344</v>
      </c>
      <c r="FC391" s="33" t="s">
        <v>345</v>
      </c>
      <c r="FD391" s="33" t="s">
        <v>346</v>
      </c>
      <c r="FE391" s="33">
        <v>2025</v>
      </c>
      <c r="FF391" s="33" t="s">
        <v>59</v>
      </c>
      <c r="FG391" s="33" t="s">
        <v>470</v>
      </c>
      <c r="FH391" s="33" t="s">
        <v>471</v>
      </c>
      <c r="FI391" s="33" t="s">
        <v>467</v>
      </c>
      <c r="FJ391" t="s">
        <v>59</v>
      </c>
      <c r="FM391" s="32" t="s">
        <v>1017</v>
      </c>
      <c r="FN391" t="s">
        <v>1018</v>
      </c>
      <c r="FO391" t="s">
        <v>1019</v>
      </c>
      <c r="FP391" t="str">
        <f t="shared" si="137"/>
        <v>B</v>
      </c>
      <c r="GU391" s="53">
        <v>161</v>
      </c>
      <c r="GV391" s="53">
        <v>385</v>
      </c>
    </row>
    <row r="392" spans="1:204" ht="15.5" x14ac:dyDescent="0.35">
      <c r="A392" s="95">
        <f t="shared" si="119"/>
        <v>1</v>
      </c>
      <c r="B392" s="11"/>
      <c r="C392" s="11"/>
      <c r="D392" s="92" t="str">
        <f>IFERROR(
IF(AND(OR(Planilla!B392="C",Planilla!B392="c"), VLOOKUP(E392,EX:FJ,13,0)="C"), "OK",IF(AND(OR(Planilla!B392="C",Planilla!B392="c"), OR(VLOOKUP(E392,EX:FJ,13,0)="B", VLOOKUP(E392,EX:FJ,13,0)="A")), "DEFICIT",IF(
AND(OR(Planilla!B392="B", Planilla!B392="BPAL"), VLOOKUP(E392,EX:FJ,13,0)="B"), "OK",IF(AND(OR(Planilla!B392="B", Planilla!B392="BPAL"), VLOOKUP(E392,EX:FJ,13,0)="A"), "DEFICIT",IF(AND(OR(Planilla!B392="B", Planilla!B392="BPAL"), VLOOKUP(E392,EX:FJ,13,0)="C"), "SOBREOFERTA",IF(AND(Planilla!B392="A", VLOOKUP(E392,EX:FJ,13,0)="A"), "OK",IF(
AND(Planilla!B392="A", OR(VLOOKUP(E392,EX:FJ,13,0)="B", VLOOKUP(E392,EX:FJ,13,0)="C")), "SOBREOFERTA",""
))))))),"")</f>
        <v/>
      </c>
      <c r="E392" s="12"/>
      <c r="F392" s="13"/>
      <c r="G392" s="14"/>
      <c r="H392" s="81" t="str">
        <f t="shared" si="120"/>
        <v/>
      </c>
      <c r="I392" s="7"/>
      <c r="J392" s="6" t="e">
        <f t="shared" si="121"/>
        <v>#N/A</v>
      </c>
      <c r="K392" s="6" t="str">
        <f>IF(A393&lt;&gt;A392,AVERAGEIF(A$9:A392,A392,J$9:J392),"")</f>
        <v/>
      </c>
      <c r="L392" s="7" t="str">
        <f>IFERROR(IF(A393&lt;&gt;A392,AVERAGEIF(A$9:A392,A392,S$9:S392),""),"")</f>
        <v/>
      </c>
      <c r="M392" s="7" t="str">
        <f>IFERROR(IF(A393&lt;&gt;A392,AVERAGEIF(A$9:A392,A392,T$9:T392),""),"")</f>
        <v/>
      </c>
      <c r="N392" s="7" t="str" cm="1">
        <f t="array" ref="N392">IFERROR(IF(A393&lt;&gt;A392,_xlfn.STDEV.P(IF(A$9:A392=A392,T$9:T392)),""),"")</f>
        <v/>
      </c>
      <c r="O392" s="7" t="str" cm="1">
        <f t="array" ref="O392">IFERROR(IF(A393&lt;&gt;A392,_xlfn.STDEV.P(IF(A$9:A392=A392,S$9:S392)),""),"")</f>
        <v/>
      </c>
      <c r="P392" s="8" t="str">
        <f t="shared" si="122"/>
        <v/>
      </c>
      <c r="Q392" s="8" t="str">
        <f t="shared" si="123"/>
        <v/>
      </c>
      <c r="R392" s="8" t="str">
        <f t="shared" si="124"/>
        <v/>
      </c>
      <c r="S392" s="9" t="str">
        <f t="shared" si="125"/>
        <v/>
      </c>
      <c r="T392" s="9" t="str">
        <f t="shared" si="126"/>
        <v/>
      </c>
      <c r="U392" s="14"/>
      <c r="V392" s="15"/>
      <c r="W392" s="14" t="str">
        <f t="shared" si="127"/>
        <v/>
      </c>
      <c r="X392" s="15"/>
      <c r="Y392" s="2"/>
      <c r="AB392" s="22">
        <f t="shared" si="128"/>
        <v>1</v>
      </c>
      <c r="AC392" s="11"/>
      <c r="AD392" s="11"/>
      <c r="AE392" s="13"/>
      <c r="AF392" s="12"/>
      <c r="AG392" s="13"/>
      <c r="AH392" s="14"/>
      <c r="AI392" s="81" t="str">
        <f t="shared" si="129"/>
        <v/>
      </c>
      <c r="AJ392" s="15"/>
      <c r="AK392" s="6" t="e">
        <f t="shared" si="130"/>
        <v>#N/A</v>
      </c>
      <c r="AL392" s="6" t="str">
        <f>IF(AB393&lt;&gt;AB392,AVERAGEIF(AB$9:AB392,AB392,AK$9:AK392),"")</f>
        <v/>
      </c>
      <c r="AM392" s="7" t="str">
        <f>IFERROR(IF(AB393&lt;&gt;AB392,AVERAGEIF(AB$9:AB392,AB392,AT$9:AT392),""),"")</f>
        <v/>
      </c>
      <c r="AN392" s="7" t="str">
        <f>IFERROR(IF(AB393&lt;&gt;AB392,AVERAGEIF(AB$9:AB392,AB392,AU$9:AU392),""),"")</f>
        <v/>
      </c>
      <c r="AO392" s="7" t="str" cm="1">
        <f t="array" ref="AO392">IFERROR(IF(AB393&lt;&gt;AB392,_xlfn.STDEV.P(IF(AB$9:AB392=AB392,AU$9:AU392)),""),"")</f>
        <v/>
      </c>
      <c r="AP392" s="7" t="str" cm="1">
        <f t="array" ref="AP392">IFERROR(IF(AB393&lt;&gt;AB392,_xlfn.STDEV.P(IF(AB$9:AB392=AB392,AT$9:AT392)),""),"")</f>
        <v/>
      </c>
      <c r="AQ392" s="8" t="str">
        <f t="shared" si="131"/>
        <v/>
      </c>
      <c r="AR392" s="8" t="str">
        <f t="shared" si="132"/>
        <v/>
      </c>
      <c r="AS392" s="8" t="str">
        <f t="shared" si="133"/>
        <v/>
      </c>
      <c r="AT392" s="9" t="str">
        <f t="shared" si="134"/>
        <v/>
      </c>
      <c r="AU392" s="9" t="str">
        <f t="shared" si="135"/>
        <v/>
      </c>
      <c r="AV392" s="14"/>
      <c r="AW392" s="15"/>
      <c r="AX392" s="14" t="str">
        <f t="shared" si="136"/>
        <v/>
      </c>
      <c r="AY392" s="15"/>
      <c r="AZ392" s="23"/>
      <c r="EW392" t="s">
        <v>46</v>
      </c>
      <c r="EX392" s="33">
        <v>1391</v>
      </c>
      <c r="EY392" s="33" t="s">
        <v>1022</v>
      </c>
      <c r="EZ392" s="33" t="s">
        <v>1023</v>
      </c>
      <c r="FA392" s="33" t="s">
        <v>343</v>
      </c>
      <c r="FB392" s="33" t="s">
        <v>344</v>
      </c>
      <c r="FC392" s="33" t="s">
        <v>345</v>
      </c>
      <c r="FD392" s="33" t="s">
        <v>346</v>
      </c>
      <c r="FE392" s="33">
        <v>2025</v>
      </c>
      <c r="FF392" s="33" t="s">
        <v>59</v>
      </c>
      <c r="FG392" s="33" t="s">
        <v>470</v>
      </c>
      <c r="FH392" s="33" t="s">
        <v>471</v>
      </c>
      <c r="FI392" s="33" t="s">
        <v>467</v>
      </c>
      <c r="FJ392" t="s">
        <v>59</v>
      </c>
      <c r="FM392" s="32" t="s">
        <v>1017</v>
      </c>
      <c r="FN392" t="s">
        <v>1018</v>
      </c>
      <c r="FO392" t="s">
        <v>1019</v>
      </c>
      <c r="FP392" t="str">
        <f t="shared" si="137"/>
        <v>B</v>
      </c>
      <c r="GU392" s="53">
        <v>162</v>
      </c>
      <c r="GV392" s="53">
        <v>386</v>
      </c>
    </row>
    <row r="393" spans="1:204" ht="15.5" x14ac:dyDescent="0.35">
      <c r="A393" s="95">
        <f t="shared" si="119"/>
        <v>1</v>
      </c>
      <c r="B393" s="11"/>
      <c r="C393" s="11"/>
      <c r="D393" s="92" t="str">
        <f>IFERROR(
IF(AND(OR(Planilla!B393="C",Planilla!B393="c"), VLOOKUP(E393,EX:FJ,13,0)="C"), "OK",IF(AND(OR(Planilla!B393="C",Planilla!B393="c"), OR(VLOOKUP(E393,EX:FJ,13,0)="B", VLOOKUP(E393,EX:FJ,13,0)="A")), "DEFICIT",IF(
AND(OR(Planilla!B393="B", Planilla!B393="BPAL"), VLOOKUP(E393,EX:FJ,13,0)="B"), "OK",IF(AND(OR(Planilla!B393="B", Planilla!B393="BPAL"), VLOOKUP(E393,EX:FJ,13,0)="A"), "DEFICIT",IF(AND(OR(Planilla!B393="B", Planilla!B393="BPAL"), VLOOKUP(E393,EX:FJ,13,0)="C"), "SOBREOFERTA",IF(AND(Planilla!B393="A", VLOOKUP(E393,EX:FJ,13,0)="A"), "OK",IF(
AND(Planilla!B393="A", OR(VLOOKUP(E393,EX:FJ,13,0)="B", VLOOKUP(E393,EX:FJ,13,0)="C")), "SOBREOFERTA",""
))))))),"")</f>
        <v/>
      </c>
      <c r="E393" s="12"/>
      <c r="F393" s="13"/>
      <c r="G393" s="14"/>
      <c r="H393" s="81" t="str">
        <f t="shared" si="120"/>
        <v/>
      </c>
      <c r="I393" s="7"/>
      <c r="J393" s="6" t="e">
        <f t="shared" si="121"/>
        <v>#N/A</v>
      </c>
      <c r="K393" s="6" t="str">
        <f>IF(A394&lt;&gt;A393,AVERAGEIF(A$9:A393,A393,J$9:J393),"")</f>
        <v/>
      </c>
      <c r="L393" s="7" t="str">
        <f>IFERROR(IF(A394&lt;&gt;A393,AVERAGEIF(A$9:A393,A393,S$9:S393),""),"")</f>
        <v/>
      </c>
      <c r="M393" s="7" t="str">
        <f>IFERROR(IF(A394&lt;&gt;A393,AVERAGEIF(A$9:A393,A393,T$9:T393),""),"")</f>
        <v/>
      </c>
      <c r="N393" s="7" t="str" cm="1">
        <f t="array" ref="N393">IFERROR(IF(A394&lt;&gt;A393,_xlfn.STDEV.P(IF(A$9:A393=A393,T$9:T393)),""),"")</f>
        <v/>
      </c>
      <c r="O393" s="7" t="str" cm="1">
        <f t="array" ref="O393">IFERROR(IF(A394&lt;&gt;A393,_xlfn.STDEV.P(IF(A$9:A393=A393,S$9:S393)),""),"")</f>
        <v/>
      </c>
      <c r="P393" s="8" t="str">
        <f t="shared" si="122"/>
        <v/>
      </c>
      <c r="Q393" s="8" t="str">
        <f t="shared" si="123"/>
        <v/>
      </c>
      <c r="R393" s="8" t="str">
        <f t="shared" si="124"/>
        <v/>
      </c>
      <c r="S393" s="9" t="str">
        <f t="shared" si="125"/>
        <v/>
      </c>
      <c r="T393" s="9" t="str">
        <f t="shared" si="126"/>
        <v/>
      </c>
      <c r="U393" s="14"/>
      <c r="V393" s="15"/>
      <c r="W393" s="14" t="str">
        <f t="shared" si="127"/>
        <v/>
      </c>
      <c r="X393" s="15"/>
      <c r="Y393" s="2"/>
      <c r="AB393" s="22">
        <f t="shared" si="128"/>
        <v>1</v>
      </c>
      <c r="AC393" s="11"/>
      <c r="AD393" s="11"/>
      <c r="AE393" s="13"/>
      <c r="AF393" s="12"/>
      <c r="AG393" s="13"/>
      <c r="AH393" s="14"/>
      <c r="AI393" s="81" t="str">
        <f t="shared" si="129"/>
        <v/>
      </c>
      <c r="AJ393" s="15"/>
      <c r="AK393" s="6" t="e">
        <f t="shared" si="130"/>
        <v>#N/A</v>
      </c>
      <c r="AL393" s="6" t="str">
        <f>IF(AB394&lt;&gt;AB393,AVERAGEIF(AB$9:AB393,AB393,AK$9:AK393),"")</f>
        <v/>
      </c>
      <c r="AM393" s="7" t="str">
        <f>IFERROR(IF(AB394&lt;&gt;AB393,AVERAGEIF(AB$9:AB393,AB393,AT$9:AT393),""),"")</f>
        <v/>
      </c>
      <c r="AN393" s="7" t="str">
        <f>IFERROR(IF(AB394&lt;&gt;AB393,AVERAGEIF(AB$9:AB393,AB393,AU$9:AU393),""),"")</f>
        <v/>
      </c>
      <c r="AO393" s="7" t="str" cm="1">
        <f t="array" ref="AO393">IFERROR(IF(AB394&lt;&gt;AB393,_xlfn.STDEV.P(IF(AB$9:AB393=AB393,AU$9:AU393)),""),"")</f>
        <v/>
      </c>
      <c r="AP393" s="7" t="str" cm="1">
        <f t="array" ref="AP393">IFERROR(IF(AB394&lt;&gt;AB393,_xlfn.STDEV.P(IF(AB$9:AB393=AB393,AT$9:AT393)),""),"")</f>
        <v/>
      </c>
      <c r="AQ393" s="8" t="str">
        <f t="shared" si="131"/>
        <v/>
      </c>
      <c r="AR393" s="8" t="str">
        <f t="shared" si="132"/>
        <v/>
      </c>
      <c r="AS393" s="8" t="str">
        <f t="shared" si="133"/>
        <v/>
      </c>
      <c r="AT393" s="9" t="str">
        <f t="shared" si="134"/>
        <v/>
      </c>
      <c r="AU393" s="9" t="str">
        <f t="shared" si="135"/>
        <v/>
      </c>
      <c r="AV393" s="14"/>
      <c r="AW393" s="15"/>
      <c r="AX393" s="14" t="str">
        <f t="shared" si="136"/>
        <v/>
      </c>
      <c r="AY393" s="15"/>
      <c r="AZ393" s="23"/>
      <c r="EW393" t="s">
        <v>46</v>
      </c>
      <c r="EX393" s="33">
        <v>1392</v>
      </c>
      <c r="EY393" s="33" t="s">
        <v>1024</v>
      </c>
      <c r="EZ393" s="33" t="s">
        <v>1025</v>
      </c>
      <c r="FA393" s="33" t="s">
        <v>343</v>
      </c>
      <c r="FB393" s="33" t="s">
        <v>344</v>
      </c>
      <c r="FC393" s="33" t="s">
        <v>345</v>
      </c>
      <c r="FD393" s="33" t="s">
        <v>346</v>
      </c>
      <c r="FE393" s="33">
        <v>2025</v>
      </c>
      <c r="FF393" s="33" t="s">
        <v>59</v>
      </c>
      <c r="FG393" s="33" t="s">
        <v>477</v>
      </c>
      <c r="FH393" s="33" t="s">
        <v>478</v>
      </c>
      <c r="FI393" s="33" t="s">
        <v>479</v>
      </c>
      <c r="FJ393" t="s">
        <v>59</v>
      </c>
      <c r="FM393" s="32" t="s">
        <v>1017</v>
      </c>
      <c r="FN393" t="s">
        <v>1018</v>
      </c>
      <c r="FO393" t="s">
        <v>1019</v>
      </c>
      <c r="FP393" t="str">
        <f t="shared" si="137"/>
        <v>B</v>
      </c>
      <c r="GU393" s="53">
        <v>163</v>
      </c>
      <c r="GV393" s="53">
        <v>387</v>
      </c>
    </row>
    <row r="394" spans="1:204" ht="15.5" x14ac:dyDescent="0.35">
      <c r="A394" s="95">
        <f t="shared" si="119"/>
        <v>1</v>
      </c>
      <c r="B394" s="11"/>
      <c r="C394" s="11"/>
      <c r="D394" s="92" t="str">
        <f>IFERROR(
IF(AND(OR(Planilla!B394="C",Planilla!B394="c"), VLOOKUP(E394,EX:FJ,13,0)="C"), "OK",IF(AND(OR(Planilla!B394="C",Planilla!B394="c"), OR(VLOOKUP(E394,EX:FJ,13,0)="B", VLOOKUP(E394,EX:FJ,13,0)="A")), "DEFICIT",IF(
AND(OR(Planilla!B394="B", Planilla!B394="BPAL"), VLOOKUP(E394,EX:FJ,13,0)="B"), "OK",IF(AND(OR(Planilla!B394="B", Planilla!B394="BPAL"), VLOOKUP(E394,EX:FJ,13,0)="A"), "DEFICIT",IF(AND(OR(Planilla!B394="B", Planilla!B394="BPAL"), VLOOKUP(E394,EX:FJ,13,0)="C"), "SOBREOFERTA",IF(AND(Planilla!B394="A", VLOOKUP(E394,EX:FJ,13,0)="A"), "OK",IF(
AND(Planilla!B394="A", OR(VLOOKUP(E394,EX:FJ,13,0)="B", VLOOKUP(E394,EX:FJ,13,0)="C")), "SOBREOFERTA",""
))))))),"")</f>
        <v/>
      </c>
      <c r="E394" s="12"/>
      <c r="F394" s="13"/>
      <c r="G394" s="14"/>
      <c r="H394" s="81" t="str">
        <f t="shared" si="120"/>
        <v/>
      </c>
      <c r="I394" s="7"/>
      <c r="J394" s="6" t="e">
        <f t="shared" si="121"/>
        <v>#N/A</v>
      </c>
      <c r="K394" s="6" t="str">
        <f>IF(A395&lt;&gt;A394,AVERAGEIF(A$9:A394,A394,J$9:J394),"")</f>
        <v/>
      </c>
      <c r="L394" s="7" t="str">
        <f>IFERROR(IF(A395&lt;&gt;A394,AVERAGEIF(A$9:A394,A394,S$9:S394),""),"")</f>
        <v/>
      </c>
      <c r="M394" s="7" t="str">
        <f>IFERROR(IF(A395&lt;&gt;A394,AVERAGEIF(A$9:A394,A394,T$9:T394),""),"")</f>
        <v/>
      </c>
      <c r="N394" s="7" t="str" cm="1">
        <f t="array" ref="N394">IFERROR(IF(A395&lt;&gt;A394,_xlfn.STDEV.P(IF(A$9:A394=A394,T$9:T394)),""),"")</f>
        <v/>
      </c>
      <c r="O394" s="7" t="str" cm="1">
        <f t="array" ref="O394">IFERROR(IF(A395&lt;&gt;A394,_xlfn.STDEV.P(IF(A$9:A394=A394,S$9:S394)),""),"")</f>
        <v/>
      </c>
      <c r="P394" s="8" t="str">
        <f t="shared" si="122"/>
        <v/>
      </c>
      <c r="Q394" s="8" t="str">
        <f t="shared" si="123"/>
        <v/>
      </c>
      <c r="R394" s="8" t="str">
        <f t="shared" si="124"/>
        <v/>
      </c>
      <c r="S394" s="9" t="str">
        <f t="shared" si="125"/>
        <v/>
      </c>
      <c r="T394" s="9" t="str">
        <f t="shared" si="126"/>
        <v/>
      </c>
      <c r="U394" s="14"/>
      <c r="V394" s="15"/>
      <c r="W394" s="14" t="str">
        <f t="shared" si="127"/>
        <v/>
      </c>
      <c r="X394" s="15"/>
      <c r="Y394" s="2"/>
      <c r="AB394" s="22">
        <f t="shared" si="128"/>
        <v>1</v>
      </c>
      <c r="AC394" s="11"/>
      <c r="AD394" s="11"/>
      <c r="AE394" s="13"/>
      <c r="AF394" s="12"/>
      <c r="AG394" s="13"/>
      <c r="AH394" s="14"/>
      <c r="AI394" s="81" t="str">
        <f t="shared" si="129"/>
        <v/>
      </c>
      <c r="AJ394" s="15"/>
      <c r="AK394" s="6" t="e">
        <f t="shared" si="130"/>
        <v>#N/A</v>
      </c>
      <c r="AL394" s="6" t="str">
        <f>IF(AB395&lt;&gt;AB394,AVERAGEIF(AB$9:AB394,AB394,AK$9:AK394),"")</f>
        <v/>
      </c>
      <c r="AM394" s="7" t="str">
        <f>IFERROR(IF(AB395&lt;&gt;AB394,AVERAGEIF(AB$9:AB394,AB394,AT$9:AT394),""),"")</f>
        <v/>
      </c>
      <c r="AN394" s="7" t="str">
        <f>IFERROR(IF(AB395&lt;&gt;AB394,AVERAGEIF(AB$9:AB394,AB394,AU$9:AU394),""),"")</f>
        <v/>
      </c>
      <c r="AO394" s="7" t="str" cm="1">
        <f t="array" ref="AO394">IFERROR(IF(AB395&lt;&gt;AB394,_xlfn.STDEV.P(IF(AB$9:AB394=AB394,AU$9:AU394)),""),"")</f>
        <v/>
      </c>
      <c r="AP394" s="7" t="str" cm="1">
        <f t="array" ref="AP394">IFERROR(IF(AB395&lt;&gt;AB394,_xlfn.STDEV.P(IF(AB$9:AB394=AB394,AT$9:AT394)),""),"")</f>
        <v/>
      </c>
      <c r="AQ394" s="8" t="str">
        <f t="shared" si="131"/>
        <v/>
      </c>
      <c r="AR394" s="8" t="str">
        <f t="shared" si="132"/>
        <v/>
      </c>
      <c r="AS394" s="8" t="str">
        <f t="shared" si="133"/>
        <v/>
      </c>
      <c r="AT394" s="9" t="str">
        <f t="shared" si="134"/>
        <v/>
      </c>
      <c r="AU394" s="9" t="str">
        <f t="shared" si="135"/>
        <v/>
      </c>
      <c r="AV394" s="14"/>
      <c r="AW394" s="15"/>
      <c r="AX394" s="14" t="str">
        <f t="shared" si="136"/>
        <v/>
      </c>
      <c r="AY394" s="15"/>
      <c r="AZ394" s="23"/>
      <c r="EW394" t="s">
        <v>46</v>
      </c>
      <c r="EX394" s="33">
        <v>1393</v>
      </c>
      <c r="EY394" s="33" t="s">
        <v>1026</v>
      </c>
      <c r="EZ394" s="33" t="s">
        <v>1027</v>
      </c>
      <c r="FA394" s="33" t="s">
        <v>343</v>
      </c>
      <c r="FB394" s="33" t="s">
        <v>344</v>
      </c>
      <c r="FC394" s="33" t="s">
        <v>345</v>
      </c>
      <c r="FD394" s="33" t="s">
        <v>346</v>
      </c>
      <c r="FE394" s="33">
        <v>2025</v>
      </c>
      <c r="FF394" s="33" t="s">
        <v>59</v>
      </c>
      <c r="FG394" s="33" t="s">
        <v>386</v>
      </c>
      <c r="FH394" s="33" t="s">
        <v>387</v>
      </c>
      <c r="FI394" s="33" t="s">
        <v>407</v>
      </c>
      <c r="FJ394" t="s">
        <v>59</v>
      </c>
      <c r="FM394" s="32" t="s">
        <v>1017</v>
      </c>
      <c r="FN394" t="s">
        <v>1018</v>
      </c>
      <c r="FO394" t="s">
        <v>1019</v>
      </c>
      <c r="FP394" t="str">
        <f t="shared" si="137"/>
        <v>B</v>
      </c>
      <c r="GU394" s="53">
        <v>164</v>
      </c>
      <c r="GV394" s="53">
        <v>388</v>
      </c>
    </row>
    <row r="395" spans="1:204" ht="15.5" x14ac:dyDescent="0.35">
      <c r="A395" s="95">
        <f t="shared" si="119"/>
        <v>1</v>
      </c>
      <c r="B395" s="11"/>
      <c r="C395" s="11"/>
      <c r="D395" s="92" t="str">
        <f>IFERROR(
IF(AND(OR(Planilla!B395="C",Planilla!B395="c"), VLOOKUP(E395,EX:FJ,13,0)="C"), "OK",IF(AND(OR(Planilla!B395="C",Planilla!B395="c"), OR(VLOOKUP(E395,EX:FJ,13,0)="B", VLOOKUP(E395,EX:FJ,13,0)="A")), "DEFICIT",IF(
AND(OR(Planilla!B395="B", Planilla!B395="BPAL"), VLOOKUP(E395,EX:FJ,13,0)="B"), "OK",IF(AND(OR(Planilla!B395="B", Planilla!B395="BPAL"), VLOOKUP(E395,EX:FJ,13,0)="A"), "DEFICIT",IF(AND(OR(Planilla!B395="B", Planilla!B395="BPAL"), VLOOKUP(E395,EX:FJ,13,0)="C"), "SOBREOFERTA",IF(AND(Planilla!B395="A", VLOOKUP(E395,EX:FJ,13,0)="A"), "OK",IF(
AND(Planilla!B395="A", OR(VLOOKUP(E395,EX:FJ,13,0)="B", VLOOKUP(E395,EX:FJ,13,0)="C")), "SOBREOFERTA",""
))))))),"")</f>
        <v/>
      </c>
      <c r="E395" s="12"/>
      <c r="F395" s="13"/>
      <c r="G395" s="14"/>
      <c r="H395" s="81" t="str">
        <f t="shared" si="120"/>
        <v/>
      </c>
      <c r="I395" s="7"/>
      <c r="J395" s="6" t="e">
        <f t="shared" si="121"/>
        <v>#N/A</v>
      </c>
      <c r="K395" s="6" t="str">
        <f>IF(A396&lt;&gt;A395,AVERAGEIF(A$9:A395,A395,J$9:J395),"")</f>
        <v/>
      </c>
      <c r="L395" s="7" t="str">
        <f>IFERROR(IF(A396&lt;&gt;A395,AVERAGEIF(A$9:A395,A395,S$9:S395),""),"")</f>
        <v/>
      </c>
      <c r="M395" s="7" t="str">
        <f>IFERROR(IF(A396&lt;&gt;A395,AVERAGEIF(A$9:A395,A395,T$9:T395),""),"")</f>
        <v/>
      </c>
      <c r="N395" s="7" t="str" cm="1">
        <f t="array" ref="N395">IFERROR(IF(A396&lt;&gt;A395,_xlfn.STDEV.P(IF(A$9:A395=A395,T$9:T395)),""),"")</f>
        <v/>
      </c>
      <c r="O395" s="7" t="str" cm="1">
        <f t="array" ref="O395">IFERROR(IF(A396&lt;&gt;A395,_xlfn.STDEV.P(IF(A$9:A395=A395,S$9:S395)),""),"")</f>
        <v/>
      </c>
      <c r="P395" s="8" t="str">
        <f t="shared" si="122"/>
        <v/>
      </c>
      <c r="Q395" s="8" t="str">
        <f t="shared" si="123"/>
        <v/>
      </c>
      <c r="R395" s="8" t="str">
        <f t="shared" si="124"/>
        <v/>
      </c>
      <c r="S395" s="9" t="str">
        <f t="shared" si="125"/>
        <v/>
      </c>
      <c r="T395" s="9" t="str">
        <f t="shared" si="126"/>
        <v/>
      </c>
      <c r="U395" s="14"/>
      <c r="V395" s="15"/>
      <c r="W395" s="14" t="str">
        <f t="shared" si="127"/>
        <v/>
      </c>
      <c r="X395" s="15"/>
      <c r="Y395" s="2"/>
      <c r="AB395" s="22">
        <f t="shared" si="128"/>
        <v>1</v>
      </c>
      <c r="AC395" s="11"/>
      <c r="AD395" s="11"/>
      <c r="AE395" s="13"/>
      <c r="AF395" s="12"/>
      <c r="AG395" s="13"/>
      <c r="AH395" s="14"/>
      <c r="AI395" s="81" t="str">
        <f t="shared" si="129"/>
        <v/>
      </c>
      <c r="AJ395" s="15"/>
      <c r="AK395" s="6" t="e">
        <f t="shared" si="130"/>
        <v>#N/A</v>
      </c>
      <c r="AL395" s="6" t="str">
        <f>IF(AB396&lt;&gt;AB395,AVERAGEIF(AB$9:AB395,AB395,AK$9:AK395),"")</f>
        <v/>
      </c>
      <c r="AM395" s="7" t="str">
        <f>IFERROR(IF(AB396&lt;&gt;AB395,AVERAGEIF(AB$9:AB395,AB395,AT$9:AT395),""),"")</f>
        <v/>
      </c>
      <c r="AN395" s="7" t="str">
        <f>IFERROR(IF(AB396&lt;&gt;AB395,AVERAGEIF(AB$9:AB395,AB395,AU$9:AU395),""),"")</f>
        <v/>
      </c>
      <c r="AO395" s="7" t="str" cm="1">
        <f t="array" ref="AO395">IFERROR(IF(AB396&lt;&gt;AB395,_xlfn.STDEV.P(IF(AB$9:AB395=AB395,AU$9:AU395)),""),"")</f>
        <v/>
      </c>
      <c r="AP395" s="7" t="str" cm="1">
        <f t="array" ref="AP395">IFERROR(IF(AB396&lt;&gt;AB395,_xlfn.STDEV.P(IF(AB$9:AB395=AB395,AT$9:AT395)),""),"")</f>
        <v/>
      </c>
      <c r="AQ395" s="8" t="str">
        <f t="shared" si="131"/>
        <v/>
      </c>
      <c r="AR395" s="8" t="str">
        <f t="shared" si="132"/>
        <v/>
      </c>
      <c r="AS395" s="8" t="str">
        <f t="shared" si="133"/>
        <v/>
      </c>
      <c r="AT395" s="9" t="str">
        <f t="shared" si="134"/>
        <v/>
      </c>
      <c r="AU395" s="9" t="str">
        <f t="shared" si="135"/>
        <v/>
      </c>
      <c r="AV395" s="14"/>
      <c r="AW395" s="15"/>
      <c r="AX395" s="14" t="str">
        <f t="shared" si="136"/>
        <v/>
      </c>
      <c r="AY395" s="15"/>
      <c r="AZ395" s="23"/>
      <c r="EW395" t="s">
        <v>46</v>
      </c>
      <c r="EX395" s="33">
        <v>1394</v>
      </c>
      <c r="EY395" s="33" t="s">
        <v>1028</v>
      </c>
      <c r="EZ395" s="33" t="s">
        <v>1029</v>
      </c>
      <c r="FA395" s="33" t="s">
        <v>343</v>
      </c>
      <c r="FB395" s="33" t="s">
        <v>344</v>
      </c>
      <c r="FC395" s="33" t="s">
        <v>345</v>
      </c>
      <c r="FD395" s="33" t="s">
        <v>346</v>
      </c>
      <c r="FE395" s="33">
        <v>2025</v>
      </c>
      <c r="FF395" s="33" t="s">
        <v>59</v>
      </c>
      <c r="FG395" s="33" t="s">
        <v>470</v>
      </c>
      <c r="FH395" s="33" t="s">
        <v>471</v>
      </c>
      <c r="FI395" s="33" t="s">
        <v>467</v>
      </c>
      <c r="FJ395" t="s">
        <v>59</v>
      </c>
      <c r="FM395" s="32" t="s">
        <v>1017</v>
      </c>
      <c r="FN395" t="s">
        <v>1018</v>
      </c>
      <c r="FO395" t="s">
        <v>1019</v>
      </c>
      <c r="FP395" t="str">
        <f t="shared" si="137"/>
        <v>B</v>
      </c>
      <c r="GU395" s="53">
        <v>165</v>
      </c>
      <c r="GV395" s="53">
        <v>389</v>
      </c>
    </row>
    <row r="396" spans="1:204" ht="15.5" x14ac:dyDescent="0.35">
      <c r="A396" s="95">
        <f t="shared" si="119"/>
        <v>1</v>
      </c>
      <c r="B396" s="11"/>
      <c r="C396" s="11"/>
      <c r="D396" s="92" t="str">
        <f>IFERROR(
IF(AND(OR(Planilla!B396="C",Planilla!B396="c"), VLOOKUP(E396,EX:FJ,13,0)="C"), "OK",IF(AND(OR(Planilla!B396="C",Planilla!B396="c"), OR(VLOOKUP(E396,EX:FJ,13,0)="B", VLOOKUP(E396,EX:FJ,13,0)="A")), "DEFICIT",IF(
AND(OR(Planilla!B396="B", Planilla!B396="BPAL"), VLOOKUP(E396,EX:FJ,13,0)="B"), "OK",IF(AND(OR(Planilla!B396="B", Planilla!B396="BPAL"), VLOOKUP(E396,EX:FJ,13,0)="A"), "DEFICIT",IF(AND(OR(Planilla!B396="B", Planilla!B396="BPAL"), VLOOKUP(E396,EX:FJ,13,0)="C"), "SOBREOFERTA",IF(AND(Planilla!B396="A", VLOOKUP(E396,EX:FJ,13,0)="A"), "OK",IF(
AND(Planilla!B396="A", OR(VLOOKUP(E396,EX:FJ,13,0)="B", VLOOKUP(E396,EX:FJ,13,0)="C")), "SOBREOFERTA",""
))))))),"")</f>
        <v/>
      </c>
      <c r="E396" s="12"/>
      <c r="F396" s="13"/>
      <c r="G396" s="14"/>
      <c r="H396" s="81" t="str">
        <f t="shared" si="120"/>
        <v/>
      </c>
      <c r="I396" s="7"/>
      <c r="J396" s="6" t="e">
        <f t="shared" si="121"/>
        <v>#N/A</v>
      </c>
      <c r="K396" s="6" t="str">
        <f>IF(A397&lt;&gt;A396,AVERAGEIF(A$9:A396,A396,J$9:J396),"")</f>
        <v/>
      </c>
      <c r="L396" s="7" t="str">
        <f>IFERROR(IF(A397&lt;&gt;A396,AVERAGEIF(A$9:A396,A396,S$9:S396),""),"")</f>
        <v/>
      </c>
      <c r="M396" s="7" t="str">
        <f>IFERROR(IF(A397&lt;&gt;A396,AVERAGEIF(A$9:A396,A396,T$9:T396),""),"")</f>
        <v/>
      </c>
      <c r="N396" s="7" t="str" cm="1">
        <f t="array" ref="N396">IFERROR(IF(A397&lt;&gt;A396,_xlfn.STDEV.P(IF(A$9:A396=A396,T$9:T396)),""),"")</f>
        <v/>
      </c>
      <c r="O396" s="7" t="str" cm="1">
        <f t="array" ref="O396">IFERROR(IF(A397&lt;&gt;A396,_xlfn.STDEV.P(IF(A$9:A396=A396,S$9:S396)),""),"")</f>
        <v/>
      </c>
      <c r="P396" s="8" t="str">
        <f t="shared" si="122"/>
        <v/>
      </c>
      <c r="Q396" s="8" t="str">
        <f t="shared" si="123"/>
        <v/>
      </c>
      <c r="R396" s="8" t="str">
        <f t="shared" si="124"/>
        <v/>
      </c>
      <c r="S396" s="9" t="str">
        <f t="shared" si="125"/>
        <v/>
      </c>
      <c r="T396" s="9" t="str">
        <f t="shared" si="126"/>
        <v/>
      </c>
      <c r="U396" s="14"/>
      <c r="V396" s="15"/>
      <c r="W396" s="14" t="str">
        <f t="shared" si="127"/>
        <v/>
      </c>
      <c r="X396" s="15"/>
      <c r="Y396" s="2"/>
      <c r="AB396" s="22">
        <f t="shared" si="128"/>
        <v>1</v>
      </c>
      <c r="AC396" s="11"/>
      <c r="AD396" s="11"/>
      <c r="AE396" s="13"/>
      <c r="AF396" s="12"/>
      <c r="AG396" s="13"/>
      <c r="AH396" s="14"/>
      <c r="AI396" s="81" t="str">
        <f t="shared" si="129"/>
        <v/>
      </c>
      <c r="AJ396" s="15"/>
      <c r="AK396" s="6" t="e">
        <f t="shared" si="130"/>
        <v>#N/A</v>
      </c>
      <c r="AL396" s="6" t="str">
        <f>IF(AB397&lt;&gt;AB396,AVERAGEIF(AB$9:AB396,AB396,AK$9:AK396),"")</f>
        <v/>
      </c>
      <c r="AM396" s="7" t="str">
        <f>IFERROR(IF(AB397&lt;&gt;AB396,AVERAGEIF(AB$9:AB396,AB396,AT$9:AT396),""),"")</f>
        <v/>
      </c>
      <c r="AN396" s="7" t="str">
        <f>IFERROR(IF(AB397&lt;&gt;AB396,AVERAGEIF(AB$9:AB396,AB396,AU$9:AU396),""),"")</f>
        <v/>
      </c>
      <c r="AO396" s="7" t="str" cm="1">
        <f t="array" ref="AO396">IFERROR(IF(AB397&lt;&gt;AB396,_xlfn.STDEV.P(IF(AB$9:AB396=AB396,AU$9:AU396)),""),"")</f>
        <v/>
      </c>
      <c r="AP396" s="7" t="str" cm="1">
        <f t="array" ref="AP396">IFERROR(IF(AB397&lt;&gt;AB396,_xlfn.STDEV.P(IF(AB$9:AB396=AB396,AT$9:AT396)),""),"")</f>
        <v/>
      </c>
      <c r="AQ396" s="8" t="str">
        <f t="shared" si="131"/>
        <v/>
      </c>
      <c r="AR396" s="8" t="str">
        <f t="shared" si="132"/>
        <v/>
      </c>
      <c r="AS396" s="8" t="str">
        <f t="shared" si="133"/>
        <v/>
      </c>
      <c r="AT396" s="9" t="str">
        <f t="shared" si="134"/>
        <v/>
      </c>
      <c r="AU396" s="9" t="str">
        <f t="shared" si="135"/>
        <v/>
      </c>
      <c r="AV396" s="14"/>
      <c r="AW396" s="15"/>
      <c r="AX396" s="14" t="str">
        <f t="shared" si="136"/>
        <v/>
      </c>
      <c r="AY396" s="15"/>
      <c r="AZ396" s="23"/>
      <c r="EW396" t="s">
        <v>46</v>
      </c>
      <c r="EX396" s="33">
        <v>1395</v>
      </c>
      <c r="EY396" s="33" t="s">
        <v>1030</v>
      </c>
      <c r="EZ396" s="33" t="s">
        <v>1031</v>
      </c>
      <c r="FA396" s="33" t="s">
        <v>343</v>
      </c>
      <c r="FB396" s="33" t="s">
        <v>344</v>
      </c>
      <c r="FC396" s="33" t="s">
        <v>345</v>
      </c>
      <c r="FD396" s="33" t="s">
        <v>346</v>
      </c>
      <c r="FE396" s="33">
        <v>2025</v>
      </c>
      <c r="FF396" s="33" t="s">
        <v>59</v>
      </c>
      <c r="FG396" s="33" t="s">
        <v>477</v>
      </c>
      <c r="FH396" s="33" t="s">
        <v>478</v>
      </c>
      <c r="FI396" s="33" t="s">
        <v>479</v>
      </c>
      <c r="FJ396" t="s">
        <v>59</v>
      </c>
      <c r="FM396" s="32" t="s">
        <v>1017</v>
      </c>
      <c r="FN396" t="s">
        <v>1018</v>
      </c>
      <c r="FO396" t="s">
        <v>1019</v>
      </c>
      <c r="FP396" t="str">
        <f t="shared" si="137"/>
        <v>B</v>
      </c>
      <c r="GU396" s="53">
        <v>166</v>
      </c>
      <c r="GV396" s="53">
        <v>390</v>
      </c>
    </row>
    <row r="397" spans="1:204" ht="15.5" x14ac:dyDescent="0.35">
      <c r="A397" s="95">
        <f t="shared" si="119"/>
        <v>1</v>
      </c>
      <c r="B397" s="11"/>
      <c r="C397" s="11"/>
      <c r="D397" s="92" t="str">
        <f>IFERROR(
IF(AND(OR(Planilla!B397="C",Planilla!B397="c"), VLOOKUP(E397,EX:FJ,13,0)="C"), "OK",IF(AND(OR(Planilla!B397="C",Planilla!B397="c"), OR(VLOOKUP(E397,EX:FJ,13,0)="B", VLOOKUP(E397,EX:FJ,13,0)="A")), "DEFICIT",IF(
AND(OR(Planilla!B397="B", Planilla!B397="BPAL"), VLOOKUP(E397,EX:FJ,13,0)="B"), "OK",IF(AND(OR(Planilla!B397="B", Planilla!B397="BPAL"), VLOOKUP(E397,EX:FJ,13,0)="A"), "DEFICIT",IF(AND(OR(Planilla!B397="B", Planilla!B397="BPAL"), VLOOKUP(E397,EX:FJ,13,0)="C"), "SOBREOFERTA",IF(AND(Planilla!B397="A", VLOOKUP(E397,EX:FJ,13,0)="A"), "OK",IF(
AND(Planilla!B397="A", OR(VLOOKUP(E397,EX:FJ,13,0)="B", VLOOKUP(E397,EX:FJ,13,0)="C")), "SOBREOFERTA",""
))))))),"")</f>
        <v/>
      </c>
      <c r="E397" s="12"/>
      <c r="F397" s="13"/>
      <c r="G397" s="14"/>
      <c r="H397" s="81" t="str">
        <f t="shared" si="120"/>
        <v/>
      </c>
      <c r="I397" s="7"/>
      <c r="J397" s="6" t="e">
        <f t="shared" si="121"/>
        <v>#N/A</v>
      </c>
      <c r="K397" s="6" t="str">
        <f>IF(A398&lt;&gt;A397,AVERAGEIF(A$9:A397,A397,J$9:J397),"")</f>
        <v/>
      </c>
      <c r="L397" s="7" t="str">
        <f>IFERROR(IF(A398&lt;&gt;A397,AVERAGEIF(A$9:A397,A397,S$9:S397),""),"")</f>
        <v/>
      </c>
      <c r="M397" s="7" t="str">
        <f>IFERROR(IF(A398&lt;&gt;A397,AVERAGEIF(A$9:A397,A397,T$9:T397),""),"")</f>
        <v/>
      </c>
      <c r="N397" s="7" t="str" cm="1">
        <f t="array" ref="N397">IFERROR(IF(A398&lt;&gt;A397,_xlfn.STDEV.P(IF(A$9:A397=A397,T$9:T397)),""),"")</f>
        <v/>
      </c>
      <c r="O397" s="7" t="str" cm="1">
        <f t="array" ref="O397">IFERROR(IF(A398&lt;&gt;A397,_xlfn.STDEV.P(IF(A$9:A397=A397,S$9:S397)),""),"")</f>
        <v/>
      </c>
      <c r="P397" s="8" t="str">
        <f t="shared" si="122"/>
        <v/>
      </c>
      <c r="Q397" s="8" t="str">
        <f t="shared" si="123"/>
        <v/>
      </c>
      <c r="R397" s="8" t="str">
        <f t="shared" si="124"/>
        <v/>
      </c>
      <c r="S397" s="9" t="str">
        <f t="shared" si="125"/>
        <v/>
      </c>
      <c r="T397" s="9" t="str">
        <f t="shared" si="126"/>
        <v/>
      </c>
      <c r="U397" s="14"/>
      <c r="V397" s="15"/>
      <c r="W397" s="14" t="str">
        <f t="shared" si="127"/>
        <v/>
      </c>
      <c r="X397" s="15"/>
      <c r="Y397" s="2"/>
      <c r="AB397" s="22">
        <f t="shared" si="128"/>
        <v>1</v>
      </c>
      <c r="AC397" s="11"/>
      <c r="AD397" s="11"/>
      <c r="AE397" s="13"/>
      <c r="AF397" s="12"/>
      <c r="AG397" s="13"/>
      <c r="AH397" s="14"/>
      <c r="AI397" s="81" t="str">
        <f t="shared" si="129"/>
        <v/>
      </c>
      <c r="AJ397" s="15"/>
      <c r="AK397" s="6" t="e">
        <f t="shared" si="130"/>
        <v>#N/A</v>
      </c>
      <c r="AL397" s="6" t="str">
        <f>IF(AB398&lt;&gt;AB397,AVERAGEIF(AB$9:AB397,AB397,AK$9:AK397),"")</f>
        <v/>
      </c>
      <c r="AM397" s="7" t="str">
        <f>IFERROR(IF(AB398&lt;&gt;AB397,AVERAGEIF(AB$9:AB397,AB397,AT$9:AT397),""),"")</f>
        <v/>
      </c>
      <c r="AN397" s="7" t="str">
        <f>IFERROR(IF(AB398&lt;&gt;AB397,AVERAGEIF(AB$9:AB397,AB397,AU$9:AU397),""),"")</f>
        <v/>
      </c>
      <c r="AO397" s="7" t="str" cm="1">
        <f t="array" ref="AO397">IFERROR(IF(AB398&lt;&gt;AB397,_xlfn.STDEV.P(IF(AB$9:AB397=AB397,AU$9:AU397)),""),"")</f>
        <v/>
      </c>
      <c r="AP397" s="7" t="str" cm="1">
        <f t="array" ref="AP397">IFERROR(IF(AB398&lt;&gt;AB397,_xlfn.STDEV.P(IF(AB$9:AB397=AB397,AT$9:AT397)),""),"")</f>
        <v/>
      </c>
      <c r="AQ397" s="8" t="str">
        <f t="shared" si="131"/>
        <v/>
      </c>
      <c r="AR397" s="8" t="str">
        <f t="shared" si="132"/>
        <v/>
      </c>
      <c r="AS397" s="8" t="str">
        <f t="shared" si="133"/>
        <v/>
      </c>
      <c r="AT397" s="9" t="str">
        <f t="shared" si="134"/>
        <v/>
      </c>
      <c r="AU397" s="9" t="str">
        <f t="shared" si="135"/>
        <v/>
      </c>
      <c r="AV397" s="14"/>
      <c r="AW397" s="15"/>
      <c r="AX397" s="14" t="str">
        <f t="shared" si="136"/>
        <v/>
      </c>
      <c r="AY397" s="15"/>
      <c r="AZ397" s="23"/>
      <c r="EW397" t="s">
        <v>46</v>
      </c>
      <c r="EX397" s="33">
        <v>1396</v>
      </c>
      <c r="EY397" s="33" t="s">
        <v>1032</v>
      </c>
      <c r="EZ397" s="33" t="s">
        <v>1033</v>
      </c>
      <c r="FA397" s="33" t="s">
        <v>343</v>
      </c>
      <c r="FB397" s="33" t="s">
        <v>344</v>
      </c>
      <c r="FC397" s="33" t="s">
        <v>345</v>
      </c>
      <c r="FD397" s="33" t="s">
        <v>346</v>
      </c>
      <c r="FE397" s="33">
        <v>2025</v>
      </c>
      <c r="FF397" s="33" t="s">
        <v>59</v>
      </c>
      <c r="FG397" s="33" t="s">
        <v>470</v>
      </c>
      <c r="FH397" s="33" t="s">
        <v>471</v>
      </c>
      <c r="FI397" s="33" t="s">
        <v>467</v>
      </c>
      <c r="FJ397" t="s">
        <v>59</v>
      </c>
      <c r="FM397" s="32" t="s">
        <v>1034</v>
      </c>
      <c r="FN397" t="s">
        <v>1035</v>
      </c>
      <c r="FO397" t="s">
        <v>1036</v>
      </c>
      <c r="FP397" t="str">
        <f t="shared" si="137"/>
        <v>B</v>
      </c>
      <c r="GU397" s="53">
        <v>167</v>
      </c>
      <c r="GV397" s="53">
        <v>391</v>
      </c>
    </row>
    <row r="398" spans="1:204" ht="15.5" x14ac:dyDescent="0.35">
      <c r="A398" s="95">
        <f t="shared" ref="A398:A461" si="138">HOUR(G398)+1</f>
        <v>1</v>
      </c>
      <c r="B398" s="11"/>
      <c r="C398" s="11"/>
      <c r="D398" s="92" t="str">
        <f>IFERROR(
IF(AND(OR(Planilla!B398="C",Planilla!B398="c"), VLOOKUP(E398,EX:FJ,13,0)="C"), "OK",IF(AND(OR(Planilla!B398="C",Planilla!B398="c"), OR(VLOOKUP(E398,EX:FJ,13,0)="B", VLOOKUP(E398,EX:FJ,13,0)="A")), "DEFICIT",IF(
AND(OR(Planilla!B398="B", Planilla!B398="BPAL"), VLOOKUP(E398,EX:FJ,13,0)="B"), "OK",IF(AND(OR(Planilla!B398="B", Planilla!B398="BPAL"), VLOOKUP(E398,EX:FJ,13,0)="A"), "DEFICIT",IF(AND(OR(Planilla!B398="B", Planilla!B398="BPAL"), VLOOKUP(E398,EX:FJ,13,0)="C"), "SOBREOFERTA",IF(AND(Planilla!B398="A", VLOOKUP(E398,EX:FJ,13,0)="A"), "OK",IF(
AND(Planilla!B398="A", OR(VLOOKUP(E398,EX:FJ,13,0)="B", VLOOKUP(E398,EX:FJ,13,0)="C")), "SOBREOFERTA",""
))))))),"")</f>
        <v/>
      </c>
      <c r="E398" s="12"/>
      <c r="F398" s="13"/>
      <c r="G398" s="14"/>
      <c r="H398" s="81" t="str">
        <f t="shared" ref="H398:H461" si="139">IF(I398="","",IF(AND((I398-G398)&gt;=TIME(0,0,0),(I398-G398)&lt;TIME(0,3,0)),"OK",IF(AND((I398-G398)&gt;=TIME(0,3,0),(I398-G398)&lt;TIME(0,5,0)),"RETRASO DE 3-5 MIN",IF(AND((I398-G398)&gt;=TIME(0,5,0),(I398-G398)&lt;TIME(0,10,0)),"RETRASO DE 5-10 MIN",IF((I398-G398)&gt;=TIME(0,10,0),"RETRASO &gt;10 MIN",         IF(AND((G398-I398)&gt;=TIME(0,0,0),(G398-I398)&lt;TIME(0,3,0)),"OK",IF((G398-I398)&gt;=TIME(0,3,0),"ADELANTADO")))))))</f>
        <v/>
      </c>
      <c r="I398" s="7"/>
      <c r="J398" s="6" t="e">
        <f t="shared" ref="J398:J461" si="140">IF(A398&lt;&gt;"",HLOOKUP(VALUE(TEXT(G398,"h:mm:ss")),IF($C$6="Laboral",$FT$4:$GR$227,IF($C$6="Sábado",$FT$231:$GR$452,$FT$456:$GR$656)),VLOOKUP($C$4,$GZ$2:$HB$99,3,0)+IF(C$5="Ida",0,1),1),"")</f>
        <v>#N/A</v>
      </c>
      <c r="K398" s="6" t="str">
        <f>IF(A399&lt;&gt;A398,AVERAGEIF(A$9:A398,A398,J$9:J398),"")</f>
        <v/>
      </c>
      <c r="L398" s="7" t="str">
        <f>IFERROR(IF(A399&lt;&gt;A398,AVERAGEIF(A$9:A398,A398,S$9:S398),""),"")</f>
        <v/>
      </c>
      <c r="M398" s="7" t="str">
        <f>IFERROR(IF(A399&lt;&gt;A398,AVERAGEIF(A$9:A398,A398,T$9:T398),""),"")</f>
        <v/>
      </c>
      <c r="N398" s="7" t="str" cm="1">
        <f t="array" ref="N398">IFERROR(IF(A399&lt;&gt;A398,_xlfn.STDEV.P(IF(A$9:A398=A398,T$9:T398)),""),"")</f>
        <v/>
      </c>
      <c r="O398" s="7" t="str" cm="1">
        <f t="array" ref="O398">IFERROR(IF(A399&lt;&gt;A398,_xlfn.STDEV.P(IF(A$9:A398=A398,S$9:S398)),""),"")</f>
        <v/>
      </c>
      <c r="P398" s="8" t="str">
        <f t="shared" ref="P398:P461" si="141">IFERROR(IF(A398&lt;&gt;A399,MAX((((M398*24*60)/2)*(1+POWER((((N398*24*60) / (M398*24*60) )),2))) + ((M398*24*60 )*-0.1 + (K398*0.015)) +1,(((M398*24*60)/2)*(1+POWER((((N398*24*60) / (M398*24*60 ))),2)))),""),"")</f>
        <v/>
      </c>
      <c r="Q398" s="8" t="str">
        <f t="shared" ref="Q398:Q461" si="142">IF(AND(O398&lt;&gt;"",L398&lt;&gt;""),IF(A398&lt;&gt;A399,((L398*24*60) / 2 ) * (1 + POWER(((O398*24*60) / (L398*24*60)),2)),""),"")</f>
        <v/>
      </c>
      <c r="R398" s="8" t="str">
        <f t="shared" ref="R398:R461" si="143">IF(Q398&lt;&gt;"",MAX(P398,Q398),"")</f>
        <v/>
      </c>
      <c r="S398" s="9" t="str">
        <f t="shared" ref="S398:S461" si="144">IF(I398&lt;&gt;"H. Sale Real",IF(AND(I399&lt;&gt;"",LEFT(C399,2)&lt;&gt;"NC"),IF(AND(I398&lt;&gt;"",LEFT(C398,2)&lt;&gt;"NC",I398&lt;&gt;"H. Sale Real"),IF(I399-I398&lt;0.208333333333333,I399-I398,""),IF(AND(I397&lt;&gt;"",LEFT(C397,2)&lt;&gt;"NC",I397&lt;&gt;"H. Sale Real"),IF(I399-I397&lt;0.208333333333333,I399-I397,""),IF(AND(I396&lt;&gt;"",LEFT(C396,2)&lt;&gt;"NC",I396&lt;&gt;"H. Sale Real"),IF(I399-I396&lt;0.208333333333333,I399-I396,""),IF(AND(I395&lt;&gt;"",LEFT(C395,2)&lt;&gt;"NC",I395&lt;&gt;"H. Sale Real"),IF(I399-I395&lt;0.208333333333333,I399-I395,""),IF(AND(I394&lt;&gt;"",LEFT(C394,2)&lt;&gt;"NC",I394&lt;&gt;"H. Sale Real"),IF(I399-I394&lt;0.208333333333333,I399-I394,""),""))))),""),"")</f>
        <v/>
      </c>
      <c r="T398" s="9" t="str">
        <f t="shared" ref="T398:T461" si="145">IF(G398&lt;&gt;"H. Sale Real",IF(AND(G399&lt;&gt;"",LEFT(C399,2)&lt;&gt;"NC"),IF(AND(G398&lt;&gt;"",LEFT(C398,2)&lt;&gt;"NC",G398&lt;&gt;"H. Sale Real"),IF(G399-G398&lt;0.208333333333333,G399-G398,""),IF(AND(G397&lt;&gt;"",LEFT(C397,2)&lt;&gt;"NC",G397&lt;&gt;"H. Sale Real"),IF(G399-G397&lt;0.208333333333333,G399-G397,""),IF(AND(G396&lt;&gt;"",LEFT(C396,2)&lt;&gt;"NC",G396&lt;&gt;"H. Sale Real"),IF(G399-G396&lt;0.208333333333333,G399-G396,""),IF(AND(G395&lt;&gt;"",LEFT(C395,2)&lt;&gt;"NC",G395&lt;&gt;"H. Sale Real"),IF(G399-G395&lt;0.208333333333333,G399-G395,""),IF(AND(G394&lt;&gt;"",LEFT(C394,2)&lt;&gt;"NC",G394&lt;&gt;"H. Sale Real"),IF(G399-G394&lt;0.208333333333333,G399-G394,""),""))))),""),"")</f>
        <v/>
      </c>
      <c r="U398" s="14"/>
      <c r="V398" s="15"/>
      <c r="W398" s="14" t="str">
        <f t="shared" ref="W398:W461" si="146">IF(G398&lt;&gt;"",IF(AND(W397&lt;&gt;"IE",P398&lt;&gt;0,R398&lt;&gt;""),IF(IFERROR((P398/R398),0) &lt;=1,IFERROR(P398/R398,""),1),""),"")</f>
        <v/>
      </c>
      <c r="X398" s="15"/>
      <c r="Y398" s="2"/>
      <c r="AB398" s="22">
        <f t="shared" ref="AB398:AB461" si="147">HOUR(AH398)+1</f>
        <v>1</v>
      </c>
      <c r="AC398" s="11"/>
      <c r="AD398" s="11"/>
      <c r="AE398" s="13"/>
      <c r="AF398" s="12"/>
      <c r="AG398" s="13"/>
      <c r="AH398" s="14"/>
      <c r="AI398" s="81" t="str">
        <f t="shared" ref="AI398:AI461" si="148">IF(AJ398="","",IF(AND((AJ398-AH398)&gt;=TIME(0,0,0),(AJ398-AH398)&lt;TIME(0,3,0)),"OK",IF(AND((AJ398-AH398)&gt;=TIME(0,3,0),(AJ398-AH398)&lt;TIME(0,5,0)),"RETRASO DE 3-5 MIN",IF(AND((AJ398-AH398)&gt;=TIME(0,5,0),(AJ398-AH398)&lt;TIME(0,10,0)),"RETRASO DE 5-10 MIN",IF((AJ398-AH398)&gt;=TIME(0,10,0),"RETRASO &gt;10 MIN",         IF(AND((AH398-AJ398)&gt;=TIME(0,0,0),(AH398-AJ398)&lt;TIME(0,3,0)),"OK",IF((AH398-AJ398)&gt;=TIME(0,3,0),"ADELANTADO")))))))</f>
        <v/>
      </c>
      <c r="AJ398" s="15"/>
      <c r="AK398" s="6" t="e">
        <f t="shared" ref="AK398:AK461" si="149">IF(AB398&lt;&gt;"",HLOOKUP(VALUE(TEXT(AH398,"h:mm:ss")),IF($C$6="Laboral",$FT$4:$GR$227,IF($C$6="Sábado",$FT$231:$GR$452,$FT$456:$GR$656)),VLOOKUP($C$4,$GZ$2:$HB$99,3,0)+IF(AD$5="Ida",0,1),1),"")</f>
        <v>#N/A</v>
      </c>
      <c r="AL398" s="6" t="str">
        <f>IF(AB399&lt;&gt;AB398,AVERAGEIF(AB$9:AB398,AB398,AK$9:AK398),"")</f>
        <v/>
      </c>
      <c r="AM398" s="7" t="str">
        <f>IFERROR(IF(AB399&lt;&gt;AB398,AVERAGEIF(AB$9:AB398,AB398,AT$9:AT398),""),"")</f>
        <v/>
      </c>
      <c r="AN398" s="7" t="str">
        <f>IFERROR(IF(AB399&lt;&gt;AB398,AVERAGEIF(AB$9:AB398,AB398,AU$9:AU398),""),"")</f>
        <v/>
      </c>
      <c r="AO398" s="7" t="str" cm="1">
        <f t="array" ref="AO398">IFERROR(IF(AB399&lt;&gt;AB398,_xlfn.STDEV.P(IF(AB$9:AB398=AB398,AU$9:AU398)),""),"")</f>
        <v/>
      </c>
      <c r="AP398" s="7" t="str" cm="1">
        <f t="array" ref="AP398">IFERROR(IF(AB399&lt;&gt;AB398,_xlfn.STDEV.P(IF(AB$9:AB398=AB398,AT$9:AT398)),""),"")</f>
        <v/>
      </c>
      <c r="AQ398" s="8" t="str">
        <f t="shared" ref="AQ398:AQ461" si="150">IFERROR(IF(AB398&lt;&gt;AB399,MAX((((AN398*24*60)/2)*(1+POWER((((AO398*24*60) / (AN398*24*60) )),2))) + ((AN398*24*60 )*-0.1 + (AL398*0.015)) +1,(((AN398*24*60)/2)*(1+POWER((((AO398*24*60) / (AN398*24*60 ))),2)))),""),"")</f>
        <v/>
      </c>
      <c r="AR398" s="8" t="str">
        <f t="shared" ref="AR398:AR461" si="151">IF(AND(AP398&lt;&gt;"",AM398&lt;&gt;""),IF(AB398&lt;&gt;AB399,((AM398*24*60) / 2 ) * (1 + POWER(((AP398*24*60) / (AM398*24*60)),2)),""),"")</f>
        <v/>
      </c>
      <c r="AS398" s="8" t="str">
        <f t="shared" ref="AS398:AS461" si="152">IF(AR398&lt;&gt;"",MAX(AQ398,AR398),"")</f>
        <v/>
      </c>
      <c r="AT398" s="9" t="str">
        <f t="shared" ref="AT398:AT461" si="153">IF(AJ398&lt;&gt;"H. Sale Real",IF(AND(AJ399&lt;&gt;"",LEFT(AD399,2)&lt;&gt;"NC"),IF(AND(AJ398&lt;&gt;"",LEFT(AD398,2)&lt;&gt;"NC",AJ398&lt;&gt;"H. Sale Real"),IF(AJ399-AJ398&lt;0.208333333333333,AJ399-AJ398,""),IF(AND(AJ397&lt;&gt;"",LEFT(AD397,2)&lt;&gt;"NC",AJ397&lt;&gt;"H. Sale Real"),IF(AJ399-AJ397&lt;0.208333333333333,AJ399-AJ397,""),IF(AND(AJ396&lt;&gt;"",LEFT(AD396,2)&lt;&gt;"NC",AJ396&lt;&gt;"H. Sale Real"),IF(AJ399-AJ396&lt;0.208333333333333,AJ399-AJ396,""),IF(AND(AJ395&lt;&gt;"",LEFT(AD395,2)&lt;&gt;"NC",AJ395&lt;&gt;"H. Sale Real"),IF(AJ399-AJ395&lt;0.208333333333333,AJ399-AJ395,""),IF(AND(AJ394&lt;&gt;"",LEFT(AD394,2)&lt;&gt;"NC",AJ394&lt;&gt;"H. Sale Real"),IF(AJ399-AJ394&lt;0.208333333333333,AJ399-AJ394,""),""))))),""),"")</f>
        <v/>
      </c>
      <c r="AU398" s="9" t="str">
        <f t="shared" ref="AU398:AU461" si="154">IF(AH398&lt;&gt;"H. Sale Real",IF(AND(AH399&lt;&gt;"",LEFT(AD399,2)&lt;&gt;"NC"),IF(AND(AH398&lt;&gt;"",LEFT(AD398,2)&lt;&gt;"NC",AH398&lt;&gt;"H. Sale Real"),IF(AH399-AH398&lt;0.208333333333333,AH399-AH398,""),IF(AND(AH397&lt;&gt;"",LEFT(AD397,2)&lt;&gt;"NC",AH397&lt;&gt;"H. Sale Real"),IF(AH399-AH397&lt;0.208333333333333,AH399-AH397,""),IF(AND(AH396&lt;&gt;"",LEFT(AD396,2)&lt;&gt;"NC",AH396&lt;&gt;"H. Sale Real"),IF(AH399-AH396&lt;0.208333333333333,AH399-AH396,""),IF(AND(AH395&lt;&gt;"",LEFT(AD395,2)&lt;&gt;"NC",AH395&lt;&gt;"H. Sale Real"),IF(AH399-AH395&lt;0.208333333333333,AH399-AH395,""),IF(AND(AH394&lt;&gt;"",LEFT(AD394,2)&lt;&gt;"NC",AH394&lt;&gt;"H. Sale Real"),IF(AH399-AH394&lt;0.208333333333333,AH399-AH394,""),""))))),""),"")</f>
        <v/>
      </c>
      <c r="AV398" s="14"/>
      <c r="AW398" s="15"/>
      <c r="AX398" s="14" t="str">
        <f t="shared" ref="AX398:AX461" si="155">IF(AH398&lt;&gt;"",IF(AND(AX397&lt;&gt;"IE",AQ398&lt;&gt;0,AS398&lt;&gt;""),IF(IFERROR((AQ398/AS398),0) &lt;=1,IFERROR(AQ398/AS398,""),1),""),"")</f>
        <v/>
      </c>
      <c r="AY398" s="15"/>
      <c r="AZ398" s="23"/>
      <c r="EW398" t="s">
        <v>46</v>
      </c>
      <c r="EX398" s="33">
        <v>1397</v>
      </c>
      <c r="EY398" s="33" t="s">
        <v>1037</v>
      </c>
      <c r="EZ398" s="33" t="s">
        <v>1038</v>
      </c>
      <c r="FA398" s="33" t="s">
        <v>343</v>
      </c>
      <c r="FB398" s="33" t="s">
        <v>344</v>
      </c>
      <c r="FC398" s="33" t="s">
        <v>345</v>
      </c>
      <c r="FD398" s="33" t="s">
        <v>346</v>
      </c>
      <c r="FE398" s="33">
        <v>2025</v>
      </c>
      <c r="FF398" s="33" t="s">
        <v>59</v>
      </c>
      <c r="FG398" s="33" t="s">
        <v>470</v>
      </c>
      <c r="FH398" s="33" t="s">
        <v>471</v>
      </c>
      <c r="FI398" s="33" t="s">
        <v>467</v>
      </c>
      <c r="FJ398" t="s">
        <v>59</v>
      </c>
      <c r="FM398" s="32" t="s">
        <v>1034</v>
      </c>
      <c r="FN398" t="s">
        <v>1035</v>
      </c>
      <c r="FO398" t="s">
        <v>1036</v>
      </c>
      <c r="FP398" t="str">
        <f t="shared" si="137"/>
        <v>B</v>
      </c>
      <c r="GU398" s="53">
        <v>168</v>
      </c>
      <c r="GV398" s="53">
        <v>392</v>
      </c>
    </row>
    <row r="399" spans="1:204" ht="15.5" x14ac:dyDescent="0.35">
      <c r="A399" s="95">
        <f t="shared" si="138"/>
        <v>1</v>
      </c>
      <c r="B399" s="11"/>
      <c r="C399" s="11"/>
      <c r="D399" s="92" t="str">
        <f>IFERROR(
IF(AND(OR(Planilla!B399="C",Planilla!B399="c"), VLOOKUP(E399,EX:FJ,13,0)="C"), "OK",IF(AND(OR(Planilla!B399="C",Planilla!B399="c"), OR(VLOOKUP(E399,EX:FJ,13,0)="B", VLOOKUP(E399,EX:FJ,13,0)="A")), "DEFICIT",IF(
AND(OR(Planilla!B399="B", Planilla!B399="BPAL"), VLOOKUP(E399,EX:FJ,13,0)="B"), "OK",IF(AND(OR(Planilla!B399="B", Planilla!B399="BPAL"), VLOOKUP(E399,EX:FJ,13,0)="A"), "DEFICIT",IF(AND(OR(Planilla!B399="B", Planilla!B399="BPAL"), VLOOKUP(E399,EX:FJ,13,0)="C"), "SOBREOFERTA",IF(AND(Planilla!B399="A", VLOOKUP(E399,EX:FJ,13,0)="A"), "OK",IF(
AND(Planilla!B399="A", OR(VLOOKUP(E399,EX:FJ,13,0)="B", VLOOKUP(E399,EX:FJ,13,0)="C")), "SOBREOFERTA",""
))))))),"")</f>
        <v/>
      </c>
      <c r="E399" s="12"/>
      <c r="F399" s="13"/>
      <c r="G399" s="14"/>
      <c r="H399" s="81" t="str">
        <f t="shared" si="139"/>
        <v/>
      </c>
      <c r="I399" s="7"/>
      <c r="J399" s="6" t="e">
        <f t="shared" si="140"/>
        <v>#N/A</v>
      </c>
      <c r="K399" s="6" t="str">
        <f>IF(A400&lt;&gt;A399,AVERAGEIF(A$9:A399,A399,J$9:J399),"")</f>
        <v/>
      </c>
      <c r="L399" s="7" t="str">
        <f>IFERROR(IF(A400&lt;&gt;A399,AVERAGEIF(A$9:A399,A399,S$9:S399),""),"")</f>
        <v/>
      </c>
      <c r="M399" s="7" t="str">
        <f>IFERROR(IF(A400&lt;&gt;A399,AVERAGEIF(A$9:A399,A399,T$9:T399),""),"")</f>
        <v/>
      </c>
      <c r="N399" s="7" t="str" cm="1">
        <f t="array" ref="N399">IFERROR(IF(A400&lt;&gt;A399,_xlfn.STDEV.P(IF(A$9:A399=A399,T$9:T399)),""),"")</f>
        <v/>
      </c>
      <c r="O399" s="7" t="str" cm="1">
        <f t="array" ref="O399">IFERROR(IF(A400&lt;&gt;A399,_xlfn.STDEV.P(IF(A$9:A399=A399,S$9:S399)),""),"")</f>
        <v/>
      </c>
      <c r="P399" s="8" t="str">
        <f t="shared" si="141"/>
        <v/>
      </c>
      <c r="Q399" s="8" t="str">
        <f t="shared" si="142"/>
        <v/>
      </c>
      <c r="R399" s="8" t="str">
        <f t="shared" si="143"/>
        <v/>
      </c>
      <c r="S399" s="9" t="str">
        <f t="shared" si="144"/>
        <v/>
      </c>
      <c r="T399" s="9" t="str">
        <f t="shared" si="145"/>
        <v/>
      </c>
      <c r="U399" s="14"/>
      <c r="V399" s="15"/>
      <c r="W399" s="14" t="str">
        <f t="shared" si="146"/>
        <v/>
      </c>
      <c r="X399" s="15"/>
      <c r="Y399" s="2"/>
      <c r="AB399" s="22">
        <f t="shared" si="147"/>
        <v>1</v>
      </c>
      <c r="AC399" s="11"/>
      <c r="AD399" s="11"/>
      <c r="AE399" s="13"/>
      <c r="AF399" s="12"/>
      <c r="AG399" s="13"/>
      <c r="AH399" s="14"/>
      <c r="AI399" s="81" t="str">
        <f t="shared" si="148"/>
        <v/>
      </c>
      <c r="AJ399" s="15"/>
      <c r="AK399" s="6" t="e">
        <f t="shared" si="149"/>
        <v>#N/A</v>
      </c>
      <c r="AL399" s="6" t="str">
        <f>IF(AB400&lt;&gt;AB399,AVERAGEIF(AB$9:AB399,AB399,AK$9:AK399),"")</f>
        <v/>
      </c>
      <c r="AM399" s="7" t="str">
        <f>IFERROR(IF(AB400&lt;&gt;AB399,AVERAGEIF(AB$9:AB399,AB399,AT$9:AT399),""),"")</f>
        <v/>
      </c>
      <c r="AN399" s="7" t="str">
        <f>IFERROR(IF(AB400&lt;&gt;AB399,AVERAGEIF(AB$9:AB399,AB399,AU$9:AU399),""),"")</f>
        <v/>
      </c>
      <c r="AO399" s="7" t="str" cm="1">
        <f t="array" ref="AO399">IFERROR(IF(AB400&lt;&gt;AB399,_xlfn.STDEV.P(IF(AB$9:AB399=AB399,AU$9:AU399)),""),"")</f>
        <v/>
      </c>
      <c r="AP399" s="7" t="str" cm="1">
        <f t="array" ref="AP399">IFERROR(IF(AB400&lt;&gt;AB399,_xlfn.STDEV.P(IF(AB$9:AB399=AB399,AT$9:AT399)),""),"")</f>
        <v/>
      </c>
      <c r="AQ399" s="8" t="str">
        <f t="shared" si="150"/>
        <v/>
      </c>
      <c r="AR399" s="8" t="str">
        <f t="shared" si="151"/>
        <v/>
      </c>
      <c r="AS399" s="8" t="str">
        <f t="shared" si="152"/>
        <v/>
      </c>
      <c r="AT399" s="9" t="str">
        <f t="shared" si="153"/>
        <v/>
      </c>
      <c r="AU399" s="9" t="str">
        <f t="shared" si="154"/>
        <v/>
      </c>
      <c r="AV399" s="14"/>
      <c r="AW399" s="15"/>
      <c r="AX399" s="14" t="str">
        <f t="shared" si="155"/>
        <v/>
      </c>
      <c r="AY399" s="15"/>
      <c r="AZ399" s="23"/>
      <c r="EW399" t="s">
        <v>46</v>
      </c>
      <c r="EX399" s="33">
        <v>1398</v>
      </c>
      <c r="EY399" s="33" t="s">
        <v>1039</v>
      </c>
      <c r="EZ399" s="33" t="s">
        <v>1040</v>
      </c>
      <c r="FA399" s="33" t="s">
        <v>343</v>
      </c>
      <c r="FB399" s="33" t="s">
        <v>344</v>
      </c>
      <c r="FC399" s="33" t="s">
        <v>345</v>
      </c>
      <c r="FD399" s="33" t="s">
        <v>346</v>
      </c>
      <c r="FE399" s="33">
        <v>2025</v>
      </c>
      <c r="FF399" s="33" t="s">
        <v>59</v>
      </c>
      <c r="FG399" s="33" t="s">
        <v>477</v>
      </c>
      <c r="FH399" s="33" t="s">
        <v>478</v>
      </c>
      <c r="FI399" s="33" t="s">
        <v>479</v>
      </c>
      <c r="FJ399" t="s">
        <v>59</v>
      </c>
      <c r="FM399" s="32" t="s">
        <v>1034</v>
      </c>
      <c r="FN399" t="s">
        <v>1035</v>
      </c>
      <c r="FO399" t="s">
        <v>1036</v>
      </c>
      <c r="FP399" t="str">
        <f t="shared" si="137"/>
        <v>B</v>
      </c>
      <c r="GU399" s="53">
        <v>169</v>
      </c>
      <c r="GV399" s="53">
        <v>393</v>
      </c>
    </row>
    <row r="400" spans="1:204" ht="15.5" x14ac:dyDescent="0.35">
      <c r="A400" s="95">
        <f t="shared" si="138"/>
        <v>1</v>
      </c>
      <c r="B400" s="11"/>
      <c r="C400" s="11"/>
      <c r="D400" s="92" t="str">
        <f>IFERROR(
IF(AND(OR(Planilla!B400="C",Planilla!B400="c"), VLOOKUP(E400,EX:FJ,13,0)="C"), "OK",IF(AND(OR(Planilla!B400="C",Planilla!B400="c"), OR(VLOOKUP(E400,EX:FJ,13,0)="B", VLOOKUP(E400,EX:FJ,13,0)="A")), "DEFICIT",IF(
AND(OR(Planilla!B400="B", Planilla!B400="BPAL"), VLOOKUP(E400,EX:FJ,13,0)="B"), "OK",IF(AND(OR(Planilla!B400="B", Planilla!B400="BPAL"), VLOOKUP(E400,EX:FJ,13,0)="A"), "DEFICIT",IF(AND(OR(Planilla!B400="B", Planilla!B400="BPAL"), VLOOKUP(E400,EX:FJ,13,0)="C"), "SOBREOFERTA",IF(AND(Planilla!B400="A", VLOOKUP(E400,EX:FJ,13,0)="A"), "OK",IF(
AND(Planilla!B400="A", OR(VLOOKUP(E400,EX:FJ,13,0)="B", VLOOKUP(E400,EX:FJ,13,0)="C")), "SOBREOFERTA",""
))))))),"")</f>
        <v/>
      </c>
      <c r="E400" s="12"/>
      <c r="F400" s="13"/>
      <c r="G400" s="14"/>
      <c r="H400" s="81" t="str">
        <f t="shared" si="139"/>
        <v/>
      </c>
      <c r="I400" s="7"/>
      <c r="J400" s="6" t="e">
        <f t="shared" si="140"/>
        <v>#N/A</v>
      </c>
      <c r="K400" s="6" t="str">
        <f>IF(A401&lt;&gt;A400,AVERAGEIF(A$9:A400,A400,J$9:J400),"")</f>
        <v/>
      </c>
      <c r="L400" s="7" t="str">
        <f>IFERROR(IF(A401&lt;&gt;A400,AVERAGEIF(A$9:A400,A400,S$9:S400),""),"")</f>
        <v/>
      </c>
      <c r="M400" s="7" t="str">
        <f>IFERROR(IF(A401&lt;&gt;A400,AVERAGEIF(A$9:A400,A400,T$9:T400),""),"")</f>
        <v/>
      </c>
      <c r="N400" s="7" t="str" cm="1">
        <f t="array" ref="N400">IFERROR(IF(A401&lt;&gt;A400,_xlfn.STDEV.P(IF(A$9:A400=A400,T$9:T400)),""),"")</f>
        <v/>
      </c>
      <c r="O400" s="7" t="str" cm="1">
        <f t="array" ref="O400">IFERROR(IF(A401&lt;&gt;A400,_xlfn.STDEV.P(IF(A$9:A400=A400,S$9:S400)),""),"")</f>
        <v/>
      </c>
      <c r="P400" s="8" t="str">
        <f t="shared" si="141"/>
        <v/>
      </c>
      <c r="Q400" s="8" t="str">
        <f t="shared" si="142"/>
        <v/>
      </c>
      <c r="R400" s="8" t="str">
        <f t="shared" si="143"/>
        <v/>
      </c>
      <c r="S400" s="9" t="str">
        <f t="shared" si="144"/>
        <v/>
      </c>
      <c r="T400" s="9" t="str">
        <f t="shared" si="145"/>
        <v/>
      </c>
      <c r="U400" s="14"/>
      <c r="V400" s="15"/>
      <c r="W400" s="14" t="str">
        <f t="shared" si="146"/>
        <v/>
      </c>
      <c r="X400" s="15"/>
      <c r="Y400" s="2"/>
      <c r="AB400" s="22">
        <f t="shared" si="147"/>
        <v>1</v>
      </c>
      <c r="AC400" s="11"/>
      <c r="AD400" s="11"/>
      <c r="AE400" s="13"/>
      <c r="AF400" s="12"/>
      <c r="AG400" s="13"/>
      <c r="AH400" s="14"/>
      <c r="AI400" s="81" t="str">
        <f t="shared" si="148"/>
        <v/>
      </c>
      <c r="AJ400" s="15"/>
      <c r="AK400" s="6" t="e">
        <f t="shared" si="149"/>
        <v>#N/A</v>
      </c>
      <c r="AL400" s="6" t="str">
        <f>IF(AB401&lt;&gt;AB400,AVERAGEIF(AB$9:AB400,AB400,AK$9:AK400),"")</f>
        <v/>
      </c>
      <c r="AM400" s="7" t="str">
        <f>IFERROR(IF(AB401&lt;&gt;AB400,AVERAGEIF(AB$9:AB400,AB400,AT$9:AT400),""),"")</f>
        <v/>
      </c>
      <c r="AN400" s="7" t="str">
        <f>IFERROR(IF(AB401&lt;&gt;AB400,AVERAGEIF(AB$9:AB400,AB400,AU$9:AU400),""),"")</f>
        <v/>
      </c>
      <c r="AO400" s="7" t="str" cm="1">
        <f t="array" ref="AO400">IFERROR(IF(AB401&lt;&gt;AB400,_xlfn.STDEV.P(IF(AB$9:AB400=AB400,AU$9:AU400)),""),"")</f>
        <v/>
      </c>
      <c r="AP400" s="7" t="str" cm="1">
        <f t="array" ref="AP400">IFERROR(IF(AB401&lt;&gt;AB400,_xlfn.STDEV.P(IF(AB$9:AB400=AB400,AT$9:AT400)),""),"")</f>
        <v/>
      </c>
      <c r="AQ400" s="8" t="str">
        <f t="shared" si="150"/>
        <v/>
      </c>
      <c r="AR400" s="8" t="str">
        <f t="shared" si="151"/>
        <v/>
      </c>
      <c r="AS400" s="8" t="str">
        <f t="shared" si="152"/>
        <v/>
      </c>
      <c r="AT400" s="9" t="str">
        <f t="shared" si="153"/>
        <v/>
      </c>
      <c r="AU400" s="9" t="str">
        <f t="shared" si="154"/>
        <v/>
      </c>
      <c r="AV400" s="14"/>
      <c r="AW400" s="15"/>
      <c r="AX400" s="14" t="str">
        <f t="shared" si="155"/>
        <v/>
      </c>
      <c r="AY400" s="15"/>
      <c r="AZ400" s="23"/>
      <c r="EW400" t="s">
        <v>46</v>
      </c>
      <c r="EX400" s="33">
        <v>1399</v>
      </c>
      <c r="EY400" s="33" t="s">
        <v>1041</v>
      </c>
      <c r="EZ400" s="33" t="s">
        <v>1042</v>
      </c>
      <c r="FA400" s="33" t="s">
        <v>343</v>
      </c>
      <c r="FB400" s="33" t="s">
        <v>344</v>
      </c>
      <c r="FC400" s="33" t="s">
        <v>345</v>
      </c>
      <c r="FD400" s="33" t="s">
        <v>346</v>
      </c>
      <c r="FE400" s="33">
        <v>2025</v>
      </c>
      <c r="FF400" s="33" t="s">
        <v>59</v>
      </c>
      <c r="FG400" s="33" t="s">
        <v>477</v>
      </c>
      <c r="FH400" s="33" t="s">
        <v>478</v>
      </c>
      <c r="FI400" s="33" t="s">
        <v>479</v>
      </c>
      <c r="FJ400" t="s">
        <v>59</v>
      </c>
      <c r="FM400" s="32" t="s">
        <v>1034</v>
      </c>
      <c r="FN400" t="s">
        <v>1035</v>
      </c>
      <c r="FO400" t="s">
        <v>1036</v>
      </c>
      <c r="FP400" t="str">
        <f t="shared" si="137"/>
        <v>B</v>
      </c>
      <c r="GU400" s="53">
        <v>170</v>
      </c>
      <c r="GV400" s="53">
        <v>394</v>
      </c>
    </row>
    <row r="401" spans="1:204" ht="15.5" x14ac:dyDescent="0.35">
      <c r="A401" s="95">
        <f t="shared" si="138"/>
        <v>1</v>
      </c>
      <c r="B401" s="11"/>
      <c r="C401" s="11"/>
      <c r="D401" s="92" t="str">
        <f>IFERROR(
IF(AND(OR(Planilla!B401="C",Planilla!B401="c"), VLOOKUP(E401,EX:FJ,13,0)="C"), "OK",IF(AND(OR(Planilla!B401="C",Planilla!B401="c"), OR(VLOOKUP(E401,EX:FJ,13,0)="B", VLOOKUP(E401,EX:FJ,13,0)="A")), "DEFICIT",IF(
AND(OR(Planilla!B401="B", Planilla!B401="BPAL"), VLOOKUP(E401,EX:FJ,13,0)="B"), "OK",IF(AND(OR(Planilla!B401="B", Planilla!B401="BPAL"), VLOOKUP(E401,EX:FJ,13,0)="A"), "DEFICIT",IF(AND(OR(Planilla!B401="B", Planilla!B401="BPAL"), VLOOKUP(E401,EX:FJ,13,0)="C"), "SOBREOFERTA",IF(AND(Planilla!B401="A", VLOOKUP(E401,EX:FJ,13,0)="A"), "OK",IF(
AND(Planilla!B401="A", OR(VLOOKUP(E401,EX:FJ,13,0)="B", VLOOKUP(E401,EX:FJ,13,0)="C")), "SOBREOFERTA",""
))))))),"")</f>
        <v/>
      </c>
      <c r="E401" s="12"/>
      <c r="F401" s="13"/>
      <c r="G401" s="14"/>
      <c r="H401" s="81" t="str">
        <f t="shared" si="139"/>
        <v/>
      </c>
      <c r="I401" s="7"/>
      <c r="J401" s="6" t="e">
        <f t="shared" si="140"/>
        <v>#N/A</v>
      </c>
      <c r="K401" s="6" t="str">
        <f>IF(A402&lt;&gt;A401,AVERAGEIF(A$9:A401,A401,J$9:J401),"")</f>
        <v/>
      </c>
      <c r="L401" s="7" t="str">
        <f>IFERROR(IF(A402&lt;&gt;A401,AVERAGEIF(A$9:A401,A401,S$9:S401),""),"")</f>
        <v/>
      </c>
      <c r="M401" s="7" t="str">
        <f>IFERROR(IF(A402&lt;&gt;A401,AVERAGEIF(A$9:A401,A401,T$9:T401),""),"")</f>
        <v/>
      </c>
      <c r="N401" s="7" t="str" cm="1">
        <f t="array" ref="N401">IFERROR(IF(A402&lt;&gt;A401,_xlfn.STDEV.P(IF(A$9:A401=A401,T$9:T401)),""),"")</f>
        <v/>
      </c>
      <c r="O401" s="7" t="str" cm="1">
        <f t="array" ref="O401">IFERROR(IF(A402&lt;&gt;A401,_xlfn.STDEV.P(IF(A$9:A401=A401,S$9:S401)),""),"")</f>
        <v/>
      </c>
      <c r="P401" s="8" t="str">
        <f t="shared" si="141"/>
        <v/>
      </c>
      <c r="Q401" s="8" t="str">
        <f t="shared" si="142"/>
        <v/>
      </c>
      <c r="R401" s="8" t="str">
        <f t="shared" si="143"/>
        <v/>
      </c>
      <c r="S401" s="9" t="str">
        <f t="shared" si="144"/>
        <v/>
      </c>
      <c r="T401" s="9" t="str">
        <f t="shared" si="145"/>
        <v/>
      </c>
      <c r="U401" s="14"/>
      <c r="V401" s="15"/>
      <c r="W401" s="14" t="str">
        <f t="shared" si="146"/>
        <v/>
      </c>
      <c r="X401" s="15"/>
      <c r="Y401" s="2"/>
      <c r="AB401" s="22">
        <f t="shared" si="147"/>
        <v>1</v>
      </c>
      <c r="AC401" s="11"/>
      <c r="AD401" s="11"/>
      <c r="AE401" s="13"/>
      <c r="AF401" s="12"/>
      <c r="AG401" s="13"/>
      <c r="AH401" s="14"/>
      <c r="AI401" s="81" t="str">
        <f t="shared" si="148"/>
        <v/>
      </c>
      <c r="AJ401" s="15"/>
      <c r="AK401" s="6" t="e">
        <f t="shared" si="149"/>
        <v>#N/A</v>
      </c>
      <c r="AL401" s="6" t="str">
        <f>IF(AB402&lt;&gt;AB401,AVERAGEIF(AB$9:AB401,AB401,AK$9:AK401),"")</f>
        <v/>
      </c>
      <c r="AM401" s="7" t="str">
        <f>IFERROR(IF(AB402&lt;&gt;AB401,AVERAGEIF(AB$9:AB401,AB401,AT$9:AT401),""),"")</f>
        <v/>
      </c>
      <c r="AN401" s="7" t="str">
        <f>IFERROR(IF(AB402&lt;&gt;AB401,AVERAGEIF(AB$9:AB401,AB401,AU$9:AU401),""),"")</f>
        <v/>
      </c>
      <c r="AO401" s="7" t="str" cm="1">
        <f t="array" ref="AO401">IFERROR(IF(AB402&lt;&gt;AB401,_xlfn.STDEV.P(IF(AB$9:AB401=AB401,AU$9:AU401)),""),"")</f>
        <v/>
      </c>
      <c r="AP401" s="7" t="str" cm="1">
        <f t="array" ref="AP401">IFERROR(IF(AB402&lt;&gt;AB401,_xlfn.STDEV.P(IF(AB$9:AB401=AB401,AT$9:AT401)),""),"")</f>
        <v/>
      </c>
      <c r="AQ401" s="8" t="str">
        <f t="shared" si="150"/>
        <v/>
      </c>
      <c r="AR401" s="8" t="str">
        <f t="shared" si="151"/>
        <v/>
      </c>
      <c r="AS401" s="8" t="str">
        <f t="shared" si="152"/>
        <v/>
      </c>
      <c r="AT401" s="9" t="str">
        <f t="shared" si="153"/>
        <v/>
      </c>
      <c r="AU401" s="9" t="str">
        <f t="shared" si="154"/>
        <v/>
      </c>
      <c r="AV401" s="14"/>
      <c r="AW401" s="15"/>
      <c r="AX401" s="14" t="str">
        <f t="shared" si="155"/>
        <v/>
      </c>
      <c r="AY401" s="15"/>
      <c r="AZ401" s="23"/>
      <c r="EW401" t="s">
        <v>46</v>
      </c>
      <c r="EX401" s="33">
        <v>1400</v>
      </c>
      <c r="EY401" s="33" t="s">
        <v>1043</v>
      </c>
      <c r="EZ401" s="33" t="s">
        <v>1044</v>
      </c>
      <c r="FA401" s="33" t="s">
        <v>343</v>
      </c>
      <c r="FB401" s="33" t="s">
        <v>344</v>
      </c>
      <c r="FC401" s="33" t="s">
        <v>345</v>
      </c>
      <c r="FD401" s="33" t="s">
        <v>346</v>
      </c>
      <c r="FE401" s="33">
        <v>2025</v>
      </c>
      <c r="FF401" s="33" t="s">
        <v>59</v>
      </c>
      <c r="FG401" s="33" t="s">
        <v>477</v>
      </c>
      <c r="FH401" s="33" t="s">
        <v>478</v>
      </c>
      <c r="FI401" s="33" t="s">
        <v>479</v>
      </c>
      <c r="FJ401" t="s">
        <v>59</v>
      </c>
      <c r="FM401" s="32" t="s">
        <v>1034</v>
      </c>
      <c r="FN401" t="s">
        <v>1035</v>
      </c>
      <c r="FO401" t="s">
        <v>1036</v>
      </c>
      <c r="FP401" t="str">
        <f t="shared" si="137"/>
        <v>B</v>
      </c>
      <c r="GU401" s="53">
        <v>171</v>
      </c>
      <c r="GV401" s="53">
        <v>395</v>
      </c>
    </row>
    <row r="402" spans="1:204" ht="15.5" x14ac:dyDescent="0.35">
      <c r="A402" s="95">
        <f t="shared" si="138"/>
        <v>1</v>
      </c>
      <c r="B402" s="11"/>
      <c r="C402" s="11"/>
      <c r="D402" s="92" t="str">
        <f>IFERROR(
IF(AND(OR(Planilla!B402="C",Planilla!B402="c"), VLOOKUP(E402,EX:FJ,13,0)="C"), "OK",IF(AND(OR(Planilla!B402="C",Planilla!B402="c"), OR(VLOOKUP(E402,EX:FJ,13,0)="B", VLOOKUP(E402,EX:FJ,13,0)="A")), "DEFICIT",IF(
AND(OR(Planilla!B402="B", Planilla!B402="BPAL"), VLOOKUP(E402,EX:FJ,13,0)="B"), "OK",IF(AND(OR(Planilla!B402="B", Planilla!B402="BPAL"), VLOOKUP(E402,EX:FJ,13,0)="A"), "DEFICIT",IF(AND(OR(Planilla!B402="B", Planilla!B402="BPAL"), VLOOKUP(E402,EX:FJ,13,0)="C"), "SOBREOFERTA",IF(AND(Planilla!B402="A", VLOOKUP(E402,EX:FJ,13,0)="A"), "OK",IF(
AND(Planilla!B402="A", OR(VLOOKUP(E402,EX:FJ,13,0)="B", VLOOKUP(E402,EX:FJ,13,0)="C")), "SOBREOFERTA",""
))))))),"")</f>
        <v/>
      </c>
      <c r="E402" s="12"/>
      <c r="F402" s="13"/>
      <c r="G402" s="14"/>
      <c r="H402" s="81" t="str">
        <f t="shared" si="139"/>
        <v/>
      </c>
      <c r="I402" s="7"/>
      <c r="J402" s="6" t="e">
        <f t="shared" si="140"/>
        <v>#N/A</v>
      </c>
      <c r="K402" s="6" t="str">
        <f>IF(A403&lt;&gt;A402,AVERAGEIF(A$9:A402,A402,J$9:J402),"")</f>
        <v/>
      </c>
      <c r="L402" s="7" t="str">
        <f>IFERROR(IF(A403&lt;&gt;A402,AVERAGEIF(A$9:A402,A402,S$9:S402),""),"")</f>
        <v/>
      </c>
      <c r="M402" s="7" t="str">
        <f>IFERROR(IF(A403&lt;&gt;A402,AVERAGEIF(A$9:A402,A402,T$9:T402),""),"")</f>
        <v/>
      </c>
      <c r="N402" s="7" t="str" cm="1">
        <f t="array" ref="N402">IFERROR(IF(A403&lt;&gt;A402,_xlfn.STDEV.P(IF(A$9:A402=A402,T$9:T402)),""),"")</f>
        <v/>
      </c>
      <c r="O402" s="7" t="str" cm="1">
        <f t="array" ref="O402">IFERROR(IF(A403&lt;&gt;A402,_xlfn.STDEV.P(IF(A$9:A402=A402,S$9:S402)),""),"")</f>
        <v/>
      </c>
      <c r="P402" s="8" t="str">
        <f t="shared" si="141"/>
        <v/>
      </c>
      <c r="Q402" s="8" t="str">
        <f t="shared" si="142"/>
        <v/>
      </c>
      <c r="R402" s="8" t="str">
        <f t="shared" si="143"/>
        <v/>
      </c>
      <c r="S402" s="9" t="str">
        <f t="shared" si="144"/>
        <v/>
      </c>
      <c r="T402" s="9" t="str">
        <f t="shared" si="145"/>
        <v/>
      </c>
      <c r="U402" s="14"/>
      <c r="V402" s="15"/>
      <c r="W402" s="14" t="str">
        <f t="shared" si="146"/>
        <v/>
      </c>
      <c r="X402" s="15"/>
      <c r="Y402" s="2"/>
      <c r="AB402" s="22">
        <f t="shared" si="147"/>
        <v>1</v>
      </c>
      <c r="AC402" s="11"/>
      <c r="AD402" s="11"/>
      <c r="AE402" s="13"/>
      <c r="AF402" s="12"/>
      <c r="AG402" s="13"/>
      <c r="AH402" s="14"/>
      <c r="AI402" s="81" t="str">
        <f t="shared" si="148"/>
        <v/>
      </c>
      <c r="AJ402" s="15"/>
      <c r="AK402" s="6" t="e">
        <f t="shared" si="149"/>
        <v>#N/A</v>
      </c>
      <c r="AL402" s="6" t="str">
        <f>IF(AB403&lt;&gt;AB402,AVERAGEIF(AB$9:AB402,AB402,AK$9:AK402),"")</f>
        <v/>
      </c>
      <c r="AM402" s="7" t="str">
        <f>IFERROR(IF(AB403&lt;&gt;AB402,AVERAGEIF(AB$9:AB402,AB402,AT$9:AT402),""),"")</f>
        <v/>
      </c>
      <c r="AN402" s="7" t="str">
        <f>IFERROR(IF(AB403&lt;&gt;AB402,AVERAGEIF(AB$9:AB402,AB402,AU$9:AU402),""),"")</f>
        <v/>
      </c>
      <c r="AO402" s="7" t="str" cm="1">
        <f t="array" ref="AO402">IFERROR(IF(AB403&lt;&gt;AB402,_xlfn.STDEV.P(IF(AB$9:AB402=AB402,AU$9:AU402)),""),"")</f>
        <v/>
      </c>
      <c r="AP402" s="7" t="str" cm="1">
        <f t="array" ref="AP402">IFERROR(IF(AB403&lt;&gt;AB402,_xlfn.STDEV.P(IF(AB$9:AB402=AB402,AT$9:AT402)),""),"")</f>
        <v/>
      </c>
      <c r="AQ402" s="8" t="str">
        <f t="shared" si="150"/>
        <v/>
      </c>
      <c r="AR402" s="8" t="str">
        <f t="shared" si="151"/>
        <v/>
      </c>
      <c r="AS402" s="8" t="str">
        <f t="shared" si="152"/>
        <v/>
      </c>
      <c r="AT402" s="9" t="str">
        <f t="shared" si="153"/>
        <v/>
      </c>
      <c r="AU402" s="9" t="str">
        <f t="shared" si="154"/>
        <v/>
      </c>
      <c r="AV402" s="14"/>
      <c r="AW402" s="15"/>
      <c r="AX402" s="14" t="str">
        <f t="shared" si="155"/>
        <v/>
      </c>
      <c r="AY402" s="15"/>
      <c r="AZ402" s="23"/>
      <c r="EW402" t="s">
        <v>46</v>
      </c>
      <c r="EX402" s="33">
        <v>1401</v>
      </c>
      <c r="EY402" s="33" t="s">
        <v>1045</v>
      </c>
      <c r="EZ402" s="33" t="s">
        <v>1046</v>
      </c>
      <c r="FA402" s="33" t="s">
        <v>343</v>
      </c>
      <c r="FB402" s="33" t="s">
        <v>344</v>
      </c>
      <c r="FC402" s="33" t="s">
        <v>345</v>
      </c>
      <c r="FD402" s="33" t="s">
        <v>346</v>
      </c>
      <c r="FE402" s="33">
        <v>2025</v>
      </c>
      <c r="FF402" s="33" t="s">
        <v>59</v>
      </c>
      <c r="FG402" s="33" t="s">
        <v>470</v>
      </c>
      <c r="FH402" s="33" t="s">
        <v>471</v>
      </c>
      <c r="FI402" s="33" t="s">
        <v>467</v>
      </c>
      <c r="FJ402" t="s">
        <v>59</v>
      </c>
      <c r="FM402" s="32" t="s">
        <v>1034</v>
      </c>
      <c r="FN402" t="s">
        <v>1035</v>
      </c>
      <c r="FO402" t="s">
        <v>1036</v>
      </c>
      <c r="FP402" t="str">
        <f t="shared" si="137"/>
        <v>B</v>
      </c>
      <c r="GU402" s="53">
        <v>172</v>
      </c>
      <c r="GV402" s="53">
        <v>396</v>
      </c>
    </row>
    <row r="403" spans="1:204" ht="15.5" x14ac:dyDescent="0.35">
      <c r="A403" s="95">
        <f t="shared" si="138"/>
        <v>1</v>
      </c>
      <c r="B403" s="11"/>
      <c r="C403" s="11"/>
      <c r="D403" s="92" t="str">
        <f>IFERROR(
IF(AND(OR(Planilla!B403="C",Planilla!B403="c"), VLOOKUP(E403,EX:FJ,13,0)="C"), "OK",IF(AND(OR(Planilla!B403="C",Planilla!B403="c"), OR(VLOOKUP(E403,EX:FJ,13,0)="B", VLOOKUP(E403,EX:FJ,13,0)="A")), "DEFICIT",IF(
AND(OR(Planilla!B403="B", Planilla!B403="BPAL"), VLOOKUP(E403,EX:FJ,13,0)="B"), "OK",IF(AND(OR(Planilla!B403="B", Planilla!B403="BPAL"), VLOOKUP(E403,EX:FJ,13,0)="A"), "DEFICIT",IF(AND(OR(Planilla!B403="B", Planilla!B403="BPAL"), VLOOKUP(E403,EX:FJ,13,0)="C"), "SOBREOFERTA",IF(AND(Planilla!B403="A", VLOOKUP(E403,EX:FJ,13,0)="A"), "OK",IF(
AND(Planilla!B403="A", OR(VLOOKUP(E403,EX:FJ,13,0)="B", VLOOKUP(E403,EX:FJ,13,0)="C")), "SOBREOFERTA",""
))))))),"")</f>
        <v/>
      </c>
      <c r="E403" s="12"/>
      <c r="F403" s="13"/>
      <c r="G403" s="14"/>
      <c r="H403" s="81" t="str">
        <f t="shared" si="139"/>
        <v/>
      </c>
      <c r="I403" s="7"/>
      <c r="J403" s="6" t="e">
        <f t="shared" si="140"/>
        <v>#N/A</v>
      </c>
      <c r="K403" s="6" t="str">
        <f>IF(A404&lt;&gt;A403,AVERAGEIF(A$9:A403,A403,J$9:J403),"")</f>
        <v/>
      </c>
      <c r="L403" s="7" t="str">
        <f>IFERROR(IF(A404&lt;&gt;A403,AVERAGEIF(A$9:A403,A403,S$9:S403),""),"")</f>
        <v/>
      </c>
      <c r="M403" s="7" t="str">
        <f>IFERROR(IF(A404&lt;&gt;A403,AVERAGEIF(A$9:A403,A403,T$9:T403),""),"")</f>
        <v/>
      </c>
      <c r="N403" s="7" t="str" cm="1">
        <f t="array" ref="N403">IFERROR(IF(A404&lt;&gt;A403,_xlfn.STDEV.P(IF(A$9:A403=A403,T$9:T403)),""),"")</f>
        <v/>
      </c>
      <c r="O403" s="7" t="str" cm="1">
        <f t="array" ref="O403">IFERROR(IF(A404&lt;&gt;A403,_xlfn.STDEV.P(IF(A$9:A403=A403,S$9:S403)),""),"")</f>
        <v/>
      </c>
      <c r="P403" s="8" t="str">
        <f t="shared" si="141"/>
        <v/>
      </c>
      <c r="Q403" s="8" t="str">
        <f t="shared" si="142"/>
        <v/>
      </c>
      <c r="R403" s="8" t="str">
        <f t="shared" si="143"/>
        <v/>
      </c>
      <c r="S403" s="9" t="str">
        <f t="shared" si="144"/>
        <v/>
      </c>
      <c r="T403" s="9" t="str">
        <f t="shared" si="145"/>
        <v/>
      </c>
      <c r="U403" s="14"/>
      <c r="V403" s="15"/>
      <c r="W403" s="14" t="str">
        <f t="shared" si="146"/>
        <v/>
      </c>
      <c r="X403" s="15"/>
      <c r="Y403" s="2"/>
      <c r="AB403" s="22">
        <f t="shared" si="147"/>
        <v>1</v>
      </c>
      <c r="AC403" s="11"/>
      <c r="AD403" s="11"/>
      <c r="AE403" s="13"/>
      <c r="AF403" s="12"/>
      <c r="AG403" s="13"/>
      <c r="AH403" s="14"/>
      <c r="AI403" s="81" t="str">
        <f t="shared" si="148"/>
        <v/>
      </c>
      <c r="AJ403" s="15"/>
      <c r="AK403" s="6" t="e">
        <f t="shared" si="149"/>
        <v>#N/A</v>
      </c>
      <c r="AL403" s="6" t="str">
        <f>IF(AB404&lt;&gt;AB403,AVERAGEIF(AB$9:AB403,AB403,AK$9:AK403),"")</f>
        <v/>
      </c>
      <c r="AM403" s="7" t="str">
        <f>IFERROR(IF(AB404&lt;&gt;AB403,AVERAGEIF(AB$9:AB403,AB403,AT$9:AT403),""),"")</f>
        <v/>
      </c>
      <c r="AN403" s="7" t="str">
        <f>IFERROR(IF(AB404&lt;&gt;AB403,AVERAGEIF(AB$9:AB403,AB403,AU$9:AU403),""),"")</f>
        <v/>
      </c>
      <c r="AO403" s="7" t="str" cm="1">
        <f t="array" ref="AO403">IFERROR(IF(AB404&lt;&gt;AB403,_xlfn.STDEV.P(IF(AB$9:AB403=AB403,AU$9:AU403)),""),"")</f>
        <v/>
      </c>
      <c r="AP403" s="7" t="str" cm="1">
        <f t="array" ref="AP403">IFERROR(IF(AB404&lt;&gt;AB403,_xlfn.STDEV.P(IF(AB$9:AB403=AB403,AT$9:AT403)),""),"")</f>
        <v/>
      </c>
      <c r="AQ403" s="8" t="str">
        <f t="shared" si="150"/>
        <v/>
      </c>
      <c r="AR403" s="8" t="str">
        <f t="shared" si="151"/>
        <v/>
      </c>
      <c r="AS403" s="8" t="str">
        <f t="shared" si="152"/>
        <v/>
      </c>
      <c r="AT403" s="9" t="str">
        <f t="shared" si="153"/>
        <v/>
      </c>
      <c r="AU403" s="9" t="str">
        <f t="shared" si="154"/>
        <v/>
      </c>
      <c r="AV403" s="14"/>
      <c r="AW403" s="15"/>
      <c r="AX403" s="14" t="str">
        <f t="shared" si="155"/>
        <v/>
      </c>
      <c r="AY403" s="15"/>
      <c r="AZ403" s="23"/>
      <c r="EW403" t="s">
        <v>46</v>
      </c>
      <c r="EX403" s="33">
        <v>1402</v>
      </c>
      <c r="EY403" s="33" t="s">
        <v>1047</v>
      </c>
      <c r="EZ403" s="33" t="s">
        <v>1048</v>
      </c>
      <c r="FA403" s="33" t="s">
        <v>343</v>
      </c>
      <c r="FB403" s="33" t="s">
        <v>344</v>
      </c>
      <c r="FC403" s="33" t="s">
        <v>345</v>
      </c>
      <c r="FD403" s="33" t="s">
        <v>346</v>
      </c>
      <c r="FE403" s="33">
        <v>2025</v>
      </c>
      <c r="FF403" s="33" t="s">
        <v>59</v>
      </c>
      <c r="FG403" s="33" t="s">
        <v>477</v>
      </c>
      <c r="FH403" s="33" t="s">
        <v>478</v>
      </c>
      <c r="FI403" s="33" t="s">
        <v>479</v>
      </c>
      <c r="FJ403" t="s">
        <v>59</v>
      </c>
      <c r="FM403" s="32" t="s">
        <v>1034</v>
      </c>
      <c r="FN403" t="s">
        <v>1035</v>
      </c>
      <c r="FO403" t="s">
        <v>1036</v>
      </c>
      <c r="FP403" t="str">
        <f t="shared" si="137"/>
        <v>B</v>
      </c>
      <c r="GU403" s="53">
        <v>173</v>
      </c>
      <c r="GV403" s="53">
        <v>397</v>
      </c>
    </row>
    <row r="404" spans="1:204" ht="15.5" x14ac:dyDescent="0.35">
      <c r="A404" s="95">
        <f t="shared" si="138"/>
        <v>1</v>
      </c>
      <c r="B404" s="11"/>
      <c r="C404" s="11"/>
      <c r="D404" s="92" t="str">
        <f>IFERROR(
IF(AND(OR(Planilla!B404="C",Planilla!B404="c"), VLOOKUP(E404,EX:FJ,13,0)="C"), "OK",IF(AND(OR(Planilla!B404="C",Planilla!B404="c"), OR(VLOOKUP(E404,EX:FJ,13,0)="B", VLOOKUP(E404,EX:FJ,13,0)="A")), "DEFICIT",IF(
AND(OR(Planilla!B404="B", Planilla!B404="BPAL"), VLOOKUP(E404,EX:FJ,13,0)="B"), "OK",IF(AND(OR(Planilla!B404="B", Planilla!B404="BPAL"), VLOOKUP(E404,EX:FJ,13,0)="A"), "DEFICIT",IF(AND(OR(Planilla!B404="B", Planilla!B404="BPAL"), VLOOKUP(E404,EX:FJ,13,0)="C"), "SOBREOFERTA",IF(AND(Planilla!B404="A", VLOOKUP(E404,EX:FJ,13,0)="A"), "OK",IF(
AND(Planilla!B404="A", OR(VLOOKUP(E404,EX:FJ,13,0)="B", VLOOKUP(E404,EX:FJ,13,0)="C")), "SOBREOFERTA",""
))))))),"")</f>
        <v/>
      </c>
      <c r="E404" s="12"/>
      <c r="F404" s="13"/>
      <c r="G404" s="14"/>
      <c r="H404" s="81" t="str">
        <f t="shared" si="139"/>
        <v/>
      </c>
      <c r="I404" s="7"/>
      <c r="J404" s="6" t="e">
        <f t="shared" si="140"/>
        <v>#N/A</v>
      </c>
      <c r="K404" s="6" t="str">
        <f>IF(A405&lt;&gt;A404,AVERAGEIF(A$9:A404,A404,J$9:J404),"")</f>
        <v/>
      </c>
      <c r="L404" s="7" t="str">
        <f>IFERROR(IF(A405&lt;&gt;A404,AVERAGEIF(A$9:A404,A404,S$9:S404),""),"")</f>
        <v/>
      </c>
      <c r="M404" s="7" t="str">
        <f>IFERROR(IF(A405&lt;&gt;A404,AVERAGEIF(A$9:A404,A404,T$9:T404),""),"")</f>
        <v/>
      </c>
      <c r="N404" s="7" t="str" cm="1">
        <f t="array" ref="N404">IFERROR(IF(A405&lt;&gt;A404,_xlfn.STDEV.P(IF(A$9:A404=A404,T$9:T404)),""),"")</f>
        <v/>
      </c>
      <c r="O404" s="7" t="str" cm="1">
        <f t="array" ref="O404">IFERROR(IF(A405&lt;&gt;A404,_xlfn.STDEV.P(IF(A$9:A404=A404,S$9:S404)),""),"")</f>
        <v/>
      </c>
      <c r="P404" s="8" t="str">
        <f t="shared" si="141"/>
        <v/>
      </c>
      <c r="Q404" s="8" t="str">
        <f t="shared" si="142"/>
        <v/>
      </c>
      <c r="R404" s="8" t="str">
        <f t="shared" si="143"/>
        <v/>
      </c>
      <c r="S404" s="9" t="str">
        <f t="shared" si="144"/>
        <v/>
      </c>
      <c r="T404" s="9" t="str">
        <f t="shared" si="145"/>
        <v/>
      </c>
      <c r="U404" s="14"/>
      <c r="V404" s="15"/>
      <c r="W404" s="14" t="str">
        <f t="shared" si="146"/>
        <v/>
      </c>
      <c r="X404" s="15"/>
      <c r="Y404" s="2"/>
      <c r="AB404" s="22">
        <f t="shared" si="147"/>
        <v>1</v>
      </c>
      <c r="AC404" s="11"/>
      <c r="AD404" s="11"/>
      <c r="AE404" s="13"/>
      <c r="AF404" s="12"/>
      <c r="AG404" s="13"/>
      <c r="AH404" s="14"/>
      <c r="AI404" s="81" t="str">
        <f t="shared" si="148"/>
        <v/>
      </c>
      <c r="AJ404" s="15"/>
      <c r="AK404" s="6" t="e">
        <f t="shared" si="149"/>
        <v>#N/A</v>
      </c>
      <c r="AL404" s="6" t="str">
        <f>IF(AB405&lt;&gt;AB404,AVERAGEIF(AB$9:AB404,AB404,AK$9:AK404),"")</f>
        <v/>
      </c>
      <c r="AM404" s="7" t="str">
        <f>IFERROR(IF(AB405&lt;&gt;AB404,AVERAGEIF(AB$9:AB404,AB404,AT$9:AT404),""),"")</f>
        <v/>
      </c>
      <c r="AN404" s="7" t="str">
        <f>IFERROR(IF(AB405&lt;&gt;AB404,AVERAGEIF(AB$9:AB404,AB404,AU$9:AU404),""),"")</f>
        <v/>
      </c>
      <c r="AO404" s="7" t="str" cm="1">
        <f t="array" ref="AO404">IFERROR(IF(AB405&lt;&gt;AB404,_xlfn.STDEV.P(IF(AB$9:AB404=AB404,AU$9:AU404)),""),"")</f>
        <v/>
      </c>
      <c r="AP404" s="7" t="str" cm="1">
        <f t="array" ref="AP404">IFERROR(IF(AB405&lt;&gt;AB404,_xlfn.STDEV.P(IF(AB$9:AB404=AB404,AT$9:AT404)),""),"")</f>
        <v/>
      </c>
      <c r="AQ404" s="8" t="str">
        <f t="shared" si="150"/>
        <v/>
      </c>
      <c r="AR404" s="8" t="str">
        <f t="shared" si="151"/>
        <v/>
      </c>
      <c r="AS404" s="8" t="str">
        <f t="shared" si="152"/>
        <v/>
      </c>
      <c r="AT404" s="9" t="str">
        <f t="shared" si="153"/>
        <v/>
      </c>
      <c r="AU404" s="9" t="str">
        <f t="shared" si="154"/>
        <v/>
      </c>
      <c r="AV404" s="14"/>
      <c r="AW404" s="15"/>
      <c r="AX404" s="14" t="str">
        <f t="shared" si="155"/>
        <v/>
      </c>
      <c r="AY404" s="15"/>
      <c r="AZ404" s="23"/>
      <c r="EW404" t="s">
        <v>46</v>
      </c>
      <c r="EX404" s="33">
        <v>1403</v>
      </c>
      <c r="EY404" s="33" t="s">
        <v>1049</v>
      </c>
      <c r="EZ404" s="33" t="s">
        <v>1050</v>
      </c>
      <c r="FA404" s="33" t="s">
        <v>343</v>
      </c>
      <c r="FB404" s="33" t="s">
        <v>344</v>
      </c>
      <c r="FC404" s="33" t="s">
        <v>345</v>
      </c>
      <c r="FD404" s="33" t="s">
        <v>346</v>
      </c>
      <c r="FE404" s="33">
        <v>2025</v>
      </c>
      <c r="FF404" s="33" t="s">
        <v>59</v>
      </c>
      <c r="FG404" s="33" t="s">
        <v>477</v>
      </c>
      <c r="FH404" s="33" t="s">
        <v>478</v>
      </c>
      <c r="FI404" s="33" t="s">
        <v>479</v>
      </c>
      <c r="FJ404" t="s">
        <v>59</v>
      </c>
      <c r="FM404" s="32" t="s">
        <v>1034</v>
      </c>
      <c r="FN404" t="s">
        <v>1035</v>
      </c>
      <c r="FO404" t="s">
        <v>1036</v>
      </c>
      <c r="FP404" t="str">
        <f t="shared" si="137"/>
        <v>B</v>
      </c>
      <c r="GU404" s="53">
        <v>174</v>
      </c>
      <c r="GV404" s="53">
        <v>398</v>
      </c>
    </row>
    <row r="405" spans="1:204" ht="15.5" x14ac:dyDescent="0.35">
      <c r="A405" s="95">
        <f t="shared" si="138"/>
        <v>1</v>
      </c>
      <c r="B405" s="11"/>
      <c r="C405" s="11"/>
      <c r="D405" s="92" t="str">
        <f>IFERROR(
IF(AND(OR(Planilla!B405="C",Planilla!B405="c"), VLOOKUP(E405,EX:FJ,13,0)="C"), "OK",IF(AND(OR(Planilla!B405="C",Planilla!B405="c"), OR(VLOOKUP(E405,EX:FJ,13,0)="B", VLOOKUP(E405,EX:FJ,13,0)="A")), "DEFICIT",IF(
AND(OR(Planilla!B405="B", Planilla!B405="BPAL"), VLOOKUP(E405,EX:FJ,13,0)="B"), "OK",IF(AND(OR(Planilla!B405="B", Planilla!B405="BPAL"), VLOOKUP(E405,EX:FJ,13,0)="A"), "DEFICIT",IF(AND(OR(Planilla!B405="B", Planilla!B405="BPAL"), VLOOKUP(E405,EX:FJ,13,0)="C"), "SOBREOFERTA",IF(AND(Planilla!B405="A", VLOOKUP(E405,EX:FJ,13,0)="A"), "OK",IF(
AND(Planilla!B405="A", OR(VLOOKUP(E405,EX:FJ,13,0)="B", VLOOKUP(E405,EX:FJ,13,0)="C")), "SOBREOFERTA",""
))))))),"")</f>
        <v/>
      </c>
      <c r="E405" s="12"/>
      <c r="F405" s="13"/>
      <c r="G405" s="14"/>
      <c r="H405" s="81" t="str">
        <f t="shared" si="139"/>
        <v/>
      </c>
      <c r="I405" s="7"/>
      <c r="J405" s="6" t="e">
        <f t="shared" si="140"/>
        <v>#N/A</v>
      </c>
      <c r="K405" s="6" t="str">
        <f>IF(A406&lt;&gt;A405,AVERAGEIF(A$9:A405,A405,J$9:J405),"")</f>
        <v/>
      </c>
      <c r="L405" s="7" t="str">
        <f>IFERROR(IF(A406&lt;&gt;A405,AVERAGEIF(A$9:A405,A405,S$9:S405),""),"")</f>
        <v/>
      </c>
      <c r="M405" s="7" t="str">
        <f>IFERROR(IF(A406&lt;&gt;A405,AVERAGEIF(A$9:A405,A405,T$9:T405),""),"")</f>
        <v/>
      </c>
      <c r="N405" s="7" t="str" cm="1">
        <f t="array" ref="N405">IFERROR(IF(A406&lt;&gt;A405,_xlfn.STDEV.P(IF(A$9:A405=A405,T$9:T405)),""),"")</f>
        <v/>
      </c>
      <c r="O405" s="7" t="str" cm="1">
        <f t="array" ref="O405">IFERROR(IF(A406&lt;&gt;A405,_xlfn.STDEV.P(IF(A$9:A405=A405,S$9:S405)),""),"")</f>
        <v/>
      </c>
      <c r="P405" s="8" t="str">
        <f t="shared" si="141"/>
        <v/>
      </c>
      <c r="Q405" s="8" t="str">
        <f t="shared" si="142"/>
        <v/>
      </c>
      <c r="R405" s="8" t="str">
        <f t="shared" si="143"/>
        <v/>
      </c>
      <c r="S405" s="9" t="str">
        <f t="shared" si="144"/>
        <v/>
      </c>
      <c r="T405" s="9" t="str">
        <f t="shared" si="145"/>
        <v/>
      </c>
      <c r="U405" s="14"/>
      <c r="V405" s="15"/>
      <c r="W405" s="14" t="str">
        <f t="shared" si="146"/>
        <v/>
      </c>
      <c r="X405" s="15"/>
      <c r="Y405" s="2"/>
      <c r="AB405" s="22">
        <f t="shared" si="147"/>
        <v>1</v>
      </c>
      <c r="AC405" s="11"/>
      <c r="AD405" s="11"/>
      <c r="AE405" s="13"/>
      <c r="AF405" s="12"/>
      <c r="AG405" s="13"/>
      <c r="AH405" s="14"/>
      <c r="AI405" s="81" t="str">
        <f t="shared" si="148"/>
        <v/>
      </c>
      <c r="AJ405" s="15"/>
      <c r="AK405" s="6" t="e">
        <f t="shared" si="149"/>
        <v>#N/A</v>
      </c>
      <c r="AL405" s="6" t="str">
        <f>IF(AB406&lt;&gt;AB405,AVERAGEIF(AB$9:AB405,AB405,AK$9:AK405),"")</f>
        <v/>
      </c>
      <c r="AM405" s="7" t="str">
        <f>IFERROR(IF(AB406&lt;&gt;AB405,AVERAGEIF(AB$9:AB405,AB405,AT$9:AT405),""),"")</f>
        <v/>
      </c>
      <c r="AN405" s="7" t="str">
        <f>IFERROR(IF(AB406&lt;&gt;AB405,AVERAGEIF(AB$9:AB405,AB405,AU$9:AU405),""),"")</f>
        <v/>
      </c>
      <c r="AO405" s="7" t="str" cm="1">
        <f t="array" ref="AO405">IFERROR(IF(AB406&lt;&gt;AB405,_xlfn.STDEV.P(IF(AB$9:AB405=AB405,AU$9:AU405)),""),"")</f>
        <v/>
      </c>
      <c r="AP405" s="7" t="str" cm="1">
        <f t="array" ref="AP405">IFERROR(IF(AB406&lt;&gt;AB405,_xlfn.STDEV.P(IF(AB$9:AB405=AB405,AT$9:AT405)),""),"")</f>
        <v/>
      </c>
      <c r="AQ405" s="8" t="str">
        <f t="shared" si="150"/>
        <v/>
      </c>
      <c r="AR405" s="8" t="str">
        <f t="shared" si="151"/>
        <v/>
      </c>
      <c r="AS405" s="8" t="str">
        <f t="shared" si="152"/>
        <v/>
      </c>
      <c r="AT405" s="9" t="str">
        <f t="shared" si="153"/>
        <v/>
      </c>
      <c r="AU405" s="9" t="str">
        <f t="shared" si="154"/>
        <v/>
      </c>
      <c r="AV405" s="14"/>
      <c r="AW405" s="15"/>
      <c r="AX405" s="14" t="str">
        <f t="shared" si="155"/>
        <v/>
      </c>
      <c r="AY405" s="15"/>
      <c r="AZ405" s="23"/>
      <c r="EW405" t="s">
        <v>46</v>
      </c>
      <c r="EX405" s="33">
        <v>1404</v>
      </c>
      <c r="EY405" s="33" t="s">
        <v>1051</v>
      </c>
      <c r="EZ405" s="33" t="s">
        <v>1052</v>
      </c>
      <c r="FA405" s="33" t="s">
        <v>343</v>
      </c>
      <c r="FB405" s="33" t="s">
        <v>344</v>
      </c>
      <c r="FC405" s="33" t="s">
        <v>345</v>
      </c>
      <c r="FD405" s="33" t="s">
        <v>346</v>
      </c>
      <c r="FE405" s="33">
        <v>2025</v>
      </c>
      <c r="FF405" s="33" t="s">
        <v>59</v>
      </c>
      <c r="FG405" s="33" t="s">
        <v>386</v>
      </c>
      <c r="FH405" s="33" t="s">
        <v>387</v>
      </c>
      <c r="FI405" s="33" t="s">
        <v>407</v>
      </c>
      <c r="FJ405" t="s">
        <v>59</v>
      </c>
      <c r="FM405" s="32" t="s">
        <v>1034</v>
      </c>
      <c r="FN405" t="s">
        <v>1035</v>
      </c>
      <c r="FO405" t="s">
        <v>1036</v>
      </c>
      <c r="FP405" t="str">
        <f t="shared" si="137"/>
        <v>B</v>
      </c>
      <c r="GU405" s="53">
        <v>175</v>
      </c>
      <c r="GV405" s="53">
        <v>399</v>
      </c>
    </row>
    <row r="406" spans="1:204" ht="15.5" x14ac:dyDescent="0.35">
      <c r="A406" s="95">
        <f t="shared" si="138"/>
        <v>1</v>
      </c>
      <c r="B406" s="11"/>
      <c r="C406" s="11"/>
      <c r="D406" s="92" t="str">
        <f>IFERROR(
IF(AND(OR(Planilla!B406="C",Planilla!B406="c"), VLOOKUP(E406,EX:FJ,13,0)="C"), "OK",IF(AND(OR(Planilla!B406="C",Planilla!B406="c"), OR(VLOOKUP(E406,EX:FJ,13,0)="B", VLOOKUP(E406,EX:FJ,13,0)="A")), "DEFICIT",IF(
AND(OR(Planilla!B406="B", Planilla!B406="BPAL"), VLOOKUP(E406,EX:FJ,13,0)="B"), "OK",IF(AND(OR(Planilla!B406="B", Planilla!B406="BPAL"), VLOOKUP(E406,EX:FJ,13,0)="A"), "DEFICIT",IF(AND(OR(Planilla!B406="B", Planilla!B406="BPAL"), VLOOKUP(E406,EX:FJ,13,0)="C"), "SOBREOFERTA",IF(AND(Planilla!B406="A", VLOOKUP(E406,EX:FJ,13,0)="A"), "OK",IF(
AND(Planilla!B406="A", OR(VLOOKUP(E406,EX:FJ,13,0)="B", VLOOKUP(E406,EX:FJ,13,0)="C")), "SOBREOFERTA",""
))))))),"")</f>
        <v/>
      </c>
      <c r="E406" s="12"/>
      <c r="F406" s="13"/>
      <c r="G406" s="14"/>
      <c r="H406" s="81" t="str">
        <f t="shared" si="139"/>
        <v/>
      </c>
      <c r="I406" s="7"/>
      <c r="J406" s="6" t="e">
        <f t="shared" si="140"/>
        <v>#N/A</v>
      </c>
      <c r="K406" s="6" t="str">
        <f>IF(A407&lt;&gt;A406,AVERAGEIF(A$9:A406,A406,J$9:J406),"")</f>
        <v/>
      </c>
      <c r="L406" s="7" t="str">
        <f>IFERROR(IF(A407&lt;&gt;A406,AVERAGEIF(A$9:A406,A406,S$9:S406),""),"")</f>
        <v/>
      </c>
      <c r="M406" s="7" t="str">
        <f>IFERROR(IF(A407&lt;&gt;A406,AVERAGEIF(A$9:A406,A406,T$9:T406),""),"")</f>
        <v/>
      </c>
      <c r="N406" s="7" t="str" cm="1">
        <f t="array" ref="N406">IFERROR(IF(A407&lt;&gt;A406,_xlfn.STDEV.P(IF(A$9:A406=A406,T$9:T406)),""),"")</f>
        <v/>
      </c>
      <c r="O406" s="7" t="str" cm="1">
        <f t="array" ref="O406">IFERROR(IF(A407&lt;&gt;A406,_xlfn.STDEV.P(IF(A$9:A406=A406,S$9:S406)),""),"")</f>
        <v/>
      </c>
      <c r="P406" s="8" t="str">
        <f t="shared" si="141"/>
        <v/>
      </c>
      <c r="Q406" s="8" t="str">
        <f t="shared" si="142"/>
        <v/>
      </c>
      <c r="R406" s="8" t="str">
        <f t="shared" si="143"/>
        <v/>
      </c>
      <c r="S406" s="9" t="str">
        <f t="shared" si="144"/>
        <v/>
      </c>
      <c r="T406" s="9" t="str">
        <f t="shared" si="145"/>
        <v/>
      </c>
      <c r="U406" s="14"/>
      <c r="V406" s="15"/>
      <c r="W406" s="14" t="str">
        <f t="shared" si="146"/>
        <v/>
      </c>
      <c r="X406" s="15"/>
      <c r="Y406" s="2"/>
      <c r="AB406" s="22">
        <f t="shared" si="147"/>
        <v>1</v>
      </c>
      <c r="AC406" s="11"/>
      <c r="AD406" s="11"/>
      <c r="AE406" s="13"/>
      <c r="AF406" s="12"/>
      <c r="AG406" s="13"/>
      <c r="AH406" s="14"/>
      <c r="AI406" s="81" t="str">
        <f t="shared" si="148"/>
        <v/>
      </c>
      <c r="AJ406" s="15"/>
      <c r="AK406" s="6" t="e">
        <f t="shared" si="149"/>
        <v>#N/A</v>
      </c>
      <c r="AL406" s="6" t="str">
        <f>IF(AB407&lt;&gt;AB406,AVERAGEIF(AB$9:AB406,AB406,AK$9:AK406),"")</f>
        <v/>
      </c>
      <c r="AM406" s="7" t="str">
        <f>IFERROR(IF(AB407&lt;&gt;AB406,AVERAGEIF(AB$9:AB406,AB406,AT$9:AT406),""),"")</f>
        <v/>
      </c>
      <c r="AN406" s="7" t="str">
        <f>IFERROR(IF(AB407&lt;&gt;AB406,AVERAGEIF(AB$9:AB406,AB406,AU$9:AU406),""),"")</f>
        <v/>
      </c>
      <c r="AO406" s="7" t="str" cm="1">
        <f t="array" ref="AO406">IFERROR(IF(AB407&lt;&gt;AB406,_xlfn.STDEV.P(IF(AB$9:AB406=AB406,AU$9:AU406)),""),"")</f>
        <v/>
      </c>
      <c r="AP406" s="7" t="str" cm="1">
        <f t="array" ref="AP406">IFERROR(IF(AB407&lt;&gt;AB406,_xlfn.STDEV.P(IF(AB$9:AB406=AB406,AT$9:AT406)),""),"")</f>
        <v/>
      </c>
      <c r="AQ406" s="8" t="str">
        <f t="shared" si="150"/>
        <v/>
      </c>
      <c r="AR406" s="8" t="str">
        <f t="shared" si="151"/>
        <v/>
      </c>
      <c r="AS406" s="8" t="str">
        <f t="shared" si="152"/>
        <v/>
      </c>
      <c r="AT406" s="9" t="str">
        <f t="shared" si="153"/>
        <v/>
      </c>
      <c r="AU406" s="9" t="str">
        <f t="shared" si="154"/>
        <v/>
      </c>
      <c r="AV406" s="14"/>
      <c r="AW406" s="15"/>
      <c r="AX406" s="14" t="str">
        <f t="shared" si="155"/>
        <v/>
      </c>
      <c r="AY406" s="15"/>
      <c r="AZ406" s="23"/>
      <c r="EW406" t="s">
        <v>46</v>
      </c>
      <c r="EX406" s="33">
        <v>1405</v>
      </c>
      <c r="EY406" s="33" t="s">
        <v>1053</v>
      </c>
      <c r="EZ406" s="33" t="s">
        <v>1054</v>
      </c>
      <c r="FA406" s="33" t="s">
        <v>343</v>
      </c>
      <c r="FB406" s="33" t="s">
        <v>344</v>
      </c>
      <c r="FC406" s="33" t="s">
        <v>345</v>
      </c>
      <c r="FD406" s="33" t="s">
        <v>346</v>
      </c>
      <c r="FE406" s="33">
        <v>2025</v>
      </c>
      <c r="FF406" s="33" t="s">
        <v>59</v>
      </c>
      <c r="FG406" s="33" t="s">
        <v>470</v>
      </c>
      <c r="FH406" s="33" t="s">
        <v>471</v>
      </c>
      <c r="FI406" s="33" t="s">
        <v>467</v>
      </c>
      <c r="FJ406" t="s">
        <v>59</v>
      </c>
      <c r="FM406" s="32" t="s">
        <v>1034</v>
      </c>
      <c r="FN406" t="s">
        <v>1035</v>
      </c>
      <c r="FO406" t="s">
        <v>1036</v>
      </c>
      <c r="FP406" t="str">
        <f t="shared" si="137"/>
        <v>B</v>
      </c>
      <c r="GU406" s="53">
        <v>176</v>
      </c>
      <c r="GV406" s="53">
        <v>400</v>
      </c>
    </row>
    <row r="407" spans="1:204" ht="15.5" x14ac:dyDescent="0.35">
      <c r="A407" s="95">
        <f t="shared" si="138"/>
        <v>1</v>
      </c>
      <c r="B407" s="11"/>
      <c r="C407" s="11"/>
      <c r="D407" s="92" t="str">
        <f>IFERROR(
IF(AND(OR(Planilla!B407="C",Planilla!B407="c"), VLOOKUP(E407,EX:FJ,13,0)="C"), "OK",IF(AND(OR(Planilla!B407="C",Planilla!B407="c"), OR(VLOOKUP(E407,EX:FJ,13,0)="B", VLOOKUP(E407,EX:FJ,13,0)="A")), "DEFICIT",IF(
AND(OR(Planilla!B407="B", Planilla!B407="BPAL"), VLOOKUP(E407,EX:FJ,13,0)="B"), "OK",IF(AND(OR(Planilla!B407="B", Planilla!B407="BPAL"), VLOOKUP(E407,EX:FJ,13,0)="A"), "DEFICIT",IF(AND(OR(Planilla!B407="B", Planilla!B407="BPAL"), VLOOKUP(E407,EX:FJ,13,0)="C"), "SOBREOFERTA",IF(AND(Planilla!B407="A", VLOOKUP(E407,EX:FJ,13,0)="A"), "OK",IF(
AND(Planilla!B407="A", OR(VLOOKUP(E407,EX:FJ,13,0)="B", VLOOKUP(E407,EX:FJ,13,0)="C")), "SOBREOFERTA",""
))))))),"")</f>
        <v/>
      </c>
      <c r="E407" s="12"/>
      <c r="F407" s="13"/>
      <c r="G407" s="14"/>
      <c r="H407" s="81" t="str">
        <f t="shared" si="139"/>
        <v/>
      </c>
      <c r="I407" s="7"/>
      <c r="J407" s="6" t="e">
        <f t="shared" si="140"/>
        <v>#N/A</v>
      </c>
      <c r="K407" s="6" t="str">
        <f>IF(A408&lt;&gt;A407,AVERAGEIF(A$9:A407,A407,J$9:J407),"")</f>
        <v/>
      </c>
      <c r="L407" s="7" t="str">
        <f>IFERROR(IF(A408&lt;&gt;A407,AVERAGEIF(A$9:A407,A407,S$9:S407),""),"")</f>
        <v/>
      </c>
      <c r="M407" s="7" t="str">
        <f>IFERROR(IF(A408&lt;&gt;A407,AVERAGEIF(A$9:A407,A407,T$9:T407),""),"")</f>
        <v/>
      </c>
      <c r="N407" s="7" t="str" cm="1">
        <f t="array" ref="N407">IFERROR(IF(A408&lt;&gt;A407,_xlfn.STDEV.P(IF(A$9:A407=A407,T$9:T407)),""),"")</f>
        <v/>
      </c>
      <c r="O407" s="7" t="str" cm="1">
        <f t="array" ref="O407">IFERROR(IF(A408&lt;&gt;A407,_xlfn.STDEV.P(IF(A$9:A407=A407,S$9:S407)),""),"")</f>
        <v/>
      </c>
      <c r="P407" s="8" t="str">
        <f t="shared" si="141"/>
        <v/>
      </c>
      <c r="Q407" s="8" t="str">
        <f t="shared" si="142"/>
        <v/>
      </c>
      <c r="R407" s="8" t="str">
        <f t="shared" si="143"/>
        <v/>
      </c>
      <c r="S407" s="9" t="str">
        <f t="shared" si="144"/>
        <v/>
      </c>
      <c r="T407" s="9" t="str">
        <f t="shared" si="145"/>
        <v/>
      </c>
      <c r="U407" s="14"/>
      <c r="V407" s="15"/>
      <c r="W407" s="14" t="str">
        <f t="shared" si="146"/>
        <v/>
      </c>
      <c r="X407" s="15"/>
      <c r="Y407" s="2"/>
      <c r="AB407" s="22">
        <f t="shared" si="147"/>
        <v>1</v>
      </c>
      <c r="AC407" s="11"/>
      <c r="AD407" s="11"/>
      <c r="AE407" s="13"/>
      <c r="AF407" s="12"/>
      <c r="AG407" s="13"/>
      <c r="AH407" s="14"/>
      <c r="AI407" s="81" t="str">
        <f t="shared" si="148"/>
        <v/>
      </c>
      <c r="AJ407" s="15"/>
      <c r="AK407" s="6" t="e">
        <f t="shared" si="149"/>
        <v>#N/A</v>
      </c>
      <c r="AL407" s="6" t="str">
        <f>IF(AB408&lt;&gt;AB407,AVERAGEIF(AB$9:AB407,AB407,AK$9:AK407),"")</f>
        <v/>
      </c>
      <c r="AM407" s="7" t="str">
        <f>IFERROR(IF(AB408&lt;&gt;AB407,AVERAGEIF(AB$9:AB407,AB407,AT$9:AT407),""),"")</f>
        <v/>
      </c>
      <c r="AN407" s="7" t="str">
        <f>IFERROR(IF(AB408&lt;&gt;AB407,AVERAGEIF(AB$9:AB407,AB407,AU$9:AU407),""),"")</f>
        <v/>
      </c>
      <c r="AO407" s="7" t="str" cm="1">
        <f t="array" ref="AO407">IFERROR(IF(AB408&lt;&gt;AB407,_xlfn.STDEV.P(IF(AB$9:AB407=AB407,AU$9:AU407)),""),"")</f>
        <v/>
      </c>
      <c r="AP407" s="7" t="str" cm="1">
        <f t="array" ref="AP407">IFERROR(IF(AB408&lt;&gt;AB407,_xlfn.STDEV.P(IF(AB$9:AB407=AB407,AT$9:AT407)),""),"")</f>
        <v/>
      </c>
      <c r="AQ407" s="8" t="str">
        <f t="shared" si="150"/>
        <v/>
      </c>
      <c r="AR407" s="8" t="str">
        <f t="shared" si="151"/>
        <v/>
      </c>
      <c r="AS407" s="8" t="str">
        <f t="shared" si="152"/>
        <v/>
      </c>
      <c r="AT407" s="9" t="str">
        <f t="shared" si="153"/>
        <v/>
      </c>
      <c r="AU407" s="9" t="str">
        <f t="shared" si="154"/>
        <v/>
      </c>
      <c r="AV407" s="14"/>
      <c r="AW407" s="15"/>
      <c r="AX407" s="14" t="str">
        <f t="shared" si="155"/>
        <v/>
      </c>
      <c r="AY407" s="15"/>
      <c r="AZ407" s="23"/>
      <c r="EW407" t="s">
        <v>46</v>
      </c>
      <c r="EX407" s="33">
        <v>1406</v>
      </c>
      <c r="EY407" s="33" t="s">
        <v>1055</v>
      </c>
      <c r="EZ407" s="33" t="s">
        <v>1056</v>
      </c>
      <c r="FA407" s="33" t="s">
        <v>343</v>
      </c>
      <c r="FB407" s="33" t="s">
        <v>344</v>
      </c>
      <c r="FC407" s="33" t="s">
        <v>345</v>
      </c>
      <c r="FD407" s="33" t="s">
        <v>346</v>
      </c>
      <c r="FE407" s="33">
        <v>2025</v>
      </c>
      <c r="FF407" s="33" t="s">
        <v>59</v>
      </c>
      <c r="FG407" s="33" t="s">
        <v>470</v>
      </c>
      <c r="FH407" s="33" t="s">
        <v>471</v>
      </c>
      <c r="FI407" s="33" t="s">
        <v>467</v>
      </c>
      <c r="FJ407" t="s">
        <v>59</v>
      </c>
      <c r="FM407" s="32" t="s">
        <v>1034</v>
      </c>
      <c r="FN407" t="s">
        <v>1035</v>
      </c>
      <c r="FO407" t="s">
        <v>1036</v>
      </c>
      <c r="FP407" t="str">
        <f t="shared" si="137"/>
        <v>B</v>
      </c>
      <c r="GU407" s="53">
        <v>177</v>
      </c>
      <c r="GV407" s="53">
        <v>401</v>
      </c>
    </row>
    <row r="408" spans="1:204" ht="15.5" x14ac:dyDescent="0.35">
      <c r="A408" s="95">
        <f t="shared" si="138"/>
        <v>1</v>
      </c>
      <c r="B408" s="11"/>
      <c r="C408" s="11"/>
      <c r="D408" s="92" t="str">
        <f>IFERROR(
IF(AND(OR(Planilla!B408="C",Planilla!B408="c"), VLOOKUP(E408,EX:FJ,13,0)="C"), "OK",IF(AND(OR(Planilla!B408="C",Planilla!B408="c"), OR(VLOOKUP(E408,EX:FJ,13,0)="B", VLOOKUP(E408,EX:FJ,13,0)="A")), "DEFICIT",IF(
AND(OR(Planilla!B408="B", Planilla!B408="BPAL"), VLOOKUP(E408,EX:FJ,13,0)="B"), "OK",IF(AND(OR(Planilla!B408="B", Planilla!B408="BPAL"), VLOOKUP(E408,EX:FJ,13,0)="A"), "DEFICIT",IF(AND(OR(Planilla!B408="B", Planilla!B408="BPAL"), VLOOKUP(E408,EX:FJ,13,0)="C"), "SOBREOFERTA",IF(AND(Planilla!B408="A", VLOOKUP(E408,EX:FJ,13,0)="A"), "OK",IF(
AND(Planilla!B408="A", OR(VLOOKUP(E408,EX:FJ,13,0)="B", VLOOKUP(E408,EX:FJ,13,0)="C")), "SOBREOFERTA",""
))))))),"")</f>
        <v/>
      </c>
      <c r="E408" s="12"/>
      <c r="F408" s="13"/>
      <c r="G408" s="14"/>
      <c r="H408" s="81" t="str">
        <f t="shared" si="139"/>
        <v/>
      </c>
      <c r="I408" s="7"/>
      <c r="J408" s="6" t="e">
        <f t="shared" si="140"/>
        <v>#N/A</v>
      </c>
      <c r="K408" s="6" t="str">
        <f>IF(A409&lt;&gt;A408,AVERAGEIF(A$9:A408,A408,J$9:J408),"")</f>
        <v/>
      </c>
      <c r="L408" s="7" t="str">
        <f>IFERROR(IF(A409&lt;&gt;A408,AVERAGEIF(A$9:A408,A408,S$9:S408),""),"")</f>
        <v/>
      </c>
      <c r="M408" s="7" t="str">
        <f>IFERROR(IF(A409&lt;&gt;A408,AVERAGEIF(A$9:A408,A408,T$9:T408),""),"")</f>
        <v/>
      </c>
      <c r="N408" s="7" t="str" cm="1">
        <f t="array" ref="N408">IFERROR(IF(A409&lt;&gt;A408,_xlfn.STDEV.P(IF(A$9:A408=A408,T$9:T408)),""),"")</f>
        <v/>
      </c>
      <c r="O408" s="7" t="str" cm="1">
        <f t="array" ref="O408">IFERROR(IF(A409&lt;&gt;A408,_xlfn.STDEV.P(IF(A$9:A408=A408,S$9:S408)),""),"")</f>
        <v/>
      </c>
      <c r="P408" s="8" t="str">
        <f t="shared" si="141"/>
        <v/>
      </c>
      <c r="Q408" s="8" t="str">
        <f t="shared" si="142"/>
        <v/>
      </c>
      <c r="R408" s="8" t="str">
        <f t="shared" si="143"/>
        <v/>
      </c>
      <c r="S408" s="9" t="str">
        <f t="shared" si="144"/>
        <v/>
      </c>
      <c r="T408" s="9" t="str">
        <f t="shared" si="145"/>
        <v/>
      </c>
      <c r="U408" s="14"/>
      <c r="V408" s="15"/>
      <c r="W408" s="14" t="str">
        <f t="shared" si="146"/>
        <v/>
      </c>
      <c r="X408" s="15"/>
      <c r="Y408" s="2"/>
      <c r="AB408" s="22">
        <f t="shared" si="147"/>
        <v>1</v>
      </c>
      <c r="AC408" s="11"/>
      <c r="AD408" s="11"/>
      <c r="AE408" s="13"/>
      <c r="AF408" s="12"/>
      <c r="AG408" s="13"/>
      <c r="AH408" s="14"/>
      <c r="AI408" s="81" t="str">
        <f t="shared" si="148"/>
        <v/>
      </c>
      <c r="AJ408" s="15"/>
      <c r="AK408" s="6" t="e">
        <f t="shared" si="149"/>
        <v>#N/A</v>
      </c>
      <c r="AL408" s="6" t="str">
        <f>IF(AB409&lt;&gt;AB408,AVERAGEIF(AB$9:AB408,AB408,AK$9:AK408),"")</f>
        <v/>
      </c>
      <c r="AM408" s="7" t="str">
        <f>IFERROR(IF(AB409&lt;&gt;AB408,AVERAGEIF(AB$9:AB408,AB408,AT$9:AT408),""),"")</f>
        <v/>
      </c>
      <c r="AN408" s="7" t="str">
        <f>IFERROR(IF(AB409&lt;&gt;AB408,AVERAGEIF(AB$9:AB408,AB408,AU$9:AU408),""),"")</f>
        <v/>
      </c>
      <c r="AO408" s="7" t="str" cm="1">
        <f t="array" ref="AO408">IFERROR(IF(AB409&lt;&gt;AB408,_xlfn.STDEV.P(IF(AB$9:AB408=AB408,AU$9:AU408)),""),"")</f>
        <v/>
      </c>
      <c r="AP408" s="7" t="str" cm="1">
        <f t="array" ref="AP408">IFERROR(IF(AB409&lt;&gt;AB408,_xlfn.STDEV.P(IF(AB$9:AB408=AB408,AT$9:AT408)),""),"")</f>
        <v/>
      </c>
      <c r="AQ408" s="8" t="str">
        <f t="shared" si="150"/>
        <v/>
      </c>
      <c r="AR408" s="8" t="str">
        <f t="shared" si="151"/>
        <v/>
      </c>
      <c r="AS408" s="8" t="str">
        <f t="shared" si="152"/>
        <v/>
      </c>
      <c r="AT408" s="9" t="str">
        <f t="shared" si="153"/>
        <v/>
      </c>
      <c r="AU408" s="9" t="str">
        <f t="shared" si="154"/>
        <v/>
      </c>
      <c r="AV408" s="14"/>
      <c r="AW408" s="15"/>
      <c r="AX408" s="14" t="str">
        <f t="shared" si="155"/>
        <v/>
      </c>
      <c r="AY408" s="15"/>
      <c r="AZ408" s="23"/>
      <c r="EW408" t="s">
        <v>46</v>
      </c>
      <c r="EX408" s="33">
        <v>1407</v>
      </c>
      <c r="EY408" s="33" t="s">
        <v>1057</v>
      </c>
      <c r="EZ408" s="33" t="s">
        <v>1058</v>
      </c>
      <c r="FA408" s="33" t="s">
        <v>343</v>
      </c>
      <c r="FB408" s="33" t="s">
        <v>344</v>
      </c>
      <c r="FC408" s="33" t="s">
        <v>345</v>
      </c>
      <c r="FD408" s="33" t="s">
        <v>346</v>
      </c>
      <c r="FE408" s="33">
        <v>2025</v>
      </c>
      <c r="FF408" s="33" t="s">
        <v>59</v>
      </c>
      <c r="FG408" s="33" t="s">
        <v>477</v>
      </c>
      <c r="FH408" s="33" t="s">
        <v>478</v>
      </c>
      <c r="FI408" s="33" t="s">
        <v>479</v>
      </c>
      <c r="FJ408" t="s">
        <v>59</v>
      </c>
      <c r="FM408" s="32" t="s">
        <v>1059</v>
      </c>
      <c r="FN408" t="s">
        <v>1060</v>
      </c>
      <c r="FO408" t="s">
        <v>1061</v>
      </c>
      <c r="FP408" t="str">
        <f t="shared" si="137"/>
        <v>B</v>
      </c>
      <c r="GU408" s="53">
        <v>178</v>
      </c>
      <c r="GV408" s="53">
        <v>402</v>
      </c>
    </row>
    <row r="409" spans="1:204" ht="15.5" x14ac:dyDescent="0.35">
      <c r="A409" s="95">
        <f t="shared" si="138"/>
        <v>1</v>
      </c>
      <c r="B409" s="11"/>
      <c r="C409" s="11"/>
      <c r="D409" s="92" t="str">
        <f>IFERROR(
IF(AND(OR(Planilla!B409="C",Planilla!B409="c"), VLOOKUP(E409,EX:FJ,13,0)="C"), "OK",IF(AND(OR(Planilla!B409="C",Planilla!B409="c"), OR(VLOOKUP(E409,EX:FJ,13,0)="B", VLOOKUP(E409,EX:FJ,13,0)="A")), "DEFICIT",IF(
AND(OR(Planilla!B409="B", Planilla!B409="BPAL"), VLOOKUP(E409,EX:FJ,13,0)="B"), "OK",IF(AND(OR(Planilla!B409="B", Planilla!B409="BPAL"), VLOOKUP(E409,EX:FJ,13,0)="A"), "DEFICIT",IF(AND(OR(Planilla!B409="B", Planilla!B409="BPAL"), VLOOKUP(E409,EX:FJ,13,0)="C"), "SOBREOFERTA",IF(AND(Planilla!B409="A", VLOOKUP(E409,EX:FJ,13,0)="A"), "OK",IF(
AND(Planilla!B409="A", OR(VLOOKUP(E409,EX:FJ,13,0)="B", VLOOKUP(E409,EX:FJ,13,0)="C")), "SOBREOFERTA",""
))))))),"")</f>
        <v/>
      </c>
      <c r="E409" s="12"/>
      <c r="F409" s="13"/>
      <c r="G409" s="14"/>
      <c r="H409" s="81" t="str">
        <f t="shared" si="139"/>
        <v/>
      </c>
      <c r="I409" s="7"/>
      <c r="J409" s="6" t="e">
        <f t="shared" si="140"/>
        <v>#N/A</v>
      </c>
      <c r="K409" s="6" t="str">
        <f>IF(A410&lt;&gt;A409,AVERAGEIF(A$9:A409,A409,J$9:J409),"")</f>
        <v/>
      </c>
      <c r="L409" s="7" t="str">
        <f>IFERROR(IF(A410&lt;&gt;A409,AVERAGEIF(A$9:A409,A409,S$9:S409),""),"")</f>
        <v/>
      </c>
      <c r="M409" s="7" t="str">
        <f>IFERROR(IF(A410&lt;&gt;A409,AVERAGEIF(A$9:A409,A409,T$9:T409),""),"")</f>
        <v/>
      </c>
      <c r="N409" s="7" t="str" cm="1">
        <f t="array" ref="N409">IFERROR(IF(A410&lt;&gt;A409,_xlfn.STDEV.P(IF(A$9:A409=A409,T$9:T409)),""),"")</f>
        <v/>
      </c>
      <c r="O409" s="7" t="str" cm="1">
        <f t="array" ref="O409">IFERROR(IF(A410&lt;&gt;A409,_xlfn.STDEV.P(IF(A$9:A409=A409,S$9:S409)),""),"")</f>
        <v/>
      </c>
      <c r="P409" s="8" t="str">
        <f t="shared" si="141"/>
        <v/>
      </c>
      <c r="Q409" s="8" t="str">
        <f t="shared" si="142"/>
        <v/>
      </c>
      <c r="R409" s="8" t="str">
        <f t="shared" si="143"/>
        <v/>
      </c>
      <c r="S409" s="9" t="str">
        <f t="shared" si="144"/>
        <v/>
      </c>
      <c r="T409" s="9" t="str">
        <f t="shared" si="145"/>
        <v/>
      </c>
      <c r="U409" s="14"/>
      <c r="V409" s="15"/>
      <c r="W409" s="14" t="str">
        <f t="shared" si="146"/>
        <v/>
      </c>
      <c r="X409" s="15"/>
      <c r="Y409" s="2"/>
      <c r="AB409" s="22">
        <f t="shared" si="147"/>
        <v>1</v>
      </c>
      <c r="AC409" s="11"/>
      <c r="AD409" s="11"/>
      <c r="AE409" s="13"/>
      <c r="AF409" s="12"/>
      <c r="AG409" s="13"/>
      <c r="AH409" s="14"/>
      <c r="AI409" s="81" t="str">
        <f t="shared" si="148"/>
        <v/>
      </c>
      <c r="AJ409" s="15"/>
      <c r="AK409" s="6" t="e">
        <f t="shared" si="149"/>
        <v>#N/A</v>
      </c>
      <c r="AL409" s="6" t="str">
        <f>IF(AB410&lt;&gt;AB409,AVERAGEIF(AB$9:AB409,AB409,AK$9:AK409),"")</f>
        <v/>
      </c>
      <c r="AM409" s="7" t="str">
        <f>IFERROR(IF(AB410&lt;&gt;AB409,AVERAGEIF(AB$9:AB409,AB409,AT$9:AT409),""),"")</f>
        <v/>
      </c>
      <c r="AN409" s="7" t="str">
        <f>IFERROR(IF(AB410&lt;&gt;AB409,AVERAGEIF(AB$9:AB409,AB409,AU$9:AU409),""),"")</f>
        <v/>
      </c>
      <c r="AO409" s="7" t="str" cm="1">
        <f t="array" ref="AO409">IFERROR(IF(AB410&lt;&gt;AB409,_xlfn.STDEV.P(IF(AB$9:AB409=AB409,AU$9:AU409)),""),"")</f>
        <v/>
      </c>
      <c r="AP409" s="7" t="str" cm="1">
        <f t="array" ref="AP409">IFERROR(IF(AB410&lt;&gt;AB409,_xlfn.STDEV.P(IF(AB$9:AB409=AB409,AT$9:AT409)),""),"")</f>
        <v/>
      </c>
      <c r="AQ409" s="8" t="str">
        <f t="shared" si="150"/>
        <v/>
      </c>
      <c r="AR409" s="8" t="str">
        <f t="shared" si="151"/>
        <v/>
      </c>
      <c r="AS409" s="8" t="str">
        <f t="shared" si="152"/>
        <v/>
      </c>
      <c r="AT409" s="9" t="str">
        <f t="shared" si="153"/>
        <v/>
      </c>
      <c r="AU409" s="9" t="str">
        <f t="shared" si="154"/>
        <v/>
      </c>
      <c r="AV409" s="14"/>
      <c r="AW409" s="15"/>
      <c r="AX409" s="14" t="str">
        <f t="shared" si="155"/>
        <v/>
      </c>
      <c r="AY409" s="15"/>
      <c r="AZ409" s="23"/>
      <c r="EW409" t="s">
        <v>46</v>
      </c>
      <c r="EX409" s="33">
        <v>1408</v>
      </c>
      <c r="EY409" s="33" t="s">
        <v>1062</v>
      </c>
      <c r="EZ409" s="33" t="s">
        <v>1063</v>
      </c>
      <c r="FA409" s="33" t="s">
        <v>343</v>
      </c>
      <c r="FB409" s="33" t="s">
        <v>344</v>
      </c>
      <c r="FC409" s="33" t="s">
        <v>345</v>
      </c>
      <c r="FD409" s="33" t="s">
        <v>346</v>
      </c>
      <c r="FE409" s="33">
        <v>2025</v>
      </c>
      <c r="FF409" s="33" t="s">
        <v>59</v>
      </c>
      <c r="FG409" s="33" t="s">
        <v>477</v>
      </c>
      <c r="FH409" s="33" t="s">
        <v>478</v>
      </c>
      <c r="FI409" s="33" t="s">
        <v>479</v>
      </c>
      <c r="FJ409" t="s">
        <v>59</v>
      </c>
      <c r="FM409" s="32" t="s">
        <v>1059</v>
      </c>
      <c r="FN409" t="s">
        <v>1060</v>
      </c>
      <c r="FO409" t="s">
        <v>1061</v>
      </c>
      <c r="FP409" t="str">
        <f t="shared" si="137"/>
        <v>B</v>
      </c>
      <c r="GU409" s="53">
        <v>179</v>
      </c>
      <c r="GV409" s="53">
        <v>403</v>
      </c>
    </row>
    <row r="410" spans="1:204" ht="15.5" x14ac:dyDescent="0.35">
      <c r="A410" s="95">
        <f t="shared" si="138"/>
        <v>1</v>
      </c>
      <c r="B410" s="11"/>
      <c r="C410" s="11"/>
      <c r="D410" s="92" t="str">
        <f>IFERROR(
IF(AND(OR(Planilla!B410="C",Planilla!B410="c"), VLOOKUP(E410,EX:FJ,13,0)="C"), "OK",IF(AND(OR(Planilla!B410="C",Planilla!B410="c"), OR(VLOOKUP(E410,EX:FJ,13,0)="B", VLOOKUP(E410,EX:FJ,13,0)="A")), "DEFICIT",IF(
AND(OR(Planilla!B410="B", Planilla!B410="BPAL"), VLOOKUP(E410,EX:FJ,13,0)="B"), "OK",IF(AND(OR(Planilla!B410="B", Planilla!B410="BPAL"), VLOOKUP(E410,EX:FJ,13,0)="A"), "DEFICIT",IF(AND(OR(Planilla!B410="B", Planilla!B410="BPAL"), VLOOKUP(E410,EX:FJ,13,0)="C"), "SOBREOFERTA",IF(AND(Planilla!B410="A", VLOOKUP(E410,EX:FJ,13,0)="A"), "OK",IF(
AND(Planilla!B410="A", OR(VLOOKUP(E410,EX:FJ,13,0)="B", VLOOKUP(E410,EX:FJ,13,0)="C")), "SOBREOFERTA",""
))))))),"")</f>
        <v/>
      </c>
      <c r="E410" s="12"/>
      <c r="F410" s="13"/>
      <c r="G410" s="14"/>
      <c r="H410" s="81" t="str">
        <f t="shared" si="139"/>
        <v/>
      </c>
      <c r="I410" s="7"/>
      <c r="J410" s="6" t="e">
        <f t="shared" si="140"/>
        <v>#N/A</v>
      </c>
      <c r="K410" s="6" t="str">
        <f>IF(A411&lt;&gt;A410,AVERAGEIF(A$9:A410,A410,J$9:J410),"")</f>
        <v/>
      </c>
      <c r="L410" s="7" t="str">
        <f>IFERROR(IF(A411&lt;&gt;A410,AVERAGEIF(A$9:A410,A410,S$9:S410),""),"")</f>
        <v/>
      </c>
      <c r="M410" s="7" t="str">
        <f>IFERROR(IF(A411&lt;&gt;A410,AVERAGEIF(A$9:A410,A410,T$9:T410),""),"")</f>
        <v/>
      </c>
      <c r="N410" s="7" t="str" cm="1">
        <f t="array" ref="N410">IFERROR(IF(A411&lt;&gt;A410,_xlfn.STDEV.P(IF(A$9:A410=A410,T$9:T410)),""),"")</f>
        <v/>
      </c>
      <c r="O410" s="7" t="str" cm="1">
        <f t="array" ref="O410">IFERROR(IF(A411&lt;&gt;A410,_xlfn.STDEV.P(IF(A$9:A410=A410,S$9:S410)),""),"")</f>
        <v/>
      </c>
      <c r="P410" s="8" t="str">
        <f t="shared" si="141"/>
        <v/>
      </c>
      <c r="Q410" s="8" t="str">
        <f t="shared" si="142"/>
        <v/>
      </c>
      <c r="R410" s="8" t="str">
        <f t="shared" si="143"/>
        <v/>
      </c>
      <c r="S410" s="9" t="str">
        <f t="shared" si="144"/>
        <v/>
      </c>
      <c r="T410" s="9" t="str">
        <f t="shared" si="145"/>
        <v/>
      </c>
      <c r="U410" s="14"/>
      <c r="V410" s="15"/>
      <c r="W410" s="14" t="str">
        <f t="shared" si="146"/>
        <v/>
      </c>
      <c r="X410" s="15"/>
      <c r="Y410" s="2"/>
      <c r="AB410" s="22">
        <f t="shared" si="147"/>
        <v>1</v>
      </c>
      <c r="AC410" s="11"/>
      <c r="AD410" s="11"/>
      <c r="AE410" s="13"/>
      <c r="AF410" s="12"/>
      <c r="AG410" s="13"/>
      <c r="AH410" s="14"/>
      <c r="AI410" s="81" t="str">
        <f t="shared" si="148"/>
        <v/>
      </c>
      <c r="AJ410" s="15"/>
      <c r="AK410" s="6" t="e">
        <f t="shared" si="149"/>
        <v>#N/A</v>
      </c>
      <c r="AL410" s="6" t="str">
        <f>IF(AB411&lt;&gt;AB410,AVERAGEIF(AB$9:AB410,AB410,AK$9:AK410),"")</f>
        <v/>
      </c>
      <c r="AM410" s="7" t="str">
        <f>IFERROR(IF(AB411&lt;&gt;AB410,AVERAGEIF(AB$9:AB410,AB410,AT$9:AT410),""),"")</f>
        <v/>
      </c>
      <c r="AN410" s="7" t="str">
        <f>IFERROR(IF(AB411&lt;&gt;AB410,AVERAGEIF(AB$9:AB410,AB410,AU$9:AU410),""),"")</f>
        <v/>
      </c>
      <c r="AO410" s="7" t="str" cm="1">
        <f t="array" ref="AO410">IFERROR(IF(AB411&lt;&gt;AB410,_xlfn.STDEV.P(IF(AB$9:AB410=AB410,AU$9:AU410)),""),"")</f>
        <v/>
      </c>
      <c r="AP410" s="7" t="str" cm="1">
        <f t="array" ref="AP410">IFERROR(IF(AB411&lt;&gt;AB410,_xlfn.STDEV.P(IF(AB$9:AB410=AB410,AT$9:AT410)),""),"")</f>
        <v/>
      </c>
      <c r="AQ410" s="8" t="str">
        <f t="shared" si="150"/>
        <v/>
      </c>
      <c r="AR410" s="8" t="str">
        <f t="shared" si="151"/>
        <v/>
      </c>
      <c r="AS410" s="8" t="str">
        <f t="shared" si="152"/>
        <v/>
      </c>
      <c r="AT410" s="9" t="str">
        <f t="shared" si="153"/>
        <v/>
      </c>
      <c r="AU410" s="9" t="str">
        <f t="shared" si="154"/>
        <v/>
      </c>
      <c r="AV410" s="14"/>
      <c r="AW410" s="15"/>
      <c r="AX410" s="14" t="str">
        <f t="shared" si="155"/>
        <v/>
      </c>
      <c r="AY410" s="15"/>
      <c r="AZ410" s="23"/>
      <c r="EW410" t="s">
        <v>46</v>
      </c>
      <c r="EX410" s="33">
        <v>1409</v>
      </c>
      <c r="EY410" s="33" t="s">
        <v>1064</v>
      </c>
      <c r="EZ410" s="33" t="s">
        <v>1065</v>
      </c>
      <c r="FA410" s="33" t="s">
        <v>343</v>
      </c>
      <c r="FB410" s="33" t="s">
        <v>344</v>
      </c>
      <c r="FC410" s="33" t="s">
        <v>345</v>
      </c>
      <c r="FD410" s="33" t="s">
        <v>346</v>
      </c>
      <c r="FE410" s="33">
        <v>2025</v>
      </c>
      <c r="FF410" s="33" t="s">
        <v>59</v>
      </c>
      <c r="FG410" s="33" t="s">
        <v>477</v>
      </c>
      <c r="FH410" s="33" t="s">
        <v>478</v>
      </c>
      <c r="FI410" s="33" t="s">
        <v>479</v>
      </c>
      <c r="FJ410" t="s">
        <v>59</v>
      </c>
      <c r="FM410" s="32" t="s">
        <v>1059</v>
      </c>
      <c r="FN410" t="s">
        <v>1060</v>
      </c>
      <c r="FO410" t="s">
        <v>1061</v>
      </c>
      <c r="FP410" t="str">
        <f t="shared" si="137"/>
        <v>B</v>
      </c>
      <c r="GU410" s="53">
        <v>180</v>
      </c>
      <c r="GV410" s="53">
        <v>404</v>
      </c>
    </row>
    <row r="411" spans="1:204" ht="15.5" x14ac:dyDescent="0.35">
      <c r="A411" s="95">
        <f t="shared" si="138"/>
        <v>1</v>
      </c>
      <c r="B411" s="11"/>
      <c r="C411" s="11"/>
      <c r="D411" s="92" t="str">
        <f>IFERROR(
IF(AND(OR(Planilla!B411="C",Planilla!B411="c"), VLOOKUP(E411,EX:FJ,13,0)="C"), "OK",IF(AND(OR(Planilla!B411="C",Planilla!B411="c"), OR(VLOOKUP(E411,EX:FJ,13,0)="B", VLOOKUP(E411,EX:FJ,13,0)="A")), "DEFICIT",IF(
AND(OR(Planilla!B411="B", Planilla!B411="BPAL"), VLOOKUP(E411,EX:FJ,13,0)="B"), "OK",IF(AND(OR(Planilla!B411="B", Planilla!B411="BPAL"), VLOOKUP(E411,EX:FJ,13,0)="A"), "DEFICIT",IF(AND(OR(Planilla!B411="B", Planilla!B411="BPAL"), VLOOKUP(E411,EX:FJ,13,0)="C"), "SOBREOFERTA",IF(AND(Planilla!B411="A", VLOOKUP(E411,EX:FJ,13,0)="A"), "OK",IF(
AND(Planilla!B411="A", OR(VLOOKUP(E411,EX:FJ,13,0)="B", VLOOKUP(E411,EX:FJ,13,0)="C")), "SOBREOFERTA",""
))))))),"")</f>
        <v/>
      </c>
      <c r="E411" s="12"/>
      <c r="F411" s="13"/>
      <c r="G411" s="14"/>
      <c r="H411" s="81" t="str">
        <f t="shared" si="139"/>
        <v/>
      </c>
      <c r="I411" s="7"/>
      <c r="J411" s="6" t="e">
        <f t="shared" si="140"/>
        <v>#N/A</v>
      </c>
      <c r="K411" s="6" t="str">
        <f>IF(A412&lt;&gt;A411,AVERAGEIF(A$9:A411,A411,J$9:J411),"")</f>
        <v/>
      </c>
      <c r="L411" s="7" t="str">
        <f>IFERROR(IF(A412&lt;&gt;A411,AVERAGEIF(A$9:A411,A411,S$9:S411),""),"")</f>
        <v/>
      </c>
      <c r="M411" s="7" t="str">
        <f>IFERROR(IF(A412&lt;&gt;A411,AVERAGEIF(A$9:A411,A411,T$9:T411),""),"")</f>
        <v/>
      </c>
      <c r="N411" s="7" t="str" cm="1">
        <f t="array" ref="N411">IFERROR(IF(A412&lt;&gt;A411,_xlfn.STDEV.P(IF(A$9:A411=A411,T$9:T411)),""),"")</f>
        <v/>
      </c>
      <c r="O411" s="7" t="str" cm="1">
        <f t="array" ref="O411">IFERROR(IF(A412&lt;&gt;A411,_xlfn.STDEV.P(IF(A$9:A411=A411,S$9:S411)),""),"")</f>
        <v/>
      </c>
      <c r="P411" s="8" t="str">
        <f t="shared" si="141"/>
        <v/>
      </c>
      <c r="Q411" s="8" t="str">
        <f t="shared" si="142"/>
        <v/>
      </c>
      <c r="R411" s="8" t="str">
        <f t="shared" si="143"/>
        <v/>
      </c>
      <c r="S411" s="9" t="str">
        <f t="shared" si="144"/>
        <v/>
      </c>
      <c r="T411" s="9" t="str">
        <f t="shared" si="145"/>
        <v/>
      </c>
      <c r="U411" s="14"/>
      <c r="V411" s="15"/>
      <c r="W411" s="14" t="str">
        <f t="shared" si="146"/>
        <v/>
      </c>
      <c r="X411" s="15"/>
      <c r="Y411" s="2"/>
      <c r="AB411" s="22">
        <f t="shared" si="147"/>
        <v>1</v>
      </c>
      <c r="AC411" s="11"/>
      <c r="AD411" s="11"/>
      <c r="AE411" s="13"/>
      <c r="AF411" s="12"/>
      <c r="AG411" s="13"/>
      <c r="AH411" s="14"/>
      <c r="AI411" s="81" t="str">
        <f t="shared" si="148"/>
        <v/>
      </c>
      <c r="AJ411" s="15"/>
      <c r="AK411" s="6" t="e">
        <f t="shared" si="149"/>
        <v>#N/A</v>
      </c>
      <c r="AL411" s="6" t="str">
        <f>IF(AB412&lt;&gt;AB411,AVERAGEIF(AB$9:AB411,AB411,AK$9:AK411),"")</f>
        <v/>
      </c>
      <c r="AM411" s="7" t="str">
        <f>IFERROR(IF(AB412&lt;&gt;AB411,AVERAGEIF(AB$9:AB411,AB411,AT$9:AT411),""),"")</f>
        <v/>
      </c>
      <c r="AN411" s="7" t="str">
        <f>IFERROR(IF(AB412&lt;&gt;AB411,AVERAGEIF(AB$9:AB411,AB411,AU$9:AU411),""),"")</f>
        <v/>
      </c>
      <c r="AO411" s="7" t="str" cm="1">
        <f t="array" ref="AO411">IFERROR(IF(AB412&lt;&gt;AB411,_xlfn.STDEV.P(IF(AB$9:AB411=AB411,AU$9:AU411)),""),"")</f>
        <v/>
      </c>
      <c r="AP411" s="7" t="str" cm="1">
        <f t="array" ref="AP411">IFERROR(IF(AB412&lt;&gt;AB411,_xlfn.STDEV.P(IF(AB$9:AB411=AB411,AT$9:AT411)),""),"")</f>
        <v/>
      </c>
      <c r="AQ411" s="8" t="str">
        <f t="shared" si="150"/>
        <v/>
      </c>
      <c r="AR411" s="8" t="str">
        <f t="shared" si="151"/>
        <v/>
      </c>
      <c r="AS411" s="8" t="str">
        <f t="shared" si="152"/>
        <v/>
      </c>
      <c r="AT411" s="9" t="str">
        <f t="shared" si="153"/>
        <v/>
      </c>
      <c r="AU411" s="9" t="str">
        <f t="shared" si="154"/>
        <v/>
      </c>
      <c r="AV411" s="14"/>
      <c r="AW411" s="15"/>
      <c r="AX411" s="14" t="str">
        <f t="shared" si="155"/>
        <v/>
      </c>
      <c r="AY411" s="15"/>
      <c r="AZ411" s="23"/>
      <c r="EW411" t="s">
        <v>46</v>
      </c>
      <c r="EX411" s="33">
        <v>1410</v>
      </c>
      <c r="EY411" s="33" t="s">
        <v>1066</v>
      </c>
      <c r="EZ411" s="33" t="s">
        <v>1067</v>
      </c>
      <c r="FA411" s="33" t="s">
        <v>343</v>
      </c>
      <c r="FB411" s="33" t="s">
        <v>344</v>
      </c>
      <c r="FC411" s="33" t="s">
        <v>345</v>
      </c>
      <c r="FD411" s="33" t="s">
        <v>346</v>
      </c>
      <c r="FE411" s="33">
        <v>2025</v>
      </c>
      <c r="FF411" s="33" t="s">
        <v>59</v>
      </c>
      <c r="FG411" s="33" t="s">
        <v>477</v>
      </c>
      <c r="FH411" s="33" t="s">
        <v>478</v>
      </c>
      <c r="FI411" s="33" t="s">
        <v>479</v>
      </c>
      <c r="FJ411" t="s">
        <v>59</v>
      </c>
      <c r="FM411" s="32" t="s">
        <v>1059</v>
      </c>
      <c r="FN411" t="s">
        <v>1060</v>
      </c>
      <c r="FO411" t="s">
        <v>1061</v>
      </c>
      <c r="FP411" t="str">
        <f t="shared" si="137"/>
        <v>B</v>
      </c>
      <c r="GU411" s="53">
        <v>181</v>
      </c>
      <c r="GV411" s="53">
        <v>405</v>
      </c>
    </row>
    <row r="412" spans="1:204" ht="15.5" x14ac:dyDescent="0.35">
      <c r="A412" s="95">
        <f t="shared" si="138"/>
        <v>1</v>
      </c>
      <c r="B412" s="11"/>
      <c r="C412" s="11"/>
      <c r="D412" s="92" t="str">
        <f>IFERROR(
IF(AND(OR(Planilla!B412="C",Planilla!B412="c"), VLOOKUP(E412,EX:FJ,13,0)="C"), "OK",IF(AND(OR(Planilla!B412="C",Planilla!B412="c"), OR(VLOOKUP(E412,EX:FJ,13,0)="B", VLOOKUP(E412,EX:FJ,13,0)="A")), "DEFICIT",IF(
AND(OR(Planilla!B412="B", Planilla!B412="BPAL"), VLOOKUP(E412,EX:FJ,13,0)="B"), "OK",IF(AND(OR(Planilla!B412="B", Planilla!B412="BPAL"), VLOOKUP(E412,EX:FJ,13,0)="A"), "DEFICIT",IF(AND(OR(Planilla!B412="B", Planilla!B412="BPAL"), VLOOKUP(E412,EX:FJ,13,0)="C"), "SOBREOFERTA",IF(AND(Planilla!B412="A", VLOOKUP(E412,EX:FJ,13,0)="A"), "OK",IF(
AND(Planilla!B412="A", OR(VLOOKUP(E412,EX:FJ,13,0)="B", VLOOKUP(E412,EX:FJ,13,0)="C")), "SOBREOFERTA",""
))))))),"")</f>
        <v/>
      </c>
      <c r="E412" s="12"/>
      <c r="F412" s="13"/>
      <c r="G412" s="14"/>
      <c r="H412" s="81" t="str">
        <f t="shared" si="139"/>
        <v/>
      </c>
      <c r="I412" s="7"/>
      <c r="J412" s="6" t="e">
        <f t="shared" si="140"/>
        <v>#N/A</v>
      </c>
      <c r="K412" s="6" t="str">
        <f>IF(A413&lt;&gt;A412,AVERAGEIF(A$9:A412,A412,J$9:J412),"")</f>
        <v/>
      </c>
      <c r="L412" s="7" t="str">
        <f>IFERROR(IF(A413&lt;&gt;A412,AVERAGEIF(A$9:A412,A412,S$9:S412),""),"")</f>
        <v/>
      </c>
      <c r="M412" s="7" t="str">
        <f>IFERROR(IF(A413&lt;&gt;A412,AVERAGEIF(A$9:A412,A412,T$9:T412),""),"")</f>
        <v/>
      </c>
      <c r="N412" s="7" t="str" cm="1">
        <f t="array" ref="N412">IFERROR(IF(A413&lt;&gt;A412,_xlfn.STDEV.P(IF(A$9:A412=A412,T$9:T412)),""),"")</f>
        <v/>
      </c>
      <c r="O412" s="7" t="str" cm="1">
        <f t="array" ref="O412">IFERROR(IF(A413&lt;&gt;A412,_xlfn.STDEV.P(IF(A$9:A412=A412,S$9:S412)),""),"")</f>
        <v/>
      </c>
      <c r="P412" s="8" t="str">
        <f t="shared" si="141"/>
        <v/>
      </c>
      <c r="Q412" s="8" t="str">
        <f t="shared" si="142"/>
        <v/>
      </c>
      <c r="R412" s="8" t="str">
        <f t="shared" si="143"/>
        <v/>
      </c>
      <c r="S412" s="9" t="str">
        <f t="shared" si="144"/>
        <v/>
      </c>
      <c r="T412" s="9" t="str">
        <f t="shared" si="145"/>
        <v/>
      </c>
      <c r="U412" s="14"/>
      <c r="V412" s="15"/>
      <c r="W412" s="14" t="str">
        <f t="shared" si="146"/>
        <v/>
      </c>
      <c r="X412" s="15"/>
      <c r="Y412" s="2"/>
      <c r="AB412" s="22">
        <f t="shared" si="147"/>
        <v>1</v>
      </c>
      <c r="AC412" s="11"/>
      <c r="AD412" s="11"/>
      <c r="AE412" s="13"/>
      <c r="AF412" s="12"/>
      <c r="AG412" s="13"/>
      <c r="AH412" s="14"/>
      <c r="AI412" s="81" t="str">
        <f t="shared" si="148"/>
        <v/>
      </c>
      <c r="AJ412" s="15"/>
      <c r="AK412" s="6" t="e">
        <f t="shared" si="149"/>
        <v>#N/A</v>
      </c>
      <c r="AL412" s="6" t="str">
        <f>IF(AB413&lt;&gt;AB412,AVERAGEIF(AB$9:AB412,AB412,AK$9:AK412),"")</f>
        <v/>
      </c>
      <c r="AM412" s="7" t="str">
        <f>IFERROR(IF(AB413&lt;&gt;AB412,AVERAGEIF(AB$9:AB412,AB412,AT$9:AT412),""),"")</f>
        <v/>
      </c>
      <c r="AN412" s="7" t="str">
        <f>IFERROR(IF(AB413&lt;&gt;AB412,AVERAGEIF(AB$9:AB412,AB412,AU$9:AU412),""),"")</f>
        <v/>
      </c>
      <c r="AO412" s="7" t="str" cm="1">
        <f t="array" ref="AO412">IFERROR(IF(AB413&lt;&gt;AB412,_xlfn.STDEV.P(IF(AB$9:AB412=AB412,AU$9:AU412)),""),"")</f>
        <v/>
      </c>
      <c r="AP412" s="7" t="str" cm="1">
        <f t="array" ref="AP412">IFERROR(IF(AB413&lt;&gt;AB412,_xlfn.STDEV.P(IF(AB$9:AB412=AB412,AT$9:AT412)),""),"")</f>
        <v/>
      </c>
      <c r="AQ412" s="8" t="str">
        <f t="shared" si="150"/>
        <v/>
      </c>
      <c r="AR412" s="8" t="str">
        <f t="shared" si="151"/>
        <v/>
      </c>
      <c r="AS412" s="8" t="str">
        <f t="shared" si="152"/>
        <v/>
      </c>
      <c r="AT412" s="9" t="str">
        <f t="shared" si="153"/>
        <v/>
      </c>
      <c r="AU412" s="9" t="str">
        <f t="shared" si="154"/>
        <v/>
      </c>
      <c r="AV412" s="14"/>
      <c r="AW412" s="15"/>
      <c r="AX412" s="14" t="str">
        <f t="shared" si="155"/>
        <v/>
      </c>
      <c r="AY412" s="15"/>
      <c r="AZ412" s="23"/>
      <c r="EW412" t="s">
        <v>46</v>
      </c>
      <c r="EX412" s="33">
        <v>1411</v>
      </c>
      <c r="EY412" s="33" t="s">
        <v>1068</v>
      </c>
      <c r="EZ412" s="33" t="s">
        <v>1069</v>
      </c>
      <c r="FA412" s="33" t="s">
        <v>343</v>
      </c>
      <c r="FB412" s="33" t="s">
        <v>344</v>
      </c>
      <c r="FC412" s="33" t="s">
        <v>345</v>
      </c>
      <c r="FD412" s="33" t="s">
        <v>346</v>
      </c>
      <c r="FE412" s="33">
        <v>2025</v>
      </c>
      <c r="FF412" s="33" t="s">
        <v>59</v>
      </c>
      <c r="FG412" s="33" t="s">
        <v>56</v>
      </c>
      <c r="FH412" s="33" t="s">
        <v>57</v>
      </c>
      <c r="FI412" s="33" t="s">
        <v>58</v>
      </c>
      <c r="FJ412" t="s">
        <v>59</v>
      </c>
      <c r="FM412" s="32" t="s">
        <v>1059</v>
      </c>
      <c r="FN412" t="s">
        <v>1060</v>
      </c>
      <c r="FO412" t="s">
        <v>1061</v>
      </c>
      <c r="FP412" t="str">
        <f t="shared" si="137"/>
        <v>B</v>
      </c>
      <c r="GU412" s="53">
        <v>182</v>
      </c>
      <c r="GV412" s="53">
        <v>406</v>
      </c>
    </row>
    <row r="413" spans="1:204" ht="15.5" x14ac:dyDescent="0.35">
      <c r="A413" s="95">
        <f t="shared" si="138"/>
        <v>1</v>
      </c>
      <c r="B413" s="11"/>
      <c r="C413" s="11"/>
      <c r="D413" s="92" t="str">
        <f>IFERROR(
IF(AND(OR(Planilla!B413="C",Planilla!B413="c"), VLOOKUP(E413,EX:FJ,13,0)="C"), "OK",IF(AND(OR(Planilla!B413="C",Planilla!B413="c"), OR(VLOOKUP(E413,EX:FJ,13,0)="B", VLOOKUP(E413,EX:FJ,13,0)="A")), "DEFICIT",IF(
AND(OR(Planilla!B413="B", Planilla!B413="BPAL"), VLOOKUP(E413,EX:FJ,13,0)="B"), "OK",IF(AND(OR(Planilla!B413="B", Planilla!B413="BPAL"), VLOOKUP(E413,EX:FJ,13,0)="A"), "DEFICIT",IF(AND(OR(Planilla!B413="B", Planilla!B413="BPAL"), VLOOKUP(E413,EX:FJ,13,0)="C"), "SOBREOFERTA",IF(AND(Planilla!B413="A", VLOOKUP(E413,EX:FJ,13,0)="A"), "OK",IF(
AND(Planilla!B413="A", OR(VLOOKUP(E413,EX:FJ,13,0)="B", VLOOKUP(E413,EX:FJ,13,0)="C")), "SOBREOFERTA",""
))))))),"")</f>
        <v/>
      </c>
      <c r="E413" s="12"/>
      <c r="F413" s="13"/>
      <c r="G413" s="14"/>
      <c r="H413" s="81" t="str">
        <f t="shared" si="139"/>
        <v/>
      </c>
      <c r="I413" s="7"/>
      <c r="J413" s="6" t="e">
        <f t="shared" si="140"/>
        <v>#N/A</v>
      </c>
      <c r="K413" s="6" t="str">
        <f>IF(A414&lt;&gt;A413,AVERAGEIF(A$9:A413,A413,J$9:J413),"")</f>
        <v/>
      </c>
      <c r="L413" s="7" t="str">
        <f>IFERROR(IF(A414&lt;&gt;A413,AVERAGEIF(A$9:A413,A413,S$9:S413),""),"")</f>
        <v/>
      </c>
      <c r="M413" s="7" t="str">
        <f>IFERROR(IF(A414&lt;&gt;A413,AVERAGEIF(A$9:A413,A413,T$9:T413),""),"")</f>
        <v/>
      </c>
      <c r="N413" s="7" t="str" cm="1">
        <f t="array" ref="N413">IFERROR(IF(A414&lt;&gt;A413,_xlfn.STDEV.P(IF(A$9:A413=A413,T$9:T413)),""),"")</f>
        <v/>
      </c>
      <c r="O413" s="7" t="str" cm="1">
        <f t="array" ref="O413">IFERROR(IF(A414&lt;&gt;A413,_xlfn.STDEV.P(IF(A$9:A413=A413,S$9:S413)),""),"")</f>
        <v/>
      </c>
      <c r="P413" s="8" t="str">
        <f t="shared" si="141"/>
        <v/>
      </c>
      <c r="Q413" s="8" t="str">
        <f t="shared" si="142"/>
        <v/>
      </c>
      <c r="R413" s="8" t="str">
        <f t="shared" si="143"/>
        <v/>
      </c>
      <c r="S413" s="9" t="str">
        <f t="shared" si="144"/>
        <v/>
      </c>
      <c r="T413" s="9" t="str">
        <f t="shared" si="145"/>
        <v/>
      </c>
      <c r="U413" s="14"/>
      <c r="V413" s="15"/>
      <c r="W413" s="14" t="str">
        <f t="shared" si="146"/>
        <v/>
      </c>
      <c r="X413" s="15"/>
      <c r="Y413" s="2"/>
      <c r="AB413" s="22">
        <f t="shared" si="147"/>
        <v>1</v>
      </c>
      <c r="AC413" s="11"/>
      <c r="AD413" s="11"/>
      <c r="AE413" s="13"/>
      <c r="AF413" s="12"/>
      <c r="AG413" s="13"/>
      <c r="AH413" s="14"/>
      <c r="AI413" s="81" t="str">
        <f t="shared" si="148"/>
        <v/>
      </c>
      <c r="AJ413" s="15"/>
      <c r="AK413" s="6" t="e">
        <f t="shared" si="149"/>
        <v>#N/A</v>
      </c>
      <c r="AL413" s="6" t="str">
        <f>IF(AB414&lt;&gt;AB413,AVERAGEIF(AB$9:AB413,AB413,AK$9:AK413),"")</f>
        <v/>
      </c>
      <c r="AM413" s="7" t="str">
        <f>IFERROR(IF(AB414&lt;&gt;AB413,AVERAGEIF(AB$9:AB413,AB413,AT$9:AT413),""),"")</f>
        <v/>
      </c>
      <c r="AN413" s="7" t="str">
        <f>IFERROR(IF(AB414&lt;&gt;AB413,AVERAGEIF(AB$9:AB413,AB413,AU$9:AU413),""),"")</f>
        <v/>
      </c>
      <c r="AO413" s="7" t="str" cm="1">
        <f t="array" ref="AO413">IFERROR(IF(AB414&lt;&gt;AB413,_xlfn.STDEV.P(IF(AB$9:AB413=AB413,AU$9:AU413)),""),"")</f>
        <v/>
      </c>
      <c r="AP413" s="7" t="str" cm="1">
        <f t="array" ref="AP413">IFERROR(IF(AB414&lt;&gt;AB413,_xlfn.STDEV.P(IF(AB$9:AB413=AB413,AT$9:AT413)),""),"")</f>
        <v/>
      </c>
      <c r="AQ413" s="8" t="str">
        <f t="shared" si="150"/>
        <v/>
      </c>
      <c r="AR413" s="8" t="str">
        <f t="shared" si="151"/>
        <v/>
      </c>
      <c r="AS413" s="8" t="str">
        <f t="shared" si="152"/>
        <v/>
      </c>
      <c r="AT413" s="9" t="str">
        <f t="shared" si="153"/>
        <v/>
      </c>
      <c r="AU413" s="9" t="str">
        <f t="shared" si="154"/>
        <v/>
      </c>
      <c r="AV413" s="14"/>
      <c r="AW413" s="15"/>
      <c r="AX413" s="14" t="str">
        <f t="shared" si="155"/>
        <v/>
      </c>
      <c r="AY413" s="15"/>
      <c r="AZ413" s="23"/>
      <c r="EW413" t="s">
        <v>46</v>
      </c>
      <c r="EX413" s="33">
        <v>1412</v>
      </c>
      <c r="EY413" s="33" t="s">
        <v>1070</v>
      </c>
      <c r="EZ413" s="33" t="s">
        <v>1071</v>
      </c>
      <c r="FA413" s="33" t="s">
        <v>343</v>
      </c>
      <c r="FB413" s="33" t="s">
        <v>344</v>
      </c>
      <c r="FC413" s="33" t="s">
        <v>345</v>
      </c>
      <c r="FD413" s="33" t="s">
        <v>346</v>
      </c>
      <c r="FE413" s="33">
        <v>2025</v>
      </c>
      <c r="FF413" s="33" t="s">
        <v>59</v>
      </c>
      <c r="FG413" s="33" t="s">
        <v>56</v>
      </c>
      <c r="FH413" s="33" t="s">
        <v>57</v>
      </c>
      <c r="FI413" s="33" t="s">
        <v>58</v>
      </c>
      <c r="FJ413" t="s">
        <v>59</v>
      </c>
      <c r="FM413" s="32" t="s">
        <v>1059</v>
      </c>
      <c r="FN413" t="s">
        <v>1060</v>
      </c>
      <c r="FO413" t="s">
        <v>1061</v>
      </c>
      <c r="FP413" t="str">
        <f t="shared" si="137"/>
        <v>B</v>
      </c>
      <c r="GU413" s="53">
        <v>183</v>
      </c>
      <c r="GV413" s="53">
        <v>407</v>
      </c>
    </row>
    <row r="414" spans="1:204" ht="15.5" x14ac:dyDescent="0.35">
      <c r="A414" s="95">
        <f t="shared" si="138"/>
        <v>1</v>
      </c>
      <c r="B414" s="11"/>
      <c r="C414" s="11"/>
      <c r="D414" s="92" t="str">
        <f>IFERROR(
IF(AND(OR(Planilla!B414="C",Planilla!B414="c"), VLOOKUP(E414,EX:FJ,13,0)="C"), "OK",IF(AND(OR(Planilla!B414="C",Planilla!B414="c"), OR(VLOOKUP(E414,EX:FJ,13,0)="B", VLOOKUP(E414,EX:FJ,13,0)="A")), "DEFICIT",IF(
AND(OR(Planilla!B414="B", Planilla!B414="BPAL"), VLOOKUP(E414,EX:FJ,13,0)="B"), "OK",IF(AND(OR(Planilla!B414="B", Planilla!B414="BPAL"), VLOOKUP(E414,EX:FJ,13,0)="A"), "DEFICIT",IF(AND(OR(Planilla!B414="B", Planilla!B414="BPAL"), VLOOKUP(E414,EX:FJ,13,0)="C"), "SOBREOFERTA",IF(AND(Planilla!B414="A", VLOOKUP(E414,EX:FJ,13,0)="A"), "OK",IF(
AND(Planilla!B414="A", OR(VLOOKUP(E414,EX:FJ,13,0)="B", VLOOKUP(E414,EX:FJ,13,0)="C")), "SOBREOFERTA",""
))))))),"")</f>
        <v/>
      </c>
      <c r="E414" s="12"/>
      <c r="F414" s="13"/>
      <c r="G414" s="14"/>
      <c r="H414" s="81" t="str">
        <f t="shared" si="139"/>
        <v/>
      </c>
      <c r="I414" s="7"/>
      <c r="J414" s="6" t="e">
        <f t="shared" si="140"/>
        <v>#N/A</v>
      </c>
      <c r="K414" s="6" t="str">
        <f>IF(A415&lt;&gt;A414,AVERAGEIF(A$9:A414,A414,J$9:J414),"")</f>
        <v/>
      </c>
      <c r="L414" s="7" t="str">
        <f>IFERROR(IF(A415&lt;&gt;A414,AVERAGEIF(A$9:A414,A414,S$9:S414),""),"")</f>
        <v/>
      </c>
      <c r="M414" s="7" t="str">
        <f>IFERROR(IF(A415&lt;&gt;A414,AVERAGEIF(A$9:A414,A414,T$9:T414),""),"")</f>
        <v/>
      </c>
      <c r="N414" s="7" t="str" cm="1">
        <f t="array" ref="N414">IFERROR(IF(A415&lt;&gt;A414,_xlfn.STDEV.P(IF(A$9:A414=A414,T$9:T414)),""),"")</f>
        <v/>
      </c>
      <c r="O414" s="7" t="str" cm="1">
        <f t="array" ref="O414">IFERROR(IF(A415&lt;&gt;A414,_xlfn.STDEV.P(IF(A$9:A414=A414,S$9:S414)),""),"")</f>
        <v/>
      </c>
      <c r="P414" s="8" t="str">
        <f t="shared" si="141"/>
        <v/>
      </c>
      <c r="Q414" s="8" t="str">
        <f t="shared" si="142"/>
        <v/>
      </c>
      <c r="R414" s="8" t="str">
        <f t="shared" si="143"/>
        <v/>
      </c>
      <c r="S414" s="9" t="str">
        <f t="shared" si="144"/>
        <v/>
      </c>
      <c r="T414" s="9" t="str">
        <f t="shared" si="145"/>
        <v/>
      </c>
      <c r="U414" s="14"/>
      <c r="V414" s="15"/>
      <c r="W414" s="14" t="str">
        <f t="shared" si="146"/>
        <v/>
      </c>
      <c r="X414" s="15"/>
      <c r="Y414" s="2"/>
      <c r="AB414" s="22">
        <f t="shared" si="147"/>
        <v>1</v>
      </c>
      <c r="AC414" s="11"/>
      <c r="AD414" s="11"/>
      <c r="AE414" s="13"/>
      <c r="AF414" s="12"/>
      <c r="AG414" s="13"/>
      <c r="AH414" s="14"/>
      <c r="AI414" s="81" t="str">
        <f t="shared" si="148"/>
        <v/>
      </c>
      <c r="AJ414" s="15"/>
      <c r="AK414" s="6" t="e">
        <f t="shared" si="149"/>
        <v>#N/A</v>
      </c>
      <c r="AL414" s="6" t="str">
        <f>IF(AB415&lt;&gt;AB414,AVERAGEIF(AB$9:AB414,AB414,AK$9:AK414),"")</f>
        <v/>
      </c>
      <c r="AM414" s="7" t="str">
        <f>IFERROR(IF(AB415&lt;&gt;AB414,AVERAGEIF(AB$9:AB414,AB414,AT$9:AT414),""),"")</f>
        <v/>
      </c>
      <c r="AN414" s="7" t="str">
        <f>IFERROR(IF(AB415&lt;&gt;AB414,AVERAGEIF(AB$9:AB414,AB414,AU$9:AU414),""),"")</f>
        <v/>
      </c>
      <c r="AO414" s="7" t="str" cm="1">
        <f t="array" ref="AO414">IFERROR(IF(AB415&lt;&gt;AB414,_xlfn.STDEV.P(IF(AB$9:AB414=AB414,AU$9:AU414)),""),"")</f>
        <v/>
      </c>
      <c r="AP414" s="7" t="str" cm="1">
        <f t="array" ref="AP414">IFERROR(IF(AB415&lt;&gt;AB414,_xlfn.STDEV.P(IF(AB$9:AB414=AB414,AT$9:AT414)),""),"")</f>
        <v/>
      </c>
      <c r="AQ414" s="8" t="str">
        <f t="shared" si="150"/>
        <v/>
      </c>
      <c r="AR414" s="8" t="str">
        <f t="shared" si="151"/>
        <v/>
      </c>
      <c r="AS414" s="8" t="str">
        <f t="shared" si="152"/>
        <v/>
      </c>
      <c r="AT414" s="9" t="str">
        <f t="shared" si="153"/>
        <v/>
      </c>
      <c r="AU414" s="9" t="str">
        <f t="shared" si="154"/>
        <v/>
      </c>
      <c r="AV414" s="14"/>
      <c r="AW414" s="15"/>
      <c r="AX414" s="14" t="str">
        <f t="shared" si="155"/>
        <v/>
      </c>
      <c r="AY414" s="15"/>
      <c r="AZ414" s="23"/>
      <c r="EW414" t="s">
        <v>46</v>
      </c>
      <c r="EX414" s="33">
        <v>1413</v>
      </c>
      <c r="EY414" s="33" t="s">
        <v>1072</v>
      </c>
      <c r="EZ414" s="33" t="s">
        <v>1073</v>
      </c>
      <c r="FA414" s="33" t="s">
        <v>343</v>
      </c>
      <c r="FB414" s="33" t="s">
        <v>344</v>
      </c>
      <c r="FC414" s="33" t="s">
        <v>345</v>
      </c>
      <c r="FD414" s="33" t="s">
        <v>346</v>
      </c>
      <c r="FE414" s="33">
        <v>2025</v>
      </c>
      <c r="FF414" s="33" t="s">
        <v>59</v>
      </c>
      <c r="FG414" s="33" t="s">
        <v>56</v>
      </c>
      <c r="FH414" s="33" t="s">
        <v>57</v>
      </c>
      <c r="FI414" s="33" t="s">
        <v>58</v>
      </c>
      <c r="FJ414" t="s">
        <v>59</v>
      </c>
      <c r="FM414" s="32" t="s">
        <v>1059</v>
      </c>
      <c r="FN414" t="s">
        <v>1060</v>
      </c>
      <c r="FO414" t="s">
        <v>1061</v>
      </c>
      <c r="FP414" t="str">
        <f t="shared" si="137"/>
        <v>B</v>
      </c>
      <c r="GU414" s="53">
        <v>184</v>
      </c>
      <c r="GV414" s="53">
        <v>408</v>
      </c>
    </row>
    <row r="415" spans="1:204" ht="15.5" x14ac:dyDescent="0.35">
      <c r="A415" s="95">
        <f t="shared" si="138"/>
        <v>1</v>
      </c>
      <c r="B415" s="11"/>
      <c r="C415" s="11"/>
      <c r="D415" s="92" t="str">
        <f>IFERROR(
IF(AND(OR(Planilla!B415="C",Planilla!B415="c"), VLOOKUP(E415,EX:FJ,13,0)="C"), "OK",IF(AND(OR(Planilla!B415="C",Planilla!B415="c"), OR(VLOOKUP(E415,EX:FJ,13,0)="B", VLOOKUP(E415,EX:FJ,13,0)="A")), "DEFICIT",IF(
AND(OR(Planilla!B415="B", Planilla!B415="BPAL"), VLOOKUP(E415,EX:FJ,13,0)="B"), "OK",IF(AND(OR(Planilla!B415="B", Planilla!B415="BPAL"), VLOOKUP(E415,EX:FJ,13,0)="A"), "DEFICIT",IF(AND(OR(Planilla!B415="B", Planilla!B415="BPAL"), VLOOKUP(E415,EX:FJ,13,0)="C"), "SOBREOFERTA",IF(AND(Planilla!B415="A", VLOOKUP(E415,EX:FJ,13,0)="A"), "OK",IF(
AND(Planilla!B415="A", OR(VLOOKUP(E415,EX:FJ,13,0)="B", VLOOKUP(E415,EX:FJ,13,0)="C")), "SOBREOFERTA",""
))))))),"")</f>
        <v/>
      </c>
      <c r="E415" s="12"/>
      <c r="F415" s="13"/>
      <c r="G415" s="14"/>
      <c r="H415" s="81" t="str">
        <f t="shared" si="139"/>
        <v/>
      </c>
      <c r="I415" s="7"/>
      <c r="J415" s="6" t="e">
        <f t="shared" si="140"/>
        <v>#N/A</v>
      </c>
      <c r="K415" s="6" t="str">
        <f>IF(A416&lt;&gt;A415,AVERAGEIF(A$9:A415,A415,J$9:J415),"")</f>
        <v/>
      </c>
      <c r="L415" s="7" t="str">
        <f>IFERROR(IF(A416&lt;&gt;A415,AVERAGEIF(A$9:A415,A415,S$9:S415),""),"")</f>
        <v/>
      </c>
      <c r="M415" s="7" t="str">
        <f>IFERROR(IF(A416&lt;&gt;A415,AVERAGEIF(A$9:A415,A415,T$9:T415),""),"")</f>
        <v/>
      </c>
      <c r="N415" s="7" t="str" cm="1">
        <f t="array" ref="N415">IFERROR(IF(A416&lt;&gt;A415,_xlfn.STDEV.P(IF(A$9:A415=A415,T$9:T415)),""),"")</f>
        <v/>
      </c>
      <c r="O415" s="7" t="str" cm="1">
        <f t="array" ref="O415">IFERROR(IF(A416&lt;&gt;A415,_xlfn.STDEV.P(IF(A$9:A415=A415,S$9:S415)),""),"")</f>
        <v/>
      </c>
      <c r="P415" s="8" t="str">
        <f t="shared" si="141"/>
        <v/>
      </c>
      <c r="Q415" s="8" t="str">
        <f t="shared" si="142"/>
        <v/>
      </c>
      <c r="R415" s="8" t="str">
        <f t="shared" si="143"/>
        <v/>
      </c>
      <c r="S415" s="9" t="str">
        <f t="shared" si="144"/>
        <v/>
      </c>
      <c r="T415" s="9" t="str">
        <f t="shared" si="145"/>
        <v/>
      </c>
      <c r="U415" s="14"/>
      <c r="V415" s="15"/>
      <c r="W415" s="14" t="str">
        <f t="shared" si="146"/>
        <v/>
      </c>
      <c r="X415" s="15"/>
      <c r="Y415" s="2"/>
      <c r="AB415" s="22">
        <f t="shared" si="147"/>
        <v>1</v>
      </c>
      <c r="AC415" s="11"/>
      <c r="AD415" s="11"/>
      <c r="AE415" s="13"/>
      <c r="AF415" s="12"/>
      <c r="AG415" s="13"/>
      <c r="AH415" s="14"/>
      <c r="AI415" s="81" t="str">
        <f t="shared" si="148"/>
        <v/>
      </c>
      <c r="AJ415" s="15"/>
      <c r="AK415" s="6" t="e">
        <f t="shared" si="149"/>
        <v>#N/A</v>
      </c>
      <c r="AL415" s="6" t="str">
        <f>IF(AB416&lt;&gt;AB415,AVERAGEIF(AB$9:AB415,AB415,AK$9:AK415),"")</f>
        <v/>
      </c>
      <c r="AM415" s="7" t="str">
        <f>IFERROR(IF(AB416&lt;&gt;AB415,AVERAGEIF(AB$9:AB415,AB415,AT$9:AT415),""),"")</f>
        <v/>
      </c>
      <c r="AN415" s="7" t="str">
        <f>IFERROR(IF(AB416&lt;&gt;AB415,AVERAGEIF(AB$9:AB415,AB415,AU$9:AU415),""),"")</f>
        <v/>
      </c>
      <c r="AO415" s="7" t="str" cm="1">
        <f t="array" ref="AO415">IFERROR(IF(AB416&lt;&gt;AB415,_xlfn.STDEV.P(IF(AB$9:AB415=AB415,AU$9:AU415)),""),"")</f>
        <v/>
      </c>
      <c r="AP415" s="7" t="str" cm="1">
        <f t="array" ref="AP415">IFERROR(IF(AB416&lt;&gt;AB415,_xlfn.STDEV.P(IF(AB$9:AB415=AB415,AT$9:AT415)),""),"")</f>
        <v/>
      </c>
      <c r="AQ415" s="8" t="str">
        <f t="shared" si="150"/>
        <v/>
      </c>
      <c r="AR415" s="8" t="str">
        <f t="shared" si="151"/>
        <v/>
      </c>
      <c r="AS415" s="8" t="str">
        <f t="shared" si="152"/>
        <v/>
      </c>
      <c r="AT415" s="9" t="str">
        <f t="shared" si="153"/>
        <v/>
      </c>
      <c r="AU415" s="9" t="str">
        <f t="shared" si="154"/>
        <v/>
      </c>
      <c r="AV415" s="14"/>
      <c r="AW415" s="15"/>
      <c r="AX415" s="14" t="str">
        <f t="shared" si="155"/>
        <v/>
      </c>
      <c r="AY415" s="15"/>
      <c r="AZ415" s="23"/>
      <c r="EW415" t="s">
        <v>46</v>
      </c>
      <c r="EX415" s="33">
        <v>1414</v>
      </c>
      <c r="EY415" s="33" t="s">
        <v>1074</v>
      </c>
      <c r="EZ415" s="33" t="s">
        <v>1075</v>
      </c>
      <c r="FA415" s="33" t="s">
        <v>343</v>
      </c>
      <c r="FB415" s="33" t="s">
        <v>344</v>
      </c>
      <c r="FC415" s="33" t="s">
        <v>345</v>
      </c>
      <c r="FD415" s="33" t="s">
        <v>346</v>
      </c>
      <c r="FE415" s="33">
        <v>2025</v>
      </c>
      <c r="FF415" s="33" t="s">
        <v>59</v>
      </c>
      <c r="FG415" s="33" t="s">
        <v>386</v>
      </c>
      <c r="FH415" s="33" t="s">
        <v>387</v>
      </c>
      <c r="FI415" s="33" t="s">
        <v>407</v>
      </c>
      <c r="FJ415" t="s">
        <v>59</v>
      </c>
      <c r="FM415" s="32" t="s">
        <v>1059</v>
      </c>
      <c r="FN415" t="s">
        <v>1060</v>
      </c>
      <c r="FO415" t="s">
        <v>1061</v>
      </c>
      <c r="FP415" t="str">
        <f t="shared" si="137"/>
        <v>B</v>
      </c>
      <c r="GU415" s="53">
        <v>185</v>
      </c>
      <c r="GV415" s="53">
        <v>409</v>
      </c>
    </row>
    <row r="416" spans="1:204" ht="15.5" x14ac:dyDescent="0.35">
      <c r="A416" s="95">
        <f t="shared" si="138"/>
        <v>1</v>
      </c>
      <c r="B416" s="11"/>
      <c r="C416" s="11"/>
      <c r="D416" s="92" t="str">
        <f>IFERROR(
IF(AND(OR(Planilla!B416="C",Planilla!B416="c"), VLOOKUP(E416,EX:FJ,13,0)="C"), "OK",IF(AND(OR(Planilla!B416="C",Planilla!B416="c"), OR(VLOOKUP(E416,EX:FJ,13,0)="B", VLOOKUP(E416,EX:FJ,13,0)="A")), "DEFICIT",IF(
AND(OR(Planilla!B416="B", Planilla!B416="BPAL"), VLOOKUP(E416,EX:FJ,13,0)="B"), "OK",IF(AND(OR(Planilla!B416="B", Planilla!B416="BPAL"), VLOOKUP(E416,EX:FJ,13,0)="A"), "DEFICIT",IF(AND(OR(Planilla!B416="B", Planilla!B416="BPAL"), VLOOKUP(E416,EX:FJ,13,0)="C"), "SOBREOFERTA",IF(AND(Planilla!B416="A", VLOOKUP(E416,EX:FJ,13,0)="A"), "OK",IF(
AND(Planilla!B416="A", OR(VLOOKUP(E416,EX:FJ,13,0)="B", VLOOKUP(E416,EX:FJ,13,0)="C")), "SOBREOFERTA",""
))))))),"")</f>
        <v/>
      </c>
      <c r="E416" s="12"/>
      <c r="F416" s="13"/>
      <c r="G416" s="14"/>
      <c r="H416" s="81" t="str">
        <f t="shared" si="139"/>
        <v/>
      </c>
      <c r="I416" s="7"/>
      <c r="J416" s="6" t="e">
        <f t="shared" si="140"/>
        <v>#N/A</v>
      </c>
      <c r="K416" s="6" t="str">
        <f>IF(A417&lt;&gt;A416,AVERAGEIF(A$9:A416,A416,J$9:J416),"")</f>
        <v/>
      </c>
      <c r="L416" s="7" t="str">
        <f>IFERROR(IF(A417&lt;&gt;A416,AVERAGEIF(A$9:A416,A416,S$9:S416),""),"")</f>
        <v/>
      </c>
      <c r="M416" s="7" t="str">
        <f>IFERROR(IF(A417&lt;&gt;A416,AVERAGEIF(A$9:A416,A416,T$9:T416),""),"")</f>
        <v/>
      </c>
      <c r="N416" s="7" t="str" cm="1">
        <f t="array" ref="N416">IFERROR(IF(A417&lt;&gt;A416,_xlfn.STDEV.P(IF(A$9:A416=A416,T$9:T416)),""),"")</f>
        <v/>
      </c>
      <c r="O416" s="7" t="str" cm="1">
        <f t="array" ref="O416">IFERROR(IF(A417&lt;&gt;A416,_xlfn.STDEV.P(IF(A$9:A416=A416,S$9:S416)),""),"")</f>
        <v/>
      </c>
      <c r="P416" s="8" t="str">
        <f t="shared" si="141"/>
        <v/>
      </c>
      <c r="Q416" s="8" t="str">
        <f t="shared" si="142"/>
        <v/>
      </c>
      <c r="R416" s="8" t="str">
        <f t="shared" si="143"/>
        <v/>
      </c>
      <c r="S416" s="9" t="str">
        <f t="shared" si="144"/>
        <v/>
      </c>
      <c r="T416" s="9" t="str">
        <f t="shared" si="145"/>
        <v/>
      </c>
      <c r="U416" s="14"/>
      <c r="V416" s="15"/>
      <c r="W416" s="14" t="str">
        <f t="shared" si="146"/>
        <v/>
      </c>
      <c r="X416" s="15"/>
      <c r="Y416" s="2"/>
      <c r="AB416" s="22">
        <f t="shared" si="147"/>
        <v>1</v>
      </c>
      <c r="AC416" s="11"/>
      <c r="AD416" s="11"/>
      <c r="AE416" s="13"/>
      <c r="AF416" s="12"/>
      <c r="AG416" s="13"/>
      <c r="AH416" s="14"/>
      <c r="AI416" s="81" t="str">
        <f t="shared" si="148"/>
        <v/>
      </c>
      <c r="AJ416" s="15"/>
      <c r="AK416" s="6" t="e">
        <f t="shared" si="149"/>
        <v>#N/A</v>
      </c>
      <c r="AL416" s="6" t="str">
        <f>IF(AB417&lt;&gt;AB416,AVERAGEIF(AB$9:AB416,AB416,AK$9:AK416),"")</f>
        <v/>
      </c>
      <c r="AM416" s="7" t="str">
        <f>IFERROR(IF(AB417&lt;&gt;AB416,AVERAGEIF(AB$9:AB416,AB416,AT$9:AT416),""),"")</f>
        <v/>
      </c>
      <c r="AN416" s="7" t="str">
        <f>IFERROR(IF(AB417&lt;&gt;AB416,AVERAGEIF(AB$9:AB416,AB416,AU$9:AU416),""),"")</f>
        <v/>
      </c>
      <c r="AO416" s="7" t="str" cm="1">
        <f t="array" ref="AO416">IFERROR(IF(AB417&lt;&gt;AB416,_xlfn.STDEV.P(IF(AB$9:AB416=AB416,AU$9:AU416)),""),"")</f>
        <v/>
      </c>
      <c r="AP416" s="7" t="str" cm="1">
        <f t="array" ref="AP416">IFERROR(IF(AB417&lt;&gt;AB416,_xlfn.STDEV.P(IF(AB$9:AB416=AB416,AT$9:AT416)),""),"")</f>
        <v/>
      </c>
      <c r="AQ416" s="8" t="str">
        <f t="shared" si="150"/>
        <v/>
      </c>
      <c r="AR416" s="8" t="str">
        <f t="shared" si="151"/>
        <v/>
      </c>
      <c r="AS416" s="8" t="str">
        <f t="shared" si="152"/>
        <v/>
      </c>
      <c r="AT416" s="9" t="str">
        <f t="shared" si="153"/>
        <v/>
      </c>
      <c r="AU416" s="9" t="str">
        <f t="shared" si="154"/>
        <v/>
      </c>
      <c r="AV416" s="14"/>
      <c r="AW416" s="15"/>
      <c r="AX416" s="14" t="str">
        <f t="shared" si="155"/>
        <v/>
      </c>
      <c r="AY416" s="15"/>
      <c r="AZ416" s="23"/>
      <c r="EW416" t="s">
        <v>46</v>
      </c>
      <c r="EX416" s="33">
        <v>1415</v>
      </c>
      <c r="EY416" s="33" t="s">
        <v>1076</v>
      </c>
      <c r="EZ416" s="33" t="s">
        <v>1077</v>
      </c>
      <c r="FA416" s="33" t="s">
        <v>343</v>
      </c>
      <c r="FB416" s="33" t="s">
        <v>344</v>
      </c>
      <c r="FC416" s="33" t="s">
        <v>345</v>
      </c>
      <c r="FD416" s="33" t="s">
        <v>346</v>
      </c>
      <c r="FE416" s="33">
        <v>2025</v>
      </c>
      <c r="FF416" s="33" t="s">
        <v>59</v>
      </c>
      <c r="FG416" s="33" t="s">
        <v>477</v>
      </c>
      <c r="FH416" s="33" t="s">
        <v>478</v>
      </c>
      <c r="FI416" s="33" t="s">
        <v>479</v>
      </c>
      <c r="FJ416" t="s">
        <v>59</v>
      </c>
      <c r="FM416" s="32" t="s">
        <v>1059</v>
      </c>
      <c r="FN416" t="s">
        <v>1060</v>
      </c>
      <c r="FO416" t="s">
        <v>1061</v>
      </c>
      <c r="FP416" t="str">
        <f t="shared" si="137"/>
        <v>B</v>
      </c>
      <c r="GU416" s="53">
        <v>186</v>
      </c>
      <c r="GV416" s="53">
        <v>410</v>
      </c>
    </row>
    <row r="417" spans="1:204" ht="15.5" x14ac:dyDescent="0.35">
      <c r="A417" s="95">
        <f t="shared" si="138"/>
        <v>1</v>
      </c>
      <c r="B417" s="11"/>
      <c r="C417" s="11"/>
      <c r="D417" s="92" t="str">
        <f>IFERROR(
IF(AND(OR(Planilla!B417="C",Planilla!B417="c"), VLOOKUP(E417,EX:FJ,13,0)="C"), "OK",IF(AND(OR(Planilla!B417="C",Planilla!B417="c"), OR(VLOOKUP(E417,EX:FJ,13,0)="B", VLOOKUP(E417,EX:FJ,13,0)="A")), "DEFICIT",IF(
AND(OR(Planilla!B417="B", Planilla!B417="BPAL"), VLOOKUP(E417,EX:FJ,13,0)="B"), "OK",IF(AND(OR(Planilla!B417="B", Planilla!B417="BPAL"), VLOOKUP(E417,EX:FJ,13,0)="A"), "DEFICIT",IF(AND(OR(Planilla!B417="B", Planilla!B417="BPAL"), VLOOKUP(E417,EX:FJ,13,0)="C"), "SOBREOFERTA",IF(AND(Planilla!B417="A", VLOOKUP(E417,EX:FJ,13,0)="A"), "OK",IF(
AND(Planilla!B417="A", OR(VLOOKUP(E417,EX:FJ,13,0)="B", VLOOKUP(E417,EX:FJ,13,0)="C")), "SOBREOFERTA",""
))))))),"")</f>
        <v/>
      </c>
      <c r="E417" s="12"/>
      <c r="F417" s="13"/>
      <c r="G417" s="14"/>
      <c r="H417" s="81" t="str">
        <f t="shared" si="139"/>
        <v/>
      </c>
      <c r="I417" s="7"/>
      <c r="J417" s="6" t="e">
        <f t="shared" si="140"/>
        <v>#N/A</v>
      </c>
      <c r="K417" s="6" t="str">
        <f>IF(A418&lt;&gt;A417,AVERAGEIF(A$9:A417,A417,J$9:J417),"")</f>
        <v/>
      </c>
      <c r="L417" s="7" t="str">
        <f>IFERROR(IF(A418&lt;&gt;A417,AVERAGEIF(A$9:A417,A417,S$9:S417),""),"")</f>
        <v/>
      </c>
      <c r="M417" s="7" t="str">
        <f>IFERROR(IF(A418&lt;&gt;A417,AVERAGEIF(A$9:A417,A417,T$9:T417),""),"")</f>
        <v/>
      </c>
      <c r="N417" s="7" t="str" cm="1">
        <f t="array" ref="N417">IFERROR(IF(A418&lt;&gt;A417,_xlfn.STDEV.P(IF(A$9:A417=A417,T$9:T417)),""),"")</f>
        <v/>
      </c>
      <c r="O417" s="7" t="str" cm="1">
        <f t="array" ref="O417">IFERROR(IF(A418&lt;&gt;A417,_xlfn.STDEV.P(IF(A$9:A417=A417,S$9:S417)),""),"")</f>
        <v/>
      </c>
      <c r="P417" s="8" t="str">
        <f t="shared" si="141"/>
        <v/>
      </c>
      <c r="Q417" s="8" t="str">
        <f t="shared" si="142"/>
        <v/>
      </c>
      <c r="R417" s="8" t="str">
        <f t="shared" si="143"/>
        <v/>
      </c>
      <c r="S417" s="9" t="str">
        <f t="shared" si="144"/>
        <v/>
      </c>
      <c r="T417" s="9" t="str">
        <f t="shared" si="145"/>
        <v/>
      </c>
      <c r="U417" s="14"/>
      <c r="V417" s="15"/>
      <c r="W417" s="14" t="str">
        <f t="shared" si="146"/>
        <v/>
      </c>
      <c r="X417" s="15"/>
      <c r="Y417" s="2"/>
      <c r="AB417" s="22">
        <f t="shared" si="147"/>
        <v>1</v>
      </c>
      <c r="AC417" s="11"/>
      <c r="AD417" s="11"/>
      <c r="AE417" s="13"/>
      <c r="AF417" s="12"/>
      <c r="AG417" s="13"/>
      <c r="AH417" s="14"/>
      <c r="AI417" s="81" t="str">
        <f t="shared" si="148"/>
        <v/>
      </c>
      <c r="AJ417" s="15"/>
      <c r="AK417" s="6" t="e">
        <f t="shared" si="149"/>
        <v>#N/A</v>
      </c>
      <c r="AL417" s="6" t="str">
        <f>IF(AB418&lt;&gt;AB417,AVERAGEIF(AB$9:AB417,AB417,AK$9:AK417),"")</f>
        <v/>
      </c>
      <c r="AM417" s="7" t="str">
        <f>IFERROR(IF(AB418&lt;&gt;AB417,AVERAGEIF(AB$9:AB417,AB417,AT$9:AT417),""),"")</f>
        <v/>
      </c>
      <c r="AN417" s="7" t="str">
        <f>IFERROR(IF(AB418&lt;&gt;AB417,AVERAGEIF(AB$9:AB417,AB417,AU$9:AU417),""),"")</f>
        <v/>
      </c>
      <c r="AO417" s="7" t="str" cm="1">
        <f t="array" ref="AO417">IFERROR(IF(AB418&lt;&gt;AB417,_xlfn.STDEV.P(IF(AB$9:AB417=AB417,AU$9:AU417)),""),"")</f>
        <v/>
      </c>
      <c r="AP417" s="7" t="str" cm="1">
        <f t="array" ref="AP417">IFERROR(IF(AB418&lt;&gt;AB417,_xlfn.STDEV.P(IF(AB$9:AB417=AB417,AT$9:AT417)),""),"")</f>
        <v/>
      </c>
      <c r="AQ417" s="8" t="str">
        <f t="shared" si="150"/>
        <v/>
      </c>
      <c r="AR417" s="8" t="str">
        <f t="shared" si="151"/>
        <v/>
      </c>
      <c r="AS417" s="8" t="str">
        <f t="shared" si="152"/>
        <v/>
      </c>
      <c r="AT417" s="9" t="str">
        <f t="shared" si="153"/>
        <v/>
      </c>
      <c r="AU417" s="9" t="str">
        <f t="shared" si="154"/>
        <v/>
      </c>
      <c r="AV417" s="14"/>
      <c r="AW417" s="15"/>
      <c r="AX417" s="14" t="str">
        <f t="shared" si="155"/>
        <v/>
      </c>
      <c r="AY417" s="15"/>
      <c r="AZ417" s="23"/>
      <c r="EW417" t="s">
        <v>46</v>
      </c>
      <c r="EX417" s="33">
        <v>1416</v>
      </c>
      <c r="EY417" s="33" t="s">
        <v>1078</v>
      </c>
      <c r="EZ417" s="33" t="s">
        <v>1079</v>
      </c>
      <c r="FA417" s="33" t="s">
        <v>343</v>
      </c>
      <c r="FB417" s="33" t="s">
        <v>344</v>
      </c>
      <c r="FC417" s="33" t="s">
        <v>345</v>
      </c>
      <c r="FD417" s="33" t="s">
        <v>346</v>
      </c>
      <c r="FE417" s="33">
        <v>2025</v>
      </c>
      <c r="FF417" s="33" t="s">
        <v>59</v>
      </c>
      <c r="FG417" s="33" t="s">
        <v>470</v>
      </c>
      <c r="FH417" s="33" t="s">
        <v>471</v>
      </c>
      <c r="FI417" s="33" t="s">
        <v>467</v>
      </c>
      <c r="FJ417" t="s">
        <v>59</v>
      </c>
      <c r="FM417" s="32" t="s">
        <v>1059</v>
      </c>
      <c r="FN417" t="s">
        <v>1060</v>
      </c>
      <c r="FO417" t="s">
        <v>1061</v>
      </c>
      <c r="FP417" t="str">
        <f t="shared" si="137"/>
        <v>B</v>
      </c>
      <c r="GU417" s="53">
        <v>187</v>
      </c>
      <c r="GV417" s="53">
        <v>411</v>
      </c>
    </row>
    <row r="418" spans="1:204" ht="15.5" x14ac:dyDescent="0.35">
      <c r="A418" s="95">
        <f t="shared" si="138"/>
        <v>1</v>
      </c>
      <c r="B418" s="11"/>
      <c r="C418" s="11"/>
      <c r="D418" s="92" t="str">
        <f>IFERROR(
IF(AND(OR(Planilla!B418="C",Planilla!B418="c"), VLOOKUP(E418,EX:FJ,13,0)="C"), "OK",IF(AND(OR(Planilla!B418="C",Planilla!B418="c"), OR(VLOOKUP(E418,EX:FJ,13,0)="B", VLOOKUP(E418,EX:FJ,13,0)="A")), "DEFICIT",IF(
AND(OR(Planilla!B418="B", Planilla!B418="BPAL"), VLOOKUP(E418,EX:FJ,13,0)="B"), "OK",IF(AND(OR(Planilla!B418="B", Planilla!B418="BPAL"), VLOOKUP(E418,EX:FJ,13,0)="A"), "DEFICIT",IF(AND(OR(Planilla!B418="B", Planilla!B418="BPAL"), VLOOKUP(E418,EX:FJ,13,0)="C"), "SOBREOFERTA",IF(AND(Planilla!B418="A", VLOOKUP(E418,EX:FJ,13,0)="A"), "OK",IF(
AND(Planilla!B418="A", OR(VLOOKUP(E418,EX:FJ,13,0)="B", VLOOKUP(E418,EX:FJ,13,0)="C")), "SOBREOFERTA",""
))))))),"")</f>
        <v/>
      </c>
      <c r="E418" s="12"/>
      <c r="F418" s="13"/>
      <c r="G418" s="14"/>
      <c r="H418" s="81" t="str">
        <f t="shared" si="139"/>
        <v/>
      </c>
      <c r="I418" s="7"/>
      <c r="J418" s="6" t="e">
        <f t="shared" si="140"/>
        <v>#N/A</v>
      </c>
      <c r="K418" s="6" t="str">
        <f>IF(A419&lt;&gt;A418,AVERAGEIF(A$9:A418,A418,J$9:J418),"")</f>
        <v/>
      </c>
      <c r="L418" s="7" t="str">
        <f>IFERROR(IF(A419&lt;&gt;A418,AVERAGEIF(A$9:A418,A418,S$9:S418),""),"")</f>
        <v/>
      </c>
      <c r="M418" s="7" t="str">
        <f>IFERROR(IF(A419&lt;&gt;A418,AVERAGEIF(A$9:A418,A418,T$9:T418),""),"")</f>
        <v/>
      </c>
      <c r="N418" s="7" t="str" cm="1">
        <f t="array" ref="N418">IFERROR(IF(A419&lt;&gt;A418,_xlfn.STDEV.P(IF(A$9:A418=A418,T$9:T418)),""),"")</f>
        <v/>
      </c>
      <c r="O418" s="7" t="str" cm="1">
        <f t="array" ref="O418">IFERROR(IF(A419&lt;&gt;A418,_xlfn.STDEV.P(IF(A$9:A418=A418,S$9:S418)),""),"")</f>
        <v/>
      </c>
      <c r="P418" s="8" t="str">
        <f t="shared" si="141"/>
        <v/>
      </c>
      <c r="Q418" s="8" t="str">
        <f t="shared" si="142"/>
        <v/>
      </c>
      <c r="R418" s="8" t="str">
        <f t="shared" si="143"/>
        <v/>
      </c>
      <c r="S418" s="9" t="str">
        <f t="shared" si="144"/>
        <v/>
      </c>
      <c r="T418" s="9" t="str">
        <f t="shared" si="145"/>
        <v/>
      </c>
      <c r="U418" s="14"/>
      <c r="V418" s="15"/>
      <c r="W418" s="14" t="str">
        <f t="shared" si="146"/>
        <v/>
      </c>
      <c r="X418" s="15"/>
      <c r="Y418" s="2"/>
      <c r="AB418" s="22">
        <f t="shared" si="147"/>
        <v>1</v>
      </c>
      <c r="AC418" s="11"/>
      <c r="AD418" s="11"/>
      <c r="AE418" s="13"/>
      <c r="AF418" s="12"/>
      <c r="AG418" s="13"/>
      <c r="AH418" s="14"/>
      <c r="AI418" s="81" t="str">
        <f t="shared" si="148"/>
        <v/>
      </c>
      <c r="AJ418" s="15"/>
      <c r="AK418" s="6" t="e">
        <f t="shared" si="149"/>
        <v>#N/A</v>
      </c>
      <c r="AL418" s="6" t="str">
        <f>IF(AB419&lt;&gt;AB418,AVERAGEIF(AB$9:AB418,AB418,AK$9:AK418),"")</f>
        <v/>
      </c>
      <c r="AM418" s="7" t="str">
        <f>IFERROR(IF(AB419&lt;&gt;AB418,AVERAGEIF(AB$9:AB418,AB418,AT$9:AT418),""),"")</f>
        <v/>
      </c>
      <c r="AN418" s="7" t="str">
        <f>IFERROR(IF(AB419&lt;&gt;AB418,AVERAGEIF(AB$9:AB418,AB418,AU$9:AU418),""),"")</f>
        <v/>
      </c>
      <c r="AO418" s="7" t="str" cm="1">
        <f t="array" ref="AO418">IFERROR(IF(AB419&lt;&gt;AB418,_xlfn.STDEV.P(IF(AB$9:AB418=AB418,AU$9:AU418)),""),"")</f>
        <v/>
      </c>
      <c r="AP418" s="7" t="str" cm="1">
        <f t="array" ref="AP418">IFERROR(IF(AB419&lt;&gt;AB418,_xlfn.STDEV.P(IF(AB$9:AB418=AB418,AT$9:AT418)),""),"")</f>
        <v/>
      </c>
      <c r="AQ418" s="8" t="str">
        <f t="shared" si="150"/>
        <v/>
      </c>
      <c r="AR418" s="8" t="str">
        <f t="shared" si="151"/>
        <v/>
      </c>
      <c r="AS418" s="8" t="str">
        <f t="shared" si="152"/>
        <v/>
      </c>
      <c r="AT418" s="9" t="str">
        <f t="shared" si="153"/>
        <v/>
      </c>
      <c r="AU418" s="9" t="str">
        <f t="shared" si="154"/>
        <v/>
      </c>
      <c r="AV418" s="14"/>
      <c r="AW418" s="15"/>
      <c r="AX418" s="14" t="str">
        <f t="shared" si="155"/>
        <v/>
      </c>
      <c r="AY418" s="15"/>
      <c r="AZ418" s="23"/>
      <c r="EW418" t="s">
        <v>46</v>
      </c>
      <c r="EX418" s="33">
        <v>1417</v>
      </c>
      <c r="EY418" s="33" t="s">
        <v>1080</v>
      </c>
      <c r="EZ418" s="33" t="s">
        <v>1081</v>
      </c>
      <c r="FA418" s="33" t="s">
        <v>343</v>
      </c>
      <c r="FB418" s="33" t="s">
        <v>344</v>
      </c>
      <c r="FC418" s="33" t="s">
        <v>345</v>
      </c>
      <c r="FD418" s="33" t="s">
        <v>346</v>
      </c>
      <c r="FE418" s="33">
        <v>2025</v>
      </c>
      <c r="FF418" s="33" t="s">
        <v>59</v>
      </c>
      <c r="FG418" s="33" t="s">
        <v>386</v>
      </c>
      <c r="FH418" s="33" t="s">
        <v>387</v>
      </c>
      <c r="FI418" s="33" t="s">
        <v>407</v>
      </c>
      <c r="FJ418" t="s">
        <v>59</v>
      </c>
      <c r="FM418" s="32" t="s">
        <v>1082</v>
      </c>
      <c r="FN418" t="s">
        <v>1083</v>
      </c>
      <c r="FO418" t="s">
        <v>1084</v>
      </c>
      <c r="FP418" t="str">
        <f t="shared" si="137"/>
        <v>B</v>
      </c>
      <c r="GU418" s="53">
        <v>188</v>
      </c>
      <c r="GV418" s="53">
        <v>412</v>
      </c>
    </row>
    <row r="419" spans="1:204" ht="15.5" x14ac:dyDescent="0.35">
      <c r="A419" s="95">
        <f t="shared" si="138"/>
        <v>1</v>
      </c>
      <c r="B419" s="11"/>
      <c r="C419" s="11"/>
      <c r="D419" s="92" t="str">
        <f>IFERROR(
IF(AND(OR(Planilla!B419="C",Planilla!B419="c"), VLOOKUP(E419,EX:FJ,13,0)="C"), "OK",IF(AND(OR(Planilla!B419="C",Planilla!B419="c"), OR(VLOOKUP(E419,EX:FJ,13,0)="B", VLOOKUP(E419,EX:FJ,13,0)="A")), "DEFICIT",IF(
AND(OR(Planilla!B419="B", Planilla!B419="BPAL"), VLOOKUP(E419,EX:FJ,13,0)="B"), "OK",IF(AND(OR(Planilla!B419="B", Planilla!B419="BPAL"), VLOOKUP(E419,EX:FJ,13,0)="A"), "DEFICIT",IF(AND(OR(Planilla!B419="B", Planilla!B419="BPAL"), VLOOKUP(E419,EX:FJ,13,0)="C"), "SOBREOFERTA",IF(AND(Planilla!B419="A", VLOOKUP(E419,EX:FJ,13,0)="A"), "OK",IF(
AND(Planilla!B419="A", OR(VLOOKUP(E419,EX:FJ,13,0)="B", VLOOKUP(E419,EX:FJ,13,0)="C")), "SOBREOFERTA",""
))))))),"")</f>
        <v/>
      </c>
      <c r="E419" s="12"/>
      <c r="F419" s="13"/>
      <c r="G419" s="14"/>
      <c r="H419" s="81" t="str">
        <f t="shared" si="139"/>
        <v/>
      </c>
      <c r="I419" s="7"/>
      <c r="J419" s="6" t="e">
        <f t="shared" si="140"/>
        <v>#N/A</v>
      </c>
      <c r="K419" s="6" t="str">
        <f>IF(A420&lt;&gt;A419,AVERAGEIF(A$9:A419,A419,J$9:J419),"")</f>
        <v/>
      </c>
      <c r="L419" s="7" t="str">
        <f>IFERROR(IF(A420&lt;&gt;A419,AVERAGEIF(A$9:A419,A419,S$9:S419),""),"")</f>
        <v/>
      </c>
      <c r="M419" s="7" t="str">
        <f>IFERROR(IF(A420&lt;&gt;A419,AVERAGEIF(A$9:A419,A419,T$9:T419),""),"")</f>
        <v/>
      </c>
      <c r="N419" s="7" t="str" cm="1">
        <f t="array" ref="N419">IFERROR(IF(A420&lt;&gt;A419,_xlfn.STDEV.P(IF(A$9:A419=A419,T$9:T419)),""),"")</f>
        <v/>
      </c>
      <c r="O419" s="7" t="str" cm="1">
        <f t="array" ref="O419">IFERROR(IF(A420&lt;&gt;A419,_xlfn.STDEV.P(IF(A$9:A419=A419,S$9:S419)),""),"")</f>
        <v/>
      </c>
      <c r="P419" s="8" t="str">
        <f t="shared" si="141"/>
        <v/>
      </c>
      <c r="Q419" s="8" t="str">
        <f t="shared" si="142"/>
        <v/>
      </c>
      <c r="R419" s="8" t="str">
        <f t="shared" si="143"/>
        <v/>
      </c>
      <c r="S419" s="9" t="str">
        <f t="shared" si="144"/>
        <v/>
      </c>
      <c r="T419" s="9" t="str">
        <f t="shared" si="145"/>
        <v/>
      </c>
      <c r="U419" s="14"/>
      <c r="V419" s="15"/>
      <c r="W419" s="14" t="str">
        <f t="shared" si="146"/>
        <v/>
      </c>
      <c r="X419" s="15"/>
      <c r="Y419" s="2"/>
      <c r="AB419" s="22">
        <f t="shared" si="147"/>
        <v>1</v>
      </c>
      <c r="AC419" s="11"/>
      <c r="AD419" s="11"/>
      <c r="AE419" s="13"/>
      <c r="AF419" s="12"/>
      <c r="AG419" s="13"/>
      <c r="AH419" s="14"/>
      <c r="AI419" s="81" t="str">
        <f t="shared" si="148"/>
        <v/>
      </c>
      <c r="AJ419" s="15"/>
      <c r="AK419" s="6" t="e">
        <f t="shared" si="149"/>
        <v>#N/A</v>
      </c>
      <c r="AL419" s="6" t="str">
        <f>IF(AB420&lt;&gt;AB419,AVERAGEIF(AB$9:AB419,AB419,AK$9:AK419),"")</f>
        <v/>
      </c>
      <c r="AM419" s="7" t="str">
        <f>IFERROR(IF(AB420&lt;&gt;AB419,AVERAGEIF(AB$9:AB419,AB419,AT$9:AT419),""),"")</f>
        <v/>
      </c>
      <c r="AN419" s="7" t="str">
        <f>IFERROR(IF(AB420&lt;&gt;AB419,AVERAGEIF(AB$9:AB419,AB419,AU$9:AU419),""),"")</f>
        <v/>
      </c>
      <c r="AO419" s="7" t="str" cm="1">
        <f t="array" ref="AO419">IFERROR(IF(AB420&lt;&gt;AB419,_xlfn.STDEV.P(IF(AB$9:AB419=AB419,AU$9:AU419)),""),"")</f>
        <v/>
      </c>
      <c r="AP419" s="7" t="str" cm="1">
        <f t="array" ref="AP419">IFERROR(IF(AB420&lt;&gt;AB419,_xlfn.STDEV.P(IF(AB$9:AB419=AB419,AT$9:AT419)),""),"")</f>
        <v/>
      </c>
      <c r="AQ419" s="8" t="str">
        <f t="shared" si="150"/>
        <v/>
      </c>
      <c r="AR419" s="8" t="str">
        <f t="shared" si="151"/>
        <v/>
      </c>
      <c r="AS419" s="8" t="str">
        <f t="shared" si="152"/>
        <v/>
      </c>
      <c r="AT419" s="9" t="str">
        <f t="shared" si="153"/>
        <v/>
      </c>
      <c r="AU419" s="9" t="str">
        <f t="shared" si="154"/>
        <v/>
      </c>
      <c r="AV419" s="14"/>
      <c r="AW419" s="15"/>
      <c r="AX419" s="14" t="str">
        <f t="shared" si="155"/>
        <v/>
      </c>
      <c r="AY419" s="15"/>
      <c r="AZ419" s="23"/>
      <c r="EW419" t="s">
        <v>46</v>
      </c>
      <c r="EX419" s="33">
        <v>1418</v>
      </c>
      <c r="EY419" s="33" t="s">
        <v>1085</v>
      </c>
      <c r="EZ419" s="33" t="s">
        <v>1086</v>
      </c>
      <c r="FA419" s="33" t="s">
        <v>343</v>
      </c>
      <c r="FB419" s="33" t="s">
        <v>344</v>
      </c>
      <c r="FC419" s="33" t="s">
        <v>345</v>
      </c>
      <c r="FD419" s="33" t="s">
        <v>346</v>
      </c>
      <c r="FE419" s="33">
        <v>2025</v>
      </c>
      <c r="FF419" s="33" t="s">
        <v>59</v>
      </c>
      <c r="FG419" s="33" t="s">
        <v>477</v>
      </c>
      <c r="FH419" s="33" t="s">
        <v>478</v>
      </c>
      <c r="FI419" s="33" t="s">
        <v>479</v>
      </c>
      <c r="FJ419" t="s">
        <v>59</v>
      </c>
      <c r="FM419" s="32" t="s">
        <v>1082</v>
      </c>
      <c r="FN419" t="s">
        <v>1083</v>
      </c>
      <c r="FO419" t="s">
        <v>1084</v>
      </c>
      <c r="FP419" t="str">
        <f t="shared" si="137"/>
        <v>B</v>
      </c>
      <c r="GU419" s="53">
        <v>189</v>
      </c>
      <c r="GV419" s="53">
        <v>413</v>
      </c>
    </row>
    <row r="420" spans="1:204" ht="15.5" x14ac:dyDescent="0.35">
      <c r="A420" s="95">
        <f t="shared" si="138"/>
        <v>1</v>
      </c>
      <c r="B420" s="11"/>
      <c r="C420" s="11"/>
      <c r="D420" s="92" t="str">
        <f>IFERROR(
IF(AND(OR(Planilla!B420="C",Planilla!B420="c"), VLOOKUP(E420,EX:FJ,13,0)="C"), "OK",IF(AND(OR(Planilla!B420="C",Planilla!B420="c"), OR(VLOOKUP(E420,EX:FJ,13,0)="B", VLOOKUP(E420,EX:FJ,13,0)="A")), "DEFICIT",IF(
AND(OR(Planilla!B420="B", Planilla!B420="BPAL"), VLOOKUP(E420,EX:FJ,13,0)="B"), "OK",IF(AND(OR(Planilla!B420="B", Planilla!B420="BPAL"), VLOOKUP(E420,EX:FJ,13,0)="A"), "DEFICIT",IF(AND(OR(Planilla!B420="B", Planilla!B420="BPAL"), VLOOKUP(E420,EX:FJ,13,0)="C"), "SOBREOFERTA",IF(AND(Planilla!B420="A", VLOOKUP(E420,EX:FJ,13,0)="A"), "OK",IF(
AND(Planilla!B420="A", OR(VLOOKUP(E420,EX:FJ,13,0)="B", VLOOKUP(E420,EX:FJ,13,0)="C")), "SOBREOFERTA",""
))))))),"")</f>
        <v/>
      </c>
      <c r="E420" s="12"/>
      <c r="F420" s="13"/>
      <c r="G420" s="14"/>
      <c r="H420" s="81" t="str">
        <f t="shared" si="139"/>
        <v/>
      </c>
      <c r="I420" s="7"/>
      <c r="J420" s="6" t="e">
        <f t="shared" si="140"/>
        <v>#N/A</v>
      </c>
      <c r="K420" s="6" t="str">
        <f>IF(A421&lt;&gt;A420,AVERAGEIF(A$9:A420,A420,J$9:J420),"")</f>
        <v/>
      </c>
      <c r="L420" s="7" t="str">
        <f>IFERROR(IF(A421&lt;&gt;A420,AVERAGEIF(A$9:A420,A420,S$9:S420),""),"")</f>
        <v/>
      </c>
      <c r="M420" s="7" t="str">
        <f>IFERROR(IF(A421&lt;&gt;A420,AVERAGEIF(A$9:A420,A420,T$9:T420),""),"")</f>
        <v/>
      </c>
      <c r="N420" s="7" t="str" cm="1">
        <f t="array" ref="N420">IFERROR(IF(A421&lt;&gt;A420,_xlfn.STDEV.P(IF(A$9:A420=A420,T$9:T420)),""),"")</f>
        <v/>
      </c>
      <c r="O420" s="7" t="str" cm="1">
        <f t="array" ref="O420">IFERROR(IF(A421&lt;&gt;A420,_xlfn.STDEV.P(IF(A$9:A420=A420,S$9:S420)),""),"")</f>
        <v/>
      </c>
      <c r="P420" s="8" t="str">
        <f t="shared" si="141"/>
        <v/>
      </c>
      <c r="Q420" s="8" t="str">
        <f t="shared" si="142"/>
        <v/>
      </c>
      <c r="R420" s="8" t="str">
        <f t="shared" si="143"/>
        <v/>
      </c>
      <c r="S420" s="9" t="str">
        <f t="shared" si="144"/>
        <v/>
      </c>
      <c r="T420" s="9" t="str">
        <f t="shared" si="145"/>
        <v/>
      </c>
      <c r="U420" s="14"/>
      <c r="V420" s="15"/>
      <c r="W420" s="14" t="str">
        <f t="shared" si="146"/>
        <v/>
      </c>
      <c r="X420" s="15"/>
      <c r="Y420" s="2"/>
      <c r="AB420" s="22">
        <f t="shared" si="147"/>
        <v>1</v>
      </c>
      <c r="AC420" s="11"/>
      <c r="AD420" s="11"/>
      <c r="AE420" s="13"/>
      <c r="AF420" s="12"/>
      <c r="AG420" s="13"/>
      <c r="AH420" s="14"/>
      <c r="AI420" s="81" t="str">
        <f t="shared" si="148"/>
        <v/>
      </c>
      <c r="AJ420" s="15"/>
      <c r="AK420" s="6" t="e">
        <f t="shared" si="149"/>
        <v>#N/A</v>
      </c>
      <c r="AL420" s="6" t="str">
        <f>IF(AB421&lt;&gt;AB420,AVERAGEIF(AB$9:AB420,AB420,AK$9:AK420),"")</f>
        <v/>
      </c>
      <c r="AM420" s="7" t="str">
        <f>IFERROR(IF(AB421&lt;&gt;AB420,AVERAGEIF(AB$9:AB420,AB420,AT$9:AT420),""),"")</f>
        <v/>
      </c>
      <c r="AN420" s="7" t="str">
        <f>IFERROR(IF(AB421&lt;&gt;AB420,AVERAGEIF(AB$9:AB420,AB420,AU$9:AU420),""),"")</f>
        <v/>
      </c>
      <c r="AO420" s="7" t="str" cm="1">
        <f t="array" ref="AO420">IFERROR(IF(AB421&lt;&gt;AB420,_xlfn.STDEV.P(IF(AB$9:AB420=AB420,AU$9:AU420)),""),"")</f>
        <v/>
      </c>
      <c r="AP420" s="7" t="str" cm="1">
        <f t="array" ref="AP420">IFERROR(IF(AB421&lt;&gt;AB420,_xlfn.STDEV.P(IF(AB$9:AB420=AB420,AT$9:AT420)),""),"")</f>
        <v/>
      </c>
      <c r="AQ420" s="8" t="str">
        <f t="shared" si="150"/>
        <v/>
      </c>
      <c r="AR420" s="8" t="str">
        <f t="shared" si="151"/>
        <v/>
      </c>
      <c r="AS420" s="8" t="str">
        <f t="shared" si="152"/>
        <v/>
      </c>
      <c r="AT420" s="9" t="str">
        <f t="shared" si="153"/>
        <v/>
      </c>
      <c r="AU420" s="9" t="str">
        <f t="shared" si="154"/>
        <v/>
      </c>
      <c r="AV420" s="14"/>
      <c r="AW420" s="15"/>
      <c r="AX420" s="14" t="str">
        <f t="shared" si="155"/>
        <v/>
      </c>
      <c r="AY420" s="15"/>
      <c r="AZ420" s="23"/>
      <c r="EW420" t="s">
        <v>46</v>
      </c>
      <c r="EX420" s="33">
        <v>1419</v>
      </c>
      <c r="EY420" s="33" t="s">
        <v>1087</v>
      </c>
      <c r="EZ420" s="33" t="s">
        <v>1088</v>
      </c>
      <c r="FA420" s="33" t="s">
        <v>343</v>
      </c>
      <c r="FB420" s="33" t="s">
        <v>344</v>
      </c>
      <c r="FC420" s="33" t="s">
        <v>345</v>
      </c>
      <c r="FD420" s="33" t="s">
        <v>346</v>
      </c>
      <c r="FE420" s="33">
        <v>2025</v>
      </c>
      <c r="FF420" s="33" t="s">
        <v>59</v>
      </c>
      <c r="FG420" s="33" t="s">
        <v>386</v>
      </c>
      <c r="FH420" s="33" t="s">
        <v>387</v>
      </c>
      <c r="FI420" s="33" t="s">
        <v>407</v>
      </c>
      <c r="FJ420" t="s">
        <v>59</v>
      </c>
      <c r="FM420" s="32" t="s">
        <v>1082</v>
      </c>
      <c r="FN420" t="s">
        <v>1083</v>
      </c>
      <c r="FO420" t="s">
        <v>1084</v>
      </c>
      <c r="FP420" t="str">
        <f t="shared" si="137"/>
        <v>B</v>
      </c>
      <c r="GU420" s="53">
        <v>190</v>
      </c>
      <c r="GV420" s="53">
        <v>414</v>
      </c>
    </row>
    <row r="421" spans="1:204" ht="15.5" x14ac:dyDescent="0.35">
      <c r="A421" s="95">
        <f t="shared" si="138"/>
        <v>1</v>
      </c>
      <c r="B421" s="11"/>
      <c r="C421" s="11"/>
      <c r="D421" s="92" t="str">
        <f>IFERROR(
IF(AND(OR(Planilla!B421="C",Planilla!B421="c"), VLOOKUP(E421,EX:FJ,13,0)="C"), "OK",IF(AND(OR(Planilla!B421="C",Planilla!B421="c"), OR(VLOOKUP(E421,EX:FJ,13,0)="B", VLOOKUP(E421,EX:FJ,13,0)="A")), "DEFICIT",IF(
AND(OR(Planilla!B421="B", Planilla!B421="BPAL"), VLOOKUP(E421,EX:FJ,13,0)="B"), "OK",IF(AND(OR(Planilla!B421="B", Planilla!B421="BPAL"), VLOOKUP(E421,EX:FJ,13,0)="A"), "DEFICIT",IF(AND(OR(Planilla!B421="B", Planilla!B421="BPAL"), VLOOKUP(E421,EX:FJ,13,0)="C"), "SOBREOFERTA",IF(AND(Planilla!B421="A", VLOOKUP(E421,EX:FJ,13,0)="A"), "OK",IF(
AND(Planilla!B421="A", OR(VLOOKUP(E421,EX:FJ,13,0)="B", VLOOKUP(E421,EX:FJ,13,0)="C")), "SOBREOFERTA",""
))))))),"")</f>
        <v/>
      </c>
      <c r="E421" s="12"/>
      <c r="F421" s="13"/>
      <c r="G421" s="14"/>
      <c r="H421" s="81" t="str">
        <f t="shared" si="139"/>
        <v/>
      </c>
      <c r="I421" s="7"/>
      <c r="J421" s="6" t="e">
        <f t="shared" si="140"/>
        <v>#N/A</v>
      </c>
      <c r="K421" s="6" t="str">
        <f>IF(A422&lt;&gt;A421,AVERAGEIF(A$9:A421,A421,J$9:J421),"")</f>
        <v/>
      </c>
      <c r="L421" s="7" t="str">
        <f>IFERROR(IF(A422&lt;&gt;A421,AVERAGEIF(A$9:A421,A421,S$9:S421),""),"")</f>
        <v/>
      </c>
      <c r="M421" s="7" t="str">
        <f>IFERROR(IF(A422&lt;&gt;A421,AVERAGEIF(A$9:A421,A421,T$9:T421),""),"")</f>
        <v/>
      </c>
      <c r="N421" s="7" t="str" cm="1">
        <f t="array" ref="N421">IFERROR(IF(A422&lt;&gt;A421,_xlfn.STDEV.P(IF(A$9:A421=A421,T$9:T421)),""),"")</f>
        <v/>
      </c>
      <c r="O421" s="7" t="str" cm="1">
        <f t="array" ref="O421">IFERROR(IF(A422&lt;&gt;A421,_xlfn.STDEV.P(IF(A$9:A421=A421,S$9:S421)),""),"")</f>
        <v/>
      </c>
      <c r="P421" s="8" t="str">
        <f t="shared" si="141"/>
        <v/>
      </c>
      <c r="Q421" s="8" t="str">
        <f t="shared" si="142"/>
        <v/>
      </c>
      <c r="R421" s="8" t="str">
        <f t="shared" si="143"/>
        <v/>
      </c>
      <c r="S421" s="9" t="str">
        <f t="shared" si="144"/>
        <v/>
      </c>
      <c r="T421" s="9" t="str">
        <f t="shared" si="145"/>
        <v/>
      </c>
      <c r="U421" s="14"/>
      <c r="V421" s="15"/>
      <c r="W421" s="14" t="str">
        <f t="shared" si="146"/>
        <v/>
      </c>
      <c r="X421" s="15"/>
      <c r="Y421" s="2"/>
      <c r="AB421" s="22">
        <f t="shared" si="147"/>
        <v>1</v>
      </c>
      <c r="AC421" s="11"/>
      <c r="AD421" s="11"/>
      <c r="AE421" s="13"/>
      <c r="AF421" s="12"/>
      <c r="AG421" s="13"/>
      <c r="AH421" s="14"/>
      <c r="AI421" s="81" t="str">
        <f t="shared" si="148"/>
        <v/>
      </c>
      <c r="AJ421" s="15"/>
      <c r="AK421" s="6" t="e">
        <f t="shared" si="149"/>
        <v>#N/A</v>
      </c>
      <c r="AL421" s="6" t="str">
        <f>IF(AB422&lt;&gt;AB421,AVERAGEIF(AB$9:AB421,AB421,AK$9:AK421),"")</f>
        <v/>
      </c>
      <c r="AM421" s="7" t="str">
        <f>IFERROR(IF(AB422&lt;&gt;AB421,AVERAGEIF(AB$9:AB421,AB421,AT$9:AT421),""),"")</f>
        <v/>
      </c>
      <c r="AN421" s="7" t="str">
        <f>IFERROR(IF(AB422&lt;&gt;AB421,AVERAGEIF(AB$9:AB421,AB421,AU$9:AU421),""),"")</f>
        <v/>
      </c>
      <c r="AO421" s="7" t="str" cm="1">
        <f t="array" ref="AO421">IFERROR(IF(AB422&lt;&gt;AB421,_xlfn.STDEV.P(IF(AB$9:AB421=AB421,AU$9:AU421)),""),"")</f>
        <v/>
      </c>
      <c r="AP421" s="7" t="str" cm="1">
        <f t="array" ref="AP421">IFERROR(IF(AB422&lt;&gt;AB421,_xlfn.STDEV.P(IF(AB$9:AB421=AB421,AT$9:AT421)),""),"")</f>
        <v/>
      </c>
      <c r="AQ421" s="8" t="str">
        <f t="shared" si="150"/>
        <v/>
      </c>
      <c r="AR421" s="8" t="str">
        <f t="shared" si="151"/>
        <v/>
      </c>
      <c r="AS421" s="8" t="str">
        <f t="shared" si="152"/>
        <v/>
      </c>
      <c r="AT421" s="9" t="str">
        <f t="shared" si="153"/>
        <v/>
      </c>
      <c r="AU421" s="9" t="str">
        <f t="shared" si="154"/>
        <v/>
      </c>
      <c r="AV421" s="14"/>
      <c r="AW421" s="15"/>
      <c r="AX421" s="14" t="str">
        <f t="shared" si="155"/>
        <v/>
      </c>
      <c r="AY421" s="15"/>
      <c r="AZ421" s="23"/>
      <c r="EW421" t="s">
        <v>46</v>
      </c>
      <c r="EX421" s="33">
        <v>1420</v>
      </c>
      <c r="EY421" s="33" t="s">
        <v>1089</v>
      </c>
      <c r="EZ421" s="33" t="s">
        <v>1090</v>
      </c>
      <c r="FA421" s="33" t="s">
        <v>343</v>
      </c>
      <c r="FB421" s="33" t="s">
        <v>344</v>
      </c>
      <c r="FC421" s="33" t="s">
        <v>345</v>
      </c>
      <c r="FD421" s="33" t="s">
        <v>346</v>
      </c>
      <c r="FE421" s="33">
        <v>2025</v>
      </c>
      <c r="FF421" s="33" t="s">
        <v>59</v>
      </c>
      <c r="FG421" s="33" t="s">
        <v>477</v>
      </c>
      <c r="FH421" s="33" t="s">
        <v>478</v>
      </c>
      <c r="FI421" s="33" t="s">
        <v>479</v>
      </c>
      <c r="FJ421" t="s">
        <v>59</v>
      </c>
      <c r="FM421" s="32" t="s">
        <v>1082</v>
      </c>
      <c r="FN421" t="s">
        <v>1083</v>
      </c>
      <c r="FO421" t="s">
        <v>1084</v>
      </c>
      <c r="FP421" t="str">
        <f t="shared" si="137"/>
        <v>B</v>
      </c>
      <c r="GU421" s="53">
        <v>191</v>
      </c>
      <c r="GV421" s="53">
        <v>415</v>
      </c>
    </row>
    <row r="422" spans="1:204" ht="15.5" x14ac:dyDescent="0.35">
      <c r="A422" s="95">
        <f t="shared" si="138"/>
        <v>1</v>
      </c>
      <c r="B422" s="11"/>
      <c r="C422" s="11"/>
      <c r="D422" s="92" t="str">
        <f>IFERROR(
IF(AND(OR(Planilla!B422="C",Planilla!B422="c"), VLOOKUP(E422,EX:FJ,13,0)="C"), "OK",IF(AND(OR(Planilla!B422="C",Planilla!B422="c"), OR(VLOOKUP(E422,EX:FJ,13,0)="B", VLOOKUP(E422,EX:FJ,13,0)="A")), "DEFICIT",IF(
AND(OR(Planilla!B422="B", Planilla!B422="BPAL"), VLOOKUP(E422,EX:FJ,13,0)="B"), "OK",IF(AND(OR(Planilla!B422="B", Planilla!B422="BPAL"), VLOOKUP(E422,EX:FJ,13,0)="A"), "DEFICIT",IF(AND(OR(Planilla!B422="B", Planilla!B422="BPAL"), VLOOKUP(E422,EX:FJ,13,0)="C"), "SOBREOFERTA",IF(AND(Planilla!B422="A", VLOOKUP(E422,EX:FJ,13,0)="A"), "OK",IF(
AND(Planilla!B422="A", OR(VLOOKUP(E422,EX:FJ,13,0)="B", VLOOKUP(E422,EX:FJ,13,0)="C")), "SOBREOFERTA",""
))))))),"")</f>
        <v/>
      </c>
      <c r="E422" s="12"/>
      <c r="F422" s="13"/>
      <c r="G422" s="14"/>
      <c r="H422" s="81" t="str">
        <f t="shared" si="139"/>
        <v/>
      </c>
      <c r="I422" s="7"/>
      <c r="J422" s="6" t="e">
        <f t="shared" si="140"/>
        <v>#N/A</v>
      </c>
      <c r="K422" s="6" t="str">
        <f>IF(A423&lt;&gt;A422,AVERAGEIF(A$9:A422,A422,J$9:J422),"")</f>
        <v/>
      </c>
      <c r="L422" s="7" t="str">
        <f>IFERROR(IF(A423&lt;&gt;A422,AVERAGEIF(A$9:A422,A422,S$9:S422),""),"")</f>
        <v/>
      </c>
      <c r="M422" s="7" t="str">
        <f>IFERROR(IF(A423&lt;&gt;A422,AVERAGEIF(A$9:A422,A422,T$9:T422),""),"")</f>
        <v/>
      </c>
      <c r="N422" s="7" t="str" cm="1">
        <f t="array" ref="N422">IFERROR(IF(A423&lt;&gt;A422,_xlfn.STDEV.P(IF(A$9:A422=A422,T$9:T422)),""),"")</f>
        <v/>
      </c>
      <c r="O422" s="7" t="str" cm="1">
        <f t="array" ref="O422">IFERROR(IF(A423&lt;&gt;A422,_xlfn.STDEV.P(IF(A$9:A422=A422,S$9:S422)),""),"")</f>
        <v/>
      </c>
      <c r="P422" s="8" t="str">
        <f t="shared" si="141"/>
        <v/>
      </c>
      <c r="Q422" s="8" t="str">
        <f t="shared" si="142"/>
        <v/>
      </c>
      <c r="R422" s="8" t="str">
        <f t="shared" si="143"/>
        <v/>
      </c>
      <c r="S422" s="9" t="str">
        <f t="shared" si="144"/>
        <v/>
      </c>
      <c r="T422" s="9" t="str">
        <f t="shared" si="145"/>
        <v/>
      </c>
      <c r="U422" s="14"/>
      <c r="V422" s="15"/>
      <c r="W422" s="14" t="str">
        <f t="shared" si="146"/>
        <v/>
      </c>
      <c r="X422" s="15"/>
      <c r="Y422" s="2"/>
      <c r="AB422" s="22">
        <f t="shared" si="147"/>
        <v>1</v>
      </c>
      <c r="AC422" s="11"/>
      <c r="AD422" s="11"/>
      <c r="AE422" s="13"/>
      <c r="AF422" s="12"/>
      <c r="AG422" s="13"/>
      <c r="AH422" s="14"/>
      <c r="AI422" s="81" t="str">
        <f t="shared" si="148"/>
        <v/>
      </c>
      <c r="AJ422" s="15"/>
      <c r="AK422" s="6" t="e">
        <f t="shared" si="149"/>
        <v>#N/A</v>
      </c>
      <c r="AL422" s="6" t="str">
        <f>IF(AB423&lt;&gt;AB422,AVERAGEIF(AB$9:AB422,AB422,AK$9:AK422),"")</f>
        <v/>
      </c>
      <c r="AM422" s="7" t="str">
        <f>IFERROR(IF(AB423&lt;&gt;AB422,AVERAGEIF(AB$9:AB422,AB422,AT$9:AT422),""),"")</f>
        <v/>
      </c>
      <c r="AN422" s="7" t="str">
        <f>IFERROR(IF(AB423&lt;&gt;AB422,AVERAGEIF(AB$9:AB422,AB422,AU$9:AU422),""),"")</f>
        <v/>
      </c>
      <c r="AO422" s="7" t="str" cm="1">
        <f t="array" ref="AO422">IFERROR(IF(AB423&lt;&gt;AB422,_xlfn.STDEV.P(IF(AB$9:AB422=AB422,AU$9:AU422)),""),"")</f>
        <v/>
      </c>
      <c r="AP422" s="7" t="str" cm="1">
        <f t="array" ref="AP422">IFERROR(IF(AB423&lt;&gt;AB422,_xlfn.STDEV.P(IF(AB$9:AB422=AB422,AT$9:AT422)),""),"")</f>
        <v/>
      </c>
      <c r="AQ422" s="8" t="str">
        <f t="shared" si="150"/>
        <v/>
      </c>
      <c r="AR422" s="8" t="str">
        <f t="shared" si="151"/>
        <v/>
      </c>
      <c r="AS422" s="8" t="str">
        <f t="shared" si="152"/>
        <v/>
      </c>
      <c r="AT422" s="9" t="str">
        <f t="shared" si="153"/>
        <v/>
      </c>
      <c r="AU422" s="9" t="str">
        <f t="shared" si="154"/>
        <v/>
      </c>
      <c r="AV422" s="14"/>
      <c r="AW422" s="15"/>
      <c r="AX422" s="14" t="str">
        <f t="shared" si="155"/>
        <v/>
      </c>
      <c r="AY422" s="15"/>
      <c r="AZ422" s="23"/>
      <c r="EW422" t="s">
        <v>46</v>
      </c>
      <c r="EX422" s="33">
        <v>1421</v>
      </c>
      <c r="EY422" s="33" t="s">
        <v>1091</v>
      </c>
      <c r="EZ422" s="33" t="s">
        <v>1092</v>
      </c>
      <c r="FA422" s="33" t="s">
        <v>343</v>
      </c>
      <c r="FB422" s="33" t="s">
        <v>344</v>
      </c>
      <c r="FC422" s="33" t="s">
        <v>345</v>
      </c>
      <c r="FD422" s="33" t="s">
        <v>346</v>
      </c>
      <c r="FE422" s="33">
        <v>2025</v>
      </c>
      <c r="FF422" s="33" t="s">
        <v>59</v>
      </c>
      <c r="FG422" s="33" t="s">
        <v>477</v>
      </c>
      <c r="FH422" s="33" t="s">
        <v>478</v>
      </c>
      <c r="FI422" s="33" t="s">
        <v>479</v>
      </c>
      <c r="FJ422" t="s">
        <v>59</v>
      </c>
      <c r="FM422" s="32" t="s">
        <v>1082</v>
      </c>
      <c r="FN422" t="s">
        <v>1083</v>
      </c>
      <c r="FO422" t="s">
        <v>1084</v>
      </c>
      <c r="FP422" t="str">
        <f t="shared" si="137"/>
        <v>B</v>
      </c>
      <c r="GU422" s="53">
        <v>192</v>
      </c>
      <c r="GV422" s="53">
        <v>416</v>
      </c>
    </row>
    <row r="423" spans="1:204" ht="15.5" x14ac:dyDescent="0.35">
      <c r="A423" s="95">
        <f t="shared" si="138"/>
        <v>1</v>
      </c>
      <c r="B423" s="11"/>
      <c r="C423" s="11"/>
      <c r="D423" s="92" t="str">
        <f>IFERROR(
IF(AND(OR(Planilla!B423="C",Planilla!B423="c"), VLOOKUP(E423,EX:FJ,13,0)="C"), "OK",IF(AND(OR(Planilla!B423="C",Planilla!B423="c"), OR(VLOOKUP(E423,EX:FJ,13,0)="B", VLOOKUP(E423,EX:FJ,13,0)="A")), "DEFICIT",IF(
AND(OR(Planilla!B423="B", Planilla!B423="BPAL"), VLOOKUP(E423,EX:FJ,13,0)="B"), "OK",IF(AND(OR(Planilla!B423="B", Planilla!B423="BPAL"), VLOOKUP(E423,EX:FJ,13,0)="A"), "DEFICIT",IF(AND(OR(Planilla!B423="B", Planilla!B423="BPAL"), VLOOKUP(E423,EX:FJ,13,0)="C"), "SOBREOFERTA",IF(AND(Planilla!B423="A", VLOOKUP(E423,EX:FJ,13,0)="A"), "OK",IF(
AND(Planilla!B423="A", OR(VLOOKUP(E423,EX:FJ,13,0)="B", VLOOKUP(E423,EX:FJ,13,0)="C")), "SOBREOFERTA",""
))))))),"")</f>
        <v/>
      </c>
      <c r="E423" s="12"/>
      <c r="F423" s="13"/>
      <c r="G423" s="14"/>
      <c r="H423" s="81" t="str">
        <f t="shared" si="139"/>
        <v/>
      </c>
      <c r="I423" s="7"/>
      <c r="J423" s="6" t="e">
        <f t="shared" si="140"/>
        <v>#N/A</v>
      </c>
      <c r="K423" s="6" t="str">
        <f>IF(A424&lt;&gt;A423,AVERAGEIF(A$9:A423,A423,J$9:J423),"")</f>
        <v/>
      </c>
      <c r="L423" s="7" t="str">
        <f>IFERROR(IF(A424&lt;&gt;A423,AVERAGEIF(A$9:A423,A423,S$9:S423),""),"")</f>
        <v/>
      </c>
      <c r="M423" s="7" t="str">
        <f>IFERROR(IF(A424&lt;&gt;A423,AVERAGEIF(A$9:A423,A423,T$9:T423),""),"")</f>
        <v/>
      </c>
      <c r="N423" s="7" t="str" cm="1">
        <f t="array" ref="N423">IFERROR(IF(A424&lt;&gt;A423,_xlfn.STDEV.P(IF(A$9:A423=A423,T$9:T423)),""),"")</f>
        <v/>
      </c>
      <c r="O423" s="7" t="str" cm="1">
        <f t="array" ref="O423">IFERROR(IF(A424&lt;&gt;A423,_xlfn.STDEV.P(IF(A$9:A423=A423,S$9:S423)),""),"")</f>
        <v/>
      </c>
      <c r="P423" s="8" t="str">
        <f t="shared" si="141"/>
        <v/>
      </c>
      <c r="Q423" s="8" t="str">
        <f t="shared" si="142"/>
        <v/>
      </c>
      <c r="R423" s="8" t="str">
        <f t="shared" si="143"/>
        <v/>
      </c>
      <c r="S423" s="9" t="str">
        <f t="shared" si="144"/>
        <v/>
      </c>
      <c r="T423" s="9" t="str">
        <f t="shared" si="145"/>
        <v/>
      </c>
      <c r="U423" s="14"/>
      <c r="V423" s="15"/>
      <c r="W423" s="14" t="str">
        <f t="shared" si="146"/>
        <v/>
      </c>
      <c r="X423" s="15"/>
      <c r="Y423" s="2"/>
      <c r="AB423" s="22">
        <f t="shared" si="147"/>
        <v>1</v>
      </c>
      <c r="AC423" s="11"/>
      <c r="AD423" s="11"/>
      <c r="AE423" s="13"/>
      <c r="AF423" s="12"/>
      <c r="AG423" s="13"/>
      <c r="AH423" s="14"/>
      <c r="AI423" s="81" t="str">
        <f t="shared" si="148"/>
        <v/>
      </c>
      <c r="AJ423" s="15"/>
      <c r="AK423" s="6" t="e">
        <f t="shared" si="149"/>
        <v>#N/A</v>
      </c>
      <c r="AL423" s="6" t="str">
        <f>IF(AB424&lt;&gt;AB423,AVERAGEIF(AB$9:AB423,AB423,AK$9:AK423),"")</f>
        <v/>
      </c>
      <c r="AM423" s="7" t="str">
        <f>IFERROR(IF(AB424&lt;&gt;AB423,AVERAGEIF(AB$9:AB423,AB423,AT$9:AT423),""),"")</f>
        <v/>
      </c>
      <c r="AN423" s="7" t="str">
        <f>IFERROR(IF(AB424&lt;&gt;AB423,AVERAGEIF(AB$9:AB423,AB423,AU$9:AU423),""),"")</f>
        <v/>
      </c>
      <c r="AO423" s="7" t="str" cm="1">
        <f t="array" ref="AO423">IFERROR(IF(AB424&lt;&gt;AB423,_xlfn.STDEV.P(IF(AB$9:AB423=AB423,AU$9:AU423)),""),"")</f>
        <v/>
      </c>
      <c r="AP423" s="7" t="str" cm="1">
        <f t="array" ref="AP423">IFERROR(IF(AB424&lt;&gt;AB423,_xlfn.STDEV.P(IF(AB$9:AB423=AB423,AT$9:AT423)),""),"")</f>
        <v/>
      </c>
      <c r="AQ423" s="8" t="str">
        <f t="shared" si="150"/>
        <v/>
      </c>
      <c r="AR423" s="8" t="str">
        <f t="shared" si="151"/>
        <v/>
      </c>
      <c r="AS423" s="8" t="str">
        <f t="shared" si="152"/>
        <v/>
      </c>
      <c r="AT423" s="9" t="str">
        <f t="shared" si="153"/>
        <v/>
      </c>
      <c r="AU423" s="9" t="str">
        <f t="shared" si="154"/>
        <v/>
      </c>
      <c r="AV423" s="14"/>
      <c r="AW423" s="15"/>
      <c r="AX423" s="14" t="str">
        <f t="shared" si="155"/>
        <v/>
      </c>
      <c r="AY423" s="15"/>
      <c r="AZ423" s="23"/>
      <c r="EW423" t="s">
        <v>46</v>
      </c>
      <c r="EX423" s="33">
        <v>1422</v>
      </c>
      <c r="EY423" s="33" t="s">
        <v>1093</v>
      </c>
      <c r="EZ423" s="33" t="s">
        <v>1094</v>
      </c>
      <c r="FA423" s="33" t="s">
        <v>343</v>
      </c>
      <c r="FB423" s="33" t="s">
        <v>344</v>
      </c>
      <c r="FC423" s="33" t="s">
        <v>345</v>
      </c>
      <c r="FD423" s="33" t="s">
        <v>346</v>
      </c>
      <c r="FE423" s="33">
        <v>2025</v>
      </c>
      <c r="FF423" s="33" t="s">
        <v>59</v>
      </c>
      <c r="FG423" s="33" t="s">
        <v>477</v>
      </c>
      <c r="FH423" s="33" t="s">
        <v>478</v>
      </c>
      <c r="FI423" s="33" t="s">
        <v>479</v>
      </c>
      <c r="FJ423" t="s">
        <v>59</v>
      </c>
      <c r="FM423" s="32" t="s">
        <v>1082</v>
      </c>
      <c r="FN423" t="s">
        <v>1083</v>
      </c>
      <c r="FO423" t="s">
        <v>1084</v>
      </c>
      <c r="FP423" t="str">
        <f t="shared" si="137"/>
        <v>B</v>
      </c>
      <c r="GU423" s="53">
        <v>193</v>
      </c>
      <c r="GV423" s="53">
        <v>417</v>
      </c>
    </row>
    <row r="424" spans="1:204" ht="15.5" x14ac:dyDescent="0.35">
      <c r="A424" s="95">
        <f t="shared" si="138"/>
        <v>1</v>
      </c>
      <c r="B424" s="11"/>
      <c r="C424" s="11"/>
      <c r="D424" s="92" t="str">
        <f>IFERROR(
IF(AND(OR(Planilla!B424="C",Planilla!B424="c"), VLOOKUP(E424,EX:FJ,13,0)="C"), "OK",IF(AND(OR(Planilla!B424="C",Planilla!B424="c"), OR(VLOOKUP(E424,EX:FJ,13,0)="B", VLOOKUP(E424,EX:FJ,13,0)="A")), "DEFICIT",IF(
AND(OR(Planilla!B424="B", Planilla!B424="BPAL"), VLOOKUP(E424,EX:FJ,13,0)="B"), "OK",IF(AND(OR(Planilla!B424="B", Planilla!B424="BPAL"), VLOOKUP(E424,EX:FJ,13,0)="A"), "DEFICIT",IF(AND(OR(Planilla!B424="B", Planilla!B424="BPAL"), VLOOKUP(E424,EX:FJ,13,0)="C"), "SOBREOFERTA",IF(AND(Planilla!B424="A", VLOOKUP(E424,EX:FJ,13,0)="A"), "OK",IF(
AND(Planilla!B424="A", OR(VLOOKUP(E424,EX:FJ,13,0)="B", VLOOKUP(E424,EX:FJ,13,0)="C")), "SOBREOFERTA",""
))))))),"")</f>
        <v/>
      </c>
      <c r="E424" s="12"/>
      <c r="F424" s="13"/>
      <c r="G424" s="14"/>
      <c r="H424" s="81" t="str">
        <f t="shared" si="139"/>
        <v/>
      </c>
      <c r="I424" s="7"/>
      <c r="J424" s="6" t="e">
        <f t="shared" si="140"/>
        <v>#N/A</v>
      </c>
      <c r="K424" s="6" t="str">
        <f>IF(A425&lt;&gt;A424,AVERAGEIF(A$9:A424,A424,J$9:J424),"")</f>
        <v/>
      </c>
      <c r="L424" s="7" t="str">
        <f>IFERROR(IF(A425&lt;&gt;A424,AVERAGEIF(A$9:A424,A424,S$9:S424),""),"")</f>
        <v/>
      </c>
      <c r="M424" s="7" t="str">
        <f>IFERROR(IF(A425&lt;&gt;A424,AVERAGEIF(A$9:A424,A424,T$9:T424),""),"")</f>
        <v/>
      </c>
      <c r="N424" s="7" t="str" cm="1">
        <f t="array" ref="N424">IFERROR(IF(A425&lt;&gt;A424,_xlfn.STDEV.P(IF(A$9:A424=A424,T$9:T424)),""),"")</f>
        <v/>
      </c>
      <c r="O424" s="7" t="str" cm="1">
        <f t="array" ref="O424">IFERROR(IF(A425&lt;&gt;A424,_xlfn.STDEV.P(IF(A$9:A424=A424,S$9:S424)),""),"")</f>
        <v/>
      </c>
      <c r="P424" s="8" t="str">
        <f t="shared" si="141"/>
        <v/>
      </c>
      <c r="Q424" s="8" t="str">
        <f t="shared" si="142"/>
        <v/>
      </c>
      <c r="R424" s="8" t="str">
        <f t="shared" si="143"/>
        <v/>
      </c>
      <c r="S424" s="9" t="str">
        <f t="shared" si="144"/>
        <v/>
      </c>
      <c r="T424" s="9" t="str">
        <f t="shared" si="145"/>
        <v/>
      </c>
      <c r="U424" s="14"/>
      <c r="V424" s="15"/>
      <c r="W424" s="14" t="str">
        <f t="shared" si="146"/>
        <v/>
      </c>
      <c r="X424" s="15"/>
      <c r="Y424" s="2"/>
      <c r="AB424" s="22">
        <f t="shared" si="147"/>
        <v>1</v>
      </c>
      <c r="AC424" s="11"/>
      <c r="AD424" s="11"/>
      <c r="AE424" s="13"/>
      <c r="AF424" s="12"/>
      <c r="AG424" s="13"/>
      <c r="AH424" s="14"/>
      <c r="AI424" s="81" t="str">
        <f t="shared" si="148"/>
        <v/>
      </c>
      <c r="AJ424" s="15"/>
      <c r="AK424" s="6" t="e">
        <f t="shared" si="149"/>
        <v>#N/A</v>
      </c>
      <c r="AL424" s="6" t="str">
        <f>IF(AB425&lt;&gt;AB424,AVERAGEIF(AB$9:AB424,AB424,AK$9:AK424),"")</f>
        <v/>
      </c>
      <c r="AM424" s="7" t="str">
        <f>IFERROR(IF(AB425&lt;&gt;AB424,AVERAGEIF(AB$9:AB424,AB424,AT$9:AT424),""),"")</f>
        <v/>
      </c>
      <c r="AN424" s="7" t="str">
        <f>IFERROR(IF(AB425&lt;&gt;AB424,AVERAGEIF(AB$9:AB424,AB424,AU$9:AU424),""),"")</f>
        <v/>
      </c>
      <c r="AO424" s="7" t="str" cm="1">
        <f t="array" ref="AO424">IFERROR(IF(AB425&lt;&gt;AB424,_xlfn.STDEV.P(IF(AB$9:AB424=AB424,AU$9:AU424)),""),"")</f>
        <v/>
      </c>
      <c r="AP424" s="7" t="str" cm="1">
        <f t="array" ref="AP424">IFERROR(IF(AB425&lt;&gt;AB424,_xlfn.STDEV.P(IF(AB$9:AB424=AB424,AT$9:AT424)),""),"")</f>
        <v/>
      </c>
      <c r="AQ424" s="8" t="str">
        <f t="shared" si="150"/>
        <v/>
      </c>
      <c r="AR424" s="8" t="str">
        <f t="shared" si="151"/>
        <v/>
      </c>
      <c r="AS424" s="8" t="str">
        <f t="shared" si="152"/>
        <v/>
      </c>
      <c r="AT424" s="9" t="str">
        <f t="shared" si="153"/>
        <v/>
      </c>
      <c r="AU424" s="9" t="str">
        <f t="shared" si="154"/>
        <v/>
      </c>
      <c r="AV424" s="14"/>
      <c r="AW424" s="15"/>
      <c r="AX424" s="14" t="str">
        <f t="shared" si="155"/>
        <v/>
      </c>
      <c r="AY424" s="15"/>
      <c r="AZ424" s="23"/>
      <c r="EW424" t="s">
        <v>46</v>
      </c>
      <c r="EX424" s="33">
        <v>1423</v>
      </c>
      <c r="EY424" s="33" t="s">
        <v>1095</v>
      </c>
      <c r="EZ424" s="33" t="s">
        <v>1096</v>
      </c>
      <c r="FA424" s="33" t="s">
        <v>343</v>
      </c>
      <c r="FB424" s="33" t="s">
        <v>344</v>
      </c>
      <c r="FC424" s="33" t="s">
        <v>345</v>
      </c>
      <c r="FD424" s="33" t="s">
        <v>346</v>
      </c>
      <c r="FE424" s="33">
        <v>2025</v>
      </c>
      <c r="FF424" s="33" t="s">
        <v>59</v>
      </c>
      <c r="FG424" s="33" t="s">
        <v>477</v>
      </c>
      <c r="FH424" s="33" t="s">
        <v>478</v>
      </c>
      <c r="FI424" s="33" t="s">
        <v>479</v>
      </c>
      <c r="FJ424" t="s">
        <v>59</v>
      </c>
      <c r="FM424" s="32" t="s">
        <v>1082</v>
      </c>
      <c r="FN424" t="s">
        <v>1083</v>
      </c>
      <c r="FO424" t="s">
        <v>1084</v>
      </c>
      <c r="FP424" t="str">
        <f t="shared" si="137"/>
        <v>B</v>
      </c>
      <c r="GU424" s="53">
        <v>194</v>
      </c>
      <c r="GV424" s="53">
        <v>418</v>
      </c>
    </row>
    <row r="425" spans="1:204" ht="15.5" x14ac:dyDescent="0.35">
      <c r="A425" s="95">
        <f t="shared" si="138"/>
        <v>1</v>
      </c>
      <c r="B425" s="11"/>
      <c r="C425" s="11"/>
      <c r="D425" s="92" t="str">
        <f>IFERROR(
IF(AND(OR(Planilla!B425="C",Planilla!B425="c"), VLOOKUP(E425,EX:FJ,13,0)="C"), "OK",IF(AND(OR(Planilla!B425="C",Planilla!B425="c"), OR(VLOOKUP(E425,EX:FJ,13,0)="B", VLOOKUP(E425,EX:FJ,13,0)="A")), "DEFICIT",IF(
AND(OR(Planilla!B425="B", Planilla!B425="BPAL"), VLOOKUP(E425,EX:FJ,13,0)="B"), "OK",IF(AND(OR(Planilla!B425="B", Planilla!B425="BPAL"), VLOOKUP(E425,EX:FJ,13,0)="A"), "DEFICIT",IF(AND(OR(Planilla!B425="B", Planilla!B425="BPAL"), VLOOKUP(E425,EX:FJ,13,0)="C"), "SOBREOFERTA",IF(AND(Planilla!B425="A", VLOOKUP(E425,EX:FJ,13,0)="A"), "OK",IF(
AND(Planilla!B425="A", OR(VLOOKUP(E425,EX:FJ,13,0)="B", VLOOKUP(E425,EX:FJ,13,0)="C")), "SOBREOFERTA",""
))))))),"")</f>
        <v/>
      </c>
      <c r="E425" s="12"/>
      <c r="F425" s="13"/>
      <c r="G425" s="14"/>
      <c r="H425" s="81" t="str">
        <f t="shared" si="139"/>
        <v/>
      </c>
      <c r="I425" s="7"/>
      <c r="J425" s="6" t="e">
        <f t="shared" si="140"/>
        <v>#N/A</v>
      </c>
      <c r="K425" s="6" t="str">
        <f>IF(A426&lt;&gt;A425,AVERAGEIF(A$9:A425,A425,J$9:J425),"")</f>
        <v/>
      </c>
      <c r="L425" s="7" t="str">
        <f>IFERROR(IF(A426&lt;&gt;A425,AVERAGEIF(A$9:A425,A425,S$9:S425),""),"")</f>
        <v/>
      </c>
      <c r="M425" s="7" t="str">
        <f>IFERROR(IF(A426&lt;&gt;A425,AVERAGEIF(A$9:A425,A425,T$9:T425),""),"")</f>
        <v/>
      </c>
      <c r="N425" s="7" t="str" cm="1">
        <f t="array" ref="N425">IFERROR(IF(A426&lt;&gt;A425,_xlfn.STDEV.P(IF(A$9:A425=A425,T$9:T425)),""),"")</f>
        <v/>
      </c>
      <c r="O425" s="7" t="str" cm="1">
        <f t="array" ref="O425">IFERROR(IF(A426&lt;&gt;A425,_xlfn.STDEV.P(IF(A$9:A425=A425,S$9:S425)),""),"")</f>
        <v/>
      </c>
      <c r="P425" s="8" t="str">
        <f t="shared" si="141"/>
        <v/>
      </c>
      <c r="Q425" s="8" t="str">
        <f t="shared" si="142"/>
        <v/>
      </c>
      <c r="R425" s="8" t="str">
        <f t="shared" si="143"/>
        <v/>
      </c>
      <c r="S425" s="9" t="str">
        <f t="shared" si="144"/>
        <v/>
      </c>
      <c r="T425" s="9" t="str">
        <f t="shared" si="145"/>
        <v/>
      </c>
      <c r="U425" s="14"/>
      <c r="V425" s="15"/>
      <c r="W425" s="14" t="str">
        <f t="shared" si="146"/>
        <v/>
      </c>
      <c r="X425" s="15"/>
      <c r="Y425" s="2"/>
      <c r="AB425" s="22">
        <f t="shared" si="147"/>
        <v>1</v>
      </c>
      <c r="AC425" s="11"/>
      <c r="AD425" s="11"/>
      <c r="AE425" s="13"/>
      <c r="AF425" s="12"/>
      <c r="AG425" s="13"/>
      <c r="AH425" s="14"/>
      <c r="AI425" s="81" t="str">
        <f t="shared" si="148"/>
        <v/>
      </c>
      <c r="AJ425" s="15"/>
      <c r="AK425" s="6" t="e">
        <f t="shared" si="149"/>
        <v>#N/A</v>
      </c>
      <c r="AL425" s="6" t="str">
        <f>IF(AB426&lt;&gt;AB425,AVERAGEIF(AB$9:AB425,AB425,AK$9:AK425),"")</f>
        <v/>
      </c>
      <c r="AM425" s="7" t="str">
        <f>IFERROR(IF(AB426&lt;&gt;AB425,AVERAGEIF(AB$9:AB425,AB425,AT$9:AT425),""),"")</f>
        <v/>
      </c>
      <c r="AN425" s="7" t="str">
        <f>IFERROR(IF(AB426&lt;&gt;AB425,AVERAGEIF(AB$9:AB425,AB425,AU$9:AU425),""),"")</f>
        <v/>
      </c>
      <c r="AO425" s="7" t="str" cm="1">
        <f t="array" ref="AO425">IFERROR(IF(AB426&lt;&gt;AB425,_xlfn.STDEV.P(IF(AB$9:AB425=AB425,AU$9:AU425)),""),"")</f>
        <v/>
      </c>
      <c r="AP425" s="7" t="str" cm="1">
        <f t="array" ref="AP425">IFERROR(IF(AB426&lt;&gt;AB425,_xlfn.STDEV.P(IF(AB$9:AB425=AB425,AT$9:AT425)),""),"")</f>
        <v/>
      </c>
      <c r="AQ425" s="8" t="str">
        <f t="shared" si="150"/>
        <v/>
      </c>
      <c r="AR425" s="8" t="str">
        <f t="shared" si="151"/>
        <v/>
      </c>
      <c r="AS425" s="8" t="str">
        <f t="shared" si="152"/>
        <v/>
      </c>
      <c r="AT425" s="9" t="str">
        <f t="shared" si="153"/>
        <v/>
      </c>
      <c r="AU425" s="9" t="str">
        <f t="shared" si="154"/>
        <v/>
      </c>
      <c r="AV425" s="14"/>
      <c r="AW425" s="15"/>
      <c r="AX425" s="14" t="str">
        <f t="shared" si="155"/>
        <v/>
      </c>
      <c r="AY425" s="15"/>
      <c r="AZ425" s="23"/>
      <c r="EW425" t="s">
        <v>46</v>
      </c>
      <c r="EX425" s="33">
        <v>1424</v>
      </c>
      <c r="EY425" s="33" t="s">
        <v>1097</v>
      </c>
      <c r="EZ425" s="33" t="s">
        <v>1098</v>
      </c>
      <c r="FA425" s="33" t="s">
        <v>343</v>
      </c>
      <c r="FB425" s="33" t="s">
        <v>344</v>
      </c>
      <c r="FC425" s="33" t="s">
        <v>345</v>
      </c>
      <c r="FD425" s="33" t="s">
        <v>346</v>
      </c>
      <c r="FE425" s="33">
        <v>2025</v>
      </c>
      <c r="FF425" s="33" t="s">
        <v>59</v>
      </c>
      <c r="FG425" s="33" t="s">
        <v>477</v>
      </c>
      <c r="FH425" s="33" t="s">
        <v>478</v>
      </c>
      <c r="FI425" s="33" t="s">
        <v>479</v>
      </c>
      <c r="FJ425" t="s">
        <v>59</v>
      </c>
      <c r="FM425" s="32" t="s">
        <v>1099</v>
      </c>
      <c r="FN425" t="s">
        <v>1100</v>
      </c>
      <c r="FO425" t="s">
        <v>1101</v>
      </c>
      <c r="FP425" t="str">
        <f t="shared" si="137"/>
        <v>B</v>
      </c>
      <c r="GU425" s="53">
        <v>195</v>
      </c>
      <c r="GV425" s="53">
        <v>419</v>
      </c>
    </row>
    <row r="426" spans="1:204" ht="15.5" x14ac:dyDescent="0.35">
      <c r="A426" s="95">
        <f t="shared" si="138"/>
        <v>1</v>
      </c>
      <c r="B426" s="11"/>
      <c r="C426" s="11"/>
      <c r="D426" s="92" t="str">
        <f>IFERROR(
IF(AND(OR(Planilla!B426="C",Planilla!B426="c"), VLOOKUP(E426,EX:FJ,13,0)="C"), "OK",IF(AND(OR(Planilla!B426="C",Planilla!B426="c"), OR(VLOOKUP(E426,EX:FJ,13,0)="B", VLOOKUP(E426,EX:FJ,13,0)="A")), "DEFICIT",IF(
AND(OR(Planilla!B426="B", Planilla!B426="BPAL"), VLOOKUP(E426,EX:FJ,13,0)="B"), "OK",IF(AND(OR(Planilla!B426="B", Planilla!B426="BPAL"), VLOOKUP(E426,EX:FJ,13,0)="A"), "DEFICIT",IF(AND(OR(Planilla!B426="B", Planilla!B426="BPAL"), VLOOKUP(E426,EX:FJ,13,0)="C"), "SOBREOFERTA",IF(AND(Planilla!B426="A", VLOOKUP(E426,EX:FJ,13,0)="A"), "OK",IF(
AND(Planilla!B426="A", OR(VLOOKUP(E426,EX:FJ,13,0)="B", VLOOKUP(E426,EX:FJ,13,0)="C")), "SOBREOFERTA",""
))))))),"")</f>
        <v/>
      </c>
      <c r="E426" s="12"/>
      <c r="F426" s="13"/>
      <c r="G426" s="14"/>
      <c r="H426" s="81" t="str">
        <f t="shared" si="139"/>
        <v/>
      </c>
      <c r="I426" s="7"/>
      <c r="J426" s="6" t="e">
        <f t="shared" si="140"/>
        <v>#N/A</v>
      </c>
      <c r="K426" s="6" t="str">
        <f>IF(A427&lt;&gt;A426,AVERAGEIF(A$9:A426,A426,J$9:J426),"")</f>
        <v/>
      </c>
      <c r="L426" s="7" t="str">
        <f>IFERROR(IF(A427&lt;&gt;A426,AVERAGEIF(A$9:A426,A426,S$9:S426),""),"")</f>
        <v/>
      </c>
      <c r="M426" s="7" t="str">
        <f>IFERROR(IF(A427&lt;&gt;A426,AVERAGEIF(A$9:A426,A426,T$9:T426),""),"")</f>
        <v/>
      </c>
      <c r="N426" s="7" t="str" cm="1">
        <f t="array" ref="N426">IFERROR(IF(A427&lt;&gt;A426,_xlfn.STDEV.P(IF(A$9:A426=A426,T$9:T426)),""),"")</f>
        <v/>
      </c>
      <c r="O426" s="7" t="str" cm="1">
        <f t="array" ref="O426">IFERROR(IF(A427&lt;&gt;A426,_xlfn.STDEV.P(IF(A$9:A426=A426,S$9:S426)),""),"")</f>
        <v/>
      </c>
      <c r="P426" s="8" t="str">
        <f t="shared" si="141"/>
        <v/>
      </c>
      <c r="Q426" s="8" t="str">
        <f t="shared" si="142"/>
        <v/>
      </c>
      <c r="R426" s="8" t="str">
        <f t="shared" si="143"/>
        <v/>
      </c>
      <c r="S426" s="9" t="str">
        <f t="shared" si="144"/>
        <v/>
      </c>
      <c r="T426" s="9" t="str">
        <f t="shared" si="145"/>
        <v/>
      </c>
      <c r="U426" s="14"/>
      <c r="V426" s="15"/>
      <c r="W426" s="14" t="str">
        <f t="shared" si="146"/>
        <v/>
      </c>
      <c r="X426" s="15"/>
      <c r="Y426" s="2"/>
      <c r="AB426" s="22">
        <f t="shared" si="147"/>
        <v>1</v>
      </c>
      <c r="AC426" s="11"/>
      <c r="AD426" s="11"/>
      <c r="AE426" s="13"/>
      <c r="AF426" s="12"/>
      <c r="AG426" s="13"/>
      <c r="AH426" s="14"/>
      <c r="AI426" s="81" t="str">
        <f t="shared" si="148"/>
        <v/>
      </c>
      <c r="AJ426" s="15"/>
      <c r="AK426" s="6" t="e">
        <f t="shared" si="149"/>
        <v>#N/A</v>
      </c>
      <c r="AL426" s="6" t="str">
        <f>IF(AB427&lt;&gt;AB426,AVERAGEIF(AB$9:AB426,AB426,AK$9:AK426),"")</f>
        <v/>
      </c>
      <c r="AM426" s="7" t="str">
        <f>IFERROR(IF(AB427&lt;&gt;AB426,AVERAGEIF(AB$9:AB426,AB426,AT$9:AT426),""),"")</f>
        <v/>
      </c>
      <c r="AN426" s="7" t="str">
        <f>IFERROR(IF(AB427&lt;&gt;AB426,AVERAGEIF(AB$9:AB426,AB426,AU$9:AU426),""),"")</f>
        <v/>
      </c>
      <c r="AO426" s="7" t="str" cm="1">
        <f t="array" ref="AO426">IFERROR(IF(AB427&lt;&gt;AB426,_xlfn.STDEV.P(IF(AB$9:AB426=AB426,AU$9:AU426)),""),"")</f>
        <v/>
      </c>
      <c r="AP426" s="7" t="str" cm="1">
        <f t="array" ref="AP426">IFERROR(IF(AB427&lt;&gt;AB426,_xlfn.STDEV.P(IF(AB$9:AB426=AB426,AT$9:AT426)),""),"")</f>
        <v/>
      </c>
      <c r="AQ426" s="8" t="str">
        <f t="shared" si="150"/>
        <v/>
      </c>
      <c r="AR426" s="8" t="str">
        <f t="shared" si="151"/>
        <v/>
      </c>
      <c r="AS426" s="8" t="str">
        <f t="shared" si="152"/>
        <v/>
      </c>
      <c r="AT426" s="9" t="str">
        <f t="shared" si="153"/>
        <v/>
      </c>
      <c r="AU426" s="9" t="str">
        <f t="shared" si="154"/>
        <v/>
      </c>
      <c r="AV426" s="14"/>
      <c r="AW426" s="15"/>
      <c r="AX426" s="14" t="str">
        <f t="shared" si="155"/>
        <v/>
      </c>
      <c r="AY426" s="15"/>
      <c r="AZ426" s="23"/>
      <c r="EW426" t="s">
        <v>46</v>
      </c>
      <c r="EX426" s="33">
        <v>1425</v>
      </c>
      <c r="EY426" s="33" t="s">
        <v>1102</v>
      </c>
      <c r="EZ426" s="33" t="s">
        <v>1103</v>
      </c>
      <c r="FA426" s="33" t="s">
        <v>343</v>
      </c>
      <c r="FB426" s="33" t="s">
        <v>344</v>
      </c>
      <c r="FC426" s="33" t="s">
        <v>345</v>
      </c>
      <c r="FD426" s="33" t="s">
        <v>346</v>
      </c>
      <c r="FE426" s="33">
        <v>2025</v>
      </c>
      <c r="FF426" s="33" t="s">
        <v>59</v>
      </c>
      <c r="FG426" s="33" t="s">
        <v>477</v>
      </c>
      <c r="FH426" s="33" t="s">
        <v>478</v>
      </c>
      <c r="FI426" s="33" t="s">
        <v>479</v>
      </c>
      <c r="FJ426" t="s">
        <v>59</v>
      </c>
      <c r="FM426" s="32" t="s">
        <v>1099</v>
      </c>
      <c r="FN426" t="s">
        <v>1100</v>
      </c>
      <c r="FO426" t="s">
        <v>1101</v>
      </c>
      <c r="FP426" t="str">
        <f t="shared" si="137"/>
        <v>B</v>
      </c>
      <c r="GU426" s="53">
        <v>196</v>
      </c>
      <c r="GV426" s="53">
        <v>420</v>
      </c>
    </row>
    <row r="427" spans="1:204" ht="15.5" x14ac:dyDescent="0.35">
      <c r="A427" s="95">
        <f t="shared" si="138"/>
        <v>1</v>
      </c>
      <c r="B427" s="11"/>
      <c r="C427" s="11"/>
      <c r="D427" s="92" t="str">
        <f>IFERROR(
IF(AND(OR(Planilla!B427="C",Planilla!B427="c"), VLOOKUP(E427,EX:FJ,13,0)="C"), "OK",IF(AND(OR(Planilla!B427="C",Planilla!B427="c"), OR(VLOOKUP(E427,EX:FJ,13,0)="B", VLOOKUP(E427,EX:FJ,13,0)="A")), "DEFICIT",IF(
AND(OR(Planilla!B427="B", Planilla!B427="BPAL"), VLOOKUP(E427,EX:FJ,13,0)="B"), "OK",IF(AND(OR(Planilla!B427="B", Planilla!B427="BPAL"), VLOOKUP(E427,EX:FJ,13,0)="A"), "DEFICIT",IF(AND(OR(Planilla!B427="B", Planilla!B427="BPAL"), VLOOKUP(E427,EX:FJ,13,0)="C"), "SOBREOFERTA",IF(AND(Planilla!B427="A", VLOOKUP(E427,EX:FJ,13,0)="A"), "OK",IF(
AND(Planilla!B427="A", OR(VLOOKUP(E427,EX:FJ,13,0)="B", VLOOKUP(E427,EX:FJ,13,0)="C")), "SOBREOFERTA",""
))))))),"")</f>
        <v/>
      </c>
      <c r="E427" s="12"/>
      <c r="F427" s="13"/>
      <c r="G427" s="14"/>
      <c r="H427" s="81" t="str">
        <f t="shared" si="139"/>
        <v/>
      </c>
      <c r="I427" s="7"/>
      <c r="J427" s="6" t="e">
        <f t="shared" si="140"/>
        <v>#N/A</v>
      </c>
      <c r="K427" s="6" t="str">
        <f>IF(A428&lt;&gt;A427,AVERAGEIF(A$9:A427,A427,J$9:J427),"")</f>
        <v/>
      </c>
      <c r="L427" s="7" t="str">
        <f>IFERROR(IF(A428&lt;&gt;A427,AVERAGEIF(A$9:A427,A427,S$9:S427),""),"")</f>
        <v/>
      </c>
      <c r="M427" s="7" t="str">
        <f>IFERROR(IF(A428&lt;&gt;A427,AVERAGEIF(A$9:A427,A427,T$9:T427),""),"")</f>
        <v/>
      </c>
      <c r="N427" s="7" t="str" cm="1">
        <f t="array" ref="N427">IFERROR(IF(A428&lt;&gt;A427,_xlfn.STDEV.P(IF(A$9:A427=A427,T$9:T427)),""),"")</f>
        <v/>
      </c>
      <c r="O427" s="7" t="str" cm="1">
        <f t="array" ref="O427">IFERROR(IF(A428&lt;&gt;A427,_xlfn.STDEV.P(IF(A$9:A427=A427,S$9:S427)),""),"")</f>
        <v/>
      </c>
      <c r="P427" s="8" t="str">
        <f t="shared" si="141"/>
        <v/>
      </c>
      <c r="Q427" s="8" t="str">
        <f t="shared" si="142"/>
        <v/>
      </c>
      <c r="R427" s="8" t="str">
        <f t="shared" si="143"/>
        <v/>
      </c>
      <c r="S427" s="9" t="str">
        <f t="shared" si="144"/>
        <v/>
      </c>
      <c r="T427" s="9" t="str">
        <f t="shared" si="145"/>
        <v/>
      </c>
      <c r="U427" s="14"/>
      <c r="V427" s="15"/>
      <c r="W427" s="14" t="str">
        <f t="shared" si="146"/>
        <v/>
      </c>
      <c r="X427" s="15"/>
      <c r="Y427" s="2"/>
      <c r="AB427" s="22">
        <f t="shared" si="147"/>
        <v>1</v>
      </c>
      <c r="AC427" s="11"/>
      <c r="AD427" s="11"/>
      <c r="AE427" s="13"/>
      <c r="AF427" s="12"/>
      <c r="AG427" s="13"/>
      <c r="AH427" s="14"/>
      <c r="AI427" s="81" t="str">
        <f t="shared" si="148"/>
        <v/>
      </c>
      <c r="AJ427" s="15"/>
      <c r="AK427" s="6" t="e">
        <f t="shared" si="149"/>
        <v>#N/A</v>
      </c>
      <c r="AL427" s="6" t="str">
        <f>IF(AB428&lt;&gt;AB427,AVERAGEIF(AB$9:AB427,AB427,AK$9:AK427),"")</f>
        <v/>
      </c>
      <c r="AM427" s="7" t="str">
        <f>IFERROR(IF(AB428&lt;&gt;AB427,AVERAGEIF(AB$9:AB427,AB427,AT$9:AT427),""),"")</f>
        <v/>
      </c>
      <c r="AN427" s="7" t="str">
        <f>IFERROR(IF(AB428&lt;&gt;AB427,AVERAGEIF(AB$9:AB427,AB427,AU$9:AU427),""),"")</f>
        <v/>
      </c>
      <c r="AO427" s="7" t="str" cm="1">
        <f t="array" ref="AO427">IFERROR(IF(AB428&lt;&gt;AB427,_xlfn.STDEV.P(IF(AB$9:AB427=AB427,AU$9:AU427)),""),"")</f>
        <v/>
      </c>
      <c r="AP427" s="7" t="str" cm="1">
        <f t="array" ref="AP427">IFERROR(IF(AB428&lt;&gt;AB427,_xlfn.STDEV.P(IF(AB$9:AB427=AB427,AT$9:AT427)),""),"")</f>
        <v/>
      </c>
      <c r="AQ427" s="8" t="str">
        <f t="shared" si="150"/>
        <v/>
      </c>
      <c r="AR427" s="8" t="str">
        <f t="shared" si="151"/>
        <v/>
      </c>
      <c r="AS427" s="8" t="str">
        <f t="shared" si="152"/>
        <v/>
      </c>
      <c r="AT427" s="9" t="str">
        <f t="shared" si="153"/>
        <v/>
      </c>
      <c r="AU427" s="9" t="str">
        <f t="shared" si="154"/>
        <v/>
      </c>
      <c r="AV427" s="14"/>
      <c r="AW427" s="15"/>
      <c r="AX427" s="14" t="str">
        <f t="shared" si="155"/>
        <v/>
      </c>
      <c r="AY427" s="15"/>
      <c r="AZ427" s="23"/>
      <c r="EW427" t="s">
        <v>46</v>
      </c>
      <c r="EX427" s="33">
        <v>1426</v>
      </c>
      <c r="EY427" s="33" t="s">
        <v>1104</v>
      </c>
      <c r="EZ427" s="33" t="s">
        <v>1105</v>
      </c>
      <c r="FA427" s="33" t="s">
        <v>343</v>
      </c>
      <c r="FB427" s="33" t="s">
        <v>344</v>
      </c>
      <c r="FC427" s="33" t="s">
        <v>345</v>
      </c>
      <c r="FD427" s="33" t="s">
        <v>346</v>
      </c>
      <c r="FE427" s="33">
        <v>2025</v>
      </c>
      <c r="FF427" s="33" t="s">
        <v>59</v>
      </c>
      <c r="FG427" s="33" t="s">
        <v>477</v>
      </c>
      <c r="FH427" s="33" t="s">
        <v>478</v>
      </c>
      <c r="FI427" s="33" t="s">
        <v>479</v>
      </c>
      <c r="FJ427" t="s">
        <v>59</v>
      </c>
      <c r="FM427" s="32" t="s">
        <v>1099</v>
      </c>
      <c r="FN427" t="s">
        <v>1100</v>
      </c>
      <c r="FO427" t="s">
        <v>1101</v>
      </c>
      <c r="FP427" t="str">
        <f t="shared" si="137"/>
        <v>B</v>
      </c>
      <c r="GU427" s="53">
        <v>197</v>
      </c>
      <c r="GV427" s="53">
        <v>421</v>
      </c>
    </row>
    <row r="428" spans="1:204" ht="15.5" x14ac:dyDescent="0.35">
      <c r="A428" s="95">
        <f t="shared" si="138"/>
        <v>1</v>
      </c>
      <c r="B428" s="11"/>
      <c r="C428" s="11"/>
      <c r="D428" s="92" t="str">
        <f>IFERROR(
IF(AND(OR(Planilla!B428="C",Planilla!B428="c"), VLOOKUP(E428,EX:FJ,13,0)="C"), "OK",IF(AND(OR(Planilla!B428="C",Planilla!B428="c"), OR(VLOOKUP(E428,EX:FJ,13,0)="B", VLOOKUP(E428,EX:FJ,13,0)="A")), "DEFICIT",IF(
AND(OR(Planilla!B428="B", Planilla!B428="BPAL"), VLOOKUP(E428,EX:FJ,13,0)="B"), "OK",IF(AND(OR(Planilla!B428="B", Planilla!B428="BPAL"), VLOOKUP(E428,EX:FJ,13,0)="A"), "DEFICIT",IF(AND(OR(Planilla!B428="B", Planilla!B428="BPAL"), VLOOKUP(E428,EX:FJ,13,0)="C"), "SOBREOFERTA",IF(AND(Planilla!B428="A", VLOOKUP(E428,EX:FJ,13,0)="A"), "OK",IF(
AND(Planilla!B428="A", OR(VLOOKUP(E428,EX:FJ,13,0)="B", VLOOKUP(E428,EX:FJ,13,0)="C")), "SOBREOFERTA",""
))))))),"")</f>
        <v/>
      </c>
      <c r="E428" s="12"/>
      <c r="F428" s="13"/>
      <c r="G428" s="14"/>
      <c r="H428" s="81" t="str">
        <f t="shared" si="139"/>
        <v/>
      </c>
      <c r="I428" s="7"/>
      <c r="J428" s="6" t="e">
        <f t="shared" si="140"/>
        <v>#N/A</v>
      </c>
      <c r="K428" s="6" t="str">
        <f>IF(A429&lt;&gt;A428,AVERAGEIF(A$9:A428,A428,J$9:J428),"")</f>
        <v/>
      </c>
      <c r="L428" s="7" t="str">
        <f>IFERROR(IF(A429&lt;&gt;A428,AVERAGEIF(A$9:A428,A428,S$9:S428),""),"")</f>
        <v/>
      </c>
      <c r="M428" s="7" t="str">
        <f>IFERROR(IF(A429&lt;&gt;A428,AVERAGEIF(A$9:A428,A428,T$9:T428),""),"")</f>
        <v/>
      </c>
      <c r="N428" s="7" t="str" cm="1">
        <f t="array" ref="N428">IFERROR(IF(A429&lt;&gt;A428,_xlfn.STDEV.P(IF(A$9:A428=A428,T$9:T428)),""),"")</f>
        <v/>
      </c>
      <c r="O428" s="7" t="str" cm="1">
        <f t="array" ref="O428">IFERROR(IF(A429&lt;&gt;A428,_xlfn.STDEV.P(IF(A$9:A428=A428,S$9:S428)),""),"")</f>
        <v/>
      </c>
      <c r="P428" s="8" t="str">
        <f t="shared" si="141"/>
        <v/>
      </c>
      <c r="Q428" s="8" t="str">
        <f t="shared" si="142"/>
        <v/>
      </c>
      <c r="R428" s="8" t="str">
        <f t="shared" si="143"/>
        <v/>
      </c>
      <c r="S428" s="9" t="str">
        <f t="shared" si="144"/>
        <v/>
      </c>
      <c r="T428" s="9" t="str">
        <f t="shared" si="145"/>
        <v/>
      </c>
      <c r="U428" s="14"/>
      <c r="V428" s="15"/>
      <c r="W428" s="14" t="str">
        <f t="shared" si="146"/>
        <v/>
      </c>
      <c r="X428" s="15"/>
      <c r="Y428" s="2"/>
      <c r="AB428" s="22">
        <f t="shared" si="147"/>
        <v>1</v>
      </c>
      <c r="AC428" s="11"/>
      <c r="AD428" s="11"/>
      <c r="AE428" s="13"/>
      <c r="AF428" s="12"/>
      <c r="AG428" s="13"/>
      <c r="AH428" s="14"/>
      <c r="AI428" s="81" t="str">
        <f t="shared" si="148"/>
        <v/>
      </c>
      <c r="AJ428" s="15"/>
      <c r="AK428" s="6" t="e">
        <f t="shared" si="149"/>
        <v>#N/A</v>
      </c>
      <c r="AL428" s="6" t="str">
        <f>IF(AB429&lt;&gt;AB428,AVERAGEIF(AB$9:AB428,AB428,AK$9:AK428),"")</f>
        <v/>
      </c>
      <c r="AM428" s="7" t="str">
        <f>IFERROR(IF(AB429&lt;&gt;AB428,AVERAGEIF(AB$9:AB428,AB428,AT$9:AT428),""),"")</f>
        <v/>
      </c>
      <c r="AN428" s="7" t="str">
        <f>IFERROR(IF(AB429&lt;&gt;AB428,AVERAGEIF(AB$9:AB428,AB428,AU$9:AU428),""),"")</f>
        <v/>
      </c>
      <c r="AO428" s="7" t="str" cm="1">
        <f t="array" ref="AO428">IFERROR(IF(AB429&lt;&gt;AB428,_xlfn.STDEV.P(IF(AB$9:AB428=AB428,AU$9:AU428)),""),"")</f>
        <v/>
      </c>
      <c r="AP428" s="7" t="str" cm="1">
        <f t="array" ref="AP428">IFERROR(IF(AB429&lt;&gt;AB428,_xlfn.STDEV.P(IF(AB$9:AB428=AB428,AT$9:AT428)),""),"")</f>
        <v/>
      </c>
      <c r="AQ428" s="8" t="str">
        <f t="shared" si="150"/>
        <v/>
      </c>
      <c r="AR428" s="8" t="str">
        <f t="shared" si="151"/>
        <v/>
      </c>
      <c r="AS428" s="8" t="str">
        <f t="shared" si="152"/>
        <v/>
      </c>
      <c r="AT428" s="9" t="str">
        <f t="shared" si="153"/>
        <v/>
      </c>
      <c r="AU428" s="9" t="str">
        <f t="shared" si="154"/>
        <v/>
      </c>
      <c r="AV428" s="14"/>
      <c r="AW428" s="15"/>
      <c r="AX428" s="14" t="str">
        <f t="shared" si="155"/>
        <v/>
      </c>
      <c r="AY428" s="15"/>
      <c r="AZ428" s="23"/>
      <c r="EW428" t="s">
        <v>46</v>
      </c>
      <c r="EX428" s="33" t="s">
        <v>47</v>
      </c>
      <c r="EY428" s="33" t="s">
        <v>1106</v>
      </c>
      <c r="EZ428" s="33" t="s">
        <v>1107</v>
      </c>
      <c r="FA428" s="33" t="s">
        <v>343</v>
      </c>
      <c r="FB428" s="33" t="s">
        <v>1108</v>
      </c>
      <c r="FC428" s="33" t="s">
        <v>345</v>
      </c>
      <c r="FD428" s="33" t="s">
        <v>1108</v>
      </c>
      <c r="FE428" s="33">
        <v>2025</v>
      </c>
      <c r="FF428" s="33" t="s">
        <v>1109</v>
      </c>
      <c r="FG428" s="33" t="s">
        <v>386</v>
      </c>
      <c r="FH428" s="33" t="s">
        <v>387</v>
      </c>
      <c r="FI428" s="33" t="s">
        <v>407</v>
      </c>
      <c r="FJ428" t="s">
        <v>1109</v>
      </c>
      <c r="FM428" s="32" t="s">
        <v>1099</v>
      </c>
      <c r="FN428" t="s">
        <v>1100</v>
      </c>
      <c r="FO428" t="s">
        <v>1101</v>
      </c>
      <c r="FP428" t="str">
        <f t="shared" si="137"/>
        <v>B</v>
      </c>
      <c r="GU428" s="53">
        <v>198</v>
      </c>
      <c r="GV428" s="53">
        <v>422</v>
      </c>
    </row>
    <row r="429" spans="1:204" ht="15.5" x14ac:dyDescent="0.35">
      <c r="A429" s="95">
        <f t="shared" si="138"/>
        <v>1</v>
      </c>
      <c r="B429" s="11"/>
      <c r="C429" s="11"/>
      <c r="D429" s="92" t="str">
        <f>IFERROR(
IF(AND(OR(Planilla!B429="C",Planilla!B429="c"), VLOOKUP(E429,EX:FJ,13,0)="C"), "OK",IF(AND(OR(Planilla!B429="C",Planilla!B429="c"), OR(VLOOKUP(E429,EX:FJ,13,0)="B", VLOOKUP(E429,EX:FJ,13,0)="A")), "DEFICIT",IF(
AND(OR(Planilla!B429="B", Planilla!B429="BPAL"), VLOOKUP(E429,EX:FJ,13,0)="B"), "OK",IF(AND(OR(Planilla!B429="B", Planilla!B429="BPAL"), VLOOKUP(E429,EX:FJ,13,0)="A"), "DEFICIT",IF(AND(OR(Planilla!B429="B", Planilla!B429="BPAL"), VLOOKUP(E429,EX:FJ,13,0)="C"), "SOBREOFERTA",IF(AND(Planilla!B429="A", VLOOKUP(E429,EX:FJ,13,0)="A"), "OK",IF(
AND(Planilla!B429="A", OR(VLOOKUP(E429,EX:FJ,13,0)="B", VLOOKUP(E429,EX:FJ,13,0)="C")), "SOBREOFERTA",""
))))))),"")</f>
        <v/>
      </c>
      <c r="E429" s="12"/>
      <c r="F429" s="13"/>
      <c r="G429" s="14"/>
      <c r="H429" s="81" t="str">
        <f t="shared" si="139"/>
        <v/>
      </c>
      <c r="I429" s="7"/>
      <c r="J429" s="6" t="e">
        <f t="shared" si="140"/>
        <v>#N/A</v>
      </c>
      <c r="K429" s="6" t="str">
        <f>IF(A430&lt;&gt;A429,AVERAGEIF(A$9:A429,A429,J$9:J429),"")</f>
        <v/>
      </c>
      <c r="L429" s="7" t="str">
        <f>IFERROR(IF(A430&lt;&gt;A429,AVERAGEIF(A$9:A429,A429,S$9:S429),""),"")</f>
        <v/>
      </c>
      <c r="M429" s="7" t="str">
        <f>IFERROR(IF(A430&lt;&gt;A429,AVERAGEIF(A$9:A429,A429,T$9:T429),""),"")</f>
        <v/>
      </c>
      <c r="N429" s="7" t="str" cm="1">
        <f t="array" ref="N429">IFERROR(IF(A430&lt;&gt;A429,_xlfn.STDEV.P(IF(A$9:A429=A429,T$9:T429)),""),"")</f>
        <v/>
      </c>
      <c r="O429" s="7" t="str" cm="1">
        <f t="array" ref="O429">IFERROR(IF(A430&lt;&gt;A429,_xlfn.STDEV.P(IF(A$9:A429=A429,S$9:S429)),""),"")</f>
        <v/>
      </c>
      <c r="P429" s="8" t="str">
        <f t="shared" si="141"/>
        <v/>
      </c>
      <c r="Q429" s="8" t="str">
        <f t="shared" si="142"/>
        <v/>
      </c>
      <c r="R429" s="8" t="str">
        <f t="shared" si="143"/>
        <v/>
      </c>
      <c r="S429" s="9" t="str">
        <f t="shared" si="144"/>
        <v/>
      </c>
      <c r="T429" s="9" t="str">
        <f t="shared" si="145"/>
        <v/>
      </c>
      <c r="U429" s="14"/>
      <c r="V429" s="15"/>
      <c r="W429" s="14" t="str">
        <f t="shared" si="146"/>
        <v/>
      </c>
      <c r="X429" s="15"/>
      <c r="Y429" s="2"/>
      <c r="AB429" s="22">
        <f t="shared" si="147"/>
        <v>1</v>
      </c>
      <c r="AC429" s="11"/>
      <c r="AD429" s="11"/>
      <c r="AE429" s="13"/>
      <c r="AF429" s="12"/>
      <c r="AG429" s="13"/>
      <c r="AH429" s="14"/>
      <c r="AI429" s="81" t="str">
        <f t="shared" si="148"/>
        <v/>
      </c>
      <c r="AJ429" s="15"/>
      <c r="AK429" s="6" t="e">
        <f t="shared" si="149"/>
        <v>#N/A</v>
      </c>
      <c r="AL429" s="6" t="str">
        <f>IF(AB430&lt;&gt;AB429,AVERAGEIF(AB$9:AB429,AB429,AK$9:AK429),"")</f>
        <v/>
      </c>
      <c r="AM429" s="7" t="str">
        <f>IFERROR(IF(AB430&lt;&gt;AB429,AVERAGEIF(AB$9:AB429,AB429,AT$9:AT429),""),"")</f>
        <v/>
      </c>
      <c r="AN429" s="7" t="str">
        <f>IFERROR(IF(AB430&lt;&gt;AB429,AVERAGEIF(AB$9:AB429,AB429,AU$9:AU429),""),"")</f>
        <v/>
      </c>
      <c r="AO429" s="7" t="str" cm="1">
        <f t="array" ref="AO429">IFERROR(IF(AB430&lt;&gt;AB429,_xlfn.STDEV.P(IF(AB$9:AB429=AB429,AU$9:AU429)),""),"")</f>
        <v/>
      </c>
      <c r="AP429" s="7" t="str" cm="1">
        <f t="array" ref="AP429">IFERROR(IF(AB430&lt;&gt;AB429,_xlfn.STDEV.P(IF(AB$9:AB429=AB429,AT$9:AT429)),""),"")</f>
        <v/>
      </c>
      <c r="AQ429" s="8" t="str">
        <f t="shared" si="150"/>
        <v/>
      </c>
      <c r="AR429" s="8" t="str">
        <f t="shared" si="151"/>
        <v/>
      </c>
      <c r="AS429" s="8" t="str">
        <f t="shared" si="152"/>
        <v/>
      </c>
      <c r="AT429" s="9" t="str">
        <f t="shared" si="153"/>
        <v/>
      </c>
      <c r="AU429" s="9" t="str">
        <f t="shared" si="154"/>
        <v/>
      </c>
      <c r="AV429" s="14"/>
      <c r="AW429" s="15"/>
      <c r="AX429" s="14" t="str">
        <f t="shared" si="155"/>
        <v/>
      </c>
      <c r="AY429" s="15"/>
      <c r="AZ429" s="23"/>
      <c r="EW429" t="s">
        <v>46</v>
      </c>
      <c r="EX429" s="33" t="s">
        <v>47</v>
      </c>
      <c r="EY429" s="33" t="s">
        <v>1110</v>
      </c>
      <c r="EZ429" s="33" t="s">
        <v>1111</v>
      </c>
      <c r="FA429" s="33" t="s">
        <v>343</v>
      </c>
      <c r="FB429" s="33" t="s">
        <v>1108</v>
      </c>
      <c r="FC429" s="33" t="s">
        <v>345</v>
      </c>
      <c r="FD429" s="33" t="s">
        <v>1108</v>
      </c>
      <c r="FE429" s="33">
        <v>2025</v>
      </c>
      <c r="FF429" s="33" t="s">
        <v>1109</v>
      </c>
      <c r="FG429" s="33" t="s">
        <v>386</v>
      </c>
      <c r="FH429" s="33" t="s">
        <v>387</v>
      </c>
      <c r="FI429" s="33" t="s">
        <v>407</v>
      </c>
      <c r="FJ429" t="s">
        <v>1109</v>
      </c>
      <c r="FM429" s="32" t="s">
        <v>1099</v>
      </c>
      <c r="FN429" t="s">
        <v>1100</v>
      </c>
      <c r="FO429" t="s">
        <v>1101</v>
      </c>
      <c r="FP429" t="str">
        <f t="shared" si="137"/>
        <v>B</v>
      </c>
      <c r="GV429" s="53">
        <v>423</v>
      </c>
    </row>
    <row r="430" spans="1:204" ht="15.5" x14ac:dyDescent="0.35">
      <c r="A430" s="95">
        <f t="shared" si="138"/>
        <v>1</v>
      </c>
      <c r="B430" s="11"/>
      <c r="C430" s="11"/>
      <c r="D430" s="92" t="str">
        <f>IFERROR(
IF(AND(OR(Planilla!B430="C",Planilla!B430="c"), VLOOKUP(E430,EX:FJ,13,0)="C"), "OK",IF(AND(OR(Planilla!B430="C",Planilla!B430="c"), OR(VLOOKUP(E430,EX:FJ,13,0)="B", VLOOKUP(E430,EX:FJ,13,0)="A")), "DEFICIT",IF(
AND(OR(Planilla!B430="B", Planilla!B430="BPAL"), VLOOKUP(E430,EX:FJ,13,0)="B"), "OK",IF(AND(OR(Planilla!B430="B", Planilla!B430="BPAL"), VLOOKUP(E430,EX:FJ,13,0)="A"), "DEFICIT",IF(AND(OR(Planilla!B430="B", Planilla!B430="BPAL"), VLOOKUP(E430,EX:FJ,13,0)="C"), "SOBREOFERTA",IF(AND(Planilla!B430="A", VLOOKUP(E430,EX:FJ,13,0)="A"), "OK",IF(
AND(Planilla!B430="A", OR(VLOOKUP(E430,EX:FJ,13,0)="B", VLOOKUP(E430,EX:FJ,13,0)="C")), "SOBREOFERTA",""
))))))),"")</f>
        <v/>
      </c>
      <c r="E430" s="12"/>
      <c r="F430" s="13"/>
      <c r="G430" s="14"/>
      <c r="H430" s="81" t="str">
        <f t="shared" si="139"/>
        <v/>
      </c>
      <c r="I430" s="7"/>
      <c r="J430" s="6" t="e">
        <f t="shared" si="140"/>
        <v>#N/A</v>
      </c>
      <c r="K430" s="6" t="str">
        <f>IF(A431&lt;&gt;A430,AVERAGEIF(A$9:A430,A430,J$9:J430),"")</f>
        <v/>
      </c>
      <c r="L430" s="7" t="str">
        <f>IFERROR(IF(A431&lt;&gt;A430,AVERAGEIF(A$9:A430,A430,S$9:S430),""),"")</f>
        <v/>
      </c>
      <c r="M430" s="7" t="str">
        <f>IFERROR(IF(A431&lt;&gt;A430,AVERAGEIF(A$9:A430,A430,T$9:T430),""),"")</f>
        <v/>
      </c>
      <c r="N430" s="7" t="str" cm="1">
        <f t="array" ref="N430">IFERROR(IF(A431&lt;&gt;A430,_xlfn.STDEV.P(IF(A$9:A430=A430,T$9:T430)),""),"")</f>
        <v/>
      </c>
      <c r="O430" s="7" t="str" cm="1">
        <f t="array" ref="O430">IFERROR(IF(A431&lt;&gt;A430,_xlfn.STDEV.P(IF(A$9:A430=A430,S$9:S430)),""),"")</f>
        <v/>
      </c>
      <c r="P430" s="8" t="str">
        <f t="shared" si="141"/>
        <v/>
      </c>
      <c r="Q430" s="8" t="str">
        <f t="shared" si="142"/>
        <v/>
      </c>
      <c r="R430" s="8" t="str">
        <f t="shared" si="143"/>
        <v/>
      </c>
      <c r="S430" s="9" t="str">
        <f t="shared" si="144"/>
        <v/>
      </c>
      <c r="T430" s="9" t="str">
        <f t="shared" si="145"/>
        <v/>
      </c>
      <c r="U430" s="14"/>
      <c r="V430" s="15"/>
      <c r="W430" s="14" t="str">
        <f t="shared" si="146"/>
        <v/>
      </c>
      <c r="X430" s="15"/>
      <c r="Y430" s="2"/>
      <c r="AB430" s="22">
        <f t="shared" si="147"/>
        <v>1</v>
      </c>
      <c r="AC430" s="11"/>
      <c r="AD430" s="11"/>
      <c r="AE430" s="13"/>
      <c r="AF430" s="12"/>
      <c r="AG430" s="13"/>
      <c r="AH430" s="14"/>
      <c r="AI430" s="81" t="str">
        <f t="shared" si="148"/>
        <v/>
      </c>
      <c r="AJ430" s="15"/>
      <c r="AK430" s="6" t="e">
        <f t="shared" si="149"/>
        <v>#N/A</v>
      </c>
      <c r="AL430" s="6" t="str">
        <f>IF(AB431&lt;&gt;AB430,AVERAGEIF(AB$9:AB430,AB430,AK$9:AK430),"")</f>
        <v/>
      </c>
      <c r="AM430" s="7" t="str">
        <f>IFERROR(IF(AB431&lt;&gt;AB430,AVERAGEIF(AB$9:AB430,AB430,AT$9:AT430),""),"")</f>
        <v/>
      </c>
      <c r="AN430" s="7" t="str">
        <f>IFERROR(IF(AB431&lt;&gt;AB430,AVERAGEIF(AB$9:AB430,AB430,AU$9:AU430),""),"")</f>
        <v/>
      </c>
      <c r="AO430" s="7" t="str" cm="1">
        <f t="array" ref="AO430">IFERROR(IF(AB431&lt;&gt;AB430,_xlfn.STDEV.P(IF(AB$9:AB430=AB430,AU$9:AU430)),""),"")</f>
        <v/>
      </c>
      <c r="AP430" s="7" t="str" cm="1">
        <f t="array" ref="AP430">IFERROR(IF(AB431&lt;&gt;AB430,_xlfn.STDEV.P(IF(AB$9:AB430=AB430,AT$9:AT430)),""),"")</f>
        <v/>
      </c>
      <c r="AQ430" s="8" t="str">
        <f t="shared" si="150"/>
        <v/>
      </c>
      <c r="AR430" s="8" t="str">
        <f t="shared" si="151"/>
        <v/>
      </c>
      <c r="AS430" s="8" t="str">
        <f t="shared" si="152"/>
        <v/>
      </c>
      <c r="AT430" s="9" t="str">
        <f t="shared" si="153"/>
        <v/>
      </c>
      <c r="AU430" s="9" t="str">
        <f t="shared" si="154"/>
        <v/>
      </c>
      <c r="AV430" s="14"/>
      <c r="AW430" s="15"/>
      <c r="AX430" s="14" t="str">
        <f t="shared" si="155"/>
        <v/>
      </c>
      <c r="AY430" s="15"/>
      <c r="AZ430" s="23"/>
      <c r="EW430" t="s">
        <v>46</v>
      </c>
      <c r="EX430" s="33" t="s">
        <v>47</v>
      </c>
      <c r="EY430" s="33" t="s">
        <v>1112</v>
      </c>
      <c r="EZ430" s="33" t="s">
        <v>1113</v>
      </c>
      <c r="FA430" s="33" t="s">
        <v>343</v>
      </c>
      <c r="FB430" s="33" t="s">
        <v>1108</v>
      </c>
      <c r="FC430" s="33" t="s">
        <v>345</v>
      </c>
      <c r="FD430" s="33" t="s">
        <v>1108</v>
      </c>
      <c r="FE430" s="33">
        <v>2025</v>
      </c>
      <c r="FF430" s="33" t="s">
        <v>1109</v>
      </c>
      <c r="FG430" s="33" t="s">
        <v>386</v>
      </c>
      <c r="FH430" s="33" t="s">
        <v>387</v>
      </c>
      <c r="FI430" s="33" t="s">
        <v>407</v>
      </c>
      <c r="FJ430" t="s">
        <v>1109</v>
      </c>
      <c r="FM430" s="32" t="s">
        <v>1099</v>
      </c>
      <c r="FN430" t="s">
        <v>1100</v>
      </c>
      <c r="FO430" t="s">
        <v>1101</v>
      </c>
      <c r="FP430" t="str">
        <f t="shared" si="137"/>
        <v>B</v>
      </c>
      <c r="GV430" s="53">
        <v>424</v>
      </c>
    </row>
    <row r="431" spans="1:204" ht="15.5" x14ac:dyDescent="0.35">
      <c r="A431" s="95">
        <f t="shared" si="138"/>
        <v>1</v>
      </c>
      <c r="B431" s="11"/>
      <c r="C431" s="11"/>
      <c r="D431" s="92" t="str">
        <f>IFERROR(
IF(AND(OR(Planilla!B431="C",Planilla!B431="c"), VLOOKUP(E431,EX:FJ,13,0)="C"), "OK",IF(AND(OR(Planilla!B431="C",Planilla!B431="c"), OR(VLOOKUP(E431,EX:FJ,13,0)="B", VLOOKUP(E431,EX:FJ,13,0)="A")), "DEFICIT",IF(
AND(OR(Planilla!B431="B", Planilla!B431="BPAL"), VLOOKUP(E431,EX:FJ,13,0)="B"), "OK",IF(AND(OR(Planilla!B431="B", Planilla!B431="BPAL"), VLOOKUP(E431,EX:FJ,13,0)="A"), "DEFICIT",IF(AND(OR(Planilla!B431="B", Planilla!B431="BPAL"), VLOOKUP(E431,EX:FJ,13,0)="C"), "SOBREOFERTA",IF(AND(Planilla!B431="A", VLOOKUP(E431,EX:FJ,13,0)="A"), "OK",IF(
AND(Planilla!B431="A", OR(VLOOKUP(E431,EX:FJ,13,0)="B", VLOOKUP(E431,EX:FJ,13,0)="C")), "SOBREOFERTA",""
))))))),"")</f>
        <v/>
      </c>
      <c r="E431" s="12"/>
      <c r="F431" s="13"/>
      <c r="G431" s="14"/>
      <c r="H431" s="81" t="str">
        <f t="shared" si="139"/>
        <v/>
      </c>
      <c r="I431" s="7"/>
      <c r="J431" s="6" t="e">
        <f t="shared" si="140"/>
        <v>#N/A</v>
      </c>
      <c r="K431" s="6" t="str">
        <f>IF(A432&lt;&gt;A431,AVERAGEIF(A$9:A431,A431,J$9:J431),"")</f>
        <v/>
      </c>
      <c r="L431" s="7" t="str">
        <f>IFERROR(IF(A432&lt;&gt;A431,AVERAGEIF(A$9:A431,A431,S$9:S431),""),"")</f>
        <v/>
      </c>
      <c r="M431" s="7" t="str">
        <f>IFERROR(IF(A432&lt;&gt;A431,AVERAGEIF(A$9:A431,A431,T$9:T431),""),"")</f>
        <v/>
      </c>
      <c r="N431" s="7" t="str" cm="1">
        <f t="array" ref="N431">IFERROR(IF(A432&lt;&gt;A431,_xlfn.STDEV.P(IF(A$9:A431=A431,T$9:T431)),""),"")</f>
        <v/>
      </c>
      <c r="O431" s="7" t="str" cm="1">
        <f t="array" ref="O431">IFERROR(IF(A432&lt;&gt;A431,_xlfn.STDEV.P(IF(A$9:A431=A431,S$9:S431)),""),"")</f>
        <v/>
      </c>
      <c r="P431" s="8" t="str">
        <f t="shared" si="141"/>
        <v/>
      </c>
      <c r="Q431" s="8" t="str">
        <f t="shared" si="142"/>
        <v/>
      </c>
      <c r="R431" s="8" t="str">
        <f t="shared" si="143"/>
        <v/>
      </c>
      <c r="S431" s="9" t="str">
        <f t="shared" si="144"/>
        <v/>
      </c>
      <c r="T431" s="9" t="str">
        <f t="shared" si="145"/>
        <v/>
      </c>
      <c r="U431" s="14"/>
      <c r="V431" s="15"/>
      <c r="W431" s="14" t="str">
        <f t="shared" si="146"/>
        <v/>
      </c>
      <c r="X431" s="15"/>
      <c r="Y431" s="2"/>
      <c r="AB431" s="22">
        <f t="shared" si="147"/>
        <v>1</v>
      </c>
      <c r="AC431" s="11"/>
      <c r="AD431" s="11"/>
      <c r="AE431" s="13"/>
      <c r="AF431" s="12"/>
      <c r="AG431" s="13"/>
      <c r="AH431" s="14"/>
      <c r="AI431" s="81" t="str">
        <f t="shared" si="148"/>
        <v/>
      </c>
      <c r="AJ431" s="15"/>
      <c r="AK431" s="6" t="e">
        <f t="shared" si="149"/>
        <v>#N/A</v>
      </c>
      <c r="AL431" s="6" t="str">
        <f>IF(AB432&lt;&gt;AB431,AVERAGEIF(AB$9:AB431,AB431,AK$9:AK431),"")</f>
        <v/>
      </c>
      <c r="AM431" s="7" t="str">
        <f>IFERROR(IF(AB432&lt;&gt;AB431,AVERAGEIF(AB$9:AB431,AB431,AT$9:AT431),""),"")</f>
        <v/>
      </c>
      <c r="AN431" s="7" t="str">
        <f>IFERROR(IF(AB432&lt;&gt;AB431,AVERAGEIF(AB$9:AB431,AB431,AU$9:AU431),""),"")</f>
        <v/>
      </c>
      <c r="AO431" s="7" t="str" cm="1">
        <f t="array" ref="AO431">IFERROR(IF(AB432&lt;&gt;AB431,_xlfn.STDEV.P(IF(AB$9:AB431=AB431,AU$9:AU431)),""),"")</f>
        <v/>
      </c>
      <c r="AP431" s="7" t="str" cm="1">
        <f t="array" ref="AP431">IFERROR(IF(AB432&lt;&gt;AB431,_xlfn.STDEV.P(IF(AB$9:AB431=AB431,AT$9:AT431)),""),"")</f>
        <v/>
      </c>
      <c r="AQ431" s="8" t="str">
        <f t="shared" si="150"/>
        <v/>
      </c>
      <c r="AR431" s="8" t="str">
        <f t="shared" si="151"/>
        <v/>
      </c>
      <c r="AS431" s="8" t="str">
        <f t="shared" si="152"/>
        <v/>
      </c>
      <c r="AT431" s="9" t="str">
        <f t="shared" si="153"/>
        <v/>
      </c>
      <c r="AU431" s="9" t="str">
        <f t="shared" si="154"/>
        <v/>
      </c>
      <c r="AV431" s="14"/>
      <c r="AW431" s="15"/>
      <c r="AX431" s="14" t="str">
        <f t="shared" si="155"/>
        <v/>
      </c>
      <c r="AY431" s="15"/>
      <c r="AZ431" s="23"/>
      <c r="EW431" t="s">
        <v>46</v>
      </c>
      <c r="EX431" s="33" t="s">
        <v>47</v>
      </c>
      <c r="EY431" s="33" t="s">
        <v>1114</v>
      </c>
      <c r="EZ431" s="33" t="s">
        <v>1115</v>
      </c>
      <c r="FA431" s="33" t="s">
        <v>343</v>
      </c>
      <c r="FB431" s="33" t="s">
        <v>1108</v>
      </c>
      <c r="FC431" s="33" t="s">
        <v>345</v>
      </c>
      <c r="FD431" s="33" t="s">
        <v>1108</v>
      </c>
      <c r="FE431" s="33">
        <v>2025</v>
      </c>
      <c r="FF431" s="33" t="s">
        <v>1109</v>
      </c>
      <c r="FG431" s="33" t="s">
        <v>386</v>
      </c>
      <c r="FH431" s="33" t="s">
        <v>387</v>
      </c>
      <c r="FI431" s="33" t="s">
        <v>407</v>
      </c>
      <c r="FJ431" t="s">
        <v>1109</v>
      </c>
      <c r="FM431" s="32" t="s">
        <v>1099</v>
      </c>
      <c r="FN431" t="s">
        <v>1100</v>
      </c>
      <c r="FO431" t="s">
        <v>1101</v>
      </c>
      <c r="FP431" t="str">
        <f t="shared" si="137"/>
        <v>B</v>
      </c>
      <c r="GV431" s="53">
        <v>425</v>
      </c>
    </row>
    <row r="432" spans="1:204" ht="15.5" x14ac:dyDescent="0.35">
      <c r="A432" s="95">
        <f t="shared" si="138"/>
        <v>1</v>
      </c>
      <c r="B432" s="11"/>
      <c r="C432" s="11"/>
      <c r="D432" s="92" t="str">
        <f>IFERROR(
IF(AND(OR(Planilla!B432="C",Planilla!B432="c"), VLOOKUP(E432,EX:FJ,13,0)="C"), "OK",IF(AND(OR(Planilla!B432="C",Planilla!B432="c"), OR(VLOOKUP(E432,EX:FJ,13,0)="B", VLOOKUP(E432,EX:FJ,13,0)="A")), "DEFICIT",IF(
AND(OR(Planilla!B432="B", Planilla!B432="BPAL"), VLOOKUP(E432,EX:FJ,13,0)="B"), "OK",IF(AND(OR(Planilla!B432="B", Planilla!B432="BPAL"), VLOOKUP(E432,EX:FJ,13,0)="A"), "DEFICIT",IF(AND(OR(Planilla!B432="B", Planilla!B432="BPAL"), VLOOKUP(E432,EX:FJ,13,0)="C"), "SOBREOFERTA",IF(AND(Planilla!B432="A", VLOOKUP(E432,EX:FJ,13,0)="A"), "OK",IF(
AND(Planilla!B432="A", OR(VLOOKUP(E432,EX:FJ,13,0)="B", VLOOKUP(E432,EX:FJ,13,0)="C")), "SOBREOFERTA",""
))))))),"")</f>
        <v/>
      </c>
      <c r="E432" s="12"/>
      <c r="F432" s="13"/>
      <c r="G432" s="14"/>
      <c r="H432" s="81" t="str">
        <f t="shared" si="139"/>
        <v/>
      </c>
      <c r="I432" s="7"/>
      <c r="J432" s="6" t="e">
        <f t="shared" si="140"/>
        <v>#N/A</v>
      </c>
      <c r="K432" s="6" t="str">
        <f>IF(A433&lt;&gt;A432,AVERAGEIF(A$9:A432,A432,J$9:J432),"")</f>
        <v/>
      </c>
      <c r="L432" s="7" t="str">
        <f>IFERROR(IF(A433&lt;&gt;A432,AVERAGEIF(A$9:A432,A432,S$9:S432),""),"")</f>
        <v/>
      </c>
      <c r="M432" s="7" t="str">
        <f>IFERROR(IF(A433&lt;&gt;A432,AVERAGEIF(A$9:A432,A432,T$9:T432),""),"")</f>
        <v/>
      </c>
      <c r="N432" s="7" t="str" cm="1">
        <f t="array" ref="N432">IFERROR(IF(A433&lt;&gt;A432,_xlfn.STDEV.P(IF(A$9:A432=A432,T$9:T432)),""),"")</f>
        <v/>
      </c>
      <c r="O432" s="7" t="str" cm="1">
        <f t="array" ref="O432">IFERROR(IF(A433&lt;&gt;A432,_xlfn.STDEV.P(IF(A$9:A432=A432,S$9:S432)),""),"")</f>
        <v/>
      </c>
      <c r="P432" s="8" t="str">
        <f t="shared" si="141"/>
        <v/>
      </c>
      <c r="Q432" s="8" t="str">
        <f t="shared" si="142"/>
        <v/>
      </c>
      <c r="R432" s="8" t="str">
        <f t="shared" si="143"/>
        <v/>
      </c>
      <c r="S432" s="9" t="str">
        <f t="shared" si="144"/>
        <v/>
      </c>
      <c r="T432" s="9" t="str">
        <f t="shared" si="145"/>
        <v/>
      </c>
      <c r="U432" s="14"/>
      <c r="V432" s="15"/>
      <c r="W432" s="14" t="str">
        <f t="shared" si="146"/>
        <v/>
      </c>
      <c r="X432" s="15"/>
      <c r="Y432" s="2"/>
      <c r="AB432" s="22">
        <f t="shared" si="147"/>
        <v>1</v>
      </c>
      <c r="AC432" s="11"/>
      <c r="AD432" s="11"/>
      <c r="AE432" s="13"/>
      <c r="AF432" s="12"/>
      <c r="AG432" s="13"/>
      <c r="AH432" s="14"/>
      <c r="AI432" s="81" t="str">
        <f t="shared" si="148"/>
        <v/>
      </c>
      <c r="AJ432" s="15"/>
      <c r="AK432" s="6" t="e">
        <f t="shared" si="149"/>
        <v>#N/A</v>
      </c>
      <c r="AL432" s="6" t="str">
        <f>IF(AB433&lt;&gt;AB432,AVERAGEIF(AB$9:AB432,AB432,AK$9:AK432),"")</f>
        <v/>
      </c>
      <c r="AM432" s="7" t="str">
        <f>IFERROR(IF(AB433&lt;&gt;AB432,AVERAGEIF(AB$9:AB432,AB432,AT$9:AT432),""),"")</f>
        <v/>
      </c>
      <c r="AN432" s="7" t="str">
        <f>IFERROR(IF(AB433&lt;&gt;AB432,AVERAGEIF(AB$9:AB432,AB432,AU$9:AU432),""),"")</f>
        <v/>
      </c>
      <c r="AO432" s="7" t="str" cm="1">
        <f t="array" ref="AO432">IFERROR(IF(AB433&lt;&gt;AB432,_xlfn.STDEV.P(IF(AB$9:AB432=AB432,AU$9:AU432)),""),"")</f>
        <v/>
      </c>
      <c r="AP432" s="7" t="str" cm="1">
        <f t="array" ref="AP432">IFERROR(IF(AB433&lt;&gt;AB432,_xlfn.STDEV.P(IF(AB$9:AB432=AB432,AT$9:AT432)),""),"")</f>
        <v/>
      </c>
      <c r="AQ432" s="8" t="str">
        <f t="shared" si="150"/>
        <v/>
      </c>
      <c r="AR432" s="8" t="str">
        <f t="shared" si="151"/>
        <v/>
      </c>
      <c r="AS432" s="8" t="str">
        <f t="shared" si="152"/>
        <v/>
      </c>
      <c r="AT432" s="9" t="str">
        <f t="shared" si="153"/>
        <v/>
      </c>
      <c r="AU432" s="9" t="str">
        <f t="shared" si="154"/>
        <v/>
      </c>
      <c r="AV432" s="14"/>
      <c r="AW432" s="15"/>
      <c r="AX432" s="14" t="str">
        <f t="shared" si="155"/>
        <v/>
      </c>
      <c r="AY432" s="15"/>
      <c r="AZ432" s="23"/>
      <c r="EW432" t="s">
        <v>46</v>
      </c>
      <c r="EX432" s="33" t="s">
        <v>47</v>
      </c>
      <c r="EY432" s="33" t="s">
        <v>1116</v>
      </c>
      <c r="EZ432" s="33" t="s">
        <v>1117</v>
      </c>
      <c r="FA432" s="33" t="s">
        <v>343</v>
      </c>
      <c r="FB432" s="33" t="s">
        <v>1108</v>
      </c>
      <c r="FC432" s="33" t="s">
        <v>345</v>
      </c>
      <c r="FD432" s="33" t="s">
        <v>1108</v>
      </c>
      <c r="FE432" s="33">
        <v>2025</v>
      </c>
      <c r="FF432" s="33" t="s">
        <v>1109</v>
      </c>
      <c r="FG432" s="33" t="s">
        <v>386</v>
      </c>
      <c r="FH432" s="33" t="s">
        <v>387</v>
      </c>
      <c r="FI432" s="33" t="s">
        <v>407</v>
      </c>
      <c r="FJ432" t="s">
        <v>1109</v>
      </c>
      <c r="FM432" s="32" t="s">
        <v>1099</v>
      </c>
      <c r="FN432" t="s">
        <v>1100</v>
      </c>
      <c r="FO432" t="s">
        <v>1101</v>
      </c>
      <c r="FP432" t="str">
        <f t="shared" si="137"/>
        <v>B</v>
      </c>
      <c r="GV432" s="53">
        <v>426</v>
      </c>
    </row>
    <row r="433" spans="1:204" ht="15.5" x14ac:dyDescent="0.35">
      <c r="A433" s="95">
        <f t="shared" si="138"/>
        <v>1</v>
      </c>
      <c r="B433" s="11"/>
      <c r="C433" s="11"/>
      <c r="D433" s="92" t="str">
        <f>IFERROR(
IF(AND(OR(Planilla!B433="C",Planilla!B433="c"), VLOOKUP(E433,EX:FJ,13,0)="C"), "OK",IF(AND(OR(Planilla!B433="C",Planilla!B433="c"), OR(VLOOKUP(E433,EX:FJ,13,0)="B", VLOOKUP(E433,EX:FJ,13,0)="A")), "DEFICIT",IF(
AND(OR(Planilla!B433="B", Planilla!B433="BPAL"), VLOOKUP(E433,EX:FJ,13,0)="B"), "OK",IF(AND(OR(Planilla!B433="B", Planilla!B433="BPAL"), VLOOKUP(E433,EX:FJ,13,0)="A"), "DEFICIT",IF(AND(OR(Planilla!B433="B", Planilla!B433="BPAL"), VLOOKUP(E433,EX:FJ,13,0)="C"), "SOBREOFERTA",IF(AND(Planilla!B433="A", VLOOKUP(E433,EX:FJ,13,0)="A"), "OK",IF(
AND(Planilla!B433="A", OR(VLOOKUP(E433,EX:FJ,13,0)="B", VLOOKUP(E433,EX:FJ,13,0)="C")), "SOBREOFERTA",""
))))))),"")</f>
        <v/>
      </c>
      <c r="E433" s="12"/>
      <c r="F433" s="13"/>
      <c r="G433" s="14"/>
      <c r="H433" s="81" t="str">
        <f t="shared" si="139"/>
        <v/>
      </c>
      <c r="I433" s="7"/>
      <c r="J433" s="6" t="e">
        <f t="shared" si="140"/>
        <v>#N/A</v>
      </c>
      <c r="K433" s="6" t="str">
        <f>IF(A434&lt;&gt;A433,AVERAGEIF(A$9:A433,A433,J$9:J433),"")</f>
        <v/>
      </c>
      <c r="L433" s="7" t="str">
        <f>IFERROR(IF(A434&lt;&gt;A433,AVERAGEIF(A$9:A433,A433,S$9:S433),""),"")</f>
        <v/>
      </c>
      <c r="M433" s="7" t="str">
        <f>IFERROR(IF(A434&lt;&gt;A433,AVERAGEIF(A$9:A433,A433,T$9:T433),""),"")</f>
        <v/>
      </c>
      <c r="N433" s="7" t="str" cm="1">
        <f t="array" ref="N433">IFERROR(IF(A434&lt;&gt;A433,_xlfn.STDEV.P(IF(A$9:A433=A433,T$9:T433)),""),"")</f>
        <v/>
      </c>
      <c r="O433" s="7" t="str" cm="1">
        <f t="array" ref="O433">IFERROR(IF(A434&lt;&gt;A433,_xlfn.STDEV.P(IF(A$9:A433=A433,S$9:S433)),""),"")</f>
        <v/>
      </c>
      <c r="P433" s="8" t="str">
        <f t="shared" si="141"/>
        <v/>
      </c>
      <c r="Q433" s="8" t="str">
        <f t="shared" si="142"/>
        <v/>
      </c>
      <c r="R433" s="8" t="str">
        <f t="shared" si="143"/>
        <v/>
      </c>
      <c r="S433" s="9" t="str">
        <f t="shared" si="144"/>
        <v/>
      </c>
      <c r="T433" s="9" t="str">
        <f t="shared" si="145"/>
        <v/>
      </c>
      <c r="U433" s="14"/>
      <c r="V433" s="15"/>
      <c r="W433" s="14" t="str">
        <f t="shared" si="146"/>
        <v/>
      </c>
      <c r="X433" s="15"/>
      <c r="Y433" s="2"/>
      <c r="AB433" s="22">
        <f t="shared" si="147"/>
        <v>1</v>
      </c>
      <c r="AC433" s="11"/>
      <c r="AD433" s="11"/>
      <c r="AE433" s="13"/>
      <c r="AF433" s="12"/>
      <c r="AG433" s="13"/>
      <c r="AH433" s="14"/>
      <c r="AI433" s="81" t="str">
        <f t="shared" si="148"/>
        <v/>
      </c>
      <c r="AJ433" s="15"/>
      <c r="AK433" s="6" t="e">
        <f t="shared" si="149"/>
        <v>#N/A</v>
      </c>
      <c r="AL433" s="6" t="str">
        <f>IF(AB434&lt;&gt;AB433,AVERAGEIF(AB$9:AB433,AB433,AK$9:AK433),"")</f>
        <v/>
      </c>
      <c r="AM433" s="7" t="str">
        <f>IFERROR(IF(AB434&lt;&gt;AB433,AVERAGEIF(AB$9:AB433,AB433,AT$9:AT433),""),"")</f>
        <v/>
      </c>
      <c r="AN433" s="7" t="str">
        <f>IFERROR(IF(AB434&lt;&gt;AB433,AVERAGEIF(AB$9:AB433,AB433,AU$9:AU433),""),"")</f>
        <v/>
      </c>
      <c r="AO433" s="7" t="str" cm="1">
        <f t="array" ref="AO433">IFERROR(IF(AB434&lt;&gt;AB433,_xlfn.STDEV.P(IF(AB$9:AB433=AB433,AU$9:AU433)),""),"")</f>
        <v/>
      </c>
      <c r="AP433" s="7" t="str" cm="1">
        <f t="array" ref="AP433">IFERROR(IF(AB434&lt;&gt;AB433,_xlfn.STDEV.P(IF(AB$9:AB433=AB433,AT$9:AT433)),""),"")</f>
        <v/>
      </c>
      <c r="AQ433" s="8" t="str">
        <f t="shared" si="150"/>
        <v/>
      </c>
      <c r="AR433" s="8" t="str">
        <f t="shared" si="151"/>
        <v/>
      </c>
      <c r="AS433" s="8" t="str">
        <f t="shared" si="152"/>
        <v/>
      </c>
      <c r="AT433" s="9" t="str">
        <f t="shared" si="153"/>
        <v/>
      </c>
      <c r="AU433" s="9" t="str">
        <f t="shared" si="154"/>
        <v/>
      </c>
      <c r="AV433" s="14"/>
      <c r="AW433" s="15"/>
      <c r="AX433" s="14" t="str">
        <f t="shared" si="155"/>
        <v/>
      </c>
      <c r="AY433" s="15"/>
      <c r="AZ433" s="23"/>
      <c r="EW433" t="s">
        <v>46</v>
      </c>
      <c r="EX433" s="33" t="s">
        <v>47</v>
      </c>
      <c r="EY433" s="33" t="s">
        <v>1118</v>
      </c>
      <c r="EZ433" s="33" t="s">
        <v>1119</v>
      </c>
      <c r="FA433" s="33" t="s">
        <v>343</v>
      </c>
      <c r="FB433" s="33" t="s">
        <v>1108</v>
      </c>
      <c r="FC433" s="33" t="s">
        <v>345</v>
      </c>
      <c r="FD433" s="33" t="s">
        <v>1108</v>
      </c>
      <c r="FE433" s="33">
        <v>2025</v>
      </c>
      <c r="FF433" s="33" t="s">
        <v>1109</v>
      </c>
      <c r="FG433" s="33" t="s">
        <v>386</v>
      </c>
      <c r="FH433" s="33" t="s">
        <v>387</v>
      </c>
      <c r="FI433" s="33" t="s">
        <v>407</v>
      </c>
      <c r="FJ433" t="s">
        <v>1109</v>
      </c>
      <c r="FM433" s="32" t="s">
        <v>1120</v>
      </c>
      <c r="FN433" t="s">
        <v>1121</v>
      </c>
      <c r="FO433" t="s">
        <v>1122</v>
      </c>
      <c r="FP433" t="str">
        <f t="shared" si="137"/>
        <v>BPAL</v>
      </c>
      <c r="GV433" s="53">
        <v>427</v>
      </c>
    </row>
    <row r="434" spans="1:204" ht="15.5" x14ac:dyDescent="0.35">
      <c r="A434" s="95">
        <f t="shared" si="138"/>
        <v>1</v>
      </c>
      <c r="B434" s="11"/>
      <c r="C434" s="11"/>
      <c r="D434" s="92" t="str">
        <f>IFERROR(
IF(AND(OR(Planilla!B434="C",Planilla!B434="c"), VLOOKUP(E434,EX:FJ,13,0)="C"), "OK",IF(AND(OR(Planilla!B434="C",Planilla!B434="c"), OR(VLOOKUP(E434,EX:FJ,13,0)="B", VLOOKUP(E434,EX:FJ,13,0)="A")), "DEFICIT",IF(
AND(OR(Planilla!B434="B", Planilla!B434="BPAL"), VLOOKUP(E434,EX:FJ,13,0)="B"), "OK",IF(AND(OR(Planilla!B434="B", Planilla!B434="BPAL"), VLOOKUP(E434,EX:FJ,13,0)="A"), "DEFICIT",IF(AND(OR(Planilla!B434="B", Planilla!B434="BPAL"), VLOOKUP(E434,EX:FJ,13,0)="C"), "SOBREOFERTA",IF(AND(Planilla!B434="A", VLOOKUP(E434,EX:FJ,13,0)="A"), "OK",IF(
AND(Planilla!B434="A", OR(VLOOKUP(E434,EX:FJ,13,0)="B", VLOOKUP(E434,EX:FJ,13,0)="C")), "SOBREOFERTA",""
))))))),"")</f>
        <v/>
      </c>
      <c r="E434" s="12"/>
      <c r="F434" s="13"/>
      <c r="G434" s="14"/>
      <c r="H434" s="81" t="str">
        <f t="shared" si="139"/>
        <v/>
      </c>
      <c r="I434" s="7"/>
      <c r="J434" s="6" t="e">
        <f t="shared" si="140"/>
        <v>#N/A</v>
      </c>
      <c r="K434" s="6" t="str">
        <f>IF(A435&lt;&gt;A434,AVERAGEIF(A$9:A434,A434,J$9:J434),"")</f>
        <v/>
      </c>
      <c r="L434" s="7" t="str">
        <f>IFERROR(IF(A435&lt;&gt;A434,AVERAGEIF(A$9:A434,A434,S$9:S434),""),"")</f>
        <v/>
      </c>
      <c r="M434" s="7" t="str">
        <f>IFERROR(IF(A435&lt;&gt;A434,AVERAGEIF(A$9:A434,A434,T$9:T434),""),"")</f>
        <v/>
      </c>
      <c r="N434" s="7" t="str" cm="1">
        <f t="array" ref="N434">IFERROR(IF(A435&lt;&gt;A434,_xlfn.STDEV.P(IF(A$9:A434=A434,T$9:T434)),""),"")</f>
        <v/>
      </c>
      <c r="O434" s="7" t="str" cm="1">
        <f t="array" ref="O434">IFERROR(IF(A435&lt;&gt;A434,_xlfn.STDEV.P(IF(A$9:A434=A434,S$9:S434)),""),"")</f>
        <v/>
      </c>
      <c r="P434" s="8" t="str">
        <f t="shared" si="141"/>
        <v/>
      </c>
      <c r="Q434" s="8" t="str">
        <f t="shared" si="142"/>
        <v/>
      </c>
      <c r="R434" s="8" t="str">
        <f t="shared" si="143"/>
        <v/>
      </c>
      <c r="S434" s="9" t="str">
        <f t="shared" si="144"/>
        <v/>
      </c>
      <c r="T434" s="9" t="str">
        <f t="shared" si="145"/>
        <v/>
      </c>
      <c r="U434" s="14"/>
      <c r="V434" s="15"/>
      <c r="W434" s="14" t="str">
        <f t="shared" si="146"/>
        <v/>
      </c>
      <c r="X434" s="15"/>
      <c r="Y434" s="2"/>
      <c r="AB434" s="22">
        <f t="shared" si="147"/>
        <v>1</v>
      </c>
      <c r="AC434" s="11"/>
      <c r="AD434" s="11"/>
      <c r="AE434" s="13"/>
      <c r="AF434" s="12"/>
      <c r="AG434" s="13"/>
      <c r="AH434" s="14"/>
      <c r="AI434" s="81" t="str">
        <f t="shared" si="148"/>
        <v/>
      </c>
      <c r="AJ434" s="15"/>
      <c r="AK434" s="6" t="e">
        <f t="shared" si="149"/>
        <v>#N/A</v>
      </c>
      <c r="AL434" s="6" t="str">
        <f>IF(AB435&lt;&gt;AB434,AVERAGEIF(AB$9:AB434,AB434,AK$9:AK434),"")</f>
        <v/>
      </c>
      <c r="AM434" s="7" t="str">
        <f>IFERROR(IF(AB435&lt;&gt;AB434,AVERAGEIF(AB$9:AB434,AB434,AT$9:AT434),""),"")</f>
        <v/>
      </c>
      <c r="AN434" s="7" t="str">
        <f>IFERROR(IF(AB435&lt;&gt;AB434,AVERAGEIF(AB$9:AB434,AB434,AU$9:AU434),""),"")</f>
        <v/>
      </c>
      <c r="AO434" s="7" t="str" cm="1">
        <f t="array" ref="AO434">IFERROR(IF(AB435&lt;&gt;AB434,_xlfn.STDEV.P(IF(AB$9:AB434=AB434,AU$9:AU434)),""),"")</f>
        <v/>
      </c>
      <c r="AP434" s="7" t="str" cm="1">
        <f t="array" ref="AP434">IFERROR(IF(AB435&lt;&gt;AB434,_xlfn.STDEV.P(IF(AB$9:AB434=AB434,AT$9:AT434)),""),"")</f>
        <v/>
      </c>
      <c r="AQ434" s="8" t="str">
        <f t="shared" si="150"/>
        <v/>
      </c>
      <c r="AR434" s="8" t="str">
        <f t="shared" si="151"/>
        <v/>
      </c>
      <c r="AS434" s="8" t="str">
        <f t="shared" si="152"/>
        <v/>
      </c>
      <c r="AT434" s="9" t="str">
        <f t="shared" si="153"/>
        <v/>
      </c>
      <c r="AU434" s="9" t="str">
        <f t="shared" si="154"/>
        <v/>
      </c>
      <c r="AV434" s="14"/>
      <c r="AW434" s="15"/>
      <c r="AX434" s="14" t="str">
        <f t="shared" si="155"/>
        <v/>
      </c>
      <c r="AY434" s="15"/>
      <c r="AZ434" s="23"/>
      <c r="EW434" t="s">
        <v>46</v>
      </c>
      <c r="EX434" s="33" t="s">
        <v>47</v>
      </c>
      <c r="EY434" s="33" t="s">
        <v>1123</v>
      </c>
      <c r="EZ434" s="33" t="s">
        <v>1124</v>
      </c>
      <c r="FA434" s="33" t="s">
        <v>343</v>
      </c>
      <c r="FB434" s="33" t="s">
        <v>1108</v>
      </c>
      <c r="FC434" s="33" t="s">
        <v>345</v>
      </c>
      <c r="FD434" s="33" t="s">
        <v>1108</v>
      </c>
      <c r="FE434" s="33">
        <v>2025</v>
      </c>
      <c r="FF434" s="33" t="s">
        <v>1109</v>
      </c>
      <c r="FG434" s="33" t="s">
        <v>386</v>
      </c>
      <c r="FH434" s="33" t="s">
        <v>387</v>
      </c>
      <c r="FI434" s="33" t="s">
        <v>407</v>
      </c>
      <c r="FJ434" t="s">
        <v>1109</v>
      </c>
      <c r="FM434" s="32" t="s">
        <v>1125</v>
      </c>
      <c r="FN434" t="s">
        <v>1126</v>
      </c>
      <c r="FO434" t="s">
        <v>1127</v>
      </c>
      <c r="FP434" t="str">
        <f t="shared" si="137"/>
        <v>BPAL</v>
      </c>
      <c r="GV434" s="53">
        <v>428</v>
      </c>
    </row>
    <row r="435" spans="1:204" ht="15.5" x14ac:dyDescent="0.35">
      <c r="A435" s="95">
        <f t="shared" si="138"/>
        <v>1</v>
      </c>
      <c r="B435" s="11"/>
      <c r="C435" s="11"/>
      <c r="D435" s="92" t="str">
        <f>IFERROR(
IF(AND(OR(Planilla!B435="C",Planilla!B435="c"), VLOOKUP(E435,EX:FJ,13,0)="C"), "OK",IF(AND(OR(Planilla!B435="C",Planilla!B435="c"), OR(VLOOKUP(E435,EX:FJ,13,0)="B", VLOOKUP(E435,EX:FJ,13,0)="A")), "DEFICIT",IF(
AND(OR(Planilla!B435="B", Planilla!B435="BPAL"), VLOOKUP(E435,EX:FJ,13,0)="B"), "OK",IF(AND(OR(Planilla!B435="B", Planilla!B435="BPAL"), VLOOKUP(E435,EX:FJ,13,0)="A"), "DEFICIT",IF(AND(OR(Planilla!B435="B", Planilla!B435="BPAL"), VLOOKUP(E435,EX:FJ,13,0)="C"), "SOBREOFERTA",IF(AND(Planilla!B435="A", VLOOKUP(E435,EX:FJ,13,0)="A"), "OK",IF(
AND(Planilla!B435="A", OR(VLOOKUP(E435,EX:FJ,13,0)="B", VLOOKUP(E435,EX:FJ,13,0)="C")), "SOBREOFERTA",""
))))))),"")</f>
        <v/>
      </c>
      <c r="E435" s="12"/>
      <c r="F435" s="13"/>
      <c r="G435" s="14"/>
      <c r="H435" s="81" t="str">
        <f t="shared" si="139"/>
        <v/>
      </c>
      <c r="I435" s="7"/>
      <c r="J435" s="6" t="e">
        <f t="shared" si="140"/>
        <v>#N/A</v>
      </c>
      <c r="K435" s="6" t="str">
        <f>IF(A436&lt;&gt;A435,AVERAGEIF(A$9:A435,A435,J$9:J435),"")</f>
        <v/>
      </c>
      <c r="L435" s="7" t="str">
        <f>IFERROR(IF(A436&lt;&gt;A435,AVERAGEIF(A$9:A435,A435,S$9:S435),""),"")</f>
        <v/>
      </c>
      <c r="M435" s="7" t="str">
        <f>IFERROR(IF(A436&lt;&gt;A435,AVERAGEIF(A$9:A435,A435,T$9:T435),""),"")</f>
        <v/>
      </c>
      <c r="N435" s="7" t="str" cm="1">
        <f t="array" ref="N435">IFERROR(IF(A436&lt;&gt;A435,_xlfn.STDEV.P(IF(A$9:A435=A435,T$9:T435)),""),"")</f>
        <v/>
      </c>
      <c r="O435" s="7" t="str" cm="1">
        <f t="array" ref="O435">IFERROR(IF(A436&lt;&gt;A435,_xlfn.STDEV.P(IF(A$9:A435=A435,S$9:S435)),""),"")</f>
        <v/>
      </c>
      <c r="P435" s="8" t="str">
        <f t="shared" si="141"/>
        <v/>
      </c>
      <c r="Q435" s="8" t="str">
        <f t="shared" si="142"/>
        <v/>
      </c>
      <c r="R435" s="8" t="str">
        <f t="shared" si="143"/>
        <v/>
      </c>
      <c r="S435" s="9" t="str">
        <f t="shared" si="144"/>
        <v/>
      </c>
      <c r="T435" s="9" t="str">
        <f t="shared" si="145"/>
        <v/>
      </c>
      <c r="U435" s="14"/>
      <c r="V435" s="15"/>
      <c r="W435" s="14" t="str">
        <f t="shared" si="146"/>
        <v/>
      </c>
      <c r="X435" s="15"/>
      <c r="Y435" s="2"/>
      <c r="AB435" s="22">
        <f t="shared" si="147"/>
        <v>1</v>
      </c>
      <c r="AC435" s="11"/>
      <c r="AD435" s="11"/>
      <c r="AE435" s="13"/>
      <c r="AF435" s="12"/>
      <c r="AG435" s="13"/>
      <c r="AH435" s="14"/>
      <c r="AI435" s="81" t="str">
        <f t="shared" si="148"/>
        <v/>
      </c>
      <c r="AJ435" s="15"/>
      <c r="AK435" s="6" t="e">
        <f t="shared" si="149"/>
        <v>#N/A</v>
      </c>
      <c r="AL435" s="6" t="str">
        <f>IF(AB436&lt;&gt;AB435,AVERAGEIF(AB$9:AB435,AB435,AK$9:AK435),"")</f>
        <v/>
      </c>
      <c r="AM435" s="7" t="str">
        <f>IFERROR(IF(AB436&lt;&gt;AB435,AVERAGEIF(AB$9:AB435,AB435,AT$9:AT435),""),"")</f>
        <v/>
      </c>
      <c r="AN435" s="7" t="str">
        <f>IFERROR(IF(AB436&lt;&gt;AB435,AVERAGEIF(AB$9:AB435,AB435,AU$9:AU435),""),"")</f>
        <v/>
      </c>
      <c r="AO435" s="7" t="str" cm="1">
        <f t="array" ref="AO435">IFERROR(IF(AB436&lt;&gt;AB435,_xlfn.STDEV.P(IF(AB$9:AB435=AB435,AU$9:AU435)),""),"")</f>
        <v/>
      </c>
      <c r="AP435" s="7" t="str" cm="1">
        <f t="array" ref="AP435">IFERROR(IF(AB436&lt;&gt;AB435,_xlfn.STDEV.P(IF(AB$9:AB435=AB435,AT$9:AT435)),""),"")</f>
        <v/>
      </c>
      <c r="AQ435" s="8" t="str">
        <f t="shared" si="150"/>
        <v/>
      </c>
      <c r="AR435" s="8" t="str">
        <f t="shared" si="151"/>
        <v/>
      </c>
      <c r="AS435" s="8" t="str">
        <f t="shared" si="152"/>
        <v/>
      </c>
      <c r="AT435" s="9" t="str">
        <f t="shared" si="153"/>
        <v/>
      </c>
      <c r="AU435" s="9" t="str">
        <f t="shared" si="154"/>
        <v/>
      </c>
      <c r="AV435" s="14"/>
      <c r="AW435" s="15"/>
      <c r="AX435" s="14" t="str">
        <f t="shared" si="155"/>
        <v/>
      </c>
      <c r="AY435" s="15"/>
      <c r="AZ435" s="23"/>
      <c r="EW435" t="s">
        <v>46</v>
      </c>
      <c r="EX435" s="33" t="s">
        <v>47</v>
      </c>
      <c r="EY435" s="33" t="s">
        <v>1128</v>
      </c>
      <c r="EZ435" s="33" t="s">
        <v>1129</v>
      </c>
      <c r="FA435" s="33" t="s">
        <v>343</v>
      </c>
      <c r="FB435" s="33" t="s">
        <v>1108</v>
      </c>
      <c r="FC435" s="33" t="s">
        <v>345</v>
      </c>
      <c r="FD435" s="33" t="s">
        <v>1108</v>
      </c>
      <c r="FE435" s="33">
        <v>2025</v>
      </c>
      <c r="FF435" s="33" t="s">
        <v>1109</v>
      </c>
      <c r="FG435" s="33" t="s">
        <v>386</v>
      </c>
      <c r="FH435" s="33" t="s">
        <v>387</v>
      </c>
      <c r="FI435" s="33" t="s">
        <v>407</v>
      </c>
      <c r="FJ435" t="s">
        <v>1109</v>
      </c>
      <c r="FM435" s="32" t="s">
        <v>1125</v>
      </c>
      <c r="FN435" t="s">
        <v>1126</v>
      </c>
      <c r="FO435" t="s">
        <v>1127</v>
      </c>
      <c r="FP435" t="str">
        <f t="shared" si="137"/>
        <v>BPAL</v>
      </c>
      <c r="GV435" s="53">
        <v>429</v>
      </c>
    </row>
    <row r="436" spans="1:204" ht="15.5" x14ac:dyDescent="0.35">
      <c r="A436" s="95">
        <f t="shared" si="138"/>
        <v>1</v>
      </c>
      <c r="B436" s="11"/>
      <c r="C436" s="11"/>
      <c r="D436" s="92" t="str">
        <f>IFERROR(
IF(AND(OR(Planilla!B436="C",Planilla!B436="c"), VLOOKUP(E436,EX:FJ,13,0)="C"), "OK",IF(AND(OR(Planilla!B436="C",Planilla!B436="c"), OR(VLOOKUP(E436,EX:FJ,13,0)="B", VLOOKUP(E436,EX:FJ,13,0)="A")), "DEFICIT",IF(
AND(OR(Planilla!B436="B", Planilla!B436="BPAL"), VLOOKUP(E436,EX:FJ,13,0)="B"), "OK",IF(AND(OR(Planilla!B436="B", Planilla!B436="BPAL"), VLOOKUP(E436,EX:FJ,13,0)="A"), "DEFICIT",IF(AND(OR(Planilla!B436="B", Planilla!B436="BPAL"), VLOOKUP(E436,EX:FJ,13,0)="C"), "SOBREOFERTA",IF(AND(Planilla!B436="A", VLOOKUP(E436,EX:FJ,13,0)="A"), "OK",IF(
AND(Planilla!B436="A", OR(VLOOKUP(E436,EX:FJ,13,0)="B", VLOOKUP(E436,EX:FJ,13,0)="C")), "SOBREOFERTA",""
))))))),"")</f>
        <v/>
      </c>
      <c r="E436" s="12"/>
      <c r="F436" s="13"/>
      <c r="G436" s="14"/>
      <c r="H436" s="81" t="str">
        <f t="shared" si="139"/>
        <v/>
      </c>
      <c r="I436" s="7"/>
      <c r="J436" s="6" t="e">
        <f t="shared" si="140"/>
        <v>#N/A</v>
      </c>
      <c r="K436" s="6" t="str">
        <f>IF(A437&lt;&gt;A436,AVERAGEIF(A$9:A436,A436,J$9:J436),"")</f>
        <v/>
      </c>
      <c r="L436" s="7" t="str">
        <f>IFERROR(IF(A437&lt;&gt;A436,AVERAGEIF(A$9:A436,A436,S$9:S436),""),"")</f>
        <v/>
      </c>
      <c r="M436" s="7" t="str">
        <f>IFERROR(IF(A437&lt;&gt;A436,AVERAGEIF(A$9:A436,A436,T$9:T436),""),"")</f>
        <v/>
      </c>
      <c r="N436" s="7" t="str" cm="1">
        <f t="array" ref="N436">IFERROR(IF(A437&lt;&gt;A436,_xlfn.STDEV.P(IF(A$9:A436=A436,T$9:T436)),""),"")</f>
        <v/>
      </c>
      <c r="O436" s="7" t="str" cm="1">
        <f t="array" ref="O436">IFERROR(IF(A437&lt;&gt;A436,_xlfn.STDEV.P(IF(A$9:A436=A436,S$9:S436)),""),"")</f>
        <v/>
      </c>
      <c r="P436" s="8" t="str">
        <f t="shared" si="141"/>
        <v/>
      </c>
      <c r="Q436" s="8" t="str">
        <f t="shared" si="142"/>
        <v/>
      </c>
      <c r="R436" s="8" t="str">
        <f t="shared" si="143"/>
        <v/>
      </c>
      <c r="S436" s="9" t="str">
        <f t="shared" si="144"/>
        <v/>
      </c>
      <c r="T436" s="9" t="str">
        <f t="shared" si="145"/>
        <v/>
      </c>
      <c r="U436" s="14"/>
      <c r="V436" s="15"/>
      <c r="W436" s="14" t="str">
        <f t="shared" si="146"/>
        <v/>
      </c>
      <c r="X436" s="15"/>
      <c r="Y436" s="2"/>
      <c r="AB436" s="22">
        <f t="shared" si="147"/>
        <v>1</v>
      </c>
      <c r="AC436" s="11"/>
      <c r="AD436" s="11"/>
      <c r="AE436" s="13"/>
      <c r="AF436" s="12"/>
      <c r="AG436" s="13"/>
      <c r="AH436" s="14"/>
      <c r="AI436" s="81" t="str">
        <f t="shared" si="148"/>
        <v/>
      </c>
      <c r="AJ436" s="15"/>
      <c r="AK436" s="6" t="e">
        <f t="shared" si="149"/>
        <v>#N/A</v>
      </c>
      <c r="AL436" s="6" t="str">
        <f>IF(AB437&lt;&gt;AB436,AVERAGEIF(AB$9:AB436,AB436,AK$9:AK436),"")</f>
        <v/>
      </c>
      <c r="AM436" s="7" t="str">
        <f>IFERROR(IF(AB437&lt;&gt;AB436,AVERAGEIF(AB$9:AB436,AB436,AT$9:AT436),""),"")</f>
        <v/>
      </c>
      <c r="AN436" s="7" t="str">
        <f>IFERROR(IF(AB437&lt;&gt;AB436,AVERAGEIF(AB$9:AB436,AB436,AU$9:AU436),""),"")</f>
        <v/>
      </c>
      <c r="AO436" s="7" t="str" cm="1">
        <f t="array" ref="AO436">IFERROR(IF(AB437&lt;&gt;AB436,_xlfn.STDEV.P(IF(AB$9:AB436=AB436,AU$9:AU436)),""),"")</f>
        <v/>
      </c>
      <c r="AP436" s="7" t="str" cm="1">
        <f t="array" ref="AP436">IFERROR(IF(AB437&lt;&gt;AB436,_xlfn.STDEV.P(IF(AB$9:AB436=AB436,AT$9:AT436)),""),"")</f>
        <v/>
      </c>
      <c r="AQ436" s="8" t="str">
        <f t="shared" si="150"/>
        <v/>
      </c>
      <c r="AR436" s="8" t="str">
        <f t="shared" si="151"/>
        <v/>
      </c>
      <c r="AS436" s="8" t="str">
        <f t="shared" si="152"/>
        <v/>
      </c>
      <c r="AT436" s="9" t="str">
        <f t="shared" si="153"/>
        <v/>
      </c>
      <c r="AU436" s="9" t="str">
        <f t="shared" si="154"/>
        <v/>
      </c>
      <c r="AV436" s="14"/>
      <c r="AW436" s="15"/>
      <c r="AX436" s="14" t="str">
        <f t="shared" si="155"/>
        <v/>
      </c>
      <c r="AY436" s="15"/>
      <c r="AZ436" s="23"/>
      <c r="EW436" t="s">
        <v>46</v>
      </c>
      <c r="EX436" s="33" t="s">
        <v>47</v>
      </c>
      <c r="EY436" s="33" t="s">
        <v>1130</v>
      </c>
      <c r="EZ436" s="33" t="s">
        <v>1131</v>
      </c>
      <c r="FA436" s="33" t="s">
        <v>343</v>
      </c>
      <c r="FB436" s="33" t="s">
        <v>1108</v>
      </c>
      <c r="FC436" s="33" t="s">
        <v>345</v>
      </c>
      <c r="FD436" s="33" t="s">
        <v>1108</v>
      </c>
      <c r="FE436" s="33">
        <v>2025</v>
      </c>
      <c r="FF436" s="33" t="s">
        <v>1109</v>
      </c>
      <c r="FG436" s="33" t="s">
        <v>386</v>
      </c>
      <c r="FH436" s="33" t="s">
        <v>387</v>
      </c>
      <c r="FI436" s="33" t="s">
        <v>407</v>
      </c>
      <c r="FJ436" t="s">
        <v>1109</v>
      </c>
      <c r="FM436" s="32" t="s">
        <v>1132</v>
      </c>
      <c r="FN436" t="s">
        <v>1133</v>
      </c>
      <c r="FO436" t="s">
        <v>1134</v>
      </c>
      <c r="FP436" t="str">
        <f t="shared" si="137"/>
        <v>C</v>
      </c>
      <c r="GV436" s="53">
        <v>430</v>
      </c>
    </row>
    <row r="437" spans="1:204" ht="15.5" x14ac:dyDescent="0.35">
      <c r="A437" s="95">
        <f t="shared" si="138"/>
        <v>1</v>
      </c>
      <c r="B437" s="11"/>
      <c r="C437" s="11"/>
      <c r="D437" s="92" t="str">
        <f>IFERROR(
IF(AND(OR(Planilla!B437="C",Planilla!B437="c"), VLOOKUP(E437,EX:FJ,13,0)="C"), "OK",IF(AND(OR(Planilla!B437="C",Planilla!B437="c"), OR(VLOOKUP(E437,EX:FJ,13,0)="B", VLOOKUP(E437,EX:FJ,13,0)="A")), "DEFICIT",IF(
AND(OR(Planilla!B437="B", Planilla!B437="BPAL"), VLOOKUP(E437,EX:FJ,13,0)="B"), "OK",IF(AND(OR(Planilla!B437="B", Planilla!B437="BPAL"), VLOOKUP(E437,EX:FJ,13,0)="A"), "DEFICIT",IF(AND(OR(Planilla!B437="B", Planilla!B437="BPAL"), VLOOKUP(E437,EX:FJ,13,0)="C"), "SOBREOFERTA",IF(AND(Planilla!B437="A", VLOOKUP(E437,EX:FJ,13,0)="A"), "OK",IF(
AND(Planilla!B437="A", OR(VLOOKUP(E437,EX:FJ,13,0)="B", VLOOKUP(E437,EX:FJ,13,0)="C")), "SOBREOFERTA",""
))))))),"")</f>
        <v/>
      </c>
      <c r="E437" s="12"/>
      <c r="F437" s="13"/>
      <c r="G437" s="14"/>
      <c r="H437" s="81" t="str">
        <f t="shared" si="139"/>
        <v/>
      </c>
      <c r="I437" s="7"/>
      <c r="J437" s="6" t="e">
        <f t="shared" si="140"/>
        <v>#N/A</v>
      </c>
      <c r="K437" s="6" t="str">
        <f>IF(A438&lt;&gt;A437,AVERAGEIF(A$9:A437,A437,J$9:J437),"")</f>
        <v/>
      </c>
      <c r="L437" s="7" t="str">
        <f>IFERROR(IF(A438&lt;&gt;A437,AVERAGEIF(A$9:A437,A437,S$9:S437),""),"")</f>
        <v/>
      </c>
      <c r="M437" s="7" t="str">
        <f>IFERROR(IF(A438&lt;&gt;A437,AVERAGEIF(A$9:A437,A437,T$9:T437),""),"")</f>
        <v/>
      </c>
      <c r="N437" s="7" t="str" cm="1">
        <f t="array" ref="N437">IFERROR(IF(A438&lt;&gt;A437,_xlfn.STDEV.P(IF(A$9:A437=A437,T$9:T437)),""),"")</f>
        <v/>
      </c>
      <c r="O437" s="7" t="str" cm="1">
        <f t="array" ref="O437">IFERROR(IF(A438&lt;&gt;A437,_xlfn.STDEV.P(IF(A$9:A437=A437,S$9:S437)),""),"")</f>
        <v/>
      </c>
      <c r="P437" s="8" t="str">
        <f t="shared" si="141"/>
        <v/>
      </c>
      <c r="Q437" s="8" t="str">
        <f t="shared" si="142"/>
        <v/>
      </c>
      <c r="R437" s="8" t="str">
        <f t="shared" si="143"/>
        <v/>
      </c>
      <c r="S437" s="9" t="str">
        <f t="shared" si="144"/>
        <v/>
      </c>
      <c r="T437" s="9" t="str">
        <f t="shared" si="145"/>
        <v/>
      </c>
      <c r="U437" s="14"/>
      <c r="V437" s="15"/>
      <c r="W437" s="14" t="str">
        <f t="shared" si="146"/>
        <v/>
      </c>
      <c r="X437" s="15"/>
      <c r="Y437" s="2"/>
      <c r="AB437" s="22">
        <f t="shared" si="147"/>
        <v>1</v>
      </c>
      <c r="AC437" s="11"/>
      <c r="AD437" s="11"/>
      <c r="AE437" s="13"/>
      <c r="AF437" s="12"/>
      <c r="AG437" s="13"/>
      <c r="AH437" s="14"/>
      <c r="AI437" s="81" t="str">
        <f t="shared" si="148"/>
        <v/>
      </c>
      <c r="AJ437" s="15"/>
      <c r="AK437" s="6" t="e">
        <f t="shared" si="149"/>
        <v>#N/A</v>
      </c>
      <c r="AL437" s="6" t="str">
        <f>IF(AB438&lt;&gt;AB437,AVERAGEIF(AB$9:AB437,AB437,AK$9:AK437),"")</f>
        <v/>
      </c>
      <c r="AM437" s="7" t="str">
        <f>IFERROR(IF(AB438&lt;&gt;AB437,AVERAGEIF(AB$9:AB437,AB437,AT$9:AT437),""),"")</f>
        <v/>
      </c>
      <c r="AN437" s="7" t="str">
        <f>IFERROR(IF(AB438&lt;&gt;AB437,AVERAGEIF(AB$9:AB437,AB437,AU$9:AU437),""),"")</f>
        <v/>
      </c>
      <c r="AO437" s="7" t="str" cm="1">
        <f t="array" ref="AO437">IFERROR(IF(AB438&lt;&gt;AB437,_xlfn.STDEV.P(IF(AB$9:AB437=AB437,AU$9:AU437)),""),"")</f>
        <v/>
      </c>
      <c r="AP437" s="7" t="str" cm="1">
        <f t="array" ref="AP437">IFERROR(IF(AB438&lt;&gt;AB437,_xlfn.STDEV.P(IF(AB$9:AB437=AB437,AT$9:AT437)),""),"")</f>
        <v/>
      </c>
      <c r="AQ437" s="8" t="str">
        <f t="shared" si="150"/>
        <v/>
      </c>
      <c r="AR437" s="8" t="str">
        <f t="shared" si="151"/>
        <v/>
      </c>
      <c r="AS437" s="8" t="str">
        <f t="shared" si="152"/>
        <v/>
      </c>
      <c r="AT437" s="9" t="str">
        <f t="shared" si="153"/>
        <v/>
      </c>
      <c r="AU437" s="9" t="str">
        <f t="shared" si="154"/>
        <v/>
      </c>
      <c r="AV437" s="14"/>
      <c r="AW437" s="15"/>
      <c r="AX437" s="14" t="str">
        <f t="shared" si="155"/>
        <v/>
      </c>
      <c r="AY437" s="15"/>
      <c r="AZ437" s="23"/>
      <c r="EW437" t="s">
        <v>46</v>
      </c>
      <c r="EX437" s="33" t="s">
        <v>47</v>
      </c>
      <c r="EY437" s="33" t="s">
        <v>1135</v>
      </c>
      <c r="EZ437" s="33" t="s">
        <v>1136</v>
      </c>
      <c r="FA437" s="33" t="s">
        <v>343</v>
      </c>
      <c r="FB437" s="33" t="s">
        <v>1108</v>
      </c>
      <c r="FC437" s="33" t="s">
        <v>345</v>
      </c>
      <c r="FD437" s="33" t="s">
        <v>1108</v>
      </c>
      <c r="FE437" s="33">
        <v>2025</v>
      </c>
      <c r="FF437" s="33" t="s">
        <v>1109</v>
      </c>
      <c r="FG437" s="33" t="s">
        <v>386</v>
      </c>
      <c r="FH437" s="33" t="s">
        <v>387</v>
      </c>
      <c r="FI437" s="33" t="s">
        <v>407</v>
      </c>
      <c r="FJ437" t="s">
        <v>1109</v>
      </c>
      <c r="FM437" s="32" t="s">
        <v>1132</v>
      </c>
      <c r="FN437" t="s">
        <v>1133</v>
      </c>
      <c r="FO437" t="s">
        <v>1134</v>
      </c>
      <c r="FP437" t="str">
        <f t="shared" si="137"/>
        <v>C</v>
      </c>
      <c r="GV437" s="53">
        <v>431</v>
      </c>
    </row>
    <row r="438" spans="1:204" ht="15.5" x14ac:dyDescent="0.35">
      <c r="A438" s="95">
        <f t="shared" si="138"/>
        <v>1</v>
      </c>
      <c r="B438" s="11"/>
      <c r="C438" s="11"/>
      <c r="D438" s="92" t="str">
        <f>IFERROR(
IF(AND(OR(Planilla!B438="C",Planilla!B438="c"), VLOOKUP(E438,EX:FJ,13,0)="C"), "OK",IF(AND(OR(Planilla!B438="C",Planilla!B438="c"), OR(VLOOKUP(E438,EX:FJ,13,0)="B", VLOOKUP(E438,EX:FJ,13,0)="A")), "DEFICIT",IF(
AND(OR(Planilla!B438="B", Planilla!B438="BPAL"), VLOOKUP(E438,EX:FJ,13,0)="B"), "OK",IF(AND(OR(Planilla!B438="B", Planilla!B438="BPAL"), VLOOKUP(E438,EX:FJ,13,0)="A"), "DEFICIT",IF(AND(OR(Planilla!B438="B", Planilla!B438="BPAL"), VLOOKUP(E438,EX:FJ,13,0)="C"), "SOBREOFERTA",IF(AND(Planilla!B438="A", VLOOKUP(E438,EX:FJ,13,0)="A"), "OK",IF(
AND(Planilla!B438="A", OR(VLOOKUP(E438,EX:FJ,13,0)="B", VLOOKUP(E438,EX:FJ,13,0)="C")), "SOBREOFERTA",""
))))))),"")</f>
        <v/>
      </c>
      <c r="E438" s="12"/>
      <c r="F438" s="13"/>
      <c r="G438" s="14"/>
      <c r="H438" s="81" t="str">
        <f t="shared" si="139"/>
        <v/>
      </c>
      <c r="I438" s="7"/>
      <c r="J438" s="6" t="e">
        <f t="shared" si="140"/>
        <v>#N/A</v>
      </c>
      <c r="K438" s="6" t="str">
        <f>IF(A439&lt;&gt;A438,AVERAGEIF(A$9:A438,A438,J$9:J438),"")</f>
        <v/>
      </c>
      <c r="L438" s="7" t="str">
        <f>IFERROR(IF(A439&lt;&gt;A438,AVERAGEIF(A$9:A438,A438,S$9:S438),""),"")</f>
        <v/>
      </c>
      <c r="M438" s="7" t="str">
        <f>IFERROR(IF(A439&lt;&gt;A438,AVERAGEIF(A$9:A438,A438,T$9:T438),""),"")</f>
        <v/>
      </c>
      <c r="N438" s="7" t="str" cm="1">
        <f t="array" ref="N438">IFERROR(IF(A439&lt;&gt;A438,_xlfn.STDEV.P(IF(A$9:A438=A438,T$9:T438)),""),"")</f>
        <v/>
      </c>
      <c r="O438" s="7" t="str" cm="1">
        <f t="array" ref="O438">IFERROR(IF(A439&lt;&gt;A438,_xlfn.STDEV.P(IF(A$9:A438=A438,S$9:S438)),""),"")</f>
        <v/>
      </c>
      <c r="P438" s="8" t="str">
        <f t="shared" si="141"/>
        <v/>
      </c>
      <c r="Q438" s="8" t="str">
        <f t="shared" si="142"/>
        <v/>
      </c>
      <c r="R438" s="8" t="str">
        <f t="shared" si="143"/>
        <v/>
      </c>
      <c r="S438" s="9" t="str">
        <f t="shared" si="144"/>
        <v/>
      </c>
      <c r="T438" s="9" t="str">
        <f t="shared" si="145"/>
        <v/>
      </c>
      <c r="U438" s="14"/>
      <c r="V438" s="15"/>
      <c r="W438" s="14" t="str">
        <f t="shared" si="146"/>
        <v/>
      </c>
      <c r="X438" s="15"/>
      <c r="Y438" s="2"/>
      <c r="AB438" s="22">
        <f t="shared" si="147"/>
        <v>1</v>
      </c>
      <c r="AC438" s="11"/>
      <c r="AD438" s="11"/>
      <c r="AE438" s="13"/>
      <c r="AF438" s="12"/>
      <c r="AG438" s="13"/>
      <c r="AH438" s="14"/>
      <c r="AI438" s="81" t="str">
        <f t="shared" si="148"/>
        <v/>
      </c>
      <c r="AJ438" s="15"/>
      <c r="AK438" s="6" t="e">
        <f t="shared" si="149"/>
        <v>#N/A</v>
      </c>
      <c r="AL438" s="6" t="str">
        <f>IF(AB439&lt;&gt;AB438,AVERAGEIF(AB$9:AB438,AB438,AK$9:AK438),"")</f>
        <v/>
      </c>
      <c r="AM438" s="7" t="str">
        <f>IFERROR(IF(AB439&lt;&gt;AB438,AVERAGEIF(AB$9:AB438,AB438,AT$9:AT438),""),"")</f>
        <v/>
      </c>
      <c r="AN438" s="7" t="str">
        <f>IFERROR(IF(AB439&lt;&gt;AB438,AVERAGEIF(AB$9:AB438,AB438,AU$9:AU438),""),"")</f>
        <v/>
      </c>
      <c r="AO438" s="7" t="str" cm="1">
        <f t="array" ref="AO438">IFERROR(IF(AB439&lt;&gt;AB438,_xlfn.STDEV.P(IF(AB$9:AB438=AB438,AU$9:AU438)),""),"")</f>
        <v/>
      </c>
      <c r="AP438" s="7" t="str" cm="1">
        <f t="array" ref="AP438">IFERROR(IF(AB439&lt;&gt;AB438,_xlfn.STDEV.P(IF(AB$9:AB438=AB438,AT$9:AT438)),""),"")</f>
        <v/>
      </c>
      <c r="AQ438" s="8" t="str">
        <f t="shared" si="150"/>
        <v/>
      </c>
      <c r="AR438" s="8" t="str">
        <f t="shared" si="151"/>
        <v/>
      </c>
      <c r="AS438" s="8" t="str">
        <f t="shared" si="152"/>
        <v/>
      </c>
      <c r="AT438" s="9" t="str">
        <f t="shared" si="153"/>
        <v/>
      </c>
      <c r="AU438" s="9" t="str">
        <f t="shared" si="154"/>
        <v/>
      </c>
      <c r="AV438" s="14"/>
      <c r="AW438" s="15"/>
      <c r="AX438" s="14" t="str">
        <f t="shared" si="155"/>
        <v/>
      </c>
      <c r="AY438" s="15"/>
      <c r="AZ438" s="23"/>
      <c r="EW438" t="s">
        <v>46</v>
      </c>
      <c r="EX438" s="33" t="s">
        <v>47</v>
      </c>
      <c r="EY438" s="33" t="s">
        <v>1137</v>
      </c>
      <c r="EZ438" s="33" t="s">
        <v>1138</v>
      </c>
      <c r="FA438" s="33" t="s">
        <v>343</v>
      </c>
      <c r="FB438" s="33" t="s">
        <v>1108</v>
      </c>
      <c r="FC438" s="33" t="s">
        <v>345</v>
      </c>
      <c r="FD438" s="33" t="s">
        <v>1108</v>
      </c>
      <c r="FE438" s="33">
        <v>2025</v>
      </c>
      <c r="FF438" s="33" t="s">
        <v>1109</v>
      </c>
      <c r="FG438" s="33" t="s">
        <v>386</v>
      </c>
      <c r="FH438" s="33" t="s">
        <v>387</v>
      </c>
      <c r="FI438" s="33" t="s">
        <v>407</v>
      </c>
      <c r="FJ438" t="s">
        <v>1109</v>
      </c>
      <c r="FM438" s="32" t="s">
        <v>1132</v>
      </c>
      <c r="FN438" t="s">
        <v>1133</v>
      </c>
      <c r="FO438" t="s">
        <v>1134</v>
      </c>
      <c r="FP438" t="str">
        <f t="shared" si="137"/>
        <v>C</v>
      </c>
      <c r="GV438" s="53">
        <v>432</v>
      </c>
    </row>
    <row r="439" spans="1:204" ht="15.5" x14ac:dyDescent="0.35">
      <c r="A439" s="95">
        <f t="shared" si="138"/>
        <v>1</v>
      </c>
      <c r="B439" s="11"/>
      <c r="C439" s="11"/>
      <c r="D439" s="92" t="str">
        <f>IFERROR(
IF(AND(OR(Planilla!B439="C",Planilla!B439="c"), VLOOKUP(E439,EX:FJ,13,0)="C"), "OK",IF(AND(OR(Planilla!B439="C",Planilla!B439="c"), OR(VLOOKUP(E439,EX:FJ,13,0)="B", VLOOKUP(E439,EX:FJ,13,0)="A")), "DEFICIT",IF(
AND(OR(Planilla!B439="B", Planilla!B439="BPAL"), VLOOKUP(E439,EX:FJ,13,0)="B"), "OK",IF(AND(OR(Planilla!B439="B", Planilla!B439="BPAL"), VLOOKUP(E439,EX:FJ,13,0)="A"), "DEFICIT",IF(AND(OR(Planilla!B439="B", Planilla!B439="BPAL"), VLOOKUP(E439,EX:FJ,13,0)="C"), "SOBREOFERTA",IF(AND(Planilla!B439="A", VLOOKUP(E439,EX:FJ,13,0)="A"), "OK",IF(
AND(Planilla!B439="A", OR(VLOOKUP(E439,EX:FJ,13,0)="B", VLOOKUP(E439,EX:FJ,13,0)="C")), "SOBREOFERTA",""
))))))),"")</f>
        <v/>
      </c>
      <c r="E439" s="12"/>
      <c r="F439" s="13"/>
      <c r="G439" s="14"/>
      <c r="H439" s="81" t="str">
        <f t="shared" si="139"/>
        <v/>
      </c>
      <c r="I439" s="7"/>
      <c r="J439" s="6" t="e">
        <f t="shared" si="140"/>
        <v>#N/A</v>
      </c>
      <c r="K439" s="6" t="str">
        <f>IF(A440&lt;&gt;A439,AVERAGEIF(A$9:A439,A439,J$9:J439),"")</f>
        <v/>
      </c>
      <c r="L439" s="7" t="str">
        <f>IFERROR(IF(A440&lt;&gt;A439,AVERAGEIF(A$9:A439,A439,S$9:S439),""),"")</f>
        <v/>
      </c>
      <c r="M439" s="7" t="str">
        <f>IFERROR(IF(A440&lt;&gt;A439,AVERAGEIF(A$9:A439,A439,T$9:T439),""),"")</f>
        <v/>
      </c>
      <c r="N439" s="7" t="str" cm="1">
        <f t="array" ref="N439">IFERROR(IF(A440&lt;&gt;A439,_xlfn.STDEV.P(IF(A$9:A439=A439,T$9:T439)),""),"")</f>
        <v/>
      </c>
      <c r="O439" s="7" t="str" cm="1">
        <f t="array" ref="O439">IFERROR(IF(A440&lt;&gt;A439,_xlfn.STDEV.P(IF(A$9:A439=A439,S$9:S439)),""),"")</f>
        <v/>
      </c>
      <c r="P439" s="8" t="str">
        <f t="shared" si="141"/>
        <v/>
      </c>
      <c r="Q439" s="8" t="str">
        <f t="shared" si="142"/>
        <v/>
      </c>
      <c r="R439" s="8" t="str">
        <f t="shared" si="143"/>
        <v/>
      </c>
      <c r="S439" s="9" t="str">
        <f t="shared" si="144"/>
        <v/>
      </c>
      <c r="T439" s="9" t="str">
        <f t="shared" si="145"/>
        <v/>
      </c>
      <c r="U439" s="14"/>
      <c r="V439" s="15"/>
      <c r="W439" s="14" t="str">
        <f t="shared" si="146"/>
        <v/>
      </c>
      <c r="X439" s="15"/>
      <c r="Y439" s="2"/>
      <c r="AB439" s="22">
        <f t="shared" si="147"/>
        <v>1</v>
      </c>
      <c r="AC439" s="11"/>
      <c r="AD439" s="11"/>
      <c r="AE439" s="13"/>
      <c r="AF439" s="12"/>
      <c r="AG439" s="13"/>
      <c r="AH439" s="14"/>
      <c r="AI439" s="81" t="str">
        <f t="shared" si="148"/>
        <v/>
      </c>
      <c r="AJ439" s="15"/>
      <c r="AK439" s="6" t="e">
        <f t="shared" si="149"/>
        <v>#N/A</v>
      </c>
      <c r="AL439" s="6" t="str">
        <f>IF(AB440&lt;&gt;AB439,AVERAGEIF(AB$9:AB439,AB439,AK$9:AK439),"")</f>
        <v/>
      </c>
      <c r="AM439" s="7" t="str">
        <f>IFERROR(IF(AB440&lt;&gt;AB439,AVERAGEIF(AB$9:AB439,AB439,AT$9:AT439),""),"")</f>
        <v/>
      </c>
      <c r="AN439" s="7" t="str">
        <f>IFERROR(IF(AB440&lt;&gt;AB439,AVERAGEIF(AB$9:AB439,AB439,AU$9:AU439),""),"")</f>
        <v/>
      </c>
      <c r="AO439" s="7" t="str" cm="1">
        <f t="array" ref="AO439">IFERROR(IF(AB440&lt;&gt;AB439,_xlfn.STDEV.P(IF(AB$9:AB439=AB439,AU$9:AU439)),""),"")</f>
        <v/>
      </c>
      <c r="AP439" s="7" t="str" cm="1">
        <f t="array" ref="AP439">IFERROR(IF(AB440&lt;&gt;AB439,_xlfn.STDEV.P(IF(AB$9:AB439=AB439,AT$9:AT439)),""),"")</f>
        <v/>
      </c>
      <c r="AQ439" s="8" t="str">
        <f t="shared" si="150"/>
        <v/>
      </c>
      <c r="AR439" s="8" t="str">
        <f t="shared" si="151"/>
        <v/>
      </c>
      <c r="AS439" s="8" t="str">
        <f t="shared" si="152"/>
        <v/>
      </c>
      <c r="AT439" s="9" t="str">
        <f t="shared" si="153"/>
        <v/>
      </c>
      <c r="AU439" s="9" t="str">
        <f t="shared" si="154"/>
        <v/>
      </c>
      <c r="AV439" s="14"/>
      <c r="AW439" s="15"/>
      <c r="AX439" s="14" t="str">
        <f t="shared" si="155"/>
        <v/>
      </c>
      <c r="AY439" s="15"/>
      <c r="AZ439" s="23"/>
      <c r="EW439" t="s">
        <v>46</v>
      </c>
      <c r="EX439" s="33" t="s">
        <v>47</v>
      </c>
      <c r="EY439" s="33" t="s">
        <v>1139</v>
      </c>
      <c r="EZ439" s="33" t="s">
        <v>1140</v>
      </c>
      <c r="FA439" s="33" t="s">
        <v>343</v>
      </c>
      <c r="FB439" s="33" t="s">
        <v>1108</v>
      </c>
      <c r="FC439" s="33" t="s">
        <v>345</v>
      </c>
      <c r="FD439" s="33" t="s">
        <v>1108</v>
      </c>
      <c r="FE439" s="33">
        <v>2025</v>
      </c>
      <c r="FF439" s="33" t="s">
        <v>1109</v>
      </c>
      <c r="FG439" s="33" t="s">
        <v>386</v>
      </c>
      <c r="FH439" s="33" t="s">
        <v>387</v>
      </c>
      <c r="FI439" s="33" t="s">
        <v>407</v>
      </c>
      <c r="FJ439" t="s">
        <v>1109</v>
      </c>
      <c r="FM439" s="32" t="s">
        <v>1132</v>
      </c>
      <c r="FN439" t="s">
        <v>1133</v>
      </c>
      <c r="FO439" t="s">
        <v>1134</v>
      </c>
      <c r="FP439" t="str">
        <f t="shared" si="137"/>
        <v>C</v>
      </c>
      <c r="GV439" s="53">
        <v>433</v>
      </c>
    </row>
    <row r="440" spans="1:204" ht="15.5" x14ac:dyDescent="0.35">
      <c r="A440" s="95">
        <f t="shared" si="138"/>
        <v>1</v>
      </c>
      <c r="B440" s="11"/>
      <c r="C440" s="11"/>
      <c r="D440" s="92" t="str">
        <f>IFERROR(
IF(AND(OR(Planilla!B440="C",Planilla!B440="c"), VLOOKUP(E440,EX:FJ,13,0)="C"), "OK",IF(AND(OR(Planilla!B440="C",Planilla!B440="c"), OR(VLOOKUP(E440,EX:FJ,13,0)="B", VLOOKUP(E440,EX:FJ,13,0)="A")), "DEFICIT",IF(
AND(OR(Planilla!B440="B", Planilla!B440="BPAL"), VLOOKUP(E440,EX:FJ,13,0)="B"), "OK",IF(AND(OR(Planilla!B440="B", Planilla!B440="BPAL"), VLOOKUP(E440,EX:FJ,13,0)="A"), "DEFICIT",IF(AND(OR(Planilla!B440="B", Planilla!B440="BPAL"), VLOOKUP(E440,EX:FJ,13,0)="C"), "SOBREOFERTA",IF(AND(Planilla!B440="A", VLOOKUP(E440,EX:FJ,13,0)="A"), "OK",IF(
AND(Planilla!B440="A", OR(VLOOKUP(E440,EX:FJ,13,0)="B", VLOOKUP(E440,EX:FJ,13,0)="C")), "SOBREOFERTA",""
))))))),"")</f>
        <v/>
      </c>
      <c r="E440" s="12"/>
      <c r="F440" s="13"/>
      <c r="G440" s="14"/>
      <c r="H440" s="81" t="str">
        <f t="shared" si="139"/>
        <v/>
      </c>
      <c r="I440" s="7"/>
      <c r="J440" s="6" t="e">
        <f t="shared" si="140"/>
        <v>#N/A</v>
      </c>
      <c r="K440" s="6" t="str">
        <f>IF(A441&lt;&gt;A440,AVERAGEIF(A$9:A440,A440,J$9:J440),"")</f>
        <v/>
      </c>
      <c r="L440" s="7" t="str">
        <f>IFERROR(IF(A441&lt;&gt;A440,AVERAGEIF(A$9:A440,A440,S$9:S440),""),"")</f>
        <v/>
      </c>
      <c r="M440" s="7" t="str">
        <f>IFERROR(IF(A441&lt;&gt;A440,AVERAGEIF(A$9:A440,A440,T$9:T440),""),"")</f>
        <v/>
      </c>
      <c r="N440" s="7" t="str" cm="1">
        <f t="array" ref="N440">IFERROR(IF(A441&lt;&gt;A440,_xlfn.STDEV.P(IF(A$9:A440=A440,T$9:T440)),""),"")</f>
        <v/>
      </c>
      <c r="O440" s="7" t="str" cm="1">
        <f t="array" ref="O440">IFERROR(IF(A441&lt;&gt;A440,_xlfn.STDEV.P(IF(A$9:A440=A440,S$9:S440)),""),"")</f>
        <v/>
      </c>
      <c r="P440" s="8" t="str">
        <f t="shared" si="141"/>
        <v/>
      </c>
      <c r="Q440" s="8" t="str">
        <f t="shared" si="142"/>
        <v/>
      </c>
      <c r="R440" s="8" t="str">
        <f t="shared" si="143"/>
        <v/>
      </c>
      <c r="S440" s="9" t="str">
        <f t="shared" si="144"/>
        <v/>
      </c>
      <c r="T440" s="9" t="str">
        <f t="shared" si="145"/>
        <v/>
      </c>
      <c r="U440" s="14"/>
      <c r="V440" s="15"/>
      <c r="W440" s="14" t="str">
        <f t="shared" si="146"/>
        <v/>
      </c>
      <c r="X440" s="15"/>
      <c r="Y440" s="2"/>
      <c r="AB440" s="22">
        <f t="shared" si="147"/>
        <v>1</v>
      </c>
      <c r="AC440" s="11"/>
      <c r="AD440" s="11"/>
      <c r="AE440" s="13"/>
      <c r="AF440" s="12"/>
      <c r="AG440" s="13"/>
      <c r="AH440" s="14"/>
      <c r="AI440" s="81" t="str">
        <f t="shared" si="148"/>
        <v/>
      </c>
      <c r="AJ440" s="15"/>
      <c r="AK440" s="6" t="e">
        <f t="shared" si="149"/>
        <v>#N/A</v>
      </c>
      <c r="AL440" s="6" t="str">
        <f>IF(AB441&lt;&gt;AB440,AVERAGEIF(AB$9:AB440,AB440,AK$9:AK440),"")</f>
        <v/>
      </c>
      <c r="AM440" s="7" t="str">
        <f>IFERROR(IF(AB441&lt;&gt;AB440,AVERAGEIF(AB$9:AB440,AB440,AT$9:AT440),""),"")</f>
        <v/>
      </c>
      <c r="AN440" s="7" t="str">
        <f>IFERROR(IF(AB441&lt;&gt;AB440,AVERAGEIF(AB$9:AB440,AB440,AU$9:AU440),""),"")</f>
        <v/>
      </c>
      <c r="AO440" s="7" t="str" cm="1">
        <f t="array" ref="AO440">IFERROR(IF(AB441&lt;&gt;AB440,_xlfn.STDEV.P(IF(AB$9:AB440=AB440,AU$9:AU440)),""),"")</f>
        <v/>
      </c>
      <c r="AP440" s="7" t="str" cm="1">
        <f t="array" ref="AP440">IFERROR(IF(AB441&lt;&gt;AB440,_xlfn.STDEV.P(IF(AB$9:AB440=AB440,AT$9:AT440)),""),"")</f>
        <v/>
      </c>
      <c r="AQ440" s="8" t="str">
        <f t="shared" si="150"/>
        <v/>
      </c>
      <c r="AR440" s="8" t="str">
        <f t="shared" si="151"/>
        <v/>
      </c>
      <c r="AS440" s="8" t="str">
        <f t="shared" si="152"/>
        <v/>
      </c>
      <c r="AT440" s="9" t="str">
        <f t="shared" si="153"/>
        <v/>
      </c>
      <c r="AU440" s="9" t="str">
        <f t="shared" si="154"/>
        <v/>
      </c>
      <c r="AV440" s="14"/>
      <c r="AW440" s="15"/>
      <c r="AX440" s="14" t="str">
        <f t="shared" si="155"/>
        <v/>
      </c>
      <c r="AY440" s="15"/>
      <c r="AZ440" s="23"/>
      <c r="EW440" t="s">
        <v>46</v>
      </c>
      <c r="EX440" s="33" t="s">
        <v>47</v>
      </c>
      <c r="EY440" s="33" t="s">
        <v>1141</v>
      </c>
      <c r="EZ440" s="33" t="s">
        <v>1142</v>
      </c>
      <c r="FA440" s="33" t="s">
        <v>343</v>
      </c>
      <c r="FB440" s="33" t="s">
        <v>1108</v>
      </c>
      <c r="FC440" s="33" t="s">
        <v>345</v>
      </c>
      <c r="FD440" s="33" t="s">
        <v>1108</v>
      </c>
      <c r="FE440" s="33">
        <v>2025</v>
      </c>
      <c r="FF440" s="33" t="s">
        <v>1109</v>
      </c>
      <c r="FG440" s="33" t="s">
        <v>386</v>
      </c>
      <c r="FH440" s="33" t="s">
        <v>387</v>
      </c>
      <c r="FI440" s="33" t="s">
        <v>407</v>
      </c>
      <c r="FJ440" t="s">
        <v>1109</v>
      </c>
      <c r="FM440" s="32" t="s">
        <v>1132</v>
      </c>
      <c r="FN440" t="s">
        <v>1133</v>
      </c>
      <c r="FO440" t="s">
        <v>1134</v>
      </c>
      <c r="FP440" t="str">
        <f t="shared" si="137"/>
        <v>C</v>
      </c>
      <c r="GV440" s="53">
        <v>434</v>
      </c>
    </row>
    <row r="441" spans="1:204" ht="15.5" x14ac:dyDescent="0.35">
      <c r="A441" s="95">
        <f t="shared" si="138"/>
        <v>1</v>
      </c>
      <c r="B441" s="11"/>
      <c r="C441" s="11"/>
      <c r="D441" s="92" t="str">
        <f>IFERROR(
IF(AND(OR(Planilla!B441="C",Planilla!B441="c"), VLOOKUP(E441,EX:FJ,13,0)="C"), "OK",IF(AND(OR(Planilla!B441="C",Planilla!B441="c"), OR(VLOOKUP(E441,EX:FJ,13,0)="B", VLOOKUP(E441,EX:FJ,13,0)="A")), "DEFICIT",IF(
AND(OR(Planilla!B441="B", Planilla!B441="BPAL"), VLOOKUP(E441,EX:FJ,13,0)="B"), "OK",IF(AND(OR(Planilla!B441="B", Planilla!B441="BPAL"), VLOOKUP(E441,EX:FJ,13,0)="A"), "DEFICIT",IF(AND(OR(Planilla!B441="B", Planilla!B441="BPAL"), VLOOKUP(E441,EX:FJ,13,0)="C"), "SOBREOFERTA",IF(AND(Planilla!B441="A", VLOOKUP(E441,EX:FJ,13,0)="A"), "OK",IF(
AND(Planilla!B441="A", OR(VLOOKUP(E441,EX:FJ,13,0)="B", VLOOKUP(E441,EX:FJ,13,0)="C")), "SOBREOFERTA",""
))))))),"")</f>
        <v/>
      </c>
      <c r="E441" s="12"/>
      <c r="F441" s="13"/>
      <c r="G441" s="14"/>
      <c r="H441" s="81" t="str">
        <f t="shared" si="139"/>
        <v/>
      </c>
      <c r="I441" s="7"/>
      <c r="J441" s="6" t="e">
        <f t="shared" si="140"/>
        <v>#N/A</v>
      </c>
      <c r="K441" s="6" t="str">
        <f>IF(A442&lt;&gt;A441,AVERAGEIF(A$9:A441,A441,J$9:J441),"")</f>
        <v/>
      </c>
      <c r="L441" s="7" t="str">
        <f>IFERROR(IF(A442&lt;&gt;A441,AVERAGEIF(A$9:A441,A441,S$9:S441),""),"")</f>
        <v/>
      </c>
      <c r="M441" s="7" t="str">
        <f>IFERROR(IF(A442&lt;&gt;A441,AVERAGEIF(A$9:A441,A441,T$9:T441),""),"")</f>
        <v/>
      </c>
      <c r="N441" s="7" t="str" cm="1">
        <f t="array" ref="N441">IFERROR(IF(A442&lt;&gt;A441,_xlfn.STDEV.P(IF(A$9:A441=A441,T$9:T441)),""),"")</f>
        <v/>
      </c>
      <c r="O441" s="7" t="str" cm="1">
        <f t="array" ref="O441">IFERROR(IF(A442&lt;&gt;A441,_xlfn.STDEV.P(IF(A$9:A441=A441,S$9:S441)),""),"")</f>
        <v/>
      </c>
      <c r="P441" s="8" t="str">
        <f t="shared" si="141"/>
        <v/>
      </c>
      <c r="Q441" s="8" t="str">
        <f t="shared" si="142"/>
        <v/>
      </c>
      <c r="R441" s="8" t="str">
        <f t="shared" si="143"/>
        <v/>
      </c>
      <c r="S441" s="9" t="str">
        <f t="shared" si="144"/>
        <v/>
      </c>
      <c r="T441" s="9" t="str">
        <f t="shared" si="145"/>
        <v/>
      </c>
      <c r="U441" s="14"/>
      <c r="V441" s="15"/>
      <c r="W441" s="14" t="str">
        <f t="shared" si="146"/>
        <v/>
      </c>
      <c r="X441" s="15"/>
      <c r="Y441" s="2"/>
      <c r="AB441" s="22">
        <f t="shared" si="147"/>
        <v>1</v>
      </c>
      <c r="AC441" s="11"/>
      <c r="AD441" s="11"/>
      <c r="AE441" s="13"/>
      <c r="AF441" s="12"/>
      <c r="AG441" s="13"/>
      <c r="AH441" s="14"/>
      <c r="AI441" s="81" t="str">
        <f t="shared" si="148"/>
        <v/>
      </c>
      <c r="AJ441" s="15"/>
      <c r="AK441" s="6" t="e">
        <f t="shared" si="149"/>
        <v>#N/A</v>
      </c>
      <c r="AL441" s="6" t="str">
        <f>IF(AB442&lt;&gt;AB441,AVERAGEIF(AB$9:AB441,AB441,AK$9:AK441),"")</f>
        <v/>
      </c>
      <c r="AM441" s="7" t="str">
        <f>IFERROR(IF(AB442&lt;&gt;AB441,AVERAGEIF(AB$9:AB441,AB441,AT$9:AT441),""),"")</f>
        <v/>
      </c>
      <c r="AN441" s="7" t="str">
        <f>IFERROR(IF(AB442&lt;&gt;AB441,AVERAGEIF(AB$9:AB441,AB441,AU$9:AU441),""),"")</f>
        <v/>
      </c>
      <c r="AO441" s="7" t="str" cm="1">
        <f t="array" ref="AO441">IFERROR(IF(AB442&lt;&gt;AB441,_xlfn.STDEV.P(IF(AB$9:AB441=AB441,AU$9:AU441)),""),"")</f>
        <v/>
      </c>
      <c r="AP441" s="7" t="str" cm="1">
        <f t="array" ref="AP441">IFERROR(IF(AB442&lt;&gt;AB441,_xlfn.STDEV.P(IF(AB$9:AB441=AB441,AT$9:AT441)),""),"")</f>
        <v/>
      </c>
      <c r="AQ441" s="8" t="str">
        <f t="shared" si="150"/>
        <v/>
      </c>
      <c r="AR441" s="8" t="str">
        <f t="shared" si="151"/>
        <v/>
      </c>
      <c r="AS441" s="8" t="str">
        <f t="shared" si="152"/>
        <v/>
      </c>
      <c r="AT441" s="9" t="str">
        <f t="shared" si="153"/>
        <v/>
      </c>
      <c r="AU441" s="9" t="str">
        <f t="shared" si="154"/>
        <v/>
      </c>
      <c r="AV441" s="14"/>
      <c r="AW441" s="15"/>
      <c r="AX441" s="14" t="str">
        <f t="shared" si="155"/>
        <v/>
      </c>
      <c r="AY441" s="15"/>
      <c r="AZ441" s="23"/>
      <c r="EW441" t="s">
        <v>46</v>
      </c>
      <c r="EX441" s="33" t="s">
        <v>47</v>
      </c>
      <c r="EY441" s="33" t="s">
        <v>1143</v>
      </c>
      <c r="EZ441" s="33" t="s">
        <v>1144</v>
      </c>
      <c r="FA441" s="33" t="s">
        <v>343</v>
      </c>
      <c r="FB441" s="33" t="s">
        <v>1108</v>
      </c>
      <c r="FC441" s="33" t="s">
        <v>345</v>
      </c>
      <c r="FD441" s="33" t="s">
        <v>1108</v>
      </c>
      <c r="FE441" s="33">
        <v>2025</v>
      </c>
      <c r="FF441" s="33" t="s">
        <v>1109</v>
      </c>
      <c r="FG441" s="33" t="s">
        <v>386</v>
      </c>
      <c r="FH441" s="33" t="s">
        <v>387</v>
      </c>
      <c r="FI441" s="33" t="s">
        <v>407</v>
      </c>
      <c r="FJ441" t="s">
        <v>1109</v>
      </c>
      <c r="FM441" s="32" t="s">
        <v>1132</v>
      </c>
      <c r="FN441" t="s">
        <v>1133</v>
      </c>
      <c r="FO441" t="s">
        <v>1134</v>
      </c>
      <c r="FP441" t="str">
        <f t="shared" si="137"/>
        <v>C</v>
      </c>
      <c r="GV441" s="53">
        <v>435</v>
      </c>
    </row>
    <row r="442" spans="1:204" ht="15.5" x14ac:dyDescent="0.35">
      <c r="A442" s="95">
        <f t="shared" si="138"/>
        <v>1</v>
      </c>
      <c r="B442" s="11"/>
      <c r="C442" s="11"/>
      <c r="D442" s="92" t="str">
        <f>IFERROR(
IF(AND(OR(Planilla!B442="C",Planilla!B442="c"), VLOOKUP(E442,EX:FJ,13,0)="C"), "OK",IF(AND(OR(Planilla!B442="C",Planilla!B442="c"), OR(VLOOKUP(E442,EX:FJ,13,0)="B", VLOOKUP(E442,EX:FJ,13,0)="A")), "DEFICIT",IF(
AND(OR(Planilla!B442="B", Planilla!B442="BPAL"), VLOOKUP(E442,EX:FJ,13,0)="B"), "OK",IF(AND(OR(Planilla!B442="B", Planilla!B442="BPAL"), VLOOKUP(E442,EX:FJ,13,0)="A"), "DEFICIT",IF(AND(OR(Planilla!B442="B", Planilla!B442="BPAL"), VLOOKUP(E442,EX:FJ,13,0)="C"), "SOBREOFERTA",IF(AND(Planilla!B442="A", VLOOKUP(E442,EX:FJ,13,0)="A"), "OK",IF(
AND(Planilla!B442="A", OR(VLOOKUP(E442,EX:FJ,13,0)="B", VLOOKUP(E442,EX:FJ,13,0)="C")), "SOBREOFERTA",""
))))))),"")</f>
        <v/>
      </c>
      <c r="E442" s="12"/>
      <c r="F442" s="13"/>
      <c r="G442" s="14"/>
      <c r="H442" s="81" t="str">
        <f t="shared" si="139"/>
        <v/>
      </c>
      <c r="I442" s="7"/>
      <c r="J442" s="6" t="e">
        <f t="shared" si="140"/>
        <v>#N/A</v>
      </c>
      <c r="K442" s="6" t="str">
        <f>IF(A443&lt;&gt;A442,AVERAGEIF(A$9:A442,A442,J$9:J442),"")</f>
        <v/>
      </c>
      <c r="L442" s="7" t="str">
        <f>IFERROR(IF(A443&lt;&gt;A442,AVERAGEIF(A$9:A442,A442,S$9:S442),""),"")</f>
        <v/>
      </c>
      <c r="M442" s="7" t="str">
        <f>IFERROR(IF(A443&lt;&gt;A442,AVERAGEIF(A$9:A442,A442,T$9:T442),""),"")</f>
        <v/>
      </c>
      <c r="N442" s="7" t="str" cm="1">
        <f t="array" ref="N442">IFERROR(IF(A443&lt;&gt;A442,_xlfn.STDEV.P(IF(A$9:A442=A442,T$9:T442)),""),"")</f>
        <v/>
      </c>
      <c r="O442" s="7" t="str" cm="1">
        <f t="array" ref="O442">IFERROR(IF(A443&lt;&gt;A442,_xlfn.STDEV.P(IF(A$9:A442=A442,S$9:S442)),""),"")</f>
        <v/>
      </c>
      <c r="P442" s="8" t="str">
        <f t="shared" si="141"/>
        <v/>
      </c>
      <c r="Q442" s="8" t="str">
        <f t="shared" si="142"/>
        <v/>
      </c>
      <c r="R442" s="8" t="str">
        <f t="shared" si="143"/>
        <v/>
      </c>
      <c r="S442" s="9" t="str">
        <f t="shared" si="144"/>
        <v/>
      </c>
      <c r="T442" s="9" t="str">
        <f t="shared" si="145"/>
        <v/>
      </c>
      <c r="U442" s="14"/>
      <c r="V442" s="15"/>
      <c r="W442" s="14" t="str">
        <f t="shared" si="146"/>
        <v/>
      </c>
      <c r="X442" s="15"/>
      <c r="Y442" s="2"/>
      <c r="AB442" s="22">
        <f t="shared" si="147"/>
        <v>1</v>
      </c>
      <c r="AC442" s="11"/>
      <c r="AD442" s="11"/>
      <c r="AE442" s="13"/>
      <c r="AF442" s="12"/>
      <c r="AG442" s="13"/>
      <c r="AH442" s="14"/>
      <c r="AI442" s="81" t="str">
        <f t="shared" si="148"/>
        <v/>
      </c>
      <c r="AJ442" s="15"/>
      <c r="AK442" s="6" t="e">
        <f t="shared" si="149"/>
        <v>#N/A</v>
      </c>
      <c r="AL442" s="6" t="str">
        <f>IF(AB443&lt;&gt;AB442,AVERAGEIF(AB$9:AB442,AB442,AK$9:AK442),"")</f>
        <v/>
      </c>
      <c r="AM442" s="7" t="str">
        <f>IFERROR(IF(AB443&lt;&gt;AB442,AVERAGEIF(AB$9:AB442,AB442,AT$9:AT442),""),"")</f>
        <v/>
      </c>
      <c r="AN442" s="7" t="str">
        <f>IFERROR(IF(AB443&lt;&gt;AB442,AVERAGEIF(AB$9:AB442,AB442,AU$9:AU442),""),"")</f>
        <v/>
      </c>
      <c r="AO442" s="7" t="str" cm="1">
        <f t="array" ref="AO442">IFERROR(IF(AB443&lt;&gt;AB442,_xlfn.STDEV.P(IF(AB$9:AB442=AB442,AU$9:AU442)),""),"")</f>
        <v/>
      </c>
      <c r="AP442" s="7" t="str" cm="1">
        <f t="array" ref="AP442">IFERROR(IF(AB443&lt;&gt;AB442,_xlfn.STDEV.P(IF(AB$9:AB442=AB442,AT$9:AT442)),""),"")</f>
        <v/>
      </c>
      <c r="AQ442" s="8" t="str">
        <f t="shared" si="150"/>
        <v/>
      </c>
      <c r="AR442" s="8" t="str">
        <f t="shared" si="151"/>
        <v/>
      </c>
      <c r="AS442" s="8" t="str">
        <f t="shared" si="152"/>
        <v/>
      </c>
      <c r="AT442" s="9" t="str">
        <f t="shared" si="153"/>
        <v/>
      </c>
      <c r="AU442" s="9" t="str">
        <f t="shared" si="154"/>
        <v/>
      </c>
      <c r="AV442" s="14"/>
      <c r="AW442" s="15"/>
      <c r="AX442" s="14" t="str">
        <f t="shared" si="155"/>
        <v/>
      </c>
      <c r="AY442" s="15"/>
      <c r="AZ442" s="23"/>
      <c r="EW442" t="s">
        <v>46</v>
      </c>
      <c r="EX442" s="33" t="s">
        <v>47</v>
      </c>
      <c r="EY442" s="33" t="s">
        <v>1145</v>
      </c>
      <c r="EZ442" s="33" t="s">
        <v>1146</v>
      </c>
      <c r="FA442" s="33" t="s">
        <v>343</v>
      </c>
      <c r="FB442" s="33" t="s">
        <v>1108</v>
      </c>
      <c r="FC442" s="33" t="s">
        <v>345</v>
      </c>
      <c r="FD442" s="33" t="s">
        <v>1108</v>
      </c>
      <c r="FE442" s="33">
        <v>2025</v>
      </c>
      <c r="FF442" s="33" t="s">
        <v>1109</v>
      </c>
      <c r="FG442" s="33" t="s">
        <v>386</v>
      </c>
      <c r="FH442" s="33" t="s">
        <v>387</v>
      </c>
      <c r="FI442" s="33" t="s">
        <v>407</v>
      </c>
      <c r="FJ442" t="s">
        <v>1109</v>
      </c>
      <c r="FM442" s="32" t="s">
        <v>1132</v>
      </c>
      <c r="FN442" t="s">
        <v>1133</v>
      </c>
      <c r="FO442" t="s">
        <v>1134</v>
      </c>
      <c r="FP442" t="str">
        <f t="shared" si="137"/>
        <v>C</v>
      </c>
      <c r="GV442" s="53">
        <v>436</v>
      </c>
    </row>
    <row r="443" spans="1:204" ht="15.5" x14ac:dyDescent="0.35">
      <c r="A443" s="95">
        <f t="shared" si="138"/>
        <v>1</v>
      </c>
      <c r="B443" s="11"/>
      <c r="C443" s="11"/>
      <c r="D443" s="92" t="str">
        <f>IFERROR(
IF(AND(OR(Planilla!B443="C",Planilla!B443="c"), VLOOKUP(E443,EX:FJ,13,0)="C"), "OK",IF(AND(OR(Planilla!B443="C",Planilla!B443="c"), OR(VLOOKUP(E443,EX:FJ,13,0)="B", VLOOKUP(E443,EX:FJ,13,0)="A")), "DEFICIT",IF(
AND(OR(Planilla!B443="B", Planilla!B443="BPAL"), VLOOKUP(E443,EX:FJ,13,0)="B"), "OK",IF(AND(OR(Planilla!B443="B", Planilla!B443="BPAL"), VLOOKUP(E443,EX:FJ,13,0)="A"), "DEFICIT",IF(AND(OR(Planilla!B443="B", Planilla!B443="BPAL"), VLOOKUP(E443,EX:FJ,13,0)="C"), "SOBREOFERTA",IF(AND(Planilla!B443="A", VLOOKUP(E443,EX:FJ,13,0)="A"), "OK",IF(
AND(Planilla!B443="A", OR(VLOOKUP(E443,EX:FJ,13,0)="B", VLOOKUP(E443,EX:FJ,13,0)="C")), "SOBREOFERTA",""
))))))),"")</f>
        <v/>
      </c>
      <c r="E443" s="12"/>
      <c r="F443" s="13"/>
      <c r="G443" s="14"/>
      <c r="H443" s="81" t="str">
        <f t="shared" si="139"/>
        <v/>
      </c>
      <c r="I443" s="7"/>
      <c r="J443" s="6" t="e">
        <f t="shared" si="140"/>
        <v>#N/A</v>
      </c>
      <c r="K443" s="6" t="str">
        <f>IF(A444&lt;&gt;A443,AVERAGEIF(A$9:A443,A443,J$9:J443),"")</f>
        <v/>
      </c>
      <c r="L443" s="7" t="str">
        <f>IFERROR(IF(A444&lt;&gt;A443,AVERAGEIF(A$9:A443,A443,S$9:S443),""),"")</f>
        <v/>
      </c>
      <c r="M443" s="7" t="str">
        <f>IFERROR(IF(A444&lt;&gt;A443,AVERAGEIF(A$9:A443,A443,T$9:T443),""),"")</f>
        <v/>
      </c>
      <c r="N443" s="7" t="str" cm="1">
        <f t="array" ref="N443">IFERROR(IF(A444&lt;&gt;A443,_xlfn.STDEV.P(IF(A$9:A443=A443,T$9:T443)),""),"")</f>
        <v/>
      </c>
      <c r="O443" s="7" t="str" cm="1">
        <f t="array" ref="O443">IFERROR(IF(A444&lt;&gt;A443,_xlfn.STDEV.P(IF(A$9:A443=A443,S$9:S443)),""),"")</f>
        <v/>
      </c>
      <c r="P443" s="8" t="str">
        <f t="shared" si="141"/>
        <v/>
      </c>
      <c r="Q443" s="8" t="str">
        <f t="shared" si="142"/>
        <v/>
      </c>
      <c r="R443" s="8" t="str">
        <f t="shared" si="143"/>
        <v/>
      </c>
      <c r="S443" s="9" t="str">
        <f t="shared" si="144"/>
        <v/>
      </c>
      <c r="T443" s="9" t="str">
        <f t="shared" si="145"/>
        <v/>
      </c>
      <c r="U443" s="14"/>
      <c r="V443" s="15"/>
      <c r="W443" s="14" t="str">
        <f t="shared" si="146"/>
        <v/>
      </c>
      <c r="X443" s="15"/>
      <c r="Y443" s="2"/>
      <c r="AB443" s="22">
        <f t="shared" si="147"/>
        <v>1</v>
      </c>
      <c r="AC443" s="11"/>
      <c r="AD443" s="11"/>
      <c r="AE443" s="13"/>
      <c r="AF443" s="12"/>
      <c r="AG443" s="13"/>
      <c r="AH443" s="14"/>
      <c r="AI443" s="81" t="str">
        <f t="shared" si="148"/>
        <v/>
      </c>
      <c r="AJ443" s="15"/>
      <c r="AK443" s="6" t="e">
        <f t="shared" si="149"/>
        <v>#N/A</v>
      </c>
      <c r="AL443" s="6" t="str">
        <f>IF(AB444&lt;&gt;AB443,AVERAGEIF(AB$9:AB443,AB443,AK$9:AK443),"")</f>
        <v/>
      </c>
      <c r="AM443" s="7" t="str">
        <f>IFERROR(IF(AB444&lt;&gt;AB443,AVERAGEIF(AB$9:AB443,AB443,AT$9:AT443),""),"")</f>
        <v/>
      </c>
      <c r="AN443" s="7" t="str">
        <f>IFERROR(IF(AB444&lt;&gt;AB443,AVERAGEIF(AB$9:AB443,AB443,AU$9:AU443),""),"")</f>
        <v/>
      </c>
      <c r="AO443" s="7" t="str" cm="1">
        <f t="array" ref="AO443">IFERROR(IF(AB444&lt;&gt;AB443,_xlfn.STDEV.P(IF(AB$9:AB443=AB443,AU$9:AU443)),""),"")</f>
        <v/>
      </c>
      <c r="AP443" s="7" t="str" cm="1">
        <f t="array" ref="AP443">IFERROR(IF(AB444&lt;&gt;AB443,_xlfn.STDEV.P(IF(AB$9:AB443=AB443,AT$9:AT443)),""),"")</f>
        <v/>
      </c>
      <c r="AQ443" s="8" t="str">
        <f t="shared" si="150"/>
        <v/>
      </c>
      <c r="AR443" s="8" t="str">
        <f t="shared" si="151"/>
        <v/>
      </c>
      <c r="AS443" s="8" t="str">
        <f t="shared" si="152"/>
        <v/>
      </c>
      <c r="AT443" s="9" t="str">
        <f t="shared" si="153"/>
        <v/>
      </c>
      <c r="AU443" s="9" t="str">
        <f t="shared" si="154"/>
        <v/>
      </c>
      <c r="AV443" s="14"/>
      <c r="AW443" s="15"/>
      <c r="AX443" s="14" t="str">
        <f t="shared" si="155"/>
        <v/>
      </c>
      <c r="AY443" s="15"/>
      <c r="AZ443" s="23"/>
      <c r="EW443" t="s">
        <v>46</v>
      </c>
      <c r="EX443" s="33" t="s">
        <v>47</v>
      </c>
      <c r="EY443" s="33" t="s">
        <v>1147</v>
      </c>
      <c r="EZ443" s="33" t="s">
        <v>1148</v>
      </c>
      <c r="FA443" s="33" t="s">
        <v>343</v>
      </c>
      <c r="FB443" s="33" t="s">
        <v>1108</v>
      </c>
      <c r="FC443" s="33" t="s">
        <v>345</v>
      </c>
      <c r="FD443" s="33" t="s">
        <v>1108</v>
      </c>
      <c r="FE443" s="33">
        <v>2025</v>
      </c>
      <c r="FF443" s="33" t="s">
        <v>1109</v>
      </c>
      <c r="FG443" s="33" t="s">
        <v>386</v>
      </c>
      <c r="FH443" s="33" t="s">
        <v>387</v>
      </c>
      <c r="FI443" s="33" t="s">
        <v>407</v>
      </c>
      <c r="FJ443" t="s">
        <v>1109</v>
      </c>
      <c r="FM443" s="32" t="s">
        <v>1132</v>
      </c>
      <c r="FN443" t="s">
        <v>1133</v>
      </c>
      <c r="FO443" t="s">
        <v>1134</v>
      </c>
      <c r="FP443" t="str">
        <f t="shared" si="137"/>
        <v>C</v>
      </c>
      <c r="GV443" s="53">
        <v>437</v>
      </c>
    </row>
    <row r="444" spans="1:204" ht="15.5" x14ac:dyDescent="0.35">
      <c r="A444" s="95">
        <f t="shared" si="138"/>
        <v>1</v>
      </c>
      <c r="B444" s="11"/>
      <c r="C444" s="11"/>
      <c r="D444" s="92" t="str">
        <f>IFERROR(
IF(AND(OR(Planilla!B444="C",Planilla!B444="c"), VLOOKUP(E444,EX:FJ,13,0)="C"), "OK",IF(AND(OR(Planilla!B444="C",Planilla!B444="c"), OR(VLOOKUP(E444,EX:FJ,13,0)="B", VLOOKUP(E444,EX:FJ,13,0)="A")), "DEFICIT",IF(
AND(OR(Planilla!B444="B", Planilla!B444="BPAL"), VLOOKUP(E444,EX:FJ,13,0)="B"), "OK",IF(AND(OR(Planilla!B444="B", Planilla!B444="BPAL"), VLOOKUP(E444,EX:FJ,13,0)="A"), "DEFICIT",IF(AND(OR(Planilla!B444="B", Planilla!B444="BPAL"), VLOOKUP(E444,EX:FJ,13,0)="C"), "SOBREOFERTA",IF(AND(Planilla!B444="A", VLOOKUP(E444,EX:FJ,13,0)="A"), "OK",IF(
AND(Planilla!B444="A", OR(VLOOKUP(E444,EX:FJ,13,0)="B", VLOOKUP(E444,EX:FJ,13,0)="C")), "SOBREOFERTA",""
))))))),"")</f>
        <v/>
      </c>
      <c r="E444" s="12"/>
      <c r="F444" s="13"/>
      <c r="G444" s="14"/>
      <c r="H444" s="81" t="str">
        <f t="shared" si="139"/>
        <v/>
      </c>
      <c r="I444" s="7"/>
      <c r="J444" s="6" t="e">
        <f t="shared" si="140"/>
        <v>#N/A</v>
      </c>
      <c r="K444" s="6" t="str">
        <f>IF(A445&lt;&gt;A444,AVERAGEIF(A$9:A444,A444,J$9:J444),"")</f>
        <v/>
      </c>
      <c r="L444" s="7" t="str">
        <f>IFERROR(IF(A445&lt;&gt;A444,AVERAGEIF(A$9:A444,A444,S$9:S444),""),"")</f>
        <v/>
      </c>
      <c r="M444" s="7" t="str">
        <f>IFERROR(IF(A445&lt;&gt;A444,AVERAGEIF(A$9:A444,A444,T$9:T444),""),"")</f>
        <v/>
      </c>
      <c r="N444" s="7" t="str" cm="1">
        <f t="array" ref="N444">IFERROR(IF(A445&lt;&gt;A444,_xlfn.STDEV.P(IF(A$9:A444=A444,T$9:T444)),""),"")</f>
        <v/>
      </c>
      <c r="O444" s="7" t="str" cm="1">
        <f t="array" ref="O444">IFERROR(IF(A445&lt;&gt;A444,_xlfn.STDEV.P(IF(A$9:A444=A444,S$9:S444)),""),"")</f>
        <v/>
      </c>
      <c r="P444" s="8" t="str">
        <f t="shared" si="141"/>
        <v/>
      </c>
      <c r="Q444" s="8" t="str">
        <f t="shared" si="142"/>
        <v/>
      </c>
      <c r="R444" s="8" t="str">
        <f t="shared" si="143"/>
        <v/>
      </c>
      <c r="S444" s="9" t="str">
        <f t="shared" si="144"/>
        <v/>
      </c>
      <c r="T444" s="9" t="str">
        <f t="shared" si="145"/>
        <v/>
      </c>
      <c r="U444" s="14"/>
      <c r="V444" s="15"/>
      <c r="W444" s="14" t="str">
        <f t="shared" si="146"/>
        <v/>
      </c>
      <c r="X444" s="15"/>
      <c r="Y444" s="2"/>
      <c r="AB444" s="22">
        <f t="shared" si="147"/>
        <v>1</v>
      </c>
      <c r="AC444" s="11"/>
      <c r="AD444" s="11"/>
      <c r="AE444" s="13"/>
      <c r="AF444" s="12"/>
      <c r="AG444" s="13"/>
      <c r="AH444" s="14"/>
      <c r="AI444" s="81" t="str">
        <f t="shared" si="148"/>
        <v/>
      </c>
      <c r="AJ444" s="15"/>
      <c r="AK444" s="6" t="e">
        <f t="shared" si="149"/>
        <v>#N/A</v>
      </c>
      <c r="AL444" s="6" t="str">
        <f>IF(AB445&lt;&gt;AB444,AVERAGEIF(AB$9:AB444,AB444,AK$9:AK444),"")</f>
        <v/>
      </c>
      <c r="AM444" s="7" t="str">
        <f>IFERROR(IF(AB445&lt;&gt;AB444,AVERAGEIF(AB$9:AB444,AB444,AT$9:AT444),""),"")</f>
        <v/>
      </c>
      <c r="AN444" s="7" t="str">
        <f>IFERROR(IF(AB445&lt;&gt;AB444,AVERAGEIF(AB$9:AB444,AB444,AU$9:AU444),""),"")</f>
        <v/>
      </c>
      <c r="AO444" s="7" t="str" cm="1">
        <f t="array" ref="AO444">IFERROR(IF(AB445&lt;&gt;AB444,_xlfn.STDEV.P(IF(AB$9:AB444=AB444,AU$9:AU444)),""),"")</f>
        <v/>
      </c>
      <c r="AP444" s="7" t="str" cm="1">
        <f t="array" ref="AP444">IFERROR(IF(AB445&lt;&gt;AB444,_xlfn.STDEV.P(IF(AB$9:AB444=AB444,AT$9:AT444)),""),"")</f>
        <v/>
      </c>
      <c r="AQ444" s="8" t="str">
        <f t="shared" si="150"/>
        <v/>
      </c>
      <c r="AR444" s="8" t="str">
        <f t="shared" si="151"/>
        <v/>
      </c>
      <c r="AS444" s="8" t="str">
        <f t="shared" si="152"/>
        <v/>
      </c>
      <c r="AT444" s="9" t="str">
        <f t="shared" si="153"/>
        <v/>
      </c>
      <c r="AU444" s="9" t="str">
        <f t="shared" si="154"/>
        <v/>
      </c>
      <c r="AV444" s="14"/>
      <c r="AW444" s="15"/>
      <c r="AX444" s="14" t="str">
        <f t="shared" si="155"/>
        <v/>
      </c>
      <c r="AY444" s="15"/>
      <c r="AZ444" s="23"/>
      <c r="EW444" t="s">
        <v>46</v>
      </c>
      <c r="EX444" s="33" t="s">
        <v>47</v>
      </c>
      <c r="EY444" s="33" t="s">
        <v>1149</v>
      </c>
      <c r="EZ444" s="33" t="s">
        <v>1150</v>
      </c>
      <c r="FA444" s="33" t="s">
        <v>343</v>
      </c>
      <c r="FB444" s="33" t="s">
        <v>1108</v>
      </c>
      <c r="FC444" s="33" t="s">
        <v>345</v>
      </c>
      <c r="FD444" s="33" t="s">
        <v>1108</v>
      </c>
      <c r="FE444" s="33">
        <v>2025</v>
      </c>
      <c r="FF444" s="33" t="s">
        <v>1109</v>
      </c>
      <c r="FG444" s="33" t="s">
        <v>386</v>
      </c>
      <c r="FH444" s="33" t="s">
        <v>387</v>
      </c>
      <c r="FI444" s="33" t="s">
        <v>407</v>
      </c>
      <c r="FJ444" t="s">
        <v>1109</v>
      </c>
      <c r="FM444" s="32" t="s">
        <v>1132</v>
      </c>
      <c r="FN444" t="s">
        <v>1133</v>
      </c>
      <c r="FO444" t="s">
        <v>1134</v>
      </c>
      <c r="FP444" t="str">
        <f t="shared" si="137"/>
        <v>C</v>
      </c>
      <c r="GV444" s="53">
        <v>438</v>
      </c>
    </row>
    <row r="445" spans="1:204" ht="15.5" x14ac:dyDescent="0.35">
      <c r="A445" s="95">
        <f t="shared" si="138"/>
        <v>1</v>
      </c>
      <c r="B445" s="11"/>
      <c r="C445" s="11"/>
      <c r="D445" s="92" t="str">
        <f>IFERROR(
IF(AND(OR(Planilla!B445="C",Planilla!B445="c"), VLOOKUP(E445,EX:FJ,13,0)="C"), "OK",IF(AND(OR(Planilla!B445="C",Planilla!B445="c"), OR(VLOOKUP(E445,EX:FJ,13,0)="B", VLOOKUP(E445,EX:FJ,13,0)="A")), "DEFICIT",IF(
AND(OR(Planilla!B445="B", Planilla!B445="BPAL"), VLOOKUP(E445,EX:FJ,13,0)="B"), "OK",IF(AND(OR(Planilla!B445="B", Planilla!B445="BPAL"), VLOOKUP(E445,EX:FJ,13,0)="A"), "DEFICIT",IF(AND(OR(Planilla!B445="B", Planilla!B445="BPAL"), VLOOKUP(E445,EX:FJ,13,0)="C"), "SOBREOFERTA",IF(AND(Planilla!B445="A", VLOOKUP(E445,EX:FJ,13,0)="A"), "OK",IF(
AND(Planilla!B445="A", OR(VLOOKUP(E445,EX:FJ,13,0)="B", VLOOKUP(E445,EX:FJ,13,0)="C")), "SOBREOFERTA",""
))))))),"")</f>
        <v/>
      </c>
      <c r="E445" s="12"/>
      <c r="F445" s="13"/>
      <c r="G445" s="14"/>
      <c r="H445" s="81" t="str">
        <f t="shared" si="139"/>
        <v/>
      </c>
      <c r="I445" s="7"/>
      <c r="J445" s="6" t="e">
        <f t="shared" si="140"/>
        <v>#N/A</v>
      </c>
      <c r="K445" s="6" t="str">
        <f>IF(A446&lt;&gt;A445,AVERAGEIF(A$9:A445,A445,J$9:J445),"")</f>
        <v/>
      </c>
      <c r="L445" s="7" t="str">
        <f>IFERROR(IF(A446&lt;&gt;A445,AVERAGEIF(A$9:A445,A445,S$9:S445),""),"")</f>
        <v/>
      </c>
      <c r="M445" s="7" t="str">
        <f>IFERROR(IF(A446&lt;&gt;A445,AVERAGEIF(A$9:A445,A445,T$9:T445),""),"")</f>
        <v/>
      </c>
      <c r="N445" s="7" t="str" cm="1">
        <f t="array" ref="N445">IFERROR(IF(A446&lt;&gt;A445,_xlfn.STDEV.P(IF(A$9:A445=A445,T$9:T445)),""),"")</f>
        <v/>
      </c>
      <c r="O445" s="7" t="str" cm="1">
        <f t="array" ref="O445">IFERROR(IF(A446&lt;&gt;A445,_xlfn.STDEV.P(IF(A$9:A445=A445,S$9:S445)),""),"")</f>
        <v/>
      </c>
      <c r="P445" s="8" t="str">
        <f t="shared" si="141"/>
        <v/>
      </c>
      <c r="Q445" s="8" t="str">
        <f t="shared" si="142"/>
        <v/>
      </c>
      <c r="R445" s="8" t="str">
        <f t="shared" si="143"/>
        <v/>
      </c>
      <c r="S445" s="9" t="str">
        <f t="shared" si="144"/>
        <v/>
      </c>
      <c r="T445" s="9" t="str">
        <f t="shared" si="145"/>
        <v/>
      </c>
      <c r="U445" s="14"/>
      <c r="V445" s="15"/>
      <c r="W445" s="14" t="str">
        <f t="shared" si="146"/>
        <v/>
      </c>
      <c r="X445" s="15"/>
      <c r="Y445" s="2"/>
      <c r="AB445" s="22">
        <f t="shared" si="147"/>
        <v>1</v>
      </c>
      <c r="AC445" s="11"/>
      <c r="AD445" s="11"/>
      <c r="AE445" s="13"/>
      <c r="AF445" s="12"/>
      <c r="AG445" s="13"/>
      <c r="AH445" s="14"/>
      <c r="AI445" s="81" t="str">
        <f t="shared" si="148"/>
        <v/>
      </c>
      <c r="AJ445" s="15"/>
      <c r="AK445" s="6" t="e">
        <f t="shared" si="149"/>
        <v>#N/A</v>
      </c>
      <c r="AL445" s="6" t="str">
        <f>IF(AB446&lt;&gt;AB445,AVERAGEIF(AB$9:AB445,AB445,AK$9:AK445),"")</f>
        <v/>
      </c>
      <c r="AM445" s="7" t="str">
        <f>IFERROR(IF(AB446&lt;&gt;AB445,AVERAGEIF(AB$9:AB445,AB445,AT$9:AT445),""),"")</f>
        <v/>
      </c>
      <c r="AN445" s="7" t="str">
        <f>IFERROR(IF(AB446&lt;&gt;AB445,AVERAGEIF(AB$9:AB445,AB445,AU$9:AU445),""),"")</f>
        <v/>
      </c>
      <c r="AO445" s="7" t="str" cm="1">
        <f t="array" ref="AO445">IFERROR(IF(AB446&lt;&gt;AB445,_xlfn.STDEV.P(IF(AB$9:AB445=AB445,AU$9:AU445)),""),"")</f>
        <v/>
      </c>
      <c r="AP445" s="7" t="str" cm="1">
        <f t="array" ref="AP445">IFERROR(IF(AB446&lt;&gt;AB445,_xlfn.STDEV.P(IF(AB$9:AB445=AB445,AT$9:AT445)),""),"")</f>
        <v/>
      </c>
      <c r="AQ445" s="8" t="str">
        <f t="shared" si="150"/>
        <v/>
      </c>
      <c r="AR445" s="8" t="str">
        <f t="shared" si="151"/>
        <v/>
      </c>
      <c r="AS445" s="8" t="str">
        <f t="shared" si="152"/>
        <v/>
      </c>
      <c r="AT445" s="9" t="str">
        <f t="shared" si="153"/>
        <v/>
      </c>
      <c r="AU445" s="9" t="str">
        <f t="shared" si="154"/>
        <v/>
      </c>
      <c r="AV445" s="14"/>
      <c r="AW445" s="15"/>
      <c r="AX445" s="14" t="str">
        <f t="shared" si="155"/>
        <v/>
      </c>
      <c r="AY445" s="15"/>
      <c r="AZ445" s="23"/>
      <c r="EW445" t="s">
        <v>46</v>
      </c>
      <c r="EX445" s="33" t="s">
        <v>47</v>
      </c>
      <c r="EY445" s="33" t="s">
        <v>1151</v>
      </c>
      <c r="EZ445" s="33" t="s">
        <v>1152</v>
      </c>
      <c r="FA445" s="33" t="s">
        <v>343</v>
      </c>
      <c r="FB445" s="33" t="s">
        <v>1108</v>
      </c>
      <c r="FC445" s="33" t="s">
        <v>345</v>
      </c>
      <c r="FD445" s="33" t="s">
        <v>1108</v>
      </c>
      <c r="FE445" s="33">
        <v>2025</v>
      </c>
      <c r="FF445" s="33" t="s">
        <v>1109</v>
      </c>
      <c r="FG445" s="33" t="s">
        <v>386</v>
      </c>
      <c r="FH445" s="33" t="s">
        <v>387</v>
      </c>
      <c r="FI445" s="33" t="s">
        <v>407</v>
      </c>
      <c r="FJ445" t="s">
        <v>1109</v>
      </c>
      <c r="FM445" s="32" t="s">
        <v>1153</v>
      </c>
      <c r="FN445" t="s">
        <v>1154</v>
      </c>
      <c r="FO445" t="s">
        <v>1155</v>
      </c>
      <c r="FP445" t="str">
        <f t="shared" si="137"/>
        <v>C</v>
      </c>
      <c r="GV445" s="53">
        <v>439</v>
      </c>
    </row>
    <row r="446" spans="1:204" ht="15.5" x14ac:dyDescent="0.35">
      <c r="A446" s="95">
        <f t="shared" si="138"/>
        <v>1</v>
      </c>
      <c r="B446" s="11"/>
      <c r="C446" s="11"/>
      <c r="D446" s="92" t="str">
        <f>IFERROR(
IF(AND(OR(Planilla!B446="C",Planilla!B446="c"), VLOOKUP(E446,EX:FJ,13,0)="C"), "OK",IF(AND(OR(Planilla!B446="C",Planilla!B446="c"), OR(VLOOKUP(E446,EX:FJ,13,0)="B", VLOOKUP(E446,EX:FJ,13,0)="A")), "DEFICIT",IF(
AND(OR(Planilla!B446="B", Planilla!B446="BPAL"), VLOOKUP(E446,EX:FJ,13,0)="B"), "OK",IF(AND(OR(Planilla!B446="B", Planilla!B446="BPAL"), VLOOKUP(E446,EX:FJ,13,0)="A"), "DEFICIT",IF(AND(OR(Planilla!B446="B", Planilla!B446="BPAL"), VLOOKUP(E446,EX:FJ,13,0)="C"), "SOBREOFERTA",IF(AND(Planilla!B446="A", VLOOKUP(E446,EX:FJ,13,0)="A"), "OK",IF(
AND(Planilla!B446="A", OR(VLOOKUP(E446,EX:FJ,13,0)="B", VLOOKUP(E446,EX:FJ,13,0)="C")), "SOBREOFERTA",""
))))))),"")</f>
        <v/>
      </c>
      <c r="E446" s="12"/>
      <c r="F446" s="13"/>
      <c r="G446" s="14"/>
      <c r="H446" s="81" t="str">
        <f t="shared" si="139"/>
        <v/>
      </c>
      <c r="I446" s="7"/>
      <c r="J446" s="6" t="e">
        <f t="shared" si="140"/>
        <v>#N/A</v>
      </c>
      <c r="K446" s="6" t="str">
        <f>IF(A447&lt;&gt;A446,AVERAGEIF(A$9:A446,A446,J$9:J446),"")</f>
        <v/>
      </c>
      <c r="L446" s="7" t="str">
        <f>IFERROR(IF(A447&lt;&gt;A446,AVERAGEIF(A$9:A446,A446,S$9:S446),""),"")</f>
        <v/>
      </c>
      <c r="M446" s="7" t="str">
        <f>IFERROR(IF(A447&lt;&gt;A446,AVERAGEIF(A$9:A446,A446,T$9:T446),""),"")</f>
        <v/>
      </c>
      <c r="N446" s="7" t="str" cm="1">
        <f t="array" ref="N446">IFERROR(IF(A447&lt;&gt;A446,_xlfn.STDEV.P(IF(A$9:A446=A446,T$9:T446)),""),"")</f>
        <v/>
      </c>
      <c r="O446" s="7" t="str" cm="1">
        <f t="array" ref="O446">IFERROR(IF(A447&lt;&gt;A446,_xlfn.STDEV.P(IF(A$9:A446=A446,S$9:S446)),""),"")</f>
        <v/>
      </c>
      <c r="P446" s="8" t="str">
        <f t="shared" si="141"/>
        <v/>
      </c>
      <c r="Q446" s="8" t="str">
        <f t="shared" si="142"/>
        <v/>
      </c>
      <c r="R446" s="8" t="str">
        <f t="shared" si="143"/>
        <v/>
      </c>
      <c r="S446" s="9" t="str">
        <f t="shared" si="144"/>
        <v/>
      </c>
      <c r="T446" s="9" t="str">
        <f t="shared" si="145"/>
        <v/>
      </c>
      <c r="U446" s="14"/>
      <c r="V446" s="15"/>
      <c r="W446" s="14" t="str">
        <f t="shared" si="146"/>
        <v/>
      </c>
      <c r="X446" s="15"/>
      <c r="Y446" s="2"/>
      <c r="AB446" s="22">
        <f t="shared" si="147"/>
        <v>1</v>
      </c>
      <c r="AC446" s="11"/>
      <c r="AD446" s="11"/>
      <c r="AE446" s="13"/>
      <c r="AF446" s="12"/>
      <c r="AG446" s="13"/>
      <c r="AH446" s="14"/>
      <c r="AI446" s="81" t="str">
        <f t="shared" si="148"/>
        <v/>
      </c>
      <c r="AJ446" s="15"/>
      <c r="AK446" s="6" t="e">
        <f t="shared" si="149"/>
        <v>#N/A</v>
      </c>
      <c r="AL446" s="6" t="str">
        <f>IF(AB447&lt;&gt;AB446,AVERAGEIF(AB$9:AB446,AB446,AK$9:AK446),"")</f>
        <v/>
      </c>
      <c r="AM446" s="7" t="str">
        <f>IFERROR(IF(AB447&lt;&gt;AB446,AVERAGEIF(AB$9:AB446,AB446,AT$9:AT446),""),"")</f>
        <v/>
      </c>
      <c r="AN446" s="7" t="str">
        <f>IFERROR(IF(AB447&lt;&gt;AB446,AVERAGEIF(AB$9:AB446,AB446,AU$9:AU446),""),"")</f>
        <v/>
      </c>
      <c r="AO446" s="7" t="str" cm="1">
        <f t="array" ref="AO446">IFERROR(IF(AB447&lt;&gt;AB446,_xlfn.STDEV.P(IF(AB$9:AB446=AB446,AU$9:AU446)),""),"")</f>
        <v/>
      </c>
      <c r="AP446" s="7" t="str" cm="1">
        <f t="array" ref="AP446">IFERROR(IF(AB447&lt;&gt;AB446,_xlfn.STDEV.P(IF(AB$9:AB446=AB446,AT$9:AT446)),""),"")</f>
        <v/>
      </c>
      <c r="AQ446" s="8" t="str">
        <f t="shared" si="150"/>
        <v/>
      </c>
      <c r="AR446" s="8" t="str">
        <f t="shared" si="151"/>
        <v/>
      </c>
      <c r="AS446" s="8" t="str">
        <f t="shared" si="152"/>
        <v/>
      </c>
      <c r="AT446" s="9" t="str">
        <f t="shared" si="153"/>
        <v/>
      </c>
      <c r="AU446" s="9" t="str">
        <f t="shared" si="154"/>
        <v/>
      </c>
      <c r="AV446" s="14"/>
      <c r="AW446" s="15"/>
      <c r="AX446" s="14" t="str">
        <f t="shared" si="155"/>
        <v/>
      </c>
      <c r="AY446" s="15"/>
      <c r="AZ446" s="23"/>
      <c r="EW446" t="s">
        <v>46</v>
      </c>
      <c r="EX446" s="33" t="s">
        <v>47</v>
      </c>
      <c r="EY446" s="33" t="s">
        <v>1156</v>
      </c>
      <c r="EZ446" s="33" t="s">
        <v>1157</v>
      </c>
      <c r="FA446" s="33" t="s">
        <v>343</v>
      </c>
      <c r="FB446" s="33" t="s">
        <v>1108</v>
      </c>
      <c r="FC446" s="33" t="s">
        <v>345</v>
      </c>
      <c r="FD446" s="33" t="s">
        <v>1108</v>
      </c>
      <c r="FE446" s="33">
        <v>2025</v>
      </c>
      <c r="FF446" s="33" t="s">
        <v>1109</v>
      </c>
      <c r="FG446" s="33" t="s">
        <v>386</v>
      </c>
      <c r="FH446" s="33" t="s">
        <v>387</v>
      </c>
      <c r="FI446" s="33" t="s">
        <v>407</v>
      </c>
      <c r="FJ446" t="s">
        <v>1109</v>
      </c>
      <c r="FM446" s="32" t="s">
        <v>1153</v>
      </c>
      <c r="FN446" t="s">
        <v>1154</v>
      </c>
      <c r="FO446" t="s">
        <v>1155</v>
      </c>
      <c r="FP446" t="str">
        <f t="shared" si="137"/>
        <v>C</v>
      </c>
      <c r="GV446" s="53">
        <v>440</v>
      </c>
    </row>
    <row r="447" spans="1:204" ht="15.5" x14ac:dyDescent="0.35">
      <c r="A447" s="95">
        <f t="shared" si="138"/>
        <v>1</v>
      </c>
      <c r="B447" s="11"/>
      <c r="C447" s="11"/>
      <c r="D447" s="92" t="str">
        <f>IFERROR(
IF(AND(OR(Planilla!B447="C",Planilla!B447="c"), VLOOKUP(E447,EX:FJ,13,0)="C"), "OK",IF(AND(OR(Planilla!B447="C",Planilla!B447="c"), OR(VLOOKUP(E447,EX:FJ,13,0)="B", VLOOKUP(E447,EX:FJ,13,0)="A")), "DEFICIT",IF(
AND(OR(Planilla!B447="B", Planilla!B447="BPAL"), VLOOKUP(E447,EX:FJ,13,0)="B"), "OK",IF(AND(OR(Planilla!B447="B", Planilla!B447="BPAL"), VLOOKUP(E447,EX:FJ,13,0)="A"), "DEFICIT",IF(AND(OR(Planilla!B447="B", Planilla!B447="BPAL"), VLOOKUP(E447,EX:FJ,13,0)="C"), "SOBREOFERTA",IF(AND(Planilla!B447="A", VLOOKUP(E447,EX:FJ,13,0)="A"), "OK",IF(
AND(Planilla!B447="A", OR(VLOOKUP(E447,EX:FJ,13,0)="B", VLOOKUP(E447,EX:FJ,13,0)="C")), "SOBREOFERTA",""
))))))),"")</f>
        <v/>
      </c>
      <c r="E447" s="12"/>
      <c r="F447" s="13"/>
      <c r="G447" s="14"/>
      <c r="H447" s="81" t="str">
        <f t="shared" si="139"/>
        <v/>
      </c>
      <c r="I447" s="7"/>
      <c r="J447" s="6" t="e">
        <f t="shared" si="140"/>
        <v>#N/A</v>
      </c>
      <c r="K447" s="6" t="str">
        <f>IF(A448&lt;&gt;A447,AVERAGEIF(A$9:A447,A447,J$9:J447),"")</f>
        <v/>
      </c>
      <c r="L447" s="7" t="str">
        <f>IFERROR(IF(A448&lt;&gt;A447,AVERAGEIF(A$9:A447,A447,S$9:S447),""),"")</f>
        <v/>
      </c>
      <c r="M447" s="7" t="str">
        <f>IFERROR(IF(A448&lt;&gt;A447,AVERAGEIF(A$9:A447,A447,T$9:T447),""),"")</f>
        <v/>
      </c>
      <c r="N447" s="7" t="str" cm="1">
        <f t="array" ref="N447">IFERROR(IF(A448&lt;&gt;A447,_xlfn.STDEV.P(IF(A$9:A447=A447,T$9:T447)),""),"")</f>
        <v/>
      </c>
      <c r="O447" s="7" t="str" cm="1">
        <f t="array" ref="O447">IFERROR(IF(A448&lt;&gt;A447,_xlfn.STDEV.P(IF(A$9:A447=A447,S$9:S447)),""),"")</f>
        <v/>
      </c>
      <c r="P447" s="8" t="str">
        <f t="shared" si="141"/>
        <v/>
      </c>
      <c r="Q447" s="8" t="str">
        <f t="shared" si="142"/>
        <v/>
      </c>
      <c r="R447" s="8" t="str">
        <f t="shared" si="143"/>
        <v/>
      </c>
      <c r="S447" s="9" t="str">
        <f t="shared" si="144"/>
        <v/>
      </c>
      <c r="T447" s="9" t="str">
        <f t="shared" si="145"/>
        <v/>
      </c>
      <c r="U447" s="14"/>
      <c r="V447" s="15"/>
      <c r="W447" s="14" t="str">
        <f t="shared" si="146"/>
        <v/>
      </c>
      <c r="X447" s="15"/>
      <c r="Y447" s="2"/>
      <c r="AB447" s="22">
        <f t="shared" si="147"/>
        <v>1</v>
      </c>
      <c r="AC447" s="11"/>
      <c r="AD447" s="11"/>
      <c r="AE447" s="13"/>
      <c r="AF447" s="12"/>
      <c r="AG447" s="13"/>
      <c r="AH447" s="14"/>
      <c r="AI447" s="81" t="str">
        <f t="shared" si="148"/>
        <v/>
      </c>
      <c r="AJ447" s="15"/>
      <c r="AK447" s="6" t="e">
        <f t="shared" si="149"/>
        <v>#N/A</v>
      </c>
      <c r="AL447" s="6" t="str">
        <f>IF(AB448&lt;&gt;AB447,AVERAGEIF(AB$9:AB447,AB447,AK$9:AK447),"")</f>
        <v/>
      </c>
      <c r="AM447" s="7" t="str">
        <f>IFERROR(IF(AB448&lt;&gt;AB447,AVERAGEIF(AB$9:AB447,AB447,AT$9:AT447),""),"")</f>
        <v/>
      </c>
      <c r="AN447" s="7" t="str">
        <f>IFERROR(IF(AB448&lt;&gt;AB447,AVERAGEIF(AB$9:AB447,AB447,AU$9:AU447),""),"")</f>
        <v/>
      </c>
      <c r="AO447" s="7" t="str" cm="1">
        <f t="array" ref="AO447">IFERROR(IF(AB448&lt;&gt;AB447,_xlfn.STDEV.P(IF(AB$9:AB447=AB447,AU$9:AU447)),""),"")</f>
        <v/>
      </c>
      <c r="AP447" s="7" t="str" cm="1">
        <f t="array" ref="AP447">IFERROR(IF(AB448&lt;&gt;AB447,_xlfn.STDEV.P(IF(AB$9:AB447=AB447,AT$9:AT447)),""),"")</f>
        <v/>
      </c>
      <c r="AQ447" s="8" t="str">
        <f t="shared" si="150"/>
        <v/>
      </c>
      <c r="AR447" s="8" t="str">
        <f t="shared" si="151"/>
        <v/>
      </c>
      <c r="AS447" s="8" t="str">
        <f t="shared" si="152"/>
        <v/>
      </c>
      <c r="AT447" s="9" t="str">
        <f t="shared" si="153"/>
        <v/>
      </c>
      <c r="AU447" s="9" t="str">
        <f t="shared" si="154"/>
        <v/>
      </c>
      <c r="AV447" s="14"/>
      <c r="AW447" s="15"/>
      <c r="AX447" s="14" t="str">
        <f t="shared" si="155"/>
        <v/>
      </c>
      <c r="AY447" s="15"/>
      <c r="AZ447" s="23"/>
      <c r="EW447" t="s">
        <v>46</v>
      </c>
      <c r="EX447" s="33" t="s">
        <v>47</v>
      </c>
      <c r="EY447" s="33" t="s">
        <v>1158</v>
      </c>
      <c r="EZ447" s="33" t="s">
        <v>1159</v>
      </c>
      <c r="FA447" s="33" t="s">
        <v>343</v>
      </c>
      <c r="FB447" s="33" t="s">
        <v>1108</v>
      </c>
      <c r="FC447" s="33" t="s">
        <v>345</v>
      </c>
      <c r="FD447" s="33" t="s">
        <v>1108</v>
      </c>
      <c r="FE447" s="33">
        <v>2025</v>
      </c>
      <c r="FF447" s="33" t="s">
        <v>1109</v>
      </c>
      <c r="FG447" s="33" t="s">
        <v>386</v>
      </c>
      <c r="FH447" s="33" t="s">
        <v>387</v>
      </c>
      <c r="FI447" s="33" t="s">
        <v>407</v>
      </c>
      <c r="FJ447" t="s">
        <v>1109</v>
      </c>
      <c r="FM447" s="32" t="s">
        <v>1153</v>
      </c>
      <c r="FN447" t="s">
        <v>1154</v>
      </c>
      <c r="FO447" t="s">
        <v>1155</v>
      </c>
      <c r="FP447" t="str">
        <f t="shared" si="137"/>
        <v>C</v>
      </c>
      <c r="GV447" s="53">
        <v>441</v>
      </c>
    </row>
    <row r="448" spans="1:204" ht="15.5" x14ac:dyDescent="0.35">
      <c r="A448" s="95">
        <f t="shared" si="138"/>
        <v>1</v>
      </c>
      <c r="B448" s="11"/>
      <c r="C448" s="11"/>
      <c r="D448" s="92" t="str">
        <f>IFERROR(
IF(AND(OR(Planilla!B448="C",Planilla!B448="c"), VLOOKUP(E448,EX:FJ,13,0)="C"), "OK",IF(AND(OR(Planilla!B448="C",Planilla!B448="c"), OR(VLOOKUP(E448,EX:FJ,13,0)="B", VLOOKUP(E448,EX:FJ,13,0)="A")), "DEFICIT",IF(
AND(OR(Planilla!B448="B", Planilla!B448="BPAL"), VLOOKUP(E448,EX:FJ,13,0)="B"), "OK",IF(AND(OR(Planilla!B448="B", Planilla!B448="BPAL"), VLOOKUP(E448,EX:FJ,13,0)="A"), "DEFICIT",IF(AND(OR(Planilla!B448="B", Planilla!B448="BPAL"), VLOOKUP(E448,EX:FJ,13,0)="C"), "SOBREOFERTA",IF(AND(Planilla!B448="A", VLOOKUP(E448,EX:FJ,13,0)="A"), "OK",IF(
AND(Planilla!B448="A", OR(VLOOKUP(E448,EX:FJ,13,0)="B", VLOOKUP(E448,EX:FJ,13,0)="C")), "SOBREOFERTA",""
))))))),"")</f>
        <v/>
      </c>
      <c r="E448" s="12"/>
      <c r="F448" s="13"/>
      <c r="G448" s="14"/>
      <c r="H448" s="81" t="str">
        <f t="shared" si="139"/>
        <v/>
      </c>
      <c r="I448" s="7"/>
      <c r="J448" s="6" t="e">
        <f t="shared" si="140"/>
        <v>#N/A</v>
      </c>
      <c r="K448" s="6" t="str">
        <f>IF(A449&lt;&gt;A448,AVERAGEIF(A$9:A448,A448,J$9:J448),"")</f>
        <v/>
      </c>
      <c r="L448" s="7" t="str">
        <f>IFERROR(IF(A449&lt;&gt;A448,AVERAGEIF(A$9:A448,A448,S$9:S448),""),"")</f>
        <v/>
      </c>
      <c r="M448" s="7" t="str">
        <f>IFERROR(IF(A449&lt;&gt;A448,AVERAGEIF(A$9:A448,A448,T$9:T448),""),"")</f>
        <v/>
      </c>
      <c r="N448" s="7" t="str" cm="1">
        <f t="array" ref="N448">IFERROR(IF(A449&lt;&gt;A448,_xlfn.STDEV.P(IF(A$9:A448=A448,T$9:T448)),""),"")</f>
        <v/>
      </c>
      <c r="O448" s="7" t="str" cm="1">
        <f t="array" ref="O448">IFERROR(IF(A449&lt;&gt;A448,_xlfn.STDEV.P(IF(A$9:A448=A448,S$9:S448)),""),"")</f>
        <v/>
      </c>
      <c r="P448" s="8" t="str">
        <f t="shared" si="141"/>
        <v/>
      </c>
      <c r="Q448" s="8" t="str">
        <f t="shared" si="142"/>
        <v/>
      </c>
      <c r="R448" s="8" t="str">
        <f t="shared" si="143"/>
        <v/>
      </c>
      <c r="S448" s="9" t="str">
        <f t="shared" si="144"/>
        <v/>
      </c>
      <c r="T448" s="9" t="str">
        <f t="shared" si="145"/>
        <v/>
      </c>
      <c r="U448" s="14"/>
      <c r="V448" s="15"/>
      <c r="W448" s="14" t="str">
        <f t="shared" si="146"/>
        <v/>
      </c>
      <c r="X448" s="15"/>
      <c r="Y448" s="2"/>
      <c r="AB448" s="22">
        <f t="shared" si="147"/>
        <v>1</v>
      </c>
      <c r="AC448" s="11"/>
      <c r="AD448" s="11"/>
      <c r="AE448" s="13"/>
      <c r="AF448" s="12"/>
      <c r="AG448" s="13"/>
      <c r="AH448" s="14"/>
      <c r="AI448" s="81" t="str">
        <f t="shared" si="148"/>
        <v/>
      </c>
      <c r="AJ448" s="15"/>
      <c r="AK448" s="6" t="e">
        <f t="shared" si="149"/>
        <v>#N/A</v>
      </c>
      <c r="AL448" s="6" t="str">
        <f>IF(AB449&lt;&gt;AB448,AVERAGEIF(AB$9:AB448,AB448,AK$9:AK448),"")</f>
        <v/>
      </c>
      <c r="AM448" s="7" t="str">
        <f>IFERROR(IF(AB449&lt;&gt;AB448,AVERAGEIF(AB$9:AB448,AB448,AT$9:AT448),""),"")</f>
        <v/>
      </c>
      <c r="AN448" s="7" t="str">
        <f>IFERROR(IF(AB449&lt;&gt;AB448,AVERAGEIF(AB$9:AB448,AB448,AU$9:AU448),""),"")</f>
        <v/>
      </c>
      <c r="AO448" s="7" t="str" cm="1">
        <f t="array" ref="AO448">IFERROR(IF(AB449&lt;&gt;AB448,_xlfn.STDEV.P(IF(AB$9:AB448=AB448,AU$9:AU448)),""),"")</f>
        <v/>
      </c>
      <c r="AP448" s="7" t="str" cm="1">
        <f t="array" ref="AP448">IFERROR(IF(AB449&lt;&gt;AB448,_xlfn.STDEV.P(IF(AB$9:AB448=AB448,AT$9:AT448)),""),"")</f>
        <v/>
      </c>
      <c r="AQ448" s="8" t="str">
        <f t="shared" si="150"/>
        <v/>
      </c>
      <c r="AR448" s="8" t="str">
        <f t="shared" si="151"/>
        <v/>
      </c>
      <c r="AS448" s="8" t="str">
        <f t="shared" si="152"/>
        <v/>
      </c>
      <c r="AT448" s="9" t="str">
        <f t="shared" si="153"/>
        <v/>
      </c>
      <c r="AU448" s="9" t="str">
        <f t="shared" si="154"/>
        <v/>
      </c>
      <c r="AV448" s="14"/>
      <c r="AW448" s="15"/>
      <c r="AX448" s="14" t="str">
        <f t="shared" si="155"/>
        <v/>
      </c>
      <c r="AY448" s="15"/>
      <c r="AZ448" s="23"/>
      <c r="EW448" t="s">
        <v>46</v>
      </c>
      <c r="EX448" s="33" t="s">
        <v>47</v>
      </c>
      <c r="EY448" s="33" t="s">
        <v>1160</v>
      </c>
      <c r="EZ448" s="33" t="s">
        <v>1161</v>
      </c>
      <c r="FA448" s="33" t="s">
        <v>343</v>
      </c>
      <c r="FB448" s="33" t="s">
        <v>1108</v>
      </c>
      <c r="FC448" s="33" t="s">
        <v>345</v>
      </c>
      <c r="FD448" s="33" t="s">
        <v>1108</v>
      </c>
      <c r="FE448" s="33">
        <v>2025</v>
      </c>
      <c r="FF448" s="33" t="s">
        <v>1109</v>
      </c>
      <c r="FG448" s="33" t="s">
        <v>386</v>
      </c>
      <c r="FH448" s="33" t="s">
        <v>387</v>
      </c>
      <c r="FI448" s="33" t="s">
        <v>407</v>
      </c>
      <c r="FJ448" t="s">
        <v>1109</v>
      </c>
      <c r="FM448" s="32" t="s">
        <v>1162</v>
      </c>
      <c r="FN448" t="s">
        <v>1163</v>
      </c>
      <c r="FO448" t="s">
        <v>1164</v>
      </c>
      <c r="FP448" t="str">
        <f t="shared" si="137"/>
        <v>C</v>
      </c>
      <c r="GV448" s="53">
        <v>442</v>
      </c>
    </row>
    <row r="449" spans="1:206" ht="15.5" x14ac:dyDescent="0.35">
      <c r="A449" s="95">
        <f t="shared" si="138"/>
        <v>1</v>
      </c>
      <c r="B449" s="11"/>
      <c r="C449" s="11"/>
      <c r="D449" s="92" t="str">
        <f>IFERROR(
IF(AND(OR(Planilla!B449="C",Planilla!B449="c"), VLOOKUP(E449,EX:FJ,13,0)="C"), "OK",IF(AND(OR(Planilla!B449="C",Planilla!B449="c"), OR(VLOOKUP(E449,EX:FJ,13,0)="B", VLOOKUP(E449,EX:FJ,13,0)="A")), "DEFICIT",IF(
AND(OR(Planilla!B449="B", Planilla!B449="BPAL"), VLOOKUP(E449,EX:FJ,13,0)="B"), "OK",IF(AND(OR(Planilla!B449="B", Planilla!B449="BPAL"), VLOOKUP(E449,EX:FJ,13,0)="A"), "DEFICIT",IF(AND(OR(Planilla!B449="B", Planilla!B449="BPAL"), VLOOKUP(E449,EX:FJ,13,0)="C"), "SOBREOFERTA",IF(AND(Planilla!B449="A", VLOOKUP(E449,EX:FJ,13,0)="A"), "OK",IF(
AND(Planilla!B449="A", OR(VLOOKUP(E449,EX:FJ,13,0)="B", VLOOKUP(E449,EX:FJ,13,0)="C")), "SOBREOFERTA",""
))))))),"")</f>
        <v/>
      </c>
      <c r="E449" s="12"/>
      <c r="F449" s="13"/>
      <c r="G449" s="14"/>
      <c r="H449" s="81" t="str">
        <f t="shared" si="139"/>
        <v/>
      </c>
      <c r="I449" s="7"/>
      <c r="J449" s="6" t="e">
        <f t="shared" si="140"/>
        <v>#N/A</v>
      </c>
      <c r="K449" s="6" t="str">
        <f>IF(A450&lt;&gt;A449,AVERAGEIF(A$9:A449,A449,J$9:J449),"")</f>
        <v/>
      </c>
      <c r="L449" s="7" t="str">
        <f>IFERROR(IF(A450&lt;&gt;A449,AVERAGEIF(A$9:A449,A449,S$9:S449),""),"")</f>
        <v/>
      </c>
      <c r="M449" s="7" t="str">
        <f>IFERROR(IF(A450&lt;&gt;A449,AVERAGEIF(A$9:A449,A449,T$9:T449),""),"")</f>
        <v/>
      </c>
      <c r="N449" s="7" t="str" cm="1">
        <f t="array" ref="N449">IFERROR(IF(A450&lt;&gt;A449,_xlfn.STDEV.P(IF(A$9:A449=A449,T$9:T449)),""),"")</f>
        <v/>
      </c>
      <c r="O449" s="7" t="str" cm="1">
        <f t="array" ref="O449">IFERROR(IF(A450&lt;&gt;A449,_xlfn.STDEV.P(IF(A$9:A449=A449,S$9:S449)),""),"")</f>
        <v/>
      </c>
      <c r="P449" s="8" t="str">
        <f t="shared" si="141"/>
        <v/>
      </c>
      <c r="Q449" s="8" t="str">
        <f t="shared" si="142"/>
        <v/>
      </c>
      <c r="R449" s="8" t="str">
        <f t="shared" si="143"/>
        <v/>
      </c>
      <c r="S449" s="9" t="str">
        <f t="shared" si="144"/>
        <v/>
      </c>
      <c r="T449" s="9" t="str">
        <f t="shared" si="145"/>
        <v/>
      </c>
      <c r="U449" s="14"/>
      <c r="V449" s="15"/>
      <c r="W449" s="14" t="str">
        <f t="shared" si="146"/>
        <v/>
      </c>
      <c r="X449" s="15"/>
      <c r="Y449" s="2"/>
      <c r="AB449" s="22">
        <f t="shared" si="147"/>
        <v>1</v>
      </c>
      <c r="AC449" s="11"/>
      <c r="AD449" s="11"/>
      <c r="AE449" s="13"/>
      <c r="AF449" s="12"/>
      <c r="AG449" s="13"/>
      <c r="AH449" s="14"/>
      <c r="AI449" s="81" t="str">
        <f t="shared" si="148"/>
        <v/>
      </c>
      <c r="AJ449" s="15"/>
      <c r="AK449" s="6" t="e">
        <f t="shared" si="149"/>
        <v>#N/A</v>
      </c>
      <c r="AL449" s="6" t="str">
        <f>IF(AB450&lt;&gt;AB449,AVERAGEIF(AB$9:AB449,AB449,AK$9:AK449),"")</f>
        <v/>
      </c>
      <c r="AM449" s="7" t="str">
        <f>IFERROR(IF(AB450&lt;&gt;AB449,AVERAGEIF(AB$9:AB449,AB449,AT$9:AT449),""),"")</f>
        <v/>
      </c>
      <c r="AN449" s="7" t="str">
        <f>IFERROR(IF(AB450&lt;&gt;AB449,AVERAGEIF(AB$9:AB449,AB449,AU$9:AU449),""),"")</f>
        <v/>
      </c>
      <c r="AO449" s="7" t="str" cm="1">
        <f t="array" ref="AO449">IFERROR(IF(AB450&lt;&gt;AB449,_xlfn.STDEV.P(IF(AB$9:AB449=AB449,AU$9:AU449)),""),"")</f>
        <v/>
      </c>
      <c r="AP449" s="7" t="str" cm="1">
        <f t="array" ref="AP449">IFERROR(IF(AB450&lt;&gt;AB449,_xlfn.STDEV.P(IF(AB$9:AB449=AB449,AT$9:AT449)),""),"")</f>
        <v/>
      </c>
      <c r="AQ449" s="8" t="str">
        <f t="shared" si="150"/>
        <v/>
      </c>
      <c r="AR449" s="8" t="str">
        <f t="shared" si="151"/>
        <v/>
      </c>
      <c r="AS449" s="8" t="str">
        <f t="shared" si="152"/>
        <v/>
      </c>
      <c r="AT449" s="9" t="str">
        <f t="shared" si="153"/>
        <v/>
      </c>
      <c r="AU449" s="9" t="str">
        <f t="shared" si="154"/>
        <v/>
      </c>
      <c r="AV449" s="14"/>
      <c r="AW449" s="15"/>
      <c r="AX449" s="14" t="str">
        <f t="shared" si="155"/>
        <v/>
      </c>
      <c r="AY449" s="15"/>
      <c r="AZ449" s="23"/>
      <c r="EW449" t="s">
        <v>46</v>
      </c>
      <c r="EX449" s="33" t="s">
        <v>47</v>
      </c>
      <c r="EY449" s="33" t="s">
        <v>1165</v>
      </c>
      <c r="EZ449" s="33" t="s">
        <v>1166</v>
      </c>
      <c r="FA449" s="33" t="s">
        <v>343</v>
      </c>
      <c r="FB449" s="33" t="s">
        <v>1108</v>
      </c>
      <c r="FC449" s="33" t="s">
        <v>345</v>
      </c>
      <c r="FD449" s="33" t="s">
        <v>1108</v>
      </c>
      <c r="FE449" s="33">
        <v>2025</v>
      </c>
      <c r="FF449" s="33" t="s">
        <v>1109</v>
      </c>
      <c r="FG449" s="33" t="s">
        <v>386</v>
      </c>
      <c r="FH449" s="33" t="s">
        <v>387</v>
      </c>
      <c r="FI449" s="33" t="s">
        <v>407</v>
      </c>
      <c r="FJ449" t="s">
        <v>1109</v>
      </c>
      <c r="FM449" s="32" t="s">
        <v>1162</v>
      </c>
      <c r="FN449" t="s">
        <v>1163</v>
      </c>
      <c r="FO449" t="s">
        <v>1164</v>
      </c>
      <c r="FP449" t="str">
        <f t="shared" ref="FP449:FP512" si="156">VLOOKUP(FO449,EX:FF,9,0)</f>
        <v>C</v>
      </c>
      <c r="GV449" s="53">
        <v>443</v>
      </c>
    </row>
    <row r="450" spans="1:206" ht="15.5" x14ac:dyDescent="0.35">
      <c r="A450" s="95">
        <f t="shared" si="138"/>
        <v>1</v>
      </c>
      <c r="B450" s="11"/>
      <c r="C450" s="11"/>
      <c r="D450" s="92" t="str">
        <f>IFERROR(
IF(AND(OR(Planilla!B450="C",Planilla!B450="c"), VLOOKUP(E450,EX:FJ,13,0)="C"), "OK",IF(AND(OR(Planilla!B450="C",Planilla!B450="c"), OR(VLOOKUP(E450,EX:FJ,13,0)="B", VLOOKUP(E450,EX:FJ,13,0)="A")), "DEFICIT",IF(
AND(OR(Planilla!B450="B", Planilla!B450="BPAL"), VLOOKUP(E450,EX:FJ,13,0)="B"), "OK",IF(AND(OR(Planilla!B450="B", Planilla!B450="BPAL"), VLOOKUP(E450,EX:FJ,13,0)="A"), "DEFICIT",IF(AND(OR(Planilla!B450="B", Planilla!B450="BPAL"), VLOOKUP(E450,EX:FJ,13,0)="C"), "SOBREOFERTA",IF(AND(Planilla!B450="A", VLOOKUP(E450,EX:FJ,13,0)="A"), "OK",IF(
AND(Planilla!B450="A", OR(VLOOKUP(E450,EX:FJ,13,0)="B", VLOOKUP(E450,EX:FJ,13,0)="C")), "SOBREOFERTA",""
))))))),"")</f>
        <v/>
      </c>
      <c r="E450" s="12"/>
      <c r="F450" s="13"/>
      <c r="G450" s="14"/>
      <c r="H450" s="81" t="str">
        <f t="shared" si="139"/>
        <v/>
      </c>
      <c r="I450" s="7"/>
      <c r="J450" s="6" t="e">
        <f t="shared" si="140"/>
        <v>#N/A</v>
      </c>
      <c r="K450" s="6" t="str">
        <f>IF(A451&lt;&gt;A450,AVERAGEIF(A$9:A450,A450,J$9:J450),"")</f>
        <v/>
      </c>
      <c r="L450" s="7" t="str">
        <f>IFERROR(IF(A451&lt;&gt;A450,AVERAGEIF(A$9:A450,A450,S$9:S450),""),"")</f>
        <v/>
      </c>
      <c r="M450" s="7" t="str">
        <f>IFERROR(IF(A451&lt;&gt;A450,AVERAGEIF(A$9:A450,A450,T$9:T450),""),"")</f>
        <v/>
      </c>
      <c r="N450" s="7" t="str" cm="1">
        <f t="array" ref="N450">IFERROR(IF(A451&lt;&gt;A450,_xlfn.STDEV.P(IF(A$9:A450=A450,T$9:T450)),""),"")</f>
        <v/>
      </c>
      <c r="O450" s="7" t="str" cm="1">
        <f t="array" ref="O450">IFERROR(IF(A451&lt;&gt;A450,_xlfn.STDEV.P(IF(A$9:A450=A450,S$9:S450)),""),"")</f>
        <v/>
      </c>
      <c r="P450" s="8" t="str">
        <f t="shared" si="141"/>
        <v/>
      </c>
      <c r="Q450" s="8" t="str">
        <f t="shared" si="142"/>
        <v/>
      </c>
      <c r="R450" s="8" t="str">
        <f t="shared" si="143"/>
        <v/>
      </c>
      <c r="S450" s="9" t="str">
        <f t="shared" si="144"/>
        <v/>
      </c>
      <c r="T450" s="9" t="str">
        <f t="shared" si="145"/>
        <v/>
      </c>
      <c r="U450" s="14"/>
      <c r="V450" s="15"/>
      <c r="W450" s="14" t="str">
        <f t="shared" si="146"/>
        <v/>
      </c>
      <c r="X450" s="15"/>
      <c r="Y450" s="2"/>
      <c r="AB450" s="22">
        <f t="shared" si="147"/>
        <v>1</v>
      </c>
      <c r="AC450" s="11"/>
      <c r="AD450" s="11"/>
      <c r="AE450" s="13"/>
      <c r="AF450" s="12"/>
      <c r="AG450" s="13"/>
      <c r="AH450" s="14"/>
      <c r="AI450" s="81" t="str">
        <f t="shared" si="148"/>
        <v/>
      </c>
      <c r="AJ450" s="15"/>
      <c r="AK450" s="6" t="e">
        <f t="shared" si="149"/>
        <v>#N/A</v>
      </c>
      <c r="AL450" s="6" t="str">
        <f>IF(AB451&lt;&gt;AB450,AVERAGEIF(AB$9:AB450,AB450,AK$9:AK450),"")</f>
        <v/>
      </c>
      <c r="AM450" s="7" t="str">
        <f>IFERROR(IF(AB451&lt;&gt;AB450,AVERAGEIF(AB$9:AB450,AB450,AT$9:AT450),""),"")</f>
        <v/>
      </c>
      <c r="AN450" s="7" t="str">
        <f>IFERROR(IF(AB451&lt;&gt;AB450,AVERAGEIF(AB$9:AB450,AB450,AU$9:AU450),""),"")</f>
        <v/>
      </c>
      <c r="AO450" s="7" t="str" cm="1">
        <f t="array" ref="AO450">IFERROR(IF(AB451&lt;&gt;AB450,_xlfn.STDEV.P(IF(AB$9:AB450=AB450,AU$9:AU450)),""),"")</f>
        <v/>
      </c>
      <c r="AP450" s="7" t="str" cm="1">
        <f t="array" ref="AP450">IFERROR(IF(AB451&lt;&gt;AB450,_xlfn.STDEV.P(IF(AB$9:AB450=AB450,AT$9:AT450)),""),"")</f>
        <v/>
      </c>
      <c r="AQ450" s="8" t="str">
        <f t="shared" si="150"/>
        <v/>
      </c>
      <c r="AR450" s="8" t="str">
        <f t="shared" si="151"/>
        <v/>
      </c>
      <c r="AS450" s="8" t="str">
        <f t="shared" si="152"/>
        <v/>
      </c>
      <c r="AT450" s="9" t="str">
        <f t="shared" si="153"/>
        <v/>
      </c>
      <c r="AU450" s="9" t="str">
        <f t="shared" si="154"/>
        <v/>
      </c>
      <c r="AV450" s="14"/>
      <c r="AW450" s="15"/>
      <c r="AX450" s="14" t="str">
        <f t="shared" si="155"/>
        <v/>
      </c>
      <c r="AY450" s="15"/>
      <c r="AZ450" s="23"/>
      <c r="EW450" t="s">
        <v>46</v>
      </c>
      <c r="EX450" s="33" t="s">
        <v>47</v>
      </c>
      <c r="EY450" s="33" t="s">
        <v>1167</v>
      </c>
      <c r="EZ450" s="33" t="s">
        <v>1168</v>
      </c>
      <c r="FA450" s="33" t="s">
        <v>343</v>
      </c>
      <c r="FB450" s="33" t="s">
        <v>1108</v>
      </c>
      <c r="FC450" s="33" t="s">
        <v>345</v>
      </c>
      <c r="FD450" s="33" t="s">
        <v>1108</v>
      </c>
      <c r="FE450" s="33">
        <v>2025</v>
      </c>
      <c r="FF450" s="33" t="s">
        <v>1109</v>
      </c>
      <c r="FG450" s="33" t="s">
        <v>386</v>
      </c>
      <c r="FH450" s="33" t="s">
        <v>387</v>
      </c>
      <c r="FI450" s="33" t="s">
        <v>407</v>
      </c>
      <c r="FJ450" t="s">
        <v>1109</v>
      </c>
      <c r="FM450" s="32" t="s">
        <v>1162</v>
      </c>
      <c r="FN450" t="s">
        <v>1163</v>
      </c>
      <c r="FO450" t="s">
        <v>1164</v>
      </c>
      <c r="FP450" t="str">
        <f t="shared" si="156"/>
        <v>C</v>
      </c>
      <c r="GV450" s="53">
        <v>444</v>
      </c>
    </row>
    <row r="451" spans="1:206" ht="15.5" x14ac:dyDescent="0.35">
      <c r="A451" s="95">
        <f t="shared" si="138"/>
        <v>1</v>
      </c>
      <c r="B451" s="11"/>
      <c r="C451" s="11"/>
      <c r="D451" s="92" t="str">
        <f>IFERROR(
IF(AND(OR(Planilla!B451="C",Planilla!B451="c"), VLOOKUP(E451,EX:FJ,13,0)="C"), "OK",IF(AND(OR(Planilla!B451="C",Planilla!B451="c"), OR(VLOOKUP(E451,EX:FJ,13,0)="B", VLOOKUP(E451,EX:FJ,13,0)="A")), "DEFICIT",IF(
AND(OR(Planilla!B451="B", Planilla!B451="BPAL"), VLOOKUP(E451,EX:FJ,13,0)="B"), "OK",IF(AND(OR(Planilla!B451="B", Planilla!B451="BPAL"), VLOOKUP(E451,EX:FJ,13,0)="A"), "DEFICIT",IF(AND(OR(Planilla!B451="B", Planilla!B451="BPAL"), VLOOKUP(E451,EX:FJ,13,0)="C"), "SOBREOFERTA",IF(AND(Planilla!B451="A", VLOOKUP(E451,EX:FJ,13,0)="A"), "OK",IF(
AND(Planilla!B451="A", OR(VLOOKUP(E451,EX:FJ,13,0)="B", VLOOKUP(E451,EX:FJ,13,0)="C")), "SOBREOFERTA",""
))))))),"")</f>
        <v/>
      </c>
      <c r="E451" s="12"/>
      <c r="F451" s="13"/>
      <c r="G451" s="14"/>
      <c r="H451" s="81" t="str">
        <f t="shared" si="139"/>
        <v/>
      </c>
      <c r="I451" s="7"/>
      <c r="J451" s="6" t="e">
        <f t="shared" si="140"/>
        <v>#N/A</v>
      </c>
      <c r="K451" s="6" t="str">
        <f>IF(A452&lt;&gt;A451,AVERAGEIF(A$9:A451,A451,J$9:J451),"")</f>
        <v/>
      </c>
      <c r="L451" s="7" t="str">
        <f>IFERROR(IF(A452&lt;&gt;A451,AVERAGEIF(A$9:A451,A451,S$9:S451),""),"")</f>
        <v/>
      </c>
      <c r="M451" s="7" t="str">
        <f>IFERROR(IF(A452&lt;&gt;A451,AVERAGEIF(A$9:A451,A451,T$9:T451),""),"")</f>
        <v/>
      </c>
      <c r="N451" s="7" t="str" cm="1">
        <f t="array" ref="N451">IFERROR(IF(A452&lt;&gt;A451,_xlfn.STDEV.P(IF(A$9:A451=A451,T$9:T451)),""),"")</f>
        <v/>
      </c>
      <c r="O451" s="7" t="str" cm="1">
        <f t="array" ref="O451">IFERROR(IF(A452&lt;&gt;A451,_xlfn.STDEV.P(IF(A$9:A451=A451,S$9:S451)),""),"")</f>
        <v/>
      </c>
      <c r="P451" s="8" t="str">
        <f t="shared" si="141"/>
        <v/>
      </c>
      <c r="Q451" s="8" t="str">
        <f t="shared" si="142"/>
        <v/>
      </c>
      <c r="R451" s="8" t="str">
        <f t="shared" si="143"/>
        <v/>
      </c>
      <c r="S451" s="9" t="str">
        <f t="shared" si="144"/>
        <v/>
      </c>
      <c r="T451" s="9" t="str">
        <f t="shared" si="145"/>
        <v/>
      </c>
      <c r="U451" s="14"/>
      <c r="V451" s="15"/>
      <c r="W451" s="14" t="str">
        <f t="shared" si="146"/>
        <v/>
      </c>
      <c r="X451" s="15"/>
      <c r="Y451" s="2"/>
      <c r="AB451" s="22">
        <f t="shared" si="147"/>
        <v>1</v>
      </c>
      <c r="AC451" s="11"/>
      <c r="AD451" s="11"/>
      <c r="AE451" s="13"/>
      <c r="AF451" s="12"/>
      <c r="AG451" s="13"/>
      <c r="AH451" s="14"/>
      <c r="AI451" s="81" t="str">
        <f t="shared" si="148"/>
        <v/>
      </c>
      <c r="AJ451" s="15"/>
      <c r="AK451" s="6" t="e">
        <f t="shared" si="149"/>
        <v>#N/A</v>
      </c>
      <c r="AL451" s="6" t="str">
        <f>IF(AB452&lt;&gt;AB451,AVERAGEIF(AB$9:AB451,AB451,AK$9:AK451),"")</f>
        <v/>
      </c>
      <c r="AM451" s="7" t="str">
        <f>IFERROR(IF(AB452&lt;&gt;AB451,AVERAGEIF(AB$9:AB451,AB451,AT$9:AT451),""),"")</f>
        <v/>
      </c>
      <c r="AN451" s="7" t="str">
        <f>IFERROR(IF(AB452&lt;&gt;AB451,AVERAGEIF(AB$9:AB451,AB451,AU$9:AU451),""),"")</f>
        <v/>
      </c>
      <c r="AO451" s="7" t="str" cm="1">
        <f t="array" ref="AO451">IFERROR(IF(AB452&lt;&gt;AB451,_xlfn.STDEV.P(IF(AB$9:AB451=AB451,AU$9:AU451)),""),"")</f>
        <v/>
      </c>
      <c r="AP451" s="7" t="str" cm="1">
        <f t="array" ref="AP451">IFERROR(IF(AB452&lt;&gt;AB451,_xlfn.STDEV.P(IF(AB$9:AB451=AB451,AT$9:AT451)),""),"")</f>
        <v/>
      </c>
      <c r="AQ451" s="8" t="str">
        <f t="shared" si="150"/>
        <v/>
      </c>
      <c r="AR451" s="8" t="str">
        <f t="shared" si="151"/>
        <v/>
      </c>
      <c r="AS451" s="8" t="str">
        <f t="shared" si="152"/>
        <v/>
      </c>
      <c r="AT451" s="9" t="str">
        <f t="shared" si="153"/>
        <v/>
      </c>
      <c r="AU451" s="9" t="str">
        <f t="shared" si="154"/>
        <v/>
      </c>
      <c r="AV451" s="14"/>
      <c r="AW451" s="15"/>
      <c r="AX451" s="14" t="str">
        <f t="shared" si="155"/>
        <v/>
      </c>
      <c r="AY451" s="15"/>
      <c r="AZ451" s="23"/>
      <c r="EW451" t="s">
        <v>46</v>
      </c>
      <c r="EX451" s="33" t="s">
        <v>47</v>
      </c>
      <c r="EY451" s="33" t="s">
        <v>1169</v>
      </c>
      <c r="EZ451" s="33" t="s">
        <v>1170</v>
      </c>
      <c r="FA451" s="33" t="s">
        <v>343</v>
      </c>
      <c r="FB451" s="33" t="s">
        <v>1108</v>
      </c>
      <c r="FC451" s="33" t="s">
        <v>345</v>
      </c>
      <c r="FD451" s="33" t="s">
        <v>1108</v>
      </c>
      <c r="FE451" s="33">
        <v>2025</v>
      </c>
      <c r="FF451" s="33" t="s">
        <v>1109</v>
      </c>
      <c r="FG451" s="33" t="s">
        <v>386</v>
      </c>
      <c r="FH451" s="33" t="s">
        <v>387</v>
      </c>
      <c r="FI451" s="33" t="s">
        <v>407</v>
      </c>
      <c r="FJ451" t="s">
        <v>1109</v>
      </c>
      <c r="FM451" s="32" t="s">
        <v>1162</v>
      </c>
      <c r="FN451" t="s">
        <v>1163</v>
      </c>
      <c r="FO451" t="s">
        <v>1164</v>
      </c>
      <c r="FP451" t="str">
        <f t="shared" si="156"/>
        <v>C</v>
      </c>
      <c r="GV451" s="53">
        <v>445</v>
      </c>
    </row>
    <row r="452" spans="1:206" ht="15.5" x14ac:dyDescent="0.35">
      <c r="A452" s="95">
        <f t="shared" si="138"/>
        <v>1</v>
      </c>
      <c r="B452" s="11"/>
      <c r="C452" s="11"/>
      <c r="D452" s="92" t="str">
        <f>IFERROR(
IF(AND(OR(Planilla!B452="C",Planilla!B452="c"), VLOOKUP(E452,EX:FJ,13,0)="C"), "OK",IF(AND(OR(Planilla!B452="C",Planilla!B452="c"), OR(VLOOKUP(E452,EX:FJ,13,0)="B", VLOOKUP(E452,EX:FJ,13,0)="A")), "DEFICIT",IF(
AND(OR(Planilla!B452="B", Planilla!B452="BPAL"), VLOOKUP(E452,EX:FJ,13,0)="B"), "OK",IF(AND(OR(Planilla!B452="B", Planilla!B452="BPAL"), VLOOKUP(E452,EX:FJ,13,0)="A"), "DEFICIT",IF(AND(OR(Planilla!B452="B", Planilla!B452="BPAL"), VLOOKUP(E452,EX:FJ,13,0)="C"), "SOBREOFERTA",IF(AND(Planilla!B452="A", VLOOKUP(E452,EX:FJ,13,0)="A"), "OK",IF(
AND(Planilla!B452="A", OR(VLOOKUP(E452,EX:FJ,13,0)="B", VLOOKUP(E452,EX:FJ,13,0)="C")), "SOBREOFERTA",""
))))))),"")</f>
        <v/>
      </c>
      <c r="E452" s="12"/>
      <c r="F452" s="13"/>
      <c r="G452" s="14"/>
      <c r="H452" s="81" t="str">
        <f t="shared" si="139"/>
        <v/>
      </c>
      <c r="I452" s="7"/>
      <c r="J452" s="6" t="e">
        <f t="shared" si="140"/>
        <v>#N/A</v>
      </c>
      <c r="K452" s="6" t="str">
        <f>IF(A453&lt;&gt;A452,AVERAGEIF(A$9:A452,A452,J$9:J452),"")</f>
        <v/>
      </c>
      <c r="L452" s="7" t="str">
        <f>IFERROR(IF(A453&lt;&gt;A452,AVERAGEIF(A$9:A452,A452,S$9:S452),""),"")</f>
        <v/>
      </c>
      <c r="M452" s="7" t="str">
        <f>IFERROR(IF(A453&lt;&gt;A452,AVERAGEIF(A$9:A452,A452,T$9:T452),""),"")</f>
        <v/>
      </c>
      <c r="N452" s="7" t="str" cm="1">
        <f t="array" ref="N452">IFERROR(IF(A453&lt;&gt;A452,_xlfn.STDEV.P(IF(A$9:A452=A452,T$9:T452)),""),"")</f>
        <v/>
      </c>
      <c r="O452" s="7" t="str" cm="1">
        <f t="array" ref="O452">IFERROR(IF(A453&lt;&gt;A452,_xlfn.STDEV.P(IF(A$9:A452=A452,S$9:S452)),""),"")</f>
        <v/>
      </c>
      <c r="P452" s="8" t="str">
        <f t="shared" si="141"/>
        <v/>
      </c>
      <c r="Q452" s="8" t="str">
        <f t="shared" si="142"/>
        <v/>
      </c>
      <c r="R452" s="8" t="str">
        <f t="shared" si="143"/>
        <v/>
      </c>
      <c r="S452" s="9" t="str">
        <f t="shared" si="144"/>
        <v/>
      </c>
      <c r="T452" s="9" t="str">
        <f t="shared" si="145"/>
        <v/>
      </c>
      <c r="U452" s="14"/>
      <c r="V452" s="15"/>
      <c r="W452" s="14" t="str">
        <f t="shared" si="146"/>
        <v/>
      </c>
      <c r="X452" s="15"/>
      <c r="Y452" s="2"/>
      <c r="AB452" s="22">
        <f t="shared" si="147"/>
        <v>1</v>
      </c>
      <c r="AC452" s="11"/>
      <c r="AD452" s="11"/>
      <c r="AE452" s="13"/>
      <c r="AF452" s="12"/>
      <c r="AG452" s="13"/>
      <c r="AH452" s="14"/>
      <c r="AI452" s="81" t="str">
        <f t="shared" si="148"/>
        <v/>
      </c>
      <c r="AJ452" s="15"/>
      <c r="AK452" s="6" t="e">
        <f t="shared" si="149"/>
        <v>#N/A</v>
      </c>
      <c r="AL452" s="6" t="str">
        <f>IF(AB453&lt;&gt;AB452,AVERAGEIF(AB$9:AB452,AB452,AK$9:AK452),"")</f>
        <v/>
      </c>
      <c r="AM452" s="7" t="str">
        <f>IFERROR(IF(AB453&lt;&gt;AB452,AVERAGEIF(AB$9:AB452,AB452,AT$9:AT452),""),"")</f>
        <v/>
      </c>
      <c r="AN452" s="7" t="str">
        <f>IFERROR(IF(AB453&lt;&gt;AB452,AVERAGEIF(AB$9:AB452,AB452,AU$9:AU452),""),"")</f>
        <v/>
      </c>
      <c r="AO452" s="7" t="str" cm="1">
        <f t="array" ref="AO452">IFERROR(IF(AB453&lt;&gt;AB452,_xlfn.STDEV.P(IF(AB$9:AB452=AB452,AU$9:AU452)),""),"")</f>
        <v/>
      </c>
      <c r="AP452" s="7" t="str" cm="1">
        <f t="array" ref="AP452">IFERROR(IF(AB453&lt;&gt;AB452,_xlfn.STDEV.P(IF(AB$9:AB452=AB452,AT$9:AT452)),""),"")</f>
        <v/>
      </c>
      <c r="AQ452" s="8" t="str">
        <f t="shared" si="150"/>
        <v/>
      </c>
      <c r="AR452" s="8" t="str">
        <f t="shared" si="151"/>
        <v/>
      </c>
      <c r="AS452" s="8" t="str">
        <f t="shared" si="152"/>
        <v/>
      </c>
      <c r="AT452" s="9" t="str">
        <f t="shared" si="153"/>
        <v/>
      </c>
      <c r="AU452" s="9" t="str">
        <f t="shared" si="154"/>
        <v/>
      </c>
      <c r="AV452" s="14"/>
      <c r="AW452" s="15"/>
      <c r="AX452" s="14" t="str">
        <f t="shared" si="155"/>
        <v/>
      </c>
      <c r="AY452" s="15"/>
      <c r="AZ452" s="23"/>
      <c r="EW452" t="s">
        <v>46</v>
      </c>
      <c r="EX452" s="33" t="s">
        <v>47</v>
      </c>
      <c r="EY452" s="33" t="s">
        <v>1171</v>
      </c>
      <c r="EZ452" s="33" t="s">
        <v>1172</v>
      </c>
      <c r="FA452" s="33" t="s">
        <v>343</v>
      </c>
      <c r="FB452" s="33" t="s">
        <v>1108</v>
      </c>
      <c r="FC452" s="33" t="s">
        <v>345</v>
      </c>
      <c r="FD452" s="33" t="s">
        <v>1108</v>
      </c>
      <c r="FE452" s="33">
        <v>2025</v>
      </c>
      <c r="FF452" s="33" t="s">
        <v>1109</v>
      </c>
      <c r="FG452" s="33" t="s">
        <v>386</v>
      </c>
      <c r="FH452" s="33" t="s">
        <v>387</v>
      </c>
      <c r="FI452" s="33" t="s">
        <v>407</v>
      </c>
      <c r="FJ452" t="s">
        <v>1109</v>
      </c>
      <c r="FM452" s="32" t="s">
        <v>1173</v>
      </c>
      <c r="FN452" t="s">
        <v>1174</v>
      </c>
      <c r="FO452" t="s">
        <v>1175</v>
      </c>
      <c r="FP452" t="str">
        <f t="shared" si="156"/>
        <v>C</v>
      </c>
      <c r="GV452" s="53">
        <v>446</v>
      </c>
    </row>
    <row r="453" spans="1:206" ht="15.5" x14ac:dyDescent="0.35">
      <c r="A453" s="95">
        <f t="shared" si="138"/>
        <v>1</v>
      </c>
      <c r="B453" s="11"/>
      <c r="C453" s="11"/>
      <c r="D453" s="92" t="str">
        <f>IFERROR(
IF(AND(OR(Planilla!B453="C",Planilla!B453="c"), VLOOKUP(E453,EX:FJ,13,0)="C"), "OK",IF(AND(OR(Planilla!B453="C",Planilla!B453="c"), OR(VLOOKUP(E453,EX:FJ,13,0)="B", VLOOKUP(E453,EX:FJ,13,0)="A")), "DEFICIT",IF(
AND(OR(Planilla!B453="B", Planilla!B453="BPAL"), VLOOKUP(E453,EX:FJ,13,0)="B"), "OK",IF(AND(OR(Planilla!B453="B", Planilla!B453="BPAL"), VLOOKUP(E453,EX:FJ,13,0)="A"), "DEFICIT",IF(AND(OR(Planilla!B453="B", Planilla!B453="BPAL"), VLOOKUP(E453,EX:FJ,13,0)="C"), "SOBREOFERTA",IF(AND(Planilla!B453="A", VLOOKUP(E453,EX:FJ,13,0)="A"), "OK",IF(
AND(Planilla!B453="A", OR(VLOOKUP(E453,EX:FJ,13,0)="B", VLOOKUP(E453,EX:FJ,13,0)="C")), "SOBREOFERTA",""
))))))),"")</f>
        <v/>
      </c>
      <c r="E453" s="12"/>
      <c r="F453" s="13"/>
      <c r="G453" s="14"/>
      <c r="H453" s="81" t="str">
        <f t="shared" si="139"/>
        <v/>
      </c>
      <c r="I453" s="7"/>
      <c r="J453" s="6" t="e">
        <f t="shared" si="140"/>
        <v>#N/A</v>
      </c>
      <c r="K453" s="6" t="str">
        <f>IF(A454&lt;&gt;A453,AVERAGEIF(A$9:A453,A453,J$9:J453),"")</f>
        <v/>
      </c>
      <c r="L453" s="7" t="str">
        <f>IFERROR(IF(A454&lt;&gt;A453,AVERAGEIF(A$9:A453,A453,S$9:S453),""),"")</f>
        <v/>
      </c>
      <c r="M453" s="7" t="str">
        <f>IFERROR(IF(A454&lt;&gt;A453,AVERAGEIF(A$9:A453,A453,T$9:T453),""),"")</f>
        <v/>
      </c>
      <c r="N453" s="7" t="str" cm="1">
        <f t="array" ref="N453">IFERROR(IF(A454&lt;&gt;A453,_xlfn.STDEV.P(IF(A$9:A453=A453,T$9:T453)),""),"")</f>
        <v/>
      </c>
      <c r="O453" s="7" t="str" cm="1">
        <f t="array" ref="O453">IFERROR(IF(A454&lt;&gt;A453,_xlfn.STDEV.P(IF(A$9:A453=A453,S$9:S453)),""),"")</f>
        <v/>
      </c>
      <c r="P453" s="8" t="str">
        <f t="shared" si="141"/>
        <v/>
      </c>
      <c r="Q453" s="8" t="str">
        <f t="shared" si="142"/>
        <v/>
      </c>
      <c r="R453" s="8" t="str">
        <f t="shared" si="143"/>
        <v/>
      </c>
      <c r="S453" s="9" t="str">
        <f t="shared" si="144"/>
        <v/>
      </c>
      <c r="T453" s="9" t="str">
        <f t="shared" si="145"/>
        <v/>
      </c>
      <c r="U453" s="14"/>
      <c r="V453" s="15"/>
      <c r="W453" s="14" t="str">
        <f t="shared" si="146"/>
        <v/>
      </c>
      <c r="X453" s="15"/>
      <c r="Y453" s="2"/>
      <c r="AB453" s="22">
        <f t="shared" si="147"/>
        <v>1</v>
      </c>
      <c r="AC453" s="11"/>
      <c r="AD453" s="11"/>
      <c r="AE453" s="13"/>
      <c r="AF453" s="12"/>
      <c r="AG453" s="13"/>
      <c r="AH453" s="14"/>
      <c r="AI453" s="81" t="str">
        <f t="shared" si="148"/>
        <v/>
      </c>
      <c r="AJ453" s="15"/>
      <c r="AK453" s="6" t="e">
        <f t="shared" si="149"/>
        <v>#N/A</v>
      </c>
      <c r="AL453" s="6" t="str">
        <f>IF(AB454&lt;&gt;AB453,AVERAGEIF(AB$9:AB453,AB453,AK$9:AK453),"")</f>
        <v/>
      </c>
      <c r="AM453" s="7" t="str">
        <f>IFERROR(IF(AB454&lt;&gt;AB453,AVERAGEIF(AB$9:AB453,AB453,AT$9:AT453),""),"")</f>
        <v/>
      </c>
      <c r="AN453" s="7" t="str">
        <f>IFERROR(IF(AB454&lt;&gt;AB453,AVERAGEIF(AB$9:AB453,AB453,AU$9:AU453),""),"")</f>
        <v/>
      </c>
      <c r="AO453" s="7" t="str" cm="1">
        <f t="array" ref="AO453">IFERROR(IF(AB454&lt;&gt;AB453,_xlfn.STDEV.P(IF(AB$9:AB453=AB453,AU$9:AU453)),""),"")</f>
        <v/>
      </c>
      <c r="AP453" s="7" t="str" cm="1">
        <f t="array" ref="AP453">IFERROR(IF(AB454&lt;&gt;AB453,_xlfn.STDEV.P(IF(AB$9:AB453=AB453,AT$9:AT453)),""),"")</f>
        <v/>
      </c>
      <c r="AQ453" s="8" t="str">
        <f t="shared" si="150"/>
        <v/>
      </c>
      <c r="AR453" s="8" t="str">
        <f t="shared" si="151"/>
        <v/>
      </c>
      <c r="AS453" s="8" t="str">
        <f t="shared" si="152"/>
        <v/>
      </c>
      <c r="AT453" s="9" t="str">
        <f t="shared" si="153"/>
        <v/>
      </c>
      <c r="AU453" s="9" t="str">
        <f t="shared" si="154"/>
        <v/>
      </c>
      <c r="AV453" s="14"/>
      <c r="AW453" s="15"/>
      <c r="AX453" s="14" t="str">
        <f t="shared" si="155"/>
        <v/>
      </c>
      <c r="AY453" s="15"/>
      <c r="AZ453" s="23"/>
      <c r="EW453" t="s">
        <v>46</v>
      </c>
      <c r="EX453" s="33" t="s">
        <v>47</v>
      </c>
      <c r="EY453" s="33" t="s">
        <v>1176</v>
      </c>
      <c r="EZ453" s="33" t="s">
        <v>1177</v>
      </c>
      <c r="FA453" s="33" t="s">
        <v>343</v>
      </c>
      <c r="FB453" s="33" t="s">
        <v>1108</v>
      </c>
      <c r="FC453" s="33" t="s">
        <v>345</v>
      </c>
      <c r="FD453" s="33" t="s">
        <v>1108</v>
      </c>
      <c r="FE453" s="33">
        <v>2025</v>
      </c>
      <c r="FF453" s="33" t="s">
        <v>1109</v>
      </c>
      <c r="FG453" s="33" t="s">
        <v>386</v>
      </c>
      <c r="FH453" s="33" t="s">
        <v>387</v>
      </c>
      <c r="FI453" s="33" t="s">
        <v>407</v>
      </c>
      <c r="FJ453" t="s">
        <v>1109</v>
      </c>
      <c r="FM453" s="32" t="s">
        <v>1173</v>
      </c>
      <c r="FN453" t="s">
        <v>1174</v>
      </c>
      <c r="FO453" t="s">
        <v>1175</v>
      </c>
      <c r="FP453" t="str">
        <f t="shared" si="156"/>
        <v>C</v>
      </c>
      <c r="GV453" s="53">
        <v>447</v>
      </c>
    </row>
    <row r="454" spans="1:206" ht="15.5" x14ac:dyDescent="0.35">
      <c r="A454" s="95">
        <f t="shared" si="138"/>
        <v>1</v>
      </c>
      <c r="B454" s="11"/>
      <c r="C454" s="11"/>
      <c r="D454" s="92" t="str">
        <f>IFERROR(
IF(AND(OR(Planilla!B454="C",Planilla!B454="c"), VLOOKUP(E454,EX:FJ,13,0)="C"), "OK",IF(AND(OR(Planilla!B454="C",Planilla!B454="c"), OR(VLOOKUP(E454,EX:FJ,13,0)="B", VLOOKUP(E454,EX:FJ,13,0)="A")), "DEFICIT",IF(
AND(OR(Planilla!B454="B", Planilla!B454="BPAL"), VLOOKUP(E454,EX:FJ,13,0)="B"), "OK",IF(AND(OR(Planilla!B454="B", Planilla!B454="BPAL"), VLOOKUP(E454,EX:FJ,13,0)="A"), "DEFICIT",IF(AND(OR(Planilla!B454="B", Planilla!B454="BPAL"), VLOOKUP(E454,EX:FJ,13,0)="C"), "SOBREOFERTA",IF(AND(Planilla!B454="A", VLOOKUP(E454,EX:FJ,13,0)="A"), "OK",IF(
AND(Planilla!B454="A", OR(VLOOKUP(E454,EX:FJ,13,0)="B", VLOOKUP(E454,EX:FJ,13,0)="C")), "SOBREOFERTA",""
))))))),"")</f>
        <v/>
      </c>
      <c r="E454" s="12"/>
      <c r="F454" s="13"/>
      <c r="G454" s="14"/>
      <c r="H454" s="81" t="str">
        <f t="shared" si="139"/>
        <v/>
      </c>
      <c r="I454" s="7"/>
      <c r="J454" s="6" t="e">
        <f t="shared" si="140"/>
        <v>#N/A</v>
      </c>
      <c r="K454" s="6" t="str">
        <f>IF(A455&lt;&gt;A454,AVERAGEIF(A$9:A454,A454,J$9:J454),"")</f>
        <v/>
      </c>
      <c r="L454" s="7" t="str">
        <f>IFERROR(IF(A455&lt;&gt;A454,AVERAGEIF(A$9:A454,A454,S$9:S454),""),"")</f>
        <v/>
      </c>
      <c r="M454" s="7" t="str">
        <f>IFERROR(IF(A455&lt;&gt;A454,AVERAGEIF(A$9:A454,A454,T$9:T454),""),"")</f>
        <v/>
      </c>
      <c r="N454" s="7" t="str" cm="1">
        <f t="array" ref="N454">IFERROR(IF(A455&lt;&gt;A454,_xlfn.STDEV.P(IF(A$9:A454=A454,T$9:T454)),""),"")</f>
        <v/>
      </c>
      <c r="O454" s="7" t="str" cm="1">
        <f t="array" ref="O454">IFERROR(IF(A455&lt;&gt;A454,_xlfn.STDEV.P(IF(A$9:A454=A454,S$9:S454)),""),"")</f>
        <v/>
      </c>
      <c r="P454" s="8" t="str">
        <f t="shared" si="141"/>
        <v/>
      </c>
      <c r="Q454" s="8" t="str">
        <f t="shared" si="142"/>
        <v/>
      </c>
      <c r="R454" s="8" t="str">
        <f t="shared" si="143"/>
        <v/>
      </c>
      <c r="S454" s="9" t="str">
        <f t="shared" si="144"/>
        <v/>
      </c>
      <c r="T454" s="9" t="str">
        <f t="shared" si="145"/>
        <v/>
      </c>
      <c r="U454" s="14"/>
      <c r="V454" s="15"/>
      <c r="W454" s="14" t="str">
        <f t="shared" si="146"/>
        <v/>
      </c>
      <c r="X454" s="15"/>
      <c r="Y454" s="2"/>
      <c r="AB454" s="22">
        <f t="shared" si="147"/>
        <v>1</v>
      </c>
      <c r="AC454" s="11"/>
      <c r="AD454" s="11"/>
      <c r="AE454" s="13"/>
      <c r="AF454" s="12"/>
      <c r="AG454" s="13"/>
      <c r="AH454" s="14"/>
      <c r="AI454" s="81" t="str">
        <f t="shared" si="148"/>
        <v/>
      </c>
      <c r="AJ454" s="15"/>
      <c r="AK454" s="6" t="e">
        <f t="shared" si="149"/>
        <v>#N/A</v>
      </c>
      <c r="AL454" s="6" t="str">
        <f>IF(AB455&lt;&gt;AB454,AVERAGEIF(AB$9:AB454,AB454,AK$9:AK454),"")</f>
        <v/>
      </c>
      <c r="AM454" s="7" t="str">
        <f>IFERROR(IF(AB455&lt;&gt;AB454,AVERAGEIF(AB$9:AB454,AB454,AT$9:AT454),""),"")</f>
        <v/>
      </c>
      <c r="AN454" s="7" t="str">
        <f>IFERROR(IF(AB455&lt;&gt;AB454,AVERAGEIF(AB$9:AB454,AB454,AU$9:AU454),""),"")</f>
        <v/>
      </c>
      <c r="AO454" s="7" t="str" cm="1">
        <f t="array" ref="AO454">IFERROR(IF(AB455&lt;&gt;AB454,_xlfn.STDEV.P(IF(AB$9:AB454=AB454,AU$9:AU454)),""),"")</f>
        <v/>
      </c>
      <c r="AP454" s="7" t="str" cm="1">
        <f t="array" ref="AP454">IFERROR(IF(AB455&lt;&gt;AB454,_xlfn.STDEV.P(IF(AB$9:AB454=AB454,AT$9:AT454)),""),"")</f>
        <v/>
      </c>
      <c r="AQ454" s="8" t="str">
        <f t="shared" si="150"/>
        <v/>
      </c>
      <c r="AR454" s="8" t="str">
        <f t="shared" si="151"/>
        <v/>
      </c>
      <c r="AS454" s="8" t="str">
        <f t="shared" si="152"/>
        <v/>
      </c>
      <c r="AT454" s="9" t="str">
        <f t="shared" si="153"/>
        <v/>
      </c>
      <c r="AU454" s="9" t="str">
        <f t="shared" si="154"/>
        <v/>
      </c>
      <c r="AV454" s="14"/>
      <c r="AW454" s="15"/>
      <c r="AX454" s="14" t="str">
        <f t="shared" si="155"/>
        <v/>
      </c>
      <c r="AY454" s="15"/>
      <c r="AZ454" s="23"/>
      <c r="EW454" t="s">
        <v>46</v>
      </c>
      <c r="EX454" s="33" t="s">
        <v>47</v>
      </c>
      <c r="EY454" s="33" t="s">
        <v>1178</v>
      </c>
      <c r="EZ454" s="33" t="s">
        <v>1179</v>
      </c>
      <c r="FA454" s="33" t="s">
        <v>343</v>
      </c>
      <c r="FB454" s="33" t="s">
        <v>1108</v>
      </c>
      <c r="FC454" s="33" t="s">
        <v>345</v>
      </c>
      <c r="FD454" s="33" t="s">
        <v>1108</v>
      </c>
      <c r="FE454" s="33">
        <v>2025</v>
      </c>
      <c r="FF454" s="33" t="s">
        <v>1109</v>
      </c>
      <c r="FG454" s="33" t="s">
        <v>386</v>
      </c>
      <c r="FH454" s="33" t="s">
        <v>387</v>
      </c>
      <c r="FI454" s="33" t="s">
        <v>407</v>
      </c>
      <c r="FJ454" t="s">
        <v>1109</v>
      </c>
      <c r="FM454" s="32" t="s">
        <v>1173</v>
      </c>
      <c r="FN454" t="s">
        <v>1174</v>
      </c>
      <c r="FO454" t="s">
        <v>1175</v>
      </c>
      <c r="FP454" t="str">
        <f t="shared" si="156"/>
        <v>C</v>
      </c>
      <c r="GV454" s="53">
        <v>448</v>
      </c>
    </row>
    <row r="455" spans="1:206" ht="15.5" x14ac:dyDescent="0.35">
      <c r="A455" s="95">
        <f t="shared" si="138"/>
        <v>1</v>
      </c>
      <c r="B455" s="11"/>
      <c r="C455" s="11"/>
      <c r="D455" s="92" t="str">
        <f>IFERROR(
IF(AND(OR(Planilla!B455="C",Planilla!B455="c"), VLOOKUP(E455,EX:FJ,13,0)="C"), "OK",IF(AND(OR(Planilla!B455="C",Planilla!B455="c"), OR(VLOOKUP(E455,EX:FJ,13,0)="B", VLOOKUP(E455,EX:FJ,13,0)="A")), "DEFICIT",IF(
AND(OR(Planilla!B455="B", Planilla!B455="BPAL"), VLOOKUP(E455,EX:FJ,13,0)="B"), "OK",IF(AND(OR(Planilla!B455="B", Planilla!B455="BPAL"), VLOOKUP(E455,EX:FJ,13,0)="A"), "DEFICIT",IF(AND(OR(Planilla!B455="B", Planilla!B455="BPAL"), VLOOKUP(E455,EX:FJ,13,0)="C"), "SOBREOFERTA",IF(AND(Planilla!B455="A", VLOOKUP(E455,EX:FJ,13,0)="A"), "OK",IF(
AND(Planilla!B455="A", OR(VLOOKUP(E455,EX:FJ,13,0)="B", VLOOKUP(E455,EX:FJ,13,0)="C")), "SOBREOFERTA",""
))))))),"")</f>
        <v/>
      </c>
      <c r="E455" s="12"/>
      <c r="F455" s="13"/>
      <c r="G455" s="14"/>
      <c r="H455" s="81" t="str">
        <f t="shared" si="139"/>
        <v/>
      </c>
      <c r="I455" s="7"/>
      <c r="J455" s="6" t="e">
        <f t="shared" si="140"/>
        <v>#N/A</v>
      </c>
      <c r="K455" s="6" t="str">
        <f>IF(A456&lt;&gt;A455,AVERAGEIF(A$9:A455,A455,J$9:J455),"")</f>
        <v/>
      </c>
      <c r="L455" s="7" t="str">
        <f>IFERROR(IF(A456&lt;&gt;A455,AVERAGEIF(A$9:A455,A455,S$9:S455),""),"")</f>
        <v/>
      </c>
      <c r="M455" s="7" t="str">
        <f>IFERROR(IF(A456&lt;&gt;A455,AVERAGEIF(A$9:A455,A455,T$9:T455),""),"")</f>
        <v/>
      </c>
      <c r="N455" s="7" t="str" cm="1">
        <f t="array" ref="N455">IFERROR(IF(A456&lt;&gt;A455,_xlfn.STDEV.P(IF(A$9:A455=A455,T$9:T455)),""),"")</f>
        <v/>
      </c>
      <c r="O455" s="7" t="str" cm="1">
        <f t="array" ref="O455">IFERROR(IF(A456&lt;&gt;A455,_xlfn.STDEV.P(IF(A$9:A455=A455,S$9:S455)),""),"")</f>
        <v/>
      </c>
      <c r="P455" s="8" t="str">
        <f t="shared" si="141"/>
        <v/>
      </c>
      <c r="Q455" s="8" t="str">
        <f t="shared" si="142"/>
        <v/>
      </c>
      <c r="R455" s="8" t="str">
        <f t="shared" si="143"/>
        <v/>
      </c>
      <c r="S455" s="9" t="str">
        <f t="shared" si="144"/>
        <v/>
      </c>
      <c r="T455" s="9" t="str">
        <f t="shared" si="145"/>
        <v/>
      </c>
      <c r="U455" s="14"/>
      <c r="V455" s="15"/>
      <c r="W455" s="14" t="str">
        <f t="shared" si="146"/>
        <v/>
      </c>
      <c r="X455" s="15"/>
      <c r="Y455" s="2"/>
      <c r="AB455" s="22">
        <f t="shared" si="147"/>
        <v>1</v>
      </c>
      <c r="AC455" s="11"/>
      <c r="AD455" s="11"/>
      <c r="AE455" s="13"/>
      <c r="AF455" s="12"/>
      <c r="AG455" s="13"/>
      <c r="AH455" s="14"/>
      <c r="AI455" s="81" t="str">
        <f t="shared" si="148"/>
        <v/>
      </c>
      <c r="AJ455" s="15"/>
      <c r="AK455" s="6" t="e">
        <f t="shared" si="149"/>
        <v>#N/A</v>
      </c>
      <c r="AL455" s="6" t="str">
        <f>IF(AB456&lt;&gt;AB455,AVERAGEIF(AB$9:AB455,AB455,AK$9:AK455),"")</f>
        <v/>
      </c>
      <c r="AM455" s="7" t="str">
        <f>IFERROR(IF(AB456&lt;&gt;AB455,AVERAGEIF(AB$9:AB455,AB455,AT$9:AT455),""),"")</f>
        <v/>
      </c>
      <c r="AN455" s="7" t="str">
        <f>IFERROR(IF(AB456&lt;&gt;AB455,AVERAGEIF(AB$9:AB455,AB455,AU$9:AU455),""),"")</f>
        <v/>
      </c>
      <c r="AO455" s="7" t="str" cm="1">
        <f t="array" ref="AO455">IFERROR(IF(AB456&lt;&gt;AB455,_xlfn.STDEV.P(IF(AB$9:AB455=AB455,AU$9:AU455)),""),"")</f>
        <v/>
      </c>
      <c r="AP455" s="7" t="str" cm="1">
        <f t="array" ref="AP455">IFERROR(IF(AB456&lt;&gt;AB455,_xlfn.STDEV.P(IF(AB$9:AB455=AB455,AT$9:AT455)),""),"")</f>
        <v/>
      </c>
      <c r="AQ455" s="8" t="str">
        <f t="shared" si="150"/>
        <v/>
      </c>
      <c r="AR455" s="8" t="str">
        <f t="shared" si="151"/>
        <v/>
      </c>
      <c r="AS455" s="8" t="str">
        <f t="shared" si="152"/>
        <v/>
      </c>
      <c r="AT455" s="9" t="str">
        <f t="shared" si="153"/>
        <v/>
      </c>
      <c r="AU455" s="9" t="str">
        <f t="shared" si="154"/>
        <v/>
      </c>
      <c r="AV455" s="14"/>
      <c r="AW455" s="15"/>
      <c r="AX455" s="14" t="str">
        <f t="shared" si="155"/>
        <v/>
      </c>
      <c r="AY455" s="15"/>
      <c r="AZ455" s="23"/>
      <c r="EW455" t="s">
        <v>46</v>
      </c>
      <c r="EX455" s="33" t="s">
        <v>47</v>
      </c>
      <c r="EY455" s="33" t="s">
        <v>1180</v>
      </c>
      <c r="EZ455" s="33" t="s">
        <v>1181</v>
      </c>
      <c r="FA455" s="33" t="s">
        <v>343</v>
      </c>
      <c r="FB455" s="33" t="s">
        <v>1108</v>
      </c>
      <c r="FC455" s="33" t="s">
        <v>345</v>
      </c>
      <c r="FD455" s="33" t="s">
        <v>1108</v>
      </c>
      <c r="FE455" s="33">
        <v>2025</v>
      </c>
      <c r="FF455" s="33" t="s">
        <v>1109</v>
      </c>
      <c r="FG455" s="33" t="s">
        <v>386</v>
      </c>
      <c r="FH455" s="33" t="s">
        <v>387</v>
      </c>
      <c r="FI455" s="33" t="s">
        <v>407</v>
      </c>
      <c r="FJ455" t="s">
        <v>1109</v>
      </c>
      <c r="FM455" s="32" t="s">
        <v>1173</v>
      </c>
      <c r="FN455" t="s">
        <v>1174</v>
      </c>
      <c r="FO455" t="s">
        <v>1175</v>
      </c>
      <c r="FP455" t="str">
        <f t="shared" si="156"/>
        <v>C</v>
      </c>
      <c r="FT455" s="68" t="s">
        <v>7380</v>
      </c>
      <c r="FU455" s="54" t="s">
        <v>7353</v>
      </c>
      <c r="FV455" s="54" t="s">
        <v>7354</v>
      </c>
      <c r="FW455" s="54" t="s">
        <v>7355</v>
      </c>
      <c r="FX455" s="54" t="s">
        <v>7356</v>
      </c>
      <c r="FY455" s="54" t="s">
        <v>7357</v>
      </c>
      <c r="FZ455" s="54" t="s">
        <v>7358</v>
      </c>
      <c r="GA455" s="54" t="s">
        <v>7359</v>
      </c>
      <c r="GB455" s="54" t="s">
        <v>7360</v>
      </c>
      <c r="GC455" s="54" t="s">
        <v>7361</v>
      </c>
      <c r="GD455" s="54" t="s">
        <v>7362</v>
      </c>
      <c r="GE455" s="54" t="s">
        <v>7363</v>
      </c>
      <c r="GF455" s="54" t="s">
        <v>7364</v>
      </c>
      <c r="GG455" s="54" t="s">
        <v>7365</v>
      </c>
      <c r="GH455" s="54" t="s">
        <v>7366</v>
      </c>
      <c r="GI455" s="54" t="s">
        <v>7367</v>
      </c>
      <c r="GJ455" s="54" t="s">
        <v>7368</v>
      </c>
      <c r="GK455" s="54" t="s">
        <v>7369</v>
      </c>
      <c r="GL455" s="54" t="s">
        <v>7370</v>
      </c>
      <c r="GM455" s="54" t="s">
        <v>7371</v>
      </c>
      <c r="GN455" s="54" t="s">
        <v>7372</v>
      </c>
      <c r="GO455" s="54" t="s">
        <v>7373</v>
      </c>
      <c r="GP455" s="54" t="s">
        <v>7374</v>
      </c>
      <c r="GQ455" s="54" t="s">
        <v>7375</v>
      </c>
      <c r="GR455" s="54" t="s">
        <v>7376</v>
      </c>
      <c r="GS455" s="55"/>
      <c r="GT455" s="55"/>
      <c r="GU455" s="56"/>
      <c r="GV455" s="53">
        <v>449</v>
      </c>
      <c r="GW455" s="55"/>
      <c r="GX455" s="55"/>
    </row>
    <row r="456" spans="1:206" ht="15.5" x14ac:dyDescent="0.35">
      <c r="A456" s="95">
        <f t="shared" si="138"/>
        <v>1</v>
      </c>
      <c r="B456" s="11"/>
      <c r="C456" s="11"/>
      <c r="D456" s="92" t="str">
        <f>IFERROR(
IF(AND(OR(Planilla!B456="C",Planilla!B456="c"), VLOOKUP(E456,EX:FJ,13,0)="C"), "OK",IF(AND(OR(Planilla!B456="C",Planilla!B456="c"), OR(VLOOKUP(E456,EX:FJ,13,0)="B", VLOOKUP(E456,EX:FJ,13,0)="A")), "DEFICIT",IF(
AND(OR(Planilla!B456="B", Planilla!B456="BPAL"), VLOOKUP(E456,EX:FJ,13,0)="B"), "OK",IF(AND(OR(Planilla!B456="B", Planilla!B456="BPAL"), VLOOKUP(E456,EX:FJ,13,0)="A"), "DEFICIT",IF(AND(OR(Planilla!B456="B", Planilla!B456="BPAL"), VLOOKUP(E456,EX:FJ,13,0)="C"), "SOBREOFERTA",IF(AND(Planilla!B456="A", VLOOKUP(E456,EX:FJ,13,0)="A"), "OK",IF(
AND(Planilla!B456="A", OR(VLOOKUP(E456,EX:FJ,13,0)="B", VLOOKUP(E456,EX:FJ,13,0)="C")), "SOBREOFERTA",""
))))))),"")</f>
        <v/>
      </c>
      <c r="E456" s="12"/>
      <c r="F456" s="13"/>
      <c r="G456" s="14"/>
      <c r="H456" s="81" t="str">
        <f t="shared" si="139"/>
        <v/>
      </c>
      <c r="I456" s="7"/>
      <c r="J456" s="6" t="e">
        <f t="shared" si="140"/>
        <v>#N/A</v>
      </c>
      <c r="K456" s="6" t="str">
        <f>IF(A457&lt;&gt;A456,AVERAGEIF(A$9:A456,A456,J$9:J456),"")</f>
        <v/>
      </c>
      <c r="L456" s="7" t="str">
        <f>IFERROR(IF(A457&lt;&gt;A456,AVERAGEIF(A$9:A456,A456,S$9:S456),""),"")</f>
        <v/>
      </c>
      <c r="M456" s="7" t="str">
        <f>IFERROR(IF(A457&lt;&gt;A456,AVERAGEIF(A$9:A456,A456,T$9:T456),""),"")</f>
        <v/>
      </c>
      <c r="N456" s="7" t="str" cm="1">
        <f t="array" ref="N456">IFERROR(IF(A457&lt;&gt;A456,_xlfn.STDEV.P(IF(A$9:A456=A456,T$9:T456)),""),"")</f>
        <v/>
      </c>
      <c r="O456" s="7" t="str" cm="1">
        <f t="array" ref="O456">IFERROR(IF(A457&lt;&gt;A456,_xlfn.STDEV.P(IF(A$9:A456=A456,S$9:S456)),""),"")</f>
        <v/>
      </c>
      <c r="P456" s="8" t="str">
        <f t="shared" si="141"/>
        <v/>
      </c>
      <c r="Q456" s="8" t="str">
        <f t="shared" si="142"/>
        <v/>
      </c>
      <c r="R456" s="8" t="str">
        <f t="shared" si="143"/>
        <v/>
      </c>
      <c r="S456" s="9" t="str">
        <f t="shared" si="144"/>
        <v/>
      </c>
      <c r="T456" s="9" t="str">
        <f t="shared" si="145"/>
        <v/>
      </c>
      <c r="U456" s="14"/>
      <c r="V456" s="15"/>
      <c r="W456" s="14" t="str">
        <f t="shared" si="146"/>
        <v/>
      </c>
      <c r="X456" s="15"/>
      <c r="Y456" s="2"/>
      <c r="AB456" s="22">
        <f t="shared" si="147"/>
        <v>1</v>
      </c>
      <c r="AC456" s="11"/>
      <c r="AD456" s="11"/>
      <c r="AE456" s="13"/>
      <c r="AF456" s="12"/>
      <c r="AG456" s="13"/>
      <c r="AH456" s="14"/>
      <c r="AI456" s="81" t="str">
        <f t="shared" si="148"/>
        <v/>
      </c>
      <c r="AJ456" s="15"/>
      <c r="AK456" s="6" t="e">
        <f t="shared" si="149"/>
        <v>#N/A</v>
      </c>
      <c r="AL456" s="6" t="str">
        <f>IF(AB457&lt;&gt;AB456,AVERAGEIF(AB$9:AB456,AB456,AK$9:AK456),"")</f>
        <v/>
      </c>
      <c r="AM456" s="7" t="str">
        <f>IFERROR(IF(AB457&lt;&gt;AB456,AVERAGEIF(AB$9:AB456,AB456,AT$9:AT456),""),"")</f>
        <v/>
      </c>
      <c r="AN456" s="7" t="str">
        <f>IFERROR(IF(AB457&lt;&gt;AB456,AVERAGEIF(AB$9:AB456,AB456,AU$9:AU456),""),"")</f>
        <v/>
      </c>
      <c r="AO456" s="7" t="str" cm="1">
        <f t="array" ref="AO456">IFERROR(IF(AB457&lt;&gt;AB456,_xlfn.STDEV.P(IF(AB$9:AB456=AB456,AU$9:AU456)),""),"")</f>
        <v/>
      </c>
      <c r="AP456" s="7" t="str" cm="1">
        <f t="array" ref="AP456">IFERROR(IF(AB457&lt;&gt;AB456,_xlfn.STDEV.P(IF(AB$9:AB456=AB456,AT$9:AT456)),""),"")</f>
        <v/>
      </c>
      <c r="AQ456" s="8" t="str">
        <f t="shared" si="150"/>
        <v/>
      </c>
      <c r="AR456" s="8" t="str">
        <f t="shared" si="151"/>
        <v/>
      </c>
      <c r="AS456" s="8" t="str">
        <f t="shared" si="152"/>
        <v/>
      </c>
      <c r="AT456" s="9" t="str">
        <f t="shared" si="153"/>
        <v/>
      </c>
      <c r="AU456" s="9" t="str">
        <f t="shared" si="154"/>
        <v/>
      </c>
      <c r="AV456" s="14"/>
      <c r="AW456" s="15"/>
      <c r="AX456" s="14" t="str">
        <f t="shared" si="155"/>
        <v/>
      </c>
      <c r="AY456" s="15"/>
      <c r="AZ456" s="23"/>
      <c r="EW456" t="s">
        <v>46</v>
      </c>
      <c r="EX456" s="33" t="s">
        <v>47</v>
      </c>
      <c r="EY456" s="33" t="s">
        <v>1182</v>
      </c>
      <c r="EZ456" s="33" t="s">
        <v>1183</v>
      </c>
      <c r="FA456" s="33" t="s">
        <v>343</v>
      </c>
      <c r="FB456" s="33" t="s">
        <v>1108</v>
      </c>
      <c r="FC456" s="33" t="s">
        <v>345</v>
      </c>
      <c r="FD456" s="33" t="s">
        <v>1108</v>
      </c>
      <c r="FE456" s="33">
        <v>2025</v>
      </c>
      <c r="FF456" s="33" t="s">
        <v>1109</v>
      </c>
      <c r="FG456" s="33" t="s">
        <v>386</v>
      </c>
      <c r="FH456" s="33" t="s">
        <v>387</v>
      </c>
      <c r="FI456" s="33" t="s">
        <v>407</v>
      </c>
      <c r="FJ456" t="s">
        <v>1109</v>
      </c>
      <c r="FM456" s="32" t="s">
        <v>1173</v>
      </c>
      <c r="FN456" t="s">
        <v>1174</v>
      </c>
      <c r="FO456" t="s">
        <v>1175</v>
      </c>
      <c r="FP456" t="str">
        <f t="shared" si="156"/>
        <v>C</v>
      </c>
      <c r="FT456" s="68" t="s">
        <v>7377</v>
      </c>
      <c r="FU456" s="57">
        <v>0</v>
      </c>
      <c r="FV456" s="57">
        <v>4.1666666666666664E-2</v>
      </c>
      <c r="FW456" s="57">
        <v>8.3333333333333301E-2</v>
      </c>
      <c r="FX456" s="57">
        <v>0.125</v>
      </c>
      <c r="FY456" s="57">
        <v>0.16666666666666699</v>
      </c>
      <c r="FZ456" s="57">
        <v>0.20833333333333301</v>
      </c>
      <c r="GA456" s="57">
        <v>0.25</v>
      </c>
      <c r="GB456" s="57">
        <v>0.29166666666666702</v>
      </c>
      <c r="GC456" s="57">
        <v>0.33333333333333298</v>
      </c>
      <c r="GD456" s="57">
        <v>0.375</v>
      </c>
      <c r="GE456" s="57">
        <v>0.41666666666666702</v>
      </c>
      <c r="GF456" s="57">
        <v>0.45833333333333298</v>
      </c>
      <c r="GG456" s="57">
        <v>0.5</v>
      </c>
      <c r="GH456" s="57">
        <v>0.54166666666666696</v>
      </c>
      <c r="GI456" s="57">
        <v>0.58333333333333304</v>
      </c>
      <c r="GJ456" s="57">
        <v>0.625</v>
      </c>
      <c r="GK456" s="57">
        <v>0.66666666666666696</v>
      </c>
      <c r="GL456" s="57">
        <v>0.70833333333333304</v>
      </c>
      <c r="GM456" s="57">
        <v>0.75</v>
      </c>
      <c r="GN456" s="57">
        <v>0.79166666666666696</v>
      </c>
      <c r="GO456" s="57">
        <v>0.83333333333333304</v>
      </c>
      <c r="GP456" s="57">
        <v>0.875</v>
      </c>
      <c r="GQ456" s="57">
        <v>0.91666666666666696</v>
      </c>
      <c r="GR456" s="57">
        <v>0.95833333333333304</v>
      </c>
      <c r="GS456" s="55"/>
      <c r="GT456" s="55"/>
      <c r="GU456" s="53">
        <v>1</v>
      </c>
      <c r="GV456" s="53">
        <v>450</v>
      </c>
      <c r="GW456" s="55"/>
      <c r="GX456" s="55"/>
    </row>
    <row r="457" spans="1:206" ht="15.5" x14ac:dyDescent="0.35">
      <c r="A457" s="95">
        <f t="shared" si="138"/>
        <v>1</v>
      </c>
      <c r="B457" s="11"/>
      <c r="C457" s="11"/>
      <c r="D457" s="92" t="str">
        <f>IFERROR(
IF(AND(OR(Planilla!B457="C",Planilla!B457="c"), VLOOKUP(E457,EX:FJ,13,0)="C"), "OK",IF(AND(OR(Planilla!B457="C",Planilla!B457="c"), OR(VLOOKUP(E457,EX:FJ,13,0)="B", VLOOKUP(E457,EX:FJ,13,0)="A")), "DEFICIT",IF(
AND(OR(Planilla!B457="B", Planilla!B457="BPAL"), VLOOKUP(E457,EX:FJ,13,0)="B"), "OK",IF(AND(OR(Planilla!B457="B", Planilla!B457="BPAL"), VLOOKUP(E457,EX:FJ,13,0)="A"), "DEFICIT",IF(AND(OR(Planilla!B457="B", Planilla!B457="BPAL"), VLOOKUP(E457,EX:FJ,13,0)="C"), "SOBREOFERTA",IF(AND(Planilla!B457="A", VLOOKUP(E457,EX:FJ,13,0)="A"), "OK",IF(
AND(Planilla!B457="A", OR(VLOOKUP(E457,EX:FJ,13,0)="B", VLOOKUP(E457,EX:FJ,13,0)="C")), "SOBREOFERTA",""
))))))),"")</f>
        <v/>
      </c>
      <c r="E457" s="12"/>
      <c r="F457" s="13"/>
      <c r="G457" s="14"/>
      <c r="H457" s="81" t="str">
        <f t="shared" si="139"/>
        <v/>
      </c>
      <c r="I457" s="7"/>
      <c r="J457" s="6" t="e">
        <f t="shared" si="140"/>
        <v>#N/A</v>
      </c>
      <c r="K457" s="6" t="str">
        <f>IF(A458&lt;&gt;A457,AVERAGEIF(A$9:A457,A457,J$9:J457),"")</f>
        <v/>
      </c>
      <c r="L457" s="7" t="str">
        <f>IFERROR(IF(A458&lt;&gt;A457,AVERAGEIF(A$9:A457,A457,S$9:S457),""),"")</f>
        <v/>
      </c>
      <c r="M457" s="7" t="str">
        <f>IFERROR(IF(A458&lt;&gt;A457,AVERAGEIF(A$9:A457,A457,T$9:T457),""),"")</f>
        <v/>
      </c>
      <c r="N457" s="7" t="str" cm="1">
        <f t="array" ref="N457">IFERROR(IF(A458&lt;&gt;A457,_xlfn.STDEV.P(IF(A$9:A457=A457,T$9:T457)),""),"")</f>
        <v/>
      </c>
      <c r="O457" s="7" t="str" cm="1">
        <f t="array" ref="O457">IFERROR(IF(A458&lt;&gt;A457,_xlfn.STDEV.P(IF(A$9:A457=A457,S$9:S457)),""),"")</f>
        <v/>
      </c>
      <c r="P457" s="8" t="str">
        <f t="shared" si="141"/>
        <v/>
      </c>
      <c r="Q457" s="8" t="str">
        <f t="shared" si="142"/>
        <v/>
      </c>
      <c r="R457" s="8" t="str">
        <f t="shared" si="143"/>
        <v/>
      </c>
      <c r="S457" s="9" t="str">
        <f t="shared" si="144"/>
        <v/>
      </c>
      <c r="T457" s="9" t="str">
        <f t="shared" si="145"/>
        <v/>
      </c>
      <c r="U457" s="14"/>
      <c r="V457" s="15"/>
      <c r="W457" s="14" t="str">
        <f t="shared" si="146"/>
        <v/>
      </c>
      <c r="X457" s="15"/>
      <c r="Y457" s="2"/>
      <c r="AB457" s="22">
        <f t="shared" si="147"/>
        <v>1</v>
      </c>
      <c r="AC457" s="11"/>
      <c r="AD457" s="11"/>
      <c r="AE457" s="13"/>
      <c r="AF457" s="12"/>
      <c r="AG457" s="13"/>
      <c r="AH457" s="14"/>
      <c r="AI457" s="81" t="str">
        <f t="shared" si="148"/>
        <v/>
      </c>
      <c r="AJ457" s="15"/>
      <c r="AK457" s="6" t="e">
        <f t="shared" si="149"/>
        <v>#N/A</v>
      </c>
      <c r="AL457" s="6" t="str">
        <f>IF(AB458&lt;&gt;AB457,AVERAGEIF(AB$9:AB457,AB457,AK$9:AK457),"")</f>
        <v/>
      </c>
      <c r="AM457" s="7" t="str">
        <f>IFERROR(IF(AB458&lt;&gt;AB457,AVERAGEIF(AB$9:AB457,AB457,AT$9:AT457),""),"")</f>
        <v/>
      </c>
      <c r="AN457" s="7" t="str">
        <f>IFERROR(IF(AB458&lt;&gt;AB457,AVERAGEIF(AB$9:AB457,AB457,AU$9:AU457),""),"")</f>
        <v/>
      </c>
      <c r="AO457" s="7" t="str" cm="1">
        <f t="array" ref="AO457">IFERROR(IF(AB458&lt;&gt;AB457,_xlfn.STDEV.P(IF(AB$9:AB457=AB457,AU$9:AU457)),""),"")</f>
        <v/>
      </c>
      <c r="AP457" s="7" t="str" cm="1">
        <f t="array" ref="AP457">IFERROR(IF(AB458&lt;&gt;AB457,_xlfn.STDEV.P(IF(AB$9:AB457=AB457,AT$9:AT457)),""),"")</f>
        <v/>
      </c>
      <c r="AQ457" s="8" t="str">
        <f t="shared" si="150"/>
        <v/>
      </c>
      <c r="AR457" s="8" t="str">
        <f t="shared" si="151"/>
        <v/>
      </c>
      <c r="AS457" s="8" t="str">
        <f t="shared" si="152"/>
        <v/>
      </c>
      <c r="AT457" s="9" t="str">
        <f t="shared" si="153"/>
        <v/>
      </c>
      <c r="AU457" s="9" t="str">
        <f t="shared" si="154"/>
        <v/>
      </c>
      <c r="AV457" s="14"/>
      <c r="AW457" s="15"/>
      <c r="AX457" s="14" t="str">
        <f t="shared" si="155"/>
        <v/>
      </c>
      <c r="AY457" s="15"/>
      <c r="AZ457" s="23"/>
      <c r="EW457" t="s">
        <v>46</v>
      </c>
      <c r="EX457" s="33" t="s">
        <v>47</v>
      </c>
      <c r="EY457" s="33" t="s">
        <v>1184</v>
      </c>
      <c r="EZ457" s="33" t="s">
        <v>1185</v>
      </c>
      <c r="FA457" s="33" t="s">
        <v>343</v>
      </c>
      <c r="FB457" s="33" t="s">
        <v>1108</v>
      </c>
      <c r="FC457" s="33" t="s">
        <v>345</v>
      </c>
      <c r="FD457" s="33" t="s">
        <v>1108</v>
      </c>
      <c r="FE457" s="33">
        <v>2025</v>
      </c>
      <c r="FF457" s="33" t="s">
        <v>1109</v>
      </c>
      <c r="FG457" s="33" t="s">
        <v>386</v>
      </c>
      <c r="FH457" s="33" t="s">
        <v>387</v>
      </c>
      <c r="FI457" s="33" t="s">
        <v>407</v>
      </c>
      <c r="FJ457" t="s">
        <v>1109</v>
      </c>
      <c r="FM457" s="32" t="s">
        <v>1173</v>
      </c>
      <c r="FN457" t="s">
        <v>1174</v>
      </c>
      <c r="FO457" t="s">
        <v>1175</v>
      </c>
      <c r="FP457" t="str">
        <f t="shared" si="156"/>
        <v>C</v>
      </c>
      <c r="FT457" s="68" t="s">
        <v>7378</v>
      </c>
      <c r="FU457" s="59">
        <v>1</v>
      </c>
      <c r="FV457" s="59">
        <v>1</v>
      </c>
      <c r="FW457" s="59">
        <v>1</v>
      </c>
      <c r="FX457" s="59">
        <v>1</v>
      </c>
      <c r="FY457" s="59">
        <v>1</v>
      </c>
      <c r="FZ457" s="59">
        <v>1</v>
      </c>
      <c r="GA457" s="59">
        <v>1</v>
      </c>
      <c r="GB457" s="59">
        <v>1</v>
      </c>
      <c r="GC457" s="59">
        <v>1</v>
      </c>
      <c r="GD457" s="59">
        <v>1</v>
      </c>
      <c r="GE457" s="59">
        <v>1</v>
      </c>
      <c r="GF457" s="59">
        <v>1</v>
      </c>
      <c r="GG457" s="59">
        <v>1</v>
      </c>
      <c r="GH457" s="59">
        <v>1</v>
      </c>
      <c r="GI457" s="59">
        <v>1</v>
      </c>
      <c r="GJ457" s="59">
        <v>1</v>
      </c>
      <c r="GK457" s="59">
        <v>1</v>
      </c>
      <c r="GL457" s="59">
        <v>1</v>
      </c>
      <c r="GM457" s="59">
        <v>1</v>
      </c>
      <c r="GN457" s="59">
        <v>1</v>
      </c>
      <c r="GO457" s="59">
        <v>1</v>
      </c>
      <c r="GP457" s="59">
        <v>1</v>
      </c>
      <c r="GQ457" s="59">
        <v>1</v>
      </c>
      <c r="GR457" s="59">
        <v>1</v>
      </c>
      <c r="GS457" s="55"/>
      <c r="GT457" s="55"/>
      <c r="GU457" s="53">
        <v>2</v>
      </c>
      <c r="GV457" s="53">
        <v>451</v>
      </c>
      <c r="GW457" s="55"/>
      <c r="GX457" s="55"/>
    </row>
    <row r="458" spans="1:206" ht="15.5" x14ac:dyDescent="0.35">
      <c r="A458" s="95">
        <f t="shared" si="138"/>
        <v>1</v>
      </c>
      <c r="B458" s="11"/>
      <c r="C458" s="11"/>
      <c r="D458" s="92" t="str">
        <f>IFERROR(
IF(AND(OR(Planilla!B458="C",Planilla!B458="c"), VLOOKUP(E458,EX:FJ,13,0)="C"), "OK",IF(AND(OR(Planilla!B458="C",Planilla!B458="c"), OR(VLOOKUP(E458,EX:FJ,13,0)="B", VLOOKUP(E458,EX:FJ,13,0)="A")), "DEFICIT",IF(
AND(OR(Planilla!B458="B", Planilla!B458="BPAL"), VLOOKUP(E458,EX:FJ,13,0)="B"), "OK",IF(AND(OR(Planilla!B458="B", Planilla!B458="BPAL"), VLOOKUP(E458,EX:FJ,13,0)="A"), "DEFICIT",IF(AND(OR(Planilla!B458="B", Planilla!B458="BPAL"), VLOOKUP(E458,EX:FJ,13,0)="C"), "SOBREOFERTA",IF(AND(Planilla!B458="A", VLOOKUP(E458,EX:FJ,13,0)="A"), "OK",IF(
AND(Planilla!B458="A", OR(VLOOKUP(E458,EX:FJ,13,0)="B", VLOOKUP(E458,EX:FJ,13,0)="C")), "SOBREOFERTA",""
))))))),"")</f>
        <v/>
      </c>
      <c r="E458" s="12"/>
      <c r="F458" s="13"/>
      <c r="G458" s="14"/>
      <c r="H458" s="81" t="str">
        <f t="shared" si="139"/>
        <v/>
      </c>
      <c r="I458" s="7"/>
      <c r="J458" s="6" t="e">
        <f t="shared" si="140"/>
        <v>#N/A</v>
      </c>
      <c r="K458" s="6" t="str">
        <f>IF(A459&lt;&gt;A458,AVERAGEIF(A$9:A458,A458,J$9:J458),"")</f>
        <v/>
      </c>
      <c r="L458" s="7" t="str">
        <f>IFERROR(IF(A459&lt;&gt;A458,AVERAGEIF(A$9:A458,A458,S$9:S458),""),"")</f>
        <v/>
      </c>
      <c r="M458" s="7" t="str">
        <f>IFERROR(IF(A459&lt;&gt;A458,AVERAGEIF(A$9:A458,A458,T$9:T458),""),"")</f>
        <v/>
      </c>
      <c r="N458" s="7" t="str" cm="1">
        <f t="array" ref="N458">IFERROR(IF(A459&lt;&gt;A458,_xlfn.STDEV.P(IF(A$9:A458=A458,T$9:T458)),""),"")</f>
        <v/>
      </c>
      <c r="O458" s="7" t="str" cm="1">
        <f t="array" ref="O458">IFERROR(IF(A459&lt;&gt;A458,_xlfn.STDEV.P(IF(A$9:A458=A458,S$9:S458)),""),"")</f>
        <v/>
      </c>
      <c r="P458" s="8" t="str">
        <f t="shared" si="141"/>
        <v/>
      </c>
      <c r="Q458" s="8" t="str">
        <f t="shared" si="142"/>
        <v/>
      </c>
      <c r="R458" s="8" t="str">
        <f t="shared" si="143"/>
        <v/>
      </c>
      <c r="S458" s="9" t="str">
        <f t="shared" si="144"/>
        <v/>
      </c>
      <c r="T458" s="9" t="str">
        <f t="shared" si="145"/>
        <v/>
      </c>
      <c r="U458" s="14"/>
      <c r="V458" s="15"/>
      <c r="W458" s="14" t="str">
        <f t="shared" si="146"/>
        <v/>
      </c>
      <c r="X458" s="15"/>
      <c r="Y458" s="2"/>
      <c r="AB458" s="22">
        <f t="shared" si="147"/>
        <v>1</v>
      </c>
      <c r="AC458" s="11"/>
      <c r="AD458" s="11"/>
      <c r="AE458" s="13"/>
      <c r="AF458" s="12"/>
      <c r="AG458" s="13"/>
      <c r="AH458" s="14"/>
      <c r="AI458" s="81" t="str">
        <f t="shared" si="148"/>
        <v/>
      </c>
      <c r="AJ458" s="15"/>
      <c r="AK458" s="6" t="e">
        <f t="shared" si="149"/>
        <v>#N/A</v>
      </c>
      <c r="AL458" s="6" t="str">
        <f>IF(AB459&lt;&gt;AB458,AVERAGEIF(AB$9:AB458,AB458,AK$9:AK458),"")</f>
        <v/>
      </c>
      <c r="AM458" s="7" t="str">
        <f>IFERROR(IF(AB459&lt;&gt;AB458,AVERAGEIF(AB$9:AB458,AB458,AT$9:AT458),""),"")</f>
        <v/>
      </c>
      <c r="AN458" s="7" t="str">
        <f>IFERROR(IF(AB459&lt;&gt;AB458,AVERAGEIF(AB$9:AB458,AB458,AU$9:AU458),""),"")</f>
        <v/>
      </c>
      <c r="AO458" s="7" t="str" cm="1">
        <f t="array" ref="AO458">IFERROR(IF(AB459&lt;&gt;AB458,_xlfn.STDEV.P(IF(AB$9:AB458=AB458,AU$9:AU458)),""),"")</f>
        <v/>
      </c>
      <c r="AP458" s="7" t="str" cm="1">
        <f t="array" ref="AP458">IFERROR(IF(AB459&lt;&gt;AB458,_xlfn.STDEV.P(IF(AB$9:AB458=AB458,AT$9:AT458)),""),"")</f>
        <v/>
      </c>
      <c r="AQ458" s="8" t="str">
        <f t="shared" si="150"/>
        <v/>
      </c>
      <c r="AR458" s="8" t="str">
        <f t="shared" si="151"/>
        <v/>
      </c>
      <c r="AS458" s="8" t="str">
        <f t="shared" si="152"/>
        <v/>
      </c>
      <c r="AT458" s="9" t="str">
        <f t="shared" si="153"/>
        <v/>
      </c>
      <c r="AU458" s="9" t="str">
        <f t="shared" si="154"/>
        <v/>
      </c>
      <c r="AV458" s="14"/>
      <c r="AW458" s="15"/>
      <c r="AX458" s="14" t="str">
        <f t="shared" si="155"/>
        <v/>
      </c>
      <c r="AY458" s="15"/>
      <c r="AZ458" s="23"/>
      <c r="EW458" t="s">
        <v>46</v>
      </c>
      <c r="EX458" s="33" t="s">
        <v>47</v>
      </c>
      <c r="EY458" s="33" t="s">
        <v>1186</v>
      </c>
      <c r="EZ458" s="33" t="s">
        <v>1187</v>
      </c>
      <c r="FA458" s="33" t="s">
        <v>343</v>
      </c>
      <c r="FB458" s="33" t="s">
        <v>1108</v>
      </c>
      <c r="FC458" s="33" t="s">
        <v>345</v>
      </c>
      <c r="FD458" s="33" t="s">
        <v>1108</v>
      </c>
      <c r="FE458" s="33">
        <v>2025</v>
      </c>
      <c r="FF458" s="33" t="s">
        <v>1109</v>
      </c>
      <c r="FG458" s="33" t="s">
        <v>386</v>
      </c>
      <c r="FH458" s="33" t="s">
        <v>387</v>
      </c>
      <c r="FI458" s="33" t="s">
        <v>407</v>
      </c>
      <c r="FJ458" t="s">
        <v>1109</v>
      </c>
      <c r="FM458" s="32" t="s">
        <v>1173</v>
      </c>
      <c r="FN458" t="s">
        <v>1174</v>
      </c>
      <c r="FO458" t="s">
        <v>1175</v>
      </c>
      <c r="FP458" t="str">
        <f t="shared" si="156"/>
        <v>C</v>
      </c>
      <c r="FT458" s="69" t="s">
        <v>7388</v>
      </c>
      <c r="FU458" s="61">
        <v>0</v>
      </c>
      <c r="FV458" s="61">
        <v>0</v>
      </c>
      <c r="FW458" s="61">
        <v>0</v>
      </c>
      <c r="FX458" s="61">
        <v>0</v>
      </c>
      <c r="FY458" s="61">
        <v>0</v>
      </c>
      <c r="FZ458" s="61">
        <v>11.305</v>
      </c>
      <c r="GA458" s="61">
        <v>22.619999999999997</v>
      </c>
      <c r="GB458" s="61">
        <v>21.5</v>
      </c>
      <c r="GC458" s="61">
        <v>20.164999999999999</v>
      </c>
      <c r="GD458" s="61">
        <v>19.314999999999998</v>
      </c>
      <c r="GE458" s="61">
        <v>18.78</v>
      </c>
      <c r="GF458" s="61">
        <v>17.759999999999998</v>
      </c>
      <c r="GG458" s="61">
        <v>17.420000000000002</v>
      </c>
      <c r="GH458" s="61">
        <v>17.479999999999997</v>
      </c>
      <c r="GI458" s="61">
        <v>17.954999999999998</v>
      </c>
      <c r="GJ458" s="61">
        <v>17.87</v>
      </c>
      <c r="GK458" s="61">
        <v>17.274999999999999</v>
      </c>
      <c r="GL458" s="61">
        <v>16.130000000000003</v>
      </c>
      <c r="GM458" s="61">
        <v>16.080000000000002</v>
      </c>
      <c r="GN458" s="61">
        <v>16.350000000000001</v>
      </c>
      <c r="GO458" s="61">
        <v>17.57</v>
      </c>
      <c r="GP458" s="61">
        <v>19.399999999999999</v>
      </c>
      <c r="GQ458" s="61">
        <v>22.15</v>
      </c>
      <c r="GR458" s="61">
        <v>25.005000000000003</v>
      </c>
      <c r="GU458" s="53">
        <v>3</v>
      </c>
      <c r="GV458" s="53">
        <v>452</v>
      </c>
    </row>
    <row r="459" spans="1:206" ht="15.5" x14ac:dyDescent="0.35">
      <c r="A459" s="95">
        <f t="shared" si="138"/>
        <v>1</v>
      </c>
      <c r="B459" s="11"/>
      <c r="C459" s="11"/>
      <c r="D459" s="92" t="str">
        <f>IFERROR(
IF(AND(OR(Planilla!B459="C",Planilla!B459="c"), VLOOKUP(E459,EX:FJ,13,0)="C"), "OK",IF(AND(OR(Planilla!B459="C",Planilla!B459="c"), OR(VLOOKUP(E459,EX:FJ,13,0)="B", VLOOKUP(E459,EX:FJ,13,0)="A")), "DEFICIT",IF(
AND(OR(Planilla!B459="B", Planilla!B459="BPAL"), VLOOKUP(E459,EX:FJ,13,0)="B"), "OK",IF(AND(OR(Planilla!B459="B", Planilla!B459="BPAL"), VLOOKUP(E459,EX:FJ,13,0)="A"), "DEFICIT",IF(AND(OR(Planilla!B459="B", Planilla!B459="BPAL"), VLOOKUP(E459,EX:FJ,13,0)="C"), "SOBREOFERTA",IF(AND(Planilla!B459="A", VLOOKUP(E459,EX:FJ,13,0)="A"), "OK",IF(
AND(Planilla!B459="A", OR(VLOOKUP(E459,EX:FJ,13,0)="B", VLOOKUP(E459,EX:FJ,13,0)="C")), "SOBREOFERTA",""
))))))),"")</f>
        <v/>
      </c>
      <c r="E459" s="12"/>
      <c r="F459" s="13"/>
      <c r="G459" s="14"/>
      <c r="H459" s="81" t="str">
        <f t="shared" si="139"/>
        <v/>
      </c>
      <c r="I459" s="7"/>
      <c r="J459" s="6" t="e">
        <f t="shared" si="140"/>
        <v>#N/A</v>
      </c>
      <c r="K459" s="6" t="str">
        <f>IF(A460&lt;&gt;A459,AVERAGEIF(A$9:A459,A459,J$9:J459),"")</f>
        <v/>
      </c>
      <c r="L459" s="7" t="str">
        <f>IFERROR(IF(A460&lt;&gt;A459,AVERAGEIF(A$9:A459,A459,S$9:S459),""),"")</f>
        <v/>
      </c>
      <c r="M459" s="7" t="str">
        <f>IFERROR(IF(A460&lt;&gt;A459,AVERAGEIF(A$9:A459,A459,T$9:T459),""),"")</f>
        <v/>
      </c>
      <c r="N459" s="7" t="str" cm="1">
        <f t="array" ref="N459">IFERROR(IF(A460&lt;&gt;A459,_xlfn.STDEV.P(IF(A$9:A459=A459,T$9:T459)),""),"")</f>
        <v/>
      </c>
      <c r="O459" s="7" t="str" cm="1">
        <f t="array" ref="O459">IFERROR(IF(A460&lt;&gt;A459,_xlfn.STDEV.P(IF(A$9:A459=A459,S$9:S459)),""),"")</f>
        <v/>
      </c>
      <c r="P459" s="8" t="str">
        <f t="shared" si="141"/>
        <v/>
      </c>
      <c r="Q459" s="8" t="str">
        <f t="shared" si="142"/>
        <v/>
      </c>
      <c r="R459" s="8" t="str">
        <f t="shared" si="143"/>
        <v/>
      </c>
      <c r="S459" s="9" t="str">
        <f t="shared" si="144"/>
        <v/>
      </c>
      <c r="T459" s="9" t="str">
        <f t="shared" si="145"/>
        <v/>
      </c>
      <c r="U459" s="14"/>
      <c r="V459" s="15"/>
      <c r="W459" s="14" t="str">
        <f t="shared" si="146"/>
        <v/>
      </c>
      <c r="X459" s="15"/>
      <c r="Y459" s="2"/>
      <c r="AB459" s="22">
        <f t="shared" si="147"/>
        <v>1</v>
      </c>
      <c r="AC459" s="11"/>
      <c r="AD459" s="11"/>
      <c r="AE459" s="13"/>
      <c r="AF459" s="12"/>
      <c r="AG459" s="13"/>
      <c r="AH459" s="14"/>
      <c r="AI459" s="81" t="str">
        <f t="shared" si="148"/>
        <v/>
      </c>
      <c r="AJ459" s="15"/>
      <c r="AK459" s="6" t="e">
        <f t="shared" si="149"/>
        <v>#N/A</v>
      </c>
      <c r="AL459" s="6" t="str">
        <f>IF(AB460&lt;&gt;AB459,AVERAGEIF(AB$9:AB459,AB459,AK$9:AK459),"")</f>
        <v/>
      </c>
      <c r="AM459" s="7" t="str">
        <f>IFERROR(IF(AB460&lt;&gt;AB459,AVERAGEIF(AB$9:AB459,AB459,AT$9:AT459),""),"")</f>
        <v/>
      </c>
      <c r="AN459" s="7" t="str">
        <f>IFERROR(IF(AB460&lt;&gt;AB459,AVERAGEIF(AB$9:AB459,AB459,AU$9:AU459),""),"")</f>
        <v/>
      </c>
      <c r="AO459" s="7" t="str" cm="1">
        <f t="array" ref="AO459">IFERROR(IF(AB460&lt;&gt;AB459,_xlfn.STDEV.P(IF(AB$9:AB459=AB459,AU$9:AU459)),""),"")</f>
        <v/>
      </c>
      <c r="AP459" s="7" t="str" cm="1">
        <f t="array" ref="AP459">IFERROR(IF(AB460&lt;&gt;AB459,_xlfn.STDEV.P(IF(AB$9:AB459=AB459,AT$9:AT459)),""),"")</f>
        <v/>
      </c>
      <c r="AQ459" s="8" t="str">
        <f t="shared" si="150"/>
        <v/>
      </c>
      <c r="AR459" s="8" t="str">
        <f t="shared" si="151"/>
        <v/>
      </c>
      <c r="AS459" s="8" t="str">
        <f t="shared" si="152"/>
        <v/>
      </c>
      <c r="AT459" s="9" t="str">
        <f t="shared" si="153"/>
        <v/>
      </c>
      <c r="AU459" s="9" t="str">
        <f t="shared" si="154"/>
        <v/>
      </c>
      <c r="AV459" s="14"/>
      <c r="AW459" s="15"/>
      <c r="AX459" s="14" t="str">
        <f t="shared" si="155"/>
        <v/>
      </c>
      <c r="AY459" s="15"/>
      <c r="AZ459" s="23"/>
      <c r="EW459" t="s">
        <v>46</v>
      </c>
      <c r="EX459" s="33" t="s">
        <v>47</v>
      </c>
      <c r="EY459" s="33" t="s">
        <v>1188</v>
      </c>
      <c r="EZ459" s="33" t="s">
        <v>1189</v>
      </c>
      <c r="FA459" s="33" t="s">
        <v>343</v>
      </c>
      <c r="FB459" s="33" t="s">
        <v>1108</v>
      </c>
      <c r="FC459" s="33" t="s">
        <v>345</v>
      </c>
      <c r="FD459" s="33" t="s">
        <v>1108</v>
      </c>
      <c r="FE459" s="33">
        <v>2025</v>
      </c>
      <c r="FF459" s="33" t="s">
        <v>1109</v>
      </c>
      <c r="FG459" s="33" t="s">
        <v>386</v>
      </c>
      <c r="FH459" s="33" t="s">
        <v>387</v>
      </c>
      <c r="FI459" s="33" t="s">
        <v>407</v>
      </c>
      <c r="FJ459" t="s">
        <v>1109</v>
      </c>
      <c r="FM459" s="32" t="s">
        <v>1173</v>
      </c>
      <c r="FN459" t="s">
        <v>1174</v>
      </c>
      <c r="FO459" t="s">
        <v>1175</v>
      </c>
      <c r="FP459" t="str">
        <f t="shared" si="156"/>
        <v>C</v>
      </c>
      <c r="FT459" s="69" t="s">
        <v>7396</v>
      </c>
      <c r="FU459" s="61">
        <v>0</v>
      </c>
      <c r="FV459" s="61">
        <v>0</v>
      </c>
      <c r="FW459" s="61">
        <v>0</v>
      </c>
      <c r="FX459" s="61">
        <v>0</v>
      </c>
      <c r="FY459" s="61">
        <v>0</v>
      </c>
      <c r="FZ459" s="61">
        <v>11.244999999999999</v>
      </c>
      <c r="GA459" s="61">
        <v>21.42</v>
      </c>
      <c r="GB459" s="61">
        <v>20.265000000000001</v>
      </c>
      <c r="GC459" s="61">
        <v>19.25</v>
      </c>
      <c r="GD459" s="61">
        <v>18.34</v>
      </c>
      <c r="GE459" s="61">
        <v>17.310000000000002</v>
      </c>
      <c r="GF459" s="61">
        <v>16.655000000000001</v>
      </c>
      <c r="GG459" s="61">
        <v>16.34</v>
      </c>
      <c r="GH459" s="61">
        <v>16.829999999999998</v>
      </c>
      <c r="GI459" s="61">
        <v>16.835000000000001</v>
      </c>
      <c r="GJ459" s="61">
        <v>16.690000000000001</v>
      </c>
      <c r="GK459" s="61">
        <v>16.664999999999999</v>
      </c>
      <c r="GL459" s="61">
        <v>16.759999999999998</v>
      </c>
      <c r="GM459" s="61">
        <v>17.25</v>
      </c>
      <c r="GN459" s="61">
        <v>18.005000000000003</v>
      </c>
      <c r="GO459" s="61">
        <v>19.03</v>
      </c>
      <c r="GP459" s="61">
        <v>20.47</v>
      </c>
      <c r="GQ459" s="61">
        <v>22.805</v>
      </c>
      <c r="GR459" s="61">
        <v>23.66</v>
      </c>
      <c r="GU459" s="53">
        <v>4</v>
      </c>
      <c r="GV459" s="53">
        <v>453</v>
      </c>
    </row>
    <row r="460" spans="1:206" ht="15.5" x14ac:dyDescent="0.35">
      <c r="A460" s="95">
        <f t="shared" si="138"/>
        <v>1</v>
      </c>
      <c r="B460" s="11"/>
      <c r="C460" s="11"/>
      <c r="D460" s="92" t="str">
        <f>IFERROR(
IF(AND(OR(Planilla!B460="C",Planilla!B460="c"), VLOOKUP(E460,EX:FJ,13,0)="C"), "OK",IF(AND(OR(Planilla!B460="C",Planilla!B460="c"), OR(VLOOKUP(E460,EX:FJ,13,0)="B", VLOOKUP(E460,EX:FJ,13,0)="A")), "DEFICIT",IF(
AND(OR(Planilla!B460="B", Planilla!B460="BPAL"), VLOOKUP(E460,EX:FJ,13,0)="B"), "OK",IF(AND(OR(Planilla!B460="B", Planilla!B460="BPAL"), VLOOKUP(E460,EX:FJ,13,0)="A"), "DEFICIT",IF(AND(OR(Planilla!B460="B", Planilla!B460="BPAL"), VLOOKUP(E460,EX:FJ,13,0)="C"), "SOBREOFERTA",IF(AND(Planilla!B460="A", VLOOKUP(E460,EX:FJ,13,0)="A"), "OK",IF(
AND(Planilla!B460="A", OR(VLOOKUP(E460,EX:FJ,13,0)="B", VLOOKUP(E460,EX:FJ,13,0)="C")), "SOBREOFERTA",""
))))))),"")</f>
        <v/>
      </c>
      <c r="E460" s="12"/>
      <c r="F460" s="13"/>
      <c r="G460" s="14"/>
      <c r="H460" s="81" t="str">
        <f t="shared" si="139"/>
        <v/>
      </c>
      <c r="I460" s="7"/>
      <c r="J460" s="6" t="e">
        <f t="shared" si="140"/>
        <v>#N/A</v>
      </c>
      <c r="K460" s="6" t="str">
        <f>IF(A461&lt;&gt;A460,AVERAGEIF(A$9:A460,A460,J$9:J460),"")</f>
        <v/>
      </c>
      <c r="L460" s="7" t="str">
        <f>IFERROR(IF(A461&lt;&gt;A460,AVERAGEIF(A$9:A460,A460,S$9:S460),""),"")</f>
        <v/>
      </c>
      <c r="M460" s="7" t="str">
        <f>IFERROR(IF(A461&lt;&gt;A460,AVERAGEIF(A$9:A460,A460,T$9:T460),""),"")</f>
        <v/>
      </c>
      <c r="N460" s="7" t="str" cm="1">
        <f t="array" ref="N460">IFERROR(IF(A461&lt;&gt;A460,_xlfn.STDEV.P(IF(A$9:A460=A460,T$9:T460)),""),"")</f>
        <v/>
      </c>
      <c r="O460" s="7" t="str" cm="1">
        <f t="array" ref="O460">IFERROR(IF(A461&lt;&gt;A460,_xlfn.STDEV.P(IF(A$9:A460=A460,S$9:S460)),""),"")</f>
        <v/>
      </c>
      <c r="P460" s="8" t="str">
        <f t="shared" si="141"/>
        <v/>
      </c>
      <c r="Q460" s="8" t="str">
        <f t="shared" si="142"/>
        <v/>
      </c>
      <c r="R460" s="8" t="str">
        <f t="shared" si="143"/>
        <v/>
      </c>
      <c r="S460" s="9" t="str">
        <f t="shared" si="144"/>
        <v/>
      </c>
      <c r="T460" s="9" t="str">
        <f t="shared" si="145"/>
        <v/>
      </c>
      <c r="U460" s="14"/>
      <c r="V460" s="15"/>
      <c r="W460" s="14" t="str">
        <f t="shared" si="146"/>
        <v/>
      </c>
      <c r="X460" s="15"/>
      <c r="Y460" s="2"/>
      <c r="AB460" s="22">
        <f t="shared" si="147"/>
        <v>1</v>
      </c>
      <c r="AC460" s="11"/>
      <c r="AD460" s="11"/>
      <c r="AE460" s="13"/>
      <c r="AF460" s="12"/>
      <c r="AG460" s="13"/>
      <c r="AH460" s="14"/>
      <c r="AI460" s="81" t="str">
        <f t="shared" si="148"/>
        <v/>
      </c>
      <c r="AJ460" s="15"/>
      <c r="AK460" s="6" t="e">
        <f t="shared" si="149"/>
        <v>#N/A</v>
      </c>
      <c r="AL460" s="6" t="str">
        <f>IF(AB461&lt;&gt;AB460,AVERAGEIF(AB$9:AB460,AB460,AK$9:AK460),"")</f>
        <v/>
      </c>
      <c r="AM460" s="7" t="str">
        <f>IFERROR(IF(AB461&lt;&gt;AB460,AVERAGEIF(AB$9:AB460,AB460,AT$9:AT460),""),"")</f>
        <v/>
      </c>
      <c r="AN460" s="7" t="str">
        <f>IFERROR(IF(AB461&lt;&gt;AB460,AVERAGEIF(AB$9:AB460,AB460,AU$9:AU460),""),"")</f>
        <v/>
      </c>
      <c r="AO460" s="7" t="str" cm="1">
        <f t="array" ref="AO460">IFERROR(IF(AB461&lt;&gt;AB460,_xlfn.STDEV.P(IF(AB$9:AB460=AB460,AU$9:AU460)),""),"")</f>
        <v/>
      </c>
      <c r="AP460" s="7" t="str" cm="1">
        <f t="array" ref="AP460">IFERROR(IF(AB461&lt;&gt;AB460,_xlfn.STDEV.P(IF(AB$9:AB460=AB460,AT$9:AT460)),""),"")</f>
        <v/>
      </c>
      <c r="AQ460" s="8" t="str">
        <f t="shared" si="150"/>
        <v/>
      </c>
      <c r="AR460" s="8" t="str">
        <f t="shared" si="151"/>
        <v/>
      </c>
      <c r="AS460" s="8" t="str">
        <f t="shared" si="152"/>
        <v/>
      </c>
      <c r="AT460" s="9" t="str">
        <f t="shared" si="153"/>
        <v/>
      </c>
      <c r="AU460" s="9" t="str">
        <f t="shared" si="154"/>
        <v/>
      </c>
      <c r="AV460" s="14"/>
      <c r="AW460" s="15"/>
      <c r="AX460" s="14" t="str">
        <f t="shared" si="155"/>
        <v/>
      </c>
      <c r="AY460" s="15"/>
      <c r="AZ460" s="23"/>
      <c r="EW460" t="s">
        <v>46</v>
      </c>
      <c r="EX460" s="33" t="s">
        <v>47</v>
      </c>
      <c r="EY460" s="35" t="s">
        <v>1190</v>
      </c>
      <c r="EZ460" s="36" t="s">
        <v>1191</v>
      </c>
      <c r="FA460" s="36" t="s">
        <v>1192</v>
      </c>
      <c r="FB460" s="36" t="s">
        <v>344</v>
      </c>
      <c r="FC460" s="36" t="s">
        <v>1192</v>
      </c>
      <c r="FD460" s="36" t="s">
        <v>344</v>
      </c>
      <c r="FE460" s="36">
        <v>2026</v>
      </c>
      <c r="FF460" s="36" t="s">
        <v>59</v>
      </c>
      <c r="FG460" s="36" t="s">
        <v>1193</v>
      </c>
      <c r="FJ460" t="s">
        <v>59</v>
      </c>
      <c r="FM460" s="32" t="s">
        <v>1194</v>
      </c>
      <c r="FN460" t="s">
        <v>1194</v>
      </c>
      <c r="FO460" t="s">
        <v>1195</v>
      </c>
      <c r="FP460" t="str">
        <f t="shared" si="156"/>
        <v>C</v>
      </c>
      <c r="FT460" s="69">
        <v>105</v>
      </c>
      <c r="FU460" s="61">
        <v>0</v>
      </c>
      <c r="FV460" s="61">
        <v>0</v>
      </c>
      <c r="FW460" s="61">
        <v>0</v>
      </c>
      <c r="FX460" s="61">
        <v>0</v>
      </c>
      <c r="FY460" s="61">
        <v>0</v>
      </c>
      <c r="FZ460" s="61">
        <v>11.18</v>
      </c>
      <c r="GA460" s="61">
        <v>21.324999999999999</v>
      </c>
      <c r="GB460" s="61">
        <v>20.984999999999999</v>
      </c>
      <c r="GC460" s="61">
        <v>20.83</v>
      </c>
      <c r="GD460" s="61">
        <v>19.695</v>
      </c>
      <c r="GE460" s="61">
        <v>18.434999999999999</v>
      </c>
      <c r="GF460" s="61">
        <v>17.965</v>
      </c>
      <c r="GG460" s="61">
        <v>17.5</v>
      </c>
      <c r="GH460" s="61">
        <v>17.32</v>
      </c>
      <c r="GI460" s="61">
        <v>17.68</v>
      </c>
      <c r="GJ460" s="61">
        <v>17.75</v>
      </c>
      <c r="GK460" s="61">
        <v>17.490000000000002</v>
      </c>
      <c r="GL460" s="61">
        <v>17.32</v>
      </c>
      <c r="GM460" s="61">
        <v>17.295000000000002</v>
      </c>
      <c r="GN460" s="61">
        <v>18.384999999999998</v>
      </c>
      <c r="GO460" s="61">
        <v>19.245000000000001</v>
      </c>
      <c r="GP460" s="61">
        <v>20.37</v>
      </c>
      <c r="GQ460" s="61">
        <v>22.475000000000001</v>
      </c>
      <c r="GR460" s="61">
        <v>24.945</v>
      </c>
      <c r="GU460" s="53">
        <v>5</v>
      </c>
      <c r="GV460" s="53">
        <v>454</v>
      </c>
    </row>
    <row r="461" spans="1:206" ht="15.5" x14ac:dyDescent="0.35">
      <c r="A461" s="95">
        <f t="shared" si="138"/>
        <v>1</v>
      </c>
      <c r="B461" s="11"/>
      <c r="C461" s="11"/>
      <c r="D461" s="92" t="str">
        <f>IFERROR(
IF(AND(OR(Planilla!B461="C",Planilla!B461="c"), VLOOKUP(E461,EX:FJ,13,0)="C"), "OK",IF(AND(OR(Planilla!B461="C",Planilla!B461="c"), OR(VLOOKUP(E461,EX:FJ,13,0)="B", VLOOKUP(E461,EX:FJ,13,0)="A")), "DEFICIT",IF(
AND(OR(Planilla!B461="B", Planilla!B461="BPAL"), VLOOKUP(E461,EX:FJ,13,0)="B"), "OK",IF(AND(OR(Planilla!B461="B", Planilla!B461="BPAL"), VLOOKUP(E461,EX:FJ,13,0)="A"), "DEFICIT",IF(AND(OR(Planilla!B461="B", Planilla!B461="BPAL"), VLOOKUP(E461,EX:FJ,13,0)="C"), "SOBREOFERTA",IF(AND(Planilla!B461="A", VLOOKUP(E461,EX:FJ,13,0)="A"), "OK",IF(
AND(Planilla!B461="A", OR(VLOOKUP(E461,EX:FJ,13,0)="B", VLOOKUP(E461,EX:FJ,13,0)="C")), "SOBREOFERTA",""
))))))),"")</f>
        <v/>
      </c>
      <c r="E461" s="12"/>
      <c r="F461" s="13"/>
      <c r="G461" s="14"/>
      <c r="H461" s="81" t="str">
        <f t="shared" si="139"/>
        <v/>
      </c>
      <c r="I461" s="7"/>
      <c r="J461" s="6" t="e">
        <f t="shared" si="140"/>
        <v>#N/A</v>
      </c>
      <c r="K461" s="6" t="str">
        <f>IF(A462&lt;&gt;A461,AVERAGEIF(A$9:A461,A461,J$9:J461),"")</f>
        <v/>
      </c>
      <c r="L461" s="7" t="str">
        <f>IFERROR(IF(A462&lt;&gt;A461,AVERAGEIF(A$9:A461,A461,S$9:S461),""),"")</f>
        <v/>
      </c>
      <c r="M461" s="7" t="str">
        <f>IFERROR(IF(A462&lt;&gt;A461,AVERAGEIF(A$9:A461,A461,T$9:T461),""),"")</f>
        <v/>
      </c>
      <c r="N461" s="7" t="str" cm="1">
        <f t="array" ref="N461">IFERROR(IF(A462&lt;&gt;A461,_xlfn.STDEV.P(IF(A$9:A461=A461,T$9:T461)),""),"")</f>
        <v/>
      </c>
      <c r="O461" s="7" t="str" cm="1">
        <f t="array" ref="O461">IFERROR(IF(A462&lt;&gt;A461,_xlfn.STDEV.P(IF(A$9:A461=A461,S$9:S461)),""),"")</f>
        <v/>
      </c>
      <c r="P461" s="8" t="str">
        <f t="shared" si="141"/>
        <v/>
      </c>
      <c r="Q461" s="8" t="str">
        <f t="shared" si="142"/>
        <v/>
      </c>
      <c r="R461" s="8" t="str">
        <f t="shared" si="143"/>
        <v/>
      </c>
      <c r="S461" s="9" t="str">
        <f t="shared" si="144"/>
        <v/>
      </c>
      <c r="T461" s="9" t="str">
        <f t="shared" si="145"/>
        <v/>
      </c>
      <c r="U461" s="14"/>
      <c r="V461" s="15"/>
      <c r="W461" s="14" t="str">
        <f t="shared" si="146"/>
        <v/>
      </c>
      <c r="X461" s="15"/>
      <c r="Y461" s="2"/>
      <c r="AB461" s="22">
        <f t="shared" si="147"/>
        <v>1</v>
      </c>
      <c r="AC461" s="11"/>
      <c r="AD461" s="11"/>
      <c r="AE461" s="13"/>
      <c r="AF461" s="12"/>
      <c r="AG461" s="13"/>
      <c r="AH461" s="14"/>
      <c r="AI461" s="81" t="str">
        <f t="shared" si="148"/>
        <v/>
      </c>
      <c r="AJ461" s="15"/>
      <c r="AK461" s="6" t="e">
        <f t="shared" si="149"/>
        <v>#N/A</v>
      </c>
      <c r="AL461" s="6" t="str">
        <f>IF(AB462&lt;&gt;AB461,AVERAGEIF(AB$9:AB461,AB461,AK$9:AK461),"")</f>
        <v/>
      </c>
      <c r="AM461" s="7" t="str">
        <f>IFERROR(IF(AB462&lt;&gt;AB461,AVERAGEIF(AB$9:AB461,AB461,AT$9:AT461),""),"")</f>
        <v/>
      </c>
      <c r="AN461" s="7" t="str">
        <f>IFERROR(IF(AB462&lt;&gt;AB461,AVERAGEIF(AB$9:AB461,AB461,AU$9:AU461),""),"")</f>
        <v/>
      </c>
      <c r="AO461" s="7" t="str" cm="1">
        <f t="array" ref="AO461">IFERROR(IF(AB462&lt;&gt;AB461,_xlfn.STDEV.P(IF(AB$9:AB461=AB461,AU$9:AU461)),""),"")</f>
        <v/>
      </c>
      <c r="AP461" s="7" t="str" cm="1">
        <f t="array" ref="AP461">IFERROR(IF(AB462&lt;&gt;AB461,_xlfn.STDEV.P(IF(AB$9:AB461=AB461,AT$9:AT461)),""),"")</f>
        <v/>
      </c>
      <c r="AQ461" s="8" t="str">
        <f t="shared" si="150"/>
        <v/>
      </c>
      <c r="AR461" s="8" t="str">
        <f t="shared" si="151"/>
        <v/>
      </c>
      <c r="AS461" s="8" t="str">
        <f t="shared" si="152"/>
        <v/>
      </c>
      <c r="AT461" s="9" t="str">
        <f t="shared" si="153"/>
        <v/>
      </c>
      <c r="AU461" s="9" t="str">
        <f t="shared" si="154"/>
        <v/>
      </c>
      <c r="AV461" s="14"/>
      <c r="AW461" s="15"/>
      <c r="AX461" s="14" t="str">
        <f t="shared" si="155"/>
        <v/>
      </c>
      <c r="AY461" s="15"/>
      <c r="AZ461" s="23"/>
      <c r="EW461" t="s">
        <v>46</v>
      </c>
      <c r="EX461" s="33" t="s">
        <v>47</v>
      </c>
      <c r="EY461" s="35" t="s">
        <v>1196</v>
      </c>
      <c r="EZ461" s="36" t="s">
        <v>1197</v>
      </c>
      <c r="FA461" s="36" t="s">
        <v>1192</v>
      </c>
      <c r="FB461" s="36" t="s">
        <v>344</v>
      </c>
      <c r="FC461" s="36" t="s">
        <v>1192</v>
      </c>
      <c r="FD461" s="36" t="s">
        <v>344</v>
      </c>
      <c r="FE461" s="36">
        <v>2026</v>
      </c>
      <c r="FF461" s="36" t="s">
        <v>59</v>
      </c>
      <c r="FG461" s="36" t="s">
        <v>1193</v>
      </c>
      <c r="FJ461" t="s">
        <v>59</v>
      </c>
      <c r="FM461" s="32" t="s">
        <v>1198</v>
      </c>
      <c r="FN461" t="s">
        <v>1198</v>
      </c>
      <c r="FO461" t="s">
        <v>1199</v>
      </c>
      <c r="FP461" t="str">
        <f t="shared" si="156"/>
        <v>C</v>
      </c>
      <c r="FT461" s="69">
        <v>105</v>
      </c>
      <c r="FU461" s="61">
        <v>0</v>
      </c>
      <c r="FV461" s="61">
        <v>0</v>
      </c>
      <c r="FW461" s="61">
        <v>0</v>
      </c>
      <c r="FX461" s="61">
        <v>0</v>
      </c>
      <c r="FY461" s="61">
        <v>0</v>
      </c>
      <c r="FZ461" s="61">
        <v>12.275</v>
      </c>
      <c r="GA461" s="61">
        <v>23.840000000000003</v>
      </c>
      <c r="GB461" s="61">
        <v>22.03</v>
      </c>
      <c r="GC461" s="61">
        <v>20.45</v>
      </c>
      <c r="GD461" s="61">
        <v>19.814999999999998</v>
      </c>
      <c r="GE461" s="61">
        <v>18.754999999999999</v>
      </c>
      <c r="GF461" s="61">
        <v>17.88</v>
      </c>
      <c r="GG461" s="61">
        <v>17.36</v>
      </c>
      <c r="GH461" s="61">
        <v>17.454999999999998</v>
      </c>
      <c r="GI461" s="61">
        <v>17.745000000000001</v>
      </c>
      <c r="GJ461" s="61">
        <v>17.865000000000002</v>
      </c>
      <c r="GK461" s="61">
        <v>17.66</v>
      </c>
      <c r="GL461" s="61">
        <v>17.414999999999999</v>
      </c>
      <c r="GM461" s="61">
        <v>17.344999999999999</v>
      </c>
      <c r="GN461" s="61">
        <v>17.765000000000001</v>
      </c>
      <c r="GO461" s="61">
        <v>18.770000000000003</v>
      </c>
      <c r="GP461" s="61">
        <v>19.670000000000002</v>
      </c>
      <c r="GQ461" s="61">
        <v>21.43</v>
      </c>
      <c r="GR461" s="61">
        <v>23.765000000000001</v>
      </c>
      <c r="GU461" s="53">
        <v>6</v>
      </c>
      <c r="GV461" s="53">
        <v>455</v>
      </c>
    </row>
    <row r="462" spans="1:206" ht="15.5" x14ac:dyDescent="0.35">
      <c r="A462" s="95">
        <f t="shared" ref="A462:A525" si="157">HOUR(G462)+1</f>
        <v>1</v>
      </c>
      <c r="B462" s="11"/>
      <c r="C462" s="11"/>
      <c r="D462" s="92" t="str">
        <f>IFERROR(
IF(AND(OR(Planilla!B462="C",Planilla!B462="c"), VLOOKUP(E462,EX:FJ,13,0)="C"), "OK",IF(AND(OR(Planilla!B462="C",Planilla!B462="c"), OR(VLOOKUP(E462,EX:FJ,13,0)="B", VLOOKUP(E462,EX:FJ,13,0)="A")), "DEFICIT",IF(
AND(OR(Planilla!B462="B", Planilla!B462="BPAL"), VLOOKUP(E462,EX:FJ,13,0)="B"), "OK",IF(AND(OR(Planilla!B462="B", Planilla!B462="BPAL"), VLOOKUP(E462,EX:FJ,13,0)="A"), "DEFICIT",IF(AND(OR(Planilla!B462="B", Planilla!B462="BPAL"), VLOOKUP(E462,EX:FJ,13,0)="C"), "SOBREOFERTA",IF(AND(Planilla!B462="A", VLOOKUP(E462,EX:FJ,13,0)="A"), "OK",IF(
AND(Planilla!B462="A", OR(VLOOKUP(E462,EX:FJ,13,0)="B", VLOOKUP(E462,EX:FJ,13,0)="C")), "SOBREOFERTA",""
))))))),"")</f>
        <v/>
      </c>
      <c r="E462" s="12"/>
      <c r="F462" s="13"/>
      <c r="G462" s="14"/>
      <c r="H462" s="81" t="str">
        <f t="shared" ref="H462:H525" si="158">IF(I462="","",IF(AND((I462-G462)&gt;=TIME(0,0,0),(I462-G462)&lt;TIME(0,3,0)),"OK",IF(AND((I462-G462)&gt;=TIME(0,3,0),(I462-G462)&lt;TIME(0,5,0)),"RETRASO DE 3-5 MIN",IF(AND((I462-G462)&gt;=TIME(0,5,0),(I462-G462)&lt;TIME(0,10,0)),"RETRASO DE 5-10 MIN",IF((I462-G462)&gt;=TIME(0,10,0),"RETRASO &gt;10 MIN",         IF(AND((G462-I462)&gt;=TIME(0,0,0),(G462-I462)&lt;TIME(0,3,0)),"OK",IF((G462-I462)&gt;=TIME(0,3,0),"ADELANTADO")))))))</f>
        <v/>
      </c>
      <c r="I462" s="7"/>
      <c r="J462" s="6" t="e">
        <f t="shared" ref="J462:J525" si="159">IF(A462&lt;&gt;"",HLOOKUP(VALUE(TEXT(G462,"h:mm:ss")),IF($C$6="Laboral",$FT$4:$GR$227,IF($C$6="Sábado",$FT$231:$GR$452,$FT$456:$GR$656)),VLOOKUP($C$4,$GZ$2:$HB$99,3,0)+IF(C$5="Ida",0,1),1),"")</f>
        <v>#N/A</v>
      </c>
      <c r="K462" s="6" t="str">
        <f>IF(A463&lt;&gt;A462,AVERAGEIF(A$9:A462,A462,J$9:J462),"")</f>
        <v/>
      </c>
      <c r="L462" s="7" t="str">
        <f>IFERROR(IF(A463&lt;&gt;A462,AVERAGEIF(A$9:A462,A462,S$9:S462),""),"")</f>
        <v/>
      </c>
      <c r="M462" s="7" t="str">
        <f>IFERROR(IF(A463&lt;&gt;A462,AVERAGEIF(A$9:A462,A462,T$9:T462),""),"")</f>
        <v/>
      </c>
      <c r="N462" s="7" t="str" cm="1">
        <f t="array" ref="N462">IFERROR(IF(A463&lt;&gt;A462,_xlfn.STDEV.P(IF(A$9:A462=A462,T$9:T462)),""),"")</f>
        <v/>
      </c>
      <c r="O462" s="7" t="str" cm="1">
        <f t="array" ref="O462">IFERROR(IF(A463&lt;&gt;A462,_xlfn.STDEV.P(IF(A$9:A462=A462,S$9:S462)),""),"")</f>
        <v/>
      </c>
      <c r="P462" s="8" t="str">
        <f t="shared" ref="P462:P525" si="160">IFERROR(IF(A462&lt;&gt;A463,MAX((((M462*24*60)/2)*(1+POWER((((N462*24*60) / (M462*24*60) )),2))) + ((M462*24*60 )*-0.1 + (K462*0.015)) +1,(((M462*24*60)/2)*(1+POWER((((N462*24*60) / (M462*24*60 ))),2)))),""),"")</f>
        <v/>
      </c>
      <c r="Q462" s="8" t="str">
        <f t="shared" ref="Q462:Q525" si="161">IF(AND(O462&lt;&gt;"",L462&lt;&gt;""),IF(A462&lt;&gt;A463,((L462*24*60) / 2 ) * (1 + POWER(((O462*24*60) / (L462*24*60)),2)),""),"")</f>
        <v/>
      </c>
      <c r="R462" s="8" t="str">
        <f t="shared" ref="R462:R525" si="162">IF(Q462&lt;&gt;"",MAX(P462,Q462),"")</f>
        <v/>
      </c>
      <c r="S462" s="9" t="str">
        <f t="shared" ref="S462:S525" si="163">IF(I462&lt;&gt;"H. Sale Real",IF(AND(I463&lt;&gt;"",LEFT(C463,2)&lt;&gt;"NC"),IF(AND(I462&lt;&gt;"",LEFT(C462,2)&lt;&gt;"NC",I462&lt;&gt;"H. Sale Real"),IF(I463-I462&lt;0.208333333333333,I463-I462,""),IF(AND(I461&lt;&gt;"",LEFT(C461,2)&lt;&gt;"NC",I461&lt;&gt;"H. Sale Real"),IF(I463-I461&lt;0.208333333333333,I463-I461,""),IF(AND(I460&lt;&gt;"",LEFT(C460,2)&lt;&gt;"NC",I460&lt;&gt;"H. Sale Real"),IF(I463-I460&lt;0.208333333333333,I463-I460,""),IF(AND(I459&lt;&gt;"",LEFT(C459,2)&lt;&gt;"NC",I459&lt;&gt;"H. Sale Real"),IF(I463-I459&lt;0.208333333333333,I463-I459,""),IF(AND(I458&lt;&gt;"",LEFT(C458,2)&lt;&gt;"NC",I458&lt;&gt;"H. Sale Real"),IF(I463-I458&lt;0.208333333333333,I463-I458,""),""))))),""),"")</f>
        <v/>
      </c>
      <c r="T462" s="9" t="str">
        <f t="shared" ref="T462:T525" si="164">IF(G462&lt;&gt;"H. Sale Real",IF(AND(G463&lt;&gt;"",LEFT(C463,2)&lt;&gt;"NC"),IF(AND(G462&lt;&gt;"",LEFT(C462,2)&lt;&gt;"NC",G462&lt;&gt;"H. Sale Real"),IF(G463-G462&lt;0.208333333333333,G463-G462,""),IF(AND(G461&lt;&gt;"",LEFT(C461,2)&lt;&gt;"NC",G461&lt;&gt;"H. Sale Real"),IF(G463-G461&lt;0.208333333333333,G463-G461,""),IF(AND(G460&lt;&gt;"",LEFT(C460,2)&lt;&gt;"NC",G460&lt;&gt;"H. Sale Real"),IF(G463-G460&lt;0.208333333333333,G463-G460,""),IF(AND(G459&lt;&gt;"",LEFT(C459,2)&lt;&gt;"NC",G459&lt;&gt;"H. Sale Real"),IF(G463-G459&lt;0.208333333333333,G463-G459,""),IF(AND(G458&lt;&gt;"",LEFT(C458,2)&lt;&gt;"NC",G458&lt;&gt;"H. Sale Real"),IF(G463-G458&lt;0.208333333333333,G463-G458,""),""))))),""),"")</f>
        <v/>
      </c>
      <c r="U462" s="14"/>
      <c r="V462" s="15"/>
      <c r="W462" s="14" t="str">
        <f t="shared" ref="W462:W525" si="165">IF(G462&lt;&gt;"",IF(AND(W461&lt;&gt;"IE",P462&lt;&gt;0,R462&lt;&gt;""),IF(IFERROR((P462/R462),0) &lt;=1,IFERROR(P462/R462,""),1),""),"")</f>
        <v/>
      </c>
      <c r="X462" s="15"/>
      <c r="Y462" s="2"/>
      <c r="AB462" s="22">
        <f t="shared" ref="AB462:AB525" si="166">HOUR(AH462)+1</f>
        <v>1</v>
      </c>
      <c r="AC462" s="11"/>
      <c r="AD462" s="11"/>
      <c r="AE462" s="13"/>
      <c r="AF462" s="12"/>
      <c r="AG462" s="13"/>
      <c r="AH462" s="14"/>
      <c r="AI462" s="81" t="str">
        <f t="shared" ref="AI462:AI525" si="167">IF(AJ462="","",IF(AND((AJ462-AH462)&gt;=TIME(0,0,0),(AJ462-AH462)&lt;TIME(0,3,0)),"OK",IF(AND((AJ462-AH462)&gt;=TIME(0,3,0),(AJ462-AH462)&lt;TIME(0,5,0)),"RETRASO DE 3-5 MIN",IF(AND((AJ462-AH462)&gt;=TIME(0,5,0),(AJ462-AH462)&lt;TIME(0,10,0)),"RETRASO DE 5-10 MIN",IF((AJ462-AH462)&gt;=TIME(0,10,0),"RETRASO &gt;10 MIN",         IF(AND((AH462-AJ462)&gt;=TIME(0,0,0),(AH462-AJ462)&lt;TIME(0,3,0)),"OK",IF((AH462-AJ462)&gt;=TIME(0,3,0),"ADELANTADO")))))))</f>
        <v/>
      </c>
      <c r="AJ462" s="15"/>
      <c r="AK462" s="6" t="e">
        <f t="shared" ref="AK462:AK525" si="168">IF(AB462&lt;&gt;"",HLOOKUP(VALUE(TEXT(AH462,"h:mm:ss")),IF($C$6="Laboral",$FT$4:$GR$227,IF($C$6="Sábado",$FT$231:$GR$452,$FT$456:$GR$656)),VLOOKUP($C$4,$GZ$2:$HB$99,3,0)+IF(AD$5="Ida",0,1),1),"")</f>
        <v>#N/A</v>
      </c>
      <c r="AL462" s="6" t="str">
        <f>IF(AB463&lt;&gt;AB462,AVERAGEIF(AB$9:AB462,AB462,AK$9:AK462),"")</f>
        <v/>
      </c>
      <c r="AM462" s="7" t="str">
        <f>IFERROR(IF(AB463&lt;&gt;AB462,AVERAGEIF(AB$9:AB462,AB462,AT$9:AT462),""),"")</f>
        <v/>
      </c>
      <c r="AN462" s="7" t="str">
        <f>IFERROR(IF(AB463&lt;&gt;AB462,AVERAGEIF(AB$9:AB462,AB462,AU$9:AU462),""),"")</f>
        <v/>
      </c>
      <c r="AO462" s="7" t="str" cm="1">
        <f t="array" ref="AO462">IFERROR(IF(AB463&lt;&gt;AB462,_xlfn.STDEV.P(IF(AB$9:AB462=AB462,AU$9:AU462)),""),"")</f>
        <v/>
      </c>
      <c r="AP462" s="7" t="str" cm="1">
        <f t="array" ref="AP462">IFERROR(IF(AB463&lt;&gt;AB462,_xlfn.STDEV.P(IF(AB$9:AB462=AB462,AT$9:AT462)),""),"")</f>
        <v/>
      </c>
      <c r="AQ462" s="8" t="str">
        <f t="shared" ref="AQ462:AQ525" si="169">IFERROR(IF(AB462&lt;&gt;AB463,MAX((((AN462*24*60)/2)*(1+POWER((((AO462*24*60) / (AN462*24*60) )),2))) + ((AN462*24*60 )*-0.1 + (AL462*0.015)) +1,(((AN462*24*60)/2)*(1+POWER((((AO462*24*60) / (AN462*24*60 ))),2)))),""),"")</f>
        <v/>
      </c>
      <c r="AR462" s="8" t="str">
        <f t="shared" ref="AR462:AR525" si="170">IF(AND(AP462&lt;&gt;"",AM462&lt;&gt;""),IF(AB462&lt;&gt;AB463,((AM462*24*60) / 2 ) * (1 + POWER(((AP462*24*60) / (AM462*24*60)),2)),""),"")</f>
        <v/>
      </c>
      <c r="AS462" s="8" t="str">
        <f t="shared" ref="AS462:AS525" si="171">IF(AR462&lt;&gt;"",MAX(AQ462,AR462),"")</f>
        <v/>
      </c>
      <c r="AT462" s="9" t="str">
        <f t="shared" ref="AT462:AT525" si="172">IF(AJ462&lt;&gt;"H. Sale Real",IF(AND(AJ463&lt;&gt;"",LEFT(AD463,2)&lt;&gt;"NC"),IF(AND(AJ462&lt;&gt;"",LEFT(AD462,2)&lt;&gt;"NC",AJ462&lt;&gt;"H. Sale Real"),IF(AJ463-AJ462&lt;0.208333333333333,AJ463-AJ462,""),IF(AND(AJ461&lt;&gt;"",LEFT(AD461,2)&lt;&gt;"NC",AJ461&lt;&gt;"H. Sale Real"),IF(AJ463-AJ461&lt;0.208333333333333,AJ463-AJ461,""),IF(AND(AJ460&lt;&gt;"",LEFT(AD460,2)&lt;&gt;"NC",AJ460&lt;&gt;"H. Sale Real"),IF(AJ463-AJ460&lt;0.208333333333333,AJ463-AJ460,""),IF(AND(AJ459&lt;&gt;"",LEFT(AD459,2)&lt;&gt;"NC",AJ459&lt;&gt;"H. Sale Real"),IF(AJ463-AJ459&lt;0.208333333333333,AJ463-AJ459,""),IF(AND(AJ458&lt;&gt;"",LEFT(AD458,2)&lt;&gt;"NC",AJ458&lt;&gt;"H. Sale Real"),IF(AJ463-AJ458&lt;0.208333333333333,AJ463-AJ458,""),""))))),""),"")</f>
        <v/>
      </c>
      <c r="AU462" s="9" t="str">
        <f t="shared" ref="AU462:AU525" si="173">IF(AH462&lt;&gt;"H. Sale Real",IF(AND(AH463&lt;&gt;"",LEFT(AD463,2)&lt;&gt;"NC"),IF(AND(AH462&lt;&gt;"",LEFT(AD462,2)&lt;&gt;"NC",AH462&lt;&gt;"H. Sale Real"),IF(AH463-AH462&lt;0.208333333333333,AH463-AH462,""),IF(AND(AH461&lt;&gt;"",LEFT(AD461,2)&lt;&gt;"NC",AH461&lt;&gt;"H. Sale Real"),IF(AH463-AH461&lt;0.208333333333333,AH463-AH461,""),IF(AND(AH460&lt;&gt;"",LEFT(AD460,2)&lt;&gt;"NC",AH460&lt;&gt;"H. Sale Real"),IF(AH463-AH460&lt;0.208333333333333,AH463-AH460,""),IF(AND(AH459&lt;&gt;"",LEFT(AD459,2)&lt;&gt;"NC",AH459&lt;&gt;"H. Sale Real"),IF(AH463-AH459&lt;0.208333333333333,AH463-AH459,""),IF(AND(AH458&lt;&gt;"",LEFT(AD458,2)&lt;&gt;"NC",AH458&lt;&gt;"H. Sale Real"),IF(AH463-AH458&lt;0.208333333333333,AH463-AH458,""),""))))),""),"")</f>
        <v/>
      </c>
      <c r="AV462" s="14"/>
      <c r="AW462" s="15"/>
      <c r="AX462" s="14" t="str">
        <f t="shared" ref="AX462:AX525" si="174">IF(AH462&lt;&gt;"",IF(AND(AX461&lt;&gt;"IE",AQ462&lt;&gt;0,AS462&lt;&gt;""),IF(IFERROR((AQ462/AS462),0) &lt;=1,IFERROR(AQ462/AS462,""),1),""),"")</f>
        <v/>
      </c>
      <c r="AY462" s="15"/>
      <c r="AZ462" s="23"/>
      <c r="EW462" t="s">
        <v>46</v>
      </c>
      <c r="EX462" s="33" t="s">
        <v>47</v>
      </c>
      <c r="EY462" s="35" t="s">
        <v>1200</v>
      </c>
      <c r="EZ462" s="36" t="s">
        <v>1201</v>
      </c>
      <c r="FA462" s="36" t="s">
        <v>1192</v>
      </c>
      <c r="FB462" s="36" t="s">
        <v>344</v>
      </c>
      <c r="FC462" s="36" t="s">
        <v>1192</v>
      </c>
      <c r="FD462" s="36" t="s">
        <v>344</v>
      </c>
      <c r="FE462" s="36">
        <v>2026</v>
      </c>
      <c r="FF462" s="36" t="s">
        <v>59</v>
      </c>
      <c r="FG462" s="36" t="s">
        <v>1193</v>
      </c>
      <c r="FJ462" t="s">
        <v>59</v>
      </c>
      <c r="FM462" s="32" t="s">
        <v>1202</v>
      </c>
      <c r="FN462" t="s">
        <v>1202</v>
      </c>
      <c r="FO462" t="s">
        <v>1203</v>
      </c>
      <c r="FP462" t="str">
        <f t="shared" si="156"/>
        <v>B</v>
      </c>
      <c r="FT462" s="69" t="s">
        <v>7403</v>
      </c>
      <c r="FU462" s="61">
        <v>0</v>
      </c>
      <c r="FV462" s="61">
        <v>0</v>
      </c>
      <c r="FW462" s="61">
        <v>0</v>
      </c>
      <c r="FX462" s="61">
        <v>0</v>
      </c>
      <c r="FY462" s="61">
        <v>0</v>
      </c>
      <c r="FZ462" s="61">
        <v>16.495000000000001</v>
      </c>
      <c r="GA462" s="61">
        <v>31.75</v>
      </c>
      <c r="GB462" s="61">
        <v>29.91</v>
      </c>
      <c r="GC462" s="61">
        <v>30.259999999999998</v>
      </c>
      <c r="GD462" s="61">
        <v>30.52</v>
      </c>
      <c r="GE462" s="61">
        <v>30.085000000000001</v>
      </c>
      <c r="GF462" s="61">
        <v>29.85</v>
      </c>
      <c r="GG462" s="61">
        <v>29.19</v>
      </c>
      <c r="GH462" s="61">
        <v>29.285</v>
      </c>
      <c r="GI462" s="61">
        <v>29.32</v>
      </c>
      <c r="GJ462" s="61">
        <v>28.35</v>
      </c>
      <c r="GK462" s="61">
        <v>27.8</v>
      </c>
      <c r="GL462" s="61">
        <v>27.380000000000003</v>
      </c>
      <c r="GM462" s="61">
        <v>26.795000000000002</v>
      </c>
      <c r="GN462" s="61">
        <v>27.285</v>
      </c>
      <c r="GO462" s="61">
        <v>29.54</v>
      </c>
      <c r="GP462" s="61">
        <v>30.704999999999998</v>
      </c>
      <c r="GQ462" s="61">
        <v>30.335000000000001</v>
      </c>
      <c r="GR462" s="61">
        <v>29.64</v>
      </c>
      <c r="GU462" s="53">
        <v>7</v>
      </c>
      <c r="GV462" s="53">
        <v>456</v>
      </c>
    </row>
    <row r="463" spans="1:206" ht="15.5" x14ac:dyDescent="0.35">
      <c r="A463" s="95">
        <f t="shared" si="157"/>
        <v>1</v>
      </c>
      <c r="B463" s="11"/>
      <c r="C463" s="11"/>
      <c r="D463" s="92" t="str">
        <f>IFERROR(
IF(AND(OR(Planilla!B463="C",Planilla!B463="c"), VLOOKUP(E463,EX:FJ,13,0)="C"), "OK",IF(AND(OR(Planilla!B463="C",Planilla!B463="c"), OR(VLOOKUP(E463,EX:FJ,13,0)="B", VLOOKUP(E463,EX:FJ,13,0)="A")), "DEFICIT",IF(
AND(OR(Planilla!B463="B", Planilla!B463="BPAL"), VLOOKUP(E463,EX:FJ,13,0)="B"), "OK",IF(AND(OR(Planilla!B463="B", Planilla!B463="BPAL"), VLOOKUP(E463,EX:FJ,13,0)="A"), "DEFICIT",IF(AND(OR(Planilla!B463="B", Planilla!B463="BPAL"), VLOOKUP(E463,EX:FJ,13,0)="C"), "SOBREOFERTA",IF(AND(Planilla!B463="A", VLOOKUP(E463,EX:FJ,13,0)="A"), "OK",IF(
AND(Planilla!B463="A", OR(VLOOKUP(E463,EX:FJ,13,0)="B", VLOOKUP(E463,EX:FJ,13,0)="C")), "SOBREOFERTA",""
))))))),"")</f>
        <v/>
      </c>
      <c r="E463" s="12"/>
      <c r="F463" s="13"/>
      <c r="G463" s="14"/>
      <c r="H463" s="81" t="str">
        <f t="shared" si="158"/>
        <v/>
      </c>
      <c r="I463" s="7"/>
      <c r="J463" s="6" t="e">
        <f t="shared" si="159"/>
        <v>#N/A</v>
      </c>
      <c r="K463" s="6" t="str">
        <f>IF(A464&lt;&gt;A463,AVERAGEIF(A$9:A463,A463,J$9:J463),"")</f>
        <v/>
      </c>
      <c r="L463" s="7" t="str">
        <f>IFERROR(IF(A464&lt;&gt;A463,AVERAGEIF(A$9:A463,A463,S$9:S463),""),"")</f>
        <v/>
      </c>
      <c r="M463" s="7" t="str">
        <f>IFERROR(IF(A464&lt;&gt;A463,AVERAGEIF(A$9:A463,A463,T$9:T463),""),"")</f>
        <v/>
      </c>
      <c r="N463" s="7" t="str" cm="1">
        <f t="array" ref="N463">IFERROR(IF(A464&lt;&gt;A463,_xlfn.STDEV.P(IF(A$9:A463=A463,T$9:T463)),""),"")</f>
        <v/>
      </c>
      <c r="O463" s="7" t="str" cm="1">
        <f t="array" ref="O463">IFERROR(IF(A464&lt;&gt;A463,_xlfn.STDEV.P(IF(A$9:A463=A463,S$9:S463)),""),"")</f>
        <v/>
      </c>
      <c r="P463" s="8" t="str">
        <f t="shared" si="160"/>
        <v/>
      </c>
      <c r="Q463" s="8" t="str">
        <f t="shared" si="161"/>
        <v/>
      </c>
      <c r="R463" s="8" t="str">
        <f t="shared" si="162"/>
        <v/>
      </c>
      <c r="S463" s="9" t="str">
        <f t="shared" si="163"/>
        <v/>
      </c>
      <c r="T463" s="9" t="str">
        <f t="shared" si="164"/>
        <v/>
      </c>
      <c r="U463" s="14"/>
      <c r="V463" s="15"/>
      <c r="W463" s="14" t="str">
        <f t="shared" si="165"/>
        <v/>
      </c>
      <c r="X463" s="15"/>
      <c r="Y463" s="2"/>
      <c r="AB463" s="22">
        <f t="shared" si="166"/>
        <v>1</v>
      </c>
      <c r="AC463" s="11"/>
      <c r="AD463" s="11"/>
      <c r="AE463" s="13"/>
      <c r="AF463" s="12"/>
      <c r="AG463" s="13"/>
      <c r="AH463" s="14"/>
      <c r="AI463" s="81" t="str">
        <f t="shared" si="167"/>
        <v/>
      </c>
      <c r="AJ463" s="15"/>
      <c r="AK463" s="6" t="e">
        <f t="shared" si="168"/>
        <v>#N/A</v>
      </c>
      <c r="AL463" s="6" t="str">
        <f>IF(AB464&lt;&gt;AB463,AVERAGEIF(AB$9:AB463,AB463,AK$9:AK463),"")</f>
        <v/>
      </c>
      <c r="AM463" s="7" t="str">
        <f>IFERROR(IF(AB464&lt;&gt;AB463,AVERAGEIF(AB$9:AB463,AB463,AT$9:AT463),""),"")</f>
        <v/>
      </c>
      <c r="AN463" s="7" t="str">
        <f>IFERROR(IF(AB464&lt;&gt;AB463,AVERAGEIF(AB$9:AB463,AB463,AU$9:AU463),""),"")</f>
        <v/>
      </c>
      <c r="AO463" s="7" t="str" cm="1">
        <f t="array" ref="AO463">IFERROR(IF(AB464&lt;&gt;AB463,_xlfn.STDEV.P(IF(AB$9:AB463=AB463,AU$9:AU463)),""),"")</f>
        <v/>
      </c>
      <c r="AP463" s="7" t="str" cm="1">
        <f t="array" ref="AP463">IFERROR(IF(AB464&lt;&gt;AB463,_xlfn.STDEV.P(IF(AB$9:AB463=AB463,AT$9:AT463)),""),"")</f>
        <v/>
      </c>
      <c r="AQ463" s="8" t="str">
        <f t="shared" si="169"/>
        <v/>
      </c>
      <c r="AR463" s="8" t="str">
        <f t="shared" si="170"/>
        <v/>
      </c>
      <c r="AS463" s="8" t="str">
        <f t="shared" si="171"/>
        <v/>
      </c>
      <c r="AT463" s="9" t="str">
        <f t="shared" si="172"/>
        <v/>
      </c>
      <c r="AU463" s="9" t="str">
        <f t="shared" si="173"/>
        <v/>
      </c>
      <c r="AV463" s="14"/>
      <c r="AW463" s="15"/>
      <c r="AX463" s="14" t="str">
        <f t="shared" si="174"/>
        <v/>
      </c>
      <c r="AY463" s="15"/>
      <c r="AZ463" s="23"/>
      <c r="EW463" t="s">
        <v>46</v>
      </c>
      <c r="EX463" s="33" t="s">
        <v>47</v>
      </c>
      <c r="EY463" s="35" t="s">
        <v>1204</v>
      </c>
      <c r="EZ463" s="36" t="s">
        <v>1205</v>
      </c>
      <c r="FA463" s="36" t="s">
        <v>1192</v>
      </c>
      <c r="FB463" s="36" t="s">
        <v>344</v>
      </c>
      <c r="FC463" s="36" t="s">
        <v>1192</v>
      </c>
      <c r="FD463" s="36" t="s">
        <v>344</v>
      </c>
      <c r="FE463" s="36">
        <v>2026</v>
      </c>
      <c r="FF463" s="36" t="s">
        <v>59</v>
      </c>
      <c r="FG463" s="36" t="s">
        <v>1193</v>
      </c>
      <c r="FJ463" t="s">
        <v>59</v>
      </c>
      <c r="FM463" s="32" t="s">
        <v>1206</v>
      </c>
      <c r="FN463" t="s">
        <v>1206</v>
      </c>
      <c r="FO463" t="s">
        <v>1207</v>
      </c>
      <c r="FP463" t="str">
        <f t="shared" si="156"/>
        <v>B</v>
      </c>
      <c r="FT463" s="69" t="s">
        <v>7404</v>
      </c>
      <c r="FU463" s="61">
        <v>0</v>
      </c>
      <c r="FV463" s="61">
        <v>0</v>
      </c>
      <c r="FW463" s="61">
        <v>0</v>
      </c>
      <c r="FX463" s="61">
        <v>0</v>
      </c>
      <c r="FY463" s="61">
        <v>15.695</v>
      </c>
      <c r="FZ463" s="61">
        <v>29.125</v>
      </c>
      <c r="GA463" s="61">
        <v>25.505000000000003</v>
      </c>
      <c r="GB463" s="61">
        <v>23.560000000000002</v>
      </c>
      <c r="GC463" s="61">
        <v>23.024999999999999</v>
      </c>
      <c r="GD463" s="61">
        <v>21.71</v>
      </c>
      <c r="GE463" s="61">
        <v>20.72</v>
      </c>
      <c r="GF463" s="61">
        <v>19.799999999999997</v>
      </c>
      <c r="GG463" s="61">
        <v>18.86</v>
      </c>
      <c r="GH463" s="61">
        <v>18.25</v>
      </c>
      <c r="GI463" s="61">
        <v>19.164999999999999</v>
      </c>
      <c r="GJ463" s="61">
        <v>19.850000000000001</v>
      </c>
      <c r="GK463" s="61">
        <v>19.755000000000003</v>
      </c>
      <c r="GL463" s="61">
        <v>19.36</v>
      </c>
      <c r="GM463" s="61">
        <v>19.175000000000001</v>
      </c>
      <c r="GN463" s="61">
        <v>19.689999999999998</v>
      </c>
      <c r="GO463" s="61">
        <v>20.994999999999997</v>
      </c>
      <c r="GP463" s="61">
        <v>22.634999999999998</v>
      </c>
      <c r="GQ463" s="61">
        <v>24.939999999999998</v>
      </c>
      <c r="GR463" s="61">
        <v>26.454999999999998</v>
      </c>
      <c r="GU463" s="53">
        <v>8</v>
      </c>
      <c r="GV463" s="53">
        <v>457</v>
      </c>
    </row>
    <row r="464" spans="1:206" ht="15.5" x14ac:dyDescent="0.35">
      <c r="A464" s="95">
        <f t="shared" si="157"/>
        <v>1</v>
      </c>
      <c r="B464" s="11"/>
      <c r="C464" s="11"/>
      <c r="D464" s="92" t="str">
        <f>IFERROR(
IF(AND(OR(Planilla!B464="C",Planilla!B464="c"), VLOOKUP(E464,EX:FJ,13,0)="C"), "OK",IF(AND(OR(Planilla!B464="C",Planilla!B464="c"), OR(VLOOKUP(E464,EX:FJ,13,0)="B", VLOOKUP(E464,EX:FJ,13,0)="A")), "DEFICIT",IF(
AND(OR(Planilla!B464="B", Planilla!B464="BPAL"), VLOOKUP(E464,EX:FJ,13,0)="B"), "OK",IF(AND(OR(Planilla!B464="B", Planilla!B464="BPAL"), VLOOKUP(E464,EX:FJ,13,0)="A"), "DEFICIT",IF(AND(OR(Planilla!B464="B", Planilla!B464="BPAL"), VLOOKUP(E464,EX:FJ,13,0)="C"), "SOBREOFERTA",IF(AND(Planilla!B464="A", VLOOKUP(E464,EX:FJ,13,0)="A"), "OK",IF(
AND(Planilla!B464="A", OR(VLOOKUP(E464,EX:FJ,13,0)="B", VLOOKUP(E464,EX:FJ,13,0)="C")), "SOBREOFERTA",""
))))))),"")</f>
        <v/>
      </c>
      <c r="E464" s="12"/>
      <c r="F464" s="13"/>
      <c r="G464" s="14"/>
      <c r="H464" s="81" t="str">
        <f t="shared" si="158"/>
        <v/>
      </c>
      <c r="I464" s="7"/>
      <c r="J464" s="6" t="e">
        <f t="shared" si="159"/>
        <v>#N/A</v>
      </c>
      <c r="K464" s="6" t="str">
        <f>IF(A465&lt;&gt;A464,AVERAGEIF(A$9:A464,A464,J$9:J464),"")</f>
        <v/>
      </c>
      <c r="L464" s="7" t="str">
        <f>IFERROR(IF(A465&lt;&gt;A464,AVERAGEIF(A$9:A464,A464,S$9:S464),""),"")</f>
        <v/>
      </c>
      <c r="M464" s="7" t="str">
        <f>IFERROR(IF(A465&lt;&gt;A464,AVERAGEIF(A$9:A464,A464,T$9:T464),""),"")</f>
        <v/>
      </c>
      <c r="N464" s="7" t="str" cm="1">
        <f t="array" ref="N464">IFERROR(IF(A465&lt;&gt;A464,_xlfn.STDEV.P(IF(A$9:A464=A464,T$9:T464)),""),"")</f>
        <v/>
      </c>
      <c r="O464" s="7" t="str" cm="1">
        <f t="array" ref="O464">IFERROR(IF(A465&lt;&gt;A464,_xlfn.STDEV.P(IF(A$9:A464=A464,S$9:S464)),""),"")</f>
        <v/>
      </c>
      <c r="P464" s="8" t="str">
        <f t="shared" si="160"/>
        <v/>
      </c>
      <c r="Q464" s="8" t="str">
        <f t="shared" si="161"/>
        <v/>
      </c>
      <c r="R464" s="8" t="str">
        <f t="shared" si="162"/>
        <v/>
      </c>
      <c r="S464" s="9" t="str">
        <f t="shared" si="163"/>
        <v/>
      </c>
      <c r="T464" s="9" t="str">
        <f t="shared" si="164"/>
        <v/>
      </c>
      <c r="U464" s="14"/>
      <c r="V464" s="15"/>
      <c r="W464" s="14" t="str">
        <f t="shared" si="165"/>
        <v/>
      </c>
      <c r="X464" s="15"/>
      <c r="Y464" s="2"/>
      <c r="AB464" s="22">
        <f t="shared" si="166"/>
        <v>1</v>
      </c>
      <c r="AC464" s="11"/>
      <c r="AD464" s="11"/>
      <c r="AE464" s="13"/>
      <c r="AF464" s="12"/>
      <c r="AG464" s="13"/>
      <c r="AH464" s="14"/>
      <c r="AI464" s="81" t="str">
        <f t="shared" si="167"/>
        <v/>
      </c>
      <c r="AJ464" s="15"/>
      <c r="AK464" s="6" t="e">
        <f t="shared" si="168"/>
        <v>#N/A</v>
      </c>
      <c r="AL464" s="6" t="str">
        <f>IF(AB465&lt;&gt;AB464,AVERAGEIF(AB$9:AB464,AB464,AK$9:AK464),"")</f>
        <v/>
      </c>
      <c r="AM464" s="7" t="str">
        <f>IFERROR(IF(AB465&lt;&gt;AB464,AVERAGEIF(AB$9:AB464,AB464,AT$9:AT464),""),"")</f>
        <v/>
      </c>
      <c r="AN464" s="7" t="str">
        <f>IFERROR(IF(AB465&lt;&gt;AB464,AVERAGEIF(AB$9:AB464,AB464,AU$9:AU464),""),"")</f>
        <v/>
      </c>
      <c r="AO464" s="7" t="str" cm="1">
        <f t="array" ref="AO464">IFERROR(IF(AB465&lt;&gt;AB464,_xlfn.STDEV.P(IF(AB$9:AB464=AB464,AU$9:AU464)),""),"")</f>
        <v/>
      </c>
      <c r="AP464" s="7" t="str" cm="1">
        <f t="array" ref="AP464">IFERROR(IF(AB465&lt;&gt;AB464,_xlfn.STDEV.P(IF(AB$9:AB464=AB464,AT$9:AT464)),""),"")</f>
        <v/>
      </c>
      <c r="AQ464" s="8" t="str">
        <f t="shared" si="169"/>
        <v/>
      </c>
      <c r="AR464" s="8" t="str">
        <f t="shared" si="170"/>
        <v/>
      </c>
      <c r="AS464" s="8" t="str">
        <f t="shared" si="171"/>
        <v/>
      </c>
      <c r="AT464" s="9" t="str">
        <f t="shared" si="172"/>
        <v/>
      </c>
      <c r="AU464" s="9" t="str">
        <f t="shared" si="173"/>
        <v/>
      </c>
      <c r="AV464" s="14"/>
      <c r="AW464" s="15"/>
      <c r="AX464" s="14" t="str">
        <f t="shared" si="174"/>
        <v/>
      </c>
      <c r="AY464" s="15"/>
      <c r="AZ464" s="23"/>
      <c r="EW464" t="s">
        <v>46</v>
      </c>
      <c r="EX464" s="33" t="s">
        <v>47</v>
      </c>
      <c r="EY464" s="35" t="s">
        <v>1208</v>
      </c>
      <c r="EZ464" s="36" t="s">
        <v>1209</v>
      </c>
      <c r="FA464" s="36" t="s">
        <v>1192</v>
      </c>
      <c r="FB464" s="36" t="s">
        <v>344</v>
      </c>
      <c r="FC464" s="36" t="s">
        <v>1192</v>
      </c>
      <c r="FD464" s="36" t="s">
        <v>344</v>
      </c>
      <c r="FE464" s="36">
        <v>2026</v>
      </c>
      <c r="FF464" s="36" t="s">
        <v>59</v>
      </c>
      <c r="FG464" s="36" t="s">
        <v>1210</v>
      </c>
      <c r="FJ464" t="s">
        <v>59</v>
      </c>
      <c r="FM464" s="32" t="s">
        <v>1211</v>
      </c>
      <c r="FN464" t="s">
        <v>1211</v>
      </c>
      <c r="FO464" t="s">
        <v>1212</v>
      </c>
      <c r="FP464" t="str">
        <f t="shared" si="156"/>
        <v>C</v>
      </c>
      <c r="FT464" s="69" t="s">
        <v>7404</v>
      </c>
      <c r="FU464" s="61">
        <v>0</v>
      </c>
      <c r="FV464" s="61">
        <v>0</v>
      </c>
      <c r="FW464" s="61">
        <v>0</v>
      </c>
      <c r="FX464" s="61">
        <v>0</v>
      </c>
      <c r="FY464" s="61">
        <v>15.2</v>
      </c>
      <c r="FZ464" s="61">
        <v>29.765000000000001</v>
      </c>
      <c r="GA464" s="61">
        <v>27.704999999999998</v>
      </c>
      <c r="GB464" s="61">
        <v>25.28</v>
      </c>
      <c r="GC464" s="61">
        <v>23.59</v>
      </c>
      <c r="GD464" s="61">
        <v>22.575000000000003</v>
      </c>
      <c r="GE464" s="61">
        <v>21.504999999999999</v>
      </c>
      <c r="GF464" s="61">
        <v>19.89</v>
      </c>
      <c r="GG464" s="61">
        <v>18.950000000000003</v>
      </c>
      <c r="GH464" s="61">
        <v>18.990000000000002</v>
      </c>
      <c r="GI464" s="61">
        <v>19.354999999999997</v>
      </c>
      <c r="GJ464" s="61">
        <v>19.795000000000002</v>
      </c>
      <c r="GK464" s="61">
        <v>19.880000000000003</v>
      </c>
      <c r="GL464" s="61">
        <v>19.07</v>
      </c>
      <c r="GM464" s="61">
        <v>18.895</v>
      </c>
      <c r="GN464" s="61">
        <v>19.450000000000003</v>
      </c>
      <c r="GO464" s="61">
        <v>20.115000000000002</v>
      </c>
      <c r="GP464" s="61">
        <v>22.515000000000001</v>
      </c>
      <c r="GQ464" s="61">
        <v>25.185000000000002</v>
      </c>
      <c r="GR464" s="61">
        <v>28.195</v>
      </c>
      <c r="GU464" s="53">
        <v>9</v>
      </c>
      <c r="GV464" s="53">
        <v>458</v>
      </c>
    </row>
    <row r="465" spans="1:204" ht="15.5" x14ac:dyDescent="0.35">
      <c r="A465" s="95">
        <f t="shared" si="157"/>
        <v>1</v>
      </c>
      <c r="B465" s="11"/>
      <c r="C465" s="11"/>
      <c r="D465" s="92" t="str">
        <f>IFERROR(
IF(AND(OR(Planilla!B465="C",Planilla!B465="c"), VLOOKUP(E465,EX:FJ,13,0)="C"), "OK",IF(AND(OR(Planilla!B465="C",Planilla!B465="c"), OR(VLOOKUP(E465,EX:FJ,13,0)="B", VLOOKUP(E465,EX:FJ,13,0)="A")), "DEFICIT",IF(
AND(OR(Planilla!B465="B", Planilla!B465="BPAL"), VLOOKUP(E465,EX:FJ,13,0)="B"), "OK",IF(AND(OR(Planilla!B465="B", Planilla!B465="BPAL"), VLOOKUP(E465,EX:FJ,13,0)="A"), "DEFICIT",IF(AND(OR(Planilla!B465="B", Planilla!B465="BPAL"), VLOOKUP(E465,EX:FJ,13,0)="C"), "SOBREOFERTA",IF(AND(Planilla!B465="A", VLOOKUP(E465,EX:FJ,13,0)="A"), "OK",IF(
AND(Planilla!B465="A", OR(VLOOKUP(E465,EX:FJ,13,0)="B", VLOOKUP(E465,EX:FJ,13,0)="C")), "SOBREOFERTA",""
))))))),"")</f>
        <v/>
      </c>
      <c r="E465" s="12"/>
      <c r="F465" s="13"/>
      <c r="G465" s="14"/>
      <c r="H465" s="81" t="str">
        <f t="shared" si="158"/>
        <v/>
      </c>
      <c r="I465" s="7"/>
      <c r="J465" s="6" t="e">
        <f t="shared" si="159"/>
        <v>#N/A</v>
      </c>
      <c r="K465" s="6" t="str">
        <f>IF(A466&lt;&gt;A465,AVERAGEIF(A$9:A465,A465,J$9:J465),"")</f>
        <v/>
      </c>
      <c r="L465" s="7" t="str">
        <f>IFERROR(IF(A466&lt;&gt;A465,AVERAGEIF(A$9:A465,A465,S$9:S465),""),"")</f>
        <v/>
      </c>
      <c r="M465" s="7" t="str">
        <f>IFERROR(IF(A466&lt;&gt;A465,AVERAGEIF(A$9:A465,A465,T$9:T465),""),"")</f>
        <v/>
      </c>
      <c r="N465" s="7" t="str" cm="1">
        <f t="array" ref="N465">IFERROR(IF(A466&lt;&gt;A465,_xlfn.STDEV.P(IF(A$9:A465=A465,T$9:T465)),""),"")</f>
        <v/>
      </c>
      <c r="O465" s="7" t="str" cm="1">
        <f t="array" ref="O465">IFERROR(IF(A466&lt;&gt;A465,_xlfn.STDEV.P(IF(A$9:A465=A465,S$9:S465)),""),"")</f>
        <v/>
      </c>
      <c r="P465" s="8" t="str">
        <f t="shared" si="160"/>
        <v/>
      </c>
      <c r="Q465" s="8" t="str">
        <f t="shared" si="161"/>
        <v/>
      </c>
      <c r="R465" s="8" t="str">
        <f t="shared" si="162"/>
        <v/>
      </c>
      <c r="S465" s="9" t="str">
        <f t="shared" si="163"/>
        <v/>
      </c>
      <c r="T465" s="9" t="str">
        <f t="shared" si="164"/>
        <v/>
      </c>
      <c r="U465" s="14"/>
      <c r="V465" s="15"/>
      <c r="W465" s="14" t="str">
        <f t="shared" si="165"/>
        <v/>
      </c>
      <c r="X465" s="15"/>
      <c r="Y465" s="2"/>
      <c r="AB465" s="22">
        <f t="shared" si="166"/>
        <v>1</v>
      </c>
      <c r="AC465" s="11"/>
      <c r="AD465" s="11"/>
      <c r="AE465" s="13"/>
      <c r="AF465" s="12"/>
      <c r="AG465" s="13"/>
      <c r="AH465" s="14"/>
      <c r="AI465" s="81" t="str">
        <f t="shared" si="167"/>
        <v/>
      </c>
      <c r="AJ465" s="15"/>
      <c r="AK465" s="6" t="e">
        <f t="shared" si="168"/>
        <v>#N/A</v>
      </c>
      <c r="AL465" s="6" t="str">
        <f>IF(AB466&lt;&gt;AB465,AVERAGEIF(AB$9:AB465,AB465,AK$9:AK465),"")</f>
        <v/>
      </c>
      <c r="AM465" s="7" t="str">
        <f>IFERROR(IF(AB466&lt;&gt;AB465,AVERAGEIF(AB$9:AB465,AB465,AT$9:AT465),""),"")</f>
        <v/>
      </c>
      <c r="AN465" s="7" t="str">
        <f>IFERROR(IF(AB466&lt;&gt;AB465,AVERAGEIF(AB$9:AB465,AB465,AU$9:AU465),""),"")</f>
        <v/>
      </c>
      <c r="AO465" s="7" t="str" cm="1">
        <f t="array" ref="AO465">IFERROR(IF(AB466&lt;&gt;AB465,_xlfn.STDEV.P(IF(AB$9:AB465=AB465,AU$9:AU465)),""),"")</f>
        <v/>
      </c>
      <c r="AP465" s="7" t="str" cm="1">
        <f t="array" ref="AP465">IFERROR(IF(AB466&lt;&gt;AB465,_xlfn.STDEV.P(IF(AB$9:AB465=AB465,AT$9:AT465)),""),"")</f>
        <v/>
      </c>
      <c r="AQ465" s="8" t="str">
        <f t="shared" si="169"/>
        <v/>
      </c>
      <c r="AR465" s="8" t="str">
        <f t="shared" si="170"/>
        <v/>
      </c>
      <c r="AS465" s="8" t="str">
        <f t="shared" si="171"/>
        <v/>
      </c>
      <c r="AT465" s="9" t="str">
        <f t="shared" si="172"/>
        <v/>
      </c>
      <c r="AU465" s="9" t="str">
        <f t="shared" si="173"/>
        <v/>
      </c>
      <c r="AV465" s="14"/>
      <c r="AW465" s="15"/>
      <c r="AX465" s="14" t="str">
        <f t="shared" si="174"/>
        <v/>
      </c>
      <c r="AY465" s="15"/>
      <c r="AZ465" s="23"/>
      <c r="EW465" t="s">
        <v>46</v>
      </c>
      <c r="EX465" s="33" t="s">
        <v>47</v>
      </c>
      <c r="EY465" s="35" t="s">
        <v>1213</v>
      </c>
      <c r="EZ465" s="36" t="s">
        <v>1214</v>
      </c>
      <c r="FA465" s="36" t="s">
        <v>1192</v>
      </c>
      <c r="FB465" s="36" t="s">
        <v>344</v>
      </c>
      <c r="FC465" s="36" t="s">
        <v>1192</v>
      </c>
      <c r="FD465" s="36" t="s">
        <v>344</v>
      </c>
      <c r="FE465" s="36">
        <v>2026</v>
      </c>
      <c r="FF465" s="36" t="s">
        <v>59</v>
      </c>
      <c r="FG465" s="36" t="s">
        <v>1193</v>
      </c>
      <c r="FJ465" t="s">
        <v>59</v>
      </c>
      <c r="FM465" s="32" t="s">
        <v>1215</v>
      </c>
      <c r="FN465" t="s">
        <v>1215</v>
      </c>
      <c r="FO465" t="s">
        <v>1216</v>
      </c>
      <c r="FP465" t="str">
        <f t="shared" si="156"/>
        <v>C</v>
      </c>
      <c r="FT465" s="69" t="s">
        <v>7397</v>
      </c>
      <c r="FU465" s="61">
        <v>0</v>
      </c>
      <c r="FV465" s="61">
        <v>0</v>
      </c>
      <c r="FW465" s="61">
        <v>0</v>
      </c>
      <c r="FX465" s="61">
        <v>0</v>
      </c>
      <c r="FY465" s="61">
        <v>0</v>
      </c>
      <c r="FZ465" s="61">
        <v>14.18</v>
      </c>
      <c r="GA465" s="61">
        <v>27.46</v>
      </c>
      <c r="GB465" s="61">
        <v>26.61</v>
      </c>
      <c r="GC465" s="61">
        <v>26.425000000000001</v>
      </c>
      <c r="GD465" s="61">
        <v>26.035</v>
      </c>
      <c r="GE465" s="61">
        <v>24.935000000000002</v>
      </c>
      <c r="GF465" s="61">
        <v>24.19</v>
      </c>
      <c r="GG465" s="61">
        <v>23.96</v>
      </c>
      <c r="GH465" s="61">
        <v>23.465</v>
      </c>
      <c r="GI465" s="61">
        <v>23.954999999999998</v>
      </c>
      <c r="GJ465" s="61">
        <v>23.965</v>
      </c>
      <c r="GK465" s="61">
        <v>23.984999999999999</v>
      </c>
      <c r="GL465" s="61">
        <v>23.395</v>
      </c>
      <c r="GM465" s="61">
        <v>23.38</v>
      </c>
      <c r="GN465" s="61">
        <v>23.895</v>
      </c>
      <c r="GO465" s="61">
        <v>25.145</v>
      </c>
      <c r="GP465" s="61">
        <v>26.76</v>
      </c>
      <c r="GQ465" s="61">
        <v>28.75</v>
      </c>
      <c r="GR465" s="61">
        <v>30.34</v>
      </c>
      <c r="GU465" s="53">
        <v>10</v>
      </c>
      <c r="GV465" s="53">
        <v>459</v>
      </c>
    </row>
    <row r="466" spans="1:204" ht="15.5" x14ac:dyDescent="0.35">
      <c r="A466" s="95">
        <f t="shared" si="157"/>
        <v>1</v>
      </c>
      <c r="B466" s="11"/>
      <c r="C466" s="11"/>
      <c r="D466" s="92" t="str">
        <f>IFERROR(
IF(AND(OR(Planilla!B466="C",Planilla!B466="c"), VLOOKUP(E466,EX:FJ,13,0)="C"), "OK",IF(AND(OR(Planilla!B466="C",Planilla!B466="c"), OR(VLOOKUP(E466,EX:FJ,13,0)="B", VLOOKUP(E466,EX:FJ,13,0)="A")), "DEFICIT",IF(
AND(OR(Planilla!B466="B", Planilla!B466="BPAL"), VLOOKUP(E466,EX:FJ,13,0)="B"), "OK",IF(AND(OR(Planilla!B466="B", Planilla!B466="BPAL"), VLOOKUP(E466,EX:FJ,13,0)="A"), "DEFICIT",IF(AND(OR(Planilla!B466="B", Planilla!B466="BPAL"), VLOOKUP(E466,EX:FJ,13,0)="C"), "SOBREOFERTA",IF(AND(Planilla!B466="A", VLOOKUP(E466,EX:FJ,13,0)="A"), "OK",IF(
AND(Planilla!B466="A", OR(VLOOKUP(E466,EX:FJ,13,0)="B", VLOOKUP(E466,EX:FJ,13,0)="C")), "SOBREOFERTA",""
))))))),"")</f>
        <v/>
      </c>
      <c r="E466" s="12"/>
      <c r="F466" s="13"/>
      <c r="G466" s="14"/>
      <c r="H466" s="81" t="str">
        <f t="shared" si="158"/>
        <v/>
      </c>
      <c r="I466" s="7"/>
      <c r="J466" s="6" t="e">
        <f t="shared" si="159"/>
        <v>#N/A</v>
      </c>
      <c r="K466" s="6" t="str">
        <f>IF(A467&lt;&gt;A466,AVERAGEIF(A$9:A466,A466,J$9:J466),"")</f>
        <v/>
      </c>
      <c r="L466" s="7" t="str">
        <f>IFERROR(IF(A467&lt;&gt;A466,AVERAGEIF(A$9:A466,A466,S$9:S466),""),"")</f>
        <v/>
      </c>
      <c r="M466" s="7" t="str">
        <f>IFERROR(IF(A467&lt;&gt;A466,AVERAGEIF(A$9:A466,A466,T$9:T466),""),"")</f>
        <v/>
      </c>
      <c r="N466" s="7" t="str" cm="1">
        <f t="array" ref="N466">IFERROR(IF(A467&lt;&gt;A466,_xlfn.STDEV.P(IF(A$9:A466=A466,T$9:T466)),""),"")</f>
        <v/>
      </c>
      <c r="O466" s="7" t="str" cm="1">
        <f t="array" ref="O466">IFERROR(IF(A467&lt;&gt;A466,_xlfn.STDEV.P(IF(A$9:A466=A466,S$9:S466)),""),"")</f>
        <v/>
      </c>
      <c r="P466" s="8" t="str">
        <f t="shared" si="160"/>
        <v/>
      </c>
      <c r="Q466" s="8" t="str">
        <f t="shared" si="161"/>
        <v/>
      </c>
      <c r="R466" s="8" t="str">
        <f t="shared" si="162"/>
        <v/>
      </c>
      <c r="S466" s="9" t="str">
        <f t="shared" si="163"/>
        <v/>
      </c>
      <c r="T466" s="9" t="str">
        <f t="shared" si="164"/>
        <v/>
      </c>
      <c r="U466" s="14"/>
      <c r="V466" s="15"/>
      <c r="W466" s="14" t="str">
        <f t="shared" si="165"/>
        <v/>
      </c>
      <c r="X466" s="15"/>
      <c r="Y466" s="2"/>
      <c r="AB466" s="22">
        <f t="shared" si="166"/>
        <v>1</v>
      </c>
      <c r="AC466" s="11"/>
      <c r="AD466" s="11"/>
      <c r="AE466" s="13"/>
      <c r="AF466" s="12"/>
      <c r="AG466" s="13"/>
      <c r="AH466" s="14"/>
      <c r="AI466" s="81" t="str">
        <f t="shared" si="167"/>
        <v/>
      </c>
      <c r="AJ466" s="15"/>
      <c r="AK466" s="6" t="e">
        <f t="shared" si="168"/>
        <v>#N/A</v>
      </c>
      <c r="AL466" s="6" t="str">
        <f>IF(AB467&lt;&gt;AB466,AVERAGEIF(AB$9:AB466,AB466,AK$9:AK466),"")</f>
        <v/>
      </c>
      <c r="AM466" s="7" t="str">
        <f>IFERROR(IF(AB467&lt;&gt;AB466,AVERAGEIF(AB$9:AB466,AB466,AT$9:AT466),""),"")</f>
        <v/>
      </c>
      <c r="AN466" s="7" t="str">
        <f>IFERROR(IF(AB467&lt;&gt;AB466,AVERAGEIF(AB$9:AB466,AB466,AU$9:AU466),""),"")</f>
        <v/>
      </c>
      <c r="AO466" s="7" t="str" cm="1">
        <f t="array" ref="AO466">IFERROR(IF(AB467&lt;&gt;AB466,_xlfn.STDEV.P(IF(AB$9:AB466=AB466,AU$9:AU466)),""),"")</f>
        <v/>
      </c>
      <c r="AP466" s="7" t="str" cm="1">
        <f t="array" ref="AP466">IFERROR(IF(AB467&lt;&gt;AB466,_xlfn.STDEV.P(IF(AB$9:AB466=AB466,AT$9:AT466)),""),"")</f>
        <v/>
      </c>
      <c r="AQ466" s="8" t="str">
        <f t="shared" si="169"/>
        <v/>
      </c>
      <c r="AR466" s="8" t="str">
        <f t="shared" si="170"/>
        <v/>
      </c>
      <c r="AS466" s="8" t="str">
        <f t="shared" si="171"/>
        <v/>
      </c>
      <c r="AT466" s="9" t="str">
        <f t="shared" si="172"/>
        <v/>
      </c>
      <c r="AU466" s="9" t="str">
        <f t="shared" si="173"/>
        <v/>
      </c>
      <c r="AV466" s="14"/>
      <c r="AW466" s="15"/>
      <c r="AX466" s="14" t="str">
        <f t="shared" si="174"/>
        <v/>
      </c>
      <c r="AY466" s="15"/>
      <c r="AZ466" s="23"/>
      <c r="EW466" t="s">
        <v>46</v>
      </c>
      <c r="EX466" s="33" t="s">
        <v>47</v>
      </c>
      <c r="EY466" s="35" t="s">
        <v>1217</v>
      </c>
      <c r="EZ466" s="36" t="s">
        <v>1218</v>
      </c>
      <c r="FA466" s="36" t="s">
        <v>1192</v>
      </c>
      <c r="FB466" s="36" t="s">
        <v>344</v>
      </c>
      <c r="FC466" s="36" t="s">
        <v>1192</v>
      </c>
      <c r="FD466" s="36" t="s">
        <v>344</v>
      </c>
      <c r="FE466" s="36">
        <v>2026</v>
      </c>
      <c r="FF466" s="36" t="s">
        <v>59</v>
      </c>
      <c r="FG466" s="36" t="s">
        <v>1193</v>
      </c>
      <c r="FJ466" t="s">
        <v>59</v>
      </c>
      <c r="FM466" s="32" t="s">
        <v>347</v>
      </c>
      <c r="FN466" t="s">
        <v>348</v>
      </c>
      <c r="FO466" t="s">
        <v>349</v>
      </c>
      <c r="FP466" t="str">
        <f t="shared" si="156"/>
        <v>B</v>
      </c>
      <c r="FT466" s="69" t="s">
        <v>7405</v>
      </c>
      <c r="FU466" s="61">
        <v>0</v>
      </c>
      <c r="FV466" s="61">
        <v>0</v>
      </c>
      <c r="FW466" s="61">
        <v>0</v>
      </c>
      <c r="FX466" s="61">
        <v>0</v>
      </c>
      <c r="FY466" s="61">
        <v>0</v>
      </c>
      <c r="FZ466" s="61">
        <v>11.93</v>
      </c>
      <c r="GA466" s="61">
        <v>22.59</v>
      </c>
      <c r="GB466" s="61">
        <v>20.715</v>
      </c>
      <c r="GC466" s="61">
        <v>19.5</v>
      </c>
      <c r="GD466" s="61">
        <v>18.77</v>
      </c>
      <c r="GE466" s="61">
        <v>17.615000000000002</v>
      </c>
      <c r="GF466" s="61">
        <v>16.555</v>
      </c>
      <c r="GG466" s="61">
        <v>16.055</v>
      </c>
      <c r="GH466" s="61">
        <v>15.984999999999999</v>
      </c>
      <c r="GI466" s="61">
        <v>16.14</v>
      </c>
      <c r="GJ466" s="61">
        <v>16.175000000000001</v>
      </c>
      <c r="GK466" s="61">
        <v>16</v>
      </c>
      <c r="GL466" s="61">
        <v>15.664999999999999</v>
      </c>
      <c r="GM466" s="61">
        <v>15.745000000000001</v>
      </c>
      <c r="GN466" s="61">
        <v>16.674999999999997</v>
      </c>
      <c r="GO466" s="61">
        <v>17.829999999999998</v>
      </c>
      <c r="GP466" s="61">
        <v>19.25</v>
      </c>
      <c r="GQ466" s="61">
        <v>21.365000000000002</v>
      </c>
      <c r="GR466" s="61">
        <v>22.884999999999998</v>
      </c>
      <c r="GU466" s="53">
        <v>11</v>
      </c>
      <c r="GV466" s="53">
        <v>460</v>
      </c>
    </row>
    <row r="467" spans="1:204" ht="15.5" x14ac:dyDescent="0.35">
      <c r="A467" s="95">
        <f t="shared" si="157"/>
        <v>1</v>
      </c>
      <c r="B467" s="11"/>
      <c r="C467" s="11"/>
      <c r="D467" s="92" t="str">
        <f>IFERROR(
IF(AND(OR(Planilla!B467="C",Planilla!B467="c"), VLOOKUP(E467,EX:FJ,13,0)="C"), "OK",IF(AND(OR(Planilla!B467="C",Planilla!B467="c"), OR(VLOOKUP(E467,EX:FJ,13,0)="B", VLOOKUP(E467,EX:FJ,13,0)="A")), "DEFICIT",IF(
AND(OR(Planilla!B467="B", Planilla!B467="BPAL"), VLOOKUP(E467,EX:FJ,13,0)="B"), "OK",IF(AND(OR(Planilla!B467="B", Planilla!B467="BPAL"), VLOOKUP(E467,EX:FJ,13,0)="A"), "DEFICIT",IF(AND(OR(Planilla!B467="B", Planilla!B467="BPAL"), VLOOKUP(E467,EX:FJ,13,0)="C"), "SOBREOFERTA",IF(AND(Planilla!B467="A", VLOOKUP(E467,EX:FJ,13,0)="A"), "OK",IF(
AND(Planilla!B467="A", OR(VLOOKUP(E467,EX:FJ,13,0)="B", VLOOKUP(E467,EX:FJ,13,0)="C")), "SOBREOFERTA",""
))))))),"")</f>
        <v/>
      </c>
      <c r="E467" s="12"/>
      <c r="F467" s="13"/>
      <c r="G467" s="14"/>
      <c r="H467" s="81" t="str">
        <f t="shared" si="158"/>
        <v/>
      </c>
      <c r="I467" s="7"/>
      <c r="J467" s="6" t="e">
        <f t="shared" si="159"/>
        <v>#N/A</v>
      </c>
      <c r="K467" s="6" t="str">
        <f>IF(A468&lt;&gt;A467,AVERAGEIF(A$9:A467,A467,J$9:J467),"")</f>
        <v/>
      </c>
      <c r="L467" s="7" t="str">
        <f>IFERROR(IF(A468&lt;&gt;A467,AVERAGEIF(A$9:A467,A467,S$9:S467),""),"")</f>
        <v/>
      </c>
      <c r="M467" s="7" t="str">
        <f>IFERROR(IF(A468&lt;&gt;A467,AVERAGEIF(A$9:A467,A467,T$9:T467),""),"")</f>
        <v/>
      </c>
      <c r="N467" s="7" t="str" cm="1">
        <f t="array" ref="N467">IFERROR(IF(A468&lt;&gt;A467,_xlfn.STDEV.P(IF(A$9:A467=A467,T$9:T467)),""),"")</f>
        <v/>
      </c>
      <c r="O467" s="7" t="str" cm="1">
        <f t="array" ref="O467">IFERROR(IF(A468&lt;&gt;A467,_xlfn.STDEV.P(IF(A$9:A467=A467,S$9:S467)),""),"")</f>
        <v/>
      </c>
      <c r="P467" s="8" t="str">
        <f t="shared" si="160"/>
        <v/>
      </c>
      <c r="Q467" s="8" t="str">
        <f t="shared" si="161"/>
        <v/>
      </c>
      <c r="R467" s="8" t="str">
        <f t="shared" si="162"/>
        <v/>
      </c>
      <c r="S467" s="9" t="str">
        <f t="shared" si="163"/>
        <v/>
      </c>
      <c r="T467" s="9" t="str">
        <f t="shared" si="164"/>
        <v/>
      </c>
      <c r="U467" s="14"/>
      <c r="V467" s="15"/>
      <c r="W467" s="14" t="str">
        <f t="shared" si="165"/>
        <v/>
      </c>
      <c r="X467" s="15"/>
      <c r="Y467" s="2"/>
      <c r="AB467" s="22">
        <f t="shared" si="166"/>
        <v>1</v>
      </c>
      <c r="AC467" s="11"/>
      <c r="AD467" s="11"/>
      <c r="AE467" s="13"/>
      <c r="AF467" s="12"/>
      <c r="AG467" s="13"/>
      <c r="AH467" s="14"/>
      <c r="AI467" s="81" t="str">
        <f t="shared" si="167"/>
        <v/>
      </c>
      <c r="AJ467" s="15"/>
      <c r="AK467" s="6" t="e">
        <f t="shared" si="168"/>
        <v>#N/A</v>
      </c>
      <c r="AL467" s="6" t="str">
        <f>IF(AB468&lt;&gt;AB467,AVERAGEIF(AB$9:AB467,AB467,AK$9:AK467),"")</f>
        <v/>
      </c>
      <c r="AM467" s="7" t="str">
        <f>IFERROR(IF(AB468&lt;&gt;AB467,AVERAGEIF(AB$9:AB467,AB467,AT$9:AT467),""),"")</f>
        <v/>
      </c>
      <c r="AN467" s="7" t="str">
        <f>IFERROR(IF(AB468&lt;&gt;AB467,AVERAGEIF(AB$9:AB467,AB467,AU$9:AU467),""),"")</f>
        <v/>
      </c>
      <c r="AO467" s="7" t="str" cm="1">
        <f t="array" ref="AO467">IFERROR(IF(AB468&lt;&gt;AB467,_xlfn.STDEV.P(IF(AB$9:AB467=AB467,AU$9:AU467)),""),"")</f>
        <v/>
      </c>
      <c r="AP467" s="7" t="str" cm="1">
        <f t="array" ref="AP467">IFERROR(IF(AB468&lt;&gt;AB467,_xlfn.STDEV.P(IF(AB$9:AB467=AB467,AT$9:AT467)),""),"")</f>
        <v/>
      </c>
      <c r="AQ467" s="8" t="str">
        <f t="shared" si="169"/>
        <v/>
      </c>
      <c r="AR467" s="8" t="str">
        <f t="shared" si="170"/>
        <v/>
      </c>
      <c r="AS467" s="8" t="str">
        <f t="shared" si="171"/>
        <v/>
      </c>
      <c r="AT467" s="9" t="str">
        <f t="shared" si="172"/>
        <v/>
      </c>
      <c r="AU467" s="9" t="str">
        <f t="shared" si="173"/>
        <v/>
      </c>
      <c r="AV467" s="14"/>
      <c r="AW467" s="15"/>
      <c r="AX467" s="14" t="str">
        <f t="shared" si="174"/>
        <v/>
      </c>
      <c r="AY467" s="15"/>
      <c r="AZ467" s="23"/>
      <c r="EW467" t="s">
        <v>46</v>
      </c>
      <c r="EX467" s="33" t="s">
        <v>47</v>
      </c>
      <c r="EY467" s="35" t="s">
        <v>1219</v>
      </c>
      <c r="EZ467" s="36" t="s">
        <v>1220</v>
      </c>
      <c r="FA467" s="36" t="s">
        <v>1192</v>
      </c>
      <c r="FB467" s="36" t="s">
        <v>344</v>
      </c>
      <c r="FC467" s="36" t="s">
        <v>1192</v>
      </c>
      <c r="FD467" s="36" t="s">
        <v>344</v>
      </c>
      <c r="FE467" s="36">
        <v>2026</v>
      </c>
      <c r="FF467" s="36" t="s">
        <v>59</v>
      </c>
      <c r="FG467" s="36" t="s">
        <v>1193</v>
      </c>
      <c r="FJ467" t="s">
        <v>59</v>
      </c>
      <c r="FM467" s="32" t="s">
        <v>1221</v>
      </c>
      <c r="FN467" t="s">
        <v>1221</v>
      </c>
      <c r="FO467" t="s">
        <v>1222</v>
      </c>
      <c r="FP467" t="str">
        <f t="shared" si="156"/>
        <v>C</v>
      </c>
      <c r="FT467" s="69">
        <v>120</v>
      </c>
      <c r="FU467" s="61">
        <v>0</v>
      </c>
      <c r="FV467" s="61">
        <v>0</v>
      </c>
      <c r="FW467" s="61">
        <v>0</v>
      </c>
      <c r="FX467" s="61">
        <v>0</v>
      </c>
      <c r="FY467" s="61">
        <v>14.4</v>
      </c>
      <c r="FZ467" s="61">
        <v>26.96</v>
      </c>
      <c r="GA467" s="61">
        <v>24.74</v>
      </c>
      <c r="GB467" s="61">
        <v>23.484999999999999</v>
      </c>
      <c r="GC467" s="61">
        <v>22.33</v>
      </c>
      <c r="GD467" s="61">
        <v>20.965</v>
      </c>
      <c r="GE467" s="61">
        <v>20.395000000000003</v>
      </c>
      <c r="GF467" s="61">
        <v>20.09</v>
      </c>
      <c r="GG467" s="61">
        <v>18.865000000000002</v>
      </c>
      <c r="GH467" s="61">
        <v>18.785</v>
      </c>
      <c r="GI467" s="61">
        <v>18.984999999999999</v>
      </c>
      <c r="GJ467" s="61">
        <v>19.074999999999999</v>
      </c>
      <c r="GK467" s="61">
        <v>19.274999999999999</v>
      </c>
      <c r="GL467" s="61">
        <v>18.954999999999998</v>
      </c>
      <c r="GM467" s="61">
        <v>18.914999999999999</v>
      </c>
      <c r="GN467" s="61">
        <v>19.285</v>
      </c>
      <c r="GO467" s="61">
        <v>20.865000000000002</v>
      </c>
      <c r="GP467" s="61">
        <v>23.245000000000001</v>
      </c>
      <c r="GQ467" s="61">
        <v>25.66</v>
      </c>
      <c r="GR467" s="61">
        <v>27.734999999999999</v>
      </c>
      <c r="GU467" s="53">
        <v>12</v>
      </c>
      <c r="GV467" s="53">
        <v>461</v>
      </c>
    </row>
    <row r="468" spans="1:204" ht="15.5" x14ac:dyDescent="0.35">
      <c r="A468" s="95">
        <f t="shared" si="157"/>
        <v>1</v>
      </c>
      <c r="B468" s="11"/>
      <c r="C468" s="11"/>
      <c r="D468" s="92" t="str">
        <f>IFERROR(
IF(AND(OR(Planilla!B468="C",Planilla!B468="c"), VLOOKUP(E468,EX:FJ,13,0)="C"), "OK",IF(AND(OR(Planilla!B468="C",Planilla!B468="c"), OR(VLOOKUP(E468,EX:FJ,13,0)="B", VLOOKUP(E468,EX:FJ,13,0)="A")), "DEFICIT",IF(
AND(OR(Planilla!B468="B", Planilla!B468="BPAL"), VLOOKUP(E468,EX:FJ,13,0)="B"), "OK",IF(AND(OR(Planilla!B468="B", Planilla!B468="BPAL"), VLOOKUP(E468,EX:FJ,13,0)="A"), "DEFICIT",IF(AND(OR(Planilla!B468="B", Planilla!B468="BPAL"), VLOOKUP(E468,EX:FJ,13,0)="C"), "SOBREOFERTA",IF(AND(Planilla!B468="A", VLOOKUP(E468,EX:FJ,13,0)="A"), "OK",IF(
AND(Planilla!B468="A", OR(VLOOKUP(E468,EX:FJ,13,0)="B", VLOOKUP(E468,EX:FJ,13,0)="C")), "SOBREOFERTA",""
))))))),"")</f>
        <v/>
      </c>
      <c r="E468" s="12"/>
      <c r="F468" s="13"/>
      <c r="G468" s="14"/>
      <c r="H468" s="81" t="str">
        <f t="shared" si="158"/>
        <v/>
      </c>
      <c r="I468" s="7"/>
      <c r="J468" s="6" t="e">
        <f t="shared" si="159"/>
        <v>#N/A</v>
      </c>
      <c r="K468" s="6" t="str">
        <f>IF(A469&lt;&gt;A468,AVERAGEIF(A$9:A468,A468,J$9:J468),"")</f>
        <v/>
      </c>
      <c r="L468" s="7" t="str">
        <f>IFERROR(IF(A469&lt;&gt;A468,AVERAGEIF(A$9:A468,A468,S$9:S468),""),"")</f>
        <v/>
      </c>
      <c r="M468" s="7" t="str">
        <f>IFERROR(IF(A469&lt;&gt;A468,AVERAGEIF(A$9:A468,A468,T$9:T468),""),"")</f>
        <v/>
      </c>
      <c r="N468" s="7" t="str" cm="1">
        <f t="array" ref="N468">IFERROR(IF(A469&lt;&gt;A468,_xlfn.STDEV.P(IF(A$9:A468=A468,T$9:T468)),""),"")</f>
        <v/>
      </c>
      <c r="O468" s="7" t="str" cm="1">
        <f t="array" ref="O468">IFERROR(IF(A469&lt;&gt;A468,_xlfn.STDEV.P(IF(A$9:A468=A468,S$9:S468)),""),"")</f>
        <v/>
      </c>
      <c r="P468" s="8" t="str">
        <f t="shared" si="160"/>
        <v/>
      </c>
      <c r="Q468" s="8" t="str">
        <f t="shared" si="161"/>
        <v/>
      </c>
      <c r="R468" s="8" t="str">
        <f t="shared" si="162"/>
        <v/>
      </c>
      <c r="S468" s="9" t="str">
        <f t="shared" si="163"/>
        <v/>
      </c>
      <c r="T468" s="9" t="str">
        <f t="shared" si="164"/>
        <v/>
      </c>
      <c r="U468" s="14"/>
      <c r="V468" s="15"/>
      <c r="W468" s="14" t="str">
        <f t="shared" si="165"/>
        <v/>
      </c>
      <c r="X468" s="15"/>
      <c r="Y468" s="2"/>
      <c r="AB468" s="22">
        <f t="shared" si="166"/>
        <v>1</v>
      </c>
      <c r="AC468" s="11"/>
      <c r="AD468" s="11"/>
      <c r="AE468" s="13"/>
      <c r="AF468" s="12"/>
      <c r="AG468" s="13"/>
      <c r="AH468" s="14"/>
      <c r="AI468" s="81" t="str">
        <f t="shared" si="167"/>
        <v/>
      </c>
      <c r="AJ468" s="15"/>
      <c r="AK468" s="6" t="e">
        <f t="shared" si="168"/>
        <v>#N/A</v>
      </c>
      <c r="AL468" s="6" t="str">
        <f>IF(AB469&lt;&gt;AB468,AVERAGEIF(AB$9:AB468,AB468,AK$9:AK468),"")</f>
        <v/>
      </c>
      <c r="AM468" s="7" t="str">
        <f>IFERROR(IF(AB469&lt;&gt;AB468,AVERAGEIF(AB$9:AB468,AB468,AT$9:AT468),""),"")</f>
        <v/>
      </c>
      <c r="AN468" s="7" t="str">
        <f>IFERROR(IF(AB469&lt;&gt;AB468,AVERAGEIF(AB$9:AB468,AB468,AU$9:AU468),""),"")</f>
        <v/>
      </c>
      <c r="AO468" s="7" t="str" cm="1">
        <f t="array" ref="AO468">IFERROR(IF(AB469&lt;&gt;AB468,_xlfn.STDEV.P(IF(AB$9:AB468=AB468,AU$9:AU468)),""),"")</f>
        <v/>
      </c>
      <c r="AP468" s="7" t="str" cm="1">
        <f t="array" ref="AP468">IFERROR(IF(AB469&lt;&gt;AB468,_xlfn.STDEV.P(IF(AB$9:AB468=AB468,AT$9:AT468)),""),"")</f>
        <v/>
      </c>
      <c r="AQ468" s="8" t="str">
        <f t="shared" si="169"/>
        <v/>
      </c>
      <c r="AR468" s="8" t="str">
        <f t="shared" si="170"/>
        <v/>
      </c>
      <c r="AS468" s="8" t="str">
        <f t="shared" si="171"/>
        <v/>
      </c>
      <c r="AT468" s="9" t="str">
        <f t="shared" si="172"/>
        <v/>
      </c>
      <c r="AU468" s="9" t="str">
        <f t="shared" si="173"/>
        <v/>
      </c>
      <c r="AV468" s="14"/>
      <c r="AW468" s="15"/>
      <c r="AX468" s="14" t="str">
        <f t="shared" si="174"/>
        <v/>
      </c>
      <c r="AY468" s="15"/>
      <c r="AZ468" s="23"/>
      <c r="EW468" t="s">
        <v>46</v>
      </c>
      <c r="EX468" s="33" t="s">
        <v>47</v>
      </c>
      <c r="EY468" s="35" t="s">
        <v>1223</v>
      </c>
      <c r="EZ468" s="36" t="s">
        <v>1224</v>
      </c>
      <c r="FA468" s="36" t="s">
        <v>1192</v>
      </c>
      <c r="FB468" s="36" t="s">
        <v>344</v>
      </c>
      <c r="FC468" s="36" t="s">
        <v>1192</v>
      </c>
      <c r="FD468" s="36" t="s">
        <v>344</v>
      </c>
      <c r="FE468" s="36">
        <v>2026</v>
      </c>
      <c r="FF468" s="36" t="s">
        <v>59</v>
      </c>
      <c r="FG468" s="36" t="s">
        <v>1193</v>
      </c>
      <c r="FJ468" t="s">
        <v>59</v>
      </c>
      <c r="FM468" s="32" t="s">
        <v>1225</v>
      </c>
      <c r="FN468" t="s">
        <v>1225</v>
      </c>
      <c r="FO468" t="s">
        <v>1226</v>
      </c>
      <c r="FP468" t="str">
        <f t="shared" si="156"/>
        <v>B</v>
      </c>
      <c r="FT468" s="69">
        <v>120</v>
      </c>
      <c r="FU468" s="61">
        <v>28.950000000000003</v>
      </c>
      <c r="FV468" s="61">
        <v>0</v>
      </c>
      <c r="FW468" s="61">
        <v>0</v>
      </c>
      <c r="FX468" s="61">
        <v>0</v>
      </c>
      <c r="FY468" s="61">
        <v>0</v>
      </c>
      <c r="FZ468" s="61">
        <v>12.92</v>
      </c>
      <c r="GA468" s="61">
        <v>24.924999999999997</v>
      </c>
      <c r="GB468" s="61">
        <v>23.515000000000001</v>
      </c>
      <c r="GC468" s="61">
        <v>22.52</v>
      </c>
      <c r="GD468" s="61">
        <v>21.684999999999999</v>
      </c>
      <c r="GE468" s="61">
        <v>20.46</v>
      </c>
      <c r="GF468" s="61">
        <v>19.325000000000003</v>
      </c>
      <c r="GG468" s="61">
        <v>19.309999999999999</v>
      </c>
      <c r="GH468" s="61">
        <v>19.479999999999997</v>
      </c>
      <c r="GI468" s="61">
        <v>19.945</v>
      </c>
      <c r="GJ468" s="61">
        <v>19.68</v>
      </c>
      <c r="GK468" s="61">
        <v>19.004999999999999</v>
      </c>
      <c r="GL468" s="61">
        <v>18.814999999999998</v>
      </c>
      <c r="GM468" s="61">
        <v>18.655000000000001</v>
      </c>
      <c r="GN468" s="61">
        <v>18.835000000000001</v>
      </c>
      <c r="GO468" s="61">
        <v>19.909999999999997</v>
      </c>
      <c r="GP468" s="61">
        <v>21.39</v>
      </c>
      <c r="GQ468" s="61">
        <v>24.234999999999999</v>
      </c>
      <c r="GR468" s="61">
        <v>26.99</v>
      </c>
      <c r="GU468" s="53">
        <v>13</v>
      </c>
      <c r="GV468" s="53">
        <v>462</v>
      </c>
    </row>
    <row r="469" spans="1:204" ht="15.5" x14ac:dyDescent="0.35">
      <c r="A469" s="95">
        <f t="shared" si="157"/>
        <v>1</v>
      </c>
      <c r="B469" s="11"/>
      <c r="C469" s="11"/>
      <c r="D469" s="92" t="str">
        <f>IFERROR(
IF(AND(OR(Planilla!B469="C",Planilla!B469="c"), VLOOKUP(E469,EX:FJ,13,0)="C"), "OK",IF(AND(OR(Planilla!B469="C",Planilla!B469="c"), OR(VLOOKUP(E469,EX:FJ,13,0)="B", VLOOKUP(E469,EX:FJ,13,0)="A")), "DEFICIT",IF(
AND(OR(Planilla!B469="B", Planilla!B469="BPAL"), VLOOKUP(E469,EX:FJ,13,0)="B"), "OK",IF(AND(OR(Planilla!B469="B", Planilla!B469="BPAL"), VLOOKUP(E469,EX:FJ,13,0)="A"), "DEFICIT",IF(AND(OR(Planilla!B469="B", Planilla!B469="BPAL"), VLOOKUP(E469,EX:FJ,13,0)="C"), "SOBREOFERTA",IF(AND(Planilla!B469="A", VLOOKUP(E469,EX:FJ,13,0)="A"), "OK",IF(
AND(Planilla!B469="A", OR(VLOOKUP(E469,EX:FJ,13,0)="B", VLOOKUP(E469,EX:FJ,13,0)="C")), "SOBREOFERTA",""
))))))),"")</f>
        <v/>
      </c>
      <c r="E469" s="12"/>
      <c r="F469" s="13"/>
      <c r="G469" s="14"/>
      <c r="H469" s="81" t="str">
        <f t="shared" si="158"/>
        <v/>
      </c>
      <c r="I469" s="7"/>
      <c r="J469" s="6" t="e">
        <f t="shared" si="159"/>
        <v>#N/A</v>
      </c>
      <c r="K469" s="6" t="str">
        <f>IF(A470&lt;&gt;A469,AVERAGEIF(A$9:A469,A469,J$9:J469),"")</f>
        <v/>
      </c>
      <c r="L469" s="7" t="str">
        <f>IFERROR(IF(A470&lt;&gt;A469,AVERAGEIF(A$9:A469,A469,S$9:S469),""),"")</f>
        <v/>
      </c>
      <c r="M469" s="7" t="str">
        <f>IFERROR(IF(A470&lt;&gt;A469,AVERAGEIF(A$9:A469,A469,T$9:T469),""),"")</f>
        <v/>
      </c>
      <c r="N469" s="7" t="str" cm="1">
        <f t="array" ref="N469">IFERROR(IF(A470&lt;&gt;A469,_xlfn.STDEV.P(IF(A$9:A469=A469,T$9:T469)),""),"")</f>
        <v/>
      </c>
      <c r="O469" s="7" t="str" cm="1">
        <f t="array" ref="O469">IFERROR(IF(A470&lt;&gt;A469,_xlfn.STDEV.P(IF(A$9:A469=A469,S$9:S469)),""),"")</f>
        <v/>
      </c>
      <c r="P469" s="8" t="str">
        <f t="shared" si="160"/>
        <v/>
      </c>
      <c r="Q469" s="8" t="str">
        <f t="shared" si="161"/>
        <v/>
      </c>
      <c r="R469" s="8" t="str">
        <f t="shared" si="162"/>
        <v/>
      </c>
      <c r="S469" s="9" t="str">
        <f t="shared" si="163"/>
        <v/>
      </c>
      <c r="T469" s="9" t="str">
        <f t="shared" si="164"/>
        <v/>
      </c>
      <c r="U469" s="14"/>
      <c r="V469" s="15"/>
      <c r="W469" s="14" t="str">
        <f t="shared" si="165"/>
        <v/>
      </c>
      <c r="X469" s="15"/>
      <c r="Y469" s="2"/>
      <c r="AB469" s="22">
        <f t="shared" si="166"/>
        <v>1</v>
      </c>
      <c r="AC469" s="11"/>
      <c r="AD469" s="11"/>
      <c r="AE469" s="13"/>
      <c r="AF469" s="12"/>
      <c r="AG469" s="13"/>
      <c r="AH469" s="14"/>
      <c r="AI469" s="81" t="str">
        <f t="shared" si="167"/>
        <v/>
      </c>
      <c r="AJ469" s="15"/>
      <c r="AK469" s="6" t="e">
        <f t="shared" si="168"/>
        <v>#N/A</v>
      </c>
      <c r="AL469" s="6" t="str">
        <f>IF(AB470&lt;&gt;AB469,AVERAGEIF(AB$9:AB469,AB469,AK$9:AK469),"")</f>
        <v/>
      </c>
      <c r="AM469" s="7" t="str">
        <f>IFERROR(IF(AB470&lt;&gt;AB469,AVERAGEIF(AB$9:AB469,AB469,AT$9:AT469),""),"")</f>
        <v/>
      </c>
      <c r="AN469" s="7" t="str">
        <f>IFERROR(IF(AB470&lt;&gt;AB469,AVERAGEIF(AB$9:AB469,AB469,AU$9:AU469),""),"")</f>
        <v/>
      </c>
      <c r="AO469" s="7" t="str" cm="1">
        <f t="array" ref="AO469">IFERROR(IF(AB470&lt;&gt;AB469,_xlfn.STDEV.P(IF(AB$9:AB469=AB469,AU$9:AU469)),""),"")</f>
        <v/>
      </c>
      <c r="AP469" s="7" t="str" cm="1">
        <f t="array" ref="AP469">IFERROR(IF(AB470&lt;&gt;AB469,_xlfn.STDEV.P(IF(AB$9:AB469=AB469,AT$9:AT469)),""),"")</f>
        <v/>
      </c>
      <c r="AQ469" s="8" t="str">
        <f t="shared" si="169"/>
        <v/>
      </c>
      <c r="AR469" s="8" t="str">
        <f t="shared" si="170"/>
        <v/>
      </c>
      <c r="AS469" s="8" t="str">
        <f t="shared" si="171"/>
        <v/>
      </c>
      <c r="AT469" s="9" t="str">
        <f t="shared" si="172"/>
        <v/>
      </c>
      <c r="AU469" s="9" t="str">
        <f t="shared" si="173"/>
        <v/>
      </c>
      <c r="AV469" s="14"/>
      <c r="AW469" s="15"/>
      <c r="AX469" s="14" t="str">
        <f t="shared" si="174"/>
        <v/>
      </c>
      <c r="AY469" s="15"/>
      <c r="AZ469" s="23"/>
      <c r="EW469" t="s">
        <v>46</v>
      </c>
      <c r="EX469" s="33" t="s">
        <v>47</v>
      </c>
      <c r="EY469" s="35" t="s">
        <v>1227</v>
      </c>
      <c r="EZ469" s="36" t="s">
        <v>1228</v>
      </c>
      <c r="FA469" s="36" t="s">
        <v>1192</v>
      </c>
      <c r="FB469" s="36" t="s">
        <v>344</v>
      </c>
      <c r="FC469" s="36" t="s">
        <v>1192</v>
      </c>
      <c r="FD469" s="36" t="s">
        <v>344</v>
      </c>
      <c r="FE469" s="36">
        <v>2026</v>
      </c>
      <c r="FF469" s="36" t="s">
        <v>59</v>
      </c>
      <c r="FG469" s="36" t="s">
        <v>1193</v>
      </c>
      <c r="FJ469" t="s">
        <v>59</v>
      </c>
      <c r="FM469" s="32" t="s">
        <v>1229</v>
      </c>
      <c r="FN469" t="s">
        <v>1229</v>
      </c>
      <c r="FO469" t="s">
        <v>1230</v>
      </c>
      <c r="FP469" t="str">
        <f t="shared" si="156"/>
        <v>C</v>
      </c>
      <c r="FT469" s="69" t="s">
        <v>7406</v>
      </c>
      <c r="FU469" s="61">
        <v>0</v>
      </c>
      <c r="FV469" s="61">
        <v>0</v>
      </c>
      <c r="FW469" s="61">
        <v>0</v>
      </c>
      <c r="FX469" s="61">
        <v>0</v>
      </c>
      <c r="FY469" s="61">
        <v>0</v>
      </c>
      <c r="FZ469" s="61">
        <v>14.605</v>
      </c>
      <c r="GA469" s="61">
        <v>27.835000000000001</v>
      </c>
      <c r="GB469" s="61">
        <v>26.240000000000002</v>
      </c>
      <c r="GC469" s="61">
        <v>25.11</v>
      </c>
      <c r="GD469" s="61">
        <v>24.27</v>
      </c>
      <c r="GE469" s="61">
        <v>23.204999999999998</v>
      </c>
      <c r="GF469" s="61">
        <v>22.46</v>
      </c>
      <c r="GG469" s="61">
        <v>21.245000000000001</v>
      </c>
      <c r="GH469" s="61">
        <v>21</v>
      </c>
      <c r="GI469" s="61">
        <v>21.344999999999999</v>
      </c>
      <c r="GJ469" s="61">
        <v>21.515000000000001</v>
      </c>
      <c r="GK469" s="61">
        <v>21.09</v>
      </c>
      <c r="GL469" s="61">
        <v>20.350000000000001</v>
      </c>
      <c r="GM469" s="61">
        <v>20.200000000000003</v>
      </c>
      <c r="GN469" s="61">
        <v>21.535</v>
      </c>
      <c r="GO469" s="61">
        <v>22.89</v>
      </c>
      <c r="GP469" s="61">
        <v>24.565000000000001</v>
      </c>
      <c r="GQ469" s="61">
        <v>26.274999999999999</v>
      </c>
      <c r="GR469" s="61">
        <v>27.95</v>
      </c>
      <c r="GU469" s="53">
        <v>14</v>
      </c>
      <c r="GV469" s="53">
        <v>463</v>
      </c>
    </row>
    <row r="470" spans="1:204" ht="15.5" x14ac:dyDescent="0.35">
      <c r="A470" s="95">
        <f t="shared" si="157"/>
        <v>1</v>
      </c>
      <c r="B470" s="11"/>
      <c r="C470" s="11"/>
      <c r="D470" s="92" t="str">
        <f>IFERROR(
IF(AND(OR(Planilla!B470="C",Planilla!B470="c"), VLOOKUP(E470,EX:FJ,13,0)="C"), "OK",IF(AND(OR(Planilla!B470="C",Planilla!B470="c"), OR(VLOOKUP(E470,EX:FJ,13,0)="B", VLOOKUP(E470,EX:FJ,13,0)="A")), "DEFICIT",IF(
AND(OR(Planilla!B470="B", Planilla!B470="BPAL"), VLOOKUP(E470,EX:FJ,13,0)="B"), "OK",IF(AND(OR(Planilla!B470="B", Planilla!B470="BPAL"), VLOOKUP(E470,EX:FJ,13,0)="A"), "DEFICIT",IF(AND(OR(Planilla!B470="B", Planilla!B470="BPAL"), VLOOKUP(E470,EX:FJ,13,0)="C"), "SOBREOFERTA",IF(AND(Planilla!B470="A", VLOOKUP(E470,EX:FJ,13,0)="A"), "OK",IF(
AND(Planilla!B470="A", OR(VLOOKUP(E470,EX:FJ,13,0)="B", VLOOKUP(E470,EX:FJ,13,0)="C")), "SOBREOFERTA",""
))))))),"")</f>
        <v/>
      </c>
      <c r="E470" s="12"/>
      <c r="F470" s="13"/>
      <c r="G470" s="14"/>
      <c r="H470" s="81" t="str">
        <f t="shared" si="158"/>
        <v/>
      </c>
      <c r="I470" s="7"/>
      <c r="J470" s="6" t="e">
        <f t="shared" si="159"/>
        <v>#N/A</v>
      </c>
      <c r="K470" s="6" t="str">
        <f>IF(A471&lt;&gt;A470,AVERAGEIF(A$9:A470,A470,J$9:J470),"")</f>
        <v/>
      </c>
      <c r="L470" s="7" t="str">
        <f>IFERROR(IF(A471&lt;&gt;A470,AVERAGEIF(A$9:A470,A470,S$9:S470),""),"")</f>
        <v/>
      </c>
      <c r="M470" s="7" t="str">
        <f>IFERROR(IF(A471&lt;&gt;A470,AVERAGEIF(A$9:A470,A470,T$9:T470),""),"")</f>
        <v/>
      </c>
      <c r="N470" s="7" t="str" cm="1">
        <f t="array" ref="N470">IFERROR(IF(A471&lt;&gt;A470,_xlfn.STDEV.P(IF(A$9:A470=A470,T$9:T470)),""),"")</f>
        <v/>
      </c>
      <c r="O470" s="7" t="str" cm="1">
        <f t="array" ref="O470">IFERROR(IF(A471&lt;&gt;A470,_xlfn.STDEV.P(IF(A$9:A470=A470,S$9:S470)),""),"")</f>
        <v/>
      </c>
      <c r="P470" s="8" t="str">
        <f t="shared" si="160"/>
        <v/>
      </c>
      <c r="Q470" s="8" t="str">
        <f t="shared" si="161"/>
        <v/>
      </c>
      <c r="R470" s="8" t="str">
        <f t="shared" si="162"/>
        <v/>
      </c>
      <c r="S470" s="9" t="str">
        <f t="shared" si="163"/>
        <v/>
      </c>
      <c r="T470" s="9" t="str">
        <f t="shared" si="164"/>
        <v/>
      </c>
      <c r="U470" s="14"/>
      <c r="V470" s="15"/>
      <c r="W470" s="14" t="str">
        <f t="shared" si="165"/>
        <v/>
      </c>
      <c r="X470" s="15"/>
      <c r="Y470" s="2"/>
      <c r="AB470" s="22">
        <f t="shared" si="166"/>
        <v>1</v>
      </c>
      <c r="AC470" s="11"/>
      <c r="AD470" s="11"/>
      <c r="AE470" s="13"/>
      <c r="AF470" s="12"/>
      <c r="AG470" s="13"/>
      <c r="AH470" s="14"/>
      <c r="AI470" s="81" t="str">
        <f t="shared" si="167"/>
        <v/>
      </c>
      <c r="AJ470" s="15"/>
      <c r="AK470" s="6" t="e">
        <f t="shared" si="168"/>
        <v>#N/A</v>
      </c>
      <c r="AL470" s="6" t="str">
        <f>IF(AB471&lt;&gt;AB470,AVERAGEIF(AB$9:AB470,AB470,AK$9:AK470),"")</f>
        <v/>
      </c>
      <c r="AM470" s="7" t="str">
        <f>IFERROR(IF(AB471&lt;&gt;AB470,AVERAGEIF(AB$9:AB470,AB470,AT$9:AT470),""),"")</f>
        <v/>
      </c>
      <c r="AN470" s="7" t="str">
        <f>IFERROR(IF(AB471&lt;&gt;AB470,AVERAGEIF(AB$9:AB470,AB470,AU$9:AU470),""),"")</f>
        <v/>
      </c>
      <c r="AO470" s="7" t="str" cm="1">
        <f t="array" ref="AO470">IFERROR(IF(AB471&lt;&gt;AB470,_xlfn.STDEV.P(IF(AB$9:AB470=AB470,AU$9:AU470)),""),"")</f>
        <v/>
      </c>
      <c r="AP470" s="7" t="str" cm="1">
        <f t="array" ref="AP470">IFERROR(IF(AB471&lt;&gt;AB470,_xlfn.STDEV.P(IF(AB$9:AB470=AB470,AT$9:AT470)),""),"")</f>
        <v/>
      </c>
      <c r="AQ470" s="8" t="str">
        <f t="shared" si="169"/>
        <v/>
      </c>
      <c r="AR470" s="8" t="str">
        <f t="shared" si="170"/>
        <v/>
      </c>
      <c r="AS470" s="8" t="str">
        <f t="shared" si="171"/>
        <v/>
      </c>
      <c r="AT470" s="9" t="str">
        <f t="shared" si="172"/>
        <v/>
      </c>
      <c r="AU470" s="9" t="str">
        <f t="shared" si="173"/>
        <v/>
      </c>
      <c r="AV470" s="14"/>
      <c r="AW470" s="15"/>
      <c r="AX470" s="14" t="str">
        <f t="shared" si="174"/>
        <v/>
      </c>
      <c r="AY470" s="15"/>
      <c r="AZ470" s="23"/>
      <c r="EW470" t="s">
        <v>46</v>
      </c>
      <c r="EX470" s="33" t="s">
        <v>47</v>
      </c>
      <c r="EY470" s="35" t="s">
        <v>1231</v>
      </c>
      <c r="EZ470" s="36" t="s">
        <v>1232</v>
      </c>
      <c r="FA470" s="36" t="s">
        <v>1192</v>
      </c>
      <c r="FB470" s="36" t="s">
        <v>344</v>
      </c>
      <c r="FC470" s="36" t="s">
        <v>1192</v>
      </c>
      <c r="FD470" s="36" t="s">
        <v>344</v>
      </c>
      <c r="FE470" s="36">
        <v>2026</v>
      </c>
      <c r="FF470" s="36" t="s">
        <v>59</v>
      </c>
      <c r="FG470" s="36" t="s">
        <v>1193</v>
      </c>
      <c r="FJ470" t="s">
        <v>59</v>
      </c>
      <c r="FM470" s="32" t="s">
        <v>1233</v>
      </c>
      <c r="FN470" t="s">
        <v>1233</v>
      </c>
      <c r="FO470" t="s">
        <v>1234</v>
      </c>
      <c r="FP470" t="str">
        <f t="shared" si="156"/>
        <v>C</v>
      </c>
      <c r="FT470" s="69" t="s">
        <v>7407</v>
      </c>
      <c r="FU470" s="61">
        <v>0</v>
      </c>
      <c r="FV470" s="61">
        <v>0</v>
      </c>
      <c r="FW470" s="61">
        <v>0</v>
      </c>
      <c r="FX470" s="61">
        <v>0</v>
      </c>
      <c r="FY470" s="61">
        <v>0</v>
      </c>
      <c r="FZ470" s="61">
        <v>30.484999999999999</v>
      </c>
      <c r="GA470" s="61">
        <v>27.310000000000002</v>
      </c>
      <c r="GB470" s="61">
        <v>24.35</v>
      </c>
      <c r="GC470" s="61">
        <v>23.075000000000003</v>
      </c>
      <c r="GD470" s="61">
        <v>21.935000000000002</v>
      </c>
      <c r="GE470" s="61">
        <v>20.895</v>
      </c>
      <c r="GF470" s="61">
        <v>19.975000000000001</v>
      </c>
      <c r="GG470" s="61">
        <v>20.009999999999998</v>
      </c>
      <c r="GH470" s="61">
        <v>19.484999999999999</v>
      </c>
      <c r="GI470" s="61">
        <v>19.61</v>
      </c>
      <c r="GJ470" s="61">
        <v>19.844999999999999</v>
      </c>
      <c r="GK470" s="61">
        <v>19.829999999999998</v>
      </c>
      <c r="GL470" s="61">
        <v>19.299999999999997</v>
      </c>
      <c r="GM470" s="61">
        <v>19.734999999999999</v>
      </c>
      <c r="GN470" s="61">
        <v>19.43</v>
      </c>
      <c r="GO470" s="61">
        <v>20.57</v>
      </c>
      <c r="GP470" s="61">
        <v>22.265000000000001</v>
      </c>
      <c r="GQ470" s="61">
        <v>24.844999999999999</v>
      </c>
      <c r="GR470" s="61">
        <v>27.715</v>
      </c>
      <c r="GU470" s="53">
        <v>15</v>
      </c>
      <c r="GV470" s="53">
        <v>464</v>
      </c>
    </row>
    <row r="471" spans="1:204" ht="15.5" x14ac:dyDescent="0.35">
      <c r="A471" s="95">
        <f t="shared" si="157"/>
        <v>1</v>
      </c>
      <c r="B471" s="11"/>
      <c r="C471" s="11"/>
      <c r="D471" s="92" t="str">
        <f>IFERROR(
IF(AND(OR(Planilla!B471="C",Planilla!B471="c"), VLOOKUP(E471,EX:FJ,13,0)="C"), "OK",IF(AND(OR(Planilla!B471="C",Planilla!B471="c"), OR(VLOOKUP(E471,EX:FJ,13,0)="B", VLOOKUP(E471,EX:FJ,13,0)="A")), "DEFICIT",IF(
AND(OR(Planilla!B471="B", Planilla!B471="BPAL"), VLOOKUP(E471,EX:FJ,13,0)="B"), "OK",IF(AND(OR(Planilla!B471="B", Planilla!B471="BPAL"), VLOOKUP(E471,EX:FJ,13,0)="A"), "DEFICIT",IF(AND(OR(Planilla!B471="B", Planilla!B471="BPAL"), VLOOKUP(E471,EX:FJ,13,0)="C"), "SOBREOFERTA",IF(AND(Planilla!B471="A", VLOOKUP(E471,EX:FJ,13,0)="A"), "OK",IF(
AND(Planilla!B471="A", OR(VLOOKUP(E471,EX:FJ,13,0)="B", VLOOKUP(E471,EX:FJ,13,0)="C")), "SOBREOFERTA",""
))))))),"")</f>
        <v/>
      </c>
      <c r="E471" s="12"/>
      <c r="F471" s="13"/>
      <c r="G471" s="14"/>
      <c r="H471" s="81" t="str">
        <f t="shared" si="158"/>
        <v/>
      </c>
      <c r="I471" s="7"/>
      <c r="J471" s="6" t="e">
        <f t="shared" si="159"/>
        <v>#N/A</v>
      </c>
      <c r="K471" s="6" t="str">
        <f>IF(A472&lt;&gt;A471,AVERAGEIF(A$9:A471,A471,J$9:J471),"")</f>
        <v/>
      </c>
      <c r="L471" s="7" t="str">
        <f>IFERROR(IF(A472&lt;&gt;A471,AVERAGEIF(A$9:A471,A471,S$9:S471),""),"")</f>
        <v/>
      </c>
      <c r="M471" s="7" t="str">
        <f>IFERROR(IF(A472&lt;&gt;A471,AVERAGEIF(A$9:A471,A471,T$9:T471),""),"")</f>
        <v/>
      </c>
      <c r="N471" s="7" t="str" cm="1">
        <f t="array" ref="N471">IFERROR(IF(A472&lt;&gt;A471,_xlfn.STDEV.P(IF(A$9:A471=A471,T$9:T471)),""),"")</f>
        <v/>
      </c>
      <c r="O471" s="7" t="str" cm="1">
        <f t="array" ref="O471">IFERROR(IF(A472&lt;&gt;A471,_xlfn.STDEV.P(IF(A$9:A471=A471,S$9:S471)),""),"")</f>
        <v/>
      </c>
      <c r="P471" s="8" t="str">
        <f t="shared" si="160"/>
        <v/>
      </c>
      <c r="Q471" s="8" t="str">
        <f t="shared" si="161"/>
        <v/>
      </c>
      <c r="R471" s="8" t="str">
        <f t="shared" si="162"/>
        <v/>
      </c>
      <c r="S471" s="9" t="str">
        <f t="shared" si="163"/>
        <v/>
      </c>
      <c r="T471" s="9" t="str">
        <f t="shared" si="164"/>
        <v/>
      </c>
      <c r="U471" s="14"/>
      <c r="V471" s="15"/>
      <c r="W471" s="14" t="str">
        <f t="shared" si="165"/>
        <v/>
      </c>
      <c r="X471" s="15"/>
      <c r="Y471" s="2"/>
      <c r="AB471" s="22">
        <f t="shared" si="166"/>
        <v>1</v>
      </c>
      <c r="AC471" s="11"/>
      <c r="AD471" s="11"/>
      <c r="AE471" s="13"/>
      <c r="AF471" s="12"/>
      <c r="AG471" s="13"/>
      <c r="AH471" s="14"/>
      <c r="AI471" s="81" t="str">
        <f t="shared" si="167"/>
        <v/>
      </c>
      <c r="AJ471" s="15"/>
      <c r="AK471" s="6" t="e">
        <f t="shared" si="168"/>
        <v>#N/A</v>
      </c>
      <c r="AL471" s="6" t="str">
        <f>IF(AB472&lt;&gt;AB471,AVERAGEIF(AB$9:AB471,AB471,AK$9:AK471),"")</f>
        <v/>
      </c>
      <c r="AM471" s="7" t="str">
        <f>IFERROR(IF(AB472&lt;&gt;AB471,AVERAGEIF(AB$9:AB471,AB471,AT$9:AT471),""),"")</f>
        <v/>
      </c>
      <c r="AN471" s="7" t="str">
        <f>IFERROR(IF(AB472&lt;&gt;AB471,AVERAGEIF(AB$9:AB471,AB471,AU$9:AU471),""),"")</f>
        <v/>
      </c>
      <c r="AO471" s="7" t="str" cm="1">
        <f t="array" ref="AO471">IFERROR(IF(AB472&lt;&gt;AB471,_xlfn.STDEV.P(IF(AB$9:AB471=AB471,AU$9:AU471)),""),"")</f>
        <v/>
      </c>
      <c r="AP471" s="7" t="str" cm="1">
        <f t="array" ref="AP471">IFERROR(IF(AB472&lt;&gt;AB471,_xlfn.STDEV.P(IF(AB$9:AB471=AB471,AT$9:AT471)),""),"")</f>
        <v/>
      </c>
      <c r="AQ471" s="8" t="str">
        <f t="shared" si="169"/>
        <v/>
      </c>
      <c r="AR471" s="8" t="str">
        <f t="shared" si="170"/>
        <v/>
      </c>
      <c r="AS471" s="8" t="str">
        <f t="shared" si="171"/>
        <v/>
      </c>
      <c r="AT471" s="9" t="str">
        <f t="shared" si="172"/>
        <v/>
      </c>
      <c r="AU471" s="9" t="str">
        <f t="shared" si="173"/>
        <v/>
      </c>
      <c r="AV471" s="14"/>
      <c r="AW471" s="15"/>
      <c r="AX471" s="14" t="str">
        <f t="shared" si="174"/>
        <v/>
      </c>
      <c r="AY471" s="15"/>
      <c r="AZ471" s="23"/>
      <c r="EW471" t="s">
        <v>46</v>
      </c>
      <c r="EX471" s="33" t="s">
        <v>47</v>
      </c>
      <c r="EY471" s="35" t="s">
        <v>1235</v>
      </c>
      <c r="EZ471" s="36" t="s">
        <v>1236</v>
      </c>
      <c r="FA471" s="36" t="s">
        <v>1192</v>
      </c>
      <c r="FB471" s="36" t="s">
        <v>344</v>
      </c>
      <c r="FC471" s="36" t="s">
        <v>1192</v>
      </c>
      <c r="FD471" s="36" t="s">
        <v>344</v>
      </c>
      <c r="FE471" s="36">
        <v>2026</v>
      </c>
      <c r="FF471" s="36" t="s">
        <v>59</v>
      </c>
      <c r="FG471" s="36" t="s">
        <v>1193</v>
      </c>
      <c r="FJ471" t="s">
        <v>59</v>
      </c>
      <c r="FM471" s="32" t="s">
        <v>1237</v>
      </c>
      <c r="FN471" t="s">
        <v>1237</v>
      </c>
      <c r="FO471" t="s">
        <v>1238</v>
      </c>
      <c r="FP471" t="str">
        <f t="shared" si="156"/>
        <v>C</v>
      </c>
      <c r="FT471" s="69" t="s">
        <v>7407</v>
      </c>
      <c r="FU471" s="61">
        <v>0</v>
      </c>
      <c r="FV471" s="61">
        <v>0</v>
      </c>
      <c r="FW471" s="61">
        <v>0</v>
      </c>
      <c r="FX471" s="61">
        <v>0</v>
      </c>
      <c r="FY471" s="61">
        <v>0</v>
      </c>
      <c r="FZ471" s="61">
        <v>16.149999999999999</v>
      </c>
      <c r="GA471" s="61">
        <v>28.92</v>
      </c>
      <c r="GB471" s="61">
        <v>25.865000000000002</v>
      </c>
      <c r="GC471" s="61">
        <v>23.835000000000001</v>
      </c>
      <c r="GD471" s="61">
        <v>22.375</v>
      </c>
      <c r="GE471" s="61">
        <v>21.009999999999998</v>
      </c>
      <c r="GF471" s="61">
        <v>19.740000000000002</v>
      </c>
      <c r="GG471" s="61">
        <v>19.46</v>
      </c>
      <c r="GH471" s="61">
        <v>19.475000000000001</v>
      </c>
      <c r="GI471" s="61">
        <v>19.59</v>
      </c>
      <c r="GJ471" s="61">
        <v>20.605</v>
      </c>
      <c r="GK471" s="61">
        <v>19.884999999999998</v>
      </c>
      <c r="GL471" s="61">
        <v>18.73</v>
      </c>
      <c r="GM471" s="61">
        <v>17.600000000000001</v>
      </c>
      <c r="GN471" s="61">
        <v>18.314999999999998</v>
      </c>
      <c r="GO471" s="61">
        <v>19.43</v>
      </c>
      <c r="GP471" s="61">
        <v>21.015000000000001</v>
      </c>
      <c r="GQ471" s="61">
        <v>23.68</v>
      </c>
      <c r="GR471" s="61">
        <v>25.810000000000002</v>
      </c>
      <c r="GU471" s="53">
        <v>16</v>
      </c>
      <c r="GV471" s="53">
        <v>465</v>
      </c>
    </row>
    <row r="472" spans="1:204" ht="15.5" x14ac:dyDescent="0.35">
      <c r="A472" s="95">
        <f t="shared" si="157"/>
        <v>1</v>
      </c>
      <c r="B472" s="11"/>
      <c r="C472" s="11"/>
      <c r="D472" s="92" t="str">
        <f>IFERROR(
IF(AND(OR(Planilla!B472="C",Planilla!B472="c"), VLOOKUP(E472,EX:FJ,13,0)="C"), "OK",IF(AND(OR(Planilla!B472="C",Planilla!B472="c"), OR(VLOOKUP(E472,EX:FJ,13,0)="B", VLOOKUP(E472,EX:FJ,13,0)="A")), "DEFICIT",IF(
AND(OR(Planilla!B472="B", Planilla!B472="BPAL"), VLOOKUP(E472,EX:FJ,13,0)="B"), "OK",IF(AND(OR(Planilla!B472="B", Planilla!B472="BPAL"), VLOOKUP(E472,EX:FJ,13,0)="A"), "DEFICIT",IF(AND(OR(Planilla!B472="B", Planilla!B472="BPAL"), VLOOKUP(E472,EX:FJ,13,0)="C"), "SOBREOFERTA",IF(AND(Planilla!B472="A", VLOOKUP(E472,EX:FJ,13,0)="A"), "OK",IF(
AND(Planilla!B472="A", OR(VLOOKUP(E472,EX:FJ,13,0)="B", VLOOKUP(E472,EX:FJ,13,0)="C")), "SOBREOFERTA",""
))))))),"")</f>
        <v/>
      </c>
      <c r="E472" s="12"/>
      <c r="F472" s="13"/>
      <c r="G472" s="14"/>
      <c r="H472" s="81" t="str">
        <f t="shared" si="158"/>
        <v/>
      </c>
      <c r="I472" s="7"/>
      <c r="J472" s="6" t="e">
        <f t="shared" si="159"/>
        <v>#N/A</v>
      </c>
      <c r="K472" s="6" t="str">
        <f>IF(A473&lt;&gt;A472,AVERAGEIF(A$9:A472,A472,J$9:J472),"")</f>
        <v/>
      </c>
      <c r="L472" s="7" t="str">
        <f>IFERROR(IF(A473&lt;&gt;A472,AVERAGEIF(A$9:A472,A472,S$9:S472),""),"")</f>
        <v/>
      </c>
      <c r="M472" s="7" t="str">
        <f>IFERROR(IF(A473&lt;&gt;A472,AVERAGEIF(A$9:A472,A472,T$9:T472),""),"")</f>
        <v/>
      </c>
      <c r="N472" s="7" t="str" cm="1">
        <f t="array" ref="N472">IFERROR(IF(A473&lt;&gt;A472,_xlfn.STDEV.P(IF(A$9:A472=A472,T$9:T472)),""),"")</f>
        <v/>
      </c>
      <c r="O472" s="7" t="str" cm="1">
        <f t="array" ref="O472">IFERROR(IF(A473&lt;&gt;A472,_xlfn.STDEV.P(IF(A$9:A472=A472,S$9:S472)),""),"")</f>
        <v/>
      </c>
      <c r="P472" s="8" t="str">
        <f t="shared" si="160"/>
        <v/>
      </c>
      <c r="Q472" s="8" t="str">
        <f t="shared" si="161"/>
        <v/>
      </c>
      <c r="R472" s="8" t="str">
        <f t="shared" si="162"/>
        <v/>
      </c>
      <c r="S472" s="9" t="str">
        <f t="shared" si="163"/>
        <v/>
      </c>
      <c r="T472" s="9" t="str">
        <f t="shared" si="164"/>
        <v/>
      </c>
      <c r="U472" s="14"/>
      <c r="V472" s="15"/>
      <c r="W472" s="14" t="str">
        <f t="shared" si="165"/>
        <v/>
      </c>
      <c r="X472" s="15"/>
      <c r="Y472" s="2"/>
      <c r="AB472" s="22">
        <f t="shared" si="166"/>
        <v>1</v>
      </c>
      <c r="AC472" s="11"/>
      <c r="AD472" s="11"/>
      <c r="AE472" s="13"/>
      <c r="AF472" s="12"/>
      <c r="AG472" s="13"/>
      <c r="AH472" s="14"/>
      <c r="AI472" s="81" t="str">
        <f t="shared" si="167"/>
        <v/>
      </c>
      <c r="AJ472" s="15"/>
      <c r="AK472" s="6" t="e">
        <f t="shared" si="168"/>
        <v>#N/A</v>
      </c>
      <c r="AL472" s="6" t="str">
        <f>IF(AB473&lt;&gt;AB472,AVERAGEIF(AB$9:AB472,AB472,AK$9:AK472),"")</f>
        <v/>
      </c>
      <c r="AM472" s="7" t="str">
        <f>IFERROR(IF(AB473&lt;&gt;AB472,AVERAGEIF(AB$9:AB472,AB472,AT$9:AT472),""),"")</f>
        <v/>
      </c>
      <c r="AN472" s="7" t="str">
        <f>IFERROR(IF(AB473&lt;&gt;AB472,AVERAGEIF(AB$9:AB472,AB472,AU$9:AU472),""),"")</f>
        <v/>
      </c>
      <c r="AO472" s="7" t="str" cm="1">
        <f t="array" ref="AO472">IFERROR(IF(AB473&lt;&gt;AB472,_xlfn.STDEV.P(IF(AB$9:AB472=AB472,AU$9:AU472)),""),"")</f>
        <v/>
      </c>
      <c r="AP472" s="7" t="str" cm="1">
        <f t="array" ref="AP472">IFERROR(IF(AB473&lt;&gt;AB472,_xlfn.STDEV.P(IF(AB$9:AB472=AB472,AT$9:AT472)),""),"")</f>
        <v/>
      </c>
      <c r="AQ472" s="8" t="str">
        <f t="shared" si="169"/>
        <v/>
      </c>
      <c r="AR472" s="8" t="str">
        <f t="shared" si="170"/>
        <v/>
      </c>
      <c r="AS472" s="8" t="str">
        <f t="shared" si="171"/>
        <v/>
      </c>
      <c r="AT472" s="9" t="str">
        <f t="shared" si="172"/>
        <v/>
      </c>
      <c r="AU472" s="9" t="str">
        <f t="shared" si="173"/>
        <v/>
      </c>
      <c r="AV472" s="14"/>
      <c r="AW472" s="15"/>
      <c r="AX472" s="14" t="str">
        <f t="shared" si="174"/>
        <v/>
      </c>
      <c r="AY472" s="15"/>
      <c r="AZ472" s="23"/>
      <c r="EW472" t="s">
        <v>46</v>
      </c>
      <c r="EX472" s="33" t="s">
        <v>47</v>
      </c>
      <c r="EY472" s="35" t="s">
        <v>1239</v>
      </c>
      <c r="EZ472" s="36" t="s">
        <v>1240</v>
      </c>
      <c r="FA472" s="36" t="s">
        <v>1192</v>
      </c>
      <c r="FB472" s="36" t="s">
        <v>344</v>
      </c>
      <c r="FC472" s="36" t="s">
        <v>1192</v>
      </c>
      <c r="FD472" s="36" t="s">
        <v>344</v>
      </c>
      <c r="FE472" s="36">
        <v>2026</v>
      </c>
      <c r="FF472" s="36" t="s">
        <v>59</v>
      </c>
      <c r="FG472" s="36" t="s">
        <v>1241</v>
      </c>
      <c r="FJ472" t="s">
        <v>59</v>
      </c>
      <c r="FM472" s="32" t="s">
        <v>1242</v>
      </c>
      <c r="FN472" t="s">
        <v>1242</v>
      </c>
      <c r="FO472" t="s">
        <v>1243</v>
      </c>
      <c r="FP472" t="str">
        <f t="shared" si="156"/>
        <v>C</v>
      </c>
      <c r="FT472" s="69" t="s">
        <v>7389</v>
      </c>
      <c r="FU472" s="61">
        <v>0</v>
      </c>
      <c r="FV472" s="61">
        <v>0</v>
      </c>
      <c r="FW472" s="61">
        <v>0</v>
      </c>
      <c r="FX472" s="61">
        <v>0</v>
      </c>
      <c r="FY472" s="61">
        <v>0</v>
      </c>
      <c r="FZ472" s="61">
        <v>24.045000000000002</v>
      </c>
      <c r="GA472" s="61">
        <v>22.36</v>
      </c>
      <c r="GB472" s="61">
        <v>20.945</v>
      </c>
      <c r="GC472" s="61">
        <v>20.094999999999999</v>
      </c>
      <c r="GD472" s="61">
        <v>19.510000000000002</v>
      </c>
      <c r="GE472" s="61">
        <v>18.725000000000001</v>
      </c>
      <c r="GF472" s="61">
        <v>17.579999999999998</v>
      </c>
      <c r="GG472" s="61">
        <v>17.04</v>
      </c>
      <c r="GH472" s="61">
        <v>17.335000000000001</v>
      </c>
      <c r="GI472" s="61">
        <v>18.11</v>
      </c>
      <c r="GJ472" s="61">
        <v>18.704999999999998</v>
      </c>
      <c r="GK472" s="61">
        <v>18.884999999999998</v>
      </c>
      <c r="GL472" s="61">
        <v>18.585000000000001</v>
      </c>
      <c r="GM472" s="61">
        <v>18.39</v>
      </c>
      <c r="GN472" s="61">
        <v>19.094999999999999</v>
      </c>
      <c r="GO472" s="61">
        <v>20.335000000000001</v>
      </c>
      <c r="GP472" s="61">
        <v>21.71</v>
      </c>
      <c r="GQ472" s="61">
        <v>23.594999999999999</v>
      </c>
      <c r="GR472" s="61">
        <v>24.66</v>
      </c>
      <c r="GU472" s="53">
        <v>17</v>
      </c>
      <c r="GV472" s="53">
        <v>466</v>
      </c>
    </row>
    <row r="473" spans="1:204" ht="15.5" x14ac:dyDescent="0.35">
      <c r="A473" s="95">
        <f t="shared" si="157"/>
        <v>1</v>
      </c>
      <c r="B473" s="11"/>
      <c r="C473" s="11"/>
      <c r="D473" s="92" t="str">
        <f>IFERROR(
IF(AND(OR(Planilla!B473="C",Planilla!B473="c"), VLOOKUP(E473,EX:FJ,13,0)="C"), "OK",IF(AND(OR(Planilla!B473="C",Planilla!B473="c"), OR(VLOOKUP(E473,EX:FJ,13,0)="B", VLOOKUP(E473,EX:FJ,13,0)="A")), "DEFICIT",IF(
AND(OR(Planilla!B473="B", Planilla!B473="BPAL"), VLOOKUP(E473,EX:FJ,13,0)="B"), "OK",IF(AND(OR(Planilla!B473="B", Planilla!B473="BPAL"), VLOOKUP(E473,EX:FJ,13,0)="A"), "DEFICIT",IF(AND(OR(Planilla!B473="B", Planilla!B473="BPAL"), VLOOKUP(E473,EX:FJ,13,0)="C"), "SOBREOFERTA",IF(AND(Planilla!B473="A", VLOOKUP(E473,EX:FJ,13,0)="A"), "OK",IF(
AND(Planilla!B473="A", OR(VLOOKUP(E473,EX:FJ,13,0)="B", VLOOKUP(E473,EX:FJ,13,0)="C")), "SOBREOFERTA",""
))))))),"")</f>
        <v/>
      </c>
      <c r="E473" s="12"/>
      <c r="F473" s="13"/>
      <c r="G473" s="14"/>
      <c r="H473" s="81" t="str">
        <f t="shared" si="158"/>
        <v/>
      </c>
      <c r="I473" s="7"/>
      <c r="J473" s="6" t="e">
        <f t="shared" si="159"/>
        <v>#N/A</v>
      </c>
      <c r="K473" s="6" t="str">
        <f>IF(A474&lt;&gt;A473,AVERAGEIF(A$9:A473,A473,J$9:J473),"")</f>
        <v/>
      </c>
      <c r="L473" s="7" t="str">
        <f>IFERROR(IF(A474&lt;&gt;A473,AVERAGEIF(A$9:A473,A473,S$9:S473),""),"")</f>
        <v/>
      </c>
      <c r="M473" s="7" t="str">
        <f>IFERROR(IF(A474&lt;&gt;A473,AVERAGEIF(A$9:A473,A473,T$9:T473),""),"")</f>
        <v/>
      </c>
      <c r="N473" s="7" t="str" cm="1">
        <f t="array" ref="N473">IFERROR(IF(A474&lt;&gt;A473,_xlfn.STDEV.P(IF(A$9:A473=A473,T$9:T473)),""),"")</f>
        <v/>
      </c>
      <c r="O473" s="7" t="str" cm="1">
        <f t="array" ref="O473">IFERROR(IF(A474&lt;&gt;A473,_xlfn.STDEV.P(IF(A$9:A473=A473,S$9:S473)),""),"")</f>
        <v/>
      </c>
      <c r="P473" s="8" t="str">
        <f t="shared" si="160"/>
        <v/>
      </c>
      <c r="Q473" s="8" t="str">
        <f t="shared" si="161"/>
        <v/>
      </c>
      <c r="R473" s="8" t="str">
        <f t="shared" si="162"/>
        <v/>
      </c>
      <c r="S473" s="9" t="str">
        <f t="shared" si="163"/>
        <v/>
      </c>
      <c r="T473" s="9" t="str">
        <f t="shared" si="164"/>
        <v/>
      </c>
      <c r="U473" s="14"/>
      <c r="V473" s="15"/>
      <c r="W473" s="14" t="str">
        <f t="shared" si="165"/>
        <v/>
      </c>
      <c r="X473" s="15"/>
      <c r="Y473" s="2"/>
      <c r="AB473" s="22">
        <f t="shared" si="166"/>
        <v>1</v>
      </c>
      <c r="AC473" s="11"/>
      <c r="AD473" s="11"/>
      <c r="AE473" s="13"/>
      <c r="AF473" s="12"/>
      <c r="AG473" s="13"/>
      <c r="AH473" s="14"/>
      <c r="AI473" s="81" t="str">
        <f t="shared" si="167"/>
        <v/>
      </c>
      <c r="AJ473" s="15"/>
      <c r="AK473" s="6" t="e">
        <f t="shared" si="168"/>
        <v>#N/A</v>
      </c>
      <c r="AL473" s="6" t="str">
        <f>IF(AB474&lt;&gt;AB473,AVERAGEIF(AB$9:AB473,AB473,AK$9:AK473),"")</f>
        <v/>
      </c>
      <c r="AM473" s="7" t="str">
        <f>IFERROR(IF(AB474&lt;&gt;AB473,AVERAGEIF(AB$9:AB473,AB473,AT$9:AT473),""),"")</f>
        <v/>
      </c>
      <c r="AN473" s="7" t="str">
        <f>IFERROR(IF(AB474&lt;&gt;AB473,AVERAGEIF(AB$9:AB473,AB473,AU$9:AU473),""),"")</f>
        <v/>
      </c>
      <c r="AO473" s="7" t="str" cm="1">
        <f t="array" ref="AO473">IFERROR(IF(AB474&lt;&gt;AB473,_xlfn.STDEV.P(IF(AB$9:AB473=AB473,AU$9:AU473)),""),"")</f>
        <v/>
      </c>
      <c r="AP473" s="7" t="str" cm="1">
        <f t="array" ref="AP473">IFERROR(IF(AB474&lt;&gt;AB473,_xlfn.STDEV.P(IF(AB$9:AB473=AB473,AT$9:AT473)),""),"")</f>
        <v/>
      </c>
      <c r="AQ473" s="8" t="str">
        <f t="shared" si="169"/>
        <v/>
      </c>
      <c r="AR473" s="8" t="str">
        <f t="shared" si="170"/>
        <v/>
      </c>
      <c r="AS473" s="8" t="str">
        <f t="shared" si="171"/>
        <v/>
      </c>
      <c r="AT473" s="9" t="str">
        <f t="shared" si="172"/>
        <v/>
      </c>
      <c r="AU473" s="9" t="str">
        <f t="shared" si="173"/>
        <v/>
      </c>
      <c r="AV473" s="14"/>
      <c r="AW473" s="15"/>
      <c r="AX473" s="14" t="str">
        <f t="shared" si="174"/>
        <v/>
      </c>
      <c r="AY473" s="15"/>
      <c r="AZ473" s="23"/>
      <c r="EW473" t="s">
        <v>46</v>
      </c>
      <c r="EX473" s="33" t="s">
        <v>47</v>
      </c>
      <c r="EY473" s="35" t="s">
        <v>1244</v>
      </c>
      <c r="EZ473" s="36" t="s">
        <v>1245</v>
      </c>
      <c r="FA473" s="36" t="s">
        <v>1192</v>
      </c>
      <c r="FB473" s="36" t="s">
        <v>344</v>
      </c>
      <c r="FC473" s="36" t="s">
        <v>1192</v>
      </c>
      <c r="FD473" s="36" t="s">
        <v>344</v>
      </c>
      <c r="FE473" s="36">
        <v>2026</v>
      </c>
      <c r="FF473" s="36" t="s">
        <v>59</v>
      </c>
      <c r="FG473" s="36" t="s">
        <v>1241</v>
      </c>
      <c r="FJ473" t="s">
        <v>59</v>
      </c>
      <c r="FM473" s="32" t="s">
        <v>1215</v>
      </c>
      <c r="FN473" t="s">
        <v>1215</v>
      </c>
      <c r="FO473" t="s">
        <v>1216</v>
      </c>
      <c r="FP473" t="str">
        <f t="shared" si="156"/>
        <v>C</v>
      </c>
      <c r="FT473" s="69" t="s">
        <v>7408</v>
      </c>
      <c r="FU473" s="61">
        <v>17.77</v>
      </c>
      <c r="FV473" s="61">
        <v>0</v>
      </c>
      <c r="FW473" s="61">
        <v>0</v>
      </c>
      <c r="FX473" s="61">
        <v>0</v>
      </c>
      <c r="FY473" s="61">
        <v>0</v>
      </c>
      <c r="FZ473" s="61">
        <v>15.465</v>
      </c>
      <c r="GA473" s="61">
        <v>29.905000000000001</v>
      </c>
      <c r="GB473" s="61">
        <v>28.114999999999998</v>
      </c>
      <c r="GC473" s="61">
        <v>26.85</v>
      </c>
      <c r="GD473" s="61">
        <v>26.04</v>
      </c>
      <c r="GE473" s="61">
        <v>25.285</v>
      </c>
      <c r="GF473" s="61">
        <v>24.814999999999998</v>
      </c>
      <c r="GG473" s="61">
        <v>24.630000000000003</v>
      </c>
      <c r="GH473" s="61">
        <v>24.23</v>
      </c>
      <c r="GI473" s="61">
        <v>24.97</v>
      </c>
      <c r="GJ473" s="61">
        <v>25.075000000000003</v>
      </c>
      <c r="GK473" s="61">
        <v>24.97</v>
      </c>
      <c r="GL473" s="61">
        <v>25.090000000000003</v>
      </c>
      <c r="GM473" s="61">
        <v>25.33</v>
      </c>
      <c r="GN473" s="61">
        <v>25.740000000000002</v>
      </c>
      <c r="GO473" s="61">
        <v>28.265000000000001</v>
      </c>
      <c r="GP473" s="61">
        <v>30.34</v>
      </c>
      <c r="GQ473" s="61">
        <v>32.369999999999997</v>
      </c>
      <c r="GR473" s="61">
        <v>33.284999999999997</v>
      </c>
      <c r="GU473" s="53">
        <v>18</v>
      </c>
      <c r="GV473" s="53">
        <v>467</v>
      </c>
    </row>
    <row r="474" spans="1:204" ht="15.5" x14ac:dyDescent="0.35">
      <c r="A474" s="95">
        <f t="shared" si="157"/>
        <v>1</v>
      </c>
      <c r="B474" s="11"/>
      <c r="C474" s="11"/>
      <c r="D474" s="92" t="str">
        <f>IFERROR(
IF(AND(OR(Planilla!B474="C",Planilla!B474="c"), VLOOKUP(E474,EX:FJ,13,0)="C"), "OK",IF(AND(OR(Planilla!B474="C",Planilla!B474="c"), OR(VLOOKUP(E474,EX:FJ,13,0)="B", VLOOKUP(E474,EX:FJ,13,0)="A")), "DEFICIT",IF(
AND(OR(Planilla!B474="B", Planilla!B474="BPAL"), VLOOKUP(E474,EX:FJ,13,0)="B"), "OK",IF(AND(OR(Planilla!B474="B", Planilla!B474="BPAL"), VLOOKUP(E474,EX:FJ,13,0)="A"), "DEFICIT",IF(AND(OR(Planilla!B474="B", Planilla!B474="BPAL"), VLOOKUP(E474,EX:FJ,13,0)="C"), "SOBREOFERTA",IF(AND(Planilla!B474="A", VLOOKUP(E474,EX:FJ,13,0)="A"), "OK",IF(
AND(Planilla!B474="A", OR(VLOOKUP(E474,EX:FJ,13,0)="B", VLOOKUP(E474,EX:FJ,13,0)="C")), "SOBREOFERTA",""
))))))),"")</f>
        <v/>
      </c>
      <c r="E474" s="12"/>
      <c r="F474" s="13"/>
      <c r="G474" s="14"/>
      <c r="H474" s="81" t="str">
        <f t="shared" si="158"/>
        <v/>
      </c>
      <c r="I474" s="7"/>
      <c r="J474" s="6" t="e">
        <f t="shared" si="159"/>
        <v>#N/A</v>
      </c>
      <c r="K474" s="6" t="str">
        <f>IF(A475&lt;&gt;A474,AVERAGEIF(A$9:A474,A474,J$9:J474),"")</f>
        <v/>
      </c>
      <c r="L474" s="7" t="str">
        <f>IFERROR(IF(A475&lt;&gt;A474,AVERAGEIF(A$9:A474,A474,S$9:S474),""),"")</f>
        <v/>
      </c>
      <c r="M474" s="7" t="str">
        <f>IFERROR(IF(A475&lt;&gt;A474,AVERAGEIF(A$9:A474,A474,T$9:T474),""),"")</f>
        <v/>
      </c>
      <c r="N474" s="7" t="str" cm="1">
        <f t="array" ref="N474">IFERROR(IF(A475&lt;&gt;A474,_xlfn.STDEV.P(IF(A$9:A474=A474,T$9:T474)),""),"")</f>
        <v/>
      </c>
      <c r="O474" s="7" t="str" cm="1">
        <f t="array" ref="O474">IFERROR(IF(A475&lt;&gt;A474,_xlfn.STDEV.P(IF(A$9:A474=A474,S$9:S474)),""),"")</f>
        <v/>
      </c>
      <c r="P474" s="8" t="str">
        <f t="shared" si="160"/>
        <v/>
      </c>
      <c r="Q474" s="8" t="str">
        <f t="shared" si="161"/>
        <v/>
      </c>
      <c r="R474" s="8" t="str">
        <f t="shared" si="162"/>
        <v/>
      </c>
      <c r="S474" s="9" t="str">
        <f t="shared" si="163"/>
        <v/>
      </c>
      <c r="T474" s="9" t="str">
        <f t="shared" si="164"/>
        <v/>
      </c>
      <c r="U474" s="14"/>
      <c r="V474" s="15"/>
      <c r="W474" s="14" t="str">
        <f t="shared" si="165"/>
        <v/>
      </c>
      <c r="X474" s="15"/>
      <c r="Y474" s="2"/>
      <c r="AB474" s="22">
        <f t="shared" si="166"/>
        <v>1</v>
      </c>
      <c r="AC474" s="11"/>
      <c r="AD474" s="11"/>
      <c r="AE474" s="13"/>
      <c r="AF474" s="12"/>
      <c r="AG474" s="13"/>
      <c r="AH474" s="14"/>
      <c r="AI474" s="81" t="str">
        <f t="shared" si="167"/>
        <v/>
      </c>
      <c r="AJ474" s="15"/>
      <c r="AK474" s="6" t="e">
        <f t="shared" si="168"/>
        <v>#N/A</v>
      </c>
      <c r="AL474" s="6" t="str">
        <f>IF(AB475&lt;&gt;AB474,AVERAGEIF(AB$9:AB474,AB474,AK$9:AK474),"")</f>
        <v/>
      </c>
      <c r="AM474" s="7" t="str">
        <f>IFERROR(IF(AB475&lt;&gt;AB474,AVERAGEIF(AB$9:AB474,AB474,AT$9:AT474),""),"")</f>
        <v/>
      </c>
      <c r="AN474" s="7" t="str">
        <f>IFERROR(IF(AB475&lt;&gt;AB474,AVERAGEIF(AB$9:AB474,AB474,AU$9:AU474),""),"")</f>
        <v/>
      </c>
      <c r="AO474" s="7" t="str" cm="1">
        <f t="array" ref="AO474">IFERROR(IF(AB475&lt;&gt;AB474,_xlfn.STDEV.P(IF(AB$9:AB474=AB474,AU$9:AU474)),""),"")</f>
        <v/>
      </c>
      <c r="AP474" s="7" t="str" cm="1">
        <f t="array" ref="AP474">IFERROR(IF(AB475&lt;&gt;AB474,_xlfn.STDEV.P(IF(AB$9:AB474=AB474,AT$9:AT474)),""),"")</f>
        <v/>
      </c>
      <c r="AQ474" s="8" t="str">
        <f t="shared" si="169"/>
        <v/>
      </c>
      <c r="AR474" s="8" t="str">
        <f t="shared" si="170"/>
        <v/>
      </c>
      <c r="AS474" s="8" t="str">
        <f t="shared" si="171"/>
        <v/>
      </c>
      <c r="AT474" s="9" t="str">
        <f t="shared" si="172"/>
        <v/>
      </c>
      <c r="AU474" s="9" t="str">
        <f t="shared" si="173"/>
        <v/>
      </c>
      <c r="AV474" s="14"/>
      <c r="AW474" s="15"/>
      <c r="AX474" s="14" t="str">
        <f t="shared" si="174"/>
        <v/>
      </c>
      <c r="AY474" s="15"/>
      <c r="AZ474" s="23"/>
      <c r="EW474" t="s">
        <v>46</v>
      </c>
      <c r="EX474" s="33" t="s">
        <v>47</v>
      </c>
      <c r="EY474" s="35" t="s">
        <v>1246</v>
      </c>
      <c r="EZ474" s="36" t="s">
        <v>1247</v>
      </c>
      <c r="FA474" s="36" t="s">
        <v>1192</v>
      </c>
      <c r="FB474" s="36" t="s">
        <v>344</v>
      </c>
      <c r="FC474" s="36" t="s">
        <v>1192</v>
      </c>
      <c r="FD474" s="36" t="s">
        <v>344</v>
      </c>
      <c r="FE474" s="36">
        <v>2026</v>
      </c>
      <c r="FF474" s="36" t="s">
        <v>59</v>
      </c>
      <c r="FG474" s="36" t="s">
        <v>1241</v>
      </c>
      <c r="FJ474" t="s">
        <v>59</v>
      </c>
      <c r="FM474" s="32" t="s">
        <v>1248</v>
      </c>
      <c r="FN474" t="s">
        <v>1248</v>
      </c>
      <c r="FO474" t="s">
        <v>1249</v>
      </c>
      <c r="FP474" t="str">
        <f t="shared" si="156"/>
        <v>C</v>
      </c>
      <c r="FT474" s="69" t="s">
        <v>7408</v>
      </c>
      <c r="FU474" s="61">
        <v>0</v>
      </c>
      <c r="FV474" s="61">
        <v>0</v>
      </c>
      <c r="FW474" s="61">
        <v>0</v>
      </c>
      <c r="FX474" s="61">
        <v>0</v>
      </c>
      <c r="FY474" s="61">
        <v>0</v>
      </c>
      <c r="FZ474" s="61">
        <v>14.685</v>
      </c>
      <c r="GA474" s="61">
        <v>28.08</v>
      </c>
      <c r="GB474" s="61">
        <v>26.8</v>
      </c>
      <c r="GC474" s="61">
        <v>25.17</v>
      </c>
      <c r="GD474" s="61">
        <v>23.44</v>
      </c>
      <c r="GE474" s="61">
        <v>22.04</v>
      </c>
      <c r="GF474" s="61">
        <v>21.46</v>
      </c>
      <c r="GG474" s="61">
        <v>20.145</v>
      </c>
      <c r="GH474" s="61">
        <v>19.66</v>
      </c>
      <c r="GI474" s="61">
        <v>20.010000000000002</v>
      </c>
      <c r="GJ474" s="61">
        <v>20.305</v>
      </c>
      <c r="GK474" s="61">
        <v>20.215</v>
      </c>
      <c r="GL474" s="61">
        <v>19.975000000000001</v>
      </c>
      <c r="GM474" s="61">
        <v>19.335000000000001</v>
      </c>
      <c r="GN474" s="61">
        <v>19.865000000000002</v>
      </c>
      <c r="GO474" s="61">
        <v>21.274999999999999</v>
      </c>
      <c r="GP474" s="61">
        <v>23.259999999999998</v>
      </c>
      <c r="GQ474" s="61">
        <v>24.995000000000001</v>
      </c>
      <c r="GR474" s="61">
        <v>26.200000000000003</v>
      </c>
      <c r="GU474" s="53">
        <v>19</v>
      </c>
      <c r="GV474" s="53">
        <v>468</v>
      </c>
    </row>
    <row r="475" spans="1:204" ht="15.5" x14ac:dyDescent="0.35">
      <c r="A475" s="95">
        <f t="shared" si="157"/>
        <v>1</v>
      </c>
      <c r="B475" s="11"/>
      <c r="C475" s="11"/>
      <c r="D475" s="92" t="str">
        <f>IFERROR(
IF(AND(OR(Planilla!B475="C",Planilla!B475="c"), VLOOKUP(E475,EX:FJ,13,0)="C"), "OK",IF(AND(OR(Planilla!B475="C",Planilla!B475="c"), OR(VLOOKUP(E475,EX:FJ,13,0)="B", VLOOKUP(E475,EX:FJ,13,0)="A")), "DEFICIT",IF(
AND(OR(Planilla!B475="B", Planilla!B475="BPAL"), VLOOKUP(E475,EX:FJ,13,0)="B"), "OK",IF(AND(OR(Planilla!B475="B", Planilla!B475="BPAL"), VLOOKUP(E475,EX:FJ,13,0)="A"), "DEFICIT",IF(AND(OR(Planilla!B475="B", Planilla!B475="BPAL"), VLOOKUP(E475,EX:FJ,13,0)="C"), "SOBREOFERTA",IF(AND(Planilla!B475="A", VLOOKUP(E475,EX:FJ,13,0)="A"), "OK",IF(
AND(Planilla!B475="A", OR(VLOOKUP(E475,EX:FJ,13,0)="B", VLOOKUP(E475,EX:FJ,13,0)="C")), "SOBREOFERTA",""
))))))),"")</f>
        <v/>
      </c>
      <c r="E475" s="12"/>
      <c r="F475" s="13"/>
      <c r="G475" s="14"/>
      <c r="H475" s="81" t="str">
        <f t="shared" si="158"/>
        <v/>
      </c>
      <c r="I475" s="7"/>
      <c r="J475" s="6" t="e">
        <f t="shared" si="159"/>
        <v>#N/A</v>
      </c>
      <c r="K475" s="6" t="str">
        <f>IF(A476&lt;&gt;A475,AVERAGEIF(A$9:A475,A475,J$9:J475),"")</f>
        <v/>
      </c>
      <c r="L475" s="7" t="str">
        <f>IFERROR(IF(A476&lt;&gt;A475,AVERAGEIF(A$9:A475,A475,S$9:S475),""),"")</f>
        <v/>
      </c>
      <c r="M475" s="7" t="str">
        <f>IFERROR(IF(A476&lt;&gt;A475,AVERAGEIF(A$9:A475,A475,T$9:T475),""),"")</f>
        <v/>
      </c>
      <c r="N475" s="7" t="str" cm="1">
        <f t="array" ref="N475">IFERROR(IF(A476&lt;&gt;A475,_xlfn.STDEV.P(IF(A$9:A475=A475,T$9:T475)),""),"")</f>
        <v/>
      </c>
      <c r="O475" s="7" t="str" cm="1">
        <f t="array" ref="O475">IFERROR(IF(A476&lt;&gt;A475,_xlfn.STDEV.P(IF(A$9:A475=A475,S$9:S475)),""),"")</f>
        <v/>
      </c>
      <c r="P475" s="8" t="str">
        <f t="shared" si="160"/>
        <v/>
      </c>
      <c r="Q475" s="8" t="str">
        <f t="shared" si="161"/>
        <v/>
      </c>
      <c r="R475" s="8" t="str">
        <f t="shared" si="162"/>
        <v/>
      </c>
      <c r="S475" s="9" t="str">
        <f t="shared" si="163"/>
        <v/>
      </c>
      <c r="T475" s="9" t="str">
        <f t="shared" si="164"/>
        <v/>
      </c>
      <c r="U475" s="14"/>
      <c r="V475" s="15"/>
      <c r="W475" s="14" t="str">
        <f t="shared" si="165"/>
        <v/>
      </c>
      <c r="X475" s="15"/>
      <c r="Y475" s="2"/>
      <c r="AB475" s="22">
        <f t="shared" si="166"/>
        <v>1</v>
      </c>
      <c r="AC475" s="11"/>
      <c r="AD475" s="11"/>
      <c r="AE475" s="13"/>
      <c r="AF475" s="12"/>
      <c r="AG475" s="13"/>
      <c r="AH475" s="14"/>
      <c r="AI475" s="81" t="str">
        <f t="shared" si="167"/>
        <v/>
      </c>
      <c r="AJ475" s="15"/>
      <c r="AK475" s="6" t="e">
        <f t="shared" si="168"/>
        <v>#N/A</v>
      </c>
      <c r="AL475" s="6" t="str">
        <f>IF(AB476&lt;&gt;AB475,AVERAGEIF(AB$9:AB475,AB475,AK$9:AK475),"")</f>
        <v/>
      </c>
      <c r="AM475" s="7" t="str">
        <f>IFERROR(IF(AB476&lt;&gt;AB475,AVERAGEIF(AB$9:AB475,AB475,AT$9:AT475),""),"")</f>
        <v/>
      </c>
      <c r="AN475" s="7" t="str">
        <f>IFERROR(IF(AB476&lt;&gt;AB475,AVERAGEIF(AB$9:AB475,AB475,AU$9:AU475),""),"")</f>
        <v/>
      </c>
      <c r="AO475" s="7" t="str" cm="1">
        <f t="array" ref="AO475">IFERROR(IF(AB476&lt;&gt;AB475,_xlfn.STDEV.P(IF(AB$9:AB475=AB475,AU$9:AU475)),""),"")</f>
        <v/>
      </c>
      <c r="AP475" s="7" t="str" cm="1">
        <f t="array" ref="AP475">IFERROR(IF(AB476&lt;&gt;AB475,_xlfn.STDEV.P(IF(AB$9:AB475=AB475,AT$9:AT475)),""),"")</f>
        <v/>
      </c>
      <c r="AQ475" s="8" t="str">
        <f t="shared" si="169"/>
        <v/>
      </c>
      <c r="AR475" s="8" t="str">
        <f t="shared" si="170"/>
        <v/>
      </c>
      <c r="AS475" s="8" t="str">
        <f t="shared" si="171"/>
        <v/>
      </c>
      <c r="AT475" s="9" t="str">
        <f t="shared" si="172"/>
        <v/>
      </c>
      <c r="AU475" s="9" t="str">
        <f t="shared" si="173"/>
        <v/>
      </c>
      <c r="AV475" s="14"/>
      <c r="AW475" s="15"/>
      <c r="AX475" s="14" t="str">
        <f t="shared" si="174"/>
        <v/>
      </c>
      <c r="AY475" s="15"/>
      <c r="AZ475" s="23"/>
      <c r="EW475" t="s">
        <v>46</v>
      </c>
      <c r="EX475" s="33" t="s">
        <v>47</v>
      </c>
      <c r="EY475" s="35" t="s">
        <v>1250</v>
      </c>
      <c r="EZ475" s="36" t="s">
        <v>1251</v>
      </c>
      <c r="FA475" s="36" t="s">
        <v>1192</v>
      </c>
      <c r="FB475" s="36" t="s">
        <v>344</v>
      </c>
      <c r="FC475" s="36" t="s">
        <v>1192</v>
      </c>
      <c r="FD475" s="36" t="s">
        <v>344</v>
      </c>
      <c r="FE475" s="36">
        <v>2026</v>
      </c>
      <c r="FF475" s="36" t="s">
        <v>59</v>
      </c>
      <c r="FG475" s="36" t="s">
        <v>1241</v>
      </c>
      <c r="FJ475" t="s">
        <v>59</v>
      </c>
      <c r="FM475" s="32" t="s">
        <v>1252</v>
      </c>
      <c r="FN475" t="s">
        <v>1252</v>
      </c>
      <c r="FO475" t="s">
        <v>1253</v>
      </c>
      <c r="FP475" t="str">
        <f t="shared" si="156"/>
        <v>C</v>
      </c>
      <c r="FT475" s="69" t="s">
        <v>7409</v>
      </c>
      <c r="FU475" s="61">
        <v>16.234999999999999</v>
      </c>
      <c r="FV475" s="61">
        <v>0</v>
      </c>
      <c r="FW475" s="61">
        <v>0</v>
      </c>
      <c r="FX475" s="61">
        <v>0</v>
      </c>
      <c r="FY475" s="61">
        <v>0</v>
      </c>
      <c r="FZ475" s="61">
        <v>9.8949999999999996</v>
      </c>
      <c r="GA475" s="61">
        <v>25.009999999999998</v>
      </c>
      <c r="GB475" s="61">
        <v>28.82</v>
      </c>
      <c r="GC475" s="61">
        <v>27.6</v>
      </c>
      <c r="GD475" s="61">
        <v>26.024999999999999</v>
      </c>
      <c r="GE475" s="61">
        <v>25.524999999999999</v>
      </c>
      <c r="GF475" s="61">
        <v>25.365000000000002</v>
      </c>
      <c r="GG475" s="61">
        <v>24.535</v>
      </c>
      <c r="GH475" s="61">
        <v>24.195</v>
      </c>
      <c r="GI475" s="61">
        <v>24.950000000000003</v>
      </c>
      <c r="GJ475" s="61">
        <v>24.954999999999998</v>
      </c>
      <c r="GK475" s="61">
        <v>25.83</v>
      </c>
      <c r="GL475" s="61">
        <v>25.58</v>
      </c>
      <c r="GM475" s="61">
        <v>25.305</v>
      </c>
      <c r="GN475" s="61">
        <v>26.15</v>
      </c>
      <c r="GO475" s="61">
        <v>28.06</v>
      </c>
      <c r="GP475" s="61">
        <v>29.549999999999997</v>
      </c>
      <c r="GQ475" s="61">
        <v>30.75</v>
      </c>
      <c r="GR475" s="61">
        <v>30.98</v>
      </c>
      <c r="GU475" s="53">
        <v>20</v>
      </c>
      <c r="GV475" s="53">
        <v>469</v>
      </c>
    </row>
    <row r="476" spans="1:204" ht="15.5" x14ac:dyDescent="0.35">
      <c r="A476" s="95">
        <f t="shared" si="157"/>
        <v>1</v>
      </c>
      <c r="B476" s="11"/>
      <c r="C476" s="11"/>
      <c r="D476" s="92" t="str">
        <f>IFERROR(
IF(AND(OR(Planilla!B476="C",Planilla!B476="c"), VLOOKUP(E476,EX:FJ,13,0)="C"), "OK",IF(AND(OR(Planilla!B476="C",Planilla!B476="c"), OR(VLOOKUP(E476,EX:FJ,13,0)="B", VLOOKUP(E476,EX:FJ,13,0)="A")), "DEFICIT",IF(
AND(OR(Planilla!B476="B", Planilla!B476="BPAL"), VLOOKUP(E476,EX:FJ,13,0)="B"), "OK",IF(AND(OR(Planilla!B476="B", Planilla!B476="BPAL"), VLOOKUP(E476,EX:FJ,13,0)="A"), "DEFICIT",IF(AND(OR(Planilla!B476="B", Planilla!B476="BPAL"), VLOOKUP(E476,EX:FJ,13,0)="C"), "SOBREOFERTA",IF(AND(Planilla!B476="A", VLOOKUP(E476,EX:FJ,13,0)="A"), "OK",IF(
AND(Planilla!B476="A", OR(VLOOKUP(E476,EX:FJ,13,0)="B", VLOOKUP(E476,EX:FJ,13,0)="C")), "SOBREOFERTA",""
))))))),"")</f>
        <v/>
      </c>
      <c r="E476" s="12"/>
      <c r="F476" s="13"/>
      <c r="G476" s="14"/>
      <c r="H476" s="81" t="str">
        <f t="shared" si="158"/>
        <v/>
      </c>
      <c r="I476" s="7"/>
      <c r="J476" s="6" t="e">
        <f t="shared" si="159"/>
        <v>#N/A</v>
      </c>
      <c r="K476" s="6" t="str">
        <f>IF(A477&lt;&gt;A476,AVERAGEIF(A$9:A476,A476,J$9:J476),"")</f>
        <v/>
      </c>
      <c r="L476" s="7" t="str">
        <f>IFERROR(IF(A477&lt;&gt;A476,AVERAGEIF(A$9:A476,A476,S$9:S476),""),"")</f>
        <v/>
      </c>
      <c r="M476" s="7" t="str">
        <f>IFERROR(IF(A477&lt;&gt;A476,AVERAGEIF(A$9:A476,A476,T$9:T476),""),"")</f>
        <v/>
      </c>
      <c r="N476" s="7" t="str" cm="1">
        <f t="array" ref="N476">IFERROR(IF(A477&lt;&gt;A476,_xlfn.STDEV.P(IF(A$9:A476=A476,T$9:T476)),""),"")</f>
        <v/>
      </c>
      <c r="O476" s="7" t="str" cm="1">
        <f t="array" ref="O476">IFERROR(IF(A477&lt;&gt;A476,_xlfn.STDEV.P(IF(A$9:A476=A476,S$9:S476)),""),"")</f>
        <v/>
      </c>
      <c r="P476" s="8" t="str">
        <f t="shared" si="160"/>
        <v/>
      </c>
      <c r="Q476" s="8" t="str">
        <f t="shared" si="161"/>
        <v/>
      </c>
      <c r="R476" s="8" t="str">
        <f t="shared" si="162"/>
        <v/>
      </c>
      <c r="S476" s="9" t="str">
        <f t="shared" si="163"/>
        <v/>
      </c>
      <c r="T476" s="9" t="str">
        <f t="shared" si="164"/>
        <v/>
      </c>
      <c r="U476" s="14"/>
      <c r="V476" s="15"/>
      <c r="W476" s="14" t="str">
        <f t="shared" si="165"/>
        <v/>
      </c>
      <c r="X476" s="15"/>
      <c r="Y476" s="2"/>
      <c r="AB476" s="22">
        <f t="shared" si="166"/>
        <v>1</v>
      </c>
      <c r="AC476" s="11"/>
      <c r="AD476" s="11"/>
      <c r="AE476" s="13"/>
      <c r="AF476" s="12"/>
      <c r="AG476" s="13"/>
      <c r="AH476" s="14"/>
      <c r="AI476" s="81" t="str">
        <f t="shared" si="167"/>
        <v/>
      </c>
      <c r="AJ476" s="15"/>
      <c r="AK476" s="6" t="e">
        <f t="shared" si="168"/>
        <v>#N/A</v>
      </c>
      <c r="AL476" s="6" t="str">
        <f>IF(AB477&lt;&gt;AB476,AVERAGEIF(AB$9:AB476,AB476,AK$9:AK476),"")</f>
        <v/>
      </c>
      <c r="AM476" s="7" t="str">
        <f>IFERROR(IF(AB477&lt;&gt;AB476,AVERAGEIF(AB$9:AB476,AB476,AT$9:AT476),""),"")</f>
        <v/>
      </c>
      <c r="AN476" s="7" t="str">
        <f>IFERROR(IF(AB477&lt;&gt;AB476,AVERAGEIF(AB$9:AB476,AB476,AU$9:AU476),""),"")</f>
        <v/>
      </c>
      <c r="AO476" s="7" t="str" cm="1">
        <f t="array" ref="AO476">IFERROR(IF(AB477&lt;&gt;AB476,_xlfn.STDEV.P(IF(AB$9:AB476=AB476,AU$9:AU476)),""),"")</f>
        <v/>
      </c>
      <c r="AP476" s="7" t="str" cm="1">
        <f t="array" ref="AP476">IFERROR(IF(AB477&lt;&gt;AB476,_xlfn.STDEV.P(IF(AB$9:AB476=AB476,AT$9:AT476)),""),"")</f>
        <v/>
      </c>
      <c r="AQ476" s="8" t="str">
        <f t="shared" si="169"/>
        <v/>
      </c>
      <c r="AR476" s="8" t="str">
        <f t="shared" si="170"/>
        <v/>
      </c>
      <c r="AS476" s="8" t="str">
        <f t="shared" si="171"/>
        <v/>
      </c>
      <c r="AT476" s="9" t="str">
        <f t="shared" si="172"/>
        <v/>
      </c>
      <c r="AU476" s="9" t="str">
        <f t="shared" si="173"/>
        <v/>
      </c>
      <c r="AV476" s="14"/>
      <c r="AW476" s="15"/>
      <c r="AX476" s="14" t="str">
        <f t="shared" si="174"/>
        <v/>
      </c>
      <c r="AY476" s="15"/>
      <c r="AZ476" s="23"/>
      <c r="EW476" t="s">
        <v>46</v>
      </c>
      <c r="EX476" s="33" t="s">
        <v>47</v>
      </c>
      <c r="EY476" s="35" t="s">
        <v>1254</v>
      </c>
      <c r="EZ476" s="36" t="s">
        <v>1255</v>
      </c>
      <c r="FA476" s="36" t="s">
        <v>1192</v>
      </c>
      <c r="FB476" s="36" t="s">
        <v>344</v>
      </c>
      <c r="FC476" s="36" t="s">
        <v>1192</v>
      </c>
      <c r="FD476" s="36" t="s">
        <v>344</v>
      </c>
      <c r="FE476" s="36">
        <v>2026</v>
      </c>
      <c r="FF476" s="36" t="s">
        <v>59</v>
      </c>
      <c r="FG476" s="36" t="s">
        <v>1241</v>
      </c>
      <c r="FJ476" t="s">
        <v>59</v>
      </c>
      <c r="FM476" s="32" t="s">
        <v>1256</v>
      </c>
      <c r="FN476" t="s">
        <v>1256</v>
      </c>
      <c r="FO476" t="s">
        <v>1257</v>
      </c>
      <c r="FP476" t="str">
        <f t="shared" si="156"/>
        <v>C</v>
      </c>
      <c r="FT476" s="69" t="s">
        <v>7409</v>
      </c>
      <c r="FU476" s="61">
        <v>0</v>
      </c>
      <c r="FV476" s="61">
        <v>0</v>
      </c>
      <c r="FW476" s="61">
        <v>0</v>
      </c>
      <c r="FX476" s="61">
        <v>0</v>
      </c>
      <c r="FY476" s="61">
        <v>0</v>
      </c>
      <c r="FZ476" s="61">
        <v>36.274999999999999</v>
      </c>
      <c r="GA476" s="61">
        <v>35.835000000000001</v>
      </c>
      <c r="GB476" s="61">
        <v>32.875</v>
      </c>
      <c r="GC476" s="61">
        <v>28.2</v>
      </c>
      <c r="GD476" s="61">
        <v>26.494999999999997</v>
      </c>
      <c r="GE476" s="61">
        <v>26.43</v>
      </c>
      <c r="GF476" s="61">
        <v>24.574999999999999</v>
      </c>
      <c r="GG476" s="61">
        <v>23.689999999999998</v>
      </c>
      <c r="GH476" s="61">
        <v>23.255000000000003</v>
      </c>
      <c r="GI476" s="61">
        <v>23.08</v>
      </c>
      <c r="GJ476" s="61">
        <v>23.515000000000001</v>
      </c>
      <c r="GK476" s="61">
        <v>23.68</v>
      </c>
      <c r="GL476" s="61">
        <v>23.085000000000001</v>
      </c>
      <c r="GM476" s="61">
        <v>22.185000000000002</v>
      </c>
      <c r="GN476" s="61">
        <v>22.08</v>
      </c>
      <c r="GO476" s="61">
        <v>22.605</v>
      </c>
      <c r="GP476" s="61">
        <v>23.89</v>
      </c>
      <c r="GQ476" s="61">
        <v>27.119999999999997</v>
      </c>
      <c r="GR476" s="61">
        <v>34.200000000000003</v>
      </c>
      <c r="GU476" s="53">
        <v>21</v>
      </c>
      <c r="GV476" s="53">
        <v>470</v>
      </c>
    </row>
    <row r="477" spans="1:204" ht="15.5" x14ac:dyDescent="0.35">
      <c r="A477" s="95">
        <f t="shared" si="157"/>
        <v>1</v>
      </c>
      <c r="B477" s="11"/>
      <c r="C477" s="11"/>
      <c r="D477" s="92" t="str">
        <f>IFERROR(
IF(AND(OR(Planilla!B477="C",Planilla!B477="c"), VLOOKUP(E477,EX:FJ,13,0)="C"), "OK",IF(AND(OR(Planilla!B477="C",Planilla!B477="c"), OR(VLOOKUP(E477,EX:FJ,13,0)="B", VLOOKUP(E477,EX:FJ,13,0)="A")), "DEFICIT",IF(
AND(OR(Planilla!B477="B", Planilla!B477="BPAL"), VLOOKUP(E477,EX:FJ,13,0)="B"), "OK",IF(AND(OR(Planilla!B477="B", Planilla!B477="BPAL"), VLOOKUP(E477,EX:FJ,13,0)="A"), "DEFICIT",IF(AND(OR(Planilla!B477="B", Planilla!B477="BPAL"), VLOOKUP(E477,EX:FJ,13,0)="C"), "SOBREOFERTA",IF(AND(Planilla!B477="A", VLOOKUP(E477,EX:FJ,13,0)="A"), "OK",IF(
AND(Planilla!B477="A", OR(VLOOKUP(E477,EX:FJ,13,0)="B", VLOOKUP(E477,EX:FJ,13,0)="C")), "SOBREOFERTA",""
))))))),"")</f>
        <v/>
      </c>
      <c r="E477" s="12"/>
      <c r="F477" s="13"/>
      <c r="G477" s="14"/>
      <c r="H477" s="81" t="str">
        <f t="shared" si="158"/>
        <v/>
      </c>
      <c r="I477" s="7"/>
      <c r="J477" s="6" t="e">
        <f t="shared" si="159"/>
        <v>#N/A</v>
      </c>
      <c r="K477" s="6" t="str">
        <f>IF(A478&lt;&gt;A477,AVERAGEIF(A$9:A477,A477,J$9:J477),"")</f>
        <v/>
      </c>
      <c r="L477" s="7" t="str">
        <f>IFERROR(IF(A478&lt;&gt;A477,AVERAGEIF(A$9:A477,A477,S$9:S477),""),"")</f>
        <v/>
      </c>
      <c r="M477" s="7" t="str">
        <f>IFERROR(IF(A478&lt;&gt;A477,AVERAGEIF(A$9:A477,A477,T$9:T477),""),"")</f>
        <v/>
      </c>
      <c r="N477" s="7" t="str" cm="1">
        <f t="array" ref="N477">IFERROR(IF(A478&lt;&gt;A477,_xlfn.STDEV.P(IF(A$9:A477=A477,T$9:T477)),""),"")</f>
        <v/>
      </c>
      <c r="O477" s="7" t="str" cm="1">
        <f t="array" ref="O477">IFERROR(IF(A478&lt;&gt;A477,_xlfn.STDEV.P(IF(A$9:A477=A477,S$9:S477)),""),"")</f>
        <v/>
      </c>
      <c r="P477" s="8" t="str">
        <f t="shared" si="160"/>
        <v/>
      </c>
      <c r="Q477" s="8" t="str">
        <f t="shared" si="161"/>
        <v/>
      </c>
      <c r="R477" s="8" t="str">
        <f t="shared" si="162"/>
        <v/>
      </c>
      <c r="S477" s="9" t="str">
        <f t="shared" si="163"/>
        <v/>
      </c>
      <c r="T477" s="9" t="str">
        <f t="shared" si="164"/>
        <v/>
      </c>
      <c r="U477" s="14"/>
      <c r="V477" s="15"/>
      <c r="W477" s="14" t="str">
        <f t="shared" si="165"/>
        <v/>
      </c>
      <c r="X477" s="15"/>
      <c r="Y477" s="2"/>
      <c r="AB477" s="22">
        <f t="shared" si="166"/>
        <v>1</v>
      </c>
      <c r="AC477" s="11"/>
      <c r="AD477" s="11"/>
      <c r="AE477" s="13"/>
      <c r="AF477" s="12"/>
      <c r="AG477" s="13"/>
      <c r="AH477" s="14"/>
      <c r="AI477" s="81" t="str">
        <f t="shared" si="167"/>
        <v/>
      </c>
      <c r="AJ477" s="15"/>
      <c r="AK477" s="6" t="e">
        <f t="shared" si="168"/>
        <v>#N/A</v>
      </c>
      <c r="AL477" s="6" t="str">
        <f>IF(AB478&lt;&gt;AB477,AVERAGEIF(AB$9:AB477,AB477,AK$9:AK477),"")</f>
        <v/>
      </c>
      <c r="AM477" s="7" t="str">
        <f>IFERROR(IF(AB478&lt;&gt;AB477,AVERAGEIF(AB$9:AB477,AB477,AT$9:AT477),""),"")</f>
        <v/>
      </c>
      <c r="AN477" s="7" t="str">
        <f>IFERROR(IF(AB478&lt;&gt;AB477,AVERAGEIF(AB$9:AB477,AB477,AU$9:AU477),""),"")</f>
        <v/>
      </c>
      <c r="AO477" s="7" t="str" cm="1">
        <f t="array" ref="AO477">IFERROR(IF(AB478&lt;&gt;AB477,_xlfn.STDEV.P(IF(AB$9:AB477=AB477,AU$9:AU477)),""),"")</f>
        <v/>
      </c>
      <c r="AP477" s="7" t="str" cm="1">
        <f t="array" ref="AP477">IFERROR(IF(AB478&lt;&gt;AB477,_xlfn.STDEV.P(IF(AB$9:AB477=AB477,AT$9:AT477)),""),"")</f>
        <v/>
      </c>
      <c r="AQ477" s="8" t="str">
        <f t="shared" si="169"/>
        <v/>
      </c>
      <c r="AR477" s="8" t="str">
        <f t="shared" si="170"/>
        <v/>
      </c>
      <c r="AS477" s="8" t="str">
        <f t="shared" si="171"/>
        <v/>
      </c>
      <c r="AT477" s="9" t="str">
        <f t="shared" si="172"/>
        <v/>
      </c>
      <c r="AU477" s="9" t="str">
        <f t="shared" si="173"/>
        <v/>
      </c>
      <c r="AV477" s="14"/>
      <c r="AW477" s="15"/>
      <c r="AX477" s="14" t="str">
        <f t="shared" si="174"/>
        <v/>
      </c>
      <c r="AY477" s="15"/>
      <c r="AZ477" s="23"/>
      <c r="EW477" t="s">
        <v>46</v>
      </c>
      <c r="EX477" s="33" t="s">
        <v>47</v>
      </c>
      <c r="EY477" s="35" t="s">
        <v>1258</v>
      </c>
      <c r="EZ477" s="36" t="s">
        <v>1259</v>
      </c>
      <c r="FA477" s="36" t="s">
        <v>1192</v>
      </c>
      <c r="FB477" s="36" t="s">
        <v>344</v>
      </c>
      <c r="FC477" s="36" t="s">
        <v>1192</v>
      </c>
      <c r="FD477" s="36" t="s">
        <v>344</v>
      </c>
      <c r="FE477" s="36">
        <v>2026</v>
      </c>
      <c r="FF477" s="36" t="s">
        <v>59</v>
      </c>
      <c r="FG477" s="36" t="s">
        <v>1241</v>
      </c>
      <c r="FJ477" t="s">
        <v>59</v>
      </c>
      <c r="FM477" s="32" t="s">
        <v>1260</v>
      </c>
      <c r="FN477" t="s">
        <v>1260</v>
      </c>
      <c r="FO477" t="s">
        <v>1261</v>
      </c>
      <c r="FP477" t="str">
        <f t="shared" si="156"/>
        <v>C</v>
      </c>
      <c r="FT477" s="69" t="s">
        <v>7398</v>
      </c>
      <c r="FU477" s="61">
        <v>0</v>
      </c>
      <c r="FV477" s="61">
        <v>0</v>
      </c>
      <c r="FW477" s="61">
        <v>0</v>
      </c>
      <c r="FX477" s="61">
        <v>0</v>
      </c>
      <c r="FY477" s="61">
        <v>0</v>
      </c>
      <c r="FZ477" s="61">
        <v>12.555</v>
      </c>
      <c r="GA477" s="61">
        <v>24.23</v>
      </c>
      <c r="GB477" s="61">
        <v>23.265000000000001</v>
      </c>
      <c r="GC477" s="61">
        <v>22.240000000000002</v>
      </c>
      <c r="GD477" s="61">
        <v>21.15</v>
      </c>
      <c r="GE477" s="61">
        <v>20.175000000000001</v>
      </c>
      <c r="GF477" s="61">
        <v>19.5</v>
      </c>
      <c r="GG477" s="61">
        <v>19.29</v>
      </c>
      <c r="GH477" s="61">
        <v>19.41</v>
      </c>
      <c r="GI477" s="61">
        <v>19.369999999999997</v>
      </c>
      <c r="GJ477" s="61">
        <v>19.984999999999999</v>
      </c>
      <c r="GK477" s="61">
        <v>19.75</v>
      </c>
      <c r="GL477" s="61">
        <v>19.645</v>
      </c>
      <c r="GM477" s="61">
        <v>20.274999999999999</v>
      </c>
      <c r="GN477" s="61">
        <v>21.204999999999998</v>
      </c>
      <c r="GO477" s="61">
        <v>21.66</v>
      </c>
      <c r="GP477" s="61">
        <v>23.075000000000003</v>
      </c>
      <c r="GQ477" s="61">
        <v>24.824999999999999</v>
      </c>
      <c r="GR477" s="61">
        <v>0</v>
      </c>
      <c r="GU477" s="53">
        <v>22</v>
      </c>
      <c r="GV477" s="53">
        <v>471</v>
      </c>
    </row>
    <row r="478" spans="1:204" ht="15.5" x14ac:dyDescent="0.35">
      <c r="A478" s="95">
        <f t="shared" si="157"/>
        <v>1</v>
      </c>
      <c r="B478" s="11"/>
      <c r="C478" s="11"/>
      <c r="D478" s="92" t="str">
        <f>IFERROR(
IF(AND(OR(Planilla!B478="C",Planilla!B478="c"), VLOOKUP(E478,EX:FJ,13,0)="C"), "OK",IF(AND(OR(Planilla!B478="C",Planilla!B478="c"), OR(VLOOKUP(E478,EX:FJ,13,0)="B", VLOOKUP(E478,EX:FJ,13,0)="A")), "DEFICIT",IF(
AND(OR(Planilla!B478="B", Planilla!B478="BPAL"), VLOOKUP(E478,EX:FJ,13,0)="B"), "OK",IF(AND(OR(Planilla!B478="B", Planilla!B478="BPAL"), VLOOKUP(E478,EX:FJ,13,0)="A"), "DEFICIT",IF(AND(OR(Planilla!B478="B", Planilla!B478="BPAL"), VLOOKUP(E478,EX:FJ,13,0)="C"), "SOBREOFERTA",IF(AND(Planilla!B478="A", VLOOKUP(E478,EX:FJ,13,0)="A"), "OK",IF(
AND(Planilla!B478="A", OR(VLOOKUP(E478,EX:FJ,13,0)="B", VLOOKUP(E478,EX:FJ,13,0)="C")), "SOBREOFERTA",""
))))))),"")</f>
        <v/>
      </c>
      <c r="E478" s="12"/>
      <c r="F478" s="13"/>
      <c r="G478" s="14"/>
      <c r="H478" s="81" t="str">
        <f t="shared" si="158"/>
        <v/>
      </c>
      <c r="I478" s="7"/>
      <c r="J478" s="6" t="e">
        <f t="shared" si="159"/>
        <v>#N/A</v>
      </c>
      <c r="K478" s="6" t="str">
        <f>IF(A479&lt;&gt;A478,AVERAGEIF(A$9:A478,A478,J$9:J478),"")</f>
        <v/>
      </c>
      <c r="L478" s="7" t="str">
        <f>IFERROR(IF(A479&lt;&gt;A478,AVERAGEIF(A$9:A478,A478,S$9:S478),""),"")</f>
        <v/>
      </c>
      <c r="M478" s="7" t="str">
        <f>IFERROR(IF(A479&lt;&gt;A478,AVERAGEIF(A$9:A478,A478,T$9:T478),""),"")</f>
        <v/>
      </c>
      <c r="N478" s="7" t="str" cm="1">
        <f t="array" ref="N478">IFERROR(IF(A479&lt;&gt;A478,_xlfn.STDEV.P(IF(A$9:A478=A478,T$9:T478)),""),"")</f>
        <v/>
      </c>
      <c r="O478" s="7" t="str" cm="1">
        <f t="array" ref="O478">IFERROR(IF(A479&lt;&gt;A478,_xlfn.STDEV.P(IF(A$9:A478=A478,S$9:S478)),""),"")</f>
        <v/>
      </c>
      <c r="P478" s="8" t="str">
        <f t="shared" si="160"/>
        <v/>
      </c>
      <c r="Q478" s="8" t="str">
        <f t="shared" si="161"/>
        <v/>
      </c>
      <c r="R478" s="8" t="str">
        <f t="shared" si="162"/>
        <v/>
      </c>
      <c r="S478" s="9" t="str">
        <f t="shared" si="163"/>
        <v/>
      </c>
      <c r="T478" s="9" t="str">
        <f t="shared" si="164"/>
        <v/>
      </c>
      <c r="U478" s="14"/>
      <c r="V478" s="15"/>
      <c r="W478" s="14" t="str">
        <f t="shared" si="165"/>
        <v/>
      </c>
      <c r="X478" s="15"/>
      <c r="Y478" s="2"/>
      <c r="AB478" s="22">
        <f t="shared" si="166"/>
        <v>1</v>
      </c>
      <c r="AC478" s="11"/>
      <c r="AD478" s="11"/>
      <c r="AE478" s="13"/>
      <c r="AF478" s="12"/>
      <c r="AG478" s="13"/>
      <c r="AH478" s="14"/>
      <c r="AI478" s="81" t="str">
        <f t="shared" si="167"/>
        <v/>
      </c>
      <c r="AJ478" s="15"/>
      <c r="AK478" s="6" t="e">
        <f t="shared" si="168"/>
        <v>#N/A</v>
      </c>
      <c r="AL478" s="6" t="str">
        <f>IF(AB479&lt;&gt;AB478,AVERAGEIF(AB$9:AB478,AB478,AK$9:AK478),"")</f>
        <v/>
      </c>
      <c r="AM478" s="7" t="str">
        <f>IFERROR(IF(AB479&lt;&gt;AB478,AVERAGEIF(AB$9:AB478,AB478,AT$9:AT478),""),"")</f>
        <v/>
      </c>
      <c r="AN478" s="7" t="str">
        <f>IFERROR(IF(AB479&lt;&gt;AB478,AVERAGEIF(AB$9:AB478,AB478,AU$9:AU478),""),"")</f>
        <v/>
      </c>
      <c r="AO478" s="7" t="str" cm="1">
        <f t="array" ref="AO478">IFERROR(IF(AB479&lt;&gt;AB478,_xlfn.STDEV.P(IF(AB$9:AB478=AB478,AU$9:AU478)),""),"")</f>
        <v/>
      </c>
      <c r="AP478" s="7" t="str" cm="1">
        <f t="array" ref="AP478">IFERROR(IF(AB479&lt;&gt;AB478,_xlfn.STDEV.P(IF(AB$9:AB478=AB478,AT$9:AT478)),""),"")</f>
        <v/>
      </c>
      <c r="AQ478" s="8" t="str">
        <f t="shared" si="169"/>
        <v/>
      </c>
      <c r="AR478" s="8" t="str">
        <f t="shared" si="170"/>
        <v/>
      </c>
      <c r="AS478" s="8" t="str">
        <f t="shared" si="171"/>
        <v/>
      </c>
      <c r="AT478" s="9" t="str">
        <f t="shared" si="172"/>
        <v/>
      </c>
      <c r="AU478" s="9" t="str">
        <f t="shared" si="173"/>
        <v/>
      </c>
      <c r="AV478" s="14"/>
      <c r="AW478" s="15"/>
      <c r="AX478" s="14" t="str">
        <f t="shared" si="174"/>
        <v/>
      </c>
      <c r="AY478" s="15"/>
      <c r="AZ478" s="23"/>
      <c r="EW478" t="s">
        <v>46</v>
      </c>
      <c r="EX478" s="33" t="s">
        <v>47</v>
      </c>
      <c r="EY478" s="35" t="s">
        <v>1262</v>
      </c>
      <c r="EZ478" s="36" t="s">
        <v>1263</v>
      </c>
      <c r="FA478" s="36" t="s">
        <v>1192</v>
      </c>
      <c r="FB478" s="36" t="s">
        <v>344</v>
      </c>
      <c r="FC478" s="36" t="s">
        <v>1192</v>
      </c>
      <c r="FD478" s="36" t="s">
        <v>344</v>
      </c>
      <c r="FE478" s="36">
        <v>2026</v>
      </c>
      <c r="FF478" s="36" t="s">
        <v>59</v>
      </c>
      <c r="FG478" s="36" t="s">
        <v>1241</v>
      </c>
      <c r="FJ478" t="s">
        <v>59</v>
      </c>
      <c r="FM478" s="32" t="s">
        <v>1264</v>
      </c>
      <c r="FN478" t="s">
        <v>1264</v>
      </c>
      <c r="FO478" t="s">
        <v>1265</v>
      </c>
      <c r="FP478" t="str">
        <f t="shared" si="156"/>
        <v>C</v>
      </c>
      <c r="FT478" s="69">
        <v>722</v>
      </c>
      <c r="FU478" s="61">
        <v>0</v>
      </c>
      <c r="FV478" s="61">
        <v>0</v>
      </c>
      <c r="FW478" s="61">
        <v>0</v>
      </c>
      <c r="FX478" s="61">
        <v>0</v>
      </c>
      <c r="FY478" s="61">
        <v>16.510000000000002</v>
      </c>
      <c r="FZ478" s="61">
        <v>31.21</v>
      </c>
      <c r="GA478" s="61">
        <v>28.259999999999998</v>
      </c>
      <c r="GB478" s="61">
        <v>26.664999999999999</v>
      </c>
      <c r="GC478" s="61">
        <v>25.79</v>
      </c>
      <c r="GD478" s="61">
        <v>24.85</v>
      </c>
      <c r="GE478" s="61">
        <v>24.204999999999998</v>
      </c>
      <c r="GF478" s="61">
        <v>23.18</v>
      </c>
      <c r="GG478" s="61">
        <v>22.549999999999997</v>
      </c>
      <c r="GH478" s="61">
        <v>22.189999999999998</v>
      </c>
      <c r="GI478" s="61">
        <v>23.074999999999999</v>
      </c>
      <c r="GJ478" s="61">
        <v>22.945</v>
      </c>
      <c r="GK478" s="61">
        <v>22.51</v>
      </c>
      <c r="GL478" s="61">
        <v>22.25</v>
      </c>
      <c r="GM478" s="61">
        <v>21.675000000000001</v>
      </c>
      <c r="GN478" s="61">
        <v>22.185000000000002</v>
      </c>
      <c r="GO478" s="61">
        <v>23.365000000000002</v>
      </c>
      <c r="GP478" s="61">
        <v>25.79</v>
      </c>
      <c r="GQ478" s="61">
        <v>27.81</v>
      </c>
      <c r="GR478" s="61">
        <v>29.52</v>
      </c>
      <c r="GU478" s="53">
        <v>23</v>
      </c>
      <c r="GV478" s="53">
        <v>472</v>
      </c>
    </row>
    <row r="479" spans="1:204" ht="15.5" x14ac:dyDescent="0.35">
      <c r="A479" s="95">
        <f t="shared" si="157"/>
        <v>1</v>
      </c>
      <c r="B479" s="11"/>
      <c r="C479" s="11"/>
      <c r="D479" s="92" t="str">
        <f>IFERROR(
IF(AND(OR(Planilla!B479="C",Planilla!B479="c"), VLOOKUP(E479,EX:FJ,13,0)="C"), "OK",IF(AND(OR(Planilla!B479="C",Planilla!B479="c"), OR(VLOOKUP(E479,EX:FJ,13,0)="B", VLOOKUP(E479,EX:FJ,13,0)="A")), "DEFICIT",IF(
AND(OR(Planilla!B479="B", Planilla!B479="BPAL"), VLOOKUP(E479,EX:FJ,13,0)="B"), "OK",IF(AND(OR(Planilla!B479="B", Planilla!B479="BPAL"), VLOOKUP(E479,EX:FJ,13,0)="A"), "DEFICIT",IF(AND(OR(Planilla!B479="B", Planilla!B479="BPAL"), VLOOKUP(E479,EX:FJ,13,0)="C"), "SOBREOFERTA",IF(AND(Planilla!B479="A", VLOOKUP(E479,EX:FJ,13,0)="A"), "OK",IF(
AND(Planilla!B479="A", OR(VLOOKUP(E479,EX:FJ,13,0)="B", VLOOKUP(E479,EX:FJ,13,0)="C")), "SOBREOFERTA",""
))))))),"")</f>
        <v/>
      </c>
      <c r="E479" s="12"/>
      <c r="F479" s="13"/>
      <c r="G479" s="14"/>
      <c r="H479" s="81" t="str">
        <f t="shared" si="158"/>
        <v/>
      </c>
      <c r="I479" s="7"/>
      <c r="J479" s="6" t="e">
        <f t="shared" si="159"/>
        <v>#N/A</v>
      </c>
      <c r="K479" s="6" t="str">
        <f>IF(A480&lt;&gt;A479,AVERAGEIF(A$9:A479,A479,J$9:J479),"")</f>
        <v/>
      </c>
      <c r="L479" s="7" t="str">
        <f>IFERROR(IF(A480&lt;&gt;A479,AVERAGEIF(A$9:A479,A479,S$9:S479),""),"")</f>
        <v/>
      </c>
      <c r="M479" s="7" t="str">
        <f>IFERROR(IF(A480&lt;&gt;A479,AVERAGEIF(A$9:A479,A479,T$9:T479),""),"")</f>
        <v/>
      </c>
      <c r="N479" s="7" t="str" cm="1">
        <f t="array" ref="N479">IFERROR(IF(A480&lt;&gt;A479,_xlfn.STDEV.P(IF(A$9:A479=A479,T$9:T479)),""),"")</f>
        <v/>
      </c>
      <c r="O479" s="7" t="str" cm="1">
        <f t="array" ref="O479">IFERROR(IF(A480&lt;&gt;A479,_xlfn.STDEV.P(IF(A$9:A479=A479,S$9:S479)),""),"")</f>
        <v/>
      </c>
      <c r="P479" s="8" t="str">
        <f t="shared" si="160"/>
        <v/>
      </c>
      <c r="Q479" s="8" t="str">
        <f t="shared" si="161"/>
        <v/>
      </c>
      <c r="R479" s="8" t="str">
        <f t="shared" si="162"/>
        <v/>
      </c>
      <c r="S479" s="9" t="str">
        <f t="shared" si="163"/>
        <v/>
      </c>
      <c r="T479" s="9" t="str">
        <f t="shared" si="164"/>
        <v/>
      </c>
      <c r="U479" s="14"/>
      <c r="V479" s="15"/>
      <c r="W479" s="14" t="str">
        <f t="shared" si="165"/>
        <v/>
      </c>
      <c r="X479" s="15"/>
      <c r="Y479" s="2"/>
      <c r="AB479" s="22">
        <f t="shared" si="166"/>
        <v>1</v>
      </c>
      <c r="AC479" s="11"/>
      <c r="AD479" s="11"/>
      <c r="AE479" s="13"/>
      <c r="AF479" s="12"/>
      <c r="AG479" s="13"/>
      <c r="AH479" s="14"/>
      <c r="AI479" s="81" t="str">
        <f t="shared" si="167"/>
        <v/>
      </c>
      <c r="AJ479" s="15"/>
      <c r="AK479" s="6" t="e">
        <f t="shared" si="168"/>
        <v>#N/A</v>
      </c>
      <c r="AL479" s="6" t="str">
        <f>IF(AB480&lt;&gt;AB479,AVERAGEIF(AB$9:AB479,AB479,AK$9:AK479),"")</f>
        <v/>
      </c>
      <c r="AM479" s="7" t="str">
        <f>IFERROR(IF(AB480&lt;&gt;AB479,AVERAGEIF(AB$9:AB479,AB479,AT$9:AT479),""),"")</f>
        <v/>
      </c>
      <c r="AN479" s="7" t="str">
        <f>IFERROR(IF(AB480&lt;&gt;AB479,AVERAGEIF(AB$9:AB479,AB479,AU$9:AU479),""),"")</f>
        <v/>
      </c>
      <c r="AO479" s="7" t="str" cm="1">
        <f t="array" ref="AO479">IFERROR(IF(AB480&lt;&gt;AB479,_xlfn.STDEV.P(IF(AB$9:AB479=AB479,AU$9:AU479)),""),"")</f>
        <v/>
      </c>
      <c r="AP479" s="7" t="str" cm="1">
        <f t="array" ref="AP479">IFERROR(IF(AB480&lt;&gt;AB479,_xlfn.STDEV.P(IF(AB$9:AB479=AB479,AT$9:AT479)),""),"")</f>
        <v/>
      </c>
      <c r="AQ479" s="8" t="str">
        <f t="shared" si="169"/>
        <v/>
      </c>
      <c r="AR479" s="8" t="str">
        <f t="shared" si="170"/>
        <v/>
      </c>
      <c r="AS479" s="8" t="str">
        <f t="shared" si="171"/>
        <v/>
      </c>
      <c r="AT479" s="9" t="str">
        <f t="shared" si="172"/>
        <v/>
      </c>
      <c r="AU479" s="9" t="str">
        <f t="shared" si="173"/>
        <v/>
      </c>
      <c r="AV479" s="14"/>
      <c r="AW479" s="15"/>
      <c r="AX479" s="14" t="str">
        <f t="shared" si="174"/>
        <v/>
      </c>
      <c r="AY479" s="15"/>
      <c r="AZ479" s="23"/>
      <c r="EW479" t="s">
        <v>46</v>
      </c>
      <c r="EX479" s="33" t="s">
        <v>47</v>
      </c>
      <c r="EY479" s="35" t="s">
        <v>1266</v>
      </c>
      <c r="EZ479" s="36" t="s">
        <v>1267</v>
      </c>
      <c r="FA479" s="36" t="s">
        <v>1192</v>
      </c>
      <c r="FB479" s="36" t="s">
        <v>344</v>
      </c>
      <c r="FC479" s="36" t="s">
        <v>1192</v>
      </c>
      <c r="FD479" s="36" t="s">
        <v>344</v>
      </c>
      <c r="FE479" s="36">
        <v>2026</v>
      </c>
      <c r="FF479" s="36" t="s">
        <v>59</v>
      </c>
      <c r="FG479" s="36" t="s">
        <v>1193</v>
      </c>
      <c r="FJ479" t="s">
        <v>59</v>
      </c>
      <c r="FM479" s="32" t="s">
        <v>1268</v>
      </c>
      <c r="FN479" t="s">
        <v>1268</v>
      </c>
      <c r="FO479" t="s">
        <v>1268</v>
      </c>
      <c r="FP479" t="str">
        <f t="shared" si="156"/>
        <v>C</v>
      </c>
      <c r="FT479" s="69">
        <v>722</v>
      </c>
      <c r="FU479" s="61">
        <v>30.695</v>
      </c>
      <c r="FV479" s="61">
        <v>15.67</v>
      </c>
      <c r="FW479" s="61">
        <v>0</v>
      </c>
      <c r="FX479" s="61">
        <v>0</v>
      </c>
      <c r="FY479" s="61">
        <v>0</v>
      </c>
      <c r="FZ479" s="61">
        <v>16.984999999999999</v>
      </c>
      <c r="GA479" s="61">
        <v>32.29</v>
      </c>
      <c r="GB479" s="61">
        <v>29.97</v>
      </c>
      <c r="GC479" s="61">
        <v>28.734999999999999</v>
      </c>
      <c r="GD479" s="61">
        <v>27.785</v>
      </c>
      <c r="GE479" s="61">
        <v>26.504999999999999</v>
      </c>
      <c r="GF479" s="61">
        <v>25.545000000000002</v>
      </c>
      <c r="GG479" s="61">
        <v>24.535</v>
      </c>
      <c r="GH479" s="61">
        <v>23.85</v>
      </c>
      <c r="GI479" s="61">
        <v>24.78</v>
      </c>
      <c r="GJ479" s="61">
        <v>25.274999999999999</v>
      </c>
      <c r="GK479" s="61">
        <v>24.914999999999999</v>
      </c>
      <c r="GL479" s="61">
        <v>23.8</v>
      </c>
      <c r="GM479" s="61">
        <v>23.604999999999997</v>
      </c>
      <c r="GN479" s="61">
        <v>23.994999999999997</v>
      </c>
      <c r="GO479" s="61">
        <v>25.09</v>
      </c>
      <c r="GP479" s="61">
        <v>26.875</v>
      </c>
      <c r="GQ479" s="61">
        <v>29.805</v>
      </c>
      <c r="GR479" s="61">
        <v>31.14</v>
      </c>
      <c r="GU479" s="53">
        <v>24</v>
      </c>
      <c r="GV479" s="53">
        <v>473</v>
      </c>
    </row>
    <row r="480" spans="1:204" ht="15.5" x14ac:dyDescent="0.35">
      <c r="A480" s="95">
        <f t="shared" si="157"/>
        <v>1</v>
      </c>
      <c r="B480" s="11"/>
      <c r="C480" s="11"/>
      <c r="D480" s="92" t="str">
        <f>IFERROR(
IF(AND(OR(Planilla!B480="C",Planilla!B480="c"), VLOOKUP(E480,EX:FJ,13,0)="C"), "OK",IF(AND(OR(Planilla!B480="C",Planilla!B480="c"), OR(VLOOKUP(E480,EX:FJ,13,0)="B", VLOOKUP(E480,EX:FJ,13,0)="A")), "DEFICIT",IF(
AND(OR(Planilla!B480="B", Planilla!B480="BPAL"), VLOOKUP(E480,EX:FJ,13,0)="B"), "OK",IF(AND(OR(Planilla!B480="B", Planilla!B480="BPAL"), VLOOKUP(E480,EX:FJ,13,0)="A"), "DEFICIT",IF(AND(OR(Planilla!B480="B", Planilla!B480="BPAL"), VLOOKUP(E480,EX:FJ,13,0)="C"), "SOBREOFERTA",IF(AND(Planilla!B480="A", VLOOKUP(E480,EX:FJ,13,0)="A"), "OK",IF(
AND(Planilla!B480="A", OR(VLOOKUP(E480,EX:FJ,13,0)="B", VLOOKUP(E480,EX:FJ,13,0)="C")), "SOBREOFERTA",""
))))))),"")</f>
        <v/>
      </c>
      <c r="E480" s="12"/>
      <c r="F480" s="13"/>
      <c r="G480" s="14"/>
      <c r="H480" s="81" t="str">
        <f t="shared" si="158"/>
        <v/>
      </c>
      <c r="I480" s="7"/>
      <c r="J480" s="6" t="e">
        <f t="shared" si="159"/>
        <v>#N/A</v>
      </c>
      <c r="K480" s="6" t="str">
        <f>IF(A481&lt;&gt;A480,AVERAGEIF(A$9:A480,A480,J$9:J480),"")</f>
        <v/>
      </c>
      <c r="L480" s="7" t="str">
        <f>IFERROR(IF(A481&lt;&gt;A480,AVERAGEIF(A$9:A480,A480,S$9:S480),""),"")</f>
        <v/>
      </c>
      <c r="M480" s="7" t="str">
        <f>IFERROR(IF(A481&lt;&gt;A480,AVERAGEIF(A$9:A480,A480,T$9:T480),""),"")</f>
        <v/>
      </c>
      <c r="N480" s="7" t="str" cm="1">
        <f t="array" ref="N480">IFERROR(IF(A481&lt;&gt;A480,_xlfn.STDEV.P(IF(A$9:A480=A480,T$9:T480)),""),"")</f>
        <v/>
      </c>
      <c r="O480" s="7" t="str" cm="1">
        <f t="array" ref="O480">IFERROR(IF(A481&lt;&gt;A480,_xlfn.STDEV.P(IF(A$9:A480=A480,S$9:S480)),""),"")</f>
        <v/>
      </c>
      <c r="P480" s="8" t="str">
        <f t="shared" si="160"/>
        <v/>
      </c>
      <c r="Q480" s="8" t="str">
        <f t="shared" si="161"/>
        <v/>
      </c>
      <c r="R480" s="8" t="str">
        <f t="shared" si="162"/>
        <v/>
      </c>
      <c r="S480" s="9" t="str">
        <f t="shared" si="163"/>
        <v/>
      </c>
      <c r="T480" s="9" t="str">
        <f t="shared" si="164"/>
        <v/>
      </c>
      <c r="U480" s="14"/>
      <c r="V480" s="15"/>
      <c r="W480" s="14" t="str">
        <f t="shared" si="165"/>
        <v/>
      </c>
      <c r="X480" s="15"/>
      <c r="Y480" s="2"/>
      <c r="AB480" s="22">
        <f t="shared" si="166"/>
        <v>1</v>
      </c>
      <c r="AC480" s="11"/>
      <c r="AD480" s="11"/>
      <c r="AE480" s="13"/>
      <c r="AF480" s="12"/>
      <c r="AG480" s="13"/>
      <c r="AH480" s="14"/>
      <c r="AI480" s="81" t="str">
        <f t="shared" si="167"/>
        <v/>
      </c>
      <c r="AJ480" s="15"/>
      <c r="AK480" s="6" t="e">
        <f t="shared" si="168"/>
        <v>#N/A</v>
      </c>
      <c r="AL480" s="6" t="str">
        <f>IF(AB481&lt;&gt;AB480,AVERAGEIF(AB$9:AB480,AB480,AK$9:AK480),"")</f>
        <v/>
      </c>
      <c r="AM480" s="7" t="str">
        <f>IFERROR(IF(AB481&lt;&gt;AB480,AVERAGEIF(AB$9:AB480,AB480,AT$9:AT480),""),"")</f>
        <v/>
      </c>
      <c r="AN480" s="7" t="str">
        <f>IFERROR(IF(AB481&lt;&gt;AB480,AVERAGEIF(AB$9:AB480,AB480,AU$9:AU480),""),"")</f>
        <v/>
      </c>
      <c r="AO480" s="7" t="str" cm="1">
        <f t="array" ref="AO480">IFERROR(IF(AB481&lt;&gt;AB480,_xlfn.STDEV.P(IF(AB$9:AB480=AB480,AU$9:AU480)),""),"")</f>
        <v/>
      </c>
      <c r="AP480" s="7" t="str" cm="1">
        <f t="array" ref="AP480">IFERROR(IF(AB481&lt;&gt;AB480,_xlfn.STDEV.P(IF(AB$9:AB480=AB480,AT$9:AT480)),""),"")</f>
        <v/>
      </c>
      <c r="AQ480" s="8" t="str">
        <f t="shared" si="169"/>
        <v/>
      </c>
      <c r="AR480" s="8" t="str">
        <f t="shared" si="170"/>
        <v/>
      </c>
      <c r="AS480" s="8" t="str">
        <f t="shared" si="171"/>
        <v/>
      </c>
      <c r="AT480" s="9" t="str">
        <f t="shared" si="172"/>
        <v/>
      </c>
      <c r="AU480" s="9" t="str">
        <f t="shared" si="173"/>
        <v/>
      </c>
      <c r="AV480" s="14"/>
      <c r="AW480" s="15"/>
      <c r="AX480" s="14" t="str">
        <f t="shared" si="174"/>
        <v/>
      </c>
      <c r="AY480" s="15"/>
      <c r="AZ480" s="23"/>
      <c r="EW480" t="s">
        <v>46</v>
      </c>
      <c r="EX480" s="33" t="s">
        <v>47</v>
      </c>
      <c r="EY480" s="35" t="s">
        <v>1269</v>
      </c>
      <c r="EZ480" s="36" t="s">
        <v>1270</v>
      </c>
      <c r="FA480" s="36" t="s">
        <v>1192</v>
      </c>
      <c r="FB480" s="36" t="s">
        <v>344</v>
      </c>
      <c r="FC480" s="36" t="s">
        <v>1192</v>
      </c>
      <c r="FD480" s="36" t="s">
        <v>344</v>
      </c>
      <c r="FE480" s="36">
        <v>2026</v>
      </c>
      <c r="FF480" s="36" t="s">
        <v>59</v>
      </c>
      <c r="FG480" s="36" t="s">
        <v>1210</v>
      </c>
      <c r="FJ480" t="s">
        <v>59</v>
      </c>
      <c r="FM480" s="32" t="s">
        <v>1195</v>
      </c>
      <c r="FN480" t="s">
        <v>1195</v>
      </c>
      <c r="FO480" t="s">
        <v>1195</v>
      </c>
      <c r="FP480" t="str">
        <f t="shared" si="156"/>
        <v>C</v>
      </c>
      <c r="FT480" s="69" t="s">
        <v>7390</v>
      </c>
      <c r="FU480" s="61">
        <v>0</v>
      </c>
      <c r="FV480" s="61">
        <v>0</v>
      </c>
      <c r="FW480" s="61">
        <v>0</v>
      </c>
      <c r="FX480" s="61">
        <v>0</v>
      </c>
      <c r="FY480" s="61">
        <v>0</v>
      </c>
      <c r="FZ480" s="61">
        <v>10.545</v>
      </c>
      <c r="GA480" s="61">
        <v>21.684999999999999</v>
      </c>
      <c r="GB480" s="61">
        <v>21.060000000000002</v>
      </c>
      <c r="GC480" s="61">
        <v>20.035</v>
      </c>
      <c r="GD480" s="61">
        <v>19.185000000000002</v>
      </c>
      <c r="GE480" s="61">
        <v>17.75</v>
      </c>
      <c r="GF480" s="61">
        <v>16.939999999999998</v>
      </c>
      <c r="GG480" s="61">
        <v>16.594999999999999</v>
      </c>
      <c r="GH480" s="61">
        <v>16.689999999999998</v>
      </c>
      <c r="GI480" s="61">
        <v>17.094999999999999</v>
      </c>
      <c r="GJ480" s="61">
        <v>17.329999999999998</v>
      </c>
      <c r="GK480" s="61">
        <v>17.490000000000002</v>
      </c>
      <c r="GL480" s="61">
        <v>17.055</v>
      </c>
      <c r="GM480" s="61">
        <v>17.134999999999998</v>
      </c>
      <c r="GN480" s="61">
        <v>17.994999999999997</v>
      </c>
      <c r="GO480" s="61">
        <v>19.46</v>
      </c>
      <c r="GP480" s="61">
        <v>20.63</v>
      </c>
      <c r="GQ480" s="61">
        <v>22.405000000000001</v>
      </c>
      <c r="GR480" s="61">
        <v>0</v>
      </c>
      <c r="GU480" s="53">
        <v>25</v>
      </c>
      <c r="GV480" s="53">
        <v>474</v>
      </c>
    </row>
    <row r="481" spans="1:204" ht="15.5" x14ac:dyDescent="0.35">
      <c r="A481" s="95">
        <f t="shared" si="157"/>
        <v>1</v>
      </c>
      <c r="B481" s="11"/>
      <c r="C481" s="11"/>
      <c r="D481" s="92" t="str">
        <f>IFERROR(
IF(AND(OR(Planilla!B481="C",Planilla!B481="c"), VLOOKUP(E481,EX:FJ,13,0)="C"), "OK",IF(AND(OR(Planilla!B481="C",Planilla!B481="c"), OR(VLOOKUP(E481,EX:FJ,13,0)="B", VLOOKUP(E481,EX:FJ,13,0)="A")), "DEFICIT",IF(
AND(OR(Planilla!B481="B", Planilla!B481="BPAL"), VLOOKUP(E481,EX:FJ,13,0)="B"), "OK",IF(AND(OR(Planilla!B481="B", Planilla!B481="BPAL"), VLOOKUP(E481,EX:FJ,13,0)="A"), "DEFICIT",IF(AND(OR(Planilla!B481="B", Planilla!B481="BPAL"), VLOOKUP(E481,EX:FJ,13,0)="C"), "SOBREOFERTA",IF(AND(Planilla!B481="A", VLOOKUP(E481,EX:FJ,13,0)="A"), "OK",IF(
AND(Planilla!B481="A", OR(VLOOKUP(E481,EX:FJ,13,0)="B", VLOOKUP(E481,EX:FJ,13,0)="C")), "SOBREOFERTA",""
))))))),"")</f>
        <v/>
      </c>
      <c r="E481" s="12"/>
      <c r="F481" s="13"/>
      <c r="G481" s="14"/>
      <c r="H481" s="81" t="str">
        <f t="shared" si="158"/>
        <v/>
      </c>
      <c r="I481" s="7"/>
      <c r="J481" s="6" t="e">
        <f t="shared" si="159"/>
        <v>#N/A</v>
      </c>
      <c r="K481" s="6" t="str">
        <f>IF(A482&lt;&gt;A481,AVERAGEIF(A$9:A481,A481,J$9:J481),"")</f>
        <v/>
      </c>
      <c r="L481" s="7" t="str">
        <f>IFERROR(IF(A482&lt;&gt;A481,AVERAGEIF(A$9:A481,A481,S$9:S481),""),"")</f>
        <v/>
      </c>
      <c r="M481" s="7" t="str">
        <f>IFERROR(IF(A482&lt;&gt;A481,AVERAGEIF(A$9:A481,A481,T$9:T481),""),"")</f>
        <v/>
      </c>
      <c r="N481" s="7" t="str" cm="1">
        <f t="array" ref="N481">IFERROR(IF(A482&lt;&gt;A481,_xlfn.STDEV.P(IF(A$9:A481=A481,T$9:T481)),""),"")</f>
        <v/>
      </c>
      <c r="O481" s="7" t="str" cm="1">
        <f t="array" ref="O481">IFERROR(IF(A482&lt;&gt;A481,_xlfn.STDEV.P(IF(A$9:A481=A481,S$9:S481)),""),"")</f>
        <v/>
      </c>
      <c r="P481" s="8" t="str">
        <f t="shared" si="160"/>
        <v/>
      </c>
      <c r="Q481" s="8" t="str">
        <f t="shared" si="161"/>
        <v/>
      </c>
      <c r="R481" s="8" t="str">
        <f t="shared" si="162"/>
        <v/>
      </c>
      <c r="S481" s="9" t="str">
        <f t="shared" si="163"/>
        <v/>
      </c>
      <c r="T481" s="9" t="str">
        <f t="shared" si="164"/>
        <v/>
      </c>
      <c r="U481" s="14"/>
      <c r="V481" s="15"/>
      <c r="W481" s="14" t="str">
        <f t="shared" si="165"/>
        <v/>
      </c>
      <c r="X481" s="15"/>
      <c r="Y481" s="2"/>
      <c r="AB481" s="22">
        <f t="shared" si="166"/>
        <v>1</v>
      </c>
      <c r="AC481" s="11"/>
      <c r="AD481" s="11"/>
      <c r="AE481" s="13"/>
      <c r="AF481" s="12"/>
      <c r="AG481" s="13"/>
      <c r="AH481" s="14"/>
      <c r="AI481" s="81" t="str">
        <f t="shared" si="167"/>
        <v/>
      </c>
      <c r="AJ481" s="15"/>
      <c r="AK481" s="6" t="e">
        <f t="shared" si="168"/>
        <v>#N/A</v>
      </c>
      <c r="AL481" s="6" t="str">
        <f>IF(AB482&lt;&gt;AB481,AVERAGEIF(AB$9:AB481,AB481,AK$9:AK481),"")</f>
        <v/>
      </c>
      <c r="AM481" s="7" t="str">
        <f>IFERROR(IF(AB482&lt;&gt;AB481,AVERAGEIF(AB$9:AB481,AB481,AT$9:AT481),""),"")</f>
        <v/>
      </c>
      <c r="AN481" s="7" t="str">
        <f>IFERROR(IF(AB482&lt;&gt;AB481,AVERAGEIF(AB$9:AB481,AB481,AU$9:AU481),""),"")</f>
        <v/>
      </c>
      <c r="AO481" s="7" t="str" cm="1">
        <f t="array" ref="AO481">IFERROR(IF(AB482&lt;&gt;AB481,_xlfn.STDEV.P(IF(AB$9:AB481=AB481,AU$9:AU481)),""),"")</f>
        <v/>
      </c>
      <c r="AP481" s="7" t="str" cm="1">
        <f t="array" ref="AP481">IFERROR(IF(AB482&lt;&gt;AB481,_xlfn.STDEV.P(IF(AB$9:AB481=AB481,AT$9:AT481)),""),"")</f>
        <v/>
      </c>
      <c r="AQ481" s="8" t="str">
        <f t="shared" si="169"/>
        <v/>
      </c>
      <c r="AR481" s="8" t="str">
        <f t="shared" si="170"/>
        <v/>
      </c>
      <c r="AS481" s="8" t="str">
        <f t="shared" si="171"/>
        <v/>
      </c>
      <c r="AT481" s="9" t="str">
        <f t="shared" si="172"/>
        <v/>
      </c>
      <c r="AU481" s="9" t="str">
        <f t="shared" si="173"/>
        <v/>
      </c>
      <c r="AV481" s="14"/>
      <c r="AW481" s="15"/>
      <c r="AX481" s="14" t="str">
        <f t="shared" si="174"/>
        <v/>
      </c>
      <c r="AY481" s="15"/>
      <c r="AZ481" s="23"/>
      <c r="EW481" t="s">
        <v>46</v>
      </c>
      <c r="EX481" s="33" t="s">
        <v>47</v>
      </c>
      <c r="EY481" s="35" t="s">
        <v>1271</v>
      </c>
      <c r="EZ481" s="36" t="s">
        <v>1272</v>
      </c>
      <c r="FA481" s="36" t="s">
        <v>1192</v>
      </c>
      <c r="FB481" s="36" t="s">
        <v>344</v>
      </c>
      <c r="FC481" s="36" t="s">
        <v>1192</v>
      </c>
      <c r="FD481" s="36" t="s">
        <v>344</v>
      </c>
      <c r="FE481" s="36">
        <v>2026</v>
      </c>
      <c r="FF481" s="36" t="s">
        <v>59</v>
      </c>
      <c r="FG481" s="36" t="s">
        <v>1210</v>
      </c>
      <c r="FJ481" t="s">
        <v>59</v>
      </c>
      <c r="FM481" s="32" t="s">
        <v>1273</v>
      </c>
      <c r="FN481" t="s">
        <v>1273</v>
      </c>
      <c r="FO481" t="s">
        <v>1273</v>
      </c>
      <c r="FP481" t="str">
        <f t="shared" si="156"/>
        <v>C</v>
      </c>
      <c r="FT481" s="69" t="s">
        <v>7411</v>
      </c>
      <c r="FU481" s="61">
        <v>0</v>
      </c>
      <c r="FV481" s="61">
        <v>0</v>
      </c>
      <c r="FW481" s="61">
        <v>0</v>
      </c>
      <c r="FX481" s="61">
        <v>0</v>
      </c>
      <c r="FY481" s="61">
        <v>0</v>
      </c>
      <c r="FZ481" s="61">
        <v>27.55</v>
      </c>
      <c r="GA481" s="61">
        <v>25.62</v>
      </c>
      <c r="GB481" s="61">
        <v>24.27</v>
      </c>
      <c r="GC481" s="61">
        <v>22.855</v>
      </c>
      <c r="GD481" s="61">
        <v>21.335000000000001</v>
      </c>
      <c r="GE481" s="61">
        <v>20.399999999999999</v>
      </c>
      <c r="GF481" s="61">
        <v>19.13</v>
      </c>
      <c r="GG481" s="61">
        <v>17.91</v>
      </c>
      <c r="GH481" s="61">
        <v>17.515000000000001</v>
      </c>
      <c r="GI481" s="61">
        <v>18.34</v>
      </c>
      <c r="GJ481" s="61">
        <v>18.585000000000001</v>
      </c>
      <c r="GK481" s="61">
        <v>18.574999999999999</v>
      </c>
      <c r="GL481" s="61">
        <v>18.285</v>
      </c>
      <c r="GM481" s="61">
        <v>17.86</v>
      </c>
      <c r="GN481" s="61">
        <v>18.369999999999997</v>
      </c>
      <c r="GO481" s="61">
        <v>19.645</v>
      </c>
      <c r="GP481" s="61">
        <v>20.934999999999999</v>
      </c>
      <c r="GQ481" s="61">
        <v>22.094999999999999</v>
      </c>
      <c r="GR481" s="61">
        <v>23.055</v>
      </c>
      <c r="GU481" s="53">
        <v>26</v>
      </c>
      <c r="GV481" s="53">
        <v>475</v>
      </c>
    </row>
    <row r="482" spans="1:204" ht="15.5" x14ac:dyDescent="0.35">
      <c r="A482" s="95">
        <f t="shared" si="157"/>
        <v>1</v>
      </c>
      <c r="B482" s="11"/>
      <c r="C482" s="11"/>
      <c r="D482" s="92" t="str">
        <f>IFERROR(
IF(AND(OR(Planilla!B482="C",Planilla!B482="c"), VLOOKUP(E482,EX:FJ,13,0)="C"), "OK",IF(AND(OR(Planilla!B482="C",Planilla!B482="c"), OR(VLOOKUP(E482,EX:FJ,13,0)="B", VLOOKUP(E482,EX:FJ,13,0)="A")), "DEFICIT",IF(
AND(OR(Planilla!B482="B", Planilla!B482="BPAL"), VLOOKUP(E482,EX:FJ,13,0)="B"), "OK",IF(AND(OR(Planilla!B482="B", Planilla!B482="BPAL"), VLOOKUP(E482,EX:FJ,13,0)="A"), "DEFICIT",IF(AND(OR(Planilla!B482="B", Planilla!B482="BPAL"), VLOOKUP(E482,EX:FJ,13,0)="C"), "SOBREOFERTA",IF(AND(Planilla!B482="A", VLOOKUP(E482,EX:FJ,13,0)="A"), "OK",IF(
AND(Planilla!B482="A", OR(VLOOKUP(E482,EX:FJ,13,0)="B", VLOOKUP(E482,EX:FJ,13,0)="C")), "SOBREOFERTA",""
))))))),"")</f>
        <v/>
      </c>
      <c r="E482" s="12"/>
      <c r="F482" s="13"/>
      <c r="G482" s="14"/>
      <c r="H482" s="81" t="str">
        <f t="shared" si="158"/>
        <v/>
      </c>
      <c r="I482" s="7"/>
      <c r="J482" s="6" t="e">
        <f t="shared" si="159"/>
        <v>#N/A</v>
      </c>
      <c r="K482" s="6" t="str">
        <f>IF(A483&lt;&gt;A482,AVERAGEIF(A$9:A482,A482,J$9:J482),"")</f>
        <v/>
      </c>
      <c r="L482" s="7" t="str">
        <f>IFERROR(IF(A483&lt;&gt;A482,AVERAGEIF(A$9:A482,A482,S$9:S482),""),"")</f>
        <v/>
      </c>
      <c r="M482" s="7" t="str">
        <f>IFERROR(IF(A483&lt;&gt;A482,AVERAGEIF(A$9:A482,A482,T$9:T482),""),"")</f>
        <v/>
      </c>
      <c r="N482" s="7" t="str" cm="1">
        <f t="array" ref="N482">IFERROR(IF(A483&lt;&gt;A482,_xlfn.STDEV.P(IF(A$9:A482=A482,T$9:T482)),""),"")</f>
        <v/>
      </c>
      <c r="O482" s="7" t="str" cm="1">
        <f t="array" ref="O482">IFERROR(IF(A483&lt;&gt;A482,_xlfn.STDEV.P(IF(A$9:A482=A482,S$9:S482)),""),"")</f>
        <v/>
      </c>
      <c r="P482" s="8" t="str">
        <f t="shared" si="160"/>
        <v/>
      </c>
      <c r="Q482" s="8" t="str">
        <f t="shared" si="161"/>
        <v/>
      </c>
      <c r="R482" s="8" t="str">
        <f t="shared" si="162"/>
        <v/>
      </c>
      <c r="S482" s="9" t="str">
        <f t="shared" si="163"/>
        <v/>
      </c>
      <c r="T482" s="9" t="str">
        <f t="shared" si="164"/>
        <v/>
      </c>
      <c r="U482" s="14"/>
      <c r="V482" s="15"/>
      <c r="W482" s="14" t="str">
        <f t="shared" si="165"/>
        <v/>
      </c>
      <c r="X482" s="15"/>
      <c r="Y482" s="2"/>
      <c r="AB482" s="22">
        <f t="shared" si="166"/>
        <v>1</v>
      </c>
      <c r="AC482" s="11"/>
      <c r="AD482" s="11"/>
      <c r="AE482" s="13"/>
      <c r="AF482" s="12"/>
      <c r="AG482" s="13"/>
      <c r="AH482" s="14"/>
      <c r="AI482" s="81" t="str">
        <f t="shared" si="167"/>
        <v/>
      </c>
      <c r="AJ482" s="15"/>
      <c r="AK482" s="6" t="e">
        <f t="shared" si="168"/>
        <v>#N/A</v>
      </c>
      <c r="AL482" s="6" t="str">
        <f>IF(AB483&lt;&gt;AB482,AVERAGEIF(AB$9:AB482,AB482,AK$9:AK482),"")</f>
        <v/>
      </c>
      <c r="AM482" s="7" t="str">
        <f>IFERROR(IF(AB483&lt;&gt;AB482,AVERAGEIF(AB$9:AB482,AB482,AT$9:AT482),""),"")</f>
        <v/>
      </c>
      <c r="AN482" s="7" t="str">
        <f>IFERROR(IF(AB483&lt;&gt;AB482,AVERAGEIF(AB$9:AB482,AB482,AU$9:AU482),""),"")</f>
        <v/>
      </c>
      <c r="AO482" s="7" t="str" cm="1">
        <f t="array" ref="AO482">IFERROR(IF(AB483&lt;&gt;AB482,_xlfn.STDEV.P(IF(AB$9:AB482=AB482,AU$9:AU482)),""),"")</f>
        <v/>
      </c>
      <c r="AP482" s="7" t="str" cm="1">
        <f t="array" ref="AP482">IFERROR(IF(AB483&lt;&gt;AB482,_xlfn.STDEV.P(IF(AB$9:AB482=AB482,AT$9:AT482)),""),"")</f>
        <v/>
      </c>
      <c r="AQ482" s="8" t="str">
        <f t="shared" si="169"/>
        <v/>
      </c>
      <c r="AR482" s="8" t="str">
        <f t="shared" si="170"/>
        <v/>
      </c>
      <c r="AS482" s="8" t="str">
        <f t="shared" si="171"/>
        <v/>
      </c>
      <c r="AT482" s="9" t="str">
        <f t="shared" si="172"/>
        <v/>
      </c>
      <c r="AU482" s="9" t="str">
        <f t="shared" si="173"/>
        <v/>
      </c>
      <c r="AV482" s="14"/>
      <c r="AW482" s="15"/>
      <c r="AX482" s="14" t="str">
        <f t="shared" si="174"/>
        <v/>
      </c>
      <c r="AY482" s="15"/>
      <c r="AZ482" s="23"/>
      <c r="EW482" t="s">
        <v>46</v>
      </c>
      <c r="EX482" s="33" t="s">
        <v>47</v>
      </c>
      <c r="EY482" s="35" t="s">
        <v>1274</v>
      </c>
      <c r="EZ482" s="36" t="s">
        <v>1275</v>
      </c>
      <c r="FA482" s="36" t="s">
        <v>1192</v>
      </c>
      <c r="FB482" s="36" t="s">
        <v>344</v>
      </c>
      <c r="FC482" s="36" t="s">
        <v>1192</v>
      </c>
      <c r="FD482" s="36" t="s">
        <v>344</v>
      </c>
      <c r="FE482" s="36">
        <v>2026</v>
      </c>
      <c r="FF482" s="36" t="s">
        <v>59</v>
      </c>
      <c r="FG482" s="36" t="s">
        <v>1210</v>
      </c>
      <c r="FJ482" t="s">
        <v>59</v>
      </c>
      <c r="FM482" s="32" t="s">
        <v>179</v>
      </c>
      <c r="FN482" t="s">
        <v>179</v>
      </c>
      <c r="FO482" t="s">
        <v>179</v>
      </c>
      <c r="FP482" t="str">
        <f t="shared" si="156"/>
        <v>B</v>
      </c>
      <c r="FT482" s="69" t="s">
        <v>7412</v>
      </c>
      <c r="FU482" s="61">
        <v>0</v>
      </c>
      <c r="FV482" s="61">
        <v>0</v>
      </c>
      <c r="FW482" s="61">
        <v>0</v>
      </c>
      <c r="FX482" s="61">
        <v>0</v>
      </c>
      <c r="FY482" s="61">
        <v>13.945</v>
      </c>
      <c r="FZ482" s="61">
        <v>25.484999999999999</v>
      </c>
      <c r="GA482" s="61">
        <v>23.605</v>
      </c>
      <c r="GB482" s="61">
        <v>22.045000000000002</v>
      </c>
      <c r="GC482" s="61">
        <v>20.515000000000001</v>
      </c>
      <c r="GD482" s="61">
        <v>19.005000000000003</v>
      </c>
      <c r="GE482" s="61">
        <v>18.344999999999999</v>
      </c>
      <c r="GF482" s="61">
        <v>17.545000000000002</v>
      </c>
      <c r="GG482" s="61">
        <v>16.594999999999999</v>
      </c>
      <c r="GH482" s="61">
        <v>16.45</v>
      </c>
      <c r="GI482" s="61">
        <v>16.740000000000002</v>
      </c>
      <c r="GJ482" s="61">
        <v>17.07</v>
      </c>
      <c r="GK482" s="61">
        <v>17.134999999999998</v>
      </c>
      <c r="GL482" s="61">
        <v>17.16</v>
      </c>
      <c r="GM482" s="61">
        <v>17.45</v>
      </c>
      <c r="GN482" s="61">
        <v>18.009999999999998</v>
      </c>
      <c r="GO482" s="61">
        <v>19.34</v>
      </c>
      <c r="GP482" s="61">
        <v>20.96</v>
      </c>
      <c r="GQ482" s="61">
        <v>22.63</v>
      </c>
      <c r="GR482" s="61">
        <v>24.47</v>
      </c>
      <c r="GU482" s="53">
        <v>27</v>
      </c>
      <c r="GV482" s="53">
        <v>476</v>
      </c>
    </row>
    <row r="483" spans="1:204" ht="15.5" x14ac:dyDescent="0.35">
      <c r="A483" s="95">
        <f t="shared" si="157"/>
        <v>1</v>
      </c>
      <c r="B483" s="11"/>
      <c r="C483" s="11"/>
      <c r="D483" s="92" t="str">
        <f>IFERROR(
IF(AND(OR(Planilla!B483="C",Planilla!B483="c"), VLOOKUP(E483,EX:FJ,13,0)="C"), "OK",IF(AND(OR(Planilla!B483="C",Planilla!B483="c"), OR(VLOOKUP(E483,EX:FJ,13,0)="B", VLOOKUP(E483,EX:FJ,13,0)="A")), "DEFICIT",IF(
AND(OR(Planilla!B483="B", Planilla!B483="BPAL"), VLOOKUP(E483,EX:FJ,13,0)="B"), "OK",IF(AND(OR(Planilla!B483="B", Planilla!B483="BPAL"), VLOOKUP(E483,EX:FJ,13,0)="A"), "DEFICIT",IF(AND(OR(Planilla!B483="B", Planilla!B483="BPAL"), VLOOKUP(E483,EX:FJ,13,0)="C"), "SOBREOFERTA",IF(AND(Planilla!B483="A", VLOOKUP(E483,EX:FJ,13,0)="A"), "OK",IF(
AND(Planilla!B483="A", OR(VLOOKUP(E483,EX:FJ,13,0)="B", VLOOKUP(E483,EX:FJ,13,0)="C")), "SOBREOFERTA",""
))))))),"")</f>
        <v/>
      </c>
      <c r="E483" s="12"/>
      <c r="F483" s="13"/>
      <c r="G483" s="14"/>
      <c r="H483" s="81" t="str">
        <f t="shared" si="158"/>
        <v/>
      </c>
      <c r="I483" s="7"/>
      <c r="J483" s="6" t="e">
        <f t="shared" si="159"/>
        <v>#N/A</v>
      </c>
      <c r="K483" s="6" t="str">
        <f>IF(A484&lt;&gt;A483,AVERAGEIF(A$9:A483,A483,J$9:J483),"")</f>
        <v/>
      </c>
      <c r="L483" s="7" t="str">
        <f>IFERROR(IF(A484&lt;&gt;A483,AVERAGEIF(A$9:A483,A483,S$9:S483),""),"")</f>
        <v/>
      </c>
      <c r="M483" s="7" t="str">
        <f>IFERROR(IF(A484&lt;&gt;A483,AVERAGEIF(A$9:A483,A483,T$9:T483),""),"")</f>
        <v/>
      </c>
      <c r="N483" s="7" t="str" cm="1">
        <f t="array" ref="N483">IFERROR(IF(A484&lt;&gt;A483,_xlfn.STDEV.P(IF(A$9:A483=A483,T$9:T483)),""),"")</f>
        <v/>
      </c>
      <c r="O483" s="7" t="str" cm="1">
        <f t="array" ref="O483">IFERROR(IF(A484&lt;&gt;A483,_xlfn.STDEV.P(IF(A$9:A483=A483,S$9:S483)),""),"")</f>
        <v/>
      </c>
      <c r="P483" s="8" t="str">
        <f t="shared" si="160"/>
        <v/>
      </c>
      <c r="Q483" s="8" t="str">
        <f t="shared" si="161"/>
        <v/>
      </c>
      <c r="R483" s="8" t="str">
        <f t="shared" si="162"/>
        <v/>
      </c>
      <c r="S483" s="9" t="str">
        <f t="shared" si="163"/>
        <v/>
      </c>
      <c r="T483" s="9" t="str">
        <f t="shared" si="164"/>
        <v/>
      </c>
      <c r="U483" s="14"/>
      <c r="V483" s="15"/>
      <c r="W483" s="14" t="str">
        <f t="shared" si="165"/>
        <v/>
      </c>
      <c r="X483" s="15"/>
      <c r="Y483" s="2"/>
      <c r="AB483" s="22">
        <f t="shared" si="166"/>
        <v>1</v>
      </c>
      <c r="AC483" s="11"/>
      <c r="AD483" s="11"/>
      <c r="AE483" s="13"/>
      <c r="AF483" s="12"/>
      <c r="AG483" s="13"/>
      <c r="AH483" s="14"/>
      <c r="AI483" s="81" t="str">
        <f t="shared" si="167"/>
        <v/>
      </c>
      <c r="AJ483" s="15"/>
      <c r="AK483" s="6" t="e">
        <f t="shared" si="168"/>
        <v>#N/A</v>
      </c>
      <c r="AL483" s="6" t="str">
        <f>IF(AB484&lt;&gt;AB483,AVERAGEIF(AB$9:AB483,AB483,AK$9:AK483),"")</f>
        <v/>
      </c>
      <c r="AM483" s="7" t="str">
        <f>IFERROR(IF(AB484&lt;&gt;AB483,AVERAGEIF(AB$9:AB483,AB483,AT$9:AT483),""),"")</f>
        <v/>
      </c>
      <c r="AN483" s="7" t="str">
        <f>IFERROR(IF(AB484&lt;&gt;AB483,AVERAGEIF(AB$9:AB483,AB483,AU$9:AU483),""),"")</f>
        <v/>
      </c>
      <c r="AO483" s="7" t="str" cm="1">
        <f t="array" ref="AO483">IFERROR(IF(AB484&lt;&gt;AB483,_xlfn.STDEV.P(IF(AB$9:AB483=AB483,AU$9:AU483)),""),"")</f>
        <v/>
      </c>
      <c r="AP483" s="7" t="str" cm="1">
        <f t="array" ref="AP483">IFERROR(IF(AB484&lt;&gt;AB483,_xlfn.STDEV.P(IF(AB$9:AB483=AB483,AT$9:AT483)),""),"")</f>
        <v/>
      </c>
      <c r="AQ483" s="8" t="str">
        <f t="shared" si="169"/>
        <v/>
      </c>
      <c r="AR483" s="8" t="str">
        <f t="shared" si="170"/>
        <v/>
      </c>
      <c r="AS483" s="8" t="str">
        <f t="shared" si="171"/>
        <v/>
      </c>
      <c r="AT483" s="9" t="str">
        <f t="shared" si="172"/>
        <v/>
      </c>
      <c r="AU483" s="9" t="str">
        <f t="shared" si="173"/>
        <v/>
      </c>
      <c r="AV483" s="14"/>
      <c r="AW483" s="15"/>
      <c r="AX483" s="14" t="str">
        <f t="shared" si="174"/>
        <v/>
      </c>
      <c r="AY483" s="15"/>
      <c r="AZ483" s="23"/>
      <c r="EW483" t="s">
        <v>46</v>
      </c>
      <c r="EX483" s="33" t="s">
        <v>47</v>
      </c>
      <c r="EY483" s="35" t="s">
        <v>1276</v>
      </c>
      <c r="EZ483" s="36" t="s">
        <v>1277</v>
      </c>
      <c r="FA483" s="36" t="s">
        <v>1192</v>
      </c>
      <c r="FB483" s="36" t="s">
        <v>344</v>
      </c>
      <c r="FC483" s="36" t="s">
        <v>1192</v>
      </c>
      <c r="FD483" s="36" t="s">
        <v>344</v>
      </c>
      <c r="FE483" s="36">
        <v>2026</v>
      </c>
      <c r="FF483" s="36" t="s">
        <v>59</v>
      </c>
      <c r="FG483" s="36" t="s">
        <v>1210</v>
      </c>
      <c r="FJ483" t="s">
        <v>59</v>
      </c>
      <c r="FM483" s="32" t="s">
        <v>1278</v>
      </c>
      <c r="FN483" t="s">
        <v>1278</v>
      </c>
      <c r="FO483" t="s">
        <v>1278</v>
      </c>
      <c r="FP483" t="str">
        <f t="shared" si="156"/>
        <v>C</v>
      </c>
      <c r="FT483" s="69" t="s">
        <v>7415</v>
      </c>
      <c r="FU483" s="61">
        <v>0</v>
      </c>
      <c r="FV483" s="61">
        <v>0</v>
      </c>
      <c r="FW483" s="61">
        <v>0</v>
      </c>
      <c r="FX483" s="61">
        <v>0</v>
      </c>
      <c r="FY483" s="61">
        <v>0</v>
      </c>
      <c r="FZ483" s="61">
        <v>16.495000000000001</v>
      </c>
      <c r="GA483" s="61">
        <v>31.75</v>
      </c>
      <c r="GB483" s="61">
        <v>29.91</v>
      </c>
      <c r="GC483" s="61">
        <v>30.259999999999998</v>
      </c>
      <c r="GD483" s="61">
        <v>30.52</v>
      </c>
      <c r="GE483" s="61">
        <v>30.085000000000001</v>
      </c>
      <c r="GF483" s="61">
        <v>29.85</v>
      </c>
      <c r="GG483" s="61">
        <v>29.19</v>
      </c>
      <c r="GH483" s="61">
        <v>29.285</v>
      </c>
      <c r="GI483" s="61">
        <v>29.32</v>
      </c>
      <c r="GJ483" s="61">
        <v>28.35</v>
      </c>
      <c r="GK483" s="61">
        <v>27.8</v>
      </c>
      <c r="GL483" s="61">
        <v>27.380000000000003</v>
      </c>
      <c r="GM483" s="61">
        <v>26.795000000000002</v>
      </c>
      <c r="GN483" s="61">
        <v>27.285</v>
      </c>
      <c r="GO483" s="61">
        <v>29.54</v>
      </c>
      <c r="GP483" s="61">
        <v>30.704999999999998</v>
      </c>
      <c r="GQ483" s="61">
        <v>30.335000000000001</v>
      </c>
      <c r="GR483" s="61">
        <v>29.64</v>
      </c>
      <c r="GU483" s="53">
        <v>28</v>
      </c>
      <c r="GV483" s="53">
        <v>477</v>
      </c>
    </row>
    <row r="484" spans="1:204" ht="15.5" x14ac:dyDescent="0.35">
      <c r="A484" s="95">
        <f t="shared" si="157"/>
        <v>1</v>
      </c>
      <c r="B484" s="11"/>
      <c r="C484" s="11"/>
      <c r="D484" s="92" t="str">
        <f>IFERROR(
IF(AND(OR(Planilla!B484="C",Planilla!B484="c"), VLOOKUP(E484,EX:FJ,13,0)="C"), "OK",IF(AND(OR(Planilla!B484="C",Planilla!B484="c"), OR(VLOOKUP(E484,EX:FJ,13,0)="B", VLOOKUP(E484,EX:FJ,13,0)="A")), "DEFICIT",IF(
AND(OR(Planilla!B484="B", Planilla!B484="BPAL"), VLOOKUP(E484,EX:FJ,13,0)="B"), "OK",IF(AND(OR(Planilla!B484="B", Planilla!B484="BPAL"), VLOOKUP(E484,EX:FJ,13,0)="A"), "DEFICIT",IF(AND(OR(Planilla!B484="B", Planilla!B484="BPAL"), VLOOKUP(E484,EX:FJ,13,0)="C"), "SOBREOFERTA",IF(AND(Planilla!B484="A", VLOOKUP(E484,EX:FJ,13,0)="A"), "OK",IF(
AND(Planilla!B484="A", OR(VLOOKUP(E484,EX:FJ,13,0)="B", VLOOKUP(E484,EX:FJ,13,0)="C")), "SOBREOFERTA",""
))))))),"")</f>
        <v/>
      </c>
      <c r="E484" s="12"/>
      <c r="F484" s="13"/>
      <c r="G484" s="14"/>
      <c r="H484" s="81" t="str">
        <f t="shared" si="158"/>
        <v/>
      </c>
      <c r="I484" s="7"/>
      <c r="J484" s="6" t="e">
        <f t="shared" si="159"/>
        <v>#N/A</v>
      </c>
      <c r="K484" s="6" t="str">
        <f>IF(A485&lt;&gt;A484,AVERAGEIF(A$9:A484,A484,J$9:J484),"")</f>
        <v/>
      </c>
      <c r="L484" s="7" t="str">
        <f>IFERROR(IF(A485&lt;&gt;A484,AVERAGEIF(A$9:A484,A484,S$9:S484),""),"")</f>
        <v/>
      </c>
      <c r="M484" s="7" t="str">
        <f>IFERROR(IF(A485&lt;&gt;A484,AVERAGEIF(A$9:A484,A484,T$9:T484),""),"")</f>
        <v/>
      </c>
      <c r="N484" s="7" t="str" cm="1">
        <f t="array" ref="N484">IFERROR(IF(A485&lt;&gt;A484,_xlfn.STDEV.P(IF(A$9:A484=A484,T$9:T484)),""),"")</f>
        <v/>
      </c>
      <c r="O484" s="7" t="str" cm="1">
        <f t="array" ref="O484">IFERROR(IF(A485&lt;&gt;A484,_xlfn.STDEV.P(IF(A$9:A484=A484,S$9:S484)),""),"")</f>
        <v/>
      </c>
      <c r="P484" s="8" t="str">
        <f t="shared" si="160"/>
        <v/>
      </c>
      <c r="Q484" s="8" t="str">
        <f t="shared" si="161"/>
        <v/>
      </c>
      <c r="R484" s="8" t="str">
        <f t="shared" si="162"/>
        <v/>
      </c>
      <c r="S484" s="9" t="str">
        <f t="shared" si="163"/>
        <v/>
      </c>
      <c r="T484" s="9" t="str">
        <f t="shared" si="164"/>
        <v/>
      </c>
      <c r="U484" s="14"/>
      <c r="V484" s="15"/>
      <c r="W484" s="14" t="str">
        <f t="shared" si="165"/>
        <v/>
      </c>
      <c r="X484" s="15"/>
      <c r="Y484" s="2"/>
      <c r="AB484" s="22">
        <f t="shared" si="166"/>
        <v>1</v>
      </c>
      <c r="AC484" s="11"/>
      <c r="AD484" s="11"/>
      <c r="AE484" s="13"/>
      <c r="AF484" s="12"/>
      <c r="AG484" s="13"/>
      <c r="AH484" s="14"/>
      <c r="AI484" s="81" t="str">
        <f t="shared" si="167"/>
        <v/>
      </c>
      <c r="AJ484" s="15"/>
      <c r="AK484" s="6" t="e">
        <f t="shared" si="168"/>
        <v>#N/A</v>
      </c>
      <c r="AL484" s="6" t="str">
        <f>IF(AB485&lt;&gt;AB484,AVERAGEIF(AB$9:AB484,AB484,AK$9:AK484),"")</f>
        <v/>
      </c>
      <c r="AM484" s="7" t="str">
        <f>IFERROR(IF(AB485&lt;&gt;AB484,AVERAGEIF(AB$9:AB484,AB484,AT$9:AT484),""),"")</f>
        <v/>
      </c>
      <c r="AN484" s="7" t="str">
        <f>IFERROR(IF(AB485&lt;&gt;AB484,AVERAGEIF(AB$9:AB484,AB484,AU$9:AU484),""),"")</f>
        <v/>
      </c>
      <c r="AO484" s="7" t="str" cm="1">
        <f t="array" ref="AO484">IFERROR(IF(AB485&lt;&gt;AB484,_xlfn.STDEV.P(IF(AB$9:AB484=AB484,AU$9:AU484)),""),"")</f>
        <v/>
      </c>
      <c r="AP484" s="7" t="str" cm="1">
        <f t="array" ref="AP484">IFERROR(IF(AB485&lt;&gt;AB484,_xlfn.STDEV.P(IF(AB$9:AB484=AB484,AT$9:AT484)),""),"")</f>
        <v/>
      </c>
      <c r="AQ484" s="8" t="str">
        <f t="shared" si="169"/>
        <v/>
      </c>
      <c r="AR484" s="8" t="str">
        <f t="shared" si="170"/>
        <v/>
      </c>
      <c r="AS484" s="8" t="str">
        <f t="shared" si="171"/>
        <v/>
      </c>
      <c r="AT484" s="9" t="str">
        <f t="shared" si="172"/>
        <v/>
      </c>
      <c r="AU484" s="9" t="str">
        <f t="shared" si="173"/>
        <v/>
      </c>
      <c r="AV484" s="14"/>
      <c r="AW484" s="15"/>
      <c r="AX484" s="14" t="str">
        <f t="shared" si="174"/>
        <v/>
      </c>
      <c r="AY484" s="15"/>
      <c r="AZ484" s="23"/>
      <c r="EW484" t="s">
        <v>46</v>
      </c>
      <c r="EX484" s="33" t="s">
        <v>47</v>
      </c>
      <c r="EY484" s="35" t="s">
        <v>1279</v>
      </c>
      <c r="EZ484" s="36" t="s">
        <v>1280</v>
      </c>
      <c r="FA484" s="36" t="s">
        <v>1192</v>
      </c>
      <c r="FB484" s="36" t="s">
        <v>344</v>
      </c>
      <c r="FC484" s="36" t="s">
        <v>1192</v>
      </c>
      <c r="FD484" s="36" t="s">
        <v>344</v>
      </c>
      <c r="FE484" s="36">
        <v>2026</v>
      </c>
      <c r="FF484" s="36" t="s">
        <v>59</v>
      </c>
      <c r="FG484" s="36" t="s">
        <v>1210</v>
      </c>
      <c r="FJ484" t="s">
        <v>59</v>
      </c>
      <c r="FM484" s="32" t="s">
        <v>1253</v>
      </c>
      <c r="FN484" t="s">
        <v>1253</v>
      </c>
      <c r="FO484" t="s">
        <v>1253</v>
      </c>
      <c r="FP484" t="str">
        <f t="shared" si="156"/>
        <v>C</v>
      </c>
      <c r="FT484" s="69" t="s">
        <v>7391</v>
      </c>
      <c r="FU484" s="61">
        <v>0</v>
      </c>
      <c r="FV484" s="61">
        <v>0</v>
      </c>
      <c r="FW484" s="61">
        <v>0</v>
      </c>
      <c r="FX484" s="61">
        <v>0</v>
      </c>
      <c r="FY484" s="61">
        <v>0</v>
      </c>
      <c r="FZ484" s="61">
        <v>11.565</v>
      </c>
      <c r="GA484" s="61">
        <v>22.5</v>
      </c>
      <c r="GB484" s="61">
        <v>21.375</v>
      </c>
      <c r="GC484" s="61">
        <v>20.324999999999999</v>
      </c>
      <c r="GD484" s="61">
        <v>19.265000000000001</v>
      </c>
      <c r="GE484" s="61">
        <v>18.645000000000003</v>
      </c>
      <c r="GF484" s="61">
        <v>18.115000000000002</v>
      </c>
      <c r="GG484" s="61">
        <v>17.755000000000003</v>
      </c>
      <c r="GH484" s="61">
        <v>17.935000000000002</v>
      </c>
      <c r="GI484" s="61">
        <v>18.325000000000003</v>
      </c>
      <c r="GJ484" s="61">
        <v>18.04</v>
      </c>
      <c r="GK484" s="61">
        <v>17.555</v>
      </c>
      <c r="GL484" s="61">
        <v>17.265000000000001</v>
      </c>
      <c r="GM484" s="61">
        <v>17.555</v>
      </c>
      <c r="GN484" s="61">
        <v>18.754999999999999</v>
      </c>
      <c r="GO484" s="61">
        <v>19.914999999999999</v>
      </c>
      <c r="GP484" s="61">
        <v>21.545000000000002</v>
      </c>
      <c r="GQ484" s="61">
        <v>23.509999999999998</v>
      </c>
      <c r="GR484" s="61">
        <v>25.66</v>
      </c>
      <c r="GU484" s="53">
        <v>29</v>
      </c>
      <c r="GV484" s="53">
        <v>478</v>
      </c>
    </row>
    <row r="485" spans="1:204" ht="15.5" x14ac:dyDescent="0.35">
      <c r="A485" s="95">
        <f t="shared" si="157"/>
        <v>1</v>
      </c>
      <c r="B485" s="11"/>
      <c r="C485" s="11"/>
      <c r="D485" s="92" t="str">
        <f>IFERROR(
IF(AND(OR(Planilla!B485="C",Planilla!B485="c"), VLOOKUP(E485,EX:FJ,13,0)="C"), "OK",IF(AND(OR(Planilla!B485="C",Planilla!B485="c"), OR(VLOOKUP(E485,EX:FJ,13,0)="B", VLOOKUP(E485,EX:FJ,13,0)="A")), "DEFICIT",IF(
AND(OR(Planilla!B485="B", Planilla!B485="BPAL"), VLOOKUP(E485,EX:FJ,13,0)="B"), "OK",IF(AND(OR(Planilla!B485="B", Planilla!B485="BPAL"), VLOOKUP(E485,EX:FJ,13,0)="A"), "DEFICIT",IF(AND(OR(Planilla!B485="B", Planilla!B485="BPAL"), VLOOKUP(E485,EX:FJ,13,0)="C"), "SOBREOFERTA",IF(AND(Planilla!B485="A", VLOOKUP(E485,EX:FJ,13,0)="A"), "OK",IF(
AND(Planilla!B485="A", OR(VLOOKUP(E485,EX:FJ,13,0)="B", VLOOKUP(E485,EX:FJ,13,0)="C")), "SOBREOFERTA",""
))))))),"")</f>
        <v/>
      </c>
      <c r="E485" s="12"/>
      <c r="F485" s="13"/>
      <c r="G485" s="14"/>
      <c r="H485" s="81" t="str">
        <f t="shared" si="158"/>
        <v/>
      </c>
      <c r="I485" s="7"/>
      <c r="J485" s="6" t="e">
        <f t="shared" si="159"/>
        <v>#N/A</v>
      </c>
      <c r="K485" s="6" t="str">
        <f>IF(A486&lt;&gt;A485,AVERAGEIF(A$9:A485,A485,J$9:J485),"")</f>
        <v/>
      </c>
      <c r="L485" s="7" t="str">
        <f>IFERROR(IF(A486&lt;&gt;A485,AVERAGEIF(A$9:A485,A485,S$9:S485),""),"")</f>
        <v/>
      </c>
      <c r="M485" s="7" t="str">
        <f>IFERROR(IF(A486&lt;&gt;A485,AVERAGEIF(A$9:A485,A485,T$9:T485),""),"")</f>
        <v/>
      </c>
      <c r="N485" s="7" t="str" cm="1">
        <f t="array" ref="N485">IFERROR(IF(A486&lt;&gt;A485,_xlfn.STDEV.P(IF(A$9:A485=A485,T$9:T485)),""),"")</f>
        <v/>
      </c>
      <c r="O485" s="7" t="str" cm="1">
        <f t="array" ref="O485">IFERROR(IF(A486&lt;&gt;A485,_xlfn.STDEV.P(IF(A$9:A485=A485,S$9:S485)),""),"")</f>
        <v/>
      </c>
      <c r="P485" s="8" t="str">
        <f t="shared" si="160"/>
        <v/>
      </c>
      <c r="Q485" s="8" t="str">
        <f t="shared" si="161"/>
        <v/>
      </c>
      <c r="R485" s="8" t="str">
        <f t="shared" si="162"/>
        <v/>
      </c>
      <c r="S485" s="9" t="str">
        <f t="shared" si="163"/>
        <v/>
      </c>
      <c r="T485" s="9" t="str">
        <f t="shared" si="164"/>
        <v/>
      </c>
      <c r="U485" s="14"/>
      <c r="V485" s="15"/>
      <c r="W485" s="14" t="str">
        <f t="shared" si="165"/>
        <v/>
      </c>
      <c r="X485" s="15"/>
      <c r="Y485" s="2"/>
      <c r="AB485" s="22">
        <f t="shared" si="166"/>
        <v>1</v>
      </c>
      <c r="AC485" s="11"/>
      <c r="AD485" s="11"/>
      <c r="AE485" s="13"/>
      <c r="AF485" s="12"/>
      <c r="AG485" s="13"/>
      <c r="AH485" s="14"/>
      <c r="AI485" s="81" t="str">
        <f t="shared" si="167"/>
        <v/>
      </c>
      <c r="AJ485" s="15"/>
      <c r="AK485" s="6" t="e">
        <f t="shared" si="168"/>
        <v>#N/A</v>
      </c>
      <c r="AL485" s="6" t="str">
        <f>IF(AB486&lt;&gt;AB485,AVERAGEIF(AB$9:AB485,AB485,AK$9:AK485),"")</f>
        <v/>
      </c>
      <c r="AM485" s="7" t="str">
        <f>IFERROR(IF(AB486&lt;&gt;AB485,AVERAGEIF(AB$9:AB485,AB485,AT$9:AT485),""),"")</f>
        <v/>
      </c>
      <c r="AN485" s="7" t="str">
        <f>IFERROR(IF(AB486&lt;&gt;AB485,AVERAGEIF(AB$9:AB485,AB485,AU$9:AU485),""),"")</f>
        <v/>
      </c>
      <c r="AO485" s="7" t="str" cm="1">
        <f t="array" ref="AO485">IFERROR(IF(AB486&lt;&gt;AB485,_xlfn.STDEV.P(IF(AB$9:AB485=AB485,AU$9:AU485)),""),"")</f>
        <v/>
      </c>
      <c r="AP485" s="7" t="str" cm="1">
        <f t="array" ref="AP485">IFERROR(IF(AB486&lt;&gt;AB485,_xlfn.STDEV.P(IF(AB$9:AB485=AB485,AT$9:AT485)),""),"")</f>
        <v/>
      </c>
      <c r="AQ485" s="8" t="str">
        <f t="shared" si="169"/>
        <v/>
      </c>
      <c r="AR485" s="8" t="str">
        <f t="shared" si="170"/>
        <v/>
      </c>
      <c r="AS485" s="8" t="str">
        <f t="shared" si="171"/>
        <v/>
      </c>
      <c r="AT485" s="9" t="str">
        <f t="shared" si="172"/>
        <v/>
      </c>
      <c r="AU485" s="9" t="str">
        <f t="shared" si="173"/>
        <v/>
      </c>
      <c r="AV485" s="14"/>
      <c r="AW485" s="15"/>
      <c r="AX485" s="14" t="str">
        <f t="shared" si="174"/>
        <v/>
      </c>
      <c r="AY485" s="15"/>
      <c r="AZ485" s="23"/>
      <c r="EW485" t="s">
        <v>46</v>
      </c>
      <c r="EX485" s="33" t="s">
        <v>47</v>
      </c>
      <c r="EY485" s="35" t="s">
        <v>1281</v>
      </c>
      <c r="EZ485" s="36" t="s">
        <v>1282</v>
      </c>
      <c r="FA485" s="36" t="s">
        <v>1192</v>
      </c>
      <c r="FB485" s="36" t="s">
        <v>344</v>
      </c>
      <c r="FC485" s="36" t="s">
        <v>1192</v>
      </c>
      <c r="FD485" s="36" t="s">
        <v>344</v>
      </c>
      <c r="FE485" s="36">
        <v>2026</v>
      </c>
      <c r="FF485" s="36" t="s">
        <v>59</v>
      </c>
      <c r="FG485" s="36" t="s">
        <v>1210</v>
      </c>
      <c r="FJ485" t="s">
        <v>59</v>
      </c>
      <c r="FM485" s="32" t="s">
        <v>1283</v>
      </c>
      <c r="FN485" t="s">
        <v>1283</v>
      </c>
      <c r="FO485" t="s">
        <v>1283</v>
      </c>
      <c r="FP485" t="str">
        <f t="shared" si="156"/>
        <v>C</v>
      </c>
      <c r="FT485" s="69" t="s">
        <v>7399</v>
      </c>
      <c r="FU485" s="61">
        <v>0</v>
      </c>
      <c r="FV485" s="61">
        <v>0</v>
      </c>
      <c r="FW485" s="61">
        <v>0</v>
      </c>
      <c r="FX485" s="61">
        <v>0</v>
      </c>
      <c r="FY485" s="61">
        <v>0</v>
      </c>
      <c r="FZ485" s="61">
        <v>25.990000000000002</v>
      </c>
      <c r="GA485" s="61">
        <v>25.06</v>
      </c>
      <c r="GB485" s="61">
        <v>24.270000000000003</v>
      </c>
      <c r="GC485" s="61">
        <v>23.19</v>
      </c>
      <c r="GD485" s="61">
        <v>22.574999999999999</v>
      </c>
      <c r="GE485" s="61">
        <v>22.115000000000002</v>
      </c>
      <c r="GF485" s="61">
        <v>21.689999999999998</v>
      </c>
      <c r="GG485" s="61">
        <v>21.195</v>
      </c>
      <c r="GH485" s="61">
        <v>21.17</v>
      </c>
      <c r="GI485" s="61">
        <v>21.64</v>
      </c>
      <c r="GJ485" s="61">
        <v>21.63</v>
      </c>
      <c r="GK485" s="61">
        <v>20.975000000000001</v>
      </c>
      <c r="GL485" s="61">
        <v>20.195</v>
      </c>
      <c r="GM485" s="61">
        <v>20.725000000000001</v>
      </c>
      <c r="GN485" s="61">
        <v>21.85</v>
      </c>
      <c r="GO485" s="61">
        <v>22.8</v>
      </c>
      <c r="GP485" s="61">
        <v>24.365000000000002</v>
      </c>
      <c r="GQ485" s="61">
        <v>25.96</v>
      </c>
      <c r="GR485" s="61">
        <v>28.02</v>
      </c>
      <c r="GU485" s="53">
        <v>30</v>
      </c>
      <c r="GV485" s="53">
        <v>479</v>
      </c>
    </row>
    <row r="486" spans="1:204" ht="15.5" x14ac:dyDescent="0.35">
      <c r="A486" s="95">
        <f t="shared" si="157"/>
        <v>1</v>
      </c>
      <c r="B486" s="11"/>
      <c r="C486" s="11"/>
      <c r="D486" s="92" t="str">
        <f>IFERROR(
IF(AND(OR(Planilla!B486="C",Planilla!B486="c"), VLOOKUP(E486,EX:FJ,13,0)="C"), "OK",IF(AND(OR(Planilla!B486="C",Planilla!B486="c"), OR(VLOOKUP(E486,EX:FJ,13,0)="B", VLOOKUP(E486,EX:FJ,13,0)="A")), "DEFICIT",IF(
AND(OR(Planilla!B486="B", Planilla!B486="BPAL"), VLOOKUP(E486,EX:FJ,13,0)="B"), "OK",IF(AND(OR(Planilla!B486="B", Planilla!B486="BPAL"), VLOOKUP(E486,EX:FJ,13,0)="A"), "DEFICIT",IF(AND(OR(Planilla!B486="B", Planilla!B486="BPAL"), VLOOKUP(E486,EX:FJ,13,0)="C"), "SOBREOFERTA",IF(AND(Planilla!B486="A", VLOOKUP(E486,EX:FJ,13,0)="A"), "OK",IF(
AND(Planilla!B486="A", OR(VLOOKUP(E486,EX:FJ,13,0)="B", VLOOKUP(E486,EX:FJ,13,0)="C")), "SOBREOFERTA",""
))))))),"")</f>
        <v/>
      </c>
      <c r="E486" s="12"/>
      <c r="F486" s="13"/>
      <c r="G486" s="14"/>
      <c r="H486" s="81" t="str">
        <f t="shared" si="158"/>
        <v/>
      </c>
      <c r="I486" s="7"/>
      <c r="J486" s="6" t="e">
        <f t="shared" si="159"/>
        <v>#N/A</v>
      </c>
      <c r="K486" s="6" t="str">
        <f>IF(A487&lt;&gt;A486,AVERAGEIF(A$9:A486,A486,J$9:J486),"")</f>
        <v/>
      </c>
      <c r="L486" s="7" t="str">
        <f>IFERROR(IF(A487&lt;&gt;A486,AVERAGEIF(A$9:A486,A486,S$9:S486),""),"")</f>
        <v/>
      </c>
      <c r="M486" s="7" t="str">
        <f>IFERROR(IF(A487&lt;&gt;A486,AVERAGEIF(A$9:A486,A486,T$9:T486),""),"")</f>
        <v/>
      </c>
      <c r="N486" s="7" t="str" cm="1">
        <f t="array" ref="N486">IFERROR(IF(A487&lt;&gt;A486,_xlfn.STDEV.P(IF(A$9:A486=A486,T$9:T486)),""),"")</f>
        <v/>
      </c>
      <c r="O486" s="7" t="str" cm="1">
        <f t="array" ref="O486">IFERROR(IF(A487&lt;&gt;A486,_xlfn.STDEV.P(IF(A$9:A486=A486,S$9:S486)),""),"")</f>
        <v/>
      </c>
      <c r="P486" s="8" t="str">
        <f t="shared" si="160"/>
        <v/>
      </c>
      <c r="Q486" s="8" t="str">
        <f t="shared" si="161"/>
        <v/>
      </c>
      <c r="R486" s="8" t="str">
        <f t="shared" si="162"/>
        <v/>
      </c>
      <c r="S486" s="9" t="str">
        <f t="shared" si="163"/>
        <v/>
      </c>
      <c r="T486" s="9" t="str">
        <f t="shared" si="164"/>
        <v/>
      </c>
      <c r="U486" s="14"/>
      <c r="V486" s="15"/>
      <c r="W486" s="14" t="str">
        <f t="shared" si="165"/>
        <v/>
      </c>
      <c r="X486" s="15"/>
      <c r="Y486" s="2"/>
      <c r="AB486" s="22">
        <f t="shared" si="166"/>
        <v>1</v>
      </c>
      <c r="AC486" s="11"/>
      <c r="AD486" s="11"/>
      <c r="AE486" s="13"/>
      <c r="AF486" s="12"/>
      <c r="AG486" s="13"/>
      <c r="AH486" s="14"/>
      <c r="AI486" s="81" t="str">
        <f t="shared" si="167"/>
        <v/>
      </c>
      <c r="AJ486" s="15"/>
      <c r="AK486" s="6" t="e">
        <f t="shared" si="168"/>
        <v>#N/A</v>
      </c>
      <c r="AL486" s="6" t="str">
        <f>IF(AB487&lt;&gt;AB486,AVERAGEIF(AB$9:AB486,AB486,AK$9:AK486),"")</f>
        <v/>
      </c>
      <c r="AM486" s="7" t="str">
        <f>IFERROR(IF(AB487&lt;&gt;AB486,AVERAGEIF(AB$9:AB486,AB486,AT$9:AT486),""),"")</f>
        <v/>
      </c>
      <c r="AN486" s="7" t="str">
        <f>IFERROR(IF(AB487&lt;&gt;AB486,AVERAGEIF(AB$9:AB486,AB486,AU$9:AU486),""),"")</f>
        <v/>
      </c>
      <c r="AO486" s="7" t="str" cm="1">
        <f t="array" ref="AO486">IFERROR(IF(AB487&lt;&gt;AB486,_xlfn.STDEV.P(IF(AB$9:AB486=AB486,AU$9:AU486)),""),"")</f>
        <v/>
      </c>
      <c r="AP486" s="7" t="str" cm="1">
        <f t="array" ref="AP486">IFERROR(IF(AB487&lt;&gt;AB486,_xlfn.STDEV.P(IF(AB$9:AB486=AB486,AT$9:AT486)),""),"")</f>
        <v/>
      </c>
      <c r="AQ486" s="8" t="str">
        <f t="shared" si="169"/>
        <v/>
      </c>
      <c r="AR486" s="8" t="str">
        <f t="shared" si="170"/>
        <v/>
      </c>
      <c r="AS486" s="8" t="str">
        <f t="shared" si="171"/>
        <v/>
      </c>
      <c r="AT486" s="9" t="str">
        <f t="shared" si="172"/>
        <v/>
      </c>
      <c r="AU486" s="9" t="str">
        <f t="shared" si="173"/>
        <v/>
      </c>
      <c r="AV486" s="14"/>
      <c r="AW486" s="15"/>
      <c r="AX486" s="14" t="str">
        <f t="shared" si="174"/>
        <v/>
      </c>
      <c r="AY486" s="15"/>
      <c r="AZ486" s="23"/>
      <c r="EW486" t="s">
        <v>46</v>
      </c>
      <c r="EX486" s="33" t="s">
        <v>47</v>
      </c>
      <c r="EY486" s="35" t="s">
        <v>1284</v>
      </c>
      <c r="EZ486" s="36" t="s">
        <v>1285</v>
      </c>
      <c r="FA486" s="36" t="s">
        <v>1192</v>
      </c>
      <c r="FB486" s="36" t="s">
        <v>344</v>
      </c>
      <c r="FC486" s="36" t="s">
        <v>1192</v>
      </c>
      <c r="FD486" s="36" t="s">
        <v>344</v>
      </c>
      <c r="FE486" s="36">
        <v>2026</v>
      </c>
      <c r="FF486" s="36" t="s">
        <v>59</v>
      </c>
      <c r="FG486" s="36" t="s">
        <v>1210</v>
      </c>
      <c r="FJ486" t="s">
        <v>59</v>
      </c>
      <c r="FM486" s="32" t="s">
        <v>1286</v>
      </c>
      <c r="FN486" t="s">
        <v>1286</v>
      </c>
      <c r="FO486" t="s">
        <v>1286</v>
      </c>
      <c r="FP486" t="str">
        <f t="shared" si="156"/>
        <v>C</v>
      </c>
      <c r="FT486" s="69" t="s">
        <v>7400</v>
      </c>
      <c r="FU486" s="61">
        <v>22.69</v>
      </c>
      <c r="FV486" s="61">
        <v>22.990000000000002</v>
      </c>
      <c r="FW486" s="61">
        <v>23.844999999999999</v>
      </c>
      <c r="FX486" s="61">
        <v>24.344999999999999</v>
      </c>
      <c r="FY486" s="61">
        <v>23.939999999999998</v>
      </c>
      <c r="FZ486" s="61">
        <v>23.33</v>
      </c>
      <c r="GA486" s="61">
        <v>22.36</v>
      </c>
      <c r="GB486" s="61">
        <v>21.384999999999998</v>
      </c>
      <c r="GC486" s="61">
        <v>0</v>
      </c>
      <c r="GD486" s="61">
        <v>0</v>
      </c>
      <c r="GE486" s="61">
        <v>0</v>
      </c>
      <c r="GF486" s="61">
        <v>0</v>
      </c>
      <c r="GG486" s="61">
        <v>0</v>
      </c>
      <c r="GH486" s="61">
        <v>0</v>
      </c>
      <c r="GI486" s="61">
        <v>0</v>
      </c>
      <c r="GJ486" s="61">
        <v>0</v>
      </c>
      <c r="GK486" s="61">
        <v>0</v>
      </c>
      <c r="GL486" s="61">
        <v>0</v>
      </c>
      <c r="GM486" s="61">
        <v>0</v>
      </c>
      <c r="GN486" s="61">
        <v>0</v>
      </c>
      <c r="GO486" s="61">
        <v>0</v>
      </c>
      <c r="GP486" s="61">
        <v>0</v>
      </c>
      <c r="GQ486" s="61">
        <v>11.27</v>
      </c>
      <c r="GR486" s="61">
        <v>22.754999999999999</v>
      </c>
      <c r="GU486" s="53">
        <v>31</v>
      </c>
      <c r="GV486" s="53">
        <v>480</v>
      </c>
    </row>
    <row r="487" spans="1:204" ht="15.5" x14ac:dyDescent="0.35">
      <c r="A487" s="95">
        <f t="shared" si="157"/>
        <v>1</v>
      </c>
      <c r="B487" s="11"/>
      <c r="C487" s="11"/>
      <c r="D487" s="92" t="str">
        <f>IFERROR(
IF(AND(OR(Planilla!B487="C",Planilla!B487="c"), VLOOKUP(E487,EX:FJ,13,0)="C"), "OK",IF(AND(OR(Planilla!B487="C",Planilla!B487="c"), OR(VLOOKUP(E487,EX:FJ,13,0)="B", VLOOKUP(E487,EX:FJ,13,0)="A")), "DEFICIT",IF(
AND(OR(Planilla!B487="B", Planilla!B487="BPAL"), VLOOKUP(E487,EX:FJ,13,0)="B"), "OK",IF(AND(OR(Planilla!B487="B", Planilla!B487="BPAL"), VLOOKUP(E487,EX:FJ,13,0)="A"), "DEFICIT",IF(AND(OR(Planilla!B487="B", Planilla!B487="BPAL"), VLOOKUP(E487,EX:FJ,13,0)="C"), "SOBREOFERTA",IF(AND(Planilla!B487="A", VLOOKUP(E487,EX:FJ,13,0)="A"), "OK",IF(
AND(Planilla!B487="A", OR(VLOOKUP(E487,EX:FJ,13,0)="B", VLOOKUP(E487,EX:FJ,13,0)="C")), "SOBREOFERTA",""
))))))),"")</f>
        <v/>
      </c>
      <c r="E487" s="12"/>
      <c r="F487" s="13"/>
      <c r="G487" s="14"/>
      <c r="H487" s="81" t="str">
        <f t="shared" si="158"/>
        <v/>
      </c>
      <c r="I487" s="7"/>
      <c r="J487" s="6" t="e">
        <f t="shared" si="159"/>
        <v>#N/A</v>
      </c>
      <c r="K487" s="6" t="str">
        <f>IF(A488&lt;&gt;A487,AVERAGEIF(A$9:A487,A487,J$9:J487),"")</f>
        <v/>
      </c>
      <c r="L487" s="7" t="str">
        <f>IFERROR(IF(A488&lt;&gt;A487,AVERAGEIF(A$9:A487,A487,S$9:S487),""),"")</f>
        <v/>
      </c>
      <c r="M487" s="7" t="str">
        <f>IFERROR(IF(A488&lt;&gt;A487,AVERAGEIF(A$9:A487,A487,T$9:T487),""),"")</f>
        <v/>
      </c>
      <c r="N487" s="7" t="str" cm="1">
        <f t="array" ref="N487">IFERROR(IF(A488&lt;&gt;A487,_xlfn.STDEV.P(IF(A$9:A487=A487,T$9:T487)),""),"")</f>
        <v/>
      </c>
      <c r="O487" s="7" t="str" cm="1">
        <f t="array" ref="O487">IFERROR(IF(A488&lt;&gt;A487,_xlfn.STDEV.P(IF(A$9:A487=A487,S$9:S487)),""),"")</f>
        <v/>
      </c>
      <c r="P487" s="8" t="str">
        <f t="shared" si="160"/>
        <v/>
      </c>
      <c r="Q487" s="8" t="str">
        <f t="shared" si="161"/>
        <v/>
      </c>
      <c r="R487" s="8" t="str">
        <f t="shared" si="162"/>
        <v/>
      </c>
      <c r="S487" s="9" t="str">
        <f t="shared" si="163"/>
        <v/>
      </c>
      <c r="T487" s="9" t="str">
        <f t="shared" si="164"/>
        <v/>
      </c>
      <c r="U487" s="14"/>
      <c r="V487" s="15"/>
      <c r="W487" s="14" t="str">
        <f t="shared" si="165"/>
        <v/>
      </c>
      <c r="X487" s="15"/>
      <c r="Y487" s="2"/>
      <c r="AB487" s="22">
        <f t="shared" si="166"/>
        <v>1</v>
      </c>
      <c r="AC487" s="11"/>
      <c r="AD487" s="11"/>
      <c r="AE487" s="13"/>
      <c r="AF487" s="12"/>
      <c r="AG487" s="13"/>
      <c r="AH487" s="14"/>
      <c r="AI487" s="81" t="str">
        <f t="shared" si="167"/>
        <v/>
      </c>
      <c r="AJ487" s="15"/>
      <c r="AK487" s="6" t="e">
        <f t="shared" si="168"/>
        <v>#N/A</v>
      </c>
      <c r="AL487" s="6" t="str">
        <f>IF(AB488&lt;&gt;AB487,AVERAGEIF(AB$9:AB487,AB487,AK$9:AK487),"")</f>
        <v/>
      </c>
      <c r="AM487" s="7" t="str">
        <f>IFERROR(IF(AB488&lt;&gt;AB487,AVERAGEIF(AB$9:AB487,AB487,AT$9:AT487),""),"")</f>
        <v/>
      </c>
      <c r="AN487" s="7" t="str">
        <f>IFERROR(IF(AB488&lt;&gt;AB487,AVERAGEIF(AB$9:AB487,AB487,AU$9:AU487),""),"")</f>
        <v/>
      </c>
      <c r="AO487" s="7" t="str" cm="1">
        <f t="array" ref="AO487">IFERROR(IF(AB488&lt;&gt;AB487,_xlfn.STDEV.P(IF(AB$9:AB487=AB487,AU$9:AU487)),""),"")</f>
        <v/>
      </c>
      <c r="AP487" s="7" t="str" cm="1">
        <f t="array" ref="AP487">IFERROR(IF(AB488&lt;&gt;AB487,_xlfn.STDEV.P(IF(AB$9:AB487=AB487,AT$9:AT487)),""),"")</f>
        <v/>
      </c>
      <c r="AQ487" s="8" t="str">
        <f t="shared" si="169"/>
        <v/>
      </c>
      <c r="AR487" s="8" t="str">
        <f t="shared" si="170"/>
        <v/>
      </c>
      <c r="AS487" s="8" t="str">
        <f t="shared" si="171"/>
        <v/>
      </c>
      <c r="AT487" s="9" t="str">
        <f t="shared" si="172"/>
        <v/>
      </c>
      <c r="AU487" s="9" t="str">
        <f t="shared" si="173"/>
        <v/>
      </c>
      <c r="AV487" s="14"/>
      <c r="AW487" s="15"/>
      <c r="AX487" s="14" t="str">
        <f t="shared" si="174"/>
        <v/>
      </c>
      <c r="AY487" s="15"/>
      <c r="AZ487" s="23"/>
      <c r="EW487" t="s">
        <v>46</v>
      </c>
      <c r="EX487" s="33" t="s">
        <v>47</v>
      </c>
      <c r="EY487" s="35" t="s">
        <v>1287</v>
      </c>
      <c r="EZ487" s="36" t="s">
        <v>1288</v>
      </c>
      <c r="FA487" s="36" t="s">
        <v>1192</v>
      </c>
      <c r="FB487" s="36" t="s">
        <v>344</v>
      </c>
      <c r="FC487" s="36" t="s">
        <v>1192</v>
      </c>
      <c r="FD487" s="36" t="s">
        <v>344</v>
      </c>
      <c r="FE487" s="36">
        <v>2026</v>
      </c>
      <c r="FF487" s="36" t="s">
        <v>59</v>
      </c>
      <c r="FG487" s="36" t="s">
        <v>1210</v>
      </c>
      <c r="FJ487" t="s">
        <v>59</v>
      </c>
      <c r="FM487" s="32" t="s">
        <v>1289</v>
      </c>
      <c r="FN487" t="s">
        <v>1289</v>
      </c>
      <c r="FO487" t="s">
        <v>1273</v>
      </c>
      <c r="FP487" t="str">
        <f t="shared" si="156"/>
        <v>C</v>
      </c>
      <c r="FT487" s="69" t="s">
        <v>7413</v>
      </c>
      <c r="FU487" s="61">
        <v>0</v>
      </c>
      <c r="FV487" s="61">
        <v>0</v>
      </c>
      <c r="FW487" s="61">
        <v>0</v>
      </c>
      <c r="FX487" s="61">
        <v>0</v>
      </c>
      <c r="FY487" s="61">
        <v>0</v>
      </c>
      <c r="FZ487" s="61">
        <v>0</v>
      </c>
      <c r="GA487" s="61">
        <v>12.32</v>
      </c>
      <c r="GB487" s="61">
        <v>23.734999999999999</v>
      </c>
      <c r="GC487" s="61">
        <v>22.285</v>
      </c>
      <c r="GD487" s="61">
        <v>20.759999999999998</v>
      </c>
      <c r="GE487" s="61">
        <v>19.344999999999999</v>
      </c>
      <c r="GF487" s="61">
        <v>18.350000000000001</v>
      </c>
      <c r="GG487" s="61">
        <v>17.579999999999998</v>
      </c>
      <c r="GH487" s="61">
        <v>17.309999999999999</v>
      </c>
      <c r="GI487" s="61">
        <v>17.994999999999997</v>
      </c>
      <c r="GJ487" s="61">
        <v>18.5</v>
      </c>
      <c r="GK487" s="61">
        <v>18.72</v>
      </c>
      <c r="GL487" s="61">
        <v>18.899999999999999</v>
      </c>
      <c r="GM487" s="61">
        <v>18.880000000000003</v>
      </c>
      <c r="GN487" s="61">
        <v>19.64</v>
      </c>
      <c r="GO487" s="61">
        <v>20.37</v>
      </c>
      <c r="GP487" s="61">
        <v>22.05</v>
      </c>
      <c r="GQ487" s="61">
        <v>23.954999999999998</v>
      </c>
      <c r="GR487" s="61">
        <v>12.455</v>
      </c>
      <c r="GU487" s="53">
        <v>32</v>
      </c>
      <c r="GV487" s="53">
        <v>481</v>
      </c>
    </row>
    <row r="488" spans="1:204" ht="15.5" x14ac:dyDescent="0.35">
      <c r="A488" s="95">
        <f t="shared" si="157"/>
        <v>1</v>
      </c>
      <c r="B488" s="11"/>
      <c r="C488" s="11"/>
      <c r="D488" s="92" t="str">
        <f>IFERROR(
IF(AND(OR(Planilla!B488="C",Planilla!B488="c"), VLOOKUP(E488,EX:FJ,13,0)="C"), "OK",IF(AND(OR(Planilla!B488="C",Planilla!B488="c"), OR(VLOOKUP(E488,EX:FJ,13,0)="B", VLOOKUP(E488,EX:FJ,13,0)="A")), "DEFICIT",IF(
AND(OR(Planilla!B488="B", Planilla!B488="BPAL"), VLOOKUP(E488,EX:FJ,13,0)="B"), "OK",IF(AND(OR(Planilla!B488="B", Planilla!B488="BPAL"), VLOOKUP(E488,EX:FJ,13,0)="A"), "DEFICIT",IF(AND(OR(Planilla!B488="B", Planilla!B488="BPAL"), VLOOKUP(E488,EX:FJ,13,0)="C"), "SOBREOFERTA",IF(AND(Planilla!B488="A", VLOOKUP(E488,EX:FJ,13,0)="A"), "OK",IF(
AND(Planilla!B488="A", OR(VLOOKUP(E488,EX:FJ,13,0)="B", VLOOKUP(E488,EX:FJ,13,0)="C")), "SOBREOFERTA",""
))))))),"")</f>
        <v/>
      </c>
      <c r="E488" s="12"/>
      <c r="F488" s="13"/>
      <c r="G488" s="14"/>
      <c r="H488" s="81" t="str">
        <f t="shared" si="158"/>
        <v/>
      </c>
      <c r="I488" s="7"/>
      <c r="J488" s="6" t="e">
        <f t="shared" si="159"/>
        <v>#N/A</v>
      </c>
      <c r="K488" s="6" t="str">
        <f>IF(A489&lt;&gt;A488,AVERAGEIF(A$9:A488,A488,J$9:J488),"")</f>
        <v/>
      </c>
      <c r="L488" s="7" t="str">
        <f>IFERROR(IF(A489&lt;&gt;A488,AVERAGEIF(A$9:A488,A488,S$9:S488),""),"")</f>
        <v/>
      </c>
      <c r="M488" s="7" t="str">
        <f>IFERROR(IF(A489&lt;&gt;A488,AVERAGEIF(A$9:A488,A488,T$9:T488),""),"")</f>
        <v/>
      </c>
      <c r="N488" s="7" t="str" cm="1">
        <f t="array" ref="N488">IFERROR(IF(A489&lt;&gt;A488,_xlfn.STDEV.P(IF(A$9:A488=A488,T$9:T488)),""),"")</f>
        <v/>
      </c>
      <c r="O488" s="7" t="str" cm="1">
        <f t="array" ref="O488">IFERROR(IF(A489&lt;&gt;A488,_xlfn.STDEV.P(IF(A$9:A488=A488,S$9:S488)),""),"")</f>
        <v/>
      </c>
      <c r="P488" s="8" t="str">
        <f t="shared" si="160"/>
        <v/>
      </c>
      <c r="Q488" s="8" t="str">
        <f t="shared" si="161"/>
        <v/>
      </c>
      <c r="R488" s="8" t="str">
        <f t="shared" si="162"/>
        <v/>
      </c>
      <c r="S488" s="9" t="str">
        <f t="shared" si="163"/>
        <v/>
      </c>
      <c r="T488" s="9" t="str">
        <f t="shared" si="164"/>
        <v/>
      </c>
      <c r="U488" s="14"/>
      <c r="V488" s="15"/>
      <c r="W488" s="14" t="str">
        <f t="shared" si="165"/>
        <v/>
      </c>
      <c r="X488" s="15"/>
      <c r="Y488" s="2"/>
      <c r="AB488" s="22">
        <f t="shared" si="166"/>
        <v>1</v>
      </c>
      <c r="AC488" s="11"/>
      <c r="AD488" s="11"/>
      <c r="AE488" s="13"/>
      <c r="AF488" s="12"/>
      <c r="AG488" s="13"/>
      <c r="AH488" s="14"/>
      <c r="AI488" s="81" t="str">
        <f t="shared" si="167"/>
        <v/>
      </c>
      <c r="AJ488" s="15"/>
      <c r="AK488" s="6" t="e">
        <f t="shared" si="168"/>
        <v>#N/A</v>
      </c>
      <c r="AL488" s="6" t="str">
        <f>IF(AB489&lt;&gt;AB488,AVERAGEIF(AB$9:AB488,AB488,AK$9:AK488),"")</f>
        <v/>
      </c>
      <c r="AM488" s="7" t="str">
        <f>IFERROR(IF(AB489&lt;&gt;AB488,AVERAGEIF(AB$9:AB488,AB488,AT$9:AT488),""),"")</f>
        <v/>
      </c>
      <c r="AN488" s="7" t="str">
        <f>IFERROR(IF(AB489&lt;&gt;AB488,AVERAGEIF(AB$9:AB488,AB488,AU$9:AU488),""),"")</f>
        <v/>
      </c>
      <c r="AO488" s="7" t="str" cm="1">
        <f t="array" ref="AO488">IFERROR(IF(AB489&lt;&gt;AB488,_xlfn.STDEV.P(IF(AB$9:AB488=AB488,AU$9:AU488)),""),"")</f>
        <v/>
      </c>
      <c r="AP488" s="7" t="str" cm="1">
        <f t="array" ref="AP488">IFERROR(IF(AB489&lt;&gt;AB488,_xlfn.STDEV.P(IF(AB$9:AB488=AB488,AT$9:AT488)),""),"")</f>
        <v/>
      </c>
      <c r="AQ488" s="8" t="str">
        <f t="shared" si="169"/>
        <v/>
      </c>
      <c r="AR488" s="8" t="str">
        <f t="shared" si="170"/>
        <v/>
      </c>
      <c r="AS488" s="8" t="str">
        <f t="shared" si="171"/>
        <v/>
      </c>
      <c r="AT488" s="9" t="str">
        <f t="shared" si="172"/>
        <v/>
      </c>
      <c r="AU488" s="9" t="str">
        <f t="shared" si="173"/>
        <v/>
      </c>
      <c r="AV488" s="14"/>
      <c r="AW488" s="15"/>
      <c r="AX488" s="14" t="str">
        <f t="shared" si="174"/>
        <v/>
      </c>
      <c r="AY488" s="15"/>
      <c r="AZ488" s="23"/>
      <c r="EW488" t="s">
        <v>46</v>
      </c>
      <c r="EX488" s="33" t="s">
        <v>47</v>
      </c>
      <c r="EY488" s="35" t="s">
        <v>1290</v>
      </c>
      <c r="EZ488" s="36" t="s">
        <v>1291</v>
      </c>
      <c r="FA488" s="36" t="s">
        <v>1192</v>
      </c>
      <c r="FB488" s="36" t="s">
        <v>344</v>
      </c>
      <c r="FC488" s="36" t="s">
        <v>1192</v>
      </c>
      <c r="FD488" s="36" t="s">
        <v>344</v>
      </c>
      <c r="FE488" s="36">
        <v>2026</v>
      </c>
      <c r="FF488" s="36" t="s">
        <v>59</v>
      </c>
      <c r="FG488" s="36" t="s">
        <v>1210</v>
      </c>
      <c r="FJ488" t="s">
        <v>59</v>
      </c>
      <c r="FM488" s="32" t="s">
        <v>1292</v>
      </c>
      <c r="FN488" t="s">
        <v>1292</v>
      </c>
      <c r="FO488" t="s">
        <v>1293</v>
      </c>
      <c r="FP488" t="str">
        <f t="shared" si="156"/>
        <v>C</v>
      </c>
      <c r="FT488" s="69" t="s">
        <v>7414</v>
      </c>
      <c r="FU488" s="61">
        <v>0</v>
      </c>
      <c r="FV488" s="61">
        <v>0</v>
      </c>
      <c r="FW488" s="61">
        <v>0</v>
      </c>
      <c r="FX488" s="61">
        <v>0</v>
      </c>
      <c r="FY488" s="61">
        <v>0</v>
      </c>
      <c r="FZ488" s="61">
        <v>12.69</v>
      </c>
      <c r="GA488" s="61">
        <v>23.835000000000001</v>
      </c>
      <c r="GB488" s="61">
        <v>22.96</v>
      </c>
      <c r="GC488" s="61">
        <v>22.810000000000002</v>
      </c>
      <c r="GD488" s="61">
        <v>22.064999999999998</v>
      </c>
      <c r="GE488" s="61">
        <v>21.245000000000001</v>
      </c>
      <c r="GF488" s="61">
        <v>20.195</v>
      </c>
      <c r="GG488" s="61">
        <v>19.555</v>
      </c>
      <c r="GH488" s="61">
        <v>19.354999999999997</v>
      </c>
      <c r="GI488" s="61">
        <v>19.57</v>
      </c>
      <c r="GJ488" s="61">
        <v>20.225000000000001</v>
      </c>
      <c r="GK488" s="61">
        <v>20.024999999999999</v>
      </c>
      <c r="GL488" s="61">
        <v>19.579999999999998</v>
      </c>
      <c r="GM488" s="61">
        <v>19.100000000000001</v>
      </c>
      <c r="GN488" s="61">
        <v>20.055</v>
      </c>
      <c r="GO488" s="61">
        <v>21.41</v>
      </c>
      <c r="GP488" s="61">
        <v>22.524999999999999</v>
      </c>
      <c r="GQ488" s="61">
        <v>22.939999999999998</v>
      </c>
      <c r="GR488" s="61">
        <v>11.795</v>
      </c>
      <c r="GU488" s="53">
        <v>33</v>
      </c>
      <c r="GV488" s="53">
        <v>482</v>
      </c>
    </row>
    <row r="489" spans="1:204" ht="15.5" x14ac:dyDescent="0.35">
      <c r="A489" s="95">
        <f t="shared" si="157"/>
        <v>1</v>
      </c>
      <c r="B489" s="11"/>
      <c r="C489" s="11"/>
      <c r="D489" s="92" t="str">
        <f>IFERROR(
IF(AND(OR(Planilla!B489="C",Planilla!B489="c"), VLOOKUP(E489,EX:FJ,13,0)="C"), "OK",IF(AND(OR(Planilla!B489="C",Planilla!B489="c"), OR(VLOOKUP(E489,EX:FJ,13,0)="B", VLOOKUP(E489,EX:FJ,13,0)="A")), "DEFICIT",IF(
AND(OR(Planilla!B489="B", Planilla!B489="BPAL"), VLOOKUP(E489,EX:FJ,13,0)="B"), "OK",IF(AND(OR(Planilla!B489="B", Planilla!B489="BPAL"), VLOOKUP(E489,EX:FJ,13,0)="A"), "DEFICIT",IF(AND(OR(Planilla!B489="B", Planilla!B489="BPAL"), VLOOKUP(E489,EX:FJ,13,0)="C"), "SOBREOFERTA",IF(AND(Planilla!B489="A", VLOOKUP(E489,EX:FJ,13,0)="A"), "OK",IF(
AND(Planilla!B489="A", OR(VLOOKUP(E489,EX:FJ,13,0)="B", VLOOKUP(E489,EX:FJ,13,0)="C")), "SOBREOFERTA",""
))))))),"")</f>
        <v/>
      </c>
      <c r="E489" s="12"/>
      <c r="F489" s="13"/>
      <c r="G489" s="14"/>
      <c r="H489" s="81" t="str">
        <f t="shared" si="158"/>
        <v/>
      </c>
      <c r="I489" s="7"/>
      <c r="J489" s="6" t="e">
        <f t="shared" si="159"/>
        <v>#N/A</v>
      </c>
      <c r="K489" s="6" t="str">
        <f>IF(A490&lt;&gt;A489,AVERAGEIF(A$9:A489,A489,J$9:J489),"")</f>
        <v/>
      </c>
      <c r="L489" s="7" t="str">
        <f>IFERROR(IF(A490&lt;&gt;A489,AVERAGEIF(A$9:A489,A489,S$9:S489),""),"")</f>
        <v/>
      </c>
      <c r="M489" s="7" t="str">
        <f>IFERROR(IF(A490&lt;&gt;A489,AVERAGEIF(A$9:A489,A489,T$9:T489),""),"")</f>
        <v/>
      </c>
      <c r="N489" s="7" t="str" cm="1">
        <f t="array" ref="N489">IFERROR(IF(A490&lt;&gt;A489,_xlfn.STDEV.P(IF(A$9:A489=A489,T$9:T489)),""),"")</f>
        <v/>
      </c>
      <c r="O489" s="7" t="str" cm="1">
        <f t="array" ref="O489">IFERROR(IF(A490&lt;&gt;A489,_xlfn.STDEV.P(IF(A$9:A489=A489,S$9:S489)),""),"")</f>
        <v/>
      </c>
      <c r="P489" s="8" t="str">
        <f t="shared" si="160"/>
        <v/>
      </c>
      <c r="Q489" s="8" t="str">
        <f t="shared" si="161"/>
        <v/>
      </c>
      <c r="R489" s="8" t="str">
        <f t="shared" si="162"/>
        <v/>
      </c>
      <c r="S489" s="9" t="str">
        <f t="shared" si="163"/>
        <v/>
      </c>
      <c r="T489" s="9" t="str">
        <f t="shared" si="164"/>
        <v/>
      </c>
      <c r="U489" s="14"/>
      <c r="V489" s="15"/>
      <c r="W489" s="14" t="str">
        <f t="shared" si="165"/>
        <v/>
      </c>
      <c r="X489" s="15"/>
      <c r="Y489" s="2"/>
      <c r="AB489" s="22">
        <f t="shared" si="166"/>
        <v>1</v>
      </c>
      <c r="AC489" s="11"/>
      <c r="AD489" s="11"/>
      <c r="AE489" s="13"/>
      <c r="AF489" s="12"/>
      <c r="AG489" s="13"/>
      <c r="AH489" s="14"/>
      <c r="AI489" s="81" t="str">
        <f t="shared" si="167"/>
        <v/>
      </c>
      <c r="AJ489" s="15"/>
      <c r="AK489" s="6" t="e">
        <f t="shared" si="168"/>
        <v>#N/A</v>
      </c>
      <c r="AL489" s="6" t="str">
        <f>IF(AB490&lt;&gt;AB489,AVERAGEIF(AB$9:AB489,AB489,AK$9:AK489),"")</f>
        <v/>
      </c>
      <c r="AM489" s="7" t="str">
        <f>IFERROR(IF(AB490&lt;&gt;AB489,AVERAGEIF(AB$9:AB489,AB489,AT$9:AT489),""),"")</f>
        <v/>
      </c>
      <c r="AN489" s="7" t="str">
        <f>IFERROR(IF(AB490&lt;&gt;AB489,AVERAGEIF(AB$9:AB489,AB489,AU$9:AU489),""),"")</f>
        <v/>
      </c>
      <c r="AO489" s="7" t="str" cm="1">
        <f t="array" ref="AO489">IFERROR(IF(AB490&lt;&gt;AB489,_xlfn.STDEV.P(IF(AB$9:AB489=AB489,AU$9:AU489)),""),"")</f>
        <v/>
      </c>
      <c r="AP489" s="7" t="str" cm="1">
        <f t="array" ref="AP489">IFERROR(IF(AB490&lt;&gt;AB489,_xlfn.STDEV.P(IF(AB$9:AB489=AB489,AT$9:AT489)),""),"")</f>
        <v/>
      </c>
      <c r="AQ489" s="8" t="str">
        <f t="shared" si="169"/>
        <v/>
      </c>
      <c r="AR489" s="8" t="str">
        <f t="shared" si="170"/>
        <v/>
      </c>
      <c r="AS489" s="8" t="str">
        <f t="shared" si="171"/>
        <v/>
      </c>
      <c r="AT489" s="9" t="str">
        <f t="shared" si="172"/>
        <v/>
      </c>
      <c r="AU489" s="9" t="str">
        <f t="shared" si="173"/>
        <v/>
      </c>
      <c r="AV489" s="14"/>
      <c r="AW489" s="15"/>
      <c r="AX489" s="14" t="str">
        <f t="shared" si="174"/>
        <v/>
      </c>
      <c r="AY489" s="15"/>
      <c r="AZ489" s="23"/>
      <c r="EW489" t="s">
        <v>46</v>
      </c>
      <c r="EX489" s="33" t="s">
        <v>47</v>
      </c>
      <c r="EY489" s="35" t="s">
        <v>1294</v>
      </c>
      <c r="EZ489" s="36" t="s">
        <v>1295</v>
      </c>
      <c r="FA489" s="36" t="s">
        <v>1192</v>
      </c>
      <c r="FB489" s="36" t="s">
        <v>344</v>
      </c>
      <c r="FC489" s="36" t="s">
        <v>1192</v>
      </c>
      <c r="FD489" s="36" t="s">
        <v>344</v>
      </c>
      <c r="FE489" s="36">
        <v>2026</v>
      </c>
      <c r="FF489" s="36" t="s">
        <v>59</v>
      </c>
      <c r="FG489" s="36" t="s">
        <v>1210</v>
      </c>
      <c r="FJ489" t="s">
        <v>59</v>
      </c>
      <c r="FM489" s="32" t="s">
        <v>1229</v>
      </c>
      <c r="FN489" t="s">
        <v>1229</v>
      </c>
      <c r="FO489" t="s">
        <v>1230</v>
      </c>
      <c r="FP489" t="str">
        <f t="shared" si="156"/>
        <v>C</v>
      </c>
      <c r="FT489" s="69">
        <v>410</v>
      </c>
      <c r="FU489" s="61">
        <v>0</v>
      </c>
      <c r="FV489" s="61">
        <v>0</v>
      </c>
      <c r="FW489" s="61">
        <v>0</v>
      </c>
      <c r="FX489" s="61">
        <v>0</v>
      </c>
      <c r="FY489" s="61">
        <v>0</v>
      </c>
      <c r="FZ489" s="61">
        <v>30.984999999999999</v>
      </c>
      <c r="GA489" s="61">
        <v>29.240000000000002</v>
      </c>
      <c r="GB489" s="61">
        <v>28.674999999999997</v>
      </c>
      <c r="GC489" s="61">
        <v>27.93</v>
      </c>
      <c r="GD489" s="61">
        <v>27.164999999999999</v>
      </c>
      <c r="GE489" s="61">
        <v>26.39</v>
      </c>
      <c r="GF489" s="61">
        <v>25.814999999999998</v>
      </c>
      <c r="GG489" s="61">
        <v>25.72</v>
      </c>
      <c r="GH489" s="61">
        <v>25.810000000000002</v>
      </c>
      <c r="GI489" s="61">
        <v>25.56</v>
      </c>
      <c r="GJ489" s="61">
        <v>25.92</v>
      </c>
      <c r="GK489" s="61">
        <v>26.21</v>
      </c>
      <c r="GL489" s="61">
        <v>27.055</v>
      </c>
      <c r="GM489" s="61">
        <v>26.965</v>
      </c>
      <c r="GN489" s="61">
        <v>27.475000000000001</v>
      </c>
      <c r="GO489" s="61">
        <v>29.1</v>
      </c>
      <c r="GP489" s="61">
        <v>30.450000000000003</v>
      </c>
      <c r="GQ489" s="61">
        <v>31.745000000000001</v>
      </c>
      <c r="GR489" s="61">
        <v>33.049999999999997</v>
      </c>
      <c r="GU489" s="53">
        <v>34</v>
      </c>
      <c r="GV489" s="53">
        <v>483</v>
      </c>
    </row>
    <row r="490" spans="1:204" ht="15.5" x14ac:dyDescent="0.35">
      <c r="A490" s="95">
        <f t="shared" si="157"/>
        <v>1</v>
      </c>
      <c r="B490" s="11"/>
      <c r="C490" s="11"/>
      <c r="D490" s="92" t="str">
        <f>IFERROR(
IF(AND(OR(Planilla!B490="C",Planilla!B490="c"), VLOOKUP(E490,EX:FJ,13,0)="C"), "OK",IF(AND(OR(Planilla!B490="C",Planilla!B490="c"), OR(VLOOKUP(E490,EX:FJ,13,0)="B", VLOOKUP(E490,EX:FJ,13,0)="A")), "DEFICIT",IF(
AND(OR(Planilla!B490="B", Planilla!B490="BPAL"), VLOOKUP(E490,EX:FJ,13,0)="B"), "OK",IF(AND(OR(Planilla!B490="B", Planilla!B490="BPAL"), VLOOKUP(E490,EX:FJ,13,0)="A"), "DEFICIT",IF(AND(OR(Planilla!B490="B", Planilla!B490="BPAL"), VLOOKUP(E490,EX:FJ,13,0)="C"), "SOBREOFERTA",IF(AND(Planilla!B490="A", VLOOKUP(E490,EX:FJ,13,0)="A"), "OK",IF(
AND(Planilla!B490="A", OR(VLOOKUP(E490,EX:FJ,13,0)="B", VLOOKUP(E490,EX:FJ,13,0)="C")), "SOBREOFERTA",""
))))))),"")</f>
        <v/>
      </c>
      <c r="E490" s="12"/>
      <c r="F490" s="13"/>
      <c r="G490" s="14"/>
      <c r="H490" s="81" t="str">
        <f t="shared" si="158"/>
        <v/>
      </c>
      <c r="I490" s="7"/>
      <c r="J490" s="6" t="e">
        <f t="shared" si="159"/>
        <v>#N/A</v>
      </c>
      <c r="K490" s="6" t="str">
        <f>IF(A491&lt;&gt;A490,AVERAGEIF(A$9:A490,A490,J$9:J490),"")</f>
        <v/>
      </c>
      <c r="L490" s="7" t="str">
        <f>IFERROR(IF(A491&lt;&gt;A490,AVERAGEIF(A$9:A490,A490,S$9:S490),""),"")</f>
        <v/>
      </c>
      <c r="M490" s="7" t="str">
        <f>IFERROR(IF(A491&lt;&gt;A490,AVERAGEIF(A$9:A490,A490,T$9:T490),""),"")</f>
        <v/>
      </c>
      <c r="N490" s="7" t="str" cm="1">
        <f t="array" ref="N490">IFERROR(IF(A491&lt;&gt;A490,_xlfn.STDEV.P(IF(A$9:A490=A490,T$9:T490)),""),"")</f>
        <v/>
      </c>
      <c r="O490" s="7" t="str" cm="1">
        <f t="array" ref="O490">IFERROR(IF(A491&lt;&gt;A490,_xlfn.STDEV.P(IF(A$9:A490=A490,S$9:S490)),""),"")</f>
        <v/>
      </c>
      <c r="P490" s="8" t="str">
        <f t="shared" si="160"/>
        <v/>
      </c>
      <c r="Q490" s="8" t="str">
        <f t="shared" si="161"/>
        <v/>
      </c>
      <c r="R490" s="8" t="str">
        <f t="shared" si="162"/>
        <v/>
      </c>
      <c r="S490" s="9" t="str">
        <f t="shared" si="163"/>
        <v/>
      </c>
      <c r="T490" s="9" t="str">
        <f t="shared" si="164"/>
        <v/>
      </c>
      <c r="U490" s="14"/>
      <c r="V490" s="15"/>
      <c r="W490" s="14" t="str">
        <f t="shared" si="165"/>
        <v/>
      </c>
      <c r="X490" s="15"/>
      <c r="Y490" s="2"/>
      <c r="AB490" s="22">
        <f t="shared" si="166"/>
        <v>1</v>
      </c>
      <c r="AC490" s="11"/>
      <c r="AD490" s="11"/>
      <c r="AE490" s="13"/>
      <c r="AF490" s="12"/>
      <c r="AG490" s="13"/>
      <c r="AH490" s="14"/>
      <c r="AI490" s="81" t="str">
        <f t="shared" si="167"/>
        <v/>
      </c>
      <c r="AJ490" s="15"/>
      <c r="AK490" s="6" t="e">
        <f t="shared" si="168"/>
        <v>#N/A</v>
      </c>
      <c r="AL490" s="6" t="str">
        <f>IF(AB491&lt;&gt;AB490,AVERAGEIF(AB$9:AB490,AB490,AK$9:AK490),"")</f>
        <v/>
      </c>
      <c r="AM490" s="7" t="str">
        <f>IFERROR(IF(AB491&lt;&gt;AB490,AVERAGEIF(AB$9:AB490,AB490,AT$9:AT490),""),"")</f>
        <v/>
      </c>
      <c r="AN490" s="7" t="str">
        <f>IFERROR(IF(AB491&lt;&gt;AB490,AVERAGEIF(AB$9:AB490,AB490,AU$9:AU490),""),"")</f>
        <v/>
      </c>
      <c r="AO490" s="7" t="str" cm="1">
        <f t="array" ref="AO490">IFERROR(IF(AB491&lt;&gt;AB490,_xlfn.STDEV.P(IF(AB$9:AB490=AB490,AU$9:AU490)),""),"")</f>
        <v/>
      </c>
      <c r="AP490" s="7" t="str" cm="1">
        <f t="array" ref="AP490">IFERROR(IF(AB491&lt;&gt;AB490,_xlfn.STDEV.P(IF(AB$9:AB490=AB490,AT$9:AT490)),""),"")</f>
        <v/>
      </c>
      <c r="AQ490" s="8" t="str">
        <f t="shared" si="169"/>
        <v/>
      </c>
      <c r="AR490" s="8" t="str">
        <f t="shared" si="170"/>
        <v/>
      </c>
      <c r="AS490" s="8" t="str">
        <f t="shared" si="171"/>
        <v/>
      </c>
      <c r="AT490" s="9" t="str">
        <f t="shared" si="172"/>
        <v/>
      </c>
      <c r="AU490" s="9" t="str">
        <f t="shared" si="173"/>
        <v/>
      </c>
      <c r="AV490" s="14"/>
      <c r="AW490" s="15"/>
      <c r="AX490" s="14" t="str">
        <f t="shared" si="174"/>
        <v/>
      </c>
      <c r="AY490" s="15"/>
      <c r="AZ490" s="23"/>
      <c r="EW490" t="s">
        <v>46</v>
      </c>
      <c r="EX490" s="33" t="s">
        <v>47</v>
      </c>
      <c r="EY490" s="35" t="s">
        <v>1296</v>
      </c>
      <c r="EZ490" s="36" t="s">
        <v>1297</v>
      </c>
      <c r="FA490" s="36" t="s">
        <v>1192</v>
      </c>
      <c r="FB490" s="36" t="s">
        <v>344</v>
      </c>
      <c r="FC490" s="36" t="s">
        <v>1192</v>
      </c>
      <c r="FD490" s="36" t="s">
        <v>344</v>
      </c>
      <c r="FE490" s="36">
        <v>2026</v>
      </c>
      <c r="FF490" s="36" t="s">
        <v>59</v>
      </c>
      <c r="FG490" s="36" t="s">
        <v>1210</v>
      </c>
      <c r="FJ490" t="s">
        <v>59</v>
      </c>
      <c r="FM490" s="32" t="s">
        <v>1298</v>
      </c>
      <c r="FN490" t="s">
        <v>1298</v>
      </c>
      <c r="FO490" t="s">
        <v>1299</v>
      </c>
      <c r="FP490" t="str">
        <f t="shared" si="156"/>
        <v>C</v>
      </c>
      <c r="FT490" s="69">
        <v>410</v>
      </c>
      <c r="FU490" s="61">
        <v>28.34</v>
      </c>
      <c r="FV490" s="61">
        <v>0</v>
      </c>
      <c r="FW490" s="61">
        <v>0</v>
      </c>
      <c r="FX490" s="61">
        <v>0</v>
      </c>
      <c r="FY490" s="61">
        <v>0</v>
      </c>
      <c r="FZ490" s="61">
        <v>0</v>
      </c>
      <c r="GA490" s="61">
        <v>26.774999999999999</v>
      </c>
      <c r="GB490" s="61">
        <v>25.265000000000001</v>
      </c>
      <c r="GC490" s="61">
        <v>24.22</v>
      </c>
      <c r="GD490" s="61">
        <v>23.574999999999999</v>
      </c>
      <c r="GE490" s="61">
        <v>22.825000000000003</v>
      </c>
      <c r="GF490" s="61">
        <v>21.689999999999998</v>
      </c>
      <c r="GG490" s="61">
        <v>20.65</v>
      </c>
      <c r="GH490" s="61">
        <v>20.85</v>
      </c>
      <c r="GI490" s="61">
        <v>22.4</v>
      </c>
      <c r="GJ490" s="61">
        <v>22.63</v>
      </c>
      <c r="GK490" s="61">
        <v>22.305</v>
      </c>
      <c r="GL490" s="61">
        <v>21.995000000000001</v>
      </c>
      <c r="GM490" s="61">
        <v>22.105</v>
      </c>
      <c r="GN490" s="61">
        <v>21.895</v>
      </c>
      <c r="GO490" s="61">
        <v>21.905000000000001</v>
      </c>
      <c r="GP490" s="61">
        <v>23.785</v>
      </c>
      <c r="GQ490" s="61">
        <v>25.990000000000002</v>
      </c>
      <c r="GR490" s="61">
        <v>29.259999999999998</v>
      </c>
      <c r="GU490" s="53">
        <v>35</v>
      </c>
      <c r="GV490" s="53">
        <v>484</v>
      </c>
    </row>
    <row r="491" spans="1:204" ht="15.5" x14ac:dyDescent="0.35">
      <c r="A491" s="95">
        <f t="shared" si="157"/>
        <v>1</v>
      </c>
      <c r="B491" s="11"/>
      <c r="C491" s="11"/>
      <c r="D491" s="92" t="str">
        <f>IFERROR(
IF(AND(OR(Planilla!B491="C",Planilla!B491="c"), VLOOKUP(E491,EX:FJ,13,0)="C"), "OK",IF(AND(OR(Planilla!B491="C",Planilla!B491="c"), OR(VLOOKUP(E491,EX:FJ,13,0)="B", VLOOKUP(E491,EX:FJ,13,0)="A")), "DEFICIT",IF(
AND(OR(Planilla!B491="B", Planilla!B491="BPAL"), VLOOKUP(E491,EX:FJ,13,0)="B"), "OK",IF(AND(OR(Planilla!B491="B", Planilla!B491="BPAL"), VLOOKUP(E491,EX:FJ,13,0)="A"), "DEFICIT",IF(AND(OR(Planilla!B491="B", Planilla!B491="BPAL"), VLOOKUP(E491,EX:FJ,13,0)="C"), "SOBREOFERTA",IF(AND(Planilla!B491="A", VLOOKUP(E491,EX:FJ,13,0)="A"), "OK",IF(
AND(Planilla!B491="A", OR(VLOOKUP(E491,EX:FJ,13,0)="B", VLOOKUP(E491,EX:FJ,13,0)="C")), "SOBREOFERTA",""
))))))),"")</f>
        <v/>
      </c>
      <c r="E491" s="12"/>
      <c r="F491" s="13"/>
      <c r="G491" s="14"/>
      <c r="H491" s="81" t="str">
        <f t="shared" si="158"/>
        <v/>
      </c>
      <c r="I491" s="7"/>
      <c r="J491" s="6" t="e">
        <f t="shared" si="159"/>
        <v>#N/A</v>
      </c>
      <c r="K491" s="6" t="str">
        <f>IF(A492&lt;&gt;A491,AVERAGEIF(A$9:A491,A491,J$9:J491),"")</f>
        <v/>
      </c>
      <c r="L491" s="7" t="str">
        <f>IFERROR(IF(A492&lt;&gt;A491,AVERAGEIF(A$9:A491,A491,S$9:S491),""),"")</f>
        <v/>
      </c>
      <c r="M491" s="7" t="str">
        <f>IFERROR(IF(A492&lt;&gt;A491,AVERAGEIF(A$9:A491,A491,T$9:T491),""),"")</f>
        <v/>
      </c>
      <c r="N491" s="7" t="str" cm="1">
        <f t="array" ref="N491">IFERROR(IF(A492&lt;&gt;A491,_xlfn.STDEV.P(IF(A$9:A491=A491,T$9:T491)),""),"")</f>
        <v/>
      </c>
      <c r="O491" s="7" t="str" cm="1">
        <f t="array" ref="O491">IFERROR(IF(A492&lt;&gt;A491,_xlfn.STDEV.P(IF(A$9:A491=A491,S$9:S491)),""),"")</f>
        <v/>
      </c>
      <c r="P491" s="8" t="str">
        <f t="shared" si="160"/>
        <v/>
      </c>
      <c r="Q491" s="8" t="str">
        <f t="shared" si="161"/>
        <v/>
      </c>
      <c r="R491" s="8" t="str">
        <f t="shared" si="162"/>
        <v/>
      </c>
      <c r="S491" s="9" t="str">
        <f t="shared" si="163"/>
        <v/>
      </c>
      <c r="T491" s="9" t="str">
        <f t="shared" si="164"/>
        <v/>
      </c>
      <c r="U491" s="14"/>
      <c r="V491" s="15"/>
      <c r="W491" s="14" t="str">
        <f t="shared" si="165"/>
        <v/>
      </c>
      <c r="X491" s="15"/>
      <c r="Y491" s="2"/>
      <c r="AB491" s="22">
        <f t="shared" si="166"/>
        <v>1</v>
      </c>
      <c r="AC491" s="11"/>
      <c r="AD491" s="11"/>
      <c r="AE491" s="13"/>
      <c r="AF491" s="12"/>
      <c r="AG491" s="13"/>
      <c r="AH491" s="14"/>
      <c r="AI491" s="81" t="str">
        <f t="shared" si="167"/>
        <v/>
      </c>
      <c r="AJ491" s="15"/>
      <c r="AK491" s="6" t="e">
        <f t="shared" si="168"/>
        <v>#N/A</v>
      </c>
      <c r="AL491" s="6" t="str">
        <f>IF(AB492&lt;&gt;AB491,AVERAGEIF(AB$9:AB491,AB491,AK$9:AK491),"")</f>
        <v/>
      </c>
      <c r="AM491" s="7" t="str">
        <f>IFERROR(IF(AB492&lt;&gt;AB491,AVERAGEIF(AB$9:AB491,AB491,AT$9:AT491),""),"")</f>
        <v/>
      </c>
      <c r="AN491" s="7" t="str">
        <f>IFERROR(IF(AB492&lt;&gt;AB491,AVERAGEIF(AB$9:AB491,AB491,AU$9:AU491),""),"")</f>
        <v/>
      </c>
      <c r="AO491" s="7" t="str" cm="1">
        <f t="array" ref="AO491">IFERROR(IF(AB492&lt;&gt;AB491,_xlfn.STDEV.P(IF(AB$9:AB491=AB491,AU$9:AU491)),""),"")</f>
        <v/>
      </c>
      <c r="AP491" s="7" t="str" cm="1">
        <f t="array" ref="AP491">IFERROR(IF(AB492&lt;&gt;AB491,_xlfn.STDEV.P(IF(AB$9:AB491=AB491,AT$9:AT491)),""),"")</f>
        <v/>
      </c>
      <c r="AQ491" s="8" t="str">
        <f t="shared" si="169"/>
        <v/>
      </c>
      <c r="AR491" s="8" t="str">
        <f t="shared" si="170"/>
        <v/>
      </c>
      <c r="AS491" s="8" t="str">
        <f t="shared" si="171"/>
        <v/>
      </c>
      <c r="AT491" s="9" t="str">
        <f t="shared" si="172"/>
        <v/>
      </c>
      <c r="AU491" s="9" t="str">
        <f t="shared" si="173"/>
        <v/>
      </c>
      <c r="AV491" s="14"/>
      <c r="AW491" s="15"/>
      <c r="AX491" s="14" t="str">
        <f t="shared" si="174"/>
        <v/>
      </c>
      <c r="AY491" s="15"/>
      <c r="AZ491" s="23"/>
      <c r="EW491" t="s">
        <v>46</v>
      </c>
      <c r="EX491" s="33" t="s">
        <v>47</v>
      </c>
      <c r="EY491" s="35" t="s">
        <v>1300</v>
      </c>
      <c r="EZ491" s="36" t="s">
        <v>1301</v>
      </c>
      <c r="FA491" s="36" t="s">
        <v>1192</v>
      </c>
      <c r="FB491" s="36" t="s">
        <v>344</v>
      </c>
      <c r="FC491" s="36" t="s">
        <v>1192</v>
      </c>
      <c r="FD491" s="36" t="s">
        <v>344</v>
      </c>
      <c r="FE491" s="36">
        <v>2026</v>
      </c>
      <c r="FF491" s="36" t="s">
        <v>59</v>
      </c>
      <c r="FG491" s="36" t="s">
        <v>1210</v>
      </c>
      <c r="FJ491" t="s">
        <v>59</v>
      </c>
      <c r="FM491" s="32" t="s">
        <v>1194</v>
      </c>
      <c r="FN491" t="s">
        <v>1194</v>
      </c>
      <c r="FO491" t="s">
        <v>1195</v>
      </c>
      <c r="FP491" t="str">
        <f t="shared" si="156"/>
        <v>C</v>
      </c>
      <c r="FT491" s="69" t="s">
        <v>7419</v>
      </c>
      <c r="FU491" s="61">
        <v>0</v>
      </c>
      <c r="FV491" s="61">
        <v>0</v>
      </c>
      <c r="FW491" s="61">
        <v>0</v>
      </c>
      <c r="FX491" s="61">
        <v>0</v>
      </c>
      <c r="FY491" s="61">
        <v>0</v>
      </c>
      <c r="FZ491" s="61">
        <v>11.085000000000001</v>
      </c>
      <c r="GA491" s="61">
        <v>20.78</v>
      </c>
      <c r="GB491" s="61">
        <v>19.555</v>
      </c>
      <c r="GC491" s="61">
        <v>18.815000000000001</v>
      </c>
      <c r="GD491" s="61">
        <v>17.909999999999997</v>
      </c>
      <c r="GE491" s="61">
        <v>17.420000000000002</v>
      </c>
      <c r="GF491" s="61">
        <v>16.53</v>
      </c>
      <c r="GG491" s="61">
        <v>16.035</v>
      </c>
      <c r="GH491" s="61">
        <v>16.495000000000001</v>
      </c>
      <c r="GI491" s="61">
        <v>16.445</v>
      </c>
      <c r="GJ491" s="61">
        <v>16.695</v>
      </c>
      <c r="GK491" s="61">
        <v>16.96</v>
      </c>
      <c r="GL491" s="61">
        <v>16.695</v>
      </c>
      <c r="GM491" s="61">
        <v>17.29</v>
      </c>
      <c r="GN491" s="61">
        <v>18.055</v>
      </c>
      <c r="GO491" s="61">
        <v>19.52</v>
      </c>
      <c r="GP491" s="61">
        <v>20.67</v>
      </c>
      <c r="GQ491" s="61">
        <v>21.314999999999998</v>
      </c>
      <c r="GR491" s="61">
        <v>0</v>
      </c>
      <c r="GU491" s="53">
        <v>36</v>
      </c>
      <c r="GV491" s="53">
        <v>485</v>
      </c>
    </row>
    <row r="492" spans="1:204" ht="15.5" x14ac:dyDescent="0.35">
      <c r="A492" s="95">
        <f t="shared" si="157"/>
        <v>1</v>
      </c>
      <c r="B492" s="11"/>
      <c r="C492" s="11"/>
      <c r="D492" s="92" t="str">
        <f>IFERROR(
IF(AND(OR(Planilla!B492="C",Planilla!B492="c"), VLOOKUP(E492,EX:FJ,13,0)="C"), "OK",IF(AND(OR(Planilla!B492="C",Planilla!B492="c"), OR(VLOOKUP(E492,EX:FJ,13,0)="B", VLOOKUP(E492,EX:FJ,13,0)="A")), "DEFICIT",IF(
AND(OR(Planilla!B492="B", Planilla!B492="BPAL"), VLOOKUP(E492,EX:FJ,13,0)="B"), "OK",IF(AND(OR(Planilla!B492="B", Planilla!B492="BPAL"), VLOOKUP(E492,EX:FJ,13,0)="A"), "DEFICIT",IF(AND(OR(Planilla!B492="B", Planilla!B492="BPAL"), VLOOKUP(E492,EX:FJ,13,0)="C"), "SOBREOFERTA",IF(AND(Planilla!B492="A", VLOOKUP(E492,EX:FJ,13,0)="A"), "OK",IF(
AND(Planilla!B492="A", OR(VLOOKUP(E492,EX:FJ,13,0)="B", VLOOKUP(E492,EX:FJ,13,0)="C")), "SOBREOFERTA",""
))))))),"")</f>
        <v/>
      </c>
      <c r="E492" s="12"/>
      <c r="F492" s="13"/>
      <c r="G492" s="14"/>
      <c r="H492" s="81" t="str">
        <f t="shared" si="158"/>
        <v/>
      </c>
      <c r="I492" s="7"/>
      <c r="J492" s="6" t="e">
        <f t="shared" si="159"/>
        <v>#N/A</v>
      </c>
      <c r="K492" s="6" t="str">
        <f>IF(A493&lt;&gt;A492,AVERAGEIF(A$9:A492,A492,J$9:J492),"")</f>
        <v/>
      </c>
      <c r="L492" s="7" t="str">
        <f>IFERROR(IF(A493&lt;&gt;A492,AVERAGEIF(A$9:A492,A492,S$9:S492),""),"")</f>
        <v/>
      </c>
      <c r="M492" s="7" t="str">
        <f>IFERROR(IF(A493&lt;&gt;A492,AVERAGEIF(A$9:A492,A492,T$9:T492),""),"")</f>
        <v/>
      </c>
      <c r="N492" s="7" t="str" cm="1">
        <f t="array" ref="N492">IFERROR(IF(A493&lt;&gt;A492,_xlfn.STDEV.P(IF(A$9:A492=A492,T$9:T492)),""),"")</f>
        <v/>
      </c>
      <c r="O492" s="7" t="str" cm="1">
        <f t="array" ref="O492">IFERROR(IF(A493&lt;&gt;A492,_xlfn.STDEV.P(IF(A$9:A492=A492,S$9:S492)),""),"")</f>
        <v/>
      </c>
      <c r="P492" s="8" t="str">
        <f t="shared" si="160"/>
        <v/>
      </c>
      <c r="Q492" s="8" t="str">
        <f t="shared" si="161"/>
        <v/>
      </c>
      <c r="R492" s="8" t="str">
        <f t="shared" si="162"/>
        <v/>
      </c>
      <c r="S492" s="9" t="str">
        <f t="shared" si="163"/>
        <v/>
      </c>
      <c r="T492" s="9" t="str">
        <f t="shared" si="164"/>
        <v/>
      </c>
      <c r="U492" s="14"/>
      <c r="V492" s="15"/>
      <c r="W492" s="14" t="str">
        <f t="shared" si="165"/>
        <v/>
      </c>
      <c r="X492" s="15"/>
      <c r="Y492" s="2"/>
      <c r="AB492" s="22">
        <f t="shared" si="166"/>
        <v>1</v>
      </c>
      <c r="AC492" s="11"/>
      <c r="AD492" s="11"/>
      <c r="AE492" s="13"/>
      <c r="AF492" s="12"/>
      <c r="AG492" s="13"/>
      <c r="AH492" s="14"/>
      <c r="AI492" s="81" t="str">
        <f t="shared" si="167"/>
        <v/>
      </c>
      <c r="AJ492" s="15"/>
      <c r="AK492" s="6" t="e">
        <f t="shared" si="168"/>
        <v>#N/A</v>
      </c>
      <c r="AL492" s="6" t="str">
        <f>IF(AB493&lt;&gt;AB492,AVERAGEIF(AB$9:AB492,AB492,AK$9:AK492),"")</f>
        <v/>
      </c>
      <c r="AM492" s="7" t="str">
        <f>IFERROR(IF(AB493&lt;&gt;AB492,AVERAGEIF(AB$9:AB492,AB492,AT$9:AT492),""),"")</f>
        <v/>
      </c>
      <c r="AN492" s="7" t="str">
        <f>IFERROR(IF(AB493&lt;&gt;AB492,AVERAGEIF(AB$9:AB492,AB492,AU$9:AU492),""),"")</f>
        <v/>
      </c>
      <c r="AO492" s="7" t="str" cm="1">
        <f t="array" ref="AO492">IFERROR(IF(AB493&lt;&gt;AB492,_xlfn.STDEV.P(IF(AB$9:AB492=AB492,AU$9:AU492)),""),"")</f>
        <v/>
      </c>
      <c r="AP492" s="7" t="str" cm="1">
        <f t="array" ref="AP492">IFERROR(IF(AB493&lt;&gt;AB492,_xlfn.STDEV.P(IF(AB$9:AB492=AB492,AT$9:AT492)),""),"")</f>
        <v/>
      </c>
      <c r="AQ492" s="8" t="str">
        <f t="shared" si="169"/>
        <v/>
      </c>
      <c r="AR492" s="8" t="str">
        <f t="shared" si="170"/>
        <v/>
      </c>
      <c r="AS492" s="8" t="str">
        <f t="shared" si="171"/>
        <v/>
      </c>
      <c r="AT492" s="9" t="str">
        <f t="shared" si="172"/>
        <v/>
      </c>
      <c r="AU492" s="9" t="str">
        <f t="shared" si="173"/>
        <v/>
      </c>
      <c r="AV492" s="14"/>
      <c r="AW492" s="15"/>
      <c r="AX492" s="14" t="str">
        <f t="shared" si="174"/>
        <v/>
      </c>
      <c r="AY492" s="15"/>
      <c r="AZ492" s="23"/>
      <c r="EW492" t="s">
        <v>46</v>
      </c>
      <c r="EX492" s="33" t="s">
        <v>47</v>
      </c>
      <c r="EY492" s="35" t="s">
        <v>1302</v>
      </c>
      <c r="EZ492" s="36" t="s">
        <v>1303</v>
      </c>
      <c r="FA492" s="36" t="s">
        <v>1192</v>
      </c>
      <c r="FB492" s="36" t="s">
        <v>344</v>
      </c>
      <c r="FC492" s="36" t="s">
        <v>1192</v>
      </c>
      <c r="FD492" s="36" t="s">
        <v>344</v>
      </c>
      <c r="FE492" s="36">
        <v>2026</v>
      </c>
      <c r="FF492" s="36" t="s">
        <v>59</v>
      </c>
      <c r="FG492" s="36" t="s">
        <v>1210</v>
      </c>
      <c r="FJ492" t="s">
        <v>59</v>
      </c>
      <c r="FM492" s="32" t="s">
        <v>1198</v>
      </c>
      <c r="FN492" t="s">
        <v>1198</v>
      </c>
      <c r="FO492" t="s">
        <v>1199</v>
      </c>
      <c r="FP492" t="str">
        <f t="shared" si="156"/>
        <v>C</v>
      </c>
      <c r="FT492" s="69" t="s">
        <v>7421</v>
      </c>
      <c r="FU492" s="61">
        <v>23.384999999999998</v>
      </c>
      <c r="FV492" s="61">
        <v>24.39</v>
      </c>
      <c r="FW492" s="61">
        <v>24.704999999999998</v>
      </c>
      <c r="FX492" s="61">
        <v>24.200000000000003</v>
      </c>
      <c r="FY492" s="61">
        <v>24.605</v>
      </c>
      <c r="FZ492" s="61">
        <v>12.87</v>
      </c>
      <c r="GA492" s="61">
        <v>0</v>
      </c>
      <c r="GB492" s="61">
        <v>0</v>
      </c>
      <c r="GC492" s="61">
        <v>0</v>
      </c>
      <c r="GD492" s="61">
        <v>0</v>
      </c>
      <c r="GE492" s="61">
        <v>0</v>
      </c>
      <c r="GF492" s="61">
        <v>0</v>
      </c>
      <c r="GG492" s="61">
        <v>0</v>
      </c>
      <c r="GH492" s="61">
        <v>0</v>
      </c>
      <c r="GI492" s="61">
        <v>0</v>
      </c>
      <c r="GJ492" s="61">
        <v>0</v>
      </c>
      <c r="GK492" s="61">
        <v>0</v>
      </c>
      <c r="GL492" s="61">
        <v>0</v>
      </c>
      <c r="GM492" s="61">
        <v>0</v>
      </c>
      <c r="GN492" s="61">
        <v>0</v>
      </c>
      <c r="GO492" s="61">
        <v>0</v>
      </c>
      <c r="GP492" s="61">
        <v>0</v>
      </c>
      <c r="GQ492" s="61">
        <v>0</v>
      </c>
      <c r="GR492" s="61">
        <v>24.36</v>
      </c>
      <c r="GU492" s="53">
        <v>37</v>
      </c>
      <c r="GV492" s="53">
        <v>486</v>
      </c>
    </row>
    <row r="493" spans="1:204" ht="15.5" x14ac:dyDescent="0.35">
      <c r="A493" s="95">
        <f t="shared" si="157"/>
        <v>1</v>
      </c>
      <c r="B493" s="11"/>
      <c r="C493" s="11"/>
      <c r="D493" s="92" t="str">
        <f>IFERROR(
IF(AND(OR(Planilla!B493="C",Planilla!B493="c"), VLOOKUP(E493,EX:FJ,13,0)="C"), "OK",IF(AND(OR(Planilla!B493="C",Planilla!B493="c"), OR(VLOOKUP(E493,EX:FJ,13,0)="B", VLOOKUP(E493,EX:FJ,13,0)="A")), "DEFICIT",IF(
AND(OR(Planilla!B493="B", Planilla!B493="BPAL"), VLOOKUP(E493,EX:FJ,13,0)="B"), "OK",IF(AND(OR(Planilla!B493="B", Planilla!B493="BPAL"), VLOOKUP(E493,EX:FJ,13,0)="A"), "DEFICIT",IF(AND(OR(Planilla!B493="B", Planilla!B493="BPAL"), VLOOKUP(E493,EX:FJ,13,0)="C"), "SOBREOFERTA",IF(AND(Planilla!B493="A", VLOOKUP(E493,EX:FJ,13,0)="A"), "OK",IF(
AND(Planilla!B493="A", OR(VLOOKUP(E493,EX:FJ,13,0)="B", VLOOKUP(E493,EX:FJ,13,0)="C")), "SOBREOFERTA",""
))))))),"")</f>
        <v/>
      </c>
      <c r="E493" s="12"/>
      <c r="F493" s="13"/>
      <c r="G493" s="14"/>
      <c r="H493" s="81" t="str">
        <f t="shared" si="158"/>
        <v/>
      </c>
      <c r="I493" s="7"/>
      <c r="J493" s="6" t="e">
        <f t="shared" si="159"/>
        <v>#N/A</v>
      </c>
      <c r="K493" s="6" t="str">
        <f>IF(A494&lt;&gt;A493,AVERAGEIF(A$9:A493,A493,J$9:J493),"")</f>
        <v/>
      </c>
      <c r="L493" s="7" t="str">
        <f>IFERROR(IF(A494&lt;&gt;A493,AVERAGEIF(A$9:A493,A493,S$9:S493),""),"")</f>
        <v/>
      </c>
      <c r="M493" s="7" t="str">
        <f>IFERROR(IF(A494&lt;&gt;A493,AVERAGEIF(A$9:A493,A493,T$9:T493),""),"")</f>
        <v/>
      </c>
      <c r="N493" s="7" t="str" cm="1">
        <f t="array" ref="N493">IFERROR(IF(A494&lt;&gt;A493,_xlfn.STDEV.P(IF(A$9:A493=A493,T$9:T493)),""),"")</f>
        <v/>
      </c>
      <c r="O493" s="7" t="str" cm="1">
        <f t="array" ref="O493">IFERROR(IF(A494&lt;&gt;A493,_xlfn.STDEV.P(IF(A$9:A493=A493,S$9:S493)),""),"")</f>
        <v/>
      </c>
      <c r="P493" s="8" t="str">
        <f t="shared" si="160"/>
        <v/>
      </c>
      <c r="Q493" s="8" t="str">
        <f t="shared" si="161"/>
        <v/>
      </c>
      <c r="R493" s="8" t="str">
        <f t="shared" si="162"/>
        <v/>
      </c>
      <c r="S493" s="9" t="str">
        <f t="shared" si="163"/>
        <v/>
      </c>
      <c r="T493" s="9" t="str">
        <f t="shared" si="164"/>
        <v/>
      </c>
      <c r="U493" s="14"/>
      <c r="V493" s="15"/>
      <c r="W493" s="14" t="str">
        <f t="shared" si="165"/>
        <v/>
      </c>
      <c r="X493" s="15"/>
      <c r="Y493" s="2"/>
      <c r="AB493" s="22">
        <f t="shared" si="166"/>
        <v>1</v>
      </c>
      <c r="AC493" s="11"/>
      <c r="AD493" s="11"/>
      <c r="AE493" s="13"/>
      <c r="AF493" s="12"/>
      <c r="AG493" s="13"/>
      <c r="AH493" s="14"/>
      <c r="AI493" s="81" t="str">
        <f t="shared" si="167"/>
        <v/>
      </c>
      <c r="AJ493" s="15"/>
      <c r="AK493" s="6" t="e">
        <f t="shared" si="168"/>
        <v>#N/A</v>
      </c>
      <c r="AL493" s="6" t="str">
        <f>IF(AB494&lt;&gt;AB493,AVERAGEIF(AB$9:AB493,AB493,AK$9:AK493),"")</f>
        <v/>
      </c>
      <c r="AM493" s="7" t="str">
        <f>IFERROR(IF(AB494&lt;&gt;AB493,AVERAGEIF(AB$9:AB493,AB493,AT$9:AT493),""),"")</f>
        <v/>
      </c>
      <c r="AN493" s="7" t="str">
        <f>IFERROR(IF(AB494&lt;&gt;AB493,AVERAGEIF(AB$9:AB493,AB493,AU$9:AU493),""),"")</f>
        <v/>
      </c>
      <c r="AO493" s="7" t="str" cm="1">
        <f t="array" ref="AO493">IFERROR(IF(AB494&lt;&gt;AB493,_xlfn.STDEV.P(IF(AB$9:AB493=AB493,AU$9:AU493)),""),"")</f>
        <v/>
      </c>
      <c r="AP493" s="7" t="str" cm="1">
        <f t="array" ref="AP493">IFERROR(IF(AB494&lt;&gt;AB493,_xlfn.STDEV.P(IF(AB$9:AB493=AB493,AT$9:AT493)),""),"")</f>
        <v/>
      </c>
      <c r="AQ493" s="8" t="str">
        <f t="shared" si="169"/>
        <v/>
      </c>
      <c r="AR493" s="8" t="str">
        <f t="shared" si="170"/>
        <v/>
      </c>
      <c r="AS493" s="8" t="str">
        <f t="shared" si="171"/>
        <v/>
      </c>
      <c r="AT493" s="9" t="str">
        <f t="shared" si="172"/>
        <v/>
      </c>
      <c r="AU493" s="9" t="str">
        <f t="shared" si="173"/>
        <v/>
      </c>
      <c r="AV493" s="14"/>
      <c r="AW493" s="15"/>
      <c r="AX493" s="14" t="str">
        <f t="shared" si="174"/>
        <v/>
      </c>
      <c r="AY493" s="15"/>
      <c r="AZ493" s="23"/>
      <c r="EW493" t="s">
        <v>46</v>
      </c>
      <c r="EX493" s="33" t="s">
        <v>47</v>
      </c>
      <c r="EY493" s="35" t="s">
        <v>1304</v>
      </c>
      <c r="EZ493" s="36" t="s">
        <v>1305</v>
      </c>
      <c r="FA493" s="36" t="s">
        <v>1192</v>
      </c>
      <c r="FB493" s="36" t="s">
        <v>344</v>
      </c>
      <c r="FC493" s="36" t="s">
        <v>1192</v>
      </c>
      <c r="FD493" s="36" t="s">
        <v>344</v>
      </c>
      <c r="FE493" s="36">
        <v>2026</v>
      </c>
      <c r="FF493" s="36" t="s">
        <v>59</v>
      </c>
      <c r="FG493" s="36" t="s">
        <v>1241</v>
      </c>
      <c r="FJ493" t="s">
        <v>59</v>
      </c>
      <c r="FM493" s="32" t="s">
        <v>1306</v>
      </c>
      <c r="FN493" t="s">
        <v>1306</v>
      </c>
      <c r="FO493" t="s">
        <v>1307</v>
      </c>
      <c r="FP493" t="str">
        <f t="shared" si="156"/>
        <v>C</v>
      </c>
      <c r="FT493" s="69" t="s">
        <v>7423</v>
      </c>
      <c r="FU493" s="61">
        <v>0</v>
      </c>
      <c r="FV493" s="61">
        <v>0</v>
      </c>
      <c r="FW493" s="61">
        <v>0</v>
      </c>
      <c r="FX493" s="61">
        <v>0</v>
      </c>
      <c r="FY493" s="61">
        <v>0</v>
      </c>
      <c r="FZ493" s="61">
        <v>25.03</v>
      </c>
      <c r="GA493" s="61">
        <v>23.01</v>
      </c>
      <c r="GB493" s="61">
        <v>21.05</v>
      </c>
      <c r="GC493" s="61">
        <v>20.96</v>
      </c>
      <c r="GD493" s="61">
        <v>19.21</v>
      </c>
      <c r="GE493" s="61">
        <v>17.844999999999999</v>
      </c>
      <c r="GF493" s="61">
        <v>17.61</v>
      </c>
      <c r="GG493" s="61">
        <v>16.96</v>
      </c>
      <c r="GH493" s="61">
        <v>16.899999999999999</v>
      </c>
      <c r="GI493" s="61">
        <v>17.5</v>
      </c>
      <c r="GJ493" s="61">
        <v>17.855</v>
      </c>
      <c r="GK493" s="61">
        <v>18.05</v>
      </c>
      <c r="GL493" s="61">
        <v>18.145</v>
      </c>
      <c r="GM493" s="61">
        <v>18.36</v>
      </c>
      <c r="GN493" s="61">
        <v>19.05</v>
      </c>
      <c r="GO493" s="61">
        <v>19.884999999999998</v>
      </c>
      <c r="GP493" s="61">
        <v>20.810000000000002</v>
      </c>
      <c r="GQ493" s="61">
        <v>21.1</v>
      </c>
      <c r="GR493" s="61">
        <v>11.435</v>
      </c>
      <c r="GU493" s="53">
        <v>38</v>
      </c>
      <c r="GV493" s="53">
        <v>487</v>
      </c>
    </row>
    <row r="494" spans="1:204" ht="15.5" x14ac:dyDescent="0.35">
      <c r="A494" s="95">
        <f t="shared" si="157"/>
        <v>1</v>
      </c>
      <c r="B494" s="11"/>
      <c r="C494" s="11"/>
      <c r="D494" s="92" t="str">
        <f>IFERROR(
IF(AND(OR(Planilla!B494="C",Planilla!B494="c"), VLOOKUP(E494,EX:FJ,13,0)="C"), "OK",IF(AND(OR(Planilla!B494="C",Planilla!B494="c"), OR(VLOOKUP(E494,EX:FJ,13,0)="B", VLOOKUP(E494,EX:FJ,13,0)="A")), "DEFICIT",IF(
AND(OR(Planilla!B494="B", Planilla!B494="BPAL"), VLOOKUP(E494,EX:FJ,13,0)="B"), "OK",IF(AND(OR(Planilla!B494="B", Planilla!B494="BPAL"), VLOOKUP(E494,EX:FJ,13,0)="A"), "DEFICIT",IF(AND(OR(Planilla!B494="B", Planilla!B494="BPAL"), VLOOKUP(E494,EX:FJ,13,0)="C"), "SOBREOFERTA",IF(AND(Planilla!B494="A", VLOOKUP(E494,EX:FJ,13,0)="A"), "OK",IF(
AND(Planilla!B494="A", OR(VLOOKUP(E494,EX:FJ,13,0)="B", VLOOKUP(E494,EX:FJ,13,0)="C")), "SOBREOFERTA",""
))))))),"")</f>
        <v/>
      </c>
      <c r="E494" s="12"/>
      <c r="F494" s="13"/>
      <c r="G494" s="14"/>
      <c r="H494" s="81" t="str">
        <f t="shared" si="158"/>
        <v/>
      </c>
      <c r="I494" s="7"/>
      <c r="J494" s="6" t="e">
        <f t="shared" si="159"/>
        <v>#N/A</v>
      </c>
      <c r="K494" s="6" t="str">
        <f>IF(A495&lt;&gt;A494,AVERAGEIF(A$9:A494,A494,J$9:J494),"")</f>
        <v/>
      </c>
      <c r="L494" s="7" t="str">
        <f>IFERROR(IF(A495&lt;&gt;A494,AVERAGEIF(A$9:A494,A494,S$9:S494),""),"")</f>
        <v/>
      </c>
      <c r="M494" s="7" t="str">
        <f>IFERROR(IF(A495&lt;&gt;A494,AVERAGEIF(A$9:A494,A494,T$9:T494),""),"")</f>
        <v/>
      </c>
      <c r="N494" s="7" t="str" cm="1">
        <f t="array" ref="N494">IFERROR(IF(A495&lt;&gt;A494,_xlfn.STDEV.P(IF(A$9:A494=A494,T$9:T494)),""),"")</f>
        <v/>
      </c>
      <c r="O494" s="7" t="str" cm="1">
        <f t="array" ref="O494">IFERROR(IF(A495&lt;&gt;A494,_xlfn.STDEV.P(IF(A$9:A494=A494,S$9:S494)),""),"")</f>
        <v/>
      </c>
      <c r="P494" s="8" t="str">
        <f t="shared" si="160"/>
        <v/>
      </c>
      <c r="Q494" s="8" t="str">
        <f t="shared" si="161"/>
        <v/>
      </c>
      <c r="R494" s="8" t="str">
        <f t="shared" si="162"/>
        <v/>
      </c>
      <c r="S494" s="9" t="str">
        <f t="shared" si="163"/>
        <v/>
      </c>
      <c r="T494" s="9" t="str">
        <f t="shared" si="164"/>
        <v/>
      </c>
      <c r="U494" s="14"/>
      <c r="V494" s="15"/>
      <c r="W494" s="14" t="str">
        <f t="shared" si="165"/>
        <v/>
      </c>
      <c r="X494" s="15"/>
      <c r="Y494" s="2"/>
      <c r="AB494" s="22">
        <f t="shared" si="166"/>
        <v>1</v>
      </c>
      <c r="AC494" s="11"/>
      <c r="AD494" s="11"/>
      <c r="AE494" s="13"/>
      <c r="AF494" s="12"/>
      <c r="AG494" s="13"/>
      <c r="AH494" s="14"/>
      <c r="AI494" s="81" t="str">
        <f t="shared" si="167"/>
        <v/>
      </c>
      <c r="AJ494" s="15"/>
      <c r="AK494" s="6" t="e">
        <f t="shared" si="168"/>
        <v>#N/A</v>
      </c>
      <c r="AL494" s="6" t="str">
        <f>IF(AB495&lt;&gt;AB494,AVERAGEIF(AB$9:AB494,AB494,AK$9:AK494),"")</f>
        <v/>
      </c>
      <c r="AM494" s="7" t="str">
        <f>IFERROR(IF(AB495&lt;&gt;AB494,AVERAGEIF(AB$9:AB494,AB494,AT$9:AT494),""),"")</f>
        <v/>
      </c>
      <c r="AN494" s="7" t="str">
        <f>IFERROR(IF(AB495&lt;&gt;AB494,AVERAGEIF(AB$9:AB494,AB494,AU$9:AU494),""),"")</f>
        <v/>
      </c>
      <c r="AO494" s="7" t="str" cm="1">
        <f t="array" ref="AO494">IFERROR(IF(AB495&lt;&gt;AB494,_xlfn.STDEV.P(IF(AB$9:AB494=AB494,AU$9:AU494)),""),"")</f>
        <v/>
      </c>
      <c r="AP494" s="7" t="str" cm="1">
        <f t="array" ref="AP494">IFERROR(IF(AB495&lt;&gt;AB494,_xlfn.STDEV.P(IF(AB$9:AB494=AB494,AT$9:AT494)),""),"")</f>
        <v/>
      </c>
      <c r="AQ494" s="8" t="str">
        <f t="shared" si="169"/>
        <v/>
      </c>
      <c r="AR494" s="8" t="str">
        <f t="shared" si="170"/>
        <v/>
      </c>
      <c r="AS494" s="8" t="str">
        <f t="shared" si="171"/>
        <v/>
      </c>
      <c r="AT494" s="9" t="str">
        <f t="shared" si="172"/>
        <v/>
      </c>
      <c r="AU494" s="9" t="str">
        <f t="shared" si="173"/>
        <v/>
      </c>
      <c r="AV494" s="14"/>
      <c r="AW494" s="15"/>
      <c r="AX494" s="14" t="str">
        <f t="shared" si="174"/>
        <v/>
      </c>
      <c r="AY494" s="15"/>
      <c r="AZ494" s="23"/>
      <c r="EW494" t="s">
        <v>46</v>
      </c>
      <c r="EX494" s="33" t="s">
        <v>47</v>
      </c>
      <c r="EY494" s="35" t="s">
        <v>1308</v>
      </c>
      <c r="EZ494" s="36" t="s">
        <v>1309</v>
      </c>
      <c r="FA494" s="36" t="s">
        <v>1192</v>
      </c>
      <c r="FB494" s="36" t="s">
        <v>344</v>
      </c>
      <c r="FC494" s="36" t="s">
        <v>1192</v>
      </c>
      <c r="FD494" s="36" t="s">
        <v>344</v>
      </c>
      <c r="FE494" s="36">
        <v>2026</v>
      </c>
      <c r="FF494" s="36" t="s">
        <v>59</v>
      </c>
      <c r="FG494" s="36" t="s">
        <v>1241</v>
      </c>
      <c r="FJ494" t="s">
        <v>59</v>
      </c>
      <c r="FM494" s="32" t="s">
        <v>1203</v>
      </c>
      <c r="FN494" t="s">
        <v>1203</v>
      </c>
      <c r="FO494" t="s">
        <v>1203</v>
      </c>
      <c r="FP494" t="str">
        <f t="shared" si="156"/>
        <v>B</v>
      </c>
      <c r="FT494" s="69" t="s">
        <v>7426</v>
      </c>
      <c r="FU494" s="61">
        <v>0</v>
      </c>
      <c r="FV494" s="61">
        <v>0</v>
      </c>
      <c r="FW494" s="61">
        <v>0</v>
      </c>
      <c r="FX494" s="61">
        <v>0</v>
      </c>
      <c r="FY494" s="61">
        <v>0</v>
      </c>
      <c r="FZ494" s="61">
        <v>13.87</v>
      </c>
      <c r="GA494" s="61">
        <v>27.86</v>
      </c>
      <c r="GB494" s="61">
        <v>27.04</v>
      </c>
      <c r="GC494" s="61">
        <v>26.094999999999999</v>
      </c>
      <c r="GD494" s="61">
        <v>25.855</v>
      </c>
      <c r="GE494" s="61">
        <v>25.86</v>
      </c>
      <c r="GF494" s="61">
        <v>24.315000000000001</v>
      </c>
      <c r="GG494" s="61">
        <v>23.715</v>
      </c>
      <c r="GH494" s="61">
        <v>23.14</v>
      </c>
      <c r="GI494" s="61">
        <v>22.939999999999998</v>
      </c>
      <c r="GJ494" s="61">
        <v>23.41</v>
      </c>
      <c r="GK494" s="61">
        <v>23.65</v>
      </c>
      <c r="GL494" s="61">
        <v>23.134999999999998</v>
      </c>
      <c r="GM494" s="61">
        <v>23.384999999999998</v>
      </c>
      <c r="GN494" s="61">
        <v>24.03</v>
      </c>
      <c r="GO494" s="61">
        <v>24.395</v>
      </c>
      <c r="GP494" s="61">
        <v>25.810000000000002</v>
      </c>
      <c r="GQ494" s="61">
        <v>28.495000000000001</v>
      </c>
      <c r="GR494" s="61">
        <v>31.024999999999999</v>
      </c>
      <c r="GU494" s="53">
        <v>39</v>
      </c>
      <c r="GV494" s="53">
        <v>488</v>
      </c>
    </row>
    <row r="495" spans="1:204" ht="15.5" x14ac:dyDescent="0.35">
      <c r="A495" s="95">
        <f t="shared" si="157"/>
        <v>1</v>
      </c>
      <c r="B495" s="11"/>
      <c r="C495" s="11"/>
      <c r="D495" s="92" t="str">
        <f>IFERROR(
IF(AND(OR(Planilla!B495="C",Planilla!B495="c"), VLOOKUP(E495,EX:FJ,13,0)="C"), "OK",IF(AND(OR(Planilla!B495="C",Planilla!B495="c"), OR(VLOOKUP(E495,EX:FJ,13,0)="B", VLOOKUP(E495,EX:FJ,13,0)="A")), "DEFICIT",IF(
AND(OR(Planilla!B495="B", Planilla!B495="BPAL"), VLOOKUP(E495,EX:FJ,13,0)="B"), "OK",IF(AND(OR(Planilla!B495="B", Planilla!B495="BPAL"), VLOOKUP(E495,EX:FJ,13,0)="A"), "DEFICIT",IF(AND(OR(Planilla!B495="B", Planilla!B495="BPAL"), VLOOKUP(E495,EX:FJ,13,0)="C"), "SOBREOFERTA",IF(AND(Planilla!B495="A", VLOOKUP(E495,EX:FJ,13,0)="A"), "OK",IF(
AND(Planilla!B495="A", OR(VLOOKUP(E495,EX:FJ,13,0)="B", VLOOKUP(E495,EX:FJ,13,0)="C")), "SOBREOFERTA",""
))))))),"")</f>
        <v/>
      </c>
      <c r="E495" s="12"/>
      <c r="F495" s="13"/>
      <c r="G495" s="14"/>
      <c r="H495" s="81" t="str">
        <f t="shared" si="158"/>
        <v/>
      </c>
      <c r="I495" s="7"/>
      <c r="J495" s="6" t="e">
        <f t="shared" si="159"/>
        <v>#N/A</v>
      </c>
      <c r="K495" s="6" t="str">
        <f>IF(A496&lt;&gt;A495,AVERAGEIF(A$9:A495,A495,J$9:J495),"")</f>
        <v/>
      </c>
      <c r="L495" s="7" t="str">
        <f>IFERROR(IF(A496&lt;&gt;A495,AVERAGEIF(A$9:A495,A495,S$9:S495),""),"")</f>
        <v/>
      </c>
      <c r="M495" s="7" t="str">
        <f>IFERROR(IF(A496&lt;&gt;A495,AVERAGEIF(A$9:A495,A495,T$9:T495),""),"")</f>
        <v/>
      </c>
      <c r="N495" s="7" t="str" cm="1">
        <f t="array" ref="N495">IFERROR(IF(A496&lt;&gt;A495,_xlfn.STDEV.P(IF(A$9:A495=A495,T$9:T495)),""),"")</f>
        <v/>
      </c>
      <c r="O495" s="7" t="str" cm="1">
        <f t="array" ref="O495">IFERROR(IF(A496&lt;&gt;A495,_xlfn.STDEV.P(IF(A$9:A495=A495,S$9:S495)),""),"")</f>
        <v/>
      </c>
      <c r="P495" s="8" t="str">
        <f t="shared" si="160"/>
        <v/>
      </c>
      <c r="Q495" s="8" t="str">
        <f t="shared" si="161"/>
        <v/>
      </c>
      <c r="R495" s="8" t="str">
        <f t="shared" si="162"/>
        <v/>
      </c>
      <c r="S495" s="9" t="str">
        <f t="shared" si="163"/>
        <v/>
      </c>
      <c r="T495" s="9" t="str">
        <f t="shared" si="164"/>
        <v/>
      </c>
      <c r="U495" s="14"/>
      <c r="V495" s="15"/>
      <c r="W495" s="14" t="str">
        <f t="shared" si="165"/>
        <v/>
      </c>
      <c r="X495" s="15"/>
      <c r="Y495" s="2"/>
      <c r="AB495" s="22">
        <f t="shared" si="166"/>
        <v>1</v>
      </c>
      <c r="AC495" s="11"/>
      <c r="AD495" s="11"/>
      <c r="AE495" s="13"/>
      <c r="AF495" s="12"/>
      <c r="AG495" s="13"/>
      <c r="AH495" s="14"/>
      <c r="AI495" s="81" t="str">
        <f t="shared" si="167"/>
        <v/>
      </c>
      <c r="AJ495" s="15"/>
      <c r="AK495" s="6" t="e">
        <f t="shared" si="168"/>
        <v>#N/A</v>
      </c>
      <c r="AL495" s="6" t="str">
        <f>IF(AB496&lt;&gt;AB495,AVERAGEIF(AB$9:AB495,AB495,AK$9:AK495),"")</f>
        <v/>
      </c>
      <c r="AM495" s="7" t="str">
        <f>IFERROR(IF(AB496&lt;&gt;AB495,AVERAGEIF(AB$9:AB495,AB495,AT$9:AT495),""),"")</f>
        <v/>
      </c>
      <c r="AN495" s="7" t="str">
        <f>IFERROR(IF(AB496&lt;&gt;AB495,AVERAGEIF(AB$9:AB495,AB495,AU$9:AU495),""),"")</f>
        <v/>
      </c>
      <c r="AO495" s="7" t="str" cm="1">
        <f t="array" ref="AO495">IFERROR(IF(AB496&lt;&gt;AB495,_xlfn.STDEV.P(IF(AB$9:AB495=AB495,AU$9:AU495)),""),"")</f>
        <v/>
      </c>
      <c r="AP495" s="7" t="str" cm="1">
        <f t="array" ref="AP495">IFERROR(IF(AB496&lt;&gt;AB495,_xlfn.STDEV.P(IF(AB$9:AB495=AB495,AT$9:AT495)),""),"")</f>
        <v/>
      </c>
      <c r="AQ495" s="8" t="str">
        <f t="shared" si="169"/>
        <v/>
      </c>
      <c r="AR495" s="8" t="str">
        <f t="shared" si="170"/>
        <v/>
      </c>
      <c r="AS495" s="8" t="str">
        <f t="shared" si="171"/>
        <v/>
      </c>
      <c r="AT495" s="9" t="str">
        <f t="shared" si="172"/>
        <v/>
      </c>
      <c r="AU495" s="9" t="str">
        <f t="shared" si="173"/>
        <v/>
      </c>
      <c r="AV495" s="14"/>
      <c r="AW495" s="15"/>
      <c r="AX495" s="14" t="str">
        <f t="shared" si="174"/>
        <v/>
      </c>
      <c r="AY495" s="15"/>
      <c r="AZ495" s="23"/>
      <c r="EW495" t="s">
        <v>46</v>
      </c>
      <c r="EX495" s="33" t="s">
        <v>47</v>
      </c>
      <c r="EY495" s="35" t="s">
        <v>1310</v>
      </c>
      <c r="EZ495" s="36" t="s">
        <v>1311</v>
      </c>
      <c r="FA495" s="36" t="s">
        <v>1192</v>
      </c>
      <c r="FB495" s="36" t="s">
        <v>344</v>
      </c>
      <c r="FC495" s="36" t="s">
        <v>1192</v>
      </c>
      <c r="FD495" s="36" t="s">
        <v>344</v>
      </c>
      <c r="FE495" s="36">
        <v>2026</v>
      </c>
      <c r="FF495" s="36" t="s">
        <v>59</v>
      </c>
      <c r="FG495" s="36" t="s">
        <v>1241</v>
      </c>
      <c r="FJ495" t="s">
        <v>59</v>
      </c>
      <c r="FM495" s="32" t="s">
        <v>1207</v>
      </c>
      <c r="FN495" t="s">
        <v>1207</v>
      </c>
      <c r="FO495" t="s">
        <v>1207</v>
      </c>
      <c r="FP495" t="str">
        <f t="shared" si="156"/>
        <v>B</v>
      </c>
      <c r="FT495" s="69" t="s">
        <v>7426</v>
      </c>
      <c r="FU495" s="61">
        <v>0</v>
      </c>
      <c r="FV495" s="61">
        <v>0</v>
      </c>
      <c r="FW495" s="61">
        <v>0</v>
      </c>
      <c r="FX495" s="61">
        <v>0</v>
      </c>
      <c r="FY495" s="61">
        <v>0</v>
      </c>
      <c r="FZ495" s="61">
        <v>14.484999999999999</v>
      </c>
      <c r="GA495" s="61">
        <v>28.035</v>
      </c>
      <c r="GB495" s="61">
        <v>26.685000000000002</v>
      </c>
      <c r="GC495" s="61">
        <v>26.82</v>
      </c>
      <c r="GD495" s="61">
        <v>26.79</v>
      </c>
      <c r="GE495" s="61">
        <v>25.619999999999997</v>
      </c>
      <c r="GF495" s="61">
        <v>24.49</v>
      </c>
      <c r="GG495" s="61">
        <v>23.395000000000003</v>
      </c>
      <c r="GH495" s="61">
        <v>23.07</v>
      </c>
      <c r="GI495" s="61">
        <v>23.405000000000001</v>
      </c>
      <c r="GJ495" s="61">
        <v>23.96</v>
      </c>
      <c r="GK495" s="61">
        <v>24.33</v>
      </c>
      <c r="GL495" s="61">
        <v>24</v>
      </c>
      <c r="GM495" s="61">
        <v>23.08</v>
      </c>
      <c r="GN495" s="61">
        <v>23.72</v>
      </c>
      <c r="GO495" s="61">
        <v>25.34</v>
      </c>
      <c r="GP495" s="61">
        <v>27.155000000000001</v>
      </c>
      <c r="GQ495" s="61">
        <v>28.35</v>
      </c>
      <c r="GR495" s="61">
        <v>14.295</v>
      </c>
      <c r="GU495" s="53">
        <v>40</v>
      </c>
      <c r="GV495" s="53">
        <v>489</v>
      </c>
    </row>
    <row r="496" spans="1:204" ht="15.5" x14ac:dyDescent="0.35">
      <c r="A496" s="95">
        <f t="shared" si="157"/>
        <v>1</v>
      </c>
      <c r="B496" s="11"/>
      <c r="C496" s="11"/>
      <c r="D496" s="92" t="str">
        <f>IFERROR(
IF(AND(OR(Planilla!B496="C",Planilla!B496="c"), VLOOKUP(E496,EX:FJ,13,0)="C"), "OK",IF(AND(OR(Planilla!B496="C",Planilla!B496="c"), OR(VLOOKUP(E496,EX:FJ,13,0)="B", VLOOKUP(E496,EX:FJ,13,0)="A")), "DEFICIT",IF(
AND(OR(Planilla!B496="B", Planilla!B496="BPAL"), VLOOKUP(E496,EX:FJ,13,0)="B"), "OK",IF(AND(OR(Planilla!B496="B", Planilla!B496="BPAL"), VLOOKUP(E496,EX:FJ,13,0)="A"), "DEFICIT",IF(AND(OR(Planilla!B496="B", Planilla!B496="BPAL"), VLOOKUP(E496,EX:FJ,13,0)="C"), "SOBREOFERTA",IF(AND(Planilla!B496="A", VLOOKUP(E496,EX:FJ,13,0)="A"), "OK",IF(
AND(Planilla!B496="A", OR(VLOOKUP(E496,EX:FJ,13,0)="B", VLOOKUP(E496,EX:FJ,13,0)="C")), "SOBREOFERTA",""
))))))),"")</f>
        <v/>
      </c>
      <c r="E496" s="12"/>
      <c r="F496" s="13"/>
      <c r="G496" s="14"/>
      <c r="H496" s="81" t="str">
        <f t="shared" si="158"/>
        <v/>
      </c>
      <c r="I496" s="7"/>
      <c r="J496" s="6" t="e">
        <f t="shared" si="159"/>
        <v>#N/A</v>
      </c>
      <c r="K496" s="6" t="str">
        <f>IF(A497&lt;&gt;A496,AVERAGEIF(A$9:A496,A496,J$9:J496),"")</f>
        <v/>
      </c>
      <c r="L496" s="7" t="str">
        <f>IFERROR(IF(A497&lt;&gt;A496,AVERAGEIF(A$9:A496,A496,S$9:S496),""),"")</f>
        <v/>
      </c>
      <c r="M496" s="7" t="str">
        <f>IFERROR(IF(A497&lt;&gt;A496,AVERAGEIF(A$9:A496,A496,T$9:T496),""),"")</f>
        <v/>
      </c>
      <c r="N496" s="7" t="str" cm="1">
        <f t="array" ref="N496">IFERROR(IF(A497&lt;&gt;A496,_xlfn.STDEV.P(IF(A$9:A496=A496,T$9:T496)),""),"")</f>
        <v/>
      </c>
      <c r="O496" s="7" t="str" cm="1">
        <f t="array" ref="O496">IFERROR(IF(A497&lt;&gt;A496,_xlfn.STDEV.P(IF(A$9:A496=A496,S$9:S496)),""),"")</f>
        <v/>
      </c>
      <c r="P496" s="8" t="str">
        <f t="shared" si="160"/>
        <v/>
      </c>
      <c r="Q496" s="8" t="str">
        <f t="shared" si="161"/>
        <v/>
      </c>
      <c r="R496" s="8" t="str">
        <f t="shared" si="162"/>
        <v/>
      </c>
      <c r="S496" s="9" t="str">
        <f t="shared" si="163"/>
        <v/>
      </c>
      <c r="T496" s="9" t="str">
        <f t="shared" si="164"/>
        <v/>
      </c>
      <c r="U496" s="14"/>
      <c r="V496" s="15"/>
      <c r="W496" s="14" t="str">
        <f t="shared" si="165"/>
        <v/>
      </c>
      <c r="X496" s="15"/>
      <c r="Y496" s="2"/>
      <c r="AB496" s="22">
        <f t="shared" si="166"/>
        <v>1</v>
      </c>
      <c r="AC496" s="11"/>
      <c r="AD496" s="11"/>
      <c r="AE496" s="13"/>
      <c r="AF496" s="12"/>
      <c r="AG496" s="13"/>
      <c r="AH496" s="14"/>
      <c r="AI496" s="81" t="str">
        <f t="shared" si="167"/>
        <v/>
      </c>
      <c r="AJ496" s="15"/>
      <c r="AK496" s="6" t="e">
        <f t="shared" si="168"/>
        <v>#N/A</v>
      </c>
      <c r="AL496" s="6" t="str">
        <f>IF(AB497&lt;&gt;AB496,AVERAGEIF(AB$9:AB496,AB496,AK$9:AK496),"")</f>
        <v/>
      </c>
      <c r="AM496" s="7" t="str">
        <f>IFERROR(IF(AB497&lt;&gt;AB496,AVERAGEIF(AB$9:AB496,AB496,AT$9:AT496),""),"")</f>
        <v/>
      </c>
      <c r="AN496" s="7" t="str">
        <f>IFERROR(IF(AB497&lt;&gt;AB496,AVERAGEIF(AB$9:AB496,AB496,AU$9:AU496),""),"")</f>
        <v/>
      </c>
      <c r="AO496" s="7" t="str" cm="1">
        <f t="array" ref="AO496">IFERROR(IF(AB497&lt;&gt;AB496,_xlfn.STDEV.P(IF(AB$9:AB496=AB496,AU$9:AU496)),""),"")</f>
        <v/>
      </c>
      <c r="AP496" s="7" t="str" cm="1">
        <f t="array" ref="AP496">IFERROR(IF(AB497&lt;&gt;AB496,_xlfn.STDEV.P(IF(AB$9:AB496=AB496,AT$9:AT496)),""),"")</f>
        <v/>
      </c>
      <c r="AQ496" s="8" t="str">
        <f t="shared" si="169"/>
        <v/>
      </c>
      <c r="AR496" s="8" t="str">
        <f t="shared" si="170"/>
        <v/>
      </c>
      <c r="AS496" s="8" t="str">
        <f t="shared" si="171"/>
        <v/>
      </c>
      <c r="AT496" s="9" t="str">
        <f t="shared" si="172"/>
        <v/>
      </c>
      <c r="AU496" s="9" t="str">
        <f t="shared" si="173"/>
        <v/>
      </c>
      <c r="AV496" s="14"/>
      <c r="AW496" s="15"/>
      <c r="AX496" s="14" t="str">
        <f t="shared" si="174"/>
        <v/>
      </c>
      <c r="AY496" s="15"/>
      <c r="AZ496" s="23"/>
      <c r="EW496" t="s">
        <v>46</v>
      </c>
      <c r="EX496" s="33" t="s">
        <v>47</v>
      </c>
      <c r="EY496" s="35" t="s">
        <v>1312</v>
      </c>
      <c r="EZ496" s="36" t="s">
        <v>1313</v>
      </c>
      <c r="FA496" s="36" t="s">
        <v>1192</v>
      </c>
      <c r="FB496" s="36" t="s">
        <v>344</v>
      </c>
      <c r="FC496" s="36" t="s">
        <v>1192</v>
      </c>
      <c r="FD496" s="36" t="s">
        <v>344</v>
      </c>
      <c r="FE496" s="36">
        <v>2026</v>
      </c>
      <c r="FF496" s="36" t="s">
        <v>59</v>
      </c>
      <c r="FG496" s="36" t="s">
        <v>1210</v>
      </c>
      <c r="FJ496" t="s">
        <v>59</v>
      </c>
      <c r="FM496" s="32" t="s">
        <v>1211</v>
      </c>
      <c r="FN496" t="s">
        <v>1211</v>
      </c>
      <c r="FO496" t="s">
        <v>1212</v>
      </c>
      <c r="FP496" t="str">
        <f t="shared" si="156"/>
        <v>C</v>
      </c>
      <c r="FT496" s="69" t="s">
        <v>7424</v>
      </c>
      <c r="FU496" s="61">
        <v>0</v>
      </c>
      <c r="FV496" s="61">
        <v>0</v>
      </c>
      <c r="FW496" s="61">
        <v>0</v>
      </c>
      <c r="FX496" s="61">
        <v>0</v>
      </c>
      <c r="FY496" s="61">
        <v>0</v>
      </c>
      <c r="FZ496" s="61">
        <v>29.189999999999998</v>
      </c>
      <c r="GA496" s="61">
        <v>28.04</v>
      </c>
      <c r="GB496" s="61">
        <v>26.84</v>
      </c>
      <c r="GC496" s="61">
        <v>25.17</v>
      </c>
      <c r="GD496" s="61">
        <v>23.86</v>
      </c>
      <c r="GE496" s="61">
        <v>22.94</v>
      </c>
      <c r="GF496" s="61">
        <v>22.045000000000002</v>
      </c>
      <c r="GG496" s="61">
        <v>21.39</v>
      </c>
      <c r="GH496" s="61">
        <v>21.295000000000002</v>
      </c>
      <c r="GI496" s="61">
        <v>21.68</v>
      </c>
      <c r="GJ496" s="61">
        <v>21.240000000000002</v>
      </c>
      <c r="GK496" s="61">
        <v>21.13</v>
      </c>
      <c r="GL496" s="61">
        <v>20.6</v>
      </c>
      <c r="GM496" s="61">
        <v>20.384999999999998</v>
      </c>
      <c r="GN496" s="61">
        <v>20.93</v>
      </c>
      <c r="GO496" s="61">
        <v>21.72</v>
      </c>
      <c r="GP496" s="61">
        <v>23.265000000000001</v>
      </c>
      <c r="GQ496" s="61">
        <v>24.984999999999999</v>
      </c>
      <c r="GR496" s="61">
        <v>24.32</v>
      </c>
      <c r="GU496" s="53">
        <v>41</v>
      </c>
      <c r="GV496" s="53">
        <v>490</v>
      </c>
    </row>
    <row r="497" spans="1:204" ht="15.5" x14ac:dyDescent="0.35">
      <c r="A497" s="95">
        <f t="shared" si="157"/>
        <v>1</v>
      </c>
      <c r="B497" s="11"/>
      <c r="C497" s="11"/>
      <c r="D497" s="92" t="str">
        <f>IFERROR(
IF(AND(OR(Planilla!B497="C",Planilla!B497="c"), VLOOKUP(E497,EX:FJ,13,0)="C"), "OK",IF(AND(OR(Planilla!B497="C",Planilla!B497="c"), OR(VLOOKUP(E497,EX:FJ,13,0)="B", VLOOKUP(E497,EX:FJ,13,0)="A")), "DEFICIT",IF(
AND(OR(Planilla!B497="B", Planilla!B497="BPAL"), VLOOKUP(E497,EX:FJ,13,0)="B"), "OK",IF(AND(OR(Planilla!B497="B", Planilla!B497="BPAL"), VLOOKUP(E497,EX:FJ,13,0)="A"), "DEFICIT",IF(AND(OR(Planilla!B497="B", Planilla!B497="BPAL"), VLOOKUP(E497,EX:FJ,13,0)="C"), "SOBREOFERTA",IF(AND(Planilla!B497="A", VLOOKUP(E497,EX:FJ,13,0)="A"), "OK",IF(
AND(Planilla!B497="A", OR(VLOOKUP(E497,EX:FJ,13,0)="B", VLOOKUP(E497,EX:FJ,13,0)="C")), "SOBREOFERTA",""
))))))),"")</f>
        <v/>
      </c>
      <c r="E497" s="12"/>
      <c r="F497" s="13"/>
      <c r="G497" s="14"/>
      <c r="H497" s="81" t="str">
        <f t="shared" si="158"/>
        <v/>
      </c>
      <c r="I497" s="7"/>
      <c r="J497" s="6" t="e">
        <f t="shared" si="159"/>
        <v>#N/A</v>
      </c>
      <c r="K497" s="6" t="str">
        <f>IF(A498&lt;&gt;A497,AVERAGEIF(A$9:A497,A497,J$9:J497),"")</f>
        <v/>
      </c>
      <c r="L497" s="7" t="str">
        <f>IFERROR(IF(A498&lt;&gt;A497,AVERAGEIF(A$9:A497,A497,S$9:S497),""),"")</f>
        <v/>
      </c>
      <c r="M497" s="7" t="str">
        <f>IFERROR(IF(A498&lt;&gt;A497,AVERAGEIF(A$9:A497,A497,T$9:T497),""),"")</f>
        <v/>
      </c>
      <c r="N497" s="7" t="str" cm="1">
        <f t="array" ref="N497">IFERROR(IF(A498&lt;&gt;A497,_xlfn.STDEV.P(IF(A$9:A497=A497,T$9:T497)),""),"")</f>
        <v/>
      </c>
      <c r="O497" s="7" t="str" cm="1">
        <f t="array" ref="O497">IFERROR(IF(A498&lt;&gt;A497,_xlfn.STDEV.P(IF(A$9:A497=A497,S$9:S497)),""),"")</f>
        <v/>
      </c>
      <c r="P497" s="8" t="str">
        <f t="shared" si="160"/>
        <v/>
      </c>
      <c r="Q497" s="8" t="str">
        <f t="shared" si="161"/>
        <v/>
      </c>
      <c r="R497" s="8" t="str">
        <f t="shared" si="162"/>
        <v/>
      </c>
      <c r="S497" s="9" t="str">
        <f t="shared" si="163"/>
        <v/>
      </c>
      <c r="T497" s="9" t="str">
        <f t="shared" si="164"/>
        <v/>
      </c>
      <c r="U497" s="14"/>
      <c r="V497" s="15"/>
      <c r="W497" s="14" t="str">
        <f t="shared" si="165"/>
        <v/>
      </c>
      <c r="X497" s="15"/>
      <c r="Y497" s="2"/>
      <c r="AB497" s="22">
        <f t="shared" si="166"/>
        <v>1</v>
      </c>
      <c r="AC497" s="11"/>
      <c r="AD497" s="11"/>
      <c r="AE497" s="13"/>
      <c r="AF497" s="12"/>
      <c r="AG497" s="13"/>
      <c r="AH497" s="14"/>
      <c r="AI497" s="81" t="str">
        <f t="shared" si="167"/>
        <v/>
      </c>
      <c r="AJ497" s="15"/>
      <c r="AK497" s="6" t="e">
        <f t="shared" si="168"/>
        <v>#N/A</v>
      </c>
      <c r="AL497" s="6" t="str">
        <f>IF(AB498&lt;&gt;AB497,AVERAGEIF(AB$9:AB497,AB497,AK$9:AK497),"")</f>
        <v/>
      </c>
      <c r="AM497" s="7" t="str">
        <f>IFERROR(IF(AB498&lt;&gt;AB497,AVERAGEIF(AB$9:AB497,AB497,AT$9:AT497),""),"")</f>
        <v/>
      </c>
      <c r="AN497" s="7" t="str">
        <f>IFERROR(IF(AB498&lt;&gt;AB497,AVERAGEIF(AB$9:AB497,AB497,AU$9:AU497),""),"")</f>
        <v/>
      </c>
      <c r="AO497" s="7" t="str" cm="1">
        <f t="array" ref="AO497">IFERROR(IF(AB498&lt;&gt;AB497,_xlfn.STDEV.P(IF(AB$9:AB497=AB497,AU$9:AU497)),""),"")</f>
        <v/>
      </c>
      <c r="AP497" s="7" t="str" cm="1">
        <f t="array" ref="AP497">IFERROR(IF(AB498&lt;&gt;AB497,_xlfn.STDEV.P(IF(AB$9:AB497=AB497,AT$9:AT497)),""),"")</f>
        <v/>
      </c>
      <c r="AQ497" s="8" t="str">
        <f t="shared" si="169"/>
        <v/>
      </c>
      <c r="AR497" s="8" t="str">
        <f t="shared" si="170"/>
        <v/>
      </c>
      <c r="AS497" s="8" t="str">
        <f t="shared" si="171"/>
        <v/>
      </c>
      <c r="AT497" s="9" t="str">
        <f t="shared" si="172"/>
        <v/>
      </c>
      <c r="AU497" s="9" t="str">
        <f t="shared" si="173"/>
        <v/>
      </c>
      <c r="AV497" s="14"/>
      <c r="AW497" s="15"/>
      <c r="AX497" s="14" t="str">
        <f t="shared" si="174"/>
        <v/>
      </c>
      <c r="AY497" s="15"/>
      <c r="AZ497" s="23"/>
      <c r="EW497" t="s">
        <v>46</v>
      </c>
      <c r="EX497" s="33" t="s">
        <v>47</v>
      </c>
      <c r="EY497" s="35" t="s">
        <v>1314</v>
      </c>
      <c r="EZ497" s="36" t="s">
        <v>1315</v>
      </c>
      <c r="FA497" s="36" t="s">
        <v>1192</v>
      </c>
      <c r="FB497" s="36" t="s">
        <v>344</v>
      </c>
      <c r="FC497" s="36" t="s">
        <v>1192</v>
      </c>
      <c r="FD497" s="36" t="s">
        <v>344</v>
      </c>
      <c r="FE497" s="36">
        <v>2026</v>
      </c>
      <c r="FF497" s="36" t="s">
        <v>59</v>
      </c>
      <c r="FG497" s="36" t="s">
        <v>1210</v>
      </c>
      <c r="FJ497" t="s">
        <v>59</v>
      </c>
      <c r="FM497" s="32" t="s">
        <v>1215</v>
      </c>
      <c r="FN497" t="s">
        <v>1215</v>
      </c>
      <c r="FO497" t="s">
        <v>1216</v>
      </c>
      <c r="FP497" t="str">
        <f t="shared" si="156"/>
        <v>C</v>
      </c>
      <c r="FT497" s="69" t="s">
        <v>7444</v>
      </c>
      <c r="FU497" s="61">
        <v>0</v>
      </c>
      <c r="FV497" s="61">
        <v>0</v>
      </c>
      <c r="FW497" s="61">
        <v>0</v>
      </c>
      <c r="FX497" s="61">
        <v>0</v>
      </c>
      <c r="FY497" s="61">
        <v>0</v>
      </c>
      <c r="FZ497" s="61">
        <v>10.955</v>
      </c>
      <c r="GA497" s="61">
        <v>21.695</v>
      </c>
      <c r="GB497" s="61">
        <v>20.865000000000002</v>
      </c>
      <c r="GC497" s="61">
        <v>20.125</v>
      </c>
      <c r="GD497" s="61">
        <v>19.155000000000001</v>
      </c>
      <c r="GE497" s="61">
        <v>18.240000000000002</v>
      </c>
      <c r="GF497" s="61">
        <v>17.605</v>
      </c>
      <c r="GG497" s="61">
        <v>16.655000000000001</v>
      </c>
      <c r="GH497" s="61">
        <v>16.149999999999999</v>
      </c>
      <c r="GI497" s="61">
        <v>16.86</v>
      </c>
      <c r="GJ497" s="61">
        <v>17.585000000000001</v>
      </c>
      <c r="GK497" s="61">
        <v>16.634999999999998</v>
      </c>
      <c r="GL497" s="61">
        <v>15.904999999999999</v>
      </c>
      <c r="GM497" s="61">
        <v>16.72</v>
      </c>
      <c r="GN497" s="61">
        <v>17.560000000000002</v>
      </c>
      <c r="GO497" s="61">
        <v>18.384999999999998</v>
      </c>
      <c r="GP497" s="61">
        <v>18.420000000000002</v>
      </c>
      <c r="GQ497" s="61">
        <v>20.155000000000001</v>
      </c>
      <c r="GR497" s="61">
        <v>22.78</v>
      </c>
      <c r="GU497" s="53">
        <v>42</v>
      </c>
      <c r="GV497" s="53">
        <v>491</v>
      </c>
    </row>
    <row r="498" spans="1:204" ht="15.5" x14ac:dyDescent="0.35">
      <c r="A498" s="95">
        <f t="shared" si="157"/>
        <v>1</v>
      </c>
      <c r="B498" s="11"/>
      <c r="C498" s="11"/>
      <c r="D498" s="92" t="str">
        <f>IFERROR(
IF(AND(OR(Planilla!B498="C",Planilla!B498="c"), VLOOKUP(E498,EX:FJ,13,0)="C"), "OK",IF(AND(OR(Planilla!B498="C",Planilla!B498="c"), OR(VLOOKUP(E498,EX:FJ,13,0)="B", VLOOKUP(E498,EX:FJ,13,0)="A")), "DEFICIT",IF(
AND(OR(Planilla!B498="B", Planilla!B498="BPAL"), VLOOKUP(E498,EX:FJ,13,0)="B"), "OK",IF(AND(OR(Planilla!B498="B", Planilla!B498="BPAL"), VLOOKUP(E498,EX:FJ,13,0)="A"), "DEFICIT",IF(AND(OR(Planilla!B498="B", Planilla!B498="BPAL"), VLOOKUP(E498,EX:FJ,13,0)="C"), "SOBREOFERTA",IF(AND(Planilla!B498="A", VLOOKUP(E498,EX:FJ,13,0)="A"), "OK",IF(
AND(Planilla!B498="A", OR(VLOOKUP(E498,EX:FJ,13,0)="B", VLOOKUP(E498,EX:FJ,13,0)="C")), "SOBREOFERTA",""
))))))),"")</f>
        <v/>
      </c>
      <c r="E498" s="12"/>
      <c r="F498" s="13"/>
      <c r="G498" s="14"/>
      <c r="H498" s="81" t="str">
        <f t="shared" si="158"/>
        <v/>
      </c>
      <c r="I498" s="7"/>
      <c r="J498" s="6" t="e">
        <f t="shared" si="159"/>
        <v>#N/A</v>
      </c>
      <c r="K498" s="6" t="str">
        <f>IF(A499&lt;&gt;A498,AVERAGEIF(A$9:A498,A498,J$9:J498),"")</f>
        <v/>
      </c>
      <c r="L498" s="7" t="str">
        <f>IFERROR(IF(A499&lt;&gt;A498,AVERAGEIF(A$9:A498,A498,S$9:S498),""),"")</f>
        <v/>
      </c>
      <c r="M498" s="7" t="str">
        <f>IFERROR(IF(A499&lt;&gt;A498,AVERAGEIF(A$9:A498,A498,T$9:T498),""),"")</f>
        <v/>
      </c>
      <c r="N498" s="7" t="str" cm="1">
        <f t="array" ref="N498">IFERROR(IF(A499&lt;&gt;A498,_xlfn.STDEV.P(IF(A$9:A498=A498,T$9:T498)),""),"")</f>
        <v/>
      </c>
      <c r="O498" s="7" t="str" cm="1">
        <f t="array" ref="O498">IFERROR(IF(A499&lt;&gt;A498,_xlfn.STDEV.P(IF(A$9:A498=A498,S$9:S498)),""),"")</f>
        <v/>
      </c>
      <c r="P498" s="8" t="str">
        <f t="shared" si="160"/>
        <v/>
      </c>
      <c r="Q498" s="8" t="str">
        <f t="shared" si="161"/>
        <v/>
      </c>
      <c r="R498" s="8" t="str">
        <f t="shared" si="162"/>
        <v/>
      </c>
      <c r="S498" s="9" t="str">
        <f t="shared" si="163"/>
        <v/>
      </c>
      <c r="T498" s="9" t="str">
        <f t="shared" si="164"/>
        <v/>
      </c>
      <c r="U498" s="14"/>
      <c r="V498" s="15"/>
      <c r="W498" s="14" t="str">
        <f t="shared" si="165"/>
        <v/>
      </c>
      <c r="X498" s="15"/>
      <c r="Y498" s="2"/>
      <c r="AB498" s="22">
        <f t="shared" si="166"/>
        <v>1</v>
      </c>
      <c r="AC498" s="11"/>
      <c r="AD498" s="11"/>
      <c r="AE498" s="13"/>
      <c r="AF498" s="12"/>
      <c r="AG498" s="13"/>
      <c r="AH498" s="14"/>
      <c r="AI498" s="81" t="str">
        <f t="shared" si="167"/>
        <v/>
      </c>
      <c r="AJ498" s="15"/>
      <c r="AK498" s="6" t="e">
        <f t="shared" si="168"/>
        <v>#N/A</v>
      </c>
      <c r="AL498" s="6" t="str">
        <f>IF(AB499&lt;&gt;AB498,AVERAGEIF(AB$9:AB498,AB498,AK$9:AK498),"")</f>
        <v/>
      </c>
      <c r="AM498" s="7" t="str">
        <f>IFERROR(IF(AB499&lt;&gt;AB498,AVERAGEIF(AB$9:AB498,AB498,AT$9:AT498),""),"")</f>
        <v/>
      </c>
      <c r="AN498" s="7" t="str">
        <f>IFERROR(IF(AB499&lt;&gt;AB498,AVERAGEIF(AB$9:AB498,AB498,AU$9:AU498),""),"")</f>
        <v/>
      </c>
      <c r="AO498" s="7" t="str" cm="1">
        <f t="array" ref="AO498">IFERROR(IF(AB499&lt;&gt;AB498,_xlfn.STDEV.P(IF(AB$9:AB498=AB498,AU$9:AU498)),""),"")</f>
        <v/>
      </c>
      <c r="AP498" s="7" t="str" cm="1">
        <f t="array" ref="AP498">IFERROR(IF(AB499&lt;&gt;AB498,_xlfn.STDEV.P(IF(AB$9:AB498=AB498,AT$9:AT498)),""),"")</f>
        <v/>
      </c>
      <c r="AQ498" s="8" t="str">
        <f t="shared" si="169"/>
        <v/>
      </c>
      <c r="AR498" s="8" t="str">
        <f t="shared" si="170"/>
        <v/>
      </c>
      <c r="AS498" s="8" t="str">
        <f t="shared" si="171"/>
        <v/>
      </c>
      <c r="AT498" s="9" t="str">
        <f t="shared" si="172"/>
        <v/>
      </c>
      <c r="AU498" s="9" t="str">
        <f t="shared" si="173"/>
        <v/>
      </c>
      <c r="AV498" s="14"/>
      <c r="AW498" s="15"/>
      <c r="AX498" s="14" t="str">
        <f t="shared" si="174"/>
        <v/>
      </c>
      <c r="AY498" s="15"/>
      <c r="AZ498" s="23"/>
      <c r="EW498" t="s">
        <v>46</v>
      </c>
      <c r="EX498" s="33" t="s">
        <v>47</v>
      </c>
      <c r="EY498" s="35" t="s">
        <v>1316</v>
      </c>
      <c r="EZ498" s="36" t="s">
        <v>1317</v>
      </c>
      <c r="FA498" s="36" t="s">
        <v>1192</v>
      </c>
      <c r="FB498" s="36" t="s">
        <v>344</v>
      </c>
      <c r="FC498" s="36" t="s">
        <v>1192</v>
      </c>
      <c r="FD498" s="36" t="s">
        <v>344</v>
      </c>
      <c r="FE498" s="36">
        <v>2026</v>
      </c>
      <c r="FF498" s="36" t="s">
        <v>59</v>
      </c>
      <c r="FG498" s="36" t="s">
        <v>1210</v>
      </c>
      <c r="FJ498" t="s">
        <v>59</v>
      </c>
      <c r="FM498" s="32" t="s">
        <v>1225</v>
      </c>
      <c r="FN498" t="s">
        <v>1225</v>
      </c>
      <c r="FO498" t="s">
        <v>1226</v>
      </c>
      <c r="FP498" t="str">
        <f t="shared" si="156"/>
        <v>B</v>
      </c>
      <c r="FT498" s="69" t="s">
        <v>7445</v>
      </c>
      <c r="FU498" s="61">
        <v>0</v>
      </c>
      <c r="FV498" s="61">
        <v>0</v>
      </c>
      <c r="FW498" s="61">
        <v>0</v>
      </c>
      <c r="FX498" s="61">
        <v>0</v>
      </c>
      <c r="FY498" s="61">
        <v>0</v>
      </c>
      <c r="FZ498" s="61">
        <v>11.25</v>
      </c>
      <c r="GA498" s="61">
        <v>22.29</v>
      </c>
      <c r="GB498" s="61">
        <v>21.545000000000002</v>
      </c>
      <c r="GC498" s="61">
        <v>20.375</v>
      </c>
      <c r="GD498" s="61">
        <v>18.734999999999999</v>
      </c>
      <c r="GE498" s="61">
        <v>17.880000000000003</v>
      </c>
      <c r="GF498" s="61">
        <v>16.605</v>
      </c>
      <c r="GG498" s="61">
        <v>14.865</v>
      </c>
      <c r="GH498" s="61">
        <v>14.67</v>
      </c>
      <c r="GI498" s="61">
        <v>15.860000000000001</v>
      </c>
      <c r="GJ498" s="61">
        <v>16.760000000000002</v>
      </c>
      <c r="GK498" s="61">
        <v>17.329999999999998</v>
      </c>
      <c r="GL498" s="61">
        <v>16.744999999999997</v>
      </c>
      <c r="GM498" s="61">
        <v>17.035</v>
      </c>
      <c r="GN498" s="61">
        <v>17.649999999999999</v>
      </c>
      <c r="GO498" s="61">
        <v>18.490000000000002</v>
      </c>
      <c r="GP498" s="61">
        <v>19.82</v>
      </c>
      <c r="GQ498" s="61">
        <v>20.995000000000001</v>
      </c>
      <c r="GR498" s="61">
        <v>0</v>
      </c>
      <c r="GU498" s="53">
        <v>43</v>
      </c>
      <c r="GV498" s="53">
        <v>492</v>
      </c>
    </row>
    <row r="499" spans="1:204" ht="15.5" x14ac:dyDescent="0.35">
      <c r="A499" s="95">
        <f t="shared" si="157"/>
        <v>1</v>
      </c>
      <c r="B499" s="11"/>
      <c r="C499" s="11"/>
      <c r="D499" s="92" t="str">
        <f>IFERROR(
IF(AND(OR(Planilla!B499="C",Planilla!B499="c"), VLOOKUP(E499,EX:FJ,13,0)="C"), "OK",IF(AND(OR(Planilla!B499="C",Planilla!B499="c"), OR(VLOOKUP(E499,EX:FJ,13,0)="B", VLOOKUP(E499,EX:FJ,13,0)="A")), "DEFICIT",IF(
AND(OR(Planilla!B499="B", Planilla!B499="BPAL"), VLOOKUP(E499,EX:FJ,13,0)="B"), "OK",IF(AND(OR(Planilla!B499="B", Planilla!B499="BPAL"), VLOOKUP(E499,EX:FJ,13,0)="A"), "DEFICIT",IF(AND(OR(Planilla!B499="B", Planilla!B499="BPAL"), VLOOKUP(E499,EX:FJ,13,0)="C"), "SOBREOFERTA",IF(AND(Planilla!B499="A", VLOOKUP(E499,EX:FJ,13,0)="A"), "OK",IF(
AND(Planilla!B499="A", OR(VLOOKUP(E499,EX:FJ,13,0)="B", VLOOKUP(E499,EX:FJ,13,0)="C")), "SOBREOFERTA",""
))))))),"")</f>
        <v/>
      </c>
      <c r="E499" s="12"/>
      <c r="F499" s="13"/>
      <c r="G499" s="14"/>
      <c r="H499" s="81" t="str">
        <f t="shared" si="158"/>
        <v/>
      </c>
      <c r="I499" s="7"/>
      <c r="J499" s="6" t="e">
        <f t="shared" si="159"/>
        <v>#N/A</v>
      </c>
      <c r="K499" s="6" t="str">
        <f>IF(A500&lt;&gt;A499,AVERAGEIF(A$9:A499,A499,J$9:J499),"")</f>
        <v/>
      </c>
      <c r="L499" s="7" t="str">
        <f>IFERROR(IF(A500&lt;&gt;A499,AVERAGEIF(A$9:A499,A499,S$9:S499),""),"")</f>
        <v/>
      </c>
      <c r="M499" s="7" t="str">
        <f>IFERROR(IF(A500&lt;&gt;A499,AVERAGEIF(A$9:A499,A499,T$9:T499),""),"")</f>
        <v/>
      </c>
      <c r="N499" s="7" t="str" cm="1">
        <f t="array" ref="N499">IFERROR(IF(A500&lt;&gt;A499,_xlfn.STDEV.P(IF(A$9:A499=A499,T$9:T499)),""),"")</f>
        <v/>
      </c>
      <c r="O499" s="7" t="str" cm="1">
        <f t="array" ref="O499">IFERROR(IF(A500&lt;&gt;A499,_xlfn.STDEV.P(IF(A$9:A499=A499,S$9:S499)),""),"")</f>
        <v/>
      </c>
      <c r="P499" s="8" t="str">
        <f t="shared" si="160"/>
        <v/>
      </c>
      <c r="Q499" s="8" t="str">
        <f t="shared" si="161"/>
        <v/>
      </c>
      <c r="R499" s="8" t="str">
        <f t="shared" si="162"/>
        <v/>
      </c>
      <c r="S499" s="9" t="str">
        <f t="shared" si="163"/>
        <v/>
      </c>
      <c r="T499" s="9" t="str">
        <f t="shared" si="164"/>
        <v/>
      </c>
      <c r="U499" s="14"/>
      <c r="V499" s="15"/>
      <c r="W499" s="14" t="str">
        <f t="shared" si="165"/>
        <v/>
      </c>
      <c r="X499" s="15"/>
      <c r="Y499" s="2"/>
      <c r="AB499" s="22">
        <f t="shared" si="166"/>
        <v>1</v>
      </c>
      <c r="AC499" s="11"/>
      <c r="AD499" s="11"/>
      <c r="AE499" s="13"/>
      <c r="AF499" s="12"/>
      <c r="AG499" s="13"/>
      <c r="AH499" s="14"/>
      <c r="AI499" s="81" t="str">
        <f t="shared" si="167"/>
        <v/>
      </c>
      <c r="AJ499" s="15"/>
      <c r="AK499" s="6" t="e">
        <f t="shared" si="168"/>
        <v>#N/A</v>
      </c>
      <c r="AL499" s="6" t="str">
        <f>IF(AB500&lt;&gt;AB499,AVERAGEIF(AB$9:AB499,AB499,AK$9:AK499),"")</f>
        <v/>
      </c>
      <c r="AM499" s="7" t="str">
        <f>IFERROR(IF(AB500&lt;&gt;AB499,AVERAGEIF(AB$9:AB499,AB499,AT$9:AT499),""),"")</f>
        <v/>
      </c>
      <c r="AN499" s="7" t="str">
        <f>IFERROR(IF(AB500&lt;&gt;AB499,AVERAGEIF(AB$9:AB499,AB499,AU$9:AU499),""),"")</f>
        <v/>
      </c>
      <c r="AO499" s="7" t="str" cm="1">
        <f t="array" ref="AO499">IFERROR(IF(AB500&lt;&gt;AB499,_xlfn.STDEV.P(IF(AB$9:AB499=AB499,AU$9:AU499)),""),"")</f>
        <v/>
      </c>
      <c r="AP499" s="7" t="str" cm="1">
        <f t="array" ref="AP499">IFERROR(IF(AB500&lt;&gt;AB499,_xlfn.STDEV.P(IF(AB$9:AB499=AB499,AT$9:AT499)),""),"")</f>
        <v/>
      </c>
      <c r="AQ499" s="8" t="str">
        <f t="shared" si="169"/>
        <v/>
      </c>
      <c r="AR499" s="8" t="str">
        <f t="shared" si="170"/>
        <v/>
      </c>
      <c r="AS499" s="8" t="str">
        <f t="shared" si="171"/>
        <v/>
      </c>
      <c r="AT499" s="9" t="str">
        <f t="shared" si="172"/>
        <v/>
      </c>
      <c r="AU499" s="9" t="str">
        <f t="shared" si="173"/>
        <v/>
      </c>
      <c r="AV499" s="14"/>
      <c r="AW499" s="15"/>
      <c r="AX499" s="14" t="str">
        <f t="shared" si="174"/>
        <v/>
      </c>
      <c r="AY499" s="15"/>
      <c r="AZ499" s="23"/>
      <c r="EW499" t="s">
        <v>46</v>
      </c>
      <c r="EX499" s="33" t="s">
        <v>47</v>
      </c>
      <c r="EY499" s="35" t="s">
        <v>1318</v>
      </c>
      <c r="EZ499" s="36" t="s">
        <v>1319</v>
      </c>
      <c r="FA499" s="36" t="s">
        <v>1192</v>
      </c>
      <c r="FB499" s="36" t="s">
        <v>344</v>
      </c>
      <c r="FC499" s="36" t="s">
        <v>1192</v>
      </c>
      <c r="FD499" s="36" t="s">
        <v>344</v>
      </c>
      <c r="FE499" s="36">
        <v>2026</v>
      </c>
      <c r="FF499" s="36" t="s">
        <v>59</v>
      </c>
      <c r="FG499" s="36" t="s">
        <v>1210</v>
      </c>
      <c r="FJ499" t="s">
        <v>59</v>
      </c>
      <c r="FM499" s="32" t="s">
        <v>347</v>
      </c>
      <c r="FN499" t="s">
        <v>348</v>
      </c>
      <c r="FO499" t="s">
        <v>349</v>
      </c>
      <c r="FP499" t="str">
        <f t="shared" si="156"/>
        <v>B</v>
      </c>
      <c r="FT499" s="69" t="s">
        <v>7447</v>
      </c>
      <c r="FU499" s="61">
        <v>26.58</v>
      </c>
      <c r="FV499" s="61">
        <v>0</v>
      </c>
      <c r="FW499" s="61">
        <v>0</v>
      </c>
      <c r="FX499" s="61">
        <v>0</v>
      </c>
      <c r="FY499" s="61">
        <v>0</v>
      </c>
      <c r="FZ499" s="61">
        <v>12.11</v>
      </c>
      <c r="GA499" s="61">
        <v>23.615000000000002</v>
      </c>
      <c r="GB499" s="61">
        <v>21.29</v>
      </c>
      <c r="GC499" s="61">
        <v>19.615000000000002</v>
      </c>
      <c r="GD499" s="61">
        <v>19.170000000000002</v>
      </c>
      <c r="GE499" s="61">
        <v>18.035</v>
      </c>
      <c r="GF499" s="61">
        <v>16.774999999999999</v>
      </c>
      <c r="GG499" s="61">
        <v>16.085000000000001</v>
      </c>
      <c r="GH499" s="61">
        <v>16.119999999999997</v>
      </c>
      <c r="GI499" s="61">
        <v>16.799999999999997</v>
      </c>
      <c r="GJ499" s="61">
        <v>16.934999999999999</v>
      </c>
      <c r="GK499" s="61">
        <v>17.39</v>
      </c>
      <c r="GL499" s="61">
        <v>17.504999999999999</v>
      </c>
      <c r="GM499" s="61">
        <v>17.524999999999999</v>
      </c>
      <c r="GN499" s="61">
        <v>18.024999999999999</v>
      </c>
      <c r="GO499" s="61">
        <v>18.560000000000002</v>
      </c>
      <c r="GP499" s="61">
        <v>19.085000000000001</v>
      </c>
      <c r="GQ499" s="61">
        <v>20.905000000000001</v>
      </c>
      <c r="GR499" s="61">
        <v>24.814999999999998</v>
      </c>
      <c r="GU499" s="53">
        <v>44</v>
      </c>
      <c r="GV499" s="53">
        <v>493</v>
      </c>
    </row>
    <row r="500" spans="1:204" ht="15.5" x14ac:dyDescent="0.35">
      <c r="A500" s="95">
        <f t="shared" si="157"/>
        <v>1</v>
      </c>
      <c r="B500" s="11"/>
      <c r="C500" s="11"/>
      <c r="D500" s="92" t="str">
        <f>IFERROR(
IF(AND(OR(Planilla!B500="C",Planilla!B500="c"), VLOOKUP(E500,EX:FJ,13,0)="C"), "OK",IF(AND(OR(Planilla!B500="C",Planilla!B500="c"), OR(VLOOKUP(E500,EX:FJ,13,0)="B", VLOOKUP(E500,EX:FJ,13,0)="A")), "DEFICIT",IF(
AND(OR(Planilla!B500="B", Planilla!B500="BPAL"), VLOOKUP(E500,EX:FJ,13,0)="B"), "OK",IF(AND(OR(Planilla!B500="B", Planilla!B500="BPAL"), VLOOKUP(E500,EX:FJ,13,0)="A"), "DEFICIT",IF(AND(OR(Planilla!B500="B", Planilla!B500="BPAL"), VLOOKUP(E500,EX:FJ,13,0)="C"), "SOBREOFERTA",IF(AND(Planilla!B500="A", VLOOKUP(E500,EX:FJ,13,0)="A"), "OK",IF(
AND(Planilla!B500="A", OR(VLOOKUP(E500,EX:FJ,13,0)="B", VLOOKUP(E500,EX:FJ,13,0)="C")), "SOBREOFERTA",""
))))))),"")</f>
        <v/>
      </c>
      <c r="E500" s="12"/>
      <c r="F500" s="13"/>
      <c r="G500" s="14"/>
      <c r="H500" s="81" t="str">
        <f t="shared" si="158"/>
        <v/>
      </c>
      <c r="I500" s="7"/>
      <c r="J500" s="6" t="e">
        <f t="shared" si="159"/>
        <v>#N/A</v>
      </c>
      <c r="K500" s="6" t="str">
        <f>IF(A501&lt;&gt;A500,AVERAGEIF(A$9:A500,A500,J$9:J500),"")</f>
        <v/>
      </c>
      <c r="L500" s="7" t="str">
        <f>IFERROR(IF(A501&lt;&gt;A500,AVERAGEIF(A$9:A500,A500,S$9:S500),""),"")</f>
        <v/>
      </c>
      <c r="M500" s="7" t="str">
        <f>IFERROR(IF(A501&lt;&gt;A500,AVERAGEIF(A$9:A500,A500,T$9:T500),""),"")</f>
        <v/>
      </c>
      <c r="N500" s="7" t="str" cm="1">
        <f t="array" ref="N500">IFERROR(IF(A501&lt;&gt;A500,_xlfn.STDEV.P(IF(A$9:A500=A500,T$9:T500)),""),"")</f>
        <v/>
      </c>
      <c r="O500" s="7" t="str" cm="1">
        <f t="array" ref="O500">IFERROR(IF(A501&lt;&gt;A500,_xlfn.STDEV.P(IF(A$9:A500=A500,S$9:S500)),""),"")</f>
        <v/>
      </c>
      <c r="P500" s="8" t="str">
        <f t="shared" si="160"/>
        <v/>
      </c>
      <c r="Q500" s="8" t="str">
        <f t="shared" si="161"/>
        <v/>
      </c>
      <c r="R500" s="8" t="str">
        <f t="shared" si="162"/>
        <v/>
      </c>
      <c r="S500" s="9" t="str">
        <f t="shared" si="163"/>
        <v/>
      </c>
      <c r="T500" s="9" t="str">
        <f t="shared" si="164"/>
        <v/>
      </c>
      <c r="U500" s="14"/>
      <c r="V500" s="15"/>
      <c r="W500" s="14" t="str">
        <f t="shared" si="165"/>
        <v/>
      </c>
      <c r="X500" s="15"/>
      <c r="Y500" s="2"/>
      <c r="AB500" s="22">
        <f t="shared" si="166"/>
        <v>1</v>
      </c>
      <c r="AC500" s="11"/>
      <c r="AD500" s="11"/>
      <c r="AE500" s="13"/>
      <c r="AF500" s="12"/>
      <c r="AG500" s="13"/>
      <c r="AH500" s="14"/>
      <c r="AI500" s="81" t="str">
        <f t="shared" si="167"/>
        <v/>
      </c>
      <c r="AJ500" s="15"/>
      <c r="AK500" s="6" t="e">
        <f t="shared" si="168"/>
        <v>#N/A</v>
      </c>
      <c r="AL500" s="6" t="str">
        <f>IF(AB501&lt;&gt;AB500,AVERAGEIF(AB$9:AB500,AB500,AK$9:AK500),"")</f>
        <v/>
      </c>
      <c r="AM500" s="7" t="str">
        <f>IFERROR(IF(AB501&lt;&gt;AB500,AVERAGEIF(AB$9:AB500,AB500,AT$9:AT500),""),"")</f>
        <v/>
      </c>
      <c r="AN500" s="7" t="str">
        <f>IFERROR(IF(AB501&lt;&gt;AB500,AVERAGEIF(AB$9:AB500,AB500,AU$9:AU500),""),"")</f>
        <v/>
      </c>
      <c r="AO500" s="7" t="str" cm="1">
        <f t="array" ref="AO500">IFERROR(IF(AB501&lt;&gt;AB500,_xlfn.STDEV.P(IF(AB$9:AB500=AB500,AU$9:AU500)),""),"")</f>
        <v/>
      </c>
      <c r="AP500" s="7" t="str" cm="1">
        <f t="array" ref="AP500">IFERROR(IF(AB501&lt;&gt;AB500,_xlfn.STDEV.P(IF(AB$9:AB500=AB500,AT$9:AT500)),""),"")</f>
        <v/>
      </c>
      <c r="AQ500" s="8" t="str">
        <f t="shared" si="169"/>
        <v/>
      </c>
      <c r="AR500" s="8" t="str">
        <f t="shared" si="170"/>
        <v/>
      </c>
      <c r="AS500" s="8" t="str">
        <f t="shared" si="171"/>
        <v/>
      </c>
      <c r="AT500" s="9" t="str">
        <f t="shared" si="172"/>
        <v/>
      </c>
      <c r="AU500" s="9" t="str">
        <f t="shared" si="173"/>
        <v/>
      </c>
      <c r="AV500" s="14"/>
      <c r="AW500" s="15"/>
      <c r="AX500" s="14" t="str">
        <f t="shared" si="174"/>
        <v/>
      </c>
      <c r="AY500" s="15"/>
      <c r="AZ500" s="23"/>
      <c r="EW500" t="s">
        <v>46</v>
      </c>
      <c r="EX500" s="33" t="s">
        <v>47</v>
      </c>
      <c r="EY500" s="35" t="s">
        <v>1320</v>
      </c>
      <c r="EZ500" s="36" t="s">
        <v>1321</v>
      </c>
      <c r="FA500" s="36" t="s">
        <v>1192</v>
      </c>
      <c r="FB500" s="36" t="s">
        <v>344</v>
      </c>
      <c r="FC500" s="36" t="s">
        <v>1192</v>
      </c>
      <c r="FD500" s="36" t="s">
        <v>344</v>
      </c>
      <c r="FE500" s="36">
        <v>2026</v>
      </c>
      <c r="FF500" s="36" t="s">
        <v>59</v>
      </c>
      <c r="FG500" s="36" t="s">
        <v>1210</v>
      </c>
      <c r="FJ500" t="s">
        <v>59</v>
      </c>
      <c r="FM500" s="32" t="s">
        <v>1221</v>
      </c>
      <c r="FN500" t="s">
        <v>1221</v>
      </c>
      <c r="FO500" t="s">
        <v>1222</v>
      </c>
      <c r="FP500" t="str">
        <f t="shared" si="156"/>
        <v>C</v>
      </c>
      <c r="FT500" s="69" t="s">
        <v>7447</v>
      </c>
      <c r="FU500" s="61">
        <v>0</v>
      </c>
      <c r="FV500" s="61">
        <v>0</v>
      </c>
      <c r="FW500" s="61">
        <v>0</v>
      </c>
      <c r="FX500" s="61">
        <v>0</v>
      </c>
      <c r="FY500" s="61">
        <v>26.490000000000002</v>
      </c>
      <c r="FZ500" s="61">
        <v>25.26</v>
      </c>
      <c r="GA500" s="61">
        <v>22.545000000000002</v>
      </c>
      <c r="GB500" s="61">
        <v>21.16</v>
      </c>
      <c r="GC500" s="61">
        <v>20.844999999999999</v>
      </c>
      <c r="GD500" s="61">
        <v>19.835000000000001</v>
      </c>
      <c r="GE500" s="61">
        <v>18.685000000000002</v>
      </c>
      <c r="GF500" s="61">
        <v>17.72</v>
      </c>
      <c r="GG500" s="61">
        <v>17.295000000000002</v>
      </c>
      <c r="GH500" s="61">
        <v>17.16</v>
      </c>
      <c r="GI500" s="61">
        <v>17.100000000000001</v>
      </c>
      <c r="GJ500" s="61">
        <v>17.844999999999999</v>
      </c>
      <c r="GK500" s="61">
        <v>18.225000000000001</v>
      </c>
      <c r="GL500" s="61">
        <v>18.265000000000001</v>
      </c>
      <c r="GM500" s="61">
        <v>18.634999999999998</v>
      </c>
      <c r="GN500" s="61">
        <v>18.734999999999999</v>
      </c>
      <c r="GO500" s="61">
        <v>18.829999999999998</v>
      </c>
      <c r="GP500" s="61">
        <v>20.630000000000003</v>
      </c>
      <c r="GQ500" s="61">
        <v>23.395000000000003</v>
      </c>
      <c r="GR500" s="61">
        <v>25.924999999999997</v>
      </c>
      <c r="GU500" s="53">
        <v>45</v>
      </c>
      <c r="GV500" s="53">
        <v>494</v>
      </c>
    </row>
    <row r="501" spans="1:204" ht="15.5" x14ac:dyDescent="0.35">
      <c r="A501" s="95">
        <f t="shared" si="157"/>
        <v>1</v>
      </c>
      <c r="B501" s="11"/>
      <c r="C501" s="11"/>
      <c r="D501" s="92" t="str">
        <f>IFERROR(
IF(AND(OR(Planilla!B501="C",Planilla!B501="c"), VLOOKUP(E501,EX:FJ,13,0)="C"), "OK",IF(AND(OR(Planilla!B501="C",Planilla!B501="c"), OR(VLOOKUP(E501,EX:FJ,13,0)="B", VLOOKUP(E501,EX:FJ,13,0)="A")), "DEFICIT",IF(
AND(OR(Planilla!B501="B", Planilla!B501="BPAL"), VLOOKUP(E501,EX:FJ,13,0)="B"), "OK",IF(AND(OR(Planilla!B501="B", Planilla!B501="BPAL"), VLOOKUP(E501,EX:FJ,13,0)="A"), "DEFICIT",IF(AND(OR(Planilla!B501="B", Planilla!B501="BPAL"), VLOOKUP(E501,EX:FJ,13,0)="C"), "SOBREOFERTA",IF(AND(Planilla!B501="A", VLOOKUP(E501,EX:FJ,13,0)="A"), "OK",IF(
AND(Planilla!B501="A", OR(VLOOKUP(E501,EX:FJ,13,0)="B", VLOOKUP(E501,EX:FJ,13,0)="C")), "SOBREOFERTA",""
))))))),"")</f>
        <v/>
      </c>
      <c r="E501" s="12"/>
      <c r="F501" s="13"/>
      <c r="G501" s="14"/>
      <c r="H501" s="81" t="str">
        <f t="shared" si="158"/>
        <v/>
      </c>
      <c r="I501" s="7"/>
      <c r="J501" s="6" t="e">
        <f t="shared" si="159"/>
        <v>#N/A</v>
      </c>
      <c r="K501" s="6" t="str">
        <f>IF(A502&lt;&gt;A501,AVERAGEIF(A$9:A501,A501,J$9:J501),"")</f>
        <v/>
      </c>
      <c r="L501" s="7" t="str">
        <f>IFERROR(IF(A502&lt;&gt;A501,AVERAGEIF(A$9:A501,A501,S$9:S501),""),"")</f>
        <v/>
      </c>
      <c r="M501" s="7" t="str">
        <f>IFERROR(IF(A502&lt;&gt;A501,AVERAGEIF(A$9:A501,A501,T$9:T501),""),"")</f>
        <v/>
      </c>
      <c r="N501" s="7" t="str" cm="1">
        <f t="array" ref="N501">IFERROR(IF(A502&lt;&gt;A501,_xlfn.STDEV.P(IF(A$9:A501=A501,T$9:T501)),""),"")</f>
        <v/>
      </c>
      <c r="O501" s="7" t="str" cm="1">
        <f t="array" ref="O501">IFERROR(IF(A502&lt;&gt;A501,_xlfn.STDEV.P(IF(A$9:A501=A501,S$9:S501)),""),"")</f>
        <v/>
      </c>
      <c r="P501" s="8" t="str">
        <f t="shared" si="160"/>
        <v/>
      </c>
      <c r="Q501" s="8" t="str">
        <f t="shared" si="161"/>
        <v/>
      </c>
      <c r="R501" s="8" t="str">
        <f t="shared" si="162"/>
        <v/>
      </c>
      <c r="S501" s="9" t="str">
        <f t="shared" si="163"/>
        <v/>
      </c>
      <c r="T501" s="9" t="str">
        <f t="shared" si="164"/>
        <v/>
      </c>
      <c r="U501" s="14"/>
      <c r="V501" s="15"/>
      <c r="W501" s="14" t="str">
        <f t="shared" si="165"/>
        <v/>
      </c>
      <c r="X501" s="15"/>
      <c r="Y501" s="2"/>
      <c r="AB501" s="22">
        <f t="shared" si="166"/>
        <v>1</v>
      </c>
      <c r="AC501" s="11"/>
      <c r="AD501" s="11"/>
      <c r="AE501" s="13"/>
      <c r="AF501" s="12"/>
      <c r="AG501" s="13"/>
      <c r="AH501" s="14"/>
      <c r="AI501" s="81" t="str">
        <f t="shared" si="167"/>
        <v/>
      </c>
      <c r="AJ501" s="15"/>
      <c r="AK501" s="6" t="e">
        <f t="shared" si="168"/>
        <v>#N/A</v>
      </c>
      <c r="AL501" s="6" t="str">
        <f>IF(AB502&lt;&gt;AB501,AVERAGEIF(AB$9:AB501,AB501,AK$9:AK501),"")</f>
        <v/>
      </c>
      <c r="AM501" s="7" t="str">
        <f>IFERROR(IF(AB502&lt;&gt;AB501,AVERAGEIF(AB$9:AB501,AB501,AT$9:AT501),""),"")</f>
        <v/>
      </c>
      <c r="AN501" s="7" t="str">
        <f>IFERROR(IF(AB502&lt;&gt;AB501,AVERAGEIF(AB$9:AB501,AB501,AU$9:AU501),""),"")</f>
        <v/>
      </c>
      <c r="AO501" s="7" t="str" cm="1">
        <f t="array" ref="AO501">IFERROR(IF(AB502&lt;&gt;AB501,_xlfn.STDEV.P(IF(AB$9:AB501=AB501,AU$9:AU501)),""),"")</f>
        <v/>
      </c>
      <c r="AP501" s="7" t="str" cm="1">
        <f t="array" ref="AP501">IFERROR(IF(AB502&lt;&gt;AB501,_xlfn.STDEV.P(IF(AB$9:AB501=AB501,AT$9:AT501)),""),"")</f>
        <v/>
      </c>
      <c r="AQ501" s="8" t="str">
        <f t="shared" si="169"/>
        <v/>
      </c>
      <c r="AR501" s="8" t="str">
        <f t="shared" si="170"/>
        <v/>
      </c>
      <c r="AS501" s="8" t="str">
        <f t="shared" si="171"/>
        <v/>
      </c>
      <c r="AT501" s="9" t="str">
        <f t="shared" si="172"/>
        <v/>
      </c>
      <c r="AU501" s="9" t="str">
        <f t="shared" si="173"/>
        <v/>
      </c>
      <c r="AV501" s="14"/>
      <c r="AW501" s="15"/>
      <c r="AX501" s="14" t="str">
        <f t="shared" si="174"/>
        <v/>
      </c>
      <c r="AY501" s="15"/>
      <c r="AZ501" s="23"/>
      <c r="EW501" t="s">
        <v>46</v>
      </c>
      <c r="EX501" s="33" t="s">
        <v>47</v>
      </c>
      <c r="EY501" s="35" t="s">
        <v>1322</v>
      </c>
      <c r="EZ501" s="36" t="s">
        <v>1323</v>
      </c>
      <c r="FA501" s="36" t="s">
        <v>1192</v>
      </c>
      <c r="FB501" s="36" t="s">
        <v>344</v>
      </c>
      <c r="FC501" s="36" t="s">
        <v>1192</v>
      </c>
      <c r="FD501" s="36" t="s">
        <v>344</v>
      </c>
      <c r="FE501" s="36">
        <v>2026</v>
      </c>
      <c r="FF501" s="36" t="s">
        <v>59</v>
      </c>
      <c r="FG501" s="36" t="s">
        <v>1210</v>
      </c>
      <c r="FJ501" t="s">
        <v>59</v>
      </c>
      <c r="FM501" s="32" t="s">
        <v>1229</v>
      </c>
      <c r="FN501" t="s">
        <v>1229</v>
      </c>
      <c r="FO501" t="s">
        <v>1230</v>
      </c>
      <c r="FP501" t="str">
        <f t="shared" si="156"/>
        <v>C</v>
      </c>
      <c r="FT501" s="69" t="s">
        <v>7448</v>
      </c>
      <c r="FU501" s="61">
        <v>27.504999999999999</v>
      </c>
      <c r="FV501" s="61">
        <v>0</v>
      </c>
      <c r="FW501" s="61">
        <v>0</v>
      </c>
      <c r="FX501" s="61">
        <v>0</v>
      </c>
      <c r="FY501" s="61">
        <v>0</v>
      </c>
      <c r="FZ501" s="61">
        <v>12.395</v>
      </c>
      <c r="GA501" s="61">
        <v>24.91</v>
      </c>
      <c r="GB501" s="61">
        <v>23.700000000000003</v>
      </c>
      <c r="GC501" s="61">
        <v>22.35</v>
      </c>
      <c r="GD501" s="61">
        <v>21.060000000000002</v>
      </c>
      <c r="GE501" s="61">
        <v>19.945</v>
      </c>
      <c r="GF501" s="61">
        <v>18.84</v>
      </c>
      <c r="GG501" s="61">
        <v>18.215</v>
      </c>
      <c r="GH501" s="61">
        <v>18.16</v>
      </c>
      <c r="GI501" s="61">
        <v>18.425000000000001</v>
      </c>
      <c r="GJ501" s="61">
        <v>18.484999999999999</v>
      </c>
      <c r="GK501" s="61">
        <v>18.21</v>
      </c>
      <c r="GL501" s="61">
        <v>17.740000000000002</v>
      </c>
      <c r="GM501" s="61">
        <v>17.055</v>
      </c>
      <c r="GN501" s="61">
        <v>17.535</v>
      </c>
      <c r="GO501" s="61">
        <v>18.55</v>
      </c>
      <c r="GP501" s="61">
        <v>19.285</v>
      </c>
      <c r="GQ501" s="61">
        <v>21.155000000000001</v>
      </c>
      <c r="GR501" s="61">
        <v>24.185000000000002</v>
      </c>
      <c r="GU501" s="53">
        <v>46</v>
      </c>
      <c r="GV501" s="53">
        <v>495</v>
      </c>
    </row>
    <row r="502" spans="1:204" ht="15.5" x14ac:dyDescent="0.35">
      <c r="A502" s="95">
        <f t="shared" si="157"/>
        <v>1</v>
      </c>
      <c r="B502" s="11"/>
      <c r="C502" s="11"/>
      <c r="D502" s="92" t="str">
        <f>IFERROR(
IF(AND(OR(Planilla!B502="C",Planilla!B502="c"), VLOOKUP(E502,EX:FJ,13,0)="C"), "OK",IF(AND(OR(Planilla!B502="C",Planilla!B502="c"), OR(VLOOKUP(E502,EX:FJ,13,0)="B", VLOOKUP(E502,EX:FJ,13,0)="A")), "DEFICIT",IF(
AND(OR(Planilla!B502="B", Planilla!B502="BPAL"), VLOOKUP(E502,EX:FJ,13,0)="B"), "OK",IF(AND(OR(Planilla!B502="B", Planilla!B502="BPAL"), VLOOKUP(E502,EX:FJ,13,0)="A"), "DEFICIT",IF(AND(OR(Planilla!B502="B", Planilla!B502="BPAL"), VLOOKUP(E502,EX:FJ,13,0)="C"), "SOBREOFERTA",IF(AND(Planilla!B502="A", VLOOKUP(E502,EX:FJ,13,0)="A"), "OK",IF(
AND(Planilla!B502="A", OR(VLOOKUP(E502,EX:FJ,13,0)="B", VLOOKUP(E502,EX:FJ,13,0)="C")), "SOBREOFERTA",""
))))))),"")</f>
        <v/>
      </c>
      <c r="E502" s="12"/>
      <c r="F502" s="13"/>
      <c r="G502" s="14"/>
      <c r="H502" s="81" t="str">
        <f t="shared" si="158"/>
        <v/>
      </c>
      <c r="I502" s="7"/>
      <c r="J502" s="6" t="e">
        <f t="shared" si="159"/>
        <v>#N/A</v>
      </c>
      <c r="K502" s="6" t="str">
        <f>IF(A503&lt;&gt;A502,AVERAGEIF(A$9:A502,A502,J$9:J502),"")</f>
        <v/>
      </c>
      <c r="L502" s="7" t="str">
        <f>IFERROR(IF(A503&lt;&gt;A502,AVERAGEIF(A$9:A502,A502,S$9:S502),""),"")</f>
        <v/>
      </c>
      <c r="M502" s="7" t="str">
        <f>IFERROR(IF(A503&lt;&gt;A502,AVERAGEIF(A$9:A502,A502,T$9:T502),""),"")</f>
        <v/>
      </c>
      <c r="N502" s="7" t="str" cm="1">
        <f t="array" ref="N502">IFERROR(IF(A503&lt;&gt;A502,_xlfn.STDEV.P(IF(A$9:A502=A502,T$9:T502)),""),"")</f>
        <v/>
      </c>
      <c r="O502" s="7" t="str" cm="1">
        <f t="array" ref="O502">IFERROR(IF(A503&lt;&gt;A502,_xlfn.STDEV.P(IF(A$9:A502=A502,S$9:S502)),""),"")</f>
        <v/>
      </c>
      <c r="P502" s="8" t="str">
        <f t="shared" si="160"/>
        <v/>
      </c>
      <c r="Q502" s="8" t="str">
        <f t="shared" si="161"/>
        <v/>
      </c>
      <c r="R502" s="8" t="str">
        <f t="shared" si="162"/>
        <v/>
      </c>
      <c r="S502" s="9" t="str">
        <f t="shared" si="163"/>
        <v/>
      </c>
      <c r="T502" s="9" t="str">
        <f t="shared" si="164"/>
        <v/>
      </c>
      <c r="U502" s="14"/>
      <c r="V502" s="15"/>
      <c r="W502" s="14" t="str">
        <f t="shared" si="165"/>
        <v/>
      </c>
      <c r="X502" s="15"/>
      <c r="Y502" s="2"/>
      <c r="AB502" s="22">
        <f t="shared" si="166"/>
        <v>1</v>
      </c>
      <c r="AC502" s="11"/>
      <c r="AD502" s="11"/>
      <c r="AE502" s="13"/>
      <c r="AF502" s="12"/>
      <c r="AG502" s="13"/>
      <c r="AH502" s="14"/>
      <c r="AI502" s="81" t="str">
        <f t="shared" si="167"/>
        <v/>
      </c>
      <c r="AJ502" s="15"/>
      <c r="AK502" s="6" t="e">
        <f t="shared" si="168"/>
        <v>#N/A</v>
      </c>
      <c r="AL502" s="6" t="str">
        <f>IF(AB503&lt;&gt;AB502,AVERAGEIF(AB$9:AB502,AB502,AK$9:AK502),"")</f>
        <v/>
      </c>
      <c r="AM502" s="7" t="str">
        <f>IFERROR(IF(AB503&lt;&gt;AB502,AVERAGEIF(AB$9:AB502,AB502,AT$9:AT502),""),"")</f>
        <v/>
      </c>
      <c r="AN502" s="7" t="str">
        <f>IFERROR(IF(AB503&lt;&gt;AB502,AVERAGEIF(AB$9:AB502,AB502,AU$9:AU502),""),"")</f>
        <v/>
      </c>
      <c r="AO502" s="7" t="str" cm="1">
        <f t="array" ref="AO502">IFERROR(IF(AB503&lt;&gt;AB502,_xlfn.STDEV.P(IF(AB$9:AB502=AB502,AU$9:AU502)),""),"")</f>
        <v/>
      </c>
      <c r="AP502" s="7" t="str" cm="1">
        <f t="array" ref="AP502">IFERROR(IF(AB503&lt;&gt;AB502,_xlfn.STDEV.P(IF(AB$9:AB502=AB502,AT$9:AT502)),""),"")</f>
        <v/>
      </c>
      <c r="AQ502" s="8" t="str">
        <f t="shared" si="169"/>
        <v/>
      </c>
      <c r="AR502" s="8" t="str">
        <f t="shared" si="170"/>
        <v/>
      </c>
      <c r="AS502" s="8" t="str">
        <f t="shared" si="171"/>
        <v/>
      </c>
      <c r="AT502" s="9" t="str">
        <f t="shared" si="172"/>
        <v/>
      </c>
      <c r="AU502" s="9" t="str">
        <f t="shared" si="173"/>
        <v/>
      </c>
      <c r="AV502" s="14"/>
      <c r="AW502" s="15"/>
      <c r="AX502" s="14" t="str">
        <f t="shared" si="174"/>
        <v/>
      </c>
      <c r="AY502" s="15"/>
      <c r="AZ502" s="23"/>
      <c r="EW502" t="s">
        <v>46</v>
      </c>
      <c r="EX502" s="33" t="s">
        <v>47</v>
      </c>
      <c r="EY502" s="35" t="s">
        <v>1324</v>
      </c>
      <c r="EZ502" s="36" t="s">
        <v>1325</v>
      </c>
      <c r="FA502" s="36" t="s">
        <v>1192</v>
      </c>
      <c r="FB502" s="36" t="s">
        <v>344</v>
      </c>
      <c r="FC502" s="36" t="s">
        <v>1192</v>
      </c>
      <c r="FD502" s="36" t="s">
        <v>344</v>
      </c>
      <c r="FE502" s="36">
        <v>2026</v>
      </c>
      <c r="FF502" s="36" t="s">
        <v>59</v>
      </c>
      <c r="FG502" s="36" t="s">
        <v>1210</v>
      </c>
      <c r="FJ502" t="s">
        <v>59</v>
      </c>
      <c r="FM502" s="32" t="s">
        <v>1233</v>
      </c>
      <c r="FN502" t="s">
        <v>1233</v>
      </c>
      <c r="FO502" t="s">
        <v>1234</v>
      </c>
      <c r="FP502" t="str">
        <f t="shared" si="156"/>
        <v>C</v>
      </c>
      <c r="FT502" s="69" t="s">
        <v>7448</v>
      </c>
      <c r="FU502" s="61">
        <v>0</v>
      </c>
      <c r="FV502" s="61">
        <v>0</v>
      </c>
      <c r="FW502" s="61">
        <v>0</v>
      </c>
      <c r="FX502" s="61">
        <v>0</v>
      </c>
      <c r="FY502" s="61">
        <v>14.24</v>
      </c>
      <c r="FZ502" s="61">
        <v>26.88</v>
      </c>
      <c r="GA502" s="61">
        <v>24.365000000000002</v>
      </c>
      <c r="GB502" s="61">
        <v>22.509999999999998</v>
      </c>
      <c r="GC502" s="61">
        <v>21.645</v>
      </c>
      <c r="GD502" s="61">
        <v>20.65</v>
      </c>
      <c r="GE502" s="61">
        <v>19.72</v>
      </c>
      <c r="GF502" s="61">
        <v>18.905000000000001</v>
      </c>
      <c r="GG502" s="61">
        <v>17.64</v>
      </c>
      <c r="GH502" s="61">
        <v>17.375</v>
      </c>
      <c r="GI502" s="61">
        <v>17.75</v>
      </c>
      <c r="GJ502" s="61">
        <v>18.005000000000003</v>
      </c>
      <c r="GK502" s="61">
        <v>17.39</v>
      </c>
      <c r="GL502" s="61">
        <v>17.23</v>
      </c>
      <c r="GM502" s="61">
        <v>17.73</v>
      </c>
      <c r="GN502" s="61">
        <v>18.164999999999999</v>
      </c>
      <c r="GO502" s="61">
        <v>18.524999999999999</v>
      </c>
      <c r="GP502" s="61">
        <v>20.535</v>
      </c>
      <c r="GQ502" s="61">
        <v>23.21</v>
      </c>
      <c r="GR502" s="61">
        <v>24.844999999999999</v>
      </c>
      <c r="GU502" s="53">
        <v>47</v>
      </c>
      <c r="GV502" s="53">
        <v>496</v>
      </c>
    </row>
    <row r="503" spans="1:204" ht="15.5" x14ac:dyDescent="0.35">
      <c r="A503" s="95">
        <f t="shared" si="157"/>
        <v>1</v>
      </c>
      <c r="B503" s="11"/>
      <c r="C503" s="11"/>
      <c r="D503" s="92" t="str">
        <f>IFERROR(
IF(AND(OR(Planilla!B503="C",Planilla!B503="c"), VLOOKUP(E503,EX:FJ,13,0)="C"), "OK",IF(AND(OR(Planilla!B503="C",Planilla!B503="c"), OR(VLOOKUP(E503,EX:FJ,13,0)="B", VLOOKUP(E503,EX:FJ,13,0)="A")), "DEFICIT",IF(
AND(OR(Planilla!B503="B", Planilla!B503="BPAL"), VLOOKUP(E503,EX:FJ,13,0)="B"), "OK",IF(AND(OR(Planilla!B503="B", Planilla!B503="BPAL"), VLOOKUP(E503,EX:FJ,13,0)="A"), "DEFICIT",IF(AND(OR(Planilla!B503="B", Planilla!B503="BPAL"), VLOOKUP(E503,EX:FJ,13,0)="C"), "SOBREOFERTA",IF(AND(Planilla!B503="A", VLOOKUP(E503,EX:FJ,13,0)="A"), "OK",IF(
AND(Planilla!B503="A", OR(VLOOKUP(E503,EX:FJ,13,0)="B", VLOOKUP(E503,EX:FJ,13,0)="C")), "SOBREOFERTA",""
))))))),"")</f>
        <v/>
      </c>
      <c r="E503" s="12"/>
      <c r="F503" s="13"/>
      <c r="G503" s="14"/>
      <c r="H503" s="81" t="str">
        <f t="shared" si="158"/>
        <v/>
      </c>
      <c r="I503" s="7"/>
      <c r="J503" s="6" t="e">
        <f t="shared" si="159"/>
        <v>#N/A</v>
      </c>
      <c r="K503" s="6" t="str">
        <f>IF(A504&lt;&gt;A503,AVERAGEIF(A$9:A503,A503,J$9:J503),"")</f>
        <v/>
      </c>
      <c r="L503" s="7" t="str">
        <f>IFERROR(IF(A504&lt;&gt;A503,AVERAGEIF(A$9:A503,A503,S$9:S503),""),"")</f>
        <v/>
      </c>
      <c r="M503" s="7" t="str">
        <f>IFERROR(IF(A504&lt;&gt;A503,AVERAGEIF(A$9:A503,A503,T$9:T503),""),"")</f>
        <v/>
      </c>
      <c r="N503" s="7" t="str" cm="1">
        <f t="array" ref="N503">IFERROR(IF(A504&lt;&gt;A503,_xlfn.STDEV.P(IF(A$9:A503=A503,T$9:T503)),""),"")</f>
        <v/>
      </c>
      <c r="O503" s="7" t="str" cm="1">
        <f t="array" ref="O503">IFERROR(IF(A504&lt;&gt;A503,_xlfn.STDEV.P(IF(A$9:A503=A503,S$9:S503)),""),"")</f>
        <v/>
      </c>
      <c r="P503" s="8" t="str">
        <f t="shared" si="160"/>
        <v/>
      </c>
      <c r="Q503" s="8" t="str">
        <f t="shared" si="161"/>
        <v/>
      </c>
      <c r="R503" s="8" t="str">
        <f t="shared" si="162"/>
        <v/>
      </c>
      <c r="S503" s="9" t="str">
        <f t="shared" si="163"/>
        <v/>
      </c>
      <c r="T503" s="9" t="str">
        <f t="shared" si="164"/>
        <v/>
      </c>
      <c r="U503" s="14"/>
      <c r="V503" s="15"/>
      <c r="W503" s="14" t="str">
        <f t="shared" si="165"/>
        <v/>
      </c>
      <c r="X503" s="15"/>
      <c r="Y503" s="2"/>
      <c r="AB503" s="22">
        <f t="shared" si="166"/>
        <v>1</v>
      </c>
      <c r="AC503" s="11"/>
      <c r="AD503" s="11"/>
      <c r="AE503" s="13"/>
      <c r="AF503" s="12"/>
      <c r="AG503" s="13"/>
      <c r="AH503" s="14"/>
      <c r="AI503" s="81" t="str">
        <f t="shared" si="167"/>
        <v/>
      </c>
      <c r="AJ503" s="15"/>
      <c r="AK503" s="6" t="e">
        <f t="shared" si="168"/>
        <v>#N/A</v>
      </c>
      <c r="AL503" s="6" t="str">
        <f>IF(AB504&lt;&gt;AB503,AVERAGEIF(AB$9:AB503,AB503,AK$9:AK503),"")</f>
        <v/>
      </c>
      <c r="AM503" s="7" t="str">
        <f>IFERROR(IF(AB504&lt;&gt;AB503,AVERAGEIF(AB$9:AB503,AB503,AT$9:AT503),""),"")</f>
        <v/>
      </c>
      <c r="AN503" s="7" t="str">
        <f>IFERROR(IF(AB504&lt;&gt;AB503,AVERAGEIF(AB$9:AB503,AB503,AU$9:AU503),""),"")</f>
        <v/>
      </c>
      <c r="AO503" s="7" t="str" cm="1">
        <f t="array" ref="AO503">IFERROR(IF(AB504&lt;&gt;AB503,_xlfn.STDEV.P(IF(AB$9:AB503=AB503,AU$9:AU503)),""),"")</f>
        <v/>
      </c>
      <c r="AP503" s="7" t="str" cm="1">
        <f t="array" ref="AP503">IFERROR(IF(AB504&lt;&gt;AB503,_xlfn.STDEV.P(IF(AB$9:AB503=AB503,AT$9:AT503)),""),"")</f>
        <v/>
      </c>
      <c r="AQ503" s="8" t="str">
        <f t="shared" si="169"/>
        <v/>
      </c>
      <c r="AR503" s="8" t="str">
        <f t="shared" si="170"/>
        <v/>
      </c>
      <c r="AS503" s="8" t="str">
        <f t="shared" si="171"/>
        <v/>
      </c>
      <c r="AT503" s="9" t="str">
        <f t="shared" si="172"/>
        <v/>
      </c>
      <c r="AU503" s="9" t="str">
        <f t="shared" si="173"/>
        <v/>
      </c>
      <c r="AV503" s="14"/>
      <c r="AW503" s="15"/>
      <c r="AX503" s="14" t="str">
        <f t="shared" si="174"/>
        <v/>
      </c>
      <c r="AY503" s="15"/>
      <c r="AZ503" s="23"/>
      <c r="EW503" t="s">
        <v>46</v>
      </c>
      <c r="EX503" s="33" t="s">
        <v>47</v>
      </c>
      <c r="EY503" s="35" t="s">
        <v>1326</v>
      </c>
      <c r="EZ503" s="36" t="s">
        <v>1327</v>
      </c>
      <c r="FA503" s="36" t="s">
        <v>1192</v>
      </c>
      <c r="FB503" s="36" t="s">
        <v>344</v>
      </c>
      <c r="FC503" s="36" t="s">
        <v>1192</v>
      </c>
      <c r="FD503" s="36" t="s">
        <v>344</v>
      </c>
      <c r="FE503" s="36">
        <v>2026</v>
      </c>
      <c r="FF503" s="36" t="s">
        <v>59</v>
      </c>
      <c r="FG503" s="36" t="s">
        <v>1210</v>
      </c>
      <c r="FJ503" t="s">
        <v>59</v>
      </c>
      <c r="FM503" s="32" t="s">
        <v>1328</v>
      </c>
      <c r="FN503" t="s">
        <v>1328</v>
      </c>
      <c r="FO503" t="s">
        <v>1329</v>
      </c>
      <c r="FP503" t="str">
        <f t="shared" si="156"/>
        <v>C</v>
      </c>
      <c r="FT503" s="69" t="s">
        <v>7449</v>
      </c>
      <c r="FU503" s="61">
        <v>0</v>
      </c>
      <c r="FV503" s="61">
        <v>0</v>
      </c>
      <c r="FW503" s="61">
        <v>0</v>
      </c>
      <c r="FX503" s="61">
        <v>0</v>
      </c>
      <c r="FY503" s="61">
        <v>0</v>
      </c>
      <c r="FZ503" s="61">
        <v>14.62</v>
      </c>
      <c r="GA503" s="61">
        <v>26.009999999999998</v>
      </c>
      <c r="GB503" s="61">
        <v>22.35</v>
      </c>
      <c r="GC503" s="61">
        <v>21.664999999999999</v>
      </c>
      <c r="GD503" s="61">
        <v>20.734999999999999</v>
      </c>
      <c r="GE503" s="61">
        <v>19.71</v>
      </c>
      <c r="GF503" s="61">
        <v>19.125</v>
      </c>
      <c r="GG503" s="61">
        <v>17.920000000000002</v>
      </c>
      <c r="GH503" s="61">
        <v>17.365000000000002</v>
      </c>
      <c r="GI503" s="61">
        <v>17.950000000000003</v>
      </c>
      <c r="GJ503" s="61">
        <v>18.060000000000002</v>
      </c>
      <c r="GK503" s="61">
        <v>18.57</v>
      </c>
      <c r="GL503" s="61">
        <v>17.774999999999999</v>
      </c>
      <c r="GM503" s="61">
        <v>16.479999999999997</v>
      </c>
      <c r="GN503" s="61">
        <v>17.594999999999999</v>
      </c>
      <c r="GO503" s="61">
        <v>19.700000000000003</v>
      </c>
      <c r="GP503" s="61">
        <v>20.8</v>
      </c>
      <c r="GQ503" s="61">
        <v>22.285</v>
      </c>
      <c r="GR503" s="61">
        <v>25.244999999999997</v>
      </c>
      <c r="GU503" s="53">
        <v>48</v>
      </c>
      <c r="GV503" s="53">
        <v>497</v>
      </c>
    </row>
    <row r="504" spans="1:204" ht="15.5" x14ac:dyDescent="0.35">
      <c r="A504" s="95">
        <f t="shared" si="157"/>
        <v>1</v>
      </c>
      <c r="B504" s="11"/>
      <c r="C504" s="11"/>
      <c r="D504" s="92" t="str">
        <f>IFERROR(
IF(AND(OR(Planilla!B504="C",Planilla!B504="c"), VLOOKUP(E504,EX:FJ,13,0)="C"), "OK",IF(AND(OR(Planilla!B504="C",Planilla!B504="c"), OR(VLOOKUP(E504,EX:FJ,13,0)="B", VLOOKUP(E504,EX:FJ,13,0)="A")), "DEFICIT",IF(
AND(OR(Planilla!B504="B", Planilla!B504="BPAL"), VLOOKUP(E504,EX:FJ,13,0)="B"), "OK",IF(AND(OR(Planilla!B504="B", Planilla!B504="BPAL"), VLOOKUP(E504,EX:FJ,13,0)="A"), "DEFICIT",IF(AND(OR(Planilla!B504="B", Planilla!B504="BPAL"), VLOOKUP(E504,EX:FJ,13,0)="C"), "SOBREOFERTA",IF(AND(Planilla!B504="A", VLOOKUP(E504,EX:FJ,13,0)="A"), "OK",IF(
AND(Planilla!B504="A", OR(VLOOKUP(E504,EX:FJ,13,0)="B", VLOOKUP(E504,EX:FJ,13,0)="C")), "SOBREOFERTA",""
))))))),"")</f>
        <v/>
      </c>
      <c r="E504" s="12"/>
      <c r="F504" s="13"/>
      <c r="G504" s="14"/>
      <c r="H504" s="81" t="str">
        <f t="shared" si="158"/>
        <v/>
      </c>
      <c r="I504" s="7"/>
      <c r="J504" s="6" t="e">
        <f t="shared" si="159"/>
        <v>#N/A</v>
      </c>
      <c r="K504" s="6" t="str">
        <f>IF(A505&lt;&gt;A504,AVERAGEIF(A$9:A504,A504,J$9:J504),"")</f>
        <v/>
      </c>
      <c r="L504" s="7" t="str">
        <f>IFERROR(IF(A505&lt;&gt;A504,AVERAGEIF(A$9:A504,A504,S$9:S504),""),"")</f>
        <v/>
      </c>
      <c r="M504" s="7" t="str">
        <f>IFERROR(IF(A505&lt;&gt;A504,AVERAGEIF(A$9:A504,A504,T$9:T504),""),"")</f>
        <v/>
      </c>
      <c r="N504" s="7" t="str" cm="1">
        <f t="array" ref="N504">IFERROR(IF(A505&lt;&gt;A504,_xlfn.STDEV.P(IF(A$9:A504=A504,T$9:T504)),""),"")</f>
        <v/>
      </c>
      <c r="O504" s="7" t="str" cm="1">
        <f t="array" ref="O504">IFERROR(IF(A505&lt;&gt;A504,_xlfn.STDEV.P(IF(A$9:A504=A504,S$9:S504)),""),"")</f>
        <v/>
      </c>
      <c r="P504" s="8" t="str">
        <f t="shared" si="160"/>
        <v/>
      </c>
      <c r="Q504" s="8" t="str">
        <f t="shared" si="161"/>
        <v/>
      </c>
      <c r="R504" s="8" t="str">
        <f t="shared" si="162"/>
        <v/>
      </c>
      <c r="S504" s="9" t="str">
        <f t="shared" si="163"/>
        <v/>
      </c>
      <c r="T504" s="9" t="str">
        <f t="shared" si="164"/>
        <v/>
      </c>
      <c r="U504" s="14"/>
      <c r="V504" s="15"/>
      <c r="W504" s="14" t="str">
        <f t="shared" si="165"/>
        <v/>
      </c>
      <c r="X504" s="15"/>
      <c r="Y504" s="2"/>
      <c r="AB504" s="22">
        <f t="shared" si="166"/>
        <v>1</v>
      </c>
      <c r="AC504" s="11"/>
      <c r="AD504" s="11"/>
      <c r="AE504" s="13"/>
      <c r="AF504" s="12"/>
      <c r="AG504" s="13"/>
      <c r="AH504" s="14"/>
      <c r="AI504" s="81" t="str">
        <f t="shared" si="167"/>
        <v/>
      </c>
      <c r="AJ504" s="15"/>
      <c r="AK504" s="6" t="e">
        <f t="shared" si="168"/>
        <v>#N/A</v>
      </c>
      <c r="AL504" s="6" t="str">
        <f>IF(AB505&lt;&gt;AB504,AVERAGEIF(AB$9:AB504,AB504,AK$9:AK504),"")</f>
        <v/>
      </c>
      <c r="AM504" s="7" t="str">
        <f>IFERROR(IF(AB505&lt;&gt;AB504,AVERAGEIF(AB$9:AB504,AB504,AT$9:AT504),""),"")</f>
        <v/>
      </c>
      <c r="AN504" s="7" t="str">
        <f>IFERROR(IF(AB505&lt;&gt;AB504,AVERAGEIF(AB$9:AB504,AB504,AU$9:AU504),""),"")</f>
        <v/>
      </c>
      <c r="AO504" s="7" t="str" cm="1">
        <f t="array" ref="AO504">IFERROR(IF(AB505&lt;&gt;AB504,_xlfn.STDEV.P(IF(AB$9:AB504=AB504,AU$9:AU504)),""),"")</f>
        <v/>
      </c>
      <c r="AP504" s="7" t="str" cm="1">
        <f t="array" ref="AP504">IFERROR(IF(AB505&lt;&gt;AB504,_xlfn.STDEV.P(IF(AB$9:AB504=AB504,AT$9:AT504)),""),"")</f>
        <v/>
      </c>
      <c r="AQ504" s="8" t="str">
        <f t="shared" si="169"/>
        <v/>
      </c>
      <c r="AR504" s="8" t="str">
        <f t="shared" si="170"/>
        <v/>
      </c>
      <c r="AS504" s="8" t="str">
        <f t="shared" si="171"/>
        <v/>
      </c>
      <c r="AT504" s="9" t="str">
        <f t="shared" si="172"/>
        <v/>
      </c>
      <c r="AU504" s="9" t="str">
        <f t="shared" si="173"/>
        <v/>
      </c>
      <c r="AV504" s="14"/>
      <c r="AW504" s="15"/>
      <c r="AX504" s="14" t="str">
        <f t="shared" si="174"/>
        <v/>
      </c>
      <c r="AY504" s="15"/>
      <c r="AZ504" s="23"/>
      <c r="EW504" t="s">
        <v>46</v>
      </c>
      <c r="EX504" s="33" t="s">
        <v>47</v>
      </c>
      <c r="EY504" s="35" t="s">
        <v>1330</v>
      </c>
      <c r="EZ504" s="36" t="s">
        <v>1331</v>
      </c>
      <c r="FA504" s="36" t="s">
        <v>1192</v>
      </c>
      <c r="FB504" s="36" t="s">
        <v>344</v>
      </c>
      <c r="FC504" s="36" t="s">
        <v>1192</v>
      </c>
      <c r="FD504" s="36" t="s">
        <v>344</v>
      </c>
      <c r="FE504" s="36">
        <v>2026</v>
      </c>
      <c r="FF504" s="36" t="s">
        <v>59</v>
      </c>
      <c r="FG504" s="36" t="s">
        <v>1210</v>
      </c>
      <c r="FJ504" t="s">
        <v>59</v>
      </c>
      <c r="FM504" s="32" t="s">
        <v>1332</v>
      </c>
      <c r="FN504" t="s">
        <v>1332</v>
      </c>
      <c r="FO504" t="s">
        <v>1333</v>
      </c>
      <c r="FP504" t="str">
        <f t="shared" si="156"/>
        <v>B</v>
      </c>
      <c r="FT504" s="69" t="s">
        <v>7449</v>
      </c>
      <c r="FU504" s="61">
        <v>12.435</v>
      </c>
      <c r="FV504" s="61">
        <v>0</v>
      </c>
      <c r="FW504" s="61">
        <v>0</v>
      </c>
      <c r="FX504" s="61">
        <v>0</v>
      </c>
      <c r="FY504" s="61">
        <v>0</v>
      </c>
      <c r="FZ504" s="61">
        <v>11.305</v>
      </c>
      <c r="GA504" s="61">
        <v>22.815000000000001</v>
      </c>
      <c r="GB504" s="61">
        <v>22.754999999999999</v>
      </c>
      <c r="GC504" s="61">
        <v>22.3</v>
      </c>
      <c r="GD504" s="61">
        <v>22.195</v>
      </c>
      <c r="GE504" s="61">
        <v>20.48</v>
      </c>
      <c r="GF504" s="61">
        <v>19.175000000000001</v>
      </c>
      <c r="GG504" s="61">
        <v>18.96</v>
      </c>
      <c r="GH504" s="61">
        <v>19.094999999999999</v>
      </c>
      <c r="GI504" s="61">
        <v>18.739999999999998</v>
      </c>
      <c r="GJ504" s="61">
        <v>18.574999999999999</v>
      </c>
      <c r="GK504" s="61">
        <v>18.865000000000002</v>
      </c>
      <c r="GL504" s="61">
        <v>19.344999999999999</v>
      </c>
      <c r="GM504" s="61">
        <v>19.53</v>
      </c>
      <c r="GN504" s="61">
        <v>19.3</v>
      </c>
      <c r="GO504" s="61">
        <v>19.869999999999997</v>
      </c>
      <c r="GP504" s="61">
        <v>20.950000000000003</v>
      </c>
      <c r="GQ504" s="61">
        <v>22.685000000000002</v>
      </c>
      <c r="GR504" s="61">
        <v>24.344999999999999</v>
      </c>
      <c r="GU504" s="53">
        <v>49</v>
      </c>
      <c r="GV504" s="53">
        <v>498</v>
      </c>
    </row>
    <row r="505" spans="1:204" ht="15.5" x14ac:dyDescent="0.35">
      <c r="A505" s="95">
        <f t="shared" si="157"/>
        <v>1</v>
      </c>
      <c r="B505" s="11"/>
      <c r="C505" s="11"/>
      <c r="D505" s="92" t="str">
        <f>IFERROR(
IF(AND(OR(Planilla!B505="C",Planilla!B505="c"), VLOOKUP(E505,EX:FJ,13,0)="C"), "OK",IF(AND(OR(Planilla!B505="C",Planilla!B505="c"), OR(VLOOKUP(E505,EX:FJ,13,0)="B", VLOOKUP(E505,EX:FJ,13,0)="A")), "DEFICIT",IF(
AND(OR(Planilla!B505="B", Planilla!B505="BPAL"), VLOOKUP(E505,EX:FJ,13,0)="B"), "OK",IF(AND(OR(Planilla!B505="B", Planilla!B505="BPAL"), VLOOKUP(E505,EX:FJ,13,0)="A"), "DEFICIT",IF(AND(OR(Planilla!B505="B", Planilla!B505="BPAL"), VLOOKUP(E505,EX:FJ,13,0)="C"), "SOBREOFERTA",IF(AND(Planilla!B505="A", VLOOKUP(E505,EX:FJ,13,0)="A"), "OK",IF(
AND(Planilla!B505="A", OR(VLOOKUP(E505,EX:FJ,13,0)="B", VLOOKUP(E505,EX:FJ,13,0)="C")), "SOBREOFERTA",""
))))))),"")</f>
        <v/>
      </c>
      <c r="E505" s="12"/>
      <c r="F505" s="13"/>
      <c r="G505" s="14"/>
      <c r="H505" s="81" t="str">
        <f t="shared" si="158"/>
        <v/>
      </c>
      <c r="I505" s="7"/>
      <c r="J505" s="6" t="e">
        <f t="shared" si="159"/>
        <v>#N/A</v>
      </c>
      <c r="K505" s="6" t="str">
        <f>IF(A506&lt;&gt;A505,AVERAGEIF(A$9:A505,A505,J$9:J505),"")</f>
        <v/>
      </c>
      <c r="L505" s="7" t="str">
        <f>IFERROR(IF(A506&lt;&gt;A505,AVERAGEIF(A$9:A505,A505,S$9:S505),""),"")</f>
        <v/>
      </c>
      <c r="M505" s="7" t="str">
        <f>IFERROR(IF(A506&lt;&gt;A505,AVERAGEIF(A$9:A505,A505,T$9:T505),""),"")</f>
        <v/>
      </c>
      <c r="N505" s="7" t="str" cm="1">
        <f t="array" ref="N505">IFERROR(IF(A506&lt;&gt;A505,_xlfn.STDEV.P(IF(A$9:A505=A505,T$9:T505)),""),"")</f>
        <v/>
      </c>
      <c r="O505" s="7" t="str" cm="1">
        <f t="array" ref="O505">IFERROR(IF(A506&lt;&gt;A505,_xlfn.STDEV.P(IF(A$9:A505=A505,S$9:S505)),""),"")</f>
        <v/>
      </c>
      <c r="P505" s="8" t="str">
        <f t="shared" si="160"/>
        <v/>
      </c>
      <c r="Q505" s="8" t="str">
        <f t="shared" si="161"/>
        <v/>
      </c>
      <c r="R505" s="8" t="str">
        <f t="shared" si="162"/>
        <v/>
      </c>
      <c r="S505" s="9" t="str">
        <f t="shared" si="163"/>
        <v/>
      </c>
      <c r="T505" s="9" t="str">
        <f t="shared" si="164"/>
        <v/>
      </c>
      <c r="U505" s="14"/>
      <c r="V505" s="15"/>
      <c r="W505" s="14" t="str">
        <f t="shared" si="165"/>
        <v/>
      </c>
      <c r="X505" s="15"/>
      <c r="Y505" s="2"/>
      <c r="AB505" s="22">
        <f t="shared" si="166"/>
        <v>1</v>
      </c>
      <c r="AC505" s="11"/>
      <c r="AD505" s="11"/>
      <c r="AE505" s="13"/>
      <c r="AF505" s="12"/>
      <c r="AG505" s="13"/>
      <c r="AH505" s="14"/>
      <c r="AI505" s="81" t="str">
        <f t="shared" si="167"/>
        <v/>
      </c>
      <c r="AJ505" s="15"/>
      <c r="AK505" s="6" t="e">
        <f t="shared" si="168"/>
        <v>#N/A</v>
      </c>
      <c r="AL505" s="6" t="str">
        <f>IF(AB506&lt;&gt;AB505,AVERAGEIF(AB$9:AB505,AB505,AK$9:AK505),"")</f>
        <v/>
      </c>
      <c r="AM505" s="7" t="str">
        <f>IFERROR(IF(AB506&lt;&gt;AB505,AVERAGEIF(AB$9:AB505,AB505,AT$9:AT505),""),"")</f>
        <v/>
      </c>
      <c r="AN505" s="7" t="str">
        <f>IFERROR(IF(AB506&lt;&gt;AB505,AVERAGEIF(AB$9:AB505,AB505,AU$9:AU505),""),"")</f>
        <v/>
      </c>
      <c r="AO505" s="7" t="str" cm="1">
        <f t="array" ref="AO505">IFERROR(IF(AB506&lt;&gt;AB505,_xlfn.STDEV.P(IF(AB$9:AB505=AB505,AU$9:AU505)),""),"")</f>
        <v/>
      </c>
      <c r="AP505" s="7" t="str" cm="1">
        <f t="array" ref="AP505">IFERROR(IF(AB506&lt;&gt;AB505,_xlfn.STDEV.P(IF(AB$9:AB505=AB505,AT$9:AT505)),""),"")</f>
        <v/>
      </c>
      <c r="AQ505" s="8" t="str">
        <f t="shared" si="169"/>
        <v/>
      </c>
      <c r="AR505" s="8" t="str">
        <f t="shared" si="170"/>
        <v/>
      </c>
      <c r="AS505" s="8" t="str">
        <f t="shared" si="171"/>
        <v/>
      </c>
      <c r="AT505" s="9" t="str">
        <f t="shared" si="172"/>
        <v/>
      </c>
      <c r="AU505" s="9" t="str">
        <f t="shared" si="173"/>
        <v/>
      </c>
      <c r="AV505" s="14"/>
      <c r="AW505" s="15"/>
      <c r="AX505" s="14" t="str">
        <f t="shared" si="174"/>
        <v/>
      </c>
      <c r="AY505" s="15"/>
      <c r="AZ505" s="23"/>
      <c r="EW505" t="s">
        <v>46</v>
      </c>
      <c r="EX505" s="33" t="s">
        <v>47</v>
      </c>
      <c r="EY505" s="35" t="s">
        <v>1334</v>
      </c>
      <c r="EZ505" s="36" t="s">
        <v>1335</v>
      </c>
      <c r="FA505" s="36" t="s">
        <v>1192</v>
      </c>
      <c r="FB505" s="36" t="s">
        <v>344</v>
      </c>
      <c r="FC505" s="36" t="s">
        <v>1192</v>
      </c>
      <c r="FD505" s="36" t="s">
        <v>344</v>
      </c>
      <c r="FE505" s="36">
        <v>2026</v>
      </c>
      <c r="FF505" s="36" t="s">
        <v>59</v>
      </c>
      <c r="FG505" s="36" t="s">
        <v>1210</v>
      </c>
      <c r="FJ505" t="s">
        <v>59</v>
      </c>
      <c r="FM505" s="32" t="s">
        <v>1237</v>
      </c>
      <c r="FN505" t="s">
        <v>1237</v>
      </c>
      <c r="FO505" t="s">
        <v>1238</v>
      </c>
      <c r="FP505" t="str">
        <f t="shared" si="156"/>
        <v>C</v>
      </c>
      <c r="FT505" s="69" t="s">
        <v>7425</v>
      </c>
      <c r="FU505" s="61">
        <v>0</v>
      </c>
      <c r="FV505" s="61">
        <v>0</v>
      </c>
      <c r="FW505" s="61">
        <v>0</v>
      </c>
      <c r="FX505" s="61">
        <v>0</v>
      </c>
      <c r="FY505" s="61">
        <v>0</v>
      </c>
      <c r="FZ505" s="61">
        <v>17.635000000000002</v>
      </c>
      <c r="GA505" s="61">
        <v>33.465000000000003</v>
      </c>
      <c r="GB505" s="61">
        <v>32.055</v>
      </c>
      <c r="GC505" s="61">
        <v>31.97</v>
      </c>
      <c r="GD505" s="61">
        <v>31.495000000000001</v>
      </c>
      <c r="GE505" s="61">
        <v>31.740000000000002</v>
      </c>
      <c r="GF505" s="61">
        <v>30.905000000000001</v>
      </c>
      <c r="GG505" s="61">
        <v>30.134999999999998</v>
      </c>
      <c r="GH505" s="61">
        <v>30.185000000000002</v>
      </c>
      <c r="GI505" s="61">
        <v>30.63</v>
      </c>
      <c r="GJ505" s="61">
        <v>30.74</v>
      </c>
      <c r="GK505" s="61">
        <v>30.344999999999999</v>
      </c>
      <c r="GL505" s="61">
        <v>29.380000000000003</v>
      </c>
      <c r="GM505" s="61">
        <v>28.245000000000001</v>
      </c>
      <c r="GN505" s="61">
        <v>28.59</v>
      </c>
      <c r="GO505" s="61">
        <v>30.854999999999997</v>
      </c>
      <c r="GP505" s="61">
        <v>32.97</v>
      </c>
      <c r="GQ505" s="61">
        <v>33.734999999999999</v>
      </c>
      <c r="GR505" s="61">
        <v>35.909999999999997</v>
      </c>
      <c r="GU505" s="53">
        <v>50</v>
      </c>
      <c r="GV505" s="53">
        <v>499</v>
      </c>
    </row>
    <row r="506" spans="1:204" ht="15.5" x14ac:dyDescent="0.35">
      <c r="A506" s="95">
        <f t="shared" si="157"/>
        <v>1</v>
      </c>
      <c r="B506" s="11"/>
      <c r="C506" s="11"/>
      <c r="D506" s="92" t="str">
        <f>IFERROR(
IF(AND(OR(Planilla!B506="C",Planilla!B506="c"), VLOOKUP(E506,EX:FJ,13,0)="C"), "OK",IF(AND(OR(Planilla!B506="C",Planilla!B506="c"), OR(VLOOKUP(E506,EX:FJ,13,0)="B", VLOOKUP(E506,EX:FJ,13,0)="A")), "DEFICIT",IF(
AND(OR(Planilla!B506="B", Planilla!B506="BPAL"), VLOOKUP(E506,EX:FJ,13,0)="B"), "OK",IF(AND(OR(Planilla!B506="B", Planilla!B506="BPAL"), VLOOKUP(E506,EX:FJ,13,0)="A"), "DEFICIT",IF(AND(OR(Planilla!B506="B", Planilla!B506="BPAL"), VLOOKUP(E506,EX:FJ,13,0)="C"), "SOBREOFERTA",IF(AND(Planilla!B506="A", VLOOKUP(E506,EX:FJ,13,0)="A"), "OK",IF(
AND(Planilla!B506="A", OR(VLOOKUP(E506,EX:FJ,13,0)="B", VLOOKUP(E506,EX:FJ,13,0)="C")), "SOBREOFERTA",""
))))))),"")</f>
        <v/>
      </c>
      <c r="E506" s="12"/>
      <c r="F506" s="13"/>
      <c r="G506" s="14"/>
      <c r="H506" s="81" t="str">
        <f t="shared" si="158"/>
        <v/>
      </c>
      <c r="I506" s="7"/>
      <c r="J506" s="6" t="e">
        <f t="shared" si="159"/>
        <v>#N/A</v>
      </c>
      <c r="K506" s="6" t="str">
        <f>IF(A507&lt;&gt;A506,AVERAGEIF(A$9:A506,A506,J$9:J506),"")</f>
        <v/>
      </c>
      <c r="L506" s="7" t="str">
        <f>IFERROR(IF(A507&lt;&gt;A506,AVERAGEIF(A$9:A506,A506,S$9:S506),""),"")</f>
        <v/>
      </c>
      <c r="M506" s="7" t="str">
        <f>IFERROR(IF(A507&lt;&gt;A506,AVERAGEIF(A$9:A506,A506,T$9:T506),""),"")</f>
        <v/>
      </c>
      <c r="N506" s="7" t="str" cm="1">
        <f t="array" ref="N506">IFERROR(IF(A507&lt;&gt;A506,_xlfn.STDEV.P(IF(A$9:A506=A506,T$9:T506)),""),"")</f>
        <v/>
      </c>
      <c r="O506" s="7" t="str" cm="1">
        <f t="array" ref="O506">IFERROR(IF(A507&lt;&gt;A506,_xlfn.STDEV.P(IF(A$9:A506=A506,S$9:S506)),""),"")</f>
        <v/>
      </c>
      <c r="P506" s="8" t="str">
        <f t="shared" si="160"/>
        <v/>
      </c>
      <c r="Q506" s="8" t="str">
        <f t="shared" si="161"/>
        <v/>
      </c>
      <c r="R506" s="8" t="str">
        <f t="shared" si="162"/>
        <v/>
      </c>
      <c r="S506" s="9" t="str">
        <f t="shared" si="163"/>
        <v/>
      </c>
      <c r="T506" s="9" t="str">
        <f t="shared" si="164"/>
        <v/>
      </c>
      <c r="U506" s="14"/>
      <c r="V506" s="15"/>
      <c r="W506" s="14" t="str">
        <f t="shared" si="165"/>
        <v/>
      </c>
      <c r="X506" s="15"/>
      <c r="Y506" s="2"/>
      <c r="AB506" s="22">
        <f t="shared" si="166"/>
        <v>1</v>
      </c>
      <c r="AC506" s="11"/>
      <c r="AD506" s="11"/>
      <c r="AE506" s="13"/>
      <c r="AF506" s="12"/>
      <c r="AG506" s="13"/>
      <c r="AH506" s="14"/>
      <c r="AI506" s="81" t="str">
        <f t="shared" si="167"/>
        <v/>
      </c>
      <c r="AJ506" s="15"/>
      <c r="AK506" s="6" t="e">
        <f t="shared" si="168"/>
        <v>#N/A</v>
      </c>
      <c r="AL506" s="6" t="str">
        <f>IF(AB507&lt;&gt;AB506,AVERAGEIF(AB$9:AB506,AB506,AK$9:AK506),"")</f>
        <v/>
      </c>
      <c r="AM506" s="7" t="str">
        <f>IFERROR(IF(AB507&lt;&gt;AB506,AVERAGEIF(AB$9:AB506,AB506,AT$9:AT506),""),"")</f>
        <v/>
      </c>
      <c r="AN506" s="7" t="str">
        <f>IFERROR(IF(AB507&lt;&gt;AB506,AVERAGEIF(AB$9:AB506,AB506,AU$9:AU506),""),"")</f>
        <v/>
      </c>
      <c r="AO506" s="7" t="str" cm="1">
        <f t="array" ref="AO506">IFERROR(IF(AB507&lt;&gt;AB506,_xlfn.STDEV.P(IF(AB$9:AB506=AB506,AU$9:AU506)),""),"")</f>
        <v/>
      </c>
      <c r="AP506" s="7" t="str" cm="1">
        <f t="array" ref="AP506">IFERROR(IF(AB507&lt;&gt;AB506,_xlfn.STDEV.P(IF(AB$9:AB506=AB506,AT$9:AT506)),""),"")</f>
        <v/>
      </c>
      <c r="AQ506" s="8" t="str">
        <f t="shared" si="169"/>
        <v/>
      </c>
      <c r="AR506" s="8" t="str">
        <f t="shared" si="170"/>
        <v/>
      </c>
      <c r="AS506" s="8" t="str">
        <f t="shared" si="171"/>
        <v/>
      </c>
      <c r="AT506" s="9" t="str">
        <f t="shared" si="172"/>
        <v/>
      </c>
      <c r="AU506" s="9" t="str">
        <f t="shared" si="173"/>
        <v/>
      </c>
      <c r="AV506" s="14"/>
      <c r="AW506" s="15"/>
      <c r="AX506" s="14" t="str">
        <f t="shared" si="174"/>
        <v/>
      </c>
      <c r="AY506" s="15"/>
      <c r="AZ506" s="23"/>
      <c r="EW506" t="s">
        <v>46</v>
      </c>
      <c r="EX506" s="33" t="s">
        <v>47</v>
      </c>
      <c r="EY506" s="35" t="s">
        <v>1336</v>
      </c>
      <c r="EZ506" s="36" t="s">
        <v>1337</v>
      </c>
      <c r="FA506" s="36" t="s">
        <v>1192</v>
      </c>
      <c r="FB506" s="36" t="s">
        <v>344</v>
      </c>
      <c r="FC506" s="36" t="s">
        <v>1192</v>
      </c>
      <c r="FD506" s="36" t="s">
        <v>344</v>
      </c>
      <c r="FE506" s="36">
        <v>2026</v>
      </c>
      <c r="FF506" s="36" t="s">
        <v>59</v>
      </c>
      <c r="FG506" s="36" t="s">
        <v>1241</v>
      </c>
      <c r="FJ506" t="s">
        <v>59</v>
      </c>
      <c r="FM506" s="32" t="s">
        <v>1243</v>
      </c>
      <c r="FN506" t="s">
        <v>1243</v>
      </c>
      <c r="FO506" t="s">
        <v>1243</v>
      </c>
      <c r="FP506" t="str">
        <f t="shared" si="156"/>
        <v>C</v>
      </c>
      <c r="FT506" s="69" t="s">
        <v>7435</v>
      </c>
      <c r="FU506" s="61">
        <v>0</v>
      </c>
      <c r="FV506" s="61">
        <v>0</v>
      </c>
      <c r="FW506" s="61">
        <v>0</v>
      </c>
      <c r="FX506" s="61">
        <v>0</v>
      </c>
      <c r="FY506" s="61">
        <v>13.494999999999999</v>
      </c>
      <c r="FZ506" s="61">
        <v>25.875</v>
      </c>
      <c r="GA506" s="61">
        <v>23.954999999999998</v>
      </c>
      <c r="GB506" s="61">
        <v>22.935000000000002</v>
      </c>
      <c r="GC506" s="61">
        <v>22.060000000000002</v>
      </c>
      <c r="GD506" s="61">
        <v>20.92</v>
      </c>
      <c r="GE506" s="61">
        <v>19.759999999999998</v>
      </c>
      <c r="GF506" s="61">
        <v>19.07</v>
      </c>
      <c r="GG506" s="61">
        <v>18.04</v>
      </c>
      <c r="GH506" s="61">
        <v>18.125</v>
      </c>
      <c r="GI506" s="61">
        <v>18.759999999999998</v>
      </c>
      <c r="GJ506" s="61">
        <v>19.414999999999999</v>
      </c>
      <c r="GK506" s="61">
        <v>19.329999999999998</v>
      </c>
      <c r="GL506" s="61">
        <v>18.34</v>
      </c>
      <c r="GM506" s="61">
        <v>18.18</v>
      </c>
      <c r="GN506" s="61">
        <v>19.100000000000001</v>
      </c>
      <c r="GO506" s="61">
        <v>20.814999999999998</v>
      </c>
      <c r="GP506" s="61">
        <v>22.805</v>
      </c>
      <c r="GQ506" s="61">
        <v>24.5</v>
      </c>
      <c r="GR506" s="61">
        <v>27.175000000000001</v>
      </c>
      <c r="GU506" s="53">
        <v>51</v>
      </c>
      <c r="GV506" s="53">
        <v>500</v>
      </c>
    </row>
    <row r="507" spans="1:204" ht="15.5" x14ac:dyDescent="0.35">
      <c r="A507" s="95">
        <f t="shared" si="157"/>
        <v>1</v>
      </c>
      <c r="B507" s="11"/>
      <c r="C507" s="11"/>
      <c r="D507" s="92" t="str">
        <f>IFERROR(
IF(AND(OR(Planilla!B507="C",Planilla!B507="c"), VLOOKUP(E507,EX:FJ,13,0)="C"), "OK",IF(AND(OR(Planilla!B507="C",Planilla!B507="c"), OR(VLOOKUP(E507,EX:FJ,13,0)="B", VLOOKUP(E507,EX:FJ,13,0)="A")), "DEFICIT",IF(
AND(OR(Planilla!B507="B", Planilla!B507="BPAL"), VLOOKUP(E507,EX:FJ,13,0)="B"), "OK",IF(AND(OR(Planilla!B507="B", Planilla!B507="BPAL"), VLOOKUP(E507,EX:FJ,13,0)="A"), "DEFICIT",IF(AND(OR(Planilla!B507="B", Planilla!B507="BPAL"), VLOOKUP(E507,EX:FJ,13,0)="C"), "SOBREOFERTA",IF(AND(Planilla!B507="A", VLOOKUP(E507,EX:FJ,13,0)="A"), "OK",IF(
AND(Planilla!B507="A", OR(VLOOKUP(E507,EX:FJ,13,0)="B", VLOOKUP(E507,EX:FJ,13,0)="C")), "SOBREOFERTA",""
))))))),"")</f>
        <v/>
      </c>
      <c r="E507" s="12"/>
      <c r="F507" s="13"/>
      <c r="G507" s="14"/>
      <c r="H507" s="81" t="str">
        <f t="shared" si="158"/>
        <v/>
      </c>
      <c r="I507" s="7"/>
      <c r="J507" s="6" t="e">
        <f t="shared" si="159"/>
        <v>#N/A</v>
      </c>
      <c r="K507" s="6" t="str">
        <f>IF(A508&lt;&gt;A507,AVERAGEIF(A$9:A507,A507,J$9:J507),"")</f>
        <v/>
      </c>
      <c r="L507" s="7" t="str">
        <f>IFERROR(IF(A508&lt;&gt;A507,AVERAGEIF(A$9:A507,A507,S$9:S507),""),"")</f>
        <v/>
      </c>
      <c r="M507" s="7" t="str">
        <f>IFERROR(IF(A508&lt;&gt;A507,AVERAGEIF(A$9:A507,A507,T$9:T507),""),"")</f>
        <v/>
      </c>
      <c r="N507" s="7" t="str" cm="1">
        <f t="array" ref="N507">IFERROR(IF(A508&lt;&gt;A507,_xlfn.STDEV.P(IF(A$9:A507=A507,T$9:T507)),""),"")</f>
        <v/>
      </c>
      <c r="O507" s="7" t="str" cm="1">
        <f t="array" ref="O507">IFERROR(IF(A508&lt;&gt;A507,_xlfn.STDEV.P(IF(A$9:A507=A507,S$9:S507)),""),"")</f>
        <v/>
      </c>
      <c r="P507" s="8" t="str">
        <f t="shared" si="160"/>
        <v/>
      </c>
      <c r="Q507" s="8" t="str">
        <f t="shared" si="161"/>
        <v/>
      </c>
      <c r="R507" s="8" t="str">
        <f t="shared" si="162"/>
        <v/>
      </c>
      <c r="S507" s="9" t="str">
        <f t="shared" si="163"/>
        <v/>
      </c>
      <c r="T507" s="9" t="str">
        <f t="shared" si="164"/>
        <v/>
      </c>
      <c r="U507" s="14"/>
      <c r="V507" s="15"/>
      <c r="W507" s="14" t="str">
        <f t="shared" si="165"/>
        <v/>
      </c>
      <c r="X507" s="15"/>
      <c r="Y507" s="2"/>
      <c r="AB507" s="22">
        <f t="shared" si="166"/>
        <v>1</v>
      </c>
      <c r="AC507" s="11"/>
      <c r="AD507" s="11"/>
      <c r="AE507" s="13"/>
      <c r="AF507" s="12"/>
      <c r="AG507" s="13"/>
      <c r="AH507" s="14"/>
      <c r="AI507" s="81" t="str">
        <f t="shared" si="167"/>
        <v/>
      </c>
      <c r="AJ507" s="15"/>
      <c r="AK507" s="6" t="e">
        <f t="shared" si="168"/>
        <v>#N/A</v>
      </c>
      <c r="AL507" s="6" t="str">
        <f>IF(AB508&lt;&gt;AB507,AVERAGEIF(AB$9:AB507,AB507,AK$9:AK507),"")</f>
        <v/>
      </c>
      <c r="AM507" s="7" t="str">
        <f>IFERROR(IF(AB508&lt;&gt;AB507,AVERAGEIF(AB$9:AB507,AB507,AT$9:AT507),""),"")</f>
        <v/>
      </c>
      <c r="AN507" s="7" t="str">
        <f>IFERROR(IF(AB508&lt;&gt;AB507,AVERAGEIF(AB$9:AB507,AB507,AU$9:AU507),""),"")</f>
        <v/>
      </c>
      <c r="AO507" s="7" t="str" cm="1">
        <f t="array" ref="AO507">IFERROR(IF(AB508&lt;&gt;AB507,_xlfn.STDEV.P(IF(AB$9:AB507=AB507,AU$9:AU507)),""),"")</f>
        <v/>
      </c>
      <c r="AP507" s="7" t="str" cm="1">
        <f t="array" ref="AP507">IFERROR(IF(AB508&lt;&gt;AB507,_xlfn.STDEV.P(IF(AB$9:AB507=AB507,AT$9:AT507)),""),"")</f>
        <v/>
      </c>
      <c r="AQ507" s="8" t="str">
        <f t="shared" si="169"/>
        <v/>
      </c>
      <c r="AR507" s="8" t="str">
        <f t="shared" si="170"/>
        <v/>
      </c>
      <c r="AS507" s="8" t="str">
        <f t="shared" si="171"/>
        <v/>
      </c>
      <c r="AT507" s="9" t="str">
        <f t="shared" si="172"/>
        <v/>
      </c>
      <c r="AU507" s="9" t="str">
        <f t="shared" si="173"/>
        <v/>
      </c>
      <c r="AV507" s="14"/>
      <c r="AW507" s="15"/>
      <c r="AX507" s="14" t="str">
        <f t="shared" si="174"/>
        <v/>
      </c>
      <c r="AY507" s="15"/>
      <c r="AZ507" s="23"/>
      <c r="EW507" t="s">
        <v>46</v>
      </c>
      <c r="EX507" s="33" t="s">
        <v>47</v>
      </c>
      <c r="EY507" s="35" t="s">
        <v>1338</v>
      </c>
      <c r="EZ507" s="36" t="s">
        <v>1339</v>
      </c>
      <c r="FA507" s="36" t="s">
        <v>1192</v>
      </c>
      <c r="FB507" s="36" t="s">
        <v>344</v>
      </c>
      <c r="FC507" s="36" t="s">
        <v>1192</v>
      </c>
      <c r="FD507" s="36" t="s">
        <v>344</v>
      </c>
      <c r="FE507" s="36">
        <v>2026</v>
      </c>
      <c r="FF507" s="36" t="s">
        <v>59</v>
      </c>
      <c r="FG507" s="36" t="s">
        <v>1241</v>
      </c>
      <c r="FJ507" t="s">
        <v>59</v>
      </c>
      <c r="FM507" s="32" t="s">
        <v>1340</v>
      </c>
      <c r="FN507" t="s">
        <v>1340</v>
      </c>
      <c r="FO507" t="s">
        <v>1340</v>
      </c>
      <c r="FP507" t="str">
        <f t="shared" si="156"/>
        <v>C</v>
      </c>
      <c r="FT507" s="69" t="s">
        <v>7435</v>
      </c>
      <c r="FU507" s="61">
        <v>13.48</v>
      </c>
      <c r="FV507" s="61">
        <v>0</v>
      </c>
      <c r="FW507" s="61">
        <v>0</v>
      </c>
      <c r="FX507" s="61">
        <v>0</v>
      </c>
      <c r="FY507" s="61">
        <v>0</v>
      </c>
      <c r="FZ507" s="61">
        <v>11.685</v>
      </c>
      <c r="GA507" s="61">
        <v>23.78</v>
      </c>
      <c r="GB507" s="61">
        <v>23.53</v>
      </c>
      <c r="GC507" s="61">
        <v>21.895000000000003</v>
      </c>
      <c r="GD507" s="61">
        <v>20.435000000000002</v>
      </c>
      <c r="GE507" s="61">
        <v>19.835000000000001</v>
      </c>
      <c r="GF507" s="61">
        <v>18.75</v>
      </c>
      <c r="GG507" s="61">
        <v>18.015000000000001</v>
      </c>
      <c r="GH507" s="61">
        <v>17.405000000000001</v>
      </c>
      <c r="GI507" s="61">
        <v>18.324999999999999</v>
      </c>
      <c r="GJ507" s="61">
        <v>18.774999999999999</v>
      </c>
      <c r="GK507" s="61">
        <v>18.5</v>
      </c>
      <c r="GL507" s="61">
        <v>17.8</v>
      </c>
      <c r="GM507" s="61">
        <v>17.89</v>
      </c>
      <c r="GN507" s="61">
        <v>18.325000000000003</v>
      </c>
      <c r="GO507" s="61">
        <v>19.164999999999999</v>
      </c>
      <c r="GP507" s="61">
        <v>20.064999999999998</v>
      </c>
      <c r="GQ507" s="61">
        <v>21.674999999999997</v>
      </c>
      <c r="GR507" s="61">
        <v>24.17</v>
      </c>
      <c r="GU507" s="53">
        <v>52</v>
      </c>
      <c r="GV507" s="53">
        <v>501</v>
      </c>
    </row>
    <row r="508" spans="1:204" ht="15.5" x14ac:dyDescent="0.35">
      <c r="A508" s="95">
        <f t="shared" si="157"/>
        <v>1</v>
      </c>
      <c r="B508" s="11"/>
      <c r="C508" s="11"/>
      <c r="D508" s="92" t="str">
        <f>IFERROR(
IF(AND(OR(Planilla!B508="C",Planilla!B508="c"), VLOOKUP(E508,EX:FJ,13,0)="C"), "OK",IF(AND(OR(Planilla!B508="C",Planilla!B508="c"), OR(VLOOKUP(E508,EX:FJ,13,0)="B", VLOOKUP(E508,EX:FJ,13,0)="A")), "DEFICIT",IF(
AND(OR(Planilla!B508="B", Planilla!B508="BPAL"), VLOOKUP(E508,EX:FJ,13,0)="B"), "OK",IF(AND(OR(Planilla!B508="B", Planilla!B508="BPAL"), VLOOKUP(E508,EX:FJ,13,0)="A"), "DEFICIT",IF(AND(OR(Planilla!B508="B", Planilla!B508="BPAL"), VLOOKUP(E508,EX:FJ,13,0)="C"), "SOBREOFERTA",IF(AND(Planilla!B508="A", VLOOKUP(E508,EX:FJ,13,0)="A"), "OK",IF(
AND(Planilla!B508="A", OR(VLOOKUP(E508,EX:FJ,13,0)="B", VLOOKUP(E508,EX:FJ,13,0)="C")), "SOBREOFERTA",""
))))))),"")</f>
        <v/>
      </c>
      <c r="E508" s="12"/>
      <c r="F508" s="13"/>
      <c r="G508" s="14"/>
      <c r="H508" s="81" t="str">
        <f t="shared" si="158"/>
        <v/>
      </c>
      <c r="I508" s="7"/>
      <c r="J508" s="6" t="e">
        <f t="shared" si="159"/>
        <v>#N/A</v>
      </c>
      <c r="K508" s="6" t="str">
        <f>IF(A509&lt;&gt;A508,AVERAGEIF(A$9:A508,A508,J$9:J508),"")</f>
        <v/>
      </c>
      <c r="L508" s="7" t="str">
        <f>IFERROR(IF(A509&lt;&gt;A508,AVERAGEIF(A$9:A508,A508,S$9:S508),""),"")</f>
        <v/>
      </c>
      <c r="M508" s="7" t="str">
        <f>IFERROR(IF(A509&lt;&gt;A508,AVERAGEIF(A$9:A508,A508,T$9:T508),""),"")</f>
        <v/>
      </c>
      <c r="N508" s="7" t="str" cm="1">
        <f t="array" ref="N508">IFERROR(IF(A509&lt;&gt;A508,_xlfn.STDEV.P(IF(A$9:A508=A508,T$9:T508)),""),"")</f>
        <v/>
      </c>
      <c r="O508" s="7" t="str" cm="1">
        <f t="array" ref="O508">IFERROR(IF(A509&lt;&gt;A508,_xlfn.STDEV.P(IF(A$9:A508=A508,S$9:S508)),""),"")</f>
        <v/>
      </c>
      <c r="P508" s="8" t="str">
        <f t="shared" si="160"/>
        <v/>
      </c>
      <c r="Q508" s="8" t="str">
        <f t="shared" si="161"/>
        <v/>
      </c>
      <c r="R508" s="8" t="str">
        <f t="shared" si="162"/>
        <v/>
      </c>
      <c r="S508" s="9" t="str">
        <f t="shared" si="163"/>
        <v/>
      </c>
      <c r="T508" s="9" t="str">
        <f t="shared" si="164"/>
        <v/>
      </c>
      <c r="U508" s="14"/>
      <c r="V508" s="15"/>
      <c r="W508" s="14" t="str">
        <f t="shared" si="165"/>
        <v/>
      </c>
      <c r="X508" s="15"/>
      <c r="Y508" s="2"/>
      <c r="AB508" s="22">
        <f t="shared" si="166"/>
        <v>1</v>
      </c>
      <c r="AC508" s="11"/>
      <c r="AD508" s="11"/>
      <c r="AE508" s="13"/>
      <c r="AF508" s="12"/>
      <c r="AG508" s="13"/>
      <c r="AH508" s="14"/>
      <c r="AI508" s="81" t="str">
        <f t="shared" si="167"/>
        <v/>
      </c>
      <c r="AJ508" s="15"/>
      <c r="AK508" s="6" t="e">
        <f t="shared" si="168"/>
        <v>#N/A</v>
      </c>
      <c r="AL508" s="6" t="str">
        <f>IF(AB509&lt;&gt;AB508,AVERAGEIF(AB$9:AB508,AB508,AK$9:AK508),"")</f>
        <v/>
      </c>
      <c r="AM508" s="7" t="str">
        <f>IFERROR(IF(AB509&lt;&gt;AB508,AVERAGEIF(AB$9:AB508,AB508,AT$9:AT508),""),"")</f>
        <v/>
      </c>
      <c r="AN508" s="7" t="str">
        <f>IFERROR(IF(AB509&lt;&gt;AB508,AVERAGEIF(AB$9:AB508,AB508,AU$9:AU508),""),"")</f>
        <v/>
      </c>
      <c r="AO508" s="7" t="str" cm="1">
        <f t="array" ref="AO508">IFERROR(IF(AB509&lt;&gt;AB508,_xlfn.STDEV.P(IF(AB$9:AB508=AB508,AU$9:AU508)),""),"")</f>
        <v/>
      </c>
      <c r="AP508" s="7" t="str" cm="1">
        <f t="array" ref="AP508">IFERROR(IF(AB509&lt;&gt;AB508,_xlfn.STDEV.P(IF(AB$9:AB508=AB508,AT$9:AT508)),""),"")</f>
        <v/>
      </c>
      <c r="AQ508" s="8" t="str">
        <f t="shared" si="169"/>
        <v/>
      </c>
      <c r="AR508" s="8" t="str">
        <f t="shared" si="170"/>
        <v/>
      </c>
      <c r="AS508" s="8" t="str">
        <f t="shared" si="171"/>
        <v/>
      </c>
      <c r="AT508" s="9" t="str">
        <f t="shared" si="172"/>
        <v/>
      </c>
      <c r="AU508" s="9" t="str">
        <f t="shared" si="173"/>
        <v/>
      </c>
      <c r="AV508" s="14"/>
      <c r="AW508" s="15"/>
      <c r="AX508" s="14" t="str">
        <f t="shared" si="174"/>
        <v/>
      </c>
      <c r="AY508" s="15"/>
      <c r="AZ508" s="23"/>
      <c r="EW508" t="s">
        <v>46</v>
      </c>
      <c r="EX508" s="33" t="s">
        <v>47</v>
      </c>
      <c r="EY508" s="35" t="s">
        <v>1341</v>
      </c>
      <c r="EZ508" s="36" t="s">
        <v>1342</v>
      </c>
      <c r="FA508" s="36" t="s">
        <v>1192</v>
      </c>
      <c r="FB508" s="36" t="s">
        <v>344</v>
      </c>
      <c r="FC508" s="36" t="s">
        <v>1192</v>
      </c>
      <c r="FD508" s="36" t="s">
        <v>344</v>
      </c>
      <c r="FE508" s="36">
        <v>2026</v>
      </c>
      <c r="FF508" s="36" t="s">
        <v>59</v>
      </c>
      <c r="FG508" s="36" t="s">
        <v>1241</v>
      </c>
      <c r="FJ508" t="s">
        <v>59</v>
      </c>
      <c r="FM508" s="32" t="s">
        <v>1343</v>
      </c>
      <c r="FN508" t="s">
        <v>1343</v>
      </c>
      <c r="FO508" t="s">
        <v>1343</v>
      </c>
      <c r="FP508" t="str">
        <f t="shared" si="156"/>
        <v>C</v>
      </c>
      <c r="FT508" s="69" t="s">
        <v>7436</v>
      </c>
      <c r="FU508" s="61">
        <v>0</v>
      </c>
      <c r="FV508" s="61">
        <v>0</v>
      </c>
      <c r="FW508" s="61">
        <v>0</v>
      </c>
      <c r="FX508" s="61">
        <v>0</v>
      </c>
      <c r="FY508" s="61">
        <v>0</v>
      </c>
      <c r="FZ508" s="61">
        <v>26.594999999999999</v>
      </c>
      <c r="GA508" s="61">
        <v>25.05</v>
      </c>
      <c r="GB508" s="61">
        <v>22.380000000000003</v>
      </c>
      <c r="GC508" s="61">
        <v>21.17</v>
      </c>
      <c r="GD508" s="61">
        <v>20.535</v>
      </c>
      <c r="GE508" s="61">
        <v>19.395</v>
      </c>
      <c r="GF508" s="61">
        <v>18.54</v>
      </c>
      <c r="GG508" s="61">
        <v>16.965</v>
      </c>
      <c r="GH508" s="61">
        <v>17.324999999999999</v>
      </c>
      <c r="GI508" s="61">
        <v>18.579999999999998</v>
      </c>
      <c r="GJ508" s="61">
        <v>19.07</v>
      </c>
      <c r="GK508" s="61">
        <v>18.774999999999999</v>
      </c>
      <c r="GL508" s="61">
        <v>18.524999999999999</v>
      </c>
      <c r="GM508" s="61">
        <v>17.895</v>
      </c>
      <c r="GN508" s="61">
        <v>18.329999999999998</v>
      </c>
      <c r="GO508" s="61">
        <v>19.54</v>
      </c>
      <c r="GP508" s="61">
        <v>21.619999999999997</v>
      </c>
      <c r="GQ508" s="61">
        <v>24.204999999999998</v>
      </c>
      <c r="GR508" s="61">
        <v>27.240000000000002</v>
      </c>
      <c r="GU508" s="53">
        <v>53</v>
      </c>
      <c r="GV508" s="53">
        <v>502</v>
      </c>
    </row>
    <row r="509" spans="1:204" ht="15.5" x14ac:dyDescent="0.35">
      <c r="A509" s="95">
        <f t="shared" si="157"/>
        <v>1</v>
      </c>
      <c r="B509" s="11"/>
      <c r="C509" s="11"/>
      <c r="D509" s="92" t="str">
        <f>IFERROR(
IF(AND(OR(Planilla!B509="C",Planilla!B509="c"), VLOOKUP(E509,EX:FJ,13,0)="C"), "OK",IF(AND(OR(Planilla!B509="C",Planilla!B509="c"), OR(VLOOKUP(E509,EX:FJ,13,0)="B", VLOOKUP(E509,EX:FJ,13,0)="A")), "DEFICIT",IF(
AND(OR(Planilla!B509="B", Planilla!B509="BPAL"), VLOOKUP(E509,EX:FJ,13,0)="B"), "OK",IF(AND(OR(Planilla!B509="B", Planilla!B509="BPAL"), VLOOKUP(E509,EX:FJ,13,0)="A"), "DEFICIT",IF(AND(OR(Planilla!B509="B", Planilla!B509="BPAL"), VLOOKUP(E509,EX:FJ,13,0)="C"), "SOBREOFERTA",IF(AND(Planilla!B509="A", VLOOKUP(E509,EX:FJ,13,0)="A"), "OK",IF(
AND(Planilla!B509="A", OR(VLOOKUP(E509,EX:FJ,13,0)="B", VLOOKUP(E509,EX:FJ,13,0)="C")), "SOBREOFERTA",""
))))))),"")</f>
        <v/>
      </c>
      <c r="E509" s="12"/>
      <c r="F509" s="13"/>
      <c r="G509" s="14"/>
      <c r="H509" s="81" t="str">
        <f t="shared" si="158"/>
        <v/>
      </c>
      <c r="I509" s="7"/>
      <c r="J509" s="6" t="e">
        <f t="shared" si="159"/>
        <v>#N/A</v>
      </c>
      <c r="K509" s="6" t="str">
        <f>IF(A510&lt;&gt;A509,AVERAGEIF(A$9:A509,A509,J$9:J509),"")</f>
        <v/>
      </c>
      <c r="L509" s="7" t="str">
        <f>IFERROR(IF(A510&lt;&gt;A509,AVERAGEIF(A$9:A509,A509,S$9:S509),""),"")</f>
        <v/>
      </c>
      <c r="M509" s="7" t="str">
        <f>IFERROR(IF(A510&lt;&gt;A509,AVERAGEIF(A$9:A509,A509,T$9:T509),""),"")</f>
        <v/>
      </c>
      <c r="N509" s="7" t="str" cm="1">
        <f t="array" ref="N509">IFERROR(IF(A510&lt;&gt;A509,_xlfn.STDEV.P(IF(A$9:A509=A509,T$9:T509)),""),"")</f>
        <v/>
      </c>
      <c r="O509" s="7" t="str" cm="1">
        <f t="array" ref="O509">IFERROR(IF(A510&lt;&gt;A509,_xlfn.STDEV.P(IF(A$9:A509=A509,S$9:S509)),""),"")</f>
        <v/>
      </c>
      <c r="P509" s="8" t="str">
        <f t="shared" si="160"/>
        <v/>
      </c>
      <c r="Q509" s="8" t="str">
        <f t="shared" si="161"/>
        <v/>
      </c>
      <c r="R509" s="8" t="str">
        <f t="shared" si="162"/>
        <v/>
      </c>
      <c r="S509" s="9" t="str">
        <f t="shared" si="163"/>
        <v/>
      </c>
      <c r="T509" s="9" t="str">
        <f t="shared" si="164"/>
        <v/>
      </c>
      <c r="U509" s="14"/>
      <c r="V509" s="15"/>
      <c r="W509" s="14" t="str">
        <f t="shared" si="165"/>
        <v/>
      </c>
      <c r="X509" s="15"/>
      <c r="Y509" s="2"/>
      <c r="AB509" s="22">
        <f t="shared" si="166"/>
        <v>1</v>
      </c>
      <c r="AC509" s="11"/>
      <c r="AD509" s="11"/>
      <c r="AE509" s="13"/>
      <c r="AF509" s="12"/>
      <c r="AG509" s="13"/>
      <c r="AH509" s="14"/>
      <c r="AI509" s="81" t="str">
        <f t="shared" si="167"/>
        <v/>
      </c>
      <c r="AJ509" s="15"/>
      <c r="AK509" s="6" t="e">
        <f t="shared" si="168"/>
        <v>#N/A</v>
      </c>
      <c r="AL509" s="6" t="str">
        <f>IF(AB510&lt;&gt;AB509,AVERAGEIF(AB$9:AB509,AB509,AK$9:AK509),"")</f>
        <v/>
      </c>
      <c r="AM509" s="7" t="str">
        <f>IFERROR(IF(AB510&lt;&gt;AB509,AVERAGEIF(AB$9:AB509,AB509,AT$9:AT509),""),"")</f>
        <v/>
      </c>
      <c r="AN509" s="7" t="str">
        <f>IFERROR(IF(AB510&lt;&gt;AB509,AVERAGEIF(AB$9:AB509,AB509,AU$9:AU509),""),"")</f>
        <v/>
      </c>
      <c r="AO509" s="7" t="str" cm="1">
        <f t="array" ref="AO509">IFERROR(IF(AB510&lt;&gt;AB509,_xlfn.STDEV.P(IF(AB$9:AB509=AB509,AU$9:AU509)),""),"")</f>
        <v/>
      </c>
      <c r="AP509" s="7" t="str" cm="1">
        <f t="array" ref="AP509">IFERROR(IF(AB510&lt;&gt;AB509,_xlfn.STDEV.P(IF(AB$9:AB509=AB509,AT$9:AT509)),""),"")</f>
        <v/>
      </c>
      <c r="AQ509" s="8" t="str">
        <f t="shared" si="169"/>
        <v/>
      </c>
      <c r="AR509" s="8" t="str">
        <f t="shared" si="170"/>
        <v/>
      </c>
      <c r="AS509" s="8" t="str">
        <f t="shared" si="171"/>
        <v/>
      </c>
      <c r="AT509" s="9" t="str">
        <f t="shared" si="172"/>
        <v/>
      </c>
      <c r="AU509" s="9" t="str">
        <f t="shared" si="173"/>
        <v/>
      </c>
      <c r="AV509" s="14"/>
      <c r="AW509" s="15"/>
      <c r="AX509" s="14" t="str">
        <f t="shared" si="174"/>
        <v/>
      </c>
      <c r="AY509" s="15"/>
      <c r="AZ509" s="23"/>
      <c r="EW509" t="s">
        <v>46</v>
      </c>
      <c r="EX509" s="33" t="s">
        <v>47</v>
      </c>
      <c r="EY509" s="35" t="s">
        <v>1344</v>
      </c>
      <c r="EZ509" s="36" t="s">
        <v>1345</v>
      </c>
      <c r="FA509" s="36" t="s">
        <v>1192</v>
      </c>
      <c r="FB509" s="36" t="s">
        <v>344</v>
      </c>
      <c r="FC509" s="36" t="s">
        <v>1192</v>
      </c>
      <c r="FD509" s="36" t="s">
        <v>344</v>
      </c>
      <c r="FE509" s="36">
        <v>2026</v>
      </c>
      <c r="FF509" s="36" t="s">
        <v>59</v>
      </c>
      <c r="FG509" s="36" t="s">
        <v>1241</v>
      </c>
      <c r="FJ509" t="s">
        <v>59</v>
      </c>
      <c r="FM509" s="32" t="s">
        <v>1346</v>
      </c>
      <c r="FN509" t="s">
        <v>1346</v>
      </c>
      <c r="FO509" t="s">
        <v>1347</v>
      </c>
      <c r="FP509" t="str">
        <f t="shared" si="156"/>
        <v>B</v>
      </c>
      <c r="FT509" s="69" t="s">
        <v>7436</v>
      </c>
      <c r="FU509" s="61">
        <v>12.15</v>
      </c>
      <c r="FV509" s="61">
        <v>0</v>
      </c>
      <c r="FW509" s="61">
        <v>0</v>
      </c>
      <c r="FX509" s="61">
        <v>0</v>
      </c>
      <c r="FY509" s="61">
        <v>0</v>
      </c>
      <c r="FZ509" s="61">
        <v>12.91</v>
      </c>
      <c r="GA509" s="61">
        <v>25.344999999999999</v>
      </c>
      <c r="GB509" s="61">
        <v>23.965</v>
      </c>
      <c r="GC509" s="61">
        <v>22.63</v>
      </c>
      <c r="GD509" s="61">
        <v>22.15</v>
      </c>
      <c r="GE509" s="61">
        <v>20.85</v>
      </c>
      <c r="GF509" s="61">
        <v>19.579999999999998</v>
      </c>
      <c r="GG509" s="61">
        <v>18.649999999999999</v>
      </c>
      <c r="GH509" s="61">
        <v>17.850000000000001</v>
      </c>
      <c r="GI509" s="61">
        <v>18.59</v>
      </c>
      <c r="GJ509" s="61">
        <v>18.454999999999998</v>
      </c>
      <c r="GK509" s="61">
        <v>18.615000000000002</v>
      </c>
      <c r="GL509" s="61">
        <v>18.28</v>
      </c>
      <c r="GM509" s="61">
        <v>17.074999999999999</v>
      </c>
      <c r="GN509" s="61">
        <v>17.234999999999999</v>
      </c>
      <c r="GO509" s="61">
        <v>18.309999999999999</v>
      </c>
      <c r="GP509" s="61">
        <v>19.759999999999998</v>
      </c>
      <c r="GQ509" s="61">
        <v>22.305</v>
      </c>
      <c r="GR509" s="61">
        <v>24.13</v>
      </c>
      <c r="GU509" s="53">
        <v>54</v>
      </c>
      <c r="GV509" s="53">
        <v>503</v>
      </c>
    </row>
    <row r="510" spans="1:204" ht="15.5" x14ac:dyDescent="0.35">
      <c r="A510" s="95">
        <f t="shared" si="157"/>
        <v>1</v>
      </c>
      <c r="B510" s="11"/>
      <c r="C510" s="11"/>
      <c r="D510" s="92" t="str">
        <f>IFERROR(
IF(AND(OR(Planilla!B510="C",Planilla!B510="c"), VLOOKUP(E510,EX:FJ,13,0)="C"), "OK",IF(AND(OR(Planilla!B510="C",Planilla!B510="c"), OR(VLOOKUP(E510,EX:FJ,13,0)="B", VLOOKUP(E510,EX:FJ,13,0)="A")), "DEFICIT",IF(
AND(OR(Planilla!B510="B", Planilla!B510="BPAL"), VLOOKUP(E510,EX:FJ,13,0)="B"), "OK",IF(AND(OR(Planilla!B510="B", Planilla!B510="BPAL"), VLOOKUP(E510,EX:FJ,13,0)="A"), "DEFICIT",IF(AND(OR(Planilla!B510="B", Planilla!B510="BPAL"), VLOOKUP(E510,EX:FJ,13,0)="C"), "SOBREOFERTA",IF(AND(Planilla!B510="A", VLOOKUP(E510,EX:FJ,13,0)="A"), "OK",IF(
AND(Planilla!B510="A", OR(VLOOKUP(E510,EX:FJ,13,0)="B", VLOOKUP(E510,EX:FJ,13,0)="C")), "SOBREOFERTA",""
))))))),"")</f>
        <v/>
      </c>
      <c r="E510" s="12"/>
      <c r="F510" s="13"/>
      <c r="G510" s="14"/>
      <c r="H510" s="81" t="str">
        <f t="shared" si="158"/>
        <v/>
      </c>
      <c r="I510" s="7"/>
      <c r="J510" s="6" t="e">
        <f t="shared" si="159"/>
        <v>#N/A</v>
      </c>
      <c r="K510" s="6" t="str">
        <f>IF(A511&lt;&gt;A510,AVERAGEIF(A$9:A510,A510,J$9:J510),"")</f>
        <v/>
      </c>
      <c r="L510" s="7" t="str">
        <f>IFERROR(IF(A511&lt;&gt;A510,AVERAGEIF(A$9:A510,A510,S$9:S510),""),"")</f>
        <v/>
      </c>
      <c r="M510" s="7" t="str">
        <f>IFERROR(IF(A511&lt;&gt;A510,AVERAGEIF(A$9:A510,A510,T$9:T510),""),"")</f>
        <v/>
      </c>
      <c r="N510" s="7" t="str" cm="1">
        <f t="array" ref="N510">IFERROR(IF(A511&lt;&gt;A510,_xlfn.STDEV.P(IF(A$9:A510=A510,T$9:T510)),""),"")</f>
        <v/>
      </c>
      <c r="O510" s="7" t="str" cm="1">
        <f t="array" ref="O510">IFERROR(IF(A511&lt;&gt;A510,_xlfn.STDEV.P(IF(A$9:A510=A510,S$9:S510)),""),"")</f>
        <v/>
      </c>
      <c r="P510" s="8" t="str">
        <f t="shared" si="160"/>
        <v/>
      </c>
      <c r="Q510" s="8" t="str">
        <f t="shared" si="161"/>
        <v/>
      </c>
      <c r="R510" s="8" t="str">
        <f t="shared" si="162"/>
        <v/>
      </c>
      <c r="S510" s="9" t="str">
        <f t="shared" si="163"/>
        <v/>
      </c>
      <c r="T510" s="9" t="str">
        <f t="shared" si="164"/>
        <v/>
      </c>
      <c r="U510" s="14"/>
      <c r="V510" s="15"/>
      <c r="W510" s="14" t="str">
        <f t="shared" si="165"/>
        <v/>
      </c>
      <c r="X510" s="15"/>
      <c r="Y510" s="2"/>
      <c r="AB510" s="22">
        <f t="shared" si="166"/>
        <v>1</v>
      </c>
      <c r="AC510" s="11"/>
      <c r="AD510" s="11"/>
      <c r="AE510" s="13"/>
      <c r="AF510" s="12"/>
      <c r="AG510" s="13"/>
      <c r="AH510" s="14"/>
      <c r="AI510" s="81" t="str">
        <f t="shared" si="167"/>
        <v/>
      </c>
      <c r="AJ510" s="15"/>
      <c r="AK510" s="6" t="e">
        <f t="shared" si="168"/>
        <v>#N/A</v>
      </c>
      <c r="AL510" s="6" t="str">
        <f>IF(AB511&lt;&gt;AB510,AVERAGEIF(AB$9:AB510,AB510,AK$9:AK510),"")</f>
        <v/>
      </c>
      <c r="AM510" s="7" t="str">
        <f>IFERROR(IF(AB511&lt;&gt;AB510,AVERAGEIF(AB$9:AB510,AB510,AT$9:AT510),""),"")</f>
        <v/>
      </c>
      <c r="AN510" s="7" t="str">
        <f>IFERROR(IF(AB511&lt;&gt;AB510,AVERAGEIF(AB$9:AB510,AB510,AU$9:AU510),""),"")</f>
        <v/>
      </c>
      <c r="AO510" s="7" t="str" cm="1">
        <f t="array" ref="AO510">IFERROR(IF(AB511&lt;&gt;AB510,_xlfn.STDEV.P(IF(AB$9:AB510=AB510,AU$9:AU510)),""),"")</f>
        <v/>
      </c>
      <c r="AP510" s="7" t="str" cm="1">
        <f t="array" ref="AP510">IFERROR(IF(AB511&lt;&gt;AB510,_xlfn.STDEV.P(IF(AB$9:AB510=AB510,AT$9:AT510)),""),"")</f>
        <v/>
      </c>
      <c r="AQ510" s="8" t="str">
        <f t="shared" si="169"/>
        <v/>
      </c>
      <c r="AR510" s="8" t="str">
        <f t="shared" si="170"/>
        <v/>
      </c>
      <c r="AS510" s="8" t="str">
        <f t="shared" si="171"/>
        <v/>
      </c>
      <c r="AT510" s="9" t="str">
        <f t="shared" si="172"/>
        <v/>
      </c>
      <c r="AU510" s="9" t="str">
        <f t="shared" si="173"/>
        <v/>
      </c>
      <c r="AV510" s="14"/>
      <c r="AW510" s="15"/>
      <c r="AX510" s="14" t="str">
        <f t="shared" si="174"/>
        <v/>
      </c>
      <c r="AY510" s="15"/>
      <c r="AZ510" s="23"/>
      <c r="EW510" t="s">
        <v>46</v>
      </c>
      <c r="EX510" s="33" t="s">
        <v>47</v>
      </c>
      <c r="EY510" s="35" t="s">
        <v>1348</v>
      </c>
      <c r="EZ510" s="36" t="s">
        <v>1349</v>
      </c>
      <c r="FA510" s="36" t="s">
        <v>1192</v>
      </c>
      <c r="FB510" s="36" t="s">
        <v>344</v>
      </c>
      <c r="FC510" s="36" t="s">
        <v>1192</v>
      </c>
      <c r="FD510" s="36" t="s">
        <v>344</v>
      </c>
      <c r="FE510" s="36">
        <v>2026</v>
      </c>
      <c r="FF510" s="36" t="s">
        <v>59</v>
      </c>
      <c r="FG510" s="36" t="s">
        <v>1241</v>
      </c>
      <c r="FJ510" t="s">
        <v>59</v>
      </c>
      <c r="FM510" s="32" t="s">
        <v>1350</v>
      </c>
      <c r="FN510" t="s">
        <v>1350</v>
      </c>
      <c r="FO510" t="s">
        <v>1351</v>
      </c>
      <c r="FP510" t="str">
        <f t="shared" si="156"/>
        <v>C</v>
      </c>
      <c r="FT510" s="69" t="s">
        <v>7450</v>
      </c>
      <c r="FU510" s="61">
        <v>27.305</v>
      </c>
      <c r="FV510" s="61">
        <v>28.664999999999999</v>
      </c>
      <c r="FW510" s="61">
        <v>29.984999999999999</v>
      </c>
      <c r="FX510" s="61">
        <v>31.644999999999996</v>
      </c>
      <c r="FY510" s="61">
        <v>31.365000000000002</v>
      </c>
      <c r="FZ510" s="61">
        <v>29.6</v>
      </c>
      <c r="GA510" s="61">
        <v>27.83</v>
      </c>
      <c r="GB510" s="61">
        <v>25.06</v>
      </c>
      <c r="GC510" s="61">
        <v>23.734999999999999</v>
      </c>
      <c r="GD510" s="61">
        <v>22.625</v>
      </c>
      <c r="GE510" s="61">
        <v>21.204999999999998</v>
      </c>
      <c r="GF510" s="61">
        <v>20.075000000000003</v>
      </c>
      <c r="GG510" s="61">
        <v>19.384999999999998</v>
      </c>
      <c r="GH510" s="61">
        <v>19.215</v>
      </c>
      <c r="GI510" s="61">
        <v>19.68</v>
      </c>
      <c r="GJ510" s="61">
        <v>19.825000000000003</v>
      </c>
      <c r="GK510" s="61">
        <v>19.325000000000003</v>
      </c>
      <c r="GL510" s="61">
        <v>18.899999999999999</v>
      </c>
      <c r="GM510" s="61">
        <v>18.689999999999998</v>
      </c>
      <c r="GN510" s="61">
        <v>19.119999999999997</v>
      </c>
      <c r="GO510" s="61">
        <v>20.015000000000001</v>
      </c>
      <c r="GP510" s="61">
        <v>21.72</v>
      </c>
      <c r="GQ510" s="61">
        <v>24.52</v>
      </c>
      <c r="GR510" s="61">
        <v>27.700000000000003</v>
      </c>
      <c r="GU510" s="53">
        <v>55</v>
      </c>
      <c r="GV510" s="53">
        <v>504</v>
      </c>
    </row>
    <row r="511" spans="1:204" ht="15.5" x14ac:dyDescent="0.35">
      <c r="A511" s="95">
        <f t="shared" si="157"/>
        <v>1</v>
      </c>
      <c r="B511" s="11"/>
      <c r="C511" s="11"/>
      <c r="D511" s="92" t="str">
        <f>IFERROR(
IF(AND(OR(Planilla!B511="C",Planilla!B511="c"), VLOOKUP(E511,EX:FJ,13,0)="C"), "OK",IF(AND(OR(Planilla!B511="C",Planilla!B511="c"), OR(VLOOKUP(E511,EX:FJ,13,0)="B", VLOOKUP(E511,EX:FJ,13,0)="A")), "DEFICIT",IF(
AND(OR(Planilla!B511="B", Planilla!B511="BPAL"), VLOOKUP(E511,EX:FJ,13,0)="B"), "OK",IF(AND(OR(Planilla!B511="B", Planilla!B511="BPAL"), VLOOKUP(E511,EX:FJ,13,0)="A"), "DEFICIT",IF(AND(OR(Planilla!B511="B", Planilla!B511="BPAL"), VLOOKUP(E511,EX:FJ,13,0)="C"), "SOBREOFERTA",IF(AND(Planilla!B511="A", VLOOKUP(E511,EX:FJ,13,0)="A"), "OK",IF(
AND(Planilla!B511="A", OR(VLOOKUP(E511,EX:FJ,13,0)="B", VLOOKUP(E511,EX:FJ,13,0)="C")), "SOBREOFERTA",""
))))))),"")</f>
        <v/>
      </c>
      <c r="E511" s="12"/>
      <c r="F511" s="13"/>
      <c r="G511" s="14"/>
      <c r="H511" s="81" t="str">
        <f t="shared" si="158"/>
        <v/>
      </c>
      <c r="I511" s="7"/>
      <c r="J511" s="6" t="e">
        <f t="shared" si="159"/>
        <v>#N/A</v>
      </c>
      <c r="K511" s="6" t="str">
        <f>IF(A512&lt;&gt;A511,AVERAGEIF(A$9:A511,A511,J$9:J511),"")</f>
        <v/>
      </c>
      <c r="L511" s="7" t="str">
        <f>IFERROR(IF(A512&lt;&gt;A511,AVERAGEIF(A$9:A511,A511,S$9:S511),""),"")</f>
        <v/>
      </c>
      <c r="M511" s="7" t="str">
        <f>IFERROR(IF(A512&lt;&gt;A511,AVERAGEIF(A$9:A511,A511,T$9:T511),""),"")</f>
        <v/>
      </c>
      <c r="N511" s="7" t="str" cm="1">
        <f t="array" ref="N511">IFERROR(IF(A512&lt;&gt;A511,_xlfn.STDEV.P(IF(A$9:A511=A511,T$9:T511)),""),"")</f>
        <v/>
      </c>
      <c r="O511" s="7" t="str" cm="1">
        <f t="array" ref="O511">IFERROR(IF(A512&lt;&gt;A511,_xlfn.STDEV.P(IF(A$9:A511=A511,S$9:S511)),""),"")</f>
        <v/>
      </c>
      <c r="P511" s="8" t="str">
        <f t="shared" si="160"/>
        <v/>
      </c>
      <c r="Q511" s="8" t="str">
        <f t="shared" si="161"/>
        <v/>
      </c>
      <c r="R511" s="8" t="str">
        <f t="shared" si="162"/>
        <v/>
      </c>
      <c r="S511" s="9" t="str">
        <f t="shared" si="163"/>
        <v/>
      </c>
      <c r="T511" s="9" t="str">
        <f t="shared" si="164"/>
        <v/>
      </c>
      <c r="U511" s="14"/>
      <c r="V511" s="15"/>
      <c r="W511" s="14" t="str">
        <f t="shared" si="165"/>
        <v/>
      </c>
      <c r="X511" s="15"/>
      <c r="Y511" s="2"/>
      <c r="AB511" s="22">
        <f t="shared" si="166"/>
        <v>1</v>
      </c>
      <c r="AC511" s="11"/>
      <c r="AD511" s="11"/>
      <c r="AE511" s="13"/>
      <c r="AF511" s="12"/>
      <c r="AG511" s="13"/>
      <c r="AH511" s="14"/>
      <c r="AI511" s="81" t="str">
        <f t="shared" si="167"/>
        <v/>
      </c>
      <c r="AJ511" s="15"/>
      <c r="AK511" s="6" t="e">
        <f t="shared" si="168"/>
        <v>#N/A</v>
      </c>
      <c r="AL511" s="6" t="str">
        <f>IF(AB512&lt;&gt;AB511,AVERAGEIF(AB$9:AB511,AB511,AK$9:AK511),"")</f>
        <v/>
      </c>
      <c r="AM511" s="7" t="str">
        <f>IFERROR(IF(AB512&lt;&gt;AB511,AVERAGEIF(AB$9:AB511,AB511,AT$9:AT511),""),"")</f>
        <v/>
      </c>
      <c r="AN511" s="7" t="str">
        <f>IFERROR(IF(AB512&lt;&gt;AB511,AVERAGEIF(AB$9:AB511,AB511,AU$9:AU511),""),"")</f>
        <v/>
      </c>
      <c r="AO511" s="7" t="str" cm="1">
        <f t="array" ref="AO511">IFERROR(IF(AB512&lt;&gt;AB511,_xlfn.STDEV.P(IF(AB$9:AB511=AB511,AU$9:AU511)),""),"")</f>
        <v/>
      </c>
      <c r="AP511" s="7" t="str" cm="1">
        <f t="array" ref="AP511">IFERROR(IF(AB512&lt;&gt;AB511,_xlfn.STDEV.P(IF(AB$9:AB511=AB511,AT$9:AT511)),""),"")</f>
        <v/>
      </c>
      <c r="AQ511" s="8" t="str">
        <f t="shared" si="169"/>
        <v/>
      </c>
      <c r="AR511" s="8" t="str">
        <f t="shared" si="170"/>
        <v/>
      </c>
      <c r="AS511" s="8" t="str">
        <f t="shared" si="171"/>
        <v/>
      </c>
      <c r="AT511" s="9" t="str">
        <f t="shared" si="172"/>
        <v/>
      </c>
      <c r="AU511" s="9" t="str">
        <f t="shared" si="173"/>
        <v/>
      </c>
      <c r="AV511" s="14"/>
      <c r="AW511" s="15"/>
      <c r="AX511" s="14" t="str">
        <f t="shared" si="174"/>
        <v/>
      </c>
      <c r="AY511" s="15"/>
      <c r="AZ511" s="23"/>
      <c r="EW511" t="s">
        <v>46</v>
      </c>
      <c r="EX511" s="33" t="s">
        <v>47</v>
      </c>
      <c r="EY511" s="35" t="s">
        <v>1352</v>
      </c>
      <c r="EZ511" s="36" t="s">
        <v>1353</v>
      </c>
      <c r="FA511" s="36" t="s">
        <v>1192</v>
      </c>
      <c r="FB511" s="36" t="s">
        <v>344</v>
      </c>
      <c r="FC511" s="36" t="s">
        <v>1192</v>
      </c>
      <c r="FD511" s="36" t="s">
        <v>344</v>
      </c>
      <c r="FE511" s="36">
        <v>2026</v>
      </c>
      <c r="FF511" s="36" t="s">
        <v>59</v>
      </c>
      <c r="FG511" s="36" t="s">
        <v>1241</v>
      </c>
      <c r="FJ511" t="s">
        <v>59</v>
      </c>
      <c r="FM511" s="32" t="s">
        <v>1354</v>
      </c>
      <c r="FN511" t="s">
        <v>1354</v>
      </c>
      <c r="FO511" t="s">
        <v>1355</v>
      </c>
      <c r="FP511" t="str">
        <f t="shared" si="156"/>
        <v>C</v>
      </c>
      <c r="FT511" s="69" t="s">
        <v>7450</v>
      </c>
      <c r="FU511" s="61">
        <v>27.265000000000001</v>
      </c>
      <c r="FV511" s="61">
        <v>28.035</v>
      </c>
      <c r="FW511" s="61">
        <v>30.045000000000002</v>
      </c>
      <c r="FX511" s="61">
        <v>30.630000000000003</v>
      </c>
      <c r="FY511" s="61">
        <v>30.664999999999999</v>
      </c>
      <c r="FZ511" s="61">
        <v>29.195</v>
      </c>
      <c r="GA511" s="61">
        <v>26.135000000000002</v>
      </c>
      <c r="GB511" s="61">
        <v>23.96</v>
      </c>
      <c r="GC511" s="61">
        <v>22.984999999999999</v>
      </c>
      <c r="GD511" s="61">
        <v>22.08</v>
      </c>
      <c r="GE511" s="61">
        <v>20.884999999999998</v>
      </c>
      <c r="GF511" s="61">
        <v>19.939999999999998</v>
      </c>
      <c r="GG511" s="61">
        <v>19.53</v>
      </c>
      <c r="GH511" s="61">
        <v>19.12</v>
      </c>
      <c r="GI511" s="61">
        <v>19.170000000000002</v>
      </c>
      <c r="GJ511" s="61">
        <v>19.675000000000001</v>
      </c>
      <c r="GK511" s="61">
        <v>20.3</v>
      </c>
      <c r="GL511" s="61">
        <v>19.965</v>
      </c>
      <c r="GM511" s="61">
        <v>19.675000000000001</v>
      </c>
      <c r="GN511" s="61">
        <v>20.355</v>
      </c>
      <c r="GO511" s="61">
        <v>20.765000000000001</v>
      </c>
      <c r="GP511" s="61">
        <v>22.56</v>
      </c>
      <c r="GQ511" s="61">
        <v>25.195</v>
      </c>
      <c r="GR511" s="61">
        <v>28.024999999999999</v>
      </c>
      <c r="GU511" s="53">
        <v>56</v>
      </c>
      <c r="GV511" s="53">
        <v>505</v>
      </c>
    </row>
    <row r="512" spans="1:204" ht="15.5" x14ac:dyDescent="0.35">
      <c r="A512" s="95">
        <f t="shared" si="157"/>
        <v>1</v>
      </c>
      <c r="B512" s="11"/>
      <c r="C512" s="11"/>
      <c r="D512" s="92" t="str">
        <f>IFERROR(
IF(AND(OR(Planilla!B512="C",Planilla!B512="c"), VLOOKUP(E512,EX:FJ,13,0)="C"), "OK",IF(AND(OR(Planilla!B512="C",Planilla!B512="c"), OR(VLOOKUP(E512,EX:FJ,13,0)="B", VLOOKUP(E512,EX:FJ,13,0)="A")), "DEFICIT",IF(
AND(OR(Planilla!B512="B", Planilla!B512="BPAL"), VLOOKUP(E512,EX:FJ,13,0)="B"), "OK",IF(AND(OR(Planilla!B512="B", Planilla!B512="BPAL"), VLOOKUP(E512,EX:FJ,13,0)="A"), "DEFICIT",IF(AND(OR(Planilla!B512="B", Planilla!B512="BPAL"), VLOOKUP(E512,EX:FJ,13,0)="C"), "SOBREOFERTA",IF(AND(Planilla!B512="A", VLOOKUP(E512,EX:FJ,13,0)="A"), "OK",IF(
AND(Planilla!B512="A", OR(VLOOKUP(E512,EX:FJ,13,0)="B", VLOOKUP(E512,EX:FJ,13,0)="C")), "SOBREOFERTA",""
))))))),"")</f>
        <v/>
      </c>
      <c r="E512" s="12"/>
      <c r="F512" s="13"/>
      <c r="G512" s="14"/>
      <c r="H512" s="81" t="str">
        <f t="shared" si="158"/>
        <v/>
      </c>
      <c r="I512" s="7"/>
      <c r="J512" s="6" t="e">
        <f t="shared" si="159"/>
        <v>#N/A</v>
      </c>
      <c r="K512" s="6" t="str">
        <f>IF(A513&lt;&gt;A512,AVERAGEIF(A$9:A512,A512,J$9:J512),"")</f>
        <v/>
      </c>
      <c r="L512" s="7" t="str">
        <f>IFERROR(IF(A513&lt;&gt;A512,AVERAGEIF(A$9:A512,A512,S$9:S512),""),"")</f>
        <v/>
      </c>
      <c r="M512" s="7" t="str">
        <f>IFERROR(IF(A513&lt;&gt;A512,AVERAGEIF(A$9:A512,A512,T$9:T512),""),"")</f>
        <v/>
      </c>
      <c r="N512" s="7" t="str" cm="1">
        <f t="array" ref="N512">IFERROR(IF(A513&lt;&gt;A512,_xlfn.STDEV.P(IF(A$9:A512=A512,T$9:T512)),""),"")</f>
        <v/>
      </c>
      <c r="O512" s="7" t="str" cm="1">
        <f t="array" ref="O512">IFERROR(IF(A513&lt;&gt;A512,_xlfn.STDEV.P(IF(A$9:A512=A512,S$9:S512)),""),"")</f>
        <v/>
      </c>
      <c r="P512" s="8" t="str">
        <f t="shared" si="160"/>
        <v/>
      </c>
      <c r="Q512" s="8" t="str">
        <f t="shared" si="161"/>
        <v/>
      </c>
      <c r="R512" s="8" t="str">
        <f t="shared" si="162"/>
        <v/>
      </c>
      <c r="S512" s="9" t="str">
        <f t="shared" si="163"/>
        <v/>
      </c>
      <c r="T512" s="9" t="str">
        <f t="shared" si="164"/>
        <v/>
      </c>
      <c r="U512" s="14"/>
      <c r="V512" s="15"/>
      <c r="W512" s="14" t="str">
        <f t="shared" si="165"/>
        <v/>
      </c>
      <c r="X512" s="15"/>
      <c r="Y512" s="2"/>
      <c r="AB512" s="22">
        <f t="shared" si="166"/>
        <v>1</v>
      </c>
      <c r="AC512" s="11"/>
      <c r="AD512" s="11"/>
      <c r="AE512" s="13"/>
      <c r="AF512" s="12"/>
      <c r="AG512" s="13"/>
      <c r="AH512" s="14"/>
      <c r="AI512" s="81" t="str">
        <f t="shared" si="167"/>
        <v/>
      </c>
      <c r="AJ512" s="15"/>
      <c r="AK512" s="6" t="e">
        <f t="shared" si="168"/>
        <v>#N/A</v>
      </c>
      <c r="AL512" s="6" t="str">
        <f>IF(AB513&lt;&gt;AB512,AVERAGEIF(AB$9:AB512,AB512,AK$9:AK512),"")</f>
        <v/>
      </c>
      <c r="AM512" s="7" t="str">
        <f>IFERROR(IF(AB513&lt;&gt;AB512,AVERAGEIF(AB$9:AB512,AB512,AT$9:AT512),""),"")</f>
        <v/>
      </c>
      <c r="AN512" s="7" t="str">
        <f>IFERROR(IF(AB513&lt;&gt;AB512,AVERAGEIF(AB$9:AB512,AB512,AU$9:AU512),""),"")</f>
        <v/>
      </c>
      <c r="AO512" s="7" t="str" cm="1">
        <f t="array" ref="AO512">IFERROR(IF(AB513&lt;&gt;AB512,_xlfn.STDEV.P(IF(AB$9:AB512=AB512,AU$9:AU512)),""),"")</f>
        <v/>
      </c>
      <c r="AP512" s="7" t="str" cm="1">
        <f t="array" ref="AP512">IFERROR(IF(AB513&lt;&gt;AB512,_xlfn.STDEV.P(IF(AB$9:AB512=AB512,AT$9:AT512)),""),"")</f>
        <v/>
      </c>
      <c r="AQ512" s="8" t="str">
        <f t="shared" si="169"/>
        <v/>
      </c>
      <c r="AR512" s="8" t="str">
        <f t="shared" si="170"/>
        <v/>
      </c>
      <c r="AS512" s="8" t="str">
        <f t="shared" si="171"/>
        <v/>
      </c>
      <c r="AT512" s="9" t="str">
        <f t="shared" si="172"/>
        <v/>
      </c>
      <c r="AU512" s="9" t="str">
        <f t="shared" si="173"/>
        <v/>
      </c>
      <c r="AV512" s="14"/>
      <c r="AW512" s="15"/>
      <c r="AX512" s="14" t="str">
        <f t="shared" si="174"/>
        <v/>
      </c>
      <c r="AY512" s="15"/>
      <c r="AZ512" s="23"/>
      <c r="EW512" t="s">
        <v>46</v>
      </c>
      <c r="EX512" s="33" t="s">
        <v>47</v>
      </c>
      <c r="EY512" s="35" t="s">
        <v>1356</v>
      </c>
      <c r="EZ512" s="36" t="s">
        <v>1357</v>
      </c>
      <c r="FA512" s="36" t="s">
        <v>1192</v>
      </c>
      <c r="FB512" s="36" t="s">
        <v>344</v>
      </c>
      <c r="FC512" s="36" t="s">
        <v>1192</v>
      </c>
      <c r="FD512" s="36" t="s">
        <v>344</v>
      </c>
      <c r="FE512" s="36">
        <v>2026</v>
      </c>
      <c r="FF512" s="36" t="s">
        <v>59</v>
      </c>
      <c r="FG512" s="36" t="s">
        <v>1241</v>
      </c>
      <c r="FJ512" t="s">
        <v>59</v>
      </c>
      <c r="FM512" s="32" t="s">
        <v>1358</v>
      </c>
      <c r="FN512" t="s">
        <v>1358</v>
      </c>
      <c r="FO512" t="s">
        <v>1359</v>
      </c>
      <c r="FP512" t="str">
        <f t="shared" si="156"/>
        <v>C</v>
      </c>
      <c r="FT512" s="69" t="s">
        <v>7437</v>
      </c>
      <c r="FU512" s="61">
        <v>11.45</v>
      </c>
      <c r="FV512" s="61">
        <v>0</v>
      </c>
      <c r="FW512" s="61">
        <v>0</v>
      </c>
      <c r="FX512" s="61">
        <v>0</v>
      </c>
      <c r="FY512" s="61">
        <v>0</v>
      </c>
      <c r="FZ512" s="61">
        <v>12.33</v>
      </c>
      <c r="GA512" s="61">
        <v>24.035</v>
      </c>
      <c r="GB512" s="61">
        <v>22.759999999999998</v>
      </c>
      <c r="GC512" s="61">
        <v>21.734999999999999</v>
      </c>
      <c r="GD512" s="61">
        <v>20.759999999999998</v>
      </c>
      <c r="GE512" s="61">
        <v>19.52</v>
      </c>
      <c r="GF512" s="61">
        <v>18.344999999999999</v>
      </c>
      <c r="GG512" s="61">
        <v>17.130000000000003</v>
      </c>
      <c r="GH512" s="61">
        <v>17.14</v>
      </c>
      <c r="GI512" s="61">
        <v>18.16</v>
      </c>
      <c r="GJ512" s="61">
        <v>18.68</v>
      </c>
      <c r="GK512" s="61">
        <v>18.43</v>
      </c>
      <c r="GL512" s="61">
        <v>17.72</v>
      </c>
      <c r="GM512" s="61">
        <v>17.770000000000003</v>
      </c>
      <c r="GN512" s="61">
        <v>18.66</v>
      </c>
      <c r="GO512" s="61">
        <v>19.585000000000001</v>
      </c>
      <c r="GP512" s="61">
        <v>21.73</v>
      </c>
      <c r="GQ512" s="61">
        <v>24.72</v>
      </c>
      <c r="GR512" s="61">
        <v>25.704999999999998</v>
      </c>
      <c r="GU512" s="53">
        <v>57</v>
      </c>
      <c r="GV512" s="53">
        <v>506</v>
      </c>
    </row>
    <row r="513" spans="1:204" ht="15.5" x14ac:dyDescent="0.35">
      <c r="A513" s="95">
        <f t="shared" si="157"/>
        <v>1</v>
      </c>
      <c r="B513" s="11"/>
      <c r="C513" s="11"/>
      <c r="D513" s="92" t="str">
        <f>IFERROR(
IF(AND(OR(Planilla!B513="C",Planilla!B513="c"), VLOOKUP(E513,EX:FJ,13,0)="C"), "OK",IF(AND(OR(Planilla!B513="C",Planilla!B513="c"), OR(VLOOKUP(E513,EX:FJ,13,0)="B", VLOOKUP(E513,EX:FJ,13,0)="A")), "DEFICIT",IF(
AND(OR(Planilla!B513="B", Planilla!B513="BPAL"), VLOOKUP(E513,EX:FJ,13,0)="B"), "OK",IF(AND(OR(Planilla!B513="B", Planilla!B513="BPAL"), VLOOKUP(E513,EX:FJ,13,0)="A"), "DEFICIT",IF(AND(OR(Planilla!B513="B", Planilla!B513="BPAL"), VLOOKUP(E513,EX:FJ,13,0)="C"), "SOBREOFERTA",IF(AND(Planilla!B513="A", VLOOKUP(E513,EX:FJ,13,0)="A"), "OK",IF(
AND(Planilla!B513="A", OR(VLOOKUP(E513,EX:FJ,13,0)="B", VLOOKUP(E513,EX:FJ,13,0)="C")), "SOBREOFERTA",""
))))))),"")</f>
        <v/>
      </c>
      <c r="E513" s="12"/>
      <c r="F513" s="13"/>
      <c r="G513" s="14"/>
      <c r="H513" s="81" t="str">
        <f t="shared" si="158"/>
        <v/>
      </c>
      <c r="I513" s="7"/>
      <c r="J513" s="6" t="e">
        <f t="shared" si="159"/>
        <v>#N/A</v>
      </c>
      <c r="K513" s="6" t="str">
        <f>IF(A514&lt;&gt;A513,AVERAGEIF(A$9:A513,A513,J$9:J513),"")</f>
        <v/>
      </c>
      <c r="L513" s="7" t="str">
        <f>IFERROR(IF(A514&lt;&gt;A513,AVERAGEIF(A$9:A513,A513,S$9:S513),""),"")</f>
        <v/>
      </c>
      <c r="M513" s="7" t="str">
        <f>IFERROR(IF(A514&lt;&gt;A513,AVERAGEIF(A$9:A513,A513,T$9:T513),""),"")</f>
        <v/>
      </c>
      <c r="N513" s="7" t="str" cm="1">
        <f t="array" ref="N513">IFERROR(IF(A514&lt;&gt;A513,_xlfn.STDEV.P(IF(A$9:A513=A513,T$9:T513)),""),"")</f>
        <v/>
      </c>
      <c r="O513" s="7" t="str" cm="1">
        <f t="array" ref="O513">IFERROR(IF(A514&lt;&gt;A513,_xlfn.STDEV.P(IF(A$9:A513=A513,S$9:S513)),""),"")</f>
        <v/>
      </c>
      <c r="P513" s="8" t="str">
        <f t="shared" si="160"/>
        <v/>
      </c>
      <c r="Q513" s="8" t="str">
        <f t="shared" si="161"/>
        <v/>
      </c>
      <c r="R513" s="8" t="str">
        <f t="shared" si="162"/>
        <v/>
      </c>
      <c r="S513" s="9" t="str">
        <f t="shared" si="163"/>
        <v/>
      </c>
      <c r="T513" s="9" t="str">
        <f t="shared" si="164"/>
        <v/>
      </c>
      <c r="U513" s="14"/>
      <c r="V513" s="15"/>
      <c r="W513" s="14" t="str">
        <f t="shared" si="165"/>
        <v/>
      </c>
      <c r="X513" s="15"/>
      <c r="Y513" s="2"/>
      <c r="AB513" s="22">
        <f t="shared" si="166"/>
        <v>1</v>
      </c>
      <c r="AC513" s="11"/>
      <c r="AD513" s="11"/>
      <c r="AE513" s="13"/>
      <c r="AF513" s="12"/>
      <c r="AG513" s="13"/>
      <c r="AH513" s="14"/>
      <c r="AI513" s="81" t="str">
        <f t="shared" si="167"/>
        <v/>
      </c>
      <c r="AJ513" s="15"/>
      <c r="AK513" s="6" t="e">
        <f t="shared" si="168"/>
        <v>#N/A</v>
      </c>
      <c r="AL513" s="6" t="str">
        <f>IF(AB514&lt;&gt;AB513,AVERAGEIF(AB$9:AB513,AB513,AK$9:AK513),"")</f>
        <v/>
      </c>
      <c r="AM513" s="7" t="str">
        <f>IFERROR(IF(AB514&lt;&gt;AB513,AVERAGEIF(AB$9:AB513,AB513,AT$9:AT513),""),"")</f>
        <v/>
      </c>
      <c r="AN513" s="7" t="str">
        <f>IFERROR(IF(AB514&lt;&gt;AB513,AVERAGEIF(AB$9:AB513,AB513,AU$9:AU513),""),"")</f>
        <v/>
      </c>
      <c r="AO513" s="7" t="str" cm="1">
        <f t="array" ref="AO513">IFERROR(IF(AB514&lt;&gt;AB513,_xlfn.STDEV.P(IF(AB$9:AB513=AB513,AU$9:AU513)),""),"")</f>
        <v/>
      </c>
      <c r="AP513" s="7" t="str" cm="1">
        <f t="array" ref="AP513">IFERROR(IF(AB514&lt;&gt;AB513,_xlfn.STDEV.P(IF(AB$9:AB513=AB513,AT$9:AT513)),""),"")</f>
        <v/>
      </c>
      <c r="AQ513" s="8" t="str">
        <f t="shared" si="169"/>
        <v/>
      </c>
      <c r="AR513" s="8" t="str">
        <f t="shared" si="170"/>
        <v/>
      </c>
      <c r="AS513" s="8" t="str">
        <f t="shared" si="171"/>
        <v/>
      </c>
      <c r="AT513" s="9" t="str">
        <f t="shared" si="172"/>
        <v/>
      </c>
      <c r="AU513" s="9" t="str">
        <f t="shared" si="173"/>
        <v/>
      </c>
      <c r="AV513" s="14"/>
      <c r="AW513" s="15"/>
      <c r="AX513" s="14" t="str">
        <f t="shared" si="174"/>
        <v/>
      </c>
      <c r="AY513" s="15"/>
      <c r="AZ513" s="23"/>
      <c r="EW513" t="s">
        <v>46</v>
      </c>
      <c r="EX513" s="33" t="s">
        <v>47</v>
      </c>
      <c r="EY513" s="35" t="s">
        <v>1360</v>
      </c>
      <c r="EZ513" s="36" t="s">
        <v>1361</v>
      </c>
      <c r="FA513" s="36" t="s">
        <v>1192</v>
      </c>
      <c r="FB513" s="36" t="s">
        <v>344</v>
      </c>
      <c r="FC513" s="36" t="s">
        <v>1192</v>
      </c>
      <c r="FD513" s="36" t="s">
        <v>344</v>
      </c>
      <c r="FE513" s="36">
        <v>2026</v>
      </c>
      <c r="FF513" s="36" t="s">
        <v>59</v>
      </c>
      <c r="FG513" s="36" t="s">
        <v>1241</v>
      </c>
      <c r="FJ513" t="s">
        <v>59</v>
      </c>
      <c r="FM513" s="32" t="s">
        <v>1362</v>
      </c>
      <c r="FN513" t="s">
        <v>1362</v>
      </c>
      <c r="FO513" t="s">
        <v>1363</v>
      </c>
      <c r="FP513" t="str">
        <f t="shared" ref="FP513:FP576" si="175">VLOOKUP(FO513,EX:FF,9,0)</f>
        <v>C</v>
      </c>
      <c r="FT513" s="69" t="s">
        <v>7437</v>
      </c>
      <c r="FU513" s="61">
        <v>13.955</v>
      </c>
      <c r="FV513" s="61">
        <v>0</v>
      </c>
      <c r="FW513" s="61">
        <v>0</v>
      </c>
      <c r="FX513" s="61">
        <v>0</v>
      </c>
      <c r="FY513" s="61">
        <v>0</v>
      </c>
      <c r="FZ513" s="61">
        <v>0</v>
      </c>
      <c r="GA513" s="61">
        <v>11.164999999999999</v>
      </c>
      <c r="GB513" s="61">
        <v>22.86</v>
      </c>
      <c r="GC513" s="61">
        <v>23.240000000000002</v>
      </c>
      <c r="GD513" s="61">
        <v>22.344999999999999</v>
      </c>
      <c r="GE513" s="61">
        <v>20.664999999999999</v>
      </c>
      <c r="GF513" s="61">
        <v>19.555</v>
      </c>
      <c r="GG513" s="61">
        <v>18.72</v>
      </c>
      <c r="GH513" s="61">
        <v>18.104999999999997</v>
      </c>
      <c r="GI513" s="61">
        <v>18.285</v>
      </c>
      <c r="GJ513" s="61">
        <v>18.47</v>
      </c>
      <c r="GK513" s="61">
        <v>18.649999999999999</v>
      </c>
      <c r="GL513" s="61">
        <v>18.125</v>
      </c>
      <c r="GM513" s="61">
        <v>17.96</v>
      </c>
      <c r="GN513" s="61">
        <v>18.425000000000001</v>
      </c>
      <c r="GO513" s="61">
        <v>19.535</v>
      </c>
      <c r="GP513" s="61">
        <v>21.3</v>
      </c>
      <c r="GQ513" s="61">
        <v>23.835000000000001</v>
      </c>
      <c r="GR513" s="61">
        <v>25.28</v>
      </c>
      <c r="GU513" s="53">
        <v>58</v>
      </c>
      <c r="GV513" s="53">
        <v>507</v>
      </c>
    </row>
    <row r="514" spans="1:204" ht="15.5" x14ac:dyDescent="0.35">
      <c r="A514" s="95">
        <f t="shared" si="157"/>
        <v>1</v>
      </c>
      <c r="B514" s="11"/>
      <c r="C514" s="11"/>
      <c r="D514" s="92" t="str">
        <f>IFERROR(
IF(AND(OR(Planilla!B514="C",Planilla!B514="c"), VLOOKUP(E514,EX:FJ,13,0)="C"), "OK",IF(AND(OR(Planilla!B514="C",Planilla!B514="c"), OR(VLOOKUP(E514,EX:FJ,13,0)="B", VLOOKUP(E514,EX:FJ,13,0)="A")), "DEFICIT",IF(
AND(OR(Planilla!B514="B", Planilla!B514="BPAL"), VLOOKUP(E514,EX:FJ,13,0)="B"), "OK",IF(AND(OR(Planilla!B514="B", Planilla!B514="BPAL"), VLOOKUP(E514,EX:FJ,13,0)="A"), "DEFICIT",IF(AND(OR(Planilla!B514="B", Planilla!B514="BPAL"), VLOOKUP(E514,EX:FJ,13,0)="C"), "SOBREOFERTA",IF(AND(Planilla!B514="A", VLOOKUP(E514,EX:FJ,13,0)="A"), "OK",IF(
AND(Planilla!B514="A", OR(VLOOKUP(E514,EX:FJ,13,0)="B", VLOOKUP(E514,EX:FJ,13,0)="C")), "SOBREOFERTA",""
))))))),"")</f>
        <v/>
      </c>
      <c r="E514" s="12"/>
      <c r="F514" s="13"/>
      <c r="G514" s="14"/>
      <c r="H514" s="81" t="str">
        <f t="shared" si="158"/>
        <v/>
      </c>
      <c r="I514" s="7"/>
      <c r="J514" s="6" t="e">
        <f t="shared" si="159"/>
        <v>#N/A</v>
      </c>
      <c r="K514" s="6" t="str">
        <f>IF(A515&lt;&gt;A514,AVERAGEIF(A$9:A514,A514,J$9:J514),"")</f>
        <v/>
      </c>
      <c r="L514" s="7" t="str">
        <f>IFERROR(IF(A515&lt;&gt;A514,AVERAGEIF(A$9:A514,A514,S$9:S514),""),"")</f>
        <v/>
      </c>
      <c r="M514" s="7" t="str">
        <f>IFERROR(IF(A515&lt;&gt;A514,AVERAGEIF(A$9:A514,A514,T$9:T514),""),"")</f>
        <v/>
      </c>
      <c r="N514" s="7" t="str" cm="1">
        <f t="array" ref="N514">IFERROR(IF(A515&lt;&gt;A514,_xlfn.STDEV.P(IF(A$9:A514=A514,T$9:T514)),""),"")</f>
        <v/>
      </c>
      <c r="O514" s="7" t="str" cm="1">
        <f t="array" ref="O514">IFERROR(IF(A515&lt;&gt;A514,_xlfn.STDEV.P(IF(A$9:A514=A514,S$9:S514)),""),"")</f>
        <v/>
      </c>
      <c r="P514" s="8" t="str">
        <f t="shared" si="160"/>
        <v/>
      </c>
      <c r="Q514" s="8" t="str">
        <f t="shared" si="161"/>
        <v/>
      </c>
      <c r="R514" s="8" t="str">
        <f t="shared" si="162"/>
        <v/>
      </c>
      <c r="S514" s="9" t="str">
        <f t="shared" si="163"/>
        <v/>
      </c>
      <c r="T514" s="9" t="str">
        <f t="shared" si="164"/>
        <v/>
      </c>
      <c r="U514" s="14"/>
      <c r="V514" s="15"/>
      <c r="W514" s="14" t="str">
        <f t="shared" si="165"/>
        <v/>
      </c>
      <c r="X514" s="15"/>
      <c r="Y514" s="2"/>
      <c r="AB514" s="22">
        <f t="shared" si="166"/>
        <v>1</v>
      </c>
      <c r="AC514" s="11"/>
      <c r="AD514" s="11"/>
      <c r="AE514" s="13"/>
      <c r="AF514" s="12"/>
      <c r="AG514" s="13"/>
      <c r="AH514" s="14"/>
      <c r="AI514" s="81" t="str">
        <f t="shared" si="167"/>
        <v/>
      </c>
      <c r="AJ514" s="15"/>
      <c r="AK514" s="6" t="e">
        <f t="shared" si="168"/>
        <v>#N/A</v>
      </c>
      <c r="AL514" s="6" t="str">
        <f>IF(AB515&lt;&gt;AB514,AVERAGEIF(AB$9:AB514,AB514,AK$9:AK514),"")</f>
        <v/>
      </c>
      <c r="AM514" s="7" t="str">
        <f>IFERROR(IF(AB515&lt;&gt;AB514,AVERAGEIF(AB$9:AB514,AB514,AT$9:AT514),""),"")</f>
        <v/>
      </c>
      <c r="AN514" s="7" t="str">
        <f>IFERROR(IF(AB515&lt;&gt;AB514,AVERAGEIF(AB$9:AB514,AB514,AU$9:AU514),""),"")</f>
        <v/>
      </c>
      <c r="AO514" s="7" t="str" cm="1">
        <f t="array" ref="AO514">IFERROR(IF(AB515&lt;&gt;AB514,_xlfn.STDEV.P(IF(AB$9:AB514=AB514,AU$9:AU514)),""),"")</f>
        <v/>
      </c>
      <c r="AP514" s="7" t="str" cm="1">
        <f t="array" ref="AP514">IFERROR(IF(AB515&lt;&gt;AB514,_xlfn.STDEV.P(IF(AB$9:AB514=AB514,AT$9:AT514)),""),"")</f>
        <v/>
      </c>
      <c r="AQ514" s="8" t="str">
        <f t="shared" si="169"/>
        <v/>
      </c>
      <c r="AR514" s="8" t="str">
        <f t="shared" si="170"/>
        <v/>
      </c>
      <c r="AS514" s="8" t="str">
        <f t="shared" si="171"/>
        <v/>
      </c>
      <c r="AT514" s="9" t="str">
        <f t="shared" si="172"/>
        <v/>
      </c>
      <c r="AU514" s="9" t="str">
        <f t="shared" si="173"/>
        <v/>
      </c>
      <c r="AV514" s="14"/>
      <c r="AW514" s="15"/>
      <c r="AX514" s="14" t="str">
        <f t="shared" si="174"/>
        <v/>
      </c>
      <c r="AY514" s="15"/>
      <c r="AZ514" s="23"/>
      <c r="EW514" t="s">
        <v>46</v>
      </c>
      <c r="EX514" s="33" t="s">
        <v>47</v>
      </c>
      <c r="EY514" s="35" t="s">
        <v>1364</v>
      </c>
      <c r="EZ514" s="36" t="s">
        <v>1365</v>
      </c>
      <c r="FA514" s="36" t="s">
        <v>1192</v>
      </c>
      <c r="FB514" s="36" t="s">
        <v>344</v>
      </c>
      <c r="FC514" s="36" t="s">
        <v>1192</v>
      </c>
      <c r="FD514" s="36" t="s">
        <v>344</v>
      </c>
      <c r="FE514" s="36">
        <v>2026</v>
      </c>
      <c r="FF514" s="36" t="s">
        <v>59</v>
      </c>
      <c r="FG514" s="36" t="s">
        <v>1241</v>
      </c>
      <c r="FJ514" t="s">
        <v>59</v>
      </c>
      <c r="FM514" s="32" t="s">
        <v>1366</v>
      </c>
      <c r="FN514" t="s">
        <v>1366</v>
      </c>
      <c r="FO514" t="s">
        <v>1367</v>
      </c>
      <c r="FP514" t="str">
        <f t="shared" si="175"/>
        <v>C</v>
      </c>
      <c r="FT514" s="69" t="s">
        <v>7440</v>
      </c>
      <c r="FU514" s="61">
        <v>26.594999999999999</v>
      </c>
      <c r="FV514" s="61">
        <v>26.97</v>
      </c>
      <c r="FW514" s="61">
        <v>28.195</v>
      </c>
      <c r="FX514" s="61">
        <v>28.975000000000001</v>
      </c>
      <c r="FY514" s="61">
        <v>28.68</v>
      </c>
      <c r="FZ514" s="61">
        <v>27.174999999999997</v>
      </c>
      <c r="GA514" s="61">
        <v>25.91</v>
      </c>
      <c r="GB514" s="61">
        <v>25.934999999999999</v>
      </c>
      <c r="GC514" s="61">
        <v>0</v>
      </c>
      <c r="GD514" s="61">
        <v>0</v>
      </c>
      <c r="GE514" s="61">
        <v>0</v>
      </c>
      <c r="GF514" s="61">
        <v>0</v>
      </c>
      <c r="GG514" s="61">
        <v>0</v>
      </c>
      <c r="GH514" s="61">
        <v>0</v>
      </c>
      <c r="GI514" s="61">
        <v>0</v>
      </c>
      <c r="GJ514" s="61">
        <v>0</v>
      </c>
      <c r="GK514" s="61">
        <v>0</v>
      </c>
      <c r="GL514" s="61">
        <v>0</v>
      </c>
      <c r="GM514" s="61">
        <v>0</v>
      </c>
      <c r="GN514" s="61">
        <v>0</v>
      </c>
      <c r="GO514" s="61">
        <v>0</v>
      </c>
      <c r="GP514" s="61">
        <v>0</v>
      </c>
      <c r="GQ514" s="61">
        <v>13.414999999999999</v>
      </c>
      <c r="GR514" s="61">
        <v>27.439999999999998</v>
      </c>
      <c r="GU514" s="53">
        <v>59</v>
      </c>
      <c r="GV514" s="53">
        <v>508</v>
      </c>
    </row>
    <row r="515" spans="1:204" ht="15.5" x14ac:dyDescent="0.35">
      <c r="A515" s="95">
        <f t="shared" si="157"/>
        <v>1</v>
      </c>
      <c r="B515" s="11"/>
      <c r="C515" s="11"/>
      <c r="D515" s="92" t="str">
        <f>IFERROR(
IF(AND(OR(Planilla!B515="C",Planilla!B515="c"), VLOOKUP(E515,EX:FJ,13,0)="C"), "OK",IF(AND(OR(Planilla!B515="C",Planilla!B515="c"), OR(VLOOKUP(E515,EX:FJ,13,0)="B", VLOOKUP(E515,EX:FJ,13,0)="A")), "DEFICIT",IF(
AND(OR(Planilla!B515="B", Planilla!B515="BPAL"), VLOOKUP(E515,EX:FJ,13,0)="B"), "OK",IF(AND(OR(Planilla!B515="B", Planilla!B515="BPAL"), VLOOKUP(E515,EX:FJ,13,0)="A"), "DEFICIT",IF(AND(OR(Planilla!B515="B", Planilla!B515="BPAL"), VLOOKUP(E515,EX:FJ,13,0)="C"), "SOBREOFERTA",IF(AND(Planilla!B515="A", VLOOKUP(E515,EX:FJ,13,0)="A"), "OK",IF(
AND(Planilla!B515="A", OR(VLOOKUP(E515,EX:FJ,13,0)="B", VLOOKUP(E515,EX:FJ,13,0)="C")), "SOBREOFERTA",""
))))))),"")</f>
        <v/>
      </c>
      <c r="E515" s="12"/>
      <c r="F515" s="13"/>
      <c r="G515" s="14"/>
      <c r="H515" s="81" t="str">
        <f t="shared" si="158"/>
        <v/>
      </c>
      <c r="I515" s="7"/>
      <c r="J515" s="6" t="e">
        <f t="shared" si="159"/>
        <v>#N/A</v>
      </c>
      <c r="K515" s="6" t="str">
        <f>IF(A516&lt;&gt;A515,AVERAGEIF(A$9:A515,A515,J$9:J515),"")</f>
        <v/>
      </c>
      <c r="L515" s="7" t="str">
        <f>IFERROR(IF(A516&lt;&gt;A515,AVERAGEIF(A$9:A515,A515,S$9:S515),""),"")</f>
        <v/>
      </c>
      <c r="M515" s="7" t="str">
        <f>IFERROR(IF(A516&lt;&gt;A515,AVERAGEIF(A$9:A515,A515,T$9:T515),""),"")</f>
        <v/>
      </c>
      <c r="N515" s="7" t="str" cm="1">
        <f t="array" ref="N515">IFERROR(IF(A516&lt;&gt;A515,_xlfn.STDEV.P(IF(A$9:A515=A515,T$9:T515)),""),"")</f>
        <v/>
      </c>
      <c r="O515" s="7" t="str" cm="1">
        <f t="array" ref="O515">IFERROR(IF(A516&lt;&gt;A515,_xlfn.STDEV.P(IF(A$9:A515=A515,S$9:S515)),""),"")</f>
        <v/>
      </c>
      <c r="P515" s="8" t="str">
        <f t="shared" si="160"/>
        <v/>
      </c>
      <c r="Q515" s="8" t="str">
        <f t="shared" si="161"/>
        <v/>
      </c>
      <c r="R515" s="8" t="str">
        <f t="shared" si="162"/>
        <v/>
      </c>
      <c r="S515" s="9" t="str">
        <f t="shared" si="163"/>
        <v/>
      </c>
      <c r="T515" s="9" t="str">
        <f t="shared" si="164"/>
        <v/>
      </c>
      <c r="U515" s="14"/>
      <c r="V515" s="15"/>
      <c r="W515" s="14" t="str">
        <f t="shared" si="165"/>
        <v/>
      </c>
      <c r="X515" s="15"/>
      <c r="Y515" s="2"/>
      <c r="AB515" s="22">
        <f t="shared" si="166"/>
        <v>1</v>
      </c>
      <c r="AC515" s="11"/>
      <c r="AD515" s="11"/>
      <c r="AE515" s="13"/>
      <c r="AF515" s="12"/>
      <c r="AG515" s="13"/>
      <c r="AH515" s="14"/>
      <c r="AI515" s="81" t="str">
        <f t="shared" si="167"/>
        <v/>
      </c>
      <c r="AJ515" s="15"/>
      <c r="AK515" s="6" t="e">
        <f t="shared" si="168"/>
        <v>#N/A</v>
      </c>
      <c r="AL515" s="6" t="str">
        <f>IF(AB516&lt;&gt;AB515,AVERAGEIF(AB$9:AB515,AB515,AK$9:AK515),"")</f>
        <v/>
      </c>
      <c r="AM515" s="7" t="str">
        <f>IFERROR(IF(AB516&lt;&gt;AB515,AVERAGEIF(AB$9:AB515,AB515,AT$9:AT515),""),"")</f>
        <v/>
      </c>
      <c r="AN515" s="7" t="str">
        <f>IFERROR(IF(AB516&lt;&gt;AB515,AVERAGEIF(AB$9:AB515,AB515,AU$9:AU515),""),"")</f>
        <v/>
      </c>
      <c r="AO515" s="7" t="str" cm="1">
        <f t="array" ref="AO515">IFERROR(IF(AB516&lt;&gt;AB515,_xlfn.STDEV.P(IF(AB$9:AB515=AB515,AU$9:AU515)),""),"")</f>
        <v/>
      </c>
      <c r="AP515" s="7" t="str" cm="1">
        <f t="array" ref="AP515">IFERROR(IF(AB516&lt;&gt;AB515,_xlfn.STDEV.P(IF(AB$9:AB515=AB515,AT$9:AT515)),""),"")</f>
        <v/>
      </c>
      <c r="AQ515" s="8" t="str">
        <f t="shared" si="169"/>
        <v/>
      </c>
      <c r="AR515" s="8" t="str">
        <f t="shared" si="170"/>
        <v/>
      </c>
      <c r="AS515" s="8" t="str">
        <f t="shared" si="171"/>
        <v/>
      </c>
      <c r="AT515" s="9" t="str">
        <f t="shared" si="172"/>
        <v/>
      </c>
      <c r="AU515" s="9" t="str">
        <f t="shared" si="173"/>
        <v/>
      </c>
      <c r="AV515" s="14"/>
      <c r="AW515" s="15"/>
      <c r="AX515" s="14" t="str">
        <f t="shared" si="174"/>
        <v/>
      </c>
      <c r="AY515" s="15"/>
      <c r="AZ515" s="23"/>
      <c r="EW515" t="s">
        <v>46</v>
      </c>
      <c r="EX515" s="33" t="s">
        <v>47</v>
      </c>
      <c r="EY515" s="35" t="s">
        <v>1368</v>
      </c>
      <c r="EZ515" s="36" t="s">
        <v>1369</v>
      </c>
      <c r="FA515" s="36" t="s">
        <v>1192</v>
      </c>
      <c r="FB515" s="36" t="s">
        <v>344</v>
      </c>
      <c r="FC515" s="36" t="s">
        <v>1192</v>
      </c>
      <c r="FD515" s="36" t="s">
        <v>344</v>
      </c>
      <c r="FE515" s="36">
        <v>2026</v>
      </c>
      <c r="FF515" s="36" t="s">
        <v>59</v>
      </c>
      <c r="FG515" s="36" t="s">
        <v>1241</v>
      </c>
      <c r="FJ515" t="s">
        <v>59</v>
      </c>
      <c r="FM515" s="32" t="s">
        <v>1370</v>
      </c>
      <c r="FN515" t="s">
        <v>1370</v>
      </c>
      <c r="FO515" t="s">
        <v>1371</v>
      </c>
      <c r="FP515" t="str">
        <f t="shared" si="175"/>
        <v>C</v>
      </c>
      <c r="FT515" s="69" t="s">
        <v>7440</v>
      </c>
      <c r="FU515" s="61">
        <v>25.715</v>
      </c>
      <c r="FV515" s="61">
        <v>26.564999999999998</v>
      </c>
      <c r="FW515" s="61">
        <v>27.465</v>
      </c>
      <c r="FX515" s="61">
        <v>28.560000000000002</v>
      </c>
      <c r="FY515" s="61">
        <v>28.8</v>
      </c>
      <c r="FZ515" s="61">
        <v>28.96</v>
      </c>
      <c r="GA515" s="61">
        <v>27.715</v>
      </c>
      <c r="GB515" s="61">
        <v>26.1</v>
      </c>
      <c r="GC515" s="61">
        <v>12.605</v>
      </c>
      <c r="GD515" s="61">
        <v>0</v>
      </c>
      <c r="GE515" s="61">
        <v>0</v>
      </c>
      <c r="GF515" s="61">
        <v>0</v>
      </c>
      <c r="GG515" s="61">
        <v>0</v>
      </c>
      <c r="GH515" s="61">
        <v>0</v>
      </c>
      <c r="GI515" s="61">
        <v>0</v>
      </c>
      <c r="GJ515" s="61">
        <v>0</v>
      </c>
      <c r="GK515" s="61">
        <v>0</v>
      </c>
      <c r="GL515" s="61">
        <v>0</v>
      </c>
      <c r="GM515" s="61">
        <v>0</v>
      </c>
      <c r="GN515" s="61">
        <v>0</v>
      </c>
      <c r="GO515" s="61">
        <v>0</v>
      </c>
      <c r="GP515" s="61">
        <v>0</v>
      </c>
      <c r="GQ515" s="61">
        <v>0</v>
      </c>
      <c r="GR515" s="61">
        <v>0</v>
      </c>
      <c r="GU515" s="53">
        <v>60</v>
      </c>
      <c r="GV515" s="53">
        <v>509</v>
      </c>
    </row>
    <row r="516" spans="1:204" ht="15.5" x14ac:dyDescent="0.35">
      <c r="A516" s="95">
        <f t="shared" si="157"/>
        <v>1</v>
      </c>
      <c r="B516" s="11"/>
      <c r="C516" s="11"/>
      <c r="D516" s="92" t="str">
        <f>IFERROR(
IF(AND(OR(Planilla!B516="C",Planilla!B516="c"), VLOOKUP(E516,EX:FJ,13,0)="C"), "OK",IF(AND(OR(Planilla!B516="C",Planilla!B516="c"), OR(VLOOKUP(E516,EX:FJ,13,0)="B", VLOOKUP(E516,EX:FJ,13,0)="A")), "DEFICIT",IF(
AND(OR(Planilla!B516="B", Planilla!B516="BPAL"), VLOOKUP(E516,EX:FJ,13,0)="B"), "OK",IF(AND(OR(Planilla!B516="B", Planilla!B516="BPAL"), VLOOKUP(E516,EX:FJ,13,0)="A"), "DEFICIT",IF(AND(OR(Planilla!B516="B", Planilla!B516="BPAL"), VLOOKUP(E516,EX:FJ,13,0)="C"), "SOBREOFERTA",IF(AND(Planilla!B516="A", VLOOKUP(E516,EX:FJ,13,0)="A"), "OK",IF(
AND(Planilla!B516="A", OR(VLOOKUP(E516,EX:FJ,13,0)="B", VLOOKUP(E516,EX:FJ,13,0)="C")), "SOBREOFERTA",""
))))))),"")</f>
        <v/>
      </c>
      <c r="E516" s="12"/>
      <c r="F516" s="13"/>
      <c r="G516" s="14"/>
      <c r="H516" s="81" t="str">
        <f t="shared" si="158"/>
        <v/>
      </c>
      <c r="I516" s="7"/>
      <c r="J516" s="6" t="e">
        <f t="shared" si="159"/>
        <v>#N/A</v>
      </c>
      <c r="K516" s="6" t="str">
        <f>IF(A517&lt;&gt;A516,AVERAGEIF(A$9:A516,A516,J$9:J516),"")</f>
        <v/>
      </c>
      <c r="L516" s="7" t="str">
        <f>IFERROR(IF(A517&lt;&gt;A516,AVERAGEIF(A$9:A516,A516,S$9:S516),""),"")</f>
        <v/>
      </c>
      <c r="M516" s="7" t="str">
        <f>IFERROR(IF(A517&lt;&gt;A516,AVERAGEIF(A$9:A516,A516,T$9:T516),""),"")</f>
        <v/>
      </c>
      <c r="N516" s="7" t="str" cm="1">
        <f t="array" ref="N516">IFERROR(IF(A517&lt;&gt;A516,_xlfn.STDEV.P(IF(A$9:A516=A516,T$9:T516)),""),"")</f>
        <v/>
      </c>
      <c r="O516" s="7" t="str" cm="1">
        <f t="array" ref="O516">IFERROR(IF(A517&lt;&gt;A516,_xlfn.STDEV.P(IF(A$9:A516=A516,S$9:S516)),""),"")</f>
        <v/>
      </c>
      <c r="P516" s="8" t="str">
        <f t="shared" si="160"/>
        <v/>
      </c>
      <c r="Q516" s="8" t="str">
        <f t="shared" si="161"/>
        <v/>
      </c>
      <c r="R516" s="8" t="str">
        <f t="shared" si="162"/>
        <v/>
      </c>
      <c r="S516" s="9" t="str">
        <f t="shared" si="163"/>
        <v/>
      </c>
      <c r="T516" s="9" t="str">
        <f t="shared" si="164"/>
        <v/>
      </c>
      <c r="U516" s="14"/>
      <c r="V516" s="15"/>
      <c r="W516" s="14" t="str">
        <f t="shared" si="165"/>
        <v/>
      </c>
      <c r="X516" s="15"/>
      <c r="Y516" s="2"/>
      <c r="AB516" s="22">
        <f t="shared" si="166"/>
        <v>1</v>
      </c>
      <c r="AC516" s="11"/>
      <c r="AD516" s="11"/>
      <c r="AE516" s="13"/>
      <c r="AF516" s="12"/>
      <c r="AG516" s="13"/>
      <c r="AH516" s="14"/>
      <c r="AI516" s="81" t="str">
        <f t="shared" si="167"/>
        <v/>
      </c>
      <c r="AJ516" s="15"/>
      <c r="AK516" s="6" t="e">
        <f t="shared" si="168"/>
        <v>#N/A</v>
      </c>
      <c r="AL516" s="6" t="str">
        <f>IF(AB517&lt;&gt;AB516,AVERAGEIF(AB$9:AB516,AB516,AK$9:AK516),"")</f>
        <v/>
      </c>
      <c r="AM516" s="7" t="str">
        <f>IFERROR(IF(AB517&lt;&gt;AB516,AVERAGEIF(AB$9:AB516,AB516,AT$9:AT516),""),"")</f>
        <v/>
      </c>
      <c r="AN516" s="7" t="str">
        <f>IFERROR(IF(AB517&lt;&gt;AB516,AVERAGEIF(AB$9:AB516,AB516,AU$9:AU516),""),"")</f>
        <v/>
      </c>
      <c r="AO516" s="7" t="str" cm="1">
        <f t="array" ref="AO516">IFERROR(IF(AB517&lt;&gt;AB516,_xlfn.STDEV.P(IF(AB$9:AB516=AB516,AU$9:AU516)),""),"")</f>
        <v/>
      </c>
      <c r="AP516" s="7" t="str" cm="1">
        <f t="array" ref="AP516">IFERROR(IF(AB517&lt;&gt;AB516,_xlfn.STDEV.P(IF(AB$9:AB516=AB516,AT$9:AT516)),""),"")</f>
        <v/>
      </c>
      <c r="AQ516" s="8" t="str">
        <f t="shared" si="169"/>
        <v/>
      </c>
      <c r="AR516" s="8" t="str">
        <f t="shared" si="170"/>
        <v/>
      </c>
      <c r="AS516" s="8" t="str">
        <f t="shared" si="171"/>
        <v/>
      </c>
      <c r="AT516" s="9" t="str">
        <f t="shared" si="172"/>
        <v/>
      </c>
      <c r="AU516" s="9" t="str">
        <f t="shared" si="173"/>
        <v/>
      </c>
      <c r="AV516" s="14"/>
      <c r="AW516" s="15"/>
      <c r="AX516" s="14" t="str">
        <f t="shared" si="174"/>
        <v/>
      </c>
      <c r="AY516" s="15"/>
      <c r="AZ516" s="23"/>
      <c r="EW516" t="s">
        <v>46</v>
      </c>
      <c r="EX516" s="33" t="s">
        <v>47</v>
      </c>
      <c r="EY516" s="35" t="s">
        <v>1372</v>
      </c>
      <c r="EZ516" s="36" t="s">
        <v>1373</v>
      </c>
      <c r="FA516" s="36" t="s">
        <v>1192</v>
      </c>
      <c r="FB516" s="36" t="s">
        <v>344</v>
      </c>
      <c r="FC516" s="36" t="s">
        <v>1192</v>
      </c>
      <c r="FD516" s="36" t="s">
        <v>344</v>
      </c>
      <c r="FE516" s="36">
        <v>2026</v>
      </c>
      <c r="FF516" s="36" t="s">
        <v>59</v>
      </c>
      <c r="FG516" s="36" t="s">
        <v>1210</v>
      </c>
      <c r="FJ516" t="s">
        <v>59</v>
      </c>
      <c r="FM516" s="32" t="s">
        <v>1374</v>
      </c>
      <c r="FN516" t="s">
        <v>1374</v>
      </c>
      <c r="FO516" t="s">
        <v>1375</v>
      </c>
      <c r="FP516" t="str">
        <f t="shared" si="175"/>
        <v>C</v>
      </c>
      <c r="FT516" s="69" t="s">
        <v>7442</v>
      </c>
      <c r="FU516" s="61">
        <v>0</v>
      </c>
      <c r="FV516" s="61">
        <v>0</v>
      </c>
      <c r="FW516" s="61">
        <v>0</v>
      </c>
      <c r="FX516" s="61">
        <v>0</v>
      </c>
      <c r="FY516" s="61">
        <v>0</v>
      </c>
      <c r="FZ516" s="61">
        <v>28.92</v>
      </c>
      <c r="GA516" s="61">
        <v>28.155000000000001</v>
      </c>
      <c r="GB516" s="61">
        <v>26.805</v>
      </c>
      <c r="GC516" s="61">
        <v>24.84</v>
      </c>
      <c r="GD516" s="61">
        <v>24.02</v>
      </c>
      <c r="GE516" s="61">
        <v>22.215</v>
      </c>
      <c r="GF516" s="61">
        <v>20.7</v>
      </c>
      <c r="GG516" s="61">
        <v>19.265000000000001</v>
      </c>
      <c r="GH516" s="61">
        <v>19.079999999999998</v>
      </c>
      <c r="GI516" s="61">
        <v>20.990000000000002</v>
      </c>
      <c r="GJ516" s="61">
        <v>22.08</v>
      </c>
      <c r="GK516" s="61">
        <v>21.605</v>
      </c>
      <c r="GL516" s="61">
        <v>18.78</v>
      </c>
      <c r="GM516" s="61">
        <v>16.72</v>
      </c>
      <c r="GN516" s="61">
        <v>17.545000000000002</v>
      </c>
      <c r="GO516" s="61">
        <v>19.100000000000001</v>
      </c>
      <c r="GP516" s="61">
        <v>20.75</v>
      </c>
      <c r="GQ516" s="61">
        <v>22.53</v>
      </c>
      <c r="GR516" s="61">
        <v>25.325000000000003</v>
      </c>
      <c r="GU516" s="53">
        <v>61</v>
      </c>
      <c r="GV516" s="53">
        <v>510</v>
      </c>
    </row>
    <row r="517" spans="1:204" ht="15.5" x14ac:dyDescent="0.35">
      <c r="A517" s="95">
        <f t="shared" si="157"/>
        <v>1</v>
      </c>
      <c r="B517" s="11"/>
      <c r="C517" s="11"/>
      <c r="D517" s="92" t="str">
        <f>IFERROR(
IF(AND(OR(Planilla!B517="C",Planilla!B517="c"), VLOOKUP(E517,EX:FJ,13,0)="C"), "OK",IF(AND(OR(Planilla!B517="C",Planilla!B517="c"), OR(VLOOKUP(E517,EX:FJ,13,0)="B", VLOOKUP(E517,EX:FJ,13,0)="A")), "DEFICIT",IF(
AND(OR(Planilla!B517="B", Planilla!B517="BPAL"), VLOOKUP(E517,EX:FJ,13,0)="B"), "OK",IF(AND(OR(Planilla!B517="B", Planilla!B517="BPAL"), VLOOKUP(E517,EX:FJ,13,0)="A"), "DEFICIT",IF(AND(OR(Planilla!B517="B", Planilla!B517="BPAL"), VLOOKUP(E517,EX:FJ,13,0)="C"), "SOBREOFERTA",IF(AND(Planilla!B517="A", VLOOKUP(E517,EX:FJ,13,0)="A"), "OK",IF(
AND(Planilla!B517="A", OR(VLOOKUP(E517,EX:FJ,13,0)="B", VLOOKUP(E517,EX:FJ,13,0)="C")), "SOBREOFERTA",""
))))))),"")</f>
        <v/>
      </c>
      <c r="E517" s="12"/>
      <c r="F517" s="13"/>
      <c r="G517" s="14"/>
      <c r="H517" s="81" t="str">
        <f t="shared" si="158"/>
        <v/>
      </c>
      <c r="I517" s="7"/>
      <c r="J517" s="6" t="e">
        <f t="shared" si="159"/>
        <v>#N/A</v>
      </c>
      <c r="K517" s="6" t="str">
        <f>IF(A518&lt;&gt;A517,AVERAGEIF(A$9:A517,A517,J$9:J517),"")</f>
        <v/>
      </c>
      <c r="L517" s="7" t="str">
        <f>IFERROR(IF(A518&lt;&gt;A517,AVERAGEIF(A$9:A517,A517,S$9:S517),""),"")</f>
        <v/>
      </c>
      <c r="M517" s="7" t="str">
        <f>IFERROR(IF(A518&lt;&gt;A517,AVERAGEIF(A$9:A517,A517,T$9:T517),""),"")</f>
        <v/>
      </c>
      <c r="N517" s="7" t="str" cm="1">
        <f t="array" ref="N517">IFERROR(IF(A518&lt;&gt;A517,_xlfn.STDEV.P(IF(A$9:A517=A517,T$9:T517)),""),"")</f>
        <v/>
      </c>
      <c r="O517" s="7" t="str" cm="1">
        <f t="array" ref="O517">IFERROR(IF(A518&lt;&gt;A517,_xlfn.STDEV.P(IF(A$9:A517=A517,S$9:S517)),""),"")</f>
        <v/>
      </c>
      <c r="P517" s="8" t="str">
        <f t="shared" si="160"/>
        <v/>
      </c>
      <c r="Q517" s="8" t="str">
        <f t="shared" si="161"/>
        <v/>
      </c>
      <c r="R517" s="8" t="str">
        <f t="shared" si="162"/>
        <v/>
      </c>
      <c r="S517" s="9" t="str">
        <f t="shared" si="163"/>
        <v/>
      </c>
      <c r="T517" s="9" t="str">
        <f t="shared" si="164"/>
        <v/>
      </c>
      <c r="U517" s="14"/>
      <c r="V517" s="15"/>
      <c r="W517" s="14" t="str">
        <f t="shared" si="165"/>
        <v/>
      </c>
      <c r="X517" s="15"/>
      <c r="Y517" s="2"/>
      <c r="AB517" s="22">
        <f t="shared" si="166"/>
        <v>1</v>
      </c>
      <c r="AC517" s="11"/>
      <c r="AD517" s="11"/>
      <c r="AE517" s="13"/>
      <c r="AF517" s="12"/>
      <c r="AG517" s="13"/>
      <c r="AH517" s="14"/>
      <c r="AI517" s="81" t="str">
        <f t="shared" si="167"/>
        <v/>
      </c>
      <c r="AJ517" s="15"/>
      <c r="AK517" s="6" t="e">
        <f t="shared" si="168"/>
        <v>#N/A</v>
      </c>
      <c r="AL517" s="6" t="str">
        <f>IF(AB518&lt;&gt;AB517,AVERAGEIF(AB$9:AB517,AB517,AK$9:AK517),"")</f>
        <v/>
      </c>
      <c r="AM517" s="7" t="str">
        <f>IFERROR(IF(AB518&lt;&gt;AB517,AVERAGEIF(AB$9:AB517,AB517,AT$9:AT517),""),"")</f>
        <v/>
      </c>
      <c r="AN517" s="7" t="str">
        <f>IFERROR(IF(AB518&lt;&gt;AB517,AVERAGEIF(AB$9:AB517,AB517,AU$9:AU517),""),"")</f>
        <v/>
      </c>
      <c r="AO517" s="7" t="str" cm="1">
        <f t="array" ref="AO517">IFERROR(IF(AB518&lt;&gt;AB517,_xlfn.STDEV.P(IF(AB$9:AB517=AB517,AU$9:AU517)),""),"")</f>
        <v/>
      </c>
      <c r="AP517" s="7" t="str" cm="1">
        <f t="array" ref="AP517">IFERROR(IF(AB518&lt;&gt;AB517,_xlfn.STDEV.P(IF(AB$9:AB517=AB517,AT$9:AT517)),""),"")</f>
        <v/>
      </c>
      <c r="AQ517" s="8" t="str">
        <f t="shared" si="169"/>
        <v/>
      </c>
      <c r="AR517" s="8" t="str">
        <f t="shared" si="170"/>
        <v/>
      </c>
      <c r="AS517" s="8" t="str">
        <f t="shared" si="171"/>
        <v/>
      </c>
      <c r="AT517" s="9" t="str">
        <f t="shared" si="172"/>
        <v/>
      </c>
      <c r="AU517" s="9" t="str">
        <f t="shared" si="173"/>
        <v/>
      </c>
      <c r="AV517" s="14"/>
      <c r="AW517" s="15"/>
      <c r="AX517" s="14" t="str">
        <f t="shared" si="174"/>
        <v/>
      </c>
      <c r="AY517" s="15"/>
      <c r="AZ517" s="23"/>
      <c r="EW517" t="s">
        <v>46</v>
      </c>
      <c r="EX517" s="33" t="s">
        <v>47</v>
      </c>
      <c r="EY517" s="35" t="s">
        <v>1376</v>
      </c>
      <c r="EZ517" s="36" t="s">
        <v>1377</v>
      </c>
      <c r="FA517" s="36" t="s">
        <v>1192</v>
      </c>
      <c r="FB517" s="36" t="s">
        <v>344</v>
      </c>
      <c r="FC517" s="36" t="s">
        <v>1192</v>
      </c>
      <c r="FD517" s="36" t="s">
        <v>344</v>
      </c>
      <c r="FE517" s="36">
        <v>2026</v>
      </c>
      <c r="FF517" s="36" t="s">
        <v>59</v>
      </c>
      <c r="FG517" s="36" t="s">
        <v>1210</v>
      </c>
      <c r="FJ517" t="s">
        <v>59</v>
      </c>
      <c r="FM517" s="32" t="s">
        <v>1378</v>
      </c>
      <c r="FN517" t="s">
        <v>1378</v>
      </c>
      <c r="FO517" t="s">
        <v>1379</v>
      </c>
      <c r="FP517" t="str">
        <f t="shared" si="175"/>
        <v>C</v>
      </c>
      <c r="FT517" s="69" t="s">
        <v>7442</v>
      </c>
      <c r="FU517" s="61">
        <v>12.47</v>
      </c>
      <c r="FV517" s="61">
        <v>0</v>
      </c>
      <c r="FW517" s="61">
        <v>0</v>
      </c>
      <c r="FX517" s="61">
        <v>0</v>
      </c>
      <c r="FY517" s="61">
        <v>0</v>
      </c>
      <c r="FZ517" s="61">
        <v>14.654999999999999</v>
      </c>
      <c r="GA517" s="61">
        <v>28.824999999999999</v>
      </c>
      <c r="GB517" s="61">
        <v>28.024999999999999</v>
      </c>
      <c r="GC517" s="61">
        <v>26.31</v>
      </c>
      <c r="GD517" s="61">
        <v>23.65</v>
      </c>
      <c r="GE517" s="61">
        <v>23.17</v>
      </c>
      <c r="GF517" s="61">
        <v>21.509999999999998</v>
      </c>
      <c r="GG517" s="61">
        <v>19.005000000000003</v>
      </c>
      <c r="GH517" s="61">
        <v>17.63</v>
      </c>
      <c r="GI517" s="61">
        <v>18.59</v>
      </c>
      <c r="GJ517" s="61">
        <v>19.564999999999998</v>
      </c>
      <c r="GK517" s="61">
        <v>19.655000000000001</v>
      </c>
      <c r="GL517" s="61">
        <v>19.36</v>
      </c>
      <c r="GM517" s="61">
        <v>16.689999999999998</v>
      </c>
      <c r="GN517" s="61">
        <v>16.399999999999999</v>
      </c>
      <c r="GO517" s="61">
        <v>17.239999999999998</v>
      </c>
      <c r="GP517" s="61">
        <v>18.41</v>
      </c>
      <c r="GQ517" s="61">
        <v>20.155000000000001</v>
      </c>
      <c r="GR517" s="61">
        <v>21.75</v>
      </c>
      <c r="GU517" s="53">
        <v>62</v>
      </c>
      <c r="GV517" s="53">
        <v>511</v>
      </c>
    </row>
    <row r="518" spans="1:204" ht="15.5" x14ac:dyDescent="0.35">
      <c r="A518" s="95">
        <f t="shared" si="157"/>
        <v>1</v>
      </c>
      <c r="B518" s="11"/>
      <c r="C518" s="11"/>
      <c r="D518" s="92" t="str">
        <f>IFERROR(
IF(AND(OR(Planilla!B518="C",Planilla!B518="c"), VLOOKUP(E518,EX:FJ,13,0)="C"), "OK",IF(AND(OR(Planilla!B518="C",Planilla!B518="c"), OR(VLOOKUP(E518,EX:FJ,13,0)="B", VLOOKUP(E518,EX:FJ,13,0)="A")), "DEFICIT",IF(
AND(OR(Planilla!B518="B", Planilla!B518="BPAL"), VLOOKUP(E518,EX:FJ,13,0)="B"), "OK",IF(AND(OR(Planilla!B518="B", Planilla!B518="BPAL"), VLOOKUP(E518,EX:FJ,13,0)="A"), "DEFICIT",IF(AND(OR(Planilla!B518="B", Planilla!B518="BPAL"), VLOOKUP(E518,EX:FJ,13,0)="C"), "SOBREOFERTA",IF(AND(Planilla!B518="A", VLOOKUP(E518,EX:FJ,13,0)="A"), "OK",IF(
AND(Planilla!B518="A", OR(VLOOKUP(E518,EX:FJ,13,0)="B", VLOOKUP(E518,EX:FJ,13,0)="C")), "SOBREOFERTA",""
))))))),"")</f>
        <v/>
      </c>
      <c r="E518" s="12"/>
      <c r="F518" s="13"/>
      <c r="G518" s="14"/>
      <c r="H518" s="81" t="str">
        <f t="shared" si="158"/>
        <v/>
      </c>
      <c r="I518" s="7"/>
      <c r="J518" s="6" t="e">
        <f t="shared" si="159"/>
        <v>#N/A</v>
      </c>
      <c r="K518" s="6" t="str">
        <f>IF(A519&lt;&gt;A518,AVERAGEIF(A$9:A518,A518,J$9:J518),"")</f>
        <v/>
      </c>
      <c r="L518" s="7" t="str">
        <f>IFERROR(IF(A519&lt;&gt;A518,AVERAGEIF(A$9:A518,A518,S$9:S518),""),"")</f>
        <v/>
      </c>
      <c r="M518" s="7" t="str">
        <f>IFERROR(IF(A519&lt;&gt;A518,AVERAGEIF(A$9:A518,A518,T$9:T518),""),"")</f>
        <v/>
      </c>
      <c r="N518" s="7" t="str" cm="1">
        <f t="array" ref="N518">IFERROR(IF(A519&lt;&gt;A518,_xlfn.STDEV.P(IF(A$9:A518=A518,T$9:T518)),""),"")</f>
        <v/>
      </c>
      <c r="O518" s="7" t="str" cm="1">
        <f t="array" ref="O518">IFERROR(IF(A519&lt;&gt;A518,_xlfn.STDEV.P(IF(A$9:A518=A518,S$9:S518)),""),"")</f>
        <v/>
      </c>
      <c r="P518" s="8" t="str">
        <f t="shared" si="160"/>
        <v/>
      </c>
      <c r="Q518" s="8" t="str">
        <f t="shared" si="161"/>
        <v/>
      </c>
      <c r="R518" s="8" t="str">
        <f t="shared" si="162"/>
        <v/>
      </c>
      <c r="S518" s="9" t="str">
        <f t="shared" si="163"/>
        <v/>
      </c>
      <c r="T518" s="9" t="str">
        <f t="shared" si="164"/>
        <v/>
      </c>
      <c r="U518" s="14"/>
      <c r="V518" s="15"/>
      <c r="W518" s="14" t="str">
        <f t="shared" si="165"/>
        <v/>
      </c>
      <c r="X518" s="15"/>
      <c r="Y518" s="2"/>
      <c r="AB518" s="22">
        <f t="shared" si="166"/>
        <v>1</v>
      </c>
      <c r="AC518" s="11"/>
      <c r="AD518" s="11"/>
      <c r="AE518" s="13"/>
      <c r="AF518" s="12"/>
      <c r="AG518" s="13"/>
      <c r="AH518" s="14"/>
      <c r="AI518" s="81" t="str">
        <f t="shared" si="167"/>
        <v/>
      </c>
      <c r="AJ518" s="15"/>
      <c r="AK518" s="6" t="e">
        <f t="shared" si="168"/>
        <v>#N/A</v>
      </c>
      <c r="AL518" s="6" t="str">
        <f>IF(AB519&lt;&gt;AB518,AVERAGEIF(AB$9:AB518,AB518,AK$9:AK518),"")</f>
        <v/>
      </c>
      <c r="AM518" s="7" t="str">
        <f>IFERROR(IF(AB519&lt;&gt;AB518,AVERAGEIF(AB$9:AB518,AB518,AT$9:AT518),""),"")</f>
        <v/>
      </c>
      <c r="AN518" s="7" t="str">
        <f>IFERROR(IF(AB519&lt;&gt;AB518,AVERAGEIF(AB$9:AB518,AB518,AU$9:AU518),""),"")</f>
        <v/>
      </c>
      <c r="AO518" s="7" t="str" cm="1">
        <f t="array" ref="AO518">IFERROR(IF(AB519&lt;&gt;AB518,_xlfn.STDEV.P(IF(AB$9:AB518=AB518,AU$9:AU518)),""),"")</f>
        <v/>
      </c>
      <c r="AP518" s="7" t="str" cm="1">
        <f t="array" ref="AP518">IFERROR(IF(AB519&lt;&gt;AB518,_xlfn.STDEV.P(IF(AB$9:AB518=AB518,AT$9:AT518)),""),"")</f>
        <v/>
      </c>
      <c r="AQ518" s="8" t="str">
        <f t="shared" si="169"/>
        <v/>
      </c>
      <c r="AR518" s="8" t="str">
        <f t="shared" si="170"/>
        <v/>
      </c>
      <c r="AS518" s="8" t="str">
        <f t="shared" si="171"/>
        <v/>
      </c>
      <c r="AT518" s="9" t="str">
        <f t="shared" si="172"/>
        <v/>
      </c>
      <c r="AU518" s="9" t="str">
        <f t="shared" si="173"/>
        <v/>
      </c>
      <c r="AV518" s="14"/>
      <c r="AW518" s="15"/>
      <c r="AX518" s="14" t="str">
        <f t="shared" si="174"/>
        <v/>
      </c>
      <c r="AY518" s="15"/>
      <c r="AZ518" s="23"/>
      <c r="EW518" t="s">
        <v>46</v>
      </c>
      <c r="EX518" s="33" t="s">
        <v>47</v>
      </c>
      <c r="EY518" s="35" t="s">
        <v>1380</v>
      </c>
      <c r="EZ518" s="36" t="s">
        <v>1381</v>
      </c>
      <c r="FA518" s="36" t="s">
        <v>1192</v>
      </c>
      <c r="FB518" s="36" t="s">
        <v>344</v>
      </c>
      <c r="FC518" s="36" t="s">
        <v>1192</v>
      </c>
      <c r="FD518" s="36" t="s">
        <v>344</v>
      </c>
      <c r="FE518" s="36">
        <v>2026</v>
      </c>
      <c r="FF518" s="36" t="s">
        <v>59</v>
      </c>
      <c r="FG518" s="36" t="s">
        <v>1241</v>
      </c>
      <c r="FJ518" t="s">
        <v>59</v>
      </c>
      <c r="FM518" s="32" t="s">
        <v>1237</v>
      </c>
      <c r="FN518" t="s">
        <v>1237</v>
      </c>
      <c r="FO518" t="s">
        <v>1238</v>
      </c>
      <c r="FP518" t="str">
        <f t="shared" si="175"/>
        <v>C</v>
      </c>
      <c r="FT518" s="69">
        <v>102</v>
      </c>
      <c r="FU518" s="61">
        <v>28.46</v>
      </c>
      <c r="FV518" s="61">
        <v>0</v>
      </c>
      <c r="FW518" s="61">
        <v>0</v>
      </c>
      <c r="FX518" s="61">
        <v>0</v>
      </c>
      <c r="FY518" s="61">
        <v>0</v>
      </c>
      <c r="FZ518" s="61">
        <v>13.72</v>
      </c>
      <c r="GA518" s="61">
        <v>26.09</v>
      </c>
      <c r="GB518" s="61">
        <v>24.655000000000001</v>
      </c>
      <c r="GC518" s="61">
        <v>23.175000000000001</v>
      </c>
      <c r="GD518" s="61">
        <v>21.39</v>
      </c>
      <c r="GE518" s="61">
        <v>21.414999999999999</v>
      </c>
      <c r="GF518" s="61">
        <v>20.594999999999999</v>
      </c>
      <c r="GG518" s="61">
        <v>19.475000000000001</v>
      </c>
      <c r="GH518" s="61">
        <v>19.585000000000001</v>
      </c>
      <c r="GI518" s="61">
        <v>20.079999999999998</v>
      </c>
      <c r="GJ518" s="61">
        <v>19.615000000000002</v>
      </c>
      <c r="GK518" s="61">
        <v>19.655000000000001</v>
      </c>
      <c r="GL518" s="61">
        <v>19.564999999999998</v>
      </c>
      <c r="GM518" s="61">
        <v>19.71</v>
      </c>
      <c r="GN518" s="61">
        <v>20.475000000000001</v>
      </c>
      <c r="GO518" s="61">
        <v>21.825000000000003</v>
      </c>
      <c r="GP518" s="61">
        <v>24.015000000000001</v>
      </c>
      <c r="GQ518" s="61">
        <v>26.380000000000003</v>
      </c>
      <c r="GR518" s="61">
        <v>28.295000000000002</v>
      </c>
      <c r="GU518" s="53">
        <v>63</v>
      </c>
      <c r="GV518" s="53">
        <v>512</v>
      </c>
    </row>
    <row r="519" spans="1:204" ht="15.5" x14ac:dyDescent="0.35">
      <c r="A519" s="95">
        <f t="shared" si="157"/>
        <v>1</v>
      </c>
      <c r="B519" s="11"/>
      <c r="C519" s="11"/>
      <c r="D519" s="92" t="str">
        <f>IFERROR(
IF(AND(OR(Planilla!B519="C",Planilla!B519="c"), VLOOKUP(E519,EX:FJ,13,0)="C"), "OK",IF(AND(OR(Planilla!B519="C",Planilla!B519="c"), OR(VLOOKUP(E519,EX:FJ,13,0)="B", VLOOKUP(E519,EX:FJ,13,0)="A")), "DEFICIT",IF(
AND(OR(Planilla!B519="B", Planilla!B519="BPAL"), VLOOKUP(E519,EX:FJ,13,0)="B"), "OK",IF(AND(OR(Planilla!B519="B", Planilla!B519="BPAL"), VLOOKUP(E519,EX:FJ,13,0)="A"), "DEFICIT",IF(AND(OR(Planilla!B519="B", Planilla!B519="BPAL"), VLOOKUP(E519,EX:FJ,13,0)="C"), "SOBREOFERTA",IF(AND(Planilla!B519="A", VLOOKUP(E519,EX:FJ,13,0)="A"), "OK",IF(
AND(Planilla!B519="A", OR(VLOOKUP(E519,EX:FJ,13,0)="B", VLOOKUP(E519,EX:FJ,13,0)="C")), "SOBREOFERTA",""
))))))),"")</f>
        <v/>
      </c>
      <c r="E519" s="12"/>
      <c r="F519" s="13"/>
      <c r="G519" s="14"/>
      <c r="H519" s="81" t="str">
        <f t="shared" si="158"/>
        <v/>
      </c>
      <c r="I519" s="7"/>
      <c r="J519" s="6" t="e">
        <f t="shared" si="159"/>
        <v>#N/A</v>
      </c>
      <c r="K519" s="6" t="str">
        <f>IF(A520&lt;&gt;A519,AVERAGEIF(A$9:A519,A519,J$9:J519),"")</f>
        <v/>
      </c>
      <c r="L519" s="7" t="str">
        <f>IFERROR(IF(A520&lt;&gt;A519,AVERAGEIF(A$9:A519,A519,S$9:S519),""),"")</f>
        <v/>
      </c>
      <c r="M519" s="7" t="str">
        <f>IFERROR(IF(A520&lt;&gt;A519,AVERAGEIF(A$9:A519,A519,T$9:T519),""),"")</f>
        <v/>
      </c>
      <c r="N519" s="7" t="str" cm="1">
        <f t="array" ref="N519">IFERROR(IF(A520&lt;&gt;A519,_xlfn.STDEV.P(IF(A$9:A519=A519,T$9:T519)),""),"")</f>
        <v/>
      </c>
      <c r="O519" s="7" t="str" cm="1">
        <f t="array" ref="O519">IFERROR(IF(A520&lt;&gt;A519,_xlfn.STDEV.P(IF(A$9:A519=A519,S$9:S519)),""),"")</f>
        <v/>
      </c>
      <c r="P519" s="8" t="str">
        <f t="shared" si="160"/>
        <v/>
      </c>
      <c r="Q519" s="8" t="str">
        <f t="shared" si="161"/>
        <v/>
      </c>
      <c r="R519" s="8" t="str">
        <f t="shared" si="162"/>
        <v/>
      </c>
      <c r="S519" s="9" t="str">
        <f t="shared" si="163"/>
        <v/>
      </c>
      <c r="T519" s="9" t="str">
        <f t="shared" si="164"/>
        <v/>
      </c>
      <c r="U519" s="14"/>
      <c r="V519" s="15"/>
      <c r="W519" s="14" t="str">
        <f t="shared" si="165"/>
        <v/>
      </c>
      <c r="X519" s="15"/>
      <c r="Y519" s="2"/>
      <c r="AB519" s="22">
        <f t="shared" si="166"/>
        <v>1</v>
      </c>
      <c r="AC519" s="11"/>
      <c r="AD519" s="11"/>
      <c r="AE519" s="13"/>
      <c r="AF519" s="12"/>
      <c r="AG519" s="13"/>
      <c r="AH519" s="14"/>
      <c r="AI519" s="81" t="str">
        <f t="shared" si="167"/>
        <v/>
      </c>
      <c r="AJ519" s="15"/>
      <c r="AK519" s="6" t="e">
        <f t="shared" si="168"/>
        <v>#N/A</v>
      </c>
      <c r="AL519" s="6" t="str">
        <f>IF(AB520&lt;&gt;AB519,AVERAGEIF(AB$9:AB519,AB519,AK$9:AK519),"")</f>
        <v/>
      </c>
      <c r="AM519" s="7" t="str">
        <f>IFERROR(IF(AB520&lt;&gt;AB519,AVERAGEIF(AB$9:AB519,AB519,AT$9:AT519),""),"")</f>
        <v/>
      </c>
      <c r="AN519" s="7" t="str">
        <f>IFERROR(IF(AB520&lt;&gt;AB519,AVERAGEIF(AB$9:AB519,AB519,AU$9:AU519),""),"")</f>
        <v/>
      </c>
      <c r="AO519" s="7" t="str" cm="1">
        <f t="array" ref="AO519">IFERROR(IF(AB520&lt;&gt;AB519,_xlfn.STDEV.P(IF(AB$9:AB519=AB519,AU$9:AU519)),""),"")</f>
        <v/>
      </c>
      <c r="AP519" s="7" t="str" cm="1">
        <f t="array" ref="AP519">IFERROR(IF(AB520&lt;&gt;AB519,_xlfn.STDEV.P(IF(AB$9:AB519=AB519,AT$9:AT519)),""),"")</f>
        <v/>
      </c>
      <c r="AQ519" s="8" t="str">
        <f t="shared" si="169"/>
        <v/>
      </c>
      <c r="AR519" s="8" t="str">
        <f t="shared" si="170"/>
        <v/>
      </c>
      <c r="AS519" s="8" t="str">
        <f t="shared" si="171"/>
        <v/>
      </c>
      <c r="AT519" s="9" t="str">
        <f t="shared" si="172"/>
        <v/>
      </c>
      <c r="AU519" s="9" t="str">
        <f t="shared" si="173"/>
        <v/>
      </c>
      <c r="AV519" s="14"/>
      <c r="AW519" s="15"/>
      <c r="AX519" s="14" t="str">
        <f t="shared" si="174"/>
        <v/>
      </c>
      <c r="AY519" s="15"/>
      <c r="AZ519" s="23"/>
      <c r="EW519" t="s">
        <v>46</v>
      </c>
      <c r="EX519" s="33" t="s">
        <v>47</v>
      </c>
      <c r="EY519" s="35" t="s">
        <v>1382</v>
      </c>
      <c r="EZ519" s="36" t="s">
        <v>1383</v>
      </c>
      <c r="FA519" s="36" t="s">
        <v>1192</v>
      </c>
      <c r="FB519" s="36" t="s">
        <v>344</v>
      </c>
      <c r="FC519" s="36" t="s">
        <v>1192</v>
      </c>
      <c r="FD519" s="36" t="s">
        <v>344</v>
      </c>
      <c r="FE519" s="36">
        <v>2026</v>
      </c>
      <c r="FF519" s="36" t="s">
        <v>59</v>
      </c>
      <c r="FG519" s="36" t="s">
        <v>1210</v>
      </c>
      <c r="FJ519" t="s">
        <v>59</v>
      </c>
      <c r="FM519" s="32" t="s">
        <v>1384</v>
      </c>
      <c r="FN519" t="s">
        <v>1384</v>
      </c>
      <c r="FO519" t="s">
        <v>1385</v>
      </c>
      <c r="FP519" t="str">
        <f t="shared" si="175"/>
        <v>C</v>
      </c>
      <c r="FT519" s="69">
        <v>102</v>
      </c>
      <c r="FU519" s="61">
        <v>31.22</v>
      </c>
      <c r="FV519" s="61">
        <v>0</v>
      </c>
      <c r="FW519" s="61">
        <v>0</v>
      </c>
      <c r="FX519" s="61">
        <v>0</v>
      </c>
      <c r="FY519" s="61">
        <v>0</v>
      </c>
      <c r="FZ519" s="61">
        <v>13.82</v>
      </c>
      <c r="GA519" s="61">
        <v>26.664999999999999</v>
      </c>
      <c r="GB519" s="61">
        <v>24.734999999999999</v>
      </c>
      <c r="GC519" s="61">
        <v>23.774999999999999</v>
      </c>
      <c r="GD519" s="61">
        <v>23.09</v>
      </c>
      <c r="GE519" s="61">
        <v>21.905000000000001</v>
      </c>
      <c r="GF519" s="61">
        <v>20.585000000000001</v>
      </c>
      <c r="GG519" s="61">
        <v>19.575000000000003</v>
      </c>
      <c r="GH519" s="61">
        <v>19.64</v>
      </c>
      <c r="GI519" s="61">
        <v>19.875</v>
      </c>
      <c r="GJ519" s="61">
        <v>20.38</v>
      </c>
      <c r="GK519" s="61">
        <v>19.895</v>
      </c>
      <c r="GL519" s="61">
        <v>19.704999999999998</v>
      </c>
      <c r="GM519" s="61">
        <v>20.324999999999999</v>
      </c>
      <c r="GN519" s="61">
        <v>21.475000000000001</v>
      </c>
      <c r="GO519" s="61">
        <v>22.630000000000003</v>
      </c>
      <c r="GP519" s="61">
        <v>25.234999999999999</v>
      </c>
      <c r="GQ519" s="61">
        <v>27.95</v>
      </c>
      <c r="GR519" s="61">
        <v>30.005000000000003</v>
      </c>
      <c r="GU519" s="53">
        <v>64</v>
      </c>
      <c r="GV519" s="53">
        <v>513</v>
      </c>
    </row>
    <row r="520" spans="1:204" ht="15.5" x14ac:dyDescent="0.35">
      <c r="A520" s="95">
        <f t="shared" si="157"/>
        <v>1</v>
      </c>
      <c r="B520" s="11"/>
      <c r="C520" s="11"/>
      <c r="D520" s="92" t="str">
        <f>IFERROR(
IF(AND(OR(Planilla!B520="C",Planilla!B520="c"), VLOOKUP(E520,EX:FJ,13,0)="C"), "OK",IF(AND(OR(Planilla!B520="C",Planilla!B520="c"), OR(VLOOKUP(E520,EX:FJ,13,0)="B", VLOOKUP(E520,EX:FJ,13,0)="A")), "DEFICIT",IF(
AND(OR(Planilla!B520="B", Planilla!B520="BPAL"), VLOOKUP(E520,EX:FJ,13,0)="B"), "OK",IF(AND(OR(Planilla!B520="B", Planilla!B520="BPAL"), VLOOKUP(E520,EX:FJ,13,0)="A"), "DEFICIT",IF(AND(OR(Planilla!B520="B", Planilla!B520="BPAL"), VLOOKUP(E520,EX:FJ,13,0)="C"), "SOBREOFERTA",IF(AND(Planilla!B520="A", VLOOKUP(E520,EX:FJ,13,0)="A"), "OK",IF(
AND(Planilla!B520="A", OR(VLOOKUP(E520,EX:FJ,13,0)="B", VLOOKUP(E520,EX:FJ,13,0)="C")), "SOBREOFERTA",""
))))))),"")</f>
        <v/>
      </c>
      <c r="E520" s="12"/>
      <c r="F520" s="13"/>
      <c r="G520" s="14"/>
      <c r="H520" s="81" t="str">
        <f t="shared" si="158"/>
        <v/>
      </c>
      <c r="I520" s="7"/>
      <c r="J520" s="6" t="e">
        <f t="shared" si="159"/>
        <v>#N/A</v>
      </c>
      <c r="K520" s="6" t="str">
        <f>IF(A521&lt;&gt;A520,AVERAGEIF(A$9:A520,A520,J$9:J520),"")</f>
        <v/>
      </c>
      <c r="L520" s="7" t="str">
        <f>IFERROR(IF(A521&lt;&gt;A520,AVERAGEIF(A$9:A520,A520,S$9:S520),""),"")</f>
        <v/>
      </c>
      <c r="M520" s="7" t="str">
        <f>IFERROR(IF(A521&lt;&gt;A520,AVERAGEIF(A$9:A520,A520,T$9:T520),""),"")</f>
        <v/>
      </c>
      <c r="N520" s="7" t="str" cm="1">
        <f t="array" ref="N520">IFERROR(IF(A521&lt;&gt;A520,_xlfn.STDEV.P(IF(A$9:A520=A520,T$9:T520)),""),"")</f>
        <v/>
      </c>
      <c r="O520" s="7" t="str" cm="1">
        <f t="array" ref="O520">IFERROR(IF(A521&lt;&gt;A520,_xlfn.STDEV.P(IF(A$9:A520=A520,S$9:S520)),""),"")</f>
        <v/>
      </c>
      <c r="P520" s="8" t="str">
        <f t="shared" si="160"/>
        <v/>
      </c>
      <c r="Q520" s="8" t="str">
        <f t="shared" si="161"/>
        <v/>
      </c>
      <c r="R520" s="8" t="str">
        <f t="shared" si="162"/>
        <v/>
      </c>
      <c r="S520" s="9" t="str">
        <f t="shared" si="163"/>
        <v/>
      </c>
      <c r="T520" s="9" t="str">
        <f t="shared" si="164"/>
        <v/>
      </c>
      <c r="U520" s="14"/>
      <c r="V520" s="15"/>
      <c r="W520" s="14" t="str">
        <f t="shared" si="165"/>
        <v/>
      </c>
      <c r="X520" s="15"/>
      <c r="Y520" s="2"/>
      <c r="AB520" s="22">
        <f t="shared" si="166"/>
        <v>1</v>
      </c>
      <c r="AC520" s="11"/>
      <c r="AD520" s="11"/>
      <c r="AE520" s="13"/>
      <c r="AF520" s="12"/>
      <c r="AG520" s="13"/>
      <c r="AH520" s="14"/>
      <c r="AI520" s="81" t="str">
        <f t="shared" si="167"/>
        <v/>
      </c>
      <c r="AJ520" s="15"/>
      <c r="AK520" s="6" t="e">
        <f t="shared" si="168"/>
        <v>#N/A</v>
      </c>
      <c r="AL520" s="6" t="str">
        <f>IF(AB521&lt;&gt;AB520,AVERAGEIF(AB$9:AB520,AB520,AK$9:AK520),"")</f>
        <v/>
      </c>
      <c r="AM520" s="7" t="str">
        <f>IFERROR(IF(AB521&lt;&gt;AB520,AVERAGEIF(AB$9:AB520,AB520,AT$9:AT520),""),"")</f>
        <v/>
      </c>
      <c r="AN520" s="7" t="str">
        <f>IFERROR(IF(AB521&lt;&gt;AB520,AVERAGEIF(AB$9:AB520,AB520,AU$9:AU520),""),"")</f>
        <v/>
      </c>
      <c r="AO520" s="7" t="str" cm="1">
        <f t="array" ref="AO520">IFERROR(IF(AB521&lt;&gt;AB520,_xlfn.STDEV.P(IF(AB$9:AB520=AB520,AU$9:AU520)),""),"")</f>
        <v/>
      </c>
      <c r="AP520" s="7" t="str" cm="1">
        <f t="array" ref="AP520">IFERROR(IF(AB521&lt;&gt;AB520,_xlfn.STDEV.P(IF(AB$9:AB520=AB520,AT$9:AT520)),""),"")</f>
        <v/>
      </c>
      <c r="AQ520" s="8" t="str">
        <f t="shared" si="169"/>
        <v/>
      </c>
      <c r="AR520" s="8" t="str">
        <f t="shared" si="170"/>
        <v/>
      </c>
      <c r="AS520" s="8" t="str">
        <f t="shared" si="171"/>
        <v/>
      </c>
      <c r="AT520" s="9" t="str">
        <f t="shared" si="172"/>
        <v/>
      </c>
      <c r="AU520" s="9" t="str">
        <f t="shared" si="173"/>
        <v/>
      </c>
      <c r="AV520" s="14"/>
      <c r="AW520" s="15"/>
      <c r="AX520" s="14" t="str">
        <f t="shared" si="174"/>
        <v/>
      </c>
      <c r="AY520" s="15"/>
      <c r="AZ520" s="23"/>
      <c r="EW520" t="s">
        <v>46</v>
      </c>
      <c r="EX520" s="33" t="s">
        <v>47</v>
      </c>
      <c r="EY520" s="35" t="s">
        <v>1386</v>
      </c>
      <c r="EZ520" s="36" t="s">
        <v>1387</v>
      </c>
      <c r="FA520" s="36" t="s">
        <v>1192</v>
      </c>
      <c r="FB520" s="36" t="s">
        <v>344</v>
      </c>
      <c r="FC520" s="36" t="s">
        <v>1192</v>
      </c>
      <c r="FD520" s="36" t="s">
        <v>344</v>
      </c>
      <c r="FE520" s="36">
        <v>2026</v>
      </c>
      <c r="FF520" s="36" t="s">
        <v>59</v>
      </c>
      <c r="FG520" s="36" t="s">
        <v>1241</v>
      </c>
      <c r="FJ520" t="s">
        <v>59</v>
      </c>
      <c r="FM520" s="32" t="s">
        <v>1388</v>
      </c>
      <c r="FN520" t="s">
        <v>1388</v>
      </c>
      <c r="FO520" t="s">
        <v>1389</v>
      </c>
      <c r="FP520" t="str">
        <f t="shared" si="175"/>
        <v>C</v>
      </c>
      <c r="FT520" s="69">
        <v>124</v>
      </c>
      <c r="FU520" s="61">
        <v>14.11</v>
      </c>
      <c r="FV520" s="61">
        <v>0</v>
      </c>
      <c r="FW520" s="61">
        <v>0</v>
      </c>
      <c r="FX520" s="61">
        <v>0</v>
      </c>
      <c r="FY520" s="61">
        <v>0</v>
      </c>
      <c r="FZ520" s="61">
        <v>12.605</v>
      </c>
      <c r="GA520" s="61">
        <v>24.54</v>
      </c>
      <c r="GB520" s="61">
        <v>23.155000000000001</v>
      </c>
      <c r="GC520" s="61">
        <v>22.045000000000002</v>
      </c>
      <c r="GD520" s="61">
        <v>20.265000000000001</v>
      </c>
      <c r="GE520" s="61">
        <v>19.305</v>
      </c>
      <c r="GF520" s="61">
        <v>18.375</v>
      </c>
      <c r="GG520" s="61">
        <v>17.97</v>
      </c>
      <c r="GH520" s="61">
        <v>17.914999999999999</v>
      </c>
      <c r="GI520" s="61">
        <v>17.950000000000003</v>
      </c>
      <c r="GJ520" s="61">
        <v>17.734999999999999</v>
      </c>
      <c r="GK520" s="61">
        <v>17.329999999999998</v>
      </c>
      <c r="GL520" s="61">
        <v>17.005000000000003</v>
      </c>
      <c r="GM520" s="61">
        <v>17.145000000000003</v>
      </c>
      <c r="GN520" s="61">
        <v>17.814999999999998</v>
      </c>
      <c r="GO520" s="61">
        <v>18.875</v>
      </c>
      <c r="GP520" s="61">
        <v>21.21</v>
      </c>
      <c r="GQ520" s="61">
        <v>23.42</v>
      </c>
      <c r="GR520" s="61">
        <v>25.46</v>
      </c>
      <c r="GU520" s="53">
        <v>65</v>
      </c>
      <c r="GV520" s="53">
        <v>514</v>
      </c>
    </row>
    <row r="521" spans="1:204" ht="15.5" x14ac:dyDescent="0.35">
      <c r="A521" s="95">
        <f t="shared" si="157"/>
        <v>1</v>
      </c>
      <c r="B521" s="11"/>
      <c r="C521" s="11"/>
      <c r="D521" s="92" t="str">
        <f>IFERROR(
IF(AND(OR(Planilla!B521="C",Planilla!B521="c"), VLOOKUP(E521,EX:FJ,13,0)="C"), "OK",IF(AND(OR(Planilla!B521="C",Planilla!B521="c"), OR(VLOOKUP(E521,EX:FJ,13,0)="B", VLOOKUP(E521,EX:FJ,13,0)="A")), "DEFICIT",IF(
AND(OR(Planilla!B521="B", Planilla!B521="BPAL"), VLOOKUP(E521,EX:FJ,13,0)="B"), "OK",IF(AND(OR(Planilla!B521="B", Planilla!B521="BPAL"), VLOOKUP(E521,EX:FJ,13,0)="A"), "DEFICIT",IF(AND(OR(Planilla!B521="B", Planilla!B521="BPAL"), VLOOKUP(E521,EX:FJ,13,0)="C"), "SOBREOFERTA",IF(AND(Planilla!B521="A", VLOOKUP(E521,EX:FJ,13,0)="A"), "OK",IF(
AND(Planilla!B521="A", OR(VLOOKUP(E521,EX:FJ,13,0)="B", VLOOKUP(E521,EX:FJ,13,0)="C")), "SOBREOFERTA",""
))))))),"")</f>
        <v/>
      </c>
      <c r="E521" s="12"/>
      <c r="F521" s="13"/>
      <c r="G521" s="14"/>
      <c r="H521" s="81" t="str">
        <f t="shared" si="158"/>
        <v/>
      </c>
      <c r="I521" s="7"/>
      <c r="J521" s="6" t="e">
        <f t="shared" si="159"/>
        <v>#N/A</v>
      </c>
      <c r="K521" s="6" t="str">
        <f>IF(A522&lt;&gt;A521,AVERAGEIF(A$9:A521,A521,J$9:J521),"")</f>
        <v/>
      </c>
      <c r="L521" s="7" t="str">
        <f>IFERROR(IF(A522&lt;&gt;A521,AVERAGEIF(A$9:A521,A521,S$9:S521),""),"")</f>
        <v/>
      </c>
      <c r="M521" s="7" t="str">
        <f>IFERROR(IF(A522&lt;&gt;A521,AVERAGEIF(A$9:A521,A521,T$9:T521),""),"")</f>
        <v/>
      </c>
      <c r="N521" s="7" t="str" cm="1">
        <f t="array" ref="N521">IFERROR(IF(A522&lt;&gt;A521,_xlfn.STDEV.P(IF(A$9:A521=A521,T$9:T521)),""),"")</f>
        <v/>
      </c>
      <c r="O521" s="7" t="str" cm="1">
        <f t="array" ref="O521">IFERROR(IF(A522&lt;&gt;A521,_xlfn.STDEV.P(IF(A$9:A521=A521,S$9:S521)),""),"")</f>
        <v/>
      </c>
      <c r="P521" s="8" t="str">
        <f t="shared" si="160"/>
        <v/>
      </c>
      <c r="Q521" s="8" t="str">
        <f t="shared" si="161"/>
        <v/>
      </c>
      <c r="R521" s="8" t="str">
        <f t="shared" si="162"/>
        <v/>
      </c>
      <c r="S521" s="9" t="str">
        <f t="shared" si="163"/>
        <v/>
      </c>
      <c r="T521" s="9" t="str">
        <f t="shared" si="164"/>
        <v/>
      </c>
      <c r="U521" s="14"/>
      <c r="V521" s="15"/>
      <c r="W521" s="14" t="str">
        <f t="shared" si="165"/>
        <v/>
      </c>
      <c r="X521" s="15"/>
      <c r="Y521" s="2"/>
      <c r="AB521" s="22">
        <f t="shared" si="166"/>
        <v>1</v>
      </c>
      <c r="AC521" s="11"/>
      <c r="AD521" s="11"/>
      <c r="AE521" s="13"/>
      <c r="AF521" s="12"/>
      <c r="AG521" s="13"/>
      <c r="AH521" s="14"/>
      <c r="AI521" s="81" t="str">
        <f t="shared" si="167"/>
        <v/>
      </c>
      <c r="AJ521" s="15"/>
      <c r="AK521" s="6" t="e">
        <f t="shared" si="168"/>
        <v>#N/A</v>
      </c>
      <c r="AL521" s="6" t="str">
        <f>IF(AB522&lt;&gt;AB521,AVERAGEIF(AB$9:AB521,AB521,AK$9:AK521),"")</f>
        <v/>
      </c>
      <c r="AM521" s="7" t="str">
        <f>IFERROR(IF(AB522&lt;&gt;AB521,AVERAGEIF(AB$9:AB521,AB521,AT$9:AT521),""),"")</f>
        <v/>
      </c>
      <c r="AN521" s="7" t="str">
        <f>IFERROR(IF(AB522&lt;&gt;AB521,AVERAGEIF(AB$9:AB521,AB521,AU$9:AU521),""),"")</f>
        <v/>
      </c>
      <c r="AO521" s="7" t="str" cm="1">
        <f t="array" ref="AO521">IFERROR(IF(AB522&lt;&gt;AB521,_xlfn.STDEV.P(IF(AB$9:AB521=AB521,AU$9:AU521)),""),"")</f>
        <v/>
      </c>
      <c r="AP521" s="7" t="str" cm="1">
        <f t="array" ref="AP521">IFERROR(IF(AB522&lt;&gt;AB521,_xlfn.STDEV.P(IF(AB$9:AB521=AB521,AT$9:AT521)),""),"")</f>
        <v/>
      </c>
      <c r="AQ521" s="8" t="str">
        <f t="shared" si="169"/>
        <v/>
      </c>
      <c r="AR521" s="8" t="str">
        <f t="shared" si="170"/>
        <v/>
      </c>
      <c r="AS521" s="8" t="str">
        <f t="shared" si="171"/>
        <v/>
      </c>
      <c r="AT521" s="9" t="str">
        <f t="shared" si="172"/>
        <v/>
      </c>
      <c r="AU521" s="9" t="str">
        <f t="shared" si="173"/>
        <v/>
      </c>
      <c r="AV521" s="14"/>
      <c r="AW521" s="15"/>
      <c r="AX521" s="14" t="str">
        <f t="shared" si="174"/>
        <v/>
      </c>
      <c r="AY521" s="15"/>
      <c r="AZ521" s="23"/>
      <c r="EW521" t="s">
        <v>46</v>
      </c>
      <c r="EX521" s="33" t="s">
        <v>47</v>
      </c>
      <c r="EY521" s="35" t="s">
        <v>1390</v>
      </c>
      <c r="EZ521" s="36" t="s">
        <v>1391</v>
      </c>
      <c r="FA521" s="36" t="s">
        <v>1192</v>
      </c>
      <c r="FB521" s="36" t="s">
        <v>344</v>
      </c>
      <c r="FC521" s="36" t="s">
        <v>1192</v>
      </c>
      <c r="FD521" s="36" t="s">
        <v>344</v>
      </c>
      <c r="FE521" s="36">
        <v>2026</v>
      </c>
      <c r="FF521" s="36" t="s">
        <v>59</v>
      </c>
      <c r="FG521" s="36" t="s">
        <v>1241</v>
      </c>
      <c r="FJ521" t="s">
        <v>59</v>
      </c>
      <c r="FM521" s="32" t="s">
        <v>1392</v>
      </c>
      <c r="FN521" t="s">
        <v>1392</v>
      </c>
      <c r="FO521" t="s">
        <v>1393</v>
      </c>
      <c r="FP521" t="str">
        <f t="shared" si="175"/>
        <v>C</v>
      </c>
      <c r="FT521" s="69">
        <v>124</v>
      </c>
      <c r="FU521" s="61">
        <v>0</v>
      </c>
      <c r="FV521" s="61">
        <v>0</v>
      </c>
      <c r="FW521" s="61">
        <v>0</v>
      </c>
      <c r="FX521" s="61">
        <v>0</v>
      </c>
      <c r="FY521" s="61">
        <v>13.244999999999999</v>
      </c>
      <c r="FZ521" s="61">
        <v>26.185000000000002</v>
      </c>
      <c r="GA521" s="61">
        <v>24.414999999999999</v>
      </c>
      <c r="GB521" s="61">
        <v>23.16</v>
      </c>
      <c r="GC521" s="61">
        <v>21.939999999999998</v>
      </c>
      <c r="GD521" s="61">
        <v>20.87</v>
      </c>
      <c r="GE521" s="61">
        <v>19.565000000000001</v>
      </c>
      <c r="GF521" s="61">
        <v>18.784999999999997</v>
      </c>
      <c r="GG521" s="61">
        <v>18.315000000000001</v>
      </c>
      <c r="GH521" s="61">
        <v>18.015000000000001</v>
      </c>
      <c r="GI521" s="61">
        <v>18.329999999999998</v>
      </c>
      <c r="GJ521" s="61">
        <v>18.37</v>
      </c>
      <c r="GK521" s="61">
        <v>17.994999999999997</v>
      </c>
      <c r="GL521" s="61">
        <v>17.939999999999998</v>
      </c>
      <c r="GM521" s="61">
        <v>18.115000000000002</v>
      </c>
      <c r="GN521" s="61">
        <v>19.785</v>
      </c>
      <c r="GO521" s="61">
        <v>21.240000000000002</v>
      </c>
      <c r="GP521" s="61">
        <v>22.865000000000002</v>
      </c>
      <c r="GQ521" s="61">
        <v>25.060000000000002</v>
      </c>
      <c r="GR521" s="61">
        <v>28.004999999999999</v>
      </c>
      <c r="GU521" s="53">
        <v>66</v>
      </c>
      <c r="GV521" s="53">
        <v>515</v>
      </c>
    </row>
    <row r="522" spans="1:204" ht="15.5" x14ac:dyDescent="0.35">
      <c r="A522" s="95">
        <f t="shared" si="157"/>
        <v>1</v>
      </c>
      <c r="B522" s="11"/>
      <c r="C522" s="11"/>
      <c r="D522" s="92" t="str">
        <f>IFERROR(
IF(AND(OR(Planilla!B522="C",Planilla!B522="c"), VLOOKUP(E522,EX:FJ,13,0)="C"), "OK",IF(AND(OR(Planilla!B522="C",Planilla!B522="c"), OR(VLOOKUP(E522,EX:FJ,13,0)="B", VLOOKUP(E522,EX:FJ,13,0)="A")), "DEFICIT",IF(
AND(OR(Planilla!B522="B", Planilla!B522="BPAL"), VLOOKUP(E522,EX:FJ,13,0)="B"), "OK",IF(AND(OR(Planilla!B522="B", Planilla!B522="BPAL"), VLOOKUP(E522,EX:FJ,13,0)="A"), "DEFICIT",IF(AND(OR(Planilla!B522="B", Planilla!B522="BPAL"), VLOOKUP(E522,EX:FJ,13,0)="C"), "SOBREOFERTA",IF(AND(Planilla!B522="A", VLOOKUP(E522,EX:FJ,13,0)="A"), "OK",IF(
AND(Planilla!B522="A", OR(VLOOKUP(E522,EX:FJ,13,0)="B", VLOOKUP(E522,EX:FJ,13,0)="C")), "SOBREOFERTA",""
))))))),"")</f>
        <v/>
      </c>
      <c r="E522" s="12"/>
      <c r="F522" s="13"/>
      <c r="G522" s="14"/>
      <c r="H522" s="81" t="str">
        <f t="shared" si="158"/>
        <v/>
      </c>
      <c r="I522" s="7"/>
      <c r="J522" s="6" t="e">
        <f t="shared" si="159"/>
        <v>#N/A</v>
      </c>
      <c r="K522" s="6" t="str">
        <f>IF(A523&lt;&gt;A522,AVERAGEIF(A$9:A522,A522,J$9:J522),"")</f>
        <v/>
      </c>
      <c r="L522" s="7" t="str">
        <f>IFERROR(IF(A523&lt;&gt;A522,AVERAGEIF(A$9:A522,A522,S$9:S522),""),"")</f>
        <v/>
      </c>
      <c r="M522" s="7" t="str">
        <f>IFERROR(IF(A523&lt;&gt;A522,AVERAGEIF(A$9:A522,A522,T$9:T522),""),"")</f>
        <v/>
      </c>
      <c r="N522" s="7" t="str" cm="1">
        <f t="array" ref="N522">IFERROR(IF(A523&lt;&gt;A522,_xlfn.STDEV.P(IF(A$9:A522=A522,T$9:T522)),""),"")</f>
        <v/>
      </c>
      <c r="O522" s="7" t="str" cm="1">
        <f t="array" ref="O522">IFERROR(IF(A523&lt;&gt;A522,_xlfn.STDEV.P(IF(A$9:A522=A522,S$9:S522)),""),"")</f>
        <v/>
      </c>
      <c r="P522" s="8" t="str">
        <f t="shared" si="160"/>
        <v/>
      </c>
      <c r="Q522" s="8" t="str">
        <f t="shared" si="161"/>
        <v/>
      </c>
      <c r="R522" s="8" t="str">
        <f t="shared" si="162"/>
        <v/>
      </c>
      <c r="S522" s="9" t="str">
        <f t="shared" si="163"/>
        <v/>
      </c>
      <c r="T522" s="9" t="str">
        <f t="shared" si="164"/>
        <v/>
      </c>
      <c r="U522" s="14"/>
      <c r="V522" s="15"/>
      <c r="W522" s="14" t="str">
        <f t="shared" si="165"/>
        <v/>
      </c>
      <c r="X522" s="15"/>
      <c r="Y522" s="2"/>
      <c r="AB522" s="22">
        <f t="shared" si="166"/>
        <v>1</v>
      </c>
      <c r="AC522" s="11"/>
      <c r="AD522" s="11"/>
      <c r="AE522" s="13"/>
      <c r="AF522" s="12"/>
      <c r="AG522" s="13"/>
      <c r="AH522" s="14"/>
      <c r="AI522" s="81" t="str">
        <f t="shared" si="167"/>
        <v/>
      </c>
      <c r="AJ522" s="15"/>
      <c r="AK522" s="6" t="e">
        <f t="shared" si="168"/>
        <v>#N/A</v>
      </c>
      <c r="AL522" s="6" t="str">
        <f>IF(AB523&lt;&gt;AB522,AVERAGEIF(AB$9:AB522,AB522,AK$9:AK522),"")</f>
        <v/>
      </c>
      <c r="AM522" s="7" t="str">
        <f>IFERROR(IF(AB523&lt;&gt;AB522,AVERAGEIF(AB$9:AB522,AB522,AT$9:AT522),""),"")</f>
        <v/>
      </c>
      <c r="AN522" s="7" t="str">
        <f>IFERROR(IF(AB523&lt;&gt;AB522,AVERAGEIF(AB$9:AB522,AB522,AU$9:AU522),""),"")</f>
        <v/>
      </c>
      <c r="AO522" s="7" t="str" cm="1">
        <f t="array" ref="AO522">IFERROR(IF(AB523&lt;&gt;AB522,_xlfn.STDEV.P(IF(AB$9:AB522=AB522,AU$9:AU522)),""),"")</f>
        <v/>
      </c>
      <c r="AP522" s="7" t="str" cm="1">
        <f t="array" ref="AP522">IFERROR(IF(AB523&lt;&gt;AB522,_xlfn.STDEV.P(IF(AB$9:AB522=AB522,AT$9:AT522)),""),"")</f>
        <v/>
      </c>
      <c r="AQ522" s="8" t="str">
        <f t="shared" si="169"/>
        <v/>
      </c>
      <c r="AR522" s="8" t="str">
        <f t="shared" si="170"/>
        <v/>
      </c>
      <c r="AS522" s="8" t="str">
        <f t="shared" si="171"/>
        <v/>
      </c>
      <c r="AT522" s="9" t="str">
        <f t="shared" si="172"/>
        <v/>
      </c>
      <c r="AU522" s="9" t="str">
        <f t="shared" si="173"/>
        <v/>
      </c>
      <c r="AV522" s="14"/>
      <c r="AW522" s="15"/>
      <c r="AX522" s="14" t="str">
        <f t="shared" si="174"/>
        <v/>
      </c>
      <c r="AY522" s="15"/>
      <c r="AZ522" s="23"/>
      <c r="EW522" t="s">
        <v>46</v>
      </c>
      <c r="EX522" s="33" t="s">
        <v>47</v>
      </c>
      <c r="EY522" s="35" t="s">
        <v>1394</v>
      </c>
      <c r="EZ522" s="36" t="s">
        <v>1395</v>
      </c>
      <c r="FA522" s="36" t="s">
        <v>1192</v>
      </c>
      <c r="FB522" s="36" t="s">
        <v>344</v>
      </c>
      <c r="FC522" s="36" t="s">
        <v>1192</v>
      </c>
      <c r="FD522" s="36" t="s">
        <v>344</v>
      </c>
      <c r="FE522" s="36">
        <v>2026</v>
      </c>
      <c r="FF522" s="36" t="s">
        <v>59</v>
      </c>
      <c r="FG522" s="36" t="s">
        <v>1241</v>
      </c>
      <c r="FJ522" t="s">
        <v>59</v>
      </c>
      <c r="FM522" s="32" t="s">
        <v>1354</v>
      </c>
      <c r="FN522" t="s">
        <v>1354</v>
      </c>
      <c r="FO522" t="s">
        <v>1355</v>
      </c>
      <c r="FP522" t="str">
        <f t="shared" si="175"/>
        <v>C</v>
      </c>
      <c r="FT522" s="69">
        <v>712</v>
      </c>
      <c r="FU522" s="61">
        <v>30.11</v>
      </c>
      <c r="FV522" s="61">
        <v>31.494999999999997</v>
      </c>
      <c r="FW522" s="61">
        <v>32.64</v>
      </c>
      <c r="FX522" s="61">
        <v>33.340000000000003</v>
      </c>
      <c r="FY522" s="61">
        <v>31.585000000000001</v>
      </c>
      <c r="FZ522" s="61">
        <v>27.615000000000002</v>
      </c>
      <c r="GA522" s="61">
        <v>25.064999999999998</v>
      </c>
      <c r="GB522" s="61">
        <v>24.695</v>
      </c>
      <c r="GC522" s="61">
        <v>24.885000000000002</v>
      </c>
      <c r="GD522" s="61">
        <v>24.274999999999999</v>
      </c>
      <c r="GE522" s="61">
        <v>23.315000000000001</v>
      </c>
      <c r="GF522" s="61">
        <v>22.05</v>
      </c>
      <c r="GG522" s="61">
        <v>21.84</v>
      </c>
      <c r="GH522" s="61">
        <v>22.42</v>
      </c>
      <c r="GI522" s="61">
        <v>22.939999999999998</v>
      </c>
      <c r="GJ522" s="61">
        <v>22.27</v>
      </c>
      <c r="GK522" s="61">
        <v>22.015000000000001</v>
      </c>
      <c r="GL522" s="61">
        <v>21.414999999999999</v>
      </c>
      <c r="GM522" s="61">
        <v>22.545000000000002</v>
      </c>
      <c r="GN522" s="61">
        <v>24.29</v>
      </c>
      <c r="GO522" s="61">
        <v>25.729999999999997</v>
      </c>
      <c r="GP522" s="61">
        <v>27.505000000000003</v>
      </c>
      <c r="GQ522" s="61">
        <v>30.11</v>
      </c>
      <c r="GR522" s="61">
        <v>31.615000000000002</v>
      </c>
      <c r="GU522" s="53">
        <v>67</v>
      </c>
      <c r="GV522" s="53">
        <v>516</v>
      </c>
    </row>
    <row r="523" spans="1:204" ht="15.5" x14ac:dyDescent="0.35">
      <c r="A523" s="95">
        <f t="shared" si="157"/>
        <v>1</v>
      </c>
      <c r="B523" s="11"/>
      <c r="C523" s="11"/>
      <c r="D523" s="92" t="str">
        <f>IFERROR(
IF(AND(OR(Planilla!B523="C",Planilla!B523="c"), VLOOKUP(E523,EX:FJ,13,0)="C"), "OK",IF(AND(OR(Planilla!B523="C",Planilla!B523="c"), OR(VLOOKUP(E523,EX:FJ,13,0)="B", VLOOKUP(E523,EX:FJ,13,0)="A")), "DEFICIT",IF(
AND(OR(Planilla!B523="B", Planilla!B523="BPAL"), VLOOKUP(E523,EX:FJ,13,0)="B"), "OK",IF(AND(OR(Planilla!B523="B", Planilla!B523="BPAL"), VLOOKUP(E523,EX:FJ,13,0)="A"), "DEFICIT",IF(AND(OR(Planilla!B523="B", Planilla!B523="BPAL"), VLOOKUP(E523,EX:FJ,13,0)="C"), "SOBREOFERTA",IF(AND(Planilla!B523="A", VLOOKUP(E523,EX:FJ,13,0)="A"), "OK",IF(
AND(Planilla!B523="A", OR(VLOOKUP(E523,EX:FJ,13,0)="B", VLOOKUP(E523,EX:FJ,13,0)="C")), "SOBREOFERTA",""
))))))),"")</f>
        <v/>
      </c>
      <c r="E523" s="12"/>
      <c r="F523" s="13"/>
      <c r="G523" s="14"/>
      <c r="H523" s="81" t="str">
        <f t="shared" si="158"/>
        <v/>
      </c>
      <c r="I523" s="7"/>
      <c r="J523" s="6" t="e">
        <f t="shared" si="159"/>
        <v>#N/A</v>
      </c>
      <c r="K523" s="6" t="str">
        <f>IF(A524&lt;&gt;A523,AVERAGEIF(A$9:A523,A523,J$9:J523),"")</f>
        <v/>
      </c>
      <c r="L523" s="7" t="str">
        <f>IFERROR(IF(A524&lt;&gt;A523,AVERAGEIF(A$9:A523,A523,S$9:S523),""),"")</f>
        <v/>
      </c>
      <c r="M523" s="7" t="str">
        <f>IFERROR(IF(A524&lt;&gt;A523,AVERAGEIF(A$9:A523,A523,T$9:T523),""),"")</f>
        <v/>
      </c>
      <c r="N523" s="7" t="str" cm="1">
        <f t="array" ref="N523">IFERROR(IF(A524&lt;&gt;A523,_xlfn.STDEV.P(IF(A$9:A523=A523,T$9:T523)),""),"")</f>
        <v/>
      </c>
      <c r="O523" s="7" t="str" cm="1">
        <f t="array" ref="O523">IFERROR(IF(A524&lt;&gt;A523,_xlfn.STDEV.P(IF(A$9:A523=A523,S$9:S523)),""),"")</f>
        <v/>
      </c>
      <c r="P523" s="8" t="str">
        <f t="shared" si="160"/>
        <v/>
      </c>
      <c r="Q523" s="8" t="str">
        <f t="shared" si="161"/>
        <v/>
      </c>
      <c r="R523" s="8" t="str">
        <f t="shared" si="162"/>
        <v/>
      </c>
      <c r="S523" s="9" t="str">
        <f t="shared" si="163"/>
        <v/>
      </c>
      <c r="T523" s="9" t="str">
        <f t="shared" si="164"/>
        <v/>
      </c>
      <c r="U523" s="14"/>
      <c r="V523" s="15"/>
      <c r="W523" s="14" t="str">
        <f t="shared" si="165"/>
        <v/>
      </c>
      <c r="X523" s="15"/>
      <c r="Y523" s="2"/>
      <c r="AB523" s="22">
        <f t="shared" si="166"/>
        <v>1</v>
      </c>
      <c r="AC523" s="11"/>
      <c r="AD523" s="11"/>
      <c r="AE523" s="13"/>
      <c r="AF523" s="12"/>
      <c r="AG523" s="13"/>
      <c r="AH523" s="14"/>
      <c r="AI523" s="81" t="str">
        <f t="shared" si="167"/>
        <v/>
      </c>
      <c r="AJ523" s="15"/>
      <c r="AK523" s="6" t="e">
        <f t="shared" si="168"/>
        <v>#N/A</v>
      </c>
      <c r="AL523" s="6" t="str">
        <f>IF(AB524&lt;&gt;AB523,AVERAGEIF(AB$9:AB523,AB523,AK$9:AK523),"")</f>
        <v/>
      </c>
      <c r="AM523" s="7" t="str">
        <f>IFERROR(IF(AB524&lt;&gt;AB523,AVERAGEIF(AB$9:AB523,AB523,AT$9:AT523),""),"")</f>
        <v/>
      </c>
      <c r="AN523" s="7" t="str">
        <f>IFERROR(IF(AB524&lt;&gt;AB523,AVERAGEIF(AB$9:AB523,AB523,AU$9:AU523),""),"")</f>
        <v/>
      </c>
      <c r="AO523" s="7" t="str" cm="1">
        <f t="array" ref="AO523">IFERROR(IF(AB524&lt;&gt;AB523,_xlfn.STDEV.P(IF(AB$9:AB523=AB523,AU$9:AU523)),""),"")</f>
        <v/>
      </c>
      <c r="AP523" s="7" t="str" cm="1">
        <f t="array" ref="AP523">IFERROR(IF(AB524&lt;&gt;AB523,_xlfn.STDEV.P(IF(AB$9:AB523=AB523,AT$9:AT523)),""),"")</f>
        <v/>
      </c>
      <c r="AQ523" s="8" t="str">
        <f t="shared" si="169"/>
        <v/>
      </c>
      <c r="AR523" s="8" t="str">
        <f t="shared" si="170"/>
        <v/>
      </c>
      <c r="AS523" s="8" t="str">
        <f t="shared" si="171"/>
        <v/>
      </c>
      <c r="AT523" s="9" t="str">
        <f t="shared" si="172"/>
        <v/>
      </c>
      <c r="AU523" s="9" t="str">
        <f t="shared" si="173"/>
        <v/>
      </c>
      <c r="AV523" s="14"/>
      <c r="AW523" s="15"/>
      <c r="AX523" s="14" t="str">
        <f t="shared" si="174"/>
        <v/>
      </c>
      <c r="AY523" s="15"/>
      <c r="AZ523" s="23"/>
      <c r="EW523" t="s">
        <v>46</v>
      </c>
      <c r="EX523" s="33" t="s">
        <v>47</v>
      </c>
      <c r="EY523" s="35" t="s">
        <v>1396</v>
      </c>
      <c r="EZ523" s="36" t="s">
        <v>1397</v>
      </c>
      <c r="FA523" s="36" t="s">
        <v>1192</v>
      </c>
      <c r="FB523" s="36" t="s">
        <v>344</v>
      </c>
      <c r="FC523" s="36" t="s">
        <v>1192</v>
      </c>
      <c r="FD523" s="36" t="s">
        <v>344</v>
      </c>
      <c r="FE523" s="36">
        <v>2026</v>
      </c>
      <c r="FF523" s="36" t="s">
        <v>59</v>
      </c>
      <c r="FG523" s="36" t="s">
        <v>1241</v>
      </c>
      <c r="FJ523" t="s">
        <v>59</v>
      </c>
      <c r="FM523" s="32" t="s">
        <v>1350</v>
      </c>
      <c r="FN523" t="s">
        <v>1350</v>
      </c>
      <c r="FO523" t="s">
        <v>1351</v>
      </c>
      <c r="FP523" t="str">
        <f t="shared" si="175"/>
        <v>C</v>
      </c>
      <c r="FT523" s="69">
        <v>712</v>
      </c>
      <c r="FU523" s="61">
        <v>28.450000000000003</v>
      </c>
      <c r="FV523" s="61">
        <v>29.72</v>
      </c>
      <c r="FW523" s="61">
        <v>30.605</v>
      </c>
      <c r="FX523" s="61">
        <v>31.524999999999999</v>
      </c>
      <c r="FY523" s="61">
        <v>32.120000000000005</v>
      </c>
      <c r="FZ523" s="61">
        <v>30.815000000000001</v>
      </c>
      <c r="GA523" s="61">
        <v>28.1</v>
      </c>
      <c r="GB523" s="61">
        <v>26.69</v>
      </c>
      <c r="GC523" s="61">
        <v>25.1</v>
      </c>
      <c r="GD523" s="61">
        <v>23.89</v>
      </c>
      <c r="GE523" s="61">
        <v>22.844999999999999</v>
      </c>
      <c r="GF523" s="61">
        <v>22.41</v>
      </c>
      <c r="GG523" s="61">
        <v>22.545000000000002</v>
      </c>
      <c r="GH523" s="61">
        <v>22.36</v>
      </c>
      <c r="GI523" s="61">
        <v>22.68</v>
      </c>
      <c r="GJ523" s="61">
        <v>22.52</v>
      </c>
      <c r="GK523" s="61">
        <v>21.835000000000001</v>
      </c>
      <c r="GL523" s="61">
        <v>21.755000000000003</v>
      </c>
      <c r="GM523" s="61">
        <v>22.27</v>
      </c>
      <c r="GN523" s="61">
        <v>22.619999999999997</v>
      </c>
      <c r="GO523" s="61">
        <v>23.869999999999997</v>
      </c>
      <c r="GP523" s="61">
        <v>26.215</v>
      </c>
      <c r="GQ523" s="61">
        <v>28.08</v>
      </c>
      <c r="GR523" s="61">
        <v>29.009999999999998</v>
      </c>
      <c r="GU523" s="53">
        <v>68</v>
      </c>
      <c r="GV523" s="53">
        <v>517</v>
      </c>
    </row>
    <row r="524" spans="1:204" ht="15.5" x14ac:dyDescent="0.35">
      <c r="A524" s="95">
        <f t="shared" si="157"/>
        <v>1</v>
      </c>
      <c r="B524" s="11"/>
      <c r="C524" s="11"/>
      <c r="D524" s="92" t="str">
        <f>IFERROR(
IF(AND(OR(Planilla!B524="C",Planilla!B524="c"), VLOOKUP(E524,EX:FJ,13,0)="C"), "OK",IF(AND(OR(Planilla!B524="C",Planilla!B524="c"), OR(VLOOKUP(E524,EX:FJ,13,0)="B", VLOOKUP(E524,EX:FJ,13,0)="A")), "DEFICIT",IF(
AND(OR(Planilla!B524="B", Planilla!B524="BPAL"), VLOOKUP(E524,EX:FJ,13,0)="B"), "OK",IF(AND(OR(Planilla!B524="B", Planilla!B524="BPAL"), VLOOKUP(E524,EX:FJ,13,0)="A"), "DEFICIT",IF(AND(OR(Planilla!B524="B", Planilla!B524="BPAL"), VLOOKUP(E524,EX:FJ,13,0)="C"), "SOBREOFERTA",IF(AND(Planilla!B524="A", VLOOKUP(E524,EX:FJ,13,0)="A"), "OK",IF(
AND(Planilla!B524="A", OR(VLOOKUP(E524,EX:FJ,13,0)="B", VLOOKUP(E524,EX:FJ,13,0)="C")), "SOBREOFERTA",""
))))))),"")</f>
        <v/>
      </c>
      <c r="E524" s="12"/>
      <c r="F524" s="13"/>
      <c r="G524" s="14"/>
      <c r="H524" s="81" t="str">
        <f t="shared" si="158"/>
        <v/>
      </c>
      <c r="I524" s="7"/>
      <c r="J524" s="6" t="e">
        <f t="shared" si="159"/>
        <v>#N/A</v>
      </c>
      <c r="K524" s="6" t="str">
        <f>IF(A525&lt;&gt;A524,AVERAGEIF(A$9:A524,A524,J$9:J524),"")</f>
        <v/>
      </c>
      <c r="L524" s="7" t="str">
        <f>IFERROR(IF(A525&lt;&gt;A524,AVERAGEIF(A$9:A524,A524,S$9:S524),""),"")</f>
        <v/>
      </c>
      <c r="M524" s="7" t="str">
        <f>IFERROR(IF(A525&lt;&gt;A524,AVERAGEIF(A$9:A524,A524,T$9:T524),""),"")</f>
        <v/>
      </c>
      <c r="N524" s="7" t="str" cm="1">
        <f t="array" ref="N524">IFERROR(IF(A525&lt;&gt;A524,_xlfn.STDEV.P(IF(A$9:A524=A524,T$9:T524)),""),"")</f>
        <v/>
      </c>
      <c r="O524" s="7" t="str" cm="1">
        <f t="array" ref="O524">IFERROR(IF(A525&lt;&gt;A524,_xlfn.STDEV.P(IF(A$9:A524=A524,S$9:S524)),""),"")</f>
        <v/>
      </c>
      <c r="P524" s="8" t="str">
        <f t="shared" si="160"/>
        <v/>
      </c>
      <c r="Q524" s="8" t="str">
        <f t="shared" si="161"/>
        <v/>
      </c>
      <c r="R524" s="8" t="str">
        <f t="shared" si="162"/>
        <v/>
      </c>
      <c r="S524" s="9" t="str">
        <f t="shared" si="163"/>
        <v/>
      </c>
      <c r="T524" s="9" t="str">
        <f t="shared" si="164"/>
        <v/>
      </c>
      <c r="U524" s="14"/>
      <c r="V524" s="15"/>
      <c r="W524" s="14" t="str">
        <f t="shared" si="165"/>
        <v/>
      </c>
      <c r="X524" s="15"/>
      <c r="Y524" s="2"/>
      <c r="AB524" s="22">
        <f t="shared" si="166"/>
        <v>1</v>
      </c>
      <c r="AC524" s="11"/>
      <c r="AD524" s="11"/>
      <c r="AE524" s="13"/>
      <c r="AF524" s="12"/>
      <c r="AG524" s="13"/>
      <c r="AH524" s="14"/>
      <c r="AI524" s="81" t="str">
        <f t="shared" si="167"/>
        <v/>
      </c>
      <c r="AJ524" s="15"/>
      <c r="AK524" s="6" t="e">
        <f t="shared" si="168"/>
        <v>#N/A</v>
      </c>
      <c r="AL524" s="6" t="str">
        <f>IF(AB525&lt;&gt;AB524,AVERAGEIF(AB$9:AB524,AB524,AK$9:AK524),"")</f>
        <v/>
      </c>
      <c r="AM524" s="7" t="str">
        <f>IFERROR(IF(AB525&lt;&gt;AB524,AVERAGEIF(AB$9:AB524,AB524,AT$9:AT524),""),"")</f>
        <v/>
      </c>
      <c r="AN524" s="7" t="str">
        <f>IFERROR(IF(AB525&lt;&gt;AB524,AVERAGEIF(AB$9:AB524,AB524,AU$9:AU524),""),"")</f>
        <v/>
      </c>
      <c r="AO524" s="7" t="str" cm="1">
        <f t="array" ref="AO524">IFERROR(IF(AB525&lt;&gt;AB524,_xlfn.STDEV.P(IF(AB$9:AB524=AB524,AU$9:AU524)),""),"")</f>
        <v/>
      </c>
      <c r="AP524" s="7" t="str" cm="1">
        <f t="array" ref="AP524">IFERROR(IF(AB525&lt;&gt;AB524,_xlfn.STDEV.P(IF(AB$9:AB524=AB524,AT$9:AT524)),""),"")</f>
        <v/>
      </c>
      <c r="AQ524" s="8" t="str">
        <f t="shared" si="169"/>
        <v/>
      </c>
      <c r="AR524" s="8" t="str">
        <f t="shared" si="170"/>
        <v/>
      </c>
      <c r="AS524" s="8" t="str">
        <f t="shared" si="171"/>
        <v/>
      </c>
      <c r="AT524" s="9" t="str">
        <f t="shared" si="172"/>
        <v/>
      </c>
      <c r="AU524" s="9" t="str">
        <f t="shared" si="173"/>
        <v/>
      </c>
      <c r="AV524" s="14"/>
      <c r="AW524" s="15"/>
      <c r="AX524" s="14" t="str">
        <f t="shared" si="174"/>
        <v/>
      </c>
      <c r="AY524" s="15"/>
      <c r="AZ524" s="23"/>
      <c r="EW524" t="s">
        <v>46</v>
      </c>
      <c r="EX524" s="33" t="s">
        <v>47</v>
      </c>
      <c r="EY524" s="35" t="s">
        <v>1398</v>
      </c>
      <c r="EZ524" s="36" t="s">
        <v>1399</v>
      </c>
      <c r="FA524" s="36" t="s">
        <v>1192</v>
      </c>
      <c r="FB524" s="36" t="s">
        <v>344</v>
      </c>
      <c r="FC524" s="36" t="s">
        <v>1192</v>
      </c>
      <c r="FD524" s="36" t="s">
        <v>344</v>
      </c>
      <c r="FE524" s="36">
        <v>2026</v>
      </c>
      <c r="FF524" s="36" t="s">
        <v>59</v>
      </c>
      <c r="FG524" s="36" t="s">
        <v>1241</v>
      </c>
      <c r="FJ524" t="s">
        <v>59</v>
      </c>
      <c r="FM524" s="32" t="s">
        <v>1362</v>
      </c>
      <c r="FN524" t="s">
        <v>1362</v>
      </c>
      <c r="FO524" t="s">
        <v>1363</v>
      </c>
      <c r="FP524" t="str">
        <f t="shared" si="175"/>
        <v>C</v>
      </c>
      <c r="GU524" s="53">
        <v>69</v>
      </c>
      <c r="GV524" s="53">
        <v>518</v>
      </c>
    </row>
    <row r="525" spans="1:204" ht="15.5" x14ac:dyDescent="0.35">
      <c r="A525" s="95">
        <f t="shared" si="157"/>
        <v>1</v>
      </c>
      <c r="B525" s="11"/>
      <c r="C525" s="11"/>
      <c r="D525" s="92" t="str">
        <f>IFERROR(
IF(AND(OR(Planilla!B525="C",Planilla!B525="c"), VLOOKUP(E525,EX:FJ,13,0)="C"), "OK",IF(AND(OR(Planilla!B525="C",Planilla!B525="c"), OR(VLOOKUP(E525,EX:FJ,13,0)="B", VLOOKUP(E525,EX:FJ,13,0)="A")), "DEFICIT",IF(
AND(OR(Planilla!B525="B", Planilla!B525="BPAL"), VLOOKUP(E525,EX:FJ,13,0)="B"), "OK",IF(AND(OR(Planilla!B525="B", Planilla!B525="BPAL"), VLOOKUP(E525,EX:FJ,13,0)="A"), "DEFICIT",IF(AND(OR(Planilla!B525="B", Planilla!B525="BPAL"), VLOOKUP(E525,EX:FJ,13,0)="C"), "SOBREOFERTA",IF(AND(Planilla!B525="A", VLOOKUP(E525,EX:FJ,13,0)="A"), "OK",IF(
AND(Planilla!B525="A", OR(VLOOKUP(E525,EX:FJ,13,0)="B", VLOOKUP(E525,EX:FJ,13,0)="C")), "SOBREOFERTA",""
))))))),"")</f>
        <v/>
      </c>
      <c r="E525" s="12"/>
      <c r="F525" s="13"/>
      <c r="G525" s="14"/>
      <c r="H525" s="81" t="str">
        <f t="shared" si="158"/>
        <v/>
      </c>
      <c r="I525" s="7"/>
      <c r="J525" s="6" t="e">
        <f t="shared" si="159"/>
        <v>#N/A</v>
      </c>
      <c r="K525" s="6" t="str">
        <f>IF(A526&lt;&gt;A525,AVERAGEIF(A$9:A525,A525,J$9:J525),"")</f>
        <v/>
      </c>
      <c r="L525" s="7" t="str">
        <f>IFERROR(IF(A526&lt;&gt;A525,AVERAGEIF(A$9:A525,A525,S$9:S525),""),"")</f>
        <v/>
      </c>
      <c r="M525" s="7" t="str">
        <f>IFERROR(IF(A526&lt;&gt;A525,AVERAGEIF(A$9:A525,A525,T$9:T525),""),"")</f>
        <v/>
      </c>
      <c r="N525" s="7" t="str" cm="1">
        <f t="array" ref="N525">IFERROR(IF(A526&lt;&gt;A525,_xlfn.STDEV.P(IF(A$9:A525=A525,T$9:T525)),""),"")</f>
        <v/>
      </c>
      <c r="O525" s="7" t="str" cm="1">
        <f t="array" ref="O525">IFERROR(IF(A526&lt;&gt;A525,_xlfn.STDEV.P(IF(A$9:A525=A525,S$9:S525)),""),"")</f>
        <v/>
      </c>
      <c r="P525" s="8" t="str">
        <f t="shared" si="160"/>
        <v/>
      </c>
      <c r="Q525" s="8" t="str">
        <f t="shared" si="161"/>
        <v/>
      </c>
      <c r="R525" s="8" t="str">
        <f t="shared" si="162"/>
        <v/>
      </c>
      <c r="S525" s="9" t="str">
        <f t="shared" si="163"/>
        <v/>
      </c>
      <c r="T525" s="9" t="str">
        <f t="shared" si="164"/>
        <v/>
      </c>
      <c r="U525" s="14"/>
      <c r="V525" s="15"/>
      <c r="W525" s="14" t="str">
        <f t="shared" si="165"/>
        <v/>
      </c>
      <c r="X525" s="15"/>
      <c r="Y525" s="2"/>
      <c r="AB525" s="22">
        <f t="shared" si="166"/>
        <v>1</v>
      </c>
      <c r="AC525" s="11"/>
      <c r="AD525" s="11"/>
      <c r="AE525" s="13"/>
      <c r="AF525" s="12"/>
      <c r="AG525" s="13"/>
      <c r="AH525" s="14"/>
      <c r="AI525" s="81" t="str">
        <f t="shared" si="167"/>
        <v/>
      </c>
      <c r="AJ525" s="15"/>
      <c r="AK525" s="6" t="e">
        <f t="shared" si="168"/>
        <v>#N/A</v>
      </c>
      <c r="AL525" s="6" t="str">
        <f>IF(AB526&lt;&gt;AB525,AVERAGEIF(AB$9:AB525,AB525,AK$9:AK525),"")</f>
        <v/>
      </c>
      <c r="AM525" s="7" t="str">
        <f>IFERROR(IF(AB526&lt;&gt;AB525,AVERAGEIF(AB$9:AB525,AB525,AT$9:AT525),""),"")</f>
        <v/>
      </c>
      <c r="AN525" s="7" t="str">
        <f>IFERROR(IF(AB526&lt;&gt;AB525,AVERAGEIF(AB$9:AB525,AB525,AU$9:AU525),""),"")</f>
        <v/>
      </c>
      <c r="AO525" s="7" t="str" cm="1">
        <f t="array" ref="AO525">IFERROR(IF(AB526&lt;&gt;AB525,_xlfn.STDEV.P(IF(AB$9:AB525=AB525,AU$9:AU525)),""),"")</f>
        <v/>
      </c>
      <c r="AP525" s="7" t="str" cm="1">
        <f t="array" ref="AP525">IFERROR(IF(AB526&lt;&gt;AB525,_xlfn.STDEV.P(IF(AB$9:AB525=AB525,AT$9:AT525)),""),"")</f>
        <v/>
      </c>
      <c r="AQ525" s="8" t="str">
        <f t="shared" si="169"/>
        <v/>
      </c>
      <c r="AR525" s="8" t="str">
        <f t="shared" si="170"/>
        <v/>
      </c>
      <c r="AS525" s="8" t="str">
        <f t="shared" si="171"/>
        <v/>
      </c>
      <c r="AT525" s="9" t="str">
        <f t="shared" si="172"/>
        <v/>
      </c>
      <c r="AU525" s="9" t="str">
        <f t="shared" si="173"/>
        <v/>
      </c>
      <c r="AV525" s="14"/>
      <c r="AW525" s="15"/>
      <c r="AX525" s="14" t="str">
        <f t="shared" si="174"/>
        <v/>
      </c>
      <c r="AY525" s="15"/>
      <c r="AZ525" s="23"/>
      <c r="EW525" t="s">
        <v>46</v>
      </c>
      <c r="EX525" s="33" t="s">
        <v>47</v>
      </c>
      <c r="EY525" s="35" t="s">
        <v>1400</v>
      </c>
      <c r="EZ525" s="36" t="s">
        <v>1401</v>
      </c>
      <c r="FA525" s="36" t="s">
        <v>1192</v>
      </c>
      <c r="FB525" s="36" t="s">
        <v>344</v>
      </c>
      <c r="FC525" s="36" t="s">
        <v>1192</v>
      </c>
      <c r="FD525" s="36" t="s">
        <v>344</v>
      </c>
      <c r="FE525" s="36">
        <v>2026</v>
      </c>
      <c r="FF525" s="36" t="s">
        <v>59</v>
      </c>
      <c r="FG525" s="36" t="s">
        <v>1241</v>
      </c>
      <c r="FJ525" t="s">
        <v>59</v>
      </c>
      <c r="FM525" s="32" t="s">
        <v>1358</v>
      </c>
      <c r="FN525" t="s">
        <v>1358</v>
      </c>
      <c r="FO525" t="s">
        <v>1359</v>
      </c>
      <c r="FP525" t="str">
        <f t="shared" si="175"/>
        <v>C</v>
      </c>
      <c r="GU525" s="53">
        <v>70</v>
      </c>
      <c r="GV525" s="53">
        <v>519</v>
      </c>
    </row>
    <row r="526" spans="1:204" ht="15.5" x14ac:dyDescent="0.35">
      <c r="A526" s="95">
        <f t="shared" ref="A526:A547" si="176">HOUR(G526)+1</f>
        <v>1</v>
      </c>
      <c r="B526" s="11"/>
      <c r="C526" s="11"/>
      <c r="D526" s="92" t="str">
        <f>IFERROR(
IF(AND(OR(Planilla!B526="C",Planilla!B526="c"), VLOOKUP(E526,EX:FJ,13,0)="C"), "OK",IF(AND(OR(Planilla!B526="C",Planilla!B526="c"), OR(VLOOKUP(E526,EX:FJ,13,0)="B", VLOOKUP(E526,EX:FJ,13,0)="A")), "DEFICIT",IF(
AND(OR(Planilla!B526="B", Planilla!B526="BPAL"), VLOOKUP(E526,EX:FJ,13,0)="B"), "OK",IF(AND(OR(Planilla!B526="B", Planilla!B526="BPAL"), VLOOKUP(E526,EX:FJ,13,0)="A"), "DEFICIT",IF(AND(OR(Planilla!B526="B", Planilla!B526="BPAL"), VLOOKUP(E526,EX:FJ,13,0)="C"), "SOBREOFERTA",IF(AND(Planilla!B526="A", VLOOKUP(E526,EX:FJ,13,0)="A"), "OK",IF(
AND(Planilla!B526="A", OR(VLOOKUP(E526,EX:FJ,13,0)="B", VLOOKUP(E526,EX:FJ,13,0)="C")), "SOBREOFERTA",""
))))))),"")</f>
        <v/>
      </c>
      <c r="E526" s="12"/>
      <c r="F526" s="13"/>
      <c r="G526" s="14"/>
      <c r="H526" s="81" t="str">
        <f t="shared" ref="H526:H547" si="177">IF(I526="","",IF(AND((I526-G526)&gt;=TIME(0,0,0),(I526-G526)&lt;TIME(0,3,0)),"OK",IF(AND((I526-G526)&gt;=TIME(0,3,0),(I526-G526)&lt;TIME(0,5,0)),"RETRASO DE 3-5 MIN",IF(AND((I526-G526)&gt;=TIME(0,5,0),(I526-G526)&lt;TIME(0,10,0)),"RETRASO DE 5-10 MIN",IF((I526-G526)&gt;=TIME(0,10,0),"RETRASO &gt;10 MIN",         IF(AND((G526-I526)&gt;=TIME(0,0,0),(G526-I526)&lt;TIME(0,3,0)),"OK",IF((G526-I526)&gt;=TIME(0,3,0),"ADELANTADO")))))))</f>
        <v/>
      </c>
      <c r="I526" s="7"/>
      <c r="J526" s="6" t="e">
        <f t="shared" ref="J526:J575" si="178">IF(A526&lt;&gt;"",HLOOKUP(VALUE(TEXT(G526,"h:mm:ss")),IF($C$6="Laboral",$FT$4:$GR$227,IF($C$6="Sábado",$FT$231:$GR$452,$FT$456:$GR$656)),VLOOKUP($C$4,$GZ$2:$HB$99,3,0)+IF(C$5="Ida",0,1),1),"")</f>
        <v>#N/A</v>
      </c>
      <c r="K526" s="6" t="str">
        <f>IF(A527&lt;&gt;A526,AVERAGEIF(A$9:A526,A526,J$9:J526),"")</f>
        <v/>
      </c>
      <c r="L526" s="7" t="str">
        <f>IFERROR(IF(A527&lt;&gt;A526,AVERAGEIF(A$9:A526,A526,S$9:S526),""),"")</f>
        <v/>
      </c>
      <c r="M526" s="7" t="str">
        <f>IFERROR(IF(A527&lt;&gt;A526,AVERAGEIF(A$9:A526,A526,T$9:T526),""),"")</f>
        <v/>
      </c>
      <c r="N526" s="7" t="str" cm="1">
        <f t="array" ref="N526">IFERROR(IF(A527&lt;&gt;A526,_xlfn.STDEV.P(IF(A$9:A526=A526,T$9:T526)),""),"")</f>
        <v/>
      </c>
      <c r="O526" s="7" t="str" cm="1">
        <f t="array" ref="O526">IFERROR(IF(A527&lt;&gt;A526,_xlfn.STDEV.P(IF(A$9:A526=A526,S$9:S526)),""),"")</f>
        <v/>
      </c>
      <c r="P526" s="8" t="str">
        <f t="shared" ref="P526:P575" si="179">IFERROR(IF(A526&lt;&gt;A527,MAX((((M526*24*60)/2)*(1+POWER((((N526*24*60) / (M526*24*60) )),2))) + ((M526*24*60 )*-0.1 + (K526*0.015)) +1,(((M526*24*60)/2)*(1+POWER((((N526*24*60) / (M526*24*60 ))),2)))),""),"")</f>
        <v/>
      </c>
      <c r="Q526" s="8" t="str">
        <f t="shared" ref="Q526:Q575" si="180">IF(AND(O526&lt;&gt;"",L526&lt;&gt;""),IF(A526&lt;&gt;A527,((L526*24*60) / 2 ) * (1 + POWER(((O526*24*60) / (L526*24*60)),2)),""),"")</f>
        <v/>
      </c>
      <c r="R526" s="8" t="str">
        <f t="shared" ref="R526:R575" si="181">IF(Q526&lt;&gt;"",MAX(P526,Q526),"")</f>
        <v/>
      </c>
      <c r="S526" s="9" t="str">
        <f t="shared" ref="S526:S575" si="182">IF(I526&lt;&gt;"H. Sale Real",IF(AND(I527&lt;&gt;"",LEFT(C527,2)&lt;&gt;"NC"),IF(AND(I526&lt;&gt;"",LEFT(C526,2)&lt;&gt;"NC",I526&lt;&gt;"H. Sale Real"),IF(I527-I526&lt;0.208333333333333,I527-I526,""),IF(AND(I525&lt;&gt;"",LEFT(C525,2)&lt;&gt;"NC",I525&lt;&gt;"H. Sale Real"),IF(I527-I525&lt;0.208333333333333,I527-I525,""),IF(AND(I524&lt;&gt;"",LEFT(C524,2)&lt;&gt;"NC",I524&lt;&gt;"H. Sale Real"),IF(I527-I524&lt;0.208333333333333,I527-I524,""),IF(AND(I523&lt;&gt;"",LEFT(C523,2)&lt;&gt;"NC",I523&lt;&gt;"H. Sale Real"),IF(I527-I523&lt;0.208333333333333,I527-I523,""),IF(AND(I522&lt;&gt;"",LEFT(C522,2)&lt;&gt;"NC",I522&lt;&gt;"H. Sale Real"),IF(I527-I522&lt;0.208333333333333,I527-I522,""),""))))),""),"")</f>
        <v/>
      </c>
      <c r="T526" s="9" t="str">
        <f t="shared" ref="T526:T575" si="183">IF(G526&lt;&gt;"H. Sale Real",IF(AND(G527&lt;&gt;"",LEFT(C527,2)&lt;&gt;"NC"),IF(AND(G526&lt;&gt;"",LEFT(C526,2)&lt;&gt;"NC",G526&lt;&gt;"H. Sale Real"),IF(G527-G526&lt;0.208333333333333,G527-G526,""),IF(AND(G525&lt;&gt;"",LEFT(C525,2)&lt;&gt;"NC",G525&lt;&gt;"H. Sale Real"),IF(G527-G525&lt;0.208333333333333,G527-G525,""),IF(AND(G524&lt;&gt;"",LEFT(C524,2)&lt;&gt;"NC",G524&lt;&gt;"H. Sale Real"),IF(G527-G524&lt;0.208333333333333,G527-G524,""),IF(AND(G523&lt;&gt;"",LEFT(C523,2)&lt;&gt;"NC",G523&lt;&gt;"H. Sale Real"),IF(G527-G523&lt;0.208333333333333,G527-G523,""),IF(AND(G522&lt;&gt;"",LEFT(C522,2)&lt;&gt;"NC",G522&lt;&gt;"H. Sale Real"),IF(G527-G522&lt;0.208333333333333,G527-G522,""),""))))),""),"")</f>
        <v/>
      </c>
      <c r="U526" s="14"/>
      <c r="V526" s="15"/>
      <c r="W526" s="14" t="str">
        <f t="shared" ref="W526:W575" si="184">IF(G526&lt;&gt;"",IF(AND(W525&lt;&gt;"IE",P526&lt;&gt;0,R526&lt;&gt;""),IF(IFERROR((P526/R526),0) &lt;=1,IFERROR(P526/R526,""),1),""),"")</f>
        <v/>
      </c>
      <c r="X526" s="15"/>
      <c r="Y526" s="2"/>
      <c r="AB526" s="22">
        <f t="shared" ref="AB526:AB547" si="185">HOUR(AH526)+1</f>
        <v>1</v>
      </c>
      <c r="AC526" s="11"/>
      <c r="AD526" s="11"/>
      <c r="AE526" s="13"/>
      <c r="AF526" s="12"/>
      <c r="AG526" s="13"/>
      <c r="AH526" s="14"/>
      <c r="AI526" s="81" t="str">
        <f t="shared" ref="AI526:AI552" si="186">IF(AJ526="","",IF(AND((AJ526-AH526)&gt;=TIME(0,0,0),(AJ526-AH526)&lt;TIME(0,3,0)),"OK",IF(AND((AJ526-AH526)&gt;=TIME(0,3,0),(AJ526-AH526)&lt;TIME(0,5,0)),"RETRASO DE 3-5 MIN",IF(AND((AJ526-AH526)&gt;=TIME(0,5,0),(AJ526-AH526)&lt;TIME(0,10,0)),"RETRASO DE 5-10 MIN",IF((AJ526-AH526)&gt;=TIME(0,10,0),"RETRASO &gt;10 MIN",         IF(AND((AH526-AJ526)&gt;=TIME(0,0,0),(AH526-AJ526)&lt;TIME(0,3,0)),"OK",IF((AH526-AJ526)&gt;=TIME(0,3,0),"ADELANTADO")))))))</f>
        <v/>
      </c>
      <c r="AJ526" s="15"/>
      <c r="AK526" s="6" t="e">
        <f t="shared" ref="AK526:AK547" si="187">IF(AB526&lt;&gt;"",HLOOKUP(VALUE(TEXT(AH526,"h:mm:ss")),IF($C$6="Laboral",$FT$4:$GR$227,IF($C$6="Sábado",$FT$231:$GR$452,$FT$456:$GR$656)),VLOOKUP($C$4,$GZ$2:$HB$99,3,0)+IF(AD$5="Ida",0,1),1),"")</f>
        <v>#N/A</v>
      </c>
      <c r="AL526" s="6" t="str">
        <f>IF(AB527&lt;&gt;AB526,AVERAGEIF(AB$9:AB526,AB526,AK$9:AK526),"")</f>
        <v/>
      </c>
      <c r="AM526" s="7" t="str">
        <f>IFERROR(IF(AB527&lt;&gt;AB526,AVERAGEIF(AB$9:AB526,AB526,AT$9:AT526),""),"")</f>
        <v/>
      </c>
      <c r="AN526" s="7" t="str">
        <f>IFERROR(IF(AB527&lt;&gt;AB526,AVERAGEIF(AB$9:AB526,AB526,AU$9:AU526),""),"")</f>
        <v/>
      </c>
      <c r="AO526" s="7" t="str" cm="1">
        <f t="array" ref="AO526">IFERROR(IF(AB527&lt;&gt;AB526,_xlfn.STDEV.P(IF(AB$9:AB526=AB526,AU$9:AU526)),""),"")</f>
        <v/>
      </c>
      <c r="AP526" s="7" t="str" cm="1">
        <f t="array" ref="AP526">IFERROR(IF(AB527&lt;&gt;AB526,_xlfn.STDEV.P(IF(AB$9:AB526=AB526,AT$9:AT526)),""),"")</f>
        <v/>
      </c>
      <c r="AQ526" s="8" t="str">
        <f t="shared" ref="AQ526:AQ552" si="188">IFERROR(IF(AB526&lt;&gt;AB527,MAX((((AN526*24*60)/2)*(1+POWER((((AO526*24*60) / (AN526*24*60) )),2))) + ((AN526*24*60 )*-0.1 + (AL526*0.015)) +1,(((AN526*24*60)/2)*(1+POWER((((AO526*24*60) / (AN526*24*60 ))),2)))),""),"")</f>
        <v/>
      </c>
      <c r="AR526" s="8" t="str">
        <f t="shared" ref="AR526:AR552" si="189">IF(AND(AP526&lt;&gt;"",AM526&lt;&gt;""),IF(AB526&lt;&gt;AB527,((AM526*24*60) / 2 ) * (1 + POWER(((AP526*24*60) / (AM526*24*60)),2)),""),"")</f>
        <v/>
      </c>
      <c r="AS526" s="8" t="str">
        <f t="shared" ref="AS526:AS552" si="190">IF(AR526&lt;&gt;"",MAX(AQ526,AR526),"")</f>
        <v/>
      </c>
      <c r="AT526" s="9" t="str">
        <f t="shared" ref="AT526:AT552" si="191">IF(AJ526&lt;&gt;"H. Sale Real",IF(AND(AJ527&lt;&gt;"",LEFT(AD527,2)&lt;&gt;"NC"),IF(AND(AJ526&lt;&gt;"",LEFT(AD526,2)&lt;&gt;"NC",AJ526&lt;&gt;"H. Sale Real"),IF(AJ527-AJ526&lt;0.208333333333333,AJ527-AJ526,""),IF(AND(AJ525&lt;&gt;"",LEFT(AD525,2)&lt;&gt;"NC",AJ525&lt;&gt;"H. Sale Real"),IF(AJ527-AJ525&lt;0.208333333333333,AJ527-AJ525,""),IF(AND(AJ524&lt;&gt;"",LEFT(AD524,2)&lt;&gt;"NC",AJ524&lt;&gt;"H. Sale Real"),IF(AJ527-AJ524&lt;0.208333333333333,AJ527-AJ524,""),IF(AND(AJ523&lt;&gt;"",LEFT(AD523,2)&lt;&gt;"NC",AJ523&lt;&gt;"H. Sale Real"),IF(AJ527-AJ523&lt;0.208333333333333,AJ527-AJ523,""),IF(AND(AJ522&lt;&gt;"",LEFT(AD522,2)&lt;&gt;"NC",AJ522&lt;&gt;"H. Sale Real"),IF(AJ527-AJ522&lt;0.208333333333333,AJ527-AJ522,""),""))))),""),"")</f>
        <v/>
      </c>
      <c r="AU526" s="9" t="str">
        <f t="shared" ref="AU526:AU552" si="192">IF(AH526&lt;&gt;"H. Sale Real",IF(AND(AH527&lt;&gt;"",LEFT(AD527,2)&lt;&gt;"NC"),IF(AND(AH526&lt;&gt;"",LEFT(AD526,2)&lt;&gt;"NC",AH526&lt;&gt;"H. Sale Real"),IF(AH527-AH526&lt;0.208333333333333,AH527-AH526,""),IF(AND(AH525&lt;&gt;"",LEFT(AD525,2)&lt;&gt;"NC",AH525&lt;&gt;"H. Sale Real"),IF(AH527-AH525&lt;0.208333333333333,AH527-AH525,""),IF(AND(AH524&lt;&gt;"",LEFT(AD524,2)&lt;&gt;"NC",AH524&lt;&gt;"H. Sale Real"),IF(AH527-AH524&lt;0.208333333333333,AH527-AH524,""),IF(AND(AH523&lt;&gt;"",LEFT(AD523,2)&lt;&gt;"NC",AH523&lt;&gt;"H. Sale Real"),IF(AH527-AH523&lt;0.208333333333333,AH527-AH523,""),IF(AND(AH522&lt;&gt;"",LEFT(AD522,2)&lt;&gt;"NC",AH522&lt;&gt;"H. Sale Real"),IF(AH527-AH522&lt;0.208333333333333,AH527-AH522,""),""))))),""),"")</f>
        <v/>
      </c>
      <c r="AV526" s="14"/>
      <c r="AW526" s="15"/>
      <c r="AX526" s="14" t="str">
        <f t="shared" ref="AX526:AX547" si="193">IF(AH526&lt;&gt;"",IF(AND(AX525&lt;&gt;"IE",AQ526&lt;&gt;0,AS526&lt;&gt;""),IF(IFERROR((AQ526/AS526),0) &lt;=1,IFERROR(AQ526/AS526,""),1),""),"")</f>
        <v/>
      </c>
      <c r="AY526" s="15"/>
      <c r="AZ526" s="23"/>
      <c r="EW526" t="s">
        <v>46</v>
      </c>
      <c r="EX526" s="33" t="s">
        <v>47</v>
      </c>
      <c r="EY526" s="35" t="s">
        <v>1402</v>
      </c>
      <c r="EZ526" s="36" t="s">
        <v>1403</v>
      </c>
      <c r="FA526" s="36" t="s">
        <v>1192</v>
      </c>
      <c r="FB526" s="36" t="s">
        <v>344</v>
      </c>
      <c r="FC526" s="36" t="s">
        <v>1192</v>
      </c>
      <c r="FD526" s="36" t="s">
        <v>344</v>
      </c>
      <c r="FE526" s="36">
        <v>2026</v>
      </c>
      <c r="FF526" s="36" t="s">
        <v>59</v>
      </c>
      <c r="FG526" s="36" t="s">
        <v>1241</v>
      </c>
      <c r="FJ526" t="s">
        <v>59</v>
      </c>
      <c r="FM526" s="32" t="s">
        <v>1404</v>
      </c>
      <c r="FN526" t="s">
        <v>1404</v>
      </c>
      <c r="FO526" t="s">
        <v>1405</v>
      </c>
      <c r="FP526" t="str">
        <f t="shared" si="175"/>
        <v>C</v>
      </c>
      <c r="GU526" s="53">
        <v>71</v>
      </c>
      <c r="GV526" s="53">
        <v>520</v>
      </c>
    </row>
    <row r="527" spans="1:204" ht="15.5" x14ac:dyDescent="0.35">
      <c r="A527" s="95">
        <f t="shared" si="176"/>
        <v>1</v>
      </c>
      <c r="B527" s="11"/>
      <c r="C527" s="11"/>
      <c r="D527" s="92" t="str">
        <f>IFERROR(
IF(AND(OR(Planilla!B527="C",Planilla!B527="c"), VLOOKUP(E527,EX:FJ,13,0)="C"), "OK",IF(AND(OR(Planilla!B527="C",Planilla!B527="c"), OR(VLOOKUP(E527,EX:FJ,13,0)="B", VLOOKUP(E527,EX:FJ,13,0)="A")), "DEFICIT",IF(
AND(OR(Planilla!B527="B", Planilla!B527="BPAL"), VLOOKUP(E527,EX:FJ,13,0)="B"), "OK",IF(AND(OR(Planilla!B527="B", Planilla!B527="BPAL"), VLOOKUP(E527,EX:FJ,13,0)="A"), "DEFICIT",IF(AND(OR(Planilla!B527="B", Planilla!B527="BPAL"), VLOOKUP(E527,EX:FJ,13,0)="C"), "SOBREOFERTA",IF(AND(Planilla!B527="A", VLOOKUP(E527,EX:FJ,13,0)="A"), "OK",IF(
AND(Planilla!B527="A", OR(VLOOKUP(E527,EX:FJ,13,0)="B", VLOOKUP(E527,EX:FJ,13,0)="C")), "SOBREOFERTA",""
))))))),"")</f>
        <v/>
      </c>
      <c r="E527" s="12"/>
      <c r="F527" s="13"/>
      <c r="G527" s="14"/>
      <c r="H527" s="81" t="str">
        <f t="shared" si="177"/>
        <v/>
      </c>
      <c r="I527" s="7"/>
      <c r="J527" s="6" t="e">
        <f t="shared" si="178"/>
        <v>#N/A</v>
      </c>
      <c r="K527" s="6" t="str">
        <f>IF(A528&lt;&gt;A527,AVERAGEIF(A$9:A527,A527,J$9:J527),"")</f>
        <v/>
      </c>
      <c r="L527" s="7" t="str">
        <f>IFERROR(IF(A528&lt;&gt;A527,AVERAGEIF(A$9:A527,A527,S$9:S527),""),"")</f>
        <v/>
      </c>
      <c r="M527" s="7" t="str">
        <f>IFERROR(IF(A528&lt;&gt;A527,AVERAGEIF(A$9:A527,A527,T$9:T527),""),"")</f>
        <v/>
      </c>
      <c r="N527" s="7" t="str" cm="1">
        <f t="array" ref="N527">IFERROR(IF(A528&lt;&gt;A527,_xlfn.STDEV.P(IF(A$9:A527=A527,T$9:T527)),""),"")</f>
        <v/>
      </c>
      <c r="O527" s="7" t="str" cm="1">
        <f t="array" ref="O527">IFERROR(IF(A528&lt;&gt;A527,_xlfn.STDEV.P(IF(A$9:A527=A527,S$9:S527)),""),"")</f>
        <v/>
      </c>
      <c r="P527" s="8" t="str">
        <f t="shared" si="179"/>
        <v/>
      </c>
      <c r="Q527" s="8" t="str">
        <f t="shared" si="180"/>
        <v/>
      </c>
      <c r="R527" s="8" t="str">
        <f t="shared" si="181"/>
        <v/>
      </c>
      <c r="S527" s="9" t="str">
        <f t="shared" si="182"/>
        <v/>
      </c>
      <c r="T527" s="9" t="str">
        <f t="shared" si="183"/>
        <v/>
      </c>
      <c r="U527" s="14"/>
      <c r="V527" s="15"/>
      <c r="W527" s="14" t="str">
        <f t="shared" si="184"/>
        <v/>
      </c>
      <c r="X527" s="15"/>
      <c r="Y527" s="2"/>
      <c r="AB527" s="22">
        <f t="shared" si="185"/>
        <v>1</v>
      </c>
      <c r="AC527" s="11"/>
      <c r="AD527" s="11"/>
      <c r="AE527" s="13"/>
      <c r="AF527" s="12"/>
      <c r="AG527" s="13"/>
      <c r="AH527" s="14"/>
      <c r="AI527" s="81" t="str">
        <f t="shared" si="186"/>
        <v/>
      </c>
      <c r="AJ527" s="15"/>
      <c r="AK527" s="6" t="e">
        <f t="shared" si="187"/>
        <v>#N/A</v>
      </c>
      <c r="AL527" s="6" t="str">
        <f>IF(AB528&lt;&gt;AB527,AVERAGEIF(AB$9:AB527,AB527,AK$9:AK527),"")</f>
        <v/>
      </c>
      <c r="AM527" s="7" t="str">
        <f>IFERROR(IF(AB528&lt;&gt;AB527,AVERAGEIF(AB$9:AB527,AB527,AT$9:AT527),""),"")</f>
        <v/>
      </c>
      <c r="AN527" s="7" t="str">
        <f>IFERROR(IF(AB528&lt;&gt;AB527,AVERAGEIF(AB$9:AB527,AB527,AU$9:AU527),""),"")</f>
        <v/>
      </c>
      <c r="AO527" s="7" t="str" cm="1">
        <f t="array" ref="AO527">IFERROR(IF(AB528&lt;&gt;AB527,_xlfn.STDEV.P(IF(AB$9:AB527=AB527,AU$9:AU527)),""),"")</f>
        <v/>
      </c>
      <c r="AP527" s="7" t="str" cm="1">
        <f t="array" ref="AP527">IFERROR(IF(AB528&lt;&gt;AB527,_xlfn.STDEV.P(IF(AB$9:AB527=AB527,AT$9:AT527)),""),"")</f>
        <v/>
      </c>
      <c r="AQ527" s="8" t="str">
        <f t="shared" si="188"/>
        <v/>
      </c>
      <c r="AR527" s="8" t="str">
        <f t="shared" si="189"/>
        <v/>
      </c>
      <c r="AS527" s="8" t="str">
        <f t="shared" si="190"/>
        <v/>
      </c>
      <c r="AT527" s="9" t="str">
        <f t="shared" si="191"/>
        <v/>
      </c>
      <c r="AU527" s="9" t="str">
        <f t="shared" si="192"/>
        <v/>
      </c>
      <c r="AV527" s="14"/>
      <c r="AW527" s="15"/>
      <c r="AX527" s="14" t="str">
        <f t="shared" si="193"/>
        <v/>
      </c>
      <c r="AY527" s="15"/>
      <c r="AZ527" s="23"/>
      <c r="EW527" t="s">
        <v>46</v>
      </c>
      <c r="EX527" s="33" t="s">
        <v>47</v>
      </c>
      <c r="EY527" s="35" t="s">
        <v>1406</v>
      </c>
      <c r="EZ527" s="36" t="s">
        <v>1407</v>
      </c>
      <c r="FA527" s="36" t="s">
        <v>1192</v>
      </c>
      <c r="FB527" s="36" t="s">
        <v>344</v>
      </c>
      <c r="FC527" s="36" t="s">
        <v>1192</v>
      </c>
      <c r="FD527" s="36" t="s">
        <v>344</v>
      </c>
      <c r="FE527" s="36">
        <v>2026</v>
      </c>
      <c r="FF527" s="36" t="s">
        <v>59</v>
      </c>
      <c r="FG527" s="36" t="s">
        <v>1241</v>
      </c>
      <c r="FJ527" t="s">
        <v>59</v>
      </c>
      <c r="FM527" s="32" t="s">
        <v>1408</v>
      </c>
      <c r="FN527" t="s">
        <v>1408</v>
      </c>
      <c r="FO527" t="s">
        <v>1409</v>
      </c>
      <c r="FP527" t="str">
        <f t="shared" si="175"/>
        <v>C</v>
      </c>
      <c r="GU527" s="53">
        <v>72</v>
      </c>
      <c r="GV527" s="53">
        <v>521</v>
      </c>
    </row>
    <row r="528" spans="1:204" ht="15.5" x14ac:dyDescent="0.35">
      <c r="A528" s="95">
        <f t="shared" si="176"/>
        <v>1</v>
      </c>
      <c r="B528" s="11"/>
      <c r="C528" s="11"/>
      <c r="D528" s="92" t="str">
        <f>IFERROR(
IF(AND(OR(Planilla!B528="C",Planilla!B528="c"), VLOOKUP(E528,EX:FJ,13,0)="C"), "OK",IF(AND(OR(Planilla!B528="C",Planilla!B528="c"), OR(VLOOKUP(E528,EX:FJ,13,0)="B", VLOOKUP(E528,EX:FJ,13,0)="A")), "DEFICIT",IF(
AND(OR(Planilla!B528="B", Planilla!B528="BPAL"), VLOOKUP(E528,EX:FJ,13,0)="B"), "OK",IF(AND(OR(Planilla!B528="B", Planilla!B528="BPAL"), VLOOKUP(E528,EX:FJ,13,0)="A"), "DEFICIT",IF(AND(OR(Planilla!B528="B", Planilla!B528="BPAL"), VLOOKUP(E528,EX:FJ,13,0)="C"), "SOBREOFERTA",IF(AND(Planilla!B528="A", VLOOKUP(E528,EX:FJ,13,0)="A"), "OK",IF(
AND(Planilla!B528="A", OR(VLOOKUP(E528,EX:FJ,13,0)="B", VLOOKUP(E528,EX:FJ,13,0)="C")), "SOBREOFERTA",""
))))))),"")</f>
        <v/>
      </c>
      <c r="E528" s="12"/>
      <c r="F528" s="13"/>
      <c r="G528" s="14"/>
      <c r="H528" s="81" t="str">
        <f t="shared" si="177"/>
        <v/>
      </c>
      <c r="I528" s="7"/>
      <c r="J528" s="6" t="e">
        <f t="shared" si="178"/>
        <v>#N/A</v>
      </c>
      <c r="K528" s="6" t="str">
        <f>IF(A529&lt;&gt;A528,AVERAGEIF(A$9:A528,A528,J$9:J528),"")</f>
        <v/>
      </c>
      <c r="L528" s="7" t="str">
        <f>IFERROR(IF(A529&lt;&gt;A528,AVERAGEIF(A$9:A528,A528,S$9:S528),""),"")</f>
        <v/>
      </c>
      <c r="M528" s="7" t="str">
        <f>IFERROR(IF(A529&lt;&gt;A528,AVERAGEIF(A$9:A528,A528,T$9:T528),""),"")</f>
        <v/>
      </c>
      <c r="N528" s="7" t="str" cm="1">
        <f t="array" ref="N528">IFERROR(IF(A529&lt;&gt;A528,_xlfn.STDEV.P(IF(A$9:A528=A528,T$9:T528)),""),"")</f>
        <v/>
      </c>
      <c r="O528" s="7" t="str" cm="1">
        <f t="array" ref="O528">IFERROR(IF(A529&lt;&gt;A528,_xlfn.STDEV.P(IF(A$9:A528=A528,S$9:S528)),""),"")</f>
        <v/>
      </c>
      <c r="P528" s="8" t="str">
        <f t="shared" si="179"/>
        <v/>
      </c>
      <c r="Q528" s="8" t="str">
        <f t="shared" si="180"/>
        <v/>
      </c>
      <c r="R528" s="8" t="str">
        <f t="shared" si="181"/>
        <v/>
      </c>
      <c r="S528" s="9" t="str">
        <f t="shared" si="182"/>
        <v/>
      </c>
      <c r="T528" s="9" t="str">
        <f t="shared" si="183"/>
        <v/>
      </c>
      <c r="U528" s="14"/>
      <c r="V528" s="15"/>
      <c r="W528" s="14" t="str">
        <f t="shared" si="184"/>
        <v/>
      </c>
      <c r="X528" s="15"/>
      <c r="Y528" s="2"/>
      <c r="AB528" s="22">
        <f t="shared" si="185"/>
        <v>1</v>
      </c>
      <c r="AC528" s="11"/>
      <c r="AD528" s="11"/>
      <c r="AE528" s="13"/>
      <c r="AF528" s="12"/>
      <c r="AG528" s="13"/>
      <c r="AH528" s="14"/>
      <c r="AI528" s="81" t="str">
        <f t="shared" si="186"/>
        <v/>
      </c>
      <c r="AJ528" s="15"/>
      <c r="AK528" s="6" t="e">
        <f t="shared" si="187"/>
        <v>#N/A</v>
      </c>
      <c r="AL528" s="6" t="str">
        <f>IF(AB529&lt;&gt;AB528,AVERAGEIF(AB$9:AB528,AB528,AK$9:AK528),"")</f>
        <v/>
      </c>
      <c r="AM528" s="7" t="str">
        <f>IFERROR(IF(AB529&lt;&gt;AB528,AVERAGEIF(AB$9:AB528,AB528,AT$9:AT528),""),"")</f>
        <v/>
      </c>
      <c r="AN528" s="7" t="str">
        <f>IFERROR(IF(AB529&lt;&gt;AB528,AVERAGEIF(AB$9:AB528,AB528,AU$9:AU528),""),"")</f>
        <v/>
      </c>
      <c r="AO528" s="7" t="str" cm="1">
        <f t="array" ref="AO528">IFERROR(IF(AB529&lt;&gt;AB528,_xlfn.STDEV.P(IF(AB$9:AB528=AB528,AU$9:AU528)),""),"")</f>
        <v/>
      </c>
      <c r="AP528" s="7" t="str" cm="1">
        <f t="array" ref="AP528">IFERROR(IF(AB529&lt;&gt;AB528,_xlfn.STDEV.P(IF(AB$9:AB528=AB528,AT$9:AT528)),""),"")</f>
        <v/>
      </c>
      <c r="AQ528" s="8" t="str">
        <f t="shared" si="188"/>
        <v/>
      </c>
      <c r="AR528" s="8" t="str">
        <f t="shared" si="189"/>
        <v/>
      </c>
      <c r="AS528" s="8" t="str">
        <f t="shared" si="190"/>
        <v/>
      </c>
      <c r="AT528" s="9" t="str">
        <f t="shared" si="191"/>
        <v/>
      </c>
      <c r="AU528" s="9" t="str">
        <f t="shared" si="192"/>
        <v/>
      </c>
      <c r="AV528" s="14"/>
      <c r="AW528" s="15"/>
      <c r="AX528" s="14" t="str">
        <f t="shared" si="193"/>
        <v/>
      </c>
      <c r="AY528" s="15"/>
      <c r="AZ528" s="23"/>
      <c r="EW528" t="s">
        <v>46</v>
      </c>
      <c r="EX528" s="33" t="s">
        <v>47</v>
      </c>
      <c r="EY528" s="35" t="s">
        <v>1410</v>
      </c>
      <c r="EZ528" s="36" t="s">
        <v>1411</v>
      </c>
      <c r="FA528" s="36" t="s">
        <v>1192</v>
      </c>
      <c r="FB528" s="36" t="s">
        <v>344</v>
      </c>
      <c r="FC528" s="36" t="s">
        <v>1192</v>
      </c>
      <c r="FD528" s="36" t="s">
        <v>344</v>
      </c>
      <c r="FE528" s="36">
        <v>2026</v>
      </c>
      <c r="FF528" s="36" t="s">
        <v>59</v>
      </c>
      <c r="FG528" s="36" t="s">
        <v>1241</v>
      </c>
      <c r="FJ528" t="s">
        <v>59</v>
      </c>
      <c r="FM528" s="32" t="s">
        <v>1370</v>
      </c>
      <c r="FN528" t="s">
        <v>1370</v>
      </c>
      <c r="FO528" t="s">
        <v>1371</v>
      </c>
      <c r="FP528" t="str">
        <f t="shared" si="175"/>
        <v>C</v>
      </c>
      <c r="GU528" s="53">
        <v>73</v>
      </c>
      <c r="GV528" s="53">
        <v>522</v>
      </c>
    </row>
    <row r="529" spans="1:204" ht="15.5" x14ac:dyDescent="0.35">
      <c r="A529" s="95">
        <f t="shared" si="176"/>
        <v>1</v>
      </c>
      <c r="B529" s="11"/>
      <c r="C529" s="11"/>
      <c r="D529" s="92" t="str">
        <f>IFERROR(
IF(AND(OR(Planilla!B529="C",Planilla!B529="c"), VLOOKUP(E529,EX:FJ,13,0)="C"), "OK",IF(AND(OR(Planilla!B529="C",Planilla!B529="c"), OR(VLOOKUP(E529,EX:FJ,13,0)="B", VLOOKUP(E529,EX:FJ,13,0)="A")), "DEFICIT",IF(
AND(OR(Planilla!B529="B", Planilla!B529="BPAL"), VLOOKUP(E529,EX:FJ,13,0)="B"), "OK",IF(AND(OR(Planilla!B529="B", Planilla!B529="BPAL"), VLOOKUP(E529,EX:FJ,13,0)="A"), "DEFICIT",IF(AND(OR(Planilla!B529="B", Planilla!B529="BPAL"), VLOOKUP(E529,EX:FJ,13,0)="C"), "SOBREOFERTA",IF(AND(Planilla!B529="A", VLOOKUP(E529,EX:FJ,13,0)="A"), "OK",IF(
AND(Planilla!B529="A", OR(VLOOKUP(E529,EX:FJ,13,0)="B", VLOOKUP(E529,EX:FJ,13,0)="C")), "SOBREOFERTA",""
))))))),"")</f>
        <v/>
      </c>
      <c r="E529" s="12"/>
      <c r="F529" s="13"/>
      <c r="G529" s="14"/>
      <c r="H529" s="81" t="str">
        <f t="shared" si="177"/>
        <v/>
      </c>
      <c r="I529" s="7"/>
      <c r="J529" s="6" t="e">
        <f t="shared" si="178"/>
        <v>#N/A</v>
      </c>
      <c r="K529" s="6" t="str">
        <f>IF(A530&lt;&gt;A529,AVERAGEIF(A$9:A529,A529,J$9:J529),"")</f>
        <v/>
      </c>
      <c r="L529" s="7" t="str">
        <f>IFERROR(IF(A530&lt;&gt;A529,AVERAGEIF(A$9:A529,A529,S$9:S529),""),"")</f>
        <v/>
      </c>
      <c r="M529" s="7" t="str">
        <f>IFERROR(IF(A530&lt;&gt;A529,AVERAGEIF(A$9:A529,A529,T$9:T529),""),"")</f>
        <v/>
      </c>
      <c r="N529" s="7" t="str" cm="1">
        <f t="array" ref="N529">IFERROR(IF(A530&lt;&gt;A529,_xlfn.STDEV.P(IF(A$9:A529=A529,T$9:T529)),""),"")</f>
        <v/>
      </c>
      <c r="O529" s="7" t="str" cm="1">
        <f t="array" ref="O529">IFERROR(IF(A530&lt;&gt;A529,_xlfn.STDEV.P(IF(A$9:A529=A529,S$9:S529)),""),"")</f>
        <v/>
      </c>
      <c r="P529" s="8" t="str">
        <f t="shared" si="179"/>
        <v/>
      </c>
      <c r="Q529" s="8" t="str">
        <f t="shared" si="180"/>
        <v/>
      </c>
      <c r="R529" s="8" t="str">
        <f t="shared" si="181"/>
        <v/>
      </c>
      <c r="S529" s="9" t="str">
        <f t="shared" si="182"/>
        <v/>
      </c>
      <c r="T529" s="9" t="str">
        <f t="shared" si="183"/>
        <v/>
      </c>
      <c r="U529" s="14"/>
      <c r="V529" s="15"/>
      <c r="W529" s="14" t="str">
        <f t="shared" si="184"/>
        <v/>
      </c>
      <c r="X529" s="15"/>
      <c r="Y529" s="2"/>
      <c r="AB529" s="22">
        <f t="shared" si="185"/>
        <v>1</v>
      </c>
      <c r="AC529" s="11"/>
      <c r="AD529" s="11"/>
      <c r="AE529" s="13"/>
      <c r="AF529" s="12"/>
      <c r="AG529" s="13"/>
      <c r="AH529" s="14"/>
      <c r="AI529" s="81" t="str">
        <f t="shared" si="186"/>
        <v/>
      </c>
      <c r="AJ529" s="15"/>
      <c r="AK529" s="6" t="e">
        <f t="shared" si="187"/>
        <v>#N/A</v>
      </c>
      <c r="AL529" s="6" t="str">
        <f>IF(AB530&lt;&gt;AB529,AVERAGEIF(AB$9:AB529,AB529,AK$9:AK529),"")</f>
        <v/>
      </c>
      <c r="AM529" s="7" t="str">
        <f>IFERROR(IF(AB530&lt;&gt;AB529,AVERAGEIF(AB$9:AB529,AB529,AT$9:AT529),""),"")</f>
        <v/>
      </c>
      <c r="AN529" s="7" t="str">
        <f>IFERROR(IF(AB530&lt;&gt;AB529,AVERAGEIF(AB$9:AB529,AB529,AU$9:AU529),""),"")</f>
        <v/>
      </c>
      <c r="AO529" s="7" t="str" cm="1">
        <f t="array" ref="AO529">IFERROR(IF(AB530&lt;&gt;AB529,_xlfn.STDEV.P(IF(AB$9:AB529=AB529,AU$9:AU529)),""),"")</f>
        <v/>
      </c>
      <c r="AP529" s="7" t="str" cm="1">
        <f t="array" ref="AP529">IFERROR(IF(AB530&lt;&gt;AB529,_xlfn.STDEV.P(IF(AB$9:AB529=AB529,AT$9:AT529)),""),"")</f>
        <v/>
      </c>
      <c r="AQ529" s="8" t="str">
        <f t="shared" si="188"/>
        <v/>
      </c>
      <c r="AR529" s="8" t="str">
        <f t="shared" si="189"/>
        <v/>
      </c>
      <c r="AS529" s="8" t="str">
        <f t="shared" si="190"/>
        <v/>
      </c>
      <c r="AT529" s="9" t="str">
        <f t="shared" si="191"/>
        <v/>
      </c>
      <c r="AU529" s="9" t="str">
        <f t="shared" si="192"/>
        <v/>
      </c>
      <c r="AV529" s="14"/>
      <c r="AW529" s="15"/>
      <c r="AX529" s="14" t="str">
        <f t="shared" si="193"/>
        <v/>
      </c>
      <c r="AY529" s="15"/>
      <c r="AZ529" s="23"/>
      <c r="EW529" t="s">
        <v>46</v>
      </c>
      <c r="EX529" s="33" t="s">
        <v>47</v>
      </c>
      <c r="EY529" s="35" t="s">
        <v>1412</v>
      </c>
      <c r="EZ529" s="36" t="s">
        <v>1413</v>
      </c>
      <c r="FA529" s="36" t="s">
        <v>1192</v>
      </c>
      <c r="FB529" s="36" t="s">
        <v>344</v>
      </c>
      <c r="FC529" s="36" t="s">
        <v>1192</v>
      </c>
      <c r="FD529" s="36" t="s">
        <v>344</v>
      </c>
      <c r="FE529" s="36">
        <v>2026</v>
      </c>
      <c r="FF529" s="36" t="s">
        <v>59</v>
      </c>
      <c r="FG529" s="36" t="s">
        <v>1241</v>
      </c>
      <c r="FJ529" t="s">
        <v>59</v>
      </c>
      <c r="FM529" s="32" t="s">
        <v>1366</v>
      </c>
      <c r="FN529" t="s">
        <v>1366</v>
      </c>
      <c r="FO529" t="s">
        <v>1367</v>
      </c>
      <c r="FP529" t="str">
        <f t="shared" si="175"/>
        <v>C</v>
      </c>
      <c r="GU529" s="53">
        <v>74</v>
      </c>
      <c r="GV529" s="53">
        <v>523</v>
      </c>
    </row>
    <row r="530" spans="1:204" ht="15.5" x14ac:dyDescent="0.35">
      <c r="A530" s="95">
        <f t="shared" si="176"/>
        <v>1</v>
      </c>
      <c r="B530" s="11"/>
      <c r="C530" s="11"/>
      <c r="D530" s="92" t="str">
        <f>IFERROR(
IF(AND(OR(Planilla!B530="C",Planilla!B530="c"), VLOOKUP(E530,EX:FJ,13,0)="C"), "OK",IF(AND(OR(Planilla!B530="C",Planilla!B530="c"), OR(VLOOKUP(E530,EX:FJ,13,0)="B", VLOOKUP(E530,EX:FJ,13,0)="A")), "DEFICIT",IF(
AND(OR(Planilla!B530="B", Planilla!B530="BPAL"), VLOOKUP(E530,EX:FJ,13,0)="B"), "OK",IF(AND(OR(Planilla!B530="B", Planilla!B530="BPAL"), VLOOKUP(E530,EX:FJ,13,0)="A"), "DEFICIT",IF(AND(OR(Planilla!B530="B", Planilla!B530="BPAL"), VLOOKUP(E530,EX:FJ,13,0)="C"), "SOBREOFERTA",IF(AND(Planilla!B530="A", VLOOKUP(E530,EX:FJ,13,0)="A"), "OK",IF(
AND(Planilla!B530="A", OR(VLOOKUP(E530,EX:FJ,13,0)="B", VLOOKUP(E530,EX:FJ,13,0)="C")), "SOBREOFERTA",""
))))))),"")</f>
        <v/>
      </c>
      <c r="E530" s="12"/>
      <c r="F530" s="13"/>
      <c r="G530" s="14"/>
      <c r="H530" s="81" t="str">
        <f t="shared" si="177"/>
        <v/>
      </c>
      <c r="I530" s="7"/>
      <c r="J530" s="6" t="e">
        <f t="shared" si="178"/>
        <v>#N/A</v>
      </c>
      <c r="K530" s="6" t="str">
        <f>IF(A531&lt;&gt;A530,AVERAGEIF(A$9:A530,A530,J$9:J530),"")</f>
        <v/>
      </c>
      <c r="L530" s="7" t="str">
        <f>IFERROR(IF(A531&lt;&gt;A530,AVERAGEIF(A$9:A530,A530,S$9:S530),""),"")</f>
        <v/>
      </c>
      <c r="M530" s="7" t="str">
        <f>IFERROR(IF(A531&lt;&gt;A530,AVERAGEIF(A$9:A530,A530,T$9:T530),""),"")</f>
        <v/>
      </c>
      <c r="N530" s="7" t="str" cm="1">
        <f t="array" ref="N530">IFERROR(IF(A531&lt;&gt;A530,_xlfn.STDEV.P(IF(A$9:A530=A530,T$9:T530)),""),"")</f>
        <v/>
      </c>
      <c r="O530" s="7" t="str" cm="1">
        <f t="array" ref="O530">IFERROR(IF(A531&lt;&gt;A530,_xlfn.STDEV.P(IF(A$9:A530=A530,S$9:S530)),""),"")</f>
        <v/>
      </c>
      <c r="P530" s="8" t="str">
        <f t="shared" si="179"/>
        <v/>
      </c>
      <c r="Q530" s="8" t="str">
        <f t="shared" si="180"/>
        <v/>
      </c>
      <c r="R530" s="8" t="str">
        <f t="shared" si="181"/>
        <v/>
      </c>
      <c r="S530" s="9" t="str">
        <f t="shared" si="182"/>
        <v/>
      </c>
      <c r="T530" s="9" t="str">
        <f t="shared" si="183"/>
        <v/>
      </c>
      <c r="U530" s="14"/>
      <c r="V530" s="15"/>
      <c r="W530" s="14" t="str">
        <f t="shared" si="184"/>
        <v/>
      </c>
      <c r="X530" s="15"/>
      <c r="Y530" s="2"/>
      <c r="AB530" s="22">
        <f t="shared" si="185"/>
        <v>1</v>
      </c>
      <c r="AC530" s="11"/>
      <c r="AD530" s="11"/>
      <c r="AE530" s="13"/>
      <c r="AF530" s="12"/>
      <c r="AG530" s="13"/>
      <c r="AH530" s="14"/>
      <c r="AI530" s="81" t="str">
        <f t="shared" si="186"/>
        <v/>
      </c>
      <c r="AJ530" s="15"/>
      <c r="AK530" s="6" t="e">
        <f t="shared" si="187"/>
        <v>#N/A</v>
      </c>
      <c r="AL530" s="6" t="str">
        <f>IF(AB531&lt;&gt;AB530,AVERAGEIF(AB$9:AB530,AB530,AK$9:AK530),"")</f>
        <v/>
      </c>
      <c r="AM530" s="7" t="str">
        <f>IFERROR(IF(AB531&lt;&gt;AB530,AVERAGEIF(AB$9:AB530,AB530,AT$9:AT530),""),"")</f>
        <v/>
      </c>
      <c r="AN530" s="7" t="str">
        <f>IFERROR(IF(AB531&lt;&gt;AB530,AVERAGEIF(AB$9:AB530,AB530,AU$9:AU530),""),"")</f>
        <v/>
      </c>
      <c r="AO530" s="7" t="str" cm="1">
        <f t="array" ref="AO530">IFERROR(IF(AB531&lt;&gt;AB530,_xlfn.STDEV.P(IF(AB$9:AB530=AB530,AU$9:AU530)),""),"")</f>
        <v/>
      </c>
      <c r="AP530" s="7" t="str" cm="1">
        <f t="array" ref="AP530">IFERROR(IF(AB531&lt;&gt;AB530,_xlfn.STDEV.P(IF(AB$9:AB530=AB530,AT$9:AT530)),""),"")</f>
        <v/>
      </c>
      <c r="AQ530" s="8" t="str">
        <f t="shared" si="188"/>
        <v/>
      </c>
      <c r="AR530" s="8" t="str">
        <f t="shared" si="189"/>
        <v/>
      </c>
      <c r="AS530" s="8" t="str">
        <f t="shared" si="190"/>
        <v/>
      </c>
      <c r="AT530" s="9" t="str">
        <f t="shared" si="191"/>
        <v/>
      </c>
      <c r="AU530" s="9" t="str">
        <f t="shared" si="192"/>
        <v/>
      </c>
      <c r="AV530" s="14"/>
      <c r="AW530" s="15"/>
      <c r="AX530" s="14" t="str">
        <f t="shared" si="193"/>
        <v/>
      </c>
      <c r="AY530" s="15"/>
      <c r="AZ530" s="23"/>
      <c r="EW530" t="s">
        <v>46</v>
      </c>
      <c r="EX530" s="33" t="s">
        <v>47</v>
      </c>
      <c r="EY530" s="35" t="s">
        <v>1414</v>
      </c>
      <c r="EZ530" s="36" t="s">
        <v>1415</v>
      </c>
      <c r="FA530" s="36" t="s">
        <v>1192</v>
      </c>
      <c r="FB530" s="36" t="s">
        <v>344</v>
      </c>
      <c r="FC530" s="36" t="s">
        <v>1192</v>
      </c>
      <c r="FD530" s="36" t="s">
        <v>344</v>
      </c>
      <c r="FE530" s="36">
        <v>2026</v>
      </c>
      <c r="FF530" s="36" t="s">
        <v>59</v>
      </c>
      <c r="FG530" s="36" t="s">
        <v>1241</v>
      </c>
      <c r="FJ530" t="s">
        <v>59</v>
      </c>
      <c r="FM530" s="32" t="s">
        <v>1378</v>
      </c>
      <c r="FN530" t="s">
        <v>1378</v>
      </c>
      <c r="FO530" t="s">
        <v>1379</v>
      </c>
      <c r="FP530" t="str">
        <f t="shared" si="175"/>
        <v>C</v>
      </c>
      <c r="GU530" s="53">
        <v>75</v>
      </c>
      <c r="GV530" s="53">
        <v>524</v>
      </c>
    </row>
    <row r="531" spans="1:204" ht="15.5" x14ac:dyDescent="0.35">
      <c r="A531" s="95">
        <f t="shared" si="176"/>
        <v>1</v>
      </c>
      <c r="B531" s="11"/>
      <c r="C531" s="11"/>
      <c r="D531" s="92" t="str">
        <f>IFERROR(
IF(AND(OR(Planilla!B531="C",Planilla!B531="c"), VLOOKUP(E531,EX:FJ,13,0)="C"), "OK",IF(AND(OR(Planilla!B531="C",Planilla!B531="c"), OR(VLOOKUP(E531,EX:FJ,13,0)="B", VLOOKUP(E531,EX:FJ,13,0)="A")), "DEFICIT",IF(
AND(OR(Planilla!B531="B", Planilla!B531="BPAL"), VLOOKUP(E531,EX:FJ,13,0)="B"), "OK",IF(AND(OR(Planilla!B531="B", Planilla!B531="BPAL"), VLOOKUP(E531,EX:FJ,13,0)="A"), "DEFICIT",IF(AND(OR(Planilla!B531="B", Planilla!B531="BPAL"), VLOOKUP(E531,EX:FJ,13,0)="C"), "SOBREOFERTA",IF(AND(Planilla!B531="A", VLOOKUP(E531,EX:FJ,13,0)="A"), "OK",IF(
AND(Planilla!B531="A", OR(VLOOKUP(E531,EX:FJ,13,0)="B", VLOOKUP(E531,EX:FJ,13,0)="C")), "SOBREOFERTA",""
))))))),"")</f>
        <v/>
      </c>
      <c r="E531" s="12"/>
      <c r="F531" s="13"/>
      <c r="G531" s="14"/>
      <c r="H531" s="81" t="str">
        <f t="shared" si="177"/>
        <v/>
      </c>
      <c r="I531" s="7"/>
      <c r="J531" s="6" t="e">
        <f t="shared" si="178"/>
        <v>#N/A</v>
      </c>
      <c r="K531" s="6" t="str">
        <f>IF(A532&lt;&gt;A531,AVERAGEIF(A$9:A531,A531,J$9:J531),"")</f>
        <v/>
      </c>
      <c r="L531" s="7" t="str">
        <f>IFERROR(IF(A532&lt;&gt;A531,AVERAGEIF(A$9:A531,A531,S$9:S531),""),"")</f>
        <v/>
      </c>
      <c r="M531" s="7" t="str">
        <f>IFERROR(IF(A532&lt;&gt;A531,AVERAGEIF(A$9:A531,A531,T$9:T531),""),"")</f>
        <v/>
      </c>
      <c r="N531" s="7" t="str" cm="1">
        <f t="array" ref="N531">IFERROR(IF(A532&lt;&gt;A531,_xlfn.STDEV.P(IF(A$9:A531=A531,T$9:T531)),""),"")</f>
        <v/>
      </c>
      <c r="O531" s="7" t="str" cm="1">
        <f t="array" ref="O531">IFERROR(IF(A532&lt;&gt;A531,_xlfn.STDEV.P(IF(A$9:A531=A531,S$9:S531)),""),"")</f>
        <v/>
      </c>
      <c r="P531" s="8" t="str">
        <f t="shared" si="179"/>
        <v/>
      </c>
      <c r="Q531" s="8" t="str">
        <f t="shared" si="180"/>
        <v/>
      </c>
      <c r="R531" s="8" t="str">
        <f t="shared" si="181"/>
        <v/>
      </c>
      <c r="S531" s="9" t="str">
        <f t="shared" si="182"/>
        <v/>
      </c>
      <c r="T531" s="9" t="str">
        <f t="shared" si="183"/>
        <v/>
      </c>
      <c r="U531" s="14"/>
      <c r="V531" s="15"/>
      <c r="W531" s="14" t="str">
        <f t="shared" si="184"/>
        <v/>
      </c>
      <c r="X531" s="15"/>
      <c r="Y531" s="2"/>
      <c r="AB531" s="22">
        <f t="shared" si="185"/>
        <v>1</v>
      </c>
      <c r="AC531" s="11"/>
      <c r="AD531" s="11"/>
      <c r="AE531" s="13"/>
      <c r="AF531" s="12"/>
      <c r="AG531" s="13"/>
      <c r="AH531" s="14"/>
      <c r="AI531" s="81" t="str">
        <f t="shared" si="186"/>
        <v/>
      </c>
      <c r="AJ531" s="15"/>
      <c r="AK531" s="6" t="e">
        <f t="shared" si="187"/>
        <v>#N/A</v>
      </c>
      <c r="AL531" s="6" t="str">
        <f>IF(AB532&lt;&gt;AB531,AVERAGEIF(AB$9:AB531,AB531,AK$9:AK531),"")</f>
        <v/>
      </c>
      <c r="AM531" s="7" t="str">
        <f>IFERROR(IF(AB532&lt;&gt;AB531,AVERAGEIF(AB$9:AB531,AB531,AT$9:AT531),""),"")</f>
        <v/>
      </c>
      <c r="AN531" s="7" t="str">
        <f>IFERROR(IF(AB532&lt;&gt;AB531,AVERAGEIF(AB$9:AB531,AB531,AU$9:AU531),""),"")</f>
        <v/>
      </c>
      <c r="AO531" s="7" t="str" cm="1">
        <f t="array" ref="AO531">IFERROR(IF(AB532&lt;&gt;AB531,_xlfn.STDEV.P(IF(AB$9:AB531=AB531,AU$9:AU531)),""),"")</f>
        <v/>
      </c>
      <c r="AP531" s="7" t="str" cm="1">
        <f t="array" ref="AP531">IFERROR(IF(AB532&lt;&gt;AB531,_xlfn.STDEV.P(IF(AB$9:AB531=AB531,AT$9:AT531)),""),"")</f>
        <v/>
      </c>
      <c r="AQ531" s="8" t="str">
        <f t="shared" si="188"/>
        <v/>
      </c>
      <c r="AR531" s="8" t="str">
        <f t="shared" si="189"/>
        <v/>
      </c>
      <c r="AS531" s="8" t="str">
        <f t="shared" si="190"/>
        <v/>
      </c>
      <c r="AT531" s="9" t="str">
        <f t="shared" si="191"/>
        <v/>
      </c>
      <c r="AU531" s="9" t="str">
        <f t="shared" si="192"/>
        <v/>
      </c>
      <c r="AV531" s="14"/>
      <c r="AW531" s="15"/>
      <c r="AX531" s="14" t="str">
        <f t="shared" si="193"/>
        <v/>
      </c>
      <c r="AY531" s="15"/>
      <c r="AZ531" s="23"/>
      <c r="EW531" t="s">
        <v>46</v>
      </c>
      <c r="EX531" s="33" t="s">
        <v>47</v>
      </c>
      <c r="EY531" s="35" t="s">
        <v>1416</v>
      </c>
      <c r="EZ531" s="36" t="s">
        <v>1417</v>
      </c>
      <c r="FA531" s="36" t="s">
        <v>1192</v>
      </c>
      <c r="FB531" s="36" t="s">
        <v>344</v>
      </c>
      <c r="FC531" s="36" t="s">
        <v>1192</v>
      </c>
      <c r="FD531" s="36" t="s">
        <v>344</v>
      </c>
      <c r="FE531" s="36">
        <v>2026</v>
      </c>
      <c r="FF531" s="36" t="s">
        <v>59</v>
      </c>
      <c r="FG531" s="36" t="s">
        <v>1241</v>
      </c>
      <c r="FJ531" t="s">
        <v>59</v>
      </c>
      <c r="FM531" s="32" t="s">
        <v>1418</v>
      </c>
      <c r="FN531" t="s">
        <v>1418</v>
      </c>
      <c r="FO531" t="s">
        <v>1419</v>
      </c>
      <c r="FP531" t="str">
        <f t="shared" si="175"/>
        <v>C</v>
      </c>
      <c r="GU531" s="53">
        <v>76</v>
      </c>
      <c r="GV531" s="53">
        <v>525</v>
      </c>
    </row>
    <row r="532" spans="1:204" ht="15.5" x14ac:dyDescent="0.35">
      <c r="A532" s="95">
        <f t="shared" si="176"/>
        <v>1</v>
      </c>
      <c r="B532" s="11"/>
      <c r="C532" s="11"/>
      <c r="D532" s="92" t="str">
        <f>IFERROR(
IF(AND(OR(Planilla!B532="C",Planilla!B532="c"), VLOOKUP(E532,EX:FJ,13,0)="C"), "OK",IF(AND(OR(Planilla!B532="C",Planilla!B532="c"), OR(VLOOKUP(E532,EX:FJ,13,0)="B", VLOOKUP(E532,EX:FJ,13,0)="A")), "DEFICIT",IF(
AND(OR(Planilla!B532="B", Planilla!B532="BPAL"), VLOOKUP(E532,EX:FJ,13,0)="B"), "OK",IF(AND(OR(Planilla!B532="B", Planilla!B532="BPAL"), VLOOKUP(E532,EX:FJ,13,0)="A"), "DEFICIT",IF(AND(OR(Planilla!B532="B", Planilla!B532="BPAL"), VLOOKUP(E532,EX:FJ,13,0)="C"), "SOBREOFERTA",IF(AND(Planilla!B532="A", VLOOKUP(E532,EX:FJ,13,0)="A"), "OK",IF(
AND(Planilla!B532="A", OR(VLOOKUP(E532,EX:FJ,13,0)="B", VLOOKUP(E532,EX:FJ,13,0)="C")), "SOBREOFERTA",""
))))))),"")</f>
        <v/>
      </c>
      <c r="E532" s="12"/>
      <c r="F532" s="13"/>
      <c r="G532" s="14"/>
      <c r="H532" s="81" t="str">
        <f t="shared" si="177"/>
        <v/>
      </c>
      <c r="I532" s="7"/>
      <c r="J532" s="6" t="e">
        <f t="shared" si="178"/>
        <v>#N/A</v>
      </c>
      <c r="K532" s="6" t="str">
        <f>IF(A533&lt;&gt;A532,AVERAGEIF(A$9:A532,A532,J$9:J532),"")</f>
        <v/>
      </c>
      <c r="L532" s="7" t="str">
        <f>IFERROR(IF(A533&lt;&gt;A532,AVERAGEIF(A$9:A532,A532,S$9:S532),""),"")</f>
        <v/>
      </c>
      <c r="M532" s="7" t="str">
        <f>IFERROR(IF(A533&lt;&gt;A532,AVERAGEIF(A$9:A532,A532,T$9:T532),""),"")</f>
        <v/>
      </c>
      <c r="N532" s="7" t="str" cm="1">
        <f t="array" ref="N532">IFERROR(IF(A533&lt;&gt;A532,_xlfn.STDEV.P(IF(A$9:A532=A532,T$9:T532)),""),"")</f>
        <v/>
      </c>
      <c r="O532" s="7" t="str" cm="1">
        <f t="array" ref="O532">IFERROR(IF(A533&lt;&gt;A532,_xlfn.STDEV.P(IF(A$9:A532=A532,S$9:S532)),""),"")</f>
        <v/>
      </c>
      <c r="P532" s="8" t="str">
        <f t="shared" si="179"/>
        <v/>
      </c>
      <c r="Q532" s="8" t="str">
        <f t="shared" si="180"/>
        <v/>
      </c>
      <c r="R532" s="8" t="str">
        <f t="shared" si="181"/>
        <v/>
      </c>
      <c r="S532" s="9" t="str">
        <f t="shared" si="182"/>
        <v/>
      </c>
      <c r="T532" s="9" t="str">
        <f t="shared" si="183"/>
        <v/>
      </c>
      <c r="U532" s="14"/>
      <c r="V532" s="15"/>
      <c r="W532" s="14" t="str">
        <f t="shared" si="184"/>
        <v/>
      </c>
      <c r="X532" s="15"/>
      <c r="Y532" s="2"/>
      <c r="AB532" s="22">
        <f t="shared" si="185"/>
        <v>1</v>
      </c>
      <c r="AC532" s="11"/>
      <c r="AD532" s="11"/>
      <c r="AE532" s="13"/>
      <c r="AF532" s="12"/>
      <c r="AG532" s="13"/>
      <c r="AH532" s="14"/>
      <c r="AI532" s="81" t="str">
        <f t="shared" si="186"/>
        <v/>
      </c>
      <c r="AJ532" s="15"/>
      <c r="AK532" s="6" t="e">
        <f t="shared" si="187"/>
        <v>#N/A</v>
      </c>
      <c r="AL532" s="6" t="str">
        <f>IF(AB533&lt;&gt;AB532,AVERAGEIF(AB$9:AB532,AB532,AK$9:AK532),"")</f>
        <v/>
      </c>
      <c r="AM532" s="7" t="str">
        <f>IFERROR(IF(AB533&lt;&gt;AB532,AVERAGEIF(AB$9:AB532,AB532,AT$9:AT532),""),"")</f>
        <v/>
      </c>
      <c r="AN532" s="7" t="str">
        <f>IFERROR(IF(AB533&lt;&gt;AB532,AVERAGEIF(AB$9:AB532,AB532,AU$9:AU532),""),"")</f>
        <v/>
      </c>
      <c r="AO532" s="7" t="str" cm="1">
        <f t="array" ref="AO532">IFERROR(IF(AB533&lt;&gt;AB532,_xlfn.STDEV.P(IF(AB$9:AB532=AB532,AU$9:AU532)),""),"")</f>
        <v/>
      </c>
      <c r="AP532" s="7" t="str" cm="1">
        <f t="array" ref="AP532">IFERROR(IF(AB533&lt;&gt;AB532,_xlfn.STDEV.P(IF(AB$9:AB532=AB532,AT$9:AT532)),""),"")</f>
        <v/>
      </c>
      <c r="AQ532" s="8" t="str">
        <f t="shared" si="188"/>
        <v/>
      </c>
      <c r="AR532" s="8" t="str">
        <f t="shared" si="189"/>
        <v/>
      </c>
      <c r="AS532" s="8" t="str">
        <f t="shared" si="190"/>
        <v/>
      </c>
      <c r="AT532" s="9" t="str">
        <f t="shared" si="191"/>
        <v/>
      </c>
      <c r="AU532" s="9" t="str">
        <f t="shared" si="192"/>
        <v/>
      </c>
      <c r="AV532" s="14"/>
      <c r="AW532" s="15"/>
      <c r="AX532" s="14" t="str">
        <f t="shared" si="193"/>
        <v/>
      </c>
      <c r="AY532" s="15"/>
      <c r="AZ532" s="23"/>
      <c r="EW532" t="s">
        <v>46</v>
      </c>
      <c r="EX532" s="33" t="s">
        <v>47</v>
      </c>
      <c r="EY532" s="35" t="s">
        <v>1420</v>
      </c>
      <c r="EZ532" s="36" t="s">
        <v>1421</v>
      </c>
      <c r="FA532" s="36" t="s">
        <v>1192</v>
      </c>
      <c r="FB532" s="36" t="s">
        <v>344</v>
      </c>
      <c r="FC532" s="36" t="s">
        <v>1192</v>
      </c>
      <c r="FD532" s="36" t="s">
        <v>344</v>
      </c>
      <c r="FE532" s="36">
        <v>2026</v>
      </c>
      <c r="FF532" s="36" t="s">
        <v>59</v>
      </c>
      <c r="FG532" s="36" t="s">
        <v>1241</v>
      </c>
      <c r="FJ532" t="s">
        <v>59</v>
      </c>
      <c r="FM532" s="32" t="s">
        <v>1237</v>
      </c>
      <c r="FN532" t="s">
        <v>1237</v>
      </c>
      <c r="FO532" t="s">
        <v>1238</v>
      </c>
      <c r="FP532" t="str">
        <f t="shared" si="175"/>
        <v>C</v>
      </c>
      <c r="GU532" s="53">
        <v>77</v>
      </c>
      <c r="GV532" s="53">
        <v>526</v>
      </c>
    </row>
    <row r="533" spans="1:204" ht="15.5" x14ac:dyDescent="0.35">
      <c r="A533" s="95">
        <f t="shared" si="176"/>
        <v>1</v>
      </c>
      <c r="B533" s="11"/>
      <c r="C533" s="11"/>
      <c r="D533" s="92" t="str">
        <f>IFERROR(
IF(AND(OR(Planilla!B533="C",Planilla!B533="c"), VLOOKUP(E533,EX:FJ,13,0)="C"), "OK",IF(AND(OR(Planilla!B533="C",Planilla!B533="c"), OR(VLOOKUP(E533,EX:FJ,13,0)="B", VLOOKUP(E533,EX:FJ,13,0)="A")), "DEFICIT",IF(
AND(OR(Planilla!B533="B", Planilla!B533="BPAL"), VLOOKUP(E533,EX:FJ,13,0)="B"), "OK",IF(AND(OR(Planilla!B533="B", Planilla!B533="BPAL"), VLOOKUP(E533,EX:FJ,13,0)="A"), "DEFICIT",IF(AND(OR(Planilla!B533="B", Planilla!B533="BPAL"), VLOOKUP(E533,EX:FJ,13,0)="C"), "SOBREOFERTA",IF(AND(Planilla!B533="A", VLOOKUP(E533,EX:FJ,13,0)="A"), "OK",IF(
AND(Planilla!B533="A", OR(VLOOKUP(E533,EX:FJ,13,0)="B", VLOOKUP(E533,EX:FJ,13,0)="C")), "SOBREOFERTA",""
))))))),"")</f>
        <v/>
      </c>
      <c r="E533" s="12"/>
      <c r="F533" s="13"/>
      <c r="G533" s="14"/>
      <c r="H533" s="81" t="str">
        <f t="shared" si="177"/>
        <v/>
      </c>
      <c r="I533" s="7"/>
      <c r="J533" s="6" t="e">
        <f t="shared" si="178"/>
        <v>#N/A</v>
      </c>
      <c r="K533" s="6" t="str">
        <f>IF(A534&lt;&gt;A533,AVERAGEIF(A$9:A533,A533,J$9:J533),"")</f>
        <v/>
      </c>
      <c r="L533" s="7" t="str">
        <f>IFERROR(IF(A534&lt;&gt;A533,AVERAGEIF(A$9:A533,A533,S$9:S533),""),"")</f>
        <v/>
      </c>
      <c r="M533" s="7" t="str">
        <f>IFERROR(IF(A534&lt;&gt;A533,AVERAGEIF(A$9:A533,A533,T$9:T533),""),"")</f>
        <v/>
      </c>
      <c r="N533" s="7" t="str" cm="1">
        <f t="array" ref="N533">IFERROR(IF(A534&lt;&gt;A533,_xlfn.STDEV.P(IF(A$9:A533=A533,T$9:T533)),""),"")</f>
        <v/>
      </c>
      <c r="O533" s="7" t="str" cm="1">
        <f t="array" ref="O533">IFERROR(IF(A534&lt;&gt;A533,_xlfn.STDEV.P(IF(A$9:A533=A533,S$9:S533)),""),"")</f>
        <v/>
      </c>
      <c r="P533" s="8" t="str">
        <f t="shared" si="179"/>
        <v/>
      </c>
      <c r="Q533" s="8" t="str">
        <f t="shared" si="180"/>
        <v/>
      </c>
      <c r="R533" s="8" t="str">
        <f t="shared" si="181"/>
        <v/>
      </c>
      <c r="S533" s="9" t="str">
        <f t="shared" si="182"/>
        <v/>
      </c>
      <c r="T533" s="9" t="str">
        <f t="shared" si="183"/>
        <v/>
      </c>
      <c r="U533" s="14"/>
      <c r="V533" s="15"/>
      <c r="W533" s="14" t="str">
        <f t="shared" si="184"/>
        <v/>
      </c>
      <c r="X533" s="15"/>
      <c r="Y533" s="2"/>
      <c r="AB533" s="22">
        <f t="shared" si="185"/>
        <v>1</v>
      </c>
      <c r="AC533" s="11"/>
      <c r="AD533" s="11"/>
      <c r="AE533" s="13"/>
      <c r="AF533" s="12"/>
      <c r="AG533" s="13"/>
      <c r="AH533" s="14"/>
      <c r="AI533" s="81" t="str">
        <f t="shared" si="186"/>
        <v/>
      </c>
      <c r="AJ533" s="15"/>
      <c r="AK533" s="6" t="e">
        <f t="shared" si="187"/>
        <v>#N/A</v>
      </c>
      <c r="AL533" s="6" t="str">
        <f>IF(AB534&lt;&gt;AB533,AVERAGEIF(AB$9:AB533,AB533,AK$9:AK533),"")</f>
        <v/>
      </c>
      <c r="AM533" s="7" t="str">
        <f>IFERROR(IF(AB534&lt;&gt;AB533,AVERAGEIF(AB$9:AB533,AB533,AT$9:AT533),""),"")</f>
        <v/>
      </c>
      <c r="AN533" s="7" t="str">
        <f>IFERROR(IF(AB534&lt;&gt;AB533,AVERAGEIF(AB$9:AB533,AB533,AU$9:AU533),""),"")</f>
        <v/>
      </c>
      <c r="AO533" s="7" t="str" cm="1">
        <f t="array" ref="AO533">IFERROR(IF(AB534&lt;&gt;AB533,_xlfn.STDEV.P(IF(AB$9:AB533=AB533,AU$9:AU533)),""),"")</f>
        <v/>
      </c>
      <c r="AP533" s="7" t="str" cm="1">
        <f t="array" ref="AP533">IFERROR(IF(AB534&lt;&gt;AB533,_xlfn.STDEV.P(IF(AB$9:AB533=AB533,AT$9:AT533)),""),"")</f>
        <v/>
      </c>
      <c r="AQ533" s="8" t="str">
        <f t="shared" si="188"/>
        <v/>
      </c>
      <c r="AR533" s="8" t="str">
        <f t="shared" si="189"/>
        <v/>
      </c>
      <c r="AS533" s="8" t="str">
        <f t="shared" si="190"/>
        <v/>
      </c>
      <c r="AT533" s="9" t="str">
        <f t="shared" si="191"/>
        <v/>
      </c>
      <c r="AU533" s="9" t="str">
        <f t="shared" si="192"/>
        <v/>
      </c>
      <c r="AV533" s="14"/>
      <c r="AW533" s="15"/>
      <c r="AX533" s="14" t="str">
        <f t="shared" si="193"/>
        <v/>
      </c>
      <c r="AY533" s="15"/>
      <c r="AZ533" s="23"/>
      <c r="EW533" t="s">
        <v>46</v>
      </c>
      <c r="EX533" s="33" t="s">
        <v>47</v>
      </c>
      <c r="EY533" s="35" t="s">
        <v>1422</v>
      </c>
      <c r="EZ533" s="36" t="s">
        <v>1423</v>
      </c>
      <c r="FA533" s="36" t="s">
        <v>1192</v>
      </c>
      <c r="FB533" s="36" t="s">
        <v>344</v>
      </c>
      <c r="FC533" s="36" t="s">
        <v>1192</v>
      </c>
      <c r="FD533" s="36" t="s">
        <v>344</v>
      </c>
      <c r="FE533" s="36">
        <v>2026</v>
      </c>
      <c r="FF533" s="36" t="s">
        <v>59</v>
      </c>
      <c r="FG533" s="36" t="s">
        <v>1241</v>
      </c>
      <c r="FJ533" t="s">
        <v>59</v>
      </c>
      <c r="FM533" s="32" t="s">
        <v>1384</v>
      </c>
      <c r="FN533" t="s">
        <v>1384</v>
      </c>
      <c r="FO533" t="s">
        <v>1385</v>
      </c>
      <c r="FP533" t="str">
        <f t="shared" si="175"/>
        <v>C</v>
      </c>
      <c r="GU533" s="53">
        <v>78</v>
      </c>
      <c r="GV533" s="53">
        <v>527</v>
      </c>
    </row>
    <row r="534" spans="1:204" ht="15.5" x14ac:dyDescent="0.35">
      <c r="A534" s="95">
        <f t="shared" si="176"/>
        <v>1</v>
      </c>
      <c r="B534" s="11"/>
      <c r="C534" s="11"/>
      <c r="D534" s="92" t="str">
        <f>IFERROR(
IF(AND(OR(Planilla!B534="C",Planilla!B534="c"), VLOOKUP(E534,EX:FJ,13,0)="C"), "OK",IF(AND(OR(Planilla!B534="C",Planilla!B534="c"), OR(VLOOKUP(E534,EX:FJ,13,0)="B", VLOOKUP(E534,EX:FJ,13,0)="A")), "DEFICIT",IF(
AND(OR(Planilla!B534="B", Planilla!B534="BPAL"), VLOOKUP(E534,EX:FJ,13,0)="B"), "OK",IF(AND(OR(Planilla!B534="B", Planilla!B534="BPAL"), VLOOKUP(E534,EX:FJ,13,0)="A"), "DEFICIT",IF(AND(OR(Planilla!B534="B", Planilla!B534="BPAL"), VLOOKUP(E534,EX:FJ,13,0)="C"), "SOBREOFERTA",IF(AND(Planilla!B534="A", VLOOKUP(E534,EX:FJ,13,0)="A"), "OK",IF(
AND(Planilla!B534="A", OR(VLOOKUP(E534,EX:FJ,13,0)="B", VLOOKUP(E534,EX:FJ,13,0)="C")), "SOBREOFERTA",""
))))))),"")</f>
        <v/>
      </c>
      <c r="E534" s="12"/>
      <c r="F534" s="13"/>
      <c r="G534" s="14"/>
      <c r="H534" s="81" t="str">
        <f t="shared" si="177"/>
        <v/>
      </c>
      <c r="I534" s="7"/>
      <c r="J534" s="6" t="e">
        <f t="shared" si="178"/>
        <v>#N/A</v>
      </c>
      <c r="K534" s="6" t="str">
        <f>IF(A535&lt;&gt;A534,AVERAGEIF(A$9:A534,A534,J$9:J534),"")</f>
        <v/>
      </c>
      <c r="L534" s="7" t="str">
        <f>IFERROR(IF(A535&lt;&gt;A534,AVERAGEIF(A$9:A534,A534,S$9:S534),""),"")</f>
        <v/>
      </c>
      <c r="M534" s="7" t="str">
        <f>IFERROR(IF(A535&lt;&gt;A534,AVERAGEIF(A$9:A534,A534,T$9:T534),""),"")</f>
        <v/>
      </c>
      <c r="N534" s="7" t="str" cm="1">
        <f t="array" ref="N534">IFERROR(IF(A535&lt;&gt;A534,_xlfn.STDEV.P(IF(A$9:A534=A534,T$9:T534)),""),"")</f>
        <v/>
      </c>
      <c r="O534" s="7" t="str" cm="1">
        <f t="array" ref="O534">IFERROR(IF(A535&lt;&gt;A534,_xlfn.STDEV.P(IF(A$9:A534=A534,S$9:S534)),""),"")</f>
        <v/>
      </c>
      <c r="P534" s="8" t="str">
        <f t="shared" si="179"/>
        <v/>
      </c>
      <c r="Q534" s="8" t="str">
        <f t="shared" si="180"/>
        <v/>
      </c>
      <c r="R534" s="8" t="str">
        <f t="shared" si="181"/>
        <v/>
      </c>
      <c r="S534" s="9" t="str">
        <f t="shared" si="182"/>
        <v/>
      </c>
      <c r="T534" s="9" t="str">
        <f t="shared" si="183"/>
        <v/>
      </c>
      <c r="U534" s="14"/>
      <c r="V534" s="15"/>
      <c r="W534" s="14" t="str">
        <f t="shared" si="184"/>
        <v/>
      </c>
      <c r="X534" s="15"/>
      <c r="Y534" s="2"/>
      <c r="AB534" s="22">
        <f t="shared" si="185"/>
        <v>1</v>
      </c>
      <c r="AC534" s="11"/>
      <c r="AD534" s="11"/>
      <c r="AE534" s="13"/>
      <c r="AF534" s="12"/>
      <c r="AG534" s="13"/>
      <c r="AH534" s="14"/>
      <c r="AI534" s="81" t="str">
        <f t="shared" si="186"/>
        <v/>
      </c>
      <c r="AJ534" s="15"/>
      <c r="AK534" s="6" t="e">
        <f t="shared" si="187"/>
        <v>#N/A</v>
      </c>
      <c r="AL534" s="6" t="str">
        <f>IF(AB535&lt;&gt;AB534,AVERAGEIF(AB$9:AB534,AB534,AK$9:AK534),"")</f>
        <v/>
      </c>
      <c r="AM534" s="7" t="str">
        <f>IFERROR(IF(AB535&lt;&gt;AB534,AVERAGEIF(AB$9:AB534,AB534,AT$9:AT534),""),"")</f>
        <v/>
      </c>
      <c r="AN534" s="7" t="str">
        <f>IFERROR(IF(AB535&lt;&gt;AB534,AVERAGEIF(AB$9:AB534,AB534,AU$9:AU534),""),"")</f>
        <v/>
      </c>
      <c r="AO534" s="7" t="str" cm="1">
        <f t="array" ref="AO534">IFERROR(IF(AB535&lt;&gt;AB534,_xlfn.STDEV.P(IF(AB$9:AB534=AB534,AU$9:AU534)),""),"")</f>
        <v/>
      </c>
      <c r="AP534" s="7" t="str" cm="1">
        <f t="array" ref="AP534">IFERROR(IF(AB535&lt;&gt;AB534,_xlfn.STDEV.P(IF(AB$9:AB534=AB534,AT$9:AT534)),""),"")</f>
        <v/>
      </c>
      <c r="AQ534" s="8" t="str">
        <f t="shared" si="188"/>
        <v/>
      </c>
      <c r="AR534" s="8" t="str">
        <f t="shared" si="189"/>
        <v/>
      </c>
      <c r="AS534" s="8" t="str">
        <f t="shared" si="190"/>
        <v/>
      </c>
      <c r="AT534" s="9" t="str">
        <f t="shared" si="191"/>
        <v/>
      </c>
      <c r="AU534" s="9" t="str">
        <f t="shared" si="192"/>
        <v/>
      </c>
      <c r="AV534" s="14"/>
      <c r="AW534" s="15"/>
      <c r="AX534" s="14" t="str">
        <f t="shared" si="193"/>
        <v/>
      </c>
      <c r="AY534" s="15"/>
      <c r="AZ534" s="23"/>
      <c r="EW534" t="s">
        <v>46</v>
      </c>
      <c r="EX534" s="33" t="s">
        <v>47</v>
      </c>
      <c r="EY534" s="35" t="s">
        <v>1424</v>
      </c>
      <c r="EZ534" s="36" t="s">
        <v>1425</v>
      </c>
      <c r="FA534" s="36" t="s">
        <v>1192</v>
      </c>
      <c r="FB534" s="36" t="s">
        <v>344</v>
      </c>
      <c r="FC534" s="36" t="s">
        <v>1192</v>
      </c>
      <c r="FD534" s="36" t="s">
        <v>344</v>
      </c>
      <c r="FE534" s="36">
        <v>2026</v>
      </c>
      <c r="FF534" s="36" t="s">
        <v>59</v>
      </c>
      <c r="FG534" s="36" t="s">
        <v>1241</v>
      </c>
      <c r="FJ534" t="s">
        <v>59</v>
      </c>
      <c r="FM534" s="32" t="s">
        <v>1426</v>
      </c>
      <c r="FN534" t="s">
        <v>1426</v>
      </c>
      <c r="FO534" t="s">
        <v>1427</v>
      </c>
      <c r="FP534" t="str">
        <f t="shared" si="175"/>
        <v>C</v>
      </c>
      <c r="GU534" s="53">
        <v>79</v>
      </c>
      <c r="GV534" s="53">
        <v>528</v>
      </c>
    </row>
    <row r="535" spans="1:204" ht="15.5" x14ac:dyDescent="0.35">
      <c r="A535" s="95">
        <f t="shared" si="176"/>
        <v>1</v>
      </c>
      <c r="B535" s="11"/>
      <c r="C535" s="11"/>
      <c r="D535" s="92" t="str">
        <f>IFERROR(
IF(AND(OR(Planilla!B535="C",Planilla!B535="c"), VLOOKUP(E535,EX:FJ,13,0)="C"), "OK",IF(AND(OR(Planilla!B535="C",Planilla!B535="c"), OR(VLOOKUP(E535,EX:FJ,13,0)="B", VLOOKUP(E535,EX:FJ,13,0)="A")), "DEFICIT",IF(
AND(OR(Planilla!B535="B", Planilla!B535="BPAL"), VLOOKUP(E535,EX:FJ,13,0)="B"), "OK",IF(AND(OR(Planilla!B535="B", Planilla!B535="BPAL"), VLOOKUP(E535,EX:FJ,13,0)="A"), "DEFICIT",IF(AND(OR(Planilla!B535="B", Planilla!B535="BPAL"), VLOOKUP(E535,EX:FJ,13,0)="C"), "SOBREOFERTA",IF(AND(Planilla!B535="A", VLOOKUP(E535,EX:FJ,13,0)="A"), "OK",IF(
AND(Planilla!B535="A", OR(VLOOKUP(E535,EX:FJ,13,0)="B", VLOOKUP(E535,EX:FJ,13,0)="C")), "SOBREOFERTA",""
))))))),"")</f>
        <v/>
      </c>
      <c r="E535" s="12"/>
      <c r="F535" s="13"/>
      <c r="G535" s="14"/>
      <c r="H535" s="81" t="str">
        <f t="shared" si="177"/>
        <v/>
      </c>
      <c r="I535" s="7"/>
      <c r="J535" s="6" t="e">
        <f t="shared" si="178"/>
        <v>#N/A</v>
      </c>
      <c r="K535" s="6" t="str">
        <f>IF(A536&lt;&gt;A535,AVERAGEIF(A$9:A535,A535,J$9:J535),"")</f>
        <v/>
      </c>
      <c r="L535" s="7" t="str">
        <f>IFERROR(IF(A536&lt;&gt;A535,AVERAGEIF(A$9:A535,A535,S$9:S535),""),"")</f>
        <v/>
      </c>
      <c r="M535" s="7" t="str">
        <f>IFERROR(IF(A536&lt;&gt;A535,AVERAGEIF(A$9:A535,A535,T$9:T535),""),"")</f>
        <v/>
      </c>
      <c r="N535" s="7" t="str" cm="1">
        <f t="array" ref="N535">IFERROR(IF(A536&lt;&gt;A535,_xlfn.STDEV.P(IF(A$9:A535=A535,T$9:T535)),""),"")</f>
        <v/>
      </c>
      <c r="O535" s="7" t="str" cm="1">
        <f t="array" ref="O535">IFERROR(IF(A536&lt;&gt;A535,_xlfn.STDEV.P(IF(A$9:A535=A535,S$9:S535)),""),"")</f>
        <v/>
      </c>
      <c r="P535" s="8" t="str">
        <f t="shared" si="179"/>
        <v/>
      </c>
      <c r="Q535" s="8" t="str">
        <f t="shared" si="180"/>
        <v/>
      </c>
      <c r="R535" s="8" t="str">
        <f t="shared" si="181"/>
        <v/>
      </c>
      <c r="S535" s="9" t="str">
        <f t="shared" si="182"/>
        <v/>
      </c>
      <c r="T535" s="9" t="str">
        <f t="shared" si="183"/>
        <v/>
      </c>
      <c r="U535" s="14"/>
      <c r="V535" s="15"/>
      <c r="W535" s="14" t="str">
        <f t="shared" si="184"/>
        <v/>
      </c>
      <c r="X535" s="15"/>
      <c r="Y535" s="2"/>
      <c r="AB535" s="22">
        <f t="shared" si="185"/>
        <v>1</v>
      </c>
      <c r="AC535" s="11"/>
      <c r="AD535" s="11"/>
      <c r="AE535" s="13"/>
      <c r="AF535" s="12"/>
      <c r="AG535" s="13"/>
      <c r="AH535" s="14"/>
      <c r="AI535" s="81" t="str">
        <f t="shared" si="186"/>
        <v/>
      </c>
      <c r="AJ535" s="15"/>
      <c r="AK535" s="6" t="e">
        <f t="shared" si="187"/>
        <v>#N/A</v>
      </c>
      <c r="AL535" s="6" t="str">
        <f>IF(AB536&lt;&gt;AB535,AVERAGEIF(AB$9:AB535,AB535,AK$9:AK535),"")</f>
        <v/>
      </c>
      <c r="AM535" s="7" t="str">
        <f>IFERROR(IF(AB536&lt;&gt;AB535,AVERAGEIF(AB$9:AB535,AB535,AT$9:AT535),""),"")</f>
        <v/>
      </c>
      <c r="AN535" s="7" t="str">
        <f>IFERROR(IF(AB536&lt;&gt;AB535,AVERAGEIF(AB$9:AB535,AB535,AU$9:AU535),""),"")</f>
        <v/>
      </c>
      <c r="AO535" s="7" t="str" cm="1">
        <f t="array" ref="AO535">IFERROR(IF(AB536&lt;&gt;AB535,_xlfn.STDEV.P(IF(AB$9:AB535=AB535,AU$9:AU535)),""),"")</f>
        <v/>
      </c>
      <c r="AP535" s="7" t="str" cm="1">
        <f t="array" ref="AP535">IFERROR(IF(AB536&lt;&gt;AB535,_xlfn.STDEV.P(IF(AB$9:AB535=AB535,AT$9:AT535)),""),"")</f>
        <v/>
      </c>
      <c r="AQ535" s="8" t="str">
        <f t="shared" si="188"/>
        <v/>
      </c>
      <c r="AR535" s="8" t="str">
        <f t="shared" si="189"/>
        <v/>
      </c>
      <c r="AS535" s="8" t="str">
        <f t="shared" si="190"/>
        <v/>
      </c>
      <c r="AT535" s="9" t="str">
        <f t="shared" si="191"/>
        <v/>
      </c>
      <c r="AU535" s="9" t="str">
        <f t="shared" si="192"/>
        <v/>
      </c>
      <c r="AV535" s="14"/>
      <c r="AW535" s="15"/>
      <c r="AX535" s="14" t="str">
        <f t="shared" si="193"/>
        <v/>
      </c>
      <c r="AY535" s="15"/>
      <c r="AZ535" s="23"/>
      <c r="EW535" t="s">
        <v>46</v>
      </c>
      <c r="EX535" s="33" t="s">
        <v>47</v>
      </c>
      <c r="EY535" s="35" t="s">
        <v>1428</v>
      </c>
      <c r="EZ535" s="36" t="s">
        <v>1429</v>
      </c>
      <c r="FA535" s="36" t="s">
        <v>1192</v>
      </c>
      <c r="FB535" s="36" t="s">
        <v>344</v>
      </c>
      <c r="FC535" s="36" t="s">
        <v>1192</v>
      </c>
      <c r="FD535" s="36" t="s">
        <v>344</v>
      </c>
      <c r="FE535" s="36">
        <v>2026</v>
      </c>
      <c r="FF535" s="36" t="s">
        <v>59</v>
      </c>
      <c r="FG535" s="36" t="s">
        <v>1241</v>
      </c>
      <c r="FJ535" t="s">
        <v>59</v>
      </c>
      <c r="FM535" s="32" t="s">
        <v>1392</v>
      </c>
      <c r="FN535" t="s">
        <v>1392</v>
      </c>
      <c r="FO535" t="s">
        <v>1393</v>
      </c>
      <c r="FP535" t="str">
        <f t="shared" si="175"/>
        <v>C</v>
      </c>
      <c r="GU535" s="53">
        <v>80</v>
      </c>
      <c r="GV535" s="53">
        <v>529</v>
      </c>
    </row>
    <row r="536" spans="1:204" ht="15.5" x14ac:dyDescent="0.35">
      <c r="A536" s="95">
        <f t="shared" si="176"/>
        <v>1</v>
      </c>
      <c r="B536" s="11"/>
      <c r="C536" s="11"/>
      <c r="D536" s="92" t="str">
        <f>IFERROR(
IF(AND(OR(Planilla!B536="C",Planilla!B536="c"), VLOOKUP(E536,EX:FJ,13,0)="C"), "OK",IF(AND(OR(Planilla!B536="C",Planilla!B536="c"), OR(VLOOKUP(E536,EX:FJ,13,0)="B", VLOOKUP(E536,EX:FJ,13,0)="A")), "DEFICIT",IF(
AND(OR(Planilla!B536="B", Planilla!B536="BPAL"), VLOOKUP(E536,EX:FJ,13,0)="B"), "OK",IF(AND(OR(Planilla!B536="B", Planilla!B536="BPAL"), VLOOKUP(E536,EX:FJ,13,0)="A"), "DEFICIT",IF(AND(OR(Planilla!B536="B", Planilla!B536="BPAL"), VLOOKUP(E536,EX:FJ,13,0)="C"), "SOBREOFERTA",IF(AND(Planilla!B536="A", VLOOKUP(E536,EX:FJ,13,0)="A"), "OK",IF(
AND(Planilla!B536="A", OR(VLOOKUP(E536,EX:FJ,13,0)="B", VLOOKUP(E536,EX:FJ,13,0)="C")), "SOBREOFERTA",""
))))))),"")</f>
        <v/>
      </c>
      <c r="E536" s="12"/>
      <c r="F536" s="13"/>
      <c r="G536" s="14"/>
      <c r="H536" s="81" t="str">
        <f t="shared" si="177"/>
        <v/>
      </c>
      <c r="I536" s="7"/>
      <c r="J536" s="6" t="e">
        <f t="shared" si="178"/>
        <v>#N/A</v>
      </c>
      <c r="K536" s="6" t="str">
        <f>IF(A537&lt;&gt;A536,AVERAGEIF(A$9:A536,A536,J$9:J536),"")</f>
        <v/>
      </c>
      <c r="L536" s="7" t="str">
        <f>IFERROR(IF(A537&lt;&gt;A536,AVERAGEIF(A$9:A536,A536,S$9:S536),""),"")</f>
        <v/>
      </c>
      <c r="M536" s="7" t="str">
        <f>IFERROR(IF(A537&lt;&gt;A536,AVERAGEIF(A$9:A536,A536,T$9:T536),""),"")</f>
        <v/>
      </c>
      <c r="N536" s="7" t="str" cm="1">
        <f t="array" ref="N536">IFERROR(IF(A537&lt;&gt;A536,_xlfn.STDEV.P(IF(A$9:A536=A536,T$9:T536)),""),"")</f>
        <v/>
      </c>
      <c r="O536" s="7" t="str" cm="1">
        <f t="array" ref="O536">IFERROR(IF(A537&lt;&gt;A536,_xlfn.STDEV.P(IF(A$9:A536=A536,S$9:S536)),""),"")</f>
        <v/>
      </c>
      <c r="P536" s="8" t="str">
        <f t="shared" si="179"/>
        <v/>
      </c>
      <c r="Q536" s="8" t="str">
        <f t="shared" si="180"/>
        <v/>
      </c>
      <c r="R536" s="8" t="str">
        <f t="shared" si="181"/>
        <v/>
      </c>
      <c r="S536" s="9" t="str">
        <f t="shared" si="182"/>
        <v/>
      </c>
      <c r="T536" s="9" t="str">
        <f t="shared" si="183"/>
        <v/>
      </c>
      <c r="U536" s="14"/>
      <c r="V536" s="15"/>
      <c r="W536" s="14" t="str">
        <f t="shared" si="184"/>
        <v/>
      </c>
      <c r="X536" s="15"/>
      <c r="Y536" s="2"/>
      <c r="AB536" s="22">
        <f t="shared" si="185"/>
        <v>1</v>
      </c>
      <c r="AC536" s="11"/>
      <c r="AD536" s="11"/>
      <c r="AE536" s="13"/>
      <c r="AF536" s="12"/>
      <c r="AG536" s="13"/>
      <c r="AH536" s="14"/>
      <c r="AI536" s="81" t="str">
        <f t="shared" si="186"/>
        <v/>
      </c>
      <c r="AJ536" s="15"/>
      <c r="AK536" s="6" t="e">
        <f t="shared" si="187"/>
        <v>#N/A</v>
      </c>
      <c r="AL536" s="6" t="str">
        <f>IF(AB537&lt;&gt;AB536,AVERAGEIF(AB$9:AB536,AB536,AK$9:AK536),"")</f>
        <v/>
      </c>
      <c r="AM536" s="7" t="str">
        <f>IFERROR(IF(AB537&lt;&gt;AB536,AVERAGEIF(AB$9:AB536,AB536,AT$9:AT536),""),"")</f>
        <v/>
      </c>
      <c r="AN536" s="7" t="str">
        <f>IFERROR(IF(AB537&lt;&gt;AB536,AVERAGEIF(AB$9:AB536,AB536,AU$9:AU536),""),"")</f>
        <v/>
      </c>
      <c r="AO536" s="7" t="str" cm="1">
        <f t="array" ref="AO536">IFERROR(IF(AB537&lt;&gt;AB536,_xlfn.STDEV.P(IF(AB$9:AB536=AB536,AU$9:AU536)),""),"")</f>
        <v/>
      </c>
      <c r="AP536" s="7" t="str" cm="1">
        <f t="array" ref="AP536">IFERROR(IF(AB537&lt;&gt;AB536,_xlfn.STDEV.P(IF(AB$9:AB536=AB536,AT$9:AT536)),""),"")</f>
        <v/>
      </c>
      <c r="AQ536" s="8" t="str">
        <f t="shared" si="188"/>
        <v/>
      </c>
      <c r="AR536" s="8" t="str">
        <f t="shared" si="189"/>
        <v/>
      </c>
      <c r="AS536" s="8" t="str">
        <f t="shared" si="190"/>
        <v/>
      </c>
      <c r="AT536" s="9" t="str">
        <f t="shared" si="191"/>
        <v/>
      </c>
      <c r="AU536" s="9" t="str">
        <f t="shared" si="192"/>
        <v/>
      </c>
      <c r="AV536" s="14"/>
      <c r="AW536" s="15"/>
      <c r="AX536" s="14" t="str">
        <f t="shared" si="193"/>
        <v/>
      </c>
      <c r="AY536" s="15"/>
      <c r="AZ536" s="23"/>
      <c r="EW536" t="s">
        <v>46</v>
      </c>
      <c r="EX536" s="33" t="s">
        <v>47</v>
      </c>
      <c r="EY536" s="35" t="s">
        <v>1430</v>
      </c>
      <c r="EZ536" s="36" t="s">
        <v>1431</v>
      </c>
      <c r="FA536" s="36" t="s">
        <v>1192</v>
      </c>
      <c r="FB536" s="36" t="s">
        <v>344</v>
      </c>
      <c r="FC536" s="36" t="s">
        <v>1192</v>
      </c>
      <c r="FD536" s="36" t="s">
        <v>344</v>
      </c>
      <c r="FE536" s="36">
        <v>2026</v>
      </c>
      <c r="FF536" s="36" t="s">
        <v>59</v>
      </c>
      <c r="FG536" s="36" t="s">
        <v>1241</v>
      </c>
      <c r="FJ536" t="s">
        <v>59</v>
      </c>
      <c r="FM536" s="32" t="s">
        <v>1388</v>
      </c>
      <c r="FN536" t="s">
        <v>1388</v>
      </c>
      <c r="FO536" t="s">
        <v>1389</v>
      </c>
      <c r="FP536" t="str">
        <f t="shared" si="175"/>
        <v>C</v>
      </c>
      <c r="GU536" s="53">
        <v>81</v>
      </c>
      <c r="GV536" s="53">
        <v>530</v>
      </c>
    </row>
    <row r="537" spans="1:204" ht="15.5" x14ac:dyDescent="0.35">
      <c r="A537" s="95">
        <f t="shared" si="176"/>
        <v>1</v>
      </c>
      <c r="B537" s="11"/>
      <c r="C537" s="11"/>
      <c r="D537" s="92" t="str">
        <f>IFERROR(
IF(AND(OR(Planilla!B537="C",Planilla!B537="c"), VLOOKUP(E537,EX:FJ,13,0)="C"), "OK",IF(AND(OR(Planilla!B537="C",Planilla!B537="c"), OR(VLOOKUP(E537,EX:FJ,13,0)="B", VLOOKUP(E537,EX:FJ,13,0)="A")), "DEFICIT",IF(
AND(OR(Planilla!B537="B", Planilla!B537="BPAL"), VLOOKUP(E537,EX:FJ,13,0)="B"), "OK",IF(AND(OR(Planilla!B537="B", Planilla!B537="BPAL"), VLOOKUP(E537,EX:FJ,13,0)="A"), "DEFICIT",IF(AND(OR(Planilla!B537="B", Planilla!B537="BPAL"), VLOOKUP(E537,EX:FJ,13,0)="C"), "SOBREOFERTA",IF(AND(Planilla!B537="A", VLOOKUP(E537,EX:FJ,13,0)="A"), "OK",IF(
AND(Planilla!B537="A", OR(VLOOKUP(E537,EX:FJ,13,0)="B", VLOOKUP(E537,EX:FJ,13,0)="C")), "SOBREOFERTA",""
))))))),"")</f>
        <v/>
      </c>
      <c r="E537" s="12"/>
      <c r="F537" s="13"/>
      <c r="G537" s="14"/>
      <c r="H537" s="81" t="str">
        <f t="shared" si="177"/>
        <v/>
      </c>
      <c r="I537" s="7"/>
      <c r="J537" s="6" t="e">
        <f t="shared" si="178"/>
        <v>#N/A</v>
      </c>
      <c r="K537" s="6" t="str">
        <f>IF(A538&lt;&gt;A537,AVERAGEIF(A$9:A537,A537,J$9:J537),"")</f>
        <v/>
      </c>
      <c r="L537" s="7" t="str">
        <f>IFERROR(IF(A538&lt;&gt;A537,AVERAGEIF(A$9:A537,A537,S$9:S537),""),"")</f>
        <v/>
      </c>
      <c r="M537" s="7" t="str">
        <f>IFERROR(IF(A538&lt;&gt;A537,AVERAGEIF(A$9:A537,A537,T$9:T537),""),"")</f>
        <v/>
      </c>
      <c r="N537" s="7" t="str" cm="1">
        <f t="array" ref="N537">IFERROR(IF(A538&lt;&gt;A537,_xlfn.STDEV.P(IF(A$9:A537=A537,T$9:T537)),""),"")</f>
        <v/>
      </c>
      <c r="O537" s="7" t="str" cm="1">
        <f t="array" ref="O537">IFERROR(IF(A538&lt;&gt;A537,_xlfn.STDEV.P(IF(A$9:A537=A537,S$9:S537)),""),"")</f>
        <v/>
      </c>
      <c r="P537" s="8" t="str">
        <f t="shared" si="179"/>
        <v/>
      </c>
      <c r="Q537" s="8" t="str">
        <f t="shared" si="180"/>
        <v/>
      </c>
      <c r="R537" s="8" t="str">
        <f t="shared" si="181"/>
        <v/>
      </c>
      <c r="S537" s="9" t="str">
        <f t="shared" si="182"/>
        <v/>
      </c>
      <c r="T537" s="9" t="str">
        <f t="shared" si="183"/>
        <v/>
      </c>
      <c r="U537" s="14"/>
      <c r="V537" s="15"/>
      <c r="W537" s="14" t="str">
        <f t="shared" si="184"/>
        <v/>
      </c>
      <c r="X537" s="15"/>
      <c r="Y537" s="2"/>
      <c r="AB537" s="22">
        <f t="shared" si="185"/>
        <v>1</v>
      </c>
      <c r="AC537" s="11"/>
      <c r="AD537" s="11"/>
      <c r="AE537" s="13"/>
      <c r="AF537" s="12"/>
      <c r="AG537" s="13"/>
      <c r="AH537" s="14"/>
      <c r="AI537" s="81" t="str">
        <f t="shared" si="186"/>
        <v/>
      </c>
      <c r="AJ537" s="15"/>
      <c r="AK537" s="6" t="e">
        <f t="shared" si="187"/>
        <v>#N/A</v>
      </c>
      <c r="AL537" s="6" t="str">
        <f>IF(AB538&lt;&gt;AB537,AVERAGEIF(AB$9:AB537,AB537,AK$9:AK537),"")</f>
        <v/>
      </c>
      <c r="AM537" s="7" t="str">
        <f>IFERROR(IF(AB538&lt;&gt;AB537,AVERAGEIF(AB$9:AB537,AB537,AT$9:AT537),""),"")</f>
        <v/>
      </c>
      <c r="AN537" s="7" t="str">
        <f>IFERROR(IF(AB538&lt;&gt;AB537,AVERAGEIF(AB$9:AB537,AB537,AU$9:AU537),""),"")</f>
        <v/>
      </c>
      <c r="AO537" s="7" t="str" cm="1">
        <f t="array" ref="AO537">IFERROR(IF(AB538&lt;&gt;AB537,_xlfn.STDEV.P(IF(AB$9:AB537=AB537,AU$9:AU537)),""),"")</f>
        <v/>
      </c>
      <c r="AP537" s="7" t="str" cm="1">
        <f t="array" ref="AP537">IFERROR(IF(AB538&lt;&gt;AB537,_xlfn.STDEV.P(IF(AB$9:AB537=AB537,AT$9:AT537)),""),"")</f>
        <v/>
      </c>
      <c r="AQ537" s="8" t="str">
        <f t="shared" si="188"/>
        <v/>
      </c>
      <c r="AR537" s="8" t="str">
        <f t="shared" si="189"/>
        <v/>
      </c>
      <c r="AS537" s="8" t="str">
        <f t="shared" si="190"/>
        <v/>
      </c>
      <c r="AT537" s="9" t="str">
        <f t="shared" si="191"/>
        <v/>
      </c>
      <c r="AU537" s="9" t="str">
        <f t="shared" si="192"/>
        <v/>
      </c>
      <c r="AV537" s="14"/>
      <c r="AW537" s="15"/>
      <c r="AX537" s="14" t="str">
        <f t="shared" si="193"/>
        <v/>
      </c>
      <c r="AY537" s="15"/>
      <c r="AZ537" s="23"/>
      <c r="EW537" t="s">
        <v>46</v>
      </c>
      <c r="EX537" s="33" t="s">
        <v>47</v>
      </c>
      <c r="EY537" s="35" t="s">
        <v>1432</v>
      </c>
      <c r="EZ537" s="36" t="s">
        <v>1433</v>
      </c>
      <c r="FA537" s="36" t="s">
        <v>1192</v>
      </c>
      <c r="FB537" s="36" t="s">
        <v>344</v>
      </c>
      <c r="FC537" s="36" t="s">
        <v>1192</v>
      </c>
      <c r="FD537" s="36" t="s">
        <v>344</v>
      </c>
      <c r="FE537" s="36">
        <v>2026</v>
      </c>
      <c r="FF537" s="36" t="s">
        <v>59</v>
      </c>
      <c r="FG537" s="36" t="s">
        <v>1210</v>
      </c>
      <c r="FJ537" t="s">
        <v>59</v>
      </c>
      <c r="FM537" s="32" t="s">
        <v>1351</v>
      </c>
      <c r="FN537" t="s">
        <v>1351</v>
      </c>
      <c r="FO537" t="s">
        <v>1351</v>
      </c>
      <c r="FP537" t="str">
        <f t="shared" si="175"/>
        <v>C</v>
      </c>
      <c r="GU537" s="53">
        <v>82</v>
      </c>
      <c r="GV537" s="53">
        <v>531</v>
      </c>
    </row>
    <row r="538" spans="1:204" ht="15.5" x14ac:dyDescent="0.35">
      <c r="A538" s="95">
        <f t="shared" si="176"/>
        <v>1</v>
      </c>
      <c r="B538" s="11"/>
      <c r="C538" s="11"/>
      <c r="D538" s="92" t="str">
        <f>IFERROR(
IF(AND(OR(Planilla!B538="C",Planilla!B538="c"), VLOOKUP(E538,EX:FJ,13,0)="C"), "OK",IF(AND(OR(Planilla!B538="C",Planilla!B538="c"), OR(VLOOKUP(E538,EX:FJ,13,0)="B", VLOOKUP(E538,EX:FJ,13,0)="A")), "DEFICIT",IF(
AND(OR(Planilla!B538="B", Planilla!B538="BPAL"), VLOOKUP(E538,EX:FJ,13,0)="B"), "OK",IF(AND(OR(Planilla!B538="B", Planilla!B538="BPAL"), VLOOKUP(E538,EX:FJ,13,0)="A"), "DEFICIT",IF(AND(OR(Planilla!B538="B", Planilla!B538="BPAL"), VLOOKUP(E538,EX:FJ,13,0)="C"), "SOBREOFERTA",IF(AND(Planilla!B538="A", VLOOKUP(E538,EX:FJ,13,0)="A"), "OK",IF(
AND(Planilla!B538="A", OR(VLOOKUP(E538,EX:FJ,13,0)="B", VLOOKUP(E538,EX:FJ,13,0)="C")), "SOBREOFERTA",""
))))))),"")</f>
        <v/>
      </c>
      <c r="E538" s="12"/>
      <c r="F538" s="13"/>
      <c r="G538" s="14"/>
      <c r="H538" s="81" t="str">
        <f t="shared" si="177"/>
        <v/>
      </c>
      <c r="I538" s="7"/>
      <c r="J538" s="6" t="e">
        <f t="shared" si="178"/>
        <v>#N/A</v>
      </c>
      <c r="K538" s="6" t="str">
        <f>IF(A539&lt;&gt;A538,AVERAGEIF(A$9:A538,A538,J$9:J538),"")</f>
        <v/>
      </c>
      <c r="L538" s="7" t="str">
        <f>IFERROR(IF(A539&lt;&gt;A538,AVERAGEIF(A$9:A538,A538,S$9:S538),""),"")</f>
        <v/>
      </c>
      <c r="M538" s="7" t="str">
        <f>IFERROR(IF(A539&lt;&gt;A538,AVERAGEIF(A$9:A538,A538,T$9:T538),""),"")</f>
        <v/>
      </c>
      <c r="N538" s="7" t="str" cm="1">
        <f t="array" ref="N538">IFERROR(IF(A539&lt;&gt;A538,_xlfn.STDEV.P(IF(A$9:A538=A538,T$9:T538)),""),"")</f>
        <v/>
      </c>
      <c r="O538" s="7" t="str" cm="1">
        <f t="array" ref="O538">IFERROR(IF(A539&lt;&gt;A538,_xlfn.STDEV.P(IF(A$9:A538=A538,S$9:S538)),""),"")</f>
        <v/>
      </c>
      <c r="P538" s="8" t="str">
        <f t="shared" si="179"/>
        <v/>
      </c>
      <c r="Q538" s="8" t="str">
        <f t="shared" si="180"/>
        <v/>
      </c>
      <c r="R538" s="8" t="str">
        <f t="shared" si="181"/>
        <v/>
      </c>
      <c r="S538" s="9" t="str">
        <f t="shared" si="182"/>
        <v/>
      </c>
      <c r="T538" s="9" t="str">
        <f t="shared" si="183"/>
        <v/>
      </c>
      <c r="U538" s="14"/>
      <c r="V538" s="15"/>
      <c r="W538" s="14" t="str">
        <f t="shared" si="184"/>
        <v/>
      </c>
      <c r="X538" s="15"/>
      <c r="Y538" s="2"/>
      <c r="AB538" s="22">
        <f t="shared" si="185"/>
        <v>1</v>
      </c>
      <c r="AC538" s="11"/>
      <c r="AD538" s="11"/>
      <c r="AE538" s="13"/>
      <c r="AF538" s="12"/>
      <c r="AG538" s="13"/>
      <c r="AH538" s="14"/>
      <c r="AI538" s="81" t="str">
        <f t="shared" si="186"/>
        <v/>
      </c>
      <c r="AJ538" s="15"/>
      <c r="AK538" s="6" t="e">
        <f t="shared" si="187"/>
        <v>#N/A</v>
      </c>
      <c r="AL538" s="6" t="str">
        <f>IF(AB539&lt;&gt;AB538,AVERAGEIF(AB$9:AB538,AB538,AK$9:AK538),"")</f>
        <v/>
      </c>
      <c r="AM538" s="7" t="str">
        <f>IFERROR(IF(AB539&lt;&gt;AB538,AVERAGEIF(AB$9:AB538,AB538,AT$9:AT538),""),"")</f>
        <v/>
      </c>
      <c r="AN538" s="7" t="str">
        <f>IFERROR(IF(AB539&lt;&gt;AB538,AVERAGEIF(AB$9:AB538,AB538,AU$9:AU538),""),"")</f>
        <v/>
      </c>
      <c r="AO538" s="7" t="str" cm="1">
        <f t="array" ref="AO538">IFERROR(IF(AB539&lt;&gt;AB538,_xlfn.STDEV.P(IF(AB$9:AB538=AB538,AU$9:AU538)),""),"")</f>
        <v/>
      </c>
      <c r="AP538" s="7" t="str" cm="1">
        <f t="array" ref="AP538">IFERROR(IF(AB539&lt;&gt;AB538,_xlfn.STDEV.P(IF(AB$9:AB538=AB538,AT$9:AT538)),""),"")</f>
        <v/>
      </c>
      <c r="AQ538" s="8" t="str">
        <f t="shared" si="188"/>
        <v/>
      </c>
      <c r="AR538" s="8" t="str">
        <f t="shared" si="189"/>
        <v/>
      </c>
      <c r="AS538" s="8" t="str">
        <f t="shared" si="190"/>
        <v/>
      </c>
      <c r="AT538" s="9" t="str">
        <f t="shared" si="191"/>
        <v/>
      </c>
      <c r="AU538" s="9" t="str">
        <f t="shared" si="192"/>
        <v/>
      </c>
      <c r="AV538" s="14"/>
      <c r="AW538" s="15"/>
      <c r="AX538" s="14" t="str">
        <f t="shared" si="193"/>
        <v/>
      </c>
      <c r="AY538" s="15"/>
      <c r="AZ538" s="23"/>
      <c r="EW538" t="s">
        <v>46</v>
      </c>
      <c r="EX538" s="33" t="s">
        <v>47</v>
      </c>
      <c r="EY538" s="35" t="s">
        <v>1434</v>
      </c>
      <c r="EZ538" s="36" t="s">
        <v>1435</v>
      </c>
      <c r="FA538" s="36" t="s">
        <v>1192</v>
      </c>
      <c r="FB538" s="36" t="s">
        <v>344</v>
      </c>
      <c r="FC538" s="36" t="s">
        <v>1192</v>
      </c>
      <c r="FD538" s="36" t="s">
        <v>344</v>
      </c>
      <c r="FE538" s="36">
        <v>2026</v>
      </c>
      <c r="FF538" s="36" t="s">
        <v>59</v>
      </c>
      <c r="FG538" s="36" t="s">
        <v>1210</v>
      </c>
      <c r="FJ538" t="s">
        <v>59</v>
      </c>
      <c r="FM538" s="32" t="s">
        <v>1363</v>
      </c>
      <c r="FN538" t="s">
        <v>1363</v>
      </c>
      <c r="FO538" t="s">
        <v>1363</v>
      </c>
      <c r="FP538" t="str">
        <f t="shared" si="175"/>
        <v>C</v>
      </c>
      <c r="GU538" s="53">
        <v>83</v>
      </c>
      <c r="GV538" s="53">
        <v>532</v>
      </c>
    </row>
    <row r="539" spans="1:204" ht="15.5" x14ac:dyDescent="0.35">
      <c r="A539" s="95">
        <f t="shared" si="176"/>
        <v>1</v>
      </c>
      <c r="B539" s="11"/>
      <c r="C539" s="11"/>
      <c r="D539" s="92" t="str">
        <f>IFERROR(
IF(AND(OR(Planilla!B539="C",Planilla!B539="c"), VLOOKUP(E539,EX:FJ,13,0)="C"), "OK",IF(AND(OR(Planilla!B539="C",Planilla!B539="c"), OR(VLOOKUP(E539,EX:FJ,13,0)="B", VLOOKUP(E539,EX:FJ,13,0)="A")), "DEFICIT",IF(
AND(OR(Planilla!B539="B", Planilla!B539="BPAL"), VLOOKUP(E539,EX:FJ,13,0)="B"), "OK",IF(AND(OR(Planilla!B539="B", Planilla!B539="BPAL"), VLOOKUP(E539,EX:FJ,13,0)="A"), "DEFICIT",IF(AND(OR(Planilla!B539="B", Planilla!B539="BPAL"), VLOOKUP(E539,EX:FJ,13,0)="C"), "SOBREOFERTA",IF(AND(Planilla!B539="A", VLOOKUP(E539,EX:FJ,13,0)="A"), "OK",IF(
AND(Planilla!B539="A", OR(VLOOKUP(E539,EX:FJ,13,0)="B", VLOOKUP(E539,EX:FJ,13,0)="C")), "SOBREOFERTA",""
))))))),"")</f>
        <v/>
      </c>
      <c r="E539" s="12"/>
      <c r="F539" s="13"/>
      <c r="G539" s="14"/>
      <c r="H539" s="81" t="str">
        <f t="shared" si="177"/>
        <v/>
      </c>
      <c r="I539" s="7"/>
      <c r="J539" s="6" t="e">
        <f t="shared" si="178"/>
        <v>#N/A</v>
      </c>
      <c r="K539" s="6" t="str">
        <f>IF(A540&lt;&gt;A539,AVERAGEIF(A$9:A539,A539,J$9:J539),"")</f>
        <v/>
      </c>
      <c r="L539" s="7" t="str">
        <f>IFERROR(IF(A540&lt;&gt;A539,AVERAGEIF(A$9:A539,A539,S$9:S539),""),"")</f>
        <v/>
      </c>
      <c r="M539" s="7" t="str">
        <f>IFERROR(IF(A540&lt;&gt;A539,AVERAGEIF(A$9:A539,A539,T$9:T539),""),"")</f>
        <v/>
      </c>
      <c r="N539" s="7" t="str" cm="1">
        <f t="array" ref="N539">IFERROR(IF(A540&lt;&gt;A539,_xlfn.STDEV.P(IF(A$9:A539=A539,T$9:T539)),""),"")</f>
        <v/>
      </c>
      <c r="O539" s="7" t="str" cm="1">
        <f t="array" ref="O539">IFERROR(IF(A540&lt;&gt;A539,_xlfn.STDEV.P(IF(A$9:A539=A539,S$9:S539)),""),"")</f>
        <v/>
      </c>
      <c r="P539" s="8" t="str">
        <f t="shared" si="179"/>
        <v/>
      </c>
      <c r="Q539" s="8" t="str">
        <f t="shared" si="180"/>
        <v/>
      </c>
      <c r="R539" s="8" t="str">
        <f t="shared" si="181"/>
        <v/>
      </c>
      <c r="S539" s="9" t="str">
        <f t="shared" si="182"/>
        <v/>
      </c>
      <c r="T539" s="9" t="str">
        <f t="shared" si="183"/>
        <v/>
      </c>
      <c r="U539" s="14"/>
      <c r="V539" s="15"/>
      <c r="W539" s="14" t="str">
        <f t="shared" si="184"/>
        <v/>
      </c>
      <c r="X539" s="15"/>
      <c r="Y539" s="2"/>
      <c r="AB539" s="22">
        <f t="shared" si="185"/>
        <v>1</v>
      </c>
      <c r="AC539" s="11"/>
      <c r="AD539" s="11"/>
      <c r="AE539" s="13"/>
      <c r="AF539" s="12"/>
      <c r="AG539" s="13"/>
      <c r="AH539" s="14"/>
      <c r="AI539" s="81" t="str">
        <f t="shared" si="186"/>
        <v/>
      </c>
      <c r="AJ539" s="15"/>
      <c r="AK539" s="6" t="e">
        <f t="shared" si="187"/>
        <v>#N/A</v>
      </c>
      <c r="AL539" s="6" t="str">
        <f>IF(AB540&lt;&gt;AB539,AVERAGEIF(AB$9:AB539,AB539,AK$9:AK539),"")</f>
        <v/>
      </c>
      <c r="AM539" s="7" t="str">
        <f>IFERROR(IF(AB540&lt;&gt;AB539,AVERAGEIF(AB$9:AB539,AB539,AT$9:AT539),""),"")</f>
        <v/>
      </c>
      <c r="AN539" s="7" t="str">
        <f>IFERROR(IF(AB540&lt;&gt;AB539,AVERAGEIF(AB$9:AB539,AB539,AU$9:AU539),""),"")</f>
        <v/>
      </c>
      <c r="AO539" s="7" t="str" cm="1">
        <f t="array" ref="AO539">IFERROR(IF(AB540&lt;&gt;AB539,_xlfn.STDEV.P(IF(AB$9:AB539=AB539,AU$9:AU539)),""),"")</f>
        <v/>
      </c>
      <c r="AP539" s="7" t="str" cm="1">
        <f t="array" ref="AP539">IFERROR(IF(AB540&lt;&gt;AB539,_xlfn.STDEV.P(IF(AB$9:AB539=AB539,AT$9:AT539)),""),"")</f>
        <v/>
      </c>
      <c r="AQ539" s="8" t="str">
        <f t="shared" si="188"/>
        <v/>
      </c>
      <c r="AR539" s="8" t="str">
        <f t="shared" si="189"/>
        <v/>
      </c>
      <c r="AS539" s="8" t="str">
        <f t="shared" si="190"/>
        <v/>
      </c>
      <c r="AT539" s="9" t="str">
        <f t="shared" si="191"/>
        <v/>
      </c>
      <c r="AU539" s="9" t="str">
        <f t="shared" si="192"/>
        <v/>
      </c>
      <c r="AV539" s="14"/>
      <c r="AW539" s="15"/>
      <c r="AX539" s="14" t="str">
        <f t="shared" si="193"/>
        <v/>
      </c>
      <c r="AY539" s="15"/>
      <c r="AZ539" s="23"/>
      <c r="EW539" t="s">
        <v>46</v>
      </c>
      <c r="EX539" s="33" t="s">
        <v>47</v>
      </c>
      <c r="EY539" s="35" t="s">
        <v>1436</v>
      </c>
      <c r="EZ539" s="36" t="s">
        <v>1437</v>
      </c>
      <c r="FA539" s="36" t="s">
        <v>1192</v>
      </c>
      <c r="FB539" s="36" t="s">
        <v>344</v>
      </c>
      <c r="FC539" s="36" t="s">
        <v>1192</v>
      </c>
      <c r="FD539" s="36" t="s">
        <v>344</v>
      </c>
      <c r="FE539" s="36">
        <v>2026</v>
      </c>
      <c r="FF539" s="36" t="s">
        <v>59</v>
      </c>
      <c r="FG539" s="36" t="s">
        <v>1210</v>
      </c>
      <c r="FJ539" t="s">
        <v>59</v>
      </c>
      <c r="FM539" s="32" t="s">
        <v>1355</v>
      </c>
      <c r="FN539" t="s">
        <v>1355</v>
      </c>
      <c r="FO539" t="s">
        <v>1355</v>
      </c>
      <c r="FP539" t="str">
        <f t="shared" si="175"/>
        <v>C</v>
      </c>
      <c r="GU539" s="53">
        <v>84</v>
      </c>
      <c r="GV539" s="53">
        <v>533</v>
      </c>
    </row>
    <row r="540" spans="1:204" ht="15.5" x14ac:dyDescent="0.35">
      <c r="A540" s="95">
        <f t="shared" si="176"/>
        <v>1</v>
      </c>
      <c r="B540" s="11"/>
      <c r="C540" s="11"/>
      <c r="D540" s="92" t="str">
        <f>IFERROR(
IF(AND(OR(Planilla!B540="C",Planilla!B540="c"), VLOOKUP(E540,EX:FJ,13,0)="C"), "OK",IF(AND(OR(Planilla!B540="C",Planilla!B540="c"), OR(VLOOKUP(E540,EX:FJ,13,0)="B", VLOOKUP(E540,EX:FJ,13,0)="A")), "DEFICIT",IF(
AND(OR(Planilla!B540="B", Planilla!B540="BPAL"), VLOOKUP(E540,EX:FJ,13,0)="B"), "OK",IF(AND(OR(Planilla!B540="B", Planilla!B540="BPAL"), VLOOKUP(E540,EX:FJ,13,0)="A"), "DEFICIT",IF(AND(OR(Planilla!B540="B", Planilla!B540="BPAL"), VLOOKUP(E540,EX:FJ,13,0)="C"), "SOBREOFERTA",IF(AND(Planilla!B540="A", VLOOKUP(E540,EX:FJ,13,0)="A"), "OK",IF(
AND(Planilla!B540="A", OR(VLOOKUP(E540,EX:FJ,13,0)="B", VLOOKUP(E540,EX:FJ,13,0)="C")), "SOBREOFERTA",""
))))))),"")</f>
        <v/>
      </c>
      <c r="E540" s="12"/>
      <c r="F540" s="13"/>
      <c r="G540" s="14"/>
      <c r="H540" s="81" t="str">
        <f t="shared" si="177"/>
        <v/>
      </c>
      <c r="I540" s="7"/>
      <c r="J540" s="6" t="e">
        <f t="shared" si="178"/>
        <v>#N/A</v>
      </c>
      <c r="K540" s="6" t="str">
        <f>IF(A541&lt;&gt;A540,AVERAGEIF(A$9:A540,A540,J$9:J540),"")</f>
        <v/>
      </c>
      <c r="L540" s="7" t="str">
        <f>IFERROR(IF(A541&lt;&gt;A540,AVERAGEIF(A$9:A540,A540,S$9:S540),""),"")</f>
        <v/>
      </c>
      <c r="M540" s="7" t="str">
        <f>IFERROR(IF(A541&lt;&gt;A540,AVERAGEIF(A$9:A540,A540,T$9:T540),""),"")</f>
        <v/>
      </c>
      <c r="N540" s="7" t="str" cm="1">
        <f t="array" ref="N540">IFERROR(IF(A541&lt;&gt;A540,_xlfn.STDEV.P(IF(A$9:A540=A540,T$9:T540)),""),"")</f>
        <v/>
      </c>
      <c r="O540" s="7" t="str" cm="1">
        <f t="array" ref="O540">IFERROR(IF(A541&lt;&gt;A540,_xlfn.STDEV.P(IF(A$9:A540=A540,S$9:S540)),""),"")</f>
        <v/>
      </c>
      <c r="P540" s="8" t="str">
        <f t="shared" si="179"/>
        <v/>
      </c>
      <c r="Q540" s="8" t="str">
        <f t="shared" si="180"/>
        <v/>
      </c>
      <c r="R540" s="8" t="str">
        <f t="shared" si="181"/>
        <v/>
      </c>
      <c r="S540" s="9" t="str">
        <f t="shared" si="182"/>
        <v/>
      </c>
      <c r="T540" s="9" t="str">
        <f t="shared" si="183"/>
        <v/>
      </c>
      <c r="U540" s="14"/>
      <c r="V540" s="15"/>
      <c r="W540" s="14" t="str">
        <f t="shared" si="184"/>
        <v/>
      </c>
      <c r="X540" s="15"/>
      <c r="Y540" s="2"/>
      <c r="AB540" s="22">
        <f t="shared" si="185"/>
        <v>1</v>
      </c>
      <c r="AC540" s="11"/>
      <c r="AD540" s="11"/>
      <c r="AE540" s="13"/>
      <c r="AF540" s="12"/>
      <c r="AG540" s="13"/>
      <c r="AH540" s="14"/>
      <c r="AI540" s="81" t="str">
        <f t="shared" si="186"/>
        <v/>
      </c>
      <c r="AJ540" s="15"/>
      <c r="AK540" s="6" t="e">
        <f t="shared" si="187"/>
        <v>#N/A</v>
      </c>
      <c r="AL540" s="6" t="str">
        <f>IF(AB541&lt;&gt;AB540,AVERAGEIF(AB$9:AB540,AB540,AK$9:AK540),"")</f>
        <v/>
      </c>
      <c r="AM540" s="7" t="str">
        <f>IFERROR(IF(AB541&lt;&gt;AB540,AVERAGEIF(AB$9:AB540,AB540,AT$9:AT540),""),"")</f>
        <v/>
      </c>
      <c r="AN540" s="7" t="str">
        <f>IFERROR(IF(AB541&lt;&gt;AB540,AVERAGEIF(AB$9:AB540,AB540,AU$9:AU540),""),"")</f>
        <v/>
      </c>
      <c r="AO540" s="7" t="str" cm="1">
        <f t="array" ref="AO540">IFERROR(IF(AB541&lt;&gt;AB540,_xlfn.STDEV.P(IF(AB$9:AB540=AB540,AU$9:AU540)),""),"")</f>
        <v/>
      </c>
      <c r="AP540" s="7" t="str" cm="1">
        <f t="array" ref="AP540">IFERROR(IF(AB541&lt;&gt;AB540,_xlfn.STDEV.P(IF(AB$9:AB540=AB540,AT$9:AT540)),""),"")</f>
        <v/>
      </c>
      <c r="AQ540" s="8" t="str">
        <f t="shared" si="188"/>
        <v/>
      </c>
      <c r="AR540" s="8" t="str">
        <f t="shared" si="189"/>
        <v/>
      </c>
      <c r="AS540" s="8" t="str">
        <f t="shared" si="190"/>
        <v/>
      </c>
      <c r="AT540" s="9" t="str">
        <f t="shared" si="191"/>
        <v/>
      </c>
      <c r="AU540" s="9" t="str">
        <f t="shared" si="192"/>
        <v/>
      </c>
      <c r="AV540" s="14"/>
      <c r="AW540" s="15"/>
      <c r="AX540" s="14" t="str">
        <f t="shared" si="193"/>
        <v/>
      </c>
      <c r="AY540" s="15"/>
      <c r="AZ540" s="23"/>
      <c r="EW540" t="s">
        <v>46</v>
      </c>
      <c r="EX540" s="33" t="s">
        <v>47</v>
      </c>
      <c r="EY540" s="35" t="s">
        <v>1438</v>
      </c>
      <c r="EZ540" s="36" t="s">
        <v>1439</v>
      </c>
      <c r="FA540" s="36" t="s">
        <v>1192</v>
      </c>
      <c r="FB540" s="36" t="s">
        <v>344</v>
      </c>
      <c r="FC540" s="36" t="s">
        <v>1192</v>
      </c>
      <c r="FD540" s="36" t="s">
        <v>344</v>
      </c>
      <c r="FE540" s="36">
        <v>2026</v>
      </c>
      <c r="FF540" s="36" t="s">
        <v>59</v>
      </c>
      <c r="FG540" s="36" t="s">
        <v>1210</v>
      </c>
      <c r="FJ540" t="s">
        <v>59</v>
      </c>
      <c r="FM540" s="32" t="s">
        <v>1359</v>
      </c>
      <c r="FN540" t="s">
        <v>1359</v>
      </c>
      <c r="FO540" t="s">
        <v>1359</v>
      </c>
      <c r="FP540" t="str">
        <f t="shared" si="175"/>
        <v>C</v>
      </c>
      <c r="GU540" s="53">
        <v>85</v>
      </c>
      <c r="GV540" s="53">
        <v>534</v>
      </c>
    </row>
    <row r="541" spans="1:204" ht="15.5" x14ac:dyDescent="0.35">
      <c r="A541" s="95">
        <f t="shared" si="176"/>
        <v>1</v>
      </c>
      <c r="B541" s="11"/>
      <c r="C541" s="11"/>
      <c r="D541" s="92" t="str">
        <f>IFERROR(
IF(AND(OR(Planilla!B541="C",Planilla!B541="c"), VLOOKUP(E541,EX:FJ,13,0)="C"), "OK",IF(AND(OR(Planilla!B541="C",Planilla!B541="c"), OR(VLOOKUP(E541,EX:FJ,13,0)="B", VLOOKUP(E541,EX:FJ,13,0)="A")), "DEFICIT",IF(
AND(OR(Planilla!B541="B", Planilla!B541="BPAL"), VLOOKUP(E541,EX:FJ,13,0)="B"), "OK",IF(AND(OR(Planilla!B541="B", Planilla!B541="BPAL"), VLOOKUP(E541,EX:FJ,13,0)="A"), "DEFICIT",IF(AND(OR(Planilla!B541="B", Planilla!B541="BPAL"), VLOOKUP(E541,EX:FJ,13,0)="C"), "SOBREOFERTA",IF(AND(Planilla!B541="A", VLOOKUP(E541,EX:FJ,13,0)="A"), "OK",IF(
AND(Planilla!B541="A", OR(VLOOKUP(E541,EX:FJ,13,0)="B", VLOOKUP(E541,EX:FJ,13,0)="C")), "SOBREOFERTA",""
))))))),"")</f>
        <v/>
      </c>
      <c r="E541" s="12"/>
      <c r="F541" s="13"/>
      <c r="G541" s="14"/>
      <c r="H541" s="81" t="str">
        <f t="shared" si="177"/>
        <v/>
      </c>
      <c r="I541" s="7"/>
      <c r="J541" s="6" t="e">
        <f t="shared" si="178"/>
        <v>#N/A</v>
      </c>
      <c r="K541" s="6" t="str">
        <f>IF(A542&lt;&gt;A541,AVERAGEIF(A$9:A541,A541,J$9:J541),"")</f>
        <v/>
      </c>
      <c r="L541" s="7" t="str">
        <f>IFERROR(IF(A542&lt;&gt;A541,AVERAGEIF(A$9:A541,A541,S$9:S541),""),"")</f>
        <v/>
      </c>
      <c r="M541" s="7" t="str">
        <f>IFERROR(IF(A542&lt;&gt;A541,AVERAGEIF(A$9:A541,A541,T$9:T541),""),"")</f>
        <v/>
      </c>
      <c r="N541" s="7" t="str" cm="1">
        <f t="array" ref="N541">IFERROR(IF(A542&lt;&gt;A541,_xlfn.STDEV.P(IF(A$9:A541=A541,T$9:T541)),""),"")</f>
        <v/>
      </c>
      <c r="O541" s="7" t="str" cm="1">
        <f t="array" ref="O541">IFERROR(IF(A542&lt;&gt;A541,_xlfn.STDEV.P(IF(A$9:A541=A541,S$9:S541)),""),"")</f>
        <v/>
      </c>
      <c r="P541" s="8" t="str">
        <f t="shared" si="179"/>
        <v/>
      </c>
      <c r="Q541" s="8" t="str">
        <f t="shared" si="180"/>
        <v/>
      </c>
      <c r="R541" s="8" t="str">
        <f t="shared" si="181"/>
        <v/>
      </c>
      <c r="S541" s="9" t="str">
        <f t="shared" si="182"/>
        <v/>
      </c>
      <c r="T541" s="9" t="str">
        <f t="shared" si="183"/>
        <v/>
      </c>
      <c r="U541" s="14"/>
      <c r="V541" s="15"/>
      <c r="W541" s="14" t="str">
        <f t="shared" si="184"/>
        <v/>
      </c>
      <c r="X541" s="15"/>
      <c r="Y541" s="2"/>
      <c r="AB541" s="22">
        <f t="shared" si="185"/>
        <v>1</v>
      </c>
      <c r="AC541" s="11"/>
      <c r="AD541" s="11"/>
      <c r="AE541" s="13"/>
      <c r="AF541" s="12"/>
      <c r="AG541" s="13"/>
      <c r="AH541" s="14"/>
      <c r="AI541" s="81" t="str">
        <f t="shared" si="186"/>
        <v/>
      </c>
      <c r="AJ541" s="15"/>
      <c r="AK541" s="6" t="e">
        <f t="shared" si="187"/>
        <v>#N/A</v>
      </c>
      <c r="AL541" s="6" t="str">
        <f>IF(AB542&lt;&gt;AB541,AVERAGEIF(AB$9:AB541,AB541,AK$9:AK541),"")</f>
        <v/>
      </c>
      <c r="AM541" s="7" t="str">
        <f>IFERROR(IF(AB542&lt;&gt;AB541,AVERAGEIF(AB$9:AB541,AB541,AT$9:AT541),""),"")</f>
        <v/>
      </c>
      <c r="AN541" s="7" t="str">
        <f>IFERROR(IF(AB542&lt;&gt;AB541,AVERAGEIF(AB$9:AB541,AB541,AU$9:AU541),""),"")</f>
        <v/>
      </c>
      <c r="AO541" s="7" t="str" cm="1">
        <f t="array" ref="AO541">IFERROR(IF(AB542&lt;&gt;AB541,_xlfn.STDEV.P(IF(AB$9:AB541=AB541,AU$9:AU541)),""),"")</f>
        <v/>
      </c>
      <c r="AP541" s="7" t="str" cm="1">
        <f t="array" ref="AP541">IFERROR(IF(AB542&lt;&gt;AB541,_xlfn.STDEV.P(IF(AB$9:AB541=AB541,AT$9:AT541)),""),"")</f>
        <v/>
      </c>
      <c r="AQ541" s="8" t="str">
        <f t="shared" si="188"/>
        <v/>
      </c>
      <c r="AR541" s="8" t="str">
        <f t="shared" si="189"/>
        <v/>
      </c>
      <c r="AS541" s="8" t="str">
        <f t="shared" si="190"/>
        <v/>
      </c>
      <c r="AT541" s="9" t="str">
        <f t="shared" si="191"/>
        <v/>
      </c>
      <c r="AU541" s="9" t="str">
        <f t="shared" si="192"/>
        <v/>
      </c>
      <c r="AV541" s="14"/>
      <c r="AW541" s="15"/>
      <c r="AX541" s="14" t="str">
        <f t="shared" si="193"/>
        <v/>
      </c>
      <c r="AY541" s="15"/>
      <c r="AZ541" s="23"/>
      <c r="EW541" t="s">
        <v>46</v>
      </c>
      <c r="EX541" s="33" t="s">
        <v>47</v>
      </c>
      <c r="EY541" s="35" t="s">
        <v>1440</v>
      </c>
      <c r="EZ541" s="36" t="s">
        <v>1441</v>
      </c>
      <c r="FA541" s="36" t="s">
        <v>1192</v>
      </c>
      <c r="FB541" s="36" t="s">
        <v>344</v>
      </c>
      <c r="FC541" s="36" t="s">
        <v>1192</v>
      </c>
      <c r="FD541" s="36" t="s">
        <v>344</v>
      </c>
      <c r="FE541" s="36">
        <v>2026</v>
      </c>
      <c r="FF541" s="36" t="s">
        <v>59</v>
      </c>
      <c r="FG541" s="36" t="s">
        <v>1210</v>
      </c>
      <c r="FJ541" t="s">
        <v>59</v>
      </c>
      <c r="FM541" s="32" t="s">
        <v>1405</v>
      </c>
      <c r="FN541" t="s">
        <v>1405</v>
      </c>
      <c r="FO541" t="s">
        <v>1405</v>
      </c>
      <c r="FP541" t="str">
        <f t="shared" si="175"/>
        <v>C</v>
      </c>
      <c r="GU541" s="53">
        <v>86</v>
      </c>
      <c r="GV541" s="53">
        <v>535</v>
      </c>
    </row>
    <row r="542" spans="1:204" ht="15.5" x14ac:dyDescent="0.35">
      <c r="A542" s="95">
        <f t="shared" si="176"/>
        <v>1</v>
      </c>
      <c r="B542" s="11"/>
      <c r="C542" s="11"/>
      <c r="D542" s="92" t="str">
        <f>IFERROR(
IF(AND(OR(Planilla!B542="C",Planilla!B542="c"), VLOOKUP(E542,EX:FJ,13,0)="C"), "OK",IF(AND(OR(Planilla!B542="C",Planilla!B542="c"), OR(VLOOKUP(E542,EX:FJ,13,0)="B", VLOOKUP(E542,EX:FJ,13,0)="A")), "DEFICIT",IF(
AND(OR(Planilla!B542="B", Planilla!B542="BPAL"), VLOOKUP(E542,EX:FJ,13,0)="B"), "OK",IF(AND(OR(Planilla!B542="B", Planilla!B542="BPAL"), VLOOKUP(E542,EX:FJ,13,0)="A"), "DEFICIT",IF(AND(OR(Planilla!B542="B", Planilla!B542="BPAL"), VLOOKUP(E542,EX:FJ,13,0)="C"), "SOBREOFERTA",IF(AND(Planilla!B542="A", VLOOKUP(E542,EX:FJ,13,0)="A"), "OK",IF(
AND(Planilla!B542="A", OR(VLOOKUP(E542,EX:FJ,13,0)="B", VLOOKUP(E542,EX:FJ,13,0)="C")), "SOBREOFERTA",""
))))))),"")</f>
        <v/>
      </c>
      <c r="E542" s="12"/>
      <c r="F542" s="13"/>
      <c r="G542" s="14"/>
      <c r="H542" s="81" t="str">
        <f t="shared" si="177"/>
        <v/>
      </c>
      <c r="I542" s="7"/>
      <c r="J542" s="6" t="e">
        <f t="shared" si="178"/>
        <v>#N/A</v>
      </c>
      <c r="K542" s="6" t="str">
        <f>IF(A543&lt;&gt;A542,AVERAGEIF(A$9:A542,A542,J$9:J542),"")</f>
        <v/>
      </c>
      <c r="L542" s="7" t="str">
        <f>IFERROR(IF(A543&lt;&gt;A542,AVERAGEIF(A$9:A542,A542,S$9:S542),""),"")</f>
        <v/>
      </c>
      <c r="M542" s="7" t="str">
        <f>IFERROR(IF(A543&lt;&gt;A542,AVERAGEIF(A$9:A542,A542,T$9:T542),""),"")</f>
        <v/>
      </c>
      <c r="N542" s="7" t="str" cm="1">
        <f t="array" ref="N542">IFERROR(IF(A543&lt;&gt;A542,_xlfn.STDEV.P(IF(A$9:A542=A542,T$9:T542)),""),"")</f>
        <v/>
      </c>
      <c r="O542" s="7" t="str" cm="1">
        <f t="array" ref="O542">IFERROR(IF(A543&lt;&gt;A542,_xlfn.STDEV.P(IF(A$9:A542=A542,S$9:S542)),""),"")</f>
        <v/>
      </c>
      <c r="P542" s="8" t="str">
        <f t="shared" si="179"/>
        <v/>
      </c>
      <c r="Q542" s="8" t="str">
        <f t="shared" si="180"/>
        <v/>
      </c>
      <c r="R542" s="8" t="str">
        <f t="shared" si="181"/>
        <v/>
      </c>
      <c r="S542" s="9" t="str">
        <f t="shared" si="182"/>
        <v/>
      </c>
      <c r="T542" s="9" t="str">
        <f t="shared" si="183"/>
        <v/>
      </c>
      <c r="U542" s="14"/>
      <c r="V542" s="15"/>
      <c r="W542" s="14" t="str">
        <f t="shared" si="184"/>
        <v/>
      </c>
      <c r="X542" s="15"/>
      <c r="Y542" s="2"/>
      <c r="AB542" s="22">
        <f t="shared" si="185"/>
        <v>1</v>
      </c>
      <c r="AC542" s="11"/>
      <c r="AD542" s="11"/>
      <c r="AE542" s="13"/>
      <c r="AF542" s="12"/>
      <c r="AG542" s="13"/>
      <c r="AH542" s="14"/>
      <c r="AI542" s="81" t="str">
        <f t="shared" si="186"/>
        <v/>
      </c>
      <c r="AJ542" s="15"/>
      <c r="AK542" s="6" t="e">
        <f t="shared" si="187"/>
        <v>#N/A</v>
      </c>
      <c r="AL542" s="6" t="str">
        <f>IF(AB543&lt;&gt;AB542,AVERAGEIF(AB$9:AB542,AB542,AK$9:AK542),"")</f>
        <v/>
      </c>
      <c r="AM542" s="7" t="str">
        <f>IFERROR(IF(AB543&lt;&gt;AB542,AVERAGEIF(AB$9:AB542,AB542,AT$9:AT542),""),"")</f>
        <v/>
      </c>
      <c r="AN542" s="7" t="str">
        <f>IFERROR(IF(AB543&lt;&gt;AB542,AVERAGEIF(AB$9:AB542,AB542,AU$9:AU542),""),"")</f>
        <v/>
      </c>
      <c r="AO542" s="7" t="str" cm="1">
        <f t="array" ref="AO542">IFERROR(IF(AB543&lt;&gt;AB542,_xlfn.STDEV.P(IF(AB$9:AB542=AB542,AU$9:AU542)),""),"")</f>
        <v/>
      </c>
      <c r="AP542" s="7" t="str" cm="1">
        <f t="array" ref="AP542">IFERROR(IF(AB543&lt;&gt;AB542,_xlfn.STDEV.P(IF(AB$9:AB542=AB542,AT$9:AT542)),""),"")</f>
        <v/>
      </c>
      <c r="AQ542" s="8" t="str">
        <f t="shared" si="188"/>
        <v/>
      </c>
      <c r="AR542" s="8" t="str">
        <f t="shared" si="189"/>
        <v/>
      </c>
      <c r="AS542" s="8" t="str">
        <f t="shared" si="190"/>
        <v/>
      </c>
      <c r="AT542" s="9" t="str">
        <f t="shared" si="191"/>
        <v/>
      </c>
      <c r="AU542" s="9" t="str">
        <f t="shared" si="192"/>
        <v/>
      </c>
      <c r="AV542" s="14"/>
      <c r="AW542" s="15"/>
      <c r="AX542" s="14" t="str">
        <f t="shared" si="193"/>
        <v/>
      </c>
      <c r="AY542" s="15"/>
      <c r="AZ542" s="23"/>
      <c r="EW542" t="s">
        <v>46</v>
      </c>
      <c r="EX542" s="33" t="s">
        <v>47</v>
      </c>
      <c r="EY542" s="35" t="s">
        <v>1442</v>
      </c>
      <c r="EZ542" s="36" t="s">
        <v>1443</v>
      </c>
      <c r="FA542" s="36" t="s">
        <v>1192</v>
      </c>
      <c r="FB542" s="36" t="s">
        <v>344</v>
      </c>
      <c r="FC542" s="36" t="s">
        <v>1192</v>
      </c>
      <c r="FD542" s="36" t="s">
        <v>344</v>
      </c>
      <c r="FE542" s="36">
        <v>2026</v>
      </c>
      <c r="FF542" s="36" t="s">
        <v>59</v>
      </c>
      <c r="FG542" s="36" t="s">
        <v>1241</v>
      </c>
      <c r="FJ542" t="s">
        <v>59</v>
      </c>
      <c r="FM542" s="32" t="s">
        <v>1367</v>
      </c>
      <c r="FN542" t="s">
        <v>1367</v>
      </c>
      <c r="FO542" t="s">
        <v>1367</v>
      </c>
      <c r="FP542" t="str">
        <f t="shared" si="175"/>
        <v>C</v>
      </c>
      <c r="GU542" s="53">
        <v>87</v>
      </c>
      <c r="GV542" s="53">
        <v>536</v>
      </c>
    </row>
    <row r="543" spans="1:204" ht="15.5" x14ac:dyDescent="0.35">
      <c r="A543" s="95">
        <f t="shared" si="176"/>
        <v>1</v>
      </c>
      <c r="B543" s="11"/>
      <c r="C543" s="11"/>
      <c r="D543" s="92" t="str">
        <f>IFERROR(
IF(AND(OR(Planilla!B543="C",Planilla!B543="c"), VLOOKUP(E543,EX:FJ,13,0)="C"), "OK",IF(AND(OR(Planilla!B543="C",Planilla!B543="c"), OR(VLOOKUP(E543,EX:FJ,13,0)="B", VLOOKUP(E543,EX:FJ,13,0)="A")), "DEFICIT",IF(
AND(OR(Planilla!B543="B", Planilla!B543="BPAL"), VLOOKUP(E543,EX:FJ,13,0)="B"), "OK",IF(AND(OR(Planilla!B543="B", Planilla!B543="BPAL"), VLOOKUP(E543,EX:FJ,13,0)="A"), "DEFICIT",IF(AND(OR(Planilla!B543="B", Planilla!B543="BPAL"), VLOOKUP(E543,EX:FJ,13,0)="C"), "SOBREOFERTA",IF(AND(Planilla!B543="A", VLOOKUP(E543,EX:FJ,13,0)="A"), "OK",IF(
AND(Planilla!B543="A", OR(VLOOKUP(E543,EX:FJ,13,0)="B", VLOOKUP(E543,EX:FJ,13,0)="C")), "SOBREOFERTA",""
))))))),"")</f>
        <v/>
      </c>
      <c r="E543" s="12"/>
      <c r="F543" s="13"/>
      <c r="G543" s="14"/>
      <c r="H543" s="81" t="str">
        <f t="shared" si="177"/>
        <v/>
      </c>
      <c r="I543" s="7"/>
      <c r="J543" s="6" t="e">
        <f t="shared" si="178"/>
        <v>#N/A</v>
      </c>
      <c r="K543" s="6" t="str">
        <f>IF(A544&lt;&gt;A543,AVERAGEIF(A$9:A543,A543,J$9:J543),"")</f>
        <v/>
      </c>
      <c r="L543" s="7" t="str">
        <f>IFERROR(IF(A544&lt;&gt;A543,AVERAGEIF(A$9:A543,A543,S$9:S543),""),"")</f>
        <v/>
      </c>
      <c r="M543" s="7" t="str">
        <f>IFERROR(IF(A544&lt;&gt;A543,AVERAGEIF(A$9:A543,A543,T$9:T543),""),"")</f>
        <v/>
      </c>
      <c r="N543" s="7" t="str" cm="1">
        <f t="array" ref="N543">IFERROR(IF(A544&lt;&gt;A543,_xlfn.STDEV.P(IF(A$9:A543=A543,T$9:T543)),""),"")</f>
        <v/>
      </c>
      <c r="O543" s="7" t="str" cm="1">
        <f t="array" ref="O543">IFERROR(IF(A544&lt;&gt;A543,_xlfn.STDEV.P(IF(A$9:A543=A543,S$9:S543)),""),"")</f>
        <v/>
      </c>
      <c r="P543" s="8" t="str">
        <f t="shared" si="179"/>
        <v/>
      </c>
      <c r="Q543" s="8" t="str">
        <f t="shared" si="180"/>
        <v/>
      </c>
      <c r="R543" s="8" t="str">
        <f t="shared" si="181"/>
        <v/>
      </c>
      <c r="S543" s="9" t="str">
        <f t="shared" si="182"/>
        <v/>
      </c>
      <c r="T543" s="9" t="str">
        <f t="shared" si="183"/>
        <v/>
      </c>
      <c r="U543" s="14"/>
      <c r="V543" s="15"/>
      <c r="W543" s="14" t="str">
        <f t="shared" si="184"/>
        <v/>
      </c>
      <c r="X543" s="15"/>
      <c r="Y543" s="2"/>
      <c r="AB543" s="22">
        <f t="shared" si="185"/>
        <v>1</v>
      </c>
      <c r="AC543" s="11"/>
      <c r="AD543" s="11"/>
      <c r="AE543" s="13"/>
      <c r="AF543" s="12"/>
      <c r="AG543" s="13"/>
      <c r="AH543" s="14"/>
      <c r="AI543" s="81" t="str">
        <f t="shared" si="186"/>
        <v/>
      </c>
      <c r="AJ543" s="15"/>
      <c r="AK543" s="6" t="e">
        <f t="shared" si="187"/>
        <v>#N/A</v>
      </c>
      <c r="AL543" s="6" t="str">
        <f>IF(AB544&lt;&gt;AB543,AVERAGEIF(AB$9:AB543,AB543,AK$9:AK543),"")</f>
        <v/>
      </c>
      <c r="AM543" s="7" t="str">
        <f>IFERROR(IF(AB544&lt;&gt;AB543,AVERAGEIF(AB$9:AB543,AB543,AT$9:AT543),""),"")</f>
        <v/>
      </c>
      <c r="AN543" s="7" t="str">
        <f>IFERROR(IF(AB544&lt;&gt;AB543,AVERAGEIF(AB$9:AB543,AB543,AU$9:AU543),""),"")</f>
        <v/>
      </c>
      <c r="AO543" s="7" t="str" cm="1">
        <f t="array" ref="AO543">IFERROR(IF(AB544&lt;&gt;AB543,_xlfn.STDEV.P(IF(AB$9:AB543=AB543,AU$9:AU543)),""),"")</f>
        <v/>
      </c>
      <c r="AP543" s="7" t="str" cm="1">
        <f t="array" ref="AP543">IFERROR(IF(AB544&lt;&gt;AB543,_xlfn.STDEV.P(IF(AB$9:AB543=AB543,AT$9:AT543)),""),"")</f>
        <v/>
      </c>
      <c r="AQ543" s="8" t="str">
        <f t="shared" si="188"/>
        <v/>
      </c>
      <c r="AR543" s="8" t="str">
        <f t="shared" si="189"/>
        <v/>
      </c>
      <c r="AS543" s="8" t="str">
        <f t="shared" si="190"/>
        <v/>
      </c>
      <c r="AT543" s="9" t="str">
        <f t="shared" si="191"/>
        <v/>
      </c>
      <c r="AU543" s="9" t="str">
        <f t="shared" si="192"/>
        <v/>
      </c>
      <c r="AV543" s="14"/>
      <c r="AW543" s="15"/>
      <c r="AX543" s="14" t="str">
        <f t="shared" si="193"/>
        <v/>
      </c>
      <c r="AY543" s="15"/>
      <c r="AZ543" s="23"/>
      <c r="EW543" t="s">
        <v>46</v>
      </c>
      <c r="EX543" s="33" t="s">
        <v>47</v>
      </c>
      <c r="EY543" s="35" t="s">
        <v>1444</v>
      </c>
      <c r="EZ543" s="36" t="s">
        <v>1445</v>
      </c>
      <c r="FA543" s="36" t="s">
        <v>1192</v>
      </c>
      <c r="FB543" s="36" t="s">
        <v>344</v>
      </c>
      <c r="FC543" s="36" t="s">
        <v>1192</v>
      </c>
      <c r="FD543" s="36" t="s">
        <v>344</v>
      </c>
      <c r="FE543" s="36">
        <v>2026</v>
      </c>
      <c r="FF543" s="36" t="s">
        <v>59</v>
      </c>
      <c r="FG543" s="36" t="s">
        <v>1241</v>
      </c>
      <c r="FJ543" t="s">
        <v>59</v>
      </c>
      <c r="FM543" s="32" t="s">
        <v>499</v>
      </c>
      <c r="FN543" t="s">
        <v>499</v>
      </c>
      <c r="FO543" t="s">
        <v>499</v>
      </c>
      <c r="FP543" t="str">
        <f t="shared" si="175"/>
        <v>B</v>
      </c>
      <c r="GU543" s="53">
        <v>88</v>
      </c>
      <c r="GV543" s="53">
        <v>537</v>
      </c>
    </row>
    <row r="544" spans="1:204" ht="15.5" x14ac:dyDescent="0.35">
      <c r="A544" s="95">
        <f t="shared" si="176"/>
        <v>1</v>
      </c>
      <c r="B544" s="11"/>
      <c r="C544" s="11"/>
      <c r="D544" s="92" t="str">
        <f>IFERROR(
IF(AND(OR(Planilla!B544="C",Planilla!B544="c"), VLOOKUP(E544,EX:FJ,13,0)="C"), "OK",IF(AND(OR(Planilla!B544="C",Planilla!B544="c"), OR(VLOOKUP(E544,EX:FJ,13,0)="B", VLOOKUP(E544,EX:FJ,13,0)="A")), "DEFICIT",IF(
AND(OR(Planilla!B544="B", Planilla!B544="BPAL"), VLOOKUP(E544,EX:FJ,13,0)="B"), "OK",IF(AND(OR(Planilla!B544="B", Planilla!B544="BPAL"), VLOOKUP(E544,EX:FJ,13,0)="A"), "DEFICIT",IF(AND(OR(Planilla!B544="B", Planilla!B544="BPAL"), VLOOKUP(E544,EX:FJ,13,0)="C"), "SOBREOFERTA",IF(AND(Planilla!B544="A", VLOOKUP(E544,EX:FJ,13,0)="A"), "OK",IF(
AND(Planilla!B544="A", OR(VLOOKUP(E544,EX:FJ,13,0)="B", VLOOKUP(E544,EX:FJ,13,0)="C")), "SOBREOFERTA",""
))))))),"")</f>
        <v/>
      </c>
      <c r="E544" s="12"/>
      <c r="F544" s="13"/>
      <c r="G544" s="14"/>
      <c r="H544" s="81" t="str">
        <f t="shared" si="177"/>
        <v/>
      </c>
      <c r="I544" s="7"/>
      <c r="J544" s="6" t="e">
        <f t="shared" si="178"/>
        <v>#N/A</v>
      </c>
      <c r="K544" s="6" t="str">
        <f>IF(A545&lt;&gt;A544,AVERAGEIF(A$9:A544,A544,J$9:J544),"")</f>
        <v/>
      </c>
      <c r="L544" s="7" t="str">
        <f>IFERROR(IF(A545&lt;&gt;A544,AVERAGEIF(A$9:A544,A544,S$9:S544),""),"")</f>
        <v/>
      </c>
      <c r="M544" s="7" t="str">
        <f>IFERROR(IF(A545&lt;&gt;A544,AVERAGEIF(A$9:A544,A544,T$9:T544),""),"")</f>
        <v/>
      </c>
      <c r="N544" s="7" t="str" cm="1">
        <f t="array" ref="N544">IFERROR(IF(A545&lt;&gt;A544,_xlfn.STDEV.P(IF(A$9:A544=A544,T$9:T544)),""),"")</f>
        <v/>
      </c>
      <c r="O544" s="7" t="str" cm="1">
        <f t="array" ref="O544">IFERROR(IF(A545&lt;&gt;A544,_xlfn.STDEV.P(IF(A$9:A544=A544,S$9:S544)),""),"")</f>
        <v/>
      </c>
      <c r="P544" s="8" t="str">
        <f t="shared" si="179"/>
        <v/>
      </c>
      <c r="Q544" s="8" t="str">
        <f t="shared" si="180"/>
        <v/>
      </c>
      <c r="R544" s="8" t="str">
        <f t="shared" si="181"/>
        <v/>
      </c>
      <c r="S544" s="9" t="str">
        <f t="shared" si="182"/>
        <v/>
      </c>
      <c r="T544" s="9" t="str">
        <f t="shared" si="183"/>
        <v/>
      </c>
      <c r="U544" s="14"/>
      <c r="V544" s="15"/>
      <c r="W544" s="14" t="str">
        <f t="shared" si="184"/>
        <v/>
      </c>
      <c r="X544" s="15"/>
      <c r="Y544" s="2"/>
      <c r="AB544" s="22">
        <f t="shared" si="185"/>
        <v>1</v>
      </c>
      <c r="AC544" s="11"/>
      <c r="AD544" s="11"/>
      <c r="AE544" s="13"/>
      <c r="AF544" s="12"/>
      <c r="AG544" s="13"/>
      <c r="AH544" s="14"/>
      <c r="AI544" s="81" t="str">
        <f t="shared" si="186"/>
        <v/>
      </c>
      <c r="AJ544" s="15"/>
      <c r="AK544" s="6" t="e">
        <f t="shared" si="187"/>
        <v>#N/A</v>
      </c>
      <c r="AL544" s="6" t="str">
        <f>IF(AB545&lt;&gt;AB544,AVERAGEIF(AB$9:AB544,AB544,AK$9:AK544),"")</f>
        <v/>
      </c>
      <c r="AM544" s="7" t="str">
        <f>IFERROR(IF(AB545&lt;&gt;AB544,AVERAGEIF(AB$9:AB544,AB544,AT$9:AT544),""),"")</f>
        <v/>
      </c>
      <c r="AN544" s="7" t="str">
        <f>IFERROR(IF(AB545&lt;&gt;AB544,AVERAGEIF(AB$9:AB544,AB544,AU$9:AU544),""),"")</f>
        <v/>
      </c>
      <c r="AO544" s="7" t="str" cm="1">
        <f t="array" ref="AO544">IFERROR(IF(AB545&lt;&gt;AB544,_xlfn.STDEV.P(IF(AB$9:AB544=AB544,AU$9:AU544)),""),"")</f>
        <v/>
      </c>
      <c r="AP544" s="7" t="str" cm="1">
        <f t="array" ref="AP544">IFERROR(IF(AB545&lt;&gt;AB544,_xlfn.STDEV.P(IF(AB$9:AB544=AB544,AT$9:AT544)),""),"")</f>
        <v/>
      </c>
      <c r="AQ544" s="8" t="str">
        <f t="shared" si="188"/>
        <v/>
      </c>
      <c r="AR544" s="8" t="str">
        <f t="shared" si="189"/>
        <v/>
      </c>
      <c r="AS544" s="8" t="str">
        <f t="shared" si="190"/>
        <v/>
      </c>
      <c r="AT544" s="9" t="str">
        <f t="shared" si="191"/>
        <v/>
      </c>
      <c r="AU544" s="9" t="str">
        <f t="shared" si="192"/>
        <v/>
      </c>
      <c r="AV544" s="14"/>
      <c r="AW544" s="15"/>
      <c r="AX544" s="14" t="str">
        <f t="shared" si="193"/>
        <v/>
      </c>
      <c r="AY544" s="15"/>
      <c r="AZ544" s="23"/>
      <c r="EW544" t="s">
        <v>46</v>
      </c>
      <c r="EX544" s="33" t="s">
        <v>47</v>
      </c>
      <c r="EY544" s="35" t="s">
        <v>1446</v>
      </c>
      <c r="EZ544" s="36" t="s">
        <v>1447</v>
      </c>
      <c r="FA544" s="36" t="s">
        <v>1192</v>
      </c>
      <c r="FB544" s="36" t="s">
        <v>344</v>
      </c>
      <c r="FC544" s="36" t="s">
        <v>1192</v>
      </c>
      <c r="FD544" s="36" t="s">
        <v>344</v>
      </c>
      <c r="FE544" s="36">
        <v>2026</v>
      </c>
      <c r="FF544" s="36" t="s">
        <v>59</v>
      </c>
      <c r="FG544" s="36" t="s">
        <v>1241</v>
      </c>
      <c r="FJ544" t="s">
        <v>59</v>
      </c>
      <c r="FM544" s="32" t="s">
        <v>1367</v>
      </c>
      <c r="FN544" t="s">
        <v>1367</v>
      </c>
      <c r="FO544" t="s">
        <v>1367</v>
      </c>
      <c r="FP544" t="str">
        <f t="shared" si="175"/>
        <v>C</v>
      </c>
      <c r="GU544" s="53">
        <v>89</v>
      </c>
      <c r="GV544" s="53">
        <v>538</v>
      </c>
    </row>
    <row r="545" spans="1:204" ht="15.5" x14ac:dyDescent="0.35">
      <c r="A545" s="95">
        <f t="shared" si="176"/>
        <v>1</v>
      </c>
      <c r="B545" s="11"/>
      <c r="C545" s="11"/>
      <c r="D545" s="92" t="str">
        <f>IFERROR(
IF(AND(OR(Planilla!B545="C",Planilla!B545="c"), VLOOKUP(E545,EX:FJ,13,0)="C"), "OK",IF(AND(OR(Planilla!B545="C",Planilla!B545="c"), OR(VLOOKUP(E545,EX:FJ,13,0)="B", VLOOKUP(E545,EX:FJ,13,0)="A")), "DEFICIT",IF(
AND(OR(Planilla!B545="B", Planilla!B545="BPAL"), VLOOKUP(E545,EX:FJ,13,0)="B"), "OK",IF(AND(OR(Planilla!B545="B", Planilla!B545="BPAL"), VLOOKUP(E545,EX:FJ,13,0)="A"), "DEFICIT",IF(AND(OR(Planilla!B545="B", Planilla!B545="BPAL"), VLOOKUP(E545,EX:FJ,13,0)="C"), "SOBREOFERTA",IF(AND(Planilla!B545="A", VLOOKUP(E545,EX:FJ,13,0)="A"), "OK",IF(
AND(Planilla!B545="A", OR(VLOOKUP(E545,EX:FJ,13,0)="B", VLOOKUP(E545,EX:FJ,13,0)="C")), "SOBREOFERTA",""
))))))),"")</f>
        <v/>
      </c>
      <c r="E545" s="12"/>
      <c r="F545" s="13"/>
      <c r="G545" s="14"/>
      <c r="H545" s="81" t="str">
        <f t="shared" si="177"/>
        <v/>
      </c>
      <c r="I545" s="7"/>
      <c r="J545" s="6" t="e">
        <f t="shared" si="178"/>
        <v>#N/A</v>
      </c>
      <c r="K545" s="6" t="str">
        <f>IF(A546&lt;&gt;A545,AVERAGEIF(A$9:A545,A545,J$9:J545),"")</f>
        <v/>
      </c>
      <c r="L545" s="7" t="str">
        <f>IFERROR(IF(A546&lt;&gt;A545,AVERAGEIF(A$9:A545,A545,S$9:S545),""),"")</f>
        <v/>
      </c>
      <c r="M545" s="7" t="str">
        <f>IFERROR(IF(A546&lt;&gt;A545,AVERAGEIF(A$9:A545,A545,T$9:T545),""),"")</f>
        <v/>
      </c>
      <c r="N545" s="7" t="str" cm="1">
        <f t="array" ref="N545">IFERROR(IF(A546&lt;&gt;A545,_xlfn.STDEV.P(IF(A$9:A545=A545,T$9:T545)),""),"")</f>
        <v/>
      </c>
      <c r="O545" s="7" t="str" cm="1">
        <f t="array" ref="O545">IFERROR(IF(A546&lt;&gt;A545,_xlfn.STDEV.P(IF(A$9:A545=A545,S$9:S545)),""),"")</f>
        <v/>
      </c>
      <c r="P545" s="8" t="str">
        <f t="shared" si="179"/>
        <v/>
      </c>
      <c r="Q545" s="8" t="str">
        <f t="shared" si="180"/>
        <v/>
      </c>
      <c r="R545" s="8" t="str">
        <f t="shared" si="181"/>
        <v/>
      </c>
      <c r="S545" s="9" t="str">
        <f t="shared" si="182"/>
        <v/>
      </c>
      <c r="T545" s="9" t="str">
        <f t="shared" si="183"/>
        <v/>
      </c>
      <c r="U545" s="14"/>
      <c r="V545" s="15"/>
      <c r="W545" s="14" t="str">
        <f t="shared" si="184"/>
        <v/>
      </c>
      <c r="X545" s="15"/>
      <c r="Y545" s="2"/>
      <c r="AB545" s="22">
        <f t="shared" si="185"/>
        <v>1</v>
      </c>
      <c r="AC545" s="11"/>
      <c r="AD545" s="11"/>
      <c r="AE545" s="13"/>
      <c r="AF545" s="12"/>
      <c r="AG545" s="13"/>
      <c r="AH545" s="14"/>
      <c r="AI545" s="81" t="str">
        <f t="shared" si="186"/>
        <v/>
      </c>
      <c r="AJ545" s="15"/>
      <c r="AK545" s="6" t="e">
        <f t="shared" si="187"/>
        <v>#N/A</v>
      </c>
      <c r="AL545" s="6" t="str">
        <f>IF(AB546&lt;&gt;AB545,AVERAGEIF(AB$9:AB545,AB545,AK$9:AK545),"")</f>
        <v/>
      </c>
      <c r="AM545" s="7" t="str">
        <f>IFERROR(IF(AB546&lt;&gt;AB545,AVERAGEIF(AB$9:AB545,AB545,AT$9:AT545),""),"")</f>
        <v/>
      </c>
      <c r="AN545" s="7" t="str">
        <f>IFERROR(IF(AB546&lt;&gt;AB545,AVERAGEIF(AB$9:AB545,AB545,AU$9:AU545),""),"")</f>
        <v/>
      </c>
      <c r="AO545" s="7" t="str" cm="1">
        <f t="array" ref="AO545">IFERROR(IF(AB546&lt;&gt;AB545,_xlfn.STDEV.P(IF(AB$9:AB545=AB545,AU$9:AU545)),""),"")</f>
        <v/>
      </c>
      <c r="AP545" s="7" t="str" cm="1">
        <f t="array" ref="AP545">IFERROR(IF(AB546&lt;&gt;AB545,_xlfn.STDEV.P(IF(AB$9:AB545=AB545,AT$9:AT545)),""),"")</f>
        <v/>
      </c>
      <c r="AQ545" s="8" t="str">
        <f t="shared" si="188"/>
        <v/>
      </c>
      <c r="AR545" s="8" t="str">
        <f t="shared" si="189"/>
        <v/>
      </c>
      <c r="AS545" s="8" t="str">
        <f t="shared" si="190"/>
        <v/>
      </c>
      <c r="AT545" s="9" t="str">
        <f t="shared" si="191"/>
        <v/>
      </c>
      <c r="AU545" s="9" t="str">
        <f t="shared" si="192"/>
        <v/>
      </c>
      <c r="AV545" s="14"/>
      <c r="AW545" s="15"/>
      <c r="AX545" s="14" t="str">
        <f t="shared" si="193"/>
        <v/>
      </c>
      <c r="AY545" s="15"/>
      <c r="AZ545" s="23"/>
      <c r="EW545" t="s">
        <v>46</v>
      </c>
      <c r="EX545" s="33" t="s">
        <v>47</v>
      </c>
      <c r="EY545" s="35" t="s">
        <v>1448</v>
      </c>
      <c r="EZ545" s="36" t="s">
        <v>1449</v>
      </c>
      <c r="FA545" s="36" t="s">
        <v>1192</v>
      </c>
      <c r="FB545" s="36" t="s">
        <v>344</v>
      </c>
      <c r="FC545" s="36" t="s">
        <v>1192</v>
      </c>
      <c r="FD545" s="36" t="s">
        <v>344</v>
      </c>
      <c r="FE545" s="36">
        <v>2026</v>
      </c>
      <c r="FF545" s="36" t="s">
        <v>59</v>
      </c>
      <c r="FG545" s="36" t="s">
        <v>1241</v>
      </c>
      <c r="FJ545" t="s">
        <v>59</v>
      </c>
      <c r="FM545" s="32" t="s">
        <v>1450</v>
      </c>
      <c r="FN545" t="s">
        <v>1450</v>
      </c>
      <c r="FO545" t="s">
        <v>1450</v>
      </c>
      <c r="FP545" t="str">
        <f t="shared" si="175"/>
        <v>B</v>
      </c>
      <c r="GU545" s="53">
        <v>90</v>
      </c>
      <c r="GV545" s="53">
        <v>539</v>
      </c>
    </row>
    <row r="546" spans="1:204" ht="15.5" x14ac:dyDescent="0.35">
      <c r="A546" s="95">
        <f t="shared" si="176"/>
        <v>1</v>
      </c>
      <c r="B546" s="11"/>
      <c r="C546" s="11"/>
      <c r="D546" s="92" t="str">
        <f>IFERROR(
IF(AND(OR(Planilla!B546="C",Planilla!B546="c"), VLOOKUP(E546,EX:FJ,13,0)="C"), "OK",IF(AND(OR(Planilla!B546="C",Planilla!B546="c"), OR(VLOOKUP(E546,EX:FJ,13,0)="B", VLOOKUP(E546,EX:FJ,13,0)="A")), "DEFICIT",IF(
AND(OR(Planilla!B546="B", Planilla!B546="BPAL"), VLOOKUP(E546,EX:FJ,13,0)="B"), "OK",IF(AND(OR(Planilla!B546="B", Planilla!B546="BPAL"), VLOOKUP(E546,EX:FJ,13,0)="A"), "DEFICIT",IF(AND(OR(Planilla!B546="B", Planilla!B546="BPAL"), VLOOKUP(E546,EX:FJ,13,0)="C"), "SOBREOFERTA",IF(AND(Planilla!B546="A", VLOOKUP(E546,EX:FJ,13,0)="A"), "OK",IF(
AND(Planilla!B546="A", OR(VLOOKUP(E546,EX:FJ,13,0)="B", VLOOKUP(E546,EX:FJ,13,0)="C")), "SOBREOFERTA",""
))))))),"")</f>
        <v/>
      </c>
      <c r="E546" s="12"/>
      <c r="F546" s="13"/>
      <c r="G546" s="14"/>
      <c r="H546" s="81" t="str">
        <f t="shared" si="177"/>
        <v/>
      </c>
      <c r="I546" s="7"/>
      <c r="J546" s="6" t="e">
        <f t="shared" si="178"/>
        <v>#N/A</v>
      </c>
      <c r="K546" s="6" t="str">
        <f>IF(A547&lt;&gt;A546,AVERAGEIF(A$9:A546,A546,J$9:J546),"")</f>
        <v/>
      </c>
      <c r="L546" s="7" t="str">
        <f>IFERROR(IF(A547&lt;&gt;A546,AVERAGEIF(A$9:A546,A546,S$9:S546),""),"")</f>
        <v/>
      </c>
      <c r="M546" s="7" t="str">
        <f>IFERROR(IF(A547&lt;&gt;A546,AVERAGEIF(A$9:A546,A546,T$9:T546),""),"")</f>
        <v/>
      </c>
      <c r="N546" s="7" t="str" cm="1">
        <f t="array" ref="N546">IFERROR(IF(A547&lt;&gt;A546,_xlfn.STDEV.P(IF(A$9:A546=A546,T$9:T546)),""),"")</f>
        <v/>
      </c>
      <c r="O546" s="7" t="str" cm="1">
        <f t="array" ref="O546">IFERROR(IF(A547&lt;&gt;A546,_xlfn.STDEV.P(IF(A$9:A546=A546,S$9:S546)),""),"")</f>
        <v/>
      </c>
      <c r="P546" s="8" t="str">
        <f t="shared" si="179"/>
        <v/>
      </c>
      <c r="Q546" s="8" t="str">
        <f t="shared" si="180"/>
        <v/>
      </c>
      <c r="R546" s="8" t="str">
        <f t="shared" si="181"/>
        <v/>
      </c>
      <c r="S546" s="9" t="str">
        <f t="shared" si="182"/>
        <v/>
      </c>
      <c r="T546" s="9" t="str">
        <f t="shared" si="183"/>
        <v/>
      </c>
      <c r="U546" s="14"/>
      <c r="V546" s="15"/>
      <c r="W546" s="14" t="str">
        <f t="shared" si="184"/>
        <v/>
      </c>
      <c r="X546" s="15"/>
      <c r="Y546" s="2"/>
      <c r="AB546" s="22">
        <f t="shared" si="185"/>
        <v>1</v>
      </c>
      <c r="AC546" s="11"/>
      <c r="AD546" s="11"/>
      <c r="AE546" s="13"/>
      <c r="AF546" s="12"/>
      <c r="AG546" s="13"/>
      <c r="AH546" s="14"/>
      <c r="AI546" s="81" t="str">
        <f t="shared" si="186"/>
        <v/>
      </c>
      <c r="AJ546" s="15"/>
      <c r="AK546" s="6" t="e">
        <f t="shared" si="187"/>
        <v>#N/A</v>
      </c>
      <c r="AL546" s="6" t="str">
        <f>IF(AB547&lt;&gt;AB546,AVERAGEIF(AB$9:AB546,AB546,AK$9:AK546),"")</f>
        <v/>
      </c>
      <c r="AM546" s="7" t="str">
        <f>IFERROR(IF(AB547&lt;&gt;AB546,AVERAGEIF(AB$9:AB546,AB546,AT$9:AT546),""),"")</f>
        <v/>
      </c>
      <c r="AN546" s="7" t="str">
        <f>IFERROR(IF(AB547&lt;&gt;AB546,AVERAGEIF(AB$9:AB546,AB546,AU$9:AU546),""),"")</f>
        <v/>
      </c>
      <c r="AO546" s="7" t="str" cm="1">
        <f t="array" ref="AO546">IFERROR(IF(AB547&lt;&gt;AB546,_xlfn.STDEV.P(IF(AB$9:AB546=AB546,AU$9:AU546)),""),"")</f>
        <v/>
      </c>
      <c r="AP546" s="7" t="str" cm="1">
        <f t="array" ref="AP546">IFERROR(IF(AB547&lt;&gt;AB546,_xlfn.STDEV.P(IF(AB$9:AB546=AB546,AT$9:AT546)),""),"")</f>
        <v/>
      </c>
      <c r="AQ546" s="8" t="str">
        <f t="shared" si="188"/>
        <v/>
      </c>
      <c r="AR546" s="8" t="str">
        <f t="shared" si="189"/>
        <v/>
      </c>
      <c r="AS546" s="8" t="str">
        <f t="shared" si="190"/>
        <v/>
      </c>
      <c r="AT546" s="9" t="str">
        <f t="shared" si="191"/>
        <v/>
      </c>
      <c r="AU546" s="9" t="str">
        <f t="shared" si="192"/>
        <v/>
      </c>
      <c r="AV546" s="14"/>
      <c r="AW546" s="15"/>
      <c r="AX546" s="14" t="str">
        <f t="shared" si="193"/>
        <v/>
      </c>
      <c r="AY546" s="15"/>
      <c r="AZ546" s="23"/>
      <c r="EW546" t="s">
        <v>46</v>
      </c>
      <c r="EX546" s="33" t="s">
        <v>47</v>
      </c>
      <c r="EY546" s="35" t="s">
        <v>1451</v>
      </c>
      <c r="EZ546" s="36" t="s">
        <v>1452</v>
      </c>
      <c r="FA546" s="36" t="s">
        <v>1192</v>
      </c>
      <c r="FB546" s="36" t="s">
        <v>344</v>
      </c>
      <c r="FC546" s="36" t="s">
        <v>1192</v>
      </c>
      <c r="FD546" s="36" t="s">
        <v>344</v>
      </c>
      <c r="FE546" s="36">
        <v>2026</v>
      </c>
      <c r="FF546" s="36" t="s">
        <v>59</v>
      </c>
      <c r="FG546" s="36" t="s">
        <v>1241</v>
      </c>
      <c r="FJ546" t="s">
        <v>59</v>
      </c>
      <c r="FM546" s="32" t="s">
        <v>1409</v>
      </c>
      <c r="FN546" t="s">
        <v>1409</v>
      </c>
      <c r="FO546" t="s">
        <v>1409</v>
      </c>
      <c r="FP546" t="str">
        <f t="shared" si="175"/>
        <v>C</v>
      </c>
      <c r="GU546" s="53">
        <v>91</v>
      </c>
      <c r="GV546" s="53">
        <v>540</v>
      </c>
    </row>
    <row r="547" spans="1:204" ht="16" thickBot="1" x14ac:dyDescent="0.4">
      <c r="A547" s="96">
        <f t="shared" si="176"/>
        <v>1</v>
      </c>
      <c r="B547" s="25"/>
      <c r="C547" s="25"/>
      <c r="D547" s="97" t="str">
        <f>IFERROR(
IF(AND(OR(Planilla!B547="C",Planilla!B547="c"), VLOOKUP(E547,EX:FJ,13,0)="C"), "OK",IF(AND(OR(Planilla!B547="C",Planilla!B547="c"), OR(VLOOKUP(E547,EX:FJ,13,0)="B", VLOOKUP(E547,EX:FJ,13,0)="A")), "DEFICIT",IF(
AND(OR(Planilla!B547="B", Planilla!B547="BPAL"), VLOOKUP(E547,EX:FJ,13,0)="B"), "OK",IF(AND(OR(Planilla!B547="B", Planilla!B547="BPAL"), VLOOKUP(E547,EX:FJ,13,0)="A"), "DEFICIT",IF(AND(OR(Planilla!B547="B", Planilla!B547="BPAL"), VLOOKUP(E547,EX:FJ,13,0)="C"), "SOBREOFERTA",IF(AND(Planilla!B547="A", VLOOKUP(E547,EX:FJ,13,0)="A"), "OK",IF(
AND(Planilla!B547="A", OR(VLOOKUP(E547,EX:FJ,13,0)="B", VLOOKUP(E547,EX:FJ,13,0)="C")), "SOBREOFERTA",""
))))))),"")</f>
        <v/>
      </c>
      <c r="E547" s="26"/>
      <c r="F547" s="27"/>
      <c r="G547" s="28"/>
      <c r="H547" s="87" t="str">
        <f t="shared" si="177"/>
        <v/>
      </c>
      <c r="I547" s="89"/>
      <c r="J547" s="88" t="e">
        <f t="shared" si="178"/>
        <v>#N/A</v>
      </c>
      <c r="K547" s="88" t="e">
        <f>IF(A548&lt;&gt;A547,AVERAGEIF(A$9:A547,A547,J$9:J547),"")</f>
        <v>#N/A</v>
      </c>
      <c r="L547" s="89" t="str">
        <f>IFERROR(IF(A548&lt;&gt;A547,AVERAGEIF(A$9:A547,A547,S$9:S547),""),"")</f>
        <v/>
      </c>
      <c r="M547" s="89" t="str">
        <f>IFERROR(IF(A548&lt;&gt;A547,AVERAGEIF(A$9:A547,A547,T$9:T547),""),"")</f>
        <v/>
      </c>
      <c r="N547" s="89" t="str" cm="1">
        <f t="array" ref="N547">IFERROR(IF(A548&lt;&gt;A547,_xlfn.STDEV.P(IF(A$9:A547=A547,T$9:T547)),""),"")</f>
        <v/>
      </c>
      <c r="O547" s="89" t="str" cm="1">
        <f t="array" ref="O547">IFERROR(IF(A548&lt;&gt;A547,_xlfn.STDEV.P(IF(A$9:A547=A547,S$9:S547)),""),"")</f>
        <v/>
      </c>
      <c r="P547" s="90" t="str">
        <f t="shared" si="179"/>
        <v/>
      </c>
      <c r="Q547" s="90" t="str">
        <f t="shared" si="180"/>
        <v/>
      </c>
      <c r="R547" s="90" t="str">
        <f t="shared" si="181"/>
        <v/>
      </c>
      <c r="S547" s="91" t="str">
        <f t="shared" si="182"/>
        <v/>
      </c>
      <c r="T547" s="91" t="str">
        <f t="shared" si="183"/>
        <v/>
      </c>
      <c r="U547" s="28"/>
      <c r="V547" s="29"/>
      <c r="W547" s="28" t="str">
        <f t="shared" si="184"/>
        <v/>
      </c>
      <c r="X547" s="29"/>
      <c r="Y547" s="98"/>
      <c r="AB547" s="24">
        <f t="shared" si="185"/>
        <v>1</v>
      </c>
      <c r="AC547" s="25"/>
      <c r="AD547" s="25"/>
      <c r="AE547" s="27"/>
      <c r="AF547" s="26"/>
      <c r="AG547" s="27"/>
      <c r="AH547" s="28"/>
      <c r="AI547" s="87" t="str">
        <f t="shared" si="186"/>
        <v/>
      </c>
      <c r="AJ547" s="29"/>
      <c r="AK547" s="88" t="e">
        <f t="shared" si="187"/>
        <v>#N/A</v>
      </c>
      <c r="AL547" s="88" t="e">
        <f>IF(AB548&lt;&gt;AB547,AVERAGEIF(AB$9:AB547,AB547,AK$9:AK547),"")</f>
        <v>#N/A</v>
      </c>
      <c r="AM547" s="89" t="str">
        <f>IFERROR(IF(AB548&lt;&gt;AB547,AVERAGEIF(AB$9:AB547,AB547,AT$9:AT547),""),"")</f>
        <v/>
      </c>
      <c r="AN547" s="89" t="str">
        <f>IFERROR(IF(AB548&lt;&gt;AB547,AVERAGEIF(AB$9:AB547,AB547,AU$9:AU547),""),"")</f>
        <v/>
      </c>
      <c r="AO547" s="89" t="str" cm="1">
        <f t="array" ref="AO547">IFERROR(IF(AB548&lt;&gt;AB547,_xlfn.STDEV.P(IF(AB$9:AB547=AB547,AU$9:AU547)),""),"")</f>
        <v/>
      </c>
      <c r="AP547" s="89" t="str" cm="1">
        <f t="array" ref="AP547">IFERROR(IF(AB548&lt;&gt;AB547,_xlfn.STDEV.P(IF(AB$9:AB547=AB547,AT$9:AT547)),""),"")</f>
        <v/>
      </c>
      <c r="AQ547" s="90" t="str">
        <f t="shared" si="188"/>
        <v/>
      </c>
      <c r="AR547" s="90" t="str">
        <f t="shared" si="189"/>
        <v/>
      </c>
      <c r="AS547" s="90" t="str">
        <f t="shared" si="190"/>
        <v/>
      </c>
      <c r="AT547" s="91" t="str">
        <f t="shared" si="191"/>
        <v/>
      </c>
      <c r="AU547" s="91" t="str">
        <f t="shared" si="192"/>
        <v/>
      </c>
      <c r="AV547" s="28"/>
      <c r="AW547" s="29"/>
      <c r="AX547" s="28" t="str">
        <f t="shared" si="193"/>
        <v/>
      </c>
      <c r="AY547" s="29"/>
      <c r="AZ547" s="30"/>
      <c r="EW547" t="s">
        <v>46</v>
      </c>
      <c r="EX547" s="33" t="s">
        <v>47</v>
      </c>
      <c r="EY547" s="35" t="s">
        <v>1453</v>
      </c>
      <c r="EZ547" s="36" t="s">
        <v>1454</v>
      </c>
      <c r="FA547" s="36" t="s">
        <v>1192</v>
      </c>
      <c r="FB547" s="36" t="s">
        <v>344</v>
      </c>
      <c r="FC547" s="36" t="s">
        <v>1192</v>
      </c>
      <c r="FD547" s="36" t="s">
        <v>344</v>
      </c>
      <c r="FE547" s="36">
        <v>2026</v>
      </c>
      <c r="FF547" s="36" t="s">
        <v>59</v>
      </c>
      <c r="FG547" s="36" t="s">
        <v>1241</v>
      </c>
      <c r="FJ547" t="s">
        <v>59</v>
      </c>
      <c r="FM547" s="32" t="s">
        <v>1384</v>
      </c>
      <c r="FN547" t="s">
        <v>1384</v>
      </c>
      <c r="FO547" t="s">
        <v>1385</v>
      </c>
      <c r="FP547" t="str">
        <f t="shared" si="175"/>
        <v>C</v>
      </c>
      <c r="GU547" s="53">
        <v>92</v>
      </c>
      <c r="GV547" s="53">
        <v>541</v>
      </c>
    </row>
    <row r="548" spans="1:204" x14ac:dyDescent="0.35">
      <c r="J548" s="46" t="str">
        <f t="shared" si="178"/>
        <v/>
      </c>
      <c r="K548" s="46" t="str">
        <f>IF(A549&lt;&gt;A548,AVERAGEIF(A$9:A548,A548,J$9:J548),"")</f>
        <v/>
      </c>
      <c r="L548" s="5" t="str">
        <f>IFERROR(IF(A549&lt;&gt;A548,AVERAGEIF(A$9:A548,A548,S$9:S548),""),"")</f>
        <v/>
      </c>
      <c r="M548" s="5" t="str">
        <f>IFERROR(IF(A549&lt;&gt;A548,AVERAGEIF(A$9:A548,A548,T$9:T548),""),"")</f>
        <v/>
      </c>
      <c r="N548" s="5" t="str" cm="1">
        <f t="array" ref="N548">IFERROR(IF(A549&lt;&gt;A548,_xlfn.STDEV.P(IF(A$9:A548=A548,T$9:T548)),""),"")</f>
        <v/>
      </c>
      <c r="O548" s="5" t="str" cm="1">
        <f t="array" ref="O548">IFERROR(IF(A549&lt;&gt;A548,_xlfn.STDEV.P(IF(A$9:A548=A548,S$9:S548)),""),"")</f>
        <v/>
      </c>
      <c r="P548" s="47" t="str">
        <f t="shared" si="179"/>
        <v/>
      </c>
      <c r="Q548" s="47" t="str">
        <f t="shared" si="180"/>
        <v/>
      </c>
      <c r="R548" s="47" t="str">
        <f t="shared" si="181"/>
        <v/>
      </c>
      <c r="S548" s="48" t="str">
        <f t="shared" si="182"/>
        <v/>
      </c>
      <c r="T548" s="48" t="str">
        <f t="shared" si="183"/>
        <v/>
      </c>
      <c r="AL548" s="46" t="str">
        <f>IF(AB549&lt;&gt;AB548,AVERAGEIF(AB$9:AB548,AB548,AK$9:AK548),"")</f>
        <v/>
      </c>
      <c r="AM548" s="5" t="str">
        <f>IFERROR(IF(AB549&lt;&gt;AB548,AVERAGEIF(AB$9:AB548,AB548,AT$9:AT548),""),"")</f>
        <v/>
      </c>
      <c r="AN548" s="5" t="str">
        <f>IFERROR(IF(AB549&lt;&gt;AB548,AVERAGEIF(AB$9:AB548,AB548,AU$9:AU548),""),"")</f>
        <v/>
      </c>
      <c r="AO548" s="5" t="str" cm="1">
        <f t="array" ref="AO548">IFERROR(IF(AB549&lt;&gt;AB548,_xlfn.STDEV.P(IF(AB$9:AB548=AB548,AU$9:AU548)),""),"")</f>
        <v/>
      </c>
      <c r="AP548" s="5" t="str" cm="1">
        <f t="array" ref="AP548">IFERROR(IF(AB549&lt;&gt;AB548,_xlfn.STDEV.P(IF(AB$9:AB548=AB548,AT$9:AT548)),""),"")</f>
        <v/>
      </c>
      <c r="AQ548" s="47" t="str">
        <f t="shared" si="188"/>
        <v/>
      </c>
      <c r="AR548" s="47" t="str">
        <f t="shared" si="189"/>
        <v/>
      </c>
      <c r="AS548" s="47" t="str">
        <f t="shared" si="190"/>
        <v/>
      </c>
      <c r="AT548" s="48" t="str">
        <f t="shared" si="191"/>
        <v/>
      </c>
      <c r="AU548" s="48" t="str">
        <f t="shared" si="192"/>
        <v/>
      </c>
      <c r="EW548" t="s">
        <v>46</v>
      </c>
      <c r="EX548" s="33" t="s">
        <v>47</v>
      </c>
      <c r="EY548" s="35" t="s">
        <v>1455</v>
      </c>
      <c r="EZ548" s="36" t="s">
        <v>1456</v>
      </c>
      <c r="FA548" s="36" t="s">
        <v>1192</v>
      </c>
      <c r="FB548" s="36" t="s">
        <v>344</v>
      </c>
      <c r="FC548" s="36" t="s">
        <v>1192</v>
      </c>
      <c r="FD548" s="36" t="s">
        <v>344</v>
      </c>
      <c r="FE548" s="36">
        <v>2026</v>
      </c>
      <c r="FF548" s="36" t="s">
        <v>59</v>
      </c>
      <c r="FG548" s="36" t="s">
        <v>1241</v>
      </c>
      <c r="FJ548" t="s">
        <v>59</v>
      </c>
      <c r="FM548" s="32" t="s">
        <v>1378</v>
      </c>
      <c r="FN548" t="s">
        <v>1378</v>
      </c>
      <c r="FO548" t="s">
        <v>1379</v>
      </c>
      <c r="FP548" t="str">
        <f t="shared" si="175"/>
        <v>C</v>
      </c>
      <c r="GU548" s="53">
        <v>93</v>
      </c>
      <c r="GV548" s="53">
        <v>542</v>
      </c>
    </row>
    <row r="549" spans="1:204" x14ac:dyDescent="0.35">
      <c r="J549" s="46" t="str">
        <f t="shared" si="178"/>
        <v/>
      </c>
      <c r="K549" s="46" t="str">
        <f>IF(A550&lt;&gt;A549,AVERAGEIF(A$9:A549,A549,J$9:J549),"")</f>
        <v/>
      </c>
      <c r="L549" s="5" t="str">
        <f>IFERROR(IF(A550&lt;&gt;A549,AVERAGEIF(A$9:A549,A549,S$9:S549),""),"")</f>
        <v/>
      </c>
      <c r="M549" s="5" t="str">
        <f>IFERROR(IF(A550&lt;&gt;A549,AVERAGEIF(A$9:A549,A549,T$9:T549),""),"")</f>
        <v/>
      </c>
      <c r="N549" s="5" t="str" cm="1">
        <f t="array" ref="N549">IFERROR(IF(A550&lt;&gt;A549,_xlfn.STDEV.P(IF(A$9:A549=A549,T$9:T549)),""),"")</f>
        <v/>
      </c>
      <c r="O549" s="5" t="str" cm="1">
        <f t="array" ref="O549">IFERROR(IF(A550&lt;&gt;A549,_xlfn.STDEV.P(IF(A$9:A549=A549,S$9:S549)),""),"")</f>
        <v/>
      </c>
      <c r="P549" s="47" t="str">
        <f t="shared" si="179"/>
        <v/>
      </c>
      <c r="Q549" s="47" t="str">
        <f t="shared" si="180"/>
        <v/>
      </c>
      <c r="R549" s="47" t="str">
        <f t="shared" si="181"/>
        <v/>
      </c>
      <c r="S549" s="48" t="str">
        <f t="shared" si="182"/>
        <v/>
      </c>
      <c r="T549" s="48" t="str">
        <f t="shared" si="183"/>
        <v/>
      </c>
      <c r="AL549" s="46" t="str">
        <f>IF(AB550&lt;&gt;AB549,AVERAGEIF(AB$9:AB549,AB549,AK$9:AK549),"")</f>
        <v/>
      </c>
      <c r="AM549" s="5" t="str">
        <f>IFERROR(IF(AB550&lt;&gt;AB549,AVERAGEIF(AB$9:AB549,AB549,AT$9:AT549),""),"")</f>
        <v/>
      </c>
      <c r="AN549" s="5" t="str">
        <f>IFERROR(IF(AB550&lt;&gt;AB549,AVERAGEIF(AB$9:AB549,AB549,AU$9:AU549),""),"")</f>
        <v/>
      </c>
      <c r="AO549" s="5" t="str" cm="1">
        <f t="array" ref="AO549">IFERROR(IF(AB550&lt;&gt;AB549,_xlfn.STDEV.P(IF(AB$9:AB549=AB549,AU$9:AU549)),""),"")</f>
        <v/>
      </c>
      <c r="AP549" s="5" t="str" cm="1">
        <f t="array" ref="AP549">IFERROR(IF(AB550&lt;&gt;AB549,_xlfn.STDEV.P(IF(AB$9:AB549=AB549,AT$9:AT549)),""),"")</f>
        <v/>
      </c>
      <c r="AQ549" s="47" t="str">
        <f t="shared" si="188"/>
        <v/>
      </c>
      <c r="AR549" s="47" t="str">
        <f t="shared" si="189"/>
        <v/>
      </c>
      <c r="AS549" s="47" t="str">
        <f t="shared" si="190"/>
        <v/>
      </c>
      <c r="AT549" s="48" t="str">
        <f t="shared" si="191"/>
        <v/>
      </c>
      <c r="AU549" s="48" t="str">
        <f t="shared" si="192"/>
        <v/>
      </c>
      <c r="EW549" t="s">
        <v>46</v>
      </c>
      <c r="EX549" s="33" t="s">
        <v>47</v>
      </c>
      <c r="EY549" s="35" t="s">
        <v>1457</v>
      </c>
      <c r="EZ549" s="36" t="s">
        <v>1458</v>
      </c>
      <c r="FA549" s="36" t="s">
        <v>1192</v>
      </c>
      <c r="FB549" s="36" t="s">
        <v>344</v>
      </c>
      <c r="FC549" s="36" t="s">
        <v>1192</v>
      </c>
      <c r="FD549" s="36" t="s">
        <v>344</v>
      </c>
      <c r="FE549" s="36">
        <v>2026</v>
      </c>
      <c r="FF549" s="36" t="s">
        <v>59</v>
      </c>
      <c r="FG549" s="36" t="s">
        <v>1241</v>
      </c>
      <c r="FJ549" t="s">
        <v>59</v>
      </c>
      <c r="FM549" s="32" t="s">
        <v>1237</v>
      </c>
      <c r="FN549" t="s">
        <v>1237</v>
      </c>
      <c r="FO549" t="s">
        <v>1238</v>
      </c>
      <c r="FP549" t="str">
        <f t="shared" si="175"/>
        <v>C</v>
      </c>
      <c r="GU549" s="53">
        <v>94</v>
      </c>
      <c r="GV549" s="53">
        <v>543</v>
      </c>
    </row>
    <row r="550" spans="1:204" x14ac:dyDescent="0.35">
      <c r="J550" s="46" t="str">
        <f t="shared" si="178"/>
        <v/>
      </c>
      <c r="K550" s="46" t="str">
        <f>IF(A551&lt;&gt;A550,AVERAGEIF(A$9:A550,A550,J$9:J550),"")</f>
        <v/>
      </c>
      <c r="L550" s="5" t="str">
        <f>IFERROR(IF(A551&lt;&gt;A550,AVERAGEIF(A$9:A550,A550,S$9:S550),""),"")</f>
        <v/>
      </c>
      <c r="M550" s="5" t="str">
        <f>IFERROR(IF(A551&lt;&gt;A550,AVERAGEIF(A$9:A550,A550,T$9:T550),""),"")</f>
        <v/>
      </c>
      <c r="N550" s="5" t="str" cm="1">
        <f t="array" ref="N550">IFERROR(IF(A551&lt;&gt;A550,_xlfn.STDEV.P(IF(A$9:A550=A550,T$9:T550)),""),"")</f>
        <v/>
      </c>
      <c r="O550" s="5" t="str" cm="1">
        <f t="array" ref="O550">IFERROR(IF(A551&lt;&gt;A550,_xlfn.STDEV.P(IF(A$9:A550=A550,S$9:S550)),""),"")</f>
        <v/>
      </c>
      <c r="P550" s="47" t="str">
        <f t="shared" si="179"/>
        <v/>
      </c>
      <c r="Q550" s="47" t="str">
        <f t="shared" si="180"/>
        <v/>
      </c>
      <c r="R550" s="47" t="str">
        <f t="shared" si="181"/>
        <v/>
      </c>
      <c r="S550" s="48" t="str">
        <f t="shared" si="182"/>
        <v/>
      </c>
      <c r="T550" s="48" t="str">
        <f t="shared" si="183"/>
        <v/>
      </c>
      <c r="AL550" s="46" t="str">
        <f>IF(AB551&lt;&gt;AB550,AVERAGEIF(AB$9:AB550,AB550,AK$9:AK550),"")</f>
        <v/>
      </c>
      <c r="AM550" s="5" t="str">
        <f>IFERROR(IF(AB551&lt;&gt;AB550,AVERAGEIF(AB$9:AB550,AB550,AT$9:AT550),""),"")</f>
        <v/>
      </c>
      <c r="AN550" s="5" t="str">
        <f>IFERROR(IF(AB551&lt;&gt;AB550,AVERAGEIF(AB$9:AB550,AB550,AU$9:AU550),""),"")</f>
        <v/>
      </c>
      <c r="AO550" s="5" t="str" cm="1">
        <f t="array" ref="AO550">IFERROR(IF(AB551&lt;&gt;AB550,_xlfn.STDEV.P(IF(AB$9:AB550=AB550,AU$9:AU550)),""),"")</f>
        <v/>
      </c>
      <c r="AP550" s="5" t="str" cm="1">
        <f t="array" ref="AP550">IFERROR(IF(AB551&lt;&gt;AB550,_xlfn.STDEV.P(IF(AB$9:AB550=AB550,AT$9:AT550)),""),"")</f>
        <v/>
      </c>
      <c r="AQ550" s="47" t="str">
        <f t="shared" si="188"/>
        <v/>
      </c>
      <c r="AR550" s="47" t="str">
        <f t="shared" si="189"/>
        <v/>
      </c>
      <c r="AS550" s="47" t="str">
        <f t="shared" si="190"/>
        <v/>
      </c>
      <c r="AT550" s="48" t="str">
        <f t="shared" si="191"/>
        <v/>
      </c>
      <c r="AU550" s="48" t="str">
        <f t="shared" si="192"/>
        <v/>
      </c>
      <c r="EW550" t="s">
        <v>46</v>
      </c>
      <c r="EX550" s="33" t="s">
        <v>47</v>
      </c>
      <c r="EY550" s="35" t="s">
        <v>1459</v>
      </c>
      <c r="EZ550" s="36" t="s">
        <v>1460</v>
      </c>
      <c r="FA550" s="36" t="s">
        <v>1192</v>
      </c>
      <c r="FB550" s="36" t="s">
        <v>344</v>
      </c>
      <c r="FC550" s="36" t="s">
        <v>1192</v>
      </c>
      <c r="FD550" s="36" t="s">
        <v>344</v>
      </c>
      <c r="FE550" s="36">
        <v>2026</v>
      </c>
      <c r="FF550" s="36" t="s">
        <v>59</v>
      </c>
      <c r="FG550" s="36" t="s">
        <v>1241</v>
      </c>
      <c r="FJ550" t="s">
        <v>59</v>
      </c>
      <c r="FM550" s="32" t="s">
        <v>1392</v>
      </c>
      <c r="FN550" t="s">
        <v>1392</v>
      </c>
      <c r="FO550" t="s">
        <v>1393</v>
      </c>
      <c r="FP550" t="str">
        <f t="shared" si="175"/>
        <v>C</v>
      </c>
      <c r="GU550" s="53">
        <v>95</v>
      </c>
      <c r="GV550" s="53">
        <v>544</v>
      </c>
    </row>
    <row r="551" spans="1:204" x14ac:dyDescent="0.35">
      <c r="J551" s="46" t="str">
        <f t="shared" si="178"/>
        <v/>
      </c>
      <c r="K551" s="46" t="str">
        <f>IF(A552&lt;&gt;A551,AVERAGEIF(A$9:A551,A551,J$9:J551),"")</f>
        <v/>
      </c>
      <c r="L551" s="5" t="str">
        <f>IFERROR(IF(A552&lt;&gt;A551,AVERAGEIF(A$9:A551,A551,S$9:S551),""),"")</f>
        <v/>
      </c>
      <c r="M551" s="5" t="str">
        <f>IFERROR(IF(A552&lt;&gt;A551,AVERAGEIF(A$9:A551,A551,T$9:T551),""),"")</f>
        <v/>
      </c>
      <c r="N551" s="5" t="str" cm="1">
        <f t="array" ref="N551">IFERROR(IF(A552&lt;&gt;A551,_xlfn.STDEV.P(IF(A$9:A551=A551,T$9:T551)),""),"")</f>
        <v/>
      </c>
      <c r="O551" s="5" t="str" cm="1">
        <f t="array" ref="O551">IFERROR(IF(A552&lt;&gt;A551,_xlfn.STDEV.P(IF(A$9:A551=A551,S$9:S551)),""),"")</f>
        <v/>
      </c>
      <c r="P551" s="47" t="str">
        <f t="shared" si="179"/>
        <v/>
      </c>
      <c r="Q551" s="47" t="str">
        <f t="shared" si="180"/>
        <v/>
      </c>
      <c r="R551" s="47" t="str">
        <f t="shared" si="181"/>
        <v/>
      </c>
      <c r="S551" s="48" t="str">
        <f t="shared" si="182"/>
        <v/>
      </c>
      <c r="T551" s="48" t="str">
        <f t="shared" si="183"/>
        <v/>
      </c>
      <c r="AL551" s="46" t="str">
        <f>IF(AB552&lt;&gt;AB551,AVERAGEIF(AB$9:AB551,AB551,AK$9:AK551),"")</f>
        <v/>
      </c>
      <c r="AM551" s="5" t="str">
        <f>IFERROR(IF(AB552&lt;&gt;AB551,AVERAGEIF(AB$9:AB551,AB551,AT$9:AT551),""),"")</f>
        <v/>
      </c>
      <c r="AN551" s="5" t="str">
        <f>IFERROR(IF(AB552&lt;&gt;AB551,AVERAGEIF(AB$9:AB551,AB551,AU$9:AU551),""),"")</f>
        <v/>
      </c>
      <c r="AO551" s="5" t="str" cm="1">
        <f t="array" ref="AO551">IFERROR(IF(AB552&lt;&gt;AB551,_xlfn.STDEV.P(IF(AB$9:AB551=AB551,AU$9:AU551)),""),"")</f>
        <v/>
      </c>
      <c r="AP551" s="5" t="str" cm="1">
        <f t="array" ref="AP551">IFERROR(IF(AB552&lt;&gt;AB551,_xlfn.STDEV.P(IF(AB$9:AB551=AB551,AT$9:AT551)),""),"")</f>
        <v/>
      </c>
      <c r="AQ551" s="47" t="str">
        <f t="shared" si="188"/>
        <v/>
      </c>
      <c r="AR551" s="47" t="str">
        <f t="shared" si="189"/>
        <v/>
      </c>
      <c r="AS551" s="47" t="str">
        <f t="shared" si="190"/>
        <v/>
      </c>
      <c r="AT551" s="48" t="str">
        <f t="shared" si="191"/>
        <v/>
      </c>
      <c r="AU551" s="48" t="str">
        <f t="shared" si="192"/>
        <v/>
      </c>
      <c r="EW551" t="s">
        <v>46</v>
      </c>
      <c r="EX551" s="33" t="s">
        <v>47</v>
      </c>
      <c r="EY551" s="35" t="s">
        <v>1461</v>
      </c>
      <c r="EZ551" s="36" t="s">
        <v>1462</v>
      </c>
      <c r="FA551" s="36" t="s">
        <v>1192</v>
      </c>
      <c r="FB551" s="36" t="s">
        <v>344</v>
      </c>
      <c r="FC551" s="36" t="s">
        <v>1192</v>
      </c>
      <c r="FD551" s="36" t="s">
        <v>344</v>
      </c>
      <c r="FE551" s="36">
        <v>2026</v>
      </c>
      <c r="FF551" s="36" t="s">
        <v>59</v>
      </c>
      <c r="FG551" s="36" t="s">
        <v>1241</v>
      </c>
      <c r="FJ551" t="s">
        <v>59</v>
      </c>
      <c r="FM551" s="32" t="s">
        <v>1388</v>
      </c>
      <c r="FN551" t="s">
        <v>1388</v>
      </c>
      <c r="FO551" t="s">
        <v>1389</v>
      </c>
      <c r="FP551" t="str">
        <f t="shared" si="175"/>
        <v>C</v>
      </c>
      <c r="GU551" s="53">
        <v>96</v>
      </c>
      <c r="GV551" s="53">
        <v>545</v>
      </c>
    </row>
    <row r="552" spans="1:204" x14ac:dyDescent="0.35">
      <c r="J552" s="46" t="str">
        <f t="shared" si="178"/>
        <v/>
      </c>
      <c r="K552" s="46" t="str">
        <f>IF(A553&lt;&gt;A552,AVERAGEIF(A$9:A552,A552,J$9:J552),"")</f>
        <v/>
      </c>
      <c r="L552" s="5" t="str">
        <f>IFERROR(IF(A553&lt;&gt;A552,AVERAGEIF(A$9:A552,A552,S$9:S552),""),"")</f>
        <v/>
      </c>
      <c r="M552" s="5" t="str">
        <f>IFERROR(IF(A553&lt;&gt;A552,AVERAGEIF(A$9:A552,A552,T$9:T552),""),"")</f>
        <v/>
      </c>
      <c r="N552" s="5" t="str" cm="1">
        <f t="array" ref="N552">IFERROR(IF(A553&lt;&gt;A552,_xlfn.STDEV.P(IF(A$9:A552=A552,T$9:T552)),""),"")</f>
        <v/>
      </c>
      <c r="O552" s="5" t="str" cm="1">
        <f t="array" ref="O552">IFERROR(IF(A553&lt;&gt;A552,_xlfn.STDEV.P(IF(A$9:A552=A552,S$9:S552)),""),"")</f>
        <v/>
      </c>
      <c r="P552" s="47" t="str">
        <f t="shared" si="179"/>
        <v/>
      </c>
      <c r="Q552" s="47" t="str">
        <f t="shared" si="180"/>
        <v/>
      </c>
      <c r="R552" s="47" t="str">
        <f t="shared" si="181"/>
        <v/>
      </c>
      <c r="S552" s="48" t="str">
        <f t="shared" si="182"/>
        <v/>
      </c>
      <c r="T552" s="48" t="str">
        <f t="shared" si="183"/>
        <v/>
      </c>
      <c r="AL552" s="46" t="str">
        <f>IF(AB553&lt;&gt;AB552,AVERAGEIF(AB$9:AB552,AB552,AK$9:AK552),"")</f>
        <v/>
      </c>
      <c r="AM552" s="5" t="str">
        <f>IFERROR(IF(AB553&lt;&gt;AB552,AVERAGEIF(AB$9:AB552,AB552,AT$9:AT552),""),"")</f>
        <v/>
      </c>
      <c r="AN552" s="5" t="str">
        <f>IFERROR(IF(AB553&lt;&gt;AB552,AVERAGEIF(AB$9:AB552,AB552,AU$9:AU552),""),"")</f>
        <v/>
      </c>
      <c r="AO552" s="5" t="str" cm="1">
        <f t="array" ref="AO552">IFERROR(IF(AB553&lt;&gt;AB552,_xlfn.STDEV.P(IF(AB$9:AB552=AB552,AU$9:AU552)),""),"")</f>
        <v/>
      </c>
      <c r="AP552" s="5" t="str" cm="1">
        <f t="array" ref="AP552">IFERROR(IF(AB553&lt;&gt;AB552,_xlfn.STDEV.P(IF(AB$9:AB552=AB552,AT$9:AT552)),""),"")</f>
        <v/>
      </c>
      <c r="AQ552" s="47" t="str">
        <f t="shared" si="188"/>
        <v/>
      </c>
      <c r="AR552" s="47" t="str">
        <f t="shared" si="189"/>
        <v/>
      </c>
      <c r="AS552" s="47" t="str">
        <f t="shared" si="190"/>
        <v/>
      </c>
      <c r="AT552" s="48" t="str">
        <f t="shared" si="191"/>
        <v/>
      </c>
      <c r="AU552" s="48" t="str">
        <f t="shared" si="192"/>
        <v/>
      </c>
      <c r="EW552" t="s">
        <v>46</v>
      </c>
      <c r="EX552" s="33" t="s">
        <v>47</v>
      </c>
      <c r="EY552" s="35" t="s">
        <v>1463</v>
      </c>
      <c r="EZ552" s="36" t="s">
        <v>1464</v>
      </c>
      <c r="FA552" s="36" t="s">
        <v>1192</v>
      </c>
      <c r="FB552" s="36" t="s">
        <v>344</v>
      </c>
      <c r="FC552" s="36" t="s">
        <v>1192</v>
      </c>
      <c r="FD552" s="36" t="s">
        <v>344</v>
      </c>
      <c r="FE552" s="36">
        <v>2026</v>
      </c>
      <c r="FF552" s="36" t="s">
        <v>59</v>
      </c>
      <c r="FG552" s="36" t="s">
        <v>1241</v>
      </c>
      <c r="FJ552" t="s">
        <v>59</v>
      </c>
      <c r="FM552" s="32" t="s">
        <v>1358</v>
      </c>
      <c r="FN552" t="s">
        <v>1358</v>
      </c>
      <c r="FO552" t="s">
        <v>1359</v>
      </c>
      <c r="FP552" t="str">
        <f t="shared" si="175"/>
        <v>C</v>
      </c>
      <c r="GU552" s="53">
        <v>97</v>
      </c>
      <c r="GV552" s="53">
        <v>546</v>
      </c>
    </row>
    <row r="553" spans="1:204" x14ac:dyDescent="0.35">
      <c r="J553" s="46" t="str">
        <f t="shared" si="178"/>
        <v/>
      </c>
      <c r="K553" s="46" t="str">
        <f>IF(A554&lt;&gt;A553,AVERAGEIF(A$9:A553,A553,J$9:J553),"")</f>
        <v/>
      </c>
      <c r="L553" s="5" t="str">
        <f>IFERROR(IF(A554&lt;&gt;A553,AVERAGEIF(A$9:A553,A553,S$9:S553),""),"")</f>
        <v/>
      </c>
      <c r="M553" s="5" t="str">
        <f>IFERROR(IF(A554&lt;&gt;A553,AVERAGEIF(A$9:A553,A553,T$9:T553),""),"")</f>
        <v/>
      </c>
      <c r="N553" s="5" t="str" cm="1">
        <f t="array" ref="N553">IFERROR(IF(A554&lt;&gt;A553,_xlfn.STDEV.P(IF(A$9:A553=A553,T$9:T553)),""),"")</f>
        <v/>
      </c>
      <c r="O553" s="5" t="str" cm="1">
        <f t="array" ref="O553">IFERROR(IF(A554&lt;&gt;A553,_xlfn.STDEV.P(IF(A$9:A553=A553,S$9:S553)),""),"")</f>
        <v/>
      </c>
      <c r="P553" s="47" t="str">
        <f t="shared" si="179"/>
        <v/>
      </c>
      <c r="Q553" s="47" t="str">
        <f t="shared" si="180"/>
        <v/>
      </c>
      <c r="R553" s="47" t="str">
        <f t="shared" si="181"/>
        <v/>
      </c>
      <c r="S553" s="48" t="str">
        <f t="shared" si="182"/>
        <v/>
      </c>
      <c r="T553" s="48" t="str">
        <f t="shared" si="183"/>
        <v/>
      </c>
      <c r="EW553" t="s">
        <v>46</v>
      </c>
      <c r="EX553" s="33" t="s">
        <v>47</v>
      </c>
      <c r="EY553" s="35" t="s">
        <v>1465</v>
      </c>
      <c r="EZ553" s="36" t="s">
        <v>1466</v>
      </c>
      <c r="FA553" s="36" t="s">
        <v>1192</v>
      </c>
      <c r="FB553" s="36" t="s">
        <v>344</v>
      </c>
      <c r="FC553" s="36" t="s">
        <v>1192</v>
      </c>
      <c r="FD553" s="36" t="s">
        <v>344</v>
      </c>
      <c r="FE553" s="36">
        <v>2026</v>
      </c>
      <c r="FF553" s="36" t="s">
        <v>59</v>
      </c>
      <c r="FG553" s="36" t="s">
        <v>1241</v>
      </c>
      <c r="FJ553" t="s">
        <v>59</v>
      </c>
      <c r="FM553" s="32" t="s">
        <v>1362</v>
      </c>
      <c r="FN553" t="s">
        <v>1362</v>
      </c>
      <c r="FO553" t="s">
        <v>1363</v>
      </c>
      <c r="FP553" t="str">
        <f t="shared" si="175"/>
        <v>C</v>
      </c>
      <c r="GU553" s="53">
        <v>98</v>
      </c>
      <c r="GV553" s="53">
        <v>547</v>
      </c>
    </row>
    <row r="554" spans="1:204" x14ac:dyDescent="0.35">
      <c r="J554" s="46" t="str">
        <f t="shared" si="178"/>
        <v/>
      </c>
      <c r="K554" s="46" t="str">
        <f>IF(A555&lt;&gt;A554,AVERAGEIF(A$9:A554,A554,J$9:J554),"")</f>
        <v/>
      </c>
      <c r="L554" s="5" t="str">
        <f>IFERROR(IF(A555&lt;&gt;A554,AVERAGEIF(A$9:A554,A554,S$9:S554),""),"")</f>
        <v/>
      </c>
      <c r="M554" s="5" t="str">
        <f>IFERROR(IF(A555&lt;&gt;A554,AVERAGEIF(A$9:A554,A554,T$9:T554),""),"")</f>
        <v/>
      </c>
      <c r="N554" s="5" t="str" cm="1">
        <f t="array" ref="N554">IFERROR(IF(A555&lt;&gt;A554,_xlfn.STDEV.P(IF(A$9:A554=A554,T$9:T554)),""),"")</f>
        <v/>
      </c>
      <c r="O554" s="5" t="str" cm="1">
        <f t="array" ref="O554">IFERROR(IF(A555&lt;&gt;A554,_xlfn.STDEV.P(IF(A$9:A554=A554,S$9:S554)),""),"")</f>
        <v/>
      </c>
      <c r="P554" s="47" t="str">
        <f t="shared" si="179"/>
        <v/>
      </c>
      <c r="Q554" s="47" t="str">
        <f t="shared" si="180"/>
        <v/>
      </c>
      <c r="R554" s="47" t="str">
        <f t="shared" si="181"/>
        <v/>
      </c>
      <c r="S554" s="48" t="str">
        <f t="shared" si="182"/>
        <v/>
      </c>
      <c r="T554" s="48" t="str">
        <f t="shared" si="183"/>
        <v/>
      </c>
      <c r="EW554" t="s">
        <v>46</v>
      </c>
      <c r="EX554" s="33" t="s">
        <v>47</v>
      </c>
      <c r="EY554" s="35" t="s">
        <v>1467</v>
      </c>
      <c r="EZ554" s="36" t="s">
        <v>1468</v>
      </c>
      <c r="FA554" s="36" t="s">
        <v>1192</v>
      </c>
      <c r="FB554" s="36" t="s">
        <v>344</v>
      </c>
      <c r="FC554" s="36" t="s">
        <v>1192</v>
      </c>
      <c r="FD554" s="36" t="s">
        <v>344</v>
      </c>
      <c r="FE554" s="36">
        <v>2026</v>
      </c>
      <c r="FF554" s="36" t="s">
        <v>59</v>
      </c>
      <c r="FG554" s="36" t="s">
        <v>1241</v>
      </c>
      <c r="FJ554" t="s">
        <v>59</v>
      </c>
      <c r="FM554" s="32" t="s">
        <v>497</v>
      </c>
      <c r="FN554" t="s">
        <v>498</v>
      </c>
      <c r="FO554" t="s">
        <v>499</v>
      </c>
      <c r="FP554" t="str">
        <f t="shared" si="175"/>
        <v>B</v>
      </c>
      <c r="GU554" s="53">
        <v>99</v>
      </c>
      <c r="GV554" s="53">
        <v>548</v>
      </c>
    </row>
    <row r="555" spans="1:204" x14ac:dyDescent="0.35">
      <c r="J555" s="46" t="str">
        <f t="shared" si="178"/>
        <v/>
      </c>
      <c r="K555" s="46" t="str">
        <f>IF(A556&lt;&gt;A555,AVERAGEIF(A$9:A555,A555,J$9:J555),"")</f>
        <v/>
      </c>
      <c r="L555" s="5" t="str">
        <f>IFERROR(IF(A556&lt;&gt;A555,AVERAGEIF(A$9:A555,A555,S$9:S555),""),"")</f>
        <v/>
      </c>
      <c r="M555" s="5" t="str">
        <f>IFERROR(IF(A556&lt;&gt;A555,AVERAGEIF(A$9:A555,A555,T$9:T555),""),"")</f>
        <v/>
      </c>
      <c r="N555" s="5" t="str" cm="1">
        <f t="array" ref="N555">IFERROR(IF(A556&lt;&gt;A555,_xlfn.STDEV.P(IF(A$9:A555=A555,T$9:T555)),""),"")</f>
        <v/>
      </c>
      <c r="O555" s="5" t="str" cm="1">
        <f t="array" ref="O555">IFERROR(IF(A556&lt;&gt;A555,_xlfn.STDEV.P(IF(A$9:A555=A555,S$9:S555)),""),"")</f>
        <v/>
      </c>
      <c r="P555" s="47" t="str">
        <f t="shared" si="179"/>
        <v/>
      </c>
      <c r="Q555" s="47" t="str">
        <f t="shared" si="180"/>
        <v/>
      </c>
      <c r="R555" s="47" t="str">
        <f t="shared" si="181"/>
        <v/>
      </c>
      <c r="S555" s="48" t="str">
        <f t="shared" si="182"/>
        <v/>
      </c>
      <c r="T555" s="48" t="str">
        <f t="shared" si="183"/>
        <v/>
      </c>
      <c r="EW555" t="s">
        <v>46</v>
      </c>
      <c r="EX555" s="33" t="s">
        <v>47</v>
      </c>
      <c r="EY555" s="35" t="s">
        <v>1469</v>
      </c>
      <c r="EZ555" s="36" t="s">
        <v>1470</v>
      </c>
      <c r="FA555" s="36" t="s">
        <v>1192</v>
      </c>
      <c r="FB555" s="36" t="s">
        <v>344</v>
      </c>
      <c r="FC555" s="36" t="s">
        <v>1192</v>
      </c>
      <c r="FD555" s="36" t="s">
        <v>344</v>
      </c>
      <c r="FE555" s="36">
        <v>2026</v>
      </c>
      <c r="FF555" s="36" t="s">
        <v>59</v>
      </c>
      <c r="FG555" s="36" t="s">
        <v>1241</v>
      </c>
      <c r="FJ555" t="s">
        <v>59</v>
      </c>
      <c r="FM555" s="32" t="s">
        <v>1292</v>
      </c>
      <c r="FN555" t="s">
        <v>1292</v>
      </c>
      <c r="FO555" t="s">
        <v>1293</v>
      </c>
      <c r="FP555" t="str">
        <f t="shared" si="175"/>
        <v>C</v>
      </c>
      <c r="GU555" s="53">
        <v>100</v>
      </c>
      <c r="GV555" s="53">
        <v>549</v>
      </c>
    </row>
    <row r="556" spans="1:204" x14ac:dyDescent="0.35">
      <c r="J556" s="46" t="str">
        <f t="shared" si="178"/>
        <v/>
      </c>
      <c r="K556" s="46" t="str">
        <f>IF(A557&lt;&gt;A556,AVERAGEIF(A$9:A556,A556,J$9:J556),"")</f>
        <v/>
      </c>
      <c r="L556" s="5" t="str">
        <f>IFERROR(IF(A557&lt;&gt;A556,AVERAGEIF(A$9:A556,A556,S$9:S556),""),"")</f>
        <v/>
      </c>
      <c r="M556" s="5" t="str">
        <f>IFERROR(IF(A557&lt;&gt;A556,AVERAGEIF(A$9:A556,A556,T$9:T556),""),"")</f>
        <v/>
      </c>
      <c r="N556" s="5" t="str" cm="1">
        <f t="array" ref="N556">IFERROR(IF(A557&lt;&gt;A556,_xlfn.STDEV.P(IF(A$9:A556=A556,T$9:T556)),""),"")</f>
        <v/>
      </c>
      <c r="O556" s="5" t="str" cm="1">
        <f t="array" ref="O556">IFERROR(IF(A557&lt;&gt;A556,_xlfn.STDEV.P(IF(A$9:A556=A556,S$9:S556)),""),"")</f>
        <v/>
      </c>
      <c r="P556" s="47" t="str">
        <f t="shared" si="179"/>
        <v/>
      </c>
      <c r="Q556" s="47" t="str">
        <f t="shared" si="180"/>
        <v/>
      </c>
      <c r="R556" s="47" t="str">
        <f t="shared" si="181"/>
        <v/>
      </c>
      <c r="S556" s="48" t="str">
        <f t="shared" si="182"/>
        <v/>
      </c>
      <c r="T556" s="48" t="str">
        <f t="shared" si="183"/>
        <v/>
      </c>
      <c r="EW556" t="s">
        <v>46</v>
      </c>
      <c r="EX556" s="33" t="s">
        <v>47</v>
      </c>
      <c r="EY556" s="35" t="s">
        <v>1471</v>
      </c>
      <c r="EZ556" s="36" t="s">
        <v>1472</v>
      </c>
      <c r="FA556" s="36" t="s">
        <v>1192</v>
      </c>
      <c r="FB556" s="36" t="s">
        <v>344</v>
      </c>
      <c r="FC556" s="36" t="s">
        <v>1192</v>
      </c>
      <c r="FD556" s="36" t="s">
        <v>344</v>
      </c>
      <c r="FE556" s="36">
        <v>2026</v>
      </c>
      <c r="FF556" s="36" t="s">
        <v>59</v>
      </c>
      <c r="FG556" s="36" t="s">
        <v>1241</v>
      </c>
      <c r="FJ556" t="s">
        <v>59</v>
      </c>
      <c r="FM556" s="32" t="s">
        <v>1404</v>
      </c>
      <c r="FN556" t="s">
        <v>1404</v>
      </c>
      <c r="FO556" t="s">
        <v>1405</v>
      </c>
      <c r="FP556" t="str">
        <f t="shared" si="175"/>
        <v>C</v>
      </c>
      <c r="GU556" s="53">
        <v>101</v>
      </c>
      <c r="GV556" s="53">
        <v>550</v>
      </c>
    </row>
    <row r="557" spans="1:204" x14ac:dyDescent="0.35">
      <c r="J557" s="46" t="str">
        <f t="shared" si="178"/>
        <v/>
      </c>
      <c r="K557" s="46" t="str">
        <f>IF(A558&lt;&gt;A557,AVERAGEIF(A$9:A557,A557,J$9:J557),"")</f>
        <v/>
      </c>
      <c r="L557" s="5" t="str">
        <f>IFERROR(IF(A558&lt;&gt;A557,AVERAGEIF(A$9:A557,A557,S$9:S557),""),"")</f>
        <v/>
      </c>
      <c r="M557" s="5" t="str">
        <f>IFERROR(IF(A558&lt;&gt;A557,AVERAGEIF(A$9:A557,A557,T$9:T557),""),"")</f>
        <v/>
      </c>
      <c r="N557" s="5" t="str" cm="1">
        <f t="array" ref="N557">IFERROR(IF(A558&lt;&gt;A557,_xlfn.STDEV.P(IF(A$9:A557=A557,T$9:T557)),""),"")</f>
        <v/>
      </c>
      <c r="O557" s="5" t="str" cm="1">
        <f t="array" ref="O557">IFERROR(IF(A558&lt;&gt;A557,_xlfn.STDEV.P(IF(A$9:A557=A557,S$9:S557)),""),"")</f>
        <v/>
      </c>
      <c r="P557" s="47" t="str">
        <f t="shared" si="179"/>
        <v/>
      </c>
      <c r="Q557" s="47" t="str">
        <f t="shared" si="180"/>
        <v/>
      </c>
      <c r="R557" s="47" t="str">
        <f t="shared" si="181"/>
        <v/>
      </c>
      <c r="S557" s="48" t="str">
        <f t="shared" si="182"/>
        <v/>
      </c>
      <c r="T557" s="48" t="str">
        <f t="shared" si="183"/>
        <v/>
      </c>
      <c r="EW557" t="s">
        <v>46</v>
      </c>
      <c r="EX557" s="33" t="s">
        <v>47</v>
      </c>
      <c r="EY557" s="35" t="s">
        <v>1473</v>
      </c>
      <c r="EZ557" s="36" t="s">
        <v>1474</v>
      </c>
      <c r="FA557" s="36" t="s">
        <v>1192</v>
      </c>
      <c r="FB557" s="36" t="s">
        <v>344</v>
      </c>
      <c r="FC557" s="36" t="s">
        <v>1192</v>
      </c>
      <c r="FD557" s="36" t="s">
        <v>344</v>
      </c>
      <c r="FE557" s="36">
        <v>2026</v>
      </c>
      <c r="FF557" s="36" t="s">
        <v>59</v>
      </c>
      <c r="FG557" s="36" t="s">
        <v>1241</v>
      </c>
      <c r="FJ557" t="s">
        <v>59</v>
      </c>
      <c r="FM557" s="32" t="s">
        <v>1450</v>
      </c>
      <c r="FN557" t="s">
        <v>1450</v>
      </c>
      <c r="FO557" t="s">
        <v>1450</v>
      </c>
      <c r="FP557" t="str">
        <f t="shared" si="175"/>
        <v>B</v>
      </c>
      <c r="GU557" s="53">
        <v>102</v>
      </c>
      <c r="GV557" s="53">
        <v>551</v>
      </c>
    </row>
    <row r="558" spans="1:204" x14ac:dyDescent="0.35">
      <c r="J558" s="46" t="str">
        <f t="shared" si="178"/>
        <v/>
      </c>
      <c r="K558" s="46" t="str">
        <f>IF(A559&lt;&gt;A558,AVERAGEIF(A$9:A558,A558,J$9:J558),"")</f>
        <v/>
      </c>
      <c r="L558" s="5" t="str">
        <f>IFERROR(IF(A559&lt;&gt;A558,AVERAGEIF(A$9:A558,A558,S$9:S558),""),"")</f>
        <v/>
      </c>
      <c r="M558" s="5" t="str">
        <f>IFERROR(IF(A559&lt;&gt;A558,AVERAGEIF(A$9:A558,A558,T$9:T558),""),"")</f>
        <v/>
      </c>
      <c r="N558" s="5" t="str" cm="1">
        <f t="array" ref="N558">IFERROR(IF(A559&lt;&gt;A558,_xlfn.STDEV.P(IF(A$9:A558=A558,T$9:T558)),""),"")</f>
        <v/>
      </c>
      <c r="O558" s="5" t="str" cm="1">
        <f t="array" ref="O558">IFERROR(IF(A559&lt;&gt;A558,_xlfn.STDEV.P(IF(A$9:A558=A558,S$9:S558)),""),"")</f>
        <v/>
      </c>
      <c r="P558" s="47" t="str">
        <f t="shared" si="179"/>
        <v/>
      </c>
      <c r="Q558" s="47" t="str">
        <f t="shared" si="180"/>
        <v/>
      </c>
      <c r="R558" s="47" t="str">
        <f t="shared" si="181"/>
        <v/>
      </c>
      <c r="S558" s="48" t="str">
        <f t="shared" si="182"/>
        <v/>
      </c>
      <c r="T558" s="48" t="str">
        <f t="shared" si="183"/>
        <v/>
      </c>
      <c r="EW558" t="s">
        <v>46</v>
      </c>
      <c r="EX558" s="33" t="s">
        <v>47</v>
      </c>
      <c r="EY558" s="35" t="s">
        <v>1475</v>
      </c>
      <c r="EZ558" s="36" t="s">
        <v>1476</v>
      </c>
      <c r="FA558" s="36" t="s">
        <v>1192</v>
      </c>
      <c r="FB558" s="36" t="s">
        <v>344</v>
      </c>
      <c r="FC558" s="36" t="s">
        <v>1192</v>
      </c>
      <c r="FD558" s="36" t="s">
        <v>344</v>
      </c>
      <c r="FE558" s="36">
        <v>2026</v>
      </c>
      <c r="FF558" s="36" t="s">
        <v>59</v>
      </c>
      <c r="FG558" s="36" t="s">
        <v>1241</v>
      </c>
      <c r="FJ558" t="s">
        <v>59</v>
      </c>
      <c r="FM558" s="32" t="s">
        <v>273</v>
      </c>
      <c r="FN558" t="s">
        <v>273</v>
      </c>
      <c r="FO558" t="s">
        <v>273</v>
      </c>
      <c r="FP558" t="str">
        <f t="shared" si="175"/>
        <v>B</v>
      </c>
      <c r="GU558" s="53">
        <v>103</v>
      </c>
      <c r="GV558" s="53">
        <v>552</v>
      </c>
    </row>
    <row r="559" spans="1:204" x14ac:dyDescent="0.35">
      <c r="J559" s="46" t="str">
        <f t="shared" si="178"/>
        <v/>
      </c>
      <c r="K559" s="46" t="str">
        <f>IF(A560&lt;&gt;A559,AVERAGEIF(A$9:A559,A559,J$9:J559),"")</f>
        <v/>
      </c>
      <c r="L559" s="5" t="str">
        <f>IFERROR(IF(A560&lt;&gt;A559,AVERAGEIF(A$9:A559,A559,S$9:S559),""),"")</f>
        <v/>
      </c>
      <c r="M559" s="5" t="str">
        <f>IFERROR(IF(A560&lt;&gt;A559,AVERAGEIF(A$9:A559,A559,T$9:T559),""),"")</f>
        <v/>
      </c>
      <c r="N559" s="5" t="str" cm="1">
        <f t="array" ref="N559">IFERROR(IF(A560&lt;&gt;A559,_xlfn.STDEV.P(IF(A$9:A559=A559,T$9:T559)),""),"")</f>
        <v/>
      </c>
      <c r="O559" s="5" t="str" cm="1">
        <f t="array" ref="O559">IFERROR(IF(A560&lt;&gt;A559,_xlfn.STDEV.P(IF(A$9:A559=A559,S$9:S559)),""),"")</f>
        <v/>
      </c>
      <c r="P559" s="47" t="str">
        <f t="shared" si="179"/>
        <v/>
      </c>
      <c r="Q559" s="47" t="str">
        <f t="shared" si="180"/>
        <v/>
      </c>
      <c r="R559" s="47" t="str">
        <f t="shared" si="181"/>
        <v/>
      </c>
      <c r="S559" s="48" t="str">
        <f t="shared" si="182"/>
        <v/>
      </c>
      <c r="T559" s="48" t="str">
        <f t="shared" si="183"/>
        <v/>
      </c>
      <c r="EW559" t="s">
        <v>46</v>
      </c>
      <c r="EX559" s="33" t="s">
        <v>47</v>
      </c>
      <c r="EY559" s="35" t="s">
        <v>1477</v>
      </c>
      <c r="EZ559" s="36" t="s">
        <v>1478</v>
      </c>
      <c r="FA559" s="36" t="s">
        <v>1192</v>
      </c>
      <c r="FB559" s="36" t="s">
        <v>344</v>
      </c>
      <c r="FC559" s="36" t="s">
        <v>1192</v>
      </c>
      <c r="FD559" s="36" t="s">
        <v>344</v>
      </c>
      <c r="FE559" s="36">
        <v>2026</v>
      </c>
      <c r="FF559" s="36" t="s">
        <v>59</v>
      </c>
      <c r="FG559" s="36" t="s">
        <v>1241</v>
      </c>
      <c r="FJ559" t="s">
        <v>59</v>
      </c>
      <c r="FM559" s="32" t="s">
        <v>1379</v>
      </c>
      <c r="FN559" t="s">
        <v>1379</v>
      </c>
      <c r="FO559" t="s">
        <v>1379</v>
      </c>
      <c r="FP559" t="str">
        <f t="shared" si="175"/>
        <v>C</v>
      </c>
      <c r="GU559" s="53">
        <v>104</v>
      </c>
      <c r="GV559" s="53">
        <v>553</v>
      </c>
    </row>
    <row r="560" spans="1:204" x14ac:dyDescent="0.35">
      <c r="J560" s="46" t="str">
        <f t="shared" si="178"/>
        <v/>
      </c>
      <c r="K560" s="46" t="str">
        <f>IF(A561&lt;&gt;A560,AVERAGEIF(A$9:A560,A560,J$9:J560),"")</f>
        <v/>
      </c>
      <c r="L560" s="5" t="str">
        <f>IFERROR(IF(A561&lt;&gt;A560,AVERAGEIF(A$9:A560,A560,S$9:S560),""),"")</f>
        <v/>
      </c>
      <c r="M560" s="5" t="str">
        <f>IFERROR(IF(A561&lt;&gt;A560,AVERAGEIF(A$9:A560,A560,T$9:T560),""),"")</f>
        <v/>
      </c>
      <c r="N560" s="5" t="str" cm="1">
        <f t="array" ref="N560">IFERROR(IF(A561&lt;&gt;A560,_xlfn.STDEV.P(IF(A$9:A560=A560,T$9:T560)),""),"")</f>
        <v/>
      </c>
      <c r="O560" s="5" t="str" cm="1">
        <f t="array" ref="O560">IFERROR(IF(A561&lt;&gt;A560,_xlfn.STDEV.P(IF(A$9:A560=A560,S$9:S560)),""),"")</f>
        <v/>
      </c>
      <c r="P560" s="47" t="str">
        <f t="shared" si="179"/>
        <v/>
      </c>
      <c r="Q560" s="47" t="str">
        <f t="shared" si="180"/>
        <v/>
      </c>
      <c r="R560" s="47" t="str">
        <f t="shared" si="181"/>
        <v/>
      </c>
      <c r="S560" s="48" t="str">
        <f t="shared" si="182"/>
        <v/>
      </c>
      <c r="T560" s="48" t="str">
        <f t="shared" si="183"/>
        <v/>
      </c>
      <c r="EW560" t="s">
        <v>46</v>
      </c>
      <c r="EX560" s="33" t="s">
        <v>47</v>
      </c>
      <c r="EY560" s="35" t="s">
        <v>1479</v>
      </c>
      <c r="EZ560" s="36" t="s">
        <v>1480</v>
      </c>
      <c r="FA560" s="36" t="s">
        <v>1192</v>
      </c>
      <c r="FB560" s="36" t="s">
        <v>344</v>
      </c>
      <c r="FC560" s="36" t="s">
        <v>1192</v>
      </c>
      <c r="FD560" s="36" t="s">
        <v>344</v>
      </c>
      <c r="FE560" s="36">
        <v>2026</v>
      </c>
      <c r="FF560" s="36" t="s">
        <v>59</v>
      </c>
      <c r="FG560" s="36" t="s">
        <v>1241</v>
      </c>
      <c r="FJ560" t="s">
        <v>59</v>
      </c>
      <c r="FM560" s="32" t="s">
        <v>1409</v>
      </c>
      <c r="FN560" t="s">
        <v>1409</v>
      </c>
      <c r="FO560" t="s">
        <v>1409</v>
      </c>
      <c r="FP560" t="str">
        <f t="shared" si="175"/>
        <v>C</v>
      </c>
      <c r="GU560" s="53">
        <v>105</v>
      </c>
      <c r="GV560" s="53">
        <v>554</v>
      </c>
    </row>
    <row r="561" spans="10:204" x14ac:dyDescent="0.35">
      <c r="J561" s="46" t="str">
        <f t="shared" si="178"/>
        <v/>
      </c>
      <c r="K561" s="46" t="str">
        <f>IF(A562&lt;&gt;A561,AVERAGEIF(A$9:A561,A561,J$9:J561),"")</f>
        <v/>
      </c>
      <c r="L561" s="5" t="str">
        <f>IFERROR(IF(A562&lt;&gt;A561,AVERAGEIF(A$9:A561,A561,S$9:S561),""),"")</f>
        <v/>
      </c>
      <c r="M561" s="5" t="str">
        <f>IFERROR(IF(A562&lt;&gt;A561,AVERAGEIF(A$9:A561,A561,T$9:T561),""),"")</f>
        <v/>
      </c>
      <c r="N561" s="5" t="str" cm="1">
        <f t="array" ref="N561">IFERROR(IF(A562&lt;&gt;A561,_xlfn.STDEV.P(IF(A$9:A561=A561,T$9:T561)),""),"")</f>
        <v/>
      </c>
      <c r="O561" s="5" t="str" cm="1">
        <f t="array" ref="O561">IFERROR(IF(A562&lt;&gt;A561,_xlfn.STDEV.P(IF(A$9:A561=A561,S$9:S561)),""),"")</f>
        <v/>
      </c>
      <c r="P561" s="47" t="str">
        <f t="shared" si="179"/>
        <v/>
      </c>
      <c r="Q561" s="47" t="str">
        <f t="shared" si="180"/>
        <v/>
      </c>
      <c r="R561" s="47" t="str">
        <f t="shared" si="181"/>
        <v/>
      </c>
      <c r="S561" s="48" t="str">
        <f t="shared" si="182"/>
        <v/>
      </c>
      <c r="T561" s="48" t="str">
        <f t="shared" si="183"/>
        <v/>
      </c>
      <c r="EW561" t="s">
        <v>46</v>
      </c>
      <c r="EX561" s="33" t="s">
        <v>47</v>
      </c>
      <c r="EY561" s="35" t="s">
        <v>1481</v>
      </c>
      <c r="EZ561" s="36" t="s">
        <v>1482</v>
      </c>
      <c r="FA561" s="36" t="s">
        <v>1192</v>
      </c>
      <c r="FB561" s="36" t="s">
        <v>344</v>
      </c>
      <c r="FC561" s="36" t="s">
        <v>1192</v>
      </c>
      <c r="FD561" s="36" t="s">
        <v>344</v>
      </c>
      <c r="FE561" s="36">
        <v>2026</v>
      </c>
      <c r="FF561" s="36" t="s">
        <v>59</v>
      </c>
      <c r="FG561" s="36" t="s">
        <v>1241</v>
      </c>
      <c r="FJ561" t="s">
        <v>59</v>
      </c>
      <c r="FM561" s="32" t="s">
        <v>1483</v>
      </c>
      <c r="FN561" t="s">
        <v>1483</v>
      </c>
      <c r="FO561" t="s">
        <v>1484</v>
      </c>
      <c r="FP561" t="str">
        <f t="shared" si="175"/>
        <v>B</v>
      </c>
      <c r="GU561" s="53">
        <v>106</v>
      </c>
      <c r="GV561" s="53">
        <v>555</v>
      </c>
    </row>
    <row r="562" spans="10:204" x14ac:dyDescent="0.35">
      <c r="J562" s="46" t="str">
        <f t="shared" si="178"/>
        <v/>
      </c>
      <c r="K562" s="46" t="str">
        <f>IF(A563&lt;&gt;A562,AVERAGEIF(A$9:A562,A562,J$9:J562),"")</f>
        <v/>
      </c>
      <c r="L562" s="5" t="str">
        <f>IFERROR(IF(A563&lt;&gt;A562,AVERAGEIF(A$9:A562,A562,S$9:S562),""),"")</f>
        <v/>
      </c>
      <c r="M562" s="5" t="str">
        <f>IFERROR(IF(A563&lt;&gt;A562,AVERAGEIF(A$9:A562,A562,T$9:T562),""),"")</f>
        <v/>
      </c>
      <c r="N562" s="5" t="str" cm="1">
        <f t="array" ref="N562">IFERROR(IF(A563&lt;&gt;A562,_xlfn.STDEV.P(IF(A$9:A562=A562,T$9:T562)),""),"")</f>
        <v/>
      </c>
      <c r="O562" s="5" t="str" cm="1">
        <f t="array" ref="O562">IFERROR(IF(A563&lt;&gt;A562,_xlfn.STDEV.P(IF(A$9:A562=A562,S$9:S562)),""),"")</f>
        <v/>
      </c>
      <c r="P562" s="47" t="str">
        <f t="shared" si="179"/>
        <v/>
      </c>
      <c r="Q562" s="47" t="str">
        <f t="shared" si="180"/>
        <v/>
      </c>
      <c r="R562" s="47" t="str">
        <f t="shared" si="181"/>
        <v/>
      </c>
      <c r="S562" s="48" t="str">
        <f t="shared" si="182"/>
        <v/>
      </c>
      <c r="T562" s="48" t="str">
        <f t="shared" si="183"/>
        <v/>
      </c>
      <c r="EW562" t="s">
        <v>46</v>
      </c>
      <c r="EX562" s="33" t="s">
        <v>47</v>
      </c>
      <c r="EY562" s="35" t="s">
        <v>1485</v>
      </c>
      <c r="EZ562" s="36" t="s">
        <v>1486</v>
      </c>
      <c r="FA562" s="36" t="s">
        <v>1192</v>
      </c>
      <c r="FB562" s="36" t="s">
        <v>344</v>
      </c>
      <c r="FC562" s="36" t="s">
        <v>1192</v>
      </c>
      <c r="FD562" s="36" t="s">
        <v>344</v>
      </c>
      <c r="FE562" s="36">
        <v>2026</v>
      </c>
      <c r="FF562" s="36" t="s">
        <v>59</v>
      </c>
      <c r="FG562" s="36" t="s">
        <v>1241</v>
      </c>
      <c r="FJ562" t="s">
        <v>59</v>
      </c>
      <c r="FM562" s="32" t="s">
        <v>1237</v>
      </c>
      <c r="FN562" t="s">
        <v>1237</v>
      </c>
      <c r="FO562" t="s">
        <v>1238</v>
      </c>
      <c r="FP562" t="str">
        <f t="shared" si="175"/>
        <v>C</v>
      </c>
      <c r="GU562" s="53">
        <v>107</v>
      </c>
      <c r="GV562" s="53">
        <v>556</v>
      </c>
    </row>
    <row r="563" spans="10:204" x14ac:dyDescent="0.35">
      <c r="J563" s="46" t="str">
        <f t="shared" si="178"/>
        <v/>
      </c>
      <c r="K563" s="46" t="str">
        <f>IF(A564&lt;&gt;A563,AVERAGEIF(A$9:A563,A563,J$9:J563),"")</f>
        <v/>
      </c>
      <c r="L563" s="5" t="str">
        <f>IFERROR(IF(A564&lt;&gt;A563,AVERAGEIF(A$9:A563,A563,S$9:S563),""),"")</f>
        <v/>
      </c>
      <c r="M563" s="5" t="str">
        <f>IFERROR(IF(A564&lt;&gt;A563,AVERAGEIF(A$9:A563,A563,T$9:T563),""),"")</f>
        <v/>
      </c>
      <c r="N563" s="5" t="str" cm="1">
        <f t="array" ref="N563">IFERROR(IF(A564&lt;&gt;A563,_xlfn.STDEV.P(IF(A$9:A563=A563,T$9:T563)),""),"")</f>
        <v/>
      </c>
      <c r="O563" s="5" t="str" cm="1">
        <f t="array" ref="O563">IFERROR(IF(A564&lt;&gt;A563,_xlfn.STDEV.P(IF(A$9:A563=A563,S$9:S563)),""),"")</f>
        <v/>
      </c>
      <c r="P563" s="47" t="str">
        <f t="shared" si="179"/>
        <v/>
      </c>
      <c r="Q563" s="47" t="str">
        <f t="shared" si="180"/>
        <v/>
      </c>
      <c r="R563" s="47" t="str">
        <f t="shared" si="181"/>
        <v/>
      </c>
      <c r="S563" s="48" t="str">
        <f t="shared" si="182"/>
        <v/>
      </c>
      <c r="T563" s="48" t="str">
        <f t="shared" si="183"/>
        <v/>
      </c>
      <c r="EW563" t="s">
        <v>46</v>
      </c>
      <c r="EX563" s="33" t="s">
        <v>47</v>
      </c>
      <c r="EY563" s="35" t="s">
        <v>1487</v>
      </c>
      <c r="EZ563" s="36" t="s">
        <v>1488</v>
      </c>
      <c r="FA563" s="36" t="s">
        <v>1192</v>
      </c>
      <c r="FB563" s="36" t="s">
        <v>344</v>
      </c>
      <c r="FC563" s="36" t="s">
        <v>1192</v>
      </c>
      <c r="FD563" s="36" t="s">
        <v>344</v>
      </c>
      <c r="FE563" s="36">
        <v>2026</v>
      </c>
      <c r="FF563" s="36" t="s">
        <v>59</v>
      </c>
      <c r="FG563" s="36" t="s">
        <v>1241</v>
      </c>
      <c r="FJ563" t="s">
        <v>59</v>
      </c>
      <c r="FM563" s="32" t="s">
        <v>1426</v>
      </c>
      <c r="FN563" t="s">
        <v>1426</v>
      </c>
      <c r="FO563" t="s">
        <v>1427</v>
      </c>
      <c r="FP563" t="str">
        <f t="shared" si="175"/>
        <v>C</v>
      </c>
      <c r="GU563" s="53">
        <v>108</v>
      </c>
      <c r="GV563" s="53">
        <v>557</v>
      </c>
    </row>
    <row r="564" spans="10:204" x14ac:dyDescent="0.35">
      <c r="J564" s="46" t="str">
        <f t="shared" si="178"/>
        <v/>
      </c>
      <c r="K564" s="46" t="str">
        <f>IF(A565&lt;&gt;A564,AVERAGEIF(A$9:A564,A564,J$9:J564),"")</f>
        <v/>
      </c>
      <c r="L564" s="5" t="str">
        <f>IFERROR(IF(A565&lt;&gt;A564,AVERAGEIF(A$9:A564,A564,S$9:S564),""),"")</f>
        <v/>
      </c>
      <c r="M564" s="5" t="str">
        <f>IFERROR(IF(A565&lt;&gt;A564,AVERAGEIF(A$9:A564,A564,T$9:T564),""),"")</f>
        <v/>
      </c>
      <c r="N564" s="5" t="str" cm="1">
        <f t="array" ref="N564">IFERROR(IF(A565&lt;&gt;A564,_xlfn.STDEV.P(IF(A$9:A564=A564,T$9:T564)),""),"")</f>
        <v/>
      </c>
      <c r="O564" s="5" t="str" cm="1">
        <f t="array" ref="O564">IFERROR(IF(A565&lt;&gt;A564,_xlfn.STDEV.P(IF(A$9:A564=A564,S$9:S564)),""),"")</f>
        <v/>
      </c>
      <c r="P564" s="47" t="str">
        <f t="shared" si="179"/>
        <v/>
      </c>
      <c r="Q564" s="47" t="str">
        <f t="shared" si="180"/>
        <v/>
      </c>
      <c r="R564" s="47" t="str">
        <f t="shared" si="181"/>
        <v/>
      </c>
      <c r="S564" s="48" t="str">
        <f t="shared" si="182"/>
        <v/>
      </c>
      <c r="T564" s="48" t="str">
        <f t="shared" si="183"/>
        <v/>
      </c>
      <c r="EW564" t="s">
        <v>46</v>
      </c>
      <c r="EX564" s="33" t="s">
        <v>47</v>
      </c>
      <c r="EY564" s="35" t="s">
        <v>1489</v>
      </c>
      <c r="EZ564" s="36" t="s">
        <v>1490</v>
      </c>
      <c r="FA564" s="36" t="s">
        <v>1192</v>
      </c>
      <c r="FB564" s="36" t="s">
        <v>344</v>
      </c>
      <c r="FC564" s="36" t="s">
        <v>1192</v>
      </c>
      <c r="FD564" s="36" t="s">
        <v>344</v>
      </c>
      <c r="FE564" s="36">
        <v>2026</v>
      </c>
      <c r="FF564" s="36" t="s">
        <v>59</v>
      </c>
      <c r="FG564" s="36" t="s">
        <v>1241</v>
      </c>
      <c r="FJ564" t="s">
        <v>59</v>
      </c>
      <c r="FM564" s="32" t="s">
        <v>1491</v>
      </c>
      <c r="FN564" t="s">
        <v>1491</v>
      </c>
      <c r="FO564" t="s">
        <v>1492</v>
      </c>
      <c r="FP564" t="str">
        <f t="shared" si="175"/>
        <v>C</v>
      </c>
      <c r="GU564" s="53">
        <v>109</v>
      </c>
      <c r="GV564" s="53">
        <v>558</v>
      </c>
    </row>
    <row r="565" spans="10:204" x14ac:dyDescent="0.35">
      <c r="J565" s="46" t="str">
        <f t="shared" si="178"/>
        <v/>
      </c>
      <c r="K565" s="46" t="str">
        <f>IF(A566&lt;&gt;A565,AVERAGEIF(A$9:A565,A565,J$9:J565),"")</f>
        <v/>
      </c>
      <c r="L565" s="5" t="str">
        <f>IFERROR(IF(A566&lt;&gt;A565,AVERAGEIF(A$9:A565,A565,S$9:S565),""),"")</f>
        <v/>
      </c>
      <c r="M565" s="5" t="str">
        <f>IFERROR(IF(A566&lt;&gt;A565,AVERAGEIF(A$9:A565,A565,T$9:T565),""),"")</f>
        <v/>
      </c>
      <c r="N565" s="5" t="str" cm="1">
        <f t="array" ref="N565">IFERROR(IF(A566&lt;&gt;A565,_xlfn.STDEV.P(IF(A$9:A565=A565,T$9:T565)),""),"")</f>
        <v/>
      </c>
      <c r="O565" s="5" t="str" cm="1">
        <f t="array" ref="O565">IFERROR(IF(A566&lt;&gt;A565,_xlfn.STDEV.P(IF(A$9:A565=A565,S$9:S565)),""),"")</f>
        <v/>
      </c>
      <c r="P565" s="47" t="str">
        <f t="shared" si="179"/>
        <v/>
      </c>
      <c r="Q565" s="47" t="str">
        <f t="shared" si="180"/>
        <v/>
      </c>
      <c r="R565" s="47" t="str">
        <f t="shared" si="181"/>
        <v/>
      </c>
      <c r="S565" s="48" t="str">
        <f t="shared" si="182"/>
        <v/>
      </c>
      <c r="T565" s="48" t="str">
        <f t="shared" si="183"/>
        <v/>
      </c>
      <c r="EW565" t="s">
        <v>46</v>
      </c>
      <c r="EX565" s="33" t="s">
        <v>47</v>
      </c>
      <c r="EY565" s="35" t="s">
        <v>1493</v>
      </c>
      <c r="EZ565" s="36" t="s">
        <v>1494</v>
      </c>
      <c r="FA565" s="36" t="s">
        <v>1192</v>
      </c>
      <c r="FB565" s="36" t="s">
        <v>344</v>
      </c>
      <c r="FC565" s="36" t="s">
        <v>1192</v>
      </c>
      <c r="FD565" s="36" t="s">
        <v>344</v>
      </c>
      <c r="FE565" s="36">
        <v>2026</v>
      </c>
      <c r="FF565" s="36" t="s">
        <v>59</v>
      </c>
      <c r="FG565" s="36" t="s">
        <v>1241</v>
      </c>
      <c r="FJ565" t="s">
        <v>59</v>
      </c>
      <c r="FM565" s="32" t="s">
        <v>1388</v>
      </c>
      <c r="FN565" t="s">
        <v>1388</v>
      </c>
      <c r="FO565" t="s">
        <v>1389</v>
      </c>
      <c r="FP565" t="str">
        <f t="shared" si="175"/>
        <v>C</v>
      </c>
      <c r="GU565" s="53">
        <v>110</v>
      </c>
      <c r="GV565" s="53">
        <v>559</v>
      </c>
    </row>
    <row r="566" spans="10:204" x14ac:dyDescent="0.35">
      <c r="J566" s="46" t="str">
        <f t="shared" si="178"/>
        <v/>
      </c>
      <c r="K566" s="46" t="str">
        <f>IF(A567&lt;&gt;A566,AVERAGEIF(A$9:A566,A566,J$9:J566),"")</f>
        <v/>
      </c>
      <c r="L566" s="5" t="str">
        <f>IFERROR(IF(A567&lt;&gt;A566,AVERAGEIF(A$9:A566,A566,S$9:S566),""),"")</f>
        <v/>
      </c>
      <c r="M566" s="5" t="str">
        <f>IFERROR(IF(A567&lt;&gt;A566,AVERAGEIF(A$9:A566,A566,T$9:T566),""),"")</f>
        <v/>
      </c>
      <c r="N566" s="5" t="str" cm="1">
        <f t="array" ref="N566">IFERROR(IF(A567&lt;&gt;A566,_xlfn.STDEV.P(IF(A$9:A566=A566,T$9:T566)),""),"")</f>
        <v/>
      </c>
      <c r="O566" s="5" t="str" cm="1">
        <f t="array" ref="O566">IFERROR(IF(A567&lt;&gt;A566,_xlfn.STDEV.P(IF(A$9:A566=A566,S$9:S566)),""),"")</f>
        <v/>
      </c>
      <c r="P566" s="47" t="str">
        <f t="shared" si="179"/>
        <v/>
      </c>
      <c r="Q566" s="47" t="str">
        <f t="shared" si="180"/>
        <v/>
      </c>
      <c r="R566" s="47" t="str">
        <f t="shared" si="181"/>
        <v/>
      </c>
      <c r="S566" s="48" t="str">
        <f t="shared" si="182"/>
        <v/>
      </c>
      <c r="T566" s="48" t="str">
        <f t="shared" si="183"/>
        <v/>
      </c>
      <c r="EW566" t="s">
        <v>46</v>
      </c>
      <c r="EX566" s="33" t="s">
        <v>47</v>
      </c>
      <c r="EY566" s="35" t="s">
        <v>1495</v>
      </c>
      <c r="EZ566" s="36" t="s">
        <v>1496</v>
      </c>
      <c r="FA566" s="36" t="s">
        <v>1192</v>
      </c>
      <c r="FB566" s="36" t="s">
        <v>344</v>
      </c>
      <c r="FC566" s="36" t="s">
        <v>1192</v>
      </c>
      <c r="FD566" s="36" t="s">
        <v>344</v>
      </c>
      <c r="FE566" s="36">
        <v>2026</v>
      </c>
      <c r="FF566" s="36" t="s">
        <v>59</v>
      </c>
      <c r="FG566" s="36" t="s">
        <v>1241</v>
      </c>
      <c r="FJ566" t="s">
        <v>59</v>
      </c>
      <c r="FM566" s="32" t="s">
        <v>1497</v>
      </c>
      <c r="FN566" t="s">
        <v>1497</v>
      </c>
      <c r="FO566" t="s">
        <v>1498</v>
      </c>
      <c r="FP566" t="str">
        <f t="shared" si="175"/>
        <v>C</v>
      </c>
      <c r="GU566" s="53">
        <v>111</v>
      </c>
      <c r="GV566" s="53">
        <v>560</v>
      </c>
    </row>
    <row r="567" spans="10:204" x14ac:dyDescent="0.35">
      <c r="J567" s="46" t="str">
        <f t="shared" si="178"/>
        <v/>
      </c>
      <c r="K567" s="46" t="str">
        <f>IF(A568&lt;&gt;A567,AVERAGEIF(A$9:A567,A567,J$9:J567),"")</f>
        <v/>
      </c>
      <c r="L567" s="5" t="str">
        <f>IFERROR(IF(A568&lt;&gt;A567,AVERAGEIF(A$9:A567,A567,S$9:S567),""),"")</f>
        <v/>
      </c>
      <c r="M567" s="5" t="str">
        <f>IFERROR(IF(A568&lt;&gt;A567,AVERAGEIF(A$9:A567,A567,T$9:T567),""),"")</f>
        <v/>
      </c>
      <c r="N567" s="5" t="str" cm="1">
        <f t="array" ref="N567">IFERROR(IF(A568&lt;&gt;A567,_xlfn.STDEV.P(IF(A$9:A567=A567,T$9:T567)),""),"")</f>
        <v/>
      </c>
      <c r="O567" s="5" t="str" cm="1">
        <f t="array" ref="O567">IFERROR(IF(A568&lt;&gt;A567,_xlfn.STDEV.P(IF(A$9:A567=A567,S$9:S567)),""),"")</f>
        <v/>
      </c>
      <c r="P567" s="47" t="str">
        <f t="shared" si="179"/>
        <v/>
      </c>
      <c r="Q567" s="47" t="str">
        <f t="shared" si="180"/>
        <v/>
      </c>
      <c r="R567" s="47" t="str">
        <f t="shared" si="181"/>
        <v/>
      </c>
      <c r="S567" s="48" t="str">
        <f t="shared" si="182"/>
        <v/>
      </c>
      <c r="T567" s="48" t="str">
        <f t="shared" si="183"/>
        <v/>
      </c>
      <c r="EW567" t="s">
        <v>46</v>
      </c>
      <c r="EX567" s="33" t="s">
        <v>47</v>
      </c>
      <c r="EY567" s="35" t="s">
        <v>1499</v>
      </c>
      <c r="EZ567" s="36" t="s">
        <v>1500</v>
      </c>
      <c r="FA567" s="36" t="s">
        <v>1192</v>
      </c>
      <c r="FB567" s="36" t="s">
        <v>344</v>
      </c>
      <c r="FC567" s="36" t="s">
        <v>1192</v>
      </c>
      <c r="FD567" s="36" t="s">
        <v>344</v>
      </c>
      <c r="FE567" s="36">
        <v>2026</v>
      </c>
      <c r="FF567" s="36" t="s">
        <v>59</v>
      </c>
      <c r="FG567" s="36" t="s">
        <v>1241</v>
      </c>
      <c r="FJ567" t="s">
        <v>59</v>
      </c>
      <c r="FM567" s="32" t="s">
        <v>1362</v>
      </c>
      <c r="FN567" t="s">
        <v>1362</v>
      </c>
      <c r="FO567" t="s">
        <v>1363</v>
      </c>
      <c r="FP567" t="str">
        <f t="shared" si="175"/>
        <v>C</v>
      </c>
      <c r="GU567" s="53">
        <v>112</v>
      </c>
      <c r="GV567" s="53">
        <v>561</v>
      </c>
    </row>
    <row r="568" spans="10:204" x14ac:dyDescent="0.35">
      <c r="J568" s="46" t="str">
        <f t="shared" si="178"/>
        <v/>
      </c>
      <c r="K568" s="46" t="str">
        <f>IF(A569&lt;&gt;A568,AVERAGEIF(A$9:A568,A568,J$9:J568),"")</f>
        <v/>
      </c>
      <c r="L568" s="5" t="str">
        <f>IFERROR(IF(A569&lt;&gt;A568,AVERAGEIF(A$9:A568,A568,S$9:S568),""),"")</f>
        <v/>
      </c>
      <c r="M568" s="5" t="str">
        <f>IFERROR(IF(A569&lt;&gt;A568,AVERAGEIF(A$9:A568,A568,T$9:T568),""),"")</f>
        <v/>
      </c>
      <c r="N568" s="5" t="str" cm="1">
        <f t="array" ref="N568">IFERROR(IF(A569&lt;&gt;A568,_xlfn.STDEV.P(IF(A$9:A568=A568,T$9:T568)),""),"")</f>
        <v/>
      </c>
      <c r="O568" s="5" t="str" cm="1">
        <f t="array" ref="O568">IFERROR(IF(A569&lt;&gt;A568,_xlfn.STDEV.P(IF(A$9:A568=A568,S$9:S568)),""),"")</f>
        <v/>
      </c>
      <c r="P568" s="47" t="str">
        <f t="shared" si="179"/>
        <v/>
      </c>
      <c r="Q568" s="47" t="str">
        <f t="shared" si="180"/>
        <v/>
      </c>
      <c r="R568" s="47" t="str">
        <f t="shared" si="181"/>
        <v/>
      </c>
      <c r="S568" s="48" t="str">
        <f t="shared" si="182"/>
        <v/>
      </c>
      <c r="T568" s="48" t="str">
        <f t="shared" si="183"/>
        <v/>
      </c>
      <c r="EW568" t="s">
        <v>46</v>
      </c>
      <c r="EX568" s="33" t="s">
        <v>47</v>
      </c>
      <c r="EY568" s="35" t="s">
        <v>1501</v>
      </c>
      <c r="EZ568" s="36" t="s">
        <v>1502</v>
      </c>
      <c r="FA568" s="36" t="s">
        <v>1192</v>
      </c>
      <c r="FB568" s="36" t="s">
        <v>344</v>
      </c>
      <c r="FC568" s="36" t="s">
        <v>1192</v>
      </c>
      <c r="FD568" s="36" t="s">
        <v>344</v>
      </c>
      <c r="FE568" s="36">
        <v>2026</v>
      </c>
      <c r="FF568" s="36" t="s">
        <v>59</v>
      </c>
      <c r="FG568" s="36" t="s">
        <v>1241</v>
      </c>
      <c r="FJ568" t="s">
        <v>59</v>
      </c>
      <c r="FM568" s="32" t="s">
        <v>573</v>
      </c>
      <c r="FN568" t="s">
        <v>574</v>
      </c>
      <c r="FO568" t="s">
        <v>575</v>
      </c>
      <c r="FP568" t="str">
        <f t="shared" si="175"/>
        <v>B</v>
      </c>
      <c r="GU568" s="53">
        <v>113</v>
      </c>
      <c r="GV568" s="53">
        <v>562</v>
      </c>
    </row>
    <row r="569" spans="10:204" x14ac:dyDescent="0.35">
      <c r="J569" s="46" t="str">
        <f t="shared" si="178"/>
        <v/>
      </c>
      <c r="K569" s="46" t="str">
        <f>IF(A570&lt;&gt;A569,AVERAGEIF(A$9:A569,A569,J$9:J569),"")</f>
        <v/>
      </c>
      <c r="L569" s="5" t="str">
        <f>IFERROR(IF(A570&lt;&gt;A569,AVERAGEIF(A$9:A569,A569,S$9:S569),""),"")</f>
        <v/>
      </c>
      <c r="M569" s="5" t="str">
        <f>IFERROR(IF(A570&lt;&gt;A569,AVERAGEIF(A$9:A569,A569,T$9:T569),""),"")</f>
        <v/>
      </c>
      <c r="N569" s="5" t="str" cm="1">
        <f t="array" ref="N569">IFERROR(IF(A570&lt;&gt;A569,_xlfn.STDEV.P(IF(A$9:A569=A569,T$9:T569)),""),"")</f>
        <v/>
      </c>
      <c r="O569" s="5" t="str" cm="1">
        <f t="array" ref="O569">IFERROR(IF(A570&lt;&gt;A569,_xlfn.STDEV.P(IF(A$9:A569=A569,S$9:S569)),""),"")</f>
        <v/>
      </c>
      <c r="P569" s="47" t="str">
        <f t="shared" si="179"/>
        <v/>
      </c>
      <c r="Q569" s="47" t="str">
        <f t="shared" si="180"/>
        <v/>
      </c>
      <c r="R569" s="47" t="str">
        <f t="shared" si="181"/>
        <v/>
      </c>
      <c r="S569" s="48" t="str">
        <f t="shared" si="182"/>
        <v/>
      </c>
      <c r="T569" s="48" t="str">
        <f t="shared" si="183"/>
        <v/>
      </c>
      <c r="EW569" t="s">
        <v>46</v>
      </c>
      <c r="EX569" s="33" t="s">
        <v>47</v>
      </c>
      <c r="EY569" s="35" t="s">
        <v>1503</v>
      </c>
      <c r="EZ569" s="36" t="s">
        <v>1504</v>
      </c>
      <c r="FA569" s="36" t="s">
        <v>1192</v>
      </c>
      <c r="FB569" s="36" t="s">
        <v>344</v>
      </c>
      <c r="FC569" s="36" t="s">
        <v>1192</v>
      </c>
      <c r="FD569" s="36" t="s">
        <v>344</v>
      </c>
      <c r="FE569" s="36">
        <v>2026</v>
      </c>
      <c r="FF569" s="36" t="s">
        <v>59</v>
      </c>
      <c r="FG569" s="36" t="s">
        <v>1241</v>
      </c>
      <c r="FJ569" t="s">
        <v>59</v>
      </c>
      <c r="FM569" s="32" t="s">
        <v>1392</v>
      </c>
      <c r="FN569" t="s">
        <v>1392</v>
      </c>
      <c r="FO569" t="s">
        <v>1393</v>
      </c>
      <c r="FP569" t="str">
        <f t="shared" si="175"/>
        <v>C</v>
      </c>
      <c r="GU569" s="53">
        <v>114</v>
      </c>
      <c r="GV569" s="53">
        <v>563</v>
      </c>
    </row>
    <row r="570" spans="10:204" x14ac:dyDescent="0.35">
      <c r="J570" s="46" t="str">
        <f t="shared" si="178"/>
        <v/>
      </c>
      <c r="K570" s="46" t="str">
        <f>IF(A571&lt;&gt;A570,AVERAGEIF(A$9:A570,A570,J$9:J570),"")</f>
        <v/>
      </c>
      <c r="L570" s="5" t="str">
        <f>IFERROR(IF(A571&lt;&gt;A570,AVERAGEIF(A$9:A570,A570,S$9:S570),""),"")</f>
        <v/>
      </c>
      <c r="M570" s="5" t="str">
        <f>IFERROR(IF(A571&lt;&gt;A570,AVERAGEIF(A$9:A570,A570,T$9:T570),""),"")</f>
        <v/>
      </c>
      <c r="N570" s="5" t="str" cm="1">
        <f t="array" ref="N570">IFERROR(IF(A571&lt;&gt;A570,_xlfn.STDEV.P(IF(A$9:A570=A570,T$9:T570)),""),"")</f>
        <v/>
      </c>
      <c r="O570" s="5" t="str" cm="1">
        <f t="array" ref="O570">IFERROR(IF(A571&lt;&gt;A570,_xlfn.STDEV.P(IF(A$9:A570=A570,S$9:S570)),""),"")</f>
        <v/>
      </c>
      <c r="P570" s="47" t="str">
        <f t="shared" si="179"/>
        <v/>
      </c>
      <c r="Q570" s="47" t="str">
        <f t="shared" si="180"/>
        <v/>
      </c>
      <c r="R570" s="47" t="str">
        <f t="shared" si="181"/>
        <v/>
      </c>
      <c r="S570" s="48" t="str">
        <f t="shared" si="182"/>
        <v/>
      </c>
      <c r="T570" s="48" t="str">
        <f t="shared" si="183"/>
        <v/>
      </c>
      <c r="EW570" t="s">
        <v>46</v>
      </c>
      <c r="EX570" s="33" t="s">
        <v>47</v>
      </c>
      <c r="EY570" s="35" t="s">
        <v>1505</v>
      </c>
      <c r="EZ570" s="36" t="s">
        <v>1506</v>
      </c>
      <c r="FA570" s="36" t="s">
        <v>1192</v>
      </c>
      <c r="FB570" s="36" t="s">
        <v>344</v>
      </c>
      <c r="FC570" s="36" t="s">
        <v>1192</v>
      </c>
      <c r="FD570" s="36" t="s">
        <v>344</v>
      </c>
      <c r="FE570" s="36">
        <v>2026</v>
      </c>
      <c r="FF570" s="36" t="s">
        <v>59</v>
      </c>
      <c r="FG570" s="36" t="s">
        <v>1241</v>
      </c>
      <c r="FJ570" t="s">
        <v>59</v>
      </c>
      <c r="FM570" s="32" t="s">
        <v>1358</v>
      </c>
      <c r="FN570" t="s">
        <v>1358</v>
      </c>
      <c r="FO570" t="s">
        <v>1359</v>
      </c>
      <c r="FP570" t="str">
        <f t="shared" si="175"/>
        <v>C</v>
      </c>
      <c r="GU570" s="53">
        <v>115</v>
      </c>
      <c r="GV570" s="53">
        <v>564</v>
      </c>
    </row>
    <row r="571" spans="10:204" x14ac:dyDescent="0.35">
      <c r="J571" s="46" t="str">
        <f t="shared" si="178"/>
        <v/>
      </c>
      <c r="K571" s="46" t="str">
        <f>IF(A572&lt;&gt;A571,AVERAGEIF(A$9:A571,A571,J$9:J571),"")</f>
        <v/>
      </c>
      <c r="L571" s="5" t="str">
        <f>IFERROR(IF(A572&lt;&gt;A571,AVERAGEIF(A$9:A571,A571,S$9:S571),""),"")</f>
        <v/>
      </c>
      <c r="M571" s="5" t="str">
        <f>IFERROR(IF(A572&lt;&gt;A571,AVERAGEIF(A$9:A571,A571,T$9:T571),""),"")</f>
        <v/>
      </c>
      <c r="N571" s="5" t="str" cm="1">
        <f t="array" ref="N571">IFERROR(IF(A572&lt;&gt;A571,_xlfn.STDEV.P(IF(A$9:A571=A571,T$9:T571)),""),"")</f>
        <v/>
      </c>
      <c r="O571" s="5" t="str" cm="1">
        <f t="array" ref="O571">IFERROR(IF(A572&lt;&gt;A571,_xlfn.STDEV.P(IF(A$9:A571=A571,S$9:S571)),""),"")</f>
        <v/>
      </c>
      <c r="P571" s="47" t="str">
        <f t="shared" si="179"/>
        <v/>
      </c>
      <c r="Q571" s="47" t="str">
        <f t="shared" si="180"/>
        <v/>
      </c>
      <c r="R571" s="47" t="str">
        <f t="shared" si="181"/>
        <v/>
      </c>
      <c r="S571" s="48" t="str">
        <f t="shared" si="182"/>
        <v/>
      </c>
      <c r="T571" s="48" t="str">
        <f t="shared" si="183"/>
        <v/>
      </c>
      <c r="EW571" t="s">
        <v>46</v>
      </c>
      <c r="EX571" s="33" t="s">
        <v>47</v>
      </c>
      <c r="EY571" s="35" t="s">
        <v>1507</v>
      </c>
      <c r="EZ571" s="36" t="s">
        <v>1508</v>
      </c>
      <c r="FA571" s="36" t="s">
        <v>1192</v>
      </c>
      <c r="FB571" s="36" t="s">
        <v>344</v>
      </c>
      <c r="FC571" s="36" t="s">
        <v>1192</v>
      </c>
      <c r="FD571" s="36" t="s">
        <v>344</v>
      </c>
      <c r="FE571" s="36">
        <v>2026</v>
      </c>
      <c r="FF571" s="36" t="s">
        <v>59</v>
      </c>
      <c r="FG571" s="36" t="s">
        <v>1241</v>
      </c>
      <c r="FJ571" t="s">
        <v>59</v>
      </c>
      <c r="FM571" s="32" t="s">
        <v>497</v>
      </c>
      <c r="FN571" t="s">
        <v>498</v>
      </c>
      <c r="FO571" t="s">
        <v>499</v>
      </c>
      <c r="FP571" t="str">
        <f t="shared" si="175"/>
        <v>B</v>
      </c>
      <c r="GU571" s="53">
        <v>116</v>
      </c>
      <c r="GV571" s="53">
        <v>565</v>
      </c>
    </row>
    <row r="572" spans="10:204" x14ac:dyDescent="0.35">
      <c r="J572" s="46" t="str">
        <f t="shared" si="178"/>
        <v/>
      </c>
      <c r="K572" s="46" t="str">
        <f>IF(A573&lt;&gt;A572,AVERAGEIF(A$9:A572,A572,J$9:J572),"")</f>
        <v/>
      </c>
      <c r="L572" s="5" t="str">
        <f>IFERROR(IF(A573&lt;&gt;A572,AVERAGEIF(A$9:A572,A572,S$9:S572),""),"")</f>
        <v/>
      </c>
      <c r="M572" s="5" t="str">
        <f>IFERROR(IF(A573&lt;&gt;A572,AVERAGEIF(A$9:A572,A572,T$9:T572),""),"")</f>
        <v/>
      </c>
      <c r="N572" s="5" t="str" cm="1">
        <f t="array" ref="N572">IFERROR(IF(A573&lt;&gt;A572,_xlfn.STDEV.P(IF(A$9:A572=A572,T$9:T572)),""),"")</f>
        <v/>
      </c>
      <c r="O572" s="5" t="str" cm="1">
        <f t="array" ref="O572">IFERROR(IF(A573&lt;&gt;A572,_xlfn.STDEV.P(IF(A$9:A572=A572,S$9:S572)),""),"")</f>
        <v/>
      </c>
      <c r="P572" s="47" t="str">
        <f t="shared" si="179"/>
        <v/>
      </c>
      <c r="Q572" s="47" t="str">
        <f t="shared" si="180"/>
        <v/>
      </c>
      <c r="R572" s="47" t="str">
        <f t="shared" si="181"/>
        <v/>
      </c>
      <c r="S572" s="48" t="str">
        <f t="shared" si="182"/>
        <v/>
      </c>
      <c r="T572" s="48" t="str">
        <f t="shared" si="183"/>
        <v/>
      </c>
      <c r="EW572" t="s">
        <v>46</v>
      </c>
      <c r="EX572" s="33" t="s">
        <v>47</v>
      </c>
      <c r="EY572" s="35" t="s">
        <v>1509</v>
      </c>
      <c r="EZ572" s="36" t="s">
        <v>1510</v>
      </c>
      <c r="FA572" s="36" t="s">
        <v>1192</v>
      </c>
      <c r="FB572" s="36" t="s">
        <v>344</v>
      </c>
      <c r="FC572" s="36" t="s">
        <v>1192</v>
      </c>
      <c r="FD572" s="36" t="s">
        <v>344</v>
      </c>
      <c r="FE572" s="36">
        <v>2026</v>
      </c>
      <c r="FF572" s="36" t="s">
        <v>59</v>
      </c>
      <c r="FG572" s="36" t="s">
        <v>1241</v>
      </c>
      <c r="FJ572" t="s">
        <v>59</v>
      </c>
      <c r="FM572" s="32" t="s">
        <v>1511</v>
      </c>
      <c r="FN572" t="s">
        <v>1511</v>
      </c>
      <c r="FO572" t="s">
        <v>1512</v>
      </c>
      <c r="FP572" t="str">
        <f t="shared" si="175"/>
        <v>C</v>
      </c>
      <c r="GU572" s="53">
        <v>117</v>
      </c>
      <c r="GV572" s="53">
        <v>566</v>
      </c>
    </row>
    <row r="573" spans="10:204" x14ac:dyDescent="0.35">
      <c r="J573" s="46" t="str">
        <f t="shared" si="178"/>
        <v/>
      </c>
      <c r="K573" s="46" t="str">
        <f>IF(A574&lt;&gt;A573,AVERAGEIF(A$9:A573,A573,J$9:J573),"")</f>
        <v/>
      </c>
      <c r="L573" s="5" t="str">
        <f>IFERROR(IF(A574&lt;&gt;A573,AVERAGEIF(A$9:A573,A573,S$9:S573),""),"")</f>
        <v/>
      </c>
      <c r="M573" s="5" t="str">
        <f>IFERROR(IF(A574&lt;&gt;A573,AVERAGEIF(A$9:A573,A573,T$9:T573),""),"")</f>
        <v/>
      </c>
      <c r="N573" s="5" t="str" cm="1">
        <f t="array" ref="N573">IFERROR(IF(A574&lt;&gt;A573,_xlfn.STDEV.P(IF(A$9:A573=A573,T$9:T573)),""),"")</f>
        <v/>
      </c>
      <c r="O573" s="5" t="str" cm="1">
        <f t="array" ref="O573">IFERROR(IF(A574&lt;&gt;A573,_xlfn.STDEV.P(IF(A$9:A573=A573,S$9:S573)),""),"")</f>
        <v/>
      </c>
      <c r="P573" s="47" t="str">
        <f t="shared" si="179"/>
        <v/>
      </c>
      <c r="Q573" s="47" t="str">
        <f t="shared" si="180"/>
        <v/>
      </c>
      <c r="R573" s="47" t="str">
        <f t="shared" si="181"/>
        <v/>
      </c>
      <c r="S573" s="48" t="str">
        <f t="shared" si="182"/>
        <v/>
      </c>
      <c r="T573" s="48" t="str">
        <f t="shared" si="183"/>
        <v/>
      </c>
      <c r="EW573" t="s">
        <v>46</v>
      </c>
      <c r="EX573" s="33" t="s">
        <v>47</v>
      </c>
      <c r="EY573" s="35" t="s">
        <v>1513</v>
      </c>
      <c r="EZ573" s="36" t="s">
        <v>1514</v>
      </c>
      <c r="FA573" s="36" t="s">
        <v>1192</v>
      </c>
      <c r="FB573" s="36" t="s">
        <v>344</v>
      </c>
      <c r="FC573" s="36" t="s">
        <v>1192</v>
      </c>
      <c r="FD573" s="36" t="s">
        <v>344</v>
      </c>
      <c r="FE573" s="36">
        <v>2026</v>
      </c>
      <c r="FF573" s="36" t="s">
        <v>59</v>
      </c>
      <c r="FG573" s="36" t="s">
        <v>1241</v>
      </c>
      <c r="FJ573" t="s">
        <v>59</v>
      </c>
      <c r="FM573" s="32" t="s">
        <v>1354</v>
      </c>
      <c r="FN573" t="s">
        <v>1354</v>
      </c>
      <c r="FO573" t="s">
        <v>1355</v>
      </c>
      <c r="FP573" t="str">
        <f t="shared" si="175"/>
        <v>C</v>
      </c>
      <c r="GU573" s="53">
        <v>118</v>
      </c>
      <c r="GV573" s="53">
        <v>567</v>
      </c>
    </row>
    <row r="574" spans="10:204" x14ac:dyDescent="0.35">
      <c r="J574" s="46" t="str">
        <f t="shared" si="178"/>
        <v/>
      </c>
      <c r="K574" s="46" t="str">
        <f>IF(A575&lt;&gt;A574,AVERAGEIF(A$9:A574,A574,J$9:J574),"")</f>
        <v/>
      </c>
      <c r="L574" s="5" t="str">
        <f>IFERROR(IF(A575&lt;&gt;A574,AVERAGEIF(A$9:A574,A574,S$9:S574),""),"")</f>
        <v/>
      </c>
      <c r="M574" s="5" t="str">
        <f>IFERROR(IF(A575&lt;&gt;A574,AVERAGEIF(A$9:A574,A574,T$9:T574),""),"")</f>
        <v/>
      </c>
      <c r="N574" s="5" t="str" cm="1">
        <f t="array" ref="N574">IFERROR(IF(A575&lt;&gt;A574,_xlfn.STDEV.P(IF(A$9:A574=A574,T$9:T574)),""),"")</f>
        <v/>
      </c>
      <c r="O574" s="5" t="str" cm="1">
        <f t="array" ref="O574">IFERROR(IF(A575&lt;&gt;A574,_xlfn.STDEV.P(IF(A$9:A574=A574,S$9:S574)),""),"")</f>
        <v/>
      </c>
      <c r="P574" s="47" t="str">
        <f t="shared" si="179"/>
        <v/>
      </c>
      <c r="Q574" s="47" t="str">
        <f t="shared" si="180"/>
        <v/>
      </c>
      <c r="R574" s="47" t="str">
        <f t="shared" si="181"/>
        <v/>
      </c>
      <c r="S574" s="48" t="str">
        <f t="shared" si="182"/>
        <v/>
      </c>
      <c r="T574" s="48" t="str">
        <f t="shared" si="183"/>
        <v/>
      </c>
      <c r="EW574" t="s">
        <v>46</v>
      </c>
      <c r="EX574" s="33" t="s">
        <v>47</v>
      </c>
      <c r="EY574" s="35" t="s">
        <v>1515</v>
      </c>
      <c r="EZ574" s="36" t="s">
        <v>1516</v>
      </c>
      <c r="FA574" s="36" t="s">
        <v>1192</v>
      </c>
      <c r="FB574" s="36" t="s">
        <v>344</v>
      </c>
      <c r="FC574" s="36" t="s">
        <v>1192</v>
      </c>
      <c r="FD574" s="36" t="s">
        <v>344</v>
      </c>
      <c r="FE574" s="36">
        <v>2026</v>
      </c>
      <c r="FF574" s="36" t="s">
        <v>59</v>
      </c>
      <c r="FG574" s="36" t="s">
        <v>1241</v>
      </c>
      <c r="FJ574" t="s">
        <v>59</v>
      </c>
      <c r="FM574" s="32" t="s">
        <v>1292</v>
      </c>
      <c r="FN574" t="s">
        <v>1292</v>
      </c>
      <c r="FO574" t="s">
        <v>1293</v>
      </c>
      <c r="FP574" t="str">
        <f t="shared" si="175"/>
        <v>C</v>
      </c>
      <c r="GU574" s="53">
        <v>119</v>
      </c>
      <c r="GV574" s="53">
        <v>568</v>
      </c>
    </row>
    <row r="575" spans="10:204" x14ac:dyDescent="0.35">
      <c r="J575" s="46" t="str">
        <f t="shared" si="178"/>
        <v/>
      </c>
      <c r="K575" s="46" t="str">
        <f>IF(A576&lt;&gt;A575,AVERAGEIF(A$9:A575,A575,J$9:J575),"")</f>
        <v/>
      </c>
      <c r="L575" s="5" t="str">
        <f>IFERROR(IF(A576&lt;&gt;A575,AVERAGEIF(A$9:A575,A575,S$9:S575),""),"")</f>
        <v/>
      </c>
      <c r="M575" s="5" t="str">
        <f>IFERROR(IF(A576&lt;&gt;A575,AVERAGEIF(A$9:A575,A575,T$9:T575),""),"")</f>
        <v/>
      </c>
      <c r="N575" s="5" t="str" cm="1">
        <f t="array" ref="N575">IFERROR(IF(A576&lt;&gt;A575,_xlfn.STDEV.P(IF(A$9:A575=A575,T$9:T575)),""),"")</f>
        <v/>
      </c>
      <c r="O575" s="5" t="str" cm="1">
        <f t="array" ref="O575">IFERROR(IF(A576&lt;&gt;A575,_xlfn.STDEV.P(IF(A$9:A575=A575,S$9:S575)),""),"")</f>
        <v/>
      </c>
      <c r="P575" s="47" t="str">
        <f t="shared" si="179"/>
        <v/>
      </c>
      <c r="Q575" s="47" t="str">
        <f t="shared" si="180"/>
        <v/>
      </c>
      <c r="R575" s="47" t="str">
        <f t="shared" si="181"/>
        <v/>
      </c>
      <c r="S575" s="48" t="str">
        <f t="shared" si="182"/>
        <v/>
      </c>
      <c r="T575" s="48" t="str">
        <f t="shared" si="183"/>
        <v/>
      </c>
      <c r="EW575" t="s">
        <v>46</v>
      </c>
      <c r="EX575" s="33" t="s">
        <v>47</v>
      </c>
      <c r="EY575" s="35" t="s">
        <v>1517</v>
      </c>
      <c r="EZ575" s="36" t="s">
        <v>1518</v>
      </c>
      <c r="FA575" s="36" t="s">
        <v>1192</v>
      </c>
      <c r="FB575" s="36" t="s">
        <v>344</v>
      </c>
      <c r="FC575" s="36" t="s">
        <v>1192</v>
      </c>
      <c r="FD575" s="36" t="s">
        <v>344</v>
      </c>
      <c r="FE575" s="36">
        <v>2026</v>
      </c>
      <c r="FF575" s="36" t="s">
        <v>59</v>
      </c>
      <c r="FG575" s="36" t="s">
        <v>1241</v>
      </c>
      <c r="FJ575" t="s">
        <v>59</v>
      </c>
      <c r="FM575" s="32" t="s">
        <v>1366</v>
      </c>
      <c r="FN575" t="s">
        <v>1366</v>
      </c>
      <c r="FO575" t="s">
        <v>1367</v>
      </c>
      <c r="FP575" t="str">
        <f t="shared" si="175"/>
        <v>C</v>
      </c>
      <c r="GU575" s="53">
        <v>120</v>
      </c>
      <c r="GV575" s="53">
        <v>569</v>
      </c>
    </row>
    <row r="576" spans="10:204" x14ac:dyDescent="0.35">
      <c r="EW576" t="s">
        <v>46</v>
      </c>
      <c r="EX576" s="33" t="s">
        <v>47</v>
      </c>
      <c r="EY576" s="35" t="s">
        <v>1519</v>
      </c>
      <c r="EZ576" s="36" t="s">
        <v>1520</v>
      </c>
      <c r="FA576" s="36" t="s">
        <v>1192</v>
      </c>
      <c r="FB576" s="36" t="s">
        <v>344</v>
      </c>
      <c r="FC576" s="36" t="s">
        <v>1192</v>
      </c>
      <c r="FD576" s="36" t="s">
        <v>344</v>
      </c>
      <c r="FE576" s="36">
        <v>2026</v>
      </c>
      <c r="FF576" s="36" t="s">
        <v>59</v>
      </c>
      <c r="FG576" s="36" t="s">
        <v>1241</v>
      </c>
      <c r="FJ576" t="s">
        <v>59</v>
      </c>
      <c r="FM576" s="32" t="s">
        <v>1378</v>
      </c>
      <c r="FN576" t="s">
        <v>1378</v>
      </c>
      <c r="FO576" t="s">
        <v>1379</v>
      </c>
      <c r="FP576" t="str">
        <f t="shared" si="175"/>
        <v>C</v>
      </c>
      <c r="GU576" s="53">
        <v>121</v>
      </c>
      <c r="GV576" s="53">
        <v>570</v>
      </c>
    </row>
    <row r="577" spans="153:204" x14ac:dyDescent="0.35">
      <c r="EW577" t="s">
        <v>46</v>
      </c>
      <c r="EX577" s="33" t="s">
        <v>47</v>
      </c>
      <c r="EY577" s="35" t="s">
        <v>1521</v>
      </c>
      <c r="EZ577" s="36" t="s">
        <v>1522</v>
      </c>
      <c r="FA577" s="36" t="s">
        <v>1192</v>
      </c>
      <c r="FB577" s="36" t="s">
        <v>344</v>
      </c>
      <c r="FC577" s="36" t="s">
        <v>1192</v>
      </c>
      <c r="FD577" s="36" t="s">
        <v>344</v>
      </c>
      <c r="FE577" s="36">
        <v>2026</v>
      </c>
      <c r="FF577" s="36" t="s">
        <v>59</v>
      </c>
      <c r="FG577" s="36" t="s">
        <v>1241</v>
      </c>
      <c r="FJ577" t="s">
        <v>59</v>
      </c>
      <c r="FM577" s="32" t="s">
        <v>271</v>
      </c>
      <c r="FN577" t="s">
        <v>272</v>
      </c>
      <c r="FO577" t="s">
        <v>273</v>
      </c>
      <c r="FP577" t="str">
        <f t="shared" ref="FP577:FP640" si="194">VLOOKUP(FO577,EX:FF,9,0)</f>
        <v>B</v>
      </c>
      <c r="GU577" s="53">
        <v>122</v>
      </c>
      <c r="GV577" s="53">
        <v>571</v>
      </c>
    </row>
    <row r="578" spans="153:204" x14ac:dyDescent="0.35">
      <c r="EW578" t="s">
        <v>46</v>
      </c>
      <c r="EX578" s="33" t="s">
        <v>47</v>
      </c>
      <c r="EY578" s="35" t="s">
        <v>1523</v>
      </c>
      <c r="EZ578" s="36" t="s">
        <v>1524</v>
      </c>
      <c r="FA578" s="36" t="s">
        <v>1192</v>
      </c>
      <c r="FB578" s="36" t="s">
        <v>344</v>
      </c>
      <c r="FC578" s="36" t="s">
        <v>1192</v>
      </c>
      <c r="FD578" s="36" t="s">
        <v>344</v>
      </c>
      <c r="FE578" s="36">
        <v>2026</v>
      </c>
      <c r="FF578" s="36" t="s">
        <v>59</v>
      </c>
      <c r="FG578" s="36" t="s">
        <v>1241</v>
      </c>
      <c r="FJ578" t="s">
        <v>59</v>
      </c>
      <c r="FM578" s="32" t="s">
        <v>1525</v>
      </c>
      <c r="FN578" t="s">
        <v>1525</v>
      </c>
      <c r="FO578" t="s">
        <v>1526</v>
      </c>
      <c r="FP578" t="str">
        <f t="shared" si="194"/>
        <v>C</v>
      </c>
      <c r="GU578" s="53">
        <v>123</v>
      </c>
      <c r="GV578" s="53">
        <v>572</v>
      </c>
    </row>
    <row r="579" spans="153:204" x14ac:dyDescent="0.35">
      <c r="EW579" t="s">
        <v>46</v>
      </c>
      <c r="EX579" s="33" t="s">
        <v>47</v>
      </c>
      <c r="EY579" s="35" t="s">
        <v>1527</v>
      </c>
      <c r="EZ579" s="36" t="s">
        <v>1528</v>
      </c>
      <c r="FA579" s="36" t="s">
        <v>1192</v>
      </c>
      <c r="FB579" s="36" t="s">
        <v>344</v>
      </c>
      <c r="FC579" s="36" t="s">
        <v>1192</v>
      </c>
      <c r="FD579" s="36" t="s">
        <v>344</v>
      </c>
      <c r="FE579" s="36">
        <v>2026</v>
      </c>
      <c r="FF579" s="36" t="s">
        <v>59</v>
      </c>
      <c r="FG579" s="36" t="s">
        <v>1241</v>
      </c>
      <c r="FJ579" t="s">
        <v>59</v>
      </c>
      <c r="FM579" s="32" t="s">
        <v>1529</v>
      </c>
      <c r="FN579" t="s">
        <v>1529</v>
      </c>
      <c r="FO579" t="s">
        <v>1530</v>
      </c>
      <c r="FP579" t="str">
        <f t="shared" si="194"/>
        <v>C</v>
      </c>
      <c r="GU579" s="53">
        <v>124</v>
      </c>
      <c r="GV579" s="53">
        <v>573</v>
      </c>
    </row>
    <row r="580" spans="153:204" x14ac:dyDescent="0.35">
      <c r="EW580" t="s">
        <v>46</v>
      </c>
      <c r="EX580" s="33" t="s">
        <v>47</v>
      </c>
      <c r="EY580" s="35" t="s">
        <v>1531</v>
      </c>
      <c r="EZ580" s="36" t="s">
        <v>1532</v>
      </c>
      <c r="FA580" s="36" t="s">
        <v>1192</v>
      </c>
      <c r="FB580" s="36" t="s">
        <v>344</v>
      </c>
      <c r="FC580" s="36" t="s">
        <v>1192</v>
      </c>
      <c r="FD580" s="36" t="s">
        <v>344</v>
      </c>
      <c r="FE580" s="36">
        <v>2026</v>
      </c>
      <c r="FF580" s="36" t="s">
        <v>59</v>
      </c>
      <c r="FG580" s="36" t="s">
        <v>1241</v>
      </c>
      <c r="FJ580" t="s">
        <v>59</v>
      </c>
      <c r="FM580" s="32" t="s">
        <v>1483</v>
      </c>
      <c r="FN580" t="s">
        <v>1483</v>
      </c>
      <c r="FO580" t="s">
        <v>1484</v>
      </c>
      <c r="FP580" t="str">
        <f t="shared" si="194"/>
        <v>B</v>
      </c>
      <c r="GU580" s="53">
        <v>125</v>
      </c>
      <c r="GV580" s="53">
        <v>574</v>
      </c>
    </row>
    <row r="581" spans="153:204" x14ac:dyDescent="0.35">
      <c r="EW581" t="s">
        <v>46</v>
      </c>
      <c r="EX581" s="33" t="s">
        <v>47</v>
      </c>
      <c r="EY581" s="35" t="s">
        <v>1533</v>
      </c>
      <c r="EZ581" s="36" t="s">
        <v>1534</v>
      </c>
      <c r="FA581" s="36" t="s">
        <v>1192</v>
      </c>
      <c r="FB581" s="36" t="s">
        <v>344</v>
      </c>
      <c r="FC581" s="36" t="s">
        <v>1192</v>
      </c>
      <c r="FD581" s="36" t="s">
        <v>344</v>
      </c>
      <c r="FE581" s="36">
        <v>2026</v>
      </c>
      <c r="FF581" s="36" t="s">
        <v>59</v>
      </c>
      <c r="FG581" s="36" t="s">
        <v>1241</v>
      </c>
      <c r="FJ581" t="s">
        <v>59</v>
      </c>
      <c r="FM581" s="32" t="s">
        <v>1408</v>
      </c>
      <c r="FN581" t="s">
        <v>1408</v>
      </c>
      <c r="FO581" t="s">
        <v>1409</v>
      </c>
      <c r="FP581" t="str">
        <f t="shared" si="194"/>
        <v>C</v>
      </c>
      <c r="GU581" s="53">
        <v>126</v>
      </c>
      <c r="GV581" s="53">
        <v>575</v>
      </c>
    </row>
    <row r="582" spans="153:204" x14ac:dyDescent="0.35">
      <c r="EW582" t="s">
        <v>46</v>
      </c>
      <c r="EX582" s="33" t="s">
        <v>47</v>
      </c>
      <c r="EY582" s="35" t="s">
        <v>1535</v>
      </c>
      <c r="EZ582" s="36" t="s">
        <v>1536</v>
      </c>
      <c r="FA582" s="36" t="s">
        <v>1192</v>
      </c>
      <c r="FB582" s="36" t="s">
        <v>344</v>
      </c>
      <c r="FC582" s="36" t="s">
        <v>1192</v>
      </c>
      <c r="FD582" s="36" t="s">
        <v>344</v>
      </c>
      <c r="FE582" s="36">
        <v>2026</v>
      </c>
      <c r="FF582" s="36" t="s">
        <v>59</v>
      </c>
      <c r="FG582" s="36" t="s">
        <v>1241</v>
      </c>
      <c r="FJ582" t="s">
        <v>59</v>
      </c>
      <c r="FM582" s="32" t="s">
        <v>1426</v>
      </c>
      <c r="FN582" t="s">
        <v>1426</v>
      </c>
      <c r="FO582" t="s">
        <v>1427</v>
      </c>
      <c r="FP582" t="str">
        <f t="shared" si="194"/>
        <v>C</v>
      </c>
      <c r="GU582" s="53">
        <v>127</v>
      </c>
      <c r="GV582" s="53">
        <v>576</v>
      </c>
    </row>
    <row r="583" spans="153:204" x14ac:dyDescent="0.35">
      <c r="EW583" t="s">
        <v>46</v>
      </c>
      <c r="EX583" s="33" t="s">
        <v>47</v>
      </c>
      <c r="EY583" s="35" t="s">
        <v>1537</v>
      </c>
      <c r="EZ583" s="36" t="s">
        <v>1538</v>
      </c>
      <c r="FA583" s="36" t="s">
        <v>1192</v>
      </c>
      <c r="FB583" s="36" t="s">
        <v>344</v>
      </c>
      <c r="FC583" s="36" t="s">
        <v>1192</v>
      </c>
      <c r="FD583" s="36" t="s">
        <v>344</v>
      </c>
      <c r="FE583" s="36">
        <v>2026</v>
      </c>
      <c r="FF583" s="36" t="s">
        <v>59</v>
      </c>
      <c r="FG583" s="36" t="s">
        <v>1241</v>
      </c>
      <c r="FJ583" t="s">
        <v>59</v>
      </c>
      <c r="FM583" s="32" t="s">
        <v>1491</v>
      </c>
      <c r="FN583" t="s">
        <v>1491</v>
      </c>
      <c r="FO583" t="s">
        <v>1492</v>
      </c>
      <c r="FP583" t="str">
        <f t="shared" si="194"/>
        <v>C</v>
      </c>
      <c r="GU583" s="53">
        <v>128</v>
      </c>
      <c r="GV583" s="53">
        <v>577</v>
      </c>
    </row>
    <row r="584" spans="153:204" x14ac:dyDescent="0.35">
      <c r="EW584" t="s">
        <v>46</v>
      </c>
      <c r="EX584" s="33" t="s">
        <v>47</v>
      </c>
      <c r="EY584" s="35" t="s">
        <v>1539</v>
      </c>
      <c r="EZ584" s="36" t="s">
        <v>1540</v>
      </c>
      <c r="FA584" s="36" t="s">
        <v>1192</v>
      </c>
      <c r="FB584" s="36" t="s">
        <v>344</v>
      </c>
      <c r="FC584" s="36" t="s">
        <v>1192</v>
      </c>
      <c r="FD584" s="36" t="s">
        <v>344</v>
      </c>
      <c r="FE584" s="36">
        <v>2026</v>
      </c>
      <c r="FF584" s="36" t="s">
        <v>59</v>
      </c>
      <c r="FG584" s="36" t="s">
        <v>1241</v>
      </c>
      <c r="FJ584" t="s">
        <v>59</v>
      </c>
      <c r="FM584" s="32" t="s">
        <v>573</v>
      </c>
      <c r="FN584" t="s">
        <v>574</v>
      </c>
      <c r="FO584" t="s">
        <v>575</v>
      </c>
      <c r="FP584" t="str">
        <f t="shared" si="194"/>
        <v>B</v>
      </c>
      <c r="GU584" s="53">
        <v>129</v>
      </c>
      <c r="GV584" s="53">
        <v>578</v>
      </c>
    </row>
    <row r="585" spans="153:204" x14ac:dyDescent="0.35">
      <c r="EW585" t="s">
        <v>46</v>
      </c>
      <c r="EX585" s="33" t="s">
        <v>47</v>
      </c>
      <c r="EY585" s="35" t="s">
        <v>1541</v>
      </c>
      <c r="EZ585" s="36" t="s">
        <v>1542</v>
      </c>
      <c r="FA585" s="36" t="s">
        <v>1192</v>
      </c>
      <c r="FB585" s="36" t="s">
        <v>344</v>
      </c>
      <c r="FC585" s="36" t="s">
        <v>1192</v>
      </c>
      <c r="FD585" s="36" t="s">
        <v>344</v>
      </c>
      <c r="FE585" s="36">
        <v>2026</v>
      </c>
      <c r="FF585" s="36" t="s">
        <v>59</v>
      </c>
      <c r="FG585" s="36" t="s">
        <v>1241</v>
      </c>
      <c r="FJ585" t="s">
        <v>59</v>
      </c>
      <c r="FM585" s="32" t="s">
        <v>1362</v>
      </c>
      <c r="FN585" t="s">
        <v>1362</v>
      </c>
      <c r="FO585" t="s">
        <v>1363</v>
      </c>
      <c r="FP585" t="str">
        <f t="shared" si="194"/>
        <v>C</v>
      </c>
      <c r="GU585" s="53">
        <v>130</v>
      </c>
      <c r="GV585" s="53">
        <v>579</v>
      </c>
    </row>
    <row r="586" spans="153:204" x14ac:dyDescent="0.35">
      <c r="EW586" t="s">
        <v>46</v>
      </c>
      <c r="EX586" s="33" t="s">
        <v>47</v>
      </c>
      <c r="EY586" s="35" t="s">
        <v>1543</v>
      </c>
      <c r="EZ586" s="36" t="s">
        <v>1544</v>
      </c>
      <c r="FA586" s="36" t="s">
        <v>1192</v>
      </c>
      <c r="FB586" s="36" t="s">
        <v>344</v>
      </c>
      <c r="FC586" s="36" t="s">
        <v>1192</v>
      </c>
      <c r="FD586" s="36" t="s">
        <v>344</v>
      </c>
      <c r="FE586" s="36">
        <v>2026</v>
      </c>
      <c r="FF586" s="36" t="s">
        <v>59</v>
      </c>
      <c r="FG586" s="36" t="s">
        <v>1241</v>
      </c>
      <c r="FJ586" t="s">
        <v>59</v>
      </c>
      <c r="FM586" s="32" t="s">
        <v>1388</v>
      </c>
      <c r="FN586" t="s">
        <v>1388</v>
      </c>
      <c r="FO586" t="s">
        <v>1389</v>
      </c>
      <c r="FP586" t="str">
        <f t="shared" si="194"/>
        <v>C</v>
      </c>
      <c r="GU586" s="53">
        <v>131</v>
      </c>
      <c r="GV586" s="53">
        <v>580</v>
      </c>
    </row>
    <row r="587" spans="153:204" x14ac:dyDescent="0.35">
      <c r="EW587" t="s">
        <v>46</v>
      </c>
      <c r="EX587" s="33" t="s">
        <v>47</v>
      </c>
      <c r="EY587" s="35" t="s">
        <v>1545</v>
      </c>
      <c r="EZ587" s="36" t="s">
        <v>1546</v>
      </c>
      <c r="FA587" s="36" t="s">
        <v>1192</v>
      </c>
      <c r="FB587" s="36" t="s">
        <v>344</v>
      </c>
      <c r="FC587" s="36" t="s">
        <v>1192</v>
      </c>
      <c r="FD587" s="36" t="s">
        <v>344</v>
      </c>
      <c r="FE587" s="36">
        <v>2026</v>
      </c>
      <c r="FF587" s="36" t="s">
        <v>59</v>
      </c>
      <c r="FG587" s="36" t="s">
        <v>1241</v>
      </c>
      <c r="FJ587" t="s">
        <v>59</v>
      </c>
      <c r="FM587" s="32" t="s">
        <v>1547</v>
      </c>
      <c r="FN587" t="s">
        <v>1547</v>
      </c>
      <c r="FO587" t="s">
        <v>1548</v>
      </c>
      <c r="FP587" t="str">
        <f t="shared" si="194"/>
        <v>C</v>
      </c>
      <c r="GU587" s="53">
        <v>132</v>
      </c>
      <c r="GV587" s="53">
        <v>581</v>
      </c>
    </row>
    <row r="588" spans="153:204" x14ac:dyDescent="0.35">
      <c r="EW588" t="s">
        <v>46</v>
      </c>
      <c r="EX588" s="33" t="s">
        <v>47</v>
      </c>
      <c r="EY588" s="35" t="s">
        <v>1549</v>
      </c>
      <c r="EZ588" s="36" t="s">
        <v>1550</v>
      </c>
      <c r="FA588" s="36" t="s">
        <v>1192</v>
      </c>
      <c r="FB588" s="36" t="s">
        <v>344</v>
      </c>
      <c r="FC588" s="36" t="s">
        <v>1192</v>
      </c>
      <c r="FD588" s="36" t="s">
        <v>344</v>
      </c>
      <c r="FE588" s="36">
        <v>2026</v>
      </c>
      <c r="FF588" s="36" t="s">
        <v>59</v>
      </c>
      <c r="FG588" s="36" t="s">
        <v>1241</v>
      </c>
      <c r="FJ588" t="s">
        <v>59</v>
      </c>
      <c r="FM588" s="32" t="s">
        <v>1551</v>
      </c>
      <c r="FN588" t="s">
        <v>1551</v>
      </c>
      <c r="FO588" t="s">
        <v>1551</v>
      </c>
      <c r="FP588" t="str">
        <f t="shared" si="194"/>
        <v>C</v>
      </c>
      <c r="GU588" s="53">
        <v>133</v>
      </c>
      <c r="GV588" s="53">
        <v>582</v>
      </c>
    </row>
    <row r="589" spans="153:204" x14ac:dyDescent="0.35">
      <c r="EW589" t="s">
        <v>46</v>
      </c>
      <c r="EX589" s="33" t="s">
        <v>47</v>
      </c>
      <c r="EY589" s="35" t="s">
        <v>1552</v>
      </c>
      <c r="EZ589" s="36" t="s">
        <v>1553</v>
      </c>
      <c r="FA589" s="36" t="s">
        <v>1192</v>
      </c>
      <c r="FB589" s="36" t="s">
        <v>344</v>
      </c>
      <c r="FC589" s="36" t="s">
        <v>1192</v>
      </c>
      <c r="FD589" s="36" t="s">
        <v>344</v>
      </c>
      <c r="FE589" s="36">
        <v>2026</v>
      </c>
      <c r="FF589" s="36" t="s">
        <v>59</v>
      </c>
      <c r="FG589" s="36" t="s">
        <v>1241</v>
      </c>
      <c r="FJ589" t="s">
        <v>59</v>
      </c>
      <c r="FM589" s="32" t="s">
        <v>1554</v>
      </c>
      <c r="FN589" t="s">
        <v>1554</v>
      </c>
      <c r="FO589" t="s">
        <v>1554</v>
      </c>
      <c r="FP589" t="str">
        <f t="shared" si="194"/>
        <v>C</v>
      </c>
      <c r="GU589" s="53">
        <v>134</v>
      </c>
      <c r="GV589" s="53">
        <v>583</v>
      </c>
    </row>
    <row r="590" spans="153:204" x14ac:dyDescent="0.35">
      <c r="EW590" t="s">
        <v>46</v>
      </c>
      <c r="EX590" s="33" t="s">
        <v>47</v>
      </c>
      <c r="EY590" s="35" t="s">
        <v>1555</v>
      </c>
      <c r="EZ590" s="36" t="s">
        <v>1556</v>
      </c>
      <c r="FA590" s="36" t="s">
        <v>1192</v>
      </c>
      <c r="FB590" s="36" t="s">
        <v>344</v>
      </c>
      <c r="FC590" s="36" t="s">
        <v>1192</v>
      </c>
      <c r="FD590" s="36" t="s">
        <v>344</v>
      </c>
      <c r="FE590" s="36">
        <v>2026</v>
      </c>
      <c r="FF590" s="36" t="s">
        <v>59</v>
      </c>
      <c r="FG590" s="36" t="s">
        <v>1241</v>
      </c>
      <c r="FJ590" t="s">
        <v>59</v>
      </c>
      <c r="FM590" s="32" t="s">
        <v>340</v>
      </c>
      <c r="FN590" t="s">
        <v>340</v>
      </c>
      <c r="FO590" t="s">
        <v>340</v>
      </c>
      <c r="FP590" t="str">
        <f t="shared" si="194"/>
        <v>B</v>
      </c>
      <c r="GU590" s="53">
        <v>135</v>
      </c>
      <c r="GV590" s="53">
        <v>584</v>
      </c>
    </row>
    <row r="591" spans="153:204" x14ac:dyDescent="0.35">
      <c r="EW591" t="s">
        <v>46</v>
      </c>
      <c r="EX591" s="33" t="s">
        <v>47</v>
      </c>
      <c r="EY591" s="35" t="s">
        <v>1557</v>
      </c>
      <c r="EZ591" s="36" t="s">
        <v>1558</v>
      </c>
      <c r="FA591" s="36" t="s">
        <v>1192</v>
      </c>
      <c r="FB591" s="36" t="s">
        <v>344</v>
      </c>
      <c r="FC591" s="36" t="s">
        <v>1192</v>
      </c>
      <c r="FD591" s="36" t="s">
        <v>344</v>
      </c>
      <c r="FE591" s="36">
        <v>2026</v>
      </c>
      <c r="FF591" s="36" t="s">
        <v>59</v>
      </c>
      <c r="FG591" s="36" t="s">
        <v>1241</v>
      </c>
      <c r="FJ591" t="s">
        <v>59</v>
      </c>
      <c r="FM591" s="32" t="s">
        <v>1283</v>
      </c>
      <c r="FN591" t="s">
        <v>1283</v>
      </c>
      <c r="FO591" t="s">
        <v>1283</v>
      </c>
      <c r="FP591" t="str">
        <f t="shared" si="194"/>
        <v>C</v>
      </c>
      <c r="GU591" s="53">
        <v>136</v>
      </c>
      <c r="GV591" s="53">
        <v>585</v>
      </c>
    </row>
    <row r="592" spans="153:204" x14ac:dyDescent="0.35">
      <c r="EW592" t="s">
        <v>46</v>
      </c>
      <c r="EX592" s="33" t="s">
        <v>47</v>
      </c>
      <c r="EY592" s="35" t="s">
        <v>1559</v>
      </c>
      <c r="EZ592" s="36" t="s">
        <v>1560</v>
      </c>
      <c r="FA592" s="36" t="s">
        <v>1192</v>
      </c>
      <c r="FB592" s="36" t="s">
        <v>344</v>
      </c>
      <c r="FC592" s="36" t="s">
        <v>1192</v>
      </c>
      <c r="FD592" s="36" t="s">
        <v>344</v>
      </c>
      <c r="FE592" s="36">
        <v>2026</v>
      </c>
      <c r="FF592" s="36" t="s">
        <v>59</v>
      </c>
      <c r="FG592" s="36" t="s">
        <v>1241</v>
      </c>
      <c r="FJ592" t="s">
        <v>59</v>
      </c>
      <c r="FM592" s="32" t="s">
        <v>1366</v>
      </c>
      <c r="FN592" t="s">
        <v>1366</v>
      </c>
      <c r="FO592" t="s">
        <v>1367</v>
      </c>
      <c r="FP592" t="str">
        <f t="shared" si="194"/>
        <v>C</v>
      </c>
      <c r="GU592" s="53">
        <v>137</v>
      </c>
      <c r="GV592" s="53">
        <v>586</v>
      </c>
    </row>
    <row r="593" spans="153:204" x14ac:dyDescent="0.35">
      <c r="EW593" t="s">
        <v>46</v>
      </c>
      <c r="EX593" s="33" t="s">
        <v>47</v>
      </c>
      <c r="EY593" s="35" t="s">
        <v>1561</v>
      </c>
      <c r="EZ593" s="36" t="s">
        <v>1562</v>
      </c>
      <c r="FA593" s="36" t="s">
        <v>1192</v>
      </c>
      <c r="FB593" s="36" t="s">
        <v>344</v>
      </c>
      <c r="FC593" s="36" t="s">
        <v>1192</v>
      </c>
      <c r="FD593" s="36" t="s">
        <v>344</v>
      </c>
      <c r="FE593" s="36">
        <v>2026</v>
      </c>
      <c r="FF593" s="36" t="s">
        <v>59</v>
      </c>
      <c r="FG593" s="36" t="s">
        <v>1241</v>
      </c>
      <c r="FJ593" t="s">
        <v>59</v>
      </c>
      <c r="FM593" s="32" t="s">
        <v>1511</v>
      </c>
      <c r="FN593" t="s">
        <v>1511</v>
      </c>
      <c r="FO593" t="s">
        <v>1512</v>
      </c>
      <c r="FP593" t="str">
        <f t="shared" si="194"/>
        <v>C</v>
      </c>
      <c r="GU593" s="53">
        <v>138</v>
      </c>
      <c r="GV593" s="53">
        <v>587</v>
      </c>
    </row>
    <row r="594" spans="153:204" x14ac:dyDescent="0.35">
      <c r="EW594" t="s">
        <v>46</v>
      </c>
      <c r="EX594" s="33" t="s">
        <v>47</v>
      </c>
      <c r="EY594" s="35" t="s">
        <v>1563</v>
      </c>
      <c r="EZ594" s="36" t="s">
        <v>1564</v>
      </c>
      <c r="FA594" s="36" t="s">
        <v>1192</v>
      </c>
      <c r="FB594" s="36" t="s">
        <v>344</v>
      </c>
      <c r="FC594" s="36" t="s">
        <v>1192</v>
      </c>
      <c r="FD594" s="36" t="s">
        <v>344</v>
      </c>
      <c r="FE594" s="36">
        <v>2026</v>
      </c>
      <c r="FF594" s="36" t="s">
        <v>59</v>
      </c>
      <c r="FG594" s="36" t="s">
        <v>1241</v>
      </c>
      <c r="FJ594" t="s">
        <v>59</v>
      </c>
      <c r="FM594" s="32" t="s">
        <v>1529</v>
      </c>
      <c r="FN594" t="s">
        <v>1529</v>
      </c>
      <c r="FO594" t="s">
        <v>1530</v>
      </c>
      <c r="FP594" t="str">
        <f t="shared" si="194"/>
        <v>C</v>
      </c>
      <c r="GU594" s="53">
        <v>139</v>
      </c>
      <c r="GV594" s="53">
        <v>588</v>
      </c>
    </row>
    <row r="595" spans="153:204" x14ac:dyDescent="0.35">
      <c r="EW595" t="s">
        <v>46</v>
      </c>
      <c r="EX595" s="33" t="s">
        <v>47</v>
      </c>
      <c r="EY595" s="35" t="s">
        <v>1565</v>
      </c>
      <c r="EZ595" s="36" t="s">
        <v>1566</v>
      </c>
      <c r="FA595" s="36" t="s">
        <v>1192</v>
      </c>
      <c r="FB595" s="36" t="s">
        <v>344</v>
      </c>
      <c r="FC595" s="36" t="s">
        <v>1192</v>
      </c>
      <c r="FD595" s="36" t="s">
        <v>344</v>
      </c>
      <c r="FE595" s="36">
        <v>2026</v>
      </c>
      <c r="FF595" s="36" t="s">
        <v>59</v>
      </c>
      <c r="FG595" s="36" t="s">
        <v>1241</v>
      </c>
      <c r="FJ595" t="s">
        <v>59</v>
      </c>
      <c r="FM595" s="32" t="s">
        <v>705</v>
      </c>
      <c r="FN595" t="s">
        <v>706</v>
      </c>
      <c r="FO595" t="s">
        <v>707</v>
      </c>
      <c r="FP595" t="str">
        <f t="shared" si="194"/>
        <v>B</v>
      </c>
      <c r="GU595" s="53">
        <v>140</v>
      </c>
      <c r="GV595" s="53">
        <v>589</v>
      </c>
    </row>
    <row r="596" spans="153:204" x14ac:dyDescent="0.35">
      <c r="EW596" t="s">
        <v>46</v>
      </c>
      <c r="EX596" s="33" t="s">
        <v>47</v>
      </c>
      <c r="EY596" s="35" t="s">
        <v>1567</v>
      </c>
      <c r="EZ596" s="36" t="s">
        <v>1568</v>
      </c>
      <c r="FA596" s="36" t="s">
        <v>1192</v>
      </c>
      <c r="FB596" s="36" t="s">
        <v>344</v>
      </c>
      <c r="FC596" s="36" t="s">
        <v>1192</v>
      </c>
      <c r="FD596" s="36" t="s">
        <v>344</v>
      </c>
      <c r="FE596" s="36">
        <v>2026</v>
      </c>
      <c r="FF596" s="36" t="s">
        <v>59</v>
      </c>
      <c r="FG596" s="36" t="s">
        <v>1241</v>
      </c>
      <c r="FJ596" t="s">
        <v>59</v>
      </c>
      <c r="FM596" s="32" t="s">
        <v>1492</v>
      </c>
      <c r="FN596" t="s">
        <v>1492</v>
      </c>
      <c r="FO596" t="s">
        <v>1492</v>
      </c>
      <c r="FP596" t="str">
        <f t="shared" si="194"/>
        <v>C</v>
      </c>
      <c r="GU596" s="53">
        <v>141</v>
      </c>
      <c r="GV596" s="53">
        <v>590</v>
      </c>
    </row>
    <row r="597" spans="153:204" x14ac:dyDescent="0.35">
      <c r="EW597" t="s">
        <v>46</v>
      </c>
      <c r="EX597" s="33" t="s">
        <v>47</v>
      </c>
      <c r="EY597" s="35" t="s">
        <v>1569</v>
      </c>
      <c r="EZ597" s="36" t="s">
        <v>1570</v>
      </c>
      <c r="FA597" s="36" t="s">
        <v>1192</v>
      </c>
      <c r="FB597" s="36" t="s">
        <v>344</v>
      </c>
      <c r="FC597" s="36" t="s">
        <v>1192</v>
      </c>
      <c r="FD597" s="36" t="s">
        <v>344</v>
      </c>
      <c r="FE597" s="36">
        <v>2026</v>
      </c>
      <c r="FF597" s="36" t="s">
        <v>59</v>
      </c>
      <c r="FG597" s="36" t="s">
        <v>1241</v>
      </c>
      <c r="FJ597" t="s">
        <v>59</v>
      </c>
      <c r="FM597" s="32" t="s">
        <v>1379</v>
      </c>
      <c r="FN597" t="s">
        <v>1379</v>
      </c>
      <c r="FO597" t="s">
        <v>1379</v>
      </c>
      <c r="FP597" t="str">
        <f t="shared" si="194"/>
        <v>C</v>
      </c>
      <c r="GU597" s="53">
        <v>142</v>
      </c>
      <c r="GV597" s="53">
        <v>591</v>
      </c>
    </row>
    <row r="598" spans="153:204" x14ac:dyDescent="0.35">
      <c r="EW598" t="s">
        <v>46</v>
      </c>
      <c r="EX598" s="33" t="s">
        <v>47</v>
      </c>
      <c r="EY598" s="35" t="s">
        <v>1571</v>
      </c>
      <c r="EZ598" s="36" t="s">
        <v>1572</v>
      </c>
      <c r="FA598" s="36" t="s">
        <v>1192</v>
      </c>
      <c r="FB598" s="36" t="s">
        <v>344</v>
      </c>
      <c r="FC598" s="36" t="s">
        <v>1192</v>
      </c>
      <c r="FD598" s="36" t="s">
        <v>344</v>
      </c>
      <c r="FE598" s="36">
        <v>2026</v>
      </c>
      <c r="FF598" s="36" t="s">
        <v>59</v>
      </c>
      <c r="FG598" s="36" t="s">
        <v>1241</v>
      </c>
      <c r="FJ598" t="s">
        <v>59</v>
      </c>
      <c r="FM598" s="32" t="s">
        <v>559</v>
      </c>
      <c r="FN598" t="s">
        <v>560</v>
      </c>
      <c r="FO598" t="s">
        <v>561</v>
      </c>
      <c r="FP598" t="str">
        <f t="shared" si="194"/>
        <v>B</v>
      </c>
      <c r="GU598" s="53">
        <v>143</v>
      </c>
      <c r="GV598" s="53">
        <v>592</v>
      </c>
    </row>
    <row r="599" spans="153:204" x14ac:dyDescent="0.35">
      <c r="EW599" t="s">
        <v>46</v>
      </c>
      <c r="EX599" s="33" t="s">
        <v>47</v>
      </c>
      <c r="EY599" s="35" t="s">
        <v>1573</v>
      </c>
      <c r="EZ599" s="36" t="s">
        <v>1574</v>
      </c>
      <c r="FA599" s="36" t="s">
        <v>1192</v>
      </c>
      <c r="FB599" s="36" t="s">
        <v>344</v>
      </c>
      <c r="FC599" s="36" t="s">
        <v>1192</v>
      </c>
      <c r="FD599" s="36" t="s">
        <v>344</v>
      </c>
      <c r="FE599" s="36">
        <v>2026</v>
      </c>
      <c r="FF599" s="36" t="s">
        <v>59</v>
      </c>
      <c r="FG599" s="36" t="s">
        <v>1241</v>
      </c>
      <c r="FJ599" t="s">
        <v>59</v>
      </c>
      <c r="FM599" s="32" t="s">
        <v>1575</v>
      </c>
      <c r="FN599" t="s">
        <v>1575</v>
      </c>
      <c r="FO599" t="s">
        <v>1576</v>
      </c>
      <c r="FP599" t="str">
        <f t="shared" si="194"/>
        <v>C</v>
      </c>
      <c r="GU599" s="53">
        <v>144</v>
      </c>
      <c r="GV599" s="53">
        <v>593</v>
      </c>
    </row>
    <row r="600" spans="153:204" x14ac:dyDescent="0.35">
      <c r="EW600" t="s">
        <v>46</v>
      </c>
      <c r="EX600" s="33" t="s">
        <v>47</v>
      </c>
      <c r="EY600" s="35" t="s">
        <v>1577</v>
      </c>
      <c r="EZ600" s="36" t="s">
        <v>1578</v>
      </c>
      <c r="FA600" s="36" t="s">
        <v>1192</v>
      </c>
      <c r="FB600" s="36" t="s">
        <v>344</v>
      </c>
      <c r="FC600" s="36" t="s">
        <v>1192</v>
      </c>
      <c r="FD600" s="36" t="s">
        <v>344</v>
      </c>
      <c r="FE600" s="36">
        <v>2026</v>
      </c>
      <c r="FF600" s="36" t="s">
        <v>59</v>
      </c>
      <c r="FG600" s="36" t="s">
        <v>1241</v>
      </c>
      <c r="FJ600" t="s">
        <v>59</v>
      </c>
      <c r="FM600" s="32" t="s">
        <v>338</v>
      </c>
      <c r="FN600" t="s">
        <v>339</v>
      </c>
      <c r="FO600" t="s">
        <v>340</v>
      </c>
      <c r="FP600" t="str">
        <f t="shared" si="194"/>
        <v>B</v>
      </c>
      <c r="GU600" s="53">
        <v>145</v>
      </c>
      <c r="GV600" s="53">
        <v>594</v>
      </c>
    </row>
    <row r="601" spans="153:204" x14ac:dyDescent="0.35">
      <c r="EW601" t="s">
        <v>46</v>
      </c>
      <c r="EX601" s="33" t="s">
        <v>47</v>
      </c>
      <c r="EY601" s="35" t="s">
        <v>1579</v>
      </c>
      <c r="EZ601" s="36" t="s">
        <v>1580</v>
      </c>
      <c r="FA601" s="36" t="s">
        <v>1192</v>
      </c>
      <c r="FB601" s="36" t="s">
        <v>344</v>
      </c>
      <c r="FC601" s="36" t="s">
        <v>1192</v>
      </c>
      <c r="FD601" s="36" t="s">
        <v>344</v>
      </c>
      <c r="FE601" s="36">
        <v>2026</v>
      </c>
      <c r="FF601" s="36" t="s">
        <v>59</v>
      </c>
      <c r="FG601" s="36" t="s">
        <v>1241</v>
      </c>
      <c r="FJ601" t="s">
        <v>59</v>
      </c>
      <c r="FM601" s="32" t="s">
        <v>1581</v>
      </c>
      <c r="FN601" t="s">
        <v>1581</v>
      </c>
      <c r="FO601" t="s">
        <v>1554</v>
      </c>
      <c r="FP601" t="str">
        <f t="shared" si="194"/>
        <v>C</v>
      </c>
      <c r="GU601" s="53">
        <v>146</v>
      </c>
      <c r="GV601" s="53">
        <v>595</v>
      </c>
    </row>
    <row r="602" spans="153:204" x14ac:dyDescent="0.35">
      <c r="EW602" t="s">
        <v>46</v>
      </c>
      <c r="EX602" s="33" t="s">
        <v>47</v>
      </c>
      <c r="EY602" s="35" t="s">
        <v>1582</v>
      </c>
      <c r="EZ602" s="36" t="s">
        <v>1583</v>
      </c>
      <c r="FA602" s="36" t="s">
        <v>1192</v>
      </c>
      <c r="FB602" s="36" t="s">
        <v>344</v>
      </c>
      <c r="FC602" s="36" t="s">
        <v>1192</v>
      </c>
      <c r="FD602" s="36" t="s">
        <v>344</v>
      </c>
      <c r="FE602" s="36">
        <v>2026</v>
      </c>
      <c r="FF602" s="36" t="s">
        <v>59</v>
      </c>
      <c r="FG602" s="36" t="s">
        <v>1584</v>
      </c>
      <c r="FJ602" t="s">
        <v>59</v>
      </c>
      <c r="FM602" s="32" t="s">
        <v>1363</v>
      </c>
      <c r="FN602" t="s">
        <v>1363</v>
      </c>
      <c r="FO602" t="s">
        <v>1363</v>
      </c>
      <c r="FP602" t="str">
        <f t="shared" si="194"/>
        <v>C</v>
      </c>
      <c r="GU602" s="53">
        <v>147</v>
      </c>
      <c r="GV602" s="53">
        <v>596</v>
      </c>
    </row>
    <row r="603" spans="153:204" x14ac:dyDescent="0.35">
      <c r="EW603" t="s">
        <v>46</v>
      </c>
      <c r="EX603" s="33" t="s">
        <v>47</v>
      </c>
      <c r="EY603" s="35" t="s">
        <v>1585</v>
      </c>
      <c r="EZ603" s="36" t="s">
        <v>1586</v>
      </c>
      <c r="FA603" s="36" t="s">
        <v>1192</v>
      </c>
      <c r="FB603" s="36" t="s">
        <v>344</v>
      </c>
      <c r="FC603" s="36" t="s">
        <v>1192</v>
      </c>
      <c r="FD603" s="36" t="s">
        <v>344</v>
      </c>
      <c r="FE603" s="36">
        <v>2026</v>
      </c>
      <c r="FF603" s="36" t="s">
        <v>59</v>
      </c>
      <c r="FG603" s="36" t="s">
        <v>1584</v>
      </c>
      <c r="FJ603" t="s">
        <v>59</v>
      </c>
      <c r="FM603" s="32" t="s">
        <v>1551</v>
      </c>
      <c r="FN603" t="s">
        <v>1551</v>
      </c>
      <c r="FO603" t="s">
        <v>1551</v>
      </c>
      <c r="FP603" t="str">
        <f t="shared" si="194"/>
        <v>C</v>
      </c>
      <c r="GU603" s="53">
        <v>148</v>
      </c>
      <c r="GV603" s="53">
        <v>597</v>
      </c>
    </row>
    <row r="604" spans="153:204" x14ac:dyDescent="0.35">
      <c r="EW604" t="s">
        <v>46</v>
      </c>
      <c r="EX604" s="33" t="s">
        <v>47</v>
      </c>
      <c r="EY604" s="35" t="s">
        <v>1587</v>
      </c>
      <c r="EZ604" s="36" t="s">
        <v>1588</v>
      </c>
      <c r="FA604" s="36" t="s">
        <v>1192</v>
      </c>
      <c r="FB604" s="36" t="s">
        <v>344</v>
      </c>
      <c r="FC604" s="36" t="s">
        <v>1192</v>
      </c>
      <c r="FD604" s="36" t="s">
        <v>344</v>
      </c>
      <c r="FE604" s="36">
        <v>2026</v>
      </c>
      <c r="FF604" s="36" t="s">
        <v>59</v>
      </c>
      <c r="FG604" s="36" t="s">
        <v>1584</v>
      </c>
      <c r="FJ604" t="s">
        <v>59</v>
      </c>
      <c r="FM604" s="32" t="s">
        <v>1589</v>
      </c>
      <c r="FN604" t="s">
        <v>1589</v>
      </c>
      <c r="FO604" t="s">
        <v>1589</v>
      </c>
      <c r="FP604" t="str">
        <f t="shared" si="194"/>
        <v>C</v>
      </c>
      <c r="GU604" s="53">
        <v>149</v>
      </c>
      <c r="GV604" s="53">
        <v>598</v>
      </c>
    </row>
    <row r="605" spans="153:204" x14ac:dyDescent="0.35">
      <c r="EW605" t="s">
        <v>46</v>
      </c>
      <c r="EX605" s="33" t="s">
        <v>47</v>
      </c>
      <c r="EY605" s="35" t="s">
        <v>1590</v>
      </c>
      <c r="EZ605" s="36" t="s">
        <v>1591</v>
      </c>
      <c r="FA605" s="36" t="s">
        <v>1192</v>
      </c>
      <c r="FB605" s="36" t="s">
        <v>344</v>
      </c>
      <c r="FC605" s="36" t="s">
        <v>1192</v>
      </c>
      <c r="FD605" s="36" t="s">
        <v>344</v>
      </c>
      <c r="FE605" s="36">
        <v>2026</v>
      </c>
      <c r="FF605" s="36" t="s">
        <v>59</v>
      </c>
      <c r="FG605" s="36" t="s">
        <v>1584</v>
      </c>
      <c r="FJ605" t="s">
        <v>59</v>
      </c>
      <c r="FM605" s="32" t="s">
        <v>1592</v>
      </c>
      <c r="FN605" t="s">
        <v>1592</v>
      </c>
      <c r="FO605" t="s">
        <v>1592</v>
      </c>
      <c r="FP605" t="str">
        <f t="shared" si="194"/>
        <v>C</v>
      </c>
      <c r="GU605" s="53">
        <v>150</v>
      </c>
      <c r="GV605" s="53">
        <v>599</v>
      </c>
    </row>
    <row r="606" spans="153:204" x14ac:dyDescent="0.35">
      <c r="EW606" t="s">
        <v>46</v>
      </c>
      <c r="EX606" s="33" t="s">
        <v>47</v>
      </c>
      <c r="EY606" s="35" t="s">
        <v>1593</v>
      </c>
      <c r="EZ606" s="36" t="s">
        <v>1594</v>
      </c>
      <c r="FA606" s="36" t="s">
        <v>1192</v>
      </c>
      <c r="FB606" s="36" t="s">
        <v>344</v>
      </c>
      <c r="FC606" s="36" t="s">
        <v>1192</v>
      </c>
      <c r="FD606" s="36" t="s">
        <v>344</v>
      </c>
      <c r="FE606" s="36">
        <v>2026</v>
      </c>
      <c r="FF606" s="36" t="s">
        <v>59</v>
      </c>
      <c r="FG606" s="36" t="s">
        <v>1584</v>
      </c>
      <c r="FJ606" t="s">
        <v>59</v>
      </c>
      <c r="FM606" s="32" t="s">
        <v>1367</v>
      </c>
      <c r="FN606" t="s">
        <v>1367</v>
      </c>
      <c r="FO606" t="s">
        <v>1367</v>
      </c>
      <c r="FP606" t="str">
        <f t="shared" si="194"/>
        <v>C</v>
      </c>
      <c r="GU606" s="53">
        <v>151</v>
      </c>
      <c r="GV606" s="53">
        <v>600</v>
      </c>
    </row>
    <row r="607" spans="153:204" x14ac:dyDescent="0.35">
      <c r="EW607" t="s">
        <v>46</v>
      </c>
      <c r="EX607" s="33" t="s">
        <v>47</v>
      </c>
      <c r="EY607" s="35" t="s">
        <v>1595</v>
      </c>
      <c r="EZ607" s="36" t="s">
        <v>1596</v>
      </c>
      <c r="FA607" s="36" t="s">
        <v>1192</v>
      </c>
      <c r="FB607" s="36" t="s">
        <v>344</v>
      </c>
      <c r="FC607" s="36" t="s">
        <v>1192</v>
      </c>
      <c r="FD607" s="36" t="s">
        <v>344</v>
      </c>
      <c r="FE607" s="36">
        <v>2026</v>
      </c>
      <c r="FF607" s="36" t="s">
        <v>59</v>
      </c>
      <c r="FG607" s="36" t="s">
        <v>1584</v>
      </c>
      <c r="FJ607" t="s">
        <v>59</v>
      </c>
      <c r="FM607" s="32" t="s">
        <v>1597</v>
      </c>
      <c r="FN607" t="s">
        <v>1597</v>
      </c>
      <c r="FO607" t="s">
        <v>1597</v>
      </c>
      <c r="FP607" t="str">
        <f t="shared" si="194"/>
        <v>C</v>
      </c>
      <c r="GU607" s="53">
        <v>152</v>
      </c>
      <c r="GV607" s="53">
        <v>601</v>
      </c>
    </row>
    <row r="608" spans="153:204" x14ac:dyDescent="0.35">
      <c r="EW608" t="s">
        <v>46</v>
      </c>
      <c r="EX608" s="33" t="s">
        <v>47</v>
      </c>
      <c r="EY608" s="35" t="s">
        <v>1598</v>
      </c>
      <c r="EZ608" s="36" t="s">
        <v>1599</v>
      </c>
      <c r="FA608" s="36" t="s">
        <v>1192</v>
      </c>
      <c r="FB608" s="36" t="s">
        <v>344</v>
      </c>
      <c r="FC608" s="36" t="s">
        <v>1192</v>
      </c>
      <c r="FD608" s="36" t="s">
        <v>344</v>
      </c>
      <c r="FE608" s="36">
        <v>2026</v>
      </c>
      <c r="FF608" s="36" t="s">
        <v>59</v>
      </c>
      <c r="FG608" s="36" t="s">
        <v>1584</v>
      </c>
      <c r="FJ608" t="s">
        <v>59</v>
      </c>
      <c r="FM608" s="32" t="s">
        <v>1491</v>
      </c>
      <c r="FN608" t="s">
        <v>1491</v>
      </c>
      <c r="FO608" t="s">
        <v>1492</v>
      </c>
      <c r="FP608" t="str">
        <f t="shared" si="194"/>
        <v>C</v>
      </c>
      <c r="GU608" s="53">
        <v>153</v>
      </c>
      <c r="GV608" s="53">
        <v>602</v>
      </c>
    </row>
    <row r="609" spans="153:204" x14ac:dyDescent="0.35">
      <c r="EW609" t="s">
        <v>46</v>
      </c>
      <c r="EX609" s="33" t="s">
        <v>47</v>
      </c>
      <c r="EY609" s="35" t="s">
        <v>1600</v>
      </c>
      <c r="EZ609" s="36" t="s">
        <v>1601</v>
      </c>
      <c r="FA609" s="36" t="s">
        <v>1192</v>
      </c>
      <c r="FB609" s="36" t="s">
        <v>344</v>
      </c>
      <c r="FC609" s="36" t="s">
        <v>1192</v>
      </c>
      <c r="FD609" s="36" t="s">
        <v>344</v>
      </c>
      <c r="FE609" s="36">
        <v>2026</v>
      </c>
      <c r="FF609" s="36" t="s">
        <v>59</v>
      </c>
      <c r="FG609" s="36" t="s">
        <v>1584</v>
      </c>
      <c r="FJ609" t="s">
        <v>59</v>
      </c>
      <c r="FM609" s="32" t="s">
        <v>1529</v>
      </c>
      <c r="FN609" t="s">
        <v>1529</v>
      </c>
      <c r="FO609" t="s">
        <v>1530</v>
      </c>
      <c r="FP609" t="str">
        <f t="shared" si="194"/>
        <v>C</v>
      </c>
      <c r="GU609" s="53">
        <v>154</v>
      </c>
      <c r="GV609" s="53">
        <v>603</v>
      </c>
    </row>
    <row r="610" spans="153:204" x14ac:dyDescent="0.35">
      <c r="EW610" t="s">
        <v>46</v>
      </c>
      <c r="EX610" s="33" t="s">
        <v>47</v>
      </c>
      <c r="EY610" s="35" t="s">
        <v>1602</v>
      </c>
      <c r="EZ610" s="36" t="s">
        <v>1603</v>
      </c>
      <c r="FA610" s="36" t="s">
        <v>1192</v>
      </c>
      <c r="FB610" s="36" t="s">
        <v>344</v>
      </c>
      <c r="FC610" s="36" t="s">
        <v>1192</v>
      </c>
      <c r="FD610" s="36" t="s">
        <v>344</v>
      </c>
      <c r="FE610" s="36">
        <v>2026</v>
      </c>
      <c r="FF610" s="36" t="s">
        <v>59</v>
      </c>
      <c r="FG610" s="36" t="s">
        <v>1584</v>
      </c>
      <c r="FJ610" t="s">
        <v>59</v>
      </c>
      <c r="FM610" s="32" t="s">
        <v>707</v>
      </c>
      <c r="FN610" t="s">
        <v>707</v>
      </c>
      <c r="FO610" t="s">
        <v>707</v>
      </c>
      <c r="FP610" t="str">
        <f t="shared" si="194"/>
        <v>B</v>
      </c>
      <c r="GU610" s="53">
        <v>155</v>
      </c>
      <c r="GV610" s="53">
        <v>604</v>
      </c>
    </row>
    <row r="611" spans="153:204" x14ac:dyDescent="0.35">
      <c r="EW611" t="s">
        <v>46</v>
      </c>
      <c r="EX611" s="33" t="s">
        <v>47</v>
      </c>
      <c r="EY611" s="35" t="s">
        <v>1604</v>
      </c>
      <c r="EZ611" s="36" t="s">
        <v>1605</v>
      </c>
      <c r="FA611" s="36" t="s">
        <v>1192</v>
      </c>
      <c r="FB611" s="36" t="s">
        <v>344</v>
      </c>
      <c r="FC611" s="36" t="s">
        <v>1192</v>
      </c>
      <c r="FD611" s="36" t="s">
        <v>344</v>
      </c>
      <c r="FE611" s="36">
        <v>2026</v>
      </c>
      <c r="FF611" s="36" t="s">
        <v>59</v>
      </c>
      <c r="FG611" s="36" t="s">
        <v>1584</v>
      </c>
      <c r="FJ611" t="s">
        <v>59</v>
      </c>
      <c r="FM611" s="32" t="s">
        <v>1378</v>
      </c>
      <c r="FN611" t="s">
        <v>1378</v>
      </c>
      <c r="FO611" t="s">
        <v>1379</v>
      </c>
      <c r="FP611" t="str">
        <f t="shared" si="194"/>
        <v>C</v>
      </c>
      <c r="GU611" s="53">
        <v>156</v>
      </c>
      <c r="GV611" s="53">
        <v>605</v>
      </c>
    </row>
    <row r="612" spans="153:204" x14ac:dyDescent="0.35">
      <c r="EW612" t="s">
        <v>46</v>
      </c>
      <c r="EX612" s="33" t="s">
        <v>47</v>
      </c>
      <c r="EY612" s="35" t="s">
        <v>1606</v>
      </c>
      <c r="EZ612" s="36" t="s">
        <v>1607</v>
      </c>
      <c r="FA612" s="36" t="s">
        <v>1192</v>
      </c>
      <c r="FB612" s="36" t="s">
        <v>344</v>
      </c>
      <c r="FC612" s="36" t="s">
        <v>1192</v>
      </c>
      <c r="FD612" s="36" t="s">
        <v>344</v>
      </c>
      <c r="FE612" s="36">
        <v>2026</v>
      </c>
      <c r="FF612" s="36" t="s">
        <v>59</v>
      </c>
      <c r="FG612" s="36" t="s">
        <v>1584</v>
      </c>
      <c r="FJ612" t="s">
        <v>59</v>
      </c>
      <c r="FM612" s="32" t="s">
        <v>1608</v>
      </c>
      <c r="FN612" t="s">
        <v>1608</v>
      </c>
      <c r="FO612" t="s">
        <v>1608</v>
      </c>
      <c r="FP612" t="str">
        <f t="shared" si="194"/>
        <v>C</v>
      </c>
      <c r="GU612" s="53">
        <v>157</v>
      </c>
      <c r="GV612" s="53">
        <v>606</v>
      </c>
    </row>
    <row r="613" spans="153:204" x14ac:dyDescent="0.35">
      <c r="EW613" t="s">
        <v>46</v>
      </c>
      <c r="EX613" s="33" t="s">
        <v>47</v>
      </c>
      <c r="EY613" s="35" t="s">
        <v>1609</v>
      </c>
      <c r="EZ613" s="36" t="s">
        <v>1610</v>
      </c>
      <c r="FA613" s="36" t="s">
        <v>1192</v>
      </c>
      <c r="FB613" s="36" t="s">
        <v>1611</v>
      </c>
      <c r="FC613" s="36" t="s">
        <v>1192</v>
      </c>
      <c r="FD613" s="36" t="s">
        <v>1611</v>
      </c>
      <c r="FE613" s="36">
        <v>2026</v>
      </c>
      <c r="FF613" s="36" t="s">
        <v>1109</v>
      </c>
      <c r="FG613" s="36" t="s">
        <v>1584</v>
      </c>
      <c r="FJ613" t="s">
        <v>1109</v>
      </c>
      <c r="FM613" s="32" t="s">
        <v>561</v>
      </c>
      <c r="FN613" t="s">
        <v>561</v>
      </c>
      <c r="FO613" t="s">
        <v>561</v>
      </c>
      <c r="FP613" t="str">
        <f t="shared" si="194"/>
        <v>B</v>
      </c>
      <c r="GU613" s="53">
        <v>158</v>
      </c>
      <c r="GV613" s="53">
        <v>607</v>
      </c>
    </row>
    <row r="614" spans="153:204" x14ac:dyDescent="0.35">
      <c r="EW614" t="s">
        <v>46</v>
      </c>
      <c r="EX614" s="33" t="s">
        <v>47</v>
      </c>
      <c r="EY614" s="35" t="s">
        <v>1612</v>
      </c>
      <c r="EZ614" s="36" t="s">
        <v>1613</v>
      </c>
      <c r="FA614" s="36" t="s">
        <v>1192</v>
      </c>
      <c r="FB614" s="36" t="s">
        <v>1611</v>
      </c>
      <c r="FC614" s="36" t="s">
        <v>1192</v>
      </c>
      <c r="FD614" s="36" t="s">
        <v>1611</v>
      </c>
      <c r="FE614" s="36">
        <v>2026</v>
      </c>
      <c r="FF614" s="36" t="s">
        <v>1109</v>
      </c>
      <c r="FG614" s="36" t="s">
        <v>1584</v>
      </c>
      <c r="FJ614" t="s">
        <v>1109</v>
      </c>
      <c r="FM614" s="32" t="s">
        <v>1575</v>
      </c>
      <c r="FN614" t="s">
        <v>1575</v>
      </c>
      <c r="FO614" t="s">
        <v>1576</v>
      </c>
      <c r="FP614" t="str">
        <f t="shared" si="194"/>
        <v>C</v>
      </c>
      <c r="GU614" s="53">
        <v>159</v>
      </c>
      <c r="GV614" s="53">
        <v>608</v>
      </c>
    </row>
    <row r="615" spans="153:204" x14ac:dyDescent="0.35">
      <c r="EW615" t="s">
        <v>46</v>
      </c>
      <c r="EX615" s="33" t="s">
        <v>47</v>
      </c>
      <c r="EY615" s="35" t="s">
        <v>1614</v>
      </c>
      <c r="EZ615" s="36" t="s">
        <v>1615</v>
      </c>
      <c r="FA615" s="36" t="s">
        <v>1192</v>
      </c>
      <c r="FB615" s="36" t="s">
        <v>1611</v>
      </c>
      <c r="FC615" s="36" t="s">
        <v>1192</v>
      </c>
      <c r="FD615" s="36" t="s">
        <v>1611</v>
      </c>
      <c r="FE615" s="36">
        <v>2026</v>
      </c>
      <c r="FF615" s="36" t="s">
        <v>1109</v>
      </c>
      <c r="FG615" s="36" t="s">
        <v>1584</v>
      </c>
      <c r="FJ615" t="s">
        <v>1109</v>
      </c>
      <c r="FM615" s="32" t="s">
        <v>1616</v>
      </c>
      <c r="FN615" t="s">
        <v>1616</v>
      </c>
      <c r="FO615" t="s">
        <v>1616</v>
      </c>
      <c r="FP615" t="str">
        <f t="shared" si="194"/>
        <v>C</v>
      </c>
      <c r="GU615" s="53">
        <v>160</v>
      </c>
      <c r="GV615" s="53">
        <v>609</v>
      </c>
    </row>
    <row r="616" spans="153:204" x14ac:dyDescent="0.35">
      <c r="EW616" t="s">
        <v>46</v>
      </c>
      <c r="EX616" s="33" t="s">
        <v>47</v>
      </c>
      <c r="EY616" s="35" t="s">
        <v>1617</v>
      </c>
      <c r="EZ616" s="36" t="s">
        <v>1618</v>
      </c>
      <c r="FA616" s="36" t="s">
        <v>1192</v>
      </c>
      <c r="FB616" s="36" t="s">
        <v>1611</v>
      </c>
      <c r="FC616" s="36" t="s">
        <v>1192</v>
      </c>
      <c r="FD616" s="36" t="s">
        <v>1611</v>
      </c>
      <c r="FE616" s="36">
        <v>2026</v>
      </c>
      <c r="FF616" s="36" t="s">
        <v>1109</v>
      </c>
      <c r="FG616" s="36" t="s">
        <v>1584</v>
      </c>
      <c r="FJ616" t="s">
        <v>1109</v>
      </c>
      <c r="FM616" s="32" t="s">
        <v>1363</v>
      </c>
      <c r="FN616" t="s">
        <v>1363</v>
      </c>
      <c r="FO616" t="s">
        <v>1363</v>
      </c>
      <c r="FP616" t="str">
        <f t="shared" si="194"/>
        <v>C</v>
      </c>
      <c r="GU616" s="53">
        <v>161</v>
      </c>
      <c r="GV616" s="53">
        <v>610</v>
      </c>
    </row>
    <row r="617" spans="153:204" x14ac:dyDescent="0.35">
      <c r="EW617" t="s">
        <v>46</v>
      </c>
      <c r="EX617" s="33" t="s">
        <v>47</v>
      </c>
      <c r="EY617" s="35" t="s">
        <v>1619</v>
      </c>
      <c r="EZ617" s="36" t="s">
        <v>1620</v>
      </c>
      <c r="FA617" s="36" t="s">
        <v>1192</v>
      </c>
      <c r="FB617" s="36" t="s">
        <v>1611</v>
      </c>
      <c r="FC617" s="36" t="s">
        <v>1192</v>
      </c>
      <c r="FD617" s="36" t="s">
        <v>1611</v>
      </c>
      <c r="FE617" s="36">
        <v>2026</v>
      </c>
      <c r="FF617" s="36" t="s">
        <v>1109</v>
      </c>
      <c r="FG617" s="36" t="s">
        <v>1584</v>
      </c>
      <c r="FJ617" t="s">
        <v>1109</v>
      </c>
      <c r="FM617" s="32" t="s">
        <v>1621</v>
      </c>
      <c r="FN617" t="s">
        <v>1621</v>
      </c>
      <c r="FO617" t="s">
        <v>1589</v>
      </c>
      <c r="FP617" t="str">
        <f t="shared" si="194"/>
        <v>C</v>
      </c>
      <c r="GU617" s="53">
        <v>162</v>
      </c>
      <c r="GV617" s="53">
        <v>611</v>
      </c>
    </row>
    <row r="618" spans="153:204" x14ac:dyDescent="0.35">
      <c r="EW618" t="s">
        <v>46</v>
      </c>
      <c r="EX618" s="33" t="s">
        <v>47</v>
      </c>
      <c r="EY618" s="35" t="s">
        <v>1622</v>
      </c>
      <c r="EZ618" s="36" t="s">
        <v>1623</v>
      </c>
      <c r="FA618" s="36" t="s">
        <v>1192</v>
      </c>
      <c r="FB618" s="36" t="s">
        <v>1611</v>
      </c>
      <c r="FC618" s="36" t="s">
        <v>1192</v>
      </c>
      <c r="FD618" s="36" t="s">
        <v>1611</v>
      </c>
      <c r="FE618" s="36">
        <v>2026</v>
      </c>
      <c r="FF618" s="36" t="s">
        <v>1109</v>
      </c>
      <c r="FG618" s="36" t="s">
        <v>1584</v>
      </c>
      <c r="FJ618" t="s">
        <v>1109</v>
      </c>
      <c r="FM618" s="32" t="s">
        <v>1624</v>
      </c>
      <c r="FN618" t="s">
        <v>1624</v>
      </c>
      <c r="FO618" t="s">
        <v>1551</v>
      </c>
      <c r="FP618" t="str">
        <f t="shared" si="194"/>
        <v>C</v>
      </c>
      <c r="GU618" s="53">
        <v>163</v>
      </c>
      <c r="GV618" s="53">
        <v>612</v>
      </c>
    </row>
    <row r="619" spans="153:204" x14ac:dyDescent="0.35">
      <c r="EW619" t="s">
        <v>46</v>
      </c>
      <c r="EX619" s="33" t="s">
        <v>47</v>
      </c>
      <c r="EY619" s="35" t="s">
        <v>1625</v>
      </c>
      <c r="EZ619" s="36" t="s">
        <v>1626</v>
      </c>
      <c r="FA619" s="36" t="s">
        <v>1192</v>
      </c>
      <c r="FB619" s="36" t="s">
        <v>1611</v>
      </c>
      <c r="FC619" s="36" t="s">
        <v>1192</v>
      </c>
      <c r="FD619" s="36" t="s">
        <v>1611</v>
      </c>
      <c r="FE619" s="36">
        <v>2026</v>
      </c>
      <c r="FF619" s="36" t="s">
        <v>1109</v>
      </c>
      <c r="FG619" s="36" t="s">
        <v>1584</v>
      </c>
      <c r="FJ619" t="s">
        <v>1109</v>
      </c>
      <c r="FM619" s="32" t="s">
        <v>1627</v>
      </c>
      <c r="FN619" t="s">
        <v>1627</v>
      </c>
      <c r="FO619" t="s">
        <v>1628</v>
      </c>
      <c r="FP619" t="str">
        <f t="shared" si="194"/>
        <v>C</v>
      </c>
      <c r="GU619" s="53">
        <v>164</v>
      </c>
      <c r="GV619" s="53">
        <v>613</v>
      </c>
    </row>
    <row r="620" spans="153:204" x14ac:dyDescent="0.35">
      <c r="EW620" t="s">
        <v>46</v>
      </c>
      <c r="EX620" s="33" t="s">
        <v>47</v>
      </c>
      <c r="EY620" s="35" t="s">
        <v>1629</v>
      </c>
      <c r="EZ620" s="36" t="s">
        <v>1630</v>
      </c>
      <c r="FA620" s="36" t="s">
        <v>1192</v>
      </c>
      <c r="FB620" s="36" t="s">
        <v>1611</v>
      </c>
      <c r="FC620" s="36" t="s">
        <v>1192</v>
      </c>
      <c r="FD620" s="36" t="s">
        <v>1611</v>
      </c>
      <c r="FE620" s="36">
        <v>2026</v>
      </c>
      <c r="FF620" s="36" t="s">
        <v>1109</v>
      </c>
      <c r="FG620" s="36" t="s">
        <v>1584</v>
      </c>
      <c r="FJ620" t="s">
        <v>1109</v>
      </c>
      <c r="FM620" s="32" t="s">
        <v>1631</v>
      </c>
      <c r="FN620" t="s">
        <v>1631</v>
      </c>
      <c r="FO620" t="s">
        <v>1283</v>
      </c>
      <c r="FP620" t="str">
        <f t="shared" si="194"/>
        <v>C</v>
      </c>
      <c r="GU620" s="53">
        <v>165</v>
      </c>
      <c r="GV620" s="53">
        <v>614</v>
      </c>
    </row>
    <row r="621" spans="153:204" x14ac:dyDescent="0.35">
      <c r="EW621" t="s">
        <v>46</v>
      </c>
      <c r="EX621" s="33" t="s">
        <v>47</v>
      </c>
      <c r="EY621" s="35" t="s">
        <v>1632</v>
      </c>
      <c r="EZ621" s="36" t="s">
        <v>1633</v>
      </c>
      <c r="FA621" s="36" t="s">
        <v>1192</v>
      </c>
      <c r="FB621" s="36" t="s">
        <v>1611</v>
      </c>
      <c r="FC621" s="36" t="s">
        <v>1192</v>
      </c>
      <c r="FD621" s="36" t="s">
        <v>1611</v>
      </c>
      <c r="FE621" s="36">
        <v>2026</v>
      </c>
      <c r="FF621" s="36" t="s">
        <v>1109</v>
      </c>
      <c r="FG621" s="36" t="s">
        <v>1584</v>
      </c>
      <c r="FJ621" t="s">
        <v>1109</v>
      </c>
      <c r="FM621" s="32" t="s">
        <v>481</v>
      </c>
      <c r="FN621" t="s">
        <v>481</v>
      </c>
      <c r="FO621" t="s">
        <v>482</v>
      </c>
      <c r="FP621" t="str">
        <f t="shared" si="194"/>
        <v>B</v>
      </c>
      <c r="GU621" s="53">
        <v>166</v>
      </c>
      <c r="GV621" s="53">
        <v>615</v>
      </c>
    </row>
    <row r="622" spans="153:204" x14ac:dyDescent="0.35">
      <c r="EW622" t="s">
        <v>46</v>
      </c>
      <c r="EX622" s="33" t="s">
        <v>47</v>
      </c>
      <c r="EY622" s="35" t="s">
        <v>1634</v>
      </c>
      <c r="EZ622" s="36" t="s">
        <v>1635</v>
      </c>
      <c r="FA622" s="36" t="s">
        <v>1192</v>
      </c>
      <c r="FB622" s="36" t="s">
        <v>344</v>
      </c>
      <c r="FC622" s="36" t="s">
        <v>1192</v>
      </c>
      <c r="FD622" s="36" t="s">
        <v>344</v>
      </c>
      <c r="FE622" s="36">
        <v>2026</v>
      </c>
      <c r="FF622" s="36" t="s">
        <v>59</v>
      </c>
      <c r="FG622" s="36" t="s">
        <v>1584</v>
      </c>
      <c r="FJ622" t="s">
        <v>59</v>
      </c>
      <c r="FM622" s="32" t="s">
        <v>1636</v>
      </c>
      <c r="FN622" t="s">
        <v>1636</v>
      </c>
      <c r="FO622" t="s">
        <v>1597</v>
      </c>
      <c r="FP622" t="str">
        <f t="shared" si="194"/>
        <v>C</v>
      </c>
      <c r="GU622" s="53">
        <v>167</v>
      </c>
      <c r="GV622" s="53">
        <v>616</v>
      </c>
    </row>
    <row r="623" spans="153:204" x14ac:dyDescent="0.35">
      <c r="EW623" t="s">
        <v>46</v>
      </c>
      <c r="EX623" s="33" t="s">
        <v>47</v>
      </c>
      <c r="EY623" s="35" t="s">
        <v>1637</v>
      </c>
      <c r="EZ623" s="36" t="s">
        <v>1638</v>
      </c>
      <c r="FA623" s="36" t="s">
        <v>1192</v>
      </c>
      <c r="FB623" s="36" t="s">
        <v>344</v>
      </c>
      <c r="FC623" s="36" t="s">
        <v>1192</v>
      </c>
      <c r="FD623" s="36" t="s">
        <v>344</v>
      </c>
      <c r="FE623" s="36">
        <v>2026</v>
      </c>
      <c r="FF623" s="36" t="s">
        <v>59</v>
      </c>
      <c r="FG623" s="36" t="s">
        <v>1584</v>
      </c>
      <c r="FJ623" t="s">
        <v>59</v>
      </c>
      <c r="FM623" s="32" t="s">
        <v>1491</v>
      </c>
      <c r="FN623" t="s">
        <v>1491</v>
      </c>
      <c r="FO623" t="s">
        <v>1492</v>
      </c>
      <c r="FP623" t="str">
        <f t="shared" si="194"/>
        <v>C</v>
      </c>
      <c r="GU623" s="53">
        <v>168</v>
      </c>
      <c r="GV623" s="53">
        <v>617</v>
      </c>
    </row>
    <row r="624" spans="153:204" x14ac:dyDescent="0.35">
      <c r="EW624" t="s">
        <v>46</v>
      </c>
      <c r="EX624" s="33" t="s">
        <v>47</v>
      </c>
      <c r="EY624" s="35" t="s">
        <v>1639</v>
      </c>
      <c r="EZ624" s="36" t="s">
        <v>1640</v>
      </c>
      <c r="FA624" s="36" t="s">
        <v>1192</v>
      </c>
      <c r="FB624" s="36" t="s">
        <v>344</v>
      </c>
      <c r="FC624" s="36" t="s">
        <v>1192</v>
      </c>
      <c r="FD624" s="36" t="s">
        <v>344</v>
      </c>
      <c r="FE624" s="36">
        <v>2026</v>
      </c>
      <c r="FF624" s="36" t="s">
        <v>59</v>
      </c>
      <c r="FG624" s="36" t="s">
        <v>1584</v>
      </c>
      <c r="FJ624" t="s">
        <v>59</v>
      </c>
      <c r="FM624" s="32" t="s">
        <v>1530</v>
      </c>
      <c r="FN624" t="s">
        <v>1530</v>
      </c>
      <c r="FO624" t="s">
        <v>1530</v>
      </c>
      <c r="FP624" t="str">
        <f t="shared" si="194"/>
        <v>C</v>
      </c>
      <c r="GU624" s="53">
        <v>169</v>
      </c>
      <c r="GV624" s="53">
        <v>618</v>
      </c>
    </row>
    <row r="625" spans="153:204" x14ac:dyDescent="0.35">
      <c r="EW625" t="s">
        <v>46</v>
      </c>
      <c r="EX625" s="33" t="s">
        <v>47</v>
      </c>
      <c r="EY625" s="35" t="s">
        <v>1641</v>
      </c>
      <c r="EZ625" s="36" t="s">
        <v>1642</v>
      </c>
      <c r="FA625" s="36" t="s">
        <v>1192</v>
      </c>
      <c r="FB625" s="36" t="s">
        <v>344</v>
      </c>
      <c r="FC625" s="36" t="s">
        <v>1192</v>
      </c>
      <c r="FD625" s="36" t="s">
        <v>344</v>
      </c>
      <c r="FE625" s="36">
        <v>2026</v>
      </c>
      <c r="FF625" s="36" t="s">
        <v>59</v>
      </c>
      <c r="FG625" s="36" t="s">
        <v>1584</v>
      </c>
      <c r="FJ625" t="s">
        <v>59</v>
      </c>
      <c r="FM625" s="32" t="s">
        <v>707</v>
      </c>
      <c r="FN625" t="s">
        <v>707</v>
      </c>
      <c r="FO625" t="s">
        <v>707</v>
      </c>
      <c r="FP625" t="str">
        <f t="shared" si="194"/>
        <v>B</v>
      </c>
      <c r="GU625" s="53">
        <v>170</v>
      </c>
      <c r="GV625" s="53">
        <v>619</v>
      </c>
    </row>
    <row r="626" spans="153:204" x14ac:dyDescent="0.35">
      <c r="EW626" t="s">
        <v>46</v>
      </c>
      <c r="EX626" s="33" t="s">
        <v>47</v>
      </c>
      <c r="EY626" s="35" t="s">
        <v>1643</v>
      </c>
      <c r="EZ626" s="36" t="s">
        <v>1644</v>
      </c>
      <c r="FA626" s="36" t="s">
        <v>1192</v>
      </c>
      <c r="FB626" s="36" t="s">
        <v>344</v>
      </c>
      <c r="FC626" s="36" t="s">
        <v>1192</v>
      </c>
      <c r="FD626" s="36" t="s">
        <v>344</v>
      </c>
      <c r="FE626" s="36">
        <v>2026</v>
      </c>
      <c r="FF626" s="36" t="s">
        <v>59</v>
      </c>
      <c r="FG626" s="36" t="s">
        <v>1584</v>
      </c>
      <c r="FJ626" t="s">
        <v>59</v>
      </c>
      <c r="FM626" s="32" t="s">
        <v>1379</v>
      </c>
      <c r="FN626" t="s">
        <v>1379</v>
      </c>
      <c r="FO626" t="s">
        <v>1379</v>
      </c>
      <c r="FP626" t="str">
        <f t="shared" si="194"/>
        <v>C</v>
      </c>
      <c r="GU626" s="53">
        <v>171</v>
      </c>
      <c r="GV626" s="53">
        <v>620</v>
      </c>
    </row>
    <row r="627" spans="153:204" x14ac:dyDescent="0.35">
      <c r="EW627" t="s">
        <v>46</v>
      </c>
      <c r="EX627" s="33" t="s">
        <v>47</v>
      </c>
      <c r="EY627" s="35" t="s">
        <v>1645</v>
      </c>
      <c r="EZ627" s="36" t="s">
        <v>1646</v>
      </c>
      <c r="FA627" s="36" t="s">
        <v>1192</v>
      </c>
      <c r="FB627" s="36" t="s">
        <v>344</v>
      </c>
      <c r="FC627" s="36" t="s">
        <v>1192</v>
      </c>
      <c r="FD627" s="36" t="s">
        <v>344</v>
      </c>
      <c r="FE627" s="36">
        <v>2026</v>
      </c>
      <c r="FF627" s="36" t="s">
        <v>59</v>
      </c>
      <c r="FG627" s="36" t="s">
        <v>1584</v>
      </c>
      <c r="FJ627" t="s">
        <v>59</v>
      </c>
      <c r="FM627" s="32" t="s">
        <v>1647</v>
      </c>
      <c r="FN627" t="s">
        <v>1647</v>
      </c>
      <c r="FO627" t="s">
        <v>1608</v>
      </c>
      <c r="FP627" t="str">
        <f t="shared" si="194"/>
        <v>C</v>
      </c>
      <c r="GU627" s="53">
        <v>172</v>
      </c>
      <c r="GV627" s="53">
        <v>621</v>
      </c>
    </row>
    <row r="628" spans="153:204" x14ac:dyDescent="0.35">
      <c r="EW628" t="s">
        <v>46</v>
      </c>
      <c r="EX628" s="33" t="s">
        <v>47</v>
      </c>
      <c r="EY628" s="35" t="s">
        <v>1648</v>
      </c>
      <c r="EZ628" s="36" t="s">
        <v>1649</v>
      </c>
      <c r="FA628" s="36" t="s">
        <v>1192</v>
      </c>
      <c r="FB628" s="36" t="s">
        <v>344</v>
      </c>
      <c r="FC628" s="36" t="s">
        <v>1192</v>
      </c>
      <c r="FD628" s="36" t="s">
        <v>344</v>
      </c>
      <c r="FE628" s="36">
        <v>2026</v>
      </c>
      <c r="FF628" s="36" t="s">
        <v>59</v>
      </c>
      <c r="FG628" s="36" t="s">
        <v>1584</v>
      </c>
      <c r="FJ628" t="s">
        <v>59</v>
      </c>
      <c r="FM628" s="32" t="s">
        <v>560</v>
      </c>
      <c r="FN628" t="s">
        <v>560</v>
      </c>
      <c r="FO628" t="s">
        <v>561</v>
      </c>
      <c r="FP628" t="str">
        <f t="shared" si="194"/>
        <v>B</v>
      </c>
      <c r="GU628" s="53">
        <v>173</v>
      </c>
      <c r="GV628" s="53">
        <v>622</v>
      </c>
    </row>
    <row r="629" spans="153:204" x14ac:dyDescent="0.35">
      <c r="EW629" t="s">
        <v>46</v>
      </c>
      <c r="EX629" s="33" t="s">
        <v>47</v>
      </c>
      <c r="EY629" s="35" t="s">
        <v>1650</v>
      </c>
      <c r="EZ629" s="36" t="s">
        <v>1651</v>
      </c>
      <c r="FA629" s="36" t="s">
        <v>1192</v>
      </c>
      <c r="FB629" s="36" t="s">
        <v>344</v>
      </c>
      <c r="FC629" s="36" t="s">
        <v>1192</v>
      </c>
      <c r="FD629" s="36" t="s">
        <v>344</v>
      </c>
      <c r="FE629" s="36">
        <v>2026</v>
      </c>
      <c r="FF629" s="36" t="s">
        <v>59</v>
      </c>
      <c r="FG629" s="36" t="s">
        <v>1584</v>
      </c>
      <c r="FJ629" t="s">
        <v>59</v>
      </c>
      <c r="FM629" s="32" t="s">
        <v>1575</v>
      </c>
      <c r="FN629" t="s">
        <v>1575</v>
      </c>
      <c r="FO629" t="s">
        <v>1576</v>
      </c>
      <c r="FP629" t="str">
        <f t="shared" si="194"/>
        <v>C</v>
      </c>
      <c r="GU629" s="53">
        <v>174</v>
      </c>
      <c r="GV629" s="53">
        <v>623</v>
      </c>
    </row>
    <row r="630" spans="153:204" x14ac:dyDescent="0.35">
      <c r="EW630" t="s">
        <v>46</v>
      </c>
      <c r="EX630" s="33" t="s">
        <v>47</v>
      </c>
      <c r="EY630" s="35" t="s">
        <v>1652</v>
      </c>
      <c r="EZ630" s="36" t="s">
        <v>1653</v>
      </c>
      <c r="FA630" s="36" t="s">
        <v>1192</v>
      </c>
      <c r="FB630" s="36" t="s">
        <v>344</v>
      </c>
      <c r="FC630" s="36" t="s">
        <v>1192</v>
      </c>
      <c r="FD630" s="36" t="s">
        <v>344</v>
      </c>
      <c r="FE630" s="36">
        <v>2026</v>
      </c>
      <c r="FF630" s="36" t="s">
        <v>59</v>
      </c>
      <c r="FG630" s="36" t="s">
        <v>1584</v>
      </c>
      <c r="FJ630" t="s">
        <v>59</v>
      </c>
      <c r="FM630" s="32" t="s">
        <v>1581</v>
      </c>
      <c r="FN630" t="s">
        <v>1581</v>
      </c>
      <c r="FO630" t="s">
        <v>1554</v>
      </c>
      <c r="FP630" t="str">
        <f t="shared" si="194"/>
        <v>C</v>
      </c>
      <c r="GU630" s="53">
        <v>175</v>
      </c>
      <c r="GV630" s="53">
        <v>624</v>
      </c>
    </row>
    <row r="631" spans="153:204" x14ac:dyDescent="0.35">
      <c r="EW631" t="s">
        <v>46</v>
      </c>
      <c r="EX631" s="33" t="s">
        <v>47</v>
      </c>
      <c r="EY631" s="35" t="s">
        <v>1654</v>
      </c>
      <c r="EZ631" s="36" t="s">
        <v>1655</v>
      </c>
      <c r="FA631" s="36" t="s">
        <v>1192</v>
      </c>
      <c r="FB631" s="36" t="s">
        <v>344</v>
      </c>
      <c r="FC631" s="36" t="s">
        <v>1192</v>
      </c>
      <c r="FD631" s="36" t="s">
        <v>344</v>
      </c>
      <c r="FE631" s="36">
        <v>2026</v>
      </c>
      <c r="FF631" s="36" t="s">
        <v>59</v>
      </c>
      <c r="FG631" s="36" t="s">
        <v>1584</v>
      </c>
      <c r="FJ631" t="s">
        <v>59</v>
      </c>
      <c r="FM631" s="32" t="s">
        <v>1656</v>
      </c>
      <c r="FN631" t="s">
        <v>1656</v>
      </c>
      <c r="FO631" t="s">
        <v>1616</v>
      </c>
      <c r="FP631" t="str">
        <f t="shared" si="194"/>
        <v>C</v>
      </c>
      <c r="GU631" s="53">
        <v>176</v>
      </c>
      <c r="GV631" s="53">
        <v>625</v>
      </c>
    </row>
    <row r="632" spans="153:204" x14ac:dyDescent="0.35">
      <c r="EW632" t="s">
        <v>46</v>
      </c>
      <c r="EX632" s="33" t="s">
        <v>47</v>
      </c>
      <c r="EY632" s="35" t="s">
        <v>1657</v>
      </c>
      <c r="EZ632" s="36" t="s">
        <v>1658</v>
      </c>
      <c r="FA632" s="36" t="s">
        <v>1192</v>
      </c>
      <c r="FB632" s="36" t="s">
        <v>344</v>
      </c>
      <c r="FC632" s="36" t="s">
        <v>1192</v>
      </c>
      <c r="FD632" s="36" t="s">
        <v>344</v>
      </c>
      <c r="FE632" s="36">
        <v>2026</v>
      </c>
      <c r="FF632" s="36" t="s">
        <v>59</v>
      </c>
      <c r="FG632" s="36" t="s">
        <v>1584</v>
      </c>
      <c r="FJ632" t="s">
        <v>59</v>
      </c>
      <c r="FM632" s="32" t="s">
        <v>1621</v>
      </c>
      <c r="FN632" t="s">
        <v>1621</v>
      </c>
      <c r="FO632" t="s">
        <v>1589</v>
      </c>
      <c r="FP632" t="str">
        <f t="shared" si="194"/>
        <v>C</v>
      </c>
      <c r="GU632" s="53">
        <v>177</v>
      </c>
      <c r="GV632" s="53">
        <v>626</v>
      </c>
    </row>
    <row r="633" spans="153:204" x14ac:dyDescent="0.35">
      <c r="EW633" t="s">
        <v>46</v>
      </c>
      <c r="EX633" s="33" t="s">
        <v>47</v>
      </c>
      <c r="EY633" s="35" t="s">
        <v>1659</v>
      </c>
      <c r="EZ633" s="36" t="s">
        <v>1660</v>
      </c>
      <c r="FA633" s="36" t="s">
        <v>1192</v>
      </c>
      <c r="FB633" s="36" t="s">
        <v>344</v>
      </c>
      <c r="FC633" s="36" t="s">
        <v>1192</v>
      </c>
      <c r="FD633" s="36" t="s">
        <v>344</v>
      </c>
      <c r="FE633" s="36">
        <v>2026</v>
      </c>
      <c r="FF633" s="36" t="s">
        <v>59</v>
      </c>
      <c r="FG633" s="36" t="s">
        <v>1584</v>
      </c>
      <c r="FJ633" t="s">
        <v>59</v>
      </c>
      <c r="FM633" s="32" t="s">
        <v>1628</v>
      </c>
      <c r="FN633" t="s">
        <v>1628</v>
      </c>
      <c r="FO633" t="s">
        <v>1628</v>
      </c>
      <c r="FP633" t="str">
        <f t="shared" si="194"/>
        <v>C</v>
      </c>
      <c r="GU633" s="53">
        <v>178</v>
      </c>
      <c r="GV633" s="53">
        <v>627</v>
      </c>
    </row>
    <row r="634" spans="153:204" x14ac:dyDescent="0.35">
      <c r="EW634" t="s">
        <v>46</v>
      </c>
      <c r="EX634" s="33" t="s">
        <v>47</v>
      </c>
      <c r="EY634" s="35" t="s">
        <v>1661</v>
      </c>
      <c r="EZ634" s="36" t="s">
        <v>1662</v>
      </c>
      <c r="FA634" s="36" t="s">
        <v>1192</v>
      </c>
      <c r="FB634" s="36" t="s">
        <v>344</v>
      </c>
      <c r="FC634" s="36" t="s">
        <v>1192</v>
      </c>
      <c r="FD634" s="36" t="s">
        <v>344</v>
      </c>
      <c r="FE634" s="36">
        <v>2026</v>
      </c>
      <c r="FF634" s="36" t="s">
        <v>59</v>
      </c>
      <c r="FG634" s="36" t="s">
        <v>1584</v>
      </c>
      <c r="FJ634" t="s">
        <v>59</v>
      </c>
      <c r="FM634" s="32" t="s">
        <v>1374</v>
      </c>
      <c r="FN634" t="s">
        <v>1374</v>
      </c>
      <c r="FO634" t="s">
        <v>1375</v>
      </c>
      <c r="FP634" t="str">
        <f t="shared" si="194"/>
        <v>C</v>
      </c>
      <c r="GU634" s="53">
        <v>179</v>
      </c>
      <c r="GV634" s="53">
        <v>628</v>
      </c>
    </row>
    <row r="635" spans="153:204" x14ac:dyDescent="0.35">
      <c r="EW635" t="s">
        <v>46</v>
      </c>
      <c r="EX635" s="33" t="s">
        <v>47</v>
      </c>
      <c r="EY635" s="35" t="s">
        <v>1663</v>
      </c>
      <c r="EZ635" s="36" t="s">
        <v>1664</v>
      </c>
      <c r="FA635" s="36" t="s">
        <v>1192</v>
      </c>
      <c r="FB635" s="36" t="s">
        <v>344</v>
      </c>
      <c r="FC635" s="36" t="s">
        <v>1192</v>
      </c>
      <c r="FD635" s="36" t="s">
        <v>344</v>
      </c>
      <c r="FE635" s="36">
        <v>2026</v>
      </c>
      <c r="FF635" s="36" t="s">
        <v>59</v>
      </c>
      <c r="FG635" s="36" t="s">
        <v>1584</v>
      </c>
      <c r="FJ635" t="s">
        <v>59</v>
      </c>
      <c r="FM635" s="32" t="s">
        <v>1257</v>
      </c>
      <c r="FN635" t="s">
        <v>1257</v>
      </c>
      <c r="FO635" t="s">
        <v>1257</v>
      </c>
      <c r="FP635" t="str">
        <f t="shared" si="194"/>
        <v>C</v>
      </c>
      <c r="GU635" s="53">
        <v>180</v>
      </c>
      <c r="GV635" s="53">
        <v>629</v>
      </c>
    </row>
    <row r="636" spans="153:204" x14ac:dyDescent="0.35">
      <c r="EW636" t="s">
        <v>46</v>
      </c>
      <c r="EX636" s="33" t="s">
        <v>47</v>
      </c>
      <c r="EY636" s="35" t="s">
        <v>1665</v>
      </c>
      <c r="EZ636" s="36" t="s">
        <v>1666</v>
      </c>
      <c r="FA636" s="36" t="s">
        <v>1192</v>
      </c>
      <c r="FB636" s="36" t="s">
        <v>344</v>
      </c>
      <c r="FC636" s="36" t="s">
        <v>1192</v>
      </c>
      <c r="FD636" s="36" t="s">
        <v>344</v>
      </c>
      <c r="FE636" s="36">
        <v>2026</v>
      </c>
      <c r="FF636" s="36" t="s">
        <v>59</v>
      </c>
      <c r="FG636" s="36" t="s">
        <v>1584</v>
      </c>
      <c r="FJ636" t="s">
        <v>59</v>
      </c>
      <c r="FM636" s="32" t="s">
        <v>481</v>
      </c>
      <c r="FN636" t="s">
        <v>481</v>
      </c>
      <c r="FO636" t="s">
        <v>482</v>
      </c>
      <c r="FP636" t="str">
        <f t="shared" si="194"/>
        <v>B</v>
      </c>
      <c r="GU636" s="53">
        <v>181</v>
      </c>
      <c r="GV636" s="53">
        <v>630</v>
      </c>
    </row>
    <row r="637" spans="153:204" x14ac:dyDescent="0.35">
      <c r="EW637" t="s">
        <v>46</v>
      </c>
      <c r="EX637" s="33" t="s">
        <v>47</v>
      </c>
      <c r="EY637" s="35" t="s">
        <v>1667</v>
      </c>
      <c r="EZ637" s="36" t="s">
        <v>1668</v>
      </c>
      <c r="FA637" s="36" t="s">
        <v>1192</v>
      </c>
      <c r="FB637" s="36" t="s">
        <v>344</v>
      </c>
      <c r="FC637" s="36" t="s">
        <v>1192</v>
      </c>
      <c r="FD637" s="36" t="s">
        <v>344</v>
      </c>
      <c r="FE637" s="36">
        <v>2026</v>
      </c>
      <c r="FF637" s="36" t="s">
        <v>59</v>
      </c>
      <c r="FG637" s="36" t="s">
        <v>1584</v>
      </c>
      <c r="FJ637" t="s">
        <v>59</v>
      </c>
      <c r="FM637" s="32" t="s">
        <v>1636</v>
      </c>
      <c r="FN637" t="s">
        <v>1636</v>
      </c>
      <c r="FO637" t="s">
        <v>1597</v>
      </c>
      <c r="FP637" t="str">
        <f t="shared" si="194"/>
        <v>C</v>
      </c>
      <c r="GU637" s="53">
        <v>182</v>
      </c>
      <c r="GV637" s="53">
        <v>631</v>
      </c>
    </row>
    <row r="638" spans="153:204" x14ac:dyDescent="0.35">
      <c r="EW638" t="s">
        <v>46</v>
      </c>
      <c r="EX638" s="33" t="s">
        <v>47</v>
      </c>
      <c r="EY638" s="35" t="s">
        <v>1669</v>
      </c>
      <c r="EZ638" s="36" t="s">
        <v>1670</v>
      </c>
      <c r="FA638" s="36" t="s">
        <v>1192</v>
      </c>
      <c r="FB638" s="36" t="s">
        <v>344</v>
      </c>
      <c r="FC638" s="36" t="s">
        <v>1192</v>
      </c>
      <c r="FD638" s="36" t="s">
        <v>344</v>
      </c>
      <c r="FE638" s="36">
        <v>2026</v>
      </c>
      <c r="FF638" s="36" t="s">
        <v>59</v>
      </c>
      <c r="FG638" s="36" t="s">
        <v>1584</v>
      </c>
      <c r="FJ638" t="s">
        <v>59</v>
      </c>
      <c r="FM638" s="32" t="s">
        <v>1491</v>
      </c>
      <c r="FN638" t="s">
        <v>1491</v>
      </c>
      <c r="FO638" t="s">
        <v>1492</v>
      </c>
      <c r="FP638" t="str">
        <f t="shared" si="194"/>
        <v>C</v>
      </c>
      <c r="GU638" s="53">
        <v>183</v>
      </c>
      <c r="GV638" s="53">
        <v>632</v>
      </c>
    </row>
    <row r="639" spans="153:204" x14ac:dyDescent="0.35">
      <c r="EW639" t="s">
        <v>46</v>
      </c>
      <c r="EX639" s="33" t="s">
        <v>47</v>
      </c>
      <c r="EY639" s="35" t="s">
        <v>1671</v>
      </c>
      <c r="EZ639" s="36" t="s">
        <v>1672</v>
      </c>
      <c r="FA639" s="36" t="s">
        <v>1192</v>
      </c>
      <c r="FB639" s="36" t="s">
        <v>344</v>
      </c>
      <c r="FC639" s="36" t="s">
        <v>1192</v>
      </c>
      <c r="FD639" s="36" t="s">
        <v>344</v>
      </c>
      <c r="FE639" s="36">
        <v>2026</v>
      </c>
      <c r="FF639" s="36" t="s">
        <v>59</v>
      </c>
      <c r="FG639" s="36" t="s">
        <v>1584</v>
      </c>
      <c r="FJ639" t="s">
        <v>59</v>
      </c>
      <c r="FM639" s="32" t="s">
        <v>1529</v>
      </c>
      <c r="FN639" t="s">
        <v>1529</v>
      </c>
      <c r="FO639" t="s">
        <v>1530</v>
      </c>
      <c r="FP639" t="str">
        <f t="shared" si="194"/>
        <v>C</v>
      </c>
      <c r="GU639" s="53">
        <v>184</v>
      </c>
      <c r="GV639" s="53">
        <v>633</v>
      </c>
    </row>
    <row r="640" spans="153:204" x14ac:dyDescent="0.35">
      <c r="EW640" t="s">
        <v>46</v>
      </c>
      <c r="EX640" s="33" t="s">
        <v>47</v>
      </c>
      <c r="EY640" s="35" t="s">
        <v>1673</v>
      </c>
      <c r="EZ640" s="36" t="s">
        <v>1674</v>
      </c>
      <c r="FA640" s="36" t="s">
        <v>1192</v>
      </c>
      <c r="FB640" s="36" t="s">
        <v>344</v>
      </c>
      <c r="FC640" s="36" t="s">
        <v>1192</v>
      </c>
      <c r="FD640" s="36" t="s">
        <v>344</v>
      </c>
      <c r="FE640" s="36">
        <v>2026</v>
      </c>
      <c r="FF640" s="36" t="s">
        <v>59</v>
      </c>
      <c r="FG640" s="36" t="s">
        <v>1584</v>
      </c>
      <c r="FJ640" t="s">
        <v>59</v>
      </c>
      <c r="FM640" s="32" t="s">
        <v>1675</v>
      </c>
      <c r="FN640" t="s">
        <v>1675</v>
      </c>
      <c r="FO640" t="s">
        <v>1675</v>
      </c>
      <c r="FP640" t="str">
        <f t="shared" si="194"/>
        <v>B</v>
      </c>
      <c r="GU640" s="53">
        <v>185</v>
      </c>
      <c r="GV640" s="53">
        <v>634</v>
      </c>
    </row>
    <row r="641" spans="153:204" x14ac:dyDescent="0.35">
      <c r="EW641" t="s">
        <v>46</v>
      </c>
      <c r="EX641" s="33" t="s">
        <v>47</v>
      </c>
      <c r="EY641" s="35" t="s">
        <v>1676</v>
      </c>
      <c r="EZ641" s="36" t="s">
        <v>1677</v>
      </c>
      <c r="FA641" s="36" t="s">
        <v>1192</v>
      </c>
      <c r="FB641" s="36" t="s">
        <v>344</v>
      </c>
      <c r="FC641" s="36" t="s">
        <v>1192</v>
      </c>
      <c r="FD641" s="36" t="s">
        <v>344</v>
      </c>
      <c r="FE641" s="36">
        <v>2026</v>
      </c>
      <c r="FF641" s="36" t="s">
        <v>59</v>
      </c>
      <c r="FG641" s="36" t="s">
        <v>1584</v>
      </c>
      <c r="FJ641" t="s">
        <v>59</v>
      </c>
      <c r="FM641" s="32" t="s">
        <v>1378</v>
      </c>
      <c r="FN641" t="s">
        <v>1378</v>
      </c>
      <c r="FO641" t="s">
        <v>1379</v>
      </c>
      <c r="FP641" t="str">
        <f t="shared" ref="FP641:FP704" si="195">VLOOKUP(FO641,EX:FF,9,0)</f>
        <v>C</v>
      </c>
      <c r="GU641" s="53">
        <v>186</v>
      </c>
      <c r="GV641" s="53">
        <v>635</v>
      </c>
    </row>
    <row r="642" spans="153:204" x14ac:dyDescent="0.35">
      <c r="EW642" t="s">
        <v>46</v>
      </c>
      <c r="EX642" s="33" t="s">
        <v>47</v>
      </c>
      <c r="EY642" s="35" t="s">
        <v>1678</v>
      </c>
      <c r="EZ642" s="36" t="s">
        <v>1679</v>
      </c>
      <c r="FA642" s="36" t="s">
        <v>1192</v>
      </c>
      <c r="FB642" s="36" t="s">
        <v>344</v>
      </c>
      <c r="FC642" s="36" t="s">
        <v>1192</v>
      </c>
      <c r="FD642" s="36" t="s">
        <v>344</v>
      </c>
      <c r="FE642" s="36">
        <v>2026</v>
      </c>
      <c r="FF642" s="36" t="s">
        <v>59</v>
      </c>
      <c r="FG642" s="36" t="s">
        <v>1584</v>
      </c>
      <c r="FJ642" t="s">
        <v>59</v>
      </c>
      <c r="FM642" s="32" t="s">
        <v>1362</v>
      </c>
      <c r="FN642" t="s">
        <v>1362</v>
      </c>
      <c r="FO642" t="s">
        <v>1363</v>
      </c>
      <c r="FP642" t="str">
        <f t="shared" si="195"/>
        <v>C</v>
      </c>
      <c r="GU642" s="53">
        <v>187</v>
      </c>
      <c r="GV642" s="53">
        <v>636</v>
      </c>
    </row>
    <row r="643" spans="153:204" x14ac:dyDescent="0.35">
      <c r="EW643" t="s">
        <v>46</v>
      </c>
      <c r="EX643" s="33" t="s">
        <v>47</v>
      </c>
      <c r="EY643" s="35" t="s">
        <v>1680</v>
      </c>
      <c r="EZ643" s="36" t="s">
        <v>1681</v>
      </c>
      <c r="FA643" s="36" t="s">
        <v>1192</v>
      </c>
      <c r="FB643" s="36" t="s">
        <v>344</v>
      </c>
      <c r="FC643" s="36" t="s">
        <v>1192</v>
      </c>
      <c r="FD643" s="36" t="s">
        <v>344</v>
      </c>
      <c r="FE643" s="36">
        <v>2026</v>
      </c>
      <c r="FF643" s="36" t="s">
        <v>59</v>
      </c>
      <c r="FG643" s="36" t="s">
        <v>1584</v>
      </c>
      <c r="FJ643" t="s">
        <v>59</v>
      </c>
      <c r="FM643" s="32" t="s">
        <v>561</v>
      </c>
      <c r="FN643" t="s">
        <v>561</v>
      </c>
      <c r="FO643" t="s">
        <v>561</v>
      </c>
      <c r="FP643" t="str">
        <f t="shared" si="195"/>
        <v>B</v>
      </c>
      <c r="GU643" s="53">
        <v>188</v>
      </c>
      <c r="GV643" s="53">
        <v>637</v>
      </c>
    </row>
    <row r="644" spans="153:204" x14ac:dyDescent="0.35">
      <c r="EW644" t="s">
        <v>46</v>
      </c>
      <c r="EX644" s="33" t="s">
        <v>47</v>
      </c>
      <c r="EY644" s="35" t="s">
        <v>1682</v>
      </c>
      <c r="EZ644" s="36" t="s">
        <v>1683</v>
      </c>
      <c r="FA644" s="36" t="s">
        <v>1192</v>
      </c>
      <c r="FB644" s="36" t="s">
        <v>344</v>
      </c>
      <c r="FC644" s="36" t="s">
        <v>1192</v>
      </c>
      <c r="FD644" s="36" t="s">
        <v>344</v>
      </c>
      <c r="FE644" s="36">
        <v>2026</v>
      </c>
      <c r="FF644" s="36" t="s">
        <v>59</v>
      </c>
      <c r="FG644" s="36" t="s">
        <v>1584</v>
      </c>
      <c r="FJ644" t="s">
        <v>59</v>
      </c>
      <c r="FM644" s="32" t="s">
        <v>1656</v>
      </c>
      <c r="FN644" t="s">
        <v>1656</v>
      </c>
      <c r="FO644" t="s">
        <v>1616</v>
      </c>
      <c r="FP644" t="str">
        <f t="shared" si="195"/>
        <v>C</v>
      </c>
      <c r="GU644" s="53">
        <v>189</v>
      </c>
      <c r="GV644" s="53">
        <v>638</v>
      </c>
    </row>
    <row r="645" spans="153:204" x14ac:dyDescent="0.35">
      <c r="EW645" t="s">
        <v>46</v>
      </c>
      <c r="EX645" s="33" t="s">
        <v>47</v>
      </c>
      <c r="EY645" s="35" t="s">
        <v>1684</v>
      </c>
      <c r="EZ645" s="36" t="s">
        <v>1685</v>
      </c>
      <c r="FA645" s="36" t="s">
        <v>1192</v>
      </c>
      <c r="FB645" s="36" t="s">
        <v>344</v>
      </c>
      <c r="FC645" s="36" t="s">
        <v>1192</v>
      </c>
      <c r="FD645" s="36" t="s">
        <v>344</v>
      </c>
      <c r="FE645" s="36">
        <v>2026</v>
      </c>
      <c r="FF645" s="36" t="s">
        <v>59</v>
      </c>
      <c r="FG645" s="36" t="s">
        <v>1584</v>
      </c>
      <c r="FJ645" t="s">
        <v>59</v>
      </c>
      <c r="FM645" s="32" t="s">
        <v>1581</v>
      </c>
      <c r="FN645" t="s">
        <v>1581</v>
      </c>
      <c r="FO645" t="s">
        <v>1554</v>
      </c>
      <c r="FP645" t="str">
        <f t="shared" si="195"/>
        <v>C</v>
      </c>
      <c r="GU645" s="53">
        <v>190</v>
      </c>
      <c r="GV645" s="53">
        <v>639</v>
      </c>
    </row>
    <row r="646" spans="153:204" x14ac:dyDescent="0.35">
      <c r="EW646" t="s">
        <v>46</v>
      </c>
      <c r="EX646" s="33" t="s">
        <v>47</v>
      </c>
      <c r="EY646" s="35" t="s">
        <v>1686</v>
      </c>
      <c r="EZ646" s="36" t="s">
        <v>1687</v>
      </c>
      <c r="FA646" s="36" t="s">
        <v>1192</v>
      </c>
      <c r="FB646" s="36" t="s">
        <v>344</v>
      </c>
      <c r="FC646" s="36" t="s">
        <v>1192</v>
      </c>
      <c r="FD646" s="36" t="s">
        <v>344</v>
      </c>
      <c r="FE646" s="36">
        <v>2026</v>
      </c>
      <c r="FF646" s="36" t="s">
        <v>59</v>
      </c>
      <c r="FG646" s="36" t="s">
        <v>1584</v>
      </c>
      <c r="FJ646" t="s">
        <v>59</v>
      </c>
      <c r="FM646" s="32" t="s">
        <v>1627</v>
      </c>
      <c r="FN646" t="s">
        <v>1627</v>
      </c>
      <c r="FO646" t="s">
        <v>1628</v>
      </c>
      <c r="FP646" t="str">
        <f t="shared" si="195"/>
        <v>C</v>
      </c>
      <c r="GU646" s="53">
        <v>191</v>
      </c>
      <c r="GV646" s="53">
        <v>640</v>
      </c>
    </row>
    <row r="647" spans="153:204" x14ac:dyDescent="0.35">
      <c r="EW647" t="s">
        <v>46</v>
      </c>
      <c r="EX647" s="33" t="s">
        <v>47</v>
      </c>
      <c r="EY647" s="35" t="s">
        <v>1688</v>
      </c>
      <c r="EZ647" s="36" t="s">
        <v>1689</v>
      </c>
      <c r="FA647" s="36" t="s">
        <v>1192</v>
      </c>
      <c r="FB647" s="36" t="s">
        <v>344</v>
      </c>
      <c r="FC647" s="36" t="s">
        <v>1192</v>
      </c>
      <c r="FD647" s="36" t="s">
        <v>344</v>
      </c>
      <c r="FE647" s="36">
        <v>2026</v>
      </c>
      <c r="FF647" s="36" t="s">
        <v>59</v>
      </c>
      <c r="FG647" s="36" t="s">
        <v>1584</v>
      </c>
      <c r="FJ647" t="s">
        <v>59</v>
      </c>
      <c r="FM647" s="32" t="s">
        <v>1374</v>
      </c>
      <c r="FN647" t="s">
        <v>1374</v>
      </c>
      <c r="FO647" t="s">
        <v>1375</v>
      </c>
      <c r="FP647" t="str">
        <f t="shared" si="195"/>
        <v>C</v>
      </c>
      <c r="GU647" s="53">
        <v>192</v>
      </c>
      <c r="GV647" s="53">
        <v>641</v>
      </c>
    </row>
    <row r="648" spans="153:204" x14ac:dyDescent="0.35">
      <c r="EW648" t="s">
        <v>46</v>
      </c>
      <c r="EX648" s="33" t="s">
        <v>47</v>
      </c>
      <c r="EY648" s="35" t="s">
        <v>1690</v>
      </c>
      <c r="EZ648" s="36" t="s">
        <v>1691</v>
      </c>
      <c r="FA648" s="36" t="s">
        <v>1192</v>
      </c>
      <c r="FB648" s="36" t="s">
        <v>344</v>
      </c>
      <c r="FC648" s="36" t="s">
        <v>1192</v>
      </c>
      <c r="FD648" s="36" t="s">
        <v>344</v>
      </c>
      <c r="FE648" s="36">
        <v>2026</v>
      </c>
      <c r="FF648" s="36" t="s">
        <v>59</v>
      </c>
      <c r="FG648" s="36" t="s">
        <v>1584</v>
      </c>
      <c r="FJ648" t="s">
        <v>59</v>
      </c>
      <c r="FM648" s="32" t="s">
        <v>1597</v>
      </c>
      <c r="FN648" t="s">
        <v>1597</v>
      </c>
      <c r="FO648" t="s">
        <v>1597</v>
      </c>
      <c r="FP648" t="str">
        <f t="shared" si="195"/>
        <v>C</v>
      </c>
      <c r="GU648" s="53">
        <v>193</v>
      </c>
      <c r="GV648" s="53">
        <v>642</v>
      </c>
    </row>
    <row r="649" spans="153:204" x14ac:dyDescent="0.35">
      <c r="EW649" t="s">
        <v>46</v>
      </c>
      <c r="EX649" s="33" t="s">
        <v>47</v>
      </c>
      <c r="EY649" s="35" t="s">
        <v>1692</v>
      </c>
      <c r="EZ649" s="36" t="s">
        <v>1693</v>
      </c>
      <c r="FA649" s="36" t="s">
        <v>1192</v>
      </c>
      <c r="FB649" s="36" t="s">
        <v>344</v>
      </c>
      <c r="FC649" s="36" t="s">
        <v>1192</v>
      </c>
      <c r="FD649" s="36" t="s">
        <v>344</v>
      </c>
      <c r="FE649" s="36">
        <v>2026</v>
      </c>
      <c r="FF649" s="36" t="s">
        <v>59</v>
      </c>
      <c r="FG649" s="36" t="s">
        <v>1584</v>
      </c>
      <c r="FJ649" t="s">
        <v>59</v>
      </c>
      <c r="FM649" s="32" t="s">
        <v>482</v>
      </c>
      <c r="FN649" t="s">
        <v>482</v>
      </c>
      <c r="FO649" t="s">
        <v>482</v>
      </c>
      <c r="FP649" t="str">
        <f t="shared" si="195"/>
        <v>B</v>
      </c>
      <c r="GU649" s="53">
        <v>194</v>
      </c>
      <c r="GV649" s="53">
        <v>643</v>
      </c>
    </row>
    <row r="650" spans="153:204" x14ac:dyDescent="0.35">
      <c r="EW650" t="s">
        <v>46</v>
      </c>
      <c r="EX650" s="33" t="s">
        <v>47</v>
      </c>
      <c r="EY650" s="35" t="s">
        <v>1694</v>
      </c>
      <c r="EZ650" s="36" t="s">
        <v>1695</v>
      </c>
      <c r="FA650" s="36" t="s">
        <v>1192</v>
      </c>
      <c r="FB650" s="36" t="s">
        <v>344</v>
      </c>
      <c r="FC650" s="36" t="s">
        <v>1192</v>
      </c>
      <c r="FD650" s="36" t="s">
        <v>344</v>
      </c>
      <c r="FE650" s="36">
        <v>2026</v>
      </c>
      <c r="FF650" s="36" t="s">
        <v>59</v>
      </c>
      <c r="FG650" s="36" t="s">
        <v>1584</v>
      </c>
      <c r="FJ650" t="s">
        <v>59</v>
      </c>
      <c r="FM650" s="32" t="s">
        <v>1491</v>
      </c>
      <c r="FN650" t="s">
        <v>1491</v>
      </c>
      <c r="FO650" t="s">
        <v>1492</v>
      </c>
      <c r="FP650" t="str">
        <f t="shared" si="195"/>
        <v>C</v>
      </c>
      <c r="GU650" s="53">
        <v>195</v>
      </c>
      <c r="GV650" s="53">
        <v>644</v>
      </c>
    </row>
    <row r="651" spans="153:204" x14ac:dyDescent="0.35">
      <c r="EW651" t="s">
        <v>46</v>
      </c>
      <c r="EX651" s="33" t="s">
        <v>47</v>
      </c>
      <c r="EY651" s="35" t="s">
        <v>1696</v>
      </c>
      <c r="EZ651" s="36" t="s">
        <v>1697</v>
      </c>
      <c r="FA651" s="36" t="s">
        <v>1192</v>
      </c>
      <c r="FB651" s="36" t="s">
        <v>344</v>
      </c>
      <c r="FC651" s="36" t="s">
        <v>1192</v>
      </c>
      <c r="FD651" s="36" t="s">
        <v>344</v>
      </c>
      <c r="FE651" s="36">
        <v>2026</v>
      </c>
      <c r="FF651" s="36" t="s">
        <v>59</v>
      </c>
      <c r="FG651" s="36" t="s">
        <v>1584</v>
      </c>
      <c r="FJ651" t="s">
        <v>59</v>
      </c>
      <c r="FM651" s="32" t="s">
        <v>1529</v>
      </c>
      <c r="FN651" t="s">
        <v>1529</v>
      </c>
      <c r="FO651" t="s">
        <v>1530</v>
      </c>
      <c r="FP651" t="str">
        <f t="shared" si="195"/>
        <v>C</v>
      </c>
      <c r="GU651" s="53">
        <v>196</v>
      </c>
      <c r="GV651" s="53">
        <v>645</v>
      </c>
    </row>
    <row r="652" spans="153:204" x14ac:dyDescent="0.35">
      <c r="EW652" t="s">
        <v>46</v>
      </c>
      <c r="EX652" s="33" t="s">
        <v>47</v>
      </c>
      <c r="EY652" s="35" t="s">
        <v>1698</v>
      </c>
      <c r="EZ652" s="36" t="s">
        <v>1699</v>
      </c>
      <c r="FA652" s="36" t="s">
        <v>1192</v>
      </c>
      <c r="FB652" s="36" t="s">
        <v>344</v>
      </c>
      <c r="FC652" s="36" t="s">
        <v>1192</v>
      </c>
      <c r="FD652" s="36" t="s">
        <v>344</v>
      </c>
      <c r="FE652" s="36">
        <v>2026</v>
      </c>
      <c r="FF652" s="36" t="s">
        <v>59</v>
      </c>
      <c r="FG652" s="36" t="s">
        <v>1584</v>
      </c>
      <c r="FJ652" t="s">
        <v>59</v>
      </c>
      <c r="FM652" s="32" t="s">
        <v>1362</v>
      </c>
      <c r="FN652" t="s">
        <v>1362</v>
      </c>
      <c r="FO652" t="s">
        <v>1363</v>
      </c>
      <c r="FP652" t="str">
        <f t="shared" si="195"/>
        <v>C</v>
      </c>
      <c r="GU652" s="53">
        <v>197</v>
      </c>
      <c r="GV652" s="53">
        <v>646</v>
      </c>
    </row>
    <row r="653" spans="153:204" x14ac:dyDescent="0.35">
      <c r="EW653" t="s">
        <v>46</v>
      </c>
      <c r="EX653" s="33" t="s">
        <v>47</v>
      </c>
      <c r="EY653" s="35" t="s">
        <v>1700</v>
      </c>
      <c r="EZ653" s="36" t="s">
        <v>1701</v>
      </c>
      <c r="FA653" s="36" t="s">
        <v>1192</v>
      </c>
      <c r="FB653" s="36" t="s">
        <v>344</v>
      </c>
      <c r="FC653" s="36" t="s">
        <v>1192</v>
      </c>
      <c r="FD653" s="36" t="s">
        <v>344</v>
      </c>
      <c r="FE653" s="36">
        <v>2026</v>
      </c>
      <c r="FF653" s="36" t="s">
        <v>59</v>
      </c>
      <c r="FG653" s="36" t="s">
        <v>1584</v>
      </c>
      <c r="FJ653" t="s">
        <v>59</v>
      </c>
      <c r="FM653" s="32" t="s">
        <v>1378</v>
      </c>
      <c r="FN653" t="s">
        <v>1378</v>
      </c>
      <c r="FO653" t="s">
        <v>1379</v>
      </c>
      <c r="FP653" t="str">
        <f t="shared" si="195"/>
        <v>C</v>
      </c>
      <c r="GU653" s="53">
        <v>198</v>
      </c>
      <c r="GV653" s="53">
        <v>647</v>
      </c>
    </row>
    <row r="654" spans="153:204" x14ac:dyDescent="0.35">
      <c r="EW654" t="s">
        <v>46</v>
      </c>
      <c r="EX654" s="33" t="s">
        <v>47</v>
      </c>
      <c r="EY654" s="35" t="s">
        <v>1702</v>
      </c>
      <c r="EZ654" s="36" t="s">
        <v>1703</v>
      </c>
      <c r="FA654" s="36" t="s">
        <v>1192</v>
      </c>
      <c r="FB654" s="36" t="s">
        <v>344</v>
      </c>
      <c r="FC654" s="36" t="s">
        <v>1192</v>
      </c>
      <c r="FD654" s="36" t="s">
        <v>344</v>
      </c>
      <c r="FE654" s="36">
        <v>2026</v>
      </c>
      <c r="FF654" s="36" t="s">
        <v>59</v>
      </c>
      <c r="FG654" s="36" t="s">
        <v>1584</v>
      </c>
      <c r="FJ654" t="s">
        <v>59</v>
      </c>
      <c r="FM654" s="32" t="s">
        <v>1656</v>
      </c>
      <c r="FN654" t="s">
        <v>1656</v>
      </c>
      <c r="FO654" t="s">
        <v>1616</v>
      </c>
      <c r="FP654" t="str">
        <f t="shared" si="195"/>
        <v>C</v>
      </c>
      <c r="GU654" s="53">
        <v>199</v>
      </c>
      <c r="GV654" s="53">
        <v>648</v>
      </c>
    </row>
    <row r="655" spans="153:204" x14ac:dyDescent="0.35">
      <c r="EW655" t="s">
        <v>46</v>
      </c>
      <c r="EX655" s="33" t="s">
        <v>47</v>
      </c>
      <c r="EY655" s="35" t="s">
        <v>1704</v>
      </c>
      <c r="EZ655" s="36" t="s">
        <v>1705</v>
      </c>
      <c r="FA655" s="36" t="s">
        <v>1192</v>
      </c>
      <c r="FB655" s="36" t="s">
        <v>344</v>
      </c>
      <c r="FC655" s="36" t="s">
        <v>1192</v>
      </c>
      <c r="FD655" s="36" t="s">
        <v>344</v>
      </c>
      <c r="FE655" s="36">
        <v>2026</v>
      </c>
      <c r="FF655" s="36" t="s">
        <v>59</v>
      </c>
      <c r="FG655" s="36" t="s">
        <v>1584</v>
      </c>
      <c r="FJ655" t="s">
        <v>59</v>
      </c>
      <c r="FM655" s="32" t="s">
        <v>1706</v>
      </c>
      <c r="FN655" t="s">
        <v>1706</v>
      </c>
      <c r="FO655" t="s">
        <v>1707</v>
      </c>
      <c r="FP655" t="str">
        <f t="shared" si="195"/>
        <v>C</v>
      </c>
      <c r="GU655" s="53">
        <v>200</v>
      </c>
      <c r="GV655" s="53">
        <v>649</v>
      </c>
    </row>
    <row r="656" spans="153:204" x14ac:dyDescent="0.35">
      <c r="EW656" t="s">
        <v>46</v>
      </c>
      <c r="EX656" s="33" t="s">
        <v>47</v>
      </c>
      <c r="EY656" s="35" t="s">
        <v>1708</v>
      </c>
      <c r="EZ656" s="36" t="s">
        <v>1709</v>
      </c>
      <c r="FA656" s="36" t="s">
        <v>1192</v>
      </c>
      <c r="FB656" s="36" t="s">
        <v>344</v>
      </c>
      <c r="FC656" s="36" t="s">
        <v>1192</v>
      </c>
      <c r="FD656" s="36" t="s">
        <v>344</v>
      </c>
      <c r="FE656" s="36">
        <v>2026</v>
      </c>
      <c r="FF656" s="36" t="s">
        <v>59</v>
      </c>
      <c r="FG656" s="36" t="s">
        <v>1584</v>
      </c>
      <c r="FJ656" t="s">
        <v>59</v>
      </c>
      <c r="FM656" s="32" t="s">
        <v>1624</v>
      </c>
      <c r="FN656" t="s">
        <v>1624</v>
      </c>
      <c r="FO656" t="s">
        <v>1551</v>
      </c>
      <c r="FP656" t="str">
        <f t="shared" si="195"/>
        <v>C</v>
      </c>
      <c r="GU656" s="53">
        <v>201</v>
      </c>
      <c r="GV656" s="53">
        <v>650</v>
      </c>
    </row>
    <row r="657" spans="153:172" x14ac:dyDescent="0.35">
      <c r="EW657" t="s">
        <v>46</v>
      </c>
      <c r="EX657" s="33" t="s">
        <v>47</v>
      </c>
      <c r="EY657" s="35" t="s">
        <v>1710</v>
      </c>
      <c r="EZ657" s="36" t="s">
        <v>1711</v>
      </c>
      <c r="FA657" s="36" t="s">
        <v>1192</v>
      </c>
      <c r="FB657" s="36" t="s">
        <v>344</v>
      </c>
      <c r="FC657" s="36" t="s">
        <v>1192</v>
      </c>
      <c r="FD657" s="36" t="s">
        <v>344</v>
      </c>
      <c r="FE657" s="36">
        <v>2026</v>
      </c>
      <c r="FF657" s="36" t="s">
        <v>59</v>
      </c>
      <c r="FG657" s="36" t="s">
        <v>1584</v>
      </c>
      <c r="FJ657" t="s">
        <v>59</v>
      </c>
      <c r="FM657" s="32" t="s">
        <v>1374</v>
      </c>
      <c r="FN657" t="s">
        <v>1374</v>
      </c>
      <c r="FO657" t="s">
        <v>1375</v>
      </c>
      <c r="FP657" t="str">
        <f t="shared" si="195"/>
        <v>C</v>
      </c>
    </row>
    <row r="658" spans="153:172" x14ac:dyDescent="0.35">
      <c r="EW658" t="s">
        <v>46</v>
      </c>
      <c r="EX658" s="33" t="s">
        <v>47</v>
      </c>
      <c r="EY658" s="35" t="s">
        <v>1712</v>
      </c>
      <c r="EZ658" s="36" t="s">
        <v>1713</v>
      </c>
      <c r="FA658" s="36" t="s">
        <v>1192</v>
      </c>
      <c r="FB658" s="36" t="s">
        <v>344</v>
      </c>
      <c r="FC658" s="36" t="s">
        <v>1192</v>
      </c>
      <c r="FD658" s="36" t="s">
        <v>344</v>
      </c>
      <c r="FE658" s="36">
        <v>2026</v>
      </c>
      <c r="FF658" s="36" t="s">
        <v>59</v>
      </c>
      <c r="FG658" s="36" t="s">
        <v>1584</v>
      </c>
      <c r="FJ658" t="s">
        <v>59</v>
      </c>
      <c r="FM658" s="32" t="s">
        <v>1581</v>
      </c>
      <c r="FN658" t="s">
        <v>1581</v>
      </c>
      <c r="FO658" t="s">
        <v>1554</v>
      </c>
      <c r="FP658" t="str">
        <f t="shared" si="195"/>
        <v>C</v>
      </c>
    </row>
    <row r="659" spans="153:172" x14ac:dyDescent="0.35">
      <c r="EW659" t="s">
        <v>46</v>
      </c>
      <c r="EX659" s="33" t="s">
        <v>47</v>
      </c>
      <c r="EY659" s="35" t="s">
        <v>1714</v>
      </c>
      <c r="EZ659" s="36" t="s">
        <v>1715</v>
      </c>
      <c r="FA659" s="36" t="s">
        <v>1192</v>
      </c>
      <c r="FB659" s="36" t="s">
        <v>344</v>
      </c>
      <c r="FC659" s="36" t="s">
        <v>1192</v>
      </c>
      <c r="FD659" s="36" t="s">
        <v>344</v>
      </c>
      <c r="FE659" s="36">
        <v>2026</v>
      </c>
      <c r="FF659" s="36" t="s">
        <v>59</v>
      </c>
      <c r="FG659" s="36" t="s">
        <v>1584</v>
      </c>
      <c r="FJ659" t="s">
        <v>59</v>
      </c>
      <c r="FM659" s="32" t="s">
        <v>1627</v>
      </c>
      <c r="FN659" t="s">
        <v>1627</v>
      </c>
      <c r="FO659" t="s">
        <v>1628</v>
      </c>
      <c r="FP659" t="str">
        <f t="shared" si="195"/>
        <v>C</v>
      </c>
    </row>
    <row r="660" spans="153:172" x14ac:dyDescent="0.35">
      <c r="EW660" t="s">
        <v>46</v>
      </c>
      <c r="EX660" s="33" t="s">
        <v>47</v>
      </c>
      <c r="EY660" s="35" t="s">
        <v>1716</v>
      </c>
      <c r="EZ660" s="36" t="s">
        <v>1717</v>
      </c>
      <c r="FA660" s="36" t="s">
        <v>1192</v>
      </c>
      <c r="FB660" s="36" t="s">
        <v>344</v>
      </c>
      <c r="FC660" s="36" t="s">
        <v>1192</v>
      </c>
      <c r="FD660" s="36" t="s">
        <v>344</v>
      </c>
      <c r="FE660" s="36">
        <v>2026</v>
      </c>
      <c r="FF660" s="36" t="s">
        <v>59</v>
      </c>
      <c r="FG660" s="36" t="s">
        <v>1584</v>
      </c>
      <c r="FJ660" t="s">
        <v>59</v>
      </c>
      <c r="FM660" s="32" t="s">
        <v>1718</v>
      </c>
      <c r="FN660" t="s">
        <v>1718</v>
      </c>
      <c r="FO660" t="s">
        <v>1719</v>
      </c>
      <c r="FP660" t="str">
        <f t="shared" si="195"/>
        <v>C</v>
      </c>
    </row>
    <row r="661" spans="153:172" x14ac:dyDescent="0.35">
      <c r="EW661" t="s">
        <v>46</v>
      </c>
      <c r="EX661" s="33" t="s">
        <v>47</v>
      </c>
      <c r="EY661" s="35" t="s">
        <v>1720</v>
      </c>
      <c r="EZ661" s="36" t="s">
        <v>1721</v>
      </c>
      <c r="FA661" s="36" t="s">
        <v>1722</v>
      </c>
      <c r="FB661" s="36" t="s">
        <v>1723</v>
      </c>
      <c r="FC661" s="36" t="s">
        <v>1722</v>
      </c>
      <c r="FD661" s="36" t="s">
        <v>1724</v>
      </c>
      <c r="FE661" s="36">
        <v>2019</v>
      </c>
      <c r="FF661" s="36" t="s">
        <v>59</v>
      </c>
      <c r="FG661" s="36" t="s">
        <v>1193</v>
      </c>
      <c r="FJ661" t="s">
        <v>59</v>
      </c>
      <c r="FM661" s="32" t="s">
        <v>480</v>
      </c>
      <c r="FN661" t="s">
        <v>481</v>
      </c>
      <c r="FO661" t="s">
        <v>482</v>
      </c>
      <c r="FP661" t="str">
        <f t="shared" si="195"/>
        <v>B</v>
      </c>
    </row>
    <row r="662" spans="153:172" x14ac:dyDescent="0.35">
      <c r="EW662" t="s">
        <v>46</v>
      </c>
      <c r="EX662" s="33" t="s">
        <v>47</v>
      </c>
      <c r="EY662" s="35" t="s">
        <v>1725</v>
      </c>
      <c r="EZ662" s="36">
        <v>482342</v>
      </c>
      <c r="FA662" s="36" t="s">
        <v>1726</v>
      </c>
      <c r="FB662" s="36" t="s">
        <v>52</v>
      </c>
      <c r="FC662" s="36" t="s">
        <v>53</v>
      </c>
      <c r="FD662" s="36" t="s">
        <v>54</v>
      </c>
      <c r="FE662" s="36">
        <v>2019</v>
      </c>
      <c r="FF662" s="36" t="s">
        <v>1727</v>
      </c>
      <c r="FG662" s="36" t="s">
        <v>1728</v>
      </c>
      <c r="FJ662" t="s">
        <v>59</v>
      </c>
      <c r="FM662" s="32" t="s">
        <v>1362</v>
      </c>
      <c r="FN662" t="s">
        <v>1362</v>
      </c>
      <c r="FO662" t="s">
        <v>1363</v>
      </c>
      <c r="FP662" t="str">
        <f t="shared" si="195"/>
        <v>C</v>
      </c>
    </row>
    <row r="663" spans="153:172" x14ac:dyDescent="0.35">
      <c r="EW663" t="s">
        <v>46</v>
      </c>
      <c r="EX663" s="33" t="s">
        <v>47</v>
      </c>
      <c r="EY663" s="35" t="s">
        <v>1729</v>
      </c>
      <c r="EZ663" s="36">
        <v>483878</v>
      </c>
      <c r="FA663" s="36" t="s">
        <v>1726</v>
      </c>
      <c r="FB663" s="36" t="s">
        <v>52</v>
      </c>
      <c r="FC663" s="36" t="s">
        <v>53</v>
      </c>
      <c r="FD663" s="36" t="s">
        <v>54</v>
      </c>
      <c r="FE663" s="36">
        <v>2019</v>
      </c>
      <c r="FF663" s="36" t="s">
        <v>1727</v>
      </c>
      <c r="FG663" s="36" t="s">
        <v>1193</v>
      </c>
      <c r="FJ663" t="s">
        <v>59</v>
      </c>
      <c r="FM663" s="32" t="s">
        <v>1730</v>
      </c>
      <c r="FN663" t="s">
        <v>1730</v>
      </c>
      <c r="FO663" t="s">
        <v>1731</v>
      </c>
      <c r="FP663" t="str">
        <f t="shared" si="195"/>
        <v>C</v>
      </c>
    </row>
    <row r="664" spans="153:172" x14ac:dyDescent="0.35">
      <c r="EW664" t="s">
        <v>46</v>
      </c>
      <c r="EX664" s="33" t="s">
        <v>47</v>
      </c>
      <c r="EY664" s="35" t="s">
        <v>1732</v>
      </c>
      <c r="EZ664" s="36">
        <v>479849</v>
      </c>
      <c r="FA664" s="36" t="s">
        <v>1726</v>
      </c>
      <c r="FB664" s="36" t="s">
        <v>52</v>
      </c>
      <c r="FC664" s="36" t="s">
        <v>53</v>
      </c>
      <c r="FD664" s="36" t="s">
        <v>54</v>
      </c>
      <c r="FE664" s="36">
        <v>2019</v>
      </c>
      <c r="FF664" s="36" t="s">
        <v>1727</v>
      </c>
      <c r="FG664" s="36" t="s">
        <v>1193</v>
      </c>
      <c r="FJ664" t="s">
        <v>59</v>
      </c>
      <c r="FM664" s="32" t="s">
        <v>1621</v>
      </c>
      <c r="FN664" t="s">
        <v>1621</v>
      </c>
      <c r="FO664" t="s">
        <v>1589</v>
      </c>
      <c r="FP664" t="str">
        <f t="shared" si="195"/>
        <v>C</v>
      </c>
    </row>
    <row r="665" spans="153:172" x14ac:dyDescent="0.35">
      <c r="EW665" t="s">
        <v>46</v>
      </c>
      <c r="EX665" s="33" t="s">
        <v>47</v>
      </c>
      <c r="EY665" s="35" t="s">
        <v>1733</v>
      </c>
      <c r="EZ665" s="36">
        <v>484541</v>
      </c>
      <c r="FA665" s="36" t="s">
        <v>1726</v>
      </c>
      <c r="FB665" s="36" t="s">
        <v>52</v>
      </c>
      <c r="FC665" s="36" t="s">
        <v>53</v>
      </c>
      <c r="FD665" s="36" t="s">
        <v>54</v>
      </c>
      <c r="FE665" s="36">
        <v>2019</v>
      </c>
      <c r="FF665" s="36" t="s">
        <v>1727</v>
      </c>
      <c r="FG665" s="36" t="s">
        <v>1193</v>
      </c>
      <c r="FJ665" t="s">
        <v>59</v>
      </c>
      <c r="FM665" s="32" t="s">
        <v>1132</v>
      </c>
      <c r="FN665" t="s">
        <v>1133</v>
      </c>
      <c r="FO665" t="s">
        <v>1134</v>
      </c>
      <c r="FP665" t="str">
        <f t="shared" si="195"/>
        <v>C</v>
      </c>
    </row>
    <row r="666" spans="153:172" x14ac:dyDescent="0.35">
      <c r="EW666" t="s">
        <v>46</v>
      </c>
      <c r="EX666" s="33" t="s">
        <v>47</v>
      </c>
      <c r="EY666" s="35" t="s">
        <v>1734</v>
      </c>
      <c r="EZ666" s="36">
        <v>481662</v>
      </c>
      <c r="FA666" s="36" t="s">
        <v>1726</v>
      </c>
      <c r="FB666" s="36" t="s">
        <v>52</v>
      </c>
      <c r="FC666" s="36" t="s">
        <v>53</v>
      </c>
      <c r="FD666" s="36" t="s">
        <v>54</v>
      </c>
      <c r="FE666" s="36">
        <v>2019</v>
      </c>
      <c r="FF666" s="36" t="s">
        <v>1727</v>
      </c>
      <c r="FG666" s="36" t="s">
        <v>1728</v>
      </c>
      <c r="FJ666" t="s">
        <v>59</v>
      </c>
      <c r="FM666" s="32" t="s">
        <v>1735</v>
      </c>
      <c r="FN666" t="s">
        <v>1735</v>
      </c>
      <c r="FO666" t="s">
        <v>1736</v>
      </c>
      <c r="FP666" t="str">
        <f t="shared" si="195"/>
        <v>C</v>
      </c>
    </row>
    <row r="667" spans="153:172" x14ac:dyDescent="0.35">
      <c r="EW667" t="s">
        <v>46</v>
      </c>
      <c r="EX667" s="33" t="s">
        <v>47</v>
      </c>
      <c r="EY667" s="35" t="s">
        <v>1737</v>
      </c>
      <c r="EZ667" s="36">
        <v>478253</v>
      </c>
      <c r="FA667" s="36" t="s">
        <v>1726</v>
      </c>
      <c r="FB667" s="36" t="s">
        <v>52</v>
      </c>
      <c r="FC667" s="36" t="s">
        <v>53</v>
      </c>
      <c r="FD667" s="36" t="s">
        <v>54</v>
      </c>
      <c r="FE667" s="36">
        <v>2019</v>
      </c>
      <c r="FF667" s="36" t="s">
        <v>1727</v>
      </c>
      <c r="FG667" s="36" t="s">
        <v>1728</v>
      </c>
      <c r="FJ667" t="s">
        <v>59</v>
      </c>
      <c r="FM667" s="32" t="s">
        <v>1738</v>
      </c>
      <c r="FN667" t="s">
        <v>1738</v>
      </c>
      <c r="FO667" t="s">
        <v>1739</v>
      </c>
      <c r="FP667" t="str">
        <f t="shared" si="195"/>
        <v>C</v>
      </c>
    </row>
    <row r="668" spans="153:172" x14ac:dyDescent="0.35">
      <c r="EW668" t="s">
        <v>46</v>
      </c>
      <c r="EX668" s="33" t="s">
        <v>47</v>
      </c>
      <c r="EY668" s="35" t="s">
        <v>1740</v>
      </c>
      <c r="EZ668" s="36">
        <v>482584</v>
      </c>
      <c r="FA668" s="36" t="s">
        <v>1726</v>
      </c>
      <c r="FB668" s="36" t="s">
        <v>52</v>
      </c>
      <c r="FC668" s="36" t="s">
        <v>53</v>
      </c>
      <c r="FD668" s="36" t="s">
        <v>54</v>
      </c>
      <c r="FE668" s="36">
        <v>2019</v>
      </c>
      <c r="FF668" s="36" t="s">
        <v>1727</v>
      </c>
      <c r="FG668" s="36" t="s">
        <v>1728</v>
      </c>
      <c r="FJ668" t="s">
        <v>59</v>
      </c>
      <c r="FM668" s="32" t="s">
        <v>1741</v>
      </c>
      <c r="FN668" t="s">
        <v>1741</v>
      </c>
      <c r="FO668" t="s">
        <v>1742</v>
      </c>
      <c r="FP668" t="str">
        <f t="shared" si="195"/>
        <v>C</v>
      </c>
    </row>
    <row r="669" spans="153:172" x14ac:dyDescent="0.35">
      <c r="EW669" t="s">
        <v>46</v>
      </c>
      <c r="EX669" s="33" t="s">
        <v>47</v>
      </c>
      <c r="EY669" s="35" t="s">
        <v>1743</v>
      </c>
      <c r="EZ669" s="36">
        <v>482487</v>
      </c>
      <c r="FA669" s="36" t="s">
        <v>1726</v>
      </c>
      <c r="FB669" s="36" t="s">
        <v>52</v>
      </c>
      <c r="FC669" s="36" t="s">
        <v>53</v>
      </c>
      <c r="FD669" s="36" t="s">
        <v>54</v>
      </c>
      <c r="FE669" s="36">
        <v>2019</v>
      </c>
      <c r="FF669" s="36" t="s">
        <v>1727</v>
      </c>
      <c r="FG669" s="36" t="s">
        <v>1728</v>
      </c>
      <c r="FJ669" t="s">
        <v>59</v>
      </c>
      <c r="FM669" s="32" t="s">
        <v>1744</v>
      </c>
      <c r="FN669" t="s">
        <v>1744</v>
      </c>
      <c r="FO669" t="s">
        <v>1745</v>
      </c>
      <c r="FP669" t="str">
        <f t="shared" si="195"/>
        <v>C</v>
      </c>
    </row>
    <row r="670" spans="153:172" x14ac:dyDescent="0.35">
      <c r="EW670" t="s">
        <v>46</v>
      </c>
      <c r="EX670" s="33" t="s">
        <v>47</v>
      </c>
      <c r="EY670" s="35" t="s">
        <v>1746</v>
      </c>
      <c r="EZ670" s="36">
        <v>483422</v>
      </c>
      <c r="FA670" s="36" t="s">
        <v>1726</v>
      </c>
      <c r="FB670" s="36" t="s">
        <v>52</v>
      </c>
      <c r="FC670" s="36" t="s">
        <v>53</v>
      </c>
      <c r="FD670" s="36" t="s">
        <v>54</v>
      </c>
      <c r="FE670" s="36">
        <v>2019</v>
      </c>
      <c r="FF670" s="36" t="s">
        <v>1727</v>
      </c>
      <c r="FG670" s="36" t="s">
        <v>1193</v>
      </c>
      <c r="FJ670" t="s">
        <v>59</v>
      </c>
      <c r="FM670" s="32" t="s">
        <v>1529</v>
      </c>
      <c r="FN670" t="s">
        <v>1529</v>
      </c>
      <c r="FO670" t="s">
        <v>1530</v>
      </c>
      <c r="FP670" t="str">
        <f t="shared" si="195"/>
        <v>C</v>
      </c>
    </row>
    <row r="671" spans="153:172" x14ac:dyDescent="0.35">
      <c r="EW671" t="s">
        <v>46</v>
      </c>
      <c r="EX671" s="33" t="s">
        <v>47</v>
      </c>
      <c r="EY671" s="35" t="s">
        <v>1747</v>
      </c>
      <c r="EZ671" s="36">
        <v>484639</v>
      </c>
      <c r="FA671" s="36" t="s">
        <v>1726</v>
      </c>
      <c r="FB671" s="36" t="s">
        <v>52</v>
      </c>
      <c r="FC671" s="36" t="s">
        <v>53</v>
      </c>
      <c r="FD671" s="36" t="s">
        <v>54</v>
      </c>
      <c r="FE671" s="36">
        <v>2019</v>
      </c>
      <c r="FF671" s="36" t="s">
        <v>1727</v>
      </c>
      <c r="FG671" s="36" t="s">
        <v>1193</v>
      </c>
      <c r="FJ671" t="s">
        <v>59</v>
      </c>
      <c r="FM671" s="32" t="s">
        <v>1636</v>
      </c>
      <c r="FN671" t="s">
        <v>1636</v>
      </c>
      <c r="FO671" t="s">
        <v>1597</v>
      </c>
      <c r="FP671" t="str">
        <f t="shared" si="195"/>
        <v>C</v>
      </c>
    </row>
    <row r="672" spans="153:172" x14ac:dyDescent="0.35">
      <c r="EW672" t="s">
        <v>46</v>
      </c>
      <c r="EX672" s="33" t="s">
        <v>47</v>
      </c>
      <c r="EY672" s="35" t="s">
        <v>1748</v>
      </c>
      <c r="EZ672" s="36">
        <v>484547</v>
      </c>
      <c r="FA672" s="36" t="s">
        <v>1726</v>
      </c>
      <c r="FB672" s="36" t="s">
        <v>52</v>
      </c>
      <c r="FC672" s="36" t="s">
        <v>53</v>
      </c>
      <c r="FD672" s="36" t="s">
        <v>54</v>
      </c>
      <c r="FE672" s="36">
        <v>2019</v>
      </c>
      <c r="FF672" s="36" t="s">
        <v>1727</v>
      </c>
      <c r="FG672" s="36" t="s">
        <v>1193</v>
      </c>
      <c r="FJ672" t="s">
        <v>59</v>
      </c>
      <c r="FM672" s="32" t="s">
        <v>1298</v>
      </c>
      <c r="FN672" t="s">
        <v>1298</v>
      </c>
      <c r="FO672" t="s">
        <v>1299</v>
      </c>
      <c r="FP672" t="str">
        <f t="shared" si="195"/>
        <v>C</v>
      </c>
    </row>
    <row r="673" spans="153:172" x14ac:dyDescent="0.35">
      <c r="EW673" t="s">
        <v>46</v>
      </c>
      <c r="EX673" s="33" t="s">
        <v>47</v>
      </c>
      <c r="EY673" s="35" t="s">
        <v>1749</v>
      </c>
      <c r="EZ673" s="36">
        <v>506294</v>
      </c>
      <c r="FA673" s="36" t="s">
        <v>1726</v>
      </c>
      <c r="FB673" s="36" t="s">
        <v>473</v>
      </c>
      <c r="FC673" s="36" t="s">
        <v>53</v>
      </c>
      <c r="FD673" s="36" t="s">
        <v>476</v>
      </c>
      <c r="FE673" s="36">
        <v>2020</v>
      </c>
      <c r="FF673" s="36" t="s">
        <v>474</v>
      </c>
      <c r="FG673" s="36" t="s">
        <v>1193</v>
      </c>
      <c r="FJ673" t="s">
        <v>474</v>
      </c>
      <c r="FM673" s="32" t="s">
        <v>1750</v>
      </c>
      <c r="FN673" t="s">
        <v>1750</v>
      </c>
      <c r="FO673" t="s">
        <v>1751</v>
      </c>
      <c r="FP673" t="str">
        <f t="shared" si="195"/>
        <v>C</v>
      </c>
    </row>
    <row r="674" spans="153:172" x14ac:dyDescent="0.35">
      <c r="EW674" t="s">
        <v>46</v>
      </c>
      <c r="EX674" s="33" t="s">
        <v>47</v>
      </c>
      <c r="EY674" s="35" t="s">
        <v>1752</v>
      </c>
      <c r="EZ674" s="36">
        <v>505924</v>
      </c>
      <c r="FA674" s="36" t="s">
        <v>1726</v>
      </c>
      <c r="FB674" s="36" t="s">
        <v>473</v>
      </c>
      <c r="FC674" s="36" t="s">
        <v>53</v>
      </c>
      <c r="FD674" s="36" t="s">
        <v>476</v>
      </c>
      <c r="FE674" s="36">
        <v>2020</v>
      </c>
      <c r="FF674" s="36" t="s">
        <v>474</v>
      </c>
      <c r="FG674" s="36" t="s">
        <v>1193</v>
      </c>
      <c r="FJ674" t="s">
        <v>474</v>
      </c>
      <c r="FM674" s="32" t="s">
        <v>1753</v>
      </c>
      <c r="FN674" t="s">
        <v>1753</v>
      </c>
      <c r="FO674" t="s">
        <v>1754</v>
      </c>
      <c r="FP674" t="str">
        <f t="shared" si="195"/>
        <v>C</v>
      </c>
    </row>
    <row r="675" spans="153:172" x14ac:dyDescent="0.35">
      <c r="EW675" t="s">
        <v>46</v>
      </c>
      <c r="EX675" s="33" t="s">
        <v>47</v>
      </c>
      <c r="EY675" s="35" t="s">
        <v>1755</v>
      </c>
      <c r="EZ675" s="36">
        <v>505881</v>
      </c>
      <c r="FA675" s="36" t="s">
        <v>1726</v>
      </c>
      <c r="FB675" s="36" t="s">
        <v>473</v>
      </c>
      <c r="FC675" s="36" t="s">
        <v>53</v>
      </c>
      <c r="FD675" s="36" t="s">
        <v>476</v>
      </c>
      <c r="FE675" s="36">
        <v>2020</v>
      </c>
      <c r="FF675" s="36" t="s">
        <v>474</v>
      </c>
      <c r="FG675" s="36" t="s">
        <v>1210</v>
      </c>
      <c r="FJ675" t="s">
        <v>474</v>
      </c>
      <c r="FM675" s="32" t="s">
        <v>1756</v>
      </c>
      <c r="FN675" t="s">
        <v>1756</v>
      </c>
      <c r="FO675" t="s">
        <v>1757</v>
      </c>
      <c r="FP675" t="str">
        <f t="shared" si="195"/>
        <v>C</v>
      </c>
    </row>
    <row r="676" spans="153:172" x14ac:dyDescent="0.35">
      <c r="EW676" t="s">
        <v>46</v>
      </c>
      <c r="EX676" s="33" t="s">
        <v>47</v>
      </c>
      <c r="EY676" s="35" t="s">
        <v>1758</v>
      </c>
      <c r="EZ676" s="36">
        <v>505895</v>
      </c>
      <c r="FA676" s="36" t="s">
        <v>1726</v>
      </c>
      <c r="FB676" s="36" t="s">
        <v>473</v>
      </c>
      <c r="FC676" s="36" t="s">
        <v>53</v>
      </c>
      <c r="FD676" s="36" t="s">
        <v>476</v>
      </c>
      <c r="FE676" s="36">
        <v>2020</v>
      </c>
      <c r="FF676" s="36" t="s">
        <v>474</v>
      </c>
      <c r="FG676" s="36" t="s">
        <v>1193</v>
      </c>
      <c r="FJ676" t="s">
        <v>474</v>
      </c>
      <c r="FM676" s="32" t="s">
        <v>1759</v>
      </c>
      <c r="FN676" t="s">
        <v>1759</v>
      </c>
      <c r="FO676" t="s">
        <v>1760</v>
      </c>
      <c r="FP676" t="str">
        <f t="shared" si="195"/>
        <v>C</v>
      </c>
    </row>
    <row r="677" spans="153:172" x14ac:dyDescent="0.35">
      <c r="EW677" t="s">
        <v>46</v>
      </c>
      <c r="EX677" s="33" t="s">
        <v>47</v>
      </c>
      <c r="EY677" s="35" t="s">
        <v>1761</v>
      </c>
      <c r="EZ677" s="36">
        <v>506176</v>
      </c>
      <c r="FA677" s="36" t="s">
        <v>1726</v>
      </c>
      <c r="FB677" s="36" t="s">
        <v>473</v>
      </c>
      <c r="FC677" s="36" t="s">
        <v>53</v>
      </c>
      <c r="FD677" s="36" t="s">
        <v>476</v>
      </c>
      <c r="FE677" s="36">
        <v>2020</v>
      </c>
      <c r="FF677" s="36" t="s">
        <v>474</v>
      </c>
      <c r="FG677" s="36" t="s">
        <v>1193</v>
      </c>
      <c r="FJ677" t="s">
        <v>474</v>
      </c>
      <c r="FM677" s="32" t="s">
        <v>1762</v>
      </c>
      <c r="FN677" t="s">
        <v>1762</v>
      </c>
      <c r="FO677" t="s">
        <v>1763</v>
      </c>
      <c r="FP677" t="str">
        <f t="shared" si="195"/>
        <v>C</v>
      </c>
    </row>
    <row r="678" spans="153:172" x14ac:dyDescent="0.35">
      <c r="EW678" t="s">
        <v>46</v>
      </c>
      <c r="EX678" s="33" t="s">
        <v>47</v>
      </c>
      <c r="EY678" s="35" t="s">
        <v>1764</v>
      </c>
      <c r="EZ678" s="36">
        <v>506197</v>
      </c>
      <c r="FA678" s="36" t="s">
        <v>1726</v>
      </c>
      <c r="FB678" s="36" t="s">
        <v>473</v>
      </c>
      <c r="FC678" s="36" t="s">
        <v>53</v>
      </c>
      <c r="FD678" s="36" t="s">
        <v>476</v>
      </c>
      <c r="FE678" s="36">
        <v>2020</v>
      </c>
      <c r="FF678" s="36" t="s">
        <v>474</v>
      </c>
      <c r="FG678" s="36" t="s">
        <v>1193</v>
      </c>
      <c r="FJ678" t="s">
        <v>474</v>
      </c>
      <c r="FM678" s="32" t="s">
        <v>1765</v>
      </c>
      <c r="FN678" t="s">
        <v>1765</v>
      </c>
      <c r="FO678" t="s">
        <v>1766</v>
      </c>
      <c r="FP678" t="str">
        <f t="shared" si="195"/>
        <v>C</v>
      </c>
    </row>
    <row r="679" spans="153:172" x14ac:dyDescent="0.35">
      <c r="EW679" t="s">
        <v>46</v>
      </c>
      <c r="EX679" s="33" t="s">
        <v>47</v>
      </c>
      <c r="EY679" s="35" t="s">
        <v>1767</v>
      </c>
      <c r="EZ679" s="36">
        <v>506187</v>
      </c>
      <c r="FA679" s="36" t="s">
        <v>1726</v>
      </c>
      <c r="FB679" s="36" t="s">
        <v>473</v>
      </c>
      <c r="FC679" s="36" t="s">
        <v>53</v>
      </c>
      <c r="FD679" s="36" t="s">
        <v>476</v>
      </c>
      <c r="FE679" s="36">
        <v>2020</v>
      </c>
      <c r="FF679" s="36" t="s">
        <v>474</v>
      </c>
      <c r="FG679" s="36" t="s">
        <v>1193</v>
      </c>
      <c r="FJ679" t="s">
        <v>474</v>
      </c>
      <c r="FM679" s="32" t="s">
        <v>1768</v>
      </c>
      <c r="FN679" t="s">
        <v>1768</v>
      </c>
      <c r="FO679" t="s">
        <v>1769</v>
      </c>
      <c r="FP679" t="str">
        <f t="shared" si="195"/>
        <v>C</v>
      </c>
    </row>
    <row r="680" spans="153:172" x14ac:dyDescent="0.35">
      <c r="EW680" t="s">
        <v>46</v>
      </c>
      <c r="EX680" s="33" t="s">
        <v>47</v>
      </c>
      <c r="EY680" s="35" t="s">
        <v>1770</v>
      </c>
      <c r="EZ680" s="36">
        <v>506345</v>
      </c>
      <c r="FA680" s="36" t="s">
        <v>1726</v>
      </c>
      <c r="FB680" s="36" t="s">
        <v>473</v>
      </c>
      <c r="FC680" s="36" t="s">
        <v>53</v>
      </c>
      <c r="FD680" s="36" t="s">
        <v>476</v>
      </c>
      <c r="FE680" s="36">
        <v>2020</v>
      </c>
      <c r="FF680" s="36" t="s">
        <v>474</v>
      </c>
      <c r="FG680" s="36" t="s">
        <v>1193</v>
      </c>
      <c r="FJ680" t="s">
        <v>474</v>
      </c>
      <c r="FM680" s="32" t="s">
        <v>1771</v>
      </c>
      <c r="FN680" t="s">
        <v>1771</v>
      </c>
      <c r="FO680" t="s">
        <v>1772</v>
      </c>
      <c r="FP680" t="str">
        <f t="shared" si="195"/>
        <v>C</v>
      </c>
    </row>
    <row r="681" spans="153:172" x14ac:dyDescent="0.35">
      <c r="EW681" t="s">
        <v>46</v>
      </c>
      <c r="EX681" s="33" t="s">
        <v>47</v>
      </c>
      <c r="EY681" s="35" t="s">
        <v>1773</v>
      </c>
      <c r="EZ681" s="36">
        <v>506403</v>
      </c>
      <c r="FA681" s="36" t="s">
        <v>1726</v>
      </c>
      <c r="FB681" s="36" t="s">
        <v>473</v>
      </c>
      <c r="FC681" s="36" t="s">
        <v>53</v>
      </c>
      <c r="FD681" s="36" t="s">
        <v>476</v>
      </c>
      <c r="FE681" s="36">
        <v>2020</v>
      </c>
      <c r="FF681" s="36" t="s">
        <v>474</v>
      </c>
      <c r="FG681" s="36" t="s">
        <v>1193</v>
      </c>
      <c r="FJ681" t="s">
        <v>474</v>
      </c>
      <c r="FM681" s="32" t="s">
        <v>1774</v>
      </c>
      <c r="FN681" t="s">
        <v>1774</v>
      </c>
      <c r="FO681" t="s">
        <v>1775</v>
      </c>
      <c r="FP681" t="str">
        <f t="shared" si="195"/>
        <v>C</v>
      </c>
    </row>
    <row r="682" spans="153:172" x14ac:dyDescent="0.35">
      <c r="EW682" t="s">
        <v>46</v>
      </c>
      <c r="EX682" s="33" t="s">
        <v>47</v>
      </c>
      <c r="EY682" s="35" t="s">
        <v>1776</v>
      </c>
      <c r="EZ682" s="36">
        <v>506358</v>
      </c>
      <c r="FA682" s="36" t="s">
        <v>1726</v>
      </c>
      <c r="FB682" s="36" t="s">
        <v>473</v>
      </c>
      <c r="FC682" s="36" t="s">
        <v>53</v>
      </c>
      <c r="FD682" s="36" t="s">
        <v>476</v>
      </c>
      <c r="FE682" s="36">
        <v>2020</v>
      </c>
      <c r="FF682" s="36" t="s">
        <v>474</v>
      </c>
      <c r="FG682" s="36" t="s">
        <v>1193</v>
      </c>
      <c r="FJ682" t="s">
        <v>474</v>
      </c>
      <c r="FM682" s="32" t="s">
        <v>1777</v>
      </c>
      <c r="FN682" t="s">
        <v>1777</v>
      </c>
      <c r="FO682" t="s">
        <v>1778</v>
      </c>
      <c r="FP682" t="str">
        <f t="shared" si="195"/>
        <v>C</v>
      </c>
    </row>
    <row r="683" spans="153:172" x14ac:dyDescent="0.35">
      <c r="EW683" t="s">
        <v>46</v>
      </c>
      <c r="EX683" s="33" t="s">
        <v>47</v>
      </c>
      <c r="EY683" s="35" t="s">
        <v>1779</v>
      </c>
      <c r="EZ683" s="36">
        <v>506311</v>
      </c>
      <c r="FA683" s="36" t="s">
        <v>1726</v>
      </c>
      <c r="FB683" s="36" t="s">
        <v>473</v>
      </c>
      <c r="FC683" s="36" t="s">
        <v>53</v>
      </c>
      <c r="FD683" s="36" t="s">
        <v>476</v>
      </c>
      <c r="FE683" s="36">
        <v>2020</v>
      </c>
      <c r="FF683" s="36" t="s">
        <v>474</v>
      </c>
      <c r="FG683" s="36" t="s">
        <v>1193</v>
      </c>
      <c r="FJ683" t="s">
        <v>474</v>
      </c>
      <c r="FM683" s="32" t="s">
        <v>1173</v>
      </c>
      <c r="FN683" t="s">
        <v>1174</v>
      </c>
      <c r="FO683" t="s">
        <v>1175</v>
      </c>
      <c r="FP683" t="str">
        <f t="shared" si="195"/>
        <v>C</v>
      </c>
    </row>
    <row r="684" spans="153:172" x14ac:dyDescent="0.35">
      <c r="EW684" t="s">
        <v>46</v>
      </c>
      <c r="EX684" s="33" t="s">
        <v>47</v>
      </c>
      <c r="EY684" s="35" t="s">
        <v>1780</v>
      </c>
      <c r="EZ684" s="36">
        <v>506179</v>
      </c>
      <c r="FA684" s="36" t="s">
        <v>1726</v>
      </c>
      <c r="FB684" s="36" t="s">
        <v>473</v>
      </c>
      <c r="FC684" s="36" t="s">
        <v>53</v>
      </c>
      <c r="FD684" s="36" t="s">
        <v>476</v>
      </c>
      <c r="FE684" s="36">
        <v>2020</v>
      </c>
      <c r="FF684" s="36" t="s">
        <v>474</v>
      </c>
      <c r="FG684" s="36" t="s">
        <v>1193</v>
      </c>
      <c r="FJ684" t="s">
        <v>474</v>
      </c>
      <c r="FM684" s="32" t="s">
        <v>1781</v>
      </c>
      <c r="FN684" t="s">
        <v>1781</v>
      </c>
      <c r="FO684" t="s">
        <v>1782</v>
      </c>
      <c r="FP684" t="str">
        <f t="shared" si="195"/>
        <v>C</v>
      </c>
    </row>
    <row r="685" spans="153:172" x14ac:dyDescent="0.35">
      <c r="EW685" t="s">
        <v>46</v>
      </c>
      <c r="EX685" s="33" t="s">
        <v>47</v>
      </c>
      <c r="EY685" s="35" t="s">
        <v>1783</v>
      </c>
      <c r="EZ685" s="36">
        <v>505882</v>
      </c>
      <c r="FA685" s="36" t="s">
        <v>1726</v>
      </c>
      <c r="FB685" s="36" t="s">
        <v>473</v>
      </c>
      <c r="FC685" s="36" t="s">
        <v>53</v>
      </c>
      <c r="FD685" s="36" t="s">
        <v>476</v>
      </c>
      <c r="FE685" s="36">
        <v>2020</v>
      </c>
      <c r="FF685" s="36" t="s">
        <v>474</v>
      </c>
      <c r="FG685" s="36" t="s">
        <v>1193</v>
      </c>
      <c r="FJ685" t="s">
        <v>474</v>
      </c>
      <c r="FM685" s="32" t="s">
        <v>1784</v>
      </c>
      <c r="FN685" t="s">
        <v>1784</v>
      </c>
      <c r="FO685" t="s">
        <v>1785</v>
      </c>
      <c r="FP685" t="str">
        <f t="shared" si="195"/>
        <v>C</v>
      </c>
    </row>
    <row r="686" spans="153:172" x14ac:dyDescent="0.35">
      <c r="EW686" t="s">
        <v>46</v>
      </c>
      <c r="EX686" s="33" t="s">
        <v>47</v>
      </c>
      <c r="EY686" s="35" t="s">
        <v>1786</v>
      </c>
      <c r="EZ686" s="36">
        <v>500916</v>
      </c>
      <c r="FA686" s="36" t="s">
        <v>1726</v>
      </c>
      <c r="FB686" s="36" t="s">
        <v>473</v>
      </c>
      <c r="FC686" s="36" t="s">
        <v>53</v>
      </c>
      <c r="FD686" s="36" t="s">
        <v>476</v>
      </c>
      <c r="FE686" s="36">
        <v>2020</v>
      </c>
      <c r="FF686" s="36" t="s">
        <v>474</v>
      </c>
      <c r="FG686" s="36" t="s">
        <v>1210</v>
      </c>
      <c r="FJ686" t="s">
        <v>474</v>
      </c>
      <c r="FM686" s="32" t="s">
        <v>1787</v>
      </c>
      <c r="FN686" t="s">
        <v>1787</v>
      </c>
      <c r="FO686" t="s">
        <v>1788</v>
      </c>
      <c r="FP686" t="str">
        <f t="shared" si="195"/>
        <v>C</v>
      </c>
    </row>
    <row r="687" spans="153:172" x14ac:dyDescent="0.35">
      <c r="EW687" t="s">
        <v>46</v>
      </c>
      <c r="EX687" s="33" t="s">
        <v>47</v>
      </c>
      <c r="EY687" s="35" t="s">
        <v>1789</v>
      </c>
      <c r="EZ687" s="36">
        <v>505962</v>
      </c>
      <c r="FA687" s="36" t="s">
        <v>1726</v>
      </c>
      <c r="FB687" s="36" t="s">
        <v>473</v>
      </c>
      <c r="FC687" s="36" t="s">
        <v>53</v>
      </c>
      <c r="FD687" s="36" t="s">
        <v>476</v>
      </c>
      <c r="FE687" s="36">
        <v>2020</v>
      </c>
      <c r="FF687" s="36" t="s">
        <v>474</v>
      </c>
      <c r="FG687" s="36" t="s">
        <v>1193</v>
      </c>
      <c r="FJ687" t="s">
        <v>474</v>
      </c>
      <c r="FM687" s="32" t="s">
        <v>1790</v>
      </c>
      <c r="FN687" t="s">
        <v>1790</v>
      </c>
      <c r="FO687" t="s">
        <v>1791</v>
      </c>
      <c r="FP687" t="str">
        <f t="shared" si="195"/>
        <v>C</v>
      </c>
    </row>
    <row r="688" spans="153:172" x14ac:dyDescent="0.35">
      <c r="EW688" t="s">
        <v>46</v>
      </c>
      <c r="EX688" s="33" t="s">
        <v>47</v>
      </c>
      <c r="EY688" s="35" t="s">
        <v>1792</v>
      </c>
      <c r="EZ688" s="36">
        <v>505947</v>
      </c>
      <c r="FA688" s="36" t="s">
        <v>1726</v>
      </c>
      <c r="FB688" s="36" t="s">
        <v>473</v>
      </c>
      <c r="FC688" s="36" t="s">
        <v>53</v>
      </c>
      <c r="FD688" s="36" t="s">
        <v>476</v>
      </c>
      <c r="FE688" s="36">
        <v>2020</v>
      </c>
      <c r="FF688" s="36" t="s">
        <v>474</v>
      </c>
      <c r="FG688" s="36" t="s">
        <v>1193</v>
      </c>
      <c r="FJ688" t="s">
        <v>474</v>
      </c>
      <c r="FM688" s="32" t="s">
        <v>1581</v>
      </c>
      <c r="FN688" t="s">
        <v>1581</v>
      </c>
      <c r="FO688" t="s">
        <v>1554</v>
      </c>
      <c r="FP688" t="str">
        <f t="shared" si="195"/>
        <v>C</v>
      </c>
    </row>
    <row r="689" spans="153:172" x14ac:dyDescent="0.35">
      <c r="EW689" t="s">
        <v>46</v>
      </c>
      <c r="EX689" s="33" t="s">
        <v>47</v>
      </c>
      <c r="EY689" s="35" t="s">
        <v>1793</v>
      </c>
      <c r="EZ689" s="36">
        <v>505956</v>
      </c>
      <c r="FA689" s="36" t="s">
        <v>1726</v>
      </c>
      <c r="FB689" s="36" t="s">
        <v>473</v>
      </c>
      <c r="FC689" s="36" t="s">
        <v>53</v>
      </c>
      <c r="FD689" s="36" t="s">
        <v>476</v>
      </c>
      <c r="FE689" s="36">
        <v>2020</v>
      </c>
      <c r="FF689" s="36" t="s">
        <v>474</v>
      </c>
      <c r="FG689" s="36" t="s">
        <v>1193</v>
      </c>
      <c r="FJ689" t="s">
        <v>474</v>
      </c>
      <c r="FM689" s="32" t="s">
        <v>1794</v>
      </c>
      <c r="FN689" t="s">
        <v>1794</v>
      </c>
      <c r="FO689" t="s">
        <v>1795</v>
      </c>
      <c r="FP689" t="str">
        <f t="shared" si="195"/>
        <v>C</v>
      </c>
    </row>
    <row r="690" spans="153:172" x14ac:dyDescent="0.35">
      <c r="EW690" t="s">
        <v>46</v>
      </c>
      <c r="EX690" s="33" t="s">
        <v>47</v>
      </c>
      <c r="EY690" s="35" t="s">
        <v>1796</v>
      </c>
      <c r="EZ690" s="36">
        <v>505976</v>
      </c>
      <c r="FA690" s="36" t="s">
        <v>1726</v>
      </c>
      <c r="FB690" s="36" t="s">
        <v>473</v>
      </c>
      <c r="FC690" s="36" t="s">
        <v>53</v>
      </c>
      <c r="FD690" s="36" t="s">
        <v>476</v>
      </c>
      <c r="FE690" s="36">
        <v>2020</v>
      </c>
      <c r="FF690" s="36" t="s">
        <v>474</v>
      </c>
      <c r="FG690" s="36" t="s">
        <v>1193</v>
      </c>
      <c r="FJ690" t="s">
        <v>474</v>
      </c>
      <c r="FM690" s="32" t="s">
        <v>1797</v>
      </c>
      <c r="FN690" t="s">
        <v>1797</v>
      </c>
      <c r="FO690" t="s">
        <v>1798</v>
      </c>
      <c r="FP690" t="str">
        <f t="shared" si="195"/>
        <v>C</v>
      </c>
    </row>
    <row r="691" spans="153:172" x14ac:dyDescent="0.35">
      <c r="EW691" t="s">
        <v>46</v>
      </c>
      <c r="EX691" s="33" t="s">
        <v>47</v>
      </c>
      <c r="EY691" s="35" t="s">
        <v>1799</v>
      </c>
      <c r="EZ691" s="36">
        <v>507683</v>
      </c>
      <c r="FA691" s="36" t="s">
        <v>1726</v>
      </c>
      <c r="FB691" s="36" t="s">
        <v>473</v>
      </c>
      <c r="FC691" s="36" t="s">
        <v>53</v>
      </c>
      <c r="FD691" s="36" t="s">
        <v>476</v>
      </c>
      <c r="FE691" s="36">
        <v>2020</v>
      </c>
      <c r="FF691" s="36" t="s">
        <v>474</v>
      </c>
      <c r="FG691" s="36" t="s">
        <v>1210</v>
      </c>
      <c r="FJ691" t="s">
        <v>474</v>
      </c>
      <c r="FM691" s="32" t="s">
        <v>1800</v>
      </c>
      <c r="FN691" t="s">
        <v>1800</v>
      </c>
      <c r="FO691" t="s">
        <v>1801</v>
      </c>
      <c r="FP691" t="str">
        <f t="shared" si="195"/>
        <v>C</v>
      </c>
    </row>
    <row r="692" spans="153:172" x14ac:dyDescent="0.35">
      <c r="EW692" t="s">
        <v>46</v>
      </c>
      <c r="EX692" s="33" t="s">
        <v>47</v>
      </c>
      <c r="EY692" s="35" t="s">
        <v>1802</v>
      </c>
      <c r="EZ692" s="36">
        <v>507344</v>
      </c>
      <c r="FA692" s="36" t="s">
        <v>1726</v>
      </c>
      <c r="FB692" s="36" t="s">
        <v>473</v>
      </c>
      <c r="FC692" s="36" t="s">
        <v>53</v>
      </c>
      <c r="FD692" s="36" t="s">
        <v>476</v>
      </c>
      <c r="FE692" s="36">
        <v>2020</v>
      </c>
      <c r="FF692" s="36" t="s">
        <v>474</v>
      </c>
      <c r="FG692" s="36" t="s">
        <v>1210</v>
      </c>
      <c r="FJ692" t="s">
        <v>474</v>
      </c>
      <c r="FM692" s="32" t="s">
        <v>1132</v>
      </c>
      <c r="FN692" t="s">
        <v>1133</v>
      </c>
      <c r="FO692" t="s">
        <v>1134</v>
      </c>
      <c r="FP692" t="str">
        <f t="shared" si="195"/>
        <v>C</v>
      </c>
    </row>
    <row r="693" spans="153:172" x14ac:dyDescent="0.35">
      <c r="EW693" t="s">
        <v>46</v>
      </c>
      <c r="EX693" s="33" t="s">
        <v>47</v>
      </c>
      <c r="EY693" s="35" t="s">
        <v>1803</v>
      </c>
      <c r="EZ693" s="36">
        <v>506177</v>
      </c>
      <c r="FA693" s="36" t="s">
        <v>1726</v>
      </c>
      <c r="FB693" s="36" t="s">
        <v>473</v>
      </c>
      <c r="FC693" s="36" t="s">
        <v>53</v>
      </c>
      <c r="FD693" s="36" t="s">
        <v>476</v>
      </c>
      <c r="FE693" s="36">
        <v>2020</v>
      </c>
      <c r="FF693" s="36" t="s">
        <v>474</v>
      </c>
      <c r="FG693" s="36" t="s">
        <v>1193</v>
      </c>
      <c r="FJ693" t="s">
        <v>474</v>
      </c>
      <c r="FM693" s="32" t="s">
        <v>1804</v>
      </c>
      <c r="FN693" t="s">
        <v>1804</v>
      </c>
      <c r="FO693" t="s">
        <v>1805</v>
      </c>
      <c r="FP693" t="str">
        <f t="shared" si="195"/>
        <v>C</v>
      </c>
    </row>
    <row r="694" spans="153:172" x14ac:dyDescent="0.35">
      <c r="EW694" t="s">
        <v>46</v>
      </c>
      <c r="EX694" s="33" t="s">
        <v>47</v>
      </c>
      <c r="EY694" s="35" t="s">
        <v>1806</v>
      </c>
      <c r="EZ694" s="36">
        <v>506195</v>
      </c>
      <c r="FA694" s="36" t="s">
        <v>1726</v>
      </c>
      <c r="FB694" s="36" t="s">
        <v>473</v>
      </c>
      <c r="FC694" s="36" t="s">
        <v>53</v>
      </c>
      <c r="FD694" s="36" t="s">
        <v>476</v>
      </c>
      <c r="FE694" s="36">
        <v>2020</v>
      </c>
      <c r="FF694" s="36" t="s">
        <v>474</v>
      </c>
      <c r="FG694" s="36" t="s">
        <v>1210</v>
      </c>
      <c r="FJ694" t="s">
        <v>474</v>
      </c>
      <c r="FM694" s="32" t="s">
        <v>1807</v>
      </c>
      <c r="FN694" t="s">
        <v>1807</v>
      </c>
      <c r="FO694" t="s">
        <v>1808</v>
      </c>
      <c r="FP694" t="str">
        <f t="shared" si="195"/>
        <v>C</v>
      </c>
    </row>
    <row r="695" spans="153:172" x14ac:dyDescent="0.35">
      <c r="EW695" t="s">
        <v>46</v>
      </c>
      <c r="EX695" s="33" t="s">
        <v>47</v>
      </c>
      <c r="EY695" s="35" t="s">
        <v>1809</v>
      </c>
      <c r="EZ695" s="36">
        <v>507350</v>
      </c>
      <c r="FA695" s="36" t="s">
        <v>1726</v>
      </c>
      <c r="FB695" s="36" t="s">
        <v>473</v>
      </c>
      <c r="FC695" s="36" t="s">
        <v>53</v>
      </c>
      <c r="FD695" s="36" t="s">
        <v>476</v>
      </c>
      <c r="FE695" s="36">
        <v>2020</v>
      </c>
      <c r="FF695" s="36" t="s">
        <v>474</v>
      </c>
      <c r="FG695" s="36" t="s">
        <v>1210</v>
      </c>
      <c r="FJ695" t="s">
        <v>474</v>
      </c>
      <c r="FM695" s="32" t="s">
        <v>1738</v>
      </c>
      <c r="FN695" t="s">
        <v>1738</v>
      </c>
      <c r="FO695" t="s">
        <v>1739</v>
      </c>
      <c r="FP695" t="str">
        <f t="shared" si="195"/>
        <v>C</v>
      </c>
    </row>
    <row r="696" spans="153:172" x14ac:dyDescent="0.35">
      <c r="EW696" t="s">
        <v>46</v>
      </c>
      <c r="EX696" s="33" t="s">
        <v>47</v>
      </c>
      <c r="EY696" s="35" t="s">
        <v>1810</v>
      </c>
      <c r="EZ696" s="36">
        <v>507672</v>
      </c>
      <c r="FA696" s="36" t="s">
        <v>1726</v>
      </c>
      <c r="FB696" s="36" t="s">
        <v>473</v>
      </c>
      <c r="FC696" s="36" t="s">
        <v>53</v>
      </c>
      <c r="FD696" s="36" t="s">
        <v>476</v>
      </c>
      <c r="FE696" s="36">
        <v>2020</v>
      </c>
      <c r="FF696" s="36" t="s">
        <v>474</v>
      </c>
      <c r="FG696" s="36" t="s">
        <v>1210</v>
      </c>
      <c r="FJ696" t="s">
        <v>474</v>
      </c>
      <c r="FM696" s="32" t="s">
        <v>1811</v>
      </c>
      <c r="FN696" t="s">
        <v>1811</v>
      </c>
      <c r="FO696" t="s">
        <v>1812</v>
      </c>
      <c r="FP696" t="str">
        <f t="shared" si="195"/>
        <v>C</v>
      </c>
    </row>
    <row r="697" spans="153:172" x14ac:dyDescent="0.35">
      <c r="EW697" t="s">
        <v>46</v>
      </c>
      <c r="EX697" s="33" t="s">
        <v>47</v>
      </c>
      <c r="EY697" s="35" t="s">
        <v>1813</v>
      </c>
      <c r="EZ697" s="36">
        <v>507437</v>
      </c>
      <c r="FA697" s="36" t="s">
        <v>1726</v>
      </c>
      <c r="FB697" s="36" t="s">
        <v>473</v>
      </c>
      <c r="FC697" s="36" t="s">
        <v>53</v>
      </c>
      <c r="FD697" s="36" t="s">
        <v>476</v>
      </c>
      <c r="FE697" s="36">
        <v>2020</v>
      </c>
      <c r="FF697" s="36" t="s">
        <v>474</v>
      </c>
      <c r="FG697" s="36" t="s">
        <v>1210</v>
      </c>
      <c r="FJ697" t="s">
        <v>474</v>
      </c>
      <c r="FM697" s="32" t="s">
        <v>1814</v>
      </c>
      <c r="FN697" t="s">
        <v>1814</v>
      </c>
      <c r="FO697" t="s">
        <v>1815</v>
      </c>
      <c r="FP697" t="str">
        <f t="shared" si="195"/>
        <v>C</v>
      </c>
    </row>
    <row r="698" spans="153:172" x14ac:dyDescent="0.35">
      <c r="EW698" t="s">
        <v>46</v>
      </c>
      <c r="EX698" s="33" t="s">
        <v>47</v>
      </c>
      <c r="EY698" s="35" t="s">
        <v>1816</v>
      </c>
      <c r="EZ698" s="36">
        <v>506904</v>
      </c>
      <c r="FA698" s="36" t="s">
        <v>1726</v>
      </c>
      <c r="FB698" s="36" t="s">
        <v>473</v>
      </c>
      <c r="FC698" s="36" t="s">
        <v>53</v>
      </c>
      <c r="FD698" s="36" t="s">
        <v>476</v>
      </c>
      <c r="FE698" s="36">
        <v>2020</v>
      </c>
      <c r="FF698" s="36" t="s">
        <v>474</v>
      </c>
      <c r="FG698" s="36" t="s">
        <v>1210</v>
      </c>
      <c r="FJ698" t="s">
        <v>474</v>
      </c>
      <c r="FM698" s="32" t="s">
        <v>1817</v>
      </c>
      <c r="FN698" t="s">
        <v>1817</v>
      </c>
      <c r="FO698" t="s">
        <v>1818</v>
      </c>
      <c r="FP698" t="str">
        <f t="shared" si="195"/>
        <v>C</v>
      </c>
    </row>
    <row r="699" spans="153:172" x14ac:dyDescent="0.35">
      <c r="EW699" t="s">
        <v>46</v>
      </c>
      <c r="EX699" s="33" t="s">
        <v>47</v>
      </c>
      <c r="EY699" s="35" t="s">
        <v>1819</v>
      </c>
      <c r="EZ699" s="36">
        <v>507372</v>
      </c>
      <c r="FA699" s="36" t="s">
        <v>1726</v>
      </c>
      <c r="FB699" s="36" t="s">
        <v>473</v>
      </c>
      <c r="FC699" s="36" t="s">
        <v>53</v>
      </c>
      <c r="FD699" s="36" t="s">
        <v>476</v>
      </c>
      <c r="FE699" s="36">
        <v>2020</v>
      </c>
      <c r="FF699" s="36" t="s">
        <v>474</v>
      </c>
      <c r="FG699" s="36" t="s">
        <v>1210</v>
      </c>
      <c r="FJ699" t="s">
        <v>474</v>
      </c>
      <c r="FM699" s="32" t="s">
        <v>1636</v>
      </c>
      <c r="FN699" t="s">
        <v>1636</v>
      </c>
      <c r="FO699" t="s">
        <v>1597</v>
      </c>
      <c r="FP699" t="str">
        <f t="shared" si="195"/>
        <v>C</v>
      </c>
    </row>
    <row r="700" spans="153:172" x14ac:dyDescent="0.35">
      <c r="EW700" t="s">
        <v>46</v>
      </c>
      <c r="EX700" s="33" t="s">
        <v>47</v>
      </c>
      <c r="EY700" s="35" t="s">
        <v>1820</v>
      </c>
      <c r="EZ700" s="36">
        <v>506843</v>
      </c>
      <c r="FA700" s="36" t="s">
        <v>1726</v>
      </c>
      <c r="FB700" s="36" t="s">
        <v>473</v>
      </c>
      <c r="FC700" s="36" t="s">
        <v>53</v>
      </c>
      <c r="FD700" s="36" t="s">
        <v>476</v>
      </c>
      <c r="FE700" s="36">
        <v>2020</v>
      </c>
      <c r="FF700" s="36" t="s">
        <v>474</v>
      </c>
      <c r="FG700" s="36" t="s">
        <v>1210</v>
      </c>
      <c r="FJ700" t="s">
        <v>474</v>
      </c>
      <c r="FM700" s="32" t="s">
        <v>1821</v>
      </c>
      <c r="FN700" t="s">
        <v>1821</v>
      </c>
      <c r="FO700" t="s">
        <v>1822</v>
      </c>
      <c r="FP700" t="str">
        <f t="shared" si="195"/>
        <v>C</v>
      </c>
    </row>
    <row r="701" spans="153:172" x14ac:dyDescent="0.35">
      <c r="EW701" t="s">
        <v>46</v>
      </c>
      <c r="EX701" s="33" t="s">
        <v>47</v>
      </c>
      <c r="EY701" s="35" t="s">
        <v>1823</v>
      </c>
      <c r="EZ701" s="36">
        <v>507397</v>
      </c>
      <c r="FA701" s="36" t="s">
        <v>1726</v>
      </c>
      <c r="FB701" s="36" t="s">
        <v>473</v>
      </c>
      <c r="FC701" s="36" t="s">
        <v>53</v>
      </c>
      <c r="FD701" s="36" t="s">
        <v>476</v>
      </c>
      <c r="FE701" s="36">
        <v>2020</v>
      </c>
      <c r="FF701" s="36" t="s">
        <v>474</v>
      </c>
      <c r="FG701" s="36" t="s">
        <v>1210</v>
      </c>
      <c r="FJ701" t="s">
        <v>474</v>
      </c>
      <c r="FM701" s="32" t="s">
        <v>1328</v>
      </c>
      <c r="FN701" t="s">
        <v>1328</v>
      </c>
      <c r="FO701" t="s">
        <v>1329</v>
      </c>
      <c r="FP701" t="str">
        <f t="shared" si="195"/>
        <v>C</v>
      </c>
    </row>
    <row r="702" spans="153:172" x14ac:dyDescent="0.35">
      <c r="EW702" t="s">
        <v>46</v>
      </c>
      <c r="EX702" s="33" t="s">
        <v>47</v>
      </c>
      <c r="EY702" s="35" t="s">
        <v>1824</v>
      </c>
      <c r="EZ702" s="36">
        <v>507451</v>
      </c>
      <c r="FA702" s="36" t="s">
        <v>1726</v>
      </c>
      <c r="FB702" s="36" t="s">
        <v>473</v>
      </c>
      <c r="FC702" s="36" t="s">
        <v>53</v>
      </c>
      <c r="FD702" s="36" t="s">
        <v>476</v>
      </c>
      <c r="FE702" s="36">
        <v>2020</v>
      </c>
      <c r="FF702" s="36" t="s">
        <v>474</v>
      </c>
      <c r="FG702" s="36" t="s">
        <v>1210</v>
      </c>
      <c r="FJ702" t="s">
        <v>474</v>
      </c>
      <c r="FM702" s="32" t="s">
        <v>1825</v>
      </c>
      <c r="FN702" t="s">
        <v>1825</v>
      </c>
      <c r="FO702" t="s">
        <v>1826</v>
      </c>
      <c r="FP702" t="str">
        <f t="shared" si="195"/>
        <v>C</v>
      </c>
    </row>
    <row r="703" spans="153:172" x14ac:dyDescent="0.35">
      <c r="EW703" t="s">
        <v>46</v>
      </c>
      <c r="EX703" s="33" t="s">
        <v>47</v>
      </c>
      <c r="EY703" s="35" t="s">
        <v>1827</v>
      </c>
      <c r="EZ703" s="36">
        <v>507423</v>
      </c>
      <c r="FA703" s="36" t="s">
        <v>1726</v>
      </c>
      <c r="FB703" s="36" t="s">
        <v>473</v>
      </c>
      <c r="FC703" s="36" t="s">
        <v>53</v>
      </c>
      <c r="FD703" s="36" t="s">
        <v>476</v>
      </c>
      <c r="FE703" s="36">
        <v>2020</v>
      </c>
      <c r="FF703" s="36" t="s">
        <v>474</v>
      </c>
      <c r="FG703" s="36" t="s">
        <v>1210</v>
      </c>
      <c r="FJ703" t="s">
        <v>474</v>
      </c>
      <c r="FM703" s="32" t="s">
        <v>245</v>
      </c>
      <c r="FN703" t="s">
        <v>246</v>
      </c>
      <c r="FO703" t="s">
        <v>247</v>
      </c>
      <c r="FP703" t="str">
        <f t="shared" si="195"/>
        <v>B</v>
      </c>
    </row>
    <row r="704" spans="153:172" x14ac:dyDescent="0.35">
      <c r="EW704" t="s">
        <v>46</v>
      </c>
      <c r="EX704" s="33" t="s">
        <v>47</v>
      </c>
      <c r="EY704" s="35" t="s">
        <v>1828</v>
      </c>
      <c r="EZ704" s="36">
        <v>507427</v>
      </c>
      <c r="FA704" s="36" t="s">
        <v>1726</v>
      </c>
      <c r="FB704" s="36" t="s">
        <v>473</v>
      </c>
      <c r="FC704" s="36" t="s">
        <v>53</v>
      </c>
      <c r="FD704" s="36" t="s">
        <v>476</v>
      </c>
      <c r="FE704" s="36">
        <v>2020</v>
      </c>
      <c r="FF704" s="36" t="s">
        <v>474</v>
      </c>
      <c r="FG704" s="36" t="s">
        <v>1210</v>
      </c>
      <c r="FJ704" t="s">
        <v>474</v>
      </c>
      <c r="FM704" s="32" t="s">
        <v>1765</v>
      </c>
      <c r="FN704" t="s">
        <v>1765</v>
      </c>
      <c r="FO704" t="s">
        <v>1766</v>
      </c>
      <c r="FP704" t="str">
        <f t="shared" si="195"/>
        <v>C</v>
      </c>
    </row>
    <row r="705" spans="153:172" x14ac:dyDescent="0.35">
      <c r="EW705" t="s">
        <v>46</v>
      </c>
      <c r="EX705" s="33" t="s">
        <v>47</v>
      </c>
      <c r="EY705" s="35" t="s">
        <v>1829</v>
      </c>
      <c r="EZ705" s="36">
        <v>499868</v>
      </c>
      <c r="FA705" s="36" t="s">
        <v>1726</v>
      </c>
      <c r="FB705" s="36" t="s">
        <v>473</v>
      </c>
      <c r="FC705" s="36" t="s">
        <v>53</v>
      </c>
      <c r="FD705" s="36" t="s">
        <v>476</v>
      </c>
      <c r="FE705" s="36">
        <v>2020</v>
      </c>
      <c r="FF705" s="36" t="s">
        <v>474</v>
      </c>
      <c r="FG705" s="36" t="s">
        <v>1210</v>
      </c>
      <c r="FJ705" t="s">
        <v>474</v>
      </c>
      <c r="FM705" s="32" t="s">
        <v>1759</v>
      </c>
      <c r="FN705" t="s">
        <v>1759</v>
      </c>
      <c r="FO705" t="s">
        <v>1760</v>
      </c>
      <c r="FP705" t="str">
        <f t="shared" ref="FP705:FP768" si="196">VLOOKUP(FO705,EX:FF,9,0)</f>
        <v>C</v>
      </c>
    </row>
    <row r="706" spans="153:172" x14ac:dyDescent="0.35">
      <c r="EW706" t="s">
        <v>46</v>
      </c>
      <c r="EX706" s="33" t="s">
        <v>47</v>
      </c>
      <c r="EY706" s="35" t="s">
        <v>1830</v>
      </c>
      <c r="EZ706" s="36">
        <v>499801</v>
      </c>
      <c r="FA706" s="36" t="s">
        <v>1726</v>
      </c>
      <c r="FB706" s="36" t="s">
        <v>473</v>
      </c>
      <c r="FC706" s="36" t="s">
        <v>53</v>
      </c>
      <c r="FD706" s="36" t="s">
        <v>476</v>
      </c>
      <c r="FE706" s="36">
        <v>2020</v>
      </c>
      <c r="FF706" s="36" t="s">
        <v>474</v>
      </c>
      <c r="FG706" s="36" t="s">
        <v>1210</v>
      </c>
      <c r="FJ706" t="s">
        <v>474</v>
      </c>
      <c r="FM706" s="32" t="s">
        <v>1756</v>
      </c>
      <c r="FN706" t="s">
        <v>1756</v>
      </c>
      <c r="FO706" t="s">
        <v>1757</v>
      </c>
      <c r="FP706" t="str">
        <f t="shared" si="196"/>
        <v>C</v>
      </c>
    </row>
    <row r="707" spans="153:172" x14ac:dyDescent="0.35">
      <c r="EW707" t="s">
        <v>46</v>
      </c>
      <c r="EX707" s="33" t="s">
        <v>47</v>
      </c>
      <c r="EY707" s="35" t="s">
        <v>1831</v>
      </c>
      <c r="EZ707" s="36">
        <v>506525</v>
      </c>
      <c r="FA707" s="36" t="s">
        <v>1726</v>
      </c>
      <c r="FB707" s="36" t="s">
        <v>473</v>
      </c>
      <c r="FC707" s="36" t="s">
        <v>53</v>
      </c>
      <c r="FD707" s="36" t="s">
        <v>476</v>
      </c>
      <c r="FE707" s="36">
        <v>2020</v>
      </c>
      <c r="FF707" s="36" t="s">
        <v>474</v>
      </c>
      <c r="FG707" s="36" t="s">
        <v>1193</v>
      </c>
      <c r="FJ707" t="s">
        <v>474</v>
      </c>
      <c r="FM707" s="32" t="s">
        <v>1194</v>
      </c>
      <c r="FN707" t="s">
        <v>1194</v>
      </c>
      <c r="FO707" t="s">
        <v>1195</v>
      </c>
      <c r="FP707" t="str">
        <f t="shared" si="196"/>
        <v>C</v>
      </c>
    </row>
    <row r="708" spans="153:172" x14ac:dyDescent="0.35">
      <c r="EW708" t="s">
        <v>46</v>
      </c>
      <c r="EX708" s="33" t="s">
        <v>47</v>
      </c>
      <c r="EY708" s="35" t="s">
        <v>1832</v>
      </c>
      <c r="EZ708" s="36">
        <v>501057</v>
      </c>
      <c r="FA708" s="36" t="s">
        <v>1726</v>
      </c>
      <c r="FB708" s="36" t="s">
        <v>473</v>
      </c>
      <c r="FC708" s="36" t="s">
        <v>53</v>
      </c>
      <c r="FD708" s="36" t="s">
        <v>476</v>
      </c>
      <c r="FE708" s="36">
        <v>2020</v>
      </c>
      <c r="FF708" s="36" t="s">
        <v>474</v>
      </c>
      <c r="FG708" s="36" t="s">
        <v>1193</v>
      </c>
      <c r="FJ708" t="s">
        <v>474</v>
      </c>
      <c r="FM708" s="32" t="s">
        <v>1833</v>
      </c>
      <c r="FN708" t="s">
        <v>1833</v>
      </c>
      <c r="FO708" t="s">
        <v>1834</v>
      </c>
      <c r="FP708" t="str">
        <f t="shared" si="196"/>
        <v>C</v>
      </c>
    </row>
    <row r="709" spans="153:172" x14ac:dyDescent="0.35">
      <c r="EW709" t="s">
        <v>46</v>
      </c>
      <c r="EX709" s="33" t="s">
        <v>47</v>
      </c>
      <c r="EY709" s="35" t="s">
        <v>1835</v>
      </c>
      <c r="EZ709" s="36">
        <v>500912</v>
      </c>
      <c r="FA709" s="36" t="s">
        <v>1726</v>
      </c>
      <c r="FB709" s="36" t="s">
        <v>473</v>
      </c>
      <c r="FC709" s="36" t="s">
        <v>53</v>
      </c>
      <c r="FD709" s="36" t="s">
        <v>476</v>
      </c>
      <c r="FE709" s="36">
        <v>2020</v>
      </c>
      <c r="FF709" s="36" t="s">
        <v>474</v>
      </c>
      <c r="FG709" s="36" t="s">
        <v>1210</v>
      </c>
      <c r="FJ709" t="s">
        <v>474</v>
      </c>
      <c r="FM709" s="32" t="s">
        <v>1836</v>
      </c>
      <c r="FN709" t="s">
        <v>1836</v>
      </c>
      <c r="FO709" t="s">
        <v>1837</v>
      </c>
      <c r="FP709" t="str">
        <f t="shared" si="196"/>
        <v>C</v>
      </c>
    </row>
    <row r="710" spans="153:172" x14ac:dyDescent="0.35">
      <c r="EW710" t="s">
        <v>46</v>
      </c>
      <c r="EX710" s="33" t="s">
        <v>47</v>
      </c>
      <c r="EY710" s="35" t="s">
        <v>1838</v>
      </c>
      <c r="EZ710" s="36">
        <v>507442</v>
      </c>
      <c r="FA710" s="36" t="s">
        <v>1726</v>
      </c>
      <c r="FB710" s="36" t="s">
        <v>473</v>
      </c>
      <c r="FC710" s="36" t="s">
        <v>53</v>
      </c>
      <c r="FD710" s="36" t="s">
        <v>476</v>
      </c>
      <c r="FE710" s="36">
        <v>2020</v>
      </c>
      <c r="FF710" s="36" t="s">
        <v>474</v>
      </c>
      <c r="FG710" s="36" t="s">
        <v>1210</v>
      </c>
      <c r="FJ710" t="s">
        <v>474</v>
      </c>
      <c r="FM710" s="32" t="s">
        <v>1839</v>
      </c>
      <c r="FN710" t="s">
        <v>1839</v>
      </c>
      <c r="FO710" t="s">
        <v>1840</v>
      </c>
      <c r="FP710" t="str">
        <f t="shared" si="196"/>
        <v>C</v>
      </c>
    </row>
    <row r="711" spans="153:172" x14ac:dyDescent="0.35">
      <c r="EW711" t="s">
        <v>46</v>
      </c>
      <c r="EX711" s="33" t="s">
        <v>47</v>
      </c>
      <c r="EY711" s="35" t="s">
        <v>1841</v>
      </c>
      <c r="EZ711" s="36">
        <v>506479</v>
      </c>
      <c r="FA711" s="36" t="s">
        <v>1726</v>
      </c>
      <c r="FB711" s="36" t="s">
        <v>473</v>
      </c>
      <c r="FC711" s="36" t="s">
        <v>53</v>
      </c>
      <c r="FD711" s="36" t="s">
        <v>476</v>
      </c>
      <c r="FE711" s="36">
        <v>2020</v>
      </c>
      <c r="FF711" s="36" t="s">
        <v>474</v>
      </c>
      <c r="FG711" s="36" t="s">
        <v>1210</v>
      </c>
      <c r="FJ711" t="s">
        <v>474</v>
      </c>
      <c r="FM711" s="32" t="s">
        <v>1777</v>
      </c>
      <c r="FN711" t="s">
        <v>1777</v>
      </c>
      <c r="FO711" t="s">
        <v>1778</v>
      </c>
      <c r="FP711" t="str">
        <f t="shared" si="196"/>
        <v>C</v>
      </c>
    </row>
    <row r="712" spans="153:172" x14ac:dyDescent="0.35">
      <c r="EW712" t="s">
        <v>46</v>
      </c>
      <c r="EX712" s="33" t="s">
        <v>47</v>
      </c>
      <c r="EY712" s="35" t="s">
        <v>1842</v>
      </c>
      <c r="EZ712" s="36">
        <v>506651</v>
      </c>
      <c r="FA712" s="36" t="s">
        <v>1726</v>
      </c>
      <c r="FB712" s="36" t="s">
        <v>473</v>
      </c>
      <c r="FC712" s="36" t="s">
        <v>53</v>
      </c>
      <c r="FD712" s="36" t="s">
        <v>476</v>
      </c>
      <c r="FE712" s="36">
        <v>2020</v>
      </c>
      <c r="FF712" s="36" t="s">
        <v>474</v>
      </c>
      <c r="FG712" s="36" t="s">
        <v>1210</v>
      </c>
      <c r="FJ712" t="s">
        <v>474</v>
      </c>
      <c r="FM712" s="32" t="s">
        <v>1843</v>
      </c>
      <c r="FN712" t="s">
        <v>1843</v>
      </c>
      <c r="FO712" t="s">
        <v>1278</v>
      </c>
      <c r="FP712" t="str">
        <f t="shared" si="196"/>
        <v>C</v>
      </c>
    </row>
    <row r="713" spans="153:172" x14ac:dyDescent="0.35">
      <c r="EW713" t="s">
        <v>46</v>
      </c>
      <c r="EX713" s="33" t="s">
        <v>47</v>
      </c>
      <c r="EY713" s="35" t="s">
        <v>1844</v>
      </c>
      <c r="EZ713" s="36">
        <v>507458</v>
      </c>
      <c r="FA713" s="36" t="s">
        <v>1726</v>
      </c>
      <c r="FB713" s="36" t="s">
        <v>473</v>
      </c>
      <c r="FC713" s="36" t="s">
        <v>53</v>
      </c>
      <c r="FD713" s="36" t="s">
        <v>476</v>
      </c>
      <c r="FE713" s="36">
        <v>2020</v>
      </c>
      <c r="FF713" s="36" t="s">
        <v>474</v>
      </c>
      <c r="FG713" s="36" t="s">
        <v>1210</v>
      </c>
      <c r="FJ713" t="s">
        <v>474</v>
      </c>
      <c r="FM713" s="32" t="s">
        <v>1845</v>
      </c>
      <c r="FN713" t="s">
        <v>1845</v>
      </c>
      <c r="FO713" t="s">
        <v>1846</v>
      </c>
      <c r="FP713" t="str">
        <f t="shared" si="196"/>
        <v>C</v>
      </c>
    </row>
    <row r="714" spans="153:172" x14ac:dyDescent="0.35">
      <c r="EW714" t="s">
        <v>46</v>
      </c>
      <c r="EX714" s="33" t="s">
        <v>47</v>
      </c>
      <c r="EY714" s="35" t="s">
        <v>1847</v>
      </c>
      <c r="EZ714" s="36">
        <v>507661</v>
      </c>
      <c r="FA714" s="36" t="s">
        <v>1726</v>
      </c>
      <c r="FB714" s="36" t="s">
        <v>473</v>
      </c>
      <c r="FC714" s="36" t="s">
        <v>53</v>
      </c>
      <c r="FD714" s="36" t="s">
        <v>476</v>
      </c>
      <c r="FE714" s="36">
        <v>2020</v>
      </c>
      <c r="FF714" s="36" t="s">
        <v>474</v>
      </c>
      <c r="FG714" s="36" t="s">
        <v>1210</v>
      </c>
      <c r="FJ714" t="s">
        <v>474</v>
      </c>
      <c r="FM714" s="32" t="s">
        <v>1848</v>
      </c>
      <c r="FN714" t="s">
        <v>1848</v>
      </c>
      <c r="FO714" t="s">
        <v>1849</v>
      </c>
      <c r="FP714" t="str">
        <f t="shared" si="196"/>
        <v>C</v>
      </c>
    </row>
    <row r="715" spans="153:172" x14ac:dyDescent="0.35">
      <c r="EW715" t="s">
        <v>46</v>
      </c>
      <c r="EX715" s="33" t="s">
        <v>47</v>
      </c>
      <c r="EY715" s="35" t="s">
        <v>1850</v>
      </c>
      <c r="EZ715" s="36">
        <v>506530</v>
      </c>
      <c r="FA715" s="36" t="s">
        <v>1726</v>
      </c>
      <c r="FB715" s="36" t="s">
        <v>473</v>
      </c>
      <c r="FC715" s="36" t="s">
        <v>53</v>
      </c>
      <c r="FD715" s="36" t="s">
        <v>476</v>
      </c>
      <c r="FE715" s="36">
        <v>2020</v>
      </c>
      <c r="FF715" s="36" t="s">
        <v>474</v>
      </c>
      <c r="FG715" s="36" t="s">
        <v>1193</v>
      </c>
      <c r="FJ715" t="s">
        <v>474</v>
      </c>
      <c r="FM715" s="32" t="s">
        <v>1851</v>
      </c>
      <c r="FN715" t="s">
        <v>1851</v>
      </c>
      <c r="FO715" t="s">
        <v>1852</v>
      </c>
      <c r="FP715" t="str">
        <f t="shared" si="196"/>
        <v>C</v>
      </c>
    </row>
    <row r="716" spans="153:172" x14ac:dyDescent="0.35">
      <c r="EW716" t="s">
        <v>46</v>
      </c>
      <c r="EX716" s="33" t="s">
        <v>47</v>
      </c>
      <c r="EY716" s="35" t="s">
        <v>1853</v>
      </c>
      <c r="EZ716" s="36">
        <v>506543</v>
      </c>
      <c r="FA716" s="36" t="s">
        <v>1726</v>
      </c>
      <c r="FB716" s="36" t="s">
        <v>473</v>
      </c>
      <c r="FC716" s="36" t="s">
        <v>53</v>
      </c>
      <c r="FD716" s="36" t="s">
        <v>476</v>
      </c>
      <c r="FE716" s="36">
        <v>2020</v>
      </c>
      <c r="FF716" s="36" t="s">
        <v>474</v>
      </c>
      <c r="FG716" s="36" t="s">
        <v>1210</v>
      </c>
      <c r="FJ716" t="s">
        <v>474</v>
      </c>
      <c r="FM716" s="32" t="s">
        <v>1017</v>
      </c>
      <c r="FN716" t="s">
        <v>1018</v>
      </c>
      <c r="FO716" t="s">
        <v>1019</v>
      </c>
      <c r="FP716" t="str">
        <f t="shared" si="196"/>
        <v>B</v>
      </c>
    </row>
    <row r="717" spans="153:172" x14ac:dyDescent="0.35">
      <c r="EW717" t="s">
        <v>46</v>
      </c>
      <c r="EX717" s="33" t="s">
        <v>47</v>
      </c>
      <c r="EY717" s="35" t="s">
        <v>1854</v>
      </c>
      <c r="EZ717" s="36">
        <v>507419</v>
      </c>
      <c r="FA717" s="36" t="s">
        <v>1726</v>
      </c>
      <c r="FB717" s="36" t="s">
        <v>473</v>
      </c>
      <c r="FC717" s="36" t="s">
        <v>53</v>
      </c>
      <c r="FD717" s="36" t="s">
        <v>476</v>
      </c>
      <c r="FE717" s="36">
        <v>2020</v>
      </c>
      <c r="FF717" s="36" t="s">
        <v>474</v>
      </c>
      <c r="FG717" s="36" t="s">
        <v>1210</v>
      </c>
      <c r="FJ717" t="s">
        <v>474</v>
      </c>
      <c r="FM717" s="32" t="s">
        <v>1855</v>
      </c>
      <c r="FN717" t="s">
        <v>1855</v>
      </c>
      <c r="FO717" t="s">
        <v>1856</v>
      </c>
      <c r="FP717" t="str">
        <f t="shared" si="196"/>
        <v>C</v>
      </c>
    </row>
    <row r="718" spans="153:172" x14ac:dyDescent="0.35">
      <c r="EW718" t="s">
        <v>46</v>
      </c>
      <c r="EX718" s="33" t="s">
        <v>47</v>
      </c>
      <c r="EY718" s="35" t="s">
        <v>1857</v>
      </c>
      <c r="EZ718" s="36">
        <v>507446</v>
      </c>
      <c r="FA718" s="36" t="s">
        <v>1726</v>
      </c>
      <c r="FB718" s="36" t="s">
        <v>473</v>
      </c>
      <c r="FC718" s="36" t="s">
        <v>53</v>
      </c>
      <c r="FD718" s="36" t="s">
        <v>476</v>
      </c>
      <c r="FE718" s="36">
        <v>2020</v>
      </c>
      <c r="FF718" s="36" t="s">
        <v>474</v>
      </c>
      <c r="FG718" s="36" t="s">
        <v>1210</v>
      </c>
      <c r="FJ718" t="s">
        <v>474</v>
      </c>
      <c r="FM718" s="32" t="s">
        <v>1794</v>
      </c>
      <c r="FN718" t="s">
        <v>1794</v>
      </c>
      <c r="FO718" t="s">
        <v>1795</v>
      </c>
      <c r="FP718" t="str">
        <f t="shared" si="196"/>
        <v>C</v>
      </c>
    </row>
    <row r="719" spans="153:172" x14ac:dyDescent="0.35">
      <c r="EW719" t="s">
        <v>46</v>
      </c>
      <c r="EX719" s="33" t="s">
        <v>47</v>
      </c>
      <c r="EY719" s="35" t="s">
        <v>1858</v>
      </c>
      <c r="EZ719" s="36">
        <v>506223</v>
      </c>
      <c r="FA719" s="36" t="s">
        <v>1726</v>
      </c>
      <c r="FB719" s="36" t="s">
        <v>473</v>
      </c>
      <c r="FC719" s="36" t="s">
        <v>53</v>
      </c>
      <c r="FD719" s="36" t="s">
        <v>476</v>
      </c>
      <c r="FE719" s="36">
        <v>2020</v>
      </c>
      <c r="FF719" s="36" t="s">
        <v>474</v>
      </c>
      <c r="FG719" s="36" t="s">
        <v>1210</v>
      </c>
      <c r="FJ719" t="s">
        <v>474</v>
      </c>
      <c r="FM719" s="32" t="s">
        <v>1198</v>
      </c>
      <c r="FN719" t="s">
        <v>1198</v>
      </c>
      <c r="FO719" t="s">
        <v>1199</v>
      </c>
      <c r="FP719" t="str">
        <f t="shared" si="196"/>
        <v>C</v>
      </c>
    </row>
    <row r="720" spans="153:172" x14ac:dyDescent="0.35">
      <c r="EW720" t="s">
        <v>46</v>
      </c>
      <c r="EX720" s="33" t="s">
        <v>47</v>
      </c>
      <c r="EY720" s="35" t="s">
        <v>1859</v>
      </c>
      <c r="EZ720" s="36">
        <v>507455</v>
      </c>
      <c r="FA720" s="36" t="s">
        <v>1726</v>
      </c>
      <c r="FB720" s="36" t="s">
        <v>473</v>
      </c>
      <c r="FC720" s="36" t="s">
        <v>53</v>
      </c>
      <c r="FD720" s="36" t="s">
        <v>476</v>
      </c>
      <c r="FE720" s="36">
        <v>2020</v>
      </c>
      <c r="FF720" s="36" t="s">
        <v>474</v>
      </c>
      <c r="FG720" s="36" t="s">
        <v>1193</v>
      </c>
      <c r="FJ720" t="s">
        <v>474</v>
      </c>
      <c r="FM720" s="32" t="s">
        <v>1860</v>
      </c>
      <c r="FN720" t="s">
        <v>1860</v>
      </c>
      <c r="FO720" t="s">
        <v>1861</v>
      </c>
      <c r="FP720" t="str">
        <f t="shared" si="196"/>
        <v>C</v>
      </c>
    </row>
    <row r="721" spans="153:172" x14ac:dyDescent="0.35">
      <c r="EW721" t="s">
        <v>46</v>
      </c>
      <c r="EX721" s="33" t="s">
        <v>47</v>
      </c>
      <c r="EY721" s="35" t="s">
        <v>1862</v>
      </c>
      <c r="EZ721" s="36">
        <v>506662</v>
      </c>
      <c r="FA721" s="36" t="s">
        <v>1726</v>
      </c>
      <c r="FB721" s="36" t="s">
        <v>473</v>
      </c>
      <c r="FC721" s="36" t="s">
        <v>53</v>
      </c>
      <c r="FD721" s="36" t="s">
        <v>476</v>
      </c>
      <c r="FE721" s="36">
        <v>2020</v>
      </c>
      <c r="FF721" s="36" t="s">
        <v>474</v>
      </c>
      <c r="FG721" s="36" t="s">
        <v>1193</v>
      </c>
      <c r="FJ721" t="s">
        <v>474</v>
      </c>
      <c r="FM721" s="32" t="s">
        <v>1730</v>
      </c>
      <c r="FN721" t="s">
        <v>1730</v>
      </c>
      <c r="FO721" t="s">
        <v>1731</v>
      </c>
      <c r="FP721" t="str">
        <f t="shared" si="196"/>
        <v>C</v>
      </c>
    </row>
    <row r="722" spans="153:172" x14ac:dyDescent="0.35">
      <c r="EW722" t="s">
        <v>46</v>
      </c>
      <c r="EX722" s="33" t="s">
        <v>47</v>
      </c>
      <c r="EY722" s="35" t="s">
        <v>1863</v>
      </c>
      <c r="EZ722" s="36">
        <v>507173</v>
      </c>
      <c r="FA722" s="36" t="s">
        <v>1726</v>
      </c>
      <c r="FB722" s="36" t="s">
        <v>473</v>
      </c>
      <c r="FC722" s="36" t="s">
        <v>53</v>
      </c>
      <c r="FD722" s="36" t="s">
        <v>476</v>
      </c>
      <c r="FE722" s="36">
        <v>2020</v>
      </c>
      <c r="FF722" s="36" t="s">
        <v>474</v>
      </c>
      <c r="FG722" s="36" t="s">
        <v>1193</v>
      </c>
      <c r="FJ722" t="s">
        <v>474</v>
      </c>
      <c r="FM722" s="32" t="s">
        <v>1864</v>
      </c>
      <c r="FN722" t="s">
        <v>1864</v>
      </c>
      <c r="FO722" t="s">
        <v>1864</v>
      </c>
      <c r="FP722" t="str">
        <f t="shared" si="196"/>
        <v>C</v>
      </c>
    </row>
    <row r="723" spans="153:172" x14ac:dyDescent="0.35">
      <c r="EW723" t="s">
        <v>46</v>
      </c>
      <c r="EX723" s="33" t="s">
        <v>47</v>
      </c>
      <c r="EY723" s="35" t="s">
        <v>1865</v>
      </c>
      <c r="EZ723" s="36">
        <v>507153</v>
      </c>
      <c r="FA723" s="36" t="s">
        <v>1726</v>
      </c>
      <c r="FB723" s="36" t="s">
        <v>473</v>
      </c>
      <c r="FC723" s="36" t="s">
        <v>53</v>
      </c>
      <c r="FD723" s="36" t="s">
        <v>476</v>
      </c>
      <c r="FE723" s="36">
        <v>2020</v>
      </c>
      <c r="FF723" s="36" t="s">
        <v>474</v>
      </c>
      <c r="FG723" s="36" t="s">
        <v>1193</v>
      </c>
      <c r="FJ723" t="s">
        <v>474</v>
      </c>
      <c r="FM723" s="32" t="s">
        <v>1243</v>
      </c>
      <c r="FN723" t="s">
        <v>1243</v>
      </c>
      <c r="FO723" t="s">
        <v>1243</v>
      </c>
      <c r="FP723" t="str">
        <f t="shared" si="196"/>
        <v>C</v>
      </c>
    </row>
    <row r="724" spans="153:172" x14ac:dyDescent="0.35">
      <c r="EW724" t="s">
        <v>46</v>
      </c>
      <c r="EX724" s="33" t="s">
        <v>47</v>
      </c>
      <c r="EY724" s="35" t="s">
        <v>1866</v>
      </c>
      <c r="EZ724" s="36">
        <v>507167</v>
      </c>
      <c r="FA724" s="36" t="s">
        <v>1726</v>
      </c>
      <c r="FB724" s="36" t="s">
        <v>473</v>
      </c>
      <c r="FC724" s="36" t="s">
        <v>53</v>
      </c>
      <c r="FD724" s="36" t="s">
        <v>476</v>
      </c>
      <c r="FE724" s="36">
        <v>2020</v>
      </c>
      <c r="FF724" s="36" t="s">
        <v>474</v>
      </c>
      <c r="FG724" s="36" t="s">
        <v>1193</v>
      </c>
      <c r="FJ724" t="s">
        <v>474</v>
      </c>
      <c r="FM724" s="32" t="s">
        <v>1867</v>
      </c>
      <c r="FN724" t="s">
        <v>1867</v>
      </c>
      <c r="FO724" t="s">
        <v>1867</v>
      </c>
      <c r="FP724" t="str">
        <f t="shared" si="196"/>
        <v>C</v>
      </c>
    </row>
    <row r="725" spans="153:172" x14ac:dyDescent="0.35">
      <c r="EW725" t="s">
        <v>46</v>
      </c>
      <c r="EX725" s="33" t="s">
        <v>47</v>
      </c>
      <c r="EY725" s="35" t="s">
        <v>1868</v>
      </c>
      <c r="EZ725" s="36">
        <v>507082</v>
      </c>
      <c r="FA725" s="36" t="s">
        <v>1726</v>
      </c>
      <c r="FB725" s="36" t="s">
        <v>473</v>
      </c>
      <c r="FC725" s="36" t="s">
        <v>53</v>
      </c>
      <c r="FD725" s="36" t="s">
        <v>476</v>
      </c>
      <c r="FE725" s="36">
        <v>2020</v>
      </c>
      <c r="FF725" s="36" t="s">
        <v>474</v>
      </c>
      <c r="FG725" s="36" t="s">
        <v>1193</v>
      </c>
      <c r="FJ725" t="s">
        <v>474</v>
      </c>
      <c r="FM725" s="32" t="s">
        <v>1754</v>
      </c>
      <c r="FN725" t="s">
        <v>1754</v>
      </c>
      <c r="FO725" t="s">
        <v>1754</v>
      </c>
      <c r="FP725" t="str">
        <f t="shared" si="196"/>
        <v>C</v>
      </c>
    </row>
    <row r="726" spans="153:172" x14ac:dyDescent="0.35">
      <c r="EW726" t="s">
        <v>46</v>
      </c>
      <c r="EX726" s="33" t="s">
        <v>47</v>
      </c>
      <c r="EY726" s="35" t="s">
        <v>1869</v>
      </c>
      <c r="EZ726" s="36">
        <v>506645</v>
      </c>
      <c r="FA726" s="36" t="s">
        <v>1726</v>
      </c>
      <c r="FB726" s="36" t="s">
        <v>473</v>
      </c>
      <c r="FC726" s="36" t="s">
        <v>53</v>
      </c>
      <c r="FD726" s="36" t="s">
        <v>476</v>
      </c>
      <c r="FE726" s="36">
        <v>2020</v>
      </c>
      <c r="FF726" s="36" t="s">
        <v>474</v>
      </c>
      <c r="FG726" s="36" t="s">
        <v>1193</v>
      </c>
      <c r="FJ726" t="s">
        <v>474</v>
      </c>
      <c r="FM726" s="32" t="s">
        <v>1155</v>
      </c>
      <c r="FN726" t="s">
        <v>1155</v>
      </c>
      <c r="FO726" t="s">
        <v>1155</v>
      </c>
      <c r="FP726" t="str">
        <f t="shared" si="196"/>
        <v>C</v>
      </c>
    </row>
    <row r="727" spans="153:172" x14ac:dyDescent="0.35">
      <c r="EW727" t="s">
        <v>46</v>
      </c>
      <c r="EX727" s="33" t="s">
        <v>47</v>
      </c>
      <c r="EY727" s="35" t="s">
        <v>1870</v>
      </c>
      <c r="EZ727" s="36">
        <v>507402</v>
      </c>
      <c r="FA727" s="36" t="s">
        <v>1726</v>
      </c>
      <c r="FB727" s="36" t="s">
        <v>473</v>
      </c>
      <c r="FC727" s="36" t="s">
        <v>53</v>
      </c>
      <c r="FD727" s="36" t="s">
        <v>476</v>
      </c>
      <c r="FE727" s="36">
        <v>2020</v>
      </c>
      <c r="FF727" s="36" t="s">
        <v>474</v>
      </c>
      <c r="FG727" s="36" t="s">
        <v>1193</v>
      </c>
      <c r="FJ727" t="s">
        <v>474</v>
      </c>
      <c r="FM727" s="32" t="s">
        <v>1498</v>
      </c>
      <c r="FN727" t="s">
        <v>1498</v>
      </c>
      <c r="FO727" t="s">
        <v>1498</v>
      </c>
      <c r="FP727" t="str">
        <f t="shared" si="196"/>
        <v>C</v>
      </c>
    </row>
    <row r="728" spans="153:172" x14ac:dyDescent="0.35">
      <c r="EW728" t="s">
        <v>46</v>
      </c>
      <c r="EX728" s="33" t="s">
        <v>47</v>
      </c>
      <c r="EY728" s="35" t="s">
        <v>1871</v>
      </c>
      <c r="EZ728" s="36">
        <v>507277</v>
      </c>
      <c r="FA728" s="36" t="s">
        <v>1726</v>
      </c>
      <c r="FB728" s="36" t="s">
        <v>473</v>
      </c>
      <c r="FC728" s="36" t="s">
        <v>53</v>
      </c>
      <c r="FD728" s="36" t="s">
        <v>476</v>
      </c>
      <c r="FE728" s="36">
        <v>2020</v>
      </c>
      <c r="FF728" s="36" t="s">
        <v>474</v>
      </c>
      <c r="FG728" s="36" t="s">
        <v>1193</v>
      </c>
      <c r="FJ728" t="s">
        <v>474</v>
      </c>
      <c r="FM728" s="32" t="s">
        <v>1812</v>
      </c>
      <c r="FN728" t="s">
        <v>1812</v>
      </c>
      <c r="FO728" t="s">
        <v>1812</v>
      </c>
      <c r="FP728" t="str">
        <f t="shared" si="196"/>
        <v>C</v>
      </c>
    </row>
    <row r="729" spans="153:172" x14ac:dyDescent="0.35">
      <c r="EW729" t="s">
        <v>46</v>
      </c>
      <c r="EX729" s="33" t="s">
        <v>47</v>
      </c>
      <c r="EY729" s="35" t="s">
        <v>1872</v>
      </c>
      <c r="EZ729" s="36">
        <v>506865</v>
      </c>
      <c r="FA729" s="36" t="s">
        <v>1726</v>
      </c>
      <c r="FB729" s="36" t="s">
        <v>473</v>
      </c>
      <c r="FC729" s="36" t="s">
        <v>53</v>
      </c>
      <c r="FD729" s="36" t="s">
        <v>476</v>
      </c>
      <c r="FE729" s="36">
        <v>2020</v>
      </c>
      <c r="FF729" s="36" t="s">
        <v>474</v>
      </c>
      <c r="FG729" s="36" t="s">
        <v>1193</v>
      </c>
      <c r="FJ729" t="s">
        <v>474</v>
      </c>
      <c r="FM729" s="32" t="s">
        <v>1706</v>
      </c>
      <c r="FN729" t="s">
        <v>1706</v>
      </c>
      <c r="FO729" t="s">
        <v>1707</v>
      </c>
      <c r="FP729" t="str">
        <f t="shared" si="196"/>
        <v>C</v>
      </c>
    </row>
    <row r="730" spans="153:172" x14ac:dyDescent="0.35">
      <c r="EW730" t="s">
        <v>46</v>
      </c>
      <c r="EX730" s="33" t="s">
        <v>47</v>
      </c>
      <c r="EY730" s="35" t="s">
        <v>1873</v>
      </c>
      <c r="EZ730" s="36">
        <v>506732</v>
      </c>
      <c r="FA730" s="36" t="s">
        <v>1726</v>
      </c>
      <c r="FB730" s="36" t="s">
        <v>473</v>
      </c>
      <c r="FC730" s="36" t="s">
        <v>53</v>
      </c>
      <c r="FD730" s="36" t="s">
        <v>476</v>
      </c>
      <c r="FE730" s="36">
        <v>2020</v>
      </c>
      <c r="FF730" s="36" t="s">
        <v>474</v>
      </c>
      <c r="FG730" s="36" t="s">
        <v>1193</v>
      </c>
      <c r="FJ730" t="s">
        <v>474</v>
      </c>
      <c r="FM730" s="32" t="s">
        <v>1874</v>
      </c>
      <c r="FN730" t="s">
        <v>1874</v>
      </c>
      <c r="FO730" t="s">
        <v>1874</v>
      </c>
      <c r="FP730" t="str">
        <f t="shared" si="196"/>
        <v>C</v>
      </c>
    </row>
    <row r="731" spans="153:172" x14ac:dyDescent="0.35">
      <c r="EW731" t="s">
        <v>46</v>
      </c>
      <c r="EX731" s="33" t="s">
        <v>47</v>
      </c>
      <c r="EY731" s="35" t="s">
        <v>1875</v>
      </c>
      <c r="EZ731" s="36">
        <v>506661</v>
      </c>
      <c r="FA731" s="36" t="s">
        <v>1726</v>
      </c>
      <c r="FB731" s="36" t="s">
        <v>473</v>
      </c>
      <c r="FC731" s="36" t="s">
        <v>53</v>
      </c>
      <c r="FD731" s="36" t="s">
        <v>476</v>
      </c>
      <c r="FE731" s="36">
        <v>2020</v>
      </c>
      <c r="FF731" s="36" t="s">
        <v>474</v>
      </c>
      <c r="FG731" s="36" t="s">
        <v>1193</v>
      </c>
      <c r="FJ731" t="s">
        <v>474</v>
      </c>
      <c r="FM731" s="32" t="s">
        <v>598</v>
      </c>
      <c r="FN731" t="s">
        <v>599</v>
      </c>
      <c r="FO731" t="s">
        <v>600</v>
      </c>
      <c r="FP731" t="str">
        <f t="shared" si="196"/>
        <v>B</v>
      </c>
    </row>
    <row r="732" spans="153:172" x14ac:dyDescent="0.35">
      <c r="EW732" t="s">
        <v>46</v>
      </c>
      <c r="EX732" s="33" t="s">
        <v>47</v>
      </c>
      <c r="EY732" s="35" t="s">
        <v>1876</v>
      </c>
      <c r="EZ732" s="36">
        <v>506598</v>
      </c>
      <c r="FA732" s="36" t="s">
        <v>1726</v>
      </c>
      <c r="FB732" s="36" t="s">
        <v>473</v>
      </c>
      <c r="FC732" s="36" t="s">
        <v>53</v>
      </c>
      <c r="FD732" s="36" t="s">
        <v>476</v>
      </c>
      <c r="FE732" s="36">
        <v>2020</v>
      </c>
      <c r="FF732" s="36" t="s">
        <v>474</v>
      </c>
      <c r="FG732" s="36" t="s">
        <v>1193</v>
      </c>
      <c r="FJ732" t="s">
        <v>474</v>
      </c>
      <c r="FM732" s="32" t="s">
        <v>1877</v>
      </c>
      <c r="FN732" t="s">
        <v>1877</v>
      </c>
      <c r="FO732" t="s">
        <v>1878</v>
      </c>
      <c r="FP732" t="str">
        <f t="shared" si="196"/>
        <v>C</v>
      </c>
    </row>
    <row r="733" spans="153:172" x14ac:dyDescent="0.35">
      <c r="EW733" t="s">
        <v>46</v>
      </c>
      <c r="EX733" s="33" t="s">
        <v>47</v>
      </c>
      <c r="EY733" s="35" t="s">
        <v>1879</v>
      </c>
      <c r="EZ733" s="36">
        <v>506305</v>
      </c>
      <c r="FA733" s="36" t="s">
        <v>1726</v>
      </c>
      <c r="FB733" s="36" t="s">
        <v>473</v>
      </c>
      <c r="FC733" s="36" t="s">
        <v>53</v>
      </c>
      <c r="FD733" s="36" t="s">
        <v>476</v>
      </c>
      <c r="FE733" s="36">
        <v>2020</v>
      </c>
      <c r="FF733" s="36" t="s">
        <v>474</v>
      </c>
      <c r="FG733" s="36" t="s">
        <v>1193</v>
      </c>
      <c r="FJ733" t="s">
        <v>474</v>
      </c>
      <c r="FM733" s="32" t="s">
        <v>1750</v>
      </c>
      <c r="FN733" t="s">
        <v>1750</v>
      </c>
      <c r="FO733" t="s">
        <v>1751</v>
      </c>
      <c r="FP733" t="str">
        <f t="shared" si="196"/>
        <v>C</v>
      </c>
    </row>
    <row r="734" spans="153:172" x14ac:dyDescent="0.35">
      <c r="EW734" t="s">
        <v>46</v>
      </c>
      <c r="EX734" s="33" t="s">
        <v>47</v>
      </c>
      <c r="EY734" s="35" t="s">
        <v>1880</v>
      </c>
      <c r="EZ734" s="36">
        <v>506647</v>
      </c>
      <c r="FA734" s="36" t="s">
        <v>1726</v>
      </c>
      <c r="FB734" s="36" t="s">
        <v>473</v>
      </c>
      <c r="FC734" s="36" t="s">
        <v>53</v>
      </c>
      <c r="FD734" s="36" t="s">
        <v>476</v>
      </c>
      <c r="FE734" s="36">
        <v>2020</v>
      </c>
      <c r="FF734" s="36" t="s">
        <v>474</v>
      </c>
      <c r="FG734" s="36" t="s">
        <v>1193</v>
      </c>
      <c r="FJ734" t="s">
        <v>474</v>
      </c>
      <c r="FM734" s="32" t="s">
        <v>1771</v>
      </c>
      <c r="FN734" t="s">
        <v>1771</v>
      </c>
      <c r="FO734" t="s">
        <v>1772</v>
      </c>
      <c r="FP734" t="str">
        <f t="shared" si="196"/>
        <v>C</v>
      </c>
    </row>
    <row r="735" spans="153:172" x14ac:dyDescent="0.35">
      <c r="EW735" t="s">
        <v>46</v>
      </c>
      <c r="EX735" s="33" t="s">
        <v>47</v>
      </c>
      <c r="EY735" s="35" t="s">
        <v>1881</v>
      </c>
      <c r="EZ735" s="36">
        <v>507078</v>
      </c>
      <c r="FA735" s="36" t="s">
        <v>1726</v>
      </c>
      <c r="FB735" s="36" t="s">
        <v>473</v>
      </c>
      <c r="FC735" s="36" t="s">
        <v>53</v>
      </c>
      <c r="FD735" s="36" t="s">
        <v>476</v>
      </c>
      <c r="FE735" s="36">
        <v>2020</v>
      </c>
      <c r="FF735" s="36" t="s">
        <v>474</v>
      </c>
      <c r="FG735" s="36" t="s">
        <v>1193</v>
      </c>
      <c r="FJ735" t="s">
        <v>474</v>
      </c>
      <c r="FM735" s="32" t="s">
        <v>1882</v>
      </c>
      <c r="FN735" t="s">
        <v>1882</v>
      </c>
      <c r="FO735" t="s">
        <v>1883</v>
      </c>
      <c r="FP735" t="str">
        <f t="shared" si="196"/>
        <v>C</v>
      </c>
    </row>
    <row r="736" spans="153:172" x14ac:dyDescent="0.35">
      <c r="EW736" t="s">
        <v>46</v>
      </c>
      <c r="EX736" s="33" t="s">
        <v>47</v>
      </c>
      <c r="EY736" s="35" t="s">
        <v>1884</v>
      </c>
      <c r="EZ736" s="36">
        <v>506749</v>
      </c>
      <c r="FA736" s="36" t="s">
        <v>1726</v>
      </c>
      <c r="FB736" s="36" t="s">
        <v>473</v>
      </c>
      <c r="FC736" s="36" t="s">
        <v>53</v>
      </c>
      <c r="FD736" s="36" t="s">
        <v>476</v>
      </c>
      <c r="FE736" s="36">
        <v>2020</v>
      </c>
      <c r="FF736" s="36" t="s">
        <v>474</v>
      </c>
      <c r="FG736" s="36" t="s">
        <v>1193</v>
      </c>
      <c r="FJ736" t="s">
        <v>474</v>
      </c>
      <c r="FM736" s="32" t="s">
        <v>1774</v>
      </c>
      <c r="FN736" t="s">
        <v>1774</v>
      </c>
      <c r="FO736" t="s">
        <v>1775</v>
      </c>
      <c r="FP736" t="str">
        <f t="shared" si="196"/>
        <v>C</v>
      </c>
    </row>
    <row r="737" spans="153:172" x14ac:dyDescent="0.35">
      <c r="EW737" t="s">
        <v>46</v>
      </c>
      <c r="EX737" s="33" t="s">
        <v>47</v>
      </c>
      <c r="EY737" s="35" t="s">
        <v>1885</v>
      </c>
      <c r="EZ737" s="36">
        <v>507040</v>
      </c>
      <c r="FA737" s="36" t="s">
        <v>1726</v>
      </c>
      <c r="FB737" s="36" t="s">
        <v>473</v>
      </c>
      <c r="FC737" s="36" t="s">
        <v>53</v>
      </c>
      <c r="FD737" s="36" t="s">
        <v>476</v>
      </c>
      <c r="FE737" s="36">
        <v>2020</v>
      </c>
      <c r="FF737" s="36" t="s">
        <v>474</v>
      </c>
      <c r="FG737" s="36" t="s">
        <v>1193</v>
      </c>
      <c r="FJ737" t="s">
        <v>474</v>
      </c>
      <c r="FM737" s="32" t="s">
        <v>1886</v>
      </c>
      <c r="FN737" t="s">
        <v>1886</v>
      </c>
      <c r="FO737" t="s">
        <v>1887</v>
      </c>
      <c r="FP737" t="str">
        <f t="shared" si="196"/>
        <v>C</v>
      </c>
    </row>
    <row r="738" spans="153:172" x14ac:dyDescent="0.35">
      <c r="EW738" t="s">
        <v>46</v>
      </c>
      <c r="EX738" s="33" t="s">
        <v>47</v>
      </c>
      <c r="EY738" s="35" t="s">
        <v>1888</v>
      </c>
      <c r="EZ738" s="36">
        <v>506999</v>
      </c>
      <c r="FA738" s="36" t="s">
        <v>1726</v>
      </c>
      <c r="FB738" s="36" t="s">
        <v>473</v>
      </c>
      <c r="FC738" s="36" t="s">
        <v>53</v>
      </c>
      <c r="FD738" s="36" t="s">
        <v>476</v>
      </c>
      <c r="FE738" s="36">
        <v>2020</v>
      </c>
      <c r="FF738" s="36" t="s">
        <v>474</v>
      </c>
      <c r="FG738" s="36" t="s">
        <v>1193</v>
      </c>
      <c r="FJ738" t="s">
        <v>474</v>
      </c>
      <c r="FM738" s="32" t="s">
        <v>1426</v>
      </c>
      <c r="FN738" t="s">
        <v>1426</v>
      </c>
      <c r="FO738" t="s">
        <v>1427</v>
      </c>
      <c r="FP738" t="str">
        <f t="shared" si="196"/>
        <v>C</v>
      </c>
    </row>
    <row r="739" spans="153:172" x14ac:dyDescent="0.35">
      <c r="EW739" t="s">
        <v>46</v>
      </c>
      <c r="EX739" s="33" t="s">
        <v>47</v>
      </c>
      <c r="EY739" s="35" t="s">
        <v>1889</v>
      </c>
      <c r="EZ739" s="36">
        <v>506686</v>
      </c>
      <c r="FA739" s="36" t="s">
        <v>1726</v>
      </c>
      <c r="FB739" s="36" t="s">
        <v>473</v>
      </c>
      <c r="FC739" s="36" t="s">
        <v>53</v>
      </c>
      <c r="FD739" s="36" t="s">
        <v>476</v>
      </c>
      <c r="FE739" s="36">
        <v>2020</v>
      </c>
      <c r="FF739" s="36" t="s">
        <v>474</v>
      </c>
      <c r="FG739" s="36" t="s">
        <v>1193</v>
      </c>
      <c r="FJ739" t="s">
        <v>474</v>
      </c>
      <c r="FM739" s="32" t="s">
        <v>1252</v>
      </c>
      <c r="FN739" t="s">
        <v>1252</v>
      </c>
      <c r="FO739" t="s">
        <v>1253</v>
      </c>
      <c r="FP739" t="str">
        <f t="shared" si="196"/>
        <v>C</v>
      </c>
    </row>
    <row r="740" spans="153:172" x14ac:dyDescent="0.35">
      <c r="EW740" t="s">
        <v>46</v>
      </c>
      <c r="EX740" s="33" t="s">
        <v>47</v>
      </c>
      <c r="EY740" s="35" t="s">
        <v>1890</v>
      </c>
      <c r="EZ740" s="36">
        <v>507117</v>
      </c>
      <c r="FA740" s="36" t="s">
        <v>1726</v>
      </c>
      <c r="FB740" s="36" t="s">
        <v>473</v>
      </c>
      <c r="FC740" s="36" t="s">
        <v>53</v>
      </c>
      <c r="FD740" s="36" t="s">
        <v>476</v>
      </c>
      <c r="FE740" s="36">
        <v>2020</v>
      </c>
      <c r="FF740" s="36" t="s">
        <v>474</v>
      </c>
      <c r="FG740" s="36" t="s">
        <v>1193</v>
      </c>
      <c r="FJ740" t="s">
        <v>474</v>
      </c>
      <c r="FM740" s="32" t="s">
        <v>1784</v>
      </c>
      <c r="FN740" t="s">
        <v>1784</v>
      </c>
      <c r="FO740" t="s">
        <v>1785</v>
      </c>
      <c r="FP740" t="str">
        <f t="shared" si="196"/>
        <v>C</v>
      </c>
    </row>
    <row r="741" spans="153:172" x14ac:dyDescent="0.35">
      <c r="EW741" t="s">
        <v>46</v>
      </c>
      <c r="EX741" s="33" t="s">
        <v>47</v>
      </c>
      <c r="EY741" s="35" t="s">
        <v>1891</v>
      </c>
      <c r="EZ741" s="36">
        <v>507055</v>
      </c>
      <c r="FA741" s="36" t="s">
        <v>1726</v>
      </c>
      <c r="FB741" s="36" t="s">
        <v>473</v>
      </c>
      <c r="FC741" s="36" t="s">
        <v>53</v>
      </c>
      <c r="FD741" s="36" t="s">
        <v>476</v>
      </c>
      <c r="FE741" s="36">
        <v>2020</v>
      </c>
      <c r="FF741" s="36" t="s">
        <v>474</v>
      </c>
      <c r="FG741" s="36" t="s">
        <v>1193</v>
      </c>
      <c r="FJ741" t="s">
        <v>474</v>
      </c>
      <c r="FM741" s="32" t="s">
        <v>1836</v>
      </c>
      <c r="FN741" t="s">
        <v>1836</v>
      </c>
      <c r="FO741" t="s">
        <v>1837</v>
      </c>
      <c r="FP741" t="str">
        <f t="shared" si="196"/>
        <v>C</v>
      </c>
    </row>
    <row r="742" spans="153:172" x14ac:dyDescent="0.35">
      <c r="EW742" t="s">
        <v>46</v>
      </c>
      <c r="EX742" s="33" t="s">
        <v>47</v>
      </c>
      <c r="EY742" s="35" t="s">
        <v>1892</v>
      </c>
      <c r="EZ742" s="36">
        <v>507102</v>
      </c>
      <c r="FA742" s="36" t="s">
        <v>1726</v>
      </c>
      <c r="FB742" s="36" t="s">
        <v>473</v>
      </c>
      <c r="FC742" s="36" t="s">
        <v>53</v>
      </c>
      <c r="FD742" s="36" t="s">
        <v>476</v>
      </c>
      <c r="FE742" s="36">
        <v>2020</v>
      </c>
      <c r="FF742" s="36" t="s">
        <v>474</v>
      </c>
      <c r="FG742" s="36" t="s">
        <v>1193</v>
      </c>
      <c r="FJ742" t="s">
        <v>474</v>
      </c>
      <c r="FM742" s="32" t="s">
        <v>1800</v>
      </c>
      <c r="FN742" t="s">
        <v>1800</v>
      </c>
      <c r="FO742" t="s">
        <v>1801</v>
      </c>
      <c r="FP742" t="str">
        <f t="shared" si="196"/>
        <v>C</v>
      </c>
    </row>
    <row r="743" spans="153:172" x14ac:dyDescent="0.35">
      <c r="EW743" t="s">
        <v>46</v>
      </c>
      <c r="EX743" s="33" t="s">
        <v>47</v>
      </c>
      <c r="EY743" s="35" t="s">
        <v>1893</v>
      </c>
      <c r="EZ743" s="36">
        <v>507075</v>
      </c>
      <c r="FA743" s="36" t="s">
        <v>1726</v>
      </c>
      <c r="FB743" s="36" t="s">
        <v>473</v>
      </c>
      <c r="FC743" s="36" t="s">
        <v>53</v>
      </c>
      <c r="FD743" s="36" t="s">
        <v>476</v>
      </c>
      <c r="FE743" s="36">
        <v>2020</v>
      </c>
      <c r="FF743" s="36" t="s">
        <v>474</v>
      </c>
      <c r="FG743" s="36" t="s">
        <v>1193</v>
      </c>
      <c r="FJ743" t="s">
        <v>474</v>
      </c>
      <c r="FM743" s="32" t="s">
        <v>1894</v>
      </c>
      <c r="FN743" t="s">
        <v>1894</v>
      </c>
      <c r="FO743" t="s">
        <v>1895</v>
      </c>
      <c r="FP743" t="str">
        <f t="shared" si="196"/>
        <v>C</v>
      </c>
    </row>
    <row r="744" spans="153:172" x14ac:dyDescent="0.35">
      <c r="EW744" t="s">
        <v>46</v>
      </c>
      <c r="EX744" s="33" t="s">
        <v>47</v>
      </c>
      <c r="EY744" s="35" t="s">
        <v>1896</v>
      </c>
      <c r="EZ744" s="36">
        <v>507106</v>
      </c>
      <c r="FA744" s="36" t="s">
        <v>1726</v>
      </c>
      <c r="FB744" s="36" t="s">
        <v>473</v>
      </c>
      <c r="FC744" s="36" t="s">
        <v>53</v>
      </c>
      <c r="FD744" s="36" t="s">
        <v>476</v>
      </c>
      <c r="FE744" s="36">
        <v>2020</v>
      </c>
      <c r="FF744" s="36" t="s">
        <v>474</v>
      </c>
      <c r="FG744" s="36" t="s">
        <v>1193</v>
      </c>
      <c r="FJ744" t="s">
        <v>474</v>
      </c>
      <c r="FM744" s="32" t="s">
        <v>1897</v>
      </c>
      <c r="FN744" t="s">
        <v>1897</v>
      </c>
      <c r="FO744" t="s">
        <v>1898</v>
      </c>
      <c r="FP744" t="str">
        <f t="shared" si="196"/>
        <v>C</v>
      </c>
    </row>
    <row r="745" spans="153:172" x14ac:dyDescent="0.35">
      <c r="EW745" t="s">
        <v>46</v>
      </c>
      <c r="EX745" s="33" t="s">
        <v>47</v>
      </c>
      <c r="EY745" s="35" t="s">
        <v>1899</v>
      </c>
      <c r="EZ745" s="36">
        <v>506644</v>
      </c>
      <c r="FA745" s="36" t="s">
        <v>1726</v>
      </c>
      <c r="FB745" s="36" t="s">
        <v>473</v>
      </c>
      <c r="FC745" s="36" t="s">
        <v>53</v>
      </c>
      <c r="FD745" s="36" t="s">
        <v>476</v>
      </c>
      <c r="FE745" s="36">
        <v>2020</v>
      </c>
      <c r="FF745" s="36" t="s">
        <v>474</v>
      </c>
      <c r="FG745" s="36" t="s">
        <v>1193</v>
      </c>
      <c r="FJ745" t="s">
        <v>474</v>
      </c>
      <c r="FM745" s="32" t="s">
        <v>1900</v>
      </c>
      <c r="FN745" t="s">
        <v>1900</v>
      </c>
      <c r="FO745" t="s">
        <v>1901</v>
      </c>
      <c r="FP745" t="str">
        <f t="shared" si="196"/>
        <v>C</v>
      </c>
    </row>
    <row r="746" spans="153:172" x14ac:dyDescent="0.35">
      <c r="EW746" t="s">
        <v>46</v>
      </c>
      <c r="EX746" s="33" t="s">
        <v>47</v>
      </c>
      <c r="EY746" s="35" t="s">
        <v>1902</v>
      </c>
      <c r="EZ746" s="36">
        <v>506671</v>
      </c>
      <c r="FA746" s="36" t="s">
        <v>1726</v>
      </c>
      <c r="FB746" s="36" t="s">
        <v>473</v>
      </c>
      <c r="FC746" s="36" t="s">
        <v>53</v>
      </c>
      <c r="FD746" s="36" t="s">
        <v>476</v>
      </c>
      <c r="FE746" s="36">
        <v>2020</v>
      </c>
      <c r="FF746" s="36" t="s">
        <v>474</v>
      </c>
      <c r="FG746" s="36" t="s">
        <v>1193</v>
      </c>
      <c r="FJ746" t="s">
        <v>474</v>
      </c>
      <c r="FM746" s="32" t="s">
        <v>1418</v>
      </c>
      <c r="FN746" t="s">
        <v>1418</v>
      </c>
      <c r="FO746" t="s">
        <v>1419</v>
      </c>
      <c r="FP746" t="str">
        <f t="shared" si="196"/>
        <v>C</v>
      </c>
    </row>
    <row r="747" spans="153:172" x14ac:dyDescent="0.35">
      <c r="EW747" t="s">
        <v>46</v>
      </c>
      <c r="EX747" s="33" t="s">
        <v>47</v>
      </c>
      <c r="EY747" s="35" t="s">
        <v>1903</v>
      </c>
      <c r="EZ747" s="36">
        <v>507033</v>
      </c>
      <c r="FA747" s="36" t="s">
        <v>1726</v>
      </c>
      <c r="FB747" s="36" t="s">
        <v>473</v>
      </c>
      <c r="FC747" s="36" t="s">
        <v>53</v>
      </c>
      <c r="FD747" s="36" t="s">
        <v>476</v>
      </c>
      <c r="FE747" s="36">
        <v>2020</v>
      </c>
      <c r="FF747" s="36" t="s">
        <v>474</v>
      </c>
      <c r="FG747" s="36" t="s">
        <v>1193</v>
      </c>
      <c r="FJ747" t="s">
        <v>474</v>
      </c>
      <c r="FM747" s="32" t="s">
        <v>1845</v>
      </c>
      <c r="FN747" t="s">
        <v>1845</v>
      </c>
      <c r="FO747" t="s">
        <v>1846</v>
      </c>
      <c r="FP747" t="str">
        <f t="shared" si="196"/>
        <v>C</v>
      </c>
    </row>
    <row r="748" spans="153:172" x14ac:dyDescent="0.35">
      <c r="EW748" t="s">
        <v>46</v>
      </c>
      <c r="EX748" s="33" t="s">
        <v>47</v>
      </c>
      <c r="EY748" s="35" t="s">
        <v>1904</v>
      </c>
      <c r="EZ748" s="36">
        <v>506988</v>
      </c>
      <c r="FA748" s="36" t="s">
        <v>1726</v>
      </c>
      <c r="FB748" s="36" t="s">
        <v>473</v>
      </c>
      <c r="FC748" s="36" t="s">
        <v>53</v>
      </c>
      <c r="FD748" s="36" t="s">
        <v>476</v>
      </c>
      <c r="FE748" s="36">
        <v>2020</v>
      </c>
      <c r="FF748" s="36" t="s">
        <v>474</v>
      </c>
      <c r="FG748" s="36" t="s">
        <v>1193</v>
      </c>
      <c r="FJ748" t="s">
        <v>474</v>
      </c>
      <c r="FM748" s="32" t="s">
        <v>1328</v>
      </c>
      <c r="FN748" t="s">
        <v>1328</v>
      </c>
      <c r="FO748" t="s">
        <v>1329</v>
      </c>
      <c r="FP748" t="str">
        <f t="shared" si="196"/>
        <v>C</v>
      </c>
    </row>
    <row r="749" spans="153:172" x14ac:dyDescent="0.35">
      <c r="EW749" t="s">
        <v>46</v>
      </c>
      <c r="EX749" s="33" t="s">
        <v>47</v>
      </c>
      <c r="EY749" s="35" t="s">
        <v>1905</v>
      </c>
      <c r="EZ749" s="36">
        <v>506841</v>
      </c>
      <c r="FA749" s="36" t="s">
        <v>1726</v>
      </c>
      <c r="FB749" s="36" t="s">
        <v>473</v>
      </c>
      <c r="FC749" s="36" t="s">
        <v>53</v>
      </c>
      <c r="FD749" s="36" t="s">
        <v>476</v>
      </c>
      <c r="FE749" s="36">
        <v>2020</v>
      </c>
      <c r="FF749" s="36" t="s">
        <v>474</v>
      </c>
      <c r="FG749" s="36" t="s">
        <v>1728</v>
      </c>
      <c r="FJ749" t="s">
        <v>474</v>
      </c>
      <c r="FM749" s="32" t="s">
        <v>1906</v>
      </c>
      <c r="FN749" t="s">
        <v>1906</v>
      </c>
      <c r="FO749" t="s">
        <v>1907</v>
      </c>
      <c r="FP749" t="str">
        <f t="shared" si="196"/>
        <v>C</v>
      </c>
    </row>
    <row r="750" spans="153:172" x14ac:dyDescent="0.35">
      <c r="EW750" t="s">
        <v>46</v>
      </c>
      <c r="EX750" s="33" t="s">
        <v>47</v>
      </c>
      <c r="EY750" s="35" t="s">
        <v>1908</v>
      </c>
      <c r="EZ750" s="36">
        <v>507058</v>
      </c>
      <c r="FA750" s="36" t="s">
        <v>1726</v>
      </c>
      <c r="FB750" s="36" t="s">
        <v>473</v>
      </c>
      <c r="FC750" s="36" t="s">
        <v>53</v>
      </c>
      <c r="FD750" s="36" t="s">
        <v>476</v>
      </c>
      <c r="FE750" s="36">
        <v>2020</v>
      </c>
      <c r="FF750" s="36" t="s">
        <v>474</v>
      </c>
      <c r="FG750" s="36" t="s">
        <v>1193</v>
      </c>
      <c r="FJ750" t="s">
        <v>474</v>
      </c>
      <c r="FM750" s="32" t="s">
        <v>1909</v>
      </c>
      <c r="FN750" t="s">
        <v>1909</v>
      </c>
      <c r="FO750" t="s">
        <v>1268</v>
      </c>
      <c r="FP750" t="str">
        <f t="shared" si="196"/>
        <v>C</v>
      </c>
    </row>
    <row r="751" spans="153:172" x14ac:dyDescent="0.35">
      <c r="EW751" t="s">
        <v>46</v>
      </c>
      <c r="EX751" s="33" t="s">
        <v>47</v>
      </c>
      <c r="EY751" s="35" t="s">
        <v>1910</v>
      </c>
      <c r="EZ751" s="36">
        <v>506731</v>
      </c>
      <c r="FA751" s="36" t="s">
        <v>1726</v>
      </c>
      <c r="FB751" s="36" t="s">
        <v>473</v>
      </c>
      <c r="FC751" s="36" t="s">
        <v>53</v>
      </c>
      <c r="FD751" s="36" t="s">
        <v>476</v>
      </c>
      <c r="FE751" s="36">
        <v>2020</v>
      </c>
      <c r="FF751" s="36" t="s">
        <v>474</v>
      </c>
      <c r="FG751" s="36" t="s">
        <v>1728</v>
      </c>
      <c r="FJ751" t="s">
        <v>474</v>
      </c>
      <c r="FM751" s="32" t="s">
        <v>1911</v>
      </c>
      <c r="FN751" t="s">
        <v>1911</v>
      </c>
      <c r="FO751" t="s">
        <v>1912</v>
      </c>
      <c r="FP751" t="str">
        <f t="shared" si="196"/>
        <v>C</v>
      </c>
    </row>
    <row r="752" spans="153:172" x14ac:dyDescent="0.35">
      <c r="EW752" t="s">
        <v>46</v>
      </c>
      <c r="EX752" s="33" t="s">
        <v>47</v>
      </c>
      <c r="EY752" s="35" t="s">
        <v>1913</v>
      </c>
      <c r="EZ752" s="36">
        <v>507121</v>
      </c>
      <c r="FA752" s="36" t="s">
        <v>1726</v>
      </c>
      <c r="FB752" s="36" t="s">
        <v>473</v>
      </c>
      <c r="FC752" s="36" t="s">
        <v>53</v>
      </c>
      <c r="FD752" s="36" t="s">
        <v>476</v>
      </c>
      <c r="FE752" s="36">
        <v>2020</v>
      </c>
      <c r="FF752" s="36" t="s">
        <v>474</v>
      </c>
      <c r="FG752" s="36" t="s">
        <v>1193</v>
      </c>
      <c r="FJ752" t="s">
        <v>474</v>
      </c>
      <c r="FM752" s="32" t="s">
        <v>1914</v>
      </c>
      <c r="FN752" t="s">
        <v>1914</v>
      </c>
      <c r="FO752" t="s">
        <v>1915</v>
      </c>
      <c r="FP752" t="str">
        <f t="shared" si="196"/>
        <v>C</v>
      </c>
    </row>
    <row r="753" spans="153:172" x14ac:dyDescent="0.35">
      <c r="EW753" t="s">
        <v>46</v>
      </c>
      <c r="EX753" s="33" t="s">
        <v>47</v>
      </c>
      <c r="EY753" s="35" t="s">
        <v>1916</v>
      </c>
      <c r="EZ753" s="36">
        <v>507144</v>
      </c>
      <c r="FA753" s="36" t="s">
        <v>1726</v>
      </c>
      <c r="FB753" s="36" t="s">
        <v>473</v>
      </c>
      <c r="FC753" s="36" t="s">
        <v>53</v>
      </c>
      <c r="FD753" s="36" t="s">
        <v>476</v>
      </c>
      <c r="FE753" s="36">
        <v>2020</v>
      </c>
      <c r="FF753" s="36" t="s">
        <v>474</v>
      </c>
      <c r="FG753" s="36" t="s">
        <v>1728</v>
      </c>
      <c r="FJ753" t="s">
        <v>474</v>
      </c>
      <c r="FM753" s="32" t="s">
        <v>1797</v>
      </c>
      <c r="FN753" t="s">
        <v>1797</v>
      </c>
      <c r="FO753" t="s">
        <v>1798</v>
      </c>
      <c r="FP753" t="str">
        <f t="shared" si="196"/>
        <v>C</v>
      </c>
    </row>
    <row r="754" spans="153:172" x14ac:dyDescent="0.35">
      <c r="EW754" t="s">
        <v>46</v>
      </c>
      <c r="EX754" s="33" t="s">
        <v>47</v>
      </c>
      <c r="EY754" s="35" t="s">
        <v>1917</v>
      </c>
      <c r="EZ754" s="36">
        <v>507047</v>
      </c>
      <c r="FA754" s="36" t="s">
        <v>1726</v>
      </c>
      <c r="FB754" s="36" t="s">
        <v>473</v>
      </c>
      <c r="FC754" s="36" t="s">
        <v>53</v>
      </c>
      <c r="FD754" s="36" t="s">
        <v>476</v>
      </c>
      <c r="FE754" s="36">
        <v>2020</v>
      </c>
      <c r="FF754" s="36" t="s">
        <v>474</v>
      </c>
      <c r="FG754" s="36" t="s">
        <v>1193</v>
      </c>
      <c r="FJ754" t="s">
        <v>474</v>
      </c>
      <c r="FM754" s="32" t="s">
        <v>1855</v>
      </c>
      <c r="FN754" t="s">
        <v>1855</v>
      </c>
      <c r="FO754" t="s">
        <v>1856</v>
      </c>
      <c r="FP754" t="str">
        <f t="shared" si="196"/>
        <v>C</v>
      </c>
    </row>
    <row r="755" spans="153:172" x14ac:dyDescent="0.35">
      <c r="EW755" t="s">
        <v>46</v>
      </c>
      <c r="EX755" s="33" t="s">
        <v>47</v>
      </c>
      <c r="EY755" s="35" t="s">
        <v>1918</v>
      </c>
      <c r="EZ755" s="36">
        <v>507680</v>
      </c>
      <c r="FA755" s="36" t="s">
        <v>1726</v>
      </c>
      <c r="FB755" s="36" t="s">
        <v>473</v>
      </c>
      <c r="FC755" s="36" t="s">
        <v>53</v>
      </c>
      <c r="FD755" s="36" t="s">
        <v>476</v>
      </c>
      <c r="FE755" s="36">
        <v>2020</v>
      </c>
      <c r="FF755" s="36" t="s">
        <v>474</v>
      </c>
      <c r="FG755" s="36" t="s">
        <v>1728</v>
      </c>
      <c r="FJ755" t="s">
        <v>474</v>
      </c>
      <c r="FM755" s="32" t="s">
        <v>1237</v>
      </c>
      <c r="FN755" t="s">
        <v>1237</v>
      </c>
      <c r="FO755" t="s">
        <v>1238</v>
      </c>
      <c r="FP755" t="str">
        <f t="shared" si="196"/>
        <v>C</v>
      </c>
    </row>
    <row r="756" spans="153:172" x14ac:dyDescent="0.35">
      <c r="EW756" t="s">
        <v>46</v>
      </c>
      <c r="EX756" s="33" t="s">
        <v>47</v>
      </c>
      <c r="EY756" s="35" t="s">
        <v>1919</v>
      </c>
      <c r="EZ756" s="36">
        <v>506696</v>
      </c>
      <c r="FA756" s="36" t="s">
        <v>1726</v>
      </c>
      <c r="FB756" s="36" t="s">
        <v>473</v>
      </c>
      <c r="FC756" s="36" t="s">
        <v>53</v>
      </c>
      <c r="FD756" s="36" t="s">
        <v>476</v>
      </c>
      <c r="FE756" s="36">
        <v>2020</v>
      </c>
      <c r="FF756" s="36" t="s">
        <v>474</v>
      </c>
      <c r="FG756" s="36" t="s">
        <v>1193</v>
      </c>
      <c r="FJ756" t="s">
        <v>474</v>
      </c>
      <c r="FM756" s="32" t="s">
        <v>1920</v>
      </c>
      <c r="FN756" t="s">
        <v>1920</v>
      </c>
      <c r="FO756" t="s">
        <v>1921</v>
      </c>
      <c r="FP756" t="str">
        <f t="shared" si="196"/>
        <v>B</v>
      </c>
    </row>
    <row r="757" spans="153:172" x14ac:dyDescent="0.35">
      <c r="EW757" t="s">
        <v>46</v>
      </c>
      <c r="EX757" s="33" t="s">
        <v>47</v>
      </c>
      <c r="EY757" s="35" t="s">
        <v>1922</v>
      </c>
      <c r="EZ757" s="36">
        <v>506823</v>
      </c>
      <c r="FA757" s="36" t="s">
        <v>1726</v>
      </c>
      <c r="FB757" s="36" t="s">
        <v>473</v>
      </c>
      <c r="FC757" s="36" t="s">
        <v>53</v>
      </c>
      <c r="FD757" s="36" t="s">
        <v>476</v>
      </c>
      <c r="FE757" s="36">
        <v>2020</v>
      </c>
      <c r="FF757" s="36" t="s">
        <v>474</v>
      </c>
      <c r="FG757" s="36" t="s">
        <v>1728</v>
      </c>
      <c r="FJ757" t="s">
        <v>474</v>
      </c>
      <c r="FM757" s="32" t="s">
        <v>1817</v>
      </c>
      <c r="FN757" t="s">
        <v>1817</v>
      </c>
      <c r="FO757" t="s">
        <v>1818</v>
      </c>
      <c r="FP757" t="str">
        <f t="shared" si="196"/>
        <v>C</v>
      </c>
    </row>
    <row r="758" spans="153:172" x14ac:dyDescent="0.35">
      <c r="EW758" t="s">
        <v>46</v>
      </c>
      <c r="EX758" s="33" t="s">
        <v>47</v>
      </c>
      <c r="EY758" s="35" t="s">
        <v>1923</v>
      </c>
      <c r="EZ758" s="36">
        <v>506866</v>
      </c>
      <c r="FA758" s="36" t="s">
        <v>1726</v>
      </c>
      <c r="FB758" s="36" t="s">
        <v>473</v>
      </c>
      <c r="FC758" s="36" t="s">
        <v>53</v>
      </c>
      <c r="FD758" s="36" t="s">
        <v>476</v>
      </c>
      <c r="FE758" s="36">
        <v>2020</v>
      </c>
      <c r="FF758" s="36" t="s">
        <v>474</v>
      </c>
      <c r="FG758" s="36" t="s">
        <v>1728</v>
      </c>
      <c r="FJ758" t="s">
        <v>474</v>
      </c>
      <c r="FM758" s="32" t="s">
        <v>1242</v>
      </c>
      <c r="FN758" t="s">
        <v>1242</v>
      </c>
      <c r="FO758" t="s">
        <v>1243</v>
      </c>
      <c r="FP758" t="str">
        <f t="shared" si="196"/>
        <v>C</v>
      </c>
    </row>
    <row r="759" spans="153:172" x14ac:dyDescent="0.35">
      <c r="EW759" t="s">
        <v>46</v>
      </c>
      <c r="EX759" s="33" t="s">
        <v>47</v>
      </c>
      <c r="EY759" s="35" t="s">
        <v>1924</v>
      </c>
      <c r="EZ759" s="36">
        <v>507134</v>
      </c>
      <c r="FA759" s="36" t="s">
        <v>1726</v>
      </c>
      <c r="FB759" s="36" t="s">
        <v>473</v>
      </c>
      <c r="FC759" s="36" t="s">
        <v>53</v>
      </c>
      <c r="FD759" s="36" t="s">
        <v>476</v>
      </c>
      <c r="FE759" s="36">
        <v>2020</v>
      </c>
      <c r="FF759" s="36" t="s">
        <v>474</v>
      </c>
      <c r="FG759" s="36" t="s">
        <v>1728</v>
      </c>
      <c r="FJ759" t="s">
        <v>474</v>
      </c>
      <c r="FM759" s="32" t="s">
        <v>1811</v>
      </c>
      <c r="FN759" t="s">
        <v>1811</v>
      </c>
      <c r="FO759" t="s">
        <v>1812</v>
      </c>
      <c r="FP759" t="str">
        <f t="shared" si="196"/>
        <v>C</v>
      </c>
    </row>
    <row r="760" spans="153:172" x14ac:dyDescent="0.35">
      <c r="EW760" t="s">
        <v>46</v>
      </c>
      <c r="EX760" s="33" t="s">
        <v>47</v>
      </c>
      <c r="EY760" s="35" t="s">
        <v>1925</v>
      </c>
      <c r="EZ760" s="36">
        <v>507160</v>
      </c>
      <c r="FA760" s="36" t="s">
        <v>1726</v>
      </c>
      <c r="FB760" s="36" t="s">
        <v>473</v>
      </c>
      <c r="FC760" s="36" t="s">
        <v>53</v>
      </c>
      <c r="FD760" s="36" t="s">
        <v>476</v>
      </c>
      <c r="FE760" s="36">
        <v>2020</v>
      </c>
      <c r="FF760" s="36" t="s">
        <v>474</v>
      </c>
      <c r="FG760" s="36" t="s">
        <v>1728</v>
      </c>
      <c r="FJ760" t="s">
        <v>474</v>
      </c>
      <c r="FM760" s="32" t="s">
        <v>1926</v>
      </c>
      <c r="FN760" t="s">
        <v>1926</v>
      </c>
      <c r="FO760" t="s">
        <v>1927</v>
      </c>
      <c r="FP760" t="str">
        <f t="shared" si="196"/>
        <v>C</v>
      </c>
    </row>
    <row r="761" spans="153:172" x14ac:dyDescent="0.35">
      <c r="EW761" t="s">
        <v>46</v>
      </c>
      <c r="EX761" s="33" t="s">
        <v>47</v>
      </c>
      <c r="EY761" s="35" t="s">
        <v>1928</v>
      </c>
      <c r="EZ761" s="36">
        <v>507108</v>
      </c>
      <c r="FA761" s="36" t="s">
        <v>1726</v>
      </c>
      <c r="FB761" s="36" t="s">
        <v>473</v>
      </c>
      <c r="FC761" s="36" t="s">
        <v>53</v>
      </c>
      <c r="FD761" s="36" t="s">
        <v>476</v>
      </c>
      <c r="FE761" s="36">
        <v>2020</v>
      </c>
      <c r="FF761" s="36" t="s">
        <v>474</v>
      </c>
      <c r="FG761" s="36" t="s">
        <v>1728</v>
      </c>
      <c r="FJ761" t="s">
        <v>474</v>
      </c>
      <c r="FM761" s="32" t="s">
        <v>1929</v>
      </c>
      <c r="FN761" t="s">
        <v>1929</v>
      </c>
      <c r="FO761" t="s">
        <v>1340</v>
      </c>
      <c r="FP761" t="str">
        <f t="shared" si="196"/>
        <v>C</v>
      </c>
    </row>
    <row r="762" spans="153:172" x14ac:dyDescent="0.35">
      <c r="EW762" t="s">
        <v>46</v>
      </c>
      <c r="EX762" s="33" t="s">
        <v>47</v>
      </c>
      <c r="EY762" s="35" t="s">
        <v>1930</v>
      </c>
      <c r="EZ762" s="36">
        <v>507057</v>
      </c>
      <c r="FA762" s="36" t="s">
        <v>1726</v>
      </c>
      <c r="FB762" s="36" t="s">
        <v>473</v>
      </c>
      <c r="FC762" s="36" t="s">
        <v>53</v>
      </c>
      <c r="FD762" s="36" t="s">
        <v>476</v>
      </c>
      <c r="FE762" s="36">
        <v>2020</v>
      </c>
      <c r="FF762" s="36" t="s">
        <v>474</v>
      </c>
      <c r="FG762" s="36" t="s">
        <v>1193</v>
      </c>
      <c r="FJ762" t="s">
        <v>474</v>
      </c>
      <c r="FM762" s="32" t="s">
        <v>1931</v>
      </c>
      <c r="FN762" t="s">
        <v>1931</v>
      </c>
      <c r="FO762" t="s">
        <v>1867</v>
      </c>
      <c r="FP762" t="str">
        <f t="shared" si="196"/>
        <v>C</v>
      </c>
    </row>
    <row r="763" spans="153:172" x14ac:dyDescent="0.35">
      <c r="EW763" t="s">
        <v>46</v>
      </c>
      <c r="EX763" s="33" t="s">
        <v>47</v>
      </c>
      <c r="EY763" s="35" t="s">
        <v>1932</v>
      </c>
      <c r="EZ763" s="36">
        <v>507062</v>
      </c>
      <c r="FA763" s="36" t="s">
        <v>1726</v>
      </c>
      <c r="FB763" s="36" t="s">
        <v>473</v>
      </c>
      <c r="FC763" s="36" t="s">
        <v>53</v>
      </c>
      <c r="FD763" s="36" t="s">
        <v>476</v>
      </c>
      <c r="FE763" s="36">
        <v>2020</v>
      </c>
      <c r="FF763" s="36" t="s">
        <v>474</v>
      </c>
      <c r="FG763" s="36" t="s">
        <v>1193</v>
      </c>
      <c r="FJ763" t="s">
        <v>474</v>
      </c>
      <c r="FM763" s="32" t="s">
        <v>1933</v>
      </c>
      <c r="FN763" t="s">
        <v>1933</v>
      </c>
      <c r="FO763" t="s">
        <v>1934</v>
      </c>
      <c r="FP763" t="str">
        <f t="shared" si="196"/>
        <v>C</v>
      </c>
    </row>
    <row r="764" spans="153:172" x14ac:dyDescent="0.35">
      <c r="EW764" t="s">
        <v>46</v>
      </c>
      <c r="EX764" s="33" t="s">
        <v>47</v>
      </c>
      <c r="EY764" s="35" t="s">
        <v>1935</v>
      </c>
      <c r="EZ764" s="36">
        <v>507971</v>
      </c>
      <c r="FA764" s="36" t="s">
        <v>1726</v>
      </c>
      <c r="FB764" s="36" t="s">
        <v>473</v>
      </c>
      <c r="FC764" s="36" t="s">
        <v>53</v>
      </c>
      <c r="FD764" s="36" t="s">
        <v>476</v>
      </c>
      <c r="FE764" s="36">
        <v>2020</v>
      </c>
      <c r="FF764" s="36" t="s">
        <v>474</v>
      </c>
      <c r="FG764" s="36" t="s">
        <v>1728</v>
      </c>
      <c r="FJ764" t="s">
        <v>474</v>
      </c>
      <c r="FM764" s="32" t="s">
        <v>1384</v>
      </c>
      <c r="FN764" t="s">
        <v>1384</v>
      </c>
      <c r="FO764" t="s">
        <v>1385</v>
      </c>
      <c r="FP764" t="str">
        <f t="shared" si="196"/>
        <v>C</v>
      </c>
    </row>
    <row r="765" spans="153:172" x14ac:dyDescent="0.35">
      <c r="EW765" t="s">
        <v>46</v>
      </c>
      <c r="EX765" s="33" t="s">
        <v>47</v>
      </c>
      <c r="EY765" s="35" t="s">
        <v>1936</v>
      </c>
      <c r="EZ765" s="36">
        <v>508481</v>
      </c>
      <c r="FA765" s="36" t="s">
        <v>1726</v>
      </c>
      <c r="FB765" s="36" t="s">
        <v>473</v>
      </c>
      <c r="FC765" s="36" t="s">
        <v>53</v>
      </c>
      <c r="FD765" s="36" t="s">
        <v>476</v>
      </c>
      <c r="FE765" s="36">
        <v>2020</v>
      </c>
      <c r="FF765" s="36" t="s">
        <v>474</v>
      </c>
      <c r="FG765" s="36" t="s">
        <v>1193</v>
      </c>
      <c r="FJ765" t="s">
        <v>474</v>
      </c>
      <c r="FM765" s="32" t="s">
        <v>1937</v>
      </c>
      <c r="FN765" t="s">
        <v>1937</v>
      </c>
      <c r="FO765" t="s">
        <v>1938</v>
      </c>
      <c r="FP765" t="str">
        <f t="shared" si="196"/>
        <v>C</v>
      </c>
    </row>
    <row r="766" spans="153:172" x14ac:dyDescent="0.35">
      <c r="EW766" t="s">
        <v>46</v>
      </c>
      <c r="EX766" s="33" t="s">
        <v>47</v>
      </c>
      <c r="EY766" s="35" t="s">
        <v>1939</v>
      </c>
      <c r="EZ766" s="36">
        <v>509156</v>
      </c>
      <c r="FA766" s="36" t="s">
        <v>1726</v>
      </c>
      <c r="FB766" s="36" t="s">
        <v>473</v>
      </c>
      <c r="FC766" s="36" t="s">
        <v>53</v>
      </c>
      <c r="FD766" s="36" t="s">
        <v>476</v>
      </c>
      <c r="FE766" s="36">
        <v>2020</v>
      </c>
      <c r="FF766" s="36" t="s">
        <v>474</v>
      </c>
      <c r="FG766" s="36" t="s">
        <v>1193</v>
      </c>
      <c r="FJ766" t="s">
        <v>474</v>
      </c>
      <c r="FM766" s="32" t="s">
        <v>1260</v>
      </c>
      <c r="FN766" t="s">
        <v>1260</v>
      </c>
      <c r="FO766" t="s">
        <v>1261</v>
      </c>
      <c r="FP766" t="str">
        <f t="shared" si="196"/>
        <v>C</v>
      </c>
    </row>
    <row r="767" spans="153:172" x14ac:dyDescent="0.35">
      <c r="EW767" t="s">
        <v>46</v>
      </c>
      <c r="EX767" s="33" t="s">
        <v>47</v>
      </c>
      <c r="EY767" s="35" t="s">
        <v>1940</v>
      </c>
      <c r="EZ767" s="36">
        <v>509224</v>
      </c>
      <c r="FA767" s="36" t="s">
        <v>1726</v>
      </c>
      <c r="FB767" s="36" t="s">
        <v>473</v>
      </c>
      <c r="FC767" s="36" t="s">
        <v>53</v>
      </c>
      <c r="FD767" s="36" t="s">
        <v>476</v>
      </c>
      <c r="FE767" s="36">
        <v>2020</v>
      </c>
      <c r="FF767" s="36" t="s">
        <v>474</v>
      </c>
      <c r="FG767" s="36" t="s">
        <v>1193</v>
      </c>
      <c r="FJ767" t="s">
        <v>474</v>
      </c>
      <c r="FM767" s="32" t="s">
        <v>1821</v>
      </c>
      <c r="FN767" t="s">
        <v>1821</v>
      </c>
      <c r="FO767" t="s">
        <v>1822</v>
      </c>
      <c r="FP767" t="str">
        <f t="shared" si="196"/>
        <v>C</v>
      </c>
    </row>
    <row r="768" spans="153:172" x14ac:dyDescent="0.35">
      <c r="EW768" t="s">
        <v>46</v>
      </c>
      <c r="EX768" s="33" t="s">
        <v>47</v>
      </c>
      <c r="EY768" s="35" t="s">
        <v>1941</v>
      </c>
      <c r="EZ768" s="36">
        <v>509231</v>
      </c>
      <c r="FA768" s="36" t="s">
        <v>1726</v>
      </c>
      <c r="FB768" s="36" t="s">
        <v>473</v>
      </c>
      <c r="FC768" s="36" t="s">
        <v>53</v>
      </c>
      <c r="FD768" s="36" t="s">
        <v>476</v>
      </c>
      <c r="FE768" s="36">
        <v>2020</v>
      </c>
      <c r="FF768" s="36" t="s">
        <v>474</v>
      </c>
      <c r="FG768" s="36" t="s">
        <v>1728</v>
      </c>
      <c r="FJ768" t="s">
        <v>474</v>
      </c>
      <c r="FM768" s="32" t="s">
        <v>1942</v>
      </c>
      <c r="FN768" t="s">
        <v>1942</v>
      </c>
      <c r="FO768" t="s">
        <v>1943</v>
      </c>
      <c r="FP768" t="str">
        <f t="shared" si="196"/>
        <v>C</v>
      </c>
    </row>
    <row r="769" spans="153:172" x14ac:dyDescent="0.35">
      <c r="EW769" t="s">
        <v>46</v>
      </c>
      <c r="EX769" s="33" t="s">
        <v>47</v>
      </c>
      <c r="EY769" s="35" t="s">
        <v>1944</v>
      </c>
      <c r="EZ769" s="36">
        <v>509235</v>
      </c>
      <c r="FA769" s="36" t="s">
        <v>1726</v>
      </c>
      <c r="FB769" s="36" t="s">
        <v>473</v>
      </c>
      <c r="FC769" s="36" t="s">
        <v>53</v>
      </c>
      <c r="FD769" s="36" t="s">
        <v>476</v>
      </c>
      <c r="FE769" s="36">
        <v>2020</v>
      </c>
      <c r="FF769" s="36" t="s">
        <v>474</v>
      </c>
      <c r="FG769" s="36" t="s">
        <v>1193</v>
      </c>
      <c r="FJ769" t="s">
        <v>474</v>
      </c>
      <c r="FM769" s="32" t="s">
        <v>1945</v>
      </c>
      <c r="FN769" t="s">
        <v>1945</v>
      </c>
      <c r="FO769" t="s">
        <v>1946</v>
      </c>
      <c r="FP769" t="str">
        <f t="shared" ref="FP769:FP832" si="197">VLOOKUP(FO769,EX:FF,9,0)</f>
        <v>C</v>
      </c>
    </row>
    <row r="770" spans="153:172" x14ac:dyDescent="0.35">
      <c r="EW770" t="s">
        <v>46</v>
      </c>
      <c r="EX770" s="33" t="s">
        <v>47</v>
      </c>
      <c r="EY770" s="35" t="s">
        <v>1947</v>
      </c>
      <c r="EZ770" s="36">
        <v>507983</v>
      </c>
      <c r="FA770" s="36" t="s">
        <v>1726</v>
      </c>
      <c r="FB770" s="36" t="s">
        <v>473</v>
      </c>
      <c r="FC770" s="36" t="s">
        <v>53</v>
      </c>
      <c r="FD770" s="36" t="s">
        <v>476</v>
      </c>
      <c r="FE770" s="36">
        <v>2020</v>
      </c>
      <c r="FF770" s="36" t="s">
        <v>474</v>
      </c>
      <c r="FG770" s="36" t="s">
        <v>1728</v>
      </c>
      <c r="FJ770" t="s">
        <v>474</v>
      </c>
      <c r="FM770" s="32" t="s">
        <v>1750</v>
      </c>
      <c r="FN770" t="s">
        <v>1750</v>
      </c>
      <c r="FO770" t="s">
        <v>1751</v>
      </c>
      <c r="FP770" t="str">
        <f t="shared" si="197"/>
        <v>C</v>
      </c>
    </row>
    <row r="771" spans="153:172" x14ac:dyDescent="0.35">
      <c r="EW771" t="s">
        <v>46</v>
      </c>
      <c r="EX771" s="33" t="s">
        <v>47</v>
      </c>
      <c r="EY771" s="35" t="s">
        <v>1948</v>
      </c>
      <c r="EZ771" s="36">
        <v>509204</v>
      </c>
      <c r="FA771" s="36" t="s">
        <v>1726</v>
      </c>
      <c r="FB771" s="36" t="s">
        <v>473</v>
      </c>
      <c r="FC771" s="36" t="s">
        <v>53</v>
      </c>
      <c r="FD771" s="36" t="s">
        <v>476</v>
      </c>
      <c r="FE771" s="36">
        <v>2020</v>
      </c>
      <c r="FF771" s="36" t="s">
        <v>474</v>
      </c>
      <c r="FG771" s="36" t="s">
        <v>1193</v>
      </c>
      <c r="FJ771" t="s">
        <v>474</v>
      </c>
      <c r="FM771" s="32" t="s">
        <v>1774</v>
      </c>
      <c r="FN771" t="s">
        <v>1774</v>
      </c>
      <c r="FO771" t="s">
        <v>1775</v>
      </c>
      <c r="FP771" t="str">
        <f t="shared" si="197"/>
        <v>C</v>
      </c>
    </row>
    <row r="772" spans="153:172" x14ac:dyDescent="0.35">
      <c r="EW772" t="s">
        <v>46</v>
      </c>
      <c r="EX772" s="33" t="s">
        <v>47</v>
      </c>
      <c r="EY772" s="35" t="s">
        <v>1949</v>
      </c>
      <c r="EZ772" s="36">
        <v>507876</v>
      </c>
      <c r="FA772" s="36" t="s">
        <v>1726</v>
      </c>
      <c r="FB772" s="36" t="s">
        <v>473</v>
      </c>
      <c r="FC772" s="36" t="s">
        <v>53</v>
      </c>
      <c r="FD772" s="36" t="s">
        <v>476</v>
      </c>
      <c r="FE772" s="36">
        <v>2020</v>
      </c>
      <c r="FF772" s="36" t="s">
        <v>474</v>
      </c>
      <c r="FG772" s="36" t="s">
        <v>1728</v>
      </c>
      <c r="FJ772" t="s">
        <v>474</v>
      </c>
      <c r="FM772" s="32" t="s">
        <v>1525</v>
      </c>
      <c r="FN772" t="s">
        <v>1525</v>
      </c>
      <c r="FO772" t="s">
        <v>1526</v>
      </c>
      <c r="FP772" t="str">
        <f t="shared" si="197"/>
        <v>C</v>
      </c>
    </row>
    <row r="773" spans="153:172" x14ac:dyDescent="0.35">
      <c r="EW773" t="s">
        <v>46</v>
      </c>
      <c r="EX773" s="33" t="s">
        <v>47</v>
      </c>
      <c r="EY773" s="35" t="s">
        <v>1950</v>
      </c>
      <c r="EZ773" s="36">
        <v>507532</v>
      </c>
      <c r="FA773" s="36" t="s">
        <v>1726</v>
      </c>
      <c r="FB773" s="36" t="s">
        <v>473</v>
      </c>
      <c r="FC773" s="36" t="s">
        <v>53</v>
      </c>
      <c r="FD773" s="36" t="s">
        <v>476</v>
      </c>
      <c r="FE773" s="36">
        <v>2020</v>
      </c>
      <c r="FF773" s="36" t="s">
        <v>474</v>
      </c>
      <c r="FG773" s="36" t="s">
        <v>1728</v>
      </c>
      <c r="FJ773" t="s">
        <v>474</v>
      </c>
      <c r="FM773" s="32" t="s">
        <v>1951</v>
      </c>
      <c r="FN773" t="s">
        <v>1951</v>
      </c>
      <c r="FO773" t="s">
        <v>1952</v>
      </c>
      <c r="FP773" t="str">
        <f t="shared" si="197"/>
        <v>C</v>
      </c>
    </row>
    <row r="774" spans="153:172" x14ac:dyDescent="0.35">
      <c r="EW774" t="s">
        <v>46</v>
      </c>
      <c r="EX774" s="33" t="s">
        <v>47</v>
      </c>
      <c r="EY774" s="35" t="s">
        <v>1953</v>
      </c>
      <c r="EZ774" s="36">
        <v>508062</v>
      </c>
      <c r="FA774" s="36" t="s">
        <v>1726</v>
      </c>
      <c r="FB774" s="36" t="s">
        <v>473</v>
      </c>
      <c r="FC774" s="36" t="s">
        <v>53</v>
      </c>
      <c r="FD774" s="36" t="s">
        <v>476</v>
      </c>
      <c r="FE774" s="36">
        <v>2020</v>
      </c>
      <c r="FF774" s="36" t="s">
        <v>474</v>
      </c>
      <c r="FG774" s="36" t="s">
        <v>1728</v>
      </c>
      <c r="FJ774" t="s">
        <v>474</v>
      </c>
      <c r="FM774" s="32" t="s">
        <v>624</v>
      </c>
      <c r="FN774" t="s">
        <v>625</v>
      </c>
      <c r="FO774" t="s">
        <v>626</v>
      </c>
      <c r="FP774" t="str">
        <f t="shared" si="197"/>
        <v>B</v>
      </c>
    </row>
    <row r="775" spans="153:172" x14ac:dyDescent="0.35">
      <c r="EW775" t="s">
        <v>46</v>
      </c>
      <c r="EX775" s="33" t="s">
        <v>47</v>
      </c>
      <c r="EY775" s="35" t="s">
        <v>1954</v>
      </c>
      <c r="EZ775" s="36">
        <v>507705</v>
      </c>
      <c r="FA775" s="36" t="s">
        <v>1726</v>
      </c>
      <c r="FB775" s="36" t="s">
        <v>473</v>
      </c>
      <c r="FC775" s="36" t="s">
        <v>53</v>
      </c>
      <c r="FD775" s="36" t="s">
        <v>476</v>
      </c>
      <c r="FE775" s="36">
        <v>2020</v>
      </c>
      <c r="FF775" s="36" t="s">
        <v>474</v>
      </c>
      <c r="FG775" s="36" t="s">
        <v>1728</v>
      </c>
      <c r="FJ775" t="s">
        <v>474</v>
      </c>
      <c r="FM775" s="32" t="s">
        <v>1955</v>
      </c>
      <c r="FN775" t="s">
        <v>1955</v>
      </c>
      <c r="FO775" t="s">
        <v>1956</v>
      </c>
      <c r="FP775" t="str">
        <f t="shared" si="197"/>
        <v>C</v>
      </c>
    </row>
    <row r="776" spans="153:172" x14ac:dyDescent="0.35">
      <c r="EW776" t="s">
        <v>46</v>
      </c>
      <c r="EX776" s="33" t="s">
        <v>47</v>
      </c>
      <c r="EY776" s="35" t="s">
        <v>1957</v>
      </c>
      <c r="EZ776" s="36">
        <v>507636</v>
      </c>
      <c r="FA776" s="36" t="s">
        <v>1726</v>
      </c>
      <c r="FB776" s="36" t="s">
        <v>473</v>
      </c>
      <c r="FC776" s="36" t="s">
        <v>53</v>
      </c>
      <c r="FD776" s="36" t="s">
        <v>476</v>
      </c>
      <c r="FE776" s="36">
        <v>2020</v>
      </c>
      <c r="FF776" s="36" t="s">
        <v>474</v>
      </c>
      <c r="FG776" s="36" t="s">
        <v>1728</v>
      </c>
      <c r="FJ776" t="s">
        <v>474</v>
      </c>
      <c r="FM776" s="32" t="s">
        <v>1358</v>
      </c>
      <c r="FN776" t="s">
        <v>1358</v>
      </c>
      <c r="FO776" t="s">
        <v>1359</v>
      </c>
      <c r="FP776" t="str">
        <f t="shared" si="197"/>
        <v>C</v>
      </c>
    </row>
    <row r="777" spans="153:172" x14ac:dyDescent="0.35">
      <c r="EW777" t="s">
        <v>46</v>
      </c>
      <c r="EX777" s="33" t="s">
        <v>47</v>
      </c>
      <c r="EY777" s="35" t="s">
        <v>1958</v>
      </c>
      <c r="EZ777" s="36">
        <v>508054</v>
      </c>
      <c r="FA777" s="36" t="s">
        <v>1726</v>
      </c>
      <c r="FB777" s="36" t="s">
        <v>473</v>
      </c>
      <c r="FC777" s="36" t="s">
        <v>53</v>
      </c>
      <c r="FD777" s="36" t="s">
        <v>476</v>
      </c>
      <c r="FE777" s="36">
        <v>2020</v>
      </c>
      <c r="FF777" s="36" t="s">
        <v>474</v>
      </c>
      <c r="FG777" s="36" t="s">
        <v>1728</v>
      </c>
      <c r="FJ777" t="s">
        <v>474</v>
      </c>
      <c r="FM777" s="32" t="s">
        <v>1807</v>
      </c>
      <c r="FN777" t="s">
        <v>1807</v>
      </c>
      <c r="FO777" t="s">
        <v>1808</v>
      </c>
      <c r="FP777" t="str">
        <f t="shared" si="197"/>
        <v>C</v>
      </c>
    </row>
    <row r="778" spans="153:172" x14ac:dyDescent="0.35">
      <c r="EW778" t="s">
        <v>46</v>
      </c>
      <c r="EX778" s="33" t="s">
        <v>47</v>
      </c>
      <c r="EY778" s="35" t="s">
        <v>1959</v>
      </c>
      <c r="EZ778" s="36">
        <v>508070</v>
      </c>
      <c r="FA778" s="36" t="s">
        <v>1726</v>
      </c>
      <c r="FB778" s="36" t="s">
        <v>473</v>
      </c>
      <c r="FC778" s="36" t="s">
        <v>53</v>
      </c>
      <c r="FD778" s="36" t="s">
        <v>476</v>
      </c>
      <c r="FE778" s="36">
        <v>2020</v>
      </c>
      <c r="FF778" s="36" t="s">
        <v>474</v>
      </c>
      <c r="FG778" s="36" t="s">
        <v>1728</v>
      </c>
      <c r="FJ778" t="s">
        <v>474</v>
      </c>
      <c r="FM778" s="32" t="s">
        <v>1900</v>
      </c>
      <c r="FN778" t="s">
        <v>1900</v>
      </c>
      <c r="FO778" t="s">
        <v>1901</v>
      </c>
      <c r="FP778" t="str">
        <f t="shared" si="197"/>
        <v>C</v>
      </c>
    </row>
    <row r="779" spans="153:172" x14ac:dyDescent="0.35">
      <c r="EW779" t="s">
        <v>46</v>
      </c>
      <c r="EX779" s="33" t="s">
        <v>47</v>
      </c>
      <c r="EY779" s="35" t="s">
        <v>1960</v>
      </c>
      <c r="EZ779" s="36">
        <v>507800</v>
      </c>
      <c r="FA779" s="36" t="s">
        <v>1726</v>
      </c>
      <c r="FB779" s="36" t="s">
        <v>473</v>
      </c>
      <c r="FC779" s="36" t="s">
        <v>53</v>
      </c>
      <c r="FD779" s="36" t="s">
        <v>476</v>
      </c>
      <c r="FE779" s="36">
        <v>2020</v>
      </c>
      <c r="FF779" s="36" t="s">
        <v>474</v>
      </c>
      <c r="FG779" s="36" t="s">
        <v>1728</v>
      </c>
      <c r="FJ779" t="s">
        <v>474</v>
      </c>
      <c r="FM779" s="32" t="s">
        <v>1851</v>
      </c>
      <c r="FN779" t="s">
        <v>1851</v>
      </c>
      <c r="FO779" t="s">
        <v>1852</v>
      </c>
      <c r="FP779" t="str">
        <f t="shared" si="197"/>
        <v>C</v>
      </c>
    </row>
    <row r="780" spans="153:172" x14ac:dyDescent="0.35">
      <c r="EW780" t="s">
        <v>46</v>
      </c>
      <c r="EX780" s="33" t="s">
        <v>47</v>
      </c>
      <c r="EY780" s="35" t="s">
        <v>1961</v>
      </c>
      <c r="EZ780" s="36">
        <v>508092</v>
      </c>
      <c r="FA780" s="36" t="s">
        <v>1726</v>
      </c>
      <c r="FB780" s="36" t="s">
        <v>473</v>
      </c>
      <c r="FC780" s="36" t="s">
        <v>53</v>
      </c>
      <c r="FD780" s="36" t="s">
        <v>476</v>
      </c>
      <c r="FE780" s="36">
        <v>2020</v>
      </c>
      <c r="FF780" s="36" t="s">
        <v>474</v>
      </c>
      <c r="FG780" s="36" t="s">
        <v>1728</v>
      </c>
      <c r="FJ780" t="s">
        <v>474</v>
      </c>
      <c r="FM780" s="32" t="s">
        <v>1771</v>
      </c>
      <c r="FN780" t="s">
        <v>1771</v>
      </c>
      <c r="FO780" t="s">
        <v>1772</v>
      </c>
      <c r="FP780" t="str">
        <f t="shared" si="197"/>
        <v>C</v>
      </c>
    </row>
    <row r="781" spans="153:172" x14ac:dyDescent="0.35">
      <c r="EW781" t="s">
        <v>46</v>
      </c>
      <c r="EX781" s="33" t="s">
        <v>47</v>
      </c>
      <c r="EY781" s="35" t="s">
        <v>1962</v>
      </c>
      <c r="EZ781" s="36">
        <v>507827</v>
      </c>
      <c r="FA781" s="36" t="s">
        <v>1726</v>
      </c>
      <c r="FB781" s="36" t="s">
        <v>473</v>
      </c>
      <c r="FC781" s="36" t="s">
        <v>53</v>
      </c>
      <c r="FD781" s="36" t="s">
        <v>476</v>
      </c>
      <c r="FE781" s="36">
        <v>2020</v>
      </c>
      <c r="FF781" s="36" t="s">
        <v>474</v>
      </c>
      <c r="FG781" s="36" t="s">
        <v>1728</v>
      </c>
      <c r="FJ781" t="s">
        <v>474</v>
      </c>
      <c r="FM781" s="32" t="s">
        <v>1906</v>
      </c>
      <c r="FN781" t="s">
        <v>1906</v>
      </c>
      <c r="FO781" t="s">
        <v>1907</v>
      </c>
      <c r="FP781" t="str">
        <f t="shared" si="197"/>
        <v>C</v>
      </c>
    </row>
    <row r="782" spans="153:172" x14ac:dyDescent="0.35">
      <c r="EW782" t="s">
        <v>46</v>
      </c>
      <c r="EX782" s="33" t="s">
        <v>47</v>
      </c>
      <c r="EY782" s="35" t="s">
        <v>1963</v>
      </c>
      <c r="EZ782" s="36">
        <v>508067</v>
      </c>
      <c r="FA782" s="36" t="s">
        <v>1726</v>
      </c>
      <c r="FB782" s="36" t="s">
        <v>473</v>
      </c>
      <c r="FC782" s="36" t="s">
        <v>53</v>
      </c>
      <c r="FD782" s="36" t="s">
        <v>476</v>
      </c>
      <c r="FE782" s="36">
        <v>2020</v>
      </c>
      <c r="FF782" s="36" t="s">
        <v>474</v>
      </c>
      <c r="FG782" s="36" t="s">
        <v>1728</v>
      </c>
      <c r="FJ782" t="s">
        <v>474</v>
      </c>
      <c r="FM782" s="32" t="s">
        <v>1845</v>
      </c>
      <c r="FN782" t="s">
        <v>1845</v>
      </c>
      <c r="FO782" t="s">
        <v>1846</v>
      </c>
      <c r="FP782" t="str">
        <f t="shared" si="197"/>
        <v>C</v>
      </c>
    </row>
    <row r="783" spans="153:172" x14ac:dyDescent="0.35">
      <c r="EW783" t="s">
        <v>46</v>
      </c>
      <c r="EX783" s="33" t="s">
        <v>47</v>
      </c>
      <c r="EY783" s="35" t="s">
        <v>1964</v>
      </c>
      <c r="EZ783" s="36">
        <v>507830</v>
      </c>
      <c r="FA783" s="36" t="s">
        <v>1726</v>
      </c>
      <c r="FB783" s="36" t="s">
        <v>473</v>
      </c>
      <c r="FC783" s="36" t="s">
        <v>53</v>
      </c>
      <c r="FD783" s="36" t="s">
        <v>476</v>
      </c>
      <c r="FE783" s="36">
        <v>2020</v>
      </c>
      <c r="FF783" s="36" t="s">
        <v>474</v>
      </c>
      <c r="FG783" s="36" t="s">
        <v>1728</v>
      </c>
      <c r="FJ783" t="s">
        <v>474</v>
      </c>
      <c r="FM783" s="32" t="s">
        <v>1909</v>
      </c>
      <c r="FN783" t="s">
        <v>1909</v>
      </c>
      <c r="FO783" t="s">
        <v>1268</v>
      </c>
      <c r="FP783" t="str">
        <f t="shared" si="197"/>
        <v>C</v>
      </c>
    </row>
    <row r="784" spans="153:172" x14ac:dyDescent="0.35">
      <c r="EW784" t="s">
        <v>46</v>
      </c>
      <c r="EX784" s="33" t="s">
        <v>47</v>
      </c>
      <c r="EY784" s="35" t="s">
        <v>1965</v>
      </c>
      <c r="EZ784" s="36">
        <v>507813</v>
      </c>
      <c r="FA784" s="36" t="s">
        <v>1726</v>
      </c>
      <c r="FB784" s="36" t="s">
        <v>473</v>
      </c>
      <c r="FC784" s="36" t="s">
        <v>53</v>
      </c>
      <c r="FD784" s="36" t="s">
        <v>476</v>
      </c>
      <c r="FE784" s="36">
        <v>2020</v>
      </c>
      <c r="FF784" s="36" t="s">
        <v>474</v>
      </c>
      <c r="FG784" s="36" t="s">
        <v>1728</v>
      </c>
      <c r="FJ784" t="s">
        <v>474</v>
      </c>
      <c r="FM784" s="32" t="s">
        <v>1388</v>
      </c>
      <c r="FN784" t="s">
        <v>1388</v>
      </c>
      <c r="FO784" t="s">
        <v>1389</v>
      </c>
      <c r="FP784" t="str">
        <f t="shared" si="197"/>
        <v>C</v>
      </c>
    </row>
    <row r="785" spans="153:172" x14ac:dyDescent="0.35">
      <c r="EW785" t="s">
        <v>46</v>
      </c>
      <c r="EX785" s="33" t="s">
        <v>47</v>
      </c>
      <c r="EY785" s="35" t="s">
        <v>1966</v>
      </c>
      <c r="EZ785" s="36">
        <v>507862</v>
      </c>
      <c r="FA785" s="36" t="s">
        <v>1726</v>
      </c>
      <c r="FB785" s="36" t="s">
        <v>473</v>
      </c>
      <c r="FC785" s="36" t="s">
        <v>53</v>
      </c>
      <c r="FD785" s="36" t="s">
        <v>476</v>
      </c>
      <c r="FE785" s="36">
        <v>2020</v>
      </c>
      <c r="FF785" s="36" t="s">
        <v>474</v>
      </c>
      <c r="FG785" s="36" t="s">
        <v>1728</v>
      </c>
      <c r="FJ785" t="s">
        <v>474</v>
      </c>
      <c r="FM785" s="32" t="s">
        <v>1911</v>
      </c>
      <c r="FN785" t="s">
        <v>1911</v>
      </c>
      <c r="FO785" t="s">
        <v>1912</v>
      </c>
      <c r="FP785" t="str">
        <f t="shared" si="197"/>
        <v>C</v>
      </c>
    </row>
    <row r="786" spans="153:172" x14ac:dyDescent="0.35">
      <c r="EW786" t="s">
        <v>46</v>
      </c>
      <c r="EX786" s="33" t="s">
        <v>47</v>
      </c>
      <c r="EY786" s="35" t="s">
        <v>1967</v>
      </c>
      <c r="EZ786" s="36">
        <v>507688</v>
      </c>
      <c r="FA786" s="36" t="s">
        <v>1726</v>
      </c>
      <c r="FB786" s="36" t="s">
        <v>473</v>
      </c>
      <c r="FC786" s="36" t="s">
        <v>53</v>
      </c>
      <c r="FD786" s="36" t="s">
        <v>476</v>
      </c>
      <c r="FE786" s="36">
        <v>2020</v>
      </c>
      <c r="FF786" s="36" t="s">
        <v>474</v>
      </c>
      <c r="FG786" s="36" t="s">
        <v>1728</v>
      </c>
      <c r="FJ786" t="s">
        <v>474</v>
      </c>
      <c r="FM786" s="32" t="s">
        <v>1730</v>
      </c>
      <c r="FN786" t="s">
        <v>1730</v>
      </c>
      <c r="FO786" t="s">
        <v>1731</v>
      </c>
      <c r="FP786" t="str">
        <f t="shared" si="197"/>
        <v>C</v>
      </c>
    </row>
    <row r="787" spans="153:172" x14ac:dyDescent="0.35">
      <c r="EW787" t="s">
        <v>46</v>
      </c>
      <c r="EX787" s="33" t="s">
        <v>47</v>
      </c>
      <c r="EY787" s="35" t="s">
        <v>1968</v>
      </c>
      <c r="EZ787" s="36">
        <v>507514</v>
      </c>
      <c r="FA787" s="36" t="s">
        <v>1726</v>
      </c>
      <c r="FB787" s="36" t="s">
        <v>473</v>
      </c>
      <c r="FC787" s="36" t="s">
        <v>53</v>
      </c>
      <c r="FD787" s="36" t="s">
        <v>476</v>
      </c>
      <c r="FE787" s="36">
        <v>2020</v>
      </c>
      <c r="FF787" s="36" t="s">
        <v>474</v>
      </c>
      <c r="FG787" s="36" t="s">
        <v>1728</v>
      </c>
      <c r="FJ787" t="s">
        <v>474</v>
      </c>
      <c r="FM787" s="32" t="s">
        <v>1198</v>
      </c>
      <c r="FN787" t="s">
        <v>1198</v>
      </c>
      <c r="FO787" t="s">
        <v>1199</v>
      </c>
      <c r="FP787" t="str">
        <f t="shared" si="197"/>
        <v>C</v>
      </c>
    </row>
    <row r="788" spans="153:172" x14ac:dyDescent="0.35">
      <c r="EW788" t="s">
        <v>46</v>
      </c>
      <c r="EX788" s="33" t="s">
        <v>47</v>
      </c>
      <c r="EY788" s="35" t="s">
        <v>1969</v>
      </c>
      <c r="EZ788" s="36">
        <v>508059</v>
      </c>
      <c r="FA788" s="36" t="s">
        <v>1726</v>
      </c>
      <c r="FB788" s="36" t="s">
        <v>473</v>
      </c>
      <c r="FC788" s="36" t="s">
        <v>53</v>
      </c>
      <c r="FD788" s="36" t="s">
        <v>476</v>
      </c>
      <c r="FE788" s="36">
        <v>2020</v>
      </c>
      <c r="FF788" s="36" t="s">
        <v>474</v>
      </c>
      <c r="FG788" s="36" t="s">
        <v>1728</v>
      </c>
      <c r="FJ788" t="s">
        <v>474</v>
      </c>
      <c r="FM788" s="32" t="s">
        <v>1817</v>
      </c>
      <c r="FN788" t="s">
        <v>1817</v>
      </c>
      <c r="FO788" t="s">
        <v>1818</v>
      </c>
      <c r="FP788" t="str">
        <f t="shared" si="197"/>
        <v>C</v>
      </c>
    </row>
    <row r="789" spans="153:172" x14ac:dyDescent="0.35">
      <c r="EW789" t="s">
        <v>46</v>
      </c>
      <c r="EX789" s="33" t="s">
        <v>47</v>
      </c>
      <c r="EY789" s="35" t="s">
        <v>1970</v>
      </c>
      <c r="EZ789" s="36">
        <v>507493</v>
      </c>
      <c r="FA789" s="36" t="s">
        <v>1726</v>
      </c>
      <c r="FB789" s="36" t="s">
        <v>473</v>
      </c>
      <c r="FC789" s="36" t="s">
        <v>53</v>
      </c>
      <c r="FD789" s="36" t="s">
        <v>476</v>
      </c>
      <c r="FE789" s="36">
        <v>2020</v>
      </c>
      <c r="FF789" s="36" t="s">
        <v>474</v>
      </c>
      <c r="FG789" s="36" t="s">
        <v>1728</v>
      </c>
      <c r="FJ789" t="s">
        <v>474</v>
      </c>
      <c r="FM789" s="32" t="s">
        <v>1843</v>
      </c>
      <c r="FN789" t="s">
        <v>1843</v>
      </c>
      <c r="FO789" t="s">
        <v>1278</v>
      </c>
      <c r="FP789" t="str">
        <f t="shared" si="197"/>
        <v>C</v>
      </c>
    </row>
    <row r="790" spans="153:172" x14ac:dyDescent="0.35">
      <c r="EW790" t="s">
        <v>46</v>
      </c>
      <c r="EX790" s="33" t="s">
        <v>47</v>
      </c>
      <c r="EY790" s="35" t="s">
        <v>1971</v>
      </c>
      <c r="EZ790" s="36">
        <v>508050</v>
      </c>
      <c r="FA790" s="36" t="s">
        <v>1726</v>
      </c>
      <c r="FB790" s="36" t="s">
        <v>473</v>
      </c>
      <c r="FC790" s="36" t="s">
        <v>53</v>
      </c>
      <c r="FD790" s="36" t="s">
        <v>476</v>
      </c>
      <c r="FE790" s="36">
        <v>2020</v>
      </c>
      <c r="FF790" s="36" t="s">
        <v>474</v>
      </c>
      <c r="FG790" s="36" t="s">
        <v>1728</v>
      </c>
      <c r="FJ790" t="s">
        <v>474</v>
      </c>
      <c r="FM790" s="32" t="s">
        <v>1855</v>
      </c>
      <c r="FN790" t="s">
        <v>1855</v>
      </c>
      <c r="FO790" t="s">
        <v>1856</v>
      </c>
      <c r="FP790" t="str">
        <f t="shared" si="197"/>
        <v>C</v>
      </c>
    </row>
    <row r="791" spans="153:172" x14ac:dyDescent="0.35">
      <c r="EW791" t="s">
        <v>46</v>
      </c>
      <c r="EX791" s="33" t="s">
        <v>47</v>
      </c>
      <c r="EY791" s="35" t="s">
        <v>1972</v>
      </c>
      <c r="EZ791" s="36">
        <v>507531</v>
      </c>
      <c r="FA791" s="36" t="s">
        <v>1726</v>
      </c>
      <c r="FB791" s="36" t="s">
        <v>473</v>
      </c>
      <c r="FC791" s="36" t="s">
        <v>53</v>
      </c>
      <c r="FD791" s="36" t="s">
        <v>476</v>
      </c>
      <c r="FE791" s="36">
        <v>2020</v>
      </c>
      <c r="FF791" s="36" t="s">
        <v>474</v>
      </c>
      <c r="FG791" s="36" t="s">
        <v>1728</v>
      </c>
      <c r="FJ791" t="s">
        <v>474</v>
      </c>
      <c r="FM791" s="32" t="s">
        <v>1350</v>
      </c>
      <c r="FN791" t="s">
        <v>1350</v>
      </c>
      <c r="FO791" t="s">
        <v>1351</v>
      </c>
      <c r="FP791" t="str">
        <f t="shared" si="197"/>
        <v>C</v>
      </c>
    </row>
    <row r="792" spans="153:172" x14ac:dyDescent="0.35">
      <c r="EW792" t="s">
        <v>46</v>
      </c>
      <c r="EX792" s="33" t="s">
        <v>47</v>
      </c>
      <c r="EY792" s="35" t="s">
        <v>1973</v>
      </c>
      <c r="EZ792" s="36">
        <v>507748</v>
      </c>
      <c r="FA792" s="36" t="s">
        <v>1726</v>
      </c>
      <c r="FB792" s="36" t="s">
        <v>473</v>
      </c>
      <c r="FC792" s="36" t="s">
        <v>53</v>
      </c>
      <c r="FD792" s="36" t="s">
        <v>476</v>
      </c>
      <c r="FE792" s="36">
        <v>2020</v>
      </c>
      <c r="FF792" s="36" t="s">
        <v>474</v>
      </c>
      <c r="FG792" s="36" t="s">
        <v>1728</v>
      </c>
      <c r="FJ792" t="s">
        <v>474</v>
      </c>
      <c r="FM792" s="32" t="s">
        <v>1497</v>
      </c>
      <c r="FN792" t="s">
        <v>1497</v>
      </c>
      <c r="FO792" t="s">
        <v>1498</v>
      </c>
      <c r="FP792" t="str">
        <f t="shared" si="197"/>
        <v>C</v>
      </c>
    </row>
    <row r="793" spans="153:172" x14ac:dyDescent="0.35">
      <c r="EW793" t="s">
        <v>46</v>
      </c>
      <c r="EX793" s="33" t="s">
        <v>47</v>
      </c>
      <c r="EY793" s="35" t="s">
        <v>1974</v>
      </c>
      <c r="EZ793" s="36">
        <v>508084</v>
      </c>
      <c r="FA793" s="36" t="s">
        <v>1726</v>
      </c>
      <c r="FB793" s="36" t="s">
        <v>473</v>
      </c>
      <c r="FC793" s="36" t="s">
        <v>53</v>
      </c>
      <c r="FD793" s="36" t="s">
        <v>476</v>
      </c>
      <c r="FE793" s="36">
        <v>2020</v>
      </c>
      <c r="FF793" s="36" t="s">
        <v>474</v>
      </c>
      <c r="FG793" s="36" t="s">
        <v>1728</v>
      </c>
      <c r="FJ793" t="s">
        <v>474</v>
      </c>
      <c r="FM793" s="32" t="s">
        <v>1744</v>
      </c>
      <c r="FN793" t="s">
        <v>1744</v>
      </c>
      <c r="FO793" t="s">
        <v>1745</v>
      </c>
      <c r="FP793" t="str">
        <f t="shared" si="197"/>
        <v>C</v>
      </c>
    </row>
    <row r="794" spans="153:172" x14ac:dyDescent="0.35">
      <c r="EW794" t="s">
        <v>46</v>
      </c>
      <c r="EX794" s="33" t="s">
        <v>47</v>
      </c>
      <c r="EY794" s="35" t="s">
        <v>1975</v>
      </c>
      <c r="EZ794" s="36">
        <v>507795</v>
      </c>
      <c r="FA794" s="36" t="s">
        <v>1726</v>
      </c>
      <c r="FB794" s="36" t="s">
        <v>473</v>
      </c>
      <c r="FC794" s="36" t="s">
        <v>53</v>
      </c>
      <c r="FD794" s="36" t="s">
        <v>476</v>
      </c>
      <c r="FE794" s="36">
        <v>2020</v>
      </c>
      <c r="FF794" s="36" t="s">
        <v>474</v>
      </c>
      <c r="FG794" s="36" t="s">
        <v>1728</v>
      </c>
      <c r="FJ794" t="s">
        <v>474</v>
      </c>
      <c r="FM794" s="32" t="s">
        <v>1811</v>
      </c>
      <c r="FN794" t="s">
        <v>1811</v>
      </c>
      <c r="FO794" t="s">
        <v>1812</v>
      </c>
      <c r="FP794" t="str">
        <f t="shared" si="197"/>
        <v>C</v>
      </c>
    </row>
    <row r="795" spans="153:172" x14ac:dyDescent="0.35">
      <c r="EW795" t="s">
        <v>46</v>
      </c>
      <c r="EX795" s="33" t="s">
        <v>47</v>
      </c>
      <c r="EY795" s="35" t="s">
        <v>1976</v>
      </c>
      <c r="EZ795" s="36">
        <v>507522</v>
      </c>
      <c r="FA795" s="36" t="s">
        <v>1726</v>
      </c>
      <c r="FB795" s="36" t="s">
        <v>473</v>
      </c>
      <c r="FC795" s="36" t="s">
        <v>53</v>
      </c>
      <c r="FD795" s="36" t="s">
        <v>476</v>
      </c>
      <c r="FE795" s="36">
        <v>2020</v>
      </c>
      <c r="FF795" s="36" t="s">
        <v>474</v>
      </c>
      <c r="FG795" s="36" t="s">
        <v>1728</v>
      </c>
      <c r="FJ795" t="s">
        <v>474</v>
      </c>
      <c r="FM795" s="32" t="s">
        <v>1977</v>
      </c>
      <c r="FN795" t="s">
        <v>1977</v>
      </c>
      <c r="FO795" t="s">
        <v>1978</v>
      </c>
      <c r="FP795" t="str">
        <f t="shared" si="197"/>
        <v>C</v>
      </c>
    </row>
    <row r="796" spans="153:172" x14ac:dyDescent="0.35">
      <c r="EW796" t="s">
        <v>46</v>
      </c>
      <c r="EX796" s="33" t="s">
        <v>47</v>
      </c>
      <c r="EY796" s="35" t="s">
        <v>1979</v>
      </c>
      <c r="EZ796" s="36">
        <v>506628</v>
      </c>
      <c r="FA796" s="36" t="s">
        <v>1726</v>
      </c>
      <c r="FB796" s="36" t="s">
        <v>473</v>
      </c>
      <c r="FC796" s="36" t="s">
        <v>53</v>
      </c>
      <c r="FD796" s="36" t="s">
        <v>476</v>
      </c>
      <c r="FE796" s="36">
        <v>2020</v>
      </c>
      <c r="FF796" s="36" t="s">
        <v>474</v>
      </c>
      <c r="FG796" s="36" t="s">
        <v>1193</v>
      </c>
      <c r="FJ796" t="s">
        <v>474</v>
      </c>
      <c r="FM796" s="32" t="s">
        <v>1750</v>
      </c>
      <c r="FN796" t="s">
        <v>1750</v>
      </c>
      <c r="FO796" t="s">
        <v>1751</v>
      </c>
      <c r="FP796" t="str">
        <f t="shared" si="197"/>
        <v>C</v>
      </c>
    </row>
    <row r="797" spans="153:172" x14ac:dyDescent="0.35">
      <c r="EW797" t="s">
        <v>46</v>
      </c>
      <c r="EX797" s="33" t="s">
        <v>47</v>
      </c>
      <c r="EY797" s="35" t="s">
        <v>1980</v>
      </c>
      <c r="EZ797" s="36">
        <v>507710</v>
      </c>
      <c r="FA797" s="36" t="s">
        <v>1726</v>
      </c>
      <c r="FB797" s="36" t="s">
        <v>473</v>
      </c>
      <c r="FC797" s="36" t="s">
        <v>53</v>
      </c>
      <c r="FD797" s="36" t="s">
        <v>476</v>
      </c>
      <c r="FE797" s="36">
        <v>2020</v>
      </c>
      <c r="FF797" s="36" t="s">
        <v>474</v>
      </c>
      <c r="FG797" s="36" t="s">
        <v>1728</v>
      </c>
      <c r="FJ797" t="s">
        <v>474</v>
      </c>
      <c r="FM797" s="32" t="s">
        <v>1759</v>
      </c>
      <c r="FN797" t="s">
        <v>1759</v>
      </c>
      <c r="FO797" t="s">
        <v>1760</v>
      </c>
      <c r="FP797" t="str">
        <f t="shared" si="197"/>
        <v>C</v>
      </c>
    </row>
    <row r="798" spans="153:172" x14ac:dyDescent="0.35">
      <c r="EW798" t="s">
        <v>46</v>
      </c>
      <c r="EX798" s="33" t="s">
        <v>47</v>
      </c>
      <c r="EY798" s="35" t="s">
        <v>1981</v>
      </c>
      <c r="EZ798" s="36">
        <v>507489</v>
      </c>
      <c r="FA798" s="36" t="s">
        <v>1726</v>
      </c>
      <c r="FB798" s="36" t="s">
        <v>473</v>
      </c>
      <c r="FC798" s="36" t="s">
        <v>53</v>
      </c>
      <c r="FD798" s="36" t="s">
        <v>476</v>
      </c>
      <c r="FE798" s="36">
        <v>2020</v>
      </c>
      <c r="FF798" s="36" t="s">
        <v>474</v>
      </c>
      <c r="FG798" s="36" t="s">
        <v>1728</v>
      </c>
      <c r="FJ798" t="s">
        <v>474</v>
      </c>
      <c r="FM798" s="32" t="s">
        <v>1756</v>
      </c>
      <c r="FN798" t="s">
        <v>1756</v>
      </c>
      <c r="FO798" t="s">
        <v>1757</v>
      </c>
      <c r="FP798" t="str">
        <f t="shared" si="197"/>
        <v>C</v>
      </c>
    </row>
    <row r="799" spans="153:172" x14ac:dyDescent="0.35">
      <c r="EW799" t="s">
        <v>46</v>
      </c>
      <c r="EX799" s="33" t="s">
        <v>47</v>
      </c>
      <c r="EY799" s="35" t="s">
        <v>1982</v>
      </c>
      <c r="EZ799" s="36">
        <v>507762</v>
      </c>
      <c r="FA799" s="36" t="s">
        <v>1726</v>
      </c>
      <c r="FB799" s="36" t="s">
        <v>473</v>
      </c>
      <c r="FC799" s="36" t="s">
        <v>53</v>
      </c>
      <c r="FD799" s="36" t="s">
        <v>476</v>
      </c>
      <c r="FE799" s="36">
        <v>2020</v>
      </c>
      <c r="FF799" s="36" t="s">
        <v>474</v>
      </c>
      <c r="FG799" s="36" t="s">
        <v>1728</v>
      </c>
      <c r="FJ799" t="s">
        <v>474</v>
      </c>
      <c r="FM799" s="32" t="s">
        <v>1762</v>
      </c>
      <c r="FN799" t="s">
        <v>1762</v>
      </c>
      <c r="FO799" t="s">
        <v>1763</v>
      </c>
      <c r="FP799" t="str">
        <f t="shared" si="197"/>
        <v>C</v>
      </c>
    </row>
    <row r="800" spans="153:172" x14ac:dyDescent="0.35">
      <c r="EW800" t="s">
        <v>46</v>
      </c>
      <c r="EX800" s="33" t="s">
        <v>47</v>
      </c>
      <c r="EY800" s="35" t="s">
        <v>1983</v>
      </c>
      <c r="EZ800" s="36">
        <v>507817</v>
      </c>
      <c r="FA800" s="36" t="s">
        <v>1726</v>
      </c>
      <c r="FB800" s="36" t="s">
        <v>473</v>
      </c>
      <c r="FC800" s="36" t="s">
        <v>53</v>
      </c>
      <c r="FD800" s="36" t="s">
        <v>476</v>
      </c>
      <c r="FE800" s="36">
        <v>2020</v>
      </c>
      <c r="FF800" s="36" t="s">
        <v>474</v>
      </c>
      <c r="FG800" s="36" t="s">
        <v>1728</v>
      </c>
      <c r="FJ800" t="s">
        <v>474</v>
      </c>
      <c r="FM800" s="32" t="s">
        <v>1768</v>
      </c>
      <c r="FN800" t="s">
        <v>1768</v>
      </c>
      <c r="FO800" t="s">
        <v>1769</v>
      </c>
      <c r="FP800" t="str">
        <f t="shared" si="197"/>
        <v>C</v>
      </c>
    </row>
    <row r="801" spans="153:172" x14ac:dyDescent="0.35">
      <c r="EW801" t="s">
        <v>46</v>
      </c>
      <c r="EX801" s="33" t="s">
        <v>47</v>
      </c>
      <c r="EY801" s="35" t="s">
        <v>1984</v>
      </c>
      <c r="EZ801" s="36">
        <v>509236</v>
      </c>
      <c r="FA801" s="36" t="s">
        <v>1726</v>
      </c>
      <c r="FB801" s="36" t="s">
        <v>473</v>
      </c>
      <c r="FC801" s="36" t="s">
        <v>53</v>
      </c>
      <c r="FD801" s="36" t="s">
        <v>476</v>
      </c>
      <c r="FE801" s="36">
        <v>2020</v>
      </c>
      <c r="FF801" s="36" t="s">
        <v>474</v>
      </c>
      <c r="FG801" s="36" t="s">
        <v>1728</v>
      </c>
      <c r="FJ801" t="s">
        <v>474</v>
      </c>
      <c r="FM801" s="32" t="s">
        <v>1765</v>
      </c>
      <c r="FN801" t="s">
        <v>1765</v>
      </c>
      <c r="FO801" t="s">
        <v>1766</v>
      </c>
      <c r="FP801" t="str">
        <f t="shared" si="197"/>
        <v>C</v>
      </c>
    </row>
    <row r="802" spans="153:172" x14ac:dyDescent="0.35">
      <c r="EW802" t="s">
        <v>46</v>
      </c>
      <c r="EX802" s="33" t="s">
        <v>47</v>
      </c>
      <c r="EY802" s="35" t="s">
        <v>1985</v>
      </c>
      <c r="EZ802" s="36">
        <v>507070</v>
      </c>
      <c r="FA802" s="36" t="s">
        <v>1726</v>
      </c>
      <c r="FB802" s="36" t="s">
        <v>473</v>
      </c>
      <c r="FC802" s="36" t="s">
        <v>53</v>
      </c>
      <c r="FD802" s="36" t="s">
        <v>476</v>
      </c>
      <c r="FE802" s="36">
        <v>2020</v>
      </c>
      <c r="FF802" s="36" t="s">
        <v>474</v>
      </c>
      <c r="FG802" s="36" t="s">
        <v>1193</v>
      </c>
      <c r="FJ802" t="s">
        <v>474</v>
      </c>
      <c r="FM802" s="32" t="s">
        <v>1771</v>
      </c>
      <c r="FN802" t="s">
        <v>1771</v>
      </c>
      <c r="FO802" t="s">
        <v>1772</v>
      </c>
      <c r="FP802" t="str">
        <f t="shared" si="197"/>
        <v>C</v>
      </c>
    </row>
    <row r="803" spans="153:172" x14ac:dyDescent="0.35">
      <c r="EW803" t="s">
        <v>46</v>
      </c>
      <c r="EX803" s="33" t="s">
        <v>47</v>
      </c>
      <c r="EY803" s="35" t="s">
        <v>1986</v>
      </c>
      <c r="EZ803" s="36">
        <v>507658</v>
      </c>
      <c r="FA803" s="36" t="s">
        <v>1726</v>
      </c>
      <c r="FB803" s="36" t="s">
        <v>473</v>
      </c>
      <c r="FC803" s="36" t="s">
        <v>53</v>
      </c>
      <c r="FD803" s="36" t="s">
        <v>476</v>
      </c>
      <c r="FE803" s="36">
        <v>2020</v>
      </c>
      <c r="FF803" s="36" t="s">
        <v>474</v>
      </c>
      <c r="FG803" s="36" t="s">
        <v>1728</v>
      </c>
      <c r="FJ803" t="s">
        <v>474</v>
      </c>
      <c r="FM803" s="32" t="s">
        <v>1777</v>
      </c>
      <c r="FN803" t="s">
        <v>1777</v>
      </c>
      <c r="FO803" t="s">
        <v>1778</v>
      </c>
      <c r="FP803" t="str">
        <f t="shared" si="197"/>
        <v>C</v>
      </c>
    </row>
    <row r="804" spans="153:172" x14ac:dyDescent="0.35">
      <c r="EW804" t="s">
        <v>46</v>
      </c>
      <c r="EX804" s="33" t="s">
        <v>47</v>
      </c>
      <c r="EY804" s="35" t="s">
        <v>1987</v>
      </c>
      <c r="EZ804" s="36">
        <v>507679</v>
      </c>
      <c r="FA804" s="36" t="s">
        <v>1726</v>
      </c>
      <c r="FB804" s="36" t="s">
        <v>473</v>
      </c>
      <c r="FC804" s="36" t="s">
        <v>53</v>
      </c>
      <c r="FD804" s="36" t="s">
        <v>476</v>
      </c>
      <c r="FE804" s="36">
        <v>2020</v>
      </c>
      <c r="FF804" s="36" t="s">
        <v>474</v>
      </c>
      <c r="FG804" s="36" t="s">
        <v>1728</v>
      </c>
      <c r="FJ804" t="s">
        <v>474</v>
      </c>
      <c r="FM804" s="32" t="s">
        <v>1781</v>
      </c>
      <c r="FN804" t="s">
        <v>1781</v>
      </c>
      <c r="FO804" t="s">
        <v>1782</v>
      </c>
      <c r="FP804" t="str">
        <f t="shared" si="197"/>
        <v>C</v>
      </c>
    </row>
    <row r="805" spans="153:172" x14ac:dyDescent="0.35">
      <c r="EW805" t="s">
        <v>46</v>
      </c>
      <c r="EX805" s="33" t="s">
        <v>47</v>
      </c>
      <c r="EY805" s="35" t="s">
        <v>1988</v>
      </c>
      <c r="EZ805" s="36">
        <v>507655</v>
      </c>
      <c r="FA805" s="36" t="s">
        <v>1726</v>
      </c>
      <c r="FB805" s="36" t="s">
        <v>473</v>
      </c>
      <c r="FC805" s="36" t="s">
        <v>53</v>
      </c>
      <c r="FD805" s="36" t="s">
        <v>476</v>
      </c>
      <c r="FE805" s="36">
        <v>2020</v>
      </c>
      <c r="FF805" s="36" t="s">
        <v>474</v>
      </c>
      <c r="FG805" s="36" t="s">
        <v>1728</v>
      </c>
      <c r="FJ805" t="s">
        <v>474</v>
      </c>
      <c r="FM805" s="32" t="s">
        <v>1787</v>
      </c>
      <c r="FN805" t="s">
        <v>1787</v>
      </c>
      <c r="FO805" t="s">
        <v>1788</v>
      </c>
      <c r="FP805" t="str">
        <f t="shared" si="197"/>
        <v>C</v>
      </c>
    </row>
    <row r="806" spans="153:172" x14ac:dyDescent="0.35">
      <c r="EW806" t="s">
        <v>46</v>
      </c>
      <c r="EX806" s="33" t="s">
        <v>47</v>
      </c>
      <c r="EY806" s="35" t="s">
        <v>1989</v>
      </c>
      <c r="EZ806" s="36">
        <v>507719</v>
      </c>
      <c r="FA806" s="36" t="s">
        <v>1726</v>
      </c>
      <c r="FB806" s="36" t="s">
        <v>473</v>
      </c>
      <c r="FC806" s="36" t="s">
        <v>53</v>
      </c>
      <c r="FD806" s="36" t="s">
        <v>476</v>
      </c>
      <c r="FE806" s="36">
        <v>2020</v>
      </c>
      <c r="FF806" s="36" t="s">
        <v>474</v>
      </c>
      <c r="FG806" s="36" t="s">
        <v>1728</v>
      </c>
      <c r="FJ806" t="s">
        <v>474</v>
      </c>
      <c r="FM806" s="32" t="s">
        <v>1173</v>
      </c>
      <c r="FN806" t="s">
        <v>1174</v>
      </c>
      <c r="FO806" t="s">
        <v>1175</v>
      </c>
      <c r="FP806" t="str">
        <f t="shared" si="197"/>
        <v>C</v>
      </c>
    </row>
    <row r="807" spans="153:172" x14ac:dyDescent="0.35">
      <c r="EW807" t="s">
        <v>46</v>
      </c>
      <c r="EX807" s="33" t="s">
        <v>47</v>
      </c>
      <c r="EY807" s="35" t="s">
        <v>1990</v>
      </c>
      <c r="EZ807" s="36">
        <v>507775</v>
      </c>
      <c r="FA807" s="36" t="s">
        <v>1726</v>
      </c>
      <c r="FB807" s="36" t="s">
        <v>473</v>
      </c>
      <c r="FC807" s="36" t="s">
        <v>53</v>
      </c>
      <c r="FD807" s="36" t="s">
        <v>476</v>
      </c>
      <c r="FE807" s="36">
        <v>2020</v>
      </c>
      <c r="FF807" s="36" t="s">
        <v>474</v>
      </c>
      <c r="FG807" s="36" t="s">
        <v>1728</v>
      </c>
      <c r="FJ807" t="s">
        <v>474</v>
      </c>
      <c r="FM807" s="32" t="s">
        <v>1581</v>
      </c>
      <c r="FN807" t="s">
        <v>1581</v>
      </c>
      <c r="FO807" t="s">
        <v>1554</v>
      </c>
      <c r="FP807" t="str">
        <f t="shared" si="197"/>
        <v>C</v>
      </c>
    </row>
    <row r="808" spans="153:172" x14ac:dyDescent="0.35">
      <c r="EW808" t="s">
        <v>46</v>
      </c>
      <c r="EX808" s="33" t="s">
        <v>47</v>
      </c>
      <c r="EY808" s="35" t="s">
        <v>1991</v>
      </c>
      <c r="EZ808" s="36">
        <v>508214</v>
      </c>
      <c r="FA808" s="36" t="s">
        <v>1726</v>
      </c>
      <c r="FB808" s="36" t="s">
        <v>473</v>
      </c>
      <c r="FC808" s="36" t="s">
        <v>53</v>
      </c>
      <c r="FD808" s="36" t="s">
        <v>476</v>
      </c>
      <c r="FE808" s="36">
        <v>2020</v>
      </c>
      <c r="FF808" s="36" t="s">
        <v>474</v>
      </c>
      <c r="FG808" s="36" t="s">
        <v>1728</v>
      </c>
      <c r="FJ808" t="s">
        <v>474</v>
      </c>
      <c r="FM808" s="32" t="s">
        <v>1784</v>
      </c>
      <c r="FN808" t="s">
        <v>1784</v>
      </c>
      <c r="FO808" t="s">
        <v>1785</v>
      </c>
      <c r="FP808" t="str">
        <f t="shared" si="197"/>
        <v>C</v>
      </c>
    </row>
    <row r="809" spans="153:172" x14ac:dyDescent="0.35">
      <c r="EW809" t="s">
        <v>46</v>
      </c>
      <c r="EX809" s="33" t="s">
        <v>47</v>
      </c>
      <c r="EY809" s="35" t="s">
        <v>1992</v>
      </c>
      <c r="EZ809" s="36">
        <v>508621</v>
      </c>
      <c r="FA809" s="36" t="s">
        <v>1726</v>
      </c>
      <c r="FB809" s="36" t="s">
        <v>473</v>
      </c>
      <c r="FC809" s="36" t="s">
        <v>53</v>
      </c>
      <c r="FD809" s="36" t="s">
        <v>476</v>
      </c>
      <c r="FE809" s="36">
        <v>2020</v>
      </c>
      <c r="FF809" s="36" t="s">
        <v>474</v>
      </c>
      <c r="FG809" s="36" t="s">
        <v>1728</v>
      </c>
      <c r="FJ809" t="s">
        <v>474</v>
      </c>
      <c r="FM809" s="32" t="s">
        <v>1794</v>
      </c>
      <c r="FN809" t="s">
        <v>1794</v>
      </c>
      <c r="FO809" t="s">
        <v>1795</v>
      </c>
      <c r="FP809" t="str">
        <f t="shared" si="197"/>
        <v>C</v>
      </c>
    </row>
    <row r="810" spans="153:172" x14ac:dyDescent="0.35">
      <c r="EW810" t="s">
        <v>46</v>
      </c>
      <c r="EX810" s="33" t="s">
        <v>47</v>
      </c>
      <c r="EY810" s="35" t="s">
        <v>1993</v>
      </c>
      <c r="EZ810" s="36">
        <v>507509</v>
      </c>
      <c r="FA810" s="36" t="s">
        <v>1726</v>
      </c>
      <c r="FB810" s="36" t="s">
        <v>473</v>
      </c>
      <c r="FC810" s="36" t="s">
        <v>53</v>
      </c>
      <c r="FD810" s="36" t="s">
        <v>476</v>
      </c>
      <c r="FE810" s="36">
        <v>2020</v>
      </c>
      <c r="FF810" s="36" t="s">
        <v>474</v>
      </c>
      <c r="FG810" s="36" t="s">
        <v>1728</v>
      </c>
      <c r="FJ810" t="s">
        <v>474</v>
      </c>
      <c r="FM810" s="32" t="s">
        <v>1797</v>
      </c>
      <c r="FN810" t="s">
        <v>1797</v>
      </c>
      <c r="FO810" t="s">
        <v>1798</v>
      </c>
      <c r="FP810" t="str">
        <f t="shared" si="197"/>
        <v>C</v>
      </c>
    </row>
    <row r="811" spans="153:172" x14ac:dyDescent="0.35">
      <c r="EW811" t="s">
        <v>46</v>
      </c>
      <c r="EX811" s="33" t="s">
        <v>47</v>
      </c>
      <c r="EY811" s="35" t="s">
        <v>1994</v>
      </c>
      <c r="EZ811" s="36">
        <v>507017</v>
      </c>
      <c r="FA811" s="36" t="s">
        <v>1726</v>
      </c>
      <c r="FB811" s="36" t="s">
        <v>473</v>
      </c>
      <c r="FC811" s="36" t="s">
        <v>53</v>
      </c>
      <c r="FD811" s="36" t="s">
        <v>476</v>
      </c>
      <c r="FE811" s="36">
        <v>2020</v>
      </c>
      <c r="FF811" s="36" t="s">
        <v>474</v>
      </c>
      <c r="FG811" s="36" t="s">
        <v>1193</v>
      </c>
      <c r="FJ811" t="s">
        <v>474</v>
      </c>
      <c r="FM811" s="32" t="s">
        <v>1800</v>
      </c>
      <c r="FN811" t="s">
        <v>1800</v>
      </c>
      <c r="FO811" t="s">
        <v>1801</v>
      </c>
      <c r="FP811" t="str">
        <f t="shared" si="197"/>
        <v>C</v>
      </c>
    </row>
    <row r="812" spans="153:172" x14ac:dyDescent="0.35">
      <c r="EW812" t="s">
        <v>46</v>
      </c>
      <c r="EX812" s="33" t="s">
        <v>47</v>
      </c>
      <c r="EY812" s="35" t="s">
        <v>1995</v>
      </c>
      <c r="EZ812" s="36">
        <v>507871</v>
      </c>
      <c r="FA812" s="36" t="s">
        <v>1726</v>
      </c>
      <c r="FB812" s="36" t="s">
        <v>473</v>
      </c>
      <c r="FC812" s="36" t="s">
        <v>53</v>
      </c>
      <c r="FD812" s="36" t="s">
        <v>476</v>
      </c>
      <c r="FE812" s="36">
        <v>2020</v>
      </c>
      <c r="FF812" s="36" t="s">
        <v>474</v>
      </c>
      <c r="FG812" s="36" t="s">
        <v>1728</v>
      </c>
      <c r="FJ812" t="s">
        <v>474</v>
      </c>
      <c r="FM812" s="32" t="s">
        <v>1804</v>
      </c>
      <c r="FN812" t="s">
        <v>1804</v>
      </c>
      <c r="FO812" t="s">
        <v>1805</v>
      </c>
      <c r="FP812" t="str">
        <f t="shared" si="197"/>
        <v>C</v>
      </c>
    </row>
    <row r="813" spans="153:172" x14ac:dyDescent="0.35">
      <c r="EW813" t="s">
        <v>46</v>
      </c>
      <c r="EX813" s="33" t="s">
        <v>47</v>
      </c>
      <c r="EY813" s="35" t="s">
        <v>1996</v>
      </c>
      <c r="EZ813" s="36">
        <v>509217</v>
      </c>
      <c r="FA813" s="36" t="s">
        <v>1726</v>
      </c>
      <c r="FB813" s="36" t="s">
        <v>473</v>
      </c>
      <c r="FC813" s="36" t="s">
        <v>53</v>
      </c>
      <c r="FD813" s="36" t="s">
        <v>476</v>
      </c>
      <c r="FE813" s="36">
        <v>2020</v>
      </c>
      <c r="FF813" s="36" t="s">
        <v>474</v>
      </c>
      <c r="FG813" s="36" t="s">
        <v>1728</v>
      </c>
      <c r="FJ813" t="s">
        <v>474</v>
      </c>
      <c r="FM813" s="32" t="s">
        <v>1132</v>
      </c>
      <c r="FN813" t="s">
        <v>1133</v>
      </c>
      <c r="FO813" t="s">
        <v>1134</v>
      </c>
      <c r="FP813" t="str">
        <f t="shared" si="197"/>
        <v>C</v>
      </c>
    </row>
    <row r="814" spans="153:172" x14ac:dyDescent="0.35">
      <c r="EW814" t="s">
        <v>46</v>
      </c>
      <c r="EX814" s="33" t="s">
        <v>47</v>
      </c>
      <c r="EY814" s="35" t="s">
        <v>1997</v>
      </c>
      <c r="EZ814" s="36">
        <v>508593</v>
      </c>
      <c r="FA814" s="36" t="s">
        <v>1726</v>
      </c>
      <c r="FB814" s="36" t="s">
        <v>473</v>
      </c>
      <c r="FC814" s="36" t="s">
        <v>53</v>
      </c>
      <c r="FD814" s="36" t="s">
        <v>476</v>
      </c>
      <c r="FE814" s="36">
        <v>2020</v>
      </c>
      <c r="FF814" s="36" t="s">
        <v>474</v>
      </c>
      <c r="FG814" s="36" t="s">
        <v>1728</v>
      </c>
      <c r="FJ814" t="s">
        <v>474</v>
      </c>
      <c r="FM814" s="32" t="s">
        <v>1807</v>
      </c>
      <c r="FN814" t="s">
        <v>1807</v>
      </c>
      <c r="FO814" t="s">
        <v>1808</v>
      </c>
      <c r="FP814" t="str">
        <f t="shared" si="197"/>
        <v>C</v>
      </c>
    </row>
    <row r="815" spans="153:172" x14ac:dyDescent="0.35">
      <c r="EW815" t="s">
        <v>46</v>
      </c>
      <c r="EX815" s="33" t="s">
        <v>47</v>
      </c>
      <c r="EY815" s="35" t="s">
        <v>1998</v>
      </c>
      <c r="EZ815" s="36">
        <v>509325</v>
      </c>
      <c r="FA815" s="36" t="s">
        <v>1726</v>
      </c>
      <c r="FB815" s="36" t="s">
        <v>473</v>
      </c>
      <c r="FC815" s="36" t="s">
        <v>53</v>
      </c>
      <c r="FD815" s="36" t="s">
        <v>476</v>
      </c>
      <c r="FE815" s="36">
        <v>2020</v>
      </c>
      <c r="FF815" s="36" t="s">
        <v>474</v>
      </c>
      <c r="FG815" s="36" t="s">
        <v>1728</v>
      </c>
      <c r="FJ815" t="s">
        <v>474</v>
      </c>
      <c r="FM815" s="32" t="s">
        <v>1735</v>
      </c>
      <c r="FN815" t="s">
        <v>1735</v>
      </c>
      <c r="FO815" t="s">
        <v>1736</v>
      </c>
      <c r="FP815" t="str">
        <f t="shared" si="197"/>
        <v>C</v>
      </c>
    </row>
    <row r="816" spans="153:172" x14ac:dyDescent="0.35">
      <c r="EW816" t="s">
        <v>46</v>
      </c>
      <c r="EX816" s="33" t="s">
        <v>47</v>
      </c>
      <c r="EY816" s="35" t="s">
        <v>1999</v>
      </c>
      <c r="EZ816" s="36">
        <v>509608</v>
      </c>
      <c r="FA816" s="36" t="s">
        <v>1726</v>
      </c>
      <c r="FB816" s="36" t="s">
        <v>473</v>
      </c>
      <c r="FC816" s="36" t="s">
        <v>53</v>
      </c>
      <c r="FD816" s="36" t="s">
        <v>476</v>
      </c>
      <c r="FE816" s="36">
        <v>2020</v>
      </c>
      <c r="FF816" s="36" t="s">
        <v>474</v>
      </c>
      <c r="FG816" s="36" t="s">
        <v>1728</v>
      </c>
      <c r="FJ816" t="s">
        <v>474</v>
      </c>
      <c r="FM816" s="32" t="s">
        <v>1738</v>
      </c>
      <c r="FN816" t="s">
        <v>1738</v>
      </c>
      <c r="FO816" t="s">
        <v>1739</v>
      </c>
      <c r="FP816" t="str">
        <f t="shared" si="197"/>
        <v>C</v>
      </c>
    </row>
    <row r="817" spans="153:172" x14ac:dyDescent="0.35">
      <c r="EW817" t="s">
        <v>46</v>
      </c>
      <c r="EX817" s="33" t="s">
        <v>47</v>
      </c>
      <c r="EY817" s="35" t="s">
        <v>2000</v>
      </c>
      <c r="EZ817" s="36">
        <v>509543</v>
      </c>
      <c r="FA817" s="36" t="s">
        <v>1726</v>
      </c>
      <c r="FB817" s="36" t="s">
        <v>473</v>
      </c>
      <c r="FC817" s="36" t="s">
        <v>53</v>
      </c>
      <c r="FD817" s="36" t="s">
        <v>476</v>
      </c>
      <c r="FE817" s="36">
        <v>2020</v>
      </c>
      <c r="FF817" s="36" t="s">
        <v>474</v>
      </c>
      <c r="FG817" s="36" t="s">
        <v>1728</v>
      </c>
      <c r="FJ817" t="s">
        <v>474</v>
      </c>
      <c r="FM817" s="32" t="s">
        <v>1627</v>
      </c>
      <c r="FN817" t="s">
        <v>1627</v>
      </c>
      <c r="FO817" t="s">
        <v>1628</v>
      </c>
      <c r="FP817" t="str">
        <f t="shared" si="197"/>
        <v>C</v>
      </c>
    </row>
    <row r="818" spans="153:172" x14ac:dyDescent="0.35">
      <c r="EW818" t="s">
        <v>46</v>
      </c>
      <c r="EX818" s="33" t="s">
        <v>47</v>
      </c>
      <c r="EY818" s="35" t="s">
        <v>2001</v>
      </c>
      <c r="EZ818" s="36" t="s">
        <v>2002</v>
      </c>
      <c r="FA818" s="36" t="s">
        <v>2003</v>
      </c>
      <c r="FB818" s="36" t="s">
        <v>2004</v>
      </c>
      <c r="FC818" s="36" t="s">
        <v>2003</v>
      </c>
      <c r="FD818" s="36" t="s">
        <v>2004</v>
      </c>
      <c r="FE818" s="36">
        <v>2022</v>
      </c>
      <c r="FF818" s="36" t="s">
        <v>59</v>
      </c>
      <c r="FG818" s="36" t="s">
        <v>1241</v>
      </c>
      <c r="FJ818" t="s">
        <v>59</v>
      </c>
      <c r="FM818" s="32" t="s">
        <v>1741</v>
      </c>
      <c r="FN818" t="s">
        <v>1741</v>
      </c>
      <c r="FO818" t="s">
        <v>1742</v>
      </c>
      <c r="FP818" t="str">
        <f t="shared" si="197"/>
        <v>C</v>
      </c>
    </row>
    <row r="819" spans="153:172" x14ac:dyDescent="0.35">
      <c r="EW819" t="s">
        <v>46</v>
      </c>
      <c r="EX819" s="33" t="s">
        <v>47</v>
      </c>
      <c r="EY819" s="35" t="s">
        <v>2005</v>
      </c>
      <c r="EZ819" s="36" t="s">
        <v>2006</v>
      </c>
      <c r="FA819" s="36" t="s">
        <v>2003</v>
      </c>
      <c r="FB819" s="36" t="s">
        <v>2004</v>
      </c>
      <c r="FC819" s="36" t="s">
        <v>2003</v>
      </c>
      <c r="FD819" s="36" t="s">
        <v>2004</v>
      </c>
      <c r="FE819" s="36">
        <v>2022</v>
      </c>
      <c r="FF819" s="36" t="s">
        <v>59</v>
      </c>
      <c r="FG819" s="36" t="s">
        <v>1241</v>
      </c>
      <c r="FJ819" t="s">
        <v>59</v>
      </c>
      <c r="FM819" s="32" t="s">
        <v>1811</v>
      </c>
      <c r="FN819" t="s">
        <v>1811</v>
      </c>
      <c r="FO819" t="s">
        <v>1812</v>
      </c>
      <c r="FP819" t="str">
        <f t="shared" si="197"/>
        <v>C</v>
      </c>
    </row>
    <row r="820" spans="153:172" x14ac:dyDescent="0.35">
      <c r="EW820" t="s">
        <v>46</v>
      </c>
      <c r="EX820" s="33" t="s">
        <v>47</v>
      </c>
      <c r="EY820" s="35" t="s">
        <v>2007</v>
      </c>
      <c r="EZ820" s="36" t="s">
        <v>2008</v>
      </c>
      <c r="FA820" s="36" t="s">
        <v>2003</v>
      </c>
      <c r="FB820" s="36" t="s">
        <v>2004</v>
      </c>
      <c r="FC820" s="36" t="s">
        <v>2003</v>
      </c>
      <c r="FD820" s="36" t="s">
        <v>2004</v>
      </c>
      <c r="FE820" s="36">
        <v>2022</v>
      </c>
      <c r="FF820" s="36" t="s">
        <v>59</v>
      </c>
      <c r="FG820" s="36" t="s">
        <v>1728</v>
      </c>
      <c r="FJ820" t="s">
        <v>59</v>
      </c>
      <c r="FM820" s="32" t="s">
        <v>1956</v>
      </c>
      <c r="FN820" t="s">
        <v>1956</v>
      </c>
      <c r="FO820" t="s">
        <v>1956</v>
      </c>
      <c r="FP820" t="str">
        <f t="shared" si="197"/>
        <v>C</v>
      </c>
    </row>
    <row r="821" spans="153:172" x14ac:dyDescent="0.35">
      <c r="EW821" t="s">
        <v>46</v>
      </c>
      <c r="EX821" s="33" t="s">
        <v>47</v>
      </c>
      <c r="EY821" s="35" t="s">
        <v>2009</v>
      </c>
      <c r="EZ821" s="36" t="s">
        <v>2010</v>
      </c>
      <c r="FA821" s="36" t="s">
        <v>2003</v>
      </c>
      <c r="FB821" s="36" t="s">
        <v>2004</v>
      </c>
      <c r="FC821" s="36" t="s">
        <v>2003</v>
      </c>
      <c r="FD821" s="36" t="s">
        <v>2004</v>
      </c>
      <c r="FE821" s="36">
        <v>2022</v>
      </c>
      <c r="FF821" s="36" t="s">
        <v>59</v>
      </c>
      <c r="FG821" s="36" t="s">
        <v>1728</v>
      </c>
      <c r="FJ821" t="s">
        <v>59</v>
      </c>
      <c r="FM821" s="32" t="s">
        <v>1745</v>
      </c>
      <c r="FN821" t="s">
        <v>1745</v>
      </c>
      <c r="FO821" t="s">
        <v>1745</v>
      </c>
      <c r="FP821" t="str">
        <f t="shared" si="197"/>
        <v>C</v>
      </c>
    </row>
    <row r="822" spans="153:172" x14ac:dyDescent="0.35">
      <c r="EW822" t="s">
        <v>46</v>
      </c>
      <c r="EX822" s="33" t="s">
        <v>47</v>
      </c>
      <c r="EY822" s="35" t="s">
        <v>2011</v>
      </c>
      <c r="EZ822" s="36" t="s">
        <v>2012</v>
      </c>
      <c r="FA822" s="36" t="s">
        <v>2003</v>
      </c>
      <c r="FB822" s="36" t="s">
        <v>2004</v>
      </c>
      <c r="FC822" s="36" t="s">
        <v>2003</v>
      </c>
      <c r="FD822" s="36" t="s">
        <v>2004</v>
      </c>
      <c r="FE822" s="36">
        <v>2022</v>
      </c>
      <c r="FF822" s="36" t="s">
        <v>59</v>
      </c>
      <c r="FG822" s="36" t="s">
        <v>1728</v>
      </c>
      <c r="FJ822" t="s">
        <v>59</v>
      </c>
      <c r="FM822" s="32" t="s">
        <v>1529</v>
      </c>
      <c r="FN822" t="s">
        <v>1529</v>
      </c>
      <c r="FO822" t="s">
        <v>1530</v>
      </c>
      <c r="FP822" t="str">
        <f t="shared" si="197"/>
        <v>C</v>
      </c>
    </row>
    <row r="823" spans="153:172" x14ac:dyDescent="0.35">
      <c r="EW823" t="s">
        <v>46</v>
      </c>
      <c r="EX823" s="33" t="s">
        <v>47</v>
      </c>
      <c r="EY823" s="35" t="s">
        <v>2013</v>
      </c>
      <c r="EZ823" s="36" t="s">
        <v>2014</v>
      </c>
      <c r="FA823" s="36" t="s">
        <v>2003</v>
      </c>
      <c r="FB823" s="36" t="s">
        <v>2004</v>
      </c>
      <c r="FC823" s="36" t="s">
        <v>2003</v>
      </c>
      <c r="FD823" s="36" t="s">
        <v>2004</v>
      </c>
      <c r="FE823" s="36">
        <v>2022</v>
      </c>
      <c r="FF823" s="36" t="s">
        <v>59</v>
      </c>
      <c r="FG823" s="36" t="s">
        <v>1728</v>
      </c>
      <c r="FJ823" t="s">
        <v>59</v>
      </c>
      <c r="FM823" s="32" t="s">
        <v>1821</v>
      </c>
      <c r="FN823" t="s">
        <v>1821</v>
      </c>
      <c r="FO823" t="s">
        <v>1822</v>
      </c>
      <c r="FP823" t="str">
        <f t="shared" si="197"/>
        <v>C</v>
      </c>
    </row>
    <row r="824" spans="153:172" x14ac:dyDescent="0.35">
      <c r="EW824" t="s">
        <v>46</v>
      </c>
      <c r="EX824" s="33" t="s">
        <v>47</v>
      </c>
      <c r="EY824" s="35" t="s">
        <v>2015</v>
      </c>
      <c r="EZ824" s="36" t="s">
        <v>2016</v>
      </c>
      <c r="FA824" s="36" t="s">
        <v>2003</v>
      </c>
      <c r="FB824" s="36" t="s">
        <v>2004</v>
      </c>
      <c r="FC824" s="36" t="s">
        <v>2003</v>
      </c>
      <c r="FD824" s="36" t="s">
        <v>2004</v>
      </c>
      <c r="FE824" s="36">
        <v>2022</v>
      </c>
      <c r="FF824" s="36" t="s">
        <v>59</v>
      </c>
      <c r="FG824" s="36" t="s">
        <v>1210</v>
      </c>
      <c r="FJ824" t="s">
        <v>59</v>
      </c>
      <c r="FM824" s="32" t="s">
        <v>1814</v>
      </c>
      <c r="FN824" t="s">
        <v>1814</v>
      </c>
      <c r="FO824" t="s">
        <v>1815</v>
      </c>
      <c r="FP824" t="str">
        <f t="shared" si="197"/>
        <v>C</v>
      </c>
    </row>
    <row r="825" spans="153:172" x14ac:dyDescent="0.35">
      <c r="EW825" t="s">
        <v>46</v>
      </c>
      <c r="EX825" s="33" t="s">
        <v>47</v>
      </c>
      <c r="EY825" s="35" t="s">
        <v>2017</v>
      </c>
      <c r="EZ825" s="36" t="s">
        <v>2018</v>
      </c>
      <c r="FA825" s="36" t="s">
        <v>2003</v>
      </c>
      <c r="FB825" s="36" t="s">
        <v>2004</v>
      </c>
      <c r="FC825" s="36" t="s">
        <v>2003</v>
      </c>
      <c r="FD825" s="36" t="s">
        <v>2004</v>
      </c>
      <c r="FE825" s="36">
        <v>2022</v>
      </c>
      <c r="FF825" s="36" t="s">
        <v>59</v>
      </c>
      <c r="FG825" s="36" t="s">
        <v>1728</v>
      </c>
      <c r="FJ825" t="s">
        <v>59</v>
      </c>
      <c r="FM825" s="32" t="s">
        <v>1636</v>
      </c>
      <c r="FN825" t="s">
        <v>1636</v>
      </c>
      <c r="FO825" t="s">
        <v>1597</v>
      </c>
      <c r="FP825" t="str">
        <f t="shared" si="197"/>
        <v>C</v>
      </c>
    </row>
    <row r="826" spans="153:172" x14ac:dyDescent="0.35">
      <c r="EW826" t="s">
        <v>46</v>
      </c>
      <c r="EX826" s="33" t="s">
        <v>47</v>
      </c>
      <c r="EY826" s="35" t="s">
        <v>2019</v>
      </c>
      <c r="EZ826" s="36" t="s">
        <v>2020</v>
      </c>
      <c r="FA826" s="36" t="s">
        <v>2003</v>
      </c>
      <c r="FB826" s="36" t="s">
        <v>2004</v>
      </c>
      <c r="FC826" s="36" t="s">
        <v>2003</v>
      </c>
      <c r="FD826" s="36" t="s">
        <v>2004</v>
      </c>
      <c r="FE826" s="36">
        <v>2022</v>
      </c>
      <c r="FF826" s="36" t="s">
        <v>59</v>
      </c>
      <c r="FG826" s="36" t="s">
        <v>1728</v>
      </c>
      <c r="FJ826" t="s">
        <v>59</v>
      </c>
      <c r="FM826" s="32" t="s">
        <v>2021</v>
      </c>
      <c r="FN826" t="s">
        <v>2021</v>
      </c>
      <c r="FO826" t="s">
        <v>2022</v>
      </c>
      <c r="FP826" t="str">
        <f t="shared" si="197"/>
        <v>C</v>
      </c>
    </row>
    <row r="827" spans="153:172" x14ac:dyDescent="0.35">
      <c r="EW827" t="s">
        <v>46</v>
      </c>
      <c r="EX827" s="33" t="s">
        <v>47</v>
      </c>
      <c r="EY827" s="35" t="s">
        <v>2023</v>
      </c>
      <c r="EZ827" s="36" t="s">
        <v>2024</v>
      </c>
      <c r="FA827" s="36" t="s">
        <v>2003</v>
      </c>
      <c r="FB827" s="36" t="s">
        <v>2004</v>
      </c>
      <c r="FC827" s="36" t="s">
        <v>2003</v>
      </c>
      <c r="FD827" s="36" t="s">
        <v>2004</v>
      </c>
      <c r="FE827" s="36">
        <v>2022</v>
      </c>
      <c r="FF827" s="36" t="s">
        <v>59</v>
      </c>
      <c r="FG827" s="36" t="s">
        <v>1728</v>
      </c>
      <c r="FJ827" t="s">
        <v>59</v>
      </c>
      <c r="FM827" s="32" t="s">
        <v>1298</v>
      </c>
      <c r="FN827" t="s">
        <v>1298</v>
      </c>
      <c r="FO827" t="s">
        <v>1299</v>
      </c>
      <c r="FP827" t="str">
        <f t="shared" si="197"/>
        <v>C</v>
      </c>
    </row>
    <row r="828" spans="153:172" x14ac:dyDescent="0.35">
      <c r="EW828" t="s">
        <v>46</v>
      </c>
      <c r="EX828" s="33" t="s">
        <v>47</v>
      </c>
      <c r="EY828" s="35" t="s">
        <v>2025</v>
      </c>
      <c r="EZ828" s="36" t="s">
        <v>2026</v>
      </c>
      <c r="FA828" s="36" t="s">
        <v>2003</v>
      </c>
      <c r="FB828" s="36" t="s">
        <v>2004</v>
      </c>
      <c r="FC828" s="36" t="s">
        <v>2003</v>
      </c>
      <c r="FD828" s="36" t="s">
        <v>2004</v>
      </c>
      <c r="FE828" s="36">
        <v>2022</v>
      </c>
      <c r="FF828" s="36" t="s">
        <v>59</v>
      </c>
      <c r="FG828" s="36" t="s">
        <v>1728</v>
      </c>
      <c r="FJ828" t="s">
        <v>59</v>
      </c>
      <c r="FM828" s="32" t="s">
        <v>1825</v>
      </c>
      <c r="FN828" t="s">
        <v>1825</v>
      </c>
      <c r="FO828" t="s">
        <v>1826</v>
      </c>
      <c r="FP828" t="str">
        <f t="shared" si="197"/>
        <v>C</v>
      </c>
    </row>
    <row r="829" spans="153:172" x14ac:dyDescent="0.35">
      <c r="EW829" t="s">
        <v>46</v>
      </c>
      <c r="EX829" s="33" t="s">
        <v>47</v>
      </c>
      <c r="EY829" s="35" t="s">
        <v>2027</v>
      </c>
      <c r="EZ829" s="36" t="s">
        <v>2028</v>
      </c>
      <c r="FA829" s="36" t="s">
        <v>2003</v>
      </c>
      <c r="FB829" s="36" t="s">
        <v>2004</v>
      </c>
      <c r="FC829" s="36" t="s">
        <v>2003</v>
      </c>
      <c r="FD829" s="36" t="s">
        <v>2004</v>
      </c>
      <c r="FE829" s="36">
        <v>2022</v>
      </c>
      <c r="FF829" s="36" t="s">
        <v>59</v>
      </c>
      <c r="FG829" s="36" t="s">
        <v>1728</v>
      </c>
      <c r="FJ829" t="s">
        <v>59</v>
      </c>
      <c r="FM829" s="32" t="s">
        <v>245</v>
      </c>
      <c r="FN829" t="s">
        <v>246</v>
      </c>
      <c r="FO829" t="s">
        <v>247</v>
      </c>
      <c r="FP829" t="str">
        <f t="shared" si="197"/>
        <v>B</v>
      </c>
    </row>
    <row r="830" spans="153:172" x14ac:dyDescent="0.35">
      <c r="EW830" t="s">
        <v>46</v>
      </c>
      <c r="EX830" s="33" t="s">
        <v>47</v>
      </c>
      <c r="EY830" s="35" t="s">
        <v>2029</v>
      </c>
      <c r="EZ830" s="36" t="s">
        <v>2030</v>
      </c>
      <c r="FA830" s="36" t="s">
        <v>2003</v>
      </c>
      <c r="FB830" s="36" t="s">
        <v>2004</v>
      </c>
      <c r="FC830" s="36" t="s">
        <v>2003</v>
      </c>
      <c r="FD830" s="36" t="s">
        <v>2004</v>
      </c>
      <c r="FE830" s="36">
        <v>2022</v>
      </c>
      <c r="FF830" s="36" t="s">
        <v>59</v>
      </c>
      <c r="FG830" s="36" t="s">
        <v>1728</v>
      </c>
      <c r="FJ830" t="s">
        <v>59</v>
      </c>
      <c r="FM830" s="32" t="s">
        <v>1756</v>
      </c>
      <c r="FN830" t="s">
        <v>1756</v>
      </c>
      <c r="FO830" t="s">
        <v>1757</v>
      </c>
      <c r="FP830" t="str">
        <f t="shared" si="197"/>
        <v>C</v>
      </c>
    </row>
    <row r="831" spans="153:172" x14ac:dyDescent="0.35">
      <c r="EW831" t="s">
        <v>46</v>
      </c>
      <c r="EX831" s="33" t="s">
        <v>47</v>
      </c>
      <c r="EY831" s="35" t="s">
        <v>2031</v>
      </c>
      <c r="EZ831" s="36" t="s">
        <v>2032</v>
      </c>
      <c r="FA831" s="36" t="s">
        <v>2003</v>
      </c>
      <c r="FB831" s="36" t="s">
        <v>2004</v>
      </c>
      <c r="FC831" s="36" t="s">
        <v>2003</v>
      </c>
      <c r="FD831" s="36" t="s">
        <v>2004</v>
      </c>
      <c r="FE831" s="36">
        <v>2022</v>
      </c>
      <c r="FF831" s="36" t="s">
        <v>59</v>
      </c>
      <c r="FG831" s="36" t="s">
        <v>1728</v>
      </c>
      <c r="FJ831" t="s">
        <v>59</v>
      </c>
      <c r="FM831" s="32" t="s">
        <v>1759</v>
      </c>
      <c r="FN831" t="s">
        <v>1759</v>
      </c>
      <c r="FO831" t="s">
        <v>1760</v>
      </c>
      <c r="FP831" t="str">
        <f t="shared" si="197"/>
        <v>C</v>
      </c>
    </row>
    <row r="832" spans="153:172" x14ac:dyDescent="0.35">
      <c r="EW832" t="s">
        <v>46</v>
      </c>
      <c r="EX832" s="33" t="s">
        <v>47</v>
      </c>
      <c r="EY832" s="35" t="s">
        <v>2033</v>
      </c>
      <c r="EZ832" s="36" t="s">
        <v>2034</v>
      </c>
      <c r="FA832" s="36" t="s">
        <v>2003</v>
      </c>
      <c r="FB832" s="36" t="s">
        <v>2004</v>
      </c>
      <c r="FC832" s="36" t="s">
        <v>2003</v>
      </c>
      <c r="FD832" s="36" t="s">
        <v>2004</v>
      </c>
      <c r="FE832" s="36">
        <v>2022</v>
      </c>
      <c r="FF832" s="36" t="s">
        <v>59</v>
      </c>
      <c r="FG832" s="36" t="s">
        <v>1210</v>
      </c>
      <c r="FJ832" t="s">
        <v>59</v>
      </c>
      <c r="FM832" s="32" t="s">
        <v>1765</v>
      </c>
      <c r="FN832" t="s">
        <v>1765</v>
      </c>
      <c r="FO832" t="s">
        <v>1766</v>
      </c>
      <c r="FP832" t="str">
        <f t="shared" si="197"/>
        <v>C</v>
      </c>
    </row>
    <row r="833" spans="153:172" x14ac:dyDescent="0.35">
      <c r="EW833" t="s">
        <v>46</v>
      </c>
      <c r="EX833" s="33" t="s">
        <v>47</v>
      </c>
      <c r="EY833" s="35" t="s">
        <v>2035</v>
      </c>
      <c r="EZ833" s="36" t="s">
        <v>2036</v>
      </c>
      <c r="FA833" s="36" t="s">
        <v>2003</v>
      </c>
      <c r="FB833" s="36" t="s">
        <v>2004</v>
      </c>
      <c r="FC833" s="36" t="s">
        <v>2003</v>
      </c>
      <c r="FD833" s="36" t="s">
        <v>2004</v>
      </c>
      <c r="FE833" s="36">
        <v>2022</v>
      </c>
      <c r="FF833" s="36" t="s">
        <v>59</v>
      </c>
      <c r="FG833" s="36" t="s">
        <v>1193</v>
      </c>
      <c r="FJ833" t="s">
        <v>59</v>
      </c>
      <c r="FM833" s="32" t="s">
        <v>1837</v>
      </c>
      <c r="FN833" t="s">
        <v>1837</v>
      </c>
      <c r="FO833" t="s">
        <v>1837</v>
      </c>
      <c r="FP833" t="str">
        <f t="shared" ref="FP833:FP896" si="198">VLOOKUP(FO833,EX:FF,9,0)</f>
        <v>C</v>
      </c>
    </row>
    <row r="834" spans="153:172" x14ac:dyDescent="0.35">
      <c r="EW834" t="s">
        <v>46</v>
      </c>
      <c r="EX834" s="33" t="s">
        <v>47</v>
      </c>
      <c r="EY834" s="35" t="s">
        <v>2037</v>
      </c>
      <c r="EZ834" s="36" t="s">
        <v>2038</v>
      </c>
      <c r="FA834" s="36" t="s">
        <v>2003</v>
      </c>
      <c r="FB834" s="36" t="s">
        <v>2004</v>
      </c>
      <c r="FC834" s="36" t="s">
        <v>2003</v>
      </c>
      <c r="FD834" s="36" t="s">
        <v>2004</v>
      </c>
      <c r="FE834" s="36">
        <v>2022</v>
      </c>
      <c r="FF834" s="36" t="s">
        <v>59</v>
      </c>
      <c r="FG834" s="36" t="s">
        <v>1728</v>
      </c>
      <c r="FJ834" t="s">
        <v>59</v>
      </c>
      <c r="FM834" s="32" t="s">
        <v>1833</v>
      </c>
      <c r="FN834" t="s">
        <v>1833</v>
      </c>
      <c r="FO834" t="s">
        <v>1834</v>
      </c>
      <c r="FP834" t="str">
        <f t="shared" si="198"/>
        <v>C</v>
      </c>
    </row>
    <row r="835" spans="153:172" x14ac:dyDescent="0.35">
      <c r="EW835" t="s">
        <v>46</v>
      </c>
      <c r="EX835" s="33" t="s">
        <v>47</v>
      </c>
      <c r="EY835" s="35" t="s">
        <v>2039</v>
      </c>
      <c r="EZ835" s="36" t="s">
        <v>2040</v>
      </c>
      <c r="FA835" s="36" t="s">
        <v>2003</v>
      </c>
      <c r="FB835" s="36" t="s">
        <v>2004</v>
      </c>
      <c r="FC835" s="36" t="s">
        <v>2003</v>
      </c>
      <c r="FD835" s="36" t="s">
        <v>2004</v>
      </c>
      <c r="FE835" s="36">
        <v>2022</v>
      </c>
      <c r="FF835" s="36" t="s">
        <v>59</v>
      </c>
      <c r="FG835" s="36" t="s">
        <v>1193</v>
      </c>
      <c r="FJ835" t="s">
        <v>59</v>
      </c>
      <c r="FM835" s="32" t="s">
        <v>1886</v>
      </c>
      <c r="FN835" t="s">
        <v>1886</v>
      </c>
      <c r="FO835" t="s">
        <v>1887</v>
      </c>
      <c r="FP835" t="str">
        <f t="shared" si="198"/>
        <v>C</v>
      </c>
    </row>
    <row r="836" spans="153:172" x14ac:dyDescent="0.35">
      <c r="EW836" t="s">
        <v>46</v>
      </c>
      <c r="EX836" s="33" t="s">
        <v>47</v>
      </c>
      <c r="EY836" s="35" t="s">
        <v>2041</v>
      </c>
      <c r="EZ836" s="36" t="s">
        <v>2042</v>
      </c>
      <c r="FA836" s="36" t="s">
        <v>2003</v>
      </c>
      <c r="FB836" s="36" t="s">
        <v>2004</v>
      </c>
      <c r="FC836" s="36" t="s">
        <v>2003</v>
      </c>
      <c r="FD836" s="36" t="s">
        <v>2004</v>
      </c>
      <c r="FE836" s="36">
        <v>2022</v>
      </c>
      <c r="FF836" s="36" t="s">
        <v>59</v>
      </c>
      <c r="FG836" s="36" t="s">
        <v>1728</v>
      </c>
      <c r="FJ836" t="s">
        <v>59</v>
      </c>
      <c r="FM836" s="32" t="s">
        <v>1768</v>
      </c>
      <c r="FN836" t="s">
        <v>1768</v>
      </c>
      <c r="FO836" t="s">
        <v>1769</v>
      </c>
      <c r="FP836" t="str">
        <f t="shared" si="198"/>
        <v>C</v>
      </c>
    </row>
    <row r="837" spans="153:172" x14ac:dyDescent="0.35">
      <c r="EW837" t="s">
        <v>46</v>
      </c>
      <c r="EX837" s="33" t="s">
        <v>47</v>
      </c>
      <c r="EY837" s="35" t="s">
        <v>2043</v>
      </c>
      <c r="EZ837" s="36" t="s">
        <v>2044</v>
      </c>
      <c r="FA837" s="36" t="s">
        <v>2003</v>
      </c>
      <c r="FB837" s="36" t="s">
        <v>2004</v>
      </c>
      <c r="FC837" s="36" t="s">
        <v>2003</v>
      </c>
      <c r="FD837" s="36" t="s">
        <v>2004</v>
      </c>
      <c r="FE837" s="36">
        <v>2022</v>
      </c>
      <c r="FF837" s="36" t="s">
        <v>59</v>
      </c>
      <c r="FG837" s="36" t="s">
        <v>1193</v>
      </c>
      <c r="FJ837" t="s">
        <v>59</v>
      </c>
      <c r="FM837" s="32" t="s">
        <v>1843</v>
      </c>
      <c r="FN837" t="s">
        <v>1843</v>
      </c>
      <c r="FO837" t="s">
        <v>1278</v>
      </c>
      <c r="FP837" t="str">
        <f t="shared" si="198"/>
        <v>C</v>
      </c>
    </row>
    <row r="838" spans="153:172" x14ac:dyDescent="0.35">
      <c r="EW838" t="s">
        <v>46</v>
      </c>
      <c r="EX838" s="33" t="s">
        <v>47</v>
      </c>
      <c r="EY838" s="35" t="s">
        <v>2045</v>
      </c>
      <c r="EZ838" s="36" t="s">
        <v>2046</v>
      </c>
      <c r="FA838" s="36" t="s">
        <v>2003</v>
      </c>
      <c r="FB838" s="36" t="s">
        <v>2004</v>
      </c>
      <c r="FC838" s="36" t="s">
        <v>2003</v>
      </c>
      <c r="FD838" s="36" t="s">
        <v>2004</v>
      </c>
      <c r="FE838" s="36">
        <v>2022</v>
      </c>
      <c r="FF838" s="36" t="s">
        <v>59</v>
      </c>
      <c r="FG838" s="36" t="s">
        <v>1728</v>
      </c>
      <c r="FJ838" t="s">
        <v>59</v>
      </c>
      <c r="FM838" s="32" t="s">
        <v>1840</v>
      </c>
      <c r="FN838" t="s">
        <v>1840</v>
      </c>
      <c r="FO838" t="s">
        <v>1840</v>
      </c>
      <c r="FP838" t="str">
        <f t="shared" si="198"/>
        <v>C</v>
      </c>
    </row>
    <row r="839" spans="153:172" x14ac:dyDescent="0.35">
      <c r="EW839" t="s">
        <v>46</v>
      </c>
      <c r="EX839" s="33" t="s">
        <v>47</v>
      </c>
      <c r="EY839" s="35" t="s">
        <v>2047</v>
      </c>
      <c r="EZ839" s="36" t="s">
        <v>2048</v>
      </c>
      <c r="FA839" s="36" t="s">
        <v>2003</v>
      </c>
      <c r="FB839" s="36" t="s">
        <v>2004</v>
      </c>
      <c r="FC839" s="36" t="s">
        <v>2003</v>
      </c>
      <c r="FD839" s="36" t="s">
        <v>2004</v>
      </c>
      <c r="FE839" s="36">
        <v>2022</v>
      </c>
      <c r="FF839" s="36" t="s">
        <v>59</v>
      </c>
      <c r="FG839" s="36" t="s">
        <v>1728</v>
      </c>
      <c r="FJ839" t="s">
        <v>59</v>
      </c>
      <c r="FM839" s="32" t="s">
        <v>1778</v>
      </c>
      <c r="FN839" t="s">
        <v>1778</v>
      </c>
      <c r="FO839" t="s">
        <v>1778</v>
      </c>
      <c r="FP839" t="str">
        <f t="shared" si="198"/>
        <v>C</v>
      </c>
    </row>
    <row r="840" spans="153:172" x14ac:dyDescent="0.35">
      <c r="EW840" t="s">
        <v>46</v>
      </c>
      <c r="EX840" s="33" t="s">
        <v>47</v>
      </c>
      <c r="EY840" s="35" t="s">
        <v>2049</v>
      </c>
      <c r="EZ840" s="36" t="s">
        <v>2050</v>
      </c>
      <c r="FA840" s="36" t="s">
        <v>2003</v>
      </c>
      <c r="FB840" s="36" t="s">
        <v>2004</v>
      </c>
      <c r="FC840" s="36" t="s">
        <v>2003</v>
      </c>
      <c r="FD840" s="36" t="s">
        <v>2004</v>
      </c>
      <c r="FE840" s="36">
        <v>2022</v>
      </c>
      <c r="FF840" s="36" t="s">
        <v>59</v>
      </c>
      <c r="FG840" s="36" t="s">
        <v>1728</v>
      </c>
      <c r="FJ840" t="s">
        <v>59</v>
      </c>
      <c r="FM840" s="32" t="s">
        <v>1846</v>
      </c>
      <c r="FN840" t="s">
        <v>1846</v>
      </c>
      <c r="FO840" t="s">
        <v>1846</v>
      </c>
      <c r="FP840" t="str">
        <f t="shared" si="198"/>
        <v>C</v>
      </c>
    </row>
    <row r="841" spans="153:172" x14ac:dyDescent="0.35">
      <c r="EW841" t="s">
        <v>46</v>
      </c>
      <c r="EX841" s="33" t="s">
        <v>47</v>
      </c>
      <c r="EY841" s="35" t="s">
        <v>2051</v>
      </c>
      <c r="EZ841" s="36" t="s">
        <v>2052</v>
      </c>
      <c r="FA841" s="36" t="s">
        <v>2003</v>
      </c>
      <c r="FB841" s="36" t="s">
        <v>2004</v>
      </c>
      <c r="FC841" s="36" t="s">
        <v>2003</v>
      </c>
      <c r="FD841" s="36" t="s">
        <v>2004</v>
      </c>
      <c r="FE841" s="36">
        <v>2022</v>
      </c>
      <c r="FF841" s="36" t="s">
        <v>59</v>
      </c>
      <c r="FG841" s="36" t="s">
        <v>1728</v>
      </c>
      <c r="FJ841" t="s">
        <v>59</v>
      </c>
      <c r="FM841" s="32" t="s">
        <v>1848</v>
      </c>
      <c r="FN841" t="s">
        <v>1848</v>
      </c>
      <c r="FO841" t="s">
        <v>1849</v>
      </c>
      <c r="FP841" t="str">
        <f t="shared" si="198"/>
        <v>C</v>
      </c>
    </row>
    <row r="842" spans="153:172" x14ac:dyDescent="0.35">
      <c r="EW842" t="s">
        <v>46</v>
      </c>
      <c r="EX842" s="33" t="s">
        <v>47</v>
      </c>
      <c r="EY842" s="35" t="s">
        <v>2053</v>
      </c>
      <c r="EZ842" s="36" t="s">
        <v>2054</v>
      </c>
      <c r="FA842" s="36" t="s">
        <v>2003</v>
      </c>
      <c r="FB842" s="36" t="s">
        <v>2004</v>
      </c>
      <c r="FC842" s="36" t="s">
        <v>2003</v>
      </c>
      <c r="FD842" s="36" t="s">
        <v>2004</v>
      </c>
      <c r="FE842" s="36">
        <v>2022</v>
      </c>
      <c r="FF842" s="36" t="s">
        <v>59</v>
      </c>
      <c r="FG842" s="36" t="s">
        <v>1193</v>
      </c>
      <c r="FJ842" t="s">
        <v>59</v>
      </c>
      <c r="FM842" s="32" t="s">
        <v>1895</v>
      </c>
      <c r="FN842" t="s">
        <v>1895</v>
      </c>
      <c r="FO842" t="s">
        <v>1895</v>
      </c>
      <c r="FP842" t="str">
        <f t="shared" si="198"/>
        <v>C</v>
      </c>
    </row>
    <row r="843" spans="153:172" x14ac:dyDescent="0.35">
      <c r="EW843" t="s">
        <v>46</v>
      </c>
      <c r="EX843" s="33" t="s">
        <v>47</v>
      </c>
      <c r="EY843" s="35" t="s">
        <v>2055</v>
      </c>
      <c r="EZ843" s="36" t="s">
        <v>2056</v>
      </c>
      <c r="FA843" s="36" t="s">
        <v>2003</v>
      </c>
      <c r="FB843" s="36" t="s">
        <v>2004</v>
      </c>
      <c r="FC843" s="36" t="s">
        <v>2003</v>
      </c>
      <c r="FD843" s="36" t="s">
        <v>2004</v>
      </c>
      <c r="FE843" s="36">
        <v>2022</v>
      </c>
      <c r="FF843" s="36" t="s">
        <v>59</v>
      </c>
      <c r="FG843" s="36" t="s">
        <v>1728</v>
      </c>
      <c r="FJ843" t="s">
        <v>59</v>
      </c>
      <c r="FM843" s="32" t="s">
        <v>1790</v>
      </c>
      <c r="FN843" t="s">
        <v>1790</v>
      </c>
      <c r="FO843" t="s">
        <v>1791</v>
      </c>
      <c r="FP843" t="str">
        <f t="shared" si="198"/>
        <v>C</v>
      </c>
    </row>
    <row r="844" spans="153:172" x14ac:dyDescent="0.35">
      <c r="EW844" t="s">
        <v>46</v>
      </c>
      <c r="EX844" s="33" t="s">
        <v>47</v>
      </c>
      <c r="EY844" s="35" t="s">
        <v>2057</v>
      </c>
      <c r="EZ844" s="36" t="s">
        <v>2058</v>
      </c>
      <c r="FA844" s="36" t="s">
        <v>2003</v>
      </c>
      <c r="FB844" s="36" t="s">
        <v>2004</v>
      </c>
      <c r="FC844" s="36" t="s">
        <v>2003</v>
      </c>
      <c r="FD844" s="36" t="s">
        <v>2004</v>
      </c>
      <c r="FE844" s="36">
        <v>2022</v>
      </c>
      <c r="FF844" s="36" t="s">
        <v>59</v>
      </c>
      <c r="FG844" s="36" t="s">
        <v>1193</v>
      </c>
      <c r="FJ844" t="s">
        <v>59</v>
      </c>
      <c r="FM844" s="32" t="s">
        <v>1855</v>
      </c>
      <c r="FN844" t="s">
        <v>1855</v>
      </c>
      <c r="FO844" t="s">
        <v>1856</v>
      </c>
      <c r="FP844" t="str">
        <f t="shared" si="198"/>
        <v>C</v>
      </c>
    </row>
    <row r="845" spans="153:172" x14ac:dyDescent="0.35">
      <c r="EW845" t="s">
        <v>46</v>
      </c>
      <c r="EX845" s="33" t="s">
        <v>47</v>
      </c>
      <c r="EY845" s="35" t="s">
        <v>2059</v>
      </c>
      <c r="EZ845" s="36" t="s">
        <v>2060</v>
      </c>
      <c r="FA845" s="36" t="s">
        <v>2003</v>
      </c>
      <c r="FB845" s="36" t="s">
        <v>2004</v>
      </c>
      <c r="FC845" s="36" t="s">
        <v>2003</v>
      </c>
      <c r="FD845" s="36" t="s">
        <v>2004</v>
      </c>
      <c r="FE845" s="36">
        <v>2022</v>
      </c>
      <c r="FF845" s="36" t="s">
        <v>59</v>
      </c>
      <c r="FG845" s="36" t="s">
        <v>1728</v>
      </c>
      <c r="FJ845" t="s">
        <v>59</v>
      </c>
      <c r="FM845" s="32" t="s">
        <v>1851</v>
      </c>
      <c r="FN845" t="s">
        <v>1851</v>
      </c>
      <c r="FO845" t="s">
        <v>1852</v>
      </c>
      <c r="FP845" t="str">
        <f t="shared" si="198"/>
        <v>C</v>
      </c>
    </row>
    <row r="846" spans="153:172" x14ac:dyDescent="0.35">
      <c r="EW846" t="s">
        <v>46</v>
      </c>
      <c r="EX846" s="33" t="s">
        <v>47</v>
      </c>
      <c r="EY846" s="35" t="s">
        <v>2061</v>
      </c>
      <c r="EZ846" s="36" t="s">
        <v>2062</v>
      </c>
      <c r="FA846" s="36" t="s">
        <v>2003</v>
      </c>
      <c r="FB846" s="36" t="s">
        <v>2004</v>
      </c>
      <c r="FC846" s="36" t="s">
        <v>2003</v>
      </c>
      <c r="FD846" s="36" t="s">
        <v>2004</v>
      </c>
      <c r="FE846" s="36">
        <v>2022</v>
      </c>
      <c r="FF846" s="36" t="s">
        <v>59</v>
      </c>
      <c r="FG846" s="36" t="s">
        <v>1728</v>
      </c>
      <c r="FJ846" t="s">
        <v>59</v>
      </c>
      <c r="FM846" s="32" t="s">
        <v>1198</v>
      </c>
      <c r="FN846" t="s">
        <v>1198</v>
      </c>
      <c r="FO846" t="s">
        <v>1199</v>
      </c>
      <c r="FP846" t="str">
        <f t="shared" si="198"/>
        <v>C</v>
      </c>
    </row>
    <row r="847" spans="153:172" x14ac:dyDescent="0.35">
      <c r="EW847" t="s">
        <v>46</v>
      </c>
      <c r="EX847" s="33" t="s">
        <v>47</v>
      </c>
      <c r="EY847" s="35" t="s">
        <v>2063</v>
      </c>
      <c r="EZ847" s="36" t="s">
        <v>2064</v>
      </c>
      <c r="FA847" s="36" t="s">
        <v>2003</v>
      </c>
      <c r="FB847" s="36" t="s">
        <v>2004</v>
      </c>
      <c r="FC847" s="36" t="s">
        <v>2003</v>
      </c>
      <c r="FD847" s="36" t="s">
        <v>2004</v>
      </c>
      <c r="FE847" s="36">
        <v>2022</v>
      </c>
      <c r="FF847" s="36" t="s">
        <v>59</v>
      </c>
      <c r="FG847" s="36" t="s">
        <v>1728</v>
      </c>
      <c r="FJ847" t="s">
        <v>59</v>
      </c>
      <c r="FM847" s="32" t="s">
        <v>1860</v>
      </c>
      <c r="FN847" t="s">
        <v>1860</v>
      </c>
      <c r="FO847" t="s">
        <v>1861</v>
      </c>
      <c r="FP847" t="str">
        <f t="shared" si="198"/>
        <v>C</v>
      </c>
    </row>
    <row r="848" spans="153:172" x14ac:dyDescent="0.35">
      <c r="EW848" t="s">
        <v>46</v>
      </c>
      <c r="EX848" s="33" t="s">
        <v>47</v>
      </c>
      <c r="EY848" s="35" t="s">
        <v>2065</v>
      </c>
      <c r="EZ848" s="36" t="s">
        <v>2066</v>
      </c>
      <c r="FA848" s="36" t="s">
        <v>2003</v>
      </c>
      <c r="FB848" s="36" t="s">
        <v>2004</v>
      </c>
      <c r="FC848" s="36" t="s">
        <v>2003</v>
      </c>
      <c r="FD848" s="36" t="s">
        <v>2004</v>
      </c>
      <c r="FE848" s="36">
        <v>2022</v>
      </c>
      <c r="FF848" s="36" t="s">
        <v>59</v>
      </c>
      <c r="FG848" s="36" t="s">
        <v>1728</v>
      </c>
      <c r="FJ848" t="s">
        <v>59</v>
      </c>
      <c r="FM848" s="32" t="s">
        <v>1794</v>
      </c>
      <c r="FN848" t="s">
        <v>1794</v>
      </c>
      <c r="FO848" t="s">
        <v>1795</v>
      </c>
      <c r="FP848" t="str">
        <f t="shared" si="198"/>
        <v>C</v>
      </c>
    </row>
    <row r="849" spans="153:172" x14ac:dyDescent="0.35">
      <c r="EW849" t="s">
        <v>46</v>
      </c>
      <c r="EX849" s="33" t="s">
        <v>47</v>
      </c>
      <c r="EY849" s="35" t="s">
        <v>2067</v>
      </c>
      <c r="EZ849" s="36" t="s">
        <v>2068</v>
      </c>
      <c r="FA849" s="36" t="s">
        <v>2003</v>
      </c>
      <c r="FB849" s="36" t="s">
        <v>2004</v>
      </c>
      <c r="FC849" s="36" t="s">
        <v>2003</v>
      </c>
      <c r="FD849" s="36" t="s">
        <v>2004</v>
      </c>
      <c r="FE849" s="36">
        <v>2022</v>
      </c>
      <c r="FF849" s="36" t="s">
        <v>59</v>
      </c>
      <c r="FG849" s="36" t="s">
        <v>1193</v>
      </c>
      <c r="FJ849" t="s">
        <v>59</v>
      </c>
      <c r="FM849" s="32" t="s">
        <v>1242</v>
      </c>
      <c r="FN849" t="s">
        <v>1242</v>
      </c>
      <c r="FO849" t="s">
        <v>1243</v>
      </c>
      <c r="FP849" t="str">
        <f t="shared" si="198"/>
        <v>C</v>
      </c>
    </row>
    <row r="850" spans="153:172" x14ac:dyDescent="0.35">
      <c r="EW850" t="s">
        <v>46</v>
      </c>
      <c r="EX850" s="33" t="s">
        <v>47</v>
      </c>
      <c r="EY850" s="35" t="s">
        <v>2069</v>
      </c>
      <c r="EZ850" s="36" t="s">
        <v>2070</v>
      </c>
      <c r="FA850" s="36" t="s">
        <v>2003</v>
      </c>
      <c r="FB850" s="36" t="s">
        <v>2004</v>
      </c>
      <c r="FC850" s="36" t="s">
        <v>2003</v>
      </c>
      <c r="FD850" s="36" t="s">
        <v>2004</v>
      </c>
      <c r="FE850" s="36">
        <v>2022</v>
      </c>
      <c r="FF850" s="36" t="s">
        <v>59</v>
      </c>
      <c r="FG850" s="36" t="s">
        <v>1728</v>
      </c>
      <c r="FJ850" t="s">
        <v>59</v>
      </c>
      <c r="FM850" s="32" t="s">
        <v>2071</v>
      </c>
      <c r="FN850" t="s">
        <v>2071</v>
      </c>
      <c r="FO850" t="s">
        <v>1864</v>
      </c>
      <c r="FP850" t="str">
        <f t="shared" si="198"/>
        <v>C</v>
      </c>
    </row>
    <row r="851" spans="153:172" x14ac:dyDescent="0.35">
      <c r="EW851" t="s">
        <v>46</v>
      </c>
      <c r="EX851" s="33" t="s">
        <v>47</v>
      </c>
      <c r="EY851" s="35" t="s">
        <v>2072</v>
      </c>
      <c r="EZ851" s="36" t="s">
        <v>2073</v>
      </c>
      <c r="FA851" s="36" t="s">
        <v>2003</v>
      </c>
      <c r="FB851" s="36" t="s">
        <v>2004</v>
      </c>
      <c r="FC851" s="36" t="s">
        <v>2003</v>
      </c>
      <c r="FD851" s="36" t="s">
        <v>2004</v>
      </c>
      <c r="FE851" s="36">
        <v>2022</v>
      </c>
      <c r="FF851" s="36" t="s">
        <v>59</v>
      </c>
      <c r="FG851" s="36" t="s">
        <v>1193</v>
      </c>
      <c r="FJ851" t="s">
        <v>59</v>
      </c>
      <c r="FM851" s="32" t="s">
        <v>1931</v>
      </c>
      <c r="FN851" t="s">
        <v>1931</v>
      </c>
      <c r="FO851" t="s">
        <v>1867</v>
      </c>
      <c r="FP851" t="str">
        <f t="shared" si="198"/>
        <v>C</v>
      </c>
    </row>
    <row r="852" spans="153:172" x14ac:dyDescent="0.35">
      <c r="EW852" t="s">
        <v>46</v>
      </c>
      <c r="EX852" s="33" t="s">
        <v>47</v>
      </c>
      <c r="EY852" s="35" t="s">
        <v>2074</v>
      </c>
      <c r="EZ852" s="36" t="s">
        <v>2075</v>
      </c>
      <c r="FA852" s="36" t="s">
        <v>2003</v>
      </c>
      <c r="FB852" s="36" t="s">
        <v>2004</v>
      </c>
      <c r="FC852" s="36" t="s">
        <v>2003</v>
      </c>
      <c r="FD852" s="36" t="s">
        <v>2004</v>
      </c>
      <c r="FE852" s="36">
        <v>2022</v>
      </c>
      <c r="FF852" s="36" t="s">
        <v>59</v>
      </c>
      <c r="FG852" s="36" t="s">
        <v>1728</v>
      </c>
      <c r="FJ852" t="s">
        <v>59</v>
      </c>
      <c r="FM852" s="32" t="s">
        <v>1153</v>
      </c>
      <c r="FN852" t="s">
        <v>1154</v>
      </c>
      <c r="FO852" t="s">
        <v>1155</v>
      </c>
      <c r="FP852" t="str">
        <f t="shared" si="198"/>
        <v>C</v>
      </c>
    </row>
    <row r="853" spans="153:172" x14ac:dyDescent="0.35">
      <c r="EW853" t="s">
        <v>46</v>
      </c>
      <c r="EX853" s="33" t="s">
        <v>47</v>
      </c>
      <c r="EY853" s="35" t="s">
        <v>2076</v>
      </c>
      <c r="EZ853" s="36" t="s">
        <v>2077</v>
      </c>
      <c r="FA853" s="36" t="s">
        <v>2003</v>
      </c>
      <c r="FB853" s="36" t="s">
        <v>2004</v>
      </c>
      <c r="FC853" s="36" t="s">
        <v>2003</v>
      </c>
      <c r="FD853" s="36" t="s">
        <v>2004</v>
      </c>
      <c r="FE853" s="36">
        <v>2022</v>
      </c>
      <c r="FF853" s="36" t="s">
        <v>59</v>
      </c>
      <c r="FG853" s="36" t="s">
        <v>1728</v>
      </c>
      <c r="FJ853" t="s">
        <v>59</v>
      </c>
      <c r="FM853" s="32" t="s">
        <v>1811</v>
      </c>
      <c r="FN853" t="s">
        <v>1811</v>
      </c>
      <c r="FO853" t="s">
        <v>1812</v>
      </c>
      <c r="FP853" t="str">
        <f t="shared" si="198"/>
        <v>C</v>
      </c>
    </row>
    <row r="854" spans="153:172" x14ac:dyDescent="0.35">
      <c r="EW854" t="s">
        <v>46</v>
      </c>
      <c r="EX854" s="33" t="s">
        <v>47</v>
      </c>
      <c r="EY854" s="35" t="s">
        <v>2078</v>
      </c>
      <c r="EZ854" s="36" t="s">
        <v>2079</v>
      </c>
      <c r="FA854" s="36" t="s">
        <v>2003</v>
      </c>
      <c r="FB854" s="36" t="s">
        <v>2004</v>
      </c>
      <c r="FC854" s="36" t="s">
        <v>2003</v>
      </c>
      <c r="FD854" s="36" t="s">
        <v>2004</v>
      </c>
      <c r="FE854" s="36">
        <v>2022</v>
      </c>
      <c r="FF854" s="36" t="s">
        <v>59</v>
      </c>
      <c r="FG854" s="36" t="s">
        <v>1193</v>
      </c>
      <c r="FJ854" t="s">
        <v>59</v>
      </c>
      <c r="FM854" s="32" t="s">
        <v>1706</v>
      </c>
      <c r="FN854" t="s">
        <v>1706</v>
      </c>
      <c r="FO854" t="s">
        <v>1707</v>
      </c>
      <c r="FP854" t="str">
        <f t="shared" si="198"/>
        <v>C</v>
      </c>
    </row>
    <row r="855" spans="153:172" x14ac:dyDescent="0.35">
      <c r="EW855" t="s">
        <v>46</v>
      </c>
      <c r="EX855" s="33" t="s">
        <v>47</v>
      </c>
      <c r="EY855" s="35" t="s">
        <v>2080</v>
      </c>
      <c r="EZ855" s="36" t="s">
        <v>2081</v>
      </c>
      <c r="FA855" s="36" t="s">
        <v>2003</v>
      </c>
      <c r="FB855" s="36" t="s">
        <v>2004</v>
      </c>
      <c r="FC855" s="36" t="s">
        <v>2003</v>
      </c>
      <c r="FD855" s="36" t="s">
        <v>2004</v>
      </c>
      <c r="FE855" s="36">
        <v>2022</v>
      </c>
      <c r="FF855" s="36" t="s">
        <v>59</v>
      </c>
      <c r="FG855" s="36" t="s">
        <v>1728</v>
      </c>
      <c r="FJ855" t="s">
        <v>59</v>
      </c>
      <c r="FM855" s="32" t="s">
        <v>2082</v>
      </c>
      <c r="FN855" t="s">
        <v>2082</v>
      </c>
      <c r="FO855" t="s">
        <v>2083</v>
      </c>
      <c r="FP855" t="str">
        <f t="shared" si="198"/>
        <v>C</v>
      </c>
    </row>
    <row r="856" spans="153:172" x14ac:dyDescent="0.35">
      <c r="EW856" t="s">
        <v>46</v>
      </c>
      <c r="EX856" s="33" t="s">
        <v>47</v>
      </c>
      <c r="EY856" s="35" t="s">
        <v>2084</v>
      </c>
      <c r="EZ856" s="36" t="s">
        <v>2085</v>
      </c>
      <c r="FA856" s="36" t="s">
        <v>2003</v>
      </c>
      <c r="FB856" s="36" t="s">
        <v>2004</v>
      </c>
      <c r="FC856" s="36" t="s">
        <v>2003</v>
      </c>
      <c r="FD856" s="36" t="s">
        <v>2004</v>
      </c>
      <c r="FE856" s="36">
        <v>2022</v>
      </c>
      <c r="FF856" s="36" t="s">
        <v>59</v>
      </c>
      <c r="FG856" s="36" t="s">
        <v>1728</v>
      </c>
      <c r="FJ856" t="s">
        <v>59</v>
      </c>
      <c r="FM856" s="32" t="s">
        <v>1937</v>
      </c>
      <c r="FN856" t="s">
        <v>1937</v>
      </c>
      <c r="FO856" t="s">
        <v>1938</v>
      </c>
      <c r="FP856" t="str">
        <f t="shared" si="198"/>
        <v>C</v>
      </c>
    </row>
    <row r="857" spans="153:172" x14ac:dyDescent="0.35">
      <c r="EW857" t="s">
        <v>46</v>
      </c>
      <c r="EX857" s="33" t="s">
        <v>47</v>
      </c>
      <c r="EY857" s="35" t="s">
        <v>2086</v>
      </c>
      <c r="EZ857" s="36" t="s">
        <v>2087</v>
      </c>
      <c r="FA857" s="36" t="s">
        <v>2003</v>
      </c>
      <c r="FB857" s="36" t="s">
        <v>2004</v>
      </c>
      <c r="FC857" s="36" t="s">
        <v>2003</v>
      </c>
      <c r="FD857" s="36" t="s">
        <v>2004</v>
      </c>
      <c r="FE857" s="36">
        <v>2022</v>
      </c>
      <c r="FF857" s="36" t="s">
        <v>59</v>
      </c>
      <c r="FG857" s="36" t="s">
        <v>1728</v>
      </c>
      <c r="FJ857" t="s">
        <v>59</v>
      </c>
      <c r="FM857" s="32" t="s">
        <v>1900</v>
      </c>
      <c r="FN857" t="s">
        <v>1900</v>
      </c>
      <c r="FO857" t="s">
        <v>1901</v>
      </c>
      <c r="FP857" t="str">
        <f t="shared" si="198"/>
        <v>C</v>
      </c>
    </row>
    <row r="858" spans="153:172" x14ac:dyDescent="0.35">
      <c r="EW858" t="s">
        <v>46</v>
      </c>
      <c r="EX858" s="33" t="s">
        <v>47</v>
      </c>
      <c r="EY858" s="35" t="s">
        <v>2088</v>
      </c>
      <c r="EZ858" s="36" t="s">
        <v>2089</v>
      </c>
      <c r="FA858" s="36" t="s">
        <v>2003</v>
      </c>
      <c r="FB858" s="36" t="s">
        <v>2004</v>
      </c>
      <c r="FC858" s="36" t="s">
        <v>2003</v>
      </c>
      <c r="FD858" s="36" t="s">
        <v>2004</v>
      </c>
      <c r="FE858" s="36">
        <v>2022</v>
      </c>
      <c r="FF858" s="36" t="s">
        <v>59</v>
      </c>
      <c r="FG858" s="36" t="s">
        <v>1728</v>
      </c>
      <c r="FJ858" t="s">
        <v>59</v>
      </c>
      <c r="FM858" s="32" t="s">
        <v>1877</v>
      </c>
      <c r="FN858" t="s">
        <v>1877</v>
      </c>
      <c r="FO858" t="s">
        <v>1878</v>
      </c>
      <c r="FP858" t="str">
        <f t="shared" si="198"/>
        <v>C</v>
      </c>
    </row>
    <row r="859" spans="153:172" x14ac:dyDescent="0.35">
      <c r="EW859" t="s">
        <v>46</v>
      </c>
      <c r="EX859" s="33" t="s">
        <v>47</v>
      </c>
      <c r="EY859" s="35" t="s">
        <v>2090</v>
      </c>
      <c r="EZ859" s="36" t="s">
        <v>2091</v>
      </c>
      <c r="FA859" s="36" t="s">
        <v>2003</v>
      </c>
      <c r="FB859" s="36" t="s">
        <v>2004</v>
      </c>
      <c r="FC859" s="36" t="s">
        <v>2003</v>
      </c>
      <c r="FD859" s="36" t="s">
        <v>2004</v>
      </c>
      <c r="FE859" s="36">
        <v>2022</v>
      </c>
      <c r="FF859" s="36" t="s">
        <v>59</v>
      </c>
      <c r="FG859" s="36" t="s">
        <v>1728</v>
      </c>
      <c r="FJ859" t="s">
        <v>59</v>
      </c>
      <c r="FM859" s="32" t="s">
        <v>1750</v>
      </c>
      <c r="FN859" t="s">
        <v>1750</v>
      </c>
      <c r="FO859" t="s">
        <v>1751</v>
      </c>
      <c r="FP859" t="str">
        <f t="shared" si="198"/>
        <v>C</v>
      </c>
    </row>
    <row r="860" spans="153:172" x14ac:dyDescent="0.35">
      <c r="EW860" t="s">
        <v>46</v>
      </c>
      <c r="EX860" s="33" t="s">
        <v>47</v>
      </c>
      <c r="EY860" s="35" t="s">
        <v>2092</v>
      </c>
      <c r="EZ860" s="36" t="s">
        <v>2093</v>
      </c>
      <c r="FA860" s="36" t="s">
        <v>2003</v>
      </c>
      <c r="FB860" s="36" t="s">
        <v>2004</v>
      </c>
      <c r="FC860" s="36" t="s">
        <v>2003</v>
      </c>
      <c r="FD860" s="36" t="s">
        <v>2004</v>
      </c>
      <c r="FE860" s="36">
        <v>2022</v>
      </c>
      <c r="FF860" s="36" t="s">
        <v>59</v>
      </c>
      <c r="FG860" s="36" t="s">
        <v>1728</v>
      </c>
      <c r="FJ860" t="s">
        <v>59</v>
      </c>
      <c r="FM860" s="32" t="s">
        <v>2094</v>
      </c>
      <c r="FN860" t="s">
        <v>2094</v>
      </c>
      <c r="FO860" t="s">
        <v>1874</v>
      </c>
      <c r="FP860" t="str">
        <f t="shared" si="198"/>
        <v>C</v>
      </c>
    </row>
    <row r="861" spans="153:172" x14ac:dyDescent="0.35">
      <c r="EW861" t="s">
        <v>46</v>
      </c>
      <c r="EX861" s="33" t="s">
        <v>47</v>
      </c>
      <c r="EY861" s="35" t="s">
        <v>2095</v>
      </c>
      <c r="EZ861" s="36" t="s">
        <v>2096</v>
      </c>
      <c r="FA861" s="36" t="s">
        <v>2003</v>
      </c>
      <c r="FB861" s="36" t="s">
        <v>2004</v>
      </c>
      <c r="FC861" s="36" t="s">
        <v>2003</v>
      </c>
      <c r="FD861" s="36" t="s">
        <v>2004</v>
      </c>
      <c r="FE861" s="36">
        <v>2022</v>
      </c>
      <c r="FF861" s="36" t="s">
        <v>59</v>
      </c>
      <c r="FG861" s="36" t="s">
        <v>1193</v>
      </c>
      <c r="FJ861" t="s">
        <v>59</v>
      </c>
      <c r="FM861" s="32" t="s">
        <v>1328</v>
      </c>
      <c r="FN861" t="s">
        <v>1328</v>
      </c>
      <c r="FO861" t="s">
        <v>1329</v>
      </c>
      <c r="FP861" t="str">
        <f t="shared" si="198"/>
        <v>C</v>
      </c>
    </row>
    <row r="862" spans="153:172" x14ac:dyDescent="0.35">
      <c r="EW862" t="s">
        <v>46</v>
      </c>
      <c r="EX862" s="33" t="s">
        <v>47</v>
      </c>
      <c r="EY862" s="35" t="s">
        <v>2097</v>
      </c>
      <c r="EZ862" s="36" t="s">
        <v>2098</v>
      </c>
      <c r="FA862" s="36" t="s">
        <v>2003</v>
      </c>
      <c r="FB862" s="36" t="s">
        <v>2004</v>
      </c>
      <c r="FC862" s="36" t="s">
        <v>2003</v>
      </c>
      <c r="FD862" s="36" t="s">
        <v>2004</v>
      </c>
      <c r="FE862" s="36">
        <v>2022</v>
      </c>
      <c r="FF862" s="36" t="s">
        <v>59</v>
      </c>
      <c r="FG862" s="36" t="s">
        <v>1728</v>
      </c>
      <c r="FJ862" t="s">
        <v>59</v>
      </c>
      <c r="FM862" s="32" t="s">
        <v>1771</v>
      </c>
      <c r="FN862" t="s">
        <v>1771</v>
      </c>
      <c r="FO862" t="s">
        <v>1772</v>
      </c>
      <c r="FP862" t="str">
        <f t="shared" si="198"/>
        <v>C</v>
      </c>
    </row>
    <row r="863" spans="153:172" x14ac:dyDescent="0.35">
      <c r="EW863" t="s">
        <v>46</v>
      </c>
      <c r="EX863" s="33" t="s">
        <v>47</v>
      </c>
      <c r="EY863" s="35" t="s">
        <v>2099</v>
      </c>
      <c r="EZ863" s="36" t="s">
        <v>2100</v>
      </c>
      <c r="FA863" s="36" t="s">
        <v>2003</v>
      </c>
      <c r="FB863" s="36" t="s">
        <v>2004</v>
      </c>
      <c r="FC863" s="36" t="s">
        <v>2003</v>
      </c>
      <c r="FD863" s="36" t="s">
        <v>2004</v>
      </c>
      <c r="FE863" s="36">
        <v>2022</v>
      </c>
      <c r="FF863" s="36" t="s">
        <v>59</v>
      </c>
      <c r="FG863" s="36" t="s">
        <v>1728</v>
      </c>
      <c r="FJ863" t="s">
        <v>59</v>
      </c>
      <c r="FM863" s="32" t="s">
        <v>1248</v>
      </c>
      <c r="FN863" t="s">
        <v>1248</v>
      </c>
      <c r="FO863" t="s">
        <v>1249</v>
      </c>
      <c r="FP863" t="str">
        <f t="shared" si="198"/>
        <v>C</v>
      </c>
    </row>
    <row r="864" spans="153:172" x14ac:dyDescent="0.35">
      <c r="EW864" t="s">
        <v>46</v>
      </c>
      <c r="EX864" s="33" t="s">
        <v>47</v>
      </c>
      <c r="EY864" s="35" t="s">
        <v>2101</v>
      </c>
      <c r="EZ864" s="36" t="s">
        <v>2102</v>
      </c>
      <c r="FA864" s="36" t="s">
        <v>2003</v>
      </c>
      <c r="FB864" s="36" t="s">
        <v>2004</v>
      </c>
      <c r="FC864" s="36" t="s">
        <v>2003</v>
      </c>
      <c r="FD864" s="36" t="s">
        <v>2004</v>
      </c>
      <c r="FE864" s="36">
        <v>2022</v>
      </c>
      <c r="FF864" s="36" t="s">
        <v>59</v>
      </c>
      <c r="FG864" s="36" t="s">
        <v>1193</v>
      </c>
      <c r="FJ864" t="s">
        <v>59</v>
      </c>
      <c r="FM864" s="32" t="s">
        <v>1759</v>
      </c>
      <c r="FN864" t="s">
        <v>1759</v>
      </c>
      <c r="FO864" t="s">
        <v>1760</v>
      </c>
      <c r="FP864" t="str">
        <f t="shared" si="198"/>
        <v>C</v>
      </c>
    </row>
    <row r="865" spans="153:172" x14ac:dyDescent="0.35">
      <c r="EW865" t="s">
        <v>46</v>
      </c>
      <c r="EX865" s="33" t="s">
        <v>47</v>
      </c>
      <c r="EY865" s="35" t="s">
        <v>2103</v>
      </c>
      <c r="EZ865" s="36" t="s">
        <v>2104</v>
      </c>
      <c r="FA865" s="36" t="s">
        <v>2003</v>
      </c>
      <c r="FB865" s="36" t="s">
        <v>2004</v>
      </c>
      <c r="FC865" s="36" t="s">
        <v>2003</v>
      </c>
      <c r="FD865" s="36" t="s">
        <v>2004</v>
      </c>
      <c r="FE865" s="36">
        <v>2022</v>
      </c>
      <c r="FF865" s="36" t="s">
        <v>59</v>
      </c>
      <c r="FG865" s="36" t="s">
        <v>1728</v>
      </c>
      <c r="FJ865" t="s">
        <v>59</v>
      </c>
      <c r="FM865" s="32" t="s">
        <v>1882</v>
      </c>
      <c r="FN865" t="s">
        <v>1882</v>
      </c>
      <c r="FO865" t="s">
        <v>1883</v>
      </c>
      <c r="FP865" t="str">
        <f t="shared" si="198"/>
        <v>C</v>
      </c>
    </row>
    <row r="866" spans="153:172" x14ac:dyDescent="0.35">
      <c r="EW866" t="s">
        <v>46</v>
      </c>
      <c r="EX866" s="33" t="s">
        <v>47</v>
      </c>
      <c r="EY866" s="35" t="s">
        <v>2105</v>
      </c>
      <c r="EZ866" s="36" t="s">
        <v>2106</v>
      </c>
      <c r="FA866" s="36" t="s">
        <v>2003</v>
      </c>
      <c r="FB866" s="36" t="s">
        <v>2004</v>
      </c>
      <c r="FC866" s="36" t="s">
        <v>2003</v>
      </c>
      <c r="FD866" s="36" t="s">
        <v>2004</v>
      </c>
      <c r="FE866" s="36">
        <v>2022</v>
      </c>
      <c r="FF866" s="36" t="s">
        <v>59</v>
      </c>
      <c r="FG866" s="36" t="s">
        <v>1728</v>
      </c>
      <c r="FJ866" t="s">
        <v>59</v>
      </c>
      <c r="FM866" s="32" t="s">
        <v>1774</v>
      </c>
      <c r="FN866" t="s">
        <v>1774</v>
      </c>
      <c r="FO866" t="s">
        <v>1775</v>
      </c>
      <c r="FP866" t="str">
        <f t="shared" si="198"/>
        <v>C</v>
      </c>
    </row>
    <row r="867" spans="153:172" x14ac:dyDescent="0.35">
      <c r="EW867" t="s">
        <v>46</v>
      </c>
      <c r="EX867" s="33" t="s">
        <v>47</v>
      </c>
      <c r="EY867" s="35" t="s">
        <v>2107</v>
      </c>
      <c r="EZ867" s="36" t="s">
        <v>2108</v>
      </c>
      <c r="FA867" s="36" t="s">
        <v>2003</v>
      </c>
      <c r="FB867" s="36" t="s">
        <v>2004</v>
      </c>
      <c r="FC867" s="36" t="s">
        <v>2003</v>
      </c>
      <c r="FD867" s="36" t="s">
        <v>2004</v>
      </c>
      <c r="FE867" s="36">
        <v>2022</v>
      </c>
      <c r="FF867" s="36" t="s">
        <v>59</v>
      </c>
      <c r="FG867" s="36" t="s">
        <v>1728</v>
      </c>
      <c r="FJ867" t="s">
        <v>59</v>
      </c>
      <c r="FM867" s="32" t="s">
        <v>1821</v>
      </c>
      <c r="FN867" t="s">
        <v>1821</v>
      </c>
      <c r="FO867" t="s">
        <v>1822</v>
      </c>
      <c r="FP867" t="str">
        <f t="shared" si="198"/>
        <v>C</v>
      </c>
    </row>
    <row r="868" spans="153:172" x14ac:dyDescent="0.35">
      <c r="EW868" t="s">
        <v>46</v>
      </c>
      <c r="EX868" s="33" t="s">
        <v>47</v>
      </c>
      <c r="EY868" s="35" t="s">
        <v>2109</v>
      </c>
      <c r="EZ868" s="36" t="s">
        <v>2110</v>
      </c>
      <c r="FA868" s="36" t="s">
        <v>2003</v>
      </c>
      <c r="FB868" s="36" t="s">
        <v>2004</v>
      </c>
      <c r="FC868" s="36" t="s">
        <v>2003</v>
      </c>
      <c r="FD868" s="36" t="s">
        <v>2004</v>
      </c>
      <c r="FE868" s="36">
        <v>2022</v>
      </c>
      <c r="FF868" s="36" t="s">
        <v>59</v>
      </c>
      <c r="FG868" s="36" t="s">
        <v>1728</v>
      </c>
      <c r="FJ868" t="s">
        <v>59</v>
      </c>
      <c r="FM868" s="32" t="s">
        <v>1253</v>
      </c>
      <c r="FN868" t="s">
        <v>1253</v>
      </c>
      <c r="FO868" t="s">
        <v>1253</v>
      </c>
      <c r="FP868" t="str">
        <f t="shared" si="198"/>
        <v>C</v>
      </c>
    </row>
    <row r="869" spans="153:172" x14ac:dyDescent="0.35">
      <c r="EW869" t="s">
        <v>46</v>
      </c>
      <c r="EX869" s="33" t="s">
        <v>47</v>
      </c>
      <c r="EY869" s="35" t="s">
        <v>2111</v>
      </c>
      <c r="EZ869" s="36" t="s">
        <v>2112</v>
      </c>
      <c r="FA869" s="36" t="s">
        <v>2003</v>
      </c>
      <c r="FB869" s="36" t="s">
        <v>2004</v>
      </c>
      <c r="FC869" s="36" t="s">
        <v>2003</v>
      </c>
      <c r="FD869" s="36" t="s">
        <v>2004</v>
      </c>
      <c r="FE869" s="36">
        <v>2022</v>
      </c>
      <c r="FF869" s="36" t="s">
        <v>59</v>
      </c>
      <c r="FG869" s="36" t="s">
        <v>1728</v>
      </c>
      <c r="FJ869" t="s">
        <v>59</v>
      </c>
      <c r="FM869" s="32" t="s">
        <v>1785</v>
      </c>
      <c r="FN869" t="s">
        <v>1785</v>
      </c>
      <c r="FO869" t="s">
        <v>1785</v>
      </c>
      <c r="FP869" t="str">
        <f t="shared" si="198"/>
        <v>C</v>
      </c>
    </row>
    <row r="870" spans="153:172" x14ac:dyDescent="0.35">
      <c r="EW870" t="s">
        <v>46</v>
      </c>
      <c r="EX870" s="33" t="s">
        <v>47</v>
      </c>
      <c r="EY870" s="35" t="s">
        <v>2113</v>
      </c>
      <c r="EZ870" s="36" t="s">
        <v>2114</v>
      </c>
      <c r="FA870" s="36" t="s">
        <v>2003</v>
      </c>
      <c r="FB870" s="36" t="s">
        <v>2004</v>
      </c>
      <c r="FC870" s="36" t="s">
        <v>2003</v>
      </c>
      <c r="FD870" s="36" t="s">
        <v>2004</v>
      </c>
      <c r="FE870" s="36">
        <v>2022</v>
      </c>
      <c r="FF870" s="36" t="s">
        <v>59</v>
      </c>
      <c r="FG870" s="36" t="s">
        <v>1728</v>
      </c>
      <c r="FJ870" t="s">
        <v>59</v>
      </c>
      <c r="FM870" s="32" t="s">
        <v>1801</v>
      </c>
      <c r="FN870" t="s">
        <v>1801</v>
      </c>
      <c r="FO870" t="s">
        <v>1801</v>
      </c>
      <c r="FP870" t="str">
        <f t="shared" si="198"/>
        <v>C</v>
      </c>
    </row>
    <row r="871" spans="153:172" x14ac:dyDescent="0.35">
      <c r="EW871" t="s">
        <v>46</v>
      </c>
      <c r="EX871" s="33" t="s">
        <v>47</v>
      </c>
      <c r="EY871" s="35" t="s">
        <v>2115</v>
      </c>
      <c r="EZ871" s="36" t="s">
        <v>2116</v>
      </c>
      <c r="FA871" s="36" t="s">
        <v>2003</v>
      </c>
      <c r="FB871" s="36" t="s">
        <v>2004</v>
      </c>
      <c r="FC871" s="36" t="s">
        <v>2003</v>
      </c>
      <c r="FD871" s="36" t="s">
        <v>2004</v>
      </c>
      <c r="FE871" s="36">
        <v>2022</v>
      </c>
      <c r="FF871" s="36" t="s">
        <v>59</v>
      </c>
      <c r="FG871" s="36" t="s">
        <v>1728</v>
      </c>
      <c r="FJ871" t="s">
        <v>59</v>
      </c>
      <c r="FM871" s="32" t="s">
        <v>1895</v>
      </c>
      <c r="FN871" t="s">
        <v>1895</v>
      </c>
      <c r="FO871" t="s">
        <v>1895</v>
      </c>
      <c r="FP871" t="str">
        <f t="shared" si="198"/>
        <v>C</v>
      </c>
    </row>
    <row r="872" spans="153:172" x14ac:dyDescent="0.35">
      <c r="EW872" t="s">
        <v>46</v>
      </c>
      <c r="EX872" s="33" t="s">
        <v>47</v>
      </c>
      <c r="EY872" s="35" t="s">
        <v>2117</v>
      </c>
      <c r="EZ872" s="36" t="s">
        <v>2118</v>
      </c>
      <c r="FA872" s="36" t="s">
        <v>2003</v>
      </c>
      <c r="FB872" s="36" t="s">
        <v>2004</v>
      </c>
      <c r="FC872" s="36" t="s">
        <v>2003</v>
      </c>
      <c r="FD872" s="36" t="s">
        <v>2004</v>
      </c>
      <c r="FE872" s="36">
        <v>2022</v>
      </c>
      <c r="FF872" s="36" t="s">
        <v>59</v>
      </c>
      <c r="FG872" s="36" t="s">
        <v>1193</v>
      </c>
      <c r="FJ872" t="s">
        <v>59</v>
      </c>
      <c r="FM872" s="32" t="s">
        <v>1898</v>
      </c>
      <c r="FN872" t="s">
        <v>1898</v>
      </c>
      <c r="FO872" t="s">
        <v>1898</v>
      </c>
      <c r="FP872" t="str">
        <f t="shared" si="198"/>
        <v>C</v>
      </c>
    </row>
    <row r="873" spans="153:172" x14ac:dyDescent="0.35">
      <c r="EW873" t="s">
        <v>46</v>
      </c>
      <c r="EX873" s="33" t="s">
        <v>47</v>
      </c>
      <c r="EY873" s="35" t="s">
        <v>2119</v>
      </c>
      <c r="EZ873" s="36" t="s">
        <v>2120</v>
      </c>
      <c r="FA873" s="36" t="s">
        <v>2003</v>
      </c>
      <c r="FB873" s="36" t="s">
        <v>2004</v>
      </c>
      <c r="FC873" s="36" t="s">
        <v>2003</v>
      </c>
      <c r="FD873" s="36" t="s">
        <v>2004</v>
      </c>
      <c r="FE873" s="36">
        <v>2022</v>
      </c>
      <c r="FF873" s="36" t="s">
        <v>59</v>
      </c>
      <c r="FG873" s="36" t="s">
        <v>1193</v>
      </c>
      <c r="FJ873" t="s">
        <v>59</v>
      </c>
      <c r="FM873" s="32" t="s">
        <v>1419</v>
      </c>
      <c r="FN873" t="s">
        <v>1419</v>
      </c>
      <c r="FO873" t="s">
        <v>1419</v>
      </c>
      <c r="FP873" t="str">
        <f t="shared" si="198"/>
        <v>C</v>
      </c>
    </row>
    <row r="874" spans="153:172" x14ac:dyDescent="0.35">
      <c r="EW874" t="s">
        <v>46</v>
      </c>
      <c r="EX874" s="33" t="s">
        <v>47</v>
      </c>
      <c r="EY874" s="35" t="s">
        <v>2121</v>
      </c>
      <c r="EZ874" s="36" t="s">
        <v>2122</v>
      </c>
      <c r="FA874" s="36" t="s">
        <v>2003</v>
      </c>
      <c r="FB874" s="36" t="s">
        <v>2004</v>
      </c>
      <c r="FC874" s="36" t="s">
        <v>2003</v>
      </c>
      <c r="FD874" s="36" t="s">
        <v>2004</v>
      </c>
      <c r="FE874" s="36">
        <v>2022</v>
      </c>
      <c r="FF874" s="36" t="s">
        <v>59</v>
      </c>
      <c r="FG874" s="36" t="s">
        <v>1728</v>
      </c>
      <c r="FJ874" t="s">
        <v>59</v>
      </c>
      <c r="FM874" s="32" t="s">
        <v>1212</v>
      </c>
      <c r="FN874" t="s">
        <v>1212</v>
      </c>
      <c r="FO874" t="s">
        <v>1212</v>
      </c>
      <c r="FP874" t="str">
        <f t="shared" si="198"/>
        <v>C</v>
      </c>
    </row>
    <row r="875" spans="153:172" x14ac:dyDescent="0.35">
      <c r="EW875" t="s">
        <v>46</v>
      </c>
      <c r="EX875" s="33" t="s">
        <v>47</v>
      </c>
      <c r="EY875" s="35" t="s">
        <v>2123</v>
      </c>
      <c r="EZ875" s="36" t="s">
        <v>2124</v>
      </c>
      <c r="FA875" s="36" t="s">
        <v>2003</v>
      </c>
      <c r="FB875" s="36" t="s">
        <v>2004</v>
      </c>
      <c r="FC875" s="36" t="s">
        <v>2003</v>
      </c>
      <c r="FD875" s="36" t="s">
        <v>2004</v>
      </c>
      <c r="FE875" s="36">
        <v>2022</v>
      </c>
      <c r="FF875" s="36" t="s">
        <v>59</v>
      </c>
      <c r="FG875" s="36" t="s">
        <v>1728</v>
      </c>
      <c r="FJ875" t="s">
        <v>59</v>
      </c>
      <c r="FM875" s="32" t="s">
        <v>1846</v>
      </c>
      <c r="FN875" t="s">
        <v>1846</v>
      </c>
      <c r="FO875" t="s">
        <v>1846</v>
      </c>
      <c r="FP875" t="str">
        <f t="shared" si="198"/>
        <v>C</v>
      </c>
    </row>
    <row r="876" spans="153:172" x14ac:dyDescent="0.35">
      <c r="EW876" t="s">
        <v>46</v>
      </c>
      <c r="EX876" s="33" t="s">
        <v>47</v>
      </c>
      <c r="EY876" s="35" t="s">
        <v>2125</v>
      </c>
      <c r="EZ876" s="36" t="s">
        <v>2126</v>
      </c>
      <c r="FA876" s="36" t="s">
        <v>2003</v>
      </c>
      <c r="FB876" s="36" t="s">
        <v>2004</v>
      </c>
      <c r="FC876" s="36" t="s">
        <v>2003</v>
      </c>
      <c r="FD876" s="36" t="s">
        <v>2004</v>
      </c>
      <c r="FE876" s="36">
        <v>2022</v>
      </c>
      <c r="FF876" s="36" t="s">
        <v>59</v>
      </c>
      <c r="FG876" s="36" t="s">
        <v>1728</v>
      </c>
      <c r="FJ876" t="s">
        <v>59</v>
      </c>
      <c r="FM876" s="32" t="s">
        <v>1906</v>
      </c>
      <c r="FN876" t="s">
        <v>1906</v>
      </c>
      <c r="FO876" t="s">
        <v>1907</v>
      </c>
      <c r="FP876" t="str">
        <f t="shared" si="198"/>
        <v>C</v>
      </c>
    </row>
    <row r="877" spans="153:172" x14ac:dyDescent="0.35">
      <c r="EW877" t="s">
        <v>46</v>
      </c>
      <c r="EX877" s="33" t="s">
        <v>47</v>
      </c>
      <c r="EY877" s="35" t="s">
        <v>2127</v>
      </c>
      <c r="EZ877" s="36" t="s">
        <v>2128</v>
      </c>
      <c r="FA877" s="36" t="s">
        <v>2003</v>
      </c>
      <c r="FB877" s="36" t="s">
        <v>2004</v>
      </c>
      <c r="FC877" s="36" t="s">
        <v>2003</v>
      </c>
      <c r="FD877" s="36" t="s">
        <v>2004</v>
      </c>
      <c r="FE877" s="36">
        <v>2022</v>
      </c>
      <c r="FF877" s="36" t="s">
        <v>59</v>
      </c>
      <c r="FG877" s="36" t="s">
        <v>1728</v>
      </c>
      <c r="FJ877" t="s">
        <v>59</v>
      </c>
      <c r="FM877" s="32" t="s">
        <v>1911</v>
      </c>
      <c r="FN877" t="s">
        <v>1911</v>
      </c>
      <c r="FO877" t="s">
        <v>1912</v>
      </c>
      <c r="FP877" t="str">
        <f t="shared" si="198"/>
        <v>C</v>
      </c>
    </row>
    <row r="878" spans="153:172" x14ac:dyDescent="0.35">
      <c r="EW878" t="s">
        <v>46</v>
      </c>
      <c r="EX878" s="33" t="s">
        <v>47</v>
      </c>
      <c r="EY878" s="35" t="s">
        <v>2129</v>
      </c>
      <c r="EZ878" s="36" t="s">
        <v>2130</v>
      </c>
      <c r="FA878" s="36" t="s">
        <v>2003</v>
      </c>
      <c r="FB878" s="36" t="s">
        <v>2004</v>
      </c>
      <c r="FC878" s="36" t="s">
        <v>2003</v>
      </c>
      <c r="FD878" s="36" t="s">
        <v>2004</v>
      </c>
      <c r="FE878" s="36">
        <v>2022</v>
      </c>
      <c r="FF878" s="36" t="s">
        <v>59</v>
      </c>
      <c r="FG878" s="36" t="s">
        <v>1728</v>
      </c>
      <c r="FJ878" t="s">
        <v>59</v>
      </c>
      <c r="FM878" s="32" t="s">
        <v>1914</v>
      </c>
      <c r="FN878" t="s">
        <v>1914</v>
      </c>
      <c r="FO878" t="s">
        <v>1915</v>
      </c>
      <c r="FP878" t="str">
        <f t="shared" si="198"/>
        <v>C</v>
      </c>
    </row>
    <row r="879" spans="153:172" x14ac:dyDescent="0.35">
      <c r="EW879" t="s">
        <v>46</v>
      </c>
      <c r="EX879" s="33" t="s">
        <v>47</v>
      </c>
      <c r="EY879" s="35" t="s">
        <v>2131</v>
      </c>
      <c r="EZ879" s="36" t="s">
        <v>2132</v>
      </c>
      <c r="FA879" s="36" t="s">
        <v>2003</v>
      </c>
      <c r="FB879" s="36" t="s">
        <v>2004</v>
      </c>
      <c r="FC879" s="36" t="s">
        <v>2003</v>
      </c>
      <c r="FD879" s="36" t="s">
        <v>2004</v>
      </c>
      <c r="FE879" s="36">
        <v>2022</v>
      </c>
      <c r="FF879" s="36" t="s">
        <v>59</v>
      </c>
      <c r="FG879" s="36" t="s">
        <v>1728</v>
      </c>
      <c r="FJ879" t="s">
        <v>59</v>
      </c>
      <c r="FM879" s="32" t="s">
        <v>1797</v>
      </c>
      <c r="FN879" t="s">
        <v>1797</v>
      </c>
      <c r="FO879" t="s">
        <v>1798</v>
      </c>
      <c r="FP879" t="str">
        <f t="shared" si="198"/>
        <v>C</v>
      </c>
    </row>
    <row r="880" spans="153:172" x14ac:dyDescent="0.35">
      <c r="EW880" t="s">
        <v>46</v>
      </c>
      <c r="EX880" s="33" t="s">
        <v>47</v>
      </c>
      <c r="EY880" s="35" t="s">
        <v>2133</v>
      </c>
      <c r="EZ880" s="36" t="s">
        <v>2134</v>
      </c>
      <c r="FA880" s="36" t="s">
        <v>2003</v>
      </c>
      <c r="FB880" s="36" t="s">
        <v>2004</v>
      </c>
      <c r="FC880" s="36" t="s">
        <v>2003</v>
      </c>
      <c r="FD880" s="36" t="s">
        <v>2004</v>
      </c>
      <c r="FE880" s="36">
        <v>2022</v>
      </c>
      <c r="FF880" s="36" t="s">
        <v>59</v>
      </c>
      <c r="FG880" s="36" t="s">
        <v>1193</v>
      </c>
      <c r="FJ880" t="s">
        <v>59</v>
      </c>
      <c r="FM880" s="32" t="s">
        <v>1855</v>
      </c>
      <c r="FN880" t="s">
        <v>1855</v>
      </c>
      <c r="FO880" t="s">
        <v>1856</v>
      </c>
      <c r="FP880" t="str">
        <f t="shared" si="198"/>
        <v>C</v>
      </c>
    </row>
    <row r="881" spans="153:172" x14ac:dyDescent="0.35">
      <c r="EW881" t="s">
        <v>46</v>
      </c>
      <c r="EX881" s="33" t="s">
        <v>47</v>
      </c>
      <c r="EY881" s="35" t="s">
        <v>2135</v>
      </c>
      <c r="EZ881" s="36" t="s">
        <v>2136</v>
      </c>
      <c r="FA881" s="36" t="s">
        <v>2003</v>
      </c>
      <c r="FB881" s="36" t="s">
        <v>2004</v>
      </c>
      <c r="FC881" s="36" t="s">
        <v>2003</v>
      </c>
      <c r="FD881" s="36" t="s">
        <v>2004</v>
      </c>
      <c r="FE881" s="36">
        <v>2022</v>
      </c>
      <c r="FF881" s="36" t="s">
        <v>59</v>
      </c>
      <c r="FG881" s="36" t="s">
        <v>1193</v>
      </c>
      <c r="FJ881" t="s">
        <v>59</v>
      </c>
      <c r="FM881" s="32" t="s">
        <v>1237</v>
      </c>
      <c r="FN881" t="s">
        <v>1237</v>
      </c>
      <c r="FO881" t="s">
        <v>1238</v>
      </c>
      <c r="FP881" t="str">
        <f t="shared" si="198"/>
        <v>C</v>
      </c>
    </row>
    <row r="882" spans="153:172" x14ac:dyDescent="0.35">
      <c r="EW882" t="s">
        <v>46</v>
      </c>
      <c r="EX882" s="33" t="s">
        <v>47</v>
      </c>
      <c r="EY882" s="35" t="s">
        <v>2137</v>
      </c>
      <c r="EZ882" s="36" t="s">
        <v>2138</v>
      </c>
      <c r="FA882" s="36" t="s">
        <v>2003</v>
      </c>
      <c r="FB882" s="36" t="s">
        <v>2004</v>
      </c>
      <c r="FC882" s="36" t="s">
        <v>2003</v>
      </c>
      <c r="FD882" s="36" t="s">
        <v>2004</v>
      </c>
      <c r="FE882" s="36">
        <v>2022</v>
      </c>
      <c r="FF882" s="36" t="s">
        <v>59</v>
      </c>
      <c r="FG882" s="36" t="s">
        <v>1193</v>
      </c>
      <c r="FJ882" t="s">
        <v>59</v>
      </c>
      <c r="FM882" s="32" t="s">
        <v>2139</v>
      </c>
      <c r="FN882" t="s">
        <v>2139</v>
      </c>
      <c r="FO882" t="s">
        <v>2140</v>
      </c>
      <c r="FP882" t="str">
        <f t="shared" si="198"/>
        <v>C</v>
      </c>
    </row>
    <row r="883" spans="153:172" x14ac:dyDescent="0.35">
      <c r="EW883" t="s">
        <v>46</v>
      </c>
      <c r="EX883" s="33" t="s">
        <v>47</v>
      </c>
      <c r="EY883" s="35" t="s">
        <v>2141</v>
      </c>
      <c r="EZ883" s="36" t="s">
        <v>2142</v>
      </c>
      <c r="FA883" s="36" t="s">
        <v>2003</v>
      </c>
      <c r="FB883" s="36" t="s">
        <v>2004</v>
      </c>
      <c r="FC883" s="36" t="s">
        <v>2003</v>
      </c>
      <c r="FD883" s="36" t="s">
        <v>2004</v>
      </c>
      <c r="FE883" s="36">
        <v>2022</v>
      </c>
      <c r="FF883" s="36" t="s">
        <v>59</v>
      </c>
      <c r="FG883" s="36" t="s">
        <v>1728</v>
      </c>
      <c r="FJ883" t="s">
        <v>59</v>
      </c>
      <c r="FM883" s="32" t="s">
        <v>1920</v>
      </c>
      <c r="FN883" t="s">
        <v>1920</v>
      </c>
      <c r="FO883" t="s">
        <v>1921</v>
      </c>
      <c r="FP883" t="str">
        <f t="shared" si="198"/>
        <v>B</v>
      </c>
    </row>
    <row r="884" spans="153:172" x14ac:dyDescent="0.35">
      <c r="EW884" t="s">
        <v>46</v>
      </c>
      <c r="EX884" s="33" t="s">
        <v>47</v>
      </c>
      <c r="EY884" s="35" t="s">
        <v>2143</v>
      </c>
      <c r="EZ884" s="36" t="s">
        <v>2144</v>
      </c>
      <c r="FA884" s="36" t="s">
        <v>2003</v>
      </c>
      <c r="FB884" s="36" t="s">
        <v>2004</v>
      </c>
      <c r="FC884" s="36" t="s">
        <v>2003</v>
      </c>
      <c r="FD884" s="36" t="s">
        <v>2004</v>
      </c>
      <c r="FE884" s="36">
        <v>2022</v>
      </c>
      <c r="FF884" s="36" t="s">
        <v>59</v>
      </c>
      <c r="FG884" s="36" t="s">
        <v>1193</v>
      </c>
      <c r="FJ884" t="s">
        <v>59</v>
      </c>
      <c r="FM884" s="32" t="s">
        <v>1817</v>
      </c>
      <c r="FN884" t="s">
        <v>1817</v>
      </c>
      <c r="FO884" t="s">
        <v>1818</v>
      </c>
      <c r="FP884" t="str">
        <f t="shared" si="198"/>
        <v>C</v>
      </c>
    </row>
    <row r="885" spans="153:172" x14ac:dyDescent="0.35">
      <c r="EW885" t="s">
        <v>46</v>
      </c>
      <c r="EX885" s="33" t="s">
        <v>47</v>
      </c>
      <c r="EY885" s="35" t="s">
        <v>2145</v>
      </c>
      <c r="EZ885" s="36" t="s">
        <v>2146</v>
      </c>
      <c r="FA885" s="36" t="s">
        <v>2003</v>
      </c>
      <c r="FB885" s="36" t="s">
        <v>2004</v>
      </c>
      <c r="FC885" s="36" t="s">
        <v>2003</v>
      </c>
      <c r="FD885" s="36" t="s">
        <v>2004</v>
      </c>
      <c r="FE885" s="36">
        <v>2022</v>
      </c>
      <c r="FF885" s="36" t="s">
        <v>59</v>
      </c>
      <c r="FG885" s="36" t="s">
        <v>1728</v>
      </c>
      <c r="FJ885" t="s">
        <v>59</v>
      </c>
      <c r="FM885" s="32" t="s">
        <v>1242</v>
      </c>
      <c r="FN885" t="s">
        <v>1242</v>
      </c>
      <c r="FO885" t="s">
        <v>1243</v>
      </c>
      <c r="FP885" t="str">
        <f t="shared" si="198"/>
        <v>C</v>
      </c>
    </row>
    <row r="886" spans="153:172" x14ac:dyDescent="0.35">
      <c r="EW886" t="s">
        <v>46</v>
      </c>
      <c r="EX886" s="33" t="s">
        <v>47</v>
      </c>
      <c r="EY886" s="35" t="s">
        <v>2147</v>
      </c>
      <c r="EZ886" s="36" t="s">
        <v>2148</v>
      </c>
      <c r="FA886" s="36" t="s">
        <v>2003</v>
      </c>
      <c r="FB886" s="36" t="s">
        <v>2004</v>
      </c>
      <c r="FC886" s="36" t="s">
        <v>2003</v>
      </c>
      <c r="FD886" s="36" t="s">
        <v>2004</v>
      </c>
      <c r="FE886" s="36">
        <v>2022</v>
      </c>
      <c r="FF886" s="36" t="s">
        <v>59</v>
      </c>
      <c r="FG886" s="36" t="s">
        <v>1728</v>
      </c>
      <c r="FJ886" t="s">
        <v>59</v>
      </c>
      <c r="FM886" s="32" t="s">
        <v>1926</v>
      </c>
      <c r="FN886" t="s">
        <v>1926</v>
      </c>
      <c r="FO886" t="s">
        <v>1927</v>
      </c>
      <c r="FP886" t="str">
        <f t="shared" si="198"/>
        <v>C</v>
      </c>
    </row>
    <row r="887" spans="153:172" x14ac:dyDescent="0.35">
      <c r="EW887" t="s">
        <v>46</v>
      </c>
      <c r="EX887" s="33" t="s">
        <v>47</v>
      </c>
      <c r="EY887" s="35" t="s">
        <v>2149</v>
      </c>
      <c r="EZ887" s="36" t="s">
        <v>2150</v>
      </c>
      <c r="FA887" s="36" t="s">
        <v>2003</v>
      </c>
      <c r="FB887" s="36" t="s">
        <v>2004</v>
      </c>
      <c r="FC887" s="36" t="s">
        <v>2003</v>
      </c>
      <c r="FD887" s="36" t="s">
        <v>2004</v>
      </c>
      <c r="FE887" s="36">
        <v>2022</v>
      </c>
      <c r="FF887" s="36" t="s">
        <v>59</v>
      </c>
      <c r="FG887" s="36" t="s">
        <v>1193</v>
      </c>
      <c r="FJ887" t="s">
        <v>59</v>
      </c>
      <c r="FM887" s="32" t="s">
        <v>1929</v>
      </c>
      <c r="FN887" t="s">
        <v>1929</v>
      </c>
      <c r="FO887" t="s">
        <v>1340</v>
      </c>
      <c r="FP887" t="str">
        <f t="shared" si="198"/>
        <v>C</v>
      </c>
    </row>
    <row r="888" spans="153:172" x14ac:dyDescent="0.35">
      <c r="EW888" t="s">
        <v>46</v>
      </c>
      <c r="EX888" s="33" t="s">
        <v>47</v>
      </c>
      <c r="EY888" s="35" t="s">
        <v>2151</v>
      </c>
      <c r="EZ888" s="36" t="s">
        <v>2152</v>
      </c>
      <c r="FA888" s="36" t="s">
        <v>2003</v>
      </c>
      <c r="FB888" s="36" t="s">
        <v>2004</v>
      </c>
      <c r="FC888" s="36" t="s">
        <v>2003</v>
      </c>
      <c r="FD888" s="36" t="s">
        <v>2004</v>
      </c>
      <c r="FE888" s="36">
        <v>2022</v>
      </c>
      <c r="FF888" s="36" t="s">
        <v>59</v>
      </c>
      <c r="FG888" s="36" t="s">
        <v>1728</v>
      </c>
      <c r="FJ888" t="s">
        <v>59</v>
      </c>
      <c r="FM888" s="32" t="s">
        <v>1811</v>
      </c>
      <c r="FN888" t="s">
        <v>1811</v>
      </c>
      <c r="FO888" t="s">
        <v>1812</v>
      </c>
      <c r="FP888" t="str">
        <f t="shared" si="198"/>
        <v>C</v>
      </c>
    </row>
    <row r="889" spans="153:172" x14ac:dyDescent="0.35">
      <c r="EW889" t="s">
        <v>46</v>
      </c>
      <c r="EX889" s="33" t="s">
        <v>47</v>
      </c>
      <c r="EY889" s="35" t="s">
        <v>2153</v>
      </c>
      <c r="EZ889" s="36" t="s">
        <v>2154</v>
      </c>
      <c r="FA889" s="36" t="s">
        <v>2003</v>
      </c>
      <c r="FB889" s="36" t="s">
        <v>2004</v>
      </c>
      <c r="FC889" s="36" t="s">
        <v>2003</v>
      </c>
      <c r="FD889" s="36" t="s">
        <v>2004</v>
      </c>
      <c r="FE889" s="36">
        <v>2022</v>
      </c>
      <c r="FF889" s="36" t="s">
        <v>59</v>
      </c>
      <c r="FG889" s="36" t="s">
        <v>1193</v>
      </c>
      <c r="FJ889" t="s">
        <v>59</v>
      </c>
      <c r="FM889" s="32" t="s">
        <v>1931</v>
      </c>
      <c r="FN889" t="s">
        <v>1931</v>
      </c>
      <c r="FO889" t="s">
        <v>1867</v>
      </c>
      <c r="FP889" t="str">
        <f t="shared" si="198"/>
        <v>C</v>
      </c>
    </row>
    <row r="890" spans="153:172" x14ac:dyDescent="0.35">
      <c r="EW890" t="s">
        <v>46</v>
      </c>
      <c r="EX890" s="33" t="s">
        <v>47</v>
      </c>
      <c r="EY890" s="35" t="s">
        <v>2155</v>
      </c>
      <c r="EZ890" s="36" t="s">
        <v>2156</v>
      </c>
      <c r="FA890" s="36" t="s">
        <v>2003</v>
      </c>
      <c r="FB890" s="36" t="s">
        <v>2004</v>
      </c>
      <c r="FC890" s="36" t="s">
        <v>2003</v>
      </c>
      <c r="FD890" s="36" t="s">
        <v>2004</v>
      </c>
      <c r="FE890" s="36">
        <v>2022</v>
      </c>
      <c r="FF890" s="36" t="s">
        <v>59</v>
      </c>
      <c r="FG890" s="36" t="s">
        <v>1728</v>
      </c>
      <c r="FJ890" t="s">
        <v>59</v>
      </c>
      <c r="FM890" s="32" t="s">
        <v>1384</v>
      </c>
      <c r="FN890" t="s">
        <v>1384</v>
      </c>
      <c r="FO890" t="s">
        <v>1385</v>
      </c>
      <c r="FP890" t="str">
        <f t="shared" si="198"/>
        <v>C</v>
      </c>
    </row>
    <row r="891" spans="153:172" x14ac:dyDescent="0.35">
      <c r="EW891" t="s">
        <v>46</v>
      </c>
      <c r="EX891" s="33" t="s">
        <v>47</v>
      </c>
      <c r="EY891" s="35" t="s">
        <v>2157</v>
      </c>
      <c r="EZ891" s="36" t="s">
        <v>2158</v>
      </c>
      <c r="FA891" s="36" t="s">
        <v>2003</v>
      </c>
      <c r="FB891" s="36" t="s">
        <v>2004</v>
      </c>
      <c r="FC891" s="36" t="s">
        <v>2003</v>
      </c>
      <c r="FD891" s="36" t="s">
        <v>2004</v>
      </c>
      <c r="FE891" s="36">
        <v>2022</v>
      </c>
      <c r="FF891" s="36" t="s">
        <v>59</v>
      </c>
      <c r="FG891" s="36" t="s">
        <v>1193</v>
      </c>
      <c r="FJ891" t="s">
        <v>59</v>
      </c>
      <c r="FM891" s="32" t="s">
        <v>1933</v>
      </c>
      <c r="FN891" t="s">
        <v>1933</v>
      </c>
      <c r="FO891" t="s">
        <v>1934</v>
      </c>
      <c r="FP891" t="str">
        <f t="shared" si="198"/>
        <v>C</v>
      </c>
    </row>
    <row r="892" spans="153:172" x14ac:dyDescent="0.35">
      <c r="EW892" t="s">
        <v>46</v>
      </c>
      <c r="EX892" s="33" t="s">
        <v>47</v>
      </c>
      <c r="EY892" s="35" t="s">
        <v>2159</v>
      </c>
      <c r="EZ892" s="36" t="s">
        <v>2160</v>
      </c>
      <c r="FA892" s="36" t="s">
        <v>2003</v>
      </c>
      <c r="FB892" s="36" t="s">
        <v>2004</v>
      </c>
      <c r="FC892" s="36" t="s">
        <v>2003</v>
      </c>
      <c r="FD892" s="36" t="s">
        <v>2004</v>
      </c>
      <c r="FE892" s="36">
        <v>2022</v>
      </c>
      <c r="FF892" s="36" t="s">
        <v>59</v>
      </c>
      <c r="FG892" s="36" t="s">
        <v>1728</v>
      </c>
      <c r="FJ892" t="s">
        <v>59</v>
      </c>
      <c r="FM892" s="32" t="s">
        <v>1706</v>
      </c>
      <c r="FN892" t="s">
        <v>1706</v>
      </c>
      <c r="FO892" t="s">
        <v>1707</v>
      </c>
      <c r="FP892" t="str">
        <f t="shared" si="198"/>
        <v>C</v>
      </c>
    </row>
    <row r="893" spans="153:172" x14ac:dyDescent="0.35">
      <c r="EW893" t="s">
        <v>46</v>
      </c>
      <c r="EX893" s="33" t="s">
        <v>47</v>
      </c>
      <c r="EY893" s="35" t="s">
        <v>2161</v>
      </c>
      <c r="EZ893" s="36" t="s">
        <v>2162</v>
      </c>
      <c r="FA893" s="36" t="s">
        <v>2003</v>
      </c>
      <c r="FB893" s="36" t="s">
        <v>2004</v>
      </c>
      <c r="FC893" s="36" t="s">
        <v>2003</v>
      </c>
      <c r="FD893" s="36" t="s">
        <v>2004</v>
      </c>
      <c r="FE893" s="36">
        <v>2022</v>
      </c>
      <c r="FF893" s="36" t="s">
        <v>59</v>
      </c>
      <c r="FG893" s="36" t="s">
        <v>1193</v>
      </c>
      <c r="FJ893" t="s">
        <v>59</v>
      </c>
      <c r="FM893" s="32" t="s">
        <v>1260</v>
      </c>
      <c r="FN893" t="s">
        <v>1260</v>
      </c>
      <c r="FO893" t="s">
        <v>1261</v>
      </c>
      <c r="FP893" t="str">
        <f t="shared" si="198"/>
        <v>C</v>
      </c>
    </row>
    <row r="894" spans="153:172" x14ac:dyDescent="0.35">
      <c r="EW894" t="s">
        <v>46</v>
      </c>
      <c r="EX894" s="33" t="s">
        <v>47</v>
      </c>
      <c r="EY894" s="35" t="s">
        <v>2163</v>
      </c>
      <c r="EZ894" s="36" t="s">
        <v>2164</v>
      </c>
      <c r="FA894" s="36" t="s">
        <v>2003</v>
      </c>
      <c r="FB894" s="36" t="s">
        <v>2004</v>
      </c>
      <c r="FC894" s="36" t="s">
        <v>2003</v>
      </c>
      <c r="FD894" s="36" t="s">
        <v>2004</v>
      </c>
      <c r="FE894" s="36">
        <v>2022</v>
      </c>
      <c r="FF894" s="36" t="s">
        <v>59</v>
      </c>
      <c r="FG894" s="36" t="s">
        <v>1193</v>
      </c>
      <c r="FJ894" t="s">
        <v>59</v>
      </c>
      <c r="FM894" s="32" t="s">
        <v>1937</v>
      </c>
      <c r="FN894" t="s">
        <v>1937</v>
      </c>
      <c r="FO894" t="s">
        <v>1938</v>
      </c>
      <c r="FP894" t="str">
        <f t="shared" si="198"/>
        <v>C</v>
      </c>
    </row>
    <row r="895" spans="153:172" x14ac:dyDescent="0.35">
      <c r="EW895" t="s">
        <v>46</v>
      </c>
      <c r="EX895" s="33" t="s">
        <v>47</v>
      </c>
      <c r="EY895" s="35" t="s">
        <v>2165</v>
      </c>
      <c r="EZ895" s="36" t="s">
        <v>2166</v>
      </c>
      <c r="FA895" s="36" t="s">
        <v>2003</v>
      </c>
      <c r="FB895" s="36" t="s">
        <v>2004</v>
      </c>
      <c r="FC895" s="36" t="s">
        <v>2003</v>
      </c>
      <c r="FD895" s="36" t="s">
        <v>2004</v>
      </c>
      <c r="FE895" s="36">
        <v>2022</v>
      </c>
      <c r="FF895" s="36" t="s">
        <v>59</v>
      </c>
      <c r="FG895" s="36" t="s">
        <v>1193</v>
      </c>
      <c r="FJ895" t="s">
        <v>59</v>
      </c>
      <c r="FM895" s="32" t="s">
        <v>1821</v>
      </c>
      <c r="FN895" t="s">
        <v>1821</v>
      </c>
      <c r="FO895" t="s">
        <v>1822</v>
      </c>
      <c r="FP895" t="str">
        <f t="shared" si="198"/>
        <v>C</v>
      </c>
    </row>
    <row r="896" spans="153:172" x14ac:dyDescent="0.35">
      <c r="EW896" t="s">
        <v>46</v>
      </c>
      <c r="EX896" s="33" t="s">
        <v>47</v>
      </c>
      <c r="EY896" s="35" t="s">
        <v>2167</v>
      </c>
      <c r="EZ896" s="36" t="s">
        <v>2168</v>
      </c>
      <c r="FA896" s="36" t="s">
        <v>2003</v>
      </c>
      <c r="FB896" s="36" t="s">
        <v>2004</v>
      </c>
      <c r="FC896" s="36" t="s">
        <v>2003</v>
      </c>
      <c r="FD896" s="36" t="s">
        <v>2004</v>
      </c>
      <c r="FE896" s="36">
        <v>2022</v>
      </c>
      <c r="FF896" s="36" t="s">
        <v>59</v>
      </c>
      <c r="FG896" s="36" t="s">
        <v>1193</v>
      </c>
      <c r="FJ896" t="s">
        <v>59</v>
      </c>
      <c r="FM896" s="32" t="s">
        <v>1942</v>
      </c>
      <c r="FN896" t="s">
        <v>1942</v>
      </c>
      <c r="FO896" t="s">
        <v>1943</v>
      </c>
      <c r="FP896" t="str">
        <f t="shared" si="198"/>
        <v>C</v>
      </c>
    </row>
    <row r="897" spans="153:172" x14ac:dyDescent="0.35">
      <c r="EW897" t="s">
        <v>46</v>
      </c>
      <c r="EX897" s="33" t="s">
        <v>47</v>
      </c>
      <c r="EY897" s="35" t="s">
        <v>2169</v>
      </c>
      <c r="EZ897" s="36" t="s">
        <v>2170</v>
      </c>
      <c r="FA897" s="36" t="s">
        <v>2003</v>
      </c>
      <c r="FB897" s="36" t="s">
        <v>2004</v>
      </c>
      <c r="FC897" s="36" t="s">
        <v>2003</v>
      </c>
      <c r="FD897" s="36" t="s">
        <v>2004</v>
      </c>
      <c r="FE897" s="36">
        <v>2022</v>
      </c>
      <c r="FF897" s="36" t="s">
        <v>59</v>
      </c>
      <c r="FG897" s="36" t="s">
        <v>1193</v>
      </c>
      <c r="FJ897" t="s">
        <v>59</v>
      </c>
      <c r="FM897" s="32" t="s">
        <v>1945</v>
      </c>
      <c r="FN897" t="s">
        <v>1945</v>
      </c>
      <c r="FO897" t="s">
        <v>1946</v>
      </c>
      <c r="FP897" t="str">
        <f t="shared" ref="FP897:FP960" si="199">VLOOKUP(FO897,EX:FF,9,0)</f>
        <v>C</v>
      </c>
    </row>
    <row r="898" spans="153:172" x14ac:dyDescent="0.35">
      <c r="EW898" t="s">
        <v>46</v>
      </c>
      <c r="EX898" s="33" t="s">
        <v>47</v>
      </c>
      <c r="EY898" s="35" t="s">
        <v>2171</v>
      </c>
      <c r="EZ898" s="36" t="s">
        <v>2172</v>
      </c>
      <c r="FA898" s="36" t="s">
        <v>2003</v>
      </c>
      <c r="FB898" s="36" t="s">
        <v>2004</v>
      </c>
      <c r="FC898" s="36" t="s">
        <v>2003</v>
      </c>
      <c r="FD898" s="36" t="s">
        <v>2004</v>
      </c>
      <c r="FE898" s="36">
        <v>2022</v>
      </c>
      <c r="FF898" s="36" t="s">
        <v>59</v>
      </c>
      <c r="FG898" s="36" t="s">
        <v>1193</v>
      </c>
      <c r="FJ898" t="s">
        <v>59</v>
      </c>
      <c r="FM898" s="32" t="s">
        <v>1750</v>
      </c>
      <c r="FN898" t="s">
        <v>1750</v>
      </c>
      <c r="FO898" t="s">
        <v>1751</v>
      </c>
      <c r="FP898" t="str">
        <f t="shared" si="199"/>
        <v>C</v>
      </c>
    </row>
    <row r="899" spans="153:172" x14ac:dyDescent="0.35">
      <c r="EW899" t="s">
        <v>46</v>
      </c>
      <c r="EX899" s="33" t="s">
        <v>47</v>
      </c>
      <c r="EY899" s="35" t="s">
        <v>2173</v>
      </c>
      <c r="EZ899" s="36" t="s">
        <v>2174</v>
      </c>
      <c r="FA899" s="36" t="s">
        <v>2003</v>
      </c>
      <c r="FB899" s="36" t="s">
        <v>2004</v>
      </c>
      <c r="FC899" s="36" t="s">
        <v>2003</v>
      </c>
      <c r="FD899" s="36" t="s">
        <v>2004</v>
      </c>
      <c r="FE899" s="36">
        <v>2022</v>
      </c>
      <c r="FF899" s="36" t="s">
        <v>59</v>
      </c>
      <c r="FG899" s="36" t="s">
        <v>1193</v>
      </c>
      <c r="FJ899" t="s">
        <v>59</v>
      </c>
      <c r="FM899" s="32" t="s">
        <v>1525</v>
      </c>
      <c r="FN899" t="s">
        <v>1525</v>
      </c>
      <c r="FO899" t="s">
        <v>1526</v>
      </c>
      <c r="FP899" t="str">
        <f t="shared" si="199"/>
        <v>C</v>
      </c>
    </row>
    <row r="900" spans="153:172" x14ac:dyDescent="0.35">
      <c r="EW900" t="s">
        <v>46</v>
      </c>
      <c r="EX900" s="33" t="s">
        <v>47</v>
      </c>
      <c r="EY900" s="35" t="s">
        <v>2175</v>
      </c>
      <c r="EZ900" s="36" t="s">
        <v>2176</v>
      </c>
      <c r="FA900" s="36" t="s">
        <v>2003</v>
      </c>
      <c r="FB900" s="36" t="s">
        <v>2004</v>
      </c>
      <c r="FC900" s="36" t="s">
        <v>2003</v>
      </c>
      <c r="FD900" s="36" t="s">
        <v>2004</v>
      </c>
      <c r="FE900" s="36">
        <v>2022</v>
      </c>
      <c r="FF900" s="36" t="s">
        <v>59</v>
      </c>
      <c r="FG900" s="36" t="s">
        <v>1193</v>
      </c>
      <c r="FJ900" t="s">
        <v>59</v>
      </c>
      <c r="FM900" s="32" t="s">
        <v>1886</v>
      </c>
      <c r="FN900" t="s">
        <v>1886</v>
      </c>
      <c r="FO900" t="s">
        <v>1887</v>
      </c>
      <c r="FP900" t="str">
        <f t="shared" si="199"/>
        <v>C</v>
      </c>
    </row>
    <row r="901" spans="153:172" x14ac:dyDescent="0.35">
      <c r="EW901" t="s">
        <v>46</v>
      </c>
      <c r="EX901" s="33" t="s">
        <v>47</v>
      </c>
      <c r="EY901" s="35" t="s">
        <v>2177</v>
      </c>
      <c r="EZ901" s="36" t="s">
        <v>2178</v>
      </c>
      <c r="FA901" s="36" t="s">
        <v>2003</v>
      </c>
      <c r="FB901" s="36" t="s">
        <v>2004</v>
      </c>
      <c r="FC901" s="36" t="s">
        <v>2003</v>
      </c>
      <c r="FD901" s="36" t="s">
        <v>2004</v>
      </c>
      <c r="FE901" s="36">
        <v>2022</v>
      </c>
      <c r="FF901" s="36" t="s">
        <v>59</v>
      </c>
      <c r="FG901" s="36" t="s">
        <v>1728</v>
      </c>
      <c r="FJ901" t="s">
        <v>59</v>
      </c>
      <c r="FM901" s="32" t="s">
        <v>1774</v>
      </c>
      <c r="FN901" t="s">
        <v>1774</v>
      </c>
      <c r="FO901" t="s">
        <v>1775</v>
      </c>
      <c r="FP901" t="str">
        <f t="shared" si="199"/>
        <v>C</v>
      </c>
    </row>
    <row r="902" spans="153:172" x14ac:dyDescent="0.35">
      <c r="EW902" t="s">
        <v>46</v>
      </c>
      <c r="EX902" s="33" t="s">
        <v>47</v>
      </c>
      <c r="EY902" s="35" t="s">
        <v>2179</v>
      </c>
      <c r="EZ902" s="36" t="s">
        <v>2180</v>
      </c>
      <c r="FA902" s="36" t="s">
        <v>2003</v>
      </c>
      <c r="FB902" s="36" t="s">
        <v>2004</v>
      </c>
      <c r="FC902" s="36" t="s">
        <v>2003</v>
      </c>
      <c r="FD902" s="36" t="s">
        <v>2004</v>
      </c>
      <c r="FE902" s="36">
        <v>2022</v>
      </c>
      <c r="FF902" s="36" t="s">
        <v>59</v>
      </c>
      <c r="FG902" s="36" t="s">
        <v>1193</v>
      </c>
      <c r="FJ902" t="s">
        <v>59</v>
      </c>
      <c r="FM902" s="32" t="s">
        <v>1951</v>
      </c>
      <c r="FN902" t="s">
        <v>1951</v>
      </c>
      <c r="FO902" t="s">
        <v>1952</v>
      </c>
      <c r="FP902" t="str">
        <f t="shared" si="199"/>
        <v>C</v>
      </c>
    </row>
    <row r="903" spans="153:172" x14ac:dyDescent="0.35">
      <c r="EW903" t="s">
        <v>46</v>
      </c>
      <c r="EX903" s="33" t="s">
        <v>47</v>
      </c>
      <c r="EY903" s="35" t="s">
        <v>2181</v>
      </c>
      <c r="EZ903" s="36" t="s">
        <v>2182</v>
      </c>
      <c r="FA903" s="36" t="s">
        <v>2003</v>
      </c>
      <c r="FB903" s="36" t="s">
        <v>2004</v>
      </c>
      <c r="FC903" s="36" t="s">
        <v>2003</v>
      </c>
      <c r="FD903" s="36" t="s">
        <v>2004</v>
      </c>
      <c r="FE903" s="36">
        <v>2022</v>
      </c>
      <c r="FF903" s="36" t="s">
        <v>59</v>
      </c>
      <c r="FG903" s="36" t="s">
        <v>1193</v>
      </c>
      <c r="FJ903" t="s">
        <v>59</v>
      </c>
      <c r="FM903" s="32" t="s">
        <v>784</v>
      </c>
      <c r="FN903" t="s">
        <v>785</v>
      </c>
      <c r="FO903" t="s">
        <v>786</v>
      </c>
      <c r="FP903" t="str">
        <f t="shared" si="199"/>
        <v>B</v>
      </c>
    </row>
    <row r="904" spans="153:172" x14ac:dyDescent="0.35">
      <c r="EW904" t="s">
        <v>46</v>
      </c>
      <c r="EX904" s="33" t="s">
        <v>47</v>
      </c>
      <c r="EY904" s="35" t="s">
        <v>2183</v>
      </c>
      <c r="EZ904" s="36" t="s">
        <v>2184</v>
      </c>
      <c r="FA904" s="36" t="s">
        <v>2003</v>
      </c>
      <c r="FB904" s="36" t="s">
        <v>2004</v>
      </c>
      <c r="FC904" s="36" t="s">
        <v>2003</v>
      </c>
      <c r="FD904" s="36" t="s">
        <v>2004</v>
      </c>
      <c r="FE904" s="36">
        <v>2022</v>
      </c>
      <c r="FF904" s="36" t="s">
        <v>59</v>
      </c>
      <c r="FG904" s="36" t="s">
        <v>1193</v>
      </c>
      <c r="FJ904" t="s">
        <v>59</v>
      </c>
      <c r="FM904" s="32" t="s">
        <v>624</v>
      </c>
      <c r="FN904" t="s">
        <v>625</v>
      </c>
      <c r="FO904" t="s">
        <v>626</v>
      </c>
      <c r="FP904" t="str">
        <f t="shared" si="199"/>
        <v>B</v>
      </c>
    </row>
    <row r="905" spans="153:172" x14ac:dyDescent="0.35">
      <c r="EW905" t="s">
        <v>46</v>
      </c>
      <c r="EX905" s="33" t="s">
        <v>47</v>
      </c>
      <c r="EY905" s="35" t="s">
        <v>2185</v>
      </c>
      <c r="EZ905" s="36" t="s">
        <v>2186</v>
      </c>
      <c r="FA905" s="36" t="s">
        <v>2003</v>
      </c>
      <c r="FB905" s="36" t="s">
        <v>2004</v>
      </c>
      <c r="FC905" s="36" t="s">
        <v>2003</v>
      </c>
      <c r="FD905" s="36" t="s">
        <v>2004</v>
      </c>
      <c r="FE905" s="36">
        <v>2022</v>
      </c>
      <c r="FF905" s="36" t="s">
        <v>59</v>
      </c>
      <c r="FG905" s="36" t="s">
        <v>1728</v>
      </c>
      <c r="FJ905" t="s">
        <v>59</v>
      </c>
      <c r="FM905" s="32" t="s">
        <v>1955</v>
      </c>
      <c r="FN905" t="s">
        <v>1955</v>
      </c>
      <c r="FO905" t="s">
        <v>1956</v>
      </c>
      <c r="FP905" t="str">
        <f t="shared" si="199"/>
        <v>C</v>
      </c>
    </row>
    <row r="906" spans="153:172" x14ac:dyDescent="0.35">
      <c r="EW906" t="s">
        <v>46</v>
      </c>
      <c r="EX906" s="33" t="s">
        <v>47</v>
      </c>
      <c r="EY906" s="35" t="s">
        <v>2187</v>
      </c>
      <c r="EZ906" s="36" t="s">
        <v>2188</v>
      </c>
      <c r="FA906" s="36" t="s">
        <v>2003</v>
      </c>
      <c r="FB906" s="36" t="s">
        <v>2004</v>
      </c>
      <c r="FC906" s="36" t="s">
        <v>2003</v>
      </c>
      <c r="FD906" s="36" t="s">
        <v>2004</v>
      </c>
      <c r="FE906" s="36">
        <v>2022</v>
      </c>
      <c r="FF906" s="36" t="s">
        <v>59</v>
      </c>
      <c r="FG906" s="36" t="s">
        <v>1193</v>
      </c>
      <c r="FJ906" t="s">
        <v>59</v>
      </c>
      <c r="FM906" s="32" t="s">
        <v>1807</v>
      </c>
      <c r="FN906" t="s">
        <v>1807</v>
      </c>
      <c r="FO906" t="s">
        <v>1808</v>
      </c>
      <c r="FP906" t="str">
        <f t="shared" si="199"/>
        <v>C</v>
      </c>
    </row>
    <row r="907" spans="153:172" x14ac:dyDescent="0.35">
      <c r="EW907" t="s">
        <v>46</v>
      </c>
      <c r="EX907" s="33" t="s">
        <v>47</v>
      </c>
      <c r="EY907" s="35" t="s">
        <v>2189</v>
      </c>
      <c r="EZ907" s="36" t="s">
        <v>2190</v>
      </c>
      <c r="FA907" s="36" t="s">
        <v>2003</v>
      </c>
      <c r="FB907" s="36" t="s">
        <v>2004</v>
      </c>
      <c r="FC907" s="36" t="s">
        <v>2003</v>
      </c>
      <c r="FD907" s="36" t="s">
        <v>2004</v>
      </c>
      <c r="FE907" s="36">
        <v>2022</v>
      </c>
      <c r="FF907" s="36" t="s">
        <v>59</v>
      </c>
      <c r="FG907" s="36" t="s">
        <v>1193</v>
      </c>
      <c r="FJ907" t="s">
        <v>59</v>
      </c>
      <c r="FM907" s="32" t="s">
        <v>1358</v>
      </c>
      <c r="FN907" t="s">
        <v>1358</v>
      </c>
      <c r="FO907" t="s">
        <v>1359</v>
      </c>
      <c r="FP907" t="str">
        <f t="shared" si="199"/>
        <v>C</v>
      </c>
    </row>
    <row r="908" spans="153:172" x14ac:dyDescent="0.35">
      <c r="EW908" t="s">
        <v>46</v>
      </c>
      <c r="EX908" s="33" t="s">
        <v>47</v>
      </c>
      <c r="EY908" s="35" t="s">
        <v>2191</v>
      </c>
      <c r="EZ908" s="36" t="s">
        <v>2192</v>
      </c>
      <c r="FA908" s="36" t="s">
        <v>2003</v>
      </c>
      <c r="FB908" s="36" t="s">
        <v>2004</v>
      </c>
      <c r="FC908" s="36" t="s">
        <v>2003</v>
      </c>
      <c r="FD908" s="36" t="s">
        <v>2004</v>
      </c>
      <c r="FE908" s="36">
        <v>2022</v>
      </c>
      <c r="FF908" s="36" t="s">
        <v>59</v>
      </c>
      <c r="FG908" s="36" t="s">
        <v>1193</v>
      </c>
      <c r="FJ908" t="s">
        <v>59</v>
      </c>
      <c r="FM908" s="32" t="s">
        <v>1851</v>
      </c>
      <c r="FN908" t="s">
        <v>1851</v>
      </c>
      <c r="FO908" t="s">
        <v>1852</v>
      </c>
      <c r="FP908" t="str">
        <f t="shared" si="199"/>
        <v>C</v>
      </c>
    </row>
    <row r="909" spans="153:172" x14ac:dyDescent="0.35">
      <c r="EW909" t="s">
        <v>46</v>
      </c>
      <c r="EX909" s="33" t="s">
        <v>47</v>
      </c>
      <c r="EY909" s="35" t="s">
        <v>2193</v>
      </c>
      <c r="EZ909" s="36" t="s">
        <v>2194</v>
      </c>
      <c r="FA909" s="36" t="s">
        <v>2003</v>
      </c>
      <c r="FB909" s="36" t="s">
        <v>2004</v>
      </c>
      <c r="FC909" s="36" t="s">
        <v>2003</v>
      </c>
      <c r="FD909" s="36" t="s">
        <v>2004</v>
      </c>
      <c r="FE909" s="36">
        <v>2022</v>
      </c>
      <c r="FF909" s="36" t="s">
        <v>59</v>
      </c>
      <c r="FG909" s="36" t="s">
        <v>1728</v>
      </c>
      <c r="FJ909" t="s">
        <v>59</v>
      </c>
      <c r="FM909" s="32" t="s">
        <v>1771</v>
      </c>
      <c r="FN909" t="s">
        <v>1771</v>
      </c>
      <c r="FO909" t="s">
        <v>1772</v>
      </c>
      <c r="FP909" t="str">
        <f t="shared" si="199"/>
        <v>C</v>
      </c>
    </row>
    <row r="910" spans="153:172" x14ac:dyDescent="0.35">
      <c r="EW910" t="s">
        <v>46</v>
      </c>
      <c r="EX910" s="33" t="s">
        <v>47</v>
      </c>
      <c r="EY910" s="35" t="s">
        <v>2195</v>
      </c>
      <c r="EZ910" s="36" t="s">
        <v>2196</v>
      </c>
      <c r="FA910" s="36" t="s">
        <v>2003</v>
      </c>
      <c r="FB910" s="36" t="s">
        <v>2004</v>
      </c>
      <c r="FC910" s="36" t="s">
        <v>2003</v>
      </c>
      <c r="FD910" s="36" t="s">
        <v>2004</v>
      </c>
      <c r="FE910" s="36">
        <v>2022</v>
      </c>
      <c r="FF910" s="36" t="s">
        <v>59</v>
      </c>
      <c r="FG910" s="36" t="s">
        <v>1728</v>
      </c>
      <c r="FJ910" t="s">
        <v>59</v>
      </c>
      <c r="FM910" s="32" t="s">
        <v>1900</v>
      </c>
      <c r="FN910" t="s">
        <v>1900</v>
      </c>
      <c r="FO910" t="s">
        <v>1901</v>
      </c>
      <c r="FP910" t="str">
        <f t="shared" si="199"/>
        <v>C</v>
      </c>
    </row>
    <row r="911" spans="153:172" x14ac:dyDescent="0.35">
      <c r="EW911" t="s">
        <v>46</v>
      </c>
      <c r="EX911" s="33" t="s">
        <v>47</v>
      </c>
      <c r="EY911" s="35" t="s">
        <v>2197</v>
      </c>
      <c r="EZ911" s="36" t="s">
        <v>2198</v>
      </c>
      <c r="FA911" s="36" t="s">
        <v>2003</v>
      </c>
      <c r="FB911" s="36" t="s">
        <v>2004</v>
      </c>
      <c r="FC911" s="36" t="s">
        <v>2003</v>
      </c>
      <c r="FD911" s="36" t="s">
        <v>2004</v>
      </c>
      <c r="FE911" s="36">
        <v>2022</v>
      </c>
      <c r="FF911" s="36" t="s">
        <v>59</v>
      </c>
      <c r="FG911" s="36" t="s">
        <v>1193</v>
      </c>
      <c r="FJ911" t="s">
        <v>59</v>
      </c>
      <c r="FM911" s="32" t="s">
        <v>1845</v>
      </c>
      <c r="FN911" t="s">
        <v>1845</v>
      </c>
      <c r="FO911" t="s">
        <v>1846</v>
      </c>
      <c r="FP911" t="str">
        <f t="shared" si="199"/>
        <v>C</v>
      </c>
    </row>
    <row r="912" spans="153:172" x14ac:dyDescent="0.35">
      <c r="EW912" t="s">
        <v>46</v>
      </c>
      <c r="EX912" s="33" t="s">
        <v>47</v>
      </c>
      <c r="EY912" s="35" t="s">
        <v>2199</v>
      </c>
      <c r="EZ912" s="36" t="s">
        <v>2200</v>
      </c>
      <c r="FA912" s="36" t="s">
        <v>2003</v>
      </c>
      <c r="FB912" s="36" t="s">
        <v>2004</v>
      </c>
      <c r="FC912" s="36" t="s">
        <v>2003</v>
      </c>
      <c r="FD912" s="36" t="s">
        <v>2004</v>
      </c>
      <c r="FE912" s="36">
        <v>2022</v>
      </c>
      <c r="FF912" s="36" t="s">
        <v>59</v>
      </c>
      <c r="FG912" s="36" t="s">
        <v>1728</v>
      </c>
      <c r="FJ912" t="s">
        <v>59</v>
      </c>
      <c r="FM912" s="32" t="s">
        <v>1906</v>
      </c>
      <c r="FN912" t="s">
        <v>1906</v>
      </c>
      <c r="FO912" t="s">
        <v>1907</v>
      </c>
      <c r="FP912" t="str">
        <f t="shared" si="199"/>
        <v>C</v>
      </c>
    </row>
    <row r="913" spans="153:172" x14ac:dyDescent="0.35">
      <c r="EW913" t="s">
        <v>46</v>
      </c>
      <c r="EX913" s="33" t="s">
        <v>47</v>
      </c>
      <c r="EY913" s="35" t="s">
        <v>2201</v>
      </c>
      <c r="EZ913" s="36" t="s">
        <v>2202</v>
      </c>
      <c r="FA913" s="36" t="s">
        <v>2003</v>
      </c>
      <c r="FB913" s="36" t="s">
        <v>2004</v>
      </c>
      <c r="FC913" s="36" t="s">
        <v>2003</v>
      </c>
      <c r="FD913" s="36" t="s">
        <v>2004</v>
      </c>
      <c r="FE913" s="36">
        <v>2022</v>
      </c>
      <c r="FF913" s="36" t="s">
        <v>59</v>
      </c>
      <c r="FG913" s="36" t="s">
        <v>1193</v>
      </c>
      <c r="FJ913" t="s">
        <v>59</v>
      </c>
      <c r="FM913" s="32" t="s">
        <v>1794</v>
      </c>
      <c r="FN913" t="s">
        <v>1794</v>
      </c>
      <c r="FO913" t="s">
        <v>1795</v>
      </c>
      <c r="FP913" t="str">
        <f t="shared" si="199"/>
        <v>C</v>
      </c>
    </row>
    <row r="914" spans="153:172" x14ac:dyDescent="0.35">
      <c r="EW914" t="s">
        <v>46</v>
      </c>
      <c r="EX914" s="33" t="s">
        <v>47</v>
      </c>
      <c r="EY914" s="35" t="s">
        <v>2203</v>
      </c>
      <c r="EZ914" s="36" t="s">
        <v>2204</v>
      </c>
      <c r="FA914" s="36" t="s">
        <v>2003</v>
      </c>
      <c r="FB914" s="36" t="s">
        <v>2004</v>
      </c>
      <c r="FC914" s="36" t="s">
        <v>2003</v>
      </c>
      <c r="FD914" s="36" t="s">
        <v>2004</v>
      </c>
      <c r="FE914" s="36">
        <v>2022</v>
      </c>
      <c r="FF914" s="36" t="s">
        <v>59</v>
      </c>
      <c r="FG914" s="36" t="s">
        <v>1728</v>
      </c>
      <c r="FJ914" t="s">
        <v>59</v>
      </c>
      <c r="FM914" s="32" t="s">
        <v>1909</v>
      </c>
      <c r="FN914" t="s">
        <v>1909</v>
      </c>
      <c r="FO914" t="s">
        <v>1268</v>
      </c>
      <c r="FP914" t="str">
        <f t="shared" si="199"/>
        <v>C</v>
      </c>
    </row>
    <row r="915" spans="153:172" x14ac:dyDescent="0.35">
      <c r="EW915" t="s">
        <v>46</v>
      </c>
      <c r="EX915" s="33" t="s">
        <v>47</v>
      </c>
      <c r="EY915" s="35" t="s">
        <v>2205</v>
      </c>
      <c r="EZ915" s="36" t="s">
        <v>2206</v>
      </c>
      <c r="FA915" s="36" t="s">
        <v>2003</v>
      </c>
      <c r="FB915" s="36" t="s">
        <v>2004</v>
      </c>
      <c r="FC915" s="36" t="s">
        <v>2003</v>
      </c>
      <c r="FD915" s="36" t="s">
        <v>2004</v>
      </c>
      <c r="FE915" s="36">
        <v>2022</v>
      </c>
      <c r="FF915" s="36" t="s">
        <v>59</v>
      </c>
      <c r="FG915" s="36" t="s">
        <v>1728</v>
      </c>
      <c r="FJ915" t="s">
        <v>59</v>
      </c>
      <c r="FM915" s="32" t="s">
        <v>2207</v>
      </c>
      <c r="FN915" t="s">
        <v>2207</v>
      </c>
      <c r="FO915" t="s">
        <v>2208</v>
      </c>
      <c r="FP915" t="str">
        <f t="shared" si="199"/>
        <v>C</v>
      </c>
    </row>
    <row r="916" spans="153:172" x14ac:dyDescent="0.35">
      <c r="EW916" t="s">
        <v>46</v>
      </c>
      <c r="EX916" s="33" t="s">
        <v>47</v>
      </c>
      <c r="EY916" s="35" t="s">
        <v>2209</v>
      </c>
      <c r="EZ916" s="36" t="s">
        <v>2210</v>
      </c>
      <c r="FA916" s="36" t="s">
        <v>2003</v>
      </c>
      <c r="FB916" s="36" t="s">
        <v>2004</v>
      </c>
      <c r="FC916" s="36" t="s">
        <v>2003</v>
      </c>
      <c r="FD916" s="36" t="s">
        <v>2004</v>
      </c>
      <c r="FE916" s="36">
        <v>2022</v>
      </c>
      <c r="FF916" s="36" t="s">
        <v>59</v>
      </c>
      <c r="FG916" s="36" t="s">
        <v>1728</v>
      </c>
      <c r="FJ916" t="s">
        <v>59</v>
      </c>
      <c r="FM916" s="32" t="s">
        <v>1909</v>
      </c>
      <c r="FN916" t="s">
        <v>1909</v>
      </c>
      <c r="FO916" t="s">
        <v>1268</v>
      </c>
      <c r="FP916" t="str">
        <f t="shared" si="199"/>
        <v>C</v>
      </c>
    </row>
    <row r="917" spans="153:172" x14ac:dyDescent="0.35">
      <c r="EW917" t="s">
        <v>46</v>
      </c>
      <c r="EX917" s="33" t="s">
        <v>47</v>
      </c>
      <c r="EY917" s="35" t="s">
        <v>2211</v>
      </c>
      <c r="EZ917" s="36" t="s">
        <v>2212</v>
      </c>
      <c r="FA917" s="36" t="s">
        <v>2003</v>
      </c>
      <c r="FB917" s="36" t="s">
        <v>2004</v>
      </c>
      <c r="FC917" s="36" t="s">
        <v>2003</v>
      </c>
      <c r="FD917" s="36" t="s">
        <v>2004</v>
      </c>
      <c r="FE917" s="36">
        <v>2022</v>
      </c>
      <c r="FF917" s="36" t="s">
        <v>59</v>
      </c>
      <c r="FG917" s="36" t="s">
        <v>1728</v>
      </c>
      <c r="FJ917" t="s">
        <v>59</v>
      </c>
      <c r="FM917" s="32" t="s">
        <v>1388</v>
      </c>
      <c r="FN917" t="s">
        <v>1388</v>
      </c>
      <c r="FO917" t="s">
        <v>1389</v>
      </c>
      <c r="FP917" t="str">
        <f t="shared" si="199"/>
        <v>C</v>
      </c>
    </row>
    <row r="918" spans="153:172" x14ac:dyDescent="0.35">
      <c r="EW918" t="s">
        <v>46</v>
      </c>
      <c r="EX918" s="33" t="s">
        <v>47</v>
      </c>
      <c r="EY918" s="35" t="s">
        <v>2213</v>
      </c>
      <c r="EZ918" s="36" t="s">
        <v>2214</v>
      </c>
      <c r="FA918" s="36" t="s">
        <v>2003</v>
      </c>
      <c r="FB918" s="36" t="s">
        <v>2004</v>
      </c>
      <c r="FC918" s="36" t="s">
        <v>2003</v>
      </c>
      <c r="FD918" s="36" t="s">
        <v>2004</v>
      </c>
      <c r="FE918" s="36">
        <v>2022</v>
      </c>
      <c r="FF918" s="36" t="s">
        <v>59</v>
      </c>
      <c r="FG918" s="36" t="s">
        <v>1728</v>
      </c>
      <c r="FJ918" t="s">
        <v>59</v>
      </c>
      <c r="FM918" s="32" t="s">
        <v>1911</v>
      </c>
      <c r="FN918" t="s">
        <v>1911</v>
      </c>
      <c r="FO918" t="s">
        <v>1912</v>
      </c>
      <c r="FP918" t="str">
        <f t="shared" si="199"/>
        <v>C</v>
      </c>
    </row>
    <row r="919" spans="153:172" x14ac:dyDescent="0.35">
      <c r="EW919" t="s">
        <v>46</v>
      </c>
      <c r="EX919" s="33" t="s">
        <v>47</v>
      </c>
      <c r="EY919" s="35" t="s">
        <v>2215</v>
      </c>
      <c r="EZ919" s="36" t="s">
        <v>2216</v>
      </c>
      <c r="FA919" s="36" t="s">
        <v>2003</v>
      </c>
      <c r="FB919" s="36" t="s">
        <v>2004</v>
      </c>
      <c r="FC919" s="36" t="s">
        <v>2003</v>
      </c>
      <c r="FD919" s="36" t="s">
        <v>2004</v>
      </c>
      <c r="FE919" s="36">
        <v>2022</v>
      </c>
      <c r="FF919" s="36" t="s">
        <v>59</v>
      </c>
      <c r="FG919" s="36" t="s">
        <v>1193</v>
      </c>
      <c r="FJ919" t="s">
        <v>59</v>
      </c>
      <c r="FM919" s="32" t="s">
        <v>1730</v>
      </c>
      <c r="FN919" t="s">
        <v>1730</v>
      </c>
      <c r="FO919" t="s">
        <v>1731</v>
      </c>
      <c r="FP919" t="str">
        <f t="shared" si="199"/>
        <v>C</v>
      </c>
    </row>
    <row r="920" spans="153:172" x14ac:dyDescent="0.35">
      <c r="EW920" t="s">
        <v>46</v>
      </c>
      <c r="EX920" s="33" t="s">
        <v>47</v>
      </c>
      <c r="EY920" s="35" t="s">
        <v>2217</v>
      </c>
      <c r="EZ920" s="36" t="s">
        <v>2218</v>
      </c>
      <c r="FA920" s="36" t="s">
        <v>2003</v>
      </c>
      <c r="FB920" s="36" t="s">
        <v>2004</v>
      </c>
      <c r="FC920" s="36" t="s">
        <v>2003</v>
      </c>
      <c r="FD920" s="36" t="s">
        <v>2004</v>
      </c>
      <c r="FE920" s="36">
        <v>2022</v>
      </c>
      <c r="FF920" s="36" t="s">
        <v>59</v>
      </c>
      <c r="FG920" s="36" t="s">
        <v>1193</v>
      </c>
      <c r="FJ920" t="s">
        <v>59</v>
      </c>
      <c r="FM920" s="32" t="s">
        <v>1198</v>
      </c>
      <c r="FN920" t="s">
        <v>1198</v>
      </c>
      <c r="FO920" t="s">
        <v>1199</v>
      </c>
      <c r="FP920" t="str">
        <f t="shared" si="199"/>
        <v>C</v>
      </c>
    </row>
    <row r="921" spans="153:172" x14ac:dyDescent="0.35">
      <c r="EW921" t="s">
        <v>46</v>
      </c>
      <c r="EX921" s="33" t="s">
        <v>47</v>
      </c>
      <c r="EY921" s="35" t="s">
        <v>2219</v>
      </c>
      <c r="EZ921" s="36" t="s">
        <v>2220</v>
      </c>
      <c r="FA921" s="36" t="s">
        <v>2003</v>
      </c>
      <c r="FB921" s="36" t="s">
        <v>2004</v>
      </c>
      <c r="FC921" s="36" t="s">
        <v>2003</v>
      </c>
      <c r="FD921" s="36" t="s">
        <v>2004</v>
      </c>
      <c r="FE921" s="36">
        <v>2022</v>
      </c>
      <c r="FF921" s="36" t="s">
        <v>59</v>
      </c>
      <c r="FG921" s="36" t="s">
        <v>1193</v>
      </c>
      <c r="FJ921" t="s">
        <v>59</v>
      </c>
      <c r="FM921" s="32" t="s">
        <v>1817</v>
      </c>
      <c r="FN921" t="s">
        <v>1817</v>
      </c>
      <c r="FO921" t="s">
        <v>1818</v>
      </c>
      <c r="FP921" t="str">
        <f t="shared" si="199"/>
        <v>C</v>
      </c>
    </row>
    <row r="922" spans="153:172" x14ac:dyDescent="0.35">
      <c r="EW922" t="s">
        <v>46</v>
      </c>
      <c r="EX922" s="33" t="s">
        <v>47</v>
      </c>
      <c r="EY922" s="35" t="s">
        <v>2221</v>
      </c>
      <c r="EZ922" s="36" t="s">
        <v>2222</v>
      </c>
      <c r="FA922" s="36" t="s">
        <v>2003</v>
      </c>
      <c r="FB922" s="36" t="s">
        <v>2004</v>
      </c>
      <c r="FC922" s="36" t="s">
        <v>2003</v>
      </c>
      <c r="FD922" s="36" t="s">
        <v>2004</v>
      </c>
      <c r="FE922" s="36">
        <v>2022</v>
      </c>
      <c r="FF922" s="36" t="s">
        <v>59</v>
      </c>
      <c r="FG922" s="36" t="s">
        <v>1193</v>
      </c>
      <c r="FJ922" t="s">
        <v>59</v>
      </c>
      <c r="FM922" s="32" t="s">
        <v>1843</v>
      </c>
      <c r="FN922" t="s">
        <v>1843</v>
      </c>
      <c r="FO922" t="s">
        <v>1278</v>
      </c>
      <c r="FP922" t="str">
        <f t="shared" si="199"/>
        <v>C</v>
      </c>
    </row>
    <row r="923" spans="153:172" x14ac:dyDescent="0.35">
      <c r="EW923" t="s">
        <v>46</v>
      </c>
      <c r="EX923" s="33" t="s">
        <v>47</v>
      </c>
      <c r="EY923" s="35" t="s">
        <v>2223</v>
      </c>
      <c r="EZ923" s="36" t="s">
        <v>2224</v>
      </c>
      <c r="FA923" s="36" t="s">
        <v>2003</v>
      </c>
      <c r="FB923" s="36" t="s">
        <v>2004</v>
      </c>
      <c r="FC923" s="36" t="s">
        <v>2003</v>
      </c>
      <c r="FD923" s="36" t="s">
        <v>2004</v>
      </c>
      <c r="FE923" s="36">
        <v>2022</v>
      </c>
      <c r="FF923" s="36" t="s">
        <v>59</v>
      </c>
      <c r="FG923" s="36" t="s">
        <v>1728</v>
      </c>
      <c r="FJ923" t="s">
        <v>59</v>
      </c>
      <c r="FM923" s="32" t="s">
        <v>1855</v>
      </c>
      <c r="FN923" t="s">
        <v>1855</v>
      </c>
      <c r="FO923" t="s">
        <v>1856</v>
      </c>
      <c r="FP923" t="str">
        <f t="shared" si="199"/>
        <v>C</v>
      </c>
    </row>
    <row r="924" spans="153:172" x14ac:dyDescent="0.35">
      <c r="EW924" t="s">
        <v>46</v>
      </c>
      <c r="EX924" s="33" t="s">
        <v>47</v>
      </c>
      <c r="EY924" s="35" t="s">
        <v>2225</v>
      </c>
      <c r="EZ924" s="36">
        <v>593521</v>
      </c>
      <c r="FA924" s="36" t="s">
        <v>1726</v>
      </c>
      <c r="FB924" s="36" t="s">
        <v>473</v>
      </c>
      <c r="FC924" s="36" t="s">
        <v>53</v>
      </c>
      <c r="FD924" s="36" t="s">
        <v>476</v>
      </c>
      <c r="FE924" s="36">
        <v>2023</v>
      </c>
      <c r="FF924" s="36" t="s">
        <v>474</v>
      </c>
      <c r="FG924" s="36" t="s">
        <v>1728</v>
      </c>
      <c r="FJ924" t="s">
        <v>474</v>
      </c>
      <c r="FM924" s="32" t="s">
        <v>1350</v>
      </c>
      <c r="FN924" t="s">
        <v>1350</v>
      </c>
      <c r="FO924" t="s">
        <v>1351</v>
      </c>
      <c r="FP924" t="str">
        <f t="shared" si="199"/>
        <v>C</v>
      </c>
    </row>
    <row r="925" spans="153:172" x14ac:dyDescent="0.35">
      <c r="EW925" t="s">
        <v>46</v>
      </c>
      <c r="EX925" s="33" t="s">
        <v>47</v>
      </c>
      <c r="EY925" s="35" t="s">
        <v>2226</v>
      </c>
      <c r="EZ925" s="36">
        <v>593751</v>
      </c>
      <c r="FA925" s="36" t="s">
        <v>1726</v>
      </c>
      <c r="FB925" s="36" t="s">
        <v>473</v>
      </c>
      <c r="FC925" s="36" t="s">
        <v>53</v>
      </c>
      <c r="FD925" s="36" t="s">
        <v>476</v>
      </c>
      <c r="FE925" s="36">
        <v>2023</v>
      </c>
      <c r="FF925" s="36" t="s">
        <v>474</v>
      </c>
      <c r="FG925" s="36" t="s">
        <v>1728</v>
      </c>
      <c r="FJ925" t="s">
        <v>474</v>
      </c>
      <c r="FM925" s="32" t="s">
        <v>1497</v>
      </c>
      <c r="FN925" t="s">
        <v>1497</v>
      </c>
      <c r="FO925" t="s">
        <v>1498</v>
      </c>
      <c r="FP925" t="str">
        <f t="shared" si="199"/>
        <v>C</v>
      </c>
    </row>
    <row r="926" spans="153:172" x14ac:dyDescent="0.35">
      <c r="EW926" t="s">
        <v>46</v>
      </c>
      <c r="EX926" s="33" t="s">
        <v>47</v>
      </c>
      <c r="EY926" s="35" t="s">
        <v>2227</v>
      </c>
      <c r="EZ926" s="36">
        <v>595002</v>
      </c>
      <c r="FA926" s="36" t="s">
        <v>1726</v>
      </c>
      <c r="FB926" s="36" t="s">
        <v>473</v>
      </c>
      <c r="FC926" s="36" t="s">
        <v>53</v>
      </c>
      <c r="FD926" s="36" t="s">
        <v>476</v>
      </c>
      <c r="FE926" s="36">
        <v>2023</v>
      </c>
      <c r="FF926" s="36" t="s">
        <v>474</v>
      </c>
      <c r="FG926" s="36" t="s">
        <v>1728</v>
      </c>
      <c r="FJ926" t="s">
        <v>474</v>
      </c>
      <c r="FM926" s="32" t="s">
        <v>1744</v>
      </c>
      <c r="FN926" t="s">
        <v>1744</v>
      </c>
      <c r="FO926" t="s">
        <v>1745</v>
      </c>
      <c r="FP926" t="str">
        <f t="shared" si="199"/>
        <v>C</v>
      </c>
    </row>
    <row r="927" spans="153:172" x14ac:dyDescent="0.35">
      <c r="EW927" t="s">
        <v>46</v>
      </c>
      <c r="EX927" s="33" t="s">
        <v>47</v>
      </c>
      <c r="EY927" s="35" t="s">
        <v>2228</v>
      </c>
      <c r="EZ927" s="36">
        <v>598537</v>
      </c>
      <c r="FA927" s="36" t="s">
        <v>1726</v>
      </c>
      <c r="FB927" s="36" t="s">
        <v>473</v>
      </c>
      <c r="FC927" s="36" t="s">
        <v>53</v>
      </c>
      <c r="FD927" s="36" t="s">
        <v>476</v>
      </c>
      <c r="FE927" s="36">
        <v>2023</v>
      </c>
      <c r="FF927" s="36" t="s">
        <v>474</v>
      </c>
      <c r="FG927" s="36" t="s">
        <v>1728</v>
      </c>
      <c r="FJ927" t="s">
        <v>474</v>
      </c>
      <c r="FM927" s="32" t="s">
        <v>2071</v>
      </c>
      <c r="FN927" t="s">
        <v>2071</v>
      </c>
      <c r="FO927" t="s">
        <v>1864</v>
      </c>
      <c r="FP927" t="str">
        <f t="shared" si="199"/>
        <v>C</v>
      </c>
    </row>
    <row r="928" spans="153:172" x14ac:dyDescent="0.35">
      <c r="EW928" t="s">
        <v>46</v>
      </c>
      <c r="EX928" s="33" t="s">
        <v>47</v>
      </c>
      <c r="EY928" s="35" t="s">
        <v>2229</v>
      </c>
      <c r="EZ928" s="36" t="s">
        <v>2230</v>
      </c>
      <c r="FA928" s="36" t="s">
        <v>1192</v>
      </c>
      <c r="FB928" s="36" t="s">
        <v>344</v>
      </c>
      <c r="FC928" s="36" t="s">
        <v>1192</v>
      </c>
      <c r="FD928" s="36" t="s">
        <v>344</v>
      </c>
      <c r="FE928" s="36">
        <v>2026</v>
      </c>
      <c r="FF928" s="36" t="s">
        <v>59</v>
      </c>
      <c r="FG928" s="36" t="s">
        <v>1584</v>
      </c>
      <c r="FJ928" t="s">
        <v>59</v>
      </c>
      <c r="FM928" s="32" t="s">
        <v>1759</v>
      </c>
      <c r="FN928" t="s">
        <v>1759</v>
      </c>
      <c r="FO928" t="s">
        <v>1760</v>
      </c>
      <c r="FP928" t="str">
        <f t="shared" si="199"/>
        <v>C</v>
      </c>
    </row>
    <row r="929" spans="153:172" x14ac:dyDescent="0.35">
      <c r="EW929" t="s">
        <v>46</v>
      </c>
      <c r="EX929" s="33" t="s">
        <v>47</v>
      </c>
      <c r="EY929" s="35" t="s">
        <v>2231</v>
      </c>
      <c r="EZ929" s="36" t="s">
        <v>2232</v>
      </c>
      <c r="FA929" s="36" t="s">
        <v>1192</v>
      </c>
      <c r="FB929" s="36" t="s">
        <v>344</v>
      </c>
      <c r="FC929" s="36" t="s">
        <v>1192</v>
      </c>
      <c r="FD929" s="36" t="s">
        <v>344</v>
      </c>
      <c r="FE929" s="36">
        <v>2026</v>
      </c>
      <c r="FF929" s="36" t="s">
        <v>59</v>
      </c>
      <c r="FG929" s="36" t="s">
        <v>1584</v>
      </c>
      <c r="FJ929" t="s">
        <v>59</v>
      </c>
      <c r="FM929" s="32" t="s">
        <v>1977</v>
      </c>
      <c r="FN929" t="s">
        <v>1977</v>
      </c>
      <c r="FO929" t="s">
        <v>1978</v>
      </c>
      <c r="FP929" t="str">
        <f t="shared" si="199"/>
        <v>C</v>
      </c>
    </row>
    <row r="930" spans="153:172" x14ac:dyDescent="0.35">
      <c r="EW930" t="s">
        <v>46</v>
      </c>
      <c r="EX930" s="33" t="s">
        <v>47</v>
      </c>
      <c r="EY930" s="35" t="s">
        <v>2233</v>
      </c>
      <c r="EZ930" s="36" t="s">
        <v>2234</v>
      </c>
      <c r="FA930" s="36" t="s">
        <v>1192</v>
      </c>
      <c r="FB930" s="36" t="s">
        <v>344</v>
      </c>
      <c r="FC930" s="36" t="s">
        <v>1192</v>
      </c>
      <c r="FD930" s="36" t="s">
        <v>344</v>
      </c>
      <c r="FE930" s="36">
        <v>2026</v>
      </c>
      <c r="FF930" s="36" t="s">
        <v>59</v>
      </c>
      <c r="FG930" s="36" t="s">
        <v>1584</v>
      </c>
      <c r="FJ930" t="s">
        <v>59</v>
      </c>
      <c r="FM930" s="32" t="s">
        <v>1750</v>
      </c>
      <c r="FN930" t="s">
        <v>1750</v>
      </c>
      <c r="FO930" t="s">
        <v>1751</v>
      </c>
      <c r="FP930" t="str">
        <f t="shared" si="199"/>
        <v>C</v>
      </c>
    </row>
    <row r="931" spans="153:172" x14ac:dyDescent="0.35">
      <c r="EW931" t="s">
        <v>46</v>
      </c>
      <c r="EX931" s="33" t="s">
        <v>47</v>
      </c>
      <c r="EY931" s="35" t="s">
        <v>2235</v>
      </c>
      <c r="EZ931" s="36" t="s">
        <v>2236</v>
      </c>
      <c r="FA931" s="36" t="s">
        <v>1192</v>
      </c>
      <c r="FB931" s="36" t="s">
        <v>344</v>
      </c>
      <c r="FC931" s="36" t="s">
        <v>1192</v>
      </c>
      <c r="FD931" s="36" t="s">
        <v>344</v>
      </c>
      <c r="FE931" s="36">
        <v>2026</v>
      </c>
      <c r="FF931" s="36" t="s">
        <v>59</v>
      </c>
      <c r="FG931" s="36" t="s">
        <v>1584</v>
      </c>
      <c r="FJ931" t="s">
        <v>59</v>
      </c>
      <c r="FM931" s="32" t="s">
        <v>1264</v>
      </c>
      <c r="FN931" t="s">
        <v>1264</v>
      </c>
      <c r="FO931" t="s">
        <v>1265</v>
      </c>
      <c r="FP931" t="str">
        <f t="shared" si="199"/>
        <v>C</v>
      </c>
    </row>
    <row r="932" spans="153:172" x14ac:dyDescent="0.35">
      <c r="EW932" t="s">
        <v>46</v>
      </c>
      <c r="EX932" s="33" t="s">
        <v>47</v>
      </c>
      <c r="EY932" s="35" t="s">
        <v>2237</v>
      </c>
      <c r="EZ932" s="36" t="s">
        <v>2238</v>
      </c>
      <c r="FA932" s="36" t="s">
        <v>1192</v>
      </c>
      <c r="FB932" s="36" t="s">
        <v>344</v>
      </c>
      <c r="FC932" s="36" t="s">
        <v>1192</v>
      </c>
      <c r="FD932" s="36" t="s">
        <v>344</v>
      </c>
      <c r="FE932" s="36">
        <v>2026</v>
      </c>
      <c r="FF932" s="36" t="s">
        <v>59</v>
      </c>
      <c r="FG932" s="36" t="s">
        <v>1584</v>
      </c>
      <c r="FJ932" t="s">
        <v>59</v>
      </c>
      <c r="FM932" s="32" t="s">
        <v>1237</v>
      </c>
      <c r="FN932" t="s">
        <v>1237</v>
      </c>
      <c r="FO932" t="s">
        <v>1238</v>
      </c>
      <c r="FP932" t="str">
        <f t="shared" si="199"/>
        <v>C</v>
      </c>
    </row>
    <row r="933" spans="153:172" x14ac:dyDescent="0.35">
      <c r="EW933" t="s">
        <v>46</v>
      </c>
      <c r="EX933" s="33" t="s">
        <v>47</v>
      </c>
      <c r="EY933" s="35" t="s">
        <v>2239</v>
      </c>
      <c r="EZ933" s="36" t="s">
        <v>2240</v>
      </c>
      <c r="FA933" s="36" t="s">
        <v>1192</v>
      </c>
      <c r="FB933" s="36" t="s">
        <v>344</v>
      </c>
      <c r="FC933" s="36" t="s">
        <v>1192</v>
      </c>
      <c r="FD933" s="36" t="s">
        <v>344</v>
      </c>
      <c r="FE933" s="36">
        <v>2026</v>
      </c>
      <c r="FF933" s="36" t="s">
        <v>59</v>
      </c>
      <c r="FG933" s="36" t="s">
        <v>1584</v>
      </c>
      <c r="FJ933" t="s">
        <v>59</v>
      </c>
      <c r="FM933" s="32" t="s">
        <v>1765</v>
      </c>
      <c r="FN933" t="s">
        <v>1765</v>
      </c>
      <c r="FO933" t="s">
        <v>1766</v>
      </c>
      <c r="FP933" t="str">
        <f t="shared" si="199"/>
        <v>C</v>
      </c>
    </row>
    <row r="934" spans="153:172" x14ac:dyDescent="0.35">
      <c r="EW934" t="s">
        <v>46</v>
      </c>
      <c r="EX934" s="33" t="s">
        <v>47</v>
      </c>
      <c r="EY934" s="35" t="s">
        <v>2241</v>
      </c>
      <c r="EZ934" s="36" t="s">
        <v>2242</v>
      </c>
      <c r="FA934" s="36" t="s">
        <v>1192</v>
      </c>
      <c r="FB934" s="36" t="s">
        <v>344</v>
      </c>
      <c r="FC934" s="36" t="s">
        <v>1192</v>
      </c>
      <c r="FD934" s="36" t="s">
        <v>344</v>
      </c>
      <c r="FE934" s="36">
        <v>2026</v>
      </c>
      <c r="FF934" s="36" t="s">
        <v>59</v>
      </c>
      <c r="FG934" s="36" t="s">
        <v>1584</v>
      </c>
      <c r="FJ934" t="s">
        <v>59</v>
      </c>
      <c r="FM934" s="32" t="s">
        <v>1914</v>
      </c>
      <c r="FN934" t="s">
        <v>1914</v>
      </c>
      <c r="FO934" t="s">
        <v>1915</v>
      </c>
      <c r="FP934" t="str">
        <f t="shared" si="199"/>
        <v>C</v>
      </c>
    </row>
    <row r="935" spans="153:172" x14ac:dyDescent="0.35">
      <c r="EW935" t="s">
        <v>46</v>
      </c>
      <c r="EX935" s="33" t="s">
        <v>47</v>
      </c>
      <c r="EY935" s="35" t="s">
        <v>2243</v>
      </c>
      <c r="EZ935" s="36" t="s">
        <v>2244</v>
      </c>
      <c r="FA935" s="36" t="s">
        <v>1192</v>
      </c>
      <c r="FB935" s="36" t="s">
        <v>344</v>
      </c>
      <c r="FC935" s="36" t="s">
        <v>1192</v>
      </c>
      <c r="FD935" s="36" t="s">
        <v>344</v>
      </c>
      <c r="FE935" s="36">
        <v>2026</v>
      </c>
      <c r="FF935" s="36" t="s">
        <v>59</v>
      </c>
      <c r="FG935" s="36" t="s">
        <v>1584</v>
      </c>
      <c r="FJ935" t="s">
        <v>59</v>
      </c>
      <c r="FM935" s="32" t="s">
        <v>2245</v>
      </c>
      <c r="FN935" t="s">
        <v>2245</v>
      </c>
      <c r="FO935" t="s">
        <v>2246</v>
      </c>
      <c r="FP935" t="str">
        <f t="shared" si="199"/>
        <v>C</v>
      </c>
    </row>
    <row r="936" spans="153:172" x14ac:dyDescent="0.35">
      <c r="EW936" t="s">
        <v>46</v>
      </c>
      <c r="EX936" s="33" t="s">
        <v>47</v>
      </c>
      <c r="EY936" s="35" t="s">
        <v>2247</v>
      </c>
      <c r="EZ936" s="36" t="s">
        <v>2248</v>
      </c>
      <c r="FA936" s="36" t="s">
        <v>1192</v>
      </c>
      <c r="FB936" s="36" t="s">
        <v>344</v>
      </c>
      <c r="FC936" s="36" t="s">
        <v>1192</v>
      </c>
      <c r="FD936" s="36" t="s">
        <v>344</v>
      </c>
      <c r="FE936" s="36">
        <v>2026</v>
      </c>
      <c r="FF936" s="36" t="s">
        <v>59</v>
      </c>
      <c r="FG936" s="36" t="s">
        <v>1584</v>
      </c>
      <c r="FJ936" t="s">
        <v>59</v>
      </c>
      <c r="FM936" s="32" t="s">
        <v>1804</v>
      </c>
      <c r="FN936" t="s">
        <v>1804</v>
      </c>
      <c r="FO936" t="s">
        <v>1805</v>
      </c>
      <c r="FP936" t="str">
        <f t="shared" si="199"/>
        <v>C</v>
      </c>
    </row>
    <row r="937" spans="153:172" x14ac:dyDescent="0.35">
      <c r="EW937" t="s">
        <v>46</v>
      </c>
      <c r="EX937" s="33" t="s">
        <v>47</v>
      </c>
      <c r="EY937" s="35" t="s">
        <v>2249</v>
      </c>
      <c r="EZ937" s="36" t="s">
        <v>2250</v>
      </c>
      <c r="FA937" s="36" t="s">
        <v>1192</v>
      </c>
      <c r="FB937" s="36" t="s">
        <v>344</v>
      </c>
      <c r="FC937" s="36" t="s">
        <v>1192</v>
      </c>
      <c r="FD937" s="36" t="s">
        <v>344</v>
      </c>
      <c r="FE937" s="36">
        <v>2026</v>
      </c>
      <c r="FF937" s="36" t="s">
        <v>59</v>
      </c>
      <c r="FG937" s="36" t="s">
        <v>1584</v>
      </c>
      <c r="FJ937" t="s">
        <v>59</v>
      </c>
      <c r="FM937" s="32" t="s">
        <v>2251</v>
      </c>
      <c r="FN937" t="s">
        <v>2251</v>
      </c>
      <c r="FO937" t="s">
        <v>2252</v>
      </c>
      <c r="FP937" t="str">
        <f t="shared" si="199"/>
        <v>C</v>
      </c>
    </row>
    <row r="938" spans="153:172" x14ac:dyDescent="0.35">
      <c r="EW938" t="s">
        <v>46</v>
      </c>
      <c r="EX938" s="33" t="s">
        <v>47</v>
      </c>
      <c r="EY938" s="35" t="s">
        <v>2253</v>
      </c>
      <c r="EZ938" s="36" t="s">
        <v>2254</v>
      </c>
      <c r="FA938" s="36" t="s">
        <v>1192</v>
      </c>
      <c r="FB938" s="36" t="s">
        <v>344</v>
      </c>
      <c r="FC938" s="36" t="s">
        <v>1192</v>
      </c>
      <c r="FD938" s="36" t="s">
        <v>344</v>
      </c>
      <c r="FE938" s="36">
        <v>2026</v>
      </c>
      <c r="FF938" s="36" t="s">
        <v>59</v>
      </c>
      <c r="FG938" s="36" t="s">
        <v>1584</v>
      </c>
      <c r="FJ938" t="s">
        <v>59</v>
      </c>
      <c r="FM938" s="32" t="s">
        <v>1911</v>
      </c>
      <c r="FN938" t="s">
        <v>1911</v>
      </c>
      <c r="FO938" t="s">
        <v>1912</v>
      </c>
      <c r="FP938" t="str">
        <f t="shared" si="199"/>
        <v>C</v>
      </c>
    </row>
    <row r="939" spans="153:172" x14ac:dyDescent="0.35">
      <c r="EW939" t="s">
        <v>46</v>
      </c>
      <c r="EX939" s="33" t="s">
        <v>47</v>
      </c>
      <c r="EY939" s="35" t="s">
        <v>2255</v>
      </c>
      <c r="EZ939" s="36" t="s">
        <v>2256</v>
      </c>
      <c r="FA939" s="36" t="s">
        <v>1192</v>
      </c>
      <c r="FB939" s="36" t="s">
        <v>344</v>
      </c>
      <c r="FC939" s="36" t="s">
        <v>1192</v>
      </c>
      <c r="FD939" s="36" t="s">
        <v>344</v>
      </c>
      <c r="FE939" s="36">
        <v>2026</v>
      </c>
      <c r="FF939" s="36" t="s">
        <v>59</v>
      </c>
      <c r="FG939" s="36" t="s">
        <v>1584</v>
      </c>
      <c r="FJ939" t="s">
        <v>59</v>
      </c>
      <c r="FM939" s="32" t="s">
        <v>1647</v>
      </c>
      <c r="FN939" t="s">
        <v>1647</v>
      </c>
      <c r="FO939" t="s">
        <v>1608</v>
      </c>
      <c r="FP939" t="str">
        <f t="shared" si="199"/>
        <v>C</v>
      </c>
    </row>
    <row r="940" spans="153:172" x14ac:dyDescent="0.35">
      <c r="EW940" t="s">
        <v>46</v>
      </c>
      <c r="EX940" s="33" t="s">
        <v>47</v>
      </c>
      <c r="EY940" s="35" t="s">
        <v>2257</v>
      </c>
      <c r="EZ940" s="36" t="s">
        <v>2258</v>
      </c>
      <c r="FA940" s="36" t="s">
        <v>1192</v>
      </c>
      <c r="FB940" s="36" t="s">
        <v>344</v>
      </c>
      <c r="FC940" s="36" t="s">
        <v>1192</v>
      </c>
      <c r="FD940" s="36" t="s">
        <v>344</v>
      </c>
      <c r="FE940" s="36">
        <v>2026</v>
      </c>
      <c r="FF940" s="36" t="s">
        <v>59</v>
      </c>
      <c r="FG940" s="36" t="s">
        <v>1584</v>
      </c>
      <c r="FJ940" t="s">
        <v>59</v>
      </c>
      <c r="FM940" s="32" t="s">
        <v>2259</v>
      </c>
      <c r="FN940" t="s">
        <v>2259</v>
      </c>
      <c r="FO940" t="s">
        <v>2260</v>
      </c>
      <c r="FP940" t="str">
        <f t="shared" si="199"/>
        <v>C</v>
      </c>
    </row>
    <row r="941" spans="153:172" x14ac:dyDescent="0.35">
      <c r="EW941" t="s">
        <v>46</v>
      </c>
      <c r="EX941" s="33" t="s">
        <v>47</v>
      </c>
      <c r="EY941" s="35" t="s">
        <v>2261</v>
      </c>
      <c r="EZ941" s="36" t="s">
        <v>2262</v>
      </c>
      <c r="FA941" s="36" t="s">
        <v>1192</v>
      </c>
      <c r="FB941" s="36" t="s">
        <v>344</v>
      </c>
      <c r="FC941" s="36" t="s">
        <v>1192</v>
      </c>
      <c r="FD941" s="36" t="s">
        <v>344</v>
      </c>
      <c r="FE941" s="36">
        <v>2026</v>
      </c>
      <c r="FF941" s="36" t="s">
        <v>59</v>
      </c>
      <c r="FG941" s="36" t="s">
        <v>1584</v>
      </c>
      <c r="FJ941" t="s">
        <v>59</v>
      </c>
      <c r="FM941" s="32" t="s">
        <v>1900</v>
      </c>
      <c r="FN941" t="s">
        <v>1900</v>
      </c>
      <c r="FO941" t="s">
        <v>1901</v>
      </c>
      <c r="FP941" t="str">
        <f t="shared" si="199"/>
        <v>C</v>
      </c>
    </row>
    <row r="942" spans="153:172" x14ac:dyDescent="0.35">
      <c r="EW942" t="s">
        <v>46</v>
      </c>
      <c r="EX942" s="33" t="s">
        <v>47</v>
      </c>
      <c r="EY942" s="35" t="s">
        <v>2263</v>
      </c>
      <c r="EZ942" s="36" t="s">
        <v>2264</v>
      </c>
      <c r="FA942" s="36" t="s">
        <v>1192</v>
      </c>
      <c r="FB942" s="36" t="s">
        <v>344</v>
      </c>
      <c r="FC942" s="36" t="s">
        <v>1192</v>
      </c>
      <c r="FD942" s="36" t="s">
        <v>344</v>
      </c>
      <c r="FE942" s="36">
        <v>2026</v>
      </c>
      <c r="FF942" s="36" t="s">
        <v>59</v>
      </c>
      <c r="FG942" s="36" t="s">
        <v>1584</v>
      </c>
      <c r="FJ942" t="s">
        <v>59</v>
      </c>
      <c r="FM942" s="32" t="s">
        <v>1877</v>
      </c>
      <c r="FN942" t="s">
        <v>1877</v>
      </c>
      <c r="FO942" t="s">
        <v>1878</v>
      </c>
      <c r="FP942" t="str">
        <f t="shared" si="199"/>
        <v>C</v>
      </c>
    </row>
    <row r="943" spans="153:172" x14ac:dyDescent="0.35">
      <c r="EW943" t="s">
        <v>46</v>
      </c>
      <c r="EX943" s="33" t="s">
        <v>47</v>
      </c>
      <c r="EY943" s="35" t="s">
        <v>2265</v>
      </c>
      <c r="EZ943" s="36" t="s">
        <v>2266</v>
      </c>
      <c r="FA943" s="36" t="s">
        <v>1192</v>
      </c>
      <c r="FB943" s="36" t="s">
        <v>344</v>
      </c>
      <c r="FC943" s="36" t="s">
        <v>1192</v>
      </c>
      <c r="FD943" s="36" t="s">
        <v>344</v>
      </c>
      <c r="FE943" s="36">
        <v>2026</v>
      </c>
      <c r="FF943" s="36" t="s">
        <v>59</v>
      </c>
      <c r="FG943" s="36" t="s">
        <v>1584</v>
      </c>
      <c r="FJ943" t="s">
        <v>59</v>
      </c>
      <c r="FM943" s="32" t="s">
        <v>1825</v>
      </c>
      <c r="FN943" t="s">
        <v>1825</v>
      </c>
      <c r="FO943" t="s">
        <v>1826</v>
      </c>
      <c r="FP943" t="str">
        <f t="shared" si="199"/>
        <v>C</v>
      </c>
    </row>
    <row r="944" spans="153:172" x14ac:dyDescent="0.35">
      <c r="EW944" t="s">
        <v>46</v>
      </c>
      <c r="EX944" s="33" t="s">
        <v>47</v>
      </c>
      <c r="EY944" s="35" t="s">
        <v>2267</v>
      </c>
      <c r="EZ944" s="36" t="s">
        <v>2268</v>
      </c>
      <c r="FA944" s="36" t="s">
        <v>1192</v>
      </c>
      <c r="FB944" s="36" t="s">
        <v>344</v>
      </c>
      <c r="FC944" s="36" t="s">
        <v>1192</v>
      </c>
      <c r="FD944" s="36" t="s">
        <v>344</v>
      </c>
      <c r="FE944" s="36">
        <v>2026</v>
      </c>
      <c r="FF944" s="36" t="s">
        <v>59</v>
      </c>
      <c r="FG944" s="36" t="s">
        <v>1584</v>
      </c>
      <c r="FJ944" t="s">
        <v>59</v>
      </c>
      <c r="FM944" s="32" t="s">
        <v>1575</v>
      </c>
      <c r="FN944" t="s">
        <v>1575</v>
      </c>
      <c r="FO944" t="s">
        <v>1576</v>
      </c>
      <c r="FP944" t="str">
        <f t="shared" si="199"/>
        <v>C</v>
      </c>
    </row>
    <row r="945" spans="153:172" x14ac:dyDescent="0.35">
      <c r="EW945" t="s">
        <v>46</v>
      </c>
      <c r="EX945" s="33" t="s">
        <v>47</v>
      </c>
      <c r="EY945" s="35" t="s">
        <v>2269</v>
      </c>
      <c r="EZ945" s="36" t="s">
        <v>2270</v>
      </c>
      <c r="FA945" s="36" t="s">
        <v>1192</v>
      </c>
      <c r="FB945" s="36" t="s">
        <v>344</v>
      </c>
      <c r="FC945" s="36" t="s">
        <v>1192</v>
      </c>
      <c r="FD945" s="36" t="s">
        <v>344</v>
      </c>
      <c r="FE945" s="36">
        <v>2026</v>
      </c>
      <c r="FF945" s="36" t="s">
        <v>59</v>
      </c>
      <c r="FG945" s="36" t="s">
        <v>1584</v>
      </c>
      <c r="FJ945" t="s">
        <v>59</v>
      </c>
      <c r="FM945" s="32" t="s">
        <v>2271</v>
      </c>
      <c r="FN945" t="s">
        <v>2271</v>
      </c>
      <c r="FO945" t="s">
        <v>2272</v>
      </c>
      <c r="FP945" t="str">
        <f t="shared" si="199"/>
        <v>C</v>
      </c>
    </row>
    <row r="946" spans="153:172" x14ac:dyDescent="0.35">
      <c r="EW946" t="s">
        <v>46</v>
      </c>
      <c r="EX946" s="33" t="s">
        <v>47</v>
      </c>
      <c r="EY946" s="35" t="s">
        <v>2273</v>
      </c>
      <c r="EZ946" s="36" t="s">
        <v>2274</v>
      </c>
      <c r="FA946" s="36" t="s">
        <v>1192</v>
      </c>
      <c r="FB946" s="36" t="s">
        <v>344</v>
      </c>
      <c r="FC946" s="36" t="s">
        <v>1192</v>
      </c>
      <c r="FD946" s="36" t="s">
        <v>344</v>
      </c>
      <c r="FE946" s="36">
        <v>2026</v>
      </c>
      <c r="FF946" s="36" t="s">
        <v>59</v>
      </c>
      <c r="FG946" s="36" t="s">
        <v>1584</v>
      </c>
      <c r="FJ946" t="s">
        <v>59</v>
      </c>
      <c r="FM946" s="32" t="s">
        <v>1937</v>
      </c>
      <c r="FN946" t="s">
        <v>1937</v>
      </c>
      <c r="FO946" t="s">
        <v>1938</v>
      </c>
      <c r="FP946" t="str">
        <f t="shared" si="199"/>
        <v>C</v>
      </c>
    </row>
    <row r="947" spans="153:172" x14ac:dyDescent="0.35">
      <c r="EW947" t="s">
        <v>46</v>
      </c>
      <c r="EX947" s="33" t="s">
        <v>47</v>
      </c>
      <c r="EY947" s="35" t="s">
        <v>2275</v>
      </c>
      <c r="EZ947" s="36" t="s">
        <v>2276</v>
      </c>
      <c r="FA947" s="36" t="s">
        <v>1192</v>
      </c>
      <c r="FB947" s="36" t="s">
        <v>344</v>
      </c>
      <c r="FC947" s="36" t="s">
        <v>1192</v>
      </c>
      <c r="FD947" s="36" t="s">
        <v>344</v>
      </c>
      <c r="FE947" s="36">
        <v>2026</v>
      </c>
      <c r="FF947" s="36" t="s">
        <v>59</v>
      </c>
      <c r="FG947" s="36" t="s">
        <v>1584</v>
      </c>
      <c r="FJ947" t="s">
        <v>59</v>
      </c>
      <c r="FM947" s="32" t="s">
        <v>1886</v>
      </c>
      <c r="FN947" t="s">
        <v>1886</v>
      </c>
      <c r="FO947" t="s">
        <v>1887</v>
      </c>
      <c r="FP947" t="str">
        <f t="shared" si="199"/>
        <v>C</v>
      </c>
    </row>
    <row r="948" spans="153:172" x14ac:dyDescent="0.35">
      <c r="EW948" t="s">
        <v>46</v>
      </c>
      <c r="EX948" s="33" t="s">
        <v>47</v>
      </c>
      <c r="EY948" s="35" t="s">
        <v>2277</v>
      </c>
      <c r="EZ948" s="36" t="s">
        <v>2278</v>
      </c>
      <c r="FA948" s="36" t="s">
        <v>1192</v>
      </c>
      <c r="FB948" s="36" t="s">
        <v>344</v>
      </c>
      <c r="FC948" s="36" t="s">
        <v>1192</v>
      </c>
      <c r="FD948" s="36" t="s">
        <v>344</v>
      </c>
      <c r="FE948" s="36">
        <v>2026</v>
      </c>
      <c r="FF948" s="36" t="s">
        <v>59</v>
      </c>
      <c r="FG948" s="36" t="s">
        <v>1584</v>
      </c>
      <c r="FJ948" t="s">
        <v>59</v>
      </c>
      <c r="FM948" s="32" t="s">
        <v>2139</v>
      </c>
      <c r="FN948" t="s">
        <v>2139</v>
      </c>
      <c r="FO948" t="s">
        <v>2140</v>
      </c>
      <c r="FP948" t="str">
        <f t="shared" si="199"/>
        <v>C</v>
      </c>
    </row>
    <row r="949" spans="153:172" x14ac:dyDescent="0.35">
      <c r="EW949" t="s">
        <v>46</v>
      </c>
      <c r="EX949" s="33" t="s">
        <v>47</v>
      </c>
      <c r="EY949" s="35" t="s">
        <v>2279</v>
      </c>
      <c r="EZ949" s="36" t="s">
        <v>2280</v>
      </c>
      <c r="FA949" s="36" t="s">
        <v>1192</v>
      </c>
      <c r="FB949" s="36" t="s">
        <v>344</v>
      </c>
      <c r="FC949" s="36" t="s">
        <v>1192</v>
      </c>
      <c r="FD949" s="36" t="s">
        <v>344</v>
      </c>
      <c r="FE949" s="36">
        <v>2026</v>
      </c>
      <c r="FF949" s="36" t="s">
        <v>59</v>
      </c>
      <c r="FG949" s="36" t="s">
        <v>1584</v>
      </c>
      <c r="FJ949" t="s">
        <v>59</v>
      </c>
      <c r="FM949" s="32" t="s">
        <v>1833</v>
      </c>
      <c r="FN949" t="s">
        <v>1833</v>
      </c>
      <c r="FO949" t="s">
        <v>1834</v>
      </c>
      <c r="FP949" t="str">
        <f t="shared" si="199"/>
        <v>C</v>
      </c>
    </row>
    <row r="950" spans="153:172" x14ac:dyDescent="0.35">
      <c r="EW950" t="s">
        <v>46</v>
      </c>
      <c r="EX950" s="33" t="s">
        <v>47</v>
      </c>
      <c r="EY950" s="35" t="s">
        <v>2281</v>
      </c>
      <c r="EZ950" s="36" t="s">
        <v>2282</v>
      </c>
      <c r="FA950" s="36" t="s">
        <v>1192</v>
      </c>
      <c r="FB950" s="36" t="s">
        <v>344</v>
      </c>
      <c r="FC950" s="36" t="s">
        <v>1192</v>
      </c>
      <c r="FD950" s="36" t="s">
        <v>344</v>
      </c>
      <c r="FE950" s="36">
        <v>2026</v>
      </c>
      <c r="FF950" s="36" t="s">
        <v>59</v>
      </c>
      <c r="FG950" s="36" t="s">
        <v>1584</v>
      </c>
      <c r="FJ950" t="s">
        <v>59</v>
      </c>
      <c r="FM950" s="32" t="s">
        <v>1845</v>
      </c>
      <c r="FN950" t="s">
        <v>1845</v>
      </c>
      <c r="FO950" t="s">
        <v>1846</v>
      </c>
      <c r="FP950" t="str">
        <f t="shared" si="199"/>
        <v>C</v>
      </c>
    </row>
    <row r="951" spans="153:172" x14ac:dyDescent="0.35">
      <c r="EW951" t="s">
        <v>46</v>
      </c>
      <c r="EX951" s="33" t="s">
        <v>47</v>
      </c>
      <c r="EY951" s="35" t="s">
        <v>2283</v>
      </c>
      <c r="EZ951" s="36" t="s">
        <v>2284</v>
      </c>
      <c r="FA951" s="36" t="s">
        <v>1192</v>
      </c>
      <c r="FB951" s="36" t="s">
        <v>344</v>
      </c>
      <c r="FC951" s="36" t="s">
        <v>1192</v>
      </c>
      <c r="FD951" s="36" t="s">
        <v>344</v>
      </c>
      <c r="FE951" s="36">
        <v>2026</v>
      </c>
      <c r="FF951" s="36" t="s">
        <v>59</v>
      </c>
      <c r="FG951" s="36" t="s">
        <v>1584</v>
      </c>
      <c r="FJ951" t="s">
        <v>59</v>
      </c>
      <c r="FM951" s="32" t="s">
        <v>1894</v>
      </c>
      <c r="FN951" t="s">
        <v>1894</v>
      </c>
      <c r="FO951" t="s">
        <v>1895</v>
      </c>
      <c r="FP951" t="str">
        <f t="shared" si="199"/>
        <v>C</v>
      </c>
    </row>
    <row r="952" spans="153:172" x14ac:dyDescent="0.35">
      <c r="EW952" t="s">
        <v>46</v>
      </c>
      <c r="EX952" s="33" t="s">
        <v>47</v>
      </c>
      <c r="EY952" s="35" t="s">
        <v>2285</v>
      </c>
      <c r="EZ952" s="36" t="s">
        <v>2286</v>
      </c>
      <c r="FA952" s="36" t="s">
        <v>1192</v>
      </c>
      <c r="FB952" s="36" t="s">
        <v>344</v>
      </c>
      <c r="FC952" s="36" t="s">
        <v>1192</v>
      </c>
      <c r="FD952" s="36" t="s">
        <v>344</v>
      </c>
      <c r="FE952" s="36">
        <v>2026</v>
      </c>
      <c r="FF952" s="36" t="s">
        <v>59</v>
      </c>
      <c r="FG952" s="36" t="s">
        <v>1584</v>
      </c>
      <c r="FJ952" t="s">
        <v>59</v>
      </c>
      <c r="FM952" s="32" t="s">
        <v>1855</v>
      </c>
      <c r="FN952" t="s">
        <v>1855</v>
      </c>
      <c r="FO952" t="s">
        <v>1856</v>
      </c>
      <c r="FP952" t="str">
        <f t="shared" si="199"/>
        <v>C</v>
      </c>
    </row>
    <row r="953" spans="153:172" x14ac:dyDescent="0.35">
      <c r="EW953" t="s">
        <v>46</v>
      </c>
      <c r="EX953" s="33" t="s">
        <v>47</v>
      </c>
      <c r="EY953" s="35" t="s">
        <v>2287</v>
      </c>
      <c r="EZ953" s="36" t="s">
        <v>2288</v>
      </c>
      <c r="FA953" s="36" t="s">
        <v>1192</v>
      </c>
      <c r="FB953" s="36" t="s">
        <v>344</v>
      </c>
      <c r="FC953" s="36" t="s">
        <v>1192</v>
      </c>
      <c r="FD953" s="36" t="s">
        <v>344</v>
      </c>
      <c r="FE953" s="36">
        <v>2026</v>
      </c>
      <c r="FF953" s="36" t="s">
        <v>59</v>
      </c>
      <c r="FG953" s="36" t="s">
        <v>1584</v>
      </c>
      <c r="FJ953" t="s">
        <v>59</v>
      </c>
      <c r="FM953" s="32" t="s">
        <v>1656</v>
      </c>
      <c r="FN953" t="s">
        <v>1656</v>
      </c>
      <c r="FO953" t="s">
        <v>1616</v>
      </c>
      <c r="FP953" t="str">
        <f t="shared" si="199"/>
        <v>C</v>
      </c>
    </row>
    <row r="954" spans="153:172" x14ac:dyDescent="0.35">
      <c r="EW954" t="s">
        <v>46</v>
      </c>
      <c r="EX954" s="33" t="s">
        <v>47</v>
      </c>
      <c r="EY954" s="35" t="s">
        <v>2289</v>
      </c>
      <c r="EZ954" s="36" t="s">
        <v>2290</v>
      </c>
      <c r="FA954" s="36" t="s">
        <v>1192</v>
      </c>
      <c r="FB954" s="36" t="s">
        <v>344</v>
      </c>
      <c r="FC954" s="36" t="s">
        <v>1192</v>
      </c>
      <c r="FD954" s="36" t="s">
        <v>344</v>
      </c>
      <c r="FE954" s="36">
        <v>2026</v>
      </c>
      <c r="FF954" s="36" t="s">
        <v>59</v>
      </c>
      <c r="FG954" s="36" t="s">
        <v>1584</v>
      </c>
      <c r="FJ954" t="s">
        <v>59</v>
      </c>
      <c r="FM954" s="32" t="s">
        <v>1848</v>
      </c>
      <c r="FN954" t="s">
        <v>1848</v>
      </c>
      <c r="FO954" t="s">
        <v>1849</v>
      </c>
      <c r="FP954" t="str">
        <f t="shared" si="199"/>
        <v>C</v>
      </c>
    </row>
    <row r="955" spans="153:172" x14ac:dyDescent="0.35">
      <c r="EW955" t="s">
        <v>46</v>
      </c>
      <c r="EX955" s="33" t="s">
        <v>47</v>
      </c>
      <c r="EY955" s="35" t="s">
        <v>2291</v>
      </c>
      <c r="EZ955" s="36" t="s">
        <v>2292</v>
      </c>
      <c r="FA955" s="36" t="s">
        <v>1192</v>
      </c>
      <c r="FB955" s="36" t="s">
        <v>344</v>
      </c>
      <c r="FC955" s="36" t="s">
        <v>1192</v>
      </c>
      <c r="FD955" s="36" t="s">
        <v>344</v>
      </c>
      <c r="FE955" s="36">
        <v>2026</v>
      </c>
      <c r="FF955" s="36" t="s">
        <v>59</v>
      </c>
      <c r="FG955" s="36" t="s">
        <v>1584</v>
      </c>
      <c r="FJ955" t="s">
        <v>59</v>
      </c>
      <c r="FM955" s="32" t="s">
        <v>1897</v>
      </c>
      <c r="FN955" t="s">
        <v>1897</v>
      </c>
      <c r="FO955" t="s">
        <v>1898</v>
      </c>
      <c r="FP955" t="str">
        <f t="shared" si="199"/>
        <v>C</v>
      </c>
    </row>
    <row r="956" spans="153:172" x14ac:dyDescent="0.35">
      <c r="EW956" t="s">
        <v>46</v>
      </c>
      <c r="EX956" s="33" t="s">
        <v>47</v>
      </c>
      <c r="EY956" s="35" t="s">
        <v>2293</v>
      </c>
      <c r="EZ956" s="36" t="s">
        <v>2294</v>
      </c>
      <c r="FA956" s="36" t="s">
        <v>1192</v>
      </c>
      <c r="FB956" s="36" t="s">
        <v>344</v>
      </c>
      <c r="FC956" s="36" t="s">
        <v>1192</v>
      </c>
      <c r="FD956" s="36" t="s">
        <v>344</v>
      </c>
      <c r="FE956" s="36">
        <v>2026</v>
      </c>
      <c r="FF956" s="36" t="s">
        <v>59</v>
      </c>
      <c r="FG956" s="36" t="s">
        <v>1584</v>
      </c>
      <c r="FJ956" t="s">
        <v>59</v>
      </c>
      <c r="FM956" s="32" t="s">
        <v>1977</v>
      </c>
      <c r="FN956" t="s">
        <v>1977</v>
      </c>
      <c r="FO956" t="s">
        <v>1978</v>
      </c>
      <c r="FP956" t="str">
        <f t="shared" si="199"/>
        <v>C</v>
      </c>
    </row>
    <row r="957" spans="153:172" x14ac:dyDescent="0.35">
      <c r="EW957" t="s">
        <v>46</v>
      </c>
      <c r="EX957" s="33" t="s">
        <v>47</v>
      </c>
      <c r="EY957" s="35" t="s">
        <v>2295</v>
      </c>
      <c r="EZ957" s="36" t="s">
        <v>2296</v>
      </c>
      <c r="FA957" s="36" t="s">
        <v>1192</v>
      </c>
      <c r="FB957" s="36" t="s">
        <v>344</v>
      </c>
      <c r="FC957" s="36" t="s">
        <v>1192</v>
      </c>
      <c r="FD957" s="36" t="s">
        <v>344</v>
      </c>
      <c r="FE957" s="36">
        <v>2026</v>
      </c>
      <c r="FF957" s="36" t="s">
        <v>59</v>
      </c>
      <c r="FG957" s="36" t="s">
        <v>1584</v>
      </c>
      <c r="FJ957" t="s">
        <v>59</v>
      </c>
      <c r="FM957" s="32" t="s">
        <v>1926</v>
      </c>
      <c r="FN957" t="s">
        <v>1926</v>
      </c>
      <c r="FO957" t="s">
        <v>1927</v>
      </c>
      <c r="FP957" t="str">
        <f t="shared" si="199"/>
        <v>C</v>
      </c>
    </row>
    <row r="958" spans="153:172" x14ac:dyDescent="0.35">
      <c r="EW958" t="s">
        <v>46</v>
      </c>
      <c r="EX958" s="33" t="s">
        <v>47</v>
      </c>
      <c r="EY958" s="35" t="s">
        <v>2297</v>
      </c>
      <c r="EZ958" s="36" t="s">
        <v>2298</v>
      </c>
      <c r="FA958" s="36" t="s">
        <v>1192</v>
      </c>
      <c r="FB958" s="36" t="s">
        <v>344</v>
      </c>
      <c r="FC958" s="36" t="s">
        <v>1192</v>
      </c>
      <c r="FD958" s="36" t="s">
        <v>344</v>
      </c>
      <c r="FE958" s="36">
        <v>2026</v>
      </c>
      <c r="FF958" s="36" t="s">
        <v>59</v>
      </c>
      <c r="FG958" s="36" t="s">
        <v>1584</v>
      </c>
      <c r="FJ958" t="s">
        <v>59</v>
      </c>
      <c r="FM958" s="32" t="s">
        <v>1198</v>
      </c>
      <c r="FN958" t="s">
        <v>1198</v>
      </c>
      <c r="FO958" t="s">
        <v>1199</v>
      </c>
      <c r="FP958" t="str">
        <f t="shared" si="199"/>
        <v>C</v>
      </c>
    </row>
    <row r="959" spans="153:172" x14ac:dyDescent="0.35">
      <c r="EW959" t="s">
        <v>46</v>
      </c>
      <c r="EX959" s="33" t="s">
        <v>47</v>
      </c>
      <c r="EY959" s="35" t="s">
        <v>2299</v>
      </c>
      <c r="EZ959" s="36" t="s">
        <v>2300</v>
      </c>
      <c r="FA959" s="36" t="s">
        <v>1192</v>
      </c>
      <c r="FB959" s="36" t="s">
        <v>344</v>
      </c>
      <c r="FC959" s="36" t="s">
        <v>1192</v>
      </c>
      <c r="FD959" s="36" t="s">
        <v>344</v>
      </c>
      <c r="FE959" s="36">
        <v>2026</v>
      </c>
      <c r="FF959" s="36" t="s">
        <v>59</v>
      </c>
      <c r="FG959" s="36" t="s">
        <v>1584</v>
      </c>
      <c r="FJ959" t="s">
        <v>59</v>
      </c>
      <c r="FM959" s="32" t="s">
        <v>2301</v>
      </c>
      <c r="FN959" t="s">
        <v>2301</v>
      </c>
      <c r="FO959" t="s">
        <v>2302</v>
      </c>
      <c r="FP959" t="str">
        <f t="shared" si="199"/>
        <v>C</v>
      </c>
    </row>
    <row r="960" spans="153:172" x14ac:dyDescent="0.35">
      <c r="EW960" t="s">
        <v>46</v>
      </c>
      <c r="EX960" s="33" t="s">
        <v>47</v>
      </c>
      <c r="EY960" s="35" t="s">
        <v>2303</v>
      </c>
      <c r="EZ960" s="36" t="s">
        <v>2304</v>
      </c>
      <c r="FA960" s="36" t="s">
        <v>1192</v>
      </c>
      <c r="FB960" s="36" t="s">
        <v>344</v>
      </c>
      <c r="FC960" s="36" t="s">
        <v>1192</v>
      </c>
      <c r="FD960" s="36" t="s">
        <v>344</v>
      </c>
      <c r="FE960" s="36">
        <v>2026</v>
      </c>
      <c r="FF960" s="36" t="s">
        <v>59</v>
      </c>
      <c r="FG960" s="36" t="s">
        <v>1584</v>
      </c>
      <c r="FJ960" t="s">
        <v>59</v>
      </c>
      <c r="FM960" s="32" t="s">
        <v>1860</v>
      </c>
      <c r="FN960" t="s">
        <v>1860</v>
      </c>
      <c r="FO960" t="s">
        <v>1861</v>
      </c>
      <c r="FP960" t="str">
        <f t="shared" si="199"/>
        <v>C</v>
      </c>
    </row>
    <row r="961" spans="153:172" x14ac:dyDescent="0.35">
      <c r="EW961" t="s">
        <v>46</v>
      </c>
      <c r="EX961" s="33" t="s">
        <v>47</v>
      </c>
      <c r="EY961" s="35" t="s">
        <v>2305</v>
      </c>
      <c r="EZ961" s="36" t="s">
        <v>2306</v>
      </c>
      <c r="FA961" s="36" t="s">
        <v>1192</v>
      </c>
      <c r="FB961" s="36" t="s">
        <v>344</v>
      </c>
      <c r="FC961" s="36" t="s">
        <v>1192</v>
      </c>
      <c r="FD961" s="36" t="s">
        <v>344</v>
      </c>
      <c r="FE961" s="36">
        <v>2026</v>
      </c>
      <c r="FF961" s="36" t="s">
        <v>59</v>
      </c>
      <c r="FG961" s="36" t="s">
        <v>1584</v>
      </c>
      <c r="FJ961" t="s">
        <v>59</v>
      </c>
      <c r="FM961" s="32" t="s">
        <v>2307</v>
      </c>
      <c r="FN961" t="s">
        <v>2307</v>
      </c>
      <c r="FO961" t="s">
        <v>2308</v>
      </c>
      <c r="FP961" t="str">
        <f t="shared" ref="FP961:FP1024" si="200">VLOOKUP(FO961,EX:FF,9,0)</f>
        <v>C</v>
      </c>
    </row>
    <row r="962" spans="153:172" x14ac:dyDescent="0.35">
      <c r="EW962" t="s">
        <v>46</v>
      </c>
      <c r="EX962" s="33" t="s">
        <v>47</v>
      </c>
      <c r="EY962" s="35" t="s">
        <v>2309</v>
      </c>
      <c r="EZ962" s="36" t="s">
        <v>2310</v>
      </c>
      <c r="FA962" s="36" t="s">
        <v>1192</v>
      </c>
      <c r="FB962" s="36" t="s">
        <v>344</v>
      </c>
      <c r="FC962" s="36" t="s">
        <v>1192</v>
      </c>
      <c r="FD962" s="36" t="s">
        <v>344</v>
      </c>
      <c r="FE962" s="36">
        <v>2026</v>
      </c>
      <c r="FF962" s="36" t="s">
        <v>59</v>
      </c>
      <c r="FG962" s="36" t="s">
        <v>1584</v>
      </c>
      <c r="FJ962" t="s">
        <v>59</v>
      </c>
      <c r="FM962" s="32" t="s">
        <v>1306</v>
      </c>
      <c r="FN962" t="s">
        <v>1306</v>
      </c>
      <c r="FO962" t="s">
        <v>1307</v>
      </c>
      <c r="FP962" t="str">
        <f t="shared" si="200"/>
        <v>C</v>
      </c>
    </row>
    <row r="963" spans="153:172" x14ac:dyDescent="0.35">
      <c r="EW963" t="s">
        <v>46</v>
      </c>
      <c r="EX963" s="33" t="s">
        <v>47</v>
      </c>
      <c r="EY963" s="35" t="s">
        <v>2311</v>
      </c>
      <c r="EZ963" s="36" t="s">
        <v>2312</v>
      </c>
      <c r="FA963" s="36" t="s">
        <v>1192</v>
      </c>
      <c r="FB963" s="36" t="s">
        <v>344</v>
      </c>
      <c r="FC963" s="36" t="s">
        <v>1192</v>
      </c>
      <c r="FD963" s="36" t="s">
        <v>344</v>
      </c>
      <c r="FE963" s="36">
        <v>2026</v>
      </c>
      <c r="FF963" s="36" t="s">
        <v>59</v>
      </c>
      <c r="FG963" s="36" t="s">
        <v>1584</v>
      </c>
      <c r="FJ963" t="s">
        <v>59</v>
      </c>
      <c r="FM963" s="32" t="s">
        <v>1242</v>
      </c>
      <c r="FN963" t="s">
        <v>1242</v>
      </c>
      <c r="FO963" t="s">
        <v>1243</v>
      </c>
      <c r="FP963" t="str">
        <f t="shared" si="200"/>
        <v>C</v>
      </c>
    </row>
    <row r="964" spans="153:172" x14ac:dyDescent="0.35">
      <c r="EW964" t="s">
        <v>46</v>
      </c>
      <c r="EX964" s="33" t="s">
        <v>47</v>
      </c>
      <c r="EY964" s="35" t="s">
        <v>2313</v>
      </c>
      <c r="EZ964" s="36" t="s">
        <v>2314</v>
      </c>
      <c r="FA964" s="36" t="s">
        <v>1192</v>
      </c>
      <c r="FB964" s="36" t="s">
        <v>344</v>
      </c>
      <c r="FC964" s="36" t="s">
        <v>1192</v>
      </c>
      <c r="FD964" s="36" t="s">
        <v>344</v>
      </c>
      <c r="FE964" s="36">
        <v>2026</v>
      </c>
      <c r="FF964" s="36" t="s">
        <v>59</v>
      </c>
      <c r="FG964" s="36" t="s">
        <v>1584</v>
      </c>
      <c r="FJ964" t="s">
        <v>59</v>
      </c>
      <c r="FM964" s="32" t="s">
        <v>2315</v>
      </c>
      <c r="FN964" t="s">
        <v>2315</v>
      </c>
      <c r="FO964" t="s">
        <v>2316</v>
      </c>
      <c r="FP964" t="str">
        <f t="shared" si="200"/>
        <v>C</v>
      </c>
    </row>
    <row r="965" spans="153:172" x14ac:dyDescent="0.35">
      <c r="EW965" t="s">
        <v>46</v>
      </c>
      <c r="EX965" s="33" t="s">
        <v>47</v>
      </c>
      <c r="EY965" s="35" t="s">
        <v>2317</v>
      </c>
      <c r="EZ965" s="36" t="s">
        <v>2318</v>
      </c>
      <c r="FA965" s="36" t="s">
        <v>1192</v>
      </c>
      <c r="FB965" s="36" t="s">
        <v>344</v>
      </c>
      <c r="FC965" s="36" t="s">
        <v>1192</v>
      </c>
      <c r="FD965" s="36" t="s">
        <v>344</v>
      </c>
      <c r="FE965" s="36">
        <v>2026</v>
      </c>
      <c r="FF965" s="36" t="s">
        <v>59</v>
      </c>
      <c r="FG965" s="36" t="s">
        <v>1584</v>
      </c>
      <c r="FJ965" t="s">
        <v>59</v>
      </c>
      <c r="FM965" s="32" t="s">
        <v>396</v>
      </c>
      <c r="FN965" t="s">
        <v>397</v>
      </c>
      <c r="FO965" t="s">
        <v>398</v>
      </c>
      <c r="FP965" t="str">
        <f t="shared" si="200"/>
        <v>B</v>
      </c>
    </row>
    <row r="966" spans="153:172" x14ac:dyDescent="0.35">
      <c r="EW966" t="s">
        <v>46</v>
      </c>
      <c r="EX966" s="33" t="s">
        <v>47</v>
      </c>
      <c r="EY966" s="35" t="s">
        <v>2319</v>
      </c>
      <c r="EZ966" s="36" t="s">
        <v>2320</v>
      </c>
      <c r="FA966" s="36" t="s">
        <v>1192</v>
      </c>
      <c r="FB966" s="36" t="s">
        <v>344</v>
      </c>
      <c r="FC966" s="36" t="s">
        <v>1192</v>
      </c>
      <c r="FD966" s="36" t="s">
        <v>344</v>
      </c>
      <c r="FE966" s="36">
        <v>2026</v>
      </c>
      <c r="FF966" s="36" t="s">
        <v>59</v>
      </c>
      <c r="FG966" s="36" t="s">
        <v>1584</v>
      </c>
      <c r="FJ966" t="s">
        <v>59</v>
      </c>
      <c r="FM966" s="32" t="s">
        <v>2321</v>
      </c>
      <c r="FN966" t="s">
        <v>2321</v>
      </c>
      <c r="FO966" t="s">
        <v>2322</v>
      </c>
      <c r="FP966" t="str">
        <f t="shared" si="200"/>
        <v>C</v>
      </c>
    </row>
    <row r="967" spans="153:172" x14ac:dyDescent="0.35">
      <c r="EW967" t="s">
        <v>46</v>
      </c>
      <c r="EX967" s="33" t="s">
        <v>47</v>
      </c>
      <c r="EY967" s="35" t="s">
        <v>2323</v>
      </c>
      <c r="EZ967" s="36" t="s">
        <v>2324</v>
      </c>
      <c r="FA967" s="36" t="s">
        <v>1192</v>
      </c>
      <c r="FB967" s="36" t="s">
        <v>344</v>
      </c>
      <c r="FC967" s="36" t="s">
        <v>1192</v>
      </c>
      <c r="FD967" s="36" t="s">
        <v>344</v>
      </c>
      <c r="FE967" s="36">
        <v>2026</v>
      </c>
      <c r="FF967" s="36" t="s">
        <v>59</v>
      </c>
      <c r="FG967" s="36" t="s">
        <v>1584</v>
      </c>
      <c r="FJ967" t="s">
        <v>59</v>
      </c>
      <c r="FM967" s="32" t="s">
        <v>1911</v>
      </c>
      <c r="FN967" t="s">
        <v>1911</v>
      </c>
      <c r="FO967" t="s">
        <v>1912</v>
      </c>
      <c r="FP967" t="str">
        <f t="shared" si="200"/>
        <v>C</v>
      </c>
    </row>
    <row r="968" spans="153:172" x14ac:dyDescent="0.35">
      <c r="EW968" t="s">
        <v>46</v>
      </c>
      <c r="EX968" s="33" t="s">
        <v>47</v>
      </c>
      <c r="EY968" s="35" t="s">
        <v>2325</v>
      </c>
      <c r="EZ968" s="36" t="s">
        <v>2326</v>
      </c>
      <c r="FA968" s="36" t="s">
        <v>1192</v>
      </c>
      <c r="FB968" s="36" t="s">
        <v>344</v>
      </c>
      <c r="FC968" s="36" t="s">
        <v>1192</v>
      </c>
      <c r="FD968" s="36" t="s">
        <v>344</v>
      </c>
      <c r="FE968" s="36">
        <v>2026</v>
      </c>
      <c r="FF968" s="36" t="s">
        <v>59</v>
      </c>
      <c r="FG968" s="36" t="s">
        <v>1584</v>
      </c>
      <c r="FJ968" t="s">
        <v>59</v>
      </c>
      <c r="FM968" s="32" t="s">
        <v>2094</v>
      </c>
      <c r="FN968" t="s">
        <v>2094</v>
      </c>
      <c r="FO968" t="s">
        <v>1874</v>
      </c>
      <c r="FP968" t="str">
        <f t="shared" si="200"/>
        <v>C</v>
      </c>
    </row>
    <row r="969" spans="153:172" x14ac:dyDescent="0.35">
      <c r="EW969" t="s">
        <v>46</v>
      </c>
      <c r="EX969" s="33" t="s">
        <v>47</v>
      </c>
      <c r="EY969" s="35" t="s">
        <v>2327</v>
      </c>
      <c r="EZ969" s="36" t="s">
        <v>2328</v>
      </c>
      <c r="FA969" s="36" t="s">
        <v>1192</v>
      </c>
      <c r="FB969" s="36" t="s">
        <v>344</v>
      </c>
      <c r="FC969" s="36" t="s">
        <v>1192</v>
      </c>
      <c r="FD969" s="36" t="s">
        <v>344</v>
      </c>
      <c r="FE969" s="36">
        <v>2026</v>
      </c>
      <c r="FF969" s="36" t="s">
        <v>59</v>
      </c>
      <c r="FG969" s="36" t="s">
        <v>1584</v>
      </c>
      <c r="FJ969" t="s">
        <v>59</v>
      </c>
      <c r="FM969" s="32" t="s">
        <v>1931</v>
      </c>
      <c r="FN969" t="s">
        <v>1931</v>
      </c>
      <c r="FO969" t="s">
        <v>1867</v>
      </c>
      <c r="FP969" t="str">
        <f t="shared" si="200"/>
        <v>C</v>
      </c>
    </row>
    <row r="970" spans="153:172" x14ac:dyDescent="0.35">
      <c r="EW970" t="s">
        <v>46</v>
      </c>
      <c r="EX970" s="33" t="s">
        <v>47</v>
      </c>
      <c r="EY970" s="35" t="s">
        <v>2329</v>
      </c>
      <c r="EZ970" s="36" t="s">
        <v>2330</v>
      </c>
      <c r="FA970" s="36" t="s">
        <v>1192</v>
      </c>
      <c r="FB970" s="36" t="s">
        <v>344</v>
      </c>
      <c r="FC970" s="36" t="s">
        <v>1192</v>
      </c>
      <c r="FD970" s="36" t="s">
        <v>344</v>
      </c>
      <c r="FE970" s="36">
        <v>2026</v>
      </c>
      <c r="FF970" s="36" t="s">
        <v>59</v>
      </c>
      <c r="FG970" s="36" t="s">
        <v>1584</v>
      </c>
      <c r="FJ970" t="s">
        <v>59</v>
      </c>
      <c r="FM970" s="32" t="s">
        <v>1906</v>
      </c>
      <c r="FN970" t="s">
        <v>1906</v>
      </c>
      <c r="FO970" t="s">
        <v>1907</v>
      </c>
      <c r="FP970" t="str">
        <f t="shared" si="200"/>
        <v>C</v>
      </c>
    </row>
    <row r="971" spans="153:172" x14ac:dyDescent="0.35">
      <c r="EW971" t="s">
        <v>46</v>
      </c>
      <c r="EX971" s="33" t="s">
        <v>47</v>
      </c>
      <c r="EY971" s="35" t="s">
        <v>2331</v>
      </c>
      <c r="EZ971" s="36" t="s">
        <v>2332</v>
      </c>
      <c r="FA971" s="36" t="s">
        <v>1192</v>
      </c>
      <c r="FB971" s="36" t="s">
        <v>344</v>
      </c>
      <c r="FC971" s="36" t="s">
        <v>1192</v>
      </c>
      <c r="FD971" s="36" t="s">
        <v>344</v>
      </c>
      <c r="FE971" s="36">
        <v>2026</v>
      </c>
      <c r="FF971" s="36" t="s">
        <v>59</v>
      </c>
      <c r="FG971" s="36" t="s">
        <v>1584</v>
      </c>
      <c r="FJ971" t="s">
        <v>59</v>
      </c>
      <c r="FM971" s="32" t="s">
        <v>1547</v>
      </c>
      <c r="FN971" t="s">
        <v>1547</v>
      </c>
      <c r="FO971" t="s">
        <v>1548</v>
      </c>
      <c r="FP971" t="str">
        <f t="shared" si="200"/>
        <v>C</v>
      </c>
    </row>
    <row r="972" spans="153:172" x14ac:dyDescent="0.35">
      <c r="EW972" t="s">
        <v>46</v>
      </c>
      <c r="EX972" s="33" t="s">
        <v>47</v>
      </c>
      <c r="EY972" s="35" t="s">
        <v>2333</v>
      </c>
      <c r="EZ972" s="36" t="s">
        <v>2334</v>
      </c>
      <c r="FA972" s="36" t="s">
        <v>1192</v>
      </c>
      <c r="FB972" s="36" t="s">
        <v>344</v>
      </c>
      <c r="FC972" s="36" t="s">
        <v>1192</v>
      </c>
      <c r="FD972" s="36" t="s">
        <v>344</v>
      </c>
      <c r="FE972" s="36">
        <v>2026</v>
      </c>
      <c r="FF972" s="36" t="s">
        <v>59</v>
      </c>
      <c r="FG972" s="36" t="s">
        <v>1584</v>
      </c>
      <c r="FJ972" t="s">
        <v>59</v>
      </c>
      <c r="FM972" s="32" t="s">
        <v>2335</v>
      </c>
      <c r="FN972" t="s">
        <v>2335</v>
      </c>
      <c r="FO972" t="s">
        <v>2336</v>
      </c>
      <c r="FP972" t="str">
        <f t="shared" si="200"/>
        <v>C</v>
      </c>
    </row>
    <row r="973" spans="153:172" x14ac:dyDescent="0.35">
      <c r="EW973" t="s">
        <v>2337</v>
      </c>
      <c r="EX973" s="31" t="s">
        <v>2338</v>
      </c>
      <c r="EY973" s="31" t="s">
        <v>31</v>
      </c>
      <c r="EZ973" s="31" t="s">
        <v>32</v>
      </c>
      <c r="FA973" s="31" t="s">
        <v>33</v>
      </c>
      <c r="FB973" s="31" t="s">
        <v>34</v>
      </c>
      <c r="FC973" s="31" t="s">
        <v>35</v>
      </c>
      <c r="FD973" s="31" t="s">
        <v>36</v>
      </c>
      <c r="FE973" s="31" t="s">
        <v>37</v>
      </c>
      <c r="FF973" s="31" t="s">
        <v>38</v>
      </c>
      <c r="FG973" s="31" t="s">
        <v>39</v>
      </c>
      <c r="FH973" s="31" t="s">
        <v>40</v>
      </c>
      <c r="FI973" s="31" t="s">
        <v>41</v>
      </c>
      <c r="FM973" s="32" t="s">
        <v>1647</v>
      </c>
      <c r="FN973" t="s">
        <v>1647</v>
      </c>
      <c r="FO973" t="s">
        <v>1608</v>
      </c>
      <c r="FP973" t="str">
        <f t="shared" si="200"/>
        <v>C</v>
      </c>
    </row>
    <row r="974" spans="153:172" x14ac:dyDescent="0.35">
      <c r="EW974" t="s">
        <v>2339</v>
      </c>
      <c r="EX974" s="33" t="s">
        <v>2340</v>
      </c>
      <c r="EY974" s="33" t="s">
        <v>48</v>
      </c>
      <c r="EZ974" s="33" t="s">
        <v>48</v>
      </c>
      <c r="FA974" s="33" t="s">
        <v>48</v>
      </c>
      <c r="FB974" s="33" t="s">
        <v>48</v>
      </c>
      <c r="FC974" s="33" t="s">
        <v>48</v>
      </c>
      <c r="FD974" s="33" t="s">
        <v>48</v>
      </c>
      <c r="FE974" s="33" t="s">
        <v>48</v>
      </c>
      <c r="FF974" s="33" t="s">
        <v>48</v>
      </c>
      <c r="FG974" s="33" t="s">
        <v>48</v>
      </c>
      <c r="FH974" s="33" t="s">
        <v>48</v>
      </c>
      <c r="FI974" s="33" t="s">
        <v>48</v>
      </c>
      <c r="FM974" s="32" t="s">
        <v>2082</v>
      </c>
      <c r="FN974" t="s">
        <v>2082</v>
      </c>
      <c r="FO974" t="s">
        <v>2083</v>
      </c>
      <c r="FP974" t="str">
        <f t="shared" si="200"/>
        <v>C</v>
      </c>
    </row>
    <row r="975" spans="153:172" x14ac:dyDescent="0.35">
      <c r="EW975" t="s">
        <v>2339</v>
      </c>
      <c r="EX975" s="33" t="s">
        <v>2341</v>
      </c>
      <c r="EY975" s="33" t="s">
        <v>49</v>
      </c>
      <c r="EZ975" s="33" t="s">
        <v>50</v>
      </c>
      <c r="FA975" s="33" t="s">
        <v>51</v>
      </c>
      <c r="FB975" s="33" t="s">
        <v>52</v>
      </c>
      <c r="FC975" s="33" t="s">
        <v>53</v>
      </c>
      <c r="FD975" s="33" t="s">
        <v>54</v>
      </c>
      <c r="FE975" s="33">
        <v>2019</v>
      </c>
      <c r="FF975" s="33" t="s">
        <v>55</v>
      </c>
      <c r="FG975" s="33" t="s">
        <v>56</v>
      </c>
      <c r="FH975" s="33" t="s">
        <v>57</v>
      </c>
      <c r="FI975" s="33" t="s">
        <v>58</v>
      </c>
      <c r="FJ975" t="s">
        <v>59</v>
      </c>
      <c r="FM975" s="32" t="s">
        <v>2259</v>
      </c>
      <c r="FN975" t="s">
        <v>2259</v>
      </c>
      <c r="FO975" t="s">
        <v>2260</v>
      </c>
      <c r="FP975" t="str">
        <f t="shared" si="200"/>
        <v>C</v>
      </c>
    </row>
    <row r="976" spans="153:172" x14ac:dyDescent="0.35">
      <c r="EW976" t="s">
        <v>2339</v>
      </c>
      <c r="EX976" s="33" t="s">
        <v>2342</v>
      </c>
      <c r="EY976" s="33" t="s">
        <v>60</v>
      </c>
      <c r="EZ976" s="33" t="s">
        <v>61</v>
      </c>
      <c r="FA976" s="33" t="s">
        <v>51</v>
      </c>
      <c r="FB976" s="33" t="s">
        <v>52</v>
      </c>
      <c r="FC976" s="33" t="s">
        <v>53</v>
      </c>
      <c r="FD976" s="33" t="s">
        <v>54</v>
      </c>
      <c r="FE976" s="33">
        <v>2019</v>
      </c>
      <c r="FF976" s="33" t="s">
        <v>55</v>
      </c>
      <c r="FG976" s="33" t="s">
        <v>56</v>
      </c>
      <c r="FH976" s="33" t="s">
        <v>57</v>
      </c>
      <c r="FI976" s="33" t="s">
        <v>58</v>
      </c>
      <c r="FJ976" t="s">
        <v>59</v>
      </c>
      <c r="FM976" s="32" t="s">
        <v>1900</v>
      </c>
      <c r="FN976" t="s">
        <v>1900</v>
      </c>
      <c r="FO976" t="s">
        <v>1901</v>
      </c>
      <c r="FP976" t="str">
        <f t="shared" si="200"/>
        <v>C</v>
      </c>
    </row>
    <row r="977" spans="153:172" x14ac:dyDescent="0.35">
      <c r="EW977" t="s">
        <v>2339</v>
      </c>
      <c r="EX977" s="33" t="s">
        <v>2343</v>
      </c>
      <c r="EY977" s="33" t="s">
        <v>62</v>
      </c>
      <c r="EZ977" s="33" t="s">
        <v>63</v>
      </c>
      <c r="FA977" s="33" t="s">
        <v>51</v>
      </c>
      <c r="FB977" s="33" t="s">
        <v>52</v>
      </c>
      <c r="FC977" s="33" t="s">
        <v>53</v>
      </c>
      <c r="FD977" s="33" t="s">
        <v>54</v>
      </c>
      <c r="FE977" s="33">
        <v>2019</v>
      </c>
      <c r="FF977" s="33" t="s">
        <v>55</v>
      </c>
      <c r="FG977" s="33" t="s">
        <v>56</v>
      </c>
      <c r="FH977" s="33" t="s">
        <v>57</v>
      </c>
      <c r="FI977" s="33" t="s">
        <v>58</v>
      </c>
      <c r="FJ977" t="s">
        <v>59</v>
      </c>
      <c r="FM977" s="32" t="s">
        <v>1256</v>
      </c>
      <c r="FN977" t="s">
        <v>1256</v>
      </c>
      <c r="FO977" t="s">
        <v>1257</v>
      </c>
      <c r="FP977" t="str">
        <f t="shared" si="200"/>
        <v>C</v>
      </c>
    </row>
    <row r="978" spans="153:172" x14ac:dyDescent="0.35">
      <c r="EW978" t="s">
        <v>2339</v>
      </c>
      <c r="EX978" s="33" t="s">
        <v>2344</v>
      </c>
      <c r="EY978" s="33" t="s">
        <v>64</v>
      </c>
      <c r="EZ978" s="33" t="s">
        <v>65</v>
      </c>
      <c r="FA978" s="33" t="s">
        <v>51</v>
      </c>
      <c r="FB978" s="33" t="s">
        <v>52</v>
      </c>
      <c r="FC978" s="33" t="s">
        <v>53</v>
      </c>
      <c r="FD978" s="33" t="s">
        <v>54</v>
      </c>
      <c r="FE978" s="33">
        <v>2019</v>
      </c>
      <c r="FF978" s="33" t="s">
        <v>55</v>
      </c>
      <c r="FG978" s="33" t="s">
        <v>56</v>
      </c>
      <c r="FH978" s="33" t="s">
        <v>57</v>
      </c>
      <c r="FI978" s="33" t="s">
        <v>58</v>
      </c>
      <c r="FJ978" t="s">
        <v>59</v>
      </c>
      <c r="FM978" s="32" t="s">
        <v>1753</v>
      </c>
      <c r="FN978" t="s">
        <v>1753</v>
      </c>
      <c r="FO978" t="s">
        <v>1754</v>
      </c>
      <c r="FP978" t="str">
        <f t="shared" si="200"/>
        <v>C</v>
      </c>
    </row>
    <row r="979" spans="153:172" x14ac:dyDescent="0.35">
      <c r="EW979" t="s">
        <v>2339</v>
      </c>
      <c r="EX979" s="33" t="s">
        <v>2345</v>
      </c>
      <c r="EY979" s="33" t="s">
        <v>69</v>
      </c>
      <c r="EZ979" s="33" t="s">
        <v>70</v>
      </c>
      <c r="FA979" s="33" t="s">
        <v>51</v>
      </c>
      <c r="FB979" s="33" t="s">
        <v>52</v>
      </c>
      <c r="FC979" s="33" t="s">
        <v>53</v>
      </c>
      <c r="FD979" s="33" t="s">
        <v>54</v>
      </c>
      <c r="FE979" s="33">
        <v>2019</v>
      </c>
      <c r="FF979" s="33" t="s">
        <v>55</v>
      </c>
      <c r="FG979" s="33" t="s">
        <v>71</v>
      </c>
      <c r="FH979" s="33" t="s">
        <v>72</v>
      </c>
      <c r="FI979" s="33" t="s">
        <v>73</v>
      </c>
      <c r="FJ979" t="s">
        <v>59</v>
      </c>
      <c r="FM979" s="32" t="s">
        <v>1750</v>
      </c>
      <c r="FN979" t="s">
        <v>1750</v>
      </c>
      <c r="FO979" t="s">
        <v>1751</v>
      </c>
      <c r="FP979" t="str">
        <f t="shared" si="200"/>
        <v>C</v>
      </c>
    </row>
    <row r="980" spans="153:172" x14ac:dyDescent="0.35">
      <c r="EW980" t="s">
        <v>2339</v>
      </c>
      <c r="EX980" s="33" t="s">
        <v>2346</v>
      </c>
      <c r="EY980" s="33" t="s">
        <v>74</v>
      </c>
      <c r="EZ980" s="33" t="s">
        <v>75</v>
      </c>
      <c r="FA980" s="33" t="s">
        <v>51</v>
      </c>
      <c r="FB980" s="33" t="s">
        <v>52</v>
      </c>
      <c r="FC980" s="33" t="s">
        <v>53</v>
      </c>
      <c r="FD980" s="33" t="s">
        <v>54</v>
      </c>
      <c r="FE980" s="33">
        <v>2019</v>
      </c>
      <c r="FF980" s="33" t="s">
        <v>55</v>
      </c>
      <c r="FG980" s="33" t="s">
        <v>71</v>
      </c>
      <c r="FH980" s="33" t="s">
        <v>72</v>
      </c>
      <c r="FI980" s="33" t="s">
        <v>73</v>
      </c>
      <c r="FJ980" t="s">
        <v>59</v>
      </c>
      <c r="FM980" s="32" t="s">
        <v>1933</v>
      </c>
      <c r="FN980" t="s">
        <v>1933</v>
      </c>
      <c r="FO980" t="s">
        <v>1934</v>
      </c>
      <c r="FP980" t="str">
        <f t="shared" si="200"/>
        <v>C</v>
      </c>
    </row>
    <row r="981" spans="153:172" x14ac:dyDescent="0.35">
      <c r="EW981" t="s">
        <v>2339</v>
      </c>
      <c r="EX981" s="33" t="s">
        <v>2347</v>
      </c>
      <c r="EY981" s="33" t="s">
        <v>76</v>
      </c>
      <c r="EZ981" s="33" t="s">
        <v>77</v>
      </c>
      <c r="FA981" s="33" t="s">
        <v>51</v>
      </c>
      <c r="FB981" s="33" t="s">
        <v>52</v>
      </c>
      <c r="FC981" s="33" t="s">
        <v>53</v>
      </c>
      <c r="FD981" s="33" t="s">
        <v>54</v>
      </c>
      <c r="FE981" s="33">
        <v>2019</v>
      </c>
      <c r="FF981" s="33" t="s">
        <v>55</v>
      </c>
      <c r="FG981" s="33" t="s">
        <v>71</v>
      </c>
      <c r="FH981" s="33" t="s">
        <v>72</v>
      </c>
      <c r="FI981" s="33" t="s">
        <v>73</v>
      </c>
      <c r="FJ981" t="s">
        <v>59</v>
      </c>
      <c r="FM981" s="32" t="s">
        <v>1877</v>
      </c>
      <c r="FN981" t="s">
        <v>1877</v>
      </c>
      <c r="FO981" t="s">
        <v>1878</v>
      </c>
      <c r="FP981" t="str">
        <f t="shared" si="200"/>
        <v>C</v>
      </c>
    </row>
    <row r="982" spans="153:172" x14ac:dyDescent="0.35">
      <c r="EW982" t="s">
        <v>2339</v>
      </c>
      <c r="EX982" s="33" t="s">
        <v>2348</v>
      </c>
      <c r="EY982" s="33" t="s">
        <v>78</v>
      </c>
      <c r="EZ982" s="33" t="s">
        <v>79</v>
      </c>
      <c r="FA982" s="33" t="s">
        <v>51</v>
      </c>
      <c r="FB982" s="33" t="s">
        <v>52</v>
      </c>
      <c r="FC982" s="33" t="s">
        <v>53</v>
      </c>
      <c r="FD982" s="33" t="s">
        <v>54</v>
      </c>
      <c r="FE982" s="33">
        <v>2019</v>
      </c>
      <c r="FF982" s="33" t="s">
        <v>55</v>
      </c>
      <c r="FG982" s="33" t="s">
        <v>56</v>
      </c>
      <c r="FH982" s="33" t="s">
        <v>57</v>
      </c>
      <c r="FI982" s="33" t="s">
        <v>58</v>
      </c>
      <c r="FJ982" t="s">
        <v>59</v>
      </c>
      <c r="FM982" s="32" t="s">
        <v>1882</v>
      </c>
      <c r="FN982" t="s">
        <v>1882</v>
      </c>
      <c r="FO982" t="s">
        <v>1883</v>
      </c>
      <c r="FP982" t="str">
        <f t="shared" si="200"/>
        <v>C</v>
      </c>
    </row>
    <row r="983" spans="153:172" x14ac:dyDescent="0.35">
      <c r="EW983" t="s">
        <v>2339</v>
      </c>
      <c r="EX983" s="33" t="s">
        <v>2349</v>
      </c>
      <c r="EY983" s="33" t="s">
        <v>80</v>
      </c>
      <c r="EZ983" s="33" t="s">
        <v>81</v>
      </c>
      <c r="FA983" s="33" t="s">
        <v>51</v>
      </c>
      <c r="FB983" s="33" t="s">
        <v>52</v>
      </c>
      <c r="FC983" s="33" t="s">
        <v>53</v>
      </c>
      <c r="FD983" s="33" t="s">
        <v>54</v>
      </c>
      <c r="FE983" s="33">
        <v>2019</v>
      </c>
      <c r="FF983" s="33" t="s">
        <v>55</v>
      </c>
      <c r="FG983" s="33" t="s">
        <v>56</v>
      </c>
      <c r="FH983" s="33" t="s">
        <v>57</v>
      </c>
      <c r="FI983" s="33" t="s">
        <v>58</v>
      </c>
      <c r="FJ983" t="s">
        <v>59</v>
      </c>
      <c r="FM983" s="32" t="s">
        <v>1248</v>
      </c>
      <c r="FN983" t="s">
        <v>1248</v>
      </c>
      <c r="FO983" t="s">
        <v>1249</v>
      </c>
      <c r="FP983" t="str">
        <f t="shared" si="200"/>
        <v>C</v>
      </c>
    </row>
    <row r="984" spans="153:172" x14ac:dyDescent="0.35">
      <c r="EW984" t="s">
        <v>2339</v>
      </c>
      <c r="EX984" s="33" t="s">
        <v>2350</v>
      </c>
      <c r="EY984" s="33" t="s">
        <v>82</v>
      </c>
      <c r="EZ984" s="33" t="s">
        <v>83</v>
      </c>
      <c r="FA984" s="33" t="s">
        <v>51</v>
      </c>
      <c r="FB984" s="33" t="s">
        <v>52</v>
      </c>
      <c r="FC984" s="33" t="s">
        <v>53</v>
      </c>
      <c r="FD984" s="33" t="s">
        <v>54</v>
      </c>
      <c r="FE984" s="33">
        <v>2019</v>
      </c>
      <c r="FF984" s="33" t="s">
        <v>55</v>
      </c>
      <c r="FG984" s="33" t="s">
        <v>56</v>
      </c>
      <c r="FH984" s="33" t="s">
        <v>57</v>
      </c>
      <c r="FI984" s="33" t="s">
        <v>58</v>
      </c>
      <c r="FJ984" t="s">
        <v>59</v>
      </c>
      <c r="FM984" s="32" t="s">
        <v>2351</v>
      </c>
      <c r="FN984" t="s">
        <v>2351</v>
      </c>
      <c r="FO984" t="s">
        <v>2352</v>
      </c>
      <c r="FP984" t="str">
        <f t="shared" si="200"/>
        <v>C</v>
      </c>
    </row>
    <row r="985" spans="153:172" x14ac:dyDescent="0.35">
      <c r="EW985" t="s">
        <v>2339</v>
      </c>
      <c r="EX985" s="33" t="s">
        <v>2353</v>
      </c>
      <c r="EY985" s="33" t="s">
        <v>84</v>
      </c>
      <c r="EZ985" s="33" t="s">
        <v>85</v>
      </c>
      <c r="FA985" s="33" t="s">
        <v>51</v>
      </c>
      <c r="FB985" s="33" t="s">
        <v>52</v>
      </c>
      <c r="FC985" s="33" t="s">
        <v>53</v>
      </c>
      <c r="FD985" s="33" t="s">
        <v>54</v>
      </c>
      <c r="FE985" s="33">
        <v>2019</v>
      </c>
      <c r="FF985" s="33" t="s">
        <v>55</v>
      </c>
      <c r="FG985" s="33" t="s">
        <v>56</v>
      </c>
      <c r="FH985" s="33" t="s">
        <v>57</v>
      </c>
      <c r="FI985" s="33" t="s">
        <v>58</v>
      </c>
      <c r="FJ985" t="s">
        <v>59</v>
      </c>
      <c r="FM985" s="32" t="s">
        <v>1289</v>
      </c>
      <c r="FN985" t="s">
        <v>1289</v>
      </c>
      <c r="FO985" t="s">
        <v>1273</v>
      </c>
      <c r="FP985" t="str">
        <f t="shared" si="200"/>
        <v>C</v>
      </c>
    </row>
    <row r="986" spans="153:172" x14ac:dyDescent="0.35">
      <c r="EW986" t="s">
        <v>2339</v>
      </c>
      <c r="EX986" s="33" t="s">
        <v>2354</v>
      </c>
      <c r="EY986" s="33" t="s">
        <v>86</v>
      </c>
      <c r="EZ986" s="33" t="s">
        <v>87</v>
      </c>
      <c r="FA986" s="33" t="s">
        <v>51</v>
      </c>
      <c r="FB986" s="33" t="s">
        <v>52</v>
      </c>
      <c r="FC986" s="33" t="s">
        <v>53</v>
      </c>
      <c r="FD986" s="33" t="s">
        <v>54</v>
      </c>
      <c r="FE986" s="33">
        <v>2019</v>
      </c>
      <c r="FF986" s="33" t="s">
        <v>55</v>
      </c>
      <c r="FG986" s="33" t="s">
        <v>56</v>
      </c>
      <c r="FH986" s="33" t="s">
        <v>57</v>
      </c>
      <c r="FI986" s="33" t="s">
        <v>58</v>
      </c>
      <c r="FJ986" t="s">
        <v>59</v>
      </c>
      <c r="FM986" s="32" t="s">
        <v>1762</v>
      </c>
      <c r="FN986" t="s">
        <v>1762</v>
      </c>
      <c r="FO986" t="s">
        <v>1763</v>
      </c>
      <c r="FP986" t="str">
        <f t="shared" si="200"/>
        <v>C</v>
      </c>
    </row>
    <row r="987" spans="153:172" x14ac:dyDescent="0.35">
      <c r="EW987" t="s">
        <v>2339</v>
      </c>
      <c r="EX987" s="33" t="s">
        <v>2355</v>
      </c>
      <c r="EY987" s="33" t="s">
        <v>91</v>
      </c>
      <c r="EZ987" s="33" t="s">
        <v>92</v>
      </c>
      <c r="FA987" s="33" t="s">
        <v>51</v>
      </c>
      <c r="FB987" s="33" t="s">
        <v>52</v>
      </c>
      <c r="FC987" s="33" t="s">
        <v>53</v>
      </c>
      <c r="FD987" s="33" t="s">
        <v>54</v>
      </c>
      <c r="FE987" s="33">
        <v>2019</v>
      </c>
      <c r="FF987" s="33" t="s">
        <v>55</v>
      </c>
      <c r="FG987" s="33" t="s">
        <v>71</v>
      </c>
      <c r="FH987" s="33" t="s">
        <v>72</v>
      </c>
      <c r="FI987" s="33" t="s">
        <v>73</v>
      </c>
      <c r="FJ987" t="s">
        <v>59</v>
      </c>
      <c r="FM987" s="32" t="s">
        <v>1942</v>
      </c>
      <c r="FN987" t="s">
        <v>1942</v>
      </c>
      <c r="FO987" t="s">
        <v>1943</v>
      </c>
      <c r="FP987" t="str">
        <f t="shared" si="200"/>
        <v>C</v>
      </c>
    </row>
    <row r="988" spans="153:172" x14ac:dyDescent="0.35">
      <c r="EW988" t="s">
        <v>2339</v>
      </c>
      <c r="EX988" s="33" t="s">
        <v>2356</v>
      </c>
      <c r="EY988" s="33" t="s">
        <v>93</v>
      </c>
      <c r="EZ988" s="33" t="s">
        <v>94</v>
      </c>
      <c r="FA988" s="33" t="s">
        <v>51</v>
      </c>
      <c r="FB988" s="33" t="s">
        <v>52</v>
      </c>
      <c r="FC988" s="33" t="s">
        <v>53</v>
      </c>
      <c r="FD988" s="33" t="s">
        <v>54</v>
      </c>
      <c r="FE988" s="33">
        <v>2019</v>
      </c>
      <c r="FF988" s="33" t="s">
        <v>55</v>
      </c>
      <c r="FG988" s="33" t="s">
        <v>56</v>
      </c>
      <c r="FH988" s="33" t="s">
        <v>57</v>
      </c>
      <c r="FI988" s="33" t="s">
        <v>58</v>
      </c>
      <c r="FJ988" t="s">
        <v>59</v>
      </c>
      <c r="FM988" s="32" t="s">
        <v>1581</v>
      </c>
      <c r="FN988" t="s">
        <v>1581</v>
      </c>
      <c r="FO988" t="s">
        <v>1554</v>
      </c>
      <c r="FP988" t="str">
        <f t="shared" si="200"/>
        <v>C</v>
      </c>
    </row>
    <row r="989" spans="153:172" x14ac:dyDescent="0.35">
      <c r="EW989" t="s">
        <v>2339</v>
      </c>
      <c r="EX989" s="33" t="s">
        <v>2357</v>
      </c>
      <c r="EY989" s="33" t="s">
        <v>95</v>
      </c>
      <c r="EZ989" s="33" t="s">
        <v>96</v>
      </c>
      <c r="FA989" s="33" t="s">
        <v>51</v>
      </c>
      <c r="FB989" s="33" t="s">
        <v>52</v>
      </c>
      <c r="FC989" s="33" t="s">
        <v>53</v>
      </c>
      <c r="FD989" s="33" t="s">
        <v>54</v>
      </c>
      <c r="FE989" s="33">
        <v>2019</v>
      </c>
      <c r="FF989" s="33" t="s">
        <v>55</v>
      </c>
      <c r="FG989" s="33" t="s">
        <v>56</v>
      </c>
      <c r="FH989" s="33" t="s">
        <v>57</v>
      </c>
      <c r="FI989" s="33" t="s">
        <v>58</v>
      </c>
      <c r="FJ989" t="s">
        <v>59</v>
      </c>
      <c r="FM989" s="32" t="s">
        <v>1771</v>
      </c>
      <c r="FN989" t="s">
        <v>1771</v>
      </c>
      <c r="FO989" t="s">
        <v>1772</v>
      </c>
      <c r="FP989" t="str">
        <f t="shared" si="200"/>
        <v>C</v>
      </c>
    </row>
    <row r="990" spans="153:172" x14ac:dyDescent="0.35">
      <c r="EW990" t="s">
        <v>2339</v>
      </c>
      <c r="EX990" s="33" t="s">
        <v>2358</v>
      </c>
      <c r="EY990" s="33" t="s">
        <v>97</v>
      </c>
      <c r="EZ990" s="33" t="s">
        <v>98</v>
      </c>
      <c r="FA990" s="33" t="s">
        <v>51</v>
      </c>
      <c r="FB990" s="33" t="s">
        <v>52</v>
      </c>
      <c r="FC990" s="33" t="s">
        <v>53</v>
      </c>
      <c r="FD990" s="33" t="s">
        <v>54</v>
      </c>
      <c r="FE990" s="33">
        <v>2019</v>
      </c>
      <c r="FF990" s="33" t="s">
        <v>55</v>
      </c>
      <c r="FG990" s="33" t="s">
        <v>56</v>
      </c>
      <c r="FH990" s="33" t="s">
        <v>57</v>
      </c>
      <c r="FI990" s="33" t="s">
        <v>58</v>
      </c>
      <c r="FJ990" t="s">
        <v>59</v>
      </c>
      <c r="FM990" s="32" t="s">
        <v>1774</v>
      </c>
      <c r="FN990" t="s">
        <v>1774</v>
      </c>
      <c r="FO990" t="s">
        <v>1775</v>
      </c>
      <c r="FP990" t="str">
        <f t="shared" si="200"/>
        <v>C</v>
      </c>
    </row>
    <row r="991" spans="153:172" x14ac:dyDescent="0.35">
      <c r="EW991" t="s">
        <v>2339</v>
      </c>
      <c r="EX991" s="33" t="s">
        <v>2359</v>
      </c>
      <c r="EY991" s="33" t="s">
        <v>99</v>
      </c>
      <c r="EZ991" s="33" t="s">
        <v>100</v>
      </c>
      <c r="FA991" s="33" t="s">
        <v>51</v>
      </c>
      <c r="FB991" s="33" t="s">
        <v>52</v>
      </c>
      <c r="FC991" s="33" t="s">
        <v>53</v>
      </c>
      <c r="FD991" s="33" t="s">
        <v>54</v>
      </c>
      <c r="FE991" s="33">
        <v>2019</v>
      </c>
      <c r="FF991" s="33" t="s">
        <v>55</v>
      </c>
      <c r="FG991" s="33" t="s">
        <v>56</v>
      </c>
      <c r="FH991" s="33" t="s">
        <v>57</v>
      </c>
      <c r="FI991" s="33" t="s">
        <v>58</v>
      </c>
      <c r="FJ991" t="s">
        <v>59</v>
      </c>
      <c r="FM991" s="32" t="s">
        <v>1252</v>
      </c>
      <c r="FN991" t="s">
        <v>1252</v>
      </c>
      <c r="FO991" t="s">
        <v>1253</v>
      </c>
      <c r="FP991" t="str">
        <f t="shared" si="200"/>
        <v>C</v>
      </c>
    </row>
    <row r="992" spans="153:172" x14ac:dyDescent="0.35">
      <c r="EW992" t="s">
        <v>2339</v>
      </c>
      <c r="EX992" s="33" t="s">
        <v>2360</v>
      </c>
      <c r="EY992" s="33" t="s">
        <v>101</v>
      </c>
      <c r="EZ992" s="33" t="s">
        <v>102</v>
      </c>
      <c r="FA992" s="33" t="s">
        <v>51</v>
      </c>
      <c r="FB992" s="33" t="s">
        <v>52</v>
      </c>
      <c r="FC992" s="33" t="s">
        <v>53</v>
      </c>
      <c r="FD992" s="33" t="s">
        <v>54</v>
      </c>
      <c r="FE992" s="33">
        <v>2019</v>
      </c>
      <c r="FF992" s="33" t="s">
        <v>55</v>
      </c>
      <c r="FG992" s="33" t="s">
        <v>56</v>
      </c>
      <c r="FH992" s="33" t="s">
        <v>57</v>
      </c>
      <c r="FI992" s="33" t="s">
        <v>58</v>
      </c>
      <c r="FJ992" t="s">
        <v>59</v>
      </c>
      <c r="FM992" s="32" t="s">
        <v>1525</v>
      </c>
      <c r="FN992" t="s">
        <v>1525</v>
      </c>
      <c r="FO992" t="s">
        <v>1526</v>
      </c>
      <c r="FP992" t="str">
        <f t="shared" si="200"/>
        <v>C</v>
      </c>
    </row>
    <row r="993" spans="153:172" x14ac:dyDescent="0.35">
      <c r="EW993" t="s">
        <v>2339</v>
      </c>
      <c r="EX993" s="33" t="s">
        <v>2361</v>
      </c>
      <c r="EY993" s="33" t="s">
        <v>103</v>
      </c>
      <c r="EZ993" s="33" t="s">
        <v>104</v>
      </c>
      <c r="FA993" s="33" t="s">
        <v>51</v>
      </c>
      <c r="FB993" s="33" t="s">
        <v>52</v>
      </c>
      <c r="FC993" s="33" t="s">
        <v>53</v>
      </c>
      <c r="FD993" s="33" t="s">
        <v>54</v>
      </c>
      <c r="FE993" s="33">
        <v>2019</v>
      </c>
      <c r="FF993" s="33" t="s">
        <v>55</v>
      </c>
      <c r="FG993" s="33" t="s">
        <v>56</v>
      </c>
      <c r="FH993" s="33" t="s">
        <v>57</v>
      </c>
      <c r="FI993" s="33" t="s">
        <v>58</v>
      </c>
      <c r="FJ993" t="s">
        <v>59</v>
      </c>
      <c r="FM993" s="32" t="s">
        <v>1173</v>
      </c>
      <c r="FN993" t="s">
        <v>1174</v>
      </c>
      <c r="FO993" t="s">
        <v>1175</v>
      </c>
      <c r="FP993" t="str">
        <f t="shared" si="200"/>
        <v>C</v>
      </c>
    </row>
    <row r="994" spans="153:172" x14ac:dyDescent="0.35">
      <c r="EW994" t="s">
        <v>2339</v>
      </c>
      <c r="EX994" s="33" t="s">
        <v>2362</v>
      </c>
      <c r="EY994" s="33" t="s">
        <v>105</v>
      </c>
      <c r="EZ994" s="33" t="s">
        <v>106</v>
      </c>
      <c r="FA994" s="33" t="s">
        <v>51</v>
      </c>
      <c r="FB994" s="33" t="s">
        <v>52</v>
      </c>
      <c r="FC994" s="33" t="s">
        <v>53</v>
      </c>
      <c r="FD994" s="33" t="s">
        <v>54</v>
      </c>
      <c r="FE994" s="33">
        <v>2019</v>
      </c>
      <c r="FF994" s="33" t="s">
        <v>55</v>
      </c>
      <c r="FG994" s="33" t="s">
        <v>56</v>
      </c>
      <c r="FH994" s="33" t="s">
        <v>57</v>
      </c>
      <c r="FI994" s="33" t="s">
        <v>58</v>
      </c>
      <c r="FJ994" t="s">
        <v>59</v>
      </c>
      <c r="FM994" s="32" t="s">
        <v>1784</v>
      </c>
      <c r="FN994" t="s">
        <v>1784</v>
      </c>
      <c r="FO994" t="s">
        <v>1785</v>
      </c>
      <c r="FP994" t="str">
        <f t="shared" si="200"/>
        <v>C</v>
      </c>
    </row>
    <row r="995" spans="153:172" x14ac:dyDescent="0.35">
      <c r="EW995" t="s">
        <v>2339</v>
      </c>
      <c r="EX995" s="33" t="s">
        <v>2363</v>
      </c>
      <c r="EY995" s="33" t="s">
        <v>110</v>
      </c>
      <c r="EZ995" s="33" t="s">
        <v>111</v>
      </c>
      <c r="FA995" s="33" t="s">
        <v>51</v>
      </c>
      <c r="FB995" s="33" t="s">
        <v>52</v>
      </c>
      <c r="FC995" s="33" t="s">
        <v>53</v>
      </c>
      <c r="FD995" s="33" t="s">
        <v>54</v>
      </c>
      <c r="FE995" s="33">
        <v>2019</v>
      </c>
      <c r="FF995" s="33" t="s">
        <v>55</v>
      </c>
      <c r="FG995" s="33" t="s">
        <v>56</v>
      </c>
      <c r="FH995" s="33" t="s">
        <v>57</v>
      </c>
      <c r="FI995" s="33" t="s">
        <v>58</v>
      </c>
      <c r="FJ995" t="s">
        <v>59</v>
      </c>
      <c r="FM995" s="32" t="s">
        <v>2364</v>
      </c>
      <c r="FN995" t="s">
        <v>2364</v>
      </c>
      <c r="FO995" t="s">
        <v>2365</v>
      </c>
      <c r="FP995" t="str">
        <f t="shared" si="200"/>
        <v>C</v>
      </c>
    </row>
    <row r="996" spans="153:172" x14ac:dyDescent="0.35">
      <c r="EW996" t="s">
        <v>2339</v>
      </c>
      <c r="EX996" s="33" t="s">
        <v>2366</v>
      </c>
      <c r="EY996" s="33" t="s">
        <v>112</v>
      </c>
      <c r="EZ996" s="33" t="s">
        <v>113</v>
      </c>
      <c r="FA996" s="33" t="s">
        <v>51</v>
      </c>
      <c r="FB996" s="33" t="s">
        <v>52</v>
      </c>
      <c r="FC996" s="33" t="s">
        <v>53</v>
      </c>
      <c r="FD996" s="33" t="s">
        <v>54</v>
      </c>
      <c r="FE996" s="33">
        <v>2019</v>
      </c>
      <c r="FF996" s="33" t="s">
        <v>55</v>
      </c>
      <c r="FG996" s="33" t="s">
        <v>56</v>
      </c>
      <c r="FH996" s="33" t="s">
        <v>57</v>
      </c>
      <c r="FI996" s="33" t="s">
        <v>58</v>
      </c>
      <c r="FJ996" t="s">
        <v>59</v>
      </c>
      <c r="FM996" s="32" t="s">
        <v>1781</v>
      </c>
      <c r="FN996" t="s">
        <v>1781</v>
      </c>
      <c r="FO996" t="s">
        <v>1782</v>
      </c>
      <c r="FP996" t="str">
        <f t="shared" si="200"/>
        <v>C</v>
      </c>
    </row>
    <row r="997" spans="153:172" x14ac:dyDescent="0.35">
      <c r="EW997" t="s">
        <v>2339</v>
      </c>
      <c r="EX997" s="33" t="s">
        <v>2367</v>
      </c>
      <c r="EY997" s="33" t="s">
        <v>114</v>
      </c>
      <c r="EZ997" s="33" t="s">
        <v>115</v>
      </c>
      <c r="FA997" s="33" t="s">
        <v>51</v>
      </c>
      <c r="FB997" s="33" t="s">
        <v>52</v>
      </c>
      <c r="FC997" s="33" t="s">
        <v>53</v>
      </c>
      <c r="FD997" s="33" t="s">
        <v>54</v>
      </c>
      <c r="FE997" s="33">
        <v>2019</v>
      </c>
      <c r="FF997" s="33" t="s">
        <v>55</v>
      </c>
      <c r="FG997" s="33" t="s">
        <v>56</v>
      </c>
      <c r="FH997" s="33" t="s">
        <v>57</v>
      </c>
      <c r="FI997" s="33" t="s">
        <v>58</v>
      </c>
      <c r="FJ997" t="s">
        <v>59</v>
      </c>
      <c r="FM997" s="32" t="s">
        <v>1926</v>
      </c>
      <c r="FN997" t="s">
        <v>1926</v>
      </c>
      <c r="FO997" t="s">
        <v>1927</v>
      </c>
      <c r="FP997" t="str">
        <f t="shared" si="200"/>
        <v>C</v>
      </c>
    </row>
    <row r="998" spans="153:172" x14ac:dyDescent="0.35">
      <c r="EW998" t="s">
        <v>2339</v>
      </c>
      <c r="EX998" s="33" t="s">
        <v>2368</v>
      </c>
      <c r="EY998" s="33" t="s">
        <v>116</v>
      </c>
      <c r="EZ998" s="33" t="s">
        <v>117</v>
      </c>
      <c r="FA998" s="33" t="s">
        <v>51</v>
      </c>
      <c r="FB998" s="33" t="s">
        <v>52</v>
      </c>
      <c r="FC998" s="33" t="s">
        <v>53</v>
      </c>
      <c r="FD998" s="33" t="s">
        <v>54</v>
      </c>
      <c r="FE998" s="33">
        <v>2019</v>
      </c>
      <c r="FF998" s="33" t="s">
        <v>55</v>
      </c>
      <c r="FG998" s="33" t="s">
        <v>56</v>
      </c>
      <c r="FH998" s="33" t="s">
        <v>57</v>
      </c>
      <c r="FI998" s="33" t="s">
        <v>58</v>
      </c>
      <c r="FJ998" t="s">
        <v>59</v>
      </c>
      <c r="FM998" s="32" t="s">
        <v>1897</v>
      </c>
      <c r="FN998" t="s">
        <v>1897</v>
      </c>
      <c r="FO998" t="s">
        <v>1898</v>
      </c>
      <c r="FP998" t="str">
        <f t="shared" si="200"/>
        <v>C</v>
      </c>
    </row>
    <row r="999" spans="153:172" x14ac:dyDescent="0.35">
      <c r="EW999" t="s">
        <v>2339</v>
      </c>
      <c r="EX999" s="33" t="s">
        <v>2369</v>
      </c>
      <c r="EY999" s="33" t="s">
        <v>118</v>
      </c>
      <c r="EZ999" s="33" t="s">
        <v>119</v>
      </c>
      <c r="FA999" s="33" t="s">
        <v>51</v>
      </c>
      <c r="FB999" s="33" t="s">
        <v>52</v>
      </c>
      <c r="FC999" s="33" t="s">
        <v>53</v>
      </c>
      <c r="FD999" s="33" t="s">
        <v>54</v>
      </c>
      <c r="FE999" s="33">
        <v>2019</v>
      </c>
      <c r="FF999" s="33" t="s">
        <v>55</v>
      </c>
      <c r="FG999" s="33" t="s">
        <v>56</v>
      </c>
      <c r="FH999" s="33" t="s">
        <v>57</v>
      </c>
      <c r="FI999" s="33" t="s">
        <v>58</v>
      </c>
      <c r="FJ999" t="s">
        <v>59</v>
      </c>
      <c r="FM999" s="32" t="s">
        <v>1797</v>
      </c>
      <c r="FN999" t="s">
        <v>1797</v>
      </c>
      <c r="FO999" t="s">
        <v>1798</v>
      </c>
      <c r="FP999" t="str">
        <f t="shared" si="200"/>
        <v>C</v>
      </c>
    </row>
    <row r="1000" spans="153:172" x14ac:dyDescent="0.35">
      <c r="EW1000" t="s">
        <v>2339</v>
      </c>
      <c r="EX1000" s="33" t="s">
        <v>2370</v>
      </c>
      <c r="EY1000" s="33" t="s">
        <v>123</v>
      </c>
      <c r="EZ1000" s="33" t="s">
        <v>124</v>
      </c>
      <c r="FA1000" s="33" t="s">
        <v>51</v>
      </c>
      <c r="FB1000" s="33" t="s">
        <v>52</v>
      </c>
      <c r="FC1000" s="33" t="s">
        <v>53</v>
      </c>
      <c r="FD1000" s="33" t="s">
        <v>54</v>
      </c>
      <c r="FE1000" s="33">
        <v>2019</v>
      </c>
      <c r="FF1000" s="33" t="s">
        <v>55</v>
      </c>
      <c r="FG1000" s="33" t="s">
        <v>56</v>
      </c>
      <c r="FH1000" s="33" t="s">
        <v>57</v>
      </c>
      <c r="FI1000" s="33" t="s">
        <v>58</v>
      </c>
      <c r="FJ1000" t="s">
        <v>59</v>
      </c>
      <c r="FM1000" s="32" t="s">
        <v>1306</v>
      </c>
      <c r="FN1000" t="s">
        <v>1306</v>
      </c>
      <c r="FO1000" t="s">
        <v>1307</v>
      </c>
      <c r="FP1000" t="str">
        <f t="shared" si="200"/>
        <v>C</v>
      </c>
    </row>
    <row r="1001" spans="153:172" x14ac:dyDescent="0.35">
      <c r="EW1001" t="s">
        <v>2339</v>
      </c>
      <c r="EX1001" s="33" t="s">
        <v>2371</v>
      </c>
      <c r="EY1001" s="33" t="s">
        <v>125</v>
      </c>
      <c r="EZ1001" s="33" t="s">
        <v>126</v>
      </c>
      <c r="FA1001" s="33" t="s">
        <v>51</v>
      </c>
      <c r="FB1001" s="33" t="s">
        <v>52</v>
      </c>
      <c r="FC1001" s="33" t="s">
        <v>53</v>
      </c>
      <c r="FD1001" s="33" t="s">
        <v>54</v>
      </c>
      <c r="FE1001" s="33">
        <v>2019</v>
      </c>
      <c r="FF1001" s="33" t="s">
        <v>55</v>
      </c>
      <c r="FG1001" s="33" t="s">
        <v>56</v>
      </c>
      <c r="FH1001" s="33" t="s">
        <v>57</v>
      </c>
      <c r="FI1001" s="33" t="s">
        <v>58</v>
      </c>
      <c r="FJ1001" t="s">
        <v>59</v>
      </c>
      <c r="FM1001" s="32" t="s">
        <v>1132</v>
      </c>
      <c r="FN1001" t="s">
        <v>1133</v>
      </c>
      <c r="FO1001" t="s">
        <v>1134</v>
      </c>
      <c r="FP1001" t="str">
        <f t="shared" si="200"/>
        <v>C</v>
      </c>
    </row>
    <row r="1002" spans="153:172" x14ac:dyDescent="0.35">
      <c r="EW1002" t="s">
        <v>2339</v>
      </c>
      <c r="EX1002" s="33" t="s">
        <v>2372</v>
      </c>
      <c r="EY1002" s="33" t="s">
        <v>127</v>
      </c>
      <c r="EZ1002" s="33" t="s">
        <v>128</v>
      </c>
      <c r="FA1002" s="33" t="s">
        <v>51</v>
      </c>
      <c r="FB1002" s="33" t="s">
        <v>52</v>
      </c>
      <c r="FC1002" s="33" t="s">
        <v>53</v>
      </c>
      <c r="FD1002" s="33" t="s">
        <v>54</v>
      </c>
      <c r="FE1002" s="33">
        <v>2019</v>
      </c>
      <c r="FF1002" s="33" t="s">
        <v>55</v>
      </c>
      <c r="FG1002" s="33" t="s">
        <v>56</v>
      </c>
      <c r="FH1002" s="33" t="s">
        <v>57</v>
      </c>
      <c r="FI1002" s="33" t="s">
        <v>58</v>
      </c>
      <c r="FJ1002" t="s">
        <v>59</v>
      </c>
      <c r="FM1002" s="32" t="s">
        <v>1911</v>
      </c>
      <c r="FN1002" t="s">
        <v>1911</v>
      </c>
      <c r="FO1002" t="s">
        <v>1912</v>
      </c>
      <c r="FP1002" t="str">
        <f t="shared" si="200"/>
        <v>C</v>
      </c>
    </row>
    <row r="1003" spans="153:172" x14ac:dyDescent="0.35">
      <c r="EW1003" t="s">
        <v>2339</v>
      </c>
      <c r="EX1003" s="33" t="s">
        <v>2373</v>
      </c>
      <c r="EY1003" s="33" t="s">
        <v>129</v>
      </c>
      <c r="EZ1003" s="33" t="s">
        <v>130</v>
      </c>
      <c r="FA1003" s="33" t="s">
        <v>51</v>
      </c>
      <c r="FB1003" s="33" t="s">
        <v>52</v>
      </c>
      <c r="FC1003" s="33" t="s">
        <v>53</v>
      </c>
      <c r="FD1003" s="33" t="s">
        <v>54</v>
      </c>
      <c r="FE1003" s="33">
        <v>2019</v>
      </c>
      <c r="FF1003" s="33" t="s">
        <v>55</v>
      </c>
      <c r="FG1003" s="33" t="s">
        <v>56</v>
      </c>
      <c r="FH1003" s="33" t="s">
        <v>57</v>
      </c>
      <c r="FI1003" s="33" t="s">
        <v>58</v>
      </c>
      <c r="FJ1003" t="s">
        <v>59</v>
      </c>
      <c r="FM1003" s="32" t="s">
        <v>1804</v>
      </c>
      <c r="FN1003" t="s">
        <v>1804</v>
      </c>
      <c r="FO1003" t="s">
        <v>1805</v>
      </c>
      <c r="FP1003" t="str">
        <f t="shared" si="200"/>
        <v>C</v>
      </c>
    </row>
    <row r="1004" spans="153:172" x14ac:dyDescent="0.35">
      <c r="EW1004" t="s">
        <v>2339</v>
      </c>
      <c r="EX1004" s="33" t="s">
        <v>2374</v>
      </c>
      <c r="EY1004" s="33" t="s">
        <v>131</v>
      </c>
      <c r="EZ1004" s="33" t="s">
        <v>132</v>
      </c>
      <c r="FA1004" s="33" t="s">
        <v>51</v>
      </c>
      <c r="FB1004" s="33" t="s">
        <v>52</v>
      </c>
      <c r="FC1004" s="33" t="s">
        <v>53</v>
      </c>
      <c r="FD1004" s="33" t="s">
        <v>54</v>
      </c>
      <c r="FE1004" s="33">
        <v>2019</v>
      </c>
      <c r="FF1004" s="33" t="s">
        <v>55</v>
      </c>
      <c r="FG1004" s="33" t="s">
        <v>56</v>
      </c>
      <c r="FH1004" s="33" t="s">
        <v>57</v>
      </c>
      <c r="FI1004" s="33" t="s">
        <v>58</v>
      </c>
      <c r="FJ1004" t="s">
        <v>59</v>
      </c>
      <c r="FM1004" s="32" t="s">
        <v>1738</v>
      </c>
      <c r="FN1004" t="s">
        <v>1738</v>
      </c>
      <c r="FO1004" t="s">
        <v>1739</v>
      </c>
      <c r="FP1004" t="str">
        <f t="shared" si="200"/>
        <v>C</v>
      </c>
    </row>
    <row r="1005" spans="153:172" x14ac:dyDescent="0.35">
      <c r="EW1005" t="s">
        <v>2339</v>
      </c>
      <c r="EX1005" s="33" t="s">
        <v>2375</v>
      </c>
      <c r="EY1005" s="33" t="s">
        <v>136</v>
      </c>
      <c r="EZ1005" s="33" t="s">
        <v>137</v>
      </c>
      <c r="FA1005" s="33" t="s">
        <v>51</v>
      </c>
      <c r="FB1005" s="33" t="s">
        <v>52</v>
      </c>
      <c r="FC1005" s="33" t="s">
        <v>53</v>
      </c>
      <c r="FD1005" s="33" t="s">
        <v>54</v>
      </c>
      <c r="FE1005" s="33">
        <v>2019</v>
      </c>
      <c r="FF1005" s="33" t="s">
        <v>55</v>
      </c>
      <c r="FG1005" s="33" t="s">
        <v>56</v>
      </c>
      <c r="FH1005" s="33" t="s">
        <v>57</v>
      </c>
      <c r="FI1005" s="33" t="s">
        <v>58</v>
      </c>
      <c r="FJ1005" t="s">
        <v>59</v>
      </c>
      <c r="FM1005" s="32" t="s">
        <v>2245</v>
      </c>
      <c r="FN1005" t="s">
        <v>2245</v>
      </c>
      <c r="FO1005" t="s">
        <v>2246</v>
      </c>
      <c r="FP1005" t="str">
        <f t="shared" si="200"/>
        <v>C</v>
      </c>
    </row>
    <row r="1006" spans="153:172" x14ac:dyDescent="0.35">
      <c r="EW1006" t="s">
        <v>2339</v>
      </c>
      <c r="EX1006" s="33" t="s">
        <v>2376</v>
      </c>
      <c r="EY1006" s="33" t="s">
        <v>138</v>
      </c>
      <c r="EZ1006" s="33" t="s">
        <v>139</v>
      </c>
      <c r="FA1006" s="33" t="s">
        <v>51</v>
      </c>
      <c r="FB1006" s="33" t="s">
        <v>52</v>
      </c>
      <c r="FC1006" s="33" t="s">
        <v>53</v>
      </c>
      <c r="FD1006" s="33" t="s">
        <v>54</v>
      </c>
      <c r="FE1006" s="33">
        <v>2019</v>
      </c>
      <c r="FF1006" s="33" t="s">
        <v>55</v>
      </c>
      <c r="FG1006" s="33" t="s">
        <v>56</v>
      </c>
      <c r="FH1006" s="33" t="s">
        <v>57</v>
      </c>
      <c r="FI1006" s="33" t="s">
        <v>58</v>
      </c>
      <c r="FJ1006" t="s">
        <v>59</v>
      </c>
      <c r="FM1006" s="32" t="s">
        <v>1817</v>
      </c>
      <c r="FN1006" t="s">
        <v>1817</v>
      </c>
      <c r="FO1006" t="s">
        <v>1818</v>
      </c>
      <c r="FP1006" t="str">
        <f t="shared" si="200"/>
        <v>C</v>
      </c>
    </row>
    <row r="1007" spans="153:172" x14ac:dyDescent="0.35">
      <c r="EW1007" t="s">
        <v>2339</v>
      </c>
      <c r="EX1007" s="33" t="s">
        <v>2377</v>
      </c>
      <c r="EY1007" s="33" t="s">
        <v>143</v>
      </c>
      <c r="EZ1007" s="33" t="s">
        <v>144</v>
      </c>
      <c r="FA1007" s="33" t="s">
        <v>51</v>
      </c>
      <c r="FB1007" s="33" t="s">
        <v>52</v>
      </c>
      <c r="FC1007" s="33" t="s">
        <v>53</v>
      </c>
      <c r="FD1007" s="33" t="s">
        <v>54</v>
      </c>
      <c r="FE1007" s="33">
        <v>2019</v>
      </c>
      <c r="FF1007" s="33" t="s">
        <v>55</v>
      </c>
      <c r="FG1007" s="33" t="s">
        <v>56</v>
      </c>
      <c r="FH1007" s="33" t="s">
        <v>57</v>
      </c>
      <c r="FI1007" s="33" t="s">
        <v>58</v>
      </c>
      <c r="FJ1007" t="s">
        <v>59</v>
      </c>
      <c r="FM1007" s="32" t="s">
        <v>1929</v>
      </c>
      <c r="FN1007" t="s">
        <v>1929</v>
      </c>
      <c r="FO1007" t="s">
        <v>1340</v>
      </c>
      <c r="FP1007" t="str">
        <f t="shared" si="200"/>
        <v>C</v>
      </c>
    </row>
    <row r="1008" spans="153:172" x14ac:dyDescent="0.35">
      <c r="EW1008" t="s">
        <v>2339</v>
      </c>
      <c r="EX1008" s="33" t="s">
        <v>2378</v>
      </c>
      <c r="EY1008" s="33" t="s">
        <v>145</v>
      </c>
      <c r="EZ1008" s="33" t="s">
        <v>146</v>
      </c>
      <c r="FA1008" s="33" t="s">
        <v>51</v>
      </c>
      <c r="FB1008" s="33" t="s">
        <v>52</v>
      </c>
      <c r="FC1008" s="33" t="s">
        <v>53</v>
      </c>
      <c r="FD1008" s="33" t="s">
        <v>54</v>
      </c>
      <c r="FE1008" s="33">
        <v>2019</v>
      </c>
      <c r="FF1008" s="33" t="s">
        <v>55</v>
      </c>
      <c r="FG1008" s="33" t="s">
        <v>56</v>
      </c>
      <c r="FH1008" s="33" t="s">
        <v>57</v>
      </c>
      <c r="FI1008" s="33" t="s">
        <v>58</v>
      </c>
      <c r="FJ1008" t="s">
        <v>59</v>
      </c>
      <c r="FM1008" s="32" t="s">
        <v>2379</v>
      </c>
      <c r="FN1008" t="s">
        <v>2379</v>
      </c>
      <c r="FO1008" t="s">
        <v>2380</v>
      </c>
      <c r="FP1008" t="str">
        <f t="shared" si="200"/>
        <v>C</v>
      </c>
    </row>
    <row r="1009" spans="153:172" x14ac:dyDescent="0.35">
      <c r="EW1009" t="s">
        <v>2339</v>
      </c>
      <c r="EX1009" s="33" t="s">
        <v>2381</v>
      </c>
      <c r="EY1009" s="33" t="s">
        <v>147</v>
      </c>
      <c r="EZ1009" s="33" t="s">
        <v>148</v>
      </c>
      <c r="FA1009" s="33" t="s">
        <v>51</v>
      </c>
      <c r="FB1009" s="33" t="s">
        <v>52</v>
      </c>
      <c r="FC1009" s="33" t="s">
        <v>53</v>
      </c>
      <c r="FD1009" s="33" t="s">
        <v>54</v>
      </c>
      <c r="FE1009" s="33">
        <v>2019</v>
      </c>
      <c r="FF1009" s="33" t="s">
        <v>55</v>
      </c>
      <c r="FG1009" s="33" t="s">
        <v>56</v>
      </c>
      <c r="FH1009" s="33" t="s">
        <v>57</v>
      </c>
      <c r="FI1009" s="33" t="s">
        <v>58</v>
      </c>
      <c r="FJ1009" t="s">
        <v>59</v>
      </c>
      <c r="FM1009" s="32" t="s">
        <v>1289</v>
      </c>
      <c r="FN1009" t="s">
        <v>1289</v>
      </c>
      <c r="FO1009" t="s">
        <v>1273</v>
      </c>
      <c r="FP1009" t="str">
        <f t="shared" si="200"/>
        <v>C</v>
      </c>
    </row>
    <row r="1010" spans="153:172" x14ac:dyDescent="0.35">
      <c r="EW1010" t="s">
        <v>2339</v>
      </c>
      <c r="EX1010" s="33" t="s">
        <v>2382</v>
      </c>
      <c r="EY1010" s="33" t="s">
        <v>149</v>
      </c>
      <c r="EZ1010" s="33" t="s">
        <v>150</v>
      </c>
      <c r="FA1010" s="33" t="s">
        <v>51</v>
      </c>
      <c r="FB1010" s="33" t="s">
        <v>52</v>
      </c>
      <c r="FC1010" s="33" t="s">
        <v>53</v>
      </c>
      <c r="FD1010" s="33" t="s">
        <v>54</v>
      </c>
      <c r="FE1010" s="33">
        <v>2019</v>
      </c>
      <c r="FF1010" s="33" t="s">
        <v>55</v>
      </c>
      <c r="FG1010" s="33" t="s">
        <v>56</v>
      </c>
      <c r="FH1010" s="33" t="s">
        <v>57</v>
      </c>
      <c r="FI1010" s="33" t="s">
        <v>58</v>
      </c>
      <c r="FJ1010" t="s">
        <v>59</v>
      </c>
      <c r="FM1010" s="32" t="s">
        <v>1744</v>
      </c>
      <c r="FN1010" t="s">
        <v>1744</v>
      </c>
      <c r="FO1010" t="s">
        <v>1745</v>
      </c>
      <c r="FP1010" t="str">
        <f t="shared" si="200"/>
        <v>C</v>
      </c>
    </row>
    <row r="1011" spans="153:172" x14ac:dyDescent="0.35">
      <c r="EW1011" t="s">
        <v>2339</v>
      </c>
      <c r="EX1011" s="33" t="s">
        <v>2383</v>
      </c>
      <c r="EY1011" s="33" t="s">
        <v>154</v>
      </c>
      <c r="EZ1011" s="33" t="s">
        <v>155</v>
      </c>
      <c r="FA1011" s="33" t="s">
        <v>51</v>
      </c>
      <c r="FB1011" s="33" t="s">
        <v>52</v>
      </c>
      <c r="FC1011" s="33" t="s">
        <v>53</v>
      </c>
      <c r="FD1011" s="33" t="s">
        <v>54</v>
      </c>
      <c r="FE1011" s="33">
        <v>2019</v>
      </c>
      <c r="FF1011" s="33" t="s">
        <v>55</v>
      </c>
      <c r="FG1011" s="33" t="s">
        <v>56</v>
      </c>
      <c r="FH1011" s="33" t="s">
        <v>57</v>
      </c>
      <c r="FI1011" s="33" t="s">
        <v>58</v>
      </c>
      <c r="FJ1011" t="s">
        <v>59</v>
      </c>
      <c r="FM1011" s="32" t="s">
        <v>1260</v>
      </c>
      <c r="FN1011" t="s">
        <v>1260</v>
      </c>
      <c r="FO1011" t="s">
        <v>1261</v>
      </c>
      <c r="FP1011" t="str">
        <f t="shared" si="200"/>
        <v>C</v>
      </c>
    </row>
    <row r="1012" spans="153:172" x14ac:dyDescent="0.35">
      <c r="EW1012" t="s">
        <v>2339</v>
      </c>
      <c r="EX1012" s="33" t="s">
        <v>2384</v>
      </c>
      <c r="EY1012" s="33" t="s">
        <v>156</v>
      </c>
      <c r="EZ1012" s="33" t="s">
        <v>157</v>
      </c>
      <c r="FA1012" s="33" t="s">
        <v>51</v>
      </c>
      <c r="FB1012" s="33" t="s">
        <v>52</v>
      </c>
      <c r="FC1012" s="33" t="s">
        <v>53</v>
      </c>
      <c r="FD1012" s="33" t="s">
        <v>54</v>
      </c>
      <c r="FE1012" s="33">
        <v>2019</v>
      </c>
      <c r="FF1012" s="33" t="s">
        <v>55</v>
      </c>
      <c r="FG1012" s="33" t="s">
        <v>56</v>
      </c>
      <c r="FH1012" s="33" t="s">
        <v>57</v>
      </c>
      <c r="FI1012" s="33" t="s">
        <v>58</v>
      </c>
      <c r="FJ1012" t="s">
        <v>59</v>
      </c>
      <c r="FM1012" s="32" t="s">
        <v>1977</v>
      </c>
      <c r="FN1012" t="s">
        <v>1977</v>
      </c>
      <c r="FO1012" t="s">
        <v>1978</v>
      </c>
      <c r="FP1012" t="str">
        <f t="shared" si="200"/>
        <v>C</v>
      </c>
    </row>
    <row r="1013" spans="153:172" x14ac:dyDescent="0.35">
      <c r="EW1013" t="s">
        <v>2339</v>
      </c>
      <c r="EX1013" s="33" t="s">
        <v>2385</v>
      </c>
      <c r="EY1013" s="33" t="s">
        <v>158</v>
      </c>
      <c r="EZ1013" s="33" t="s">
        <v>159</v>
      </c>
      <c r="FA1013" s="33" t="s">
        <v>51</v>
      </c>
      <c r="FB1013" s="33" t="s">
        <v>52</v>
      </c>
      <c r="FC1013" s="33" t="s">
        <v>53</v>
      </c>
      <c r="FD1013" s="33" t="s">
        <v>54</v>
      </c>
      <c r="FE1013" s="33">
        <v>2019</v>
      </c>
      <c r="FF1013" s="33" t="s">
        <v>55</v>
      </c>
      <c r="FG1013" s="33" t="s">
        <v>56</v>
      </c>
      <c r="FH1013" s="33" t="s">
        <v>57</v>
      </c>
      <c r="FI1013" s="33" t="s">
        <v>58</v>
      </c>
      <c r="FJ1013" t="s">
        <v>59</v>
      </c>
      <c r="FM1013" s="32" t="s">
        <v>1945</v>
      </c>
      <c r="FN1013" t="s">
        <v>1945</v>
      </c>
      <c r="FO1013" t="s">
        <v>1946</v>
      </c>
      <c r="FP1013" t="str">
        <f t="shared" si="200"/>
        <v>C</v>
      </c>
    </row>
    <row r="1014" spans="153:172" x14ac:dyDescent="0.35">
      <c r="EW1014" t="s">
        <v>2339</v>
      </c>
      <c r="EX1014" s="33" t="s">
        <v>2386</v>
      </c>
      <c r="EY1014" s="33" t="s">
        <v>160</v>
      </c>
      <c r="EZ1014" s="33" t="s">
        <v>161</v>
      </c>
      <c r="FA1014" s="33" t="s">
        <v>51</v>
      </c>
      <c r="FB1014" s="33" t="s">
        <v>52</v>
      </c>
      <c r="FC1014" s="33" t="s">
        <v>53</v>
      </c>
      <c r="FD1014" s="33" t="s">
        <v>54</v>
      </c>
      <c r="FE1014" s="33">
        <v>2019</v>
      </c>
      <c r="FF1014" s="33" t="s">
        <v>55</v>
      </c>
      <c r="FG1014" s="33" t="s">
        <v>56</v>
      </c>
      <c r="FH1014" s="33" t="s">
        <v>57</v>
      </c>
      <c r="FI1014" s="33" t="s">
        <v>58</v>
      </c>
      <c r="FJ1014" t="s">
        <v>59</v>
      </c>
      <c r="FM1014" s="32" t="s">
        <v>1942</v>
      </c>
      <c r="FN1014" t="s">
        <v>1942</v>
      </c>
      <c r="FO1014" t="s">
        <v>1943</v>
      </c>
      <c r="FP1014" t="str">
        <f t="shared" si="200"/>
        <v>C</v>
      </c>
    </row>
    <row r="1015" spans="153:172" x14ac:dyDescent="0.35">
      <c r="EW1015" t="s">
        <v>2339</v>
      </c>
      <c r="EX1015" s="33" t="s">
        <v>2387</v>
      </c>
      <c r="EY1015" s="33" t="s">
        <v>165</v>
      </c>
      <c r="EZ1015" s="33" t="s">
        <v>166</v>
      </c>
      <c r="FA1015" s="33" t="s">
        <v>51</v>
      </c>
      <c r="FB1015" s="33" t="s">
        <v>52</v>
      </c>
      <c r="FC1015" s="33" t="s">
        <v>53</v>
      </c>
      <c r="FD1015" s="33" t="s">
        <v>54</v>
      </c>
      <c r="FE1015" s="33">
        <v>2019</v>
      </c>
      <c r="FF1015" s="33" t="s">
        <v>55</v>
      </c>
      <c r="FG1015" s="33" t="s">
        <v>56</v>
      </c>
      <c r="FH1015" s="33" t="s">
        <v>57</v>
      </c>
      <c r="FI1015" s="33" t="s">
        <v>58</v>
      </c>
      <c r="FJ1015" t="s">
        <v>59</v>
      </c>
      <c r="FM1015" s="32" t="s">
        <v>2388</v>
      </c>
      <c r="FN1015" t="s">
        <v>2388</v>
      </c>
      <c r="FO1015" t="s">
        <v>2389</v>
      </c>
      <c r="FP1015" t="str">
        <f t="shared" si="200"/>
        <v>C</v>
      </c>
    </row>
    <row r="1016" spans="153:172" x14ac:dyDescent="0.35">
      <c r="EW1016" t="s">
        <v>2339</v>
      </c>
      <c r="EX1016" s="33" t="s">
        <v>2390</v>
      </c>
      <c r="EY1016" s="33" t="s">
        <v>167</v>
      </c>
      <c r="EZ1016" s="33" t="s">
        <v>168</v>
      </c>
      <c r="FA1016" s="33" t="s">
        <v>51</v>
      </c>
      <c r="FB1016" s="33" t="s">
        <v>52</v>
      </c>
      <c r="FC1016" s="33" t="s">
        <v>53</v>
      </c>
      <c r="FD1016" s="33" t="s">
        <v>54</v>
      </c>
      <c r="FE1016" s="33">
        <v>2019</v>
      </c>
      <c r="FF1016" s="33" t="s">
        <v>55</v>
      </c>
      <c r="FG1016" s="33" t="s">
        <v>56</v>
      </c>
      <c r="FH1016" s="33" t="s">
        <v>57</v>
      </c>
      <c r="FI1016" s="33" t="s">
        <v>58</v>
      </c>
      <c r="FJ1016" t="s">
        <v>59</v>
      </c>
      <c r="FM1016" s="32" t="s">
        <v>1298</v>
      </c>
      <c r="FN1016" t="s">
        <v>1298</v>
      </c>
      <c r="FO1016" t="s">
        <v>1299</v>
      </c>
      <c r="FP1016" t="str">
        <f t="shared" si="200"/>
        <v>C</v>
      </c>
    </row>
    <row r="1017" spans="153:172" x14ac:dyDescent="0.35">
      <c r="EW1017" t="s">
        <v>2339</v>
      </c>
      <c r="EX1017" s="33" t="s">
        <v>2391</v>
      </c>
      <c r="EY1017" s="33" t="s">
        <v>169</v>
      </c>
      <c r="EZ1017" s="33" t="s">
        <v>170</v>
      </c>
      <c r="FA1017" s="33" t="s">
        <v>51</v>
      </c>
      <c r="FB1017" s="33" t="s">
        <v>52</v>
      </c>
      <c r="FC1017" s="33" t="s">
        <v>53</v>
      </c>
      <c r="FD1017" s="33" t="s">
        <v>54</v>
      </c>
      <c r="FE1017" s="33">
        <v>2019</v>
      </c>
      <c r="FF1017" s="33" t="s">
        <v>55</v>
      </c>
      <c r="FG1017" s="33" t="s">
        <v>56</v>
      </c>
      <c r="FH1017" s="33" t="s">
        <v>57</v>
      </c>
      <c r="FI1017" s="33" t="s">
        <v>58</v>
      </c>
      <c r="FJ1017" t="s">
        <v>59</v>
      </c>
      <c r="FM1017" s="32" t="s">
        <v>1951</v>
      </c>
      <c r="FN1017" t="s">
        <v>1951</v>
      </c>
      <c r="FO1017" t="s">
        <v>1952</v>
      </c>
      <c r="FP1017" t="str">
        <f t="shared" si="200"/>
        <v>C</v>
      </c>
    </row>
    <row r="1018" spans="153:172" x14ac:dyDescent="0.35">
      <c r="EW1018" t="s">
        <v>2339</v>
      </c>
      <c r="EX1018" s="33" t="s">
        <v>2392</v>
      </c>
      <c r="EY1018" s="33" t="s">
        <v>171</v>
      </c>
      <c r="EZ1018" s="33" t="s">
        <v>172</v>
      </c>
      <c r="FA1018" s="33" t="s">
        <v>51</v>
      </c>
      <c r="FB1018" s="33" t="s">
        <v>52</v>
      </c>
      <c r="FC1018" s="33" t="s">
        <v>53</v>
      </c>
      <c r="FD1018" s="33" t="s">
        <v>54</v>
      </c>
      <c r="FE1018" s="33">
        <v>2019</v>
      </c>
      <c r="FF1018" s="33" t="s">
        <v>55</v>
      </c>
      <c r="FG1018" s="33" t="s">
        <v>56</v>
      </c>
      <c r="FH1018" s="33" t="s">
        <v>57</v>
      </c>
      <c r="FI1018" s="33" t="s">
        <v>58</v>
      </c>
      <c r="FJ1018" t="s">
        <v>59</v>
      </c>
      <c r="FM1018" s="32" t="s">
        <v>1833</v>
      </c>
      <c r="FN1018" t="s">
        <v>1833</v>
      </c>
      <c r="FO1018" t="s">
        <v>1834</v>
      </c>
      <c r="FP1018" t="str">
        <f t="shared" si="200"/>
        <v>C</v>
      </c>
    </row>
    <row r="1019" spans="153:172" x14ac:dyDescent="0.35">
      <c r="EW1019" t="s">
        <v>2339</v>
      </c>
      <c r="EX1019" s="33" t="s">
        <v>2393</v>
      </c>
      <c r="EY1019" s="33" t="s">
        <v>173</v>
      </c>
      <c r="EZ1019" s="33" t="s">
        <v>174</v>
      </c>
      <c r="FA1019" s="33" t="s">
        <v>51</v>
      </c>
      <c r="FB1019" s="33" t="s">
        <v>52</v>
      </c>
      <c r="FC1019" s="33" t="s">
        <v>53</v>
      </c>
      <c r="FD1019" s="33" t="s">
        <v>54</v>
      </c>
      <c r="FE1019" s="33">
        <v>2019</v>
      </c>
      <c r="FF1019" s="33" t="s">
        <v>55</v>
      </c>
      <c r="FG1019" s="33" t="s">
        <v>56</v>
      </c>
      <c r="FH1019" s="33" t="s">
        <v>57</v>
      </c>
      <c r="FI1019" s="33" t="s">
        <v>58</v>
      </c>
      <c r="FJ1019" t="s">
        <v>59</v>
      </c>
      <c r="FM1019" s="32" t="s">
        <v>1173</v>
      </c>
      <c r="FN1019" t="s">
        <v>1174</v>
      </c>
      <c r="FO1019" t="s">
        <v>1175</v>
      </c>
      <c r="FP1019" t="str">
        <f t="shared" si="200"/>
        <v>C</v>
      </c>
    </row>
    <row r="1020" spans="153:172" x14ac:dyDescent="0.35">
      <c r="EW1020" t="s">
        <v>2339</v>
      </c>
      <c r="EX1020" s="33" t="s">
        <v>2394</v>
      </c>
      <c r="EY1020" s="33" t="s">
        <v>175</v>
      </c>
      <c r="EZ1020" s="33" t="s">
        <v>176</v>
      </c>
      <c r="FA1020" s="33" t="s">
        <v>51</v>
      </c>
      <c r="FB1020" s="33" t="s">
        <v>52</v>
      </c>
      <c r="FC1020" s="33" t="s">
        <v>53</v>
      </c>
      <c r="FD1020" s="33" t="s">
        <v>54</v>
      </c>
      <c r="FE1020" s="33">
        <v>2019</v>
      </c>
      <c r="FF1020" s="33" t="s">
        <v>55</v>
      </c>
      <c r="FG1020" s="33" t="s">
        <v>56</v>
      </c>
      <c r="FH1020" s="33" t="s">
        <v>57</v>
      </c>
      <c r="FI1020" s="33" t="s">
        <v>58</v>
      </c>
      <c r="FJ1020" t="s">
        <v>59</v>
      </c>
      <c r="FM1020" s="32" t="s">
        <v>1256</v>
      </c>
      <c r="FN1020" t="s">
        <v>1256</v>
      </c>
      <c r="FO1020" t="s">
        <v>1257</v>
      </c>
      <c r="FP1020" t="str">
        <f t="shared" si="200"/>
        <v>C</v>
      </c>
    </row>
    <row r="1021" spans="153:172" x14ac:dyDescent="0.35">
      <c r="EW1021" t="s">
        <v>2339</v>
      </c>
      <c r="EX1021" s="33" t="s">
        <v>2395</v>
      </c>
      <c r="EY1021" s="33" t="s">
        <v>180</v>
      </c>
      <c r="EZ1021" s="33" t="s">
        <v>181</v>
      </c>
      <c r="FA1021" s="33" t="s">
        <v>51</v>
      </c>
      <c r="FB1021" s="33" t="s">
        <v>52</v>
      </c>
      <c r="FC1021" s="33" t="s">
        <v>53</v>
      </c>
      <c r="FD1021" s="33" t="s">
        <v>54</v>
      </c>
      <c r="FE1021" s="33">
        <v>2019</v>
      </c>
      <c r="FF1021" s="33" t="s">
        <v>55</v>
      </c>
      <c r="FG1021" s="33" t="s">
        <v>56</v>
      </c>
      <c r="FH1021" s="33" t="s">
        <v>57</v>
      </c>
      <c r="FI1021" s="33" t="s">
        <v>58</v>
      </c>
      <c r="FJ1021" t="s">
        <v>59</v>
      </c>
      <c r="FM1021" s="32" t="s">
        <v>2364</v>
      </c>
      <c r="FN1021" t="s">
        <v>2364</v>
      </c>
      <c r="FO1021" t="s">
        <v>2365</v>
      </c>
      <c r="FP1021" t="str">
        <f t="shared" si="200"/>
        <v>C</v>
      </c>
    </row>
    <row r="1022" spans="153:172" x14ac:dyDescent="0.35">
      <c r="EW1022" t="s">
        <v>2339</v>
      </c>
      <c r="EX1022" s="33" t="s">
        <v>2396</v>
      </c>
      <c r="EY1022" s="33" t="s">
        <v>182</v>
      </c>
      <c r="EZ1022" s="33" t="s">
        <v>183</v>
      </c>
      <c r="FA1022" s="33" t="s">
        <v>51</v>
      </c>
      <c r="FB1022" s="33" t="s">
        <v>52</v>
      </c>
      <c r="FC1022" s="33" t="s">
        <v>53</v>
      </c>
      <c r="FD1022" s="33" t="s">
        <v>54</v>
      </c>
      <c r="FE1022" s="33">
        <v>2019</v>
      </c>
      <c r="FF1022" s="33" t="s">
        <v>55</v>
      </c>
      <c r="FG1022" s="33" t="s">
        <v>56</v>
      </c>
      <c r="FH1022" s="33" t="s">
        <v>57</v>
      </c>
      <c r="FI1022" s="33" t="s">
        <v>58</v>
      </c>
      <c r="FJ1022" t="s">
        <v>59</v>
      </c>
      <c r="FM1022" s="32" t="s">
        <v>1839</v>
      </c>
      <c r="FN1022" t="s">
        <v>1839</v>
      </c>
      <c r="FO1022" t="s">
        <v>1840</v>
      </c>
      <c r="FP1022" t="str">
        <f t="shared" si="200"/>
        <v>C</v>
      </c>
    </row>
    <row r="1023" spans="153:172" x14ac:dyDescent="0.35">
      <c r="EW1023" t="s">
        <v>2339</v>
      </c>
      <c r="EX1023" s="33" t="s">
        <v>2397</v>
      </c>
      <c r="EY1023" s="33" t="s">
        <v>184</v>
      </c>
      <c r="EZ1023" s="33" t="s">
        <v>185</v>
      </c>
      <c r="FA1023" s="33" t="s">
        <v>51</v>
      </c>
      <c r="FB1023" s="33" t="s">
        <v>52</v>
      </c>
      <c r="FC1023" s="33" t="s">
        <v>53</v>
      </c>
      <c r="FD1023" s="33" t="s">
        <v>54</v>
      </c>
      <c r="FE1023" s="33">
        <v>2019</v>
      </c>
      <c r="FF1023" s="33" t="s">
        <v>55</v>
      </c>
      <c r="FG1023" s="33" t="s">
        <v>56</v>
      </c>
      <c r="FH1023" s="33" t="s">
        <v>57</v>
      </c>
      <c r="FI1023" s="33" t="s">
        <v>58</v>
      </c>
      <c r="FJ1023" t="s">
        <v>59</v>
      </c>
      <c r="FM1023" s="32" t="s">
        <v>2398</v>
      </c>
      <c r="FN1023" t="s">
        <v>2398</v>
      </c>
      <c r="FO1023" t="s">
        <v>2399</v>
      </c>
      <c r="FP1023" t="str">
        <f t="shared" si="200"/>
        <v>C</v>
      </c>
    </row>
    <row r="1024" spans="153:172" x14ac:dyDescent="0.35">
      <c r="EW1024" t="s">
        <v>2339</v>
      </c>
      <c r="EX1024" s="33" t="s">
        <v>2400</v>
      </c>
      <c r="EY1024" s="33" t="s">
        <v>189</v>
      </c>
      <c r="EZ1024" s="33" t="s">
        <v>190</v>
      </c>
      <c r="FA1024" s="33" t="s">
        <v>51</v>
      </c>
      <c r="FB1024" s="33" t="s">
        <v>52</v>
      </c>
      <c r="FC1024" s="33" t="s">
        <v>53</v>
      </c>
      <c r="FD1024" s="33" t="s">
        <v>54</v>
      </c>
      <c r="FE1024" s="33">
        <v>2019</v>
      </c>
      <c r="FF1024" s="33" t="s">
        <v>55</v>
      </c>
      <c r="FG1024" s="33" t="s">
        <v>56</v>
      </c>
      <c r="FH1024" s="33" t="s">
        <v>57</v>
      </c>
      <c r="FI1024" s="33" t="s">
        <v>58</v>
      </c>
      <c r="FJ1024" t="s">
        <v>59</v>
      </c>
      <c r="FM1024" s="32" t="s">
        <v>1843</v>
      </c>
      <c r="FN1024" t="s">
        <v>1843</v>
      </c>
      <c r="FO1024" t="s">
        <v>1278</v>
      </c>
      <c r="FP1024" t="str">
        <f t="shared" si="200"/>
        <v>C</v>
      </c>
    </row>
    <row r="1025" spans="153:172" x14ac:dyDescent="0.35">
      <c r="EW1025" t="s">
        <v>2339</v>
      </c>
      <c r="EX1025" s="33" t="s">
        <v>2401</v>
      </c>
      <c r="EY1025" s="33" t="s">
        <v>191</v>
      </c>
      <c r="EZ1025" s="33" t="s">
        <v>192</v>
      </c>
      <c r="FA1025" s="33" t="s">
        <v>51</v>
      </c>
      <c r="FB1025" s="33" t="s">
        <v>52</v>
      </c>
      <c r="FC1025" s="33" t="s">
        <v>53</v>
      </c>
      <c r="FD1025" s="33" t="s">
        <v>54</v>
      </c>
      <c r="FE1025" s="33">
        <v>2019</v>
      </c>
      <c r="FF1025" s="33" t="s">
        <v>55</v>
      </c>
      <c r="FG1025" s="33" t="s">
        <v>56</v>
      </c>
      <c r="FH1025" s="33" t="s">
        <v>57</v>
      </c>
      <c r="FI1025" s="33" t="s">
        <v>58</v>
      </c>
      <c r="FJ1025" t="s">
        <v>59</v>
      </c>
      <c r="FM1025" s="32" t="s">
        <v>1215</v>
      </c>
      <c r="FN1025" t="s">
        <v>1215</v>
      </c>
      <c r="FO1025" t="s">
        <v>1216</v>
      </c>
      <c r="FP1025" t="str">
        <f t="shared" ref="FP1025:FP1088" si="201">VLOOKUP(FO1025,EX:FF,9,0)</f>
        <v>C</v>
      </c>
    </row>
    <row r="1026" spans="153:172" x14ac:dyDescent="0.35">
      <c r="EW1026" t="s">
        <v>2339</v>
      </c>
      <c r="EX1026" s="33" t="s">
        <v>2402</v>
      </c>
      <c r="EY1026" s="33" t="s">
        <v>193</v>
      </c>
      <c r="EZ1026" s="33" t="s">
        <v>194</v>
      </c>
      <c r="FA1026" s="33" t="s">
        <v>51</v>
      </c>
      <c r="FB1026" s="33" t="s">
        <v>52</v>
      </c>
      <c r="FC1026" s="33" t="s">
        <v>53</v>
      </c>
      <c r="FD1026" s="33" t="s">
        <v>54</v>
      </c>
      <c r="FE1026" s="33">
        <v>2019</v>
      </c>
      <c r="FF1026" s="33" t="s">
        <v>55</v>
      </c>
      <c r="FG1026" s="33" t="s">
        <v>56</v>
      </c>
      <c r="FH1026" s="33" t="s">
        <v>57</v>
      </c>
      <c r="FI1026" s="33" t="s">
        <v>58</v>
      </c>
      <c r="FJ1026" t="s">
        <v>59</v>
      </c>
      <c r="FM1026" s="32" t="s">
        <v>2207</v>
      </c>
      <c r="FN1026" t="s">
        <v>2207</v>
      </c>
      <c r="FO1026" t="s">
        <v>2208</v>
      </c>
      <c r="FP1026" t="str">
        <f t="shared" si="201"/>
        <v>C</v>
      </c>
    </row>
    <row r="1027" spans="153:172" x14ac:dyDescent="0.35">
      <c r="EW1027" t="s">
        <v>2339</v>
      </c>
      <c r="EX1027" s="33" t="s">
        <v>2403</v>
      </c>
      <c r="EY1027" s="33" t="s">
        <v>195</v>
      </c>
      <c r="EZ1027" s="33" t="s">
        <v>196</v>
      </c>
      <c r="FA1027" s="33" t="s">
        <v>51</v>
      </c>
      <c r="FB1027" s="33" t="s">
        <v>52</v>
      </c>
      <c r="FC1027" s="33" t="s">
        <v>53</v>
      </c>
      <c r="FD1027" s="33" t="s">
        <v>54</v>
      </c>
      <c r="FE1027" s="33">
        <v>2019</v>
      </c>
      <c r="FF1027" s="33" t="s">
        <v>55</v>
      </c>
      <c r="FG1027" s="33" t="s">
        <v>56</v>
      </c>
      <c r="FH1027" s="33" t="s">
        <v>57</v>
      </c>
      <c r="FI1027" s="33" t="s">
        <v>58</v>
      </c>
      <c r="FJ1027" t="s">
        <v>59</v>
      </c>
      <c r="FM1027" s="32" t="s">
        <v>1350</v>
      </c>
      <c r="FN1027" t="s">
        <v>1350</v>
      </c>
      <c r="FO1027" t="s">
        <v>1351</v>
      </c>
      <c r="FP1027" t="str">
        <f t="shared" si="201"/>
        <v>C</v>
      </c>
    </row>
    <row r="1028" spans="153:172" x14ac:dyDescent="0.35">
      <c r="EW1028" t="s">
        <v>2339</v>
      </c>
      <c r="EX1028" s="33" t="s">
        <v>2404</v>
      </c>
      <c r="EY1028" s="33" t="s">
        <v>200</v>
      </c>
      <c r="EZ1028" s="33" t="s">
        <v>201</v>
      </c>
      <c r="FA1028" s="33" t="s">
        <v>51</v>
      </c>
      <c r="FB1028" s="33" t="s">
        <v>52</v>
      </c>
      <c r="FC1028" s="33" t="s">
        <v>53</v>
      </c>
      <c r="FD1028" s="33" t="s">
        <v>54</v>
      </c>
      <c r="FE1028" s="33">
        <v>2019</v>
      </c>
      <c r="FF1028" s="33" t="s">
        <v>55</v>
      </c>
      <c r="FG1028" s="33" t="s">
        <v>56</v>
      </c>
      <c r="FH1028" s="33" t="s">
        <v>57</v>
      </c>
      <c r="FI1028" s="33" t="s">
        <v>58</v>
      </c>
      <c r="FJ1028" t="s">
        <v>59</v>
      </c>
      <c r="FM1028" s="32" t="s">
        <v>1768</v>
      </c>
      <c r="FN1028" t="s">
        <v>1768</v>
      </c>
      <c r="FO1028" t="s">
        <v>1769</v>
      </c>
      <c r="FP1028" t="str">
        <f t="shared" si="201"/>
        <v>C</v>
      </c>
    </row>
    <row r="1029" spans="153:172" x14ac:dyDescent="0.35">
      <c r="EW1029" t="s">
        <v>2339</v>
      </c>
      <c r="EX1029" s="33" t="s">
        <v>2405</v>
      </c>
      <c r="EY1029" s="33" t="s">
        <v>202</v>
      </c>
      <c r="EZ1029" s="33" t="s">
        <v>203</v>
      </c>
      <c r="FA1029" s="33" t="s">
        <v>51</v>
      </c>
      <c r="FB1029" s="33" t="s">
        <v>52</v>
      </c>
      <c r="FC1029" s="33" t="s">
        <v>53</v>
      </c>
      <c r="FD1029" s="33" t="s">
        <v>54</v>
      </c>
      <c r="FE1029" s="33">
        <v>2019</v>
      </c>
      <c r="FF1029" s="33" t="s">
        <v>55</v>
      </c>
      <c r="FG1029" s="33" t="s">
        <v>56</v>
      </c>
      <c r="FH1029" s="33" t="s">
        <v>57</v>
      </c>
      <c r="FI1029" s="33" t="s">
        <v>58</v>
      </c>
      <c r="FJ1029" t="s">
        <v>59</v>
      </c>
      <c r="FM1029" s="32" t="s">
        <v>1794</v>
      </c>
      <c r="FN1029" t="s">
        <v>1794</v>
      </c>
      <c r="FO1029" t="s">
        <v>1795</v>
      </c>
      <c r="FP1029" t="str">
        <f t="shared" si="201"/>
        <v>C</v>
      </c>
    </row>
    <row r="1030" spans="153:172" x14ac:dyDescent="0.35">
      <c r="EW1030" t="s">
        <v>2339</v>
      </c>
      <c r="EX1030" s="33" t="s">
        <v>2406</v>
      </c>
      <c r="EY1030" s="33" t="s">
        <v>204</v>
      </c>
      <c r="EZ1030" s="33" t="s">
        <v>205</v>
      </c>
      <c r="FA1030" s="33" t="s">
        <v>51</v>
      </c>
      <c r="FB1030" s="33" t="s">
        <v>52</v>
      </c>
      <c r="FC1030" s="33" t="s">
        <v>53</v>
      </c>
      <c r="FD1030" s="33" t="s">
        <v>54</v>
      </c>
      <c r="FE1030" s="33">
        <v>2019</v>
      </c>
      <c r="FF1030" s="33" t="s">
        <v>55</v>
      </c>
      <c r="FG1030" s="33" t="s">
        <v>56</v>
      </c>
      <c r="FH1030" s="33" t="s">
        <v>57</v>
      </c>
      <c r="FI1030" s="33" t="s">
        <v>58</v>
      </c>
      <c r="FJ1030" t="s">
        <v>59</v>
      </c>
      <c r="FM1030" s="32" t="s">
        <v>1804</v>
      </c>
      <c r="FN1030" t="s">
        <v>1804</v>
      </c>
      <c r="FO1030" t="s">
        <v>1805</v>
      </c>
      <c r="FP1030" t="str">
        <f t="shared" si="201"/>
        <v>C</v>
      </c>
    </row>
    <row r="1031" spans="153:172" x14ac:dyDescent="0.35">
      <c r="EW1031" t="s">
        <v>2339</v>
      </c>
      <c r="EX1031" s="33" t="s">
        <v>2407</v>
      </c>
      <c r="EY1031" s="33" t="s">
        <v>209</v>
      </c>
      <c r="EZ1031" s="33" t="s">
        <v>210</v>
      </c>
      <c r="FA1031" s="33" t="s">
        <v>51</v>
      </c>
      <c r="FB1031" s="33" t="s">
        <v>52</v>
      </c>
      <c r="FC1031" s="33" t="s">
        <v>53</v>
      </c>
      <c r="FD1031" s="33" t="s">
        <v>54</v>
      </c>
      <c r="FE1031" s="33">
        <v>2019</v>
      </c>
      <c r="FF1031" s="33" t="s">
        <v>55</v>
      </c>
      <c r="FG1031" s="33" t="s">
        <v>56</v>
      </c>
      <c r="FH1031" s="33" t="s">
        <v>57</v>
      </c>
      <c r="FI1031" s="33" t="s">
        <v>58</v>
      </c>
      <c r="FJ1031" t="s">
        <v>59</v>
      </c>
      <c r="FM1031" s="32" t="s">
        <v>2245</v>
      </c>
      <c r="FN1031" t="s">
        <v>2245</v>
      </c>
      <c r="FO1031" t="s">
        <v>2246</v>
      </c>
      <c r="FP1031" t="str">
        <f t="shared" si="201"/>
        <v>C</v>
      </c>
    </row>
    <row r="1032" spans="153:172" x14ac:dyDescent="0.35">
      <c r="EW1032" t="s">
        <v>2339</v>
      </c>
      <c r="EX1032" s="33" t="s">
        <v>2408</v>
      </c>
      <c r="EY1032" s="33" t="s">
        <v>211</v>
      </c>
      <c r="EZ1032" s="33" t="s">
        <v>212</v>
      </c>
      <c r="FA1032" s="33" t="s">
        <v>51</v>
      </c>
      <c r="FB1032" s="33" t="s">
        <v>52</v>
      </c>
      <c r="FC1032" s="33" t="s">
        <v>53</v>
      </c>
      <c r="FD1032" s="33" t="s">
        <v>54</v>
      </c>
      <c r="FE1032" s="33">
        <v>2019</v>
      </c>
      <c r="FF1032" s="33" t="s">
        <v>55</v>
      </c>
      <c r="FG1032" s="33" t="s">
        <v>56</v>
      </c>
      <c r="FH1032" s="33" t="s">
        <v>57</v>
      </c>
      <c r="FI1032" s="33" t="s">
        <v>58</v>
      </c>
      <c r="FJ1032" t="s">
        <v>59</v>
      </c>
      <c r="FM1032" s="32" t="s">
        <v>1730</v>
      </c>
      <c r="FN1032" t="s">
        <v>1730</v>
      </c>
      <c r="FO1032" t="s">
        <v>1731</v>
      </c>
      <c r="FP1032" t="str">
        <f t="shared" si="201"/>
        <v>C</v>
      </c>
    </row>
    <row r="1033" spans="153:172" x14ac:dyDescent="0.35">
      <c r="EW1033" t="s">
        <v>2339</v>
      </c>
      <c r="EX1033" s="33" t="s">
        <v>2409</v>
      </c>
      <c r="EY1033" s="33" t="s">
        <v>213</v>
      </c>
      <c r="EZ1033" s="33" t="s">
        <v>214</v>
      </c>
      <c r="FA1033" s="33" t="s">
        <v>51</v>
      </c>
      <c r="FB1033" s="33" t="s">
        <v>52</v>
      </c>
      <c r="FC1033" s="33" t="s">
        <v>53</v>
      </c>
      <c r="FD1033" s="33" t="s">
        <v>54</v>
      </c>
      <c r="FE1033" s="33">
        <v>2019</v>
      </c>
      <c r="FF1033" s="33" t="s">
        <v>55</v>
      </c>
      <c r="FG1033" s="33" t="s">
        <v>56</v>
      </c>
      <c r="FH1033" s="33" t="s">
        <v>57</v>
      </c>
      <c r="FI1033" s="33" t="s">
        <v>58</v>
      </c>
      <c r="FJ1033" t="s">
        <v>59</v>
      </c>
      <c r="FM1033" s="32" t="s">
        <v>2307</v>
      </c>
      <c r="FN1033" t="s">
        <v>2307</v>
      </c>
      <c r="FO1033" t="s">
        <v>2308</v>
      </c>
      <c r="FP1033" t="str">
        <f t="shared" si="201"/>
        <v>C</v>
      </c>
    </row>
    <row r="1034" spans="153:172" x14ac:dyDescent="0.35">
      <c r="EW1034" t="s">
        <v>2339</v>
      </c>
      <c r="EX1034" s="33" t="s">
        <v>2410</v>
      </c>
      <c r="EY1034" s="33" t="s">
        <v>215</v>
      </c>
      <c r="EZ1034" s="33" t="s">
        <v>216</v>
      </c>
      <c r="FA1034" s="33" t="s">
        <v>51</v>
      </c>
      <c r="FB1034" s="33" t="s">
        <v>52</v>
      </c>
      <c r="FC1034" s="33" t="s">
        <v>53</v>
      </c>
      <c r="FD1034" s="33" t="s">
        <v>54</v>
      </c>
      <c r="FE1034" s="33">
        <v>2019</v>
      </c>
      <c r="FF1034" s="33" t="s">
        <v>55</v>
      </c>
      <c r="FG1034" s="33" t="s">
        <v>56</v>
      </c>
      <c r="FH1034" s="33" t="s">
        <v>57</v>
      </c>
      <c r="FI1034" s="33" t="s">
        <v>58</v>
      </c>
      <c r="FJ1034" t="s">
        <v>59</v>
      </c>
      <c r="FM1034" s="32" t="s">
        <v>2351</v>
      </c>
      <c r="FN1034" t="s">
        <v>2351</v>
      </c>
      <c r="FO1034" t="s">
        <v>2352</v>
      </c>
      <c r="FP1034" t="str">
        <f t="shared" si="201"/>
        <v>C</v>
      </c>
    </row>
    <row r="1035" spans="153:172" x14ac:dyDescent="0.35">
      <c r="EW1035" t="s">
        <v>2339</v>
      </c>
      <c r="EX1035" s="33" t="s">
        <v>2411</v>
      </c>
      <c r="EY1035" s="33" t="s">
        <v>220</v>
      </c>
      <c r="EZ1035" s="33" t="s">
        <v>221</v>
      </c>
      <c r="FA1035" s="33" t="s">
        <v>51</v>
      </c>
      <c r="FB1035" s="33" t="s">
        <v>52</v>
      </c>
      <c r="FC1035" s="33" t="s">
        <v>53</v>
      </c>
      <c r="FD1035" s="33" t="s">
        <v>54</v>
      </c>
      <c r="FE1035" s="33">
        <v>2019</v>
      </c>
      <c r="FF1035" s="33" t="s">
        <v>55</v>
      </c>
      <c r="FG1035" s="33" t="s">
        <v>56</v>
      </c>
      <c r="FH1035" s="33" t="s">
        <v>57</v>
      </c>
      <c r="FI1035" s="33" t="s">
        <v>58</v>
      </c>
      <c r="FJ1035" t="s">
        <v>59</v>
      </c>
      <c r="FM1035" s="32" t="s">
        <v>2412</v>
      </c>
      <c r="FN1035" t="s">
        <v>2412</v>
      </c>
      <c r="FO1035" t="s">
        <v>1343</v>
      </c>
      <c r="FP1035" t="str">
        <f t="shared" si="201"/>
        <v>C</v>
      </c>
    </row>
    <row r="1036" spans="153:172" x14ac:dyDescent="0.35">
      <c r="EW1036" t="s">
        <v>2339</v>
      </c>
      <c r="EX1036" s="33" t="s">
        <v>2413</v>
      </c>
      <c r="EY1036" s="33" t="s">
        <v>222</v>
      </c>
      <c r="EZ1036" s="33" t="s">
        <v>223</v>
      </c>
      <c r="FA1036" s="33" t="s">
        <v>51</v>
      </c>
      <c r="FB1036" s="33" t="s">
        <v>52</v>
      </c>
      <c r="FC1036" s="33" t="s">
        <v>53</v>
      </c>
      <c r="FD1036" s="33" t="s">
        <v>54</v>
      </c>
      <c r="FE1036" s="33">
        <v>2019</v>
      </c>
      <c r="FF1036" s="33" t="s">
        <v>55</v>
      </c>
      <c r="FG1036" s="33" t="s">
        <v>56</v>
      </c>
      <c r="FH1036" s="33" t="s">
        <v>57</v>
      </c>
      <c r="FI1036" s="33" t="s">
        <v>58</v>
      </c>
      <c r="FJ1036" t="s">
        <v>59</v>
      </c>
      <c r="FM1036" s="32" t="s">
        <v>2414</v>
      </c>
      <c r="FN1036" t="s">
        <v>2414</v>
      </c>
      <c r="FO1036" t="s">
        <v>2415</v>
      </c>
      <c r="FP1036" t="str">
        <f t="shared" si="201"/>
        <v>C</v>
      </c>
    </row>
    <row r="1037" spans="153:172" x14ac:dyDescent="0.35">
      <c r="EW1037" t="s">
        <v>2339</v>
      </c>
      <c r="EX1037" s="33" t="s">
        <v>2416</v>
      </c>
      <c r="EY1037" s="33" t="s">
        <v>224</v>
      </c>
      <c r="EZ1037" s="33" t="s">
        <v>225</v>
      </c>
      <c r="FA1037" s="33" t="s">
        <v>51</v>
      </c>
      <c r="FB1037" s="33" t="s">
        <v>52</v>
      </c>
      <c r="FC1037" s="33" t="s">
        <v>53</v>
      </c>
      <c r="FD1037" s="33" t="s">
        <v>54</v>
      </c>
      <c r="FE1037" s="33">
        <v>2019</v>
      </c>
      <c r="FF1037" s="33" t="s">
        <v>55</v>
      </c>
      <c r="FG1037" s="33" t="s">
        <v>56</v>
      </c>
      <c r="FH1037" s="33" t="s">
        <v>57</v>
      </c>
      <c r="FI1037" s="33" t="s">
        <v>58</v>
      </c>
      <c r="FJ1037" t="s">
        <v>59</v>
      </c>
      <c r="FM1037" s="32" t="s">
        <v>2082</v>
      </c>
      <c r="FN1037" t="s">
        <v>2082</v>
      </c>
      <c r="FO1037" t="s">
        <v>2083</v>
      </c>
      <c r="FP1037" t="str">
        <f t="shared" si="201"/>
        <v>C</v>
      </c>
    </row>
    <row r="1038" spans="153:172" x14ac:dyDescent="0.35">
      <c r="EW1038" t="s">
        <v>2339</v>
      </c>
      <c r="EX1038" s="33" t="s">
        <v>2417</v>
      </c>
      <c r="EY1038" s="33" t="s">
        <v>229</v>
      </c>
      <c r="EZ1038" s="33" t="s">
        <v>230</v>
      </c>
      <c r="FA1038" s="33" t="s">
        <v>51</v>
      </c>
      <c r="FB1038" s="33" t="s">
        <v>52</v>
      </c>
      <c r="FC1038" s="33" t="s">
        <v>53</v>
      </c>
      <c r="FD1038" s="33" t="s">
        <v>54</v>
      </c>
      <c r="FE1038" s="33">
        <v>2019</v>
      </c>
      <c r="FF1038" s="33" t="s">
        <v>55</v>
      </c>
      <c r="FG1038" s="33" t="s">
        <v>56</v>
      </c>
      <c r="FH1038" s="33" t="s">
        <v>57</v>
      </c>
      <c r="FI1038" s="33" t="s">
        <v>58</v>
      </c>
      <c r="FJ1038" t="s">
        <v>59</v>
      </c>
      <c r="FM1038" s="32" t="s">
        <v>1744</v>
      </c>
      <c r="FN1038" t="s">
        <v>1744</v>
      </c>
      <c r="FO1038" t="s">
        <v>1745</v>
      </c>
      <c r="FP1038" t="str">
        <f t="shared" si="201"/>
        <v>C</v>
      </c>
    </row>
    <row r="1039" spans="153:172" x14ac:dyDescent="0.35">
      <c r="EW1039" t="s">
        <v>2339</v>
      </c>
      <c r="EX1039" s="33" t="s">
        <v>2418</v>
      </c>
      <c r="EY1039" s="33" t="s">
        <v>231</v>
      </c>
      <c r="EZ1039" s="33" t="s">
        <v>232</v>
      </c>
      <c r="FA1039" s="33" t="s">
        <v>51</v>
      </c>
      <c r="FB1039" s="33" t="s">
        <v>52</v>
      </c>
      <c r="FC1039" s="33" t="s">
        <v>53</v>
      </c>
      <c r="FD1039" s="33" t="s">
        <v>54</v>
      </c>
      <c r="FE1039" s="33">
        <v>2019</v>
      </c>
      <c r="FF1039" s="33" t="s">
        <v>55</v>
      </c>
      <c r="FG1039" s="33" t="s">
        <v>56</v>
      </c>
      <c r="FH1039" s="33" t="s">
        <v>57</v>
      </c>
      <c r="FI1039" s="33" t="s">
        <v>58</v>
      </c>
      <c r="FJ1039" t="s">
        <v>59</v>
      </c>
      <c r="FM1039" s="32" t="s">
        <v>1977</v>
      </c>
      <c r="FN1039" t="s">
        <v>1977</v>
      </c>
      <c r="FO1039" t="s">
        <v>1978</v>
      </c>
      <c r="FP1039" t="str">
        <f t="shared" si="201"/>
        <v>C</v>
      </c>
    </row>
    <row r="1040" spans="153:172" x14ac:dyDescent="0.35">
      <c r="EW1040" t="s">
        <v>2339</v>
      </c>
      <c r="EX1040" s="33" t="s">
        <v>2419</v>
      </c>
      <c r="EY1040" s="33" t="s">
        <v>233</v>
      </c>
      <c r="EZ1040" s="33" t="s">
        <v>234</v>
      </c>
      <c r="FA1040" s="33" t="s">
        <v>51</v>
      </c>
      <c r="FB1040" s="33" t="s">
        <v>52</v>
      </c>
      <c r="FC1040" s="33" t="s">
        <v>53</v>
      </c>
      <c r="FD1040" s="33" t="s">
        <v>54</v>
      </c>
      <c r="FE1040" s="33">
        <v>2019</v>
      </c>
      <c r="FF1040" s="33" t="s">
        <v>55</v>
      </c>
      <c r="FG1040" s="33" t="s">
        <v>56</v>
      </c>
      <c r="FH1040" s="33" t="s">
        <v>57</v>
      </c>
      <c r="FI1040" s="33" t="s">
        <v>58</v>
      </c>
      <c r="FJ1040" t="s">
        <v>59</v>
      </c>
      <c r="FM1040" s="32" t="s">
        <v>2315</v>
      </c>
      <c r="FN1040" t="s">
        <v>2315</v>
      </c>
      <c r="FO1040" t="s">
        <v>2316</v>
      </c>
      <c r="FP1040" t="str">
        <f t="shared" si="201"/>
        <v>C</v>
      </c>
    </row>
    <row r="1041" spans="153:172" x14ac:dyDescent="0.35">
      <c r="EW1041" t="s">
        <v>2339</v>
      </c>
      <c r="EX1041" s="33" t="s">
        <v>2420</v>
      </c>
      <c r="EY1041" s="33" t="s">
        <v>235</v>
      </c>
      <c r="EZ1041" s="33" t="s">
        <v>236</v>
      </c>
      <c r="FA1041" s="33" t="s">
        <v>51</v>
      </c>
      <c r="FB1041" s="33" t="s">
        <v>52</v>
      </c>
      <c r="FC1041" s="33" t="s">
        <v>53</v>
      </c>
      <c r="FD1041" s="33" t="s">
        <v>54</v>
      </c>
      <c r="FE1041" s="33">
        <v>2019</v>
      </c>
      <c r="FF1041" s="33" t="s">
        <v>55</v>
      </c>
      <c r="FG1041" s="33" t="s">
        <v>56</v>
      </c>
      <c r="FH1041" s="33" t="s">
        <v>57</v>
      </c>
      <c r="FI1041" s="33" t="s">
        <v>58</v>
      </c>
      <c r="FJ1041" t="s">
        <v>59</v>
      </c>
      <c r="FM1041" s="32" t="s">
        <v>2421</v>
      </c>
      <c r="FN1041" t="s">
        <v>2421</v>
      </c>
      <c r="FO1041" t="s">
        <v>2422</v>
      </c>
      <c r="FP1041" t="str">
        <f t="shared" si="201"/>
        <v>C</v>
      </c>
    </row>
    <row r="1042" spans="153:172" x14ac:dyDescent="0.35">
      <c r="EW1042" t="s">
        <v>2339</v>
      </c>
      <c r="EX1042" s="33" t="s">
        <v>2423</v>
      </c>
      <c r="EY1042" s="33" t="s">
        <v>237</v>
      </c>
      <c r="EZ1042" s="33" t="s">
        <v>238</v>
      </c>
      <c r="FA1042" s="33" t="s">
        <v>51</v>
      </c>
      <c r="FB1042" s="33" t="s">
        <v>52</v>
      </c>
      <c r="FC1042" s="33" t="s">
        <v>53</v>
      </c>
      <c r="FD1042" s="33" t="s">
        <v>54</v>
      </c>
      <c r="FE1042" s="33">
        <v>2019</v>
      </c>
      <c r="FF1042" s="33" t="s">
        <v>55</v>
      </c>
      <c r="FG1042" s="33" t="s">
        <v>71</v>
      </c>
      <c r="FH1042" s="33" t="s">
        <v>72</v>
      </c>
      <c r="FI1042" s="33" t="s">
        <v>73</v>
      </c>
      <c r="FJ1042" t="s">
        <v>59</v>
      </c>
      <c r="FM1042" s="32" t="s">
        <v>1497</v>
      </c>
      <c r="FN1042" t="s">
        <v>1497</v>
      </c>
      <c r="FO1042" t="s">
        <v>1498</v>
      </c>
      <c r="FP1042" t="str">
        <f t="shared" si="201"/>
        <v>C</v>
      </c>
    </row>
    <row r="1043" spans="153:172" x14ac:dyDescent="0.35">
      <c r="EW1043" t="s">
        <v>2339</v>
      </c>
      <c r="EX1043" s="33" t="s">
        <v>2424</v>
      </c>
      <c r="EY1043" s="33" t="s">
        <v>239</v>
      </c>
      <c r="EZ1043" s="33" t="s">
        <v>240</v>
      </c>
      <c r="FA1043" s="33" t="s">
        <v>51</v>
      </c>
      <c r="FB1043" s="33" t="s">
        <v>52</v>
      </c>
      <c r="FC1043" s="33" t="s">
        <v>53</v>
      </c>
      <c r="FD1043" s="33" t="s">
        <v>54</v>
      </c>
      <c r="FE1043" s="33">
        <v>2019</v>
      </c>
      <c r="FF1043" s="33" t="s">
        <v>55</v>
      </c>
      <c r="FG1043" s="33" t="s">
        <v>56</v>
      </c>
      <c r="FH1043" s="33" t="s">
        <v>57</v>
      </c>
      <c r="FI1043" s="33" t="s">
        <v>58</v>
      </c>
      <c r="FJ1043" t="s">
        <v>59</v>
      </c>
      <c r="FM1043" s="32" t="s">
        <v>2364</v>
      </c>
      <c r="FN1043" t="s">
        <v>2364</v>
      </c>
      <c r="FO1043" t="s">
        <v>2365</v>
      </c>
      <c r="FP1043" t="str">
        <f t="shared" si="201"/>
        <v>C</v>
      </c>
    </row>
    <row r="1044" spans="153:172" x14ac:dyDescent="0.35">
      <c r="EW1044" t="s">
        <v>2339</v>
      </c>
      <c r="EX1044" s="33" t="s">
        <v>2425</v>
      </c>
      <c r="EY1044" s="33" t="s">
        <v>241</v>
      </c>
      <c r="EZ1044" s="33" t="s">
        <v>242</v>
      </c>
      <c r="FA1044" s="33" t="s">
        <v>51</v>
      </c>
      <c r="FB1044" s="33" t="s">
        <v>52</v>
      </c>
      <c r="FC1044" s="33" t="s">
        <v>53</v>
      </c>
      <c r="FD1044" s="33" t="s">
        <v>54</v>
      </c>
      <c r="FE1044" s="33">
        <v>2019</v>
      </c>
      <c r="FF1044" s="33" t="s">
        <v>55</v>
      </c>
      <c r="FG1044" s="33" t="s">
        <v>56</v>
      </c>
      <c r="FH1044" s="33" t="s">
        <v>57</v>
      </c>
      <c r="FI1044" s="33" t="s">
        <v>58</v>
      </c>
      <c r="FJ1044" t="s">
        <v>59</v>
      </c>
      <c r="FM1044" s="32" t="s">
        <v>2388</v>
      </c>
      <c r="FN1044" t="s">
        <v>2388</v>
      </c>
      <c r="FO1044" t="s">
        <v>2389</v>
      </c>
      <c r="FP1044" t="str">
        <f t="shared" si="201"/>
        <v>C</v>
      </c>
    </row>
    <row r="1045" spans="153:172" x14ac:dyDescent="0.35">
      <c r="EW1045" t="s">
        <v>2339</v>
      </c>
      <c r="EX1045" s="33" t="s">
        <v>2426</v>
      </c>
      <c r="EY1045" s="33" t="s">
        <v>243</v>
      </c>
      <c r="EZ1045" s="33" t="s">
        <v>244</v>
      </c>
      <c r="FA1045" s="33" t="s">
        <v>51</v>
      </c>
      <c r="FB1045" s="33" t="s">
        <v>52</v>
      </c>
      <c r="FC1045" s="33" t="s">
        <v>53</v>
      </c>
      <c r="FD1045" s="33" t="s">
        <v>54</v>
      </c>
      <c r="FE1045" s="33">
        <v>2019</v>
      </c>
      <c r="FF1045" s="33" t="s">
        <v>55</v>
      </c>
      <c r="FG1045" s="33" t="s">
        <v>56</v>
      </c>
      <c r="FH1045" s="33" t="s">
        <v>57</v>
      </c>
      <c r="FI1045" s="33" t="s">
        <v>58</v>
      </c>
      <c r="FJ1045" t="s">
        <v>59</v>
      </c>
      <c r="FM1045" s="32" t="s">
        <v>2427</v>
      </c>
      <c r="FN1045" t="s">
        <v>2427</v>
      </c>
      <c r="FO1045" t="s">
        <v>2428</v>
      </c>
      <c r="FP1045" t="str">
        <f t="shared" si="201"/>
        <v>C</v>
      </c>
    </row>
    <row r="1046" spans="153:172" x14ac:dyDescent="0.35">
      <c r="EW1046" t="s">
        <v>2339</v>
      </c>
      <c r="EX1046" s="33" t="s">
        <v>2429</v>
      </c>
      <c r="EY1046" s="33" t="s">
        <v>248</v>
      </c>
      <c r="EZ1046" s="33" t="s">
        <v>249</v>
      </c>
      <c r="FA1046" s="33" t="s">
        <v>51</v>
      </c>
      <c r="FB1046" s="33" t="s">
        <v>52</v>
      </c>
      <c r="FC1046" s="33" t="s">
        <v>53</v>
      </c>
      <c r="FD1046" s="33" t="s">
        <v>54</v>
      </c>
      <c r="FE1046" s="33">
        <v>2019</v>
      </c>
      <c r="FF1046" s="33" t="s">
        <v>55</v>
      </c>
      <c r="FG1046" s="33" t="s">
        <v>56</v>
      </c>
      <c r="FH1046" s="33" t="s">
        <v>57</v>
      </c>
      <c r="FI1046" s="33" t="s">
        <v>58</v>
      </c>
      <c r="FJ1046" t="s">
        <v>59</v>
      </c>
      <c r="FM1046" s="32" t="s">
        <v>1759</v>
      </c>
      <c r="FN1046" t="s">
        <v>1759</v>
      </c>
      <c r="FO1046" t="s">
        <v>1760</v>
      </c>
      <c r="FP1046" t="str">
        <f t="shared" si="201"/>
        <v>C</v>
      </c>
    </row>
    <row r="1047" spans="153:172" x14ac:dyDescent="0.35">
      <c r="EW1047" t="s">
        <v>2339</v>
      </c>
      <c r="EX1047" s="33" t="s">
        <v>2430</v>
      </c>
      <c r="EY1047" s="33" t="s">
        <v>250</v>
      </c>
      <c r="EZ1047" s="33" t="s">
        <v>251</v>
      </c>
      <c r="FA1047" s="33" t="s">
        <v>51</v>
      </c>
      <c r="FB1047" s="33" t="s">
        <v>52</v>
      </c>
      <c r="FC1047" s="33" t="s">
        <v>53</v>
      </c>
      <c r="FD1047" s="33" t="s">
        <v>54</v>
      </c>
      <c r="FE1047" s="33">
        <v>2019</v>
      </c>
      <c r="FF1047" s="33" t="s">
        <v>55</v>
      </c>
      <c r="FG1047" s="33" t="s">
        <v>71</v>
      </c>
      <c r="FH1047" s="33" t="s">
        <v>72</v>
      </c>
      <c r="FI1047" s="33" t="s">
        <v>73</v>
      </c>
      <c r="FJ1047" t="s">
        <v>59</v>
      </c>
      <c r="FM1047" s="32" t="s">
        <v>1848</v>
      </c>
      <c r="FN1047" t="s">
        <v>1848</v>
      </c>
      <c r="FO1047" t="s">
        <v>1849</v>
      </c>
      <c r="FP1047" t="str">
        <f t="shared" si="201"/>
        <v>C</v>
      </c>
    </row>
    <row r="1048" spans="153:172" x14ac:dyDescent="0.35">
      <c r="EW1048" t="s">
        <v>2339</v>
      </c>
      <c r="EX1048" s="33" t="s">
        <v>2431</v>
      </c>
      <c r="EY1048" s="33" t="s">
        <v>252</v>
      </c>
      <c r="EZ1048" s="33" t="s">
        <v>253</v>
      </c>
      <c r="FA1048" s="33" t="s">
        <v>51</v>
      </c>
      <c r="FB1048" s="33" t="s">
        <v>52</v>
      </c>
      <c r="FC1048" s="33" t="s">
        <v>53</v>
      </c>
      <c r="FD1048" s="33" t="s">
        <v>54</v>
      </c>
      <c r="FE1048" s="33">
        <v>2019</v>
      </c>
      <c r="FF1048" s="33" t="s">
        <v>55</v>
      </c>
      <c r="FG1048" s="33" t="s">
        <v>56</v>
      </c>
      <c r="FH1048" s="33" t="s">
        <v>57</v>
      </c>
      <c r="FI1048" s="33" t="s">
        <v>58</v>
      </c>
      <c r="FJ1048" t="s">
        <v>59</v>
      </c>
      <c r="FM1048" s="32" t="s">
        <v>1264</v>
      </c>
      <c r="FN1048" t="s">
        <v>1264</v>
      </c>
      <c r="FO1048" t="s">
        <v>1265</v>
      </c>
      <c r="FP1048" t="str">
        <f t="shared" si="201"/>
        <v>C</v>
      </c>
    </row>
    <row r="1049" spans="153:172" x14ac:dyDescent="0.35">
      <c r="EW1049" t="s">
        <v>2339</v>
      </c>
      <c r="EX1049" s="33" t="s">
        <v>2432</v>
      </c>
      <c r="EY1049" s="33" t="s">
        <v>254</v>
      </c>
      <c r="EZ1049" s="33" t="s">
        <v>255</v>
      </c>
      <c r="FA1049" s="33" t="s">
        <v>51</v>
      </c>
      <c r="FB1049" s="33" t="s">
        <v>52</v>
      </c>
      <c r="FC1049" s="33" t="s">
        <v>53</v>
      </c>
      <c r="FD1049" s="33" t="s">
        <v>54</v>
      </c>
      <c r="FE1049" s="33">
        <v>2019</v>
      </c>
      <c r="FF1049" s="33" t="s">
        <v>55</v>
      </c>
      <c r="FG1049" s="33" t="s">
        <v>56</v>
      </c>
      <c r="FH1049" s="33" t="s">
        <v>57</v>
      </c>
      <c r="FI1049" s="33" t="s">
        <v>58</v>
      </c>
      <c r="FJ1049" t="s">
        <v>59</v>
      </c>
      <c r="FM1049" s="32" t="s">
        <v>1839</v>
      </c>
      <c r="FN1049" t="s">
        <v>1839</v>
      </c>
      <c r="FO1049" t="s">
        <v>1840</v>
      </c>
      <c r="FP1049" t="str">
        <f t="shared" si="201"/>
        <v>C</v>
      </c>
    </row>
    <row r="1050" spans="153:172" x14ac:dyDescent="0.35">
      <c r="EW1050" t="s">
        <v>2339</v>
      </c>
      <c r="EX1050" s="33" t="s">
        <v>2433</v>
      </c>
      <c r="EY1050" s="33" t="s">
        <v>256</v>
      </c>
      <c r="EZ1050" s="33" t="s">
        <v>257</v>
      </c>
      <c r="FA1050" s="33" t="s">
        <v>51</v>
      </c>
      <c r="FB1050" s="33" t="s">
        <v>52</v>
      </c>
      <c r="FC1050" s="33" t="s">
        <v>53</v>
      </c>
      <c r="FD1050" s="33" t="s">
        <v>54</v>
      </c>
      <c r="FE1050" s="33">
        <v>2019</v>
      </c>
      <c r="FF1050" s="33" t="s">
        <v>55</v>
      </c>
      <c r="FG1050" s="33" t="s">
        <v>56</v>
      </c>
      <c r="FH1050" s="33" t="s">
        <v>57</v>
      </c>
      <c r="FI1050" s="33" t="s">
        <v>58</v>
      </c>
      <c r="FJ1050" t="s">
        <v>59</v>
      </c>
      <c r="FM1050" s="32" t="s">
        <v>1718</v>
      </c>
      <c r="FN1050" t="s">
        <v>1718</v>
      </c>
      <c r="FO1050" t="s">
        <v>1719</v>
      </c>
      <c r="FP1050" t="str">
        <f t="shared" si="201"/>
        <v>C</v>
      </c>
    </row>
    <row r="1051" spans="153:172" x14ac:dyDescent="0.35">
      <c r="EW1051" t="s">
        <v>2339</v>
      </c>
      <c r="EX1051" s="33" t="s">
        <v>2434</v>
      </c>
      <c r="EY1051" s="33" t="s">
        <v>261</v>
      </c>
      <c r="EZ1051" s="33" t="s">
        <v>262</v>
      </c>
      <c r="FA1051" s="33" t="s">
        <v>51</v>
      </c>
      <c r="FB1051" s="33" t="s">
        <v>52</v>
      </c>
      <c r="FC1051" s="33" t="s">
        <v>53</v>
      </c>
      <c r="FD1051" s="33" t="s">
        <v>54</v>
      </c>
      <c r="FE1051" s="33">
        <v>2019</v>
      </c>
      <c r="FF1051" s="33" t="s">
        <v>55</v>
      </c>
      <c r="FG1051" s="33" t="s">
        <v>71</v>
      </c>
      <c r="FH1051" s="33" t="s">
        <v>72</v>
      </c>
      <c r="FI1051" s="33" t="s">
        <v>73</v>
      </c>
      <c r="FJ1051" t="s">
        <v>59</v>
      </c>
      <c r="FM1051" s="32" t="s">
        <v>1252</v>
      </c>
      <c r="FN1051" t="s">
        <v>1252</v>
      </c>
      <c r="FO1051" t="s">
        <v>1253</v>
      </c>
      <c r="FP1051" t="str">
        <f t="shared" si="201"/>
        <v>C</v>
      </c>
    </row>
    <row r="1052" spans="153:172" x14ac:dyDescent="0.35">
      <c r="EW1052" t="s">
        <v>2339</v>
      </c>
      <c r="EX1052" s="33" t="s">
        <v>2435</v>
      </c>
      <c r="EY1052" s="33" t="s">
        <v>263</v>
      </c>
      <c r="EZ1052" s="33" t="s">
        <v>264</v>
      </c>
      <c r="FA1052" s="33" t="s">
        <v>51</v>
      </c>
      <c r="FB1052" s="33" t="s">
        <v>52</v>
      </c>
      <c r="FC1052" s="33" t="s">
        <v>53</v>
      </c>
      <c r="FD1052" s="33" t="s">
        <v>54</v>
      </c>
      <c r="FE1052" s="33">
        <v>2019</v>
      </c>
      <c r="FF1052" s="33" t="s">
        <v>55</v>
      </c>
      <c r="FG1052" s="33" t="s">
        <v>56</v>
      </c>
      <c r="FH1052" s="33" t="s">
        <v>57</v>
      </c>
      <c r="FI1052" s="33" t="s">
        <v>58</v>
      </c>
      <c r="FJ1052" t="s">
        <v>59</v>
      </c>
      <c r="FM1052" s="32" t="s">
        <v>1836</v>
      </c>
      <c r="FN1052" t="s">
        <v>1836</v>
      </c>
      <c r="FO1052" t="s">
        <v>1837</v>
      </c>
      <c r="FP1052" t="str">
        <f t="shared" si="201"/>
        <v>C</v>
      </c>
    </row>
    <row r="1053" spans="153:172" x14ac:dyDescent="0.35">
      <c r="EW1053" t="s">
        <v>2339</v>
      </c>
      <c r="EX1053" s="33" t="s">
        <v>2436</v>
      </c>
      <c r="EY1053" s="33" t="s">
        <v>265</v>
      </c>
      <c r="EZ1053" s="33" t="s">
        <v>266</v>
      </c>
      <c r="FA1053" s="33" t="s">
        <v>51</v>
      </c>
      <c r="FB1053" s="33" t="s">
        <v>52</v>
      </c>
      <c r="FC1053" s="33" t="s">
        <v>53</v>
      </c>
      <c r="FD1053" s="33" t="s">
        <v>54</v>
      </c>
      <c r="FE1053" s="33">
        <v>2019</v>
      </c>
      <c r="FF1053" s="33" t="s">
        <v>55</v>
      </c>
      <c r="FG1053" s="33" t="s">
        <v>56</v>
      </c>
      <c r="FH1053" s="33" t="s">
        <v>57</v>
      </c>
      <c r="FI1053" s="33" t="s">
        <v>58</v>
      </c>
      <c r="FJ1053" t="s">
        <v>59</v>
      </c>
      <c r="FM1053" s="32" t="s">
        <v>206</v>
      </c>
      <c r="FN1053" t="s">
        <v>207</v>
      </c>
      <c r="FO1053" t="s">
        <v>208</v>
      </c>
      <c r="FP1053" t="str">
        <f t="shared" si="201"/>
        <v>B</v>
      </c>
    </row>
    <row r="1054" spans="153:172" x14ac:dyDescent="0.35">
      <c r="EW1054" t="s">
        <v>2339</v>
      </c>
      <c r="EX1054" s="33" t="s">
        <v>2437</v>
      </c>
      <c r="EY1054" s="33" t="s">
        <v>267</v>
      </c>
      <c r="EZ1054" s="33" t="s">
        <v>268</v>
      </c>
      <c r="FA1054" s="33" t="s">
        <v>51</v>
      </c>
      <c r="FB1054" s="33" t="s">
        <v>52</v>
      </c>
      <c r="FC1054" s="33" t="s">
        <v>53</v>
      </c>
      <c r="FD1054" s="33" t="s">
        <v>54</v>
      </c>
      <c r="FE1054" s="33">
        <v>2019</v>
      </c>
      <c r="FF1054" s="33" t="s">
        <v>55</v>
      </c>
      <c r="FG1054" s="33" t="s">
        <v>71</v>
      </c>
      <c r="FH1054" s="33" t="s">
        <v>72</v>
      </c>
      <c r="FI1054" s="33" t="s">
        <v>73</v>
      </c>
      <c r="FJ1054" t="s">
        <v>59</v>
      </c>
      <c r="FM1054" s="32" t="s">
        <v>2398</v>
      </c>
      <c r="FN1054" t="s">
        <v>2398</v>
      </c>
      <c r="FO1054" t="s">
        <v>2399</v>
      </c>
      <c r="FP1054" t="str">
        <f t="shared" si="201"/>
        <v>C</v>
      </c>
    </row>
    <row r="1055" spans="153:172" x14ac:dyDescent="0.35">
      <c r="EW1055" t="s">
        <v>2339</v>
      </c>
      <c r="EX1055" s="33" t="s">
        <v>2438</v>
      </c>
      <c r="EY1055" s="33" t="s">
        <v>269</v>
      </c>
      <c r="EZ1055" s="33" t="s">
        <v>270</v>
      </c>
      <c r="FA1055" s="33" t="s">
        <v>51</v>
      </c>
      <c r="FB1055" s="33" t="s">
        <v>52</v>
      </c>
      <c r="FC1055" s="33" t="s">
        <v>53</v>
      </c>
      <c r="FD1055" s="33" t="s">
        <v>54</v>
      </c>
      <c r="FE1055" s="33">
        <v>2019</v>
      </c>
      <c r="FF1055" s="33" t="s">
        <v>55</v>
      </c>
      <c r="FG1055" s="33" t="s">
        <v>71</v>
      </c>
      <c r="FH1055" s="33" t="s">
        <v>72</v>
      </c>
      <c r="FI1055" s="33" t="s">
        <v>73</v>
      </c>
      <c r="FJ1055" t="s">
        <v>59</v>
      </c>
      <c r="FM1055" s="32" t="s">
        <v>2335</v>
      </c>
      <c r="FN1055" t="s">
        <v>2335</v>
      </c>
      <c r="FO1055" t="s">
        <v>2336</v>
      </c>
      <c r="FP1055" t="str">
        <f t="shared" si="201"/>
        <v>C</v>
      </c>
    </row>
    <row r="1056" spans="153:172" x14ac:dyDescent="0.35">
      <c r="EW1056" t="s">
        <v>2339</v>
      </c>
      <c r="EX1056" s="33" t="s">
        <v>2439</v>
      </c>
      <c r="EY1056" s="33" t="s">
        <v>274</v>
      </c>
      <c r="EZ1056" s="33" t="s">
        <v>275</v>
      </c>
      <c r="FA1056" s="33" t="s">
        <v>51</v>
      </c>
      <c r="FB1056" s="33" t="s">
        <v>52</v>
      </c>
      <c r="FC1056" s="33" t="s">
        <v>53</v>
      </c>
      <c r="FD1056" s="33" t="s">
        <v>54</v>
      </c>
      <c r="FE1056" s="33">
        <v>2019</v>
      </c>
      <c r="FF1056" s="33" t="s">
        <v>55</v>
      </c>
      <c r="FG1056" s="33" t="s">
        <v>71</v>
      </c>
      <c r="FH1056" s="33" t="s">
        <v>72</v>
      </c>
      <c r="FI1056" s="33" t="s">
        <v>73</v>
      </c>
      <c r="FJ1056" t="s">
        <v>59</v>
      </c>
      <c r="FM1056" s="32" t="s">
        <v>1894</v>
      </c>
      <c r="FN1056" t="s">
        <v>1894</v>
      </c>
      <c r="FO1056" t="s">
        <v>1895</v>
      </c>
      <c r="FP1056" t="str">
        <f t="shared" si="201"/>
        <v>C</v>
      </c>
    </row>
    <row r="1057" spans="153:172" x14ac:dyDescent="0.35">
      <c r="EW1057" t="s">
        <v>2339</v>
      </c>
      <c r="EX1057" s="33" t="s">
        <v>2440</v>
      </c>
      <c r="EY1057" s="33" t="s">
        <v>276</v>
      </c>
      <c r="EZ1057" s="33" t="s">
        <v>277</v>
      </c>
      <c r="FA1057" s="33" t="s">
        <v>51</v>
      </c>
      <c r="FB1057" s="33" t="s">
        <v>52</v>
      </c>
      <c r="FC1057" s="33" t="s">
        <v>53</v>
      </c>
      <c r="FD1057" s="33" t="s">
        <v>54</v>
      </c>
      <c r="FE1057" s="33">
        <v>2019</v>
      </c>
      <c r="FF1057" s="33" t="s">
        <v>55</v>
      </c>
      <c r="FG1057" s="33" t="s">
        <v>71</v>
      </c>
      <c r="FH1057" s="33" t="s">
        <v>72</v>
      </c>
      <c r="FI1057" s="33" t="s">
        <v>73</v>
      </c>
      <c r="FJ1057" t="s">
        <v>59</v>
      </c>
      <c r="FM1057" s="32" t="s">
        <v>2251</v>
      </c>
      <c r="FN1057" t="s">
        <v>2251</v>
      </c>
      <c r="FO1057" t="s">
        <v>2252</v>
      </c>
      <c r="FP1057" t="str">
        <f t="shared" si="201"/>
        <v>C</v>
      </c>
    </row>
    <row r="1058" spans="153:172" x14ac:dyDescent="0.35">
      <c r="EW1058" t="s">
        <v>2339</v>
      </c>
      <c r="EX1058" s="33" t="s">
        <v>2441</v>
      </c>
      <c r="EY1058" s="33" t="s">
        <v>281</v>
      </c>
      <c r="EZ1058" s="33" t="s">
        <v>282</v>
      </c>
      <c r="FA1058" s="33" t="s">
        <v>51</v>
      </c>
      <c r="FB1058" s="33" t="s">
        <v>52</v>
      </c>
      <c r="FC1058" s="33" t="s">
        <v>53</v>
      </c>
      <c r="FD1058" s="33" t="s">
        <v>54</v>
      </c>
      <c r="FE1058" s="33">
        <v>2019</v>
      </c>
      <c r="FF1058" s="33" t="s">
        <v>55</v>
      </c>
      <c r="FG1058" s="33" t="s">
        <v>56</v>
      </c>
      <c r="FH1058" s="33" t="s">
        <v>57</v>
      </c>
      <c r="FI1058" s="33" t="s">
        <v>58</v>
      </c>
      <c r="FJ1058" t="s">
        <v>59</v>
      </c>
      <c r="FM1058" s="32" t="s">
        <v>1897</v>
      </c>
      <c r="FN1058" t="s">
        <v>1897</v>
      </c>
      <c r="FO1058" t="s">
        <v>1898</v>
      </c>
      <c r="FP1058" t="str">
        <f t="shared" si="201"/>
        <v>C</v>
      </c>
    </row>
    <row r="1059" spans="153:172" x14ac:dyDescent="0.35">
      <c r="EW1059" t="s">
        <v>2339</v>
      </c>
      <c r="EX1059" s="33" t="s">
        <v>2442</v>
      </c>
      <c r="EY1059" s="33" t="s">
        <v>283</v>
      </c>
      <c r="EZ1059" s="33" t="s">
        <v>284</v>
      </c>
      <c r="FA1059" s="33" t="s">
        <v>51</v>
      </c>
      <c r="FB1059" s="33" t="s">
        <v>52</v>
      </c>
      <c r="FC1059" s="33" t="s">
        <v>53</v>
      </c>
      <c r="FD1059" s="33" t="s">
        <v>54</v>
      </c>
      <c r="FE1059" s="33">
        <v>2019</v>
      </c>
      <c r="FF1059" s="33" t="s">
        <v>55</v>
      </c>
      <c r="FG1059" s="33" t="s">
        <v>71</v>
      </c>
      <c r="FH1059" s="33" t="s">
        <v>72</v>
      </c>
      <c r="FI1059" s="33" t="s">
        <v>73</v>
      </c>
      <c r="FJ1059" t="s">
        <v>59</v>
      </c>
      <c r="FM1059" s="32" t="s">
        <v>1800</v>
      </c>
      <c r="FN1059" t="s">
        <v>1800</v>
      </c>
      <c r="FO1059" t="s">
        <v>1801</v>
      </c>
      <c r="FP1059" t="str">
        <f t="shared" si="201"/>
        <v>C</v>
      </c>
    </row>
    <row r="1060" spans="153:172" x14ac:dyDescent="0.35">
      <c r="EW1060" t="s">
        <v>2339</v>
      </c>
      <c r="EX1060" s="33" t="s">
        <v>2443</v>
      </c>
      <c r="EY1060" s="33" t="s">
        <v>285</v>
      </c>
      <c r="EZ1060" s="33" t="s">
        <v>286</v>
      </c>
      <c r="FA1060" s="33" t="s">
        <v>51</v>
      </c>
      <c r="FB1060" s="33" t="s">
        <v>52</v>
      </c>
      <c r="FC1060" s="33" t="s">
        <v>53</v>
      </c>
      <c r="FD1060" s="33" t="s">
        <v>54</v>
      </c>
      <c r="FE1060" s="33">
        <v>2019</v>
      </c>
      <c r="FF1060" s="33" t="s">
        <v>55</v>
      </c>
      <c r="FG1060" s="33" t="s">
        <v>56</v>
      </c>
      <c r="FH1060" s="33" t="s">
        <v>57</v>
      </c>
      <c r="FI1060" s="33" t="s">
        <v>58</v>
      </c>
      <c r="FJ1060" t="s">
        <v>59</v>
      </c>
      <c r="FM1060" s="32" t="s">
        <v>1418</v>
      </c>
      <c r="FN1060" t="s">
        <v>1418</v>
      </c>
      <c r="FO1060" t="s">
        <v>1419</v>
      </c>
      <c r="FP1060" t="str">
        <f t="shared" si="201"/>
        <v>C</v>
      </c>
    </row>
    <row r="1061" spans="153:172" x14ac:dyDescent="0.35">
      <c r="EW1061" t="s">
        <v>2339</v>
      </c>
      <c r="EX1061" s="33" t="s">
        <v>2444</v>
      </c>
      <c r="EY1061" s="33" t="s">
        <v>287</v>
      </c>
      <c r="EZ1061" s="33" t="s">
        <v>288</v>
      </c>
      <c r="FA1061" s="33" t="s">
        <v>51</v>
      </c>
      <c r="FB1061" s="33" t="s">
        <v>52</v>
      </c>
      <c r="FC1061" s="33" t="s">
        <v>53</v>
      </c>
      <c r="FD1061" s="33" t="s">
        <v>54</v>
      </c>
      <c r="FE1061" s="33">
        <v>2019</v>
      </c>
      <c r="FF1061" s="33" t="s">
        <v>55</v>
      </c>
      <c r="FG1061" s="33" t="s">
        <v>56</v>
      </c>
      <c r="FH1061" s="33" t="s">
        <v>57</v>
      </c>
      <c r="FI1061" s="33" t="s">
        <v>58</v>
      </c>
      <c r="FJ1061" t="s">
        <v>59</v>
      </c>
      <c r="FM1061" s="32" t="s">
        <v>2271</v>
      </c>
      <c r="FN1061" t="s">
        <v>2271</v>
      </c>
      <c r="FO1061" t="s">
        <v>2272</v>
      </c>
      <c r="FP1061" t="str">
        <f t="shared" si="201"/>
        <v>C</v>
      </c>
    </row>
    <row r="1062" spans="153:172" x14ac:dyDescent="0.35">
      <c r="EW1062" t="s">
        <v>2339</v>
      </c>
      <c r="EX1062" s="33" t="s">
        <v>2445</v>
      </c>
      <c r="EY1062" s="33" t="s">
        <v>289</v>
      </c>
      <c r="EZ1062" s="33" t="s">
        <v>290</v>
      </c>
      <c r="FA1062" s="33" t="s">
        <v>51</v>
      </c>
      <c r="FB1062" s="33" t="s">
        <v>52</v>
      </c>
      <c r="FC1062" s="33" t="s">
        <v>53</v>
      </c>
      <c r="FD1062" s="33" t="s">
        <v>54</v>
      </c>
      <c r="FE1062" s="33">
        <v>2019</v>
      </c>
      <c r="FF1062" s="33" t="s">
        <v>55</v>
      </c>
      <c r="FG1062" s="33" t="s">
        <v>71</v>
      </c>
      <c r="FH1062" s="33" t="s">
        <v>72</v>
      </c>
      <c r="FI1062" s="33" t="s">
        <v>73</v>
      </c>
      <c r="FJ1062" t="s">
        <v>59</v>
      </c>
      <c r="FM1062" s="32" t="s">
        <v>1292</v>
      </c>
      <c r="FN1062" t="s">
        <v>1292</v>
      </c>
      <c r="FO1062" t="s">
        <v>1293</v>
      </c>
      <c r="FP1062" t="str">
        <f t="shared" si="201"/>
        <v>C</v>
      </c>
    </row>
    <row r="1063" spans="153:172" x14ac:dyDescent="0.35">
      <c r="EW1063" t="s">
        <v>2339</v>
      </c>
      <c r="EX1063" s="33" t="s">
        <v>2446</v>
      </c>
      <c r="EY1063" s="33" t="s">
        <v>291</v>
      </c>
      <c r="EZ1063" s="33" t="s">
        <v>292</v>
      </c>
      <c r="FA1063" s="33" t="s">
        <v>51</v>
      </c>
      <c r="FB1063" s="33" t="s">
        <v>52</v>
      </c>
      <c r="FC1063" s="33" t="s">
        <v>53</v>
      </c>
      <c r="FD1063" s="33" t="s">
        <v>54</v>
      </c>
      <c r="FE1063" s="33">
        <v>2019</v>
      </c>
      <c r="FF1063" s="33" t="s">
        <v>55</v>
      </c>
      <c r="FG1063" s="33" t="s">
        <v>71</v>
      </c>
      <c r="FH1063" s="33" t="s">
        <v>72</v>
      </c>
      <c r="FI1063" s="33" t="s">
        <v>73</v>
      </c>
      <c r="FJ1063" t="s">
        <v>59</v>
      </c>
      <c r="FM1063" s="32" t="s">
        <v>1860</v>
      </c>
      <c r="FN1063" t="s">
        <v>1860</v>
      </c>
      <c r="FO1063" t="s">
        <v>1861</v>
      </c>
      <c r="FP1063" t="str">
        <f t="shared" si="201"/>
        <v>C</v>
      </c>
    </row>
    <row r="1064" spans="153:172" x14ac:dyDescent="0.35">
      <c r="EW1064" t="s">
        <v>2339</v>
      </c>
      <c r="EX1064" s="33" t="s">
        <v>2447</v>
      </c>
      <c r="EY1064" s="33" t="s">
        <v>293</v>
      </c>
      <c r="EZ1064" s="33" t="s">
        <v>294</v>
      </c>
      <c r="FA1064" s="33" t="s">
        <v>51</v>
      </c>
      <c r="FB1064" s="33" t="s">
        <v>52</v>
      </c>
      <c r="FC1064" s="33" t="s">
        <v>53</v>
      </c>
      <c r="FD1064" s="33" t="s">
        <v>54</v>
      </c>
      <c r="FE1064" s="33">
        <v>2019</v>
      </c>
      <c r="FF1064" s="33" t="s">
        <v>55</v>
      </c>
      <c r="FG1064" s="33" t="s">
        <v>71</v>
      </c>
      <c r="FH1064" s="33" t="s">
        <v>72</v>
      </c>
      <c r="FI1064" s="33" t="s">
        <v>73</v>
      </c>
      <c r="FJ1064" t="s">
        <v>59</v>
      </c>
      <c r="FM1064" s="32" t="s">
        <v>1914</v>
      </c>
      <c r="FN1064" t="s">
        <v>1914</v>
      </c>
      <c r="FO1064" t="s">
        <v>1915</v>
      </c>
      <c r="FP1064" t="str">
        <f t="shared" si="201"/>
        <v>C</v>
      </c>
    </row>
    <row r="1065" spans="153:172" x14ac:dyDescent="0.35">
      <c r="EW1065" t="s">
        <v>2339</v>
      </c>
      <c r="EX1065" s="33" t="s">
        <v>2448</v>
      </c>
      <c r="EY1065" s="33" t="s">
        <v>298</v>
      </c>
      <c r="EZ1065" s="33" t="s">
        <v>299</v>
      </c>
      <c r="FA1065" s="33" t="s">
        <v>51</v>
      </c>
      <c r="FB1065" s="33" t="s">
        <v>52</v>
      </c>
      <c r="FC1065" s="33" t="s">
        <v>53</v>
      </c>
      <c r="FD1065" s="33" t="s">
        <v>54</v>
      </c>
      <c r="FE1065" s="33">
        <v>2019</v>
      </c>
      <c r="FF1065" s="33" t="s">
        <v>55</v>
      </c>
      <c r="FG1065" s="33" t="s">
        <v>71</v>
      </c>
      <c r="FH1065" s="33" t="s">
        <v>72</v>
      </c>
      <c r="FI1065" s="33" t="s">
        <v>73</v>
      </c>
      <c r="FJ1065" t="s">
        <v>59</v>
      </c>
      <c r="FM1065" s="32" t="s">
        <v>2245</v>
      </c>
      <c r="FN1065" t="s">
        <v>2245</v>
      </c>
      <c r="FO1065" t="s">
        <v>2246</v>
      </c>
      <c r="FP1065" t="str">
        <f t="shared" si="201"/>
        <v>C</v>
      </c>
    </row>
    <row r="1066" spans="153:172" x14ac:dyDescent="0.35">
      <c r="EW1066" t="s">
        <v>2339</v>
      </c>
      <c r="EX1066" s="33" t="s">
        <v>2449</v>
      </c>
      <c r="EY1066" s="33" t="s">
        <v>300</v>
      </c>
      <c r="EZ1066" s="33" t="s">
        <v>301</v>
      </c>
      <c r="FA1066" s="33" t="s">
        <v>51</v>
      </c>
      <c r="FB1066" s="33" t="s">
        <v>52</v>
      </c>
      <c r="FC1066" s="33" t="s">
        <v>53</v>
      </c>
      <c r="FD1066" s="33" t="s">
        <v>54</v>
      </c>
      <c r="FE1066" s="33">
        <v>2019</v>
      </c>
      <c r="FF1066" s="33" t="s">
        <v>55</v>
      </c>
      <c r="FG1066" s="33" t="s">
        <v>56</v>
      </c>
      <c r="FH1066" s="33" t="s">
        <v>57</v>
      </c>
      <c r="FI1066" s="33" t="s">
        <v>58</v>
      </c>
      <c r="FJ1066" t="s">
        <v>59</v>
      </c>
      <c r="FM1066" s="32" t="s">
        <v>1804</v>
      </c>
      <c r="FN1066" t="s">
        <v>1804</v>
      </c>
      <c r="FO1066" t="s">
        <v>1805</v>
      </c>
      <c r="FP1066" t="str">
        <f t="shared" si="201"/>
        <v>C</v>
      </c>
    </row>
    <row r="1067" spans="153:172" x14ac:dyDescent="0.35">
      <c r="EW1067" t="s">
        <v>2339</v>
      </c>
      <c r="EX1067" s="33" t="s">
        <v>2450</v>
      </c>
      <c r="EY1067" s="33" t="s">
        <v>302</v>
      </c>
      <c r="EZ1067" s="33" t="s">
        <v>303</v>
      </c>
      <c r="FA1067" s="33" t="s">
        <v>51</v>
      </c>
      <c r="FB1067" s="33" t="s">
        <v>52</v>
      </c>
      <c r="FC1067" s="33" t="s">
        <v>53</v>
      </c>
      <c r="FD1067" s="33" t="s">
        <v>54</v>
      </c>
      <c r="FE1067" s="33">
        <v>2019</v>
      </c>
      <c r="FF1067" s="33" t="s">
        <v>55</v>
      </c>
      <c r="FG1067" s="33" t="s">
        <v>71</v>
      </c>
      <c r="FH1067" s="33" t="s">
        <v>72</v>
      </c>
      <c r="FI1067" s="33" t="s">
        <v>73</v>
      </c>
      <c r="FJ1067" t="s">
        <v>59</v>
      </c>
      <c r="FM1067" s="32" t="s">
        <v>2351</v>
      </c>
      <c r="FN1067" t="s">
        <v>2351</v>
      </c>
      <c r="FO1067" t="s">
        <v>2352</v>
      </c>
      <c r="FP1067" t="str">
        <f t="shared" si="201"/>
        <v>C</v>
      </c>
    </row>
    <row r="1068" spans="153:172" x14ac:dyDescent="0.35">
      <c r="EW1068" t="s">
        <v>2339</v>
      </c>
      <c r="EX1068" s="33" t="s">
        <v>2451</v>
      </c>
      <c r="EY1068" s="33" t="s">
        <v>304</v>
      </c>
      <c r="EZ1068" s="33" t="s">
        <v>305</v>
      </c>
      <c r="FA1068" s="33" t="s">
        <v>51</v>
      </c>
      <c r="FB1068" s="33" t="s">
        <v>52</v>
      </c>
      <c r="FC1068" s="33" t="s">
        <v>53</v>
      </c>
      <c r="FD1068" s="33" t="s">
        <v>54</v>
      </c>
      <c r="FE1068" s="33">
        <v>2019</v>
      </c>
      <c r="FF1068" s="33" t="s">
        <v>55</v>
      </c>
      <c r="FG1068" s="33" t="s">
        <v>71</v>
      </c>
      <c r="FH1068" s="33" t="s">
        <v>72</v>
      </c>
      <c r="FI1068" s="33" t="s">
        <v>73</v>
      </c>
      <c r="FJ1068" t="s">
        <v>59</v>
      </c>
      <c r="FM1068" s="32" t="s">
        <v>1768</v>
      </c>
      <c r="FN1068" t="s">
        <v>1768</v>
      </c>
      <c r="FO1068" t="s">
        <v>1769</v>
      </c>
      <c r="FP1068" t="str">
        <f t="shared" si="201"/>
        <v>C</v>
      </c>
    </row>
    <row r="1069" spans="153:172" x14ac:dyDescent="0.35">
      <c r="EW1069" t="s">
        <v>2339</v>
      </c>
      <c r="EX1069" s="33" t="s">
        <v>2452</v>
      </c>
      <c r="EY1069" s="33" t="s">
        <v>306</v>
      </c>
      <c r="EZ1069" s="33" t="s">
        <v>307</v>
      </c>
      <c r="FA1069" s="33" t="s">
        <v>51</v>
      </c>
      <c r="FB1069" s="33" t="s">
        <v>52</v>
      </c>
      <c r="FC1069" s="33" t="s">
        <v>53</v>
      </c>
      <c r="FD1069" s="33" t="s">
        <v>54</v>
      </c>
      <c r="FE1069" s="33">
        <v>2019</v>
      </c>
      <c r="FF1069" s="33" t="s">
        <v>55</v>
      </c>
      <c r="FG1069" s="33" t="s">
        <v>56</v>
      </c>
      <c r="FH1069" s="33" t="s">
        <v>57</v>
      </c>
      <c r="FI1069" s="33" t="s">
        <v>58</v>
      </c>
      <c r="FJ1069" t="s">
        <v>59</v>
      </c>
      <c r="FM1069" s="32" t="s">
        <v>1173</v>
      </c>
      <c r="FN1069" t="s">
        <v>1174</v>
      </c>
      <c r="FO1069" t="s">
        <v>1175</v>
      </c>
      <c r="FP1069" t="str">
        <f t="shared" si="201"/>
        <v>C</v>
      </c>
    </row>
    <row r="1070" spans="153:172" x14ac:dyDescent="0.35">
      <c r="EW1070" t="s">
        <v>2339</v>
      </c>
      <c r="EX1070" s="33" t="s">
        <v>2453</v>
      </c>
      <c r="EY1070" s="33" t="s">
        <v>311</v>
      </c>
      <c r="EZ1070" s="33" t="s">
        <v>312</v>
      </c>
      <c r="FA1070" s="33" t="s">
        <v>51</v>
      </c>
      <c r="FB1070" s="33" t="s">
        <v>52</v>
      </c>
      <c r="FC1070" s="33" t="s">
        <v>53</v>
      </c>
      <c r="FD1070" s="33" t="s">
        <v>54</v>
      </c>
      <c r="FE1070" s="33">
        <v>2019</v>
      </c>
      <c r="FF1070" s="33" t="s">
        <v>55</v>
      </c>
      <c r="FG1070" s="33" t="s">
        <v>71</v>
      </c>
      <c r="FH1070" s="33" t="s">
        <v>72</v>
      </c>
      <c r="FI1070" s="33" t="s">
        <v>73</v>
      </c>
      <c r="FJ1070" t="s">
        <v>59</v>
      </c>
      <c r="FM1070" s="32" t="s">
        <v>2454</v>
      </c>
      <c r="FN1070" t="s">
        <v>2454</v>
      </c>
      <c r="FO1070" t="s">
        <v>2455</v>
      </c>
      <c r="FP1070" t="str">
        <f t="shared" si="201"/>
        <v>C</v>
      </c>
    </row>
    <row r="1071" spans="153:172" x14ac:dyDescent="0.35">
      <c r="EW1071" t="s">
        <v>2339</v>
      </c>
      <c r="EX1071" s="33" t="s">
        <v>2342</v>
      </c>
      <c r="EY1071" s="33" t="s">
        <v>313</v>
      </c>
      <c r="EZ1071" s="33" t="s">
        <v>314</v>
      </c>
      <c r="FA1071" s="33" t="s">
        <v>51</v>
      </c>
      <c r="FB1071" s="33" t="s">
        <v>52</v>
      </c>
      <c r="FC1071" s="33" t="s">
        <v>53</v>
      </c>
      <c r="FD1071" s="33" t="s">
        <v>54</v>
      </c>
      <c r="FE1071" s="33">
        <v>2019</v>
      </c>
      <c r="FF1071" s="33" t="s">
        <v>55</v>
      </c>
      <c r="FG1071" s="33" t="s">
        <v>56</v>
      </c>
      <c r="FH1071" s="33" t="s">
        <v>57</v>
      </c>
      <c r="FI1071" s="33" t="s">
        <v>58</v>
      </c>
      <c r="FJ1071" t="s">
        <v>59</v>
      </c>
      <c r="FM1071" s="32" t="s">
        <v>2379</v>
      </c>
      <c r="FN1071" t="s">
        <v>2379</v>
      </c>
      <c r="FO1071" t="s">
        <v>2380</v>
      </c>
      <c r="FP1071" t="str">
        <f t="shared" si="201"/>
        <v>C</v>
      </c>
    </row>
    <row r="1072" spans="153:172" x14ac:dyDescent="0.35">
      <c r="EW1072" t="s">
        <v>2339</v>
      </c>
      <c r="EX1072" s="33" t="s">
        <v>2456</v>
      </c>
      <c r="EY1072" s="33" t="s">
        <v>315</v>
      </c>
      <c r="EZ1072" s="33" t="s">
        <v>316</v>
      </c>
      <c r="FA1072" s="33" t="s">
        <v>51</v>
      </c>
      <c r="FB1072" s="33" t="s">
        <v>52</v>
      </c>
      <c r="FC1072" s="33" t="s">
        <v>53</v>
      </c>
      <c r="FD1072" s="33" t="s">
        <v>54</v>
      </c>
      <c r="FE1072" s="33">
        <v>2019</v>
      </c>
      <c r="FF1072" s="33" t="s">
        <v>55</v>
      </c>
      <c r="FG1072" s="33" t="s">
        <v>71</v>
      </c>
      <c r="FH1072" s="33" t="s">
        <v>72</v>
      </c>
      <c r="FI1072" s="33" t="s">
        <v>73</v>
      </c>
      <c r="FJ1072" t="s">
        <v>59</v>
      </c>
      <c r="FM1072" s="32" t="s">
        <v>2307</v>
      </c>
      <c r="FN1072" t="s">
        <v>2307</v>
      </c>
      <c r="FO1072" t="s">
        <v>2308</v>
      </c>
      <c r="FP1072" t="str">
        <f t="shared" si="201"/>
        <v>C</v>
      </c>
    </row>
    <row r="1073" spans="153:172" x14ac:dyDescent="0.35">
      <c r="EW1073" t="s">
        <v>2339</v>
      </c>
      <c r="EX1073" s="33" t="s">
        <v>2457</v>
      </c>
      <c r="EY1073" s="33" t="s">
        <v>317</v>
      </c>
      <c r="EZ1073" s="33" t="s">
        <v>318</v>
      </c>
      <c r="FA1073" s="33" t="s">
        <v>51</v>
      </c>
      <c r="FB1073" s="33" t="s">
        <v>52</v>
      </c>
      <c r="FC1073" s="33" t="s">
        <v>53</v>
      </c>
      <c r="FD1073" s="33" t="s">
        <v>54</v>
      </c>
      <c r="FE1073" s="33">
        <v>2019</v>
      </c>
      <c r="FF1073" s="33" t="s">
        <v>55</v>
      </c>
      <c r="FG1073" s="33" t="s">
        <v>71</v>
      </c>
      <c r="FH1073" s="33" t="s">
        <v>72</v>
      </c>
      <c r="FI1073" s="33" t="s">
        <v>73</v>
      </c>
      <c r="FJ1073" t="s">
        <v>59</v>
      </c>
      <c r="FM1073" s="32" t="s">
        <v>1937</v>
      </c>
      <c r="FN1073" t="s">
        <v>1937</v>
      </c>
      <c r="FO1073" t="s">
        <v>1938</v>
      </c>
      <c r="FP1073" t="str">
        <f t="shared" si="201"/>
        <v>C</v>
      </c>
    </row>
    <row r="1074" spans="153:172" x14ac:dyDescent="0.35">
      <c r="EW1074" t="s">
        <v>2339</v>
      </c>
      <c r="EX1074" s="33" t="s">
        <v>2458</v>
      </c>
      <c r="EY1074" s="33" t="s">
        <v>322</v>
      </c>
      <c r="EZ1074" s="33" t="s">
        <v>323</v>
      </c>
      <c r="FA1074" s="33" t="s">
        <v>51</v>
      </c>
      <c r="FB1074" s="33" t="s">
        <v>52</v>
      </c>
      <c r="FC1074" s="33" t="s">
        <v>53</v>
      </c>
      <c r="FD1074" s="33" t="s">
        <v>54</v>
      </c>
      <c r="FE1074" s="33">
        <v>2019</v>
      </c>
      <c r="FF1074" s="33" t="s">
        <v>55</v>
      </c>
      <c r="FG1074" s="33" t="s">
        <v>71</v>
      </c>
      <c r="FH1074" s="33" t="s">
        <v>72</v>
      </c>
      <c r="FI1074" s="33" t="s">
        <v>73</v>
      </c>
      <c r="FJ1074" t="s">
        <v>59</v>
      </c>
      <c r="FM1074" s="32" t="s">
        <v>2427</v>
      </c>
      <c r="FN1074" t="s">
        <v>2427</v>
      </c>
      <c r="FO1074" t="s">
        <v>2428</v>
      </c>
      <c r="FP1074" t="str">
        <f t="shared" si="201"/>
        <v>C</v>
      </c>
    </row>
    <row r="1075" spans="153:172" x14ac:dyDescent="0.35">
      <c r="EW1075" t="s">
        <v>2339</v>
      </c>
      <c r="EX1075" s="33" t="s">
        <v>2459</v>
      </c>
      <c r="EY1075" s="33" t="s">
        <v>324</v>
      </c>
      <c r="EZ1075" s="33" t="s">
        <v>325</v>
      </c>
      <c r="FA1075" s="33" t="s">
        <v>51</v>
      </c>
      <c r="FB1075" s="33" t="s">
        <v>52</v>
      </c>
      <c r="FC1075" s="33" t="s">
        <v>53</v>
      </c>
      <c r="FD1075" s="33" t="s">
        <v>54</v>
      </c>
      <c r="FE1075" s="33">
        <v>2019</v>
      </c>
      <c r="FF1075" s="33" t="s">
        <v>55</v>
      </c>
      <c r="FG1075" s="33" t="s">
        <v>71</v>
      </c>
      <c r="FH1075" s="33" t="s">
        <v>72</v>
      </c>
      <c r="FI1075" s="33" t="s">
        <v>73</v>
      </c>
      <c r="FJ1075" t="s">
        <v>59</v>
      </c>
      <c r="FM1075" s="32" t="s">
        <v>1162</v>
      </c>
      <c r="FN1075" t="s">
        <v>1163</v>
      </c>
      <c r="FO1075" t="s">
        <v>1164</v>
      </c>
      <c r="FP1075" t="str">
        <f t="shared" si="201"/>
        <v>C</v>
      </c>
    </row>
    <row r="1076" spans="153:172" x14ac:dyDescent="0.35">
      <c r="EW1076" t="s">
        <v>2339</v>
      </c>
      <c r="EX1076" s="33" t="s">
        <v>2460</v>
      </c>
      <c r="EY1076" s="33" t="s">
        <v>326</v>
      </c>
      <c r="EZ1076" s="33" t="s">
        <v>327</v>
      </c>
      <c r="FA1076" s="33" t="s">
        <v>51</v>
      </c>
      <c r="FB1076" s="33" t="s">
        <v>52</v>
      </c>
      <c r="FC1076" s="33" t="s">
        <v>53</v>
      </c>
      <c r="FD1076" s="33" t="s">
        <v>54</v>
      </c>
      <c r="FE1076" s="33">
        <v>2019</v>
      </c>
      <c r="FF1076" s="33" t="s">
        <v>55</v>
      </c>
      <c r="FG1076" s="33" t="s">
        <v>71</v>
      </c>
      <c r="FH1076" s="33" t="s">
        <v>72</v>
      </c>
      <c r="FI1076" s="33" t="s">
        <v>73</v>
      </c>
      <c r="FJ1076" t="s">
        <v>59</v>
      </c>
      <c r="FM1076" s="32" t="s">
        <v>1839</v>
      </c>
      <c r="FN1076" t="s">
        <v>1839</v>
      </c>
      <c r="FO1076" t="s">
        <v>1840</v>
      </c>
      <c r="FP1076" t="str">
        <f t="shared" si="201"/>
        <v>C</v>
      </c>
    </row>
    <row r="1077" spans="153:172" x14ac:dyDescent="0.35">
      <c r="EW1077" t="s">
        <v>2339</v>
      </c>
      <c r="EX1077" s="33" t="s">
        <v>2461</v>
      </c>
      <c r="EY1077" s="33" t="s">
        <v>328</v>
      </c>
      <c r="EZ1077" s="33" t="s">
        <v>329</v>
      </c>
      <c r="FA1077" s="33" t="s">
        <v>51</v>
      </c>
      <c r="FB1077" s="33" t="s">
        <v>52</v>
      </c>
      <c r="FC1077" s="33" t="s">
        <v>53</v>
      </c>
      <c r="FD1077" s="33" t="s">
        <v>54</v>
      </c>
      <c r="FE1077" s="33">
        <v>2019</v>
      </c>
      <c r="FF1077" s="33" t="s">
        <v>55</v>
      </c>
      <c r="FG1077" s="33" t="s">
        <v>71</v>
      </c>
      <c r="FH1077" s="33" t="s">
        <v>72</v>
      </c>
      <c r="FI1077" s="33" t="s">
        <v>73</v>
      </c>
      <c r="FJ1077" t="s">
        <v>59</v>
      </c>
      <c r="FM1077" s="32" t="s">
        <v>1955</v>
      </c>
      <c r="FN1077" t="s">
        <v>1955</v>
      </c>
      <c r="FO1077" t="s">
        <v>1956</v>
      </c>
      <c r="FP1077" t="str">
        <f t="shared" si="201"/>
        <v>C</v>
      </c>
    </row>
    <row r="1078" spans="153:172" x14ac:dyDescent="0.35">
      <c r="EW1078" t="s">
        <v>2339</v>
      </c>
      <c r="EX1078" s="33" t="s">
        <v>2462</v>
      </c>
      <c r="EY1078" s="33" t="s">
        <v>330</v>
      </c>
      <c r="EZ1078" s="33" t="s">
        <v>331</v>
      </c>
      <c r="FA1078" s="33" t="s">
        <v>51</v>
      </c>
      <c r="FB1078" s="33" t="s">
        <v>52</v>
      </c>
      <c r="FC1078" s="33" t="s">
        <v>53</v>
      </c>
      <c r="FD1078" s="33" t="s">
        <v>54</v>
      </c>
      <c r="FE1078" s="33">
        <v>2019</v>
      </c>
      <c r="FF1078" s="33" t="s">
        <v>55</v>
      </c>
      <c r="FG1078" s="33" t="s">
        <v>71</v>
      </c>
      <c r="FH1078" s="33" t="s">
        <v>72</v>
      </c>
      <c r="FI1078" s="33" t="s">
        <v>73</v>
      </c>
      <c r="FJ1078" t="s">
        <v>59</v>
      </c>
      <c r="FM1078" s="32" t="s">
        <v>1774</v>
      </c>
      <c r="FN1078" t="s">
        <v>1774</v>
      </c>
      <c r="FO1078" t="s">
        <v>1775</v>
      </c>
      <c r="FP1078" t="str">
        <f t="shared" si="201"/>
        <v>C</v>
      </c>
    </row>
    <row r="1079" spans="153:172" x14ac:dyDescent="0.35">
      <c r="EW1079" t="s">
        <v>2339</v>
      </c>
      <c r="EX1079" s="33" t="s">
        <v>2463</v>
      </c>
      <c r="EY1079" s="33" t="s">
        <v>332</v>
      </c>
      <c r="EZ1079" s="33" t="s">
        <v>333</v>
      </c>
      <c r="FA1079" s="33" t="s">
        <v>51</v>
      </c>
      <c r="FB1079" s="33" t="s">
        <v>52</v>
      </c>
      <c r="FC1079" s="33" t="s">
        <v>53</v>
      </c>
      <c r="FD1079" s="33" t="s">
        <v>54</v>
      </c>
      <c r="FE1079" s="33">
        <v>2019</v>
      </c>
      <c r="FF1079" s="33" t="s">
        <v>55</v>
      </c>
      <c r="FG1079" s="33" t="s">
        <v>71</v>
      </c>
      <c r="FH1079" s="33" t="s">
        <v>72</v>
      </c>
      <c r="FI1079" s="33" t="s">
        <v>73</v>
      </c>
      <c r="FJ1079" t="s">
        <v>59</v>
      </c>
      <c r="FM1079" s="32" t="s">
        <v>1328</v>
      </c>
      <c r="FN1079" t="s">
        <v>1328</v>
      </c>
      <c r="FO1079" t="s">
        <v>1329</v>
      </c>
      <c r="FP1079" t="str">
        <f t="shared" si="201"/>
        <v>C</v>
      </c>
    </row>
    <row r="1080" spans="153:172" x14ac:dyDescent="0.35">
      <c r="EW1080" t="s">
        <v>2339</v>
      </c>
      <c r="EX1080" s="33" t="s">
        <v>2464</v>
      </c>
      <c r="EY1080" s="33" t="s">
        <v>334</v>
      </c>
      <c r="EZ1080" s="33" t="s">
        <v>335</v>
      </c>
      <c r="FA1080" s="33" t="s">
        <v>51</v>
      </c>
      <c r="FB1080" s="33" t="s">
        <v>52</v>
      </c>
      <c r="FC1080" s="33" t="s">
        <v>53</v>
      </c>
      <c r="FD1080" s="33" t="s">
        <v>54</v>
      </c>
      <c r="FE1080" s="33">
        <v>2019</v>
      </c>
      <c r="FF1080" s="33" t="s">
        <v>55</v>
      </c>
      <c r="FG1080" s="33" t="s">
        <v>71</v>
      </c>
      <c r="FH1080" s="33" t="s">
        <v>72</v>
      </c>
      <c r="FI1080" s="33" t="s">
        <v>73</v>
      </c>
      <c r="FJ1080" t="s">
        <v>59</v>
      </c>
      <c r="FM1080" s="32" t="s">
        <v>1242</v>
      </c>
      <c r="FN1080" t="s">
        <v>1242</v>
      </c>
      <c r="FO1080" t="s">
        <v>1243</v>
      </c>
      <c r="FP1080" t="str">
        <f t="shared" si="201"/>
        <v>C</v>
      </c>
    </row>
    <row r="1081" spans="153:172" x14ac:dyDescent="0.35">
      <c r="EW1081" t="s">
        <v>2339</v>
      </c>
      <c r="EX1081" s="33" t="s">
        <v>2465</v>
      </c>
      <c r="EY1081" s="33" t="s">
        <v>336</v>
      </c>
      <c r="EZ1081" s="33" t="s">
        <v>337</v>
      </c>
      <c r="FA1081" s="33" t="s">
        <v>51</v>
      </c>
      <c r="FB1081" s="33" t="s">
        <v>52</v>
      </c>
      <c r="FC1081" s="33" t="s">
        <v>53</v>
      </c>
      <c r="FD1081" s="33" t="s">
        <v>54</v>
      </c>
      <c r="FE1081" s="33">
        <v>2019</v>
      </c>
      <c r="FF1081" s="33" t="s">
        <v>55</v>
      </c>
      <c r="FG1081" s="33" t="s">
        <v>71</v>
      </c>
      <c r="FH1081" s="33" t="s">
        <v>72</v>
      </c>
      <c r="FI1081" s="33" t="s">
        <v>73</v>
      </c>
      <c r="FJ1081" t="s">
        <v>59</v>
      </c>
      <c r="FM1081" s="32" t="s">
        <v>1215</v>
      </c>
      <c r="FN1081" t="s">
        <v>1215</v>
      </c>
      <c r="FO1081" t="s">
        <v>1216</v>
      </c>
      <c r="FP1081" t="str">
        <f t="shared" si="201"/>
        <v>C</v>
      </c>
    </row>
    <row r="1082" spans="153:172" x14ac:dyDescent="0.35">
      <c r="EW1082" t="s">
        <v>2339</v>
      </c>
      <c r="EX1082" s="33" t="s">
        <v>2466</v>
      </c>
      <c r="EY1082" s="33" t="s">
        <v>341</v>
      </c>
      <c r="EZ1082" s="33" t="s">
        <v>342</v>
      </c>
      <c r="FA1082" s="33" t="s">
        <v>343</v>
      </c>
      <c r="FB1082" s="33" t="s">
        <v>344</v>
      </c>
      <c r="FC1082" s="33" t="s">
        <v>345</v>
      </c>
      <c r="FD1082" s="33" t="s">
        <v>346</v>
      </c>
      <c r="FE1082" s="33">
        <v>2025</v>
      </c>
      <c r="FF1082" s="33" t="s">
        <v>59</v>
      </c>
      <c r="FG1082" s="33" t="s">
        <v>71</v>
      </c>
      <c r="FH1082" s="33" t="s">
        <v>72</v>
      </c>
      <c r="FI1082" s="33" t="s">
        <v>73</v>
      </c>
      <c r="FJ1082" t="s">
        <v>59</v>
      </c>
      <c r="FM1082" s="32" t="s">
        <v>1292</v>
      </c>
      <c r="FN1082" t="s">
        <v>1292</v>
      </c>
      <c r="FO1082" t="s">
        <v>1293</v>
      </c>
      <c r="FP1082" t="str">
        <f t="shared" si="201"/>
        <v>C</v>
      </c>
    </row>
    <row r="1083" spans="153:172" x14ac:dyDescent="0.35">
      <c r="EW1083" t="s">
        <v>2339</v>
      </c>
      <c r="EX1083" s="33" t="s">
        <v>2467</v>
      </c>
      <c r="EY1083" s="33" t="s">
        <v>350</v>
      </c>
      <c r="EZ1083" s="33" t="s">
        <v>351</v>
      </c>
      <c r="FA1083" s="33" t="s">
        <v>343</v>
      </c>
      <c r="FB1083" s="33" t="s">
        <v>344</v>
      </c>
      <c r="FC1083" s="33" t="s">
        <v>345</v>
      </c>
      <c r="FD1083" s="33" t="s">
        <v>346</v>
      </c>
      <c r="FE1083" s="33">
        <v>2025</v>
      </c>
      <c r="FF1083" s="33" t="s">
        <v>59</v>
      </c>
      <c r="FG1083" s="33" t="s">
        <v>71</v>
      </c>
      <c r="FH1083" s="33" t="s">
        <v>72</v>
      </c>
      <c r="FI1083" s="33" t="s">
        <v>73</v>
      </c>
      <c r="FJ1083" t="s">
        <v>59</v>
      </c>
      <c r="FM1083" s="32" t="s">
        <v>1252</v>
      </c>
      <c r="FN1083" t="s">
        <v>1252</v>
      </c>
      <c r="FO1083" t="s">
        <v>1253</v>
      </c>
      <c r="FP1083" t="str">
        <f t="shared" si="201"/>
        <v>C</v>
      </c>
    </row>
    <row r="1084" spans="153:172" x14ac:dyDescent="0.35">
      <c r="EW1084" t="s">
        <v>2339</v>
      </c>
      <c r="EX1084" s="33" t="s">
        <v>2468</v>
      </c>
      <c r="EY1084" s="33" t="s">
        <v>352</v>
      </c>
      <c r="EZ1084" s="33" t="s">
        <v>353</v>
      </c>
      <c r="FA1084" s="33" t="s">
        <v>343</v>
      </c>
      <c r="FB1084" s="33" t="s">
        <v>344</v>
      </c>
      <c r="FC1084" s="33" t="s">
        <v>345</v>
      </c>
      <c r="FD1084" s="33" t="s">
        <v>346</v>
      </c>
      <c r="FE1084" s="33">
        <v>2025</v>
      </c>
      <c r="FF1084" s="33" t="s">
        <v>59</v>
      </c>
      <c r="FG1084" s="33" t="s">
        <v>71</v>
      </c>
      <c r="FH1084" s="33" t="s">
        <v>72</v>
      </c>
      <c r="FI1084" s="33" t="s">
        <v>73</v>
      </c>
      <c r="FJ1084" t="s">
        <v>59</v>
      </c>
      <c r="FM1084" s="32" t="s">
        <v>2469</v>
      </c>
      <c r="FN1084" t="s">
        <v>2469</v>
      </c>
      <c r="FO1084" t="s">
        <v>2470</v>
      </c>
      <c r="FP1084" t="str">
        <f t="shared" si="201"/>
        <v>C</v>
      </c>
    </row>
    <row r="1085" spans="153:172" x14ac:dyDescent="0.35">
      <c r="EW1085" t="s">
        <v>2339</v>
      </c>
      <c r="EX1085" s="33" t="s">
        <v>2471</v>
      </c>
      <c r="EY1085" s="33" t="s">
        <v>354</v>
      </c>
      <c r="EZ1085" s="33" t="s">
        <v>355</v>
      </c>
      <c r="FA1085" s="33" t="s">
        <v>343</v>
      </c>
      <c r="FB1085" s="33" t="s">
        <v>344</v>
      </c>
      <c r="FC1085" s="33" t="s">
        <v>345</v>
      </c>
      <c r="FD1085" s="33" t="s">
        <v>346</v>
      </c>
      <c r="FE1085" s="33">
        <v>2025</v>
      </c>
      <c r="FF1085" s="33" t="s">
        <v>59</v>
      </c>
      <c r="FG1085" s="33" t="s">
        <v>71</v>
      </c>
      <c r="FH1085" s="33" t="s">
        <v>72</v>
      </c>
      <c r="FI1085" s="33" t="s">
        <v>73</v>
      </c>
      <c r="FJ1085" t="s">
        <v>59</v>
      </c>
      <c r="FM1085" s="32" t="s">
        <v>2245</v>
      </c>
      <c r="FN1085" t="s">
        <v>2245</v>
      </c>
      <c r="FO1085" t="s">
        <v>2246</v>
      </c>
      <c r="FP1085" t="str">
        <f t="shared" si="201"/>
        <v>C</v>
      </c>
    </row>
    <row r="1086" spans="153:172" x14ac:dyDescent="0.35">
      <c r="EW1086" t="s">
        <v>2339</v>
      </c>
      <c r="EX1086" s="33" t="s">
        <v>2472</v>
      </c>
      <c r="EY1086" s="33" t="s">
        <v>356</v>
      </c>
      <c r="EZ1086" s="33" t="s">
        <v>357</v>
      </c>
      <c r="FA1086" s="33" t="s">
        <v>343</v>
      </c>
      <c r="FB1086" s="33" t="s">
        <v>344</v>
      </c>
      <c r="FC1086" s="33" t="s">
        <v>345</v>
      </c>
      <c r="FD1086" s="33" t="s">
        <v>346</v>
      </c>
      <c r="FE1086" s="33">
        <v>2025</v>
      </c>
      <c r="FF1086" s="33" t="s">
        <v>59</v>
      </c>
      <c r="FG1086" s="33" t="s">
        <v>71</v>
      </c>
      <c r="FH1086" s="33" t="s">
        <v>72</v>
      </c>
      <c r="FI1086" s="33" t="s">
        <v>73</v>
      </c>
      <c r="FJ1086" t="s">
        <v>59</v>
      </c>
      <c r="FM1086" s="32" t="s">
        <v>1762</v>
      </c>
      <c r="FN1086" t="s">
        <v>1762</v>
      </c>
      <c r="FO1086" t="s">
        <v>1763</v>
      </c>
      <c r="FP1086" t="str">
        <f t="shared" si="201"/>
        <v>C</v>
      </c>
    </row>
    <row r="1087" spans="153:172" x14ac:dyDescent="0.35">
      <c r="EW1087" t="s">
        <v>2339</v>
      </c>
      <c r="EX1087" s="33" t="s">
        <v>2473</v>
      </c>
      <c r="EY1087" s="33" t="s">
        <v>358</v>
      </c>
      <c r="EZ1087" s="33" t="s">
        <v>359</v>
      </c>
      <c r="FA1087" s="33" t="s">
        <v>343</v>
      </c>
      <c r="FB1087" s="33" t="s">
        <v>344</v>
      </c>
      <c r="FC1087" s="33" t="s">
        <v>345</v>
      </c>
      <c r="FD1087" s="33" t="s">
        <v>346</v>
      </c>
      <c r="FE1087" s="33">
        <v>2025</v>
      </c>
      <c r="FF1087" s="33" t="s">
        <v>59</v>
      </c>
      <c r="FG1087" s="33" t="s">
        <v>71</v>
      </c>
      <c r="FH1087" s="33" t="s">
        <v>72</v>
      </c>
      <c r="FI1087" s="33" t="s">
        <v>73</v>
      </c>
      <c r="FJ1087" t="s">
        <v>59</v>
      </c>
      <c r="FM1087" s="32" t="s">
        <v>1909</v>
      </c>
      <c r="FN1087" t="s">
        <v>1909</v>
      </c>
      <c r="FO1087" t="s">
        <v>1268</v>
      </c>
      <c r="FP1087" t="str">
        <f t="shared" si="201"/>
        <v>C</v>
      </c>
    </row>
    <row r="1088" spans="153:172" x14ac:dyDescent="0.35">
      <c r="EW1088" t="s">
        <v>2339</v>
      </c>
      <c r="EX1088" s="33" t="s">
        <v>2474</v>
      </c>
      <c r="EY1088" s="33" t="s">
        <v>363</v>
      </c>
      <c r="EZ1088" s="33" t="s">
        <v>364</v>
      </c>
      <c r="FA1088" s="33" t="s">
        <v>343</v>
      </c>
      <c r="FB1088" s="33" t="s">
        <v>344</v>
      </c>
      <c r="FC1088" s="33" t="s">
        <v>345</v>
      </c>
      <c r="FD1088" s="33" t="s">
        <v>346</v>
      </c>
      <c r="FE1088" s="33">
        <v>2025</v>
      </c>
      <c r="FF1088" s="33" t="s">
        <v>59</v>
      </c>
      <c r="FG1088" s="33" t="s">
        <v>71</v>
      </c>
      <c r="FH1088" s="33" t="s">
        <v>72</v>
      </c>
      <c r="FI1088" s="33" t="s">
        <v>73</v>
      </c>
      <c r="FJ1088" t="s">
        <v>59</v>
      </c>
      <c r="FM1088" s="32" t="s">
        <v>2301</v>
      </c>
      <c r="FN1088" t="s">
        <v>2301</v>
      </c>
      <c r="FO1088" t="s">
        <v>2302</v>
      </c>
      <c r="FP1088" t="str">
        <f t="shared" si="201"/>
        <v>C</v>
      </c>
    </row>
    <row r="1089" spans="153:172" x14ac:dyDescent="0.35">
      <c r="EW1089" t="s">
        <v>2339</v>
      </c>
      <c r="EX1089" s="33" t="s">
        <v>2475</v>
      </c>
      <c r="EY1089" s="33" t="s">
        <v>365</v>
      </c>
      <c r="EZ1089" s="33" t="s">
        <v>366</v>
      </c>
      <c r="FA1089" s="33" t="s">
        <v>343</v>
      </c>
      <c r="FB1089" s="33" t="s">
        <v>344</v>
      </c>
      <c r="FC1089" s="33" t="s">
        <v>345</v>
      </c>
      <c r="FD1089" s="33" t="s">
        <v>346</v>
      </c>
      <c r="FE1089" s="33">
        <v>2025</v>
      </c>
      <c r="FF1089" s="33" t="s">
        <v>59</v>
      </c>
      <c r="FG1089" s="33" t="s">
        <v>71</v>
      </c>
      <c r="FH1089" s="33" t="s">
        <v>72</v>
      </c>
      <c r="FI1089" s="33" t="s">
        <v>73</v>
      </c>
      <c r="FJ1089" t="s">
        <v>59</v>
      </c>
      <c r="FM1089" s="32" t="s">
        <v>1860</v>
      </c>
      <c r="FN1089" t="s">
        <v>1860</v>
      </c>
      <c r="FO1089" t="s">
        <v>1861</v>
      </c>
      <c r="FP1089" t="str">
        <f t="shared" ref="FP1089:FP1152" si="202">VLOOKUP(FO1089,EX:FF,9,0)</f>
        <v>C</v>
      </c>
    </row>
    <row r="1090" spans="153:172" x14ac:dyDescent="0.35">
      <c r="EW1090" t="s">
        <v>2339</v>
      </c>
      <c r="EX1090" s="33" t="s">
        <v>2476</v>
      </c>
      <c r="EY1090" s="33" t="s">
        <v>367</v>
      </c>
      <c r="EZ1090" s="33" t="s">
        <v>368</v>
      </c>
      <c r="FA1090" s="33" t="s">
        <v>343</v>
      </c>
      <c r="FB1090" s="33" t="s">
        <v>344</v>
      </c>
      <c r="FC1090" s="33" t="s">
        <v>345</v>
      </c>
      <c r="FD1090" s="33" t="s">
        <v>346</v>
      </c>
      <c r="FE1090" s="33">
        <v>2025</v>
      </c>
      <c r="FF1090" s="33" t="s">
        <v>59</v>
      </c>
      <c r="FG1090" s="33" t="s">
        <v>71</v>
      </c>
      <c r="FH1090" s="33" t="s">
        <v>72</v>
      </c>
      <c r="FI1090" s="33" t="s">
        <v>73</v>
      </c>
      <c r="FJ1090" t="s">
        <v>59</v>
      </c>
      <c r="FM1090" s="32" t="s">
        <v>2094</v>
      </c>
      <c r="FN1090" t="s">
        <v>2094</v>
      </c>
      <c r="FO1090" t="s">
        <v>1874</v>
      </c>
      <c r="FP1090" t="str">
        <f t="shared" si="202"/>
        <v>C</v>
      </c>
    </row>
    <row r="1091" spans="153:172" x14ac:dyDescent="0.35">
      <c r="EW1091" t="s">
        <v>2339</v>
      </c>
      <c r="EX1091" s="33" t="s">
        <v>2477</v>
      </c>
      <c r="EY1091" s="33" t="s">
        <v>369</v>
      </c>
      <c r="EZ1091" s="33" t="s">
        <v>370</v>
      </c>
      <c r="FA1091" s="33" t="s">
        <v>343</v>
      </c>
      <c r="FB1091" s="33" t="s">
        <v>344</v>
      </c>
      <c r="FC1091" s="33" t="s">
        <v>345</v>
      </c>
      <c r="FD1091" s="33" t="s">
        <v>346</v>
      </c>
      <c r="FE1091" s="33">
        <v>2025</v>
      </c>
      <c r="FF1091" s="33" t="s">
        <v>59</v>
      </c>
      <c r="FG1091" s="33" t="s">
        <v>71</v>
      </c>
      <c r="FH1091" s="33" t="s">
        <v>72</v>
      </c>
      <c r="FI1091" s="33" t="s">
        <v>73</v>
      </c>
      <c r="FJ1091" t="s">
        <v>59</v>
      </c>
      <c r="FM1091" s="32" t="s">
        <v>2315</v>
      </c>
      <c r="FN1091" t="s">
        <v>2315</v>
      </c>
      <c r="FO1091" t="s">
        <v>2316</v>
      </c>
      <c r="FP1091" t="str">
        <f t="shared" si="202"/>
        <v>C</v>
      </c>
    </row>
    <row r="1092" spans="153:172" x14ac:dyDescent="0.35">
      <c r="EW1092" t="s">
        <v>2339</v>
      </c>
      <c r="EX1092" s="33" t="s">
        <v>2478</v>
      </c>
      <c r="EY1092" s="33" t="s">
        <v>371</v>
      </c>
      <c r="EZ1092" s="33" t="s">
        <v>372</v>
      </c>
      <c r="FA1092" s="33" t="s">
        <v>343</v>
      </c>
      <c r="FB1092" s="33" t="s">
        <v>344</v>
      </c>
      <c r="FC1092" s="33" t="s">
        <v>345</v>
      </c>
      <c r="FD1092" s="33" t="s">
        <v>346</v>
      </c>
      <c r="FE1092" s="33">
        <v>2025</v>
      </c>
      <c r="FF1092" s="33" t="s">
        <v>59</v>
      </c>
      <c r="FG1092" s="33" t="s">
        <v>71</v>
      </c>
      <c r="FH1092" s="33" t="s">
        <v>72</v>
      </c>
      <c r="FI1092" s="33" t="s">
        <v>73</v>
      </c>
      <c r="FJ1092" t="s">
        <v>59</v>
      </c>
      <c r="FM1092" s="32" t="s">
        <v>1911</v>
      </c>
      <c r="FN1092" t="s">
        <v>1911</v>
      </c>
      <c r="FO1092" t="s">
        <v>1912</v>
      </c>
      <c r="FP1092" t="str">
        <f t="shared" si="202"/>
        <v>C</v>
      </c>
    </row>
    <row r="1093" spans="153:172" x14ac:dyDescent="0.35">
      <c r="EW1093" t="s">
        <v>2339</v>
      </c>
      <c r="EX1093" s="33" t="s">
        <v>2479</v>
      </c>
      <c r="EY1093" s="33" t="s">
        <v>373</v>
      </c>
      <c r="EZ1093" s="33" t="s">
        <v>374</v>
      </c>
      <c r="FA1093" s="33" t="s">
        <v>343</v>
      </c>
      <c r="FB1093" s="33" t="s">
        <v>344</v>
      </c>
      <c r="FC1093" s="33" t="s">
        <v>345</v>
      </c>
      <c r="FD1093" s="33" t="s">
        <v>346</v>
      </c>
      <c r="FE1093" s="33">
        <v>2025</v>
      </c>
      <c r="FF1093" s="33" t="s">
        <v>59</v>
      </c>
      <c r="FG1093" s="33" t="s">
        <v>71</v>
      </c>
      <c r="FH1093" s="33" t="s">
        <v>72</v>
      </c>
      <c r="FI1093" s="33" t="s">
        <v>73</v>
      </c>
      <c r="FJ1093" t="s">
        <v>59</v>
      </c>
      <c r="FM1093" s="32" t="s">
        <v>1547</v>
      </c>
      <c r="FN1093" t="s">
        <v>1547</v>
      </c>
      <c r="FO1093" t="s">
        <v>1548</v>
      </c>
      <c r="FP1093" t="str">
        <f t="shared" si="202"/>
        <v>C</v>
      </c>
    </row>
    <row r="1094" spans="153:172" x14ac:dyDescent="0.35">
      <c r="EW1094" t="s">
        <v>2339</v>
      </c>
      <c r="EX1094" s="33" t="s">
        <v>2480</v>
      </c>
      <c r="EY1094" s="33" t="s">
        <v>378</v>
      </c>
      <c r="EZ1094" s="33" t="s">
        <v>379</v>
      </c>
      <c r="FA1094" s="33" t="s">
        <v>343</v>
      </c>
      <c r="FB1094" s="33" t="s">
        <v>344</v>
      </c>
      <c r="FC1094" s="33" t="s">
        <v>345</v>
      </c>
      <c r="FD1094" s="33" t="s">
        <v>346</v>
      </c>
      <c r="FE1094" s="33">
        <v>2025</v>
      </c>
      <c r="FF1094" s="33" t="s">
        <v>59</v>
      </c>
      <c r="FG1094" s="33" t="s">
        <v>71</v>
      </c>
      <c r="FH1094" s="33" t="s">
        <v>72</v>
      </c>
      <c r="FI1094" s="33" t="s">
        <v>73</v>
      </c>
      <c r="FJ1094" t="s">
        <v>59</v>
      </c>
      <c r="FM1094" s="32" t="s">
        <v>1647</v>
      </c>
      <c r="FN1094" t="s">
        <v>1647</v>
      </c>
      <c r="FO1094" t="s">
        <v>1608</v>
      </c>
      <c r="FP1094" t="str">
        <f t="shared" si="202"/>
        <v>C</v>
      </c>
    </row>
    <row r="1095" spans="153:172" x14ac:dyDescent="0.35">
      <c r="EW1095" t="s">
        <v>2339</v>
      </c>
      <c r="EX1095" s="33" t="s">
        <v>2481</v>
      </c>
      <c r="EY1095" s="33" t="s">
        <v>380</v>
      </c>
      <c r="EZ1095" s="33" t="s">
        <v>381</v>
      </c>
      <c r="FA1095" s="33" t="s">
        <v>343</v>
      </c>
      <c r="FB1095" s="33" t="s">
        <v>344</v>
      </c>
      <c r="FC1095" s="33" t="s">
        <v>345</v>
      </c>
      <c r="FD1095" s="33" t="s">
        <v>346</v>
      </c>
      <c r="FE1095" s="33">
        <v>2025</v>
      </c>
      <c r="FF1095" s="33" t="s">
        <v>59</v>
      </c>
      <c r="FG1095" s="33" t="s">
        <v>71</v>
      </c>
      <c r="FH1095" s="33" t="s">
        <v>72</v>
      </c>
      <c r="FI1095" s="33" t="s">
        <v>73</v>
      </c>
      <c r="FJ1095" t="s">
        <v>59</v>
      </c>
      <c r="FM1095" s="32" t="s">
        <v>1491</v>
      </c>
      <c r="FN1095" t="s">
        <v>1491</v>
      </c>
      <c r="FO1095" t="s">
        <v>1492</v>
      </c>
      <c r="FP1095" t="str">
        <f t="shared" si="202"/>
        <v>C</v>
      </c>
    </row>
    <row r="1096" spans="153:172" x14ac:dyDescent="0.35">
      <c r="EW1096" t="s">
        <v>2339</v>
      </c>
      <c r="EX1096" s="33" t="s">
        <v>2482</v>
      </c>
      <c r="EY1096" s="33" t="s">
        <v>382</v>
      </c>
      <c r="EZ1096" s="33" t="s">
        <v>383</v>
      </c>
      <c r="FA1096" s="33" t="s">
        <v>343</v>
      </c>
      <c r="FB1096" s="33" t="s">
        <v>344</v>
      </c>
      <c r="FC1096" s="33" t="s">
        <v>345</v>
      </c>
      <c r="FD1096" s="33" t="s">
        <v>346</v>
      </c>
      <c r="FE1096" s="33">
        <v>2025</v>
      </c>
      <c r="FF1096" s="33" t="s">
        <v>59</v>
      </c>
      <c r="FG1096" s="33" t="s">
        <v>71</v>
      </c>
      <c r="FH1096" s="33" t="s">
        <v>72</v>
      </c>
      <c r="FI1096" s="33" t="s">
        <v>73</v>
      </c>
      <c r="FJ1096" t="s">
        <v>59</v>
      </c>
      <c r="FM1096" s="32" t="s">
        <v>2259</v>
      </c>
      <c r="FN1096" t="s">
        <v>2259</v>
      </c>
      <c r="FO1096" t="s">
        <v>2260</v>
      </c>
      <c r="FP1096" t="str">
        <f t="shared" si="202"/>
        <v>C</v>
      </c>
    </row>
    <row r="1097" spans="153:172" x14ac:dyDescent="0.35">
      <c r="EW1097" t="s">
        <v>2339</v>
      </c>
      <c r="EX1097" s="33" t="s">
        <v>2483</v>
      </c>
      <c r="EY1097" s="33" t="s">
        <v>384</v>
      </c>
      <c r="EZ1097" s="33" t="s">
        <v>385</v>
      </c>
      <c r="FA1097" s="33" t="s">
        <v>343</v>
      </c>
      <c r="FB1097" s="33" t="s">
        <v>344</v>
      </c>
      <c r="FC1097" s="33" t="s">
        <v>345</v>
      </c>
      <c r="FD1097" s="33" t="s">
        <v>346</v>
      </c>
      <c r="FE1097" s="33">
        <v>2025</v>
      </c>
      <c r="FF1097" s="33" t="s">
        <v>59</v>
      </c>
      <c r="FG1097" s="33" t="s">
        <v>386</v>
      </c>
      <c r="FH1097" s="33" t="s">
        <v>387</v>
      </c>
      <c r="FI1097" s="33" t="s">
        <v>58</v>
      </c>
      <c r="FJ1097" t="s">
        <v>59</v>
      </c>
      <c r="FM1097" s="32" t="s">
        <v>1900</v>
      </c>
      <c r="FN1097" t="s">
        <v>1900</v>
      </c>
      <c r="FO1097" t="s">
        <v>1901</v>
      </c>
      <c r="FP1097" t="str">
        <f t="shared" si="202"/>
        <v>C</v>
      </c>
    </row>
    <row r="1098" spans="153:172" x14ac:dyDescent="0.35">
      <c r="EW1098" t="s">
        <v>2339</v>
      </c>
      <c r="EX1098" s="33" t="s">
        <v>2484</v>
      </c>
      <c r="EY1098" s="33" t="s">
        <v>388</v>
      </c>
      <c r="EZ1098" s="33" t="s">
        <v>389</v>
      </c>
      <c r="FA1098" s="33" t="s">
        <v>343</v>
      </c>
      <c r="FB1098" s="33" t="s">
        <v>344</v>
      </c>
      <c r="FC1098" s="33" t="s">
        <v>345</v>
      </c>
      <c r="FD1098" s="33" t="s">
        <v>346</v>
      </c>
      <c r="FE1098" s="33">
        <v>2025</v>
      </c>
      <c r="FF1098" s="33" t="s">
        <v>59</v>
      </c>
      <c r="FG1098" s="33" t="s">
        <v>56</v>
      </c>
      <c r="FH1098" s="33" t="s">
        <v>57</v>
      </c>
      <c r="FI1098" s="33" t="s">
        <v>58</v>
      </c>
      <c r="FJ1098" t="s">
        <v>59</v>
      </c>
      <c r="FM1098" s="32" t="s">
        <v>1933</v>
      </c>
      <c r="FN1098" t="s">
        <v>1933</v>
      </c>
      <c r="FO1098" t="s">
        <v>1934</v>
      </c>
      <c r="FP1098" t="str">
        <f t="shared" si="202"/>
        <v>C</v>
      </c>
    </row>
    <row r="1099" spans="153:172" x14ac:dyDescent="0.35">
      <c r="EW1099" t="s">
        <v>2339</v>
      </c>
      <c r="EX1099" s="33" t="s">
        <v>2485</v>
      </c>
      <c r="EY1099" s="33" t="s">
        <v>390</v>
      </c>
      <c r="EZ1099" s="33" t="s">
        <v>391</v>
      </c>
      <c r="FA1099" s="33" t="s">
        <v>343</v>
      </c>
      <c r="FB1099" s="33" t="s">
        <v>344</v>
      </c>
      <c r="FC1099" s="33" t="s">
        <v>345</v>
      </c>
      <c r="FD1099" s="33" t="s">
        <v>346</v>
      </c>
      <c r="FE1099" s="33">
        <v>2025</v>
      </c>
      <c r="FF1099" s="33" t="s">
        <v>59</v>
      </c>
      <c r="FG1099" s="33" t="s">
        <v>56</v>
      </c>
      <c r="FH1099" s="33" t="s">
        <v>57</v>
      </c>
      <c r="FI1099" s="33" t="s">
        <v>58</v>
      </c>
      <c r="FJ1099" t="s">
        <v>59</v>
      </c>
      <c r="FM1099" s="32" t="s">
        <v>1825</v>
      </c>
      <c r="FN1099" t="s">
        <v>1825</v>
      </c>
      <c r="FO1099" t="s">
        <v>1826</v>
      </c>
      <c r="FP1099" t="str">
        <f t="shared" si="202"/>
        <v>C</v>
      </c>
    </row>
    <row r="1100" spans="153:172" x14ac:dyDescent="0.35">
      <c r="EW1100" t="s">
        <v>2339</v>
      </c>
      <c r="EX1100" s="33" t="s">
        <v>2486</v>
      </c>
      <c r="EY1100" s="33" t="s">
        <v>392</v>
      </c>
      <c r="EZ1100" s="33" t="s">
        <v>393</v>
      </c>
      <c r="FA1100" s="33" t="s">
        <v>343</v>
      </c>
      <c r="FB1100" s="33" t="s">
        <v>344</v>
      </c>
      <c r="FC1100" s="33" t="s">
        <v>345</v>
      </c>
      <c r="FD1100" s="33" t="s">
        <v>346</v>
      </c>
      <c r="FE1100" s="33">
        <v>2025</v>
      </c>
      <c r="FF1100" s="33" t="s">
        <v>59</v>
      </c>
      <c r="FG1100" s="33" t="s">
        <v>56</v>
      </c>
      <c r="FH1100" s="33" t="s">
        <v>57</v>
      </c>
      <c r="FI1100" s="33" t="s">
        <v>58</v>
      </c>
      <c r="FJ1100" t="s">
        <v>59</v>
      </c>
      <c r="FM1100" s="32" t="s">
        <v>1877</v>
      </c>
      <c r="FN1100" t="s">
        <v>1877</v>
      </c>
      <c r="FO1100" t="s">
        <v>1878</v>
      </c>
      <c r="FP1100" t="str">
        <f t="shared" si="202"/>
        <v>C</v>
      </c>
    </row>
    <row r="1101" spans="153:172" x14ac:dyDescent="0.35">
      <c r="EW1101" t="s">
        <v>2339</v>
      </c>
      <c r="EX1101" s="33" t="s">
        <v>2487</v>
      </c>
      <c r="EY1101" s="33" t="s">
        <v>394</v>
      </c>
      <c r="EZ1101" s="33" t="s">
        <v>395</v>
      </c>
      <c r="FA1101" s="33" t="s">
        <v>343</v>
      </c>
      <c r="FB1101" s="33" t="s">
        <v>344</v>
      </c>
      <c r="FC1101" s="33" t="s">
        <v>345</v>
      </c>
      <c r="FD1101" s="33" t="s">
        <v>346</v>
      </c>
      <c r="FE1101" s="33">
        <v>2025</v>
      </c>
      <c r="FF1101" s="33" t="s">
        <v>59</v>
      </c>
      <c r="FG1101" s="33" t="s">
        <v>71</v>
      </c>
      <c r="FH1101" s="33" t="s">
        <v>72</v>
      </c>
      <c r="FI1101" s="33" t="s">
        <v>73</v>
      </c>
      <c r="FJ1101" t="s">
        <v>59</v>
      </c>
      <c r="FM1101" s="32" t="s">
        <v>2351</v>
      </c>
      <c r="FN1101" t="s">
        <v>2351</v>
      </c>
      <c r="FO1101" t="s">
        <v>2352</v>
      </c>
      <c r="FP1101" t="str">
        <f t="shared" si="202"/>
        <v>C</v>
      </c>
    </row>
    <row r="1102" spans="153:172" x14ac:dyDescent="0.35">
      <c r="EW1102" t="s">
        <v>2339</v>
      </c>
      <c r="EX1102" s="33" t="s">
        <v>2488</v>
      </c>
      <c r="EY1102" s="33" t="s">
        <v>399</v>
      </c>
      <c r="EZ1102" s="33" t="s">
        <v>400</v>
      </c>
      <c r="FA1102" s="33" t="s">
        <v>343</v>
      </c>
      <c r="FB1102" s="33" t="s">
        <v>344</v>
      </c>
      <c r="FC1102" s="33" t="s">
        <v>345</v>
      </c>
      <c r="FD1102" s="33" t="s">
        <v>346</v>
      </c>
      <c r="FE1102" s="33">
        <v>2025</v>
      </c>
      <c r="FF1102" s="33" t="s">
        <v>59</v>
      </c>
      <c r="FG1102" s="33" t="s">
        <v>71</v>
      </c>
      <c r="FH1102" s="33" t="s">
        <v>72</v>
      </c>
      <c r="FI1102" s="33" t="s">
        <v>73</v>
      </c>
      <c r="FJ1102" t="s">
        <v>59</v>
      </c>
      <c r="FM1102" s="32" t="s">
        <v>1575</v>
      </c>
      <c r="FN1102" t="s">
        <v>1575</v>
      </c>
      <c r="FO1102" t="s">
        <v>1576</v>
      </c>
      <c r="FP1102" t="str">
        <f t="shared" si="202"/>
        <v>C</v>
      </c>
    </row>
    <row r="1103" spans="153:172" x14ac:dyDescent="0.35">
      <c r="EW1103" t="s">
        <v>2339</v>
      </c>
      <c r="EX1103" s="33" t="s">
        <v>2489</v>
      </c>
      <c r="EY1103" s="33" t="s">
        <v>401</v>
      </c>
      <c r="EZ1103" s="33" t="s">
        <v>402</v>
      </c>
      <c r="FA1103" s="33" t="s">
        <v>343</v>
      </c>
      <c r="FB1103" s="33" t="s">
        <v>344</v>
      </c>
      <c r="FC1103" s="33" t="s">
        <v>345</v>
      </c>
      <c r="FD1103" s="33" t="s">
        <v>346</v>
      </c>
      <c r="FE1103" s="33">
        <v>2025</v>
      </c>
      <c r="FF1103" s="33" t="s">
        <v>59</v>
      </c>
      <c r="FG1103" s="33" t="s">
        <v>71</v>
      </c>
      <c r="FH1103" s="33" t="s">
        <v>72</v>
      </c>
      <c r="FI1103" s="33" t="s">
        <v>73</v>
      </c>
      <c r="FJ1103" t="s">
        <v>59</v>
      </c>
      <c r="FM1103" s="32" t="s">
        <v>1937</v>
      </c>
      <c r="FN1103" t="s">
        <v>1937</v>
      </c>
      <c r="FO1103" t="s">
        <v>1938</v>
      </c>
      <c r="FP1103" t="str">
        <f t="shared" si="202"/>
        <v>C</v>
      </c>
    </row>
    <row r="1104" spans="153:172" x14ac:dyDescent="0.35">
      <c r="EW1104" t="s">
        <v>2339</v>
      </c>
      <c r="EX1104" s="33" t="s">
        <v>2490</v>
      </c>
      <c r="EY1104" s="33" t="s">
        <v>403</v>
      </c>
      <c r="EZ1104" s="33" t="s">
        <v>404</v>
      </c>
      <c r="FA1104" s="33" t="s">
        <v>343</v>
      </c>
      <c r="FB1104" s="33" t="s">
        <v>344</v>
      </c>
      <c r="FC1104" s="33" t="s">
        <v>345</v>
      </c>
      <c r="FD1104" s="33" t="s">
        <v>346</v>
      </c>
      <c r="FE1104" s="33">
        <v>2025</v>
      </c>
      <c r="FF1104" s="33" t="s">
        <v>59</v>
      </c>
      <c r="FG1104" s="33" t="s">
        <v>71</v>
      </c>
      <c r="FH1104" s="33" t="s">
        <v>72</v>
      </c>
      <c r="FI1104" s="33" t="s">
        <v>73</v>
      </c>
      <c r="FJ1104" t="s">
        <v>59</v>
      </c>
      <c r="FM1104" s="32" t="s">
        <v>2491</v>
      </c>
      <c r="FN1104" t="s">
        <v>2491</v>
      </c>
      <c r="FO1104" t="s">
        <v>2492</v>
      </c>
      <c r="FP1104" t="str">
        <f t="shared" si="202"/>
        <v>C</v>
      </c>
    </row>
    <row r="1105" spans="153:172" x14ac:dyDescent="0.35">
      <c r="EW1105" t="s">
        <v>2339</v>
      </c>
      <c r="EX1105" s="33" t="s">
        <v>2493</v>
      </c>
      <c r="EY1105" s="33" t="s">
        <v>405</v>
      </c>
      <c r="EZ1105" s="33" t="s">
        <v>406</v>
      </c>
      <c r="FA1105" s="33" t="s">
        <v>343</v>
      </c>
      <c r="FB1105" s="33" t="s">
        <v>344</v>
      </c>
      <c r="FC1105" s="33" t="s">
        <v>345</v>
      </c>
      <c r="FD1105" s="33" t="s">
        <v>346</v>
      </c>
      <c r="FE1105" s="33">
        <v>2025</v>
      </c>
      <c r="FF1105" s="33" t="s">
        <v>59</v>
      </c>
      <c r="FG1105" s="33" t="s">
        <v>386</v>
      </c>
      <c r="FH1105" s="33" t="s">
        <v>387</v>
      </c>
      <c r="FI1105" s="33" t="s">
        <v>407</v>
      </c>
      <c r="FJ1105" t="s">
        <v>59</v>
      </c>
      <c r="FM1105" s="32" t="s">
        <v>1008</v>
      </c>
      <c r="FN1105" t="s">
        <v>1009</v>
      </c>
      <c r="FO1105" t="s">
        <v>1010</v>
      </c>
      <c r="FP1105" t="str">
        <f t="shared" si="202"/>
        <v>B</v>
      </c>
    </row>
    <row r="1106" spans="153:172" x14ac:dyDescent="0.35">
      <c r="EW1106" t="s">
        <v>2339</v>
      </c>
      <c r="EX1106" s="33" t="s">
        <v>2494</v>
      </c>
      <c r="EY1106" s="33" t="s">
        <v>408</v>
      </c>
      <c r="EZ1106" s="33" t="s">
        <v>409</v>
      </c>
      <c r="FA1106" s="33" t="s">
        <v>343</v>
      </c>
      <c r="FB1106" s="33" t="s">
        <v>344</v>
      </c>
      <c r="FC1106" s="33" t="s">
        <v>345</v>
      </c>
      <c r="FD1106" s="33" t="s">
        <v>346</v>
      </c>
      <c r="FE1106" s="33">
        <v>2025</v>
      </c>
      <c r="FF1106" s="33" t="s">
        <v>59</v>
      </c>
      <c r="FG1106" s="33" t="s">
        <v>56</v>
      </c>
      <c r="FH1106" s="33" t="s">
        <v>57</v>
      </c>
      <c r="FI1106" s="33" t="s">
        <v>58</v>
      </c>
      <c r="FJ1106" t="s">
        <v>59</v>
      </c>
      <c r="FM1106" s="32" t="s">
        <v>1833</v>
      </c>
      <c r="FN1106" t="s">
        <v>1833</v>
      </c>
      <c r="FO1106" t="s">
        <v>1834</v>
      </c>
      <c r="FP1106" t="str">
        <f t="shared" si="202"/>
        <v>C</v>
      </c>
    </row>
    <row r="1107" spans="153:172" x14ac:dyDescent="0.35">
      <c r="EW1107" t="s">
        <v>2339</v>
      </c>
      <c r="EX1107" s="33" t="s">
        <v>2495</v>
      </c>
      <c r="EY1107" s="33" t="s">
        <v>410</v>
      </c>
      <c r="EZ1107" s="33" t="s">
        <v>411</v>
      </c>
      <c r="FA1107" s="33" t="s">
        <v>343</v>
      </c>
      <c r="FB1107" s="33" t="s">
        <v>344</v>
      </c>
      <c r="FC1107" s="33" t="s">
        <v>345</v>
      </c>
      <c r="FD1107" s="33" t="s">
        <v>346</v>
      </c>
      <c r="FE1107" s="33">
        <v>2025</v>
      </c>
      <c r="FF1107" s="33" t="s">
        <v>59</v>
      </c>
      <c r="FG1107" s="33" t="s">
        <v>56</v>
      </c>
      <c r="FH1107" s="33" t="s">
        <v>57</v>
      </c>
      <c r="FI1107" s="33" t="s">
        <v>58</v>
      </c>
      <c r="FJ1107" t="s">
        <v>59</v>
      </c>
      <c r="FM1107" s="32" t="s">
        <v>2414</v>
      </c>
      <c r="FN1107" t="s">
        <v>2414</v>
      </c>
      <c r="FO1107" t="s">
        <v>2415</v>
      </c>
      <c r="FP1107" t="str">
        <f t="shared" si="202"/>
        <v>C</v>
      </c>
    </row>
    <row r="1108" spans="153:172" x14ac:dyDescent="0.35">
      <c r="EW1108" t="s">
        <v>2339</v>
      </c>
      <c r="EX1108" s="33" t="s">
        <v>2496</v>
      </c>
      <c r="EY1108" s="33" t="s">
        <v>415</v>
      </c>
      <c r="EZ1108" s="33" t="s">
        <v>416</v>
      </c>
      <c r="FA1108" s="33" t="s">
        <v>343</v>
      </c>
      <c r="FB1108" s="33" t="s">
        <v>344</v>
      </c>
      <c r="FC1108" s="33" t="s">
        <v>345</v>
      </c>
      <c r="FD1108" s="33" t="s">
        <v>346</v>
      </c>
      <c r="FE1108" s="33">
        <v>2025</v>
      </c>
      <c r="FF1108" s="33" t="s">
        <v>59</v>
      </c>
      <c r="FG1108" s="33" t="s">
        <v>56</v>
      </c>
      <c r="FH1108" s="33" t="s">
        <v>57</v>
      </c>
      <c r="FI1108" s="33" t="s">
        <v>58</v>
      </c>
      <c r="FJ1108" t="s">
        <v>59</v>
      </c>
      <c r="FM1108" s="32" t="s">
        <v>1886</v>
      </c>
      <c r="FN1108" t="s">
        <v>1886</v>
      </c>
      <c r="FO1108" t="s">
        <v>1887</v>
      </c>
      <c r="FP1108" t="str">
        <f t="shared" si="202"/>
        <v>C</v>
      </c>
    </row>
    <row r="1109" spans="153:172" x14ac:dyDescent="0.35">
      <c r="EW1109" t="s">
        <v>2339</v>
      </c>
      <c r="EX1109" s="33" t="s">
        <v>2497</v>
      </c>
      <c r="EY1109" s="33" t="s">
        <v>417</v>
      </c>
      <c r="EZ1109" s="33" t="s">
        <v>418</v>
      </c>
      <c r="FA1109" s="33" t="s">
        <v>343</v>
      </c>
      <c r="FB1109" s="33" t="s">
        <v>344</v>
      </c>
      <c r="FC1109" s="33" t="s">
        <v>345</v>
      </c>
      <c r="FD1109" s="33" t="s">
        <v>346</v>
      </c>
      <c r="FE1109" s="33">
        <v>2025</v>
      </c>
      <c r="FF1109" s="33" t="s">
        <v>59</v>
      </c>
      <c r="FG1109" s="33" t="s">
        <v>56</v>
      </c>
      <c r="FH1109" s="33" t="s">
        <v>57</v>
      </c>
      <c r="FI1109" s="33" t="s">
        <v>58</v>
      </c>
      <c r="FJ1109" t="s">
        <v>59</v>
      </c>
      <c r="FM1109" s="32" t="s">
        <v>2498</v>
      </c>
      <c r="FN1109" t="s">
        <v>2498</v>
      </c>
      <c r="FO1109" t="s">
        <v>2499</v>
      </c>
      <c r="FP1109" t="str">
        <f t="shared" si="202"/>
        <v>B</v>
      </c>
    </row>
    <row r="1110" spans="153:172" x14ac:dyDescent="0.35">
      <c r="EW1110" t="s">
        <v>2339</v>
      </c>
      <c r="EX1110" s="33" t="s">
        <v>2500</v>
      </c>
      <c r="EY1110" s="33" t="s">
        <v>419</v>
      </c>
      <c r="EZ1110" s="33" t="s">
        <v>420</v>
      </c>
      <c r="FA1110" s="33" t="s">
        <v>343</v>
      </c>
      <c r="FB1110" s="33" t="s">
        <v>344</v>
      </c>
      <c r="FC1110" s="33" t="s">
        <v>345</v>
      </c>
      <c r="FD1110" s="33" t="s">
        <v>346</v>
      </c>
      <c r="FE1110" s="33">
        <v>2025</v>
      </c>
      <c r="FF1110" s="33" t="s">
        <v>59</v>
      </c>
      <c r="FG1110" s="33" t="s">
        <v>56</v>
      </c>
      <c r="FH1110" s="33" t="s">
        <v>57</v>
      </c>
      <c r="FI1110" s="33" t="s">
        <v>58</v>
      </c>
      <c r="FJ1110" t="s">
        <v>59</v>
      </c>
      <c r="FM1110" s="32" t="s">
        <v>1845</v>
      </c>
      <c r="FN1110" t="s">
        <v>1845</v>
      </c>
      <c r="FO1110" t="s">
        <v>1846</v>
      </c>
      <c r="FP1110" t="str">
        <f t="shared" si="202"/>
        <v>C</v>
      </c>
    </row>
    <row r="1111" spans="153:172" x14ac:dyDescent="0.35">
      <c r="EW1111" t="s">
        <v>2339</v>
      </c>
      <c r="EX1111" s="33" t="s">
        <v>2501</v>
      </c>
      <c r="EY1111" s="33" t="s">
        <v>421</v>
      </c>
      <c r="EZ1111" s="33" t="s">
        <v>422</v>
      </c>
      <c r="FA1111" s="33" t="s">
        <v>343</v>
      </c>
      <c r="FB1111" s="33" t="s">
        <v>344</v>
      </c>
      <c r="FC1111" s="33" t="s">
        <v>345</v>
      </c>
      <c r="FD1111" s="33" t="s">
        <v>346</v>
      </c>
      <c r="FE1111" s="33">
        <v>2025</v>
      </c>
      <c r="FF1111" s="33" t="s">
        <v>59</v>
      </c>
      <c r="FG1111" s="33" t="s">
        <v>56</v>
      </c>
      <c r="FH1111" s="33" t="s">
        <v>57</v>
      </c>
      <c r="FI1111" s="33" t="s">
        <v>58</v>
      </c>
      <c r="FJ1111" t="s">
        <v>59</v>
      </c>
      <c r="FM1111" s="32" t="s">
        <v>685</v>
      </c>
      <c r="FN1111" t="s">
        <v>686</v>
      </c>
      <c r="FO1111" t="s">
        <v>687</v>
      </c>
      <c r="FP1111" t="str">
        <f t="shared" si="202"/>
        <v>B</v>
      </c>
    </row>
    <row r="1112" spans="153:172" x14ac:dyDescent="0.35">
      <c r="EW1112" t="s">
        <v>2339</v>
      </c>
      <c r="EX1112" s="33" t="s">
        <v>2502</v>
      </c>
      <c r="EY1112" s="33" t="s">
        <v>423</v>
      </c>
      <c r="EZ1112" s="33" t="s">
        <v>424</v>
      </c>
      <c r="FA1112" s="33" t="s">
        <v>343</v>
      </c>
      <c r="FB1112" s="33" t="s">
        <v>344</v>
      </c>
      <c r="FC1112" s="33" t="s">
        <v>345</v>
      </c>
      <c r="FD1112" s="33" t="s">
        <v>346</v>
      </c>
      <c r="FE1112" s="33">
        <v>2025</v>
      </c>
      <c r="FF1112" s="33" t="s">
        <v>59</v>
      </c>
      <c r="FG1112" s="33" t="s">
        <v>56</v>
      </c>
      <c r="FH1112" s="33" t="s">
        <v>57</v>
      </c>
      <c r="FI1112" s="33" t="s">
        <v>58</v>
      </c>
      <c r="FJ1112" t="s">
        <v>59</v>
      </c>
      <c r="FM1112" s="32" t="s">
        <v>1855</v>
      </c>
      <c r="FN1112" t="s">
        <v>1855</v>
      </c>
      <c r="FO1112" t="s">
        <v>1856</v>
      </c>
      <c r="FP1112" t="str">
        <f t="shared" si="202"/>
        <v>C</v>
      </c>
    </row>
    <row r="1113" spans="153:172" x14ac:dyDescent="0.35">
      <c r="EW1113" t="s">
        <v>2339</v>
      </c>
      <c r="EX1113" s="33" t="s">
        <v>2503</v>
      </c>
      <c r="EY1113" s="33" t="s">
        <v>428</v>
      </c>
      <c r="EZ1113" s="33" t="s">
        <v>429</v>
      </c>
      <c r="FA1113" s="33" t="s">
        <v>343</v>
      </c>
      <c r="FB1113" s="33" t="s">
        <v>344</v>
      </c>
      <c r="FC1113" s="33" t="s">
        <v>345</v>
      </c>
      <c r="FD1113" s="33" t="s">
        <v>346</v>
      </c>
      <c r="FE1113" s="33">
        <v>2025</v>
      </c>
      <c r="FF1113" s="33" t="s">
        <v>59</v>
      </c>
      <c r="FG1113" s="33" t="s">
        <v>56</v>
      </c>
      <c r="FH1113" s="33" t="s">
        <v>57</v>
      </c>
      <c r="FI1113" s="33" t="s">
        <v>58</v>
      </c>
      <c r="FJ1113" t="s">
        <v>59</v>
      </c>
      <c r="FM1113" s="32" t="s">
        <v>1894</v>
      </c>
      <c r="FN1113" t="s">
        <v>1894</v>
      </c>
      <c r="FO1113" t="s">
        <v>1895</v>
      </c>
      <c r="FP1113" t="str">
        <f t="shared" si="202"/>
        <v>C</v>
      </c>
    </row>
    <row r="1114" spans="153:172" x14ac:dyDescent="0.35">
      <c r="EW1114" t="s">
        <v>2339</v>
      </c>
      <c r="EX1114" s="33" t="s">
        <v>2504</v>
      </c>
      <c r="EY1114" s="33" t="s">
        <v>430</v>
      </c>
      <c r="EZ1114" s="33" t="s">
        <v>431</v>
      </c>
      <c r="FA1114" s="33" t="s">
        <v>343</v>
      </c>
      <c r="FB1114" s="33" t="s">
        <v>344</v>
      </c>
      <c r="FC1114" s="33" t="s">
        <v>345</v>
      </c>
      <c r="FD1114" s="33" t="s">
        <v>346</v>
      </c>
      <c r="FE1114" s="33">
        <v>2025</v>
      </c>
      <c r="FF1114" s="33" t="s">
        <v>59</v>
      </c>
      <c r="FG1114" s="33" t="s">
        <v>56</v>
      </c>
      <c r="FH1114" s="33" t="s">
        <v>57</v>
      </c>
      <c r="FI1114" s="33" t="s">
        <v>58</v>
      </c>
      <c r="FJ1114" t="s">
        <v>59</v>
      </c>
      <c r="FM1114" s="32" t="s">
        <v>1656</v>
      </c>
      <c r="FN1114" t="s">
        <v>1656</v>
      </c>
      <c r="FO1114" t="s">
        <v>1616</v>
      </c>
      <c r="FP1114" t="str">
        <f t="shared" si="202"/>
        <v>C</v>
      </c>
    </row>
    <row r="1115" spans="153:172" x14ac:dyDescent="0.35">
      <c r="EW1115" t="s">
        <v>2339</v>
      </c>
      <c r="EX1115" s="33" t="s">
        <v>2505</v>
      </c>
      <c r="EY1115" s="33" t="s">
        <v>432</v>
      </c>
      <c r="EZ1115" s="33" t="s">
        <v>433</v>
      </c>
      <c r="FA1115" s="33" t="s">
        <v>343</v>
      </c>
      <c r="FB1115" s="33" t="s">
        <v>344</v>
      </c>
      <c r="FC1115" s="33" t="s">
        <v>345</v>
      </c>
      <c r="FD1115" s="33" t="s">
        <v>346</v>
      </c>
      <c r="FE1115" s="33">
        <v>2025</v>
      </c>
      <c r="FF1115" s="33" t="s">
        <v>59</v>
      </c>
      <c r="FG1115" s="33" t="s">
        <v>71</v>
      </c>
      <c r="FH1115" s="33" t="s">
        <v>72</v>
      </c>
      <c r="FI1115" s="33" t="s">
        <v>73</v>
      </c>
      <c r="FJ1115" t="s">
        <v>59</v>
      </c>
      <c r="FM1115" s="32" t="s">
        <v>1848</v>
      </c>
      <c r="FN1115" t="s">
        <v>1848</v>
      </c>
      <c r="FO1115" t="s">
        <v>1849</v>
      </c>
      <c r="FP1115" t="str">
        <f t="shared" si="202"/>
        <v>C</v>
      </c>
    </row>
    <row r="1116" spans="153:172" x14ac:dyDescent="0.35">
      <c r="EW1116" t="s">
        <v>2339</v>
      </c>
      <c r="EX1116" s="33" t="s">
        <v>2506</v>
      </c>
      <c r="EY1116" s="33" t="s">
        <v>434</v>
      </c>
      <c r="EZ1116" s="33" t="s">
        <v>435</v>
      </c>
      <c r="FA1116" s="33" t="s">
        <v>343</v>
      </c>
      <c r="FB1116" s="33" t="s">
        <v>344</v>
      </c>
      <c r="FC1116" s="33" t="s">
        <v>345</v>
      </c>
      <c r="FD1116" s="33" t="s">
        <v>346</v>
      </c>
      <c r="FE1116" s="33">
        <v>2025</v>
      </c>
      <c r="FF1116" s="33" t="s">
        <v>59</v>
      </c>
      <c r="FG1116" s="33" t="s">
        <v>56</v>
      </c>
      <c r="FH1116" s="33" t="s">
        <v>57</v>
      </c>
      <c r="FI1116" s="33" t="s">
        <v>58</v>
      </c>
      <c r="FJ1116" t="s">
        <v>59</v>
      </c>
      <c r="FM1116" s="32" t="s">
        <v>1125</v>
      </c>
      <c r="FN1116" t="s">
        <v>1126</v>
      </c>
      <c r="FO1116" t="s">
        <v>1127</v>
      </c>
      <c r="FP1116" t="str">
        <f t="shared" si="202"/>
        <v>BPAL</v>
      </c>
    </row>
    <row r="1117" spans="153:172" x14ac:dyDescent="0.35">
      <c r="EW1117" t="s">
        <v>2339</v>
      </c>
      <c r="EX1117" s="33" t="s">
        <v>2507</v>
      </c>
      <c r="EY1117" s="33" t="s">
        <v>439</v>
      </c>
      <c r="EZ1117" s="33" t="s">
        <v>440</v>
      </c>
      <c r="FA1117" s="33" t="s">
        <v>343</v>
      </c>
      <c r="FB1117" s="33" t="s">
        <v>344</v>
      </c>
      <c r="FC1117" s="33" t="s">
        <v>345</v>
      </c>
      <c r="FD1117" s="33" t="s">
        <v>346</v>
      </c>
      <c r="FE1117" s="33">
        <v>2025</v>
      </c>
      <c r="FF1117" s="33" t="s">
        <v>59</v>
      </c>
      <c r="FG1117" s="33" t="s">
        <v>56</v>
      </c>
      <c r="FH1117" s="33" t="s">
        <v>57</v>
      </c>
      <c r="FI1117" s="33" t="s">
        <v>58</v>
      </c>
      <c r="FJ1117" t="s">
        <v>59</v>
      </c>
      <c r="FM1117" s="32" t="s">
        <v>2508</v>
      </c>
      <c r="FN1117" t="s">
        <v>2508</v>
      </c>
      <c r="FO1117" t="s">
        <v>2509</v>
      </c>
      <c r="FP1117" t="str">
        <f t="shared" si="202"/>
        <v>B</v>
      </c>
    </row>
    <row r="1118" spans="153:172" x14ac:dyDescent="0.35">
      <c r="EW1118" t="s">
        <v>2339</v>
      </c>
      <c r="EX1118" s="33" t="s">
        <v>2510</v>
      </c>
      <c r="EY1118" s="33" t="s">
        <v>441</v>
      </c>
      <c r="EZ1118" s="33" t="s">
        <v>442</v>
      </c>
      <c r="FA1118" s="33" t="s">
        <v>343</v>
      </c>
      <c r="FB1118" s="33" t="s">
        <v>344</v>
      </c>
      <c r="FC1118" s="33" t="s">
        <v>345</v>
      </c>
      <c r="FD1118" s="33" t="s">
        <v>346</v>
      </c>
      <c r="FE1118" s="33">
        <v>2025</v>
      </c>
      <c r="FF1118" s="33" t="s">
        <v>59</v>
      </c>
      <c r="FG1118" s="33" t="s">
        <v>56</v>
      </c>
      <c r="FH1118" s="33" t="s">
        <v>57</v>
      </c>
      <c r="FI1118" s="33" t="s">
        <v>58</v>
      </c>
      <c r="FJ1118" t="s">
        <v>59</v>
      </c>
      <c r="FM1118" s="32" t="s">
        <v>1926</v>
      </c>
      <c r="FN1118" t="s">
        <v>1926</v>
      </c>
      <c r="FO1118" t="s">
        <v>1927</v>
      </c>
      <c r="FP1118" t="str">
        <f t="shared" si="202"/>
        <v>C</v>
      </c>
    </row>
    <row r="1119" spans="153:172" x14ac:dyDescent="0.35">
      <c r="EW1119" t="s">
        <v>2339</v>
      </c>
      <c r="EX1119" s="33" t="s">
        <v>2511</v>
      </c>
      <c r="EY1119" s="33" t="s">
        <v>443</v>
      </c>
      <c r="EZ1119" s="33" t="s">
        <v>444</v>
      </c>
      <c r="FA1119" s="33" t="s">
        <v>343</v>
      </c>
      <c r="FB1119" s="33" t="s">
        <v>344</v>
      </c>
      <c r="FC1119" s="33" t="s">
        <v>345</v>
      </c>
      <c r="FD1119" s="33" t="s">
        <v>346</v>
      </c>
      <c r="FE1119" s="33">
        <v>2025</v>
      </c>
      <c r="FF1119" s="33" t="s">
        <v>59</v>
      </c>
      <c r="FG1119" s="33" t="s">
        <v>56</v>
      </c>
      <c r="FH1119" s="33" t="s">
        <v>57</v>
      </c>
      <c r="FI1119" s="33" t="s">
        <v>58</v>
      </c>
      <c r="FJ1119" t="s">
        <v>59</v>
      </c>
      <c r="FM1119" s="32" t="s">
        <v>1897</v>
      </c>
      <c r="FN1119" t="s">
        <v>1897</v>
      </c>
      <c r="FO1119" t="s">
        <v>1898</v>
      </c>
      <c r="FP1119" t="str">
        <f t="shared" si="202"/>
        <v>C</v>
      </c>
    </row>
    <row r="1120" spans="153:172" x14ac:dyDescent="0.35">
      <c r="EW1120" t="s">
        <v>2339</v>
      </c>
      <c r="EX1120" s="33" t="s">
        <v>2512</v>
      </c>
      <c r="EY1120" s="33" t="s">
        <v>445</v>
      </c>
      <c r="EZ1120" s="33" t="s">
        <v>446</v>
      </c>
      <c r="FA1120" s="33" t="s">
        <v>343</v>
      </c>
      <c r="FB1120" s="33" t="s">
        <v>344</v>
      </c>
      <c r="FC1120" s="33" t="s">
        <v>345</v>
      </c>
      <c r="FD1120" s="33" t="s">
        <v>346</v>
      </c>
      <c r="FE1120" s="33">
        <v>2025</v>
      </c>
      <c r="FF1120" s="33" t="s">
        <v>59</v>
      </c>
      <c r="FG1120" s="33" t="s">
        <v>56</v>
      </c>
      <c r="FH1120" s="33" t="s">
        <v>57</v>
      </c>
      <c r="FI1120" s="33" t="s">
        <v>58</v>
      </c>
      <c r="FJ1120" t="s">
        <v>59</v>
      </c>
      <c r="FM1120" s="32" t="s">
        <v>1198</v>
      </c>
      <c r="FN1120" t="s">
        <v>1198</v>
      </c>
      <c r="FO1120" t="s">
        <v>1199</v>
      </c>
      <c r="FP1120" t="str">
        <f t="shared" si="202"/>
        <v>C</v>
      </c>
    </row>
    <row r="1121" spans="153:172" x14ac:dyDescent="0.35">
      <c r="EW1121" t="s">
        <v>2339</v>
      </c>
      <c r="EX1121" s="33" t="s">
        <v>2513</v>
      </c>
      <c r="EY1121" s="33" t="s">
        <v>447</v>
      </c>
      <c r="EZ1121" s="33" t="s">
        <v>448</v>
      </c>
      <c r="FA1121" s="33" t="s">
        <v>343</v>
      </c>
      <c r="FB1121" s="33" t="s">
        <v>344</v>
      </c>
      <c r="FC1121" s="33" t="s">
        <v>345</v>
      </c>
      <c r="FD1121" s="33" t="s">
        <v>346</v>
      </c>
      <c r="FE1121" s="33">
        <v>2025</v>
      </c>
      <c r="FF1121" s="33" t="s">
        <v>59</v>
      </c>
      <c r="FG1121" s="33" t="s">
        <v>56</v>
      </c>
      <c r="FH1121" s="33" t="s">
        <v>57</v>
      </c>
      <c r="FI1121" s="33" t="s">
        <v>58</v>
      </c>
      <c r="FJ1121" t="s">
        <v>59</v>
      </c>
      <c r="FM1121" s="32" t="s">
        <v>2071</v>
      </c>
      <c r="FN1121" t="s">
        <v>2071</v>
      </c>
      <c r="FO1121" t="s">
        <v>1864</v>
      </c>
      <c r="FP1121" t="str">
        <f t="shared" si="202"/>
        <v>C</v>
      </c>
    </row>
    <row r="1122" spans="153:172" x14ac:dyDescent="0.35">
      <c r="EW1122" t="s">
        <v>2339</v>
      </c>
      <c r="EX1122" s="33" t="s">
        <v>2514</v>
      </c>
      <c r="EY1122" s="33" t="s">
        <v>449</v>
      </c>
      <c r="EZ1122" s="33" t="s">
        <v>450</v>
      </c>
      <c r="FA1122" s="33" t="s">
        <v>343</v>
      </c>
      <c r="FB1122" s="33" t="s">
        <v>344</v>
      </c>
      <c r="FC1122" s="33" t="s">
        <v>345</v>
      </c>
      <c r="FD1122" s="33" t="s">
        <v>346</v>
      </c>
      <c r="FE1122" s="33">
        <v>2025</v>
      </c>
      <c r="FF1122" s="33" t="s">
        <v>59</v>
      </c>
      <c r="FG1122" s="33" t="s">
        <v>56</v>
      </c>
      <c r="FH1122" s="33" t="s">
        <v>57</v>
      </c>
      <c r="FI1122" s="33" t="s">
        <v>58</v>
      </c>
      <c r="FJ1122" t="s">
        <v>59</v>
      </c>
      <c r="FM1122" s="32" t="s">
        <v>1977</v>
      </c>
      <c r="FN1122" t="s">
        <v>1977</v>
      </c>
      <c r="FO1122" t="s">
        <v>1978</v>
      </c>
      <c r="FP1122" t="str">
        <f t="shared" si="202"/>
        <v>C</v>
      </c>
    </row>
    <row r="1123" spans="153:172" x14ac:dyDescent="0.35">
      <c r="EW1123" t="s">
        <v>2339</v>
      </c>
      <c r="EX1123" s="33" t="s">
        <v>2515</v>
      </c>
      <c r="EY1123" s="33" t="s">
        <v>454</v>
      </c>
      <c r="EZ1123" s="33" t="s">
        <v>455</v>
      </c>
      <c r="FA1123" s="33" t="s">
        <v>343</v>
      </c>
      <c r="FB1123" s="33" t="s">
        <v>344</v>
      </c>
      <c r="FC1123" s="33" t="s">
        <v>345</v>
      </c>
      <c r="FD1123" s="33" t="s">
        <v>346</v>
      </c>
      <c r="FE1123" s="33">
        <v>2025</v>
      </c>
      <c r="FF1123" s="33" t="s">
        <v>59</v>
      </c>
      <c r="FG1123" s="33" t="s">
        <v>56</v>
      </c>
      <c r="FH1123" s="33" t="s">
        <v>57</v>
      </c>
      <c r="FI1123" s="33" t="s">
        <v>58</v>
      </c>
      <c r="FJ1123" t="s">
        <v>59</v>
      </c>
      <c r="FM1123" s="32" t="s">
        <v>1860</v>
      </c>
      <c r="FN1123" t="s">
        <v>1860</v>
      </c>
      <c r="FO1123" t="s">
        <v>1861</v>
      </c>
      <c r="FP1123" t="str">
        <f t="shared" si="202"/>
        <v>C</v>
      </c>
    </row>
    <row r="1124" spans="153:172" x14ac:dyDescent="0.35">
      <c r="EW1124" t="s">
        <v>2339</v>
      </c>
      <c r="EX1124" s="33" t="s">
        <v>2516</v>
      </c>
      <c r="EY1124" s="33" t="s">
        <v>456</v>
      </c>
      <c r="EZ1124" s="33" t="s">
        <v>457</v>
      </c>
      <c r="FA1124" s="33" t="s">
        <v>343</v>
      </c>
      <c r="FB1124" s="33" t="s">
        <v>344</v>
      </c>
      <c r="FC1124" s="33" t="s">
        <v>345</v>
      </c>
      <c r="FD1124" s="33" t="s">
        <v>346</v>
      </c>
      <c r="FE1124" s="33">
        <v>2025</v>
      </c>
      <c r="FF1124" s="33" t="s">
        <v>59</v>
      </c>
      <c r="FG1124" s="33" t="s">
        <v>71</v>
      </c>
      <c r="FH1124" s="33" t="s">
        <v>72</v>
      </c>
      <c r="FI1124" s="33" t="s">
        <v>73</v>
      </c>
      <c r="FJ1124" t="s">
        <v>59</v>
      </c>
      <c r="FM1124" s="32" t="s">
        <v>2307</v>
      </c>
      <c r="FN1124" t="s">
        <v>2307</v>
      </c>
      <c r="FO1124" t="s">
        <v>2308</v>
      </c>
      <c r="FP1124" t="str">
        <f t="shared" si="202"/>
        <v>C</v>
      </c>
    </row>
    <row r="1125" spans="153:172" x14ac:dyDescent="0.35">
      <c r="EW1125" t="s">
        <v>2339</v>
      </c>
      <c r="EX1125" s="33" t="s">
        <v>2517</v>
      </c>
      <c r="EY1125" s="33" t="s">
        <v>458</v>
      </c>
      <c r="EZ1125" s="33" t="s">
        <v>459</v>
      </c>
      <c r="FA1125" s="33" t="s">
        <v>343</v>
      </c>
      <c r="FB1125" s="33" t="s">
        <v>344</v>
      </c>
      <c r="FC1125" s="33" t="s">
        <v>345</v>
      </c>
      <c r="FD1125" s="33" t="s">
        <v>346</v>
      </c>
      <c r="FE1125" s="33">
        <v>2025</v>
      </c>
      <c r="FF1125" s="33" t="s">
        <v>59</v>
      </c>
      <c r="FG1125" s="33" t="s">
        <v>71</v>
      </c>
      <c r="FH1125" s="33" t="s">
        <v>72</v>
      </c>
      <c r="FI1125" s="33" t="s">
        <v>73</v>
      </c>
      <c r="FJ1125" t="s">
        <v>59</v>
      </c>
      <c r="FM1125" s="32" t="s">
        <v>1306</v>
      </c>
      <c r="FN1125" t="s">
        <v>1306</v>
      </c>
      <c r="FO1125" t="s">
        <v>1307</v>
      </c>
      <c r="FP1125" t="str">
        <f t="shared" si="202"/>
        <v>C</v>
      </c>
    </row>
    <row r="1126" spans="153:172" x14ac:dyDescent="0.35">
      <c r="EW1126" t="s">
        <v>2339</v>
      </c>
      <c r="EX1126" s="33" t="s">
        <v>2518</v>
      </c>
      <c r="EY1126" s="33" t="s">
        <v>460</v>
      </c>
      <c r="EZ1126" s="33" t="s">
        <v>461</v>
      </c>
      <c r="FA1126" s="33" t="s">
        <v>343</v>
      </c>
      <c r="FB1126" s="33" t="s">
        <v>344</v>
      </c>
      <c r="FC1126" s="33" t="s">
        <v>345</v>
      </c>
      <c r="FD1126" s="33" t="s">
        <v>346</v>
      </c>
      <c r="FE1126" s="33">
        <v>2025</v>
      </c>
      <c r="FF1126" s="33" t="s">
        <v>59</v>
      </c>
      <c r="FG1126" s="33" t="s">
        <v>71</v>
      </c>
      <c r="FH1126" s="33" t="s">
        <v>72</v>
      </c>
      <c r="FI1126" s="33" t="s">
        <v>73</v>
      </c>
      <c r="FJ1126" t="s">
        <v>59</v>
      </c>
      <c r="FM1126" s="32" t="s">
        <v>1242</v>
      </c>
      <c r="FN1126" t="s">
        <v>1242</v>
      </c>
      <c r="FO1126" t="s">
        <v>1243</v>
      </c>
      <c r="FP1126" t="str">
        <f t="shared" si="202"/>
        <v>C</v>
      </c>
    </row>
    <row r="1127" spans="153:172" x14ac:dyDescent="0.35">
      <c r="EW1127" t="s">
        <v>2339</v>
      </c>
      <c r="EX1127" s="33" t="s">
        <v>2519</v>
      </c>
      <c r="EY1127" s="33" t="s">
        <v>465</v>
      </c>
      <c r="EZ1127" s="33" t="s">
        <v>466</v>
      </c>
      <c r="FA1127" s="33" t="s">
        <v>343</v>
      </c>
      <c r="FB1127" s="33" t="s">
        <v>344</v>
      </c>
      <c r="FC1127" s="33" t="s">
        <v>345</v>
      </c>
      <c r="FD1127" s="33" t="s">
        <v>346</v>
      </c>
      <c r="FE1127" s="33">
        <v>2025</v>
      </c>
      <c r="FF1127" s="33" t="s">
        <v>59</v>
      </c>
      <c r="FG1127" s="33" t="s">
        <v>386</v>
      </c>
      <c r="FH1127" s="33" t="s">
        <v>387</v>
      </c>
      <c r="FI1127" s="33" t="s">
        <v>467</v>
      </c>
      <c r="FJ1127" t="s">
        <v>59</v>
      </c>
      <c r="FM1127" s="32" t="s">
        <v>1931</v>
      </c>
      <c r="FN1127" t="s">
        <v>1931</v>
      </c>
      <c r="FO1127" t="s">
        <v>1867</v>
      </c>
      <c r="FP1127" t="str">
        <f t="shared" si="202"/>
        <v>C</v>
      </c>
    </row>
    <row r="1128" spans="153:172" x14ac:dyDescent="0.35">
      <c r="EW1128" t="s">
        <v>2339</v>
      </c>
      <c r="EX1128" s="33" t="s">
        <v>2520</v>
      </c>
      <c r="EY1128" s="33" t="s">
        <v>468</v>
      </c>
      <c r="EZ1128" s="33" t="s">
        <v>469</v>
      </c>
      <c r="FA1128" s="33" t="s">
        <v>343</v>
      </c>
      <c r="FB1128" s="33" t="s">
        <v>344</v>
      </c>
      <c r="FC1128" s="33" t="s">
        <v>345</v>
      </c>
      <c r="FD1128" s="33" t="s">
        <v>346</v>
      </c>
      <c r="FE1128" s="33">
        <v>2025</v>
      </c>
      <c r="FF1128" s="33" t="s">
        <v>59</v>
      </c>
      <c r="FG1128" s="33" t="s">
        <v>470</v>
      </c>
      <c r="FH1128" s="33" t="s">
        <v>471</v>
      </c>
      <c r="FI1128" s="33" t="s">
        <v>467</v>
      </c>
      <c r="FJ1128" t="s">
        <v>59</v>
      </c>
      <c r="FM1128" s="32" t="s">
        <v>2321</v>
      </c>
      <c r="FN1128" t="s">
        <v>2321</v>
      </c>
      <c r="FO1128" t="s">
        <v>2322</v>
      </c>
      <c r="FP1128" t="str">
        <f t="shared" si="202"/>
        <v>C</v>
      </c>
    </row>
    <row r="1129" spans="153:172" x14ac:dyDescent="0.35">
      <c r="EW1129" t="s">
        <v>2339</v>
      </c>
      <c r="EX1129" s="33" t="s">
        <v>2521</v>
      </c>
      <c r="EY1129" s="33" t="s">
        <v>472</v>
      </c>
      <c r="EZ1129" s="33">
        <v>451887</v>
      </c>
      <c r="FA1129" s="33" t="s">
        <v>51</v>
      </c>
      <c r="FB1129" s="33" t="s">
        <v>473</v>
      </c>
      <c r="FC1129" s="33" t="s">
        <v>53</v>
      </c>
      <c r="FD1129" s="33" t="s">
        <v>54</v>
      </c>
      <c r="FE1129" s="33">
        <v>2020</v>
      </c>
      <c r="FF1129" s="33" t="s">
        <v>474</v>
      </c>
      <c r="FG1129" s="33" t="s">
        <v>470</v>
      </c>
      <c r="FH1129" s="33" t="s">
        <v>471</v>
      </c>
      <c r="FI1129" s="33" t="s">
        <v>467</v>
      </c>
      <c r="FJ1129" t="s">
        <v>474</v>
      </c>
      <c r="FM1129" s="32" t="s">
        <v>1911</v>
      </c>
      <c r="FN1129" t="s">
        <v>1911</v>
      </c>
      <c r="FO1129" t="s">
        <v>1912</v>
      </c>
      <c r="FP1129" t="str">
        <f t="shared" si="202"/>
        <v>C</v>
      </c>
    </row>
    <row r="1130" spans="153:172" x14ac:dyDescent="0.35">
      <c r="EW1130" t="s">
        <v>2339</v>
      </c>
      <c r="EX1130" s="33" t="s">
        <v>2522</v>
      </c>
      <c r="EY1130" s="33" t="s">
        <v>475</v>
      </c>
      <c r="EZ1130" s="33">
        <v>508408</v>
      </c>
      <c r="FA1130" s="33" t="s">
        <v>51</v>
      </c>
      <c r="FB1130" s="33" t="s">
        <v>473</v>
      </c>
      <c r="FC1130" s="33" t="s">
        <v>53</v>
      </c>
      <c r="FD1130" s="33" t="s">
        <v>476</v>
      </c>
      <c r="FE1130" s="33">
        <v>2020</v>
      </c>
      <c r="FF1130" s="33" t="s">
        <v>474</v>
      </c>
      <c r="FG1130" s="33" t="s">
        <v>477</v>
      </c>
      <c r="FH1130" s="33" t="s">
        <v>478</v>
      </c>
      <c r="FI1130" s="33" t="s">
        <v>479</v>
      </c>
      <c r="FJ1130" t="s">
        <v>474</v>
      </c>
      <c r="FM1130" s="32" t="s">
        <v>1647</v>
      </c>
      <c r="FN1130" t="s">
        <v>1647</v>
      </c>
      <c r="FO1130" t="s">
        <v>1608</v>
      </c>
      <c r="FP1130" t="str">
        <f t="shared" si="202"/>
        <v>C</v>
      </c>
    </row>
    <row r="1131" spans="153:172" x14ac:dyDescent="0.35">
      <c r="EW1131" t="s">
        <v>2339</v>
      </c>
      <c r="EX1131" s="33" t="s">
        <v>2523</v>
      </c>
      <c r="EY1131" s="33" t="s">
        <v>483</v>
      </c>
      <c r="EZ1131" s="33">
        <v>509327</v>
      </c>
      <c r="FA1131" s="33" t="s">
        <v>51</v>
      </c>
      <c r="FB1131" s="33" t="s">
        <v>473</v>
      </c>
      <c r="FC1131" s="33" t="s">
        <v>53</v>
      </c>
      <c r="FD1131" s="33" t="s">
        <v>476</v>
      </c>
      <c r="FE1131" s="33">
        <v>2020</v>
      </c>
      <c r="FF1131" s="33" t="s">
        <v>474</v>
      </c>
      <c r="FG1131" s="33" t="s">
        <v>477</v>
      </c>
      <c r="FH1131" s="33" t="s">
        <v>478</v>
      </c>
      <c r="FI1131" s="33" t="s">
        <v>479</v>
      </c>
      <c r="FJ1131" t="s">
        <v>474</v>
      </c>
      <c r="FM1131" s="32" t="s">
        <v>2082</v>
      </c>
      <c r="FN1131" t="s">
        <v>2082</v>
      </c>
      <c r="FO1131" t="s">
        <v>2083</v>
      </c>
      <c r="FP1131" t="str">
        <f t="shared" si="202"/>
        <v>C</v>
      </c>
    </row>
    <row r="1132" spans="153:172" x14ac:dyDescent="0.35">
      <c r="EW1132" t="s">
        <v>2339</v>
      </c>
      <c r="EX1132" s="33" t="s">
        <v>2524</v>
      </c>
      <c r="EY1132" s="33" t="s">
        <v>487</v>
      </c>
      <c r="EZ1132" s="33">
        <v>508437</v>
      </c>
      <c r="FA1132" s="33" t="s">
        <v>51</v>
      </c>
      <c r="FB1132" s="33" t="s">
        <v>473</v>
      </c>
      <c r="FC1132" s="33" t="s">
        <v>53</v>
      </c>
      <c r="FD1132" s="33" t="s">
        <v>476</v>
      </c>
      <c r="FE1132" s="33">
        <v>2020</v>
      </c>
      <c r="FF1132" s="33" t="s">
        <v>474</v>
      </c>
      <c r="FG1132" s="33" t="s">
        <v>477</v>
      </c>
      <c r="FH1132" s="33" t="s">
        <v>478</v>
      </c>
      <c r="FI1132" s="33" t="s">
        <v>479</v>
      </c>
      <c r="FJ1132" t="s">
        <v>474</v>
      </c>
      <c r="FM1132" s="32" t="s">
        <v>1900</v>
      </c>
      <c r="FN1132" t="s">
        <v>1900</v>
      </c>
      <c r="FO1132" t="s">
        <v>1901</v>
      </c>
      <c r="FP1132" t="str">
        <f t="shared" si="202"/>
        <v>C</v>
      </c>
    </row>
    <row r="1133" spans="153:172" x14ac:dyDescent="0.35">
      <c r="EW1133" t="s">
        <v>2339</v>
      </c>
      <c r="EX1133" s="33" t="s">
        <v>2525</v>
      </c>
      <c r="EY1133" s="33" t="s">
        <v>488</v>
      </c>
      <c r="EZ1133" s="33">
        <v>508572</v>
      </c>
      <c r="FA1133" s="33" t="s">
        <v>51</v>
      </c>
      <c r="FB1133" s="33" t="s">
        <v>473</v>
      </c>
      <c r="FC1133" s="33" t="s">
        <v>53</v>
      </c>
      <c r="FD1133" s="33" t="s">
        <v>476</v>
      </c>
      <c r="FE1133" s="33">
        <v>2020</v>
      </c>
      <c r="FF1133" s="33" t="s">
        <v>474</v>
      </c>
      <c r="FG1133" s="33" t="s">
        <v>477</v>
      </c>
      <c r="FH1133" s="33" t="s">
        <v>478</v>
      </c>
      <c r="FI1133" s="33" t="s">
        <v>479</v>
      </c>
      <c r="FJ1133" t="s">
        <v>474</v>
      </c>
      <c r="FM1133" s="32" t="s">
        <v>1877</v>
      </c>
      <c r="FN1133" t="s">
        <v>1877</v>
      </c>
      <c r="FO1133" t="s">
        <v>1878</v>
      </c>
      <c r="FP1133" t="str">
        <f t="shared" si="202"/>
        <v>C</v>
      </c>
    </row>
    <row r="1134" spans="153:172" x14ac:dyDescent="0.35">
      <c r="EW1134" t="s">
        <v>2339</v>
      </c>
      <c r="EX1134" s="33" t="s">
        <v>2526</v>
      </c>
      <c r="EY1134" s="33" t="s">
        <v>489</v>
      </c>
      <c r="EZ1134" s="33">
        <v>508361</v>
      </c>
      <c r="FA1134" s="33" t="s">
        <v>51</v>
      </c>
      <c r="FB1134" s="33" t="s">
        <v>473</v>
      </c>
      <c r="FC1134" s="33" t="s">
        <v>53</v>
      </c>
      <c r="FD1134" s="33" t="s">
        <v>476</v>
      </c>
      <c r="FE1134" s="33">
        <v>2020</v>
      </c>
      <c r="FF1134" s="33" t="s">
        <v>474</v>
      </c>
      <c r="FG1134" s="33" t="s">
        <v>477</v>
      </c>
      <c r="FH1134" s="33" t="s">
        <v>478</v>
      </c>
      <c r="FI1134" s="33" t="s">
        <v>479</v>
      </c>
      <c r="FJ1134" t="s">
        <v>474</v>
      </c>
      <c r="FM1134" s="32" t="s">
        <v>1750</v>
      </c>
      <c r="FN1134" t="s">
        <v>1750</v>
      </c>
      <c r="FO1134" t="s">
        <v>1751</v>
      </c>
      <c r="FP1134" t="str">
        <f t="shared" si="202"/>
        <v>C</v>
      </c>
    </row>
    <row r="1135" spans="153:172" x14ac:dyDescent="0.35">
      <c r="EW1135" t="s">
        <v>2339</v>
      </c>
      <c r="EX1135" s="33" t="s">
        <v>2527</v>
      </c>
      <c r="EY1135" s="33" t="s">
        <v>490</v>
      </c>
      <c r="EZ1135" s="33">
        <v>508380</v>
      </c>
      <c r="FA1135" s="33" t="s">
        <v>51</v>
      </c>
      <c r="FB1135" s="33" t="s">
        <v>473</v>
      </c>
      <c r="FC1135" s="33" t="s">
        <v>53</v>
      </c>
      <c r="FD1135" s="33" t="s">
        <v>476</v>
      </c>
      <c r="FE1135" s="33">
        <v>2020</v>
      </c>
      <c r="FF1135" s="33" t="s">
        <v>474</v>
      </c>
      <c r="FG1135" s="33" t="s">
        <v>477</v>
      </c>
      <c r="FH1135" s="33" t="s">
        <v>478</v>
      </c>
      <c r="FI1135" s="33" t="s">
        <v>479</v>
      </c>
      <c r="FJ1135" t="s">
        <v>474</v>
      </c>
      <c r="FM1135" s="32" t="s">
        <v>1762</v>
      </c>
      <c r="FN1135" t="s">
        <v>1762</v>
      </c>
      <c r="FO1135" t="s">
        <v>1763</v>
      </c>
      <c r="FP1135" t="str">
        <f t="shared" si="202"/>
        <v>C</v>
      </c>
    </row>
    <row r="1136" spans="153:172" x14ac:dyDescent="0.35">
      <c r="EW1136" t="s">
        <v>2339</v>
      </c>
      <c r="EX1136" s="33" t="s">
        <v>2528</v>
      </c>
      <c r="EY1136" s="33" t="s">
        <v>491</v>
      </c>
      <c r="EZ1136" s="33">
        <v>508444</v>
      </c>
      <c r="FA1136" s="33" t="s">
        <v>51</v>
      </c>
      <c r="FB1136" s="33" t="s">
        <v>473</v>
      </c>
      <c r="FC1136" s="33" t="s">
        <v>53</v>
      </c>
      <c r="FD1136" s="33" t="s">
        <v>476</v>
      </c>
      <c r="FE1136" s="33">
        <v>2020</v>
      </c>
      <c r="FF1136" s="33" t="s">
        <v>474</v>
      </c>
      <c r="FG1136" s="33" t="s">
        <v>477</v>
      </c>
      <c r="FH1136" s="33" t="s">
        <v>478</v>
      </c>
      <c r="FI1136" s="33" t="s">
        <v>479</v>
      </c>
      <c r="FJ1136" t="s">
        <v>474</v>
      </c>
      <c r="FM1136" s="32" t="s">
        <v>1248</v>
      </c>
      <c r="FN1136" t="s">
        <v>1248</v>
      </c>
      <c r="FO1136" t="s">
        <v>1249</v>
      </c>
      <c r="FP1136" t="str">
        <f t="shared" si="202"/>
        <v>C</v>
      </c>
    </row>
    <row r="1137" spans="153:172" x14ac:dyDescent="0.35">
      <c r="EW1137" t="s">
        <v>2339</v>
      </c>
      <c r="EX1137" s="33" t="s">
        <v>2529</v>
      </c>
      <c r="EY1137" s="33" t="s">
        <v>492</v>
      </c>
      <c r="EZ1137" s="33">
        <v>508467</v>
      </c>
      <c r="FA1137" s="33" t="s">
        <v>51</v>
      </c>
      <c r="FB1137" s="33" t="s">
        <v>473</v>
      </c>
      <c r="FC1137" s="33" t="s">
        <v>53</v>
      </c>
      <c r="FD1137" s="33" t="s">
        <v>476</v>
      </c>
      <c r="FE1137" s="33">
        <v>2020</v>
      </c>
      <c r="FF1137" s="33" t="s">
        <v>474</v>
      </c>
      <c r="FG1137" s="33" t="s">
        <v>477</v>
      </c>
      <c r="FH1137" s="33" t="s">
        <v>478</v>
      </c>
      <c r="FI1137" s="33" t="s">
        <v>479</v>
      </c>
      <c r="FJ1137" t="s">
        <v>474</v>
      </c>
      <c r="FM1137" s="32" t="s">
        <v>1771</v>
      </c>
      <c r="FN1137" t="s">
        <v>1771</v>
      </c>
      <c r="FO1137" t="s">
        <v>1772</v>
      </c>
      <c r="FP1137" t="str">
        <f t="shared" si="202"/>
        <v>C</v>
      </c>
    </row>
    <row r="1138" spans="153:172" x14ac:dyDescent="0.35">
      <c r="EW1138" t="s">
        <v>2339</v>
      </c>
      <c r="EX1138" s="33" t="s">
        <v>2530</v>
      </c>
      <c r="EY1138" s="33" t="s">
        <v>493</v>
      </c>
      <c r="EZ1138" s="33">
        <v>508196</v>
      </c>
      <c r="FA1138" s="33" t="s">
        <v>51</v>
      </c>
      <c r="FB1138" s="33" t="s">
        <v>473</v>
      </c>
      <c r="FC1138" s="33" t="s">
        <v>53</v>
      </c>
      <c r="FD1138" s="33" t="s">
        <v>476</v>
      </c>
      <c r="FE1138" s="33">
        <v>2020</v>
      </c>
      <c r="FF1138" s="33" t="s">
        <v>474</v>
      </c>
      <c r="FG1138" s="33" t="s">
        <v>477</v>
      </c>
      <c r="FH1138" s="33" t="s">
        <v>478</v>
      </c>
      <c r="FI1138" s="33" t="s">
        <v>479</v>
      </c>
      <c r="FJ1138" t="s">
        <v>474</v>
      </c>
      <c r="FM1138" s="32" t="s">
        <v>1942</v>
      </c>
      <c r="FN1138" t="s">
        <v>1942</v>
      </c>
      <c r="FO1138" t="s">
        <v>1943</v>
      </c>
      <c r="FP1138" t="str">
        <f t="shared" si="202"/>
        <v>C</v>
      </c>
    </row>
    <row r="1139" spans="153:172" x14ac:dyDescent="0.35">
      <c r="EW1139" t="s">
        <v>2339</v>
      </c>
      <c r="EX1139" s="33" t="s">
        <v>2531</v>
      </c>
      <c r="EY1139" s="33" t="s">
        <v>494</v>
      </c>
      <c r="EZ1139" s="33">
        <v>508277</v>
      </c>
      <c r="FA1139" s="33" t="s">
        <v>51</v>
      </c>
      <c r="FB1139" s="33" t="s">
        <v>473</v>
      </c>
      <c r="FC1139" s="33" t="s">
        <v>53</v>
      </c>
      <c r="FD1139" s="33" t="s">
        <v>476</v>
      </c>
      <c r="FE1139" s="33">
        <v>2020</v>
      </c>
      <c r="FF1139" s="33" t="s">
        <v>474</v>
      </c>
      <c r="FG1139" s="33" t="s">
        <v>477</v>
      </c>
      <c r="FH1139" s="33" t="s">
        <v>478</v>
      </c>
      <c r="FI1139" s="33" t="s">
        <v>479</v>
      </c>
      <c r="FJ1139" t="s">
        <v>474</v>
      </c>
      <c r="FM1139" s="32" t="s">
        <v>1774</v>
      </c>
      <c r="FN1139" t="s">
        <v>1774</v>
      </c>
      <c r="FO1139" t="s">
        <v>1775</v>
      </c>
      <c r="FP1139" t="str">
        <f t="shared" si="202"/>
        <v>C</v>
      </c>
    </row>
    <row r="1140" spans="153:172" x14ac:dyDescent="0.35">
      <c r="EW1140" t="s">
        <v>2339</v>
      </c>
      <c r="EX1140" s="33" t="s">
        <v>2532</v>
      </c>
      <c r="EY1140" s="33" t="s">
        <v>495</v>
      </c>
      <c r="EZ1140" s="33">
        <v>508208</v>
      </c>
      <c r="FA1140" s="33" t="s">
        <v>51</v>
      </c>
      <c r="FB1140" s="33" t="s">
        <v>473</v>
      </c>
      <c r="FC1140" s="33" t="s">
        <v>53</v>
      </c>
      <c r="FD1140" s="33" t="s">
        <v>476</v>
      </c>
      <c r="FE1140" s="33">
        <v>2020</v>
      </c>
      <c r="FF1140" s="33" t="s">
        <v>474</v>
      </c>
      <c r="FG1140" s="33" t="s">
        <v>477</v>
      </c>
      <c r="FH1140" s="33" t="s">
        <v>478</v>
      </c>
      <c r="FI1140" s="33" t="s">
        <v>479</v>
      </c>
      <c r="FJ1140" t="s">
        <v>474</v>
      </c>
      <c r="FM1140" s="32" t="s">
        <v>1252</v>
      </c>
      <c r="FN1140" t="s">
        <v>1252</v>
      </c>
      <c r="FO1140" t="s">
        <v>1253</v>
      </c>
      <c r="FP1140" t="str">
        <f t="shared" si="202"/>
        <v>C</v>
      </c>
    </row>
    <row r="1141" spans="153:172" x14ac:dyDescent="0.35">
      <c r="EW1141" t="s">
        <v>2339</v>
      </c>
      <c r="EX1141" s="33" t="s">
        <v>2533</v>
      </c>
      <c r="EY1141" s="33" t="s">
        <v>496</v>
      </c>
      <c r="EZ1141" s="33">
        <v>508167</v>
      </c>
      <c r="FA1141" s="33" t="s">
        <v>51</v>
      </c>
      <c r="FB1141" s="33" t="s">
        <v>473</v>
      </c>
      <c r="FC1141" s="33" t="s">
        <v>53</v>
      </c>
      <c r="FD1141" s="33" t="s">
        <v>476</v>
      </c>
      <c r="FE1141" s="33">
        <v>2020</v>
      </c>
      <c r="FF1141" s="33" t="s">
        <v>474</v>
      </c>
      <c r="FG1141" s="33" t="s">
        <v>477</v>
      </c>
      <c r="FH1141" s="33" t="s">
        <v>478</v>
      </c>
      <c r="FI1141" s="33" t="s">
        <v>479</v>
      </c>
      <c r="FJ1141" t="s">
        <v>474</v>
      </c>
      <c r="FM1141" s="32" t="s">
        <v>1173</v>
      </c>
      <c r="FN1141" t="s">
        <v>1174</v>
      </c>
      <c r="FO1141" t="s">
        <v>1175</v>
      </c>
      <c r="FP1141" t="str">
        <f t="shared" si="202"/>
        <v>C</v>
      </c>
    </row>
    <row r="1142" spans="153:172" x14ac:dyDescent="0.35">
      <c r="EW1142" t="s">
        <v>2339</v>
      </c>
      <c r="EX1142" s="33" t="s">
        <v>2534</v>
      </c>
      <c r="EY1142" s="33" t="s">
        <v>500</v>
      </c>
      <c r="EZ1142" s="33">
        <v>507859</v>
      </c>
      <c r="FA1142" s="33" t="s">
        <v>51</v>
      </c>
      <c r="FB1142" s="33" t="s">
        <v>473</v>
      </c>
      <c r="FC1142" s="33" t="s">
        <v>53</v>
      </c>
      <c r="FD1142" s="33" t="s">
        <v>476</v>
      </c>
      <c r="FE1142" s="33">
        <v>2020</v>
      </c>
      <c r="FF1142" s="33" t="s">
        <v>474</v>
      </c>
      <c r="FG1142" s="33" t="s">
        <v>477</v>
      </c>
      <c r="FH1142" s="33" t="s">
        <v>478</v>
      </c>
      <c r="FI1142" s="33" t="s">
        <v>479</v>
      </c>
      <c r="FJ1142" t="s">
        <v>474</v>
      </c>
      <c r="FM1142" s="32" t="s">
        <v>1784</v>
      </c>
      <c r="FN1142" t="s">
        <v>1784</v>
      </c>
      <c r="FO1142" t="s">
        <v>1785</v>
      </c>
      <c r="FP1142" t="str">
        <f t="shared" si="202"/>
        <v>C</v>
      </c>
    </row>
    <row r="1143" spans="153:172" x14ac:dyDescent="0.35">
      <c r="EW1143" t="s">
        <v>2339</v>
      </c>
      <c r="EX1143" s="33" t="s">
        <v>2535</v>
      </c>
      <c r="EY1143" s="33" t="s">
        <v>501</v>
      </c>
      <c r="EZ1143" s="33">
        <v>508172</v>
      </c>
      <c r="FA1143" s="33" t="s">
        <v>51</v>
      </c>
      <c r="FB1143" s="33" t="s">
        <v>473</v>
      </c>
      <c r="FC1143" s="33" t="s">
        <v>53</v>
      </c>
      <c r="FD1143" s="33" t="s">
        <v>476</v>
      </c>
      <c r="FE1143" s="33">
        <v>2020</v>
      </c>
      <c r="FF1143" s="33" t="s">
        <v>474</v>
      </c>
      <c r="FG1143" s="33" t="s">
        <v>477</v>
      </c>
      <c r="FH1143" s="33" t="s">
        <v>478</v>
      </c>
      <c r="FI1143" s="33" t="s">
        <v>479</v>
      </c>
      <c r="FJ1143" t="s">
        <v>474</v>
      </c>
      <c r="FM1143" s="32" t="s">
        <v>2364</v>
      </c>
      <c r="FN1143" t="s">
        <v>2364</v>
      </c>
      <c r="FO1143" t="s">
        <v>2365</v>
      </c>
      <c r="FP1143" t="str">
        <f t="shared" si="202"/>
        <v>C</v>
      </c>
    </row>
    <row r="1144" spans="153:172" x14ac:dyDescent="0.35">
      <c r="EW1144" t="s">
        <v>2339</v>
      </c>
      <c r="EX1144" s="33" t="s">
        <v>2536</v>
      </c>
      <c r="EY1144" s="33" t="s">
        <v>505</v>
      </c>
      <c r="EZ1144" s="33">
        <v>508690</v>
      </c>
      <c r="FA1144" s="33" t="s">
        <v>51</v>
      </c>
      <c r="FB1144" s="33" t="s">
        <v>473</v>
      </c>
      <c r="FC1144" s="33" t="s">
        <v>53</v>
      </c>
      <c r="FD1144" s="33" t="s">
        <v>476</v>
      </c>
      <c r="FE1144" s="33">
        <v>2020</v>
      </c>
      <c r="FF1144" s="33" t="s">
        <v>474</v>
      </c>
      <c r="FG1144" s="33" t="s">
        <v>470</v>
      </c>
      <c r="FH1144" s="33" t="s">
        <v>471</v>
      </c>
      <c r="FI1144" s="33" t="s">
        <v>467</v>
      </c>
      <c r="FJ1144" t="s">
        <v>474</v>
      </c>
      <c r="FM1144" s="32" t="s">
        <v>1781</v>
      </c>
      <c r="FN1144" t="s">
        <v>1781</v>
      </c>
      <c r="FO1144" t="s">
        <v>1782</v>
      </c>
      <c r="FP1144" t="str">
        <f t="shared" si="202"/>
        <v>C</v>
      </c>
    </row>
    <row r="1145" spans="153:172" x14ac:dyDescent="0.35">
      <c r="EW1145" t="s">
        <v>2339</v>
      </c>
      <c r="EX1145" s="33" t="s">
        <v>2537</v>
      </c>
      <c r="EY1145" s="33" t="s">
        <v>506</v>
      </c>
      <c r="EZ1145" s="33">
        <v>508223</v>
      </c>
      <c r="FA1145" s="33" t="s">
        <v>51</v>
      </c>
      <c r="FB1145" s="33" t="s">
        <v>473</v>
      </c>
      <c r="FC1145" s="33" t="s">
        <v>53</v>
      </c>
      <c r="FD1145" s="33" t="s">
        <v>476</v>
      </c>
      <c r="FE1145" s="33">
        <v>2020</v>
      </c>
      <c r="FF1145" s="33" t="s">
        <v>474</v>
      </c>
      <c r="FG1145" s="33" t="s">
        <v>477</v>
      </c>
      <c r="FH1145" s="33" t="s">
        <v>478</v>
      </c>
      <c r="FI1145" s="33" t="s">
        <v>479</v>
      </c>
      <c r="FJ1145" t="s">
        <v>474</v>
      </c>
      <c r="FM1145" s="32" t="s">
        <v>1897</v>
      </c>
      <c r="FN1145" t="s">
        <v>1897</v>
      </c>
      <c r="FO1145" t="s">
        <v>1898</v>
      </c>
      <c r="FP1145" t="str">
        <f t="shared" si="202"/>
        <v>C</v>
      </c>
    </row>
    <row r="1146" spans="153:172" x14ac:dyDescent="0.35">
      <c r="EW1146" t="s">
        <v>2339</v>
      </c>
      <c r="EX1146" s="33" t="s">
        <v>2538</v>
      </c>
      <c r="EY1146" s="33" t="s">
        <v>507</v>
      </c>
      <c r="EZ1146" s="33">
        <v>508144</v>
      </c>
      <c r="FA1146" s="33" t="s">
        <v>51</v>
      </c>
      <c r="FB1146" s="33" t="s">
        <v>473</v>
      </c>
      <c r="FC1146" s="33" t="s">
        <v>53</v>
      </c>
      <c r="FD1146" s="33" t="s">
        <v>476</v>
      </c>
      <c r="FE1146" s="33">
        <v>2020</v>
      </c>
      <c r="FF1146" s="33" t="s">
        <v>474</v>
      </c>
      <c r="FG1146" s="33" t="s">
        <v>477</v>
      </c>
      <c r="FH1146" s="33" t="s">
        <v>478</v>
      </c>
      <c r="FI1146" s="33" t="s">
        <v>479</v>
      </c>
      <c r="FJ1146" t="s">
        <v>474</v>
      </c>
      <c r="FM1146" s="32" t="s">
        <v>1132</v>
      </c>
      <c r="FN1146" t="s">
        <v>1133</v>
      </c>
      <c r="FO1146" t="s">
        <v>1134</v>
      </c>
      <c r="FP1146" t="str">
        <f t="shared" si="202"/>
        <v>C</v>
      </c>
    </row>
    <row r="1147" spans="153:172" x14ac:dyDescent="0.35">
      <c r="EW1147" t="s">
        <v>2339</v>
      </c>
      <c r="EX1147" s="33" t="s">
        <v>2539</v>
      </c>
      <c r="EY1147" s="33" t="s">
        <v>508</v>
      </c>
      <c r="EZ1147" s="33">
        <v>508132</v>
      </c>
      <c r="FA1147" s="33" t="s">
        <v>51</v>
      </c>
      <c r="FB1147" s="33" t="s">
        <v>473</v>
      </c>
      <c r="FC1147" s="33" t="s">
        <v>53</v>
      </c>
      <c r="FD1147" s="33" t="s">
        <v>476</v>
      </c>
      <c r="FE1147" s="33">
        <v>2020</v>
      </c>
      <c r="FF1147" s="33" t="s">
        <v>474</v>
      </c>
      <c r="FG1147" s="33" t="s">
        <v>477</v>
      </c>
      <c r="FH1147" s="33" t="s">
        <v>478</v>
      </c>
      <c r="FI1147" s="33" t="s">
        <v>479</v>
      </c>
      <c r="FJ1147" t="s">
        <v>474</v>
      </c>
      <c r="FM1147" s="32" t="s">
        <v>1306</v>
      </c>
      <c r="FN1147" t="s">
        <v>1306</v>
      </c>
      <c r="FO1147" t="s">
        <v>1307</v>
      </c>
      <c r="FP1147" t="str">
        <f t="shared" si="202"/>
        <v>C</v>
      </c>
    </row>
    <row r="1148" spans="153:172" x14ac:dyDescent="0.35">
      <c r="EW1148" t="s">
        <v>2339</v>
      </c>
      <c r="EX1148" s="33" t="s">
        <v>2540</v>
      </c>
      <c r="EY1148" s="33" t="s">
        <v>509</v>
      </c>
      <c r="EZ1148" s="33">
        <v>508345</v>
      </c>
      <c r="FA1148" s="33" t="s">
        <v>51</v>
      </c>
      <c r="FB1148" s="33" t="s">
        <v>473</v>
      </c>
      <c r="FC1148" s="33" t="s">
        <v>53</v>
      </c>
      <c r="FD1148" s="33" t="s">
        <v>476</v>
      </c>
      <c r="FE1148" s="33">
        <v>2020</v>
      </c>
      <c r="FF1148" s="33" t="s">
        <v>474</v>
      </c>
      <c r="FG1148" s="33" t="s">
        <v>477</v>
      </c>
      <c r="FH1148" s="33" t="s">
        <v>478</v>
      </c>
      <c r="FI1148" s="33" t="s">
        <v>479</v>
      </c>
      <c r="FJ1148" t="s">
        <v>474</v>
      </c>
      <c r="FM1148" s="32" t="s">
        <v>1797</v>
      </c>
      <c r="FN1148" t="s">
        <v>1797</v>
      </c>
      <c r="FO1148" t="s">
        <v>1798</v>
      </c>
      <c r="FP1148" t="str">
        <f t="shared" si="202"/>
        <v>C</v>
      </c>
    </row>
    <row r="1149" spans="153:172" x14ac:dyDescent="0.35">
      <c r="EW1149" t="s">
        <v>2339</v>
      </c>
      <c r="EX1149" s="33" t="s">
        <v>2541</v>
      </c>
      <c r="EY1149" s="33" t="s">
        <v>513</v>
      </c>
      <c r="EZ1149" s="33">
        <v>508201</v>
      </c>
      <c r="FA1149" s="33" t="s">
        <v>51</v>
      </c>
      <c r="FB1149" s="33" t="s">
        <v>473</v>
      </c>
      <c r="FC1149" s="33" t="s">
        <v>53</v>
      </c>
      <c r="FD1149" s="33" t="s">
        <v>476</v>
      </c>
      <c r="FE1149" s="33">
        <v>2020</v>
      </c>
      <c r="FF1149" s="33" t="s">
        <v>474</v>
      </c>
      <c r="FG1149" s="33" t="s">
        <v>477</v>
      </c>
      <c r="FH1149" s="33" t="s">
        <v>478</v>
      </c>
      <c r="FI1149" s="33" t="s">
        <v>479</v>
      </c>
      <c r="FJ1149" t="s">
        <v>474</v>
      </c>
      <c r="FM1149" s="32" t="s">
        <v>1911</v>
      </c>
      <c r="FN1149" t="s">
        <v>1911</v>
      </c>
      <c r="FO1149" t="s">
        <v>1912</v>
      </c>
      <c r="FP1149" t="str">
        <f t="shared" si="202"/>
        <v>C</v>
      </c>
    </row>
    <row r="1150" spans="153:172" x14ac:dyDescent="0.35">
      <c r="EW1150" t="s">
        <v>2339</v>
      </c>
      <c r="EX1150" s="33" t="s">
        <v>2542</v>
      </c>
      <c r="EY1150" s="33" t="s">
        <v>514</v>
      </c>
      <c r="EZ1150" s="33">
        <v>508119</v>
      </c>
      <c r="FA1150" s="33" t="s">
        <v>51</v>
      </c>
      <c r="FB1150" s="33" t="s">
        <v>473</v>
      </c>
      <c r="FC1150" s="33" t="s">
        <v>53</v>
      </c>
      <c r="FD1150" s="33" t="s">
        <v>476</v>
      </c>
      <c r="FE1150" s="33">
        <v>2020</v>
      </c>
      <c r="FF1150" s="33" t="s">
        <v>474</v>
      </c>
      <c r="FG1150" s="33" t="s">
        <v>477</v>
      </c>
      <c r="FH1150" s="33" t="s">
        <v>478</v>
      </c>
      <c r="FI1150" s="33" t="s">
        <v>479</v>
      </c>
      <c r="FJ1150" t="s">
        <v>474</v>
      </c>
      <c r="FM1150" s="32" t="s">
        <v>2427</v>
      </c>
      <c r="FN1150" t="s">
        <v>2427</v>
      </c>
      <c r="FO1150" t="s">
        <v>2428</v>
      </c>
      <c r="FP1150" t="str">
        <f t="shared" si="202"/>
        <v>C</v>
      </c>
    </row>
    <row r="1151" spans="153:172" x14ac:dyDescent="0.35">
      <c r="EW1151" t="s">
        <v>2339</v>
      </c>
      <c r="EX1151" s="33" t="s">
        <v>2543</v>
      </c>
      <c r="EY1151" s="33" t="s">
        <v>515</v>
      </c>
      <c r="EZ1151" s="33">
        <v>508282</v>
      </c>
      <c r="FA1151" s="33" t="s">
        <v>51</v>
      </c>
      <c r="FB1151" s="33" t="s">
        <v>473</v>
      </c>
      <c r="FC1151" s="33" t="s">
        <v>53</v>
      </c>
      <c r="FD1151" s="33" t="s">
        <v>476</v>
      </c>
      <c r="FE1151" s="33">
        <v>2020</v>
      </c>
      <c r="FF1151" s="33" t="s">
        <v>474</v>
      </c>
      <c r="FG1151" s="33" t="s">
        <v>477</v>
      </c>
      <c r="FH1151" s="33" t="s">
        <v>478</v>
      </c>
      <c r="FI1151" s="33" t="s">
        <v>479</v>
      </c>
      <c r="FJ1151" t="s">
        <v>474</v>
      </c>
      <c r="FM1151" s="32" t="s">
        <v>1738</v>
      </c>
      <c r="FN1151" t="s">
        <v>1738</v>
      </c>
      <c r="FO1151" t="s">
        <v>1739</v>
      </c>
      <c r="FP1151" t="str">
        <f t="shared" si="202"/>
        <v>C</v>
      </c>
    </row>
    <row r="1152" spans="153:172" x14ac:dyDescent="0.35">
      <c r="EW1152" t="s">
        <v>2339</v>
      </c>
      <c r="EX1152" s="33" t="s">
        <v>2544</v>
      </c>
      <c r="EY1152" s="33" t="s">
        <v>516</v>
      </c>
      <c r="EZ1152" s="33">
        <v>508121</v>
      </c>
      <c r="FA1152" s="33" t="s">
        <v>51</v>
      </c>
      <c r="FB1152" s="33" t="s">
        <v>473</v>
      </c>
      <c r="FC1152" s="33" t="s">
        <v>53</v>
      </c>
      <c r="FD1152" s="33" t="s">
        <v>476</v>
      </c>
      <c r="FE1152" s="33">
        <v>2020</v>
      </c>
      <c r="FF1152" s="33" t="s">
        <v>474</v>
      </c>
      <c r="FG1152" s="33" t="s">
        <v>470</v>
      </c>
      <c r="FH1152" s="33" t="s">
        <v>471</v>
      </c>
      <c r="FI1152" s="33" t="s">
        <v>467</v>
      </c>
      <c r="FJ1152" t="s">
        <v>474</v>
      </c>
      <c r="FM1152" s="32" t="s">
        <v>1804</v>
      </c>
      <c r="FN1152" t="s">
        <v>1804</v>
      </c>
      <c r="FO1152" t="s">
        <v>1805</v>
      </c>
      <c r="FP1152" t="str">
        <f t="shared" si="202"/>
        <v>C</v>
      </c>
    </row>
    <row r="1153" spans="153:172" x14ac:dyDescent="0.35">
      <c r="EW1153" t="s">
        <v>2339</v>
      </c>
      <c r="EX1153" s="33" t="s">
        <v>2545</v>
      </c>
      <c r="EY1153" s="33" t="s">
        <v>517</v>
      </c>
      <c r="EZ1153" s="33">
        <v>508224</v>
      </c>
      <c r="FA1153" s="33" t="s">
        <v>51</v>
      </c>
      <c r="FB1153" s="33" t="s">
        <v>473</v>
      </c>
      <c r="FC1153" s="33" t="s">
        <v>53</v>
      </c>
      <c r="FD1153" s="33" t="s">
        <v>476</v>
      </c>
      <c r="FE1153" s="33">
        <v>2020</v>
      </c>
      <c r="FF1153" s="33" t="s">
        <v>474</v>
      </c>
      <c r="FG1153" s="33" t="s">
        <v>470</v>
      </c>
      <c r="FH1153" s="33" t="s">
        <v>471</v>
      </c>
      <c r="FI1153" s="33" t="s">
        <v>467</v>
      </c>
      <c r="FJ1153" t="s">
        <v>474</v>
      </c>
      <c r="FM1153" s="32" t="s">
        <v>1237</v>
      </c>
      <c r="FN1153" t="s">
        <v>1237</v>
      </c>
      <c r="FO1153" t="s">
        <v>1238</v>
      </c>
      <c r="FP1153" t="str">
        <f t="shared" ref="FP1153:FP1216" si="203">VLOOKUP(FO1153,EX:FF,9,0)</f>
        <v>C</v>
      </c>
    </row>
    <row r="1154" spans="153:172" x14ac:dyDescent="0.35">
      <c r="EW1154" t="s">
        <v>2339</v>
      </c>
      <c r="EX1154" s="33" t="s">
        <v>2546</v>
      </c>
      <c r="EY1154" s="33" t="s">
        <v>518</v>
      </c>
      <c r="EZ1154" s="33">
        <v>508615</v>
      </c>
      <c r="FA1154" s="33" t="s">
        <v>51</v>
      </c>
      <c r="FB1154" s="33" t="s">
        <v>473</v>
      </c>
      <c r="FC1154" s="33" t="s">
        <v>53</v>
      </c>
      <c r="FD1154" s="33" t="s">
        <v>476</v>
      </c>
      <c r="FE1154" s="33">
        <v>2020</v>
      </c>
      <c r="FF1154" s="33" t="s">
        <v>474</v>
      </c>
      <c r="FG1154" s="33" t="s">
        <v>477</v>
      </c>
      <c r="FH1154" s="33" t="s">
        <v>478</v>
      </c>
      <c r="FI1154" s="33" t="s">
        <v>479</v>
      </c>
      <c r="FJ1154" t="s">
        <v>474</v>
      </c>
      <c r="FM1154" s="32" t="s">
        <v>2245</v>
      </c>
      <c r="FN1154" t="s">
        <v>2245</v>
      </c>
      <c r="FO1154" t="s">
        <v>2246</v>
      </c>
      <c r="FP1154" t="str">
        <f t="shared" si="203"/>
        <v>C</v>
      </c>
    </row>
    <row r="1155" spans="153:172" x14ac:dyDescent="0.35">
      <c r="EW1155" t="s">
        <v>2339</v>
      </c>
      <c r="EX1155" s="33" t="s">
        <v>2547</v>
      </c>
      <c r="EY1155" s="33" t="s">
        <v>522</v>
      </c>
      <c r="EZ1155" s="33">
        <v>508569</v>
      </c>
      <c r="FA1155" s="33" t="s">
        <v>51</v>
      </c>
      <c r="FB1155" s="33" t="s">
        <v>473</v>
      </c>
      <c r="FC1155" s="33" t="s">
        <v>53</v>
      </c>
      <c r="FD1155" s="33" t="s">
        <v>476</v>
      </c>
      <c r="FE1155" s="33">
        <v>2020</v>
      </c>
      <c r="FF1155" s="33" t="s">
        <v>474</v>
      </c>
      <c r="FG1155" s="33" t="s">
        <v>470</v>
      </c>
      <c r="FH1155" s="33" t="s">
        <v>471</v>
      </c>
      <c r="FI1155" s="33" t="s">
        <v>467</v>
      </c>
      <c r="FJ1155" t="s">
        <v>474</v>
      </c>
      <c r="FM1155" s="32" t="s">
        <v>2379</v>
      </c>
      <c r="FN1155" t="s">
        <v>2379</v>
      </c>
      <c r="FO1155" t="s">
        <v>2380</v>
      </c>
      <c r="FP1155" t="str">
        <f t="shared" si="203"/>
        <v>C</v>
      </c>
    </row>
    <row r="1156" spans="153:172" x14ac:dyDescent="0.35">
      <c r="EW1156" t="s">
        <v>2339</v>
      </c>
      <c r="EX1156" s="33" t="s">
        <v>2548</v>
      </c>
      <c r="EY1156" s="33" t="s">
        <v>523</v>
      </c>
      <c r="EZ1156" s="33">
        <v>508297</v>
      </c>
      <c r="FA1156" s="33" t="s">
        <v>51</v>
      </c>
      <c r="FB1156" s="33" t="s">
        <v>473</v>
      </c>
      <c r="FC1156" s="33" t="s">
        <v>53</v>
      </c>
      <c r="FD1156" s="33" t="s">
        <v>476</v>
      </c>
      <c r="FE1156" s="33">
        <v>2020</v>
      </c>
      <c r="FF1156" s="33" t="s">
        <v>474</v>
      </c>
      <c r="FG1156" s="33" t="s">
        <v>477</v>
      </c>
      <c r="FH1156" s="33" t="s">
        <v>478</v>
      </c>
      <c r="FI1156" s="33" t="s">
        <v>479</v>
      </c>
      <c r="FJ1156" t="s">
        <v>474</v>
      </c>
      <c r="FM1156" s="32" t="s">
        <v>1929</v>
      </c>
      <c r="FN1156" t="s">
        <v>1929</v>
      </c>
      <c r="FO1156" t="s">
        <v>1340</v>
      </c>
      <c r="FP1156" t="str">
        <f t="shared" si="203"/>
        <v>C</v>
      </c>
    </row>
    <row r="1157" spans="153:172" x14ac:dyDescent="0.35">
      <c r="EW1157" t="s">
        <v>2339</v>
      </c>
      <c r="EX1157" s="33" t="s">
        <v>2549</v>
      </c>
      <c r="EY1157" s="33" t="s">
        <v>524</v>
      </c>
      <c r="EZ1157" s="33">
        <v>508303</v>
      </c>
      <c r="FA1157" s="33" t="s">
        <v>51</v>
      </c>
      <c r="FB1157" s="33" t="s">
        <v>473</v>
      </c>
      <c r="FC1157" s="33" t="s">
        <v>53</v>
      </c>
      <c r="FD1157" s="33" t="s">
        <v>476</v>
      </c>
      <c r="FE1157" s="33">
        <v>2020</v>
      </c>
      <c r="FF1157" s="33" t="s">
        <v>474</v>
      </c>
      <c r="FG1157" s="33" t="s">
        <v>477</v>
      </c>
      <c r="FH1157" s="33" t="s">
        <v>478</v>
      </c>
      <c r="FI1157" s="33" t="s">
        <v>479</v>
      </c>
      <c r="FJ1157" t="s">
        <v>474</v>
      </c>
      <c r="FM1157" s="32" t="s">
        <v>2351</v>
      </c>
      <c r="FN1157" t="s">
        <v>2351</v>
      </c>
      <c r="FO1157" t="s">
        <v>2352</v>
      </c>
      <c r="FP1157" t="str">
        <f t="shared" si="203"/>
        <v>C</v>
      </c>
    </row>
    <row r="1158" spans="153:172" x14ac:dyDescent="0.35">
      <c r="EW1158" t="s">
        <v>2339</v>
      </c>
      <c r="EX1158" s="33" t="s">
        <v>2550</v>
      </c>
      <c r="EY1158" s="33" t="s">
        <v>525</v>
      </c>
      <c r="EZ1158" s="33">
        <v>508235</v>
      </c>
      <c r="FA1158" s="33" t="s">
        <v>51</v>
      </c>
      <c r="FB1158" s="33" t="s">
        <v>473</v>
      </c>
      <c r="FC1158" s="33" t="s">
        <v>53</v>
      </c>
      <c r="FD1158" s="33" t="s">
        <v>476</v>
      </c>
      <c r="FE1158" s="33">
        <v>2020</v>
      </c>
      <c r="FF1158" s="33" t="s">
        <v>474</v>
      </c>
      <c r="FG1158" s="33" t="s">
        <v>477</v>
      </c>
      <c r="FH1158" s="33" t="s">
        <v>478</v>
      </c>
      <c r="FI1158" s="33" t="s">
        <v>479</v>
      </c>
      <c r="FJ1158" t="s">
        <v>474</v>
      </c>
      <c r="FM1158" s="32" t="s">
        <v>2412</v>
      </c>
      <c r="FN1158" t="s">
        <v>2412</v>
      </c>
      <c r="FO1158" t="s">
        <v>1343</v>
      </c>
      <c r="FP1158" t="str">
        <f t="shared" si="203"/>
        <v>C</v>
      </c>
    </row>
    <row r="1159" spans="153:172" x14ac:dyDescent="0.35">
      <c r="EW1159" t="s">
        <v>2339</v>
      </c>
      <c r="EX1159" s="33" t="s">
        <v>2551</v>
      </c>
      <c r="EY1159" s="33" t="s">
        <v>526</v>
      </c>
      <c r="EZ1159" s="33">
        <v>507854</v>
      </c>
      <c r="FA1159" s="33" t="s">
        <v>51</v>
      </c>
      <c r="FB1159" s="33" t="s">
        <v>473</v>
      </c>
      <c r="FC1159" s="33" t="s">
        <v>53</v>
      </c>
      <c r="FD1159" s="33" t="s">
        <v>476</v>
      </c>
      <c r="FE1159" s="33">
        <v>2020</v>
      </c>
      <c r="FF1159" s="33" t="s">
        <v>474</v>
      </c>
      <c r="FG1159" s="33" t="s">
        <v>477</v>
      </c>
      <c r="FH1159" s="33" t="s">
        <v>478</v>
      </c>
      <c r="FI1159" s="33" t="s">
        <v>479</v>
      </c>
      <c r="FJ1159" t="s">
        <v>474</v>
      </c>
      <c r="FM1159" s="32" t="s">
        <v>1289</v>
      </c>
      <c r="FN1159" t="s">
        <v>1289</v>
      </c>
      <c r="FO1159" t="s">
        <v>1273</v>
      </c>
      <c r="FP1159" t="str">
        <f t="shared" si="203"/>
        <v>C</v>
      </c>
    </row>
    <row r="1160" spans="153:172" x14ac:dyDescent="0.35">
      <c r="EW1160" t="s">
        <v>2339</v>
      </c>
      <c r="EX1160" s="33" t="s">
        <v>2552</v>
      </c>
      <c r="EY1160" s="33" t="s">
        <v>527</v>
      </c>
      <c r="EZ1160" s="33">
        <v>507955</v>
      </c>
      <c r="FA1160" s="33" t="s">
        <v>51</v>
      </c>
      <c r="FB1160" s="33" t="s">
        <v>473</v>
      </c>
      <c r="FC1160" s="33" t="s">
        <v>53</v>
      </c>
      <c r="FD1160" s="33" t="s">
        <v>476</v>
      </c>
      <c r="FE1160" s="33">
        <v>2020</v>
      </c>
      <c r="FF1160" s="33" t="s">
        <v>474</v>
      </c>
      <c r="FG1160" s="33" t="s">
        <v>470</v>
      </c>
      <c r="FH1160" s="33" t="s">
        <v>471</v>
      </c>
      <c r="FI1160" s="33" t="s">
        <v>467</v>
      </c>
      <c r="FJ1160" t="s">
        <v>474</v>
      </c>
      <c r="FM1160" s="32" t="s">
        <v>2414</v>
      </c>
      <c r="FN1160" t="s">
        <v>2414</v>
      </c>
      <c r="FO1160" t="s">
        <v>2415</v>
      </c>
      <c r="FP1160" t="str">
        <f t="shared" si="203"/>
        <v>C</v>
      </c>
    </row>
    <row r="1161" spans="153:172" x14ac:dyDescent="0.35">
      <c r="EW1161" t="s">
        <v>2339</v>
      </c>
      <c r="EX1161" s="33" t="s">
        <v>2553</v>
      </c>
      <c r="EY1161" s="33" t="s">
        <v>531</v>
      </c>
      <c r="EZ1161" s="33">
        <v>508633</v>
      </c>
      <c r="FA1161" s="33" t="s">
        <v>51</v>
      </c>
      <c r="FB1161" s="33" t="s">
        <v>473</v>
      </c>
      <c r="FC1161" s="33" t="s">
        <v>53</v>
      </c>
      <c r="FD1161" s="33" t="s">
        <v>476</v>
      </c>
      <c r="FE1161" s="33">
        <v>2020</v>
      </c>
      <c r="FF1161" s="33" t="s">
        <v>474</v>
      </c>
      <c r="FG1161" s="33" t="s">
        <v>477</v>
      </c>
      <c r="FH1161" s="33" t="s">
        <v>478</v>
      </c>
      <c r="FI1161" s="33" t="s">
        <v>479</v>
      </c>
      <c r="FJ1161" t="s">
        <v>474</v>
      </c>
      <c r="FM1161" s="32" t="s">
        <v>1744</v>
      </c>
      <c r="FN1161" t="s">
        <v>1744</v>
      </c>
      <c r="FO1161" t="s">
        <v>1745</v>
      </c>
      <c r="FP1161" t="str">
        <f t="shared" si="203"/>
        <v>C</v>
      </c>
    </row>
    <row r="1162" spans="153:172" x14ac:dyDescent="0.35">
      <c r="EW1162" t="s">
        <v>2339</v>
      </c>
      <c r="EX1162" s="33" t="s">
        <v>2554</v>
      </c>
      <c r="EY1162" s="33" t="s">
        <v>532</v>
      </c>
      <c r="EZ1162" s="33">
        <v>508651</v>
      </c>
      <c r="FA1162" s="33" t="s">
        <v>51</v>
      </c>
      <c r="FB1162" s="33" t="s">
        <v>473</v>
      </c>
      <c r="FC1162" s="33" t="s">
        <v>53</v>
      </c>
      <c r="FD1162" s="33" t="s">
        <v>476</v>
      </c>
      <c r="FE1162" s="33">
        <v>2020</v>
      </c>
      <c r="FF1162" s="33" t="s">
        <v>474</v>
      </c>
      <c r="FG1162" s="33" t="s">
        <v>477</v>
      </c>
      <c r="FH1162" s="33" t="s">
        <v>478</v>
      </c>
      <c r="FI1162" s="33" t="s">
        <v>479</v>
      </c>
      <c r="FJ1162" t="s">
        <v>474</v>
      </c>
      <c r="FM1162" s="32" t="s">
        <v>1260</v>
      </c>
      <c r="FN1162" t="s">
        <v>1260</v>
      </c>
      <c r="FO1162" t="s">
        <v>1261</v>
      </c>
      <c r="FP1162" t="str">
        <f t="shared" si="203"/>
        <v>C</v>
      </c>
    </row>
    <row r="1163" spans="153:172" x14ac:dyDescent="0.35">
      <c r="EW1163" t="s">
        <v>2339</v>
      </c>
      <c r="EX1163" s="33" t="s">
        <v>2555</v>
      </c>
      <c r="EY1163" s="33" t="s">
        <v>533</v>
      </c>
      <c r="EZ1163" s="33">
        <v>508236</v>
      </c>
      <c r="FA1163" s="33" t="s">
        <v>51</v>
      </c>
      <c r="FB1163" s="33" t="s">
        <v>473</v>
      </c>
      <c r="FC1163" s="33" t="s">
        <v>53</v>
      </c>
      <c r="FD1163" s="33" t="s">
        <v>476</v>
      </c>
      <c r="FE1163" s="33">
        <v>2020</v>
      </c>
      <c r="FF1163" s="33" t="s">
        <v>474</v>
      </c>
      <c r="FG1163" s="33" t="s">
        <v>477</v>
      </c>
      <c r="FH1163" s="33" t="s">
        <v>478</v>
      </c>
      <c r="FI1163" s="33" t="s">
        <v>479</v>
      </c>
      <c r="FJ1163" t="s">
        <v>474</v>
      </c>
      <c r="FM1163" s="32" t="s">
        <v>1977</v>
      </c>
      <c r="FN1163" t="s">
        <v>1977</v>
      </c>
      <c r="FO1163" t="s">
        <v>1978</v>
      </c>
      <c r="FP1163" t="str">
        <f t="shared" si="203"/>
        <v>C</v>
      </c>
    </row>
    <row r="1164" spans="153:172" x14ac:dyDescent="0.35">
      <c r="EW1164" t="s">
        <v>2339</v>
      </c>
      <c r="EX1164" s="33" t="s">
        <v>2556</v>
      </c>
      <c r="EY1164" s="33" t="s">
        <v>534</v>
      </c>
      <c r="EZ1164" s="33">
        <v>508307</v>
      </c>
      <c r="FA1164" s="33" t="s">
        <v>51</v>
      </c>
      <c r="FB1164" s="33" t="s">
        <v>473</v>
      </c>
      <c r="FC1164" s="33" t="s">
        <v>53</v>
      </c>
      <c r="FD1164" s="33" t="s">
        <v>476</v>
      </c>
      <c r="FE1164" s="33">
        <v>2020</v>
      </c>
      <c r="FF1164" s="33" t="s">
        <v>474</v>
      </c>
      <c r="FG1164" s="33" t="s">
        <v>477</v>
      </c>
      <c r="FH1164" s="33" t="s">
        <v>478</v>
      </c>
      <c r="FI1164" s="33" t="s">
        <v>479</v>
      </c>
      <c r="FJ1164" t="s">
        <v>474</v>
      </c>
      <c r="FM1164" s="32" t="s">
        <v>1945</v>
      </c>
      <c r="FN1164" t="s">
        <v>1945</v>
      </c>
      <c r="FO1164" t="s">
        <v>1946</v>
      </c>
      <c r="FP1164" t="str">
        <f t="shared" si="203"/>
        <v>C</v>
      </c>
    </row>
    <row r="1165" spans="153:172" x14ac:dyDescent="0.35">
      <c r="EW1165" t="s">
        <v>2339</v>
      </c>
      <c r="EX1165" s="33" t="s">
        <v>2557</v>
      </c>
      <c r="EY1165" s="33" t="s">
        <v>535</v>
      </c>
      <c r="EZ1165" s="33">
        <v>508215</v>
      </c>
      <c r="FA1165" s="33" t="s">
        <v>51</v>
      </c>
      <c r="FB1165" s="33" t="s">
        <v>473</v>
      </c>
      <c r="FC1165" s="33" t="s">
        <v>53</v>
      </c>
      <c r="FD1165" s="33" t="s">
        <v>476</v>
      </c>
      <c r="FE1165" s="33">
        <v>2020</v>
      </c>
      <c r="FF1165" s="33" t="s">
        <v>474</v>
      </c>
      <c r="FG1165" s="33" t="s">
        <v>470</v>
      </c>
      <c r="FH1165" s="33" t="s">
        <v>471</v>
      </c>
      <c r="FI1165" s="33" t="s">
        <v>467</v>
      </c>
      <c r="FJ1165" t="s">
        <v>474</v>
      </c>
      <c r="FM1165" s="32" t="s">
        <v>1298</v>
      </c>
      <c r="FN1165" t="s">
        <v>1298</v>
      </c>
      <c r="FO1165" t="s">
        <v>1299</v>
      </c>
      <c r="FP1165" t="str">
        <f t="shared" si="203"/>
        <v>C</v>
      </c>
    </row>
    <row r="1166" spans="153:172" x14ac:dyDescent="0.35">
      <c r="EW1166" t="s">
        <v>2339</v>
      </c>
      <c r="EX1166" s="33" t="s">
        <v>2558</v>
      </c>
      <c r="EY1166" s="33" t="s">
        <v>536</v>
      </c>
      <c r="EZ1166" s="33">
        <v>508655</v>
      </c>
      <c r="FA1166" s="33" t="s">
        <v>51</v>
      </c>
      <c r="FB1166" s="33" t="s">
        <v>473</v>
      </c>
      <c r="FC1166" s="33" t="s">
        <v>53</v>
      </c>
      <c r="FD1166" s="33" t="s">
        <v>476</v>
      </c>
      <c r="FE1166" s="33">
        <v>2020</v>
      </c>
      <c r="FF1166" s="33" t="s">
        <v>474</v>
      </c>
      <c r="FG1166" s="33" t="s">
        <v>477</v>
      </c>
      <c r="FH1166" s="33" t="s">
        <v>478</v>
      </c>
      <c r="FI1166" s="33" t="s">
        <v>479</v>
      </c>
      <c r="FJ1166" t="s">
        <v>474</v>
      </c>
      <c r="FM1166" s="32" t="s">
        <v>2388</v>
      </c>
      <c r="FN1166" t="s">
        <v>2388</v>
      </c>
      <c r="FO1166" t="s">
        <v>2389</v>
      </c>
      <c r="FP1166" t="str">
        <f t="shared" si="203"/>
        <v>C</v>
      </c>
    </row>
    <row r="1167" spans="153:172" x14ac:dyDescent="0.35">
      <c r="EW1167" t="s">
        <v>2339</v>
      </c>
      <c r="EX1167" s="33" t="s">
        <v>2559</v>
      </c>
      <c r="EY1167" s="33" t="s">
        <v>540</v>
      </c>
      <c r="EZ1167" s="33">
        <v>508198</v>
      </c>
      <c r="FA1167" s="33" t="s">
        <v>51</v>
      </c>
      <c r="FB1167" s="33" t="s">
        <v>473</v>
      </c>
      <c r="FC1167" s="33" t="s">
        <v>53</v>
      </c>
      <c r="FD1167" s="33" t="s">
        <v>476</v>
      </c>
      <c r="FE1167" s="33">
        <v>2020</v>
      </c>
      <c r="FF1167" s="33" t="s">
        <v>474</v>
      </c>
      <c r="FG1167" s="33" t="s">
        <v>477</v>
      </c>
      <c r="FH1167" s="33" t="s">
        <v>478</v>
      </c>
      <c r="FI1167" s="33" t="s">
        <v>479</v>
      </c>
      <c r="FJ1167" t="s">
        <v>474</v>
      </c>
      <c r="FM1167" s="32" t="s">
        <v>1256</v>
      </c>
      <c r="FN1167" t="s">
        <v>1256</v>
      </c>
      <c r="FO1167" t="s">
        <v>1257</v>
      </c>
      <c r="FP1167" t="str">
        <f t="shared" si="203"/>
        <v>C</v>
      </c>
    </row>
    <row r="1168" spans="153:172" x14ac:dyDescent="0.35">
      <c r="EW1168" t="s">
        <v>2339</v>
      </c>
      <c r="EX1168" s="33" t="s">
        <v>2560</v>
      </c>
      <c r="EY1168" s="33" t="s">
        <v>541</v>
      </c>
      <c r="EZ1168" s="33">
        <v>509348</v>
      </c>
      <c r="FA1168" s="33" t="s">
        <v>51</v>
      </c>
      <c r="FB1168" s="33" t="s">
        <v>473</v>
      </c>
      <c r="FC1168" s="33" t="s">
        <v>53</v>
      </c>
      <c r="FD1168" s="33" t="s">
        <v>476</v>
      </c>
      <c r="FE1168" s="33">
        <v>2020</v>
      </c>
      <c r="FF1168" s="33" t="s">
        <v>474</v>
      </c>
      <c r="FG1168" s="33" t="s">
        <v>470</v>
      </c>
      <c r="FH1168" s="33" t="s">
        <v>471</v>
      </c>
      <c r="FI1168" s="33" t="s">
        <v>467</v>
      </c>
      <c r="FJ1168" t="s">
        <v>474</v>
      </c>
      <c r="FM1168" s="32" t="s">
        <v>1173</v>
      </c>
      <c r="FN1168" t="s">
        <v>1174</v>
      </c>
      <c r="FO1168" t="s">
        <v>1175</v>
      </c>
      <c r="FP1168" t="str">
        <f t="shared" si="203"/>
        <v>C</v>
      </c>
    </row>
    <row r="1169" spans="153:172" x14ac:dyDescent="0.35">
      <c r="EW1169" t="s">
        <v>2339</v>
      </c>
      <c r="EX1169" s="33" t="s">
        <v>2561</v>
      </c>
      <c r="EY1169" s="33" t="s">
        <v>542</v>
      </c>
      <c r="EZ1169" s="33">
        <v>509467</v>
      </c>
      <c r="FA1169" s="33" t="s">
        <v>51</v>
      </c>
      <c r="FB1169" s="33" t="s">
        <v>473</v>
      </c>
      <c r="FC1169" s="33" t="s">
        <v>53</v>
      </c>
      <c r="FD1169" s="33" t="s">
        <v>476</v>
      </c>
      <c r="FE1169" s="33">
        <v>2020</v>
      </c>
      <c r="FF1169" s="33" t="s">
        <v>474</v>
      </c>
      <c r="FG1169" s="33" t="s">
        <v>470</v>
      </c>
      <c r="FH1169" s="33" t="s">
        <v>471</v>
      </c>
      <c r="FI1169" s="33" t="s">
        <v>467</v>
      </c>
      <c r="FJ1169" t="s">
        <v>474</v>
      </c>
      <c r="FM1169" s="32" t="s">
        <v>1825</v>
      </c>
      <c r="FN1169" t="s">
        <v>1825</v>
      </c>
      <c r="FO1169" t="s">
        <v>1826</v>
      </c>
      <c r="FP1169" t="str">
        <f t="shared" si="203"/>
        <v>C</v>
      </c>
    </row>
    <row r="1170" spans="153:172" x14ac:dyDescent="0.35">
      <c r="EW1170" t="s">
        <v>2339</v>
      </c>
      <c r="EX1170" s="33" t="s">
        <v>2530</v>
      </c>
      <c r="EY1170" s="33" t="s">
        <v>543</v>
      </c>
      <c r="EZ1170" s="33">
        <v>507981</v>
      </c>
      <c r="FA1170" s="33" t="s">
        <v>51</v>
      </c>
      <c r="FB1170" s="33" t="s">
        <v>473</v>
      </c>
      <c r="FC1170" s="33" t="s">
        <v>53</v>
      </c>
      <c r="FD1170" s="33" t="s">
        <v>476</v>
      </c>
      <c r="FE1170" s="33">
        <v>2020</v>
      </c>
      <c r="FF1170" s="33" t="s">
        <v>474</v>
      </c>
      <c r="FG1170" s="33" t="s">
        <v>477</v>
      </c>
      <c r="FH1170" s="33" t="s">
        <v>478</v>
      </c>
      <c r="FI1170" s="33" t="s">
        <v>479</v>
      </c>
      <c r="FJ1170" t="s">
        <v>474</v>
      </c>
      <c r="FM1170" s="32" t="s">
        <v>1833</v>
      </c>
      <c r="FN1170" t="s">
        <v>1833</v>
      </c>
      <c r="FO1170" t="s">
        <v>1834</v>
      </c>
      <c r="FP1170" t="str">
        <f t="shared" si="203"/>
        <v>C</v>
      </c>
    </row>
    <row r="1171" spans="153:172" x14ac:dyDescent="0.35">
      <c r="EW1171" t="s">
        <v>2339</v>
      </c>
      <c r="EX1171" s="33" t="s">
        <v>2562</v>
      </c>
      <c r="EY1171" s="33" t="s">
        <v>544</v>
      </c>
      <c r="EZ1171" s="33">
        <v>508404</v>
      </c>
      <c r="FA1171" s="33" t="s">
        <v>51</v>
      </c>
      <c r="FB1171" s="33" t="s">
        <v>473</v>
      </c>
      <c r="FC1171" s="33" t="s">
        <v>53</v>
      </c>
      <c r="FD1171" s="33" t="s">
        <v>476</v>
      </c>
      <c r="FE1171" s="33">
        <v>2020</v>
      </c>
      <c r="FF1171" s="33" t="s">
        <v>474</v>
      </c>
      <c r="FG1171" s="33" t="s">
        <v>477</v>
      </c>
      <c r="FH1171" s="33" t="s">
        <v>478</v>
      </c>
      <c r="FI1171" s="33" t="s">
        <v>479</v>
      </c>
      <c r="FJ1171" t="s">
        <v>474</v>
      </c>
      <c r="FM1171" s="32" t="s">
        <v>1718</v>
      </c>
      <c r="FN1171" t="s">
        <v>1718</v>
      </c>
      <c r="FO1171" t="s">
        <v>1719</v>
      </c>
      <c r="FP1171" t="str">
        <f t="shared" si="203"/>
        <v>C</v>
      </c>
    </row>
    <row r="1172" spans="153:172" x14ac:dyDescent="0.35">
      <c r="EW1172" t="s">
        <v>2339</v>
      </c>
      <c r="EX1172" s="33" t="s">
        <v>2563</v>
      </c>
      <c r="EY1172" s="33" t="s">
        <v>545</v>
      </c>
      <c r="EZ1172" s="33">
        <v>509585</v>
      </c>
      <c r="FA1172" s="33" t="s">
        <v>51</v>
      </c>
      <c r="FB1172" s="33" t="s">
        <v>473</v>
      </c>
      <c r="FC1172" s="33" t="s">
        <v>53</v>
      </c>
      <c r="FD1172" s="33" t="s">
        <v>476</v>
      </c>
      <c r="FE1172" s="33">
        <v>2020</v>
      </c>
      <c r="FF1172" s="33" t="s">
        <v>474</v>
      </c>
      <c r="FG1172" s="33" t="s">
        <v>477</v>
      </c>
      <c r="FH1172" s="33" t="s">
        <v>478</v>
      </c>
      <c r="FI1172" s="33" t="s">
        <v>479</v>
      </c>
      <c r="FJ1172" t="s">
        <v>474</v>
      </c>
      <c r="FM1172" s="32" t="s">
        <v>1839</v>
      </c>
      <c r="FN1172" t="s">
        <v>1839</v>
      </c>
      <c r="FO1172" t="s">
        <v>1840</v>
      </c>
      <c r="FP1172" t="str">
        <f t="shared" si="203"/>
        <v>C</v>
      </c>
    </row>
    <row r="1173" spans="153:172" x14ac:dyDescent="0.35">
      <c r="EW1173" t="s">
        <v>2339</v>
      </c>
      <c r="EX1173" s="33" t="s">
        <v>2564</v>
      </c>
      <c r="EY1173" s="33" t="s">
        <v>546</v>
      </c>
      <c r="EZ1173" s="33">
        <v>509583</v>
      </c>
      <c r="FA1173" s="33" t="s">
        <v>51</v>
      </c>
      <c r="FB1173" s="33" t="s">
        <v>473</v>
      </c>
      <c r="FC1173" s="33" t="s">
        <v>53</v>
      </c>
      <c r="FD1173" s="33" t="s">
        <v>476</v>
      </c>
      <c r="FE1173" s="33">
        <v>2020</v>
      </c>
      <c r="FF1173" s="33" t="s">
        <v>474</v>
      </c>
      <c r="FG1173" s="33" t="s">
        <v>477</v>
      </c>
      <c r="FH1173" s="33" t="s">
        <v>478</v>
      </c>
      <c r="FI1173" s="33" t="s">
        <v>479</v>
      </c>
      <c r="FJ1173" t="s">
        <v>474</v>
      </c>
      <c r="FM1173" s="32" t="s">
        <v>2398</v>
      </c>
      <c r="FN1173" t="s">
        <v>2398</v>
      </c>
      <c r="FO1173" t="s">
        <v>2399</v>
      </c>
      <c r="FP1173" t="str">
        <f t="shared" si="203"/>
        <v>C</v>
      </c>
    </row>
    <row r="1174" spans="153:172" x14ac:dyDescent="0.35">
      <c r="EW1174" t="s">
        <v>2339</v>
      </c>
      <c r="EX1174" s="33" t="s">
        <v>2565</v>
      </c>
      <c r="EY1174" s="33" t="s">
        <v>550</v>
      </c>
      <c r="EZ1174" s="33">
        <v>509444</v>
      </c>
      <c r="FA1174" s="33" t="s">
        <v>51</v>
      </c>
      <c r="FB1174" s="33" t="s">
        <v>473</v>
      </c>
      <c r="FC1174" s="33" t="s">
        <v>53</v>
      </c>
      <c r="FD1174" s="33" t="s">
        <v>476</v>
      </c>
      <c r="FE1174" s="33">
        <v>2020</v>
      </c>
      <c r="FF1174" s="33" t="s">
        <v>474</v>
      </c>
      <c r="FG1174" s="33" t="s">
        <v>477</v>
      </c>
      <c r="FH1174" s="33" t="s">
        <v>478</v>
      </c>
      <c r="FI1174" s="33" t="s">
        <v>479</v>
      </c>
      <c r="FJ1174" t="s">
        <v>474</v>
      </c>
      <c r="FM1174" s="32" t="s">
        <v>1215</v>
      </c>
      <c r="FN1174" t="s">
        <v>1215</v>
      </c>
      <c r="FO1174" t="s">
        <v>1216</v>
      </c>
      <c r="FP1174" t="str">
        <f t="shared" si="203"/>
        <v>C</v>
      </c>
    </row>
    <row r="1175" spans="153:172" x14ac:dyDescent="0.35">
      <c r="EW1175" t="s">
        <v>2339</v>
      </c>
      <c r="EX1175" s="33" t="s">
        <v>2566</v>
      </c>
      <c r="EY1175" s="33" t="s">
        <v>551</v>
      </c>
      <c r="EZ1175" s="33">
        <v>509171</v>
      </c>
      <c r="FA1175" s="33" t="s">
        <v>51</v>
      </c>
      <c r="FB1175" s="33" t="s">
        <v>473</v>
      </c>
      <c r="FC1175" s="33" t="s">
        <v>53</v>
      </c>
      <c r="FD1175" s="33" t="s">
        <v>476</v>
      </c>
      <c r="FE1175" s="33">
        <v>2020</v>
      </c>
      <c r="FF1175" s="33" t="s">
        <v>474</v>
      </c>
      <c r="FG1175" s="33" t="s">
        <v>477</v>
      </c>
      <c r="FH1175" s="33" t="s">
        <v>478</v>
      </c>
      <c r="FI1175" s="33" t="s">
        <v>479</v>
      </c>
      <c r="FJ1175" t="s">
        <v>474</v>
      </c>
      <c r="FM1175" s="32" t="s">
        <v>1843</v>
      </c>
      <c r="FN1175" t="s">
        <v>1843</v>
      </c>
      <c r="FO1175" t="s">
        <v>1278</v>
      </c>
      <c r="FP1175" t="str">
        <f t="shared" si="203"/>
        <v>C</v>
      </c>
    </row>
    <row r="1176" spans="153:172" x14ac:dyDescent="0.35">
      <c r="EW1176" t="s">
        <v>2339</v>
      </c>
      <c r="EX1176" s="33" t="s">
        <v>2567</v>
      </c>
      <c r="EY1176" s="33" t="s">
        <v>552</v>
      </c>
      <c r="EZ1176" s="33">
        <v>509572</v>
      </c>
      <c r="FA1176" s="33" t="s">
        <v>51</v>
      </c>
      <c r="FB1176" s="33" t="s">
        <v>473</v>
      </c>
      <c r="FC1176" s="33" t="s">
        <v>53</v>
      </c>
      <c r="FD1176" s="33" t="s">
        <v>476</v>
      </c>
      <c r="FE1176" s="33">
        <v>2020</v>
      </c>
      <c r="FF1176" s="33" t="s">
        <v>474</v>
      </c>
      <c r="FG1176" s="33" t="s">
        <v>477</v>
      </c>
      <c r="FH1176" s="33" t="s">
        <v>478</v>
      </c>
      <c r="FI1176" s="33" t="s">
        <v>479</v>
      </c>
      <c r="FJ1176" t="s">
        <v>474</v>
      </c>
      <c r="FM1176" s="32" t="s">
        <v>2207</v>
      </c>
      <c r="FN1176" t="s">
        <v>2207</v>
      </c>
      <c r="FO1176" t="s">
        <v>2208</v>
      </c>
      <c r="FP1176" t="str">
        <f t="shared" si="203"/>
        <v>C</v>
      </c>
    </row>
    <row r="1177" spans="153:172" x14ac:dyDescent="0.35">
      <c r="EW1177" t="s">
        <v>2339</v>
      </c>
      <c r="EX1177" s="33" t="s">
        <v>2568</v>
      </c>
      <c r="EY1177" s="33" t="s">
        <v>553</v>
      </c>
      <c r="EZ1177" s="33">
        <v>508475</v>
      </c>
      <c r="FA1177" s="33" t="s">
        <v>51</v>
      </c>
      <c r="FB1177" s="33" t="s">
        <v>473</v>
      </c>
      <c r="FC1177" s="33" t="s">
        <v>53</v>
      </c>
      <c r="FD1177" s="33" t="s">
        <v>476</v>
      </c>
      <c r="FE1177" s="33">
        <v>2020</v>
      </c>
      <c r="FF1177" s="33" t="s">
        <v>474</v>
      </c>
      <c r="FG1177" s="33" t="s">
        <v>477</v>
      </c>
      <c r="FH1177" s="33" t="s">
        <v>478</v>
      </c>
      <c r="FI1177" s="33" t="s">
        <v>479</v>
      </c>
      <c r="FJ1177" t="s">
        <v>474</v>
      </c>
      <c r="FM1177" s="32" t="s">
        <v>1350</v>
      </c>
      <c r="FN1177" t="s">
        <v>1350</v>
      </c>
      <c r="FO1177" t="s">
        <v>1351</v>
      </c>
      <c r="FP1177" t="str">
        <f t="shared" si="203"/>
        <v>C</v>
      </c>
    </row>
    <row r="1178" spans="153:172" x14ac:dyDescent="0.35">
      <c r="EW1178" t="s">
        <v>2339</v>
      </c>
      <c r="EX1178" s="33" t="s">
        <v>2569</v>
      </c>
      <c r="EY1178" s="33" t="s">
        <v>557</v>
      </c>
      <c r="EZ1178" s="33">
        <v>507974</v>
      </c>
      <c r="FA1178" s="33" t="s">
        <v>51</v>
      </c>
      <c r="FB1178" s="33" t="s">
        <v>473</v>
      </c>
      <c r="FC1178" s="33" t="s">
        <v>53</v>
      </c>
      <c r="FD1178" s="33" t="s">
        <v>476</v>
      </c>
      <c r="FE1178" s="33">
        <v>2020</v>
      </c>
      <c r="FF1178" s="33" t="s">
        <v>474</v>
      </c>
      <c r="FG1178" s="33" t="s">
        <v>477</v>
      </c>
      <c r="FH1178" s="33" t="s">
        <v>478</v>
      </c>
      <c r="FI1178" s="33" t="s">
        <v>479</v>
      </c>
      <c r="FJ1178" t="s">
        <v>474</v>
      </c>
      <c r="FM1178" s="32" t="s">
        <v>1388</v>
      </c>
      <c r="FN1178" t="s">
        <v>1388</v>
      </c>
      <c r="FO1178" t="s">
        <v>1389</v>
      </c>
      <c r="FP1178" t="str">
        <f t="shared" si="203"/>
        <v>C</v>
      </c>
    </row>
    <row r="1179" spans="153:172" x14ac:dyDescent="0.35">
      <c r="EW1179" t="s">
        <v>2339</v>
      </c>
      <c r="EX1179" s="33" t="s">
        <v>2570</v>
      </c>
      <c r="EY1179" s="33" t="s">
        <v>558</v>
      </c>
      <c r="EZ1179" s="33">
        <v>508008</v>
      </c>
      <c r="FA1179" s="33" t="s">
        <v>51</v>
      </c>
      <c r="FB1179" s="33" t="s">
        <v>473</v>
      </c>
      <c r="FC1179" s="33" t="s">
        <v>53</v>
      </c>
      <c r="FD1179" s="33" t="s">
        <v>476</v>
      </c>
      <c r="FE1179" s="33">
        <v>2020</v>
      </c>
      <c r="FF1179" s="33" t="s">
        <v>474</v>
      </c>
      <c r="FG1179" s="33" t="s">
        <v>477</v>
      </c>
      <c r="FH1179" s="33" t="s">
        <v>478</v>
      </c>
      <c r="FI1179" s="33" t="s">
        <v>479</v>
      </c>
      <c r="FJ1179" t="s">
        <v>474</v>
      </c>
      <c r="FM1179" s="32" t="s">
        <v>1777</v>
      </c>
      <c r="FN1179" t="s">
        <v>1777</v>
      </c>
      <c r="FO1179" t="s">
        <v>1778</v>
      </c>
      <c r="FP1179" t="str">
        <f t="shared" si="203"/>
        <v>C</v>
      </c>
    </row>
    <row r="1180" spans="153:172" x14ac:dyDescent="0.35">
      <c r="EW1180" t="s">
        <v>2339</v>
      </c>
      <c r="EX1180" s="33" t="s">
        <v>2571</v>
      </c>
      <c r="EY1180" s="33" t="s">
        <v>562</v>
      </c>
      <c r="EZ1180" s="33">
        <v>507878</v>
      </c>
      <c r="FA1180" s="33" t="s">
        <v>51</v>
      </c>
      <c r="FB1180" s="33" t="s">
        <v>473</v>
      </c>
      <c r="FC1180" s="33" t="s">
        <v>53</v>
      </c>
      <c r="FD1180" s="33" t="s">
        <v>476</v>
      </c>
      <c r="FE1180" s="33">
        <v>2020</v>
      </c>
      <c r="FF1180" s="33" t="s">
        <v>474</v>
      </c>
      <c r="FG1180" s="33" t="s">
        <v>477</v>
      </c>
      <c r="FH1180" s="33" t="s">
        <v>478</v>
      </c>
      <c r="FI1180" s="33" t="s">
        <v>479</v>
      </c>
      <c r="FJ1180" t="s">
        <v>474</v>
      </c>
      <c r="FM1180" s="32" t="s">
        <v>1794</v>
      </c>
      <c r="FN1180" t="s">
        <v>1794</v>
      </c>
      <c r="FO1180" t="s">
        <v>1795</v>
      </c>
      <c r="FP1180" t="str">
        <f t="shared" si="203"/>
        <v>C</v>
      </c>
    </row>
    <row r="1181" spans="153:172" x14ac:dyDescent="0.35">
      <c r="EW1181" t="s">
        <v>2339</v>
      </c>
      <c r="EX1181" s="33" t="s">
        <v>2572</v>
      </c>
      <c r="EY1181" s="33" t="s">
        <v>566</v>
      </c>
      <c r="EZ1181" s="33">
        <v>507933</v>
      </c>
      <c r="FA1181" s="33" t="s">
        <v>51</v>
      </c>
      <c r="FB1181" s="33" t="s">
        <v>473</v>
      </c>
      <c r="FC1181" s="33" t="s">
        <v>53</v>
      </c>
      <c r="FD1181" s="33" t="s">
        <v>476</v>
      </c>
      <c r="FE1181" s="33">
        <v>2020</v>
      </c>
      <c r="FF1181" s="33" t="s">
        <v>474</v>
      </c>
      <c r="FG1181" s="33" t="s">
        <v>477</v>
      </c>
      <c r="FH1181" s="33" t="s">
        <v>478</v>
      </c>
      <c r="FI1181" s="33" t="s">
        <v>479</v>
      </c>
      <c r="FJ1181" t="s">
        <v>474</v>
      </c>
      <c r="FM1181" s="32" t="s">
        <v>1804</v>
      </c>
      <c r="FN1181" t="s">
        <v>1804</v>
      </c>
      <c r="FO1181" t="s">
        <v>1805</v>
      </c>
      <c r="FP1181" t="str">
        <f t="shared" si="203"/>
        <v>C</v>
      </c>
    </row>
    <row r="1182" spans="153:172" x14ac:dyDescent="0.35">
      <c r="EW1182" t="s">
        <v>2339</v>
      </c>
      <c r="EX1182" s="33" t="s">
        <v>2573</v>
      </c>
      <c r="EY1182" s="33" t="s">
        <v>567</v>
      </c>
      <c r="EZ1182" s="33">
        <v>508173</v>
      </c>
      <c r="FA1182" s="33" t="s">
        <v>51</v>
      </c>
      <c r="FB1182" s="33" t="s">
        <v>473</v>
      </c>
      <c r="FC1182" s="33" t="s">
        <v>53</v>
      </c>
      <c r="FD1182" s="33" t="s">
        <v>476</v>
      </c>
      <c r="FE1182" s="33">
        <v>2020</v>
      </c>
      <c r="FF1182" s="33" t="s">
        <v>474</v>
      </c>
      <c r="FG1182" s="33" t="s">
        <v>477</v>
      </c>
      <c r="FH1182" s="33" t="s">
        <v>478</v>
      </c>
      <c r="FI1182" s="33" t="s">
        <v>479</v>
      </c>
      <c r="FJ1182" t="s">
        <v>474</v>
      </c>
      <c r="FM1182" s="32" t="s">
        <v>1768</v>
      </c>
      <c r="FN1182" t="s">
        <v>1768</v>
      </c>
      <c r="FO1182" t="s">
        <v>1769</v>
      </c>
      <c r="FP1182" t="str">
        <f t="shared" si="203"/>
        <v>C</v>
      </c>
    </row>
    <row r="1183" spans="153:172" x14ac:dyDescent="0.35">
      <c r="EW1183" t="s">
        <v>2339</v>
      </c>
      <c r="EX1183" s="33" t="s">
        <v>2574</v>
      </c>
      <c r="EY1183" s="33" t="s">
        <v>568</v>
      </c>
      <c r="EZ1183" s="33">
        <v>480074</v>
      </c>
      <c r="FA1183" s="33" t="s">
        <v>51</v>
      </c>
      <c r="FB1183" s="33" t="s">
        <v>473</v>
      </c>
      <c r="FC1183" s="33" t="s">
        <v>53</v>
      </c>
      <c r="FD1183" s="33" t="s">
        <v>569</v>
      </c>
      <c r="FE1183" s="33">
        <v>2021</v>
      </c>
      <c r="FF1183" s="33" t="s">
        <v>474</v>
      </c>
      <c r="FG1183" s="33" t="s">
        <v>477</v>
      </c>
      <c r="FH1183" s="33" t="s">
        <v>478</v>
      </c>
      <c r="FI1183" s="33" t="s">
        <v>479</v>
      </c>
      <c r="FJ1183" t="s">
        <v>474</v>
      </c>
      <c r="FM1183" s="32" t="s">
        <v>2245</v>
      </c>
      <c r="FN1183" t="s">
        <v>2245</v>
      </c>
      <c r="FO1183" t="s">
        <v>2246</v>
      </c>
      <c r="FP1183" t="str">
        <f t="shared" si="203"/>
        <v>C</v>
      </c>
    </row>
    <row r="1184" spans="153:172" x14ac:dyDescent="0.35">
      <c r="EW1184" t="s">
        <v>2339</v>
      </c>
      <c r="EX1184" s="33" t="s">
        <v>2575</v>
      </c>
      <c r="EY1184" s="33" t="s">
        <v>570</v>
      </c>
      <c r="EZ1184" s="33">
        <v>552632</v>
      </c>
      <c r="FA1184" s="33" t="s">
        <v>51</v>
      </c>
      <c r="FB1184" s="33" t="s">
        <v>473</v>
      </c>
      <c r="FC1184" s="33" t="s">
        <v>53</v>
      </c>
      <c r="FD1184" s="33" t="s">
        <v>476</v>
      </c>
      <c r="FE1184" s="33">
        <v>2022</v>
      </c>
      <c r="FF1184" s="33" t="s">
        <v>474</v>
      </c>
      <c r="FG1184" s="33" t="s">
        <v>477</v>
      </c>
      <c r="FH1184" s="33" t="s">
        <v>478</v>
      </c>
      <c r="FI1184" s="33" t="s">
        <v>479</v>
      </c>
      <c r="FJ1184" t="s">
        <v>474</v>
      </c>
      <c r="FM1184" s="32" t="s">
        <v>1730</v>
      </c>
      <c r="FN1184" t="s">
        <v>1730</v>
      </c>
      <c r="FO1184" t="s">
        <v>1731</v>
      </c>
      <c r="FP1184" t="str">
        <f t="shared" si="203"/>
        <v>C</v>
      </c>
    </row>
    <row r="1185" spans="153:172" x14ac:dyDescent="0.35">
      <c r="EW1185" t="s">
        <v>2339</v>
      </c>
      <c r="EX1185" s="33" t="s">
        <v>2576</v>
      </c>
      <c r="EY1185" s="33" t="s">
        <v>571</v>
      </c>
      <c r="EZ1185" s="33">
        <v>552649</v>
      </c>
      <c r="FA1185" s="33" t="s">
        <v>51</v>
      </c>
      <c r="FB1185" s="33" t="s">
        <v>473</v>
      </c>
      <c r="FC1185" s="33" t="s">
        <v>53</v>
      </c>
      <c r="FD1185" s="33" t="s">
        <v>476</v>
      </c>
      <c r="FE1185" s="33">
        <v>2022</v>
      </c>
      <c r="FF1185" s="33" t="s">
        <v>474</v>
      </c>
      <c r="FG1185" s="33" t="s">
        <v>470</v>
      </c>
      <c r="FH1185" s="33" t="s">
        <v>471</v>
      </c>
      <c r="FI1185" s="33" t="s">
        <v>467</v>
      </c>
      <c r="FJ1185" t="s">
        <v>474</v>
      </c>
      <c r="FM1185" s="32" t="s">
        <v>2351</v>
      </c>
      <c r="FN1185" t="s">
        <v>2351</v>
      </c>
      <c r="FO1185" t="s">
        <v>2352</v>
      </c>
      <c r="FP1185" t="str">
        <f t="shared" si="203"/>
        <v>C</v>
      </c>
    </row>
    <row r="1186" spans="153:172" x14ac:dyDescent="0.35">
      <c r="EW1186" t="s">
        <v>2339</v>
      </c>
      <c r="EX1186" s="33" t="s">
        <v>2577</v>
      </c>
      <c r="EY1186" s="33" t="s">
        <v>572</v>
      </c>
      <c r="EZ1186" s="33">
        <v>552624</v>
      </c>
      <c r="FA1186" s="33" t="s">
        <v>51</v>
      </c>
      <c r="FB1186" s="33" t="s">
        <v>473</v>
      </c>
      <c r="FC1186" s="33" t="s">
        <v>53</v>
      </c>
      <c r="FD1186" s="33" t="s">
        <v>476</v>
      </c>
      <c r="FE1186" s="33">
        <v>2022</v>
      </c>
      <c r="FF1186" s="33" t="s">
        <v>474</v>
      </c>
      <c r="FG1186" s="33" t="s">
        <v>470</v>
      </c>
      <c r="FH1186" s="33" t="s">
        <v>471</v>
      </c>
      <c r="FI1186" s="33" t="s">
        <v>467</v>
      </c>
      <c r="FJ1186" t="s">
        <v>474</v>
      </c>
      <c r="FM1186" s="32" t="s">
        <v>2307</v>
      </c>
      <c r="FN1186" t="s">
        <v>2307</v>
      </c>
      <c r="FO1186" t="s">
        <v>2308</v>
      </c>
      <c r="FP1186" t="str">
        <f t="shared" si="203"/>
        <v>C</v>
      </c>
    </row>
    <row r="1187" spans="153:172" x14ac:dyDescent="0.35">
      <c r="EW1187" t="s">
        <v>2339</v>
      </c>
      <c r="EX1187" s="33" t="s">
        <v>2578</v>
      </c>
      <c r="EY1187" s="33" t="s">
        <v>576</v>
      </c>
      <c r="EZ1187" s="33">
        <v>552338</v>
      </c>
      <c r="FA1187" s="33" t="s">
        <v>51</v>
      </c>
      <c r="FB1187" s="33" t="s">
        <v>473</v>
      </c>
      <c r="FC1187" s="33" t="s">
        <v>53</v>
      </c>
      <c r="FD1187" s="33" t="s">
        <v>476</v>
      </c>
      <c r="FE1187" s="33">
        <v>2022</v>
      </c>
      <c r="FF1187" s="33" t="s">
        <v>474</v>
      </c>
      <c r="FG1187" s="33" t="s">
        <v>470</v>
      </c>
      <c r="FH1187" s="33" t="s">
        <v>471</v>
      </c>
      <c r="FI1187" s="33" t="s">
        <v>467</v>
      </c>
      <c r="FJ1187" t="s">
        <v>474</v>
      </c>
      <c r="FM1187" s="32" t="s">
        <v>2454</v>
      </c>
      <c r="FN1187" t="s">
        <v>2454</v>
      </c>
      <c r="FO1187" t="s">
        <v>2455</v>
      </c>
      <c r="FP1187" t="str">
        <f t="shared" si="203"/>
        <v>C</v>
      </c>
    </row>
    <row r="1188" spans="153:172" x14ac:dyDescent="0.35">
      <c r="EW1188" t="s">
        <v>2339</v>
      </c>
      <c r="EX1188" s="33" t="s">
        <v>2579</v>
      </c>
      <c r="EY1188" s="33" t="s">
        <v>577</v>
      </c>
      <c r="EZ1188" s="33">
        <v>552333</v>
      </c>
      <c r="FA1188" s="33" t="s">
        <v>51</v>
      </c>
      <c r="FB1188" s="33" t="s">
        <v>473</v>
      </c>
      <c r="FC1188" s="33" t="s">
        <v>53</v>
      </c>
      <c r="FD1188" s="33" t="s">
        <v>476</v>
      </c>
      <c r="FE1188" s="33">
        <v>2022</v>
      </c>
      <c r="FF1188" s="33" t="s">
        <v>474</v>
      </c>
      <c r="FG1188" s="33" t="s">
        <v>470</v>
      </c>
      <c r="FH1188" s="33" t="s">
        <v>471</v>
      </c>
      <c r="FI1188" s="33" t="s">
        <v>467</v>
      </c>
      <c r="FJ1188" t="s">
        <v>474</v>
      </c>
      <c r="FM1188" s="32" t="s">
        <v>2412</v>
      </c>
      <c r="FN1188" t="s">
        <v>2412</v>
      </c>
      <c r="FO1188" t="s">
        <v>1343</v>
      </c>
      <c r="FP1188" t="str">
        <f t="shared" si="203"/>
        <v>C</v>
      </c>
    </row>
    <row r="1189" spans="153:172" x14ac:dyDescent="0.35">
      <c r="EW1189" t="s">
        <v>2339</v>
      </c>
      <c r="EX1189" s="33" t="s">
        <v>2580</v>
      </c>
      <c r="EY1189" s="33" t="s">
        <v>581</v>
      </c>
      <c r="EZ1189" s="33">
        <v>552881</v>
      </c>
      <c r="FA1189" s="33" t="s">
        <v>51</v>
      </c>
      <c r="FB1189" s="33" t="s">
        <v>473</v>
      </c>
      <c r="FC1189" s="33" t="s">
        <v>53</v>
      </c>
      <c r="FD1189" s="33" t="s">
        <v>476</v>
      </c>
      <c r="FE1189" s="33">
        <v>2022</v>
      </c>
      <c r="FF1189" s="33" t="s">
        <v>474</v>
      </c>
      <c r="FG1189" s="33" t="s">
        <v>477</v>
      </c>
      <c r="FH1189" s="33" t="s">
        <v>478</v>
      </c>
      <c r="FI1189" s="33" t="s">
        <v>479</v>
      </c>
      <c r="FJ1189" t="s">
        <v>474</v>
      </c>
      <c r="FM1189" s="32" t="s">
        <v>2414</v>
      </c>
      <c r="FN1189" t="s">
        <v>2414</v>
      </c>
      <c r="FO1189" t="s">
        <v>2415</v>
      </c>
      <c r="FP1189" t="str">
        <f t="shared" si="203"/>
        <v>C</v>
      </c>
    </row>
    <row r="1190" spans="153:172" x14ac:dyDescent="0.35">
      <c r="EW1190" t="s">
        <v>2339</v>
      </c>
      <c r="EX1190" s="33" t="s">
        <v>2581</v>
      </c>
      <c r="EY1190" s="33" t="s">
        <v>582</v>
      </c>
      <c r="EZ1190" s="33">
        <v>550630</v>
      </c>
      <c r="FA1190" s="33" t="s">
        <v>51</v>
      </c>
      <c r="FB1190" s="33" t="s">
        <v>473</v>
      </c>
      <c r="FC1190" s="33" t="s">
        <v>53</v>
      </c>
      <c r="FD1190" s="33" t="s">
        <v>476</v>
      </c>
      <c r="FE1190" s="33">
        <v>2022</v>
      </c>
      <c r="FF1190" s="33" t="s">
        <v>474</v>
      </c>
      <c r="FG1190" s="33" t="s">
        <v>470</v>
      </c>
      <c r="FH1190" s="33" t="s">
        <v>471</v>
      </c>
      <c r="FI1190" s="33" t="s">
        <v>467</v>
      </c>
      <c r="FJ1190" t="s">
        <v>474</v>
      </c>
      <c r="FM1190" s="32" t="s">
        <v>2082</v>
      </c>
      <c r="FN1190" t="s">
        <v>2082</v>
      </c>
      <c r="FO1190" t="s">
        <v>2083</v>
      </c>
      <c r="FP1190" t="str">
        <f t="shared" si="203"/>
        <v>C</v>
      </c>
    </row>
    <row r="1191" spans="153:172" x14ac:dyDescent="0.35">
      <c r="EW1191" t="s">
        <v>2339</v>
      </c>
      <c r="EX1191" s="33" t="s">
        <v>2582</v>
      </c>
      <c r="EY1191" s="33" t="s">
        <v>583</v>
      </c>
      <c r="EZ1191" s="33">
        <v>552303</v>
      </c>
      <c r="FA1191" s="33" t="s">
        <v>51</v>
      </c>
      <c r="FB1191" s="33" t="s">
        <v>473</v>
      </c>
      <c r="FC1191" s="33" t="s">
        <v>53</v>
      </c>
      <c r="FD1191" s="33" t="s">
        <v>476</v>
      </c>
      <c r="FE1191" s="33">
        <v>2022</v>
      </c>
      <c r="FF1191" s="33" t="s">
        <v>474</v>
      </c>
      <c r="FG1191" s="33" t="s">
        <v>477</v>
      </c>
      <c r="FH1191" s="33" t="s">
        <v>478</v>
      </c>
      <c r="FI1191" s="33" t="s">
        <v>479</v>
      </c>
      <c r="FJ1191" t="s">
        <v>474</v>
      </c>
      <c r="FM1191" s="32" t="s">
        <v>1744</v>
      </c>
      <c r="FN1191" t="s">
        <v>1744</v>
      </c>
      <c r="FO1191" t="s">
        <v>1745</v>
      </c>
      <c r="FP1191" t="str">
        <f t="shared" si="203"/>
        <v>C</v>
      </c>
    </row>
    <row r="1192" spans="153:172" x14ac:dyDescent="0.35">
      <c r="EW1192" t="s">
        <v>2339</v>
      </c>
      <c r="EX1192" s="33" t="s">
        <v>2583</v>
      </c>
      <c r="EY1192" s="33" t="s">
        <v>584</v>
      </c>
      <c r="EZ1192" s="33">
        <v>551701</v>
      </c>
      <c r="FA1192" s="33" t="s">
        <v>51</v>
      </c>
      <c r="FB1192" s="33" t="s">
        <v>473</v>
      </c>
      <c r="FC1192" s="33" t="s">
        <v>53</v>
      </c>
      <c r="FD1192" s="33" t="s">
        <v>476</v>
      </c>
      <c r="FE1192" s="33">
        <v>2022</v>
      </c>
      <c r="FF1192" s="33" t="s">
        <v>474</v>
      </c>
      <c r="FG1192" s="33" t="s">
        <v>477</v>
      </c>
      <c r="FH1192" s="33" t="s">
        <v>478</v>
      </c>
      <c r="FI1192" s="33" t="s">
        <v>479</v>
      </c>
      <c r="FJ1192" t="s">
        <v>474</v>
      </c>
      <c r="FM1192" s="32" t="s">
        <v>1977</v>
      </c>
      <c r="FN1192" t="s">
        <v>1977</v>
      </c>
      <c r="FO1192" t="s">
        <v>1978</v>
      </c>
      <c r="FP1192" t="str">
        <f t="shared" si="203"/>
        <v>C</v>
      </c>
    </row>
    <row r="1193" spans="153:172" x14ac:dyDescent="0.35">
      <c r="EW1193" t="s">
        <v>2339</v>
      </c>
      <c r="EX1193" s="33" t="s">
        <v>2584</v>
      </c>
      <c r="EY1193" s="33" t="s">
        <v>585</v>
      </c>
      <c r="EZ1193" s="33">
        <v>552373</v>
      </c>
      <c r="FA1193" s="33" t="s">
        <v>51</v>
      </c>
      <c r="FB1193" s="33" t="s">
        <v>473</v>
      </c>
      <c r="FC1193" s="33" t="s">
        <v>53</v>
      </c>
      <c r="FD1193" s="33" t="s">
        <v>476</v>
      </c>
      <c r="FE1193" s="33">
        <v>2022</v>
      </c>
      <c r="FF1193" s="33" t="s">
        <v>474</v>
      </c>
      <c r="FG1193" s="33" t="s">
        <v>470</v>
      </c>
      <c r="FH1193" s="33" t="s">
        <v>471</v>
      </c>
      <c r="FI1193" s="33" t="s">
        <v>467</v>
      </c>
      <c r="FJ1193" t="s">
        <v>474</v>
      </c>
      <c r="FM1193" s="32" t="s">
        <v>2315</v>
      </c>
      <c r="FN1193" t="s">
        <v>2315</v>
      </c>
      <c r="FO1193" t="s">
        <v>2316</v>
      </c>
      <c r="FP1193" t="str">
        <f t="shared" si="203"/>
        <v>C</v>
      </c>
    </row>
    <row r="1194" spans="153:172" x14ac:dyDescent="0.35">
      <c r="EW1194" t="s">
        <v>2339</v>
      </c>
      <c r="EX1194" s="33" t="s">
        <v>2585</v>
      </c>
      <c r="EY1194" s="33" t="s">
        <v>589</v>
      </c>
      <c r="EZ1194" s="33">
        <v>552573</v>
      </c>
      <c r="FA1194" s="33" t="s">
        <v>51</v>
      </c>
      <c r="FB1194" s="33" t="s">
        <v>473</v>
      </c>
      <c r="FC1194" s="33" t="s">
        <v>53</v>
      </c>
      <c r="FD1194" s="33" t="s">
        <v>476</v>
      </c>
      <c r="FE1194" s="33">
        <v>2022</v>
      </c>
      <c r="FF1194" s="33" t="s">
        <v>474</v>
      </c>
      <c r="FG1194" s="33" t="s">
        <v>470</v>
      </c>
      <c r="FH1194" s="33" t="s">
        <v>471</v>
      </c>
      <c r="FI1194" s="33" t="s">
        <v>467</v>
      </c>
      <c r="FJ1194" t="s">
        <v>474</v>
      </c>
      <c r="FM1194" s="32" t="s">
        <v>1497</v>
      </c>
      <c r="FN1194" t="s">
        <v>1497</v>
      </c>
      <c r="FO1194" t="s">
        <v>1498</v>
      </c>
      <c r="FP1194" t="str">
        <f t="shared" si="203"/>
        <v>C</v>
      </c>
    </row>
    <row r="1195" spans="153:172" x14ac:dyDescent="0.35">
      <c r="EW1195" t="s">
        <v>2339</v>
      </c>
      <c r="EX1195" s="33" t="s">
        <v>2586</v>
      </c>
      <c r="EY1195" s="33" t="s">
        <v>590</v>
      </c>
      <c r="EZ1195" s="33">
        <v>550568</v>
      </c>
      <c r="FA1195" s="33" t="s">
        <v>51</v>
      </c>
      <c r="FB1195" s="33" t="s">
        <v>473</v>
      </c>
      <c r="FC1195" s="33" t="s">
        <v>53</v>
      </c>
      <c r="FD1195" s="33" t="s">
        <v>476</v>
      </c>
      <c r="FE1195" s="33">
        <v>2022</v>
      </c>
      <c r="FF1195" s="33" t="s">
        <v>474</v>
      </c>
      <c r="FG1195" s="33" t="s">
        <v>470</v>
      </c>
      <c r="FH1195" s="33" t="s">
        <v>471</v>
      </c>
      <c r="FI1195" s="33" t="s">
        <v>467</v>
      </c>
      <c r="FJ1195" t="s">
        <v>474</v>
      </c>
      <c r="FM1195" s="32" t="s">
        <v>2421</v>
      </c>
      <c r="FN1195" t="s">
        <v>2421</v>
      </c>
      <c r="FO1195" t="s">
        <v>2422</v>
      </c>
      <c r="FP1195" t="str">
        <f t="shared" si="203"/>
        <v>C</v>
      </c>
    </row>
    <row r="1196" spans="153:172" x14ac:dyDescent="0.35">
      <c r="EW1196" t="s">
        <v>2339</v>
      </c>
      <c r="EX1196" s="33" t="s">
        <v>2587</v>
      </c>
      <c r="EY1196" s="33" t="s">
        <v>591</v>
      </c>
      <c r="EZ1196" s="33">
        <v>551734</v>
      </c>
      <c r="FA1196" s="33" t="s">
        <v>51</v>
      </c>
      <c r="FB1196" s="33" t="s">
        <v>473</v>
      </c>
      <c r="FC1196" s="33" t="s">
        <v>53</v>
      </c>
      <c r="FD1196" s="33" t="s">
        <v>476</v>
      </c>
      <c r="FE1196" s="33">
        <v>2022</v>
      </c>
      <c r="FF1196" s="33" t="s">
        <v>474</v>
      </c>
      <c r="FG1196" s="33" t="s">
        <v>477</v>
      </c>
      <c r="FH1196" s="33" t="s">
        <v>478</v>
      </c>
      <c r="FI1196" s="33" t="s">
        <v>479</v>
      </c>
      <c r="FJ1196" t="s">
        <v>474</v>
      </c>
      <c r="FM1196" s="32" t="s">
        <v>2364</v>
      </c>
      <c r="FN1196" t="s">
        <v>2364</v>
      </c>
      <c r="FO1196" t="s">
        <v>2365</v>
      </c>
      <c r="FP1196" t="str">
        <f t="shared" si="203"/>
        <v>C</v>
      </c>
    </row>
    <row r="1197" spans="153:172" x14ac:dyDescent="0.35">
      <c r="EW1197" t="s">
        <v>2339</v>
      </c>
      <c r="EX1197" s="33" t="s">
        <v>2588</v>
      </c>
      <c r="EY1197" s="33" t="s">
        <v>592</v>
      </c>
      <c r="EZ1197" s="33">
        <v>552393</v>
      </c>
      <c r="FA1197" s="33" t="s">
        <v>51</v>
      </c>
      <c r="FB1197" s="33" t="s">
        <v>473</v>
      </c>
      <c r="FC1197" s="33" t="s">
        <v>53</v>
      </c>
      <c r="FD1197" s="33" t="s">
        <v>476</v>
      </c>
      <c r="FE1197" s="33">
        <v>2022</v>
      </c>
      <c r="FF1197" s="33" t="s">
        <v>474</v>
      </c>
      <c r="FG1197" s="33" t="s">
        <v>470</v>
      </c>
      <c r="FH1197" s="33" t="s">
        <v>471</v>
      </c>
      <c r="FI1197" s="33" t="s">
        <v>467</v>
      </c>
      <c r="FJ1197" t="s">
        <v>474</v>
      </c>
      <c r="FM1197" s="32" t="s">
        <v>2388</v>
      </c>
      <c r="FN1197" t="s">
        <v>2388</v>
      </c>
      <c r="FO1197" t="s">
        <v>2389</v>
      </c>
      <c r="FP1197" t="str">
        <f t="shared" si="203"/>
        <v>C</v>
      </c>
    </row>
    <row r="1198" spans="153:172" x14ac:dyDescent="0.35">
      <c r="EW1198" t="s">
        <v>2339</v>
      </c>
      <c r="EX1198" s="33" t="s">
        <v>2589</v>
      </c>
      <c r="EY1198" s="33" t="s">
        <v>596</v>
      </c>
      <c r="EZ1198" s="33">
        <v>550593</v>
      </c>
      <c r="FA1198" s="33" t="s">
        <v>51</v>
      </c>
      <c r="FB1198" s="33" t="s">
        <v>473</v>
      </c>
      <c r="FC1198" s="33" t="s">
        <v>53</v>
      </c>
      <c r="FD1198" s="33" t="s">
        <v>476</v>
      </c>
      <c r="FE1198" s="33">
        <v>2022</v>
      </c>
      <c r="FF1198" s="33" t="s">
        <v>474</v>
      </c>
      <c r="FG1198" s="33" t="s">
        <v>470</v>
      </c>
      <c r="FH1198" s="33" t="s">
        <v>471</v>
      </c>
      <c r="FI1198" s="33" t="s">
        <v>467</v>
      </c>
      <c r="FJ1198" t="s">
        <v>474</v>
      </c>
      <c r="FM1198" s="32" t="s">
        <v>1848</v>
      </c>
      <c r="FN1198" t="s">
        <v>1848</v>
      </c>
      <c r="FO1198" t="s">
        <v>1849</v>
      </c>
      <c r="FP1198" t="str">
        <f t="shared" si="203"/>
        <v>C</v>
      </c>
    </row>
    <row r="1199" spans="153:172" x14ac:dyDescent="0.35">
      <c r="EW1199" t="s">
        <v>2339</v>
      </c>
      <c r="EX1199" s="33" t="s">
        <v>2590</v>
      </c>
      <c r="EY1199" s="33" t="s">
        <v>597</v>
      </c>
      <c r="EZ1199" s="33">
        <v>550451</v>
      </c>
      <c r="FA1199" s="33" t="s">
        <v>51</v>
      </c>
      <c r="FB1199" s="33" t="s">
        <v>473</v>
      </c>
      <c r="FC1199" s="33" t="s">
        <v>53</v>
      </c>
      <c r="FD1199" s="33" t="s">
        <v>476</v>
      </c>
      <c r="FE1199" s="33">
        <v>2022</v>
      </c>
      <c r="FF1199" s="33" t="s">
        <v>474</v>
      </c>
      <c r="FG1199" s="33" t="s">
        <v>470</v>
      </c>
      <c r="FH1199" s="33" t="s">
        <v>471</v>
      </c>
      <c r="FI1199" s="33" t="s">
        <v>467</v>
      </c>
      <c r="FJ1199" t="s">
        <v>474</v>
      </c>
      <c r="FM1199" s="32" t="s">
        <v>2427</v>
      </c>
      <c r="FN1199" t="s">
        <v>2427</v>
      </c>
      <c r="FO1199" t="s">
        <v>2428</v>
      </c>
      <c r="FP1199" t="str">
        <f t="shared" si="203"/>
        <v>C</v>
      </c>
    </row>
    <row r="1200" spans="153:172" x14ac:dyDescent="0.35">
      <c r="EW1200" t="s">
        <v>2339</v>
      </c>
      <c r="EX1200" s="33" t="s">
        <v>2591</v>
      </c>
      <c r="EY1200" s="33" t="s">
        <v>601</v>
      </c>
      <c r="EZ1200" s="33">
        <v>551900</v>
      </c>
      <c r="FA1200" s="33" t="s">
        <v>51</v>
      </c>
      <c r="FB1200" s="33" t="s">
        <v>473</v>
      </c>
      <c r="FC1200" s="33" t="s">
        <v>53</v>
      </c>
      <c r="FD1200" s="33" t="s">
        <v>476</v>
      </c>
      <c r="FE1200" s="33">
        <v>2022</v>
      </c>
      <c r="FF1200" s="33" t="s">
        <v>474</v>
      </c>
      <c r="FG1200" s="33" t="s">
        <v>477</v>
      </c>
      <c r="FH1200" s="33" t="s">
        <v>478</v>
      </c>
      <c r="FI1200" s="33" t="s">
        <v>479</v>
      </c>
      <c r="FJ1200" t="s">
        <v>474</v>
      </c>
      <c r="FM1200" s="32" t="s">
        <v>1877</v>
      </c>
      <c r="FN1200" t="s">
        <v>1877</v>
      </c>
      <c r="FO1200" t="s">
        <v>1878</v>
      </c>
      <c r="FP1200" t="str">
        <f t="shared" si="203"/>
        <v>C</v>
      </c>
    </row>
    <row r="1201" spans="153:172" x14ac:dyDescent="0.35">
      <c r="EW1201" t="s">
        <v>2339</v>
      </c>
      <c r="EX1201" s="33" t="s">
        <v>2592</v>
      </c>
      <c r="EY1201" s="33" t="s">
        <v>602</v>
      </c>
      <c r="EZ1201" s="33">
        <v>553953</v>
      </c>
      <c r="FA1201" s="33" t="s">
        <v>51</v>
      </c>
      <c r="FB1201" s="33" t="s">
        <v>473</v>
      </c>
      <c r="FC1201" s="33" t="s">
        <v>53</v>
      </c>
      <c r="FD1201" s="33" t="s">
        <v>476</v>
      </c>
      <c r="FE1201" s="33">
        <v>2022</v>
      </c>
      <c r="FF1201" s="33" t="s">
        <v>474</v>
      </c>
      <c r="FG1201" s="33" t="s">
        <v>477</v>
      </c>
      <c r="FH1201" s="33" t="s">
        <v>478</v>
      </c>
      <c r="FI1201" s="33" t="s">
        <v>479</v>
      </c>
      <c r="FJ1201" t="s">
        <v>474</v>
      </c>
      <c r="FM1201" s="32" t="s">
        <v>1759</v>
      </c>
      <c r="FN1201" t="s">
        <v>1759</v>
      </c>
      <c r="FO1201" t="s">
        <v>1760</v>
      </c>
      <c r="FP1201" t="str">
        <f t="shared" si="203"/>
        <v>C</v>
      </c>
    </row>
    <row r="1202" spans="153:172" x14ac:dyDescent="0.35">
      <c r="EW1202" t="s">
        <v>2339</v>
      </c>
      <c r="EX1202" s="33" t="s">
        <v>2593</v>
      </c>
      <c r="EY1202" s="33" t="s">
        <v>603</v>
      </c>
      <c r="EZ1202" s="33">
        <v>551716</v>
      </c>
      <c r="FA1202" s="33" t="s">
        <v>51</v>
      </c>
      <c r="FB1202" s="33" t="s">
        <v>473</v>
      </c>
      <c r="FC1202" s="33" t="s">
        <v>53</v>
      </c>
      <c r="FD1202" s="33" t="s">
        <v>476</v>
      </c>
      <c r="FE1202" s="33">
        <v>2022</v>
      </c>
      <c r="FF1202" s="33" t="s">
        <v>474</v>
      </c>
      <c r="FG1202" s="33" t="s">
        <v>477</v>
      </c>
      <c r="FH1202" s="33" t="s">
        <v>478</v>
      </c>
      <c r="FI1202" s="33" t="s">
        <v>479</v>
      </c>
      <c r="FJ1202" t="s">
        <v>474</v>
      </c>
      <c r="FM1202" s="32" t="s">
        <v>1264</v>
      </c>
      <c r="FN1202" t="s">
        <v>1264</v>
      </c>
      <c r="FO1202" t="s">
        <v>1265</v>
      </c>
      <c r="FP1202" t="str">
        <f t="shared" si="203"/>
        <v>C</v>
      </c>
    </row>
    <row r="1203" spans="153:172" x14ac:dyDescent="0.35">
      <c r="EW1203" t="s">
        <v>2339</v>
      </c>
      <c r="EX1203" s="33" t="s">
        <v>2594</v>
      </c>
      <c r="EY1203" s="33" t="s">
        <v>607</v>
      </c>
      <c r="EZ1203" s="33">
        <v>551695</v>
      </c>
      <c r="FA1203" s="33" t="s">
        <v>51</v>
      </c>
      <c r="FB1203" s="33" t="s">
        <v>473</v>
      </c>
      <c r="FC1203" s="33" t="s">
        <v>53</v>
      </c>
      <c r="FD1203" s="33" t="s">
        <v>476</v>
      </c>
      <c r="FE1203" s="33">
        <v>2022</v>
      </c>
      <c r="FF1203" s="33" t="s">
        <v>474</v>
      </c>
      <c r="FG1203" s="33" t="s">
        <v>477</v>
      </c>
      <c r="FH1203" s="33" t="s">
        <v>478</v>
      </c>
      <c r="FI1203" s="33" t="s">
        <v>479</v>
      </c>
      <c r="FJ1203" t="s">
        <v>474</v>
      </c>
      <c r="FM1203" s="32" t="s">
        <v>1839</v>
      </c>
      <c r="FN1203" t="s">
        <v>1839</v>
      </c>
      <c r="FO1203" t="s">
        <v>1840</v>
      </c>
      <c r="FP1203" t="str">
        <f t="shared" si="203"/>
        <v>C</v>
      </c>
    </row>
    <row r="1204" spans="153:172" x14ac:dyDescent="0.35">
      <c r="EW1204" t="s">
        <v>2339</v>
      </c>
      <c r="EX1204" s="33" t="s">
        <v>2595</v>
      </c>
      <c r="EY1204" s="33" t="s">
        <v>608</v>
      </c>
      <c r="EZ1204" s="33">
        <v>551682</v>
      </c>
      <c r="FA1204" s="33" t="s">
        <v>51</v>
      </c>
      <c r="FB1204" s="33" t="s">
        <v>473</v>
      </c>
      <c r="FC1204" s="33" t="s">
        <v>53</v>
      </c>
      <c r="FD1204" s="33" t="s">
        <v>476</v>
      </c>
      <c r="FE1204" s="33">
        <v>2022</v>
      </c>
      <c r="FF1204" s="33" t="s">
        <v>474</v>
      </c>
      <c r="FG1204" s="33" t="s">
        <v>477</v>
      </c>
      <c r="FH1204" s="33" t="s">
        <v>478</v>
      </c>
      <c r="FI1204" s="33" t="s">
        <v>479</v>
      </c>
      <c r="FJ1204" t="s">
        <v>474</v>
      </c>
      <c r="FM1204" s="32" t="s">
        <v>1836</v>
      </c>
      <c r="FN1204" t="s">
        <v>1836</v>
      </c>
      <c r="FO1204" t="s">
        <v>1837</v>
      </c>
      <c r="FP1204" t="str">
        <f t="shared" si="203"/>
        <v>C</v>
      </c>
    </row>
    <row r="1205" spans="153:172" x14ac:dyDescent="0.35">
      <c r="EW1205" t="s">
        <v>2339</v>
      </c>
      <c r="EX1205" s="33" t="s">
        <v>2596</v>
      </c>
      <c r="EY1205" s="33" t="s">
        <v>609</v>
      </c>
      <c r="EZ1205" s="33">
        <v>551698</v>
      </c>
      <c r="FA1205" s="33" t="s">
        <v>51</v>
      </c>
      <c r="FB1205" s="33" t="s">
        <v>473</v>
      </c>
      <c r="FC1205" s="33" t="s">
        <v>53</v>
      </c>
      <c r="FD1205" s="33" t="s">
        <v>476</v>
      </c>
      <c r="FE1205" s="33">
        <v>2022</v>
      </c>
      <c r="FF1205" s="33" t="s">
        <v>474</v>
      </c>
      <c r="FG1205" s="33" t="s">
        <v>477</v>
      </c>
      <c r="FH1205" s="33" t="s">
        <v>478</v>
      </c>
      <c r="FI1205" s="33" t="s">
        <v>479</v>
      </c>
      <c r="FJ1205" t="s">
        <v>474</v>
      </c>
      <c r="FM1205" s="32" t="s">
        <v>2398</v>
      </c>
      <c r="FN1205" t="s">
        <v>2398</v>
      </c>
      <c r="FO1205" t="s">
        <v>2399</v>
      </c>
      <c r="FP1205" t="str">
        <f t="shared" si="203"/>
        <v>C</v>
      </c>
    </row>
    <row r="1206" spans="153:172" x14ac:dyDescent="0.35">
      <c r="EW1206" t="s">
        <v>2339</v>
      </c>
      <c r="EX1206" s="33" t="s">
        <v>2597</v>
      </c>
      <c r="EY1206" s="33" t="s">
        <v>613</v>
      </c>
      <c r="EZ1206" s="33">
        <v>551645</v>
      </c>
      <c r="FA1206" s="33" t="s">
        <v>51</v>
      </c>
      <c r="FB1206" s="33" t="s">
        <v>473</v>
      </c>
      <c r="FC1206" s="33" t="s">
        <v>53</v>
      </c>
      <c r="FD1206" s="33" t="s">
        <v>476</v>
      </c>
      <c r="FE1206" s="33">
        <v>2022</v>
      </c>
      <c r="FF1206" s="33" t="s">
        <v>474</v>
      </c>
      <c r="FG1206" s="33" t="s">
        <v>470</v>
      </c>
      <c r="FH1206" s="33" t="s">
        <v>471</v>
      </c>
      <c r="FI1206" s="33" t="s">
        <v>467</v>
      </c>
      <c r="FJ1206" t="s">
        <v>474</v>
      </c>
      <c r="FM1206" s="32" t="s">
        <v>206</v>
      </c>
      <c r="FN1206" t="s">
        <v>207</v>
      </c>
      <c r="FO1206" t="s">
        <v>208</v>
      </c>
      <c r="FP1206" t="str">
        <f t="shared" si="203"/>
        <v>B</v>
      </c>
    </row>
    <row r="1207" spans="153:172" x14ac:dyDescent="0.35">
      <c r="EW1207" t="s">
        <v>2339</v>
      </c>
      <c r="EX1207" s="33" t="s">
        <v>2598</v>
      </c>
      <c r="EY1207" s="33" t="s">
        <v>614</v>
      </c>
      <c r="EZ1207" s="33">
        <v>551661</v>
      </c>
      <c r="FA1207" s="33" t="s">
        <v>51</v>
      </c>
      <c r="FB1207" s="33" t="s">
        <v>473</v>
      </c>
      <c r="FC1207" s="33" t="s">
        <v>53</v>
      </c>
      <c r="FD1207" s="33" t="s">
        <v>476</v>
      </c>
      <c r="FE1207" s="33">
        <v>2022</v>
      </c>
      <c r="FF1207" s="33" t="s">
        <v>474</v>
      </c>
      <c r="FG1207" s="33" t="s">
        <v>470</v>
      </c>
      <c r="FH1207" s="33" t="s">
        <v>471</v>
      </c>
      <c r="FI1207" s="33" t="s">
        <v>467</v>
      </c>
      <c r="FJ1207" t="s">
        <v>474</v>
      </c>
      <c r="FM1207" s="32" t="s">
        <v>2335</v>
      </c>
      <c r="FN1207" t="s">
        <v>2335</v>
      </c>
      <c r="FO1207" t="s">
        <v>2336</v>
      </c>
      <c r="FP1207" t="str">
        <f t="shared" si="203"/>
        <v>C</v>
      </c>
    </row>
    <row r="1208" spans="153:172" x14ac:dyDescent="0.35">
      <c r="EW1208" t="s">
        <v>2339</v>
      </c>
      <c r="EX1208" s="33" t="s">
        <v>2599</v>
      </c>
      <c r="EY1208" s="33" t="s">
        <v>618</v>
      </c>
      <c r="EZ1208" s="33">
        <v>554610</v>
      </c>
      <c r="FA1208" s="33" t="s">
        <v>51</v>
      </c>
      <c r="FB1208" s="33" t="s">
        <v>473</v>
      </c>
      <c r="FC1208" s="33" t="s">
        <v>53</v>
      </c>
      <c r="FD1208" s="33" t="s">
        <v>476</v>
      </c>
      <c r="FE1208" s="33">
        <v>2022</v>
      </c>
      <c r="FF1208" s="33" t="s">
        <v>474</v>
      </c>
      <c r="FG1208" s="33" t="s">
        <v>477</v>
      </c>
      <c r="FH1208" s="33" t="s">
        <v>478</v>
      </c>
      <c r="FI1208" s="33" t="s">
        <v>479</v>
      </c>
      <c r="FJ1208" t="s">
        <v>474</v>
      </c>
      <c r="FM1208" s="32" t="s">
        <v>2251</v>
      </c>
      <c r="FN1208" t="s">
        <v>2251</v>
      </c>
      <c r="FO1208" t="s">
        <v>2252</v>
      </c>
      <c r="FP1208" t="str">
        <f t="shared" si="203"/>
        <v>C</v>
      </c>
    </row>
    <row r="1209" spans="153:172" x14ac:dyDescent="0.35">
      <c r="EW1209" t="s">
        <v>2339</v>
      </c>
      <c r="EX1209" s="33" t="s">
        <v>2600</v>
      </c>
      <c r="EY1209" s="33" t="s">
        <v>619</v>
      </c>
      <c r="EZ1209" s="33">
        <v>554682</v>
      </c>
      <c r="FA1209" s="33" t="s">
        <v>51</v>
      </c>
      <c r="FB1209" s="33" t="s">
        <v>473</v>
      </c>
      <c r="FC1209" s="33" t="s">
        <v>53</v>
      </c>
      <c r="FD1209" s="33" t="s">
        <v>476</v>
      </c>
      <c r="FE1209" s="33">
        <v>2022</v>
      </c>
      <c r="FF1209" s="33" t="s">
        <v>474</v>
      </c>
      <c r="FG1209" s="33" t="s">
        <v>477</v>
      </c>
      <c r="FH1209" s="33" t="s">
        <v>478</v>
      </c>
      <c r="FI1209" s="33" t="s">
        <v>479</v>
      </c>
      <c r="FJ1209" t="s">
        <v>474</v>
      </c>
      <c r="FM1209" s="32" t="s">
        <v>1894</v>
      </c>
      <c r="FN1209" t="s">
        <v>1894</v>
      </c>
      <c r="FO1209" t="s">
        <v>1895</v>
      </c>
      <c r="FP1209" t="str">
        <f t="shared" si="203"/>
        <v>C</v>
      </c>
    </row>
    <row r="1210" spans="153:172" x14ac:dyDescent="0.35">
      <c r="EW1210" t="s">
        <v>2339</v>
      </c>
      <c r="EX1210" s="33" t="s">
        <v>2601</v>
      </c>
      <c r="EY1210" s="33" t="s">
        <v>620</v>
      </c>
      <c r="EZ1210" s="33">
        <v>554694</v>
      </c>
      <c r="FA1210" s="33" t="s">
        <v>51</v>
      </c>
      <c r="FB1210" s="33" t="s">
        <v>473</v>
      </c>
      <c r="FC1210" s="33" t="s">
        <v>53</v>
      </c>
      <c r="FD1210" s="33" t="s">
        <v>476</v>
      </c>
      <c r="FE1210" s="33">
        <v>2022</v>
      </c>
      <c r="FF1210" s="33" t="s">
        <v>474</v>
      </c>
      <c r="FG1210" s="33" t="s">
        <v>470</v>
      </c>
      <c r="FH1210" s="33" t="s">
        <v>471</v>
      </c>
      <c r="FI1210" s="33" t="s">
        <v>467</v>
      </c>
      <c r="FJ1210" t="s">
        <v>474</v>
      </c>
      <c r="FM1210" s="32" t="s">
        <v>1897</v>
      </c>
      <c r="FN1210" t="s">
        <v>1897</v>
      </c>
      <c r="FO1210" t="s">
        <v>1898</v>
      </c>
      <c r="FP1210" t="str">
        <f t="shared" si="203"/>
        <v>C</v>
      </c>
    </row>
    <row r="1211" spans="153:172" x14ac:dyDescent="0.35">
      <c r="EW1211" t="s">
        <v>2339</v>
      </c>
      <c r="EX1211" s="33" t="s">
        <v>2602</v>
      </c>
      <c r="EY1211" s="33" t="s">
        <v>621</v>
      </c>
      <c r="EZ1211" s="33">
        <v>555374</v>
      </c>
      <c r="FA1211" s="33" t="s">
        <v>51</v>
      </c>
      <c r="FB1211" s="33" t="s">
        <v>473</v>
      </c>
      <c r="FC1211" s="33" t="s">
        <v>53</v>
      </c>
      <c r="FD1211" s="33" t="s">
        <v>476</v>
      </c>
      <c r="FE1211" s="33">
        <v>2022</v>
      </c>
      <c r="FF1211" s="33" t="s">
        <v>474</v>
      </c>
      <c r="FG1211" s="33" t="s">
        <v>470</v>
      </c>
      <c r="FH1211" s="33" t="s">
        <v>471</v>
      </c>
      <c r="FI1211" s="33" t="s">
        <v>467</v>
      </c>
      <c r="FJ1211" t="s">
        <v>474</v>
      </c>
      <c r="FM1211" s="32" t="s">
        <v>1800</v>
      </c>
      <c r="FN1211" t="s">
        <v>1800</v>
      </c>
      <c r="FO1211" t="s">
        <v>1801</v>
      </c>
      <c r="FP1211" t="str">
        <f t="shared" si="203"/>
        <v>C</v>
      </c>
    </row>
    <row r="1212" spans="153:172" x14ac:dyDescent="0.35">
      <c r="EW1212" t="s">
        <v>2339</v>
      </c>
      <c r="EX1212" s="33" t="s">
        <v>2603</v>
      </c>
      <c r="EY1212" s="33" t="s">
        <v>622</v>
      </c>
      <c r="EZ1212" s="33">
        <v>555138</v>
      </c>
      <c r="FA1212" s="33" t="s">
        <v>51</v>
      </c>
      <c r="FB1212" s="33" t="s">
        <v>473</v>
      </c>
      <c r="FC1212" s="33" t="s">
        <v>53</v>
      </c>
      <c r="FD1212" s="33" t="s">
        <v>476</v>
      </c>
      <c r="FE1212" s="33">
        <v>2022</v>
      </c>
      <c r="FF1212" s="33" t="s">
        <v>474</v>
      </c>
      <c r="FG1212" s="33" t="s">
        <v>470</v>
      </c>
      <c r="FH1212" s="33" t="s">
        <v>471</v>
      </c>
      <c r="FI1212" s="33" t="s">
        <v>467</v>
      </c>
      <c r="FJ1212" t="s">
        <v>474</v>
      </c>
      <c r="FM1212" s="32" t="s">
        <v>1418</v>
      </c>
      <c r="FN1212" t="s">
        <v>1418</v>
      </c>
      <c r="FO1212" t="s">
        <v>1419</v>
      </c>
      <c r="FP1212" t="str">
        <f t="shared" si="203"/>
        <v>C</v>
      </c>
    </row>
    <row r="1213" spans="153:172" x14ac:dyDescent="0.35">
      <c r="EW1213" t="s">
        <v>2339</v>
      </c>
      <c r="EX1213" s="33" t="s">
        <v>2604</v>
      </c>
      <c r="EY1213" s="33" t="s">
        <v>623</v>
      </c>
      <c r="EZ1213" s="33">
        <v>555050</v>
      </c>
      <c r="FA1213" s="33" t="s">
        <v>51</v>
      </c>
      <c r="FB1213" s="33" t="s">
        <v>473</v>
      </c>
      <c r="FC1213" s="33" t="s">
        <v>53</v>
      </c>
      <c r="FD1213" s="33" t="s">
        <v>476</v>
      </c>
      <c r="FE1213" s="33">
        <v>2022</v>
      </c>
      <c r="FF1213" s="33" t="s">
        <v>474</v>
      </c>
      <c r="FG1213" s="33" t="s">
        <v>470</v>
      </c>
      <c r="FH1213" s="33" t="s">
        <v>471</v>
      </c>
      <c r="FI1213" s="33" t="s">
        <v>467</v>
      </c>
      <c r="FJ1213" t="s">
        <v>474</v>
      </c>
      <c r="FM1213" s="32" t="s">
        <v>1292</v>
      </c>
      <c r="FN1213" t="s">
        <v>1292</v>
      </c>
      <c r="FO1213" t="s">
        <v>1293</v>
      </c>
      <c r="FP1213" t="str">
        <f t="shared" si="203"/>
        <v>C</v>
      </c>
    </row>
    <row r="1214" spans="153:172" x14ac:dyDescent="0.35">
      <c r="EW1214" t="s">
        <v>2339</v>
      </c>
      <c r="EX1214" s="33" t="s">
        <v>2605</v>
      </c>
      <c r="EY1214" s="33" t="s">
        <v>627</v>
      </c>
      <c r="EZ1214" s="33">
        <v>593684</v>
      </c>
      <c r="FA1214" s="33" t="s">
        <v>51</v>
      </c>
      <c r="FB1214" s="33" t="s">
        <v>473</v>
      </c>
      <c r="FC1214" s="33" t="s">
        <v>53</v>
      </c>
      <c r="FD1214" s="33" t="s">
        <v>476</v>
      </c>
      <c r="FE1214" s="33">
        <v>2023</v>
      </c>
      <c r="FF1214" s="33" t="s">
        <v>474</v>
      </c>
      <c r="FG1214" s="33" t="s">
        <v>470</v>
      </c>
      <c r="FH1214" s="33" t="s">
        <v>471</v>
      </c>
      <c r="FI1214" s="33" t="s">
        <v>467</v>
      </c>
      <c r="FJ1214" t="s">
        <v>474</v>
      </c>
      <c r="FM1214" s="32" t="s">
        <v>1914</v>
      </c>
      <c r="FN1214" t="s">
        <v>1914</v>
      </c>
      <c r="FO1214" t="s">
        <v>1915</v>
      </c>
      <c r="FP1214" t="str">
        <f t="shared" si="203"/>
        <v>C</v>
      </c>
    </row>
    <row r="1215" spans="153:172" x14ac:dyDescent="0.35">
      <c r="EW1215" t="s">
        <v>2339</v>
      </c>
      <c r="EX1215" s="33" t="s">
        <v>2606</v>
      </c>
      <c r="EY1215" s="33" t="s">
        <v>628</v>
      </c>
      <c r="EZ1215" s="33">
        <v>593717</v>
      </c>
      <c r="FA1215" s="33" t="s">
        <v>51</v>
      </c>
      <c r="FB1215" s="33" t="s">
        <v>473</v>
      </c>
      <c r="FC1215" s="33" t="s">
        <v>53</v>
      </c>
      <c r="FD1215" s="33" t="s">
        <v>476</v>
      </c>
      <c r="FE1215" s="33">
        <v>2023</v>
      </c>
      <c r="FF1215" s="33" t="s">
        <v>474</v>
      </c>
      <c r="FG1215" s="33" t="s">
        <v>470</v>
      </c>
      <c r="FH1215" s="33" t="s">
        <v>471</v>
      </c>
      <c r="FI1215" s="33" t="s">
        <v>467</v>
      </c>
      <c r="FJ1215" t="s">
        <v>474</v>
      </c>
      <c r="FM1215" s="32" t="s">
        <v>1804</v>
      </c>
      <c r="FN1215" t="s">
        <v>1804</v>
      </c>
      <c r="FO1215" t="s">
        <v>1805</v>
      </c>
      <c r="FP1215" t="str">
        <f t="shared" si="203"/>
        <v>C</v>
      </c>
    </row>
    <row r="1216" spans="153:172" x14ac:dyDescent="0.35">
      <c r="EW1216" t="s">
        <v>2339</v>
      </c>
      <c r="EX1216" s="33" t="s">
        <v>2607</v>
      </c>
      <c r="EY1216" s="33" t="s">
        <v>629</v>
      </c>
      <c r="EZ1216" s="33">
        <v>592427</v>
      </c>
      <c r="FA1216" s="33" t="s">
        <v>51</v>
      </c>
      <c r="FB1216" s="33" t="s">
        <v>473</v>
      </c>
      <c r="FC1216" s="33" t="s">
        <v>53</v>
      </c>
      <c r="FD1216" s="33" t="s">
        <v>476</v>
      </c>
      <c r="FE1216" s="33">
        <v>2023</v>
      </c>
      <c r="FF1216" s="33" t="s">
        <v>474</v>
      </c>
      <c r="FG1216" s="33" t="s">
        <v>470</v>
      </c>
      <c r="FH1216" s="33" t="s">
        <v>471</v>
      </c>
      <c r="FI1216" s="33" t="s">
        <v>467</v>
      </c>
      <c r="FJ1216" t="s">
        <v>474</v>
      </c>
      <c r="FM1216" s="32" t="s">
        <v>2351</v>
      </c>
      <c r="FN1216" t="s">
        <v>2351</v>
      </c>
      <c r="FO1216" t="s">
        <v>2352</v>
      </c>
      <c r="FP1216" t="str">
        <f t="shared" si="203"/>
        <v>C</v>
      </c>
    </row>
    <row r="1217" spans="153:172" x14ac:dyDescent="0.35">
      <c r="EW1217" t="s">
        <v>2339</v>
      </c>
      <c r="EX1217" s="33" t="s">
        <v>2608</v>
      </c>
      <c r="EY1217" s="33" t="s">
        <v>630</v>
      </c>
      <c r="EZ1217" s="33">
        <v>593907</v>
      </c>
      <c r="FA1217" s="33" t="s">
        <v>51</v>
      </c>
      <c r="FB1217" s="33" t="s">
        <v>473</v>
      </c>
      <c r="FC1217" s="33" t="s">
        <v>53</v>
      </c>
      <c r="FD1217" s="33" t="s">
        <v>476</v>
      </c>
      <c r="FE1217" s="33">
        <v>2023</v>
      </c>
      <c r="FF1217" s="33" t="s">
        <v>474</v>
      </c>
      <c r="FG1217" s="33" t="s">
        <v>470</v>
      </c>
      <c r="FH1217" s="33" t="s">
        <v>471</v>
      </c>
      <c r="FI1217" s="33" t="s">
        <v>467</v>
      </c>
      <c r="FJ1217" t="s">
        <v>474</v>
      </c>
      <c r="FM1217" s="32" t="s">
        <v>1768</v>
      </c>
      <c r="FN1217" t="s">
        <v>1768</v>
      </c>
      <c r="FO1217" t="s">
        <v>1769</v>
      </c>
      <c r="FP1217" t="str">
        <f t="shared" ref="FP1217:FP1280" si="204">VLOOKUP(FO1217,EX:FF,9,0)</f>
        <v>C</v>
      </c>
    </row>
    <row r="1218" spans="153:172" x14ac:dyDescent="0.35">
      <c r="EW1218" t="s">
        <v>2339</v>
      </c>
      <c r="EX1218" s="33" t="s">
        <v>2609</v>
      </c>
      <c r="EY1218" s="33" t="s">
        <v>631</v>
      </c>
      <c r="EZ1218" s="33">
        <v>593887</v>
      </c>
      <c r="FA1218" s="33" t="s">
        <v>51</v>
      </c>
      <c r="FB1218" s="33" t="s">
        <v>473</v>
      </c>
      <c r="FC1218" s="33" t="s">
        <v>53</v>
      </c>
      <c r="FD1218" s="33" t="s">
        <v>476</v>
      </c>
      <c r="FE1218" s="33">
        <v>2023</v>
      </c>
      <c r="FF1218" s="33" t="s">
        <v>474</v>
      </c>
      <c r="FG1218" s="33" t="s">
        <v>470</v>
      </c>
      <c r="FH1218" s="33" t="s">
        <v>471</v>
      </c>
      <c r="FI1218" s="33" t="s">
        <v>467</v>
      </c>
      <c r="FJ1218" t="s">
        <v>474</v>
      </c>
      <c r="FM1218" s="32" t="s">
        <v>2454</v>
      </c>
      <c r="FN1218" t="s">
        <v>2454</v>
      </c>
      <c r="FO1218" t="s">
        <v>2455</v>
      </c>
      <c r="FP1218" t="str">
        <f t="shared" si="204"/>
        <v>C</v>
      </c>
    </row>
    <row r="1219" spans="153:172" x14ac:dyDescent="0.35">
      <c r="EW1219" t="s">
        <v>2339</v>
      </c>
      <c r="EX1219" s="33" t="s">
        <v>2610</v>
      </c>
      <c r="EY1219" s="33" t="s">
        <v>632</v>
      </c>
      <c r="EZ1219" s="33">
        <v>593899</v>
      </c>
      <c r="FA1219" s="33" t="s">
        <v>51</v>
      </c>
      <c r="FB1219" s="33" t="s">
        <v>473</v>
      </c>
      <c r="FC1219" s="33" t="s">
        <v>53</v>
      </c>
      <c r="FD1219" s="33" t="s">
        <v>476</v>
      </c>
      <c r="FE1219" s="33">
        <v>2023</v>
      </c>
      <c r="FF1219" s="33" t="s">
        <v>474</v>
      </c>
      <c r="FG1219" s="33" t="s">
        <v>470</v>
      </c>
      <c r="FH1219" s="33" t="s">
        <v>471</v>
      </c>
      <c r="FI1219" s="33" t="s">
        <v>467</v>
      </c>
      <c r="FJ1219" t="s">
        <v>474</v>
      </c>
      <c r="FM1219" s="32" t="s">
        <v>1173</v>
      </c>
      <c r="FN1219" t="s">
        <v>1174</v>
      </c>
      <c r="FO1219" t="s">
        <v>1175</v>
      </c>
      <c r="FP1219" t="str">
        <f t="shared" si="204"/>
        <v>C</v>
      </c>
    </row>
    <row r="1220" spans="153:172" x14ac:dyDescent="0.35">
      <c r="EW1220" t="s">
        <v>2339</v>
      </c>
      <c r="EX1220" s="33" t="s">
        <v>2611</v>
      </c>
      <c r="EY1220" s="33" t="s">
        <v>633</v>
      </c>
      <c r="EZ1220" s="33">
        <v>593420</v>
      </c>
      <c r="FA1220" s="33" t="s">
        <v>51</v>
      </c>
      <c r="FB1220" s="33" t="s">
        <v>473</v>
      </c>
      <c r="FC1220" s="33" t="s">
        <v>53</v>
      </c>
      <c r="FD1220" s="33" t="s">
        <v>476</v>
      </c>
      <c r="FE1220" s="33">
        <v>2023</v>
      </c>
      <c r="FF1220" s="33" t="s">
        <v>474</v>
      </c>
      <c r="FG1220" s="33" t="s">
        <v>470</v>
      </c>
      <c r="FH1220" s="33" t="s">
        <v>471</v>
      </c>
      <c r="FI1220" s="33" t="s">
        <v>467</v>
      </c>
      <c r="FJ1220" t="s">
        <v>474</v>
      </c>
      <c r="FM1220" s="32" t="s">
        <v>2427</v>
      </c>
      <c r="FN1220" t="s">
        <v>2427</v>
      </c>
      <c r="FO1220" t="s">
        <v>2428</v>
      </c>
      <c r="FP1220" t="str">
        <f t="shared" si="204"/>
        <v>C</v>
      </c>
    </row>
    <row r="1221" spans="153:172" x14ac:dyDescent="0.35">
      <c r="EW1221" t="s">
        <v>2339</v>
      </c>
      <c r="EX1221" s="33" t="s">
        <v>2612</v>
      </c>
      <c r="EY1221" s="33" t="s">
        <v>634</v>
      </c>
      <c r="EZ1221" s="33">
        <v>593506</v>
      </c>
      <c r="FA1221" s="33" t="s">
        <v>51</v>
      </c>
      <c r="FB1221" s="33" t="s">
        <v>473</v>
      </c>
      <c r="FC1221" s="33" t="s">
        <v>53</v>
      </c>
      <c r="FD1221" s="33" t="s">
        <v>476</v>
      </c>
      <c r="FE1221" s="33">
        <v>2023</v>
      </c>
      <c r="FF1221" s="33" t="s">
        <v>474</v>
      </c>
      <c r="FG1221" s="33" t="s">
        <v>470</v>
      </c>
      <c r="FH1221" s="33" t="s">
        <v>471</v>
      </c>
      <c r="FI1221" s="33" t="s">
        <v>467</v>
      </c>
      <c r="FJ1221" t="s">
        <v>474</v>
      </c>
      <c r="FM1221" s="32" t="s">
        <v>1162</v>
      </c>
      <c r="FN1221" t="s">
        <v>1163</v>
      </c>
      <c r="FO1221" t="s">
        <v>1164</v>
      </c>
      <c r="FP1221" t="str">
        <f t="shared" si="204"/>
        <v>C</v>
      </c>
    </row>
    <row r="1222" spans="153:172" x14ac:dyDescent="0.35">
      <c r="EW1222" t="s">
        <v>2339</v>
      </c>
      <c r="EX1222" s="33" t="s">
        <v>2613</v>
      </c>
      <c r="EY1222" s="33" t="s">
        <v>635</v>
      </c>
      <c r="EZ1222" s="33">
        <v>593418</v>
      </c>
      <c r="FA1222" s="33" t="s">
        <v>51</v>
      </c>
      <c r="FB1222" s="33" t="s">
        <v>473</v>
      </c>
      <c r="FC1222" s="33" t="s">
        <v>53</v>
      </c>
      <c r="FD1222" s="33" t="s">
        <v>476</v>
      </c>
      <c r="FE1222" s="33">
        <v>2023</v>
      </c>
      <c r="FF1222" s="33" t="s">
        <v>474</v>
      </c>
      <c r="FG1222" s="33" t="s">
        <v>470</v>
      </c>
      <c r="FH1222" s="33" t="s">
        <v>471</v>
      </c>
      <c r="FI1222" s="33" t="s">
        <v>467</v>
      </c>
      <c r="FJ1222" t="s">
        <v>474</v>
      </c>
      <c r="FM1222" s="32" t="s">
        <v>1839</v>
      </c>
      <c r="FN1222" t="s">
        <v>1839</v>
      </c>
      <c r="FO1222" t="s">
        <v>1840</v>
      </c>
      <c r="FP1222" t="str">
        <f t="shared" si="204"/>
        <v>C</v>
      </c>
    </row>
    <row r="1223" spans="153:172" x14ac:dyDescent="0.35">
      <c r="EW1223" t="s">
        <v>2339</v>
      </c>
      <c r="EX1223" s="33" t="s">
        <v>2614</v>
      </c>
      <c r="EY1223" s="33" t="s">
        <v>639</v>
      </c>
      <c r="EZ1223" s="33">
        <v>593145</v>
      </c>
      <c r="FA1223" s="33" t="s">
        <v>51</v>
      </c>
      <c r="FB1223" s="33" t="s">
        <v>473</v>
      </c>
      <c r="FC1223" s="33" t="s">
        <v>53</v>
      </c>
      <c r="FD1223" s="33" t="s">
        <v>476</v>
      </c>
      <c r="FE1223" s="33">
        <v>2023</v>
      </c>
      <c r="FF1223" s="33" t="s">
        <v>474</v>
      </c>
      <c r="FG1223" s="33" t="s">
        <v>470</v>
      </c>
      <c r="FH1223" s="33" t="s">
        <v>471</v>
      </c>
      <c r="FI1223" s="33" t="s">
        <v>467</v>
      </c>
      <c r="FJ1223" t="s">
        <v>474</v>
      </c>
      <c r="FM1223" s="32" t="s">
        <v>1955</v>
      </c>
      <c r="FN1223" t="s">
        <v>1955</v>
      </c>
      <c r="FO1223" t="s">
        <v>1956</v>
      </c>
      <c r="FP1223" t="str">
        <f t="shared" si="204"/>
        <v>C</v>
      </c>
    </row>
    <row r="1224" spans="153:172" x14ac:dyDescent="0.35">
      <c r="EW1224" t="s">
        <v>2339</v>
      </c>
      <c r="EX1224" s="33" t="s">
        <v>2615</v>
      </c>
      <c r="EY1224" s="33" t="s">
        <v>640</v>
      </c>
      <c r="EZ1224" s="33" t="s">
        <v>641</v>
      </c>
      <c r="FA1224" s="33" t="s">
        <v>343</v>
      </c>
      <c r="FB1224" s="33" t="s">
        <v>344</v>
      </c>
      <c r="FC1224" s="33" t="s">
        <v>345</v>
      </c>
      <c r="FD1224" s="33" t="s">
        <v>346</v>
      </c>
      <c r="FE1224" s="33">
        <v>2025</v>
      </c>
      <c r="FF1224" s="33" t="s">
        <v>59</v>
      </c>
      <c r="FG1224" s="33" t="s">
        <v>386</v>
      </c>
      <c r="FH1224" s="33" t="s">
        <v>387</v>
      </c>
      <c r="FI1224" s="33" t="s">
        <v>407</v>
      </c>
      <c r="FJ1224" t="s">
        <v>59</v>
      </c>
      <c r="FM1224" s="32" t="s">
        <v>1774</v>
      </c>
      <c r="FN1224" t="s">
        <v>1774</v>
      </c>
      <c r="FO1224" t="s">
        <v>1775</v>
      </c>
      <c r="FP1224" t="str">
        <f t="shared" si="204"/>
        <v>C</v>
      </c>
    </row>
    <row r="1225" spans="153:172" x14ac:dyDescent="0.35">
      <c r="EW1225" t="s">
        <v>2339</v>
      </c>
      <c r="EX1225" s="33" t="s">
        <v>2616</v>
      </c>
      <c r="EY1225" s="33" t="s">
        <v>642</v>
      </c>
      <c r="EZ1225" s="33" t="s">
        <v>643</v>
      </c>
      <c r="FA1225" s="33" t="s">
        <v>343</v>
      </c>
      <c r="FB1225" s="33" t="s">
        <v>344</v>
      </c>
      <c r="FC1225" s="33" t="s">
        <v>345</v>
      </c>
      <c r="FD1225" s="33" t="s">
        <v>346</v>
      </c>
      <c r="FE1225" s="33">
        <v>2025</v>
      </c>
      <c r="FF1225" s="33" t="s">
        <v>59</v>
      </c>
      <c r="FG1225" s="33" t="s">
        <v>477</v>
      </c>
      <c r="FH1225" s="33" t="s">
        <v>478</v>
      </c>
      <c r="FI1225" s="33" t="s">
        <v>479</v>
      </c>
      <c r="FJ1225" t="s">
        <v>59</v>
      </c>
      <c r="FM1225" s="32" t="s">
        <v>1008</v>
      </c>
      <c r="FN1225" t="s">
        <v>1009</v>
      </c>
      <c r="FO1225" t="s">
        <v>1010</v>
      </c>
      <c r="FP1225" t="str">
        <f t="shared" si="204"/>
        <v>B</v>
      </c>
    </row>
    <row r="1226" spans="153:172" x14ac:dyDescent="0.35">
      <c r="EW1226" t="s">
        <v>2339</v>
      </c>
      <c r="EX1226" s="33" t="s">
        <v>2617</v>
      </c>
      <c r="EY1226" s="33" t="s">
        <v>644</v>
      </c>
      <c r="EZ1226" s="33" t="s">
        <v>645</v>
      </c>
      <c r="FA1226" s="33" t="s">
        <v>343</v>
      </c>
      <c r="FB1226" s="33" t="s">
        <v>344</v>
      </c>
      <c r="FC1226" s="33" t="s">
        <v>345</v>
      </c>
      <c r="FD1226" s="33" t="s">
        <v>346</v>
      </c>
      <c r="FE1226" s="33">
        <v>2025</v>
      </c>
      <c r="FF1226" s="33" t="s">
        <v>59</v>
      </c>
      <c r="FG1226" s="33" t="s">
        <v>470</v>
      </c>
      <c r="FH1226" s="33" t="s">
        <v>471</v>
      </c>
      <c r="FI1226" s="33" t="s">
        <v>467</v>
      </c>
      <c r="FJ1226" t="s">
        <v>59</v>
      </c>
      <c r="FM1226" s="32" t="s">
        <v>1125</v>
      </c>
      <c r="FN1226" t="s">
        <v>1126</v>
      </c>
      <c r="FO1226" t="s">
        <v>1127</v>
      </c>
      <c r="FP1226" t="str">
        <f t="shared" si="204"/>
        <v>BPAL</v>
      </c>
    </row>
    <row r="1227" spans="153:172" x14ac:dyDescent="0.35">
      <c r="EW1227" t="s">
        <v>2339</v>
      </c>
      <c r="EX1227" s="33" t="s">
        <v>2618</v>
      </c>
      <c r="EY1227" s="33" t="s">
        <v>646</v>
      </c>
      <c r="EZ1227" s="33" t="s">
        <v>647</v>
      </c>
      <c r="FA1227" s="33" t="s">
        <v>343</v>
      </c>
      <c r="FB1227" s="33" t="s">
        <v>344</v>
      </c>
      <c r="FC1227" s="33" t="s">
        <v>345</v>
      </c>
      <c r="FD1227" s="33" t="s">
        <v>346</v>
      </c>
      <c r="FE1227" s="33">
        <v>2025</v>
      </c>
      <c r="FF1227" s="33" t="s">
        <v>59</v>
      </c>
      <c r="FG1227" s="33" t="s">
        <v>470</v>
      </c>
      <c r="FH1227" s="33" t="s">
        <v>471</v>
      </c>
      <c r="FI1227" s="33" t="s">
        <v>467</v>
      </c>
      <c r="FJ1227" t="s">
        <v>59</v>
      </c>
      <c r="FM1227" s="32" t="s">
        <v>1120</v>
      </c>
      <c r="FN1227" t="s">
        <v>1121</v>
      </c>
      <c r="FO1227" t="s">
        <v>1122</v>
      </c>
      <c r="FP1227" t="str">
        <f t="shared" si="204"/>
        <v>BPAL</v>
      </c>
    </row>
    <row r="1228" spans="153:172" x14ac:dyDescent="0.35">
      <c r="EW1228" t="s">
        <v>2339</v>
      </c>
      <c r="EX1228" s="33" t="s">
        <v>2619</v>
      </c>
      <c r="EY1228" s="33" t="s">
        <v>648</v>
      </c>
      <c r="EZ1228" s="33" t="s">
        <v>649</v>
      </c>
      <c r="FA1228" s="33" t="s">
        <v>343</v>
      </c>
      <c r="FB1228" s="33" t="s">
        <v>344</v>
      </c>
      <c r="FC1228" s="33" t="s">
        <v>345</v>
      </c>
      <c r="FD1228" s="33" t="s">
        <v>346</v>
      </c>
      <c r="FE1228" s="33">
        <v>2025</v>
      </c>
      <c r="FF1228" s="33" t="s">
        <v>59</v>
      </c>
      <c r="FG1228" s="33" t="s">
        <v>477</v>
      </c>
      <c r="FH1228" s="33" t="s">
        <v>478</v>
      </c>
      <c r="FI1228" s="33" t="s">
        <v>479</v>
      </c>
      <c r="FJ1228" t="s">
        <v>59</v>
      </c>
      <c r="FM1228" s="32" t="s">
        <v>217</v>
      </c>
      <c r="FN1228" t="s">
        <v>218</v>
      </c>
      <c r="FO1228" t="s">
        <v>219</v>
      </c>
      <c r="FP1228" t="str">
        <f t="shared" si="204"/>
        <v>B</v>
      </c>
    </row>
    <row r="1229" spans="153:172" x14ac:dyDescent="0.35">
      <c r="EW1229" t="s">
        <v>2339</v>
      </c>
      <c r="EX1229" s="33" t="s">
        <v>2620</v>
      </c>
      <c r="EY1229" s="33" t="s">
        <v>650</v>
      </c>
      <c r="EZ1229" s="33" t="s">
        <v>651</v>
      </c>
      <c r="FA1229" s="33" t="s">
        <v>343</v>
      </c>
      <c r="FB1229" s="33" t="s">
        <v>344</v>
      </c>
      <c r="FC1229" s="33" t="s">
        <v>345</v>
      </c>
      <c r="FD1229" s="33" t="s">
        <v>346</v>
      </c>
      <c r="FE1229" s="33">
        <v>2025</v>
      </c>
      <c r="FF1229" s="33" t="s">
        <v>59</v>
      </c>
      <c r="FG1229" s="33" t="s">
        <v>386</v>
      </c>
      <c r="FH1229" s="33" t="s">
        <v>387</v>
      </c>
      <c r="FI1229" s="33" t="s">
        <v>407</v>
      </c>
      <c r="FJ1229" t="s">
        <v>59</v>
      </c>
      <c r="FM1229" s="32" t="s">
        <v>685</v>
      </c>
      <c r="FN1229" t="s">
        <v>686</v>
      </c>
      <c r="FO1229" t="s">
        <v>687</v>
      </c>
      <c r="FP1229" t="str">
        <f t="shared" si="204"/>
        <v>B</v>
      </c>
    </row>
    <row r="1230" spans="153:172" x14ac:dyDescent="0.35">
      <c r="EW1230" t="s">
        <v>2339</v>
      </c>
      <c r="EX1230" s="33" t="s">
        <v>2621</v>
      </c>
      <c r="EY1230" s="33" t="s">
        <v>655</v>
      </c>
      <c r="EZ1230" s="33" t="s">
        <v>656</v>
      </c>
      <c r="FA1230" s="33" t="s">
        <v>343</v>
      </c>
      <c r="FB1230" s="33" t="s">
        <v>344</v>
      </c>
      <c r="FC1230" s="33" t="s">
        <v>345</v>
      </c>
      <c r="FD1230" s="33" t="s">
        <v>346</v>
      </c>
      <c r="FE1230" s="33">
        <v>2025</v>
      </c>
      <c r="FF1230" s="33" t="s">
        <v>59</v>
      </c>
      <c r="FG1230" s="33" t="s">
        <v>477</v>
      </c>
      <c r="FH1230" s="33" t="s">
        <v>478</v>
      </c>
      <c r="FI1230" s="33" t="s">
        <v>479</v>
      </c>
      <c r="FJ1230" t="s">
        <v>59</v>
      </c>
      <c r="FM1230" s="32" t="s">
        <v>1082</v>
      </c>
      <c r="FN1230" t="s">
        <v>1083</v>
      </c>
      <c r="FO1230" t="s">
        <v>1084</v>
      </c>
      <c r="FP1230" t="str">
        <f t="shared" si="204"/>
        <v>B</v>
      </c>
    </row>
    <row r="1231" spans="153:172" x14ac:dyDescent="0.35">
      <c r="EW1231" t="s">
        <v>2339</v>
      </c>
      <c r="EX1231" s="33" t="s">
        <v>2622</v>
      </c>
      <c r="EY1231" s="33" t="s">
        <v>657</v>
      </c>
      <c r="EZ1231" s="33" t="s">
        <v>658</v>
      </c>
      <c r="FA1231" s="33" t="s">
        <v>343</v>
      </c>
      <c r="FB1231" s="33" t="s">
        <v>344</v>
      </c>
      <c r="FC1231" s="33" t="s">
        <v>345</v>
      </c>
      <c r="FD1231" s="33" t="s">
        <v>346</v>
      </c>
      <c r="FE1231" s="33">
        <v>2025</v>
      </c>
      <c r="FF1231" s="33" t="s">
        <v>59</v>
      </c>
      <c r="FG1231" s="33" t="s">
        <v>386</v>
      </c>
      <c r="FH1231" s="33" t="s">
        <v>387</v>
      </c>
      <c r="FI1231" s="33" t="s">
        <v>407</v>
      </c>
      <c r="FJ1231" t="s">
        <v>59</v>
      </c>
      <c r="FM1231" s="32" t="s">
        <v>730</v>
      </c>
      <c r="FN1231" t="s">
        <v>730</v>
      </c>
      <c r="FO1231" t="s">
        <v>730</v>
      </c>
      <c r="FP1231" t="str">
        <f t="shared" si="204"/>
        <v>B</v>
      </c>
    </row>
    <row r="1232" spans="153:172" x14ac:dyDescent="0.35">
      <c r="EW1232" t="s">
        <v>2339</v>
      </c>
      <c r="EX1232" s="33" t="s">
        <v>2623</v>
      </c>
      <c r="EY1232" s="33" t="s">
        <v>659</v>
      </c>
      <c r="EZ1232" s="33" t="s">
        <v>660</v>
      </c>
      <c r="FA1232" s="33" t="s">
        <v>343</v>
      </c>
      <c r="FB1232" s="33" t="s">
        <v>344</v>
      </c>
      <c r="FC1232" s="33" t="s">
        <v>345</v>
      </c>
      <c r="FD1232" s="33" t="s">
        <v>346</v>
      </c>
      <c r="FE1232" s="33">
        <v>2025</v>
      </c>
      <c r="FF1232" s="33" t="s">
        <v>59</v>
      </c>
      <c r="FG1232" s="33" t="s">
        <v>386</v>
      </c>
      <c r="FH1232" s="33" t="s">
        <v>387</v>
      </c>
      <c r="FI1232" s="33" t="s">
        <v>407</v>
      </c>
      <c r="FJ1232" t="s">
        <v>59</v>
      </c>
      <c r="FM1232" s="32" t="s">
        <v>2624</v>
      </c>
      <c r="FN1232" t="s">
        <v>2624</v>
      </c>
      <c r="FO1232" t="s">
        <v>2624</v>
      </c>
      <c r="FP1232" t="str">
        <f t="shared" si="204"/>
        <v>B</v>
      </c>
    </row>
    <row r="1233" spans="153:172" x14ac:dyDescent="0.35">
      <c r="EW1233" t="s">
        <v>2339</v>
      </c>
      <c r="EX1233" s="33" t="s">
        <v>2625</v>
      </c>
      <c r="EY1233" s="33" t="s">
        <v>661</v>
      </c>
      <c r="EZ1233" s="33" t="s">
        <v>662</v>
      </c>
      <c r="FA1233" s="33" t="s">
        <v>343</v>
      </c>
      <c r="FB1233" s="33" t="s">
        <v>344</v>
      </c>
      <c r="FC1233" s="33" t="s">
        <v>345</v>
      </c>
      <c r="FD1233" s="33" t="s">
        <v>346</v>
      </c>
      <c r="FE1233" s="33">
        <v>2025</v>
      </c>
      <c r="FF1233" s="33" t="s">
        <v>59</v>
      </c>
      <c r="FG1233" s="33" t="s">
        <v>386</v>
      </c>
      <c r="FH1233" s="33" t="s">
        <v>387</v>
      </c>
      <c r="FI1233" s="33" t="s">
        <v>407</v>
      </c>
      <c r="FJ1233" t="s">
        <v>59</v>
      </c>
      <c r="FM1233" s="32" t="s">
        <v>482</v>
      </c>
      <c r="FN1233" t="s">
        <v>482</v>
      </c>
      <c r="FO1233" t="s">
        <v>482</v>
      </c>
      <c r="FP1233" t="str">
        <f t="shared" si="204"/>
        <v>B</v>
      </c>
    </row>
    <row r="1234" spans="153:172" x14ac:dyDescent="0.35">
      <c r="EW1234" t="s">
        <v>2339</v>
      </c>
      <c r="EX1234" s="33" t="s">
        <v>2626</v>
      </c>
      <c r="EY1234" s="33" t="s">
        <v>663</v>
      </c>
      <c r="EZ1234" s="33" t="s">
        <v>664</v>
      </c>
      <c r="FA1234" s="33" t="s">
        <v>343</v>
      </c>
      <c r="FB1234" s="33" t="s">
        <v>344</v>
      </c>
      <c r="FC1234" s="33" t="s">
        <v>345</v>
      </c>
      <c r="FD1234" s="33" t="s">
        <v>346</v>
      </c>
      <c r="FE1234" s="33">
        <v>2025</v>
      </c>
      <c r="FF1234" s="33" t="s">
        <v>59</v>
      </c>
      <c r="FG1234" s="33" t="s">
        <v>386</v>
      </c>
      <c r="FH1234" s="33" t="s">
        <v>387</v>
      </c>
      <c r="FI1234" s="33" t="s">
        <v>407</v>
      </c>
      <c r="FJ1234" t="s">
        <v>59</v>
      </c>
      <c r="FM1234" s="32" t="s">
        <v>556</v>
      </c>
      <c r="FN1234" t="s">
        <v>556</v>
      </c>
      <c r="FO1234" t="s">
        <v>556</v>
      </c>
      <c r="FP1234" t="str">
        <f t="shared" si="204"/>
        <v>B</v>
      </c>
    </row>
    <row r="1235" spans="153:172" x14ac:dyDescent="0.35">
      <c r="EW1235" t="s">
        <v>2339</v>
      </c>
      <c r="EX1235" s="33" t="s">
        <v>2627</v>
      </c>
      <c r="EY1235" s="33" t="s">
        <v>668</v>
      </c>
      <c r="EZ1235" s="33" t="s">
        <v>669</v>
      </c>
      <c r="FA1235" s="33" t="s">
        <v>343</v>
      </c>
      <c r="FB1235" s="33" t="s">
        <v>344</v>
      </c>
      <c r="FC1235" s="33" t="s">
        <v>345</v>
      </c>
      <c r="FD1235" s="33" t="s">
        <v>346</v>
      </c>
      <c r="FE1235" s="33">
        <v>2025</v>
      </c>
      <c r="FF1235" s="33" t="s">
        <v>59</v>
      </c>
      <c r="FG1235" s="33" t="s">
        <v>477</v>
      </c>
      <c r="FH1235" s="33" t="s">
        <v>478</v>
      </c>
      <c r="FI1235" s="33" t="s">
        <v>479</v>
      </c>
      <c r="FJ1235" t="s">
        <v>59</v>
      </c>
      <c r="FM1235" s="32" t="s">
        <v>2628</v>
      </c>
      <c r="FN1235" t="s">
        <v>2628</v>
      </c>
      <c r="FO1235" t="s">
        <v>2628</v>
      </c>
      <c r="FP1235" t="str">
        <f t="shared" si="204"/>
        <v>B</v>
      </c>
    </row>
    <row r="1236" spans="153:172" x14ac:dyDescent="0.35">
      <c r="EW1236" t="s">
        <v>2339</v>
      </c>
      <c r="EX1236" s="33" t="s">
        <v>2629</v>
      </c>
      <c r="EY1236" s="33" t="s">
        <v>673</v>
      </c>
      <c r="EZ1236" s="33" t="s">
        <v>674</v>
      </c>
      <c r="FA1236" s="33" t="s">
        <v>343</v>
      </c>
      <c r="FB1236" s="33" t="s">
        <v>344</v>
      </c>
      <c r="FC1236" s="33" t="s">
        <v>345</v>
      </c>
      <c r="FD1236" s="33" t="s">
        <v>346</v>
      </c>
      <c r="FE1236" s="33">
        <v>2025</v>
      </c>
      <c r="FF1236" s="33" t="s">
        <v>59</v>
      </c>
      <c r="FG1236" s="33" t="s">
        <v>386</v>
      </c>
      <c r="FH1236" s="33" t="s">
        <v>387</v>
      </c>
      <c r="FI1236" s="33" t="s">
        <v>407</v>
      </c>
      <c r="FJ1236" t="s">
        <v>59</v>
      </c>
      <c r="FM1236" s="32" t="s">
        <v>2630</v>
      </c>
      <c r="FN1236" t="s">
        <v>2630</v>
      </c>
      <c r="FO1236" t="s">
        <v>2630</v>
      </c>
      <c r="FP1236" t="str">
        <f t="shared" si="204"/>
        <v>B</v>
      </c>
    </row>
    <row r="1237" spans="153:172" x14ac:dyDescent="0.35">
      <c r="EW1237" t="s">
        <v>2339</v>
      </c>
      <c r="EX1237" s="33" t="s">
        <v>2631</v>
      </c>
      <c r="EY1237" s="33" t="s">
        <v>675</v>
      </c>
      <c r="EZ1237" s="33" t="s">
        <v>676</v>
      </c>
      <c r="FA1237" s="33" t="s">
        <v>343</v>
      </c>
      <c r="FB1237" s="33" t="s">
        <v>344</v>
      </c>
      <c r="FC1237" s="33" t="s">
        <v>345</v>
      </c>
      <c r="FD1237" s="33" t="s">
        <v>346</v>
      </c>
      <c r="FE1237" s="33">
        <v>2025</v>
      </c>
      <c r="FF1237" s="33" t="s">
        <v>59</v>
      </c>
      <c r="FG1237" s="33" t="s">
        <v>386</v>
      </c>
      <c r="FH1237" s="33" t="s">
        <v>387</v>
      </c>
      <c r="FI1237" s="33" t="s">
        <v>407</v>
      </c>
      <c r="FJ1237" t="s">
        <v>59</v>
      </c>
      <c r="FM1237" s="32" t="s">
        <v>700</v>
      </c>
      <c r="FN1237" t="s">
        <v>700</v>
      </c>
      <c r="FO1237" t="s">
        <v>700</v>
      </c>
      <c r="FP1237" t="str">
        <f t="shared" si="204"/>
        <v>B</v>
      </c>
    </row>
    <row r="1238" spans="153:172" x14ac:dyDescent="0.35">
      <c r="EW1238" t="s">
        <v>2339</v>
      </c>
      <c r="EX1238" s="33" t="s">
        <v>2632</v>
      </c>
      <c r="EY1238" s="33" t="s">
        <v>677</v>
      </c>
      <c r="EZ1238" s="33" t="s">
        <v>678</v>
      </c>
      <c r="FA1238" s="33" t="s">
        <v>343</v>
      </c>
      <c r="FB1238" s="33" t="s">
        <v>344</v>
      </c>
      <c r="FC1238" s="33" t="s">
        <v>345</v>
      </c>
      <c r="FD1238" s="33" t="s">
        <v>346</v>
      </c>
      <c r="FE1238" s="33">
        <v>2025</v>
      </c>
      <c r="FF1238" s="33" t="s">
        <v>59</v>
      </c>
      <c r="FG1238" s="33" t="s">
        <v>477</v>
      </c>
      <c r="FH1238" s="33" t="s">
        <v>478</v>
      </c>
      <c r="FI1238" s="33" t="s">
        <v>479</v>
      </c>
      <c r="FJ1238" t="s">
        <v>59</v>
      </c>
      <c r="FM1238" s="32" t="s">
        <v>2509</v>
      </c>
      <c r="FN1238" t="s">
        <v>2509</v>
      </c>
      <c r="FO1238" t="s">
        <v>2509</v>
      </c>
      <c r="FP1238" t="str">
        <f t="shared" si="204"/>
        <v>B</v>
      </c>
    </row>
    <row r="1239" spans="153:172" x14ac:dyDescent="0.35">
      <c r="EW1239" t="s">
        <v>2339</v>
      </c>
      <c r="EX1239" s="33" t="s">
        <v>2633</v>
      </c>
      <c r="EY1239" s="33" t="s">
        <v>679</v>
      </c>
      <c r="EZ1239" s="33" t="s">
        <v>680</v>
      </c>
      <c r="FA1239" s="33" t="s">
        <v>343</v>
      </c>
      <c r="FB1239" s="33" t="s">
        <v>344</v>
      </c>
      <c r="FC1239" s="33" t="s">
        <v>345</v>
      </c>
      <c r="FD1239" s="33" t="s">
        <v>346</v>
      </c>
      <c r="FE1239" s="33">
        <v>2025</v>
      </c>
      <c r="FF1239" s="33" t="s">
        <v>59</v>
      </c>
      <c r="FG1239" s="33" t="s">
        <v>470</v>
      </c>
      <c r="FH1239" s="33" t="s">
        <v>471</v>
      </c>
      <c r="FI1239" s="33" t="s">
        <v>467</v>
      </c>
      <c r="FJ1239" t="s">
        <v>59</v>
      </c>
      <c r="FM1239" s="32" t="s">
        <v>2634</v>
      </c>
      <c r="FN1239" t="s">
        <v>2634</v>
      </c>
      <c r="FO1239" t="s">
        <v>2634</v>
      </c>
      <c r="FP1239" t="str">
        <f t="shared" si="204"/>
        <v>B</v>
      </c>
    </row>
    <row r="1240" spans="153:172" x14ac:dyDescent="0.35">
      <c r="EW1240" t="s">
        <v>2339</v>
      </c>
      <c r="EX1240" s="33" t="s">
        <v>2635</v>
      </c>
      <c r="EY1240" s="33" t="s">
        <v>681</v>
      </c>
      <c r="EZ1240" s="33" t="s">
        <v>682</v>
      </c>
      <c r="FA1240" s="33" t="s">
        <v>343</v>
      </c>
      <c r="FB1240" s="33" t="s">
        <v>344</v>
      </c>
      <c r="FC1240" s="33" t="s">
        <v>345</v>
      </c>
      <c r="FD1240" s="33" t="s">
        <v>346</v>
      </c>
      <c r="FE1240" s="33">
        <v>2025</v>
      </c>
      <c r="FF1240" s="33" t="s">
        <v>59</v>
      </c>
      <c r="FG1240" s="33" t="s">
        <v>386</v>
      </c>
      <c r="FH1240" s="33" t="s">
        <v>387</v>
      </c>
      <c r="FI1240" s="33" t="s">
        <v>407</v>
      </c>
      <c r="FJ1240" t="s">
        <v>59</v>
      </c>
      <c r="FM1240" s="32" t="s">
        <v>2636</v>
      </c>
      <c r="FN1240" t="s">
        <v>2636</v>
      </c>
      <c r="FO1240" t="s">
        <v>2636</v>
      </c>
      <c r="FP1240" t="str">
        <f t="shared" si="204"/>
        <v>B</v>
      </c>
    </row>
    <row r="1241" spans="153:172" x14ac:dyDescent="0.35">
      <c r="EW1241" t="s">
        <v>2339</v>
      </c>
      <c r="EX1241" s="33" t="s">
        <v>2637</v>
      </c>
      <c r="EY1241" s="33" t="s">
        <v>683</v>
      </c>
      <c r="EZ1241" s="33" t="s">
        <v>684</v>
      </c>
      <c r="FA1241" s="33" t="s">
        <v>343</v>
      </c>
      <c r="FB1241" s="33" t="s">
        <v>344</v>
      </c>
      <c r="FC1241" s="33" t="s">
        <v>345</v>
      </c>
      <c r="FD1241" s="33" t="s">
        <v>346</v>
      </c>
      <c r="FE1241" s="33">
        <v>2025</v>
      </c>
      <c r="FF1241" s="33" t="s">
        <v>59</v>
      </c>
      <c r="FG1241" s="33" t="s">
        <v>386</v>
      </c>
      <c r="FH1241" s="33" t="s">
        <v>387</v>
      </c>
      <c r="FI1241" s="33" t="s">
        <v>407</v>
      </c>
      <c r="FJ1241" t="s">
        <v>59</v>
      </c>
      <c r="FM1241" s="32" t="s">
        <v>1484</v>
      </c>
      <c r="FN1241" t="s">
        <v>1484</v>
      </c>
      <c r="FO1241" t="s">
        <v>1484</v>
      </c>
      <c r="FP1241" t="str">
        <f t="shared" si="204"/>
        <v>B</v>
      </c>
    </row>
    <row r="1242" spans="153:172" x14ac:dyDescent="0.35">
      <c r="EW1242" t="s">
        <v>2339</v>
      </c>
      <c r="EX1242" s="33" t="s">
        <v>2638</v>
      </c>
      <c r="EY1242" s="33" t="s">
        <v>688</v>
      </c>
      <c r="EZ1242" s="33" t="s">
        <v>689</v>
      </c>
      <c r="FA1242" s="33" t="s">
        <v>343</v>
      </c>
      <c r="FB1242" s="33" t="s">
        <v>344</v>
      </c>
      <c r="FC1242" s="33" t="s">
        <v>345</v>
      </c>
      <c r="FD1242" s="33" t="s">
        <v>346</v>
      </c>
      <c r="FE1242" s="33">
        <v>2025</v>
      </c>
      <c r="FF1242" s="33" t="s">
        <v>59</v>
      </c>
      <c r="FG1242" s="33" t="s">
        <v>477</v>
      </c>
      <c r="FH1242" s="33" t="s">
        <v>478</v>
      </c>
      <c r="FI1242" s="33" t="s">
        <v>479</v>
      </c>
      <c r="FJ1242" t="s">
        <v>59</v>
      </c>
      <c r="FM1242" s="32" t="s">
        <v>2639</v>
      </c>
      <c r="FN1242" t="s">
        <v>2639</v>
      </c>
      <c r="FO1242" t="s">
        <v>2639</v>
      </c>
      <c r="FP1242" t="str">
        <f t="shared" si="204"/>
        <v>B</v>
      </c>
    </row>
    <row r="1243" spans="153:172" x14ac:dyDescent="0.35">
      <c r="EW1243" t="s">
        <v>2339</v>
      </c>
      <c r="EX1243" s="33" t="s">
        <v>2640</v>
      </c>
      <c r="EY1243" s="33" t="s">
        <v>690</v>
      </c>
      <c r="EZ1243" s="33" t="s">
        <v>691</v>
      </c>
      <c r="FA1243" s="33" t="s">
        <v>343</v>
      </c>
      <c r="FB1243" s="33" t="s">
        <v>344</v>
      </c>
      <c r="FC1243" s="33" t="s">
        <v>345</v>
      </c>
      <c r="FD1243" s="33" t="s">
        <v>346</v>
      </c>
      <c r="FE1243" s="33">
        <v>2025</v>
      </c>
      <c r="FF1243" s="33" t="s">
        <v>59</v>
      </c>
      <c r="FG1243" s="33" t="s">
        <v>477</v>
      </c>
      <c r="FH1243" s="33" t="s">
        <v>478</v>
      </c>
      <c r="FI1243" s="33" t="s">
        <v>479</v>
      </c>
      <c r="FJ1243" t="s">
        <v>59</v>
      </c>
      <c r="FM1243" s="32" t="s">
        <v>273</v>
      </c>
      <c r="FN1243" t="s">
        <v>273</v>
      </c>
      <c r="FO1243" t="s">
        <v>273</v>
      </c>
      <c r="FP1243" t="str">
        <f t="shared" si="204"/>
        <v>B</v>
      </c>
    </row>
    <row r="1244" spans="153:172" x14ac:dyDescent="0.35">
      <c r="EW1244" t="s">
        <v>2339</v>
      </c>
      <c r="EX1244" s="33" t="s">
        <v>2641</v>
      </c>
      <c r="EY1244" s="33" t="s">
        <v>692</v>
      </c>
      <c r="EZ1244" s="33" t="s">
        <v>693</v>
      </c>
      <c r="FA1244" s="33" t="s">
        <v>343</v>
      </c>
      <c r="FB1244" s="33" t="s">
        <v>344</v>
      </c>
      <c r="FC1244" s="33" t="s">
        <v>345</v>
      </c>
      <c r="FD1244" s="33" t="s">
        <v>346</v>
      </c>
      <c r="FE1244" s="33">
        <v>2025</v>
      </c>
      <c r="FF1244" s="33" t="s">
        <v>59</v>
      </c>
      <c r="FG1244" s="33" t="s">
        <v>386</v>
      </c>
      <c r="FH1244" s="33" t="s">
        <v>387</v>
      </c>
      <c r="FI1244" s="33" t="s">
        <v>407</v>
      </c>
      <c r="FJ1244" t="s">
        <v>59</v>
      </c>
      <c r="FM1244" s="32" t="s">
        <v>707</v>
      </c>
      <c r="FN1244" t="s">
        <v>707</v>
      </c>
      <c r="FO1244" t="s">
        <v>707</v>
      </c>
      <c r="FP1244" t="str">
        <f t="shared" si="204"/>
        <v>B</v>
      </c>
    </row>
    <row r="1245" spans="153:172" x14ac:dyDescent="0.35">
      <c r="EW1245" t="s">
        <v>2339</v>
      </c>
      <c r="EX1245" s="33" t="s">
        <v>2642</v>
      </c>
      <c r="EY1245" s="33" t="s">
        <v>694</v>
      </c>
      <c r="EZ1245" s="33" t="s">
        <v>695</v>
      </c>
      <c r="FA1245" s="33" t="s">
        <v>343</v>
      </c>
      <c r="FB1245" s="33" t="s">
        <v>344</v>
      </c>
      <c r="FC1245" s="33" t="s">
        <v>345</v>
      </c>
      <c r="FD1245" s="33" t="s">
        <v>346</v>
      </c>
      <c r="FE1245" s="33">
        <v>2025</v>
      </c>
      <c r="FF1245" s="33" t="s">
        <v>59</v>
      </c>
      <c r="FG1245" s="33" t="s">
        <v>477</v>
      </c>
      <c r="FH1245" s="33" t="s">
        <v>478</v>
      </c>
      <c r="FI1245" s="33" t="s">
        <v>479</v>
      </c>
      <c r="FJ1245" t="s">
        <v>59</v>
      </c>
      <c r="FM1245" s="32" t="s">
        <v>2643</v>
      </c>
      <c r="FN1245" t="s">
        <v>2643</v>
      </c>
      <c r="FO1245" t="s">
        <v>2643</v>
      </c>
      <c r="FP1245" t="str">
        <f t="shared" si="204"/>
        <v>B</v>
      </c>
    </row>
    <row r="1246" spans="153:172" x14ac:dyDescent="0.35">
      <c r="EW1246" t="s">
        <v>2339</v>
      </c>
      <c r="EX1246" s="33" t="s">
        <v>2644</v>
      </c>
      <c r="EY1246" s="33" t="s">
        <v>696</v>
      </c>
      <c r="EZ1246" s="33" t="s">
        <v>697</v>
      </c>
      <c r="FA1246" s="33" t="s">
        <v>343</v>
      </c>
      <c r="FB1246" s="33" t="s">
        <v>344</v>
      </c>
      <c r="FC1246" s="33" t="s">
        <v>345</v>
      </c>
      <c r="FD1246" s="33" t="s">
        <v>346</v>
      </c>
      <c r="FE1246" s="33">
        <v>2025</v>
      </c>
      <c r="FF1246" s="33" t="s">
        <v>59</v>
      </c>
      <c r="FG1246" s="33" t="s">
        <v>386</v>
      </c>
      <c r="FH1246" s="33" t="s">
        <v>387</v>
      </c>
      <c r="FI1246" s="33" t="s">
        <v>407</v>
      </c>
      <c r="FJ1246" t="s">
        <v>59</v>
      </c>
      <c r="FM1246" s="32" t="s">
        <v>848</v>
      </c>
      <c r="FN1246" t="s">
        <v>848</v>
      </c>
      <c r="FO1246" t="s">
        <v>848</v>
      </c>
      <c r="FP1246" t="str">
        <f t="shared" si="204"/>
        <v>B</v>
      </c>
    </row>
    <row r="1247" spans="153:172" x14ac:dyDescent="0.35">
      <c r="EW1247" t="s">
        <v>2339</v>
      </c>
      <c r="EX1247" s="33" t="s">
        <v>2645</v>
      </c>
      <c r="EY1247" s="33" t="s">
        <v>701</v>
      </c>
      <c r="EZ1247" s="33" t="s">
        <v>702</v>
      </c>
      <c r="FA1247" s="33" t="s">
        <v>343</v>
      </c>
      <c r="FB1247" s="33" t="s">
        <v>344</v>
      </c>
      <c r="FC1247" s="33" t="s">
        <v>345</v>
      </c>
      <c r="FD1247" s="33" t="s">
        <v>346</v>
      </c>
      <c r="FE1247" s="33">
        <v>2025</v>
      </c>
      <c r="FF1247" s="33" t="s">
        <v>59</v>
      </c>
      <c r="FG1247" s="33" t="s">
        <v>477</v>
      </c>
      <c r="FH1247" s="33" t="s">
        <v>478</v>
      </c>
      <c r="FI1247" s="33" t="s">
        <v>479</v>
      </c>
      <c r="FJ1247" t="s">
        <v>59</v>
      </c>
      <c r="FM1247" s="32" t="s">
        <v>135</v>
      </c>
      <c r="FN1247" t="s">
        <v>135</v>
      </c>
      <c r="FO1247" t="s">
        <v>135</v>
      </c>
      <c r="FP1247" t="str">
        <f t="shared" si="204"/>
        <v>B</v>
      </c>
    </row>
    <row r="1248" spans="153:172" x14ac:dyDescent="0.35">
      <c r="EW1248" t="s">
        <v>2339</v>
      </c>
      <c r="EX1248" s="33" t="s">
        <v>2646</v>
      </c>
      <c r="EY1248" s="33" t="s">
        <v>703</v>
      </c>
      <c r="EZ1248" s="33" t="s">
        <v>704</v>
      </c>
      <c r="FA1248" s="33" t="s">
        <v>343</v>
      </c>
      <c r="FB1248" s="33" t="s">
        <v>344</v>
      </c>
      <c r="FC1248" s="33" t="s">
        <v>345</v>
      </c>
      <c r="FD1248" s="33" t="s">
        <v>346</v>
      </c>
      <c r="FE1248" s="33">
        <v>2025</v>
      </c>
      <c r="FF1248" s="33" t="s">
        <v>59</v>
      </c>
      <c r="FG1248" s="33" t="s">
        <v>477</v>
      </c>
      <c r="FH1248" s="33" t="s">
        <v>478</v>
      </c>
      <c r="FI1248" s="33" t="s">
        <v>479</v>
      </c>
      <c r="FJ1248" t="s">
        <v>59</v>
      </c>
      <c r="FM1248" s="32" t="s">
        <v>2647</v>
      </c>
      <c r="FN1248" t="s">
        <v>2647</v>
      </c>
      <c r="FO1248" t="s">
        <v>2647</v>
      </c>
      <c r="FP1248" t="str">
        <f t="shared" si="204"/>
        <v>B</v>
      </c>
    </row>
    <row r="1249" spans="153:172" x14ac:dyDescent="0.35">
      <c r="EW1249" t="s">
        <v>2339</v>
      </c>
      <c r="EX1249" s="33" t="s">
        <v>2648</v>
      </c>
      <c r="EY1249" s="33" t="s">
        <v>708</v>
      </c>
      <c r="EZ1249" s="33" t="s">
        <v>709</v>
      </c>
      <c r="FA1249" s="33" t="s">
        <v>343</v>
      </c>
      <c r="FB1249" s="33" t="s">
        <v>344</v>
      </c>
      <c r="FC1249" s="33" t="s">
        <v>345</v>
      </c>
      <c r="FD1249" s="33" t="s">
        <v>346</v>
      </c>
      <c r="FE1249" s="33">
        <v>2025</v>
      </c>
      <c r="FF1249" s="33" t="s">
        <v>59</v>
      </c>
      <c r="FG1249" s="33" t="s">
        <v>477</v>
      </c>
      <c r="FH1249" s="33" t="s">
        <v>478</v>
      </c>
      <c r="FI1249" s="33" t="s">
        <v>479</v>
      </c>
      <c r="FJ1249" t="s">
        <v>59</v>
      </c>
      <c r="FM1249" s="32" t="s">
        <v>561</v>
      </c>
      <c r="FN1249" t="s">
        <v>561</v>
      </c>
      <c r="FO1249" t="s">
        <v>561</v>
      </c>
      <c r="FP1249" t="str">
        <f t="shared" si="204"/>
        <v>B</v>
      </c>
    </row>
    <row r="1250" spans="153:172" x14ac:dyDescent="0.35">
      <c r="EW1250" t="s">
        <v>2339</v>
      </c>
      <c r="EX1250" s="33" t="s">
        <v>2649</v>
      </c>
      <c r="EY1250" s="33" t="s">
        <v>713</v>
      </c>
      <c r="EZ1250" s="33" t="s">
        <v>714</v>
      </c>
      <c r="FA1250" s="33" t="s">
        <v>343</v>
      </c>
      <c r="FB1250" s="33" t="s">
        <v>344</v>
      </c>
      <c r="FC1250" s="33" t="s">
        <v>345</v>
      </c>
      <c r="FD1250" s="33" t="s">
        <v>346</v>
      </c>
      <c r="FE1250" s="33">
        <v>2025</v>
      </c>
      <c r="FF1250" s="33" t="s">
        <v>59</v>
      </c>
      <c r="FG1250" s="33" t="s">
        <v>470</v>
      </c>
      <c r="FH1250" s="33" t="s">
        <v>471</v>
      </c>
      <c r="FI1250" s="33" t="s">
        <v>467</v>
      </c>
      <c r="FJ1250" t="s">
        <v>59</v>
      </c>
      <c r="FM1250" s="32" t="s">
        <v>777</v>
      </c>
      <c r="FN1250" t="s">
        <v>777</v>
      </c>
      <c r="FO1250" t="s">
        <v>777</v>
      </c>
      <c r="FP1250" t="str">
        <f t="shared" si="204"/>
        <v>B</v>
      </c>
    </row>
    <row r="1251" spans="153:172" x14ac:dyDescent="0.35">
      <c r="EW1251" t="s">
        <v>2339</v>
      </c>
      <c r="EX1251" s="33" t="s">
        <v>2650</v>
      </c>
      <c r="EY1251" s="33" t="s">
        <v>715</v>
      </c>
      <c r="EZ1251" s="33" t="s">
        <v>716</v>
      </c>
      <c r="FA1251" s="33" t="s">
        <v>343</v>
      </c>
      <c r="FB1251" s="33" t="s">
        <v>344</v>
      </c>
      <c r="FC1251" s="33" t="s">
        <v>345</v>
      </c>
      <c r="FD1251" s="33" t="s">
        <v>346</v>
      </c>
      <c r="FE1251" s="33">
        <v>2025</v>
      </c>
      <c r="FF1251" s="33" t="s">
        <v>59</v>
      </c>
      <c r="FG1251" s="33" t="s">
        <v>386</v>
      </c>
      <c r="FH1251" s="33" t="s">
        <v>387</v>
      </c>
      <c r="FI1251" s="33" t="s">
        <v>407</v>
      </c>
      <c r="FJ1251" t="s">
        <v>59</v>
      </c>
      <c r="FM1251" s="32" t="s">
        <v>2651</v>
      </c>
      <c r="FN1251" t="s">
        <v>2651</v>
      </c>
      <c r="FO1251" t="s">
        <v>2651</v>
      </c>
      <c r="FP1251" t="str">
        <f t="shared" si="204"/>
        <v>B</v>
      </c>
    </row>
    <row r="1252" spans="153:172" x14ac:dyDescent="0.35">
      <c r="EW1252" t="s">
        <v>2339</v>
      </c>
      <c r="EX1252" s="33" t="s">
        <v>2652</v>
      </c>
      <c r="EY1252" s="33" t="s">
        <v>717</v>
      </c>
      <c r="EZ1252" s="33" t="s">
        <v>718</v>
      </c>
      <c r="FA1252" s="33" t="s">
        <v>343</v>
      </c>
      <c r="FB1252" s="33" t="s">
        <v>344</v>
      </c>
      <c r="FC1252" s="33" t="s">
        <v>345</v>
      </c>
      <c r="FD1252" s="33" t="s">
        <v>346</v>
      </c>
      <c r="FE1252" s="33">
        <v>2025</v>
      </c>
      <c r="FF1252" s="33" t="s">
        <v>59</v>
      </c>
      <c r="FG1252" s="33" t="s">
        <v>477</v>
      </c>
      <c r="FH1252" s="33" t="s">
        <v>478</v>
      </c>
      <c r="FI1252" s="33" t="s">
        <v>479</v>
      </c>
      <c r="FJ1252" t="s">
        <v>59</v>
      </c>
      <c r="FM1252" s="32" t="s">
        <v>730</v>
      </c>
      <c r="FN1252" t="s">
        <v>730</v>
      </c>
      <c r="FO1252" t="s">
        <v>730</v>
      </c>
      <c r="FP1252" t="str">
        <f t="shared" si="204"/>
        <v>B</v>
      </c>
    </row>
    <row r="1253" spans="153:172" x14ac:dyDescent="0.35">
      <c r="EW1253" t="s">
        <v>2339</v>
      </c>
      <c r="EX1253" s="33" t="s">
        <v>2653</v>
      </c>
      <c r="EY1253" s="33" t="s">
        <v>719</v>
      </c>
      <c r="EZ1253" s="33" t="s">
        <v>720</v>
      </c>
      <c r="FA1253" s="33" t="s">
        <v>343</v>
      </c>
      <c r="FB1253" s="33" t="s">
        <v>344</v>
      </c>
      <c r="FC1253" s="33" t="s">
        <v>345</v>
      </c>
      <c r="FD1253" s="33" t="s">
        <v>346</v>
      </c>
      <c r="FE1253" s="33">
        <v>2025</v>
      </c>
      <c r="FF1253" s="33" t="s">
        <v>59</v>
      </c>
      <c r="FG1253" s="33" t="s">
        <v>477</v>
      </c>
      <c r="FH1253" s="33" t="s">
        <v>478</v>
      </c>
      <c r="FI1253" s="33" t="s">
        <v>479</v>
      </c>
      <c r="FJ1253" t="s">
        <v>59</v>
      </c>
      <c r="FM1253" s="32" t="s">
        <v>600</v>
      </c>
      <c r="FN1253" t="s">
        <v>600</v>
      </c>
      <c r="FO1253" t="s">
        <v>600</v>
      </c>
      <c r="FP1253" t="str">
        <f t="shared" si="204"/>
        <v>B</v>
      </c>
    </row>
    <row r="1254" spans="153:172" x14ac:dyDescent="0.35">
      <c r="EW1254" t="s">
        <v>2339</v>
      </c>
      <c r="EX1254" s="33" t="s">
        <v>2654</v>
      </c>
      <c r="EY1254" s="33" t="s">
        <v>721</v>
      </c>
      <c r="EZ1254" s="33" t="s">
        <v>722</v>
      </c>
      <c r="FA1254" s="33" t="s">
        <v>343</v>
      </c>
      <c r="FB1254" s="33" t="s">
        <v>344</v>
      </c>
      <c r="FC1254" s="33" t="s">
        <v>345</v>
      </c>
      <c r="FD1254" s="33" t="s">
        <v>346</v>
      </c>
      <c r="FE1254" s="33">
        <v>2025</v>
      </c>
      <c r="FF1254" s="33" t="s">
        <v>59</v>
      </c>
      <c r="FG1254" s="33" t="s">
        <v>386</v>
      </c>
      <c r="FH1254" s="33" t="s">
        <v>387</v>
      </c>
      <c r="FI1254" s="33" t="s">
        <v>407</v>
      </c>
      <c r="FJ1254" t="s">
        <v>59</v>
      </c>
      <c r="FM1254" s="32" t="s">
        <v>2624</v>
      </c>
      <c r="FN1254" t="s">
        <v>2624</v>
      </c>
      <c r="FO1254" t="s">
        <v>2624</v>
      </c>
      <c r="FP1254" t="str">
        <f t="shared" si="204"/>
        <v>B</v>
      </c>
    </row>
    <row r="1255" spans="153:172" x14ac:dyDescent="0.35">
      <c r="EW1255" t="s">
        <v>2339</v>
      </c>
      <c r="EX1255" s="33" t="s">
        <v>2655</v>
      </c>
      <c r="EY1255" s="33" t="s">
        <v>726</v>
      </c>
      <c r="EZ1255" s="33" t="s">
        <v>727</v>
      </c>
      <c r="FA1255" s="33" t="s">
        <v>343</v>
      </c>
      <c r="FB1255" s="33" t="s">
        <v>344</v>
      </c>
      <c r="FC1255" s="33" t="s">
        <v>345</v>
      </c>
      <c r="FD1255" s="33" t="s">
        <v>346</v>
      </c>
      <c r="FE1255" s="33">
        <v>2025</v>
      </c>
      <c r="FF1255" s="33" t="s">
        <v>59</v>
      </c>
      <c r="FG1255" s="33" t="s">
        <v>477</v>
      </c>
      <c r="FH1255" s="33" t="s">
        <v>478</v>
      </c>
      <c r="FI1255" s="33" t="s">
        <v>479</v>
      </c>
      <c r="FJ1255" t="s">
        <v>59</v>
      </c>
      <c r="FM1255" s="32" t="s">
        <v>482</v>
      </c>
      <c r="FN1255" t="s">
        <v>482</v>
      </c>
      <c r="FO1255" t="s">
        <v>482</v>
      </c>
      <c r="FP1255" t="str">
        <f t="shared" si="204"/>
        <v>B</v>
      </c>
    </row>
    <row r="1256" spans="153:172" x14ac:dyDescent="0.35">
      <c r="EW1256" t="s">
        <v>2339</v>
      </c>
      <c r="EX1256" s="33" t="s">
        <v>2656</v>
      </c>
      <c r="EY1256" s="33" t="s">
        <v>731</v>
      </c>
      <c r="EZ1256" s="33" t="s">
        <v>732</v>
      </c>
      <c r="FA1256" s="33" t="s">
        <v>343</v>
      </c>
      <c r="FB1256" s="33" t="s">
        <v>344</v>
      </c>
      <c r="FC1256" s="33" t="s">
        <v>345</v>
      </c>
      <c r="FD1256" s="33" t="s">
        <v>346</v>
      </c>
      <c r="FE1256" s="33">
        <v>2025</v>
      </c>
      <c r="FF1256" s="33" t="s">
        <v>59</v>
      </c>
      <c r="FG1256" s="33" t="s">
        <v>386</v>
      </c>
      <c r="FH1256" s="33" t="s">
        <v>387</v>
      </c>
      <c r="FI1256" s="33" t="s">
        <v>407</v>
      </c>
      <c r="FJ1256" t="s">
        <v>59</v>
      </c>
      <c r="FM1256" s="32" t="s">
        <v>1019</v>
      </c>
      <c r="FN1256" t="s">
        <v>1019</v>
      </c>
      <c r="FO1256" t="s">
        <v>1019</v>
      </c>
      <c r="FP1256" t="str">
        <f t="shared" si="204"/>
        <v>B</v>
      </c>
    </row>
    <row r="1257" spans="153:172" x14ac:dyDescent="0.35">
      <c r="EW1257" t="s">
        <v>2339</v>
      </c>
      <c r="EX1257" s="33" t="s">
        <v>2657</v>
      </c>
      <c r="EY1257" s="33" t="s">
        <v>733</v>
      </c>
      <c r="EZ1257" s="33" t="s">
        <v>734</v>
      </c>
      <c r="FA1257" s="33" t="s">
        <v>343</v>
      </c>
      <c r="FB1257" s="33" t="s">
        <v>344</v>
      </c>
      <c r="FC1257" s="33" t="s">
        <v>345</v>
      </c>
      <c r="FD1257" s="33" t="s">
        <v>346</v>
      </c>
      <c r="FE1257" s="33">
        <v>2025</v>
      </c>
      <c r="FF1257" s="33" t="s">
        <v>59</v>
      </c>
      <c r="FG1257" s="33" t="s">
        <v>477</v>
      </c>
      <c r="FH1257" s="33" t="s">
        <v>478</v>
      </c>
      <c r="FI1257" s="33" t="s">
        <v>479</v>
      </c>
      <c r="FJ1257" t="s">
        <v>59</v>
      </c>
      <c r="FM1257" s="32" t="s">
        <v>2658</v>
      </c>
      <c r="FN1257" t="s">
        <v>2658</v>
      </c>
      <c r="FO1257" t="s">
        <v>2658</v>
      </c>
      <c r="FP1257" t="str">
        <f t="shared" si="204"/>
        <v>B</v>
      </c>
    </row>
    <row r="1258" spans="153:172" x14ac:dyDescent="0.35">
      <c r="EW1258" t="s">
        <v>2339</v>
      </c>
      <c r="EX1258" s="33" t="s">
        <v>2659</v>
      </c>
      <c r="EY1258" s="33" t="s">
        <v>738</v>
      </c>
      <c r="EZ1258" s="33" t="s">
        <v>739</v>
      </c>
      <c r="FA1258" s="33" t="s">
        <v>343</v>
      </c>
      <c r="FB1258" s="33" t="s">
        <v>344</v>
      </c>
      <c r="FC1258" s="33" t="s">
        <v>345</v>
      </c>
      <c r="FD1258" s="33" t="s">
        <v>346</v>
      </c>
      <c r="FE1258" s="33">
        <v>2025</v>
      </c>
      <c r="FF1258" s="33" t="s">
        <v>59</v>
      </c>
      <c r="FG1258" s="33" t="s">
        <v>386</v>
      </c>
      <c r="FH1258" s="33" t="s">
        <v>387</v>
      </c>
      <c r="FI1258" s="33" t="s">
        <v>407</v>
      </c>
      <c r="FJ1258" t="s">
        <v>59</v>
      </c>
      <c r="FM1258" s="32" t="s">
        <v>952</v>
      </c>
      <c r="FN1258" t="s">
        <v>952</v>
      </c>
      <c r="FO1258" t="s">
        <v>952</v>
      </c>
      <c r="FP1258" t="str">
        <f t="shared" si="204"/>
        <v>B</v>
      </c>
    </row>
    <row r="1259" spans="153:172" x14ac:dyDescent="0.35">
      <c r="EW1259" t="s">
        <v>2339</v>
      </c>
      <c r="EX1259" s="33" t="s">
        <v>2660</v>
      </c>
      <c r="EY1259" s="33" t="s">
        <v>740</v>
      </c>
      <c r="EZ1259" s="33" t="s">
        <v>741</v>
      </c>
      <c r="FA1259" s="33" t="s">
        <v>343</v>
      </c>
      <c r="FB1259" s="33" t="s">
        <v>344</v>
      </c>
      <c r="FC1259" s="33" t="s">
        <v>345</v>
      </c>
      <c r="FD1259" s="33" t="s">
        <v>346</v>
      </c>
      <c r="FE1259" s="33">
        <v>2025</v>
      </c>
      <c r="FF1259" s="33" t="s">
        <v>59</v>
      </c>
      <c r="FG1259" s="33" t="s">
        <v>477</v>
      </c>
      <c r="FH1259" s="33" t="s">
        <v>478</v>
      </c>
      <c r="FI1259" s="33" t="s">
        <v>479</v>
      </c>
      <c r="FJ1259" t="s">
        <v>59</v>
      </c>
      <c r="FM1259" s="32" t="s">
        <v>2661</v>
      </c>
      <c r="FN1259" t="s">
        <v>2661</v>
      </c>
      <c r="FO1259" t="s">
        <v>2661</v>
      </c>
      <c r="FP1259" t="str">
        <f t="shared" si="204"/>
        <v>B</v>
      </c>
    </row>
    <row r="1260" spans="153:172" x14ac:dyDescent="0.35">
      <c r="EW1260" t="s">
        <v>2339</v>
      </c>
      <c r="EX1260" s="33" t="s">
        <v>2662</v>
      </c>
      <c r="EY1260" s="33" t="s">
        <v>742</v>
      </c>
      <c r="EZ1260" s="33" t="s">
        <v>743</v>
      </c>
      <c r="FA1260" s="33" t="s">
        <v>343</v>
      </c>
      <c r="FB1260" s="33" t="s">
        <v>344</v>
      </c>
      <c r="FC1260" s="33" t="s">
        <v>345</v>
      </c>
      <c r="FD1260" s="33" t="s">
        <v>346</v>
      </c>
      <c r="FE1260" s="33">
        <v>2025</v>
      </c>
      <c r="FF1260" s="33" t="s">
        <v>59</v>
      </c>
      <c r="FG1260" s="33" t="s">
        <v>386</v>
      </c>
      <c r="FH1260" s="33" t="s">
        <v>387</v>
      </c>
      <c r="FI1260" s="33" t="s">
        <v>407</v>
      </c>
      <c r="FJ1260" t="s">
        <v>59</v>
      </c>
      <c r="FM1260" s="32" t="s">
        <v>2663</v>
      </c>
      <c r="FN1260" t="s">
        <v>2663</v>
      </c>
      <c r="FO1260" t="s">
        <v>2663</v>
      </c>
      <c r="FP1260" t="e">
        <f t="shared" si="204"/>
        <v>#N/A</v>
      </c>
    </row>
    <row r="1261" spans="153:172" x14ac:dyDescent="0.35">
      <c r="EW1261" t="s">
        <v>2339</v>
      </c>
      <c r="EX1261" s="33" t="s">
        <v>2664</v>
      </c>
      <c r="EY1261" s="33" t="s">
        <v>747</v>
      </c>
      <c r="EZ1261" s="33" t="s">
        <v>748</v>
      </c>
      <c r="FA1261" s="33" t="s">
        <v>343</v>
      </c>
      <c r="FB1261" s="33" t="s">
        <v>344</v>
      </c>
      <c r="FC1261" s="33" t="s">
        <v>345</v>
      </c>
      <c r="FD1261" s="33" t="s">
        <v>346</v>
      </c>
      <c r="FE1261" s="33">
        <v>2025</v>
      </c>
      <c r="FF1261" s="33" t="s">
        <v>59</v>
      </c>
      <c r="FG1261" s="33" t="s">
        <v>477</v>
      </c>
      <c r="FH1261" s="33" t="s">
        <v>478</v>
      </c>
      <c r="FI1261" s="33" t="s">
        <v>479</v>
      </c>
      <c r="FJ1261" t="s">
        <v>59</v>
      </c>
      <c r="FM1261" s="32" t="s">
        <v>730</v>
      </c>
      <c r="FN1261" t="s">
        <v>730</v>
      </c>
      <c r="FO1261" t="s">
        <v>730</v>
      </c>
      <c r="FP1261" t="str">
        <f t="shared" si="204"/>
        <v>B</v>
      </c>
    </row>
    <row r="1262" spans="153:172" x14ac:dyDescent="0.35">
      <c r="EW1262" t="s">
        <v>2339</v>
      </c>
      <c r="EX1262" s="33" t="s">
        <v>2665</v>
      </c>
      <c r="EY1262" s="33" t="s">
        <v>752</v>
      </c>
      <c r="EZ1262" s="33" t="s">
        <v>753</v>
      </c>
      <c r="FA1262" s="33" t="s">
        <v>343</v>
      </c>
      <c r="FB1262" s="33" t="s">
        <v>344</v>
      </c>
      <c r="FC1262" s="33" t="s">
        <v>345</v>
      </c>
      <c r="FD1262" s="33" t="s">
        <v>346</v>
      </c>
      <c r="FE1262" s="33">
        <v>2025</v>
      </c>
      <c r="FF1262" s="33" t="s">
        <v>59</v>
      </c>
      <c r="FG1262" s="33" t="s">
        <v>386</v>
      </c>
      <c r="FH1262" s="33" t="s">
        <v>387</v>
      </c>
      <c r="FI1262" s="33" t="s">
        <v>407</v>
      </c>
      <c r="FJ1262" t="s">
        <v>59</v>
      </c>
      <c r="FM1262" s="32" t="s">
        <v>2628</v>
      </c>
      <c r="FN1262" t="s">
        <v>2628</v>
      </c>
      <c r="FO1262" t="s">
        <v>2628</v>
      </c>
      <c r="FP1262" t="str">
        <f t="shared" si="204"/>
        <v>B</v>
      </c>
    </row>
    <row r="1263" spans="153:172" x14ac:dyDescent="0.35">
      <c r="EW1263" t="s">
        <v>2339</v>
      </c>
      <c r="EX1263" s="33" t="s">
        <v>2666</v>
      </c>
      <c r="EY1263" s="33" t="s">
        <v>754</v>
      </c>
      <c r="EZ1263" s="33" t="s">
        <v>755</v>
      </c>
      <c r="FA1263" s="33" t="s">
        <v>343</v>
      </c>
      <c r="FB1263" s="33" t="s">
        <v>344</v>
      </c>
      <c r="FC1263" s="33" t="s">
        <v>345</v>
      </c>
      <c r="FD1263" s="33" t="s">
        <v>346</v>
      </c>
      <c r="FE1263" s="33">
        <v>2025</v>
      </c>
      <c r="FF1263" s="33" t="s">
        <v>59</v>
      </c>
      <c r="FG1263" s="33" t="s">
        <v>477</v>
      </c>
      <c r="FH1263" s="33" t="s">
        <v>478</v>
      </c>
      <c r="FI1263" s="33" t="s">
        <v>479</v>
      </c>
      <c r="FJ1263" t="s">
        <v>59</v>
      </c>
      <c r="FM1263" s="32" t="s">
        <v>1010</v>
      </c>
      <c r="FN1263" t="s">
        <v>1010</v>
      </c>
      <c r="FO1263" t="s">
        <v>1010</v>
      </c>
      <c r="FP1263" t="str">
        <f t="shared" si="204"/>
        <v>B</v>
      </c>
    </row>
    <row r="1264" spans="153:172" x14ac:dyDescent="0.35">
      <c r="EW1264" t="s">
        <v>2339</v>
      </c>
      <c r="EX1264" s="33" t="s">
        <v>2667</v>
      </c>
      <c r="EY1264" s="33" t="s">
        <v>756</v>
      </c>
      <c r="EZ1264" s="33" t="s">
        <v>757</v>
      </c>
      <c r="FA1264" s="33" t="s">
        <v>343</v>
      </c>
      <c r="FB1264" s="33" t="s">
        <v>344</v>
      </c>
      <c r="FC1264" s="33" t="s">
        <v>345</v>
      </c>
      <c r="FD1264" s="33" t="s">
        <v>346</v>
      </c>
      <c r="FE1264" s="33">
        <v>2025</v>
      </c>
      <c r="FF1264" s="33" t="s">
        <v>59</v>
      </c>
      <c r="FG1264" s="33" t="s">
        <v>477</v>
      </c>
      <c r="FH1264" s="33" t="s">
        <v>478</v>
      </c>
      <c r="FI1264" s="33" t="s">
        <v>479</v>
      </c>
      <c r="FJ1264" t="s">
        <v>59</v>
      </c>
      <c r="FM1264" s="32" t="s">
        <v>834</v>
      </c>
      <c r="FN1264" t="s">
        <v>835</v>
      </c>
      <c r="FO1264" t="s">
        <v>836</v>
      </c>
      <c r="FP1264" t="str">
        <f t="shared" si="204"/>
        <v>B</v>
      </c>
    </row>
    <row r="1265" spans="153:172" x14ac:dyDescent="0.35">
      <c r="EW1265" t="s">
        <v>2339</v>
      </c>
      <c r="EX1265" s="37" t="s">
        <v>2668</v>
      </c>
      <c r="EY1265" s="33" t="s">
        <v>758</v>
      </c>
      <c r="EZ1265" s="33" t="s">
        <v>759</v>
      </c>
      <c r="FA1265" s="33" t="s">
        <v>343</v>
      </c>
      <c r="FB1265" s="33" t="s">
        <v>344</v>
      </c>
      <c r="FC1265" s="33" t="s">
        <v>345</v>
      </c>
      <c r="FD1265" s="33" t="s">
        <v>346</v>
      </c>
      <c r="FE1265" s="33">
        <v>2025</v>
      </c>
      <c r="FF1265" s="33" t="s">
        <v>59</v>
      </c>
      <c r="FG1265" s="33" t="s">
        <v>477</v>
      </c>
      <c r="FH1265" s="33" t="s">
        <v>478</v>
      </c>
      <c r="FI1265" s="33" t="s">
        <v>479</v>
      </c>
      <c r="FJ1265" t="s">
        <v>59</v>
      </c>
      <c r="FM1265" s="32" t="s">
        <v>133</v>
      </c>
      <c r="FN1265" t="s">
        <v>134</v>
      </c>
      <c r="FO1265" t="s">
        <v>135</v>
      </c>
      <c r="FP1265" t="str">
        <f t="shared" si="204"/>
        <v>B</v>
      </c>
    </row>
    <row r="1266" spans="153:172" x14ac:dyDescent="0.35">
      <c r="EW1266" t="s">
        <v>2339</v>
      </c>
      <c r="EX1266" s="33" t="s">
        <v>2669</v>
      </c>
      <c r="EY1266" s="33" t="s">
        <v>760</v>
      </c>
      <c r="EZ1266" s="33" t="s">
        <v>761</v>
      </c>
      <c r="FA1266" s="33" t="s">
        <v>343</v>
      </c>
      <c r="FB1266" s="33" t="s">
        <v>344</v>
      </c>
      <c r="FC1266" s="33" t="s">
        <v>345</v>
      </c>
      <c r="FD1266" s="33" t="s">
        <v>346</v>
      </c>
      <c r="FE1266" s="33">
        <v>2025</v>
      </c>
      <c r="FF1266" s="33" t="s">
        <v>59</v>
      </c>
      <c r="FG1266" s="33" t="s">
        <v>477</v>
      </c>
      <c r="FH1266" s="33" t="s">
        <v>478</v>
      </c>
      <c r="FI1266" s="33" t="s">
        <v>479</v>
      </c>
      <c r="FJ1266" t="s">
        <v>59</v>
      </c>
      <c r="FM1266" s="32" t="s">
        <v>775</v>
      </c>
      <c r="FN1266" t="s">
        <v>776</v>
      </c>
      <c r="FO1266" t="s">
        <v>777</v>
      </c>
      <c r="FP1266" t="str">
        <f t="shared" si="204"/>
        <v>B</v>
      </c>
    </row>
    <row r="1267" spans="153:172" x14ac:dyDescent="0.35">
      <c r="EW1267" t="s">
        <v>2339</v>
      </c>
      <c r="EX1267" s="33" t="s">
        <v>2670</v>
      </c>
      <c r="EY1267" s="33" t="s">
        <v>762</v>
      </c>
      <c r="EZ1267" s="33" t="s">
        <v>763</v>
      </c>
      <c r="FA1267" s="33" t="s">
        <v>343</v>
      </c>
      <c r="FB1267" s="33" t="s">
        <v>344</v>
      </c>
      <c r="FC1267" s="33" t="s">
        <v>345</v>
      </c>
      <c r="FD1267" s="33" t="s">
        <v>346</v>
      </c>
      <c r="FE1267" s="33">
        <v>2025</v>
      </c>
      <c r="FF1267" s="33" t="s">
        <v>59</v>
      </c>
      <c r="FG1267" s="33" t="s">
        <v>477</v>
      </c>
      <c r="FH1267" s="33" t="s">
        <v>478</v>
      </c>
      <c r="FI1267" s="33" t="s">
        <v>479</v>
      </c>
      <c r="FJ1267" t="s">
        <v>59</v>
      </c>
      <c r="FM1267" s="32" t="s">
        <v>295</v>
      </c>
      <c r="FN1267" t="s">
        <v>296</v>
      </c>
      <c r="FO1267" t="s">
        <v>297</v>
      </c>
      <c r="FP1267" t="str">
        <f t="shared" si="204"/>
        <v>B</v>
      </c>
    </row>
    <row r="1268" spans="153:172" x14ac:dyDescent="0.35">
      <c r="EW1268" t="s">
        <v>2339</v>
      </c>
      <c r="EX1268" s="33" t="s">
        <v>2671</v>
      </c>
      <c r="EY1268" s="33" t="s">
        <v>764</v>
      </c>
      <c r="EZ1268" s="33" t="s">
        <v>765</v>
      </c>
      <c r="FA1268" s="33" t="s">
        <v>343</v>
      </c>
      <c r="FB1268" s="33" t="s">
        <v>344</v>
      </c>
      <c r="FC1268" s="33" t="s">
        <v>345</v>
      </c>
      <c r="FD1268" s="33" t="s">
        <v>346</v>
      </c>
      <c r="FE1268" s="33">
        <v>2025</v>
      </c>
      <c r="FF1268" s="33" t="s">
        <v>59</v>
      </c>
      <c r="FG1268" s="33" t="s">
        <v>477</v>
      </c>
      <c r="FH1268" s="33" t="s">
        <v>478</v>
      </c>
      <c r="FI1268" s="33" t="s">
        <v>479</v>
      </c>
      <c r="FJ1268" t="s">
        <v>59</v>
      </c>
      <c r="FM1268" s="32" t="s">
        <v>2672</v>
      </c>
      <c r="FN1268" t="s">
        <v>2672</v>
      </c>
      <c r="FO1268" t="s">
        <v>2673</v>
      </c>
      <c r="FP1268" t="str">
        <f t="shared" si="204"/>
        <v>B</v>
      </c>
    </row>
    <row r="1269" spans="153:172" x14ac:dyDescent="0.35">
      <c r="EW1269" t="s">
        <v>2339</v>
      </c>
      <c r="EX1269" s="33" t="s">
        <v>2674</v>
      </c>
      <c r="EY1269" s="33" t="s">
        <v>766</v>
      </c>
      <c r="EZ1269" s="33" t="s">
        <v>767</v>
      </c>
      <c r="FA1269" s="33" t="s">
        <v>343</v>
      </c>
      <c r="FB1269" s="33" t="s">
        <v>344</v>
      </c>
      <c r="FC1269" s="33" t="s">
        <v>345</v>
      </c>
      <c r="FD1269" s="33" t="s">
        <v>346</v>
      </c>
      <c r="FE1269" s="33">
        <v>2025</v>
      </c>
      <c r="FF1269" s="33" t="s">
        <v>59</v>
      </c>
      <c r="FG1269" s="33" t="s">
        <v>477</v>
      </c>
      <c r="FH1269" s="33" t="s">
        <v>478</v>
      </c>
      <c r="FI1269" s="33" t="s">
        <v>479</v>
      </c>
      <c r="FJ1269" t="s">
        <v>59</v>
      </c>
      <c r="FM1269" s="32" t="s">
        <v>604</v>
      </c>
      <c r="FN1269" t="s">
        <v>605</v>
      </c>
      <c r="FO1269" t="s">
        <v>606</v>
      </c>
      <c r="FP1269" t="str">
        <f t="shared" si="204"/>
        <v>B</v>
      </c>
    </row>
    <row r="1270" spans="153:172" x14ac:dyDescent="0.35">
      <c r="EW1270" t="s">
        <v>2339</v>
      </c>
      <c r="EX1270" s="33" t="s">
        <v>2675</v>
      </c>
      <c r="EY1270" s="33" t="s">
        <v>768</v>
      </c>
      <c r="EZ1270" s="33" t="s">
        <v>769</v>
      </c>
      <c r="FA1270" s="33" t="s">
        <v>343</v>
      </c>
      <c r="FB1270" s="33" t="s">
        <v>344</v>
      </c>
      <c r="FC1270" s="33" t="s">
        <v>345</v>
      </c>
      <c r="FD1270" s="33" t="s">
        <v>346</v>
      </c>
      <c r="FE1270" s="33">
        <v>2025</v>
      </c>
      <c r="FF1270" s="33" t="s">
        <v>59</v>
      </c>
      <c r="FG1270" s="33" t="s">
        <v>470</v>
      </c>
      <c r="FH1270" s="33" t="s">
        <v>471</v>
      </c>
      <c r="FI1270" s="33" t="s">
        <v>467</v>
      </c>
      <c r="FJ1270" t="s">
        <v>59</v>
      </c>
      <c r="FM1270" s="32" t="s">
        <v>271</v>
      </c>
      <c r="FN1270" t="s">
        <v>272</v>
      </c>
      <c r="FO1270" t="s">
        <v>273</v>
      </c>
      <c r="FP1270" t="str">
        <f t="shared" si="204"/>
        <v>B</v>
      </c>
    </row>
    <row r="1271" spans="153:172" x14ac:dyDescent="0.35">
      <c r="EW1271" t="s">
        <v>2339</v>
      </c>
      <c r="EX1271" s="33" t="s">
        <v>2676</v>
      </c>
      <c r="EY1271" s="33" t="s">
        <v>773</v>
      </c>
      <c r="EZ1271" s="33" t="s">
        <v>774</v>
      </c>
      <c r="FA1271" s="33" t="s">
        <v>343</v>
      </c>
      <c r="FB1271" s="33" t="s">
        <v>344</v>
      </c>
      <c r="FC1271" s="33" t="s">
        <v>345</v>
      </c>
      <c r="FD1271" s="33" t="s">
        <v>346</v>
      </c>
      <c r="FE1271" s="33">
        <v>2025</v>
      </c>
      <c r="FF1271" s="33" t="s">
        <v>59</v>
      </c>
      <c r="FG1271" s="33" t="s">
        <v>470</v>
      </c>
      <c r="FH1271" s="33" t="s">
        <v>471</v>
      </c>
      <c r="FI1271" s="33" t="s">
        <v>467</v>
      </c>
      <c r="FJ1271" t="s">
        <v>59</v>
      </c>
      <c r="FM1271" s="32" t="s">
        <v>2677</v>
      </c>
      <c r="FN1271" t="s">
        <v>2677</v>
      </c>
      <c r="FO1271" t="s">
        <v>2678</v>
      </c>
      <c r="FP1271" t="str">
        <f t="shared" si="204"/>
        <v>B</v>
      </c>
    </row>
    <row r="1272" spans="153:172" x14ac:dyDescent="0.35">
      <c r="EW1272" t="s">
        <v>2339</v>
      </c>
      <c r="EX1272" s="33" t="s">
        <v>2679</v>
      </c>
      <c r="EY1272" s="33" t="s">
        <v>778</v>
      </c>
      <c r="EZ1272" s="33" t="s">
        <v>779</v>
      </c>
      <c r="FA1272" s="33" t="s">
        <v>343</v>
      </c>
      <c r="FB1272" s="33" t="s">
        <v>344</v>
      </c>
      <c r="FC1272" s="33" t="s">
        <v>345</v>
      </c>
      <c r="FD1272" s="33" t="s">
        <v>346</v>
      </c>
      <c r="FE1272" s="33">
        <v>2025</v>
      </c>
      <c r="FF1272" s="33" t="s">
        <v>59</v>
      </c>
      <c r="FG1272" s="33" t="s">
        <v>386</v>
      </c>
      <c r="FH1272" s="33" t="s">
        <v>387</v>
      </c>
      <c r="FI1272" s="33" t="s">
        <v>407</v>
      </c>
      <c r="FJ1272" t="s">
        <v>59</v>
      </c>
      <c r="FM1272" s="32" t="s">
        <v>950</v>
      </c>
      <c r="FN1272" t="s">
        <v>951</v>
      </c>
      <c r="FO1272" t="s">
        <v>952</v>
      </c>
      <c r="FP1272" t="str">
        <f t="shared" si="204"/>
        <v>B</v>
      </c>
    </row>
    <row r="1273" spans="153:172" x14ac:dyDescent="0.35">
      <c r="EW1273" t="s">
        <v>2339</v>
      </c>
      <c r="EX1273" s="33" t="s">
        <v>2680</v>
      </c>
      <c r="EY1273" s="33" t="s">
        <v>780</v>
      </c>
      <c r="EZ1273" s="33" t="s">
        <v>781</v>
      </c>
      <c r="FA1273" s="33" t="s">
        <v>343</v>
      </c>
      <c r="FB1273" s="33" t="s">
        <v>344</v>
      </c>
      <c r="FC1273" s="33" t="s">
        <v>345</v>
      </c>
      <c r="FD1273" s="33" t="s">
        <v>346</v>
      </c>
      <c r="FE1273" s="33">
        <v>2025</v>
      </c>
      <c r="FF1273" s="33" t="s">
        <v>59</v>
      </c>
      <c r="FG1273" s="33" t="s">
        <v>386</v>
      </c>
      <c r="FH1273" s="33" t="s">
        <v>387</v>
      </c>
      <c r="FI1273" s="33" t="s">
        <v>407</v>
      </c>
      <c r="FJ1273" t="s">
        <v>59</v>
      </c>
      <c r="FM1273" s="32" t="s">
        <v>728</v>
      </c>
      <c r="FN1273" t="s">
        <v>729</v>
      </c>
      <c r="FO1273" t="s">
        <v>730</v>
      </c>
      <c r="FP1273" t="str">
        <f t="shared" si="204"/>
        <v>B</v>
      </c>
    </row>
    <row r="1274" spans="153:172" x14ac:dyDescent="0.35">
      <c r="EW1274" t="s">
        <v>2339</v>
      </c>
      <c r="EX1274" s="33" t="s">
        <v>2681</v>
      </c>
      <c r="EY1274" s="33" t="s">
        <v>782</v>
      </c>
      <c r="EZ1274" s="33" t="s">
        <v>783</v>
      </c>
      <c r="FA1274" s="33" t="s">
        <v>343</v>
      </c>
      <c r="FB1274" s="33" t="s">
        <v>344</v>
      </c>
      <c r="FC1274" s="33" t="s">
        <v>345</v>
      </c>
      <c r="FD1274" s="33" t="s">
        <v>346</v>
      </c>
      <c r="FE1274" s="33">
        <v>2025</v>
      </c>
      <c r="FF1274" s="33" t="s">
        <v>59</v>
      </c>
      <c r="FG1274" s="33" t="s">
        <v>386</v>
      </c>
      <c r="FH1274" s="33" t="s">
        <v>387</v>
      </c>
      <c r="FI1274" s="33" t="s">
        <v>407</v>
      </c>
      <c r="FJ1274" t="s">
        <v>59</v>
      </c>
      <c r="FM1274" s="32" t="s">
        <v>848</v>
      </c>
      <c r="FN1274" t="s">
        <v>848</v>
      </c>
      <c r="FO1274" t="s">
        <v>848</v>
      </c>
      <c r="FP1274" t="str">
        <f t="shared" si="204"/>
        <v>B</v>
      </c>
    </row>
    <row r="1275" spans="153:172" x14ac:dyDescent="0.35">
      <c r="EW1275" t="s">
        <v>2339</v>
      </c>
      <c r="EX1275" s="33" t="s">
        <v>2682</v>
      </c>
      <c r="EY1275" s="33" t="s">
        <v>787</v>
      </c>
      <c r="EZ1275" s="33" t="s">
        <v>788</v>
      </c>
      <c r="FA1275" s="33" t="s">
        <v>343</v>
      </c>
      <c r="FB1275" s="33" t="s">
        <v>344</v>
      </c>
      <c r="FC1275" s="33" t="s">
        <v>345</v>
      </c>
      <c r="FD1275" s="33" t="s">
        <v>346</v>
      </c>
      <c r="FE1275" s="33">
        <v>2025</v>
      </c>
      <c r="FF1275" s="33" t="s">
        <v>59</v>
      </c>
      <c r="FG1275" s="33" t="s">
        <v>386</v>
      </c>
      <c r="FH1275" s="33" t="s">
        <v>387</v>
      </c>
      <c r="FI1275" s="33" t="s">
        <v>407</v>
      </c>
      <c r="FJ1275" t="s">
        <v>59</v>
      </c>
      <c r="FM1275" s="32" t="s">
        <v>135</v>
      </c>
      <c r="FN1275" t="s">
        <v>135</v>
      </c>
      <c r="FO1275" t="s">
        <v>135</v>
      </c>
      <c r="FP1275" t="str">
        <f t="shared" si="204"/>
        <v>B</v>
      </c>
    </row>
    <row r="1276" spans="153:172" x14ac:dyDescent="0.35">
      <c r="EW1276" t="s">
        <v>2339</v>
      </c>
      <c r="EX1276" s="33" t="s">
        <v>2683</v>
      </c>
      <c r="EY1276" s="33" t="s">
        <v>789</v>
      </c>
      <c r="EZ1276" s="33" t="s">
        <v>790</v>
      </c>
      <c r="FA1276" s="33" t="s">
        <v>343</v>
      </c>
      <c r="FB1276" s="33" t="s">
        <v>344</v>
      </c>
      <c r="FC1276" s="33" t="s">
        <v>345</v>
      </c>
      <c r="FD1276" s="33" t="s">
        <v>346</v>
      </c>
      <c r="FE1276" s="33">
        <v>2025</v>
      </c>
      <c r="FF1276" s="33" t="s">
        <v>59</v>
      </c>
      <c r="FG1276" s="33" t="s">
        <v>477</v>
      </c>
      <c r="FH1276" s="33" t="s">
        <v>478</v>
      </c>
      <c r="FI1276" s="33" t="s">
        <v>479</v>
      </c>
      <c r="FJ1276" t="s">
        <v>59</v>
      </c>
      <c r="FM1276" s="32" t="s">
        <v>2647</v>
      </c>
      <c r="FN1276" t="s">
        <v>2647</v>
      </c>
      <c r="FO1276" t="s">
        <v>2647</v>
      </c>
      <c r="FP1276" t="str">
        <f t="shared" si="204"/>
        <v>B</v>
      </c>
    </row>
    <row r="1277" spans="153:172" x14ac:dyDescent="0.35">
      <c r="EW1277" t="s">
        <v>2339</v>
      </c>
      <c r="EX1277" s="33" t="s">
        <v>2684</v>
      </c>
      <c r="EY1277" s="33" t="s">
        <v>791</v>
      </c>
      <c r="EZ1277" s="33" t="s">
        <v>792</v>
      </c>
      <c r="FA1277" s="33" t="s">
        <v>343</v>
      </c>
      <c r="FB1277" s="33" t="s">
        <v>344</v>
      </c>
      <c r="FC1277" s="33" t="s">
        <v>345</v>
      </c>
      <c r="FD1277" s="33" t="s">
        <v>346</v>
      </c>
      <c r="FE1277" s="33">
        <v>2025</v>
      </c>
      <c r="FF1277" s="33" t="s">
        <v>59</v>
      </c>
      <c r="FG1277" s="33" t="s">
        <v>386</v>
      </c>
      <c r="FH1277" s="33" t="s">
        <v>387</v>
      </c>
      <c r="FI1277" s="33" t="s">
        <v>407</v>
      </c>
      <c r="FJ1277" t="s">
        <v>59</v>
      </c>
      <c r="FM1277" s="32" t="s">
        <v>561</v>
      </c>
      <c r="FN1277" t="s">
        <v>561</v>
      </c>
      <c r="FO1277" t="s">
        <v>561</v>
      </c>
      <c r="FP1277" t="str">
        <f t="shared" si="204"/>
        <v>B</v>
      </c>
    </row>
    <row r="1278" spans="153:172" x14ac:dyDescent="0.35">
      <c r="EW1278" t="s">
        <v>2339</v>
      </c>
      <c r="EX1278" s="33" t="s">
        <v>2685</v>
      </c>
      <c r="EY1278" s="33" t="s">
        <v>793</v>
      </c>
      <c r="EZ1278" s="33" t="s">
        <v>794</v>
      </c>
      <c r="FA1278" s="33" t="s">
        <v>343</v>
      </c>
      <c r="FB1278" s="33" t="s">
        <v>344</v>
      </c>
      <c r="FC1278" s="33" t="s">
        <v>345</v>
      </c>
      <c r="FD1278" s="33" t="s">
        <v>346</v>
      </c>
      <c r="FE1278" s="33">
        <v>2025</v>
      </c>
      <c r="FF1278" s="33" t="s">
        <v>59</v>
      </c>
      <c r="FG1278" s="33" t="s">
        <v>386</v>
      </c>
      <c r="FH1278" s="33" t="s">
        <v>387</v>
      </c>
      <c r="FI1278" s="33" t="s">
        <v>407</v>
      </c>
      <c r="FJ1278" t="s">
        <v>59</v>
      </c>
      <c r="FM1278" s="32" t="s">
        <v>777</v>
      </c>
      <c r="FN1278" t="s">
        <v>777</v>
      </c>
      <c r="FO1278" t="s">
        <v>777</v>
      </c>
      <c r="FP1278" t="str">
        <f t="shared" si="204"/>
        <v>B</v>
      </c>
    </row>
    <row r="1279" spans="153:172" x14ac:dyDescent="0.35">
      <c r="EW1279" t="s">
        <v>2339</v>
      </c>
      <c r="EX1279" s="33" t="s">
        <v>2686</v>
      </c>
      <c r="EY1279" s="33" t="s">
        <v>798</v>
      </c>
      <c r="EZ1279" s="33" t="s">
        <v>799</v>
      </c>
      <c r="FA1279" s="33" t="s">
        <v>343</v>
      </c>
      <c r="FB1279" s="33" t="s">
        <v>344</v>
      </c>
      <c r="FC1279" s="33" t="s">
        <v>345</v>
      </c>
      <c r="FD1279" s="33" t="s">
        <v>346</v>
      </c>
      <c r="FE1279" s="33">
        <v>2025</v>
      </c>
      <c r="FF1279" s="33" t="s">
        <v>59</v>
      </c>
      <c r="FG1279" s="33" t="s">
        <v>386</v>
      </c>
      <c r="FH1279" s="33" t="s">
        <v>387</v>
      </c>
      <c r="FI1279" s="33" t="s">
        <v>407</v>
      </c>
      <c r="FJ1279" t="s">
        <v>59</v>
      </c>
      <c r="FM1279" s="32" t="s">
        <v>2651</v>
      </c>
      <c r="FN1279" t="s">
        <v>2651</v>
      </c>
      <c r="FO1279" t="s">
        <v>2651</v>
      </c>
      <c r="FP1279" t="str">
        <f t="shared" si="204"/>
        <v>B</v>
      </c>
    </row>
    <row r="1280" spans="153:172" x14ac:dyDescent="0.35">
      <c r="EW1280" t="s">
        <v>2339</v>
      </c>
      <c r="EX1280" s="33" t="s">
        <v>2687</v>
      </c>
      <c r="EY1280" s="33" t="s">
        <v>800</v>
      </c>
      <c r="EZ1280" s="33" t="s">
        <v>801</v>
      </c>
      <c r="FA1280" s="33" t="s">
        <v>343</v>
      </c>
      <c r="FB1280" s="33" t="s">
        <v>344</v>
      </c>
      <c r="FC1280" s="33" t="s">
        <v>345</v>
      </c>
      <c r="FD1280" s="33" t="s">
        <v>346</v>
      </c>
      <c r="FE1280" s="33">
        <v>2025</v>
      </c>
      <c r="FF1280" s="33" t="s">
        <v>59</v>
      </c>
      <c r="FG1280" s="33" t="s">
        <v>477</v>
      </c>
      <c r="FH1280" s="33" t="s">
        <v>478</v>
      </c>
      <c r="FI1280" s="33" t="s">
        <v>479</v>
      </c>
      <c r="FJ1280" t="s">
        <v>59</v>
      </c>
      <c r="FM1280" s="32" t="s">
        <v>2628</v>
      </c>
      <c r="FN1280" t="s">
        <v>2628</v>
      </c>
      <c r="FO1280" t="s">
        <v>2628</v>
      </c>
      <c r="FP1280" t="str">
        <f t="shared" si="204"/>
        <v>B</v>
      </c>
    </row>
    <row r="1281" spans="153:172" x14ac:dyDescent="0.35">
      <c r="EW1281" t="s">
        <v>2339</v>
      </c>
      <c r="EX1281" s="33" t="s">
        <v>2688</v>
      </c>
      <c r="EY1281" s="33" t="s">
        <v>802</v>
      </c>
      <c r="EZ1281" s="33" t="s">
        <v>803</v>
      </c>
      <c r="FA1281" s="33" t="s">
        <v>343</v>
      </c>
      <c r="FB1281" s="33" t="s">
        <v>344</v>
      </c>
      <c r="FC1281" s="33" t="s">
        <v>345</v>
      </c>
      <c r="FD1281" s="33" t="s">
        <v>346</v>
      </c>
      <c r="FE1281" s="33">
        <v>2025</v>
      </c>
      <c r="FF1281" s="33" t="s">
        <v>59</v>
      </c>
      <c r="FG1281" s="33" t="s">
        <v>477</v>
      </c>
      <c r="FH1281" s="33" t="s">
        <v>478</v>
      </c>
      <c r="FI1281" s="33" t="s">
        <v>479</v>
      </c>
      <c r="FJ1281" t="s">
        <v>59</v>
      </c>
      <c r="FM1281" s="32" t="s">
        <v>730</v>
      </c>
      <c r="FN1281" t="s">
        <v>730</v>
      </c>
      <c r="FO1281" t="s">
        <v>730</v>
      </c>
      <c r="FP1281" t="str">
        <f t="shared" ref="FP1281:FP1344" si="205">VLOOKUP(FO1281,EX:FF,9,0)</f>
        <v>B</v>
      </c>
    </row>
    <row r="1282" spans="153:172" x14ac:dyDescent="0.35">
      <c r="EW1282" t="s">
        <v>2339</v>
      </c>
      <c r="EX1282" s="33" t="s">
        <v>2689</v>
      </c>
      <c r="EY1282" s="33" t="s">
        <v>804</v>
      </c>
      <c r="EZ1282" s="33" t="s">
        <v>805</v>
      </c>
      <c r="FA1282" s="33" t="s">
        <v>343</v>
      </c>
      <c r="FB1282" s="33" t="s">
        <v>344</v>
      </c>
      <c r="FC1282" s="33" t="s">
        <v>345</v>
      </c>
      <c r="FD1282" s="33" t="s">
        <v>346</v>
      </c>
      <c r="FE1282" s="33">
        <v>2025</v>
      </c>
      <c r="FF1282" s="33" t="s">
        <v>59</v>
      </c>
      <c r="FG1282" s="33" t="s">
        <v>477</v>
      </c>
      <c r="FH1282" s="33" t="s">
        <v>478</v>
      </c>
      <c r="FI1282" s="33" t="s">
        <v>479</v>
      </c>
      <c r="FJ1282" t="s">
        <v>59</v>
      </c>
      <c r="FM1282" s="32" t="s">
        <v>2624</v>
      </c>
      <c r="FN1282" t="s">
        <v>2624</v>
      </c>
      <c r="FO1282" t="s">
        <v>2624</v>
      </c>
      <c r="FP1282" t="str">
        <f t="shared" si="205"/>
        <v>B</v>
      </c>
    </row>
    <row r="1283" spans="153:172" x14ac:dyDescent="0.35">
      <c r="EW1283" t="s">
        <v>2339</v>
      </c>
      <c r="EX1283" s="33" t="s">
        <v>2690</v>
      </c>
      <c r="EY1283" s="33" t="s">
        <v>806</v>
      </c>
      <c r="EZ1283" s="33" t="s">
        <v>807</v>
      </c>
      <c r="FA1283" s="33" t="s">
        <v>343</v>
      </c>
      <c r="FB1283" s="33" t="s">
        <v>344</v>
      </c>
      <c r="FC1283" s="33" t="s">
        <v>345</v>
      </c>
      <c r="FD1283" s="33" t="s">
        <v>346</v>
      </c>
      <c r="FE1283" s="33">
        <v>2025</v>
      </c>
      <c r="FF1283" s="33" t="s">
        <v>59</v>
      </c>
      <c r="FG1283" s="33" t="s">
        <v>386</v>
      </c>
      <c r="FH1283" s="33" t="s">
        <v>387</v>
      </c>
      <c r="FI1283" s="33" t="s">
        <v>407</v>
      </c>
      <c r="FJ1283" t="s">
        <v>59</v>
      </c>
      <c r="FM1283" s="32" t="s">
        <v>482</v>
      </c>
      <c r="FN1283" t="s">
        <v>482</v>
      </c>
      <c r="FO1283" t="s">
        <v>482</v>
      </c>
      <c r="FP1283" t="str">
        <f t="shared" si="205"/>
        <v>B</v>
      </c>
    </row>
    <row r="1284" spans="153:172" x14ac:dyDescent="0.35">
      <c r="EW1284" t="s">
        <v>2339</v>
      </c>
      <c r="EX1284" s="33" t="s">
        <v>2691</v>
      </c>
      <c r="EY1284" s="33" t="s">
        <v>811</v>
      </c>
      <c r="EZ1284" s="33" t="s">
        <v>812</v>
      </c>
      <c r="FA1284" s="33" t="s">
        <v>343</v>
      </c>
      <c r="FB1284" s="33" t="s">
        <v>344</v>
      </c>
      <c r="FC1284" s="33" t="s">
        <v>345</v>
      </c>
      <c r="FD1284" s="33" t="s">
        <v>346</v>
      </c>
      <c r="FE1284" s="33">
        <v>2025</v>
      </c>
      <c r="FF1284" s="33" t="s">
        <v>59</v>
      </c>
      <c r="FG1284" s="33" t="s">
        <v>386</v>
      </c>
      <c r="FH1284" s="33" t="s">
        <v>387</v>
      </c>
      <c r="FI1284" s="33" t="s">
        <v>407</v>
      </c>
      <c r="FJ1284" t="s">
        <v>59</v>
      </c>
      <c r="FM1284" s="32" t="s">
        <v>2658</v>
      </c>
      <c r="FN1284" t="s">
        <v>2658</v>
      </c>
      <c r="FO1284" t="s">
        <v>2658</v>
      </c>
      <c r="FP1284" t="str">
        <f t="shared" si="205"/>
        <v>B</v>
      </c>
    </row>
    <row r="1285" spans="153:172" x14ac:dyDescent="0.35">
      <c r="EW1285" t="s">
        <v>2339</v>
      </c>
      <c r="EX1285" s="33" t="s">
        <v>2692</v>
      </c>
      <c r="EY1285" s="33" t="s">
        <v>813</v>
      </c>
      <c r="EZ1285" s="33" t="s">
        <v>814</v>
      </c>
      <c r="FA1285" s="33" t="s">
        <v>343</v>
      </c>
      <c r="FB1285" s="33" t="s">
        <v>344</v>
      </c>
      <c r="FC1285" s="33" t="s">
        <v>345</v>
      </c>
      <c r="FD1285" s="33" t="s">
        <v>346</v>
      </c>
      <c r="FE1285" s="33">
        <v>2025</v>
      </c>
      <c r="FF1285" s="33" t="s">
        <v>59</v>
      </c>
      <c r="FG1285" s="33" t="s">
        <v>477</v>
      </c>
      <c r="FH1285" s="33" t="s">
        <v>478</v>
      </c>
      <c r="FI1285" s="33" t="s">
        <v>479</v>
      </c>
      <c r="FJ1285" t="s">
        <v>59</v>
      </c>
      <c r="FM1285" s="32" t="s">
        <v>2630</v>
      </c>
      <c r="FN1285" t="s">
        <v>2630</v>
      </c>
      <c r="FO1285" t="s">
        <v>2630</v>
      </c>
      <c r="FP1285" t="str">
        <f t="shared" si="205"/>
        <v>B</v>
      </c>
    </row>
    <row r="1286" spans="153:172" x14ac:dyDescent="0.35">
      <c r="EW1286" t="s">
        <v>2339</v>
      </c>
      <c r="EX1286" s="33" t="s">
        <v>2693</v>
      </c>
      <c r="EY1286" s="33" t="s">
        <v>815</v>
      </c>
      <c r="EZ1286" s="33" t="s">
        <v>816</v>
      </c>
      <c r="FA1286" s="33" t="s">
        <v>343</v>
      </c>
      <c r="FB1286" s="33" t="s">
        <v>344</v>
      </c>
      <c r="FC1286" s="33" t="s">
        <v>345</v>
      </c>
      <c r="FD1286" s="33" t="s">
        <v>346</v>
      </c>
      <c r="FE1286" s="33">
        <v>2025</v>
      </c>
      <c r="FF1286" s="33" t="s">
        <v>59</v>
      </c>
      <c r="FG1286" s="33" t="s">
        <v>477</v>
      </c>
      <c r="FH1286" s="33" t="s">
        <v>478</v>
      </c>
      <c r="FI1286" s="33" t="s">
        <v>479</v>
      </c>
      <c r="FJ1286" t="s">
        <v>59</v>
      </c>
      <c r="FM1286" s="32" t="s">
        <v>700</v>
      </c>
      <c r="FN1286" t="s">
        <v>700</v>
      </c>
      <c r="FO1286" t="s">
        <v>700</v>
      </c>
      <c r="FP1286" t="str">
        <f t="shared" si="205"/>
        <v>B</v>
      </c>
    </row>
    <row r="1287" spans="153:172" x14ac:dyDescent="0.35">
      <c r="EW1287" t="s">
        <v>2339</v>
      </c>
      <c r="EX1287" s="33" t="s">
        <v>2694</v>
      </c>
      <c r="EY1287" s="33" t="s">
        <v>820</v>
      </c>
      <c r="EZ1287" s="33" t="s">
        <v>821</v>
      </c>
      <c r="FA1287" s="33" t="s">
        <v>343</v>
      </c>
      <c r="FB1287" s="33" t="s">
        <v>344</v>
      </c>
      <c r="FC1287" s="33" t="s">
        <v>345</v>
      </c>
      <c r="FD1287" s="33" t="s">
        <v>346</v>
      </c>
      <c r="FE1287" s="33">
        <v>2025</v>
      </c>
      <c r="FF1287" s="33" t="s">
        <v>59</v>
      </c>
      <c r="FG1287" s="33" t="s">
        <v>386</v>
      </c>
      <c r="FH1287" s="33" t="s">
        <v>387</v>
      </c>
      <c r="FI1287" s="33" t="s">
        <v>407</v>
      </c>
      <c r="FJ1287" t="s">
        <v>59</v>
      </c>
      <c r="FM1287" s="32" t="s">
        <v>698</v>
      </c>
      <c r="FN1287" t="s">
        <v>699</v>
      </c>
      <c r="FO1287" t="s">
        <v>700</v>
      </c>
      <c r="FP1287" t="str">
        <f t="shared" si="205"/>
        <v>B</v>
      </c>
    </row>
    <row r="1288" spans="153:172" x14ac:dyDescent="0.35">
      <c r="EW1288" t="s">
        <v>2339</v>
      </c>
      <c r="EX1288" s="33" t="s">
        <v>2695</v>
      </c>
      <c r="EY1288" s="33" t="s">
        <v>822</v>
      </c>
      <c r="EZ1288" s="33" t="s">
        <v>823</v>
      </c>
      <c r="FA1288" s="33" t="s">
        <v>343</v>
      </c>
      <c r="FB1288" s="33" t="s">
        <v>344</v>
      </c>
      <c r="FC1288" s="33" t="s">
        <v>345</v>
      </c>
      <c r="FD1288" s="33" t="s">
        <v>346</v>
      </c>
      <c r="FE1288" s="33">
        <v>2025</v>
      </c>
      <c r="FF1288" s="33" t="s">
        <v>59</v>
      </c>
      <c r="FG1288" s="33" t="s">
        <v>386</v>
      </c>
      <c r="FH1288" s="33" t="s">
        <v>387</v>
      </c>
      <c r="FI1288" s="33" t="s">
        <v>407</v>
      </c>
      <c r="FJ1288" t="s">
        <v>59</v>
      </c>
      <c r="FM1288" s="32" t="s">
        <v>775</v>
      </c>
      <c r="FN1288" t="s">
        <v>776</v>
      </c>
      <c r="FO1288" t="s">
        <v>777</v>
      </c>
      <c r="FP1288" t="str">
        <f t="shared" si="205"/>
        <v>B</v>
      </c>
    </row>
    <row r="1289" spans="153:172" x14ac:dyDescent="0.35">
      <c r="EW1289" t="s">
        <v>2339</v>
      </c>
      <c r="EX1289" s="33" t="s">
        <v>2696</v>
      </c>
      <c r="EY1289" s="33" t="s">
        <v>824</v>
      </c>
      <c r="EZ1289" s="33" t="s">
        <v>825</v>
      </c>
      <c r="FA1289" s="33" t="s">
        <v>343</v>
      </c>
      <c r="FB1289" s="33" t="s">
        <v>344</v>
      </c>
      <c r="FC1289" s="33" t="s">
        <v>345</v>
      </c>
      <c r="FD1289" s="33" t="s">
        <v>346</v>
      </c>
      <c r="FE1289" s="33">
        <v>2025</v>
      </c>
      <c r="FF1289" s="33" t="s">
        <v>59</v>
      </c>
      <c r="FG1289" s="33" t="s">
        <v>477</v>
      </c>
      <c r="FH1289" s="33" t="s">
        <v>478</v>
      </c>
      <c r="FI1289" s="33" t="s">
        <v>479</v>
      </c>
      <c r="FJ1289" t="s">
        <v>59</v>
      </c>
      <c r="FM1289" s="32" t="s">
        <v>295</v>
      </c>
      <c r="FN1289" t="s">
        <v>296</v>
      </c>
      <c r="FO1289" t="s">
        <v>297</v>
      </c>
      <c r="FP1289" t="str">
        <f t="shared" si="205"/>
        <v>B</v>
      </c>
    </row>
    <row r="1290" spans="153:172" x14ac:dyDescent="0.35">
      <c r="EW1290" t="s">
        <v>2339</v>
      </c>
      <c r="EX1290" s="33" t="s">
        <v>2697</v>
      </c>
      <c r="EY1290" s="33" t="s">
        <v>826</v>
      </c>
      <c r="EZ1290" s="33" t="s">
        <v>827</v>
      </c>
      <c r="FA1290" s="33" t="s">
        <v>343</v>
      </c>
      <c r="FB1290" s="33" t="s">
        <v>344</v>
      </c>
      <c r="FC1290" s="33" t="s">
        <v>345</v>
      </c>
      <c r="FD1290" s="33" t="s">
        <v>346</v>
      </c>
      <c r="FE1290" s="33">
        <v>2025</v>
      </c>
      <c r="FF1290" s="33" t="s">
        <v>59</v>
      </c>
      <c r="FG1290" s="33" t="s">
        <v>477</v>
      </c>
      <c r="FH1290" s="33" t="s">
        <v>478</v>
      </c>
      <c r="FI1290" s="33" t="s">
        <v>479</v>
      </c>
      <c r="FJ1290" t="s">
        <v>59</v>
      </c>
      <c r="FM1290" s="32" t="s">
        <v>2673</v>
      </c>
      <c r="FN1290" t="s">
        <v>2673</v>
      </c>
      <c r="FO1290" t="s">
        <v>2673</v>
      </c>
      <c r="FP1290" t="str">
        <f t="shared" si="205"/>
        <v>B</v>
      </c>
    </row>
    <row r="1291" spans="153:172" x14ac:dyDescent="0.35">
      <c r="EW1291" t="s">
        <v>2339</v>
      </c>
      <c r="EX1291" s="33" t="s">
        <v>2698</v>
      </c>
      <c r="EY1291" s="33" t="s">
        <v>828</v>
      </c>
      <c r="EZ1291" s="33" t="s">
        <v>829</v>
      </c>
      <c r="FA1291" s="33" t="s">
        <v>343</v>
      </c>
      <c r="FB1291" s="33" t="s">
        <v>344</v>
      </c>
      <c r="FC1291" s="33" t="s">
        <v>345</v>
      </c>
      <c r="FD1291" s="33" t="s">
        <v>346</v>
      </c>
      <c r="FE1291" s="33">
        <v>2025</v>
      </c>
      <c r="FF1291" s="33" t="s">
        <v>59</v>
      </c>
      <c r="FG1291" s="33" t="s">
        <v>477</v>
      </c>
      <c r="FH1291" s="33" t="s">
        <v>478</v>
      </c>
      <c r="FI1291" s="33" t="s">
        <v>479</v>
      </c>
      <c r="FJ1291" t="s">
        <v>59</v>
      </c>
      <c r="FM1291" s="32" t="s">
        <v>606</v>
      </c>
      <c r="FN1291" t="s">
        <v>606</v>
      </c>
      <c r="FO1291" t="s">
        <v>606</v>
      </c>
      <c r="FP1291" t="str">
        <f t="shared" si="205"/>
        <v>B</v>
      </c>
    </row>
    <row r="1292" spans="153:172" x14ac:dyDescent="0.35">
      <c r="EW1292" t="s">
        <v>2339</v>
      </c>
      <c r="EX1292" s="33" t="s">
        <v>2699</v>
      </c>
      <c r="EY1292" s="33" t="s">
        <v>830</v>
      </c>
      <c r="EZ1292" s="33" t="s">
        <v>831</v>
      </c>
      <c r="FA1292" s="33" t="s">
        <v>343</v>
      </c>
      <c r="FB1292" s="33" t="s">
        <v>344</v>
      </c>
      <c r="FC1292" s="33" t="s">
        <v>345</v>
      </c>
      <c r="FD1292" s="33" t="s">
        <v>346</v>
      </c>
      <c r="FE1292" s="33">
        <v>2025</v>
      </c>
      <c r="FF1292" s="33" t="s">
        <v>59</v>
      </c>
      <c r="FG1292" s="33" t="s">
        <v>477</v>
      </c>
      <c r="FH1292" s="33" t="s">
        <v>478</v>
      </c>
      <c r="FI1292" s="33" t="s">
        <v>479</v>
      </c>
      <c r="FJ1292" t="s">
        <v>59</v>
      </c>
      <c r="FM1292" s="32" t="s">
        <v>273</v>
      </c>
      <c r="FN1292" t="s">
        <v>273</v>
      </c>
      <c r="FO1292" t="s">
        <v>273</v>
      </c>
      <c r="FP1292" t="str">
        <f t="shared" si="205"/>
        <v>B</v>
      </c>
    </row>
    <row r="1293" spans="153:172" x14ac:dyDescent="0.35">
      <c r="EW1293" t="s">
        <v>2339</v>
      </c>
      <c r="EX1293" s="33" t="s">
        <v>2700</v>
      </c>
      <c r="EY1293" s="33" t="s">
        <v>832</v>
      </c>
      <c r="EZ1293" s="33" t="s">
        <v>833</v>
      </c>
      <c r="FA1293" s="33" t="s">
        <v>343</v>
      </c>
      <c r="FB1293" s="33" t="s">
        <v>344</v>
      </c>
      <c r="FC1293" s="33" t="s">
        <v>345</v>
      </c>
      <c r="FD1293" s="33" t="s">
        <v>346</v>
      </c>
      <c r="FE1293" s="33">
        <v>2025</v>
      </c>
      <c r="FF1293" s="33" t="s">
        <v>59</v>
      </c>
      <c r="FG1293" s="33" t="s">
        <v>386</v>
      </c>
      <c r="FH1293" s="33" t="s">
        <v>387</v>
      </c>
      <c r="FI1293" s="33" t="s">
        <v>407</v>
      </c>
      <c r="FJ1293" t="s">
        <v>59</v>
      </c>
      <c r="FM1293" s="32" t="s">
        <v>952</v>
      </c>
      <c r="FN1293" t="s">
        <v>952</v>
      </c>
      <c r="FO1293" t="s">
        <v>952</v>
      </c>
      <c r="FP1293" t="str">
        <f t="shared" si="205"/>
        <v>B</v>
      </c>
    </row>
    <row r="1294" spans="153:172" x14ac:dyDescent="0.35">
      <c r="EW1294" t="s">
        <v>2339</v>
      </c>
      <c r="EX1294" s="33" t="s">
        <v>2701</v>
      </c>
      <c r="EY1294" s="33" t="s">
        <v>837</v>
      </c>
      <c r="EZ1294" s="33" t="s">
        <v>838</v>
      </c>
      <c r="FA1294" s="33" t="s">
        <v>343</v>
      </c>
      <c r="FB1294" s="33" t="s">
        <v>344</v>
      </c>
      <c r="FC1294" s="33" t="s">
        <v>345</v>
      </c>
      <c r="FD1294" s="33" t="s">
        <v>346</v>
      </c>
      <c r="FE1294" s="33">
        <v>2025</v>
      </c>
      <c r="FF1294" s="33" t="s">
        <v>59</v>
      </c>
      <c r="FG1294" s="33" t="s">
        <v>477</v>
      </c>
      <c r="FH1294" s="33" t="s">
        <v>478</v>
      </c>
      <c r="FI1294" s="33" t="s">
        <v>479</v>
      </c>
      <c r="FJ1294" t="s">
        <v>59</v>
      </c>
      <c r="FM1294" s="32" t="s">
        <v>2677</v>
      </c>
      <c r="FN1294" t="s">
        <v>2677</v>
      </c>
      <c r="FO1294" t="s">
        <v>2678</v>
      </c>
      <c r="FP1294" t="str">
        <f t="shared" si="205"/>
        <v>B</v>
      </c>
    </row>
    <row r="1295" spans="153:172" x14ac:dyDescent="0.35">
      <c r="EW1295" t="s">
        <v>2339</v>
      </c>
      <c r="EX1295" s="33" t="s">
        <v>2702</v>
      </c>
      <c r="EY1295" s="33" t="s">
        <v>839</v>
      </c>
      <c r="EZ1295" s="33" t="s">
        <v>840</v>
      </c>
      <c r="FA1295" s="33" t="s">
        <v>343</v>
      </c>
      <c r="FB1295" s="33" t="s">
        <v>344</v>
      </c>
      <c r="FC1295" s="33" t="s">
        <v>345</v>
      </c>
      <c r="FD1295" s="33" t="s">
        <v>346</v>
      </c>
      <c r="FE1295" s="33">
        <v>2025</v>
      </c>
      <c r="FF1295" s="33" t="s">
        <v>59</v>
      </c>
      <c r="FG1295" s="33" t="s">
        <v>477</v>
      </c>
      <c r="FH1295" s="33" t="s">
        <v>478</v>
      </c>
      <c r="FI1295" s="33" t="s">
        <v>479</v>
      </c>
      <c r="FJ1295" t="s">
        <v>59</v>
      </c>
      <c r="FM1295" s="32" t="s">
        <v>941</v>
      </c>
      <c r="FN1295" t="s">
        <v>942</v>
      </c>
      <c r="FO1295" t="s">
        <v>943</v>
      </c>
      <c r="FP1295" t="str">
        <f t="shared" si="205"/>
        <v>B</v>
      </c>
    </row>
    <row r="1296" spans="153:172" x14ac:dyDescent="0.35">
      <c r="EW1296" t="s">
        <v>2339</v>
      </c>
      <c r="EX1296" s="33" t="s">
        <v>2703</v>
      </c>
      <c r="EY1296" s="33" t="s">
        <v>844</v>
      </c>
      <c r="EZ1296" s="33" t="s">
        <v>845</v>
      </c>
      <c r="FA1296" s="33" t="s">
        <v>343</v>
      </c>
      <c r="FB1296" s="33" t="s">
        <v>344</v>
      </c>
      <c r="FC1296" s="33" t="s">
        <v>345</v>
      </c>
      <c r="FD1296" s="33" t="s">
        <v>346</v>
      </c>
      <c r="FE1296" s="33">
        <v>2025</v>
      </c>
      <c r="FF1296" s="33" t="s">
        <v>59</v>
      </c>
      <c r="FG1296" s="33" t="s">
        <v>477</v>
      </c>
      <c r="FH1296" s="33" t="s">
        <v>478</v>
      </c>
      <c r="FI1296" s="33" t="s">
        <v>479</v>
      </c>
      <c r="FJ1296" t="s">
        <v>59</v>
      </c>
      <c r="FM1296" s="32" t="s">
        <v>728</v>
      </c>
      <c r="FN1296" t="s">
        <v>729</v>
      </c>
      <c r="FO1296" t="s">
        <v>730</v>
      </c>
      <c r="FP1296" t="str">
        <f t="shared" si="205"/>
        <v>B</v>
      </c>
    </row>
    <row r="1297" spans="153:172" x14ac:dyDescent="0.35">
      <c r="EW1297" t="s">
        <v>2339</v>
      </c>
      <c r="EX1297" s="33" t="s">
        <v>2704</v>
      </c>
      <c r="EY1297" s="33" t="s">
        <v>849</v>
      </c>
      <c r="EZ1297" s="33" t="s">
        <v>850</v>
      </c>
      <c r="FA1297" s="33" t="s">
        <v>343</v>
      </c>
      <c r="FB1297" s="33" t="s">
        <v>344</v>
      </c>
      <c r="FC1297" s="33" t="s">
        <v>345</v>
      </c>
      <c r="FD1297" s="33" t="s">
        <v>346</v>
      </c>
      <c r="FE1297" s="33">
        <v>2025</v>
      </c>
      <c r="FF1297" s="33" t="s">
        <v>59</v>
      </c>
      <c r="FG1297" s="33" t="s">
        <v>470</v>
      </c>
      <c r="FH1297" s="33" t="s">
        <v>471</v>
      </c>
      <c r="FI1297" s="33" t="s">
        <v>467</v>
      </c>
      <c r="FJ1297" t="s">
        <v>59</v>
      </c>
      <c r="FM1297" s="32" t="s">
        <v>1332</v>
      </c>
      <c r="FN1297" t="s">
        <v>1332</v>
      </c>
      <c r="FO1297" t="s">
        <v>1333</v>
      </c>
      <c r="FP1297" t="str">
        <f t="shared" si="205"/>
        <v>B</v>
      </c>
    </row>
    <row r="1298" spans="153:172" x14ac:dyDescent="0.35">
      <c r="EW1298" t="s">
        <v>2339</v>
      </c>
      <c r="EX1298" s="33" t="s">
        <v>2705</v>
      </c>
      <c r="EY1298" s="33" t="s">
        <v>851</v>
      </c>
      <c r="EZ1298" s="33" t="s">
        <v>852</v>
      </c>
      <c r="FA1298" s="33" t="s">
        <v>343</v>
      </c>
      <c r="FB1298" s="33" t="s">
        <v>344</v>
      </c>
      <c r="FC1298" s="33" t="s">
        <v>345</v>
      </c>
      <c r="FD1298" s="33" t="s">
        <v>346</v>
      </c>
      <c r="FE1298" s="33">
        <v>2025</v>
      </c>
      <c r="FF1298" s="33" t="s">
        <v>59</v>
      </c>
      <c r="FG1298" s="33" t="s">
        <v>470</v>
      </c>
      <c r="FH1298" s="33" t="s">
        <v>471</v>
      </c>
      <c r="FI1298" s="33" t="s">
        <v>467</v>
      </c>
      <c r="FJ1298" t="s">
        <v>59</v>
      </c>
      <c r="FM1298" s="32" t="s">
        <v>2706</v>
      </c>
      <c r="FN1298" t="s">
        <v>2706</v>
      </c>
      <c r="FO1298" t="s">
        <v>2628</v>
      </c>
      <c r="FP1298" t="str">
        <f t="shared" si="205"/>
        <v>B</v>
      </c>
    </row>
    <row r="1299" spans="153:172" x14ac:dyDescent="0.35">
      <c r="EW1299" t="s">
        <v>2339</v>
      </c>
      <c r="EX1299" s="33" t="s">
        <v>2707</v>
      </c>
      <c r="EY1299" s="33" t="s">
        <v>853</v>
      </c>
      <c r="EZ1299" s="33" t="s">
        <v>854</v>
      </c>
      <c r="FA1299" s="33" t="s">
        <v>343</v>
      </c>
      <c r="FB1299" s="33" t="s">
        <v>344</v>
      </c>
      <c r="FC1299" s="33" t="s">
        <v>345</v>
      </c>
      <c r="FD1299" s="33" t="s">
        <v>346</v>
      </c>
      <c r="FE1299" s="33">
        <v>2025</v>
      </c>
      <c r="FF1299" s="33" t="s">
        <v>59</v>
      </c>
      <c r="FG1299" s="33" t="s">
        <v>477</v>
      </c>
      <c r="FH1299" s="33" t="s">
        <v>478</v>
      </c>
      <c r="FI1299" s="33" t="s">
        <v>479</v>
      </c>
      <c r="FJ1299" t="s">
        <v>59</v>
      </c>
      <c r="FM1299" s="32" t="s">
        <v>1008</v>
      </c>
      <c r="FN1299" t="s">
        <v>1009</v>
      </c>
      <c r="FO1299" t="s">
        <v>1010</v>
      </c>
      <c r="FP1299" t="str">
        <f t="shared" si="205"/>
        <v>B</v>
      </c>
    </row>
    <row r="1300" spans="153:172" x14ac:dyDescent="0.35">
      <c r="EW1300" t="s">
        <v>2339</v>
      </c>
      <c r="EX1300" s="33" t="s">
        <v>2708</v>
      </c>
      <c r="EY1300" s="33" t="s">
        <v>858</v>
      </c>
      <c r="EZ1300" s="33" t="s">
        <v>859</v>
      </c>
      <c r="FA1300" s="33" t="s">
        <v>343</v>
      </c>
      <c r="FB1300" s="33" t="s">
        <v>344</v>
      </c>
      <c r="FC1300" s="33" t="s">
        <v>345</v>
      </c>
      <c r="FD1300" s="33" t="s">
        <v>346</v>
      </c>
      <c r="FE1300" s="33">
        <v>2025</v>
      </c>
      <c r="FF1300" s="33" t="s">
        <v>59</v>
      </c>
      <c r="FG1300" s="33" t="s">
        <v>477</v>
      </c>
      <c r="FH1300" s="33" t="s">
        <v>478</v>
      </c>
      <c r="FI1300" s="33" t="s">
        <v>479</v>
      </c>
      <c r="FJ1300" t="s">
        <v>59</v>
      </c>
      <c r="FM1300" s="32" t="s">
        <v>834</v>
      </c>
      <c r="FN1300" t="s">
        <v>835</v>
      </c>
      <c r="FO1300" t="s">
        <v>836</v>
      </c>
      <c r="FP1300" t="str">
        <f t="shared" si="205"/>
        <v>B</v>
      </c>
    </row>
    <row r="1301" spans="153:172" x14ac:dyDescent="0.35">
      <c r="EW1301" t="s">
        <v>2339</v>
      </c>
      <c r="EX1301" s="33" t="s">
        <v>2709</v>
      </c>
      <c r="EY1301" s="33" t="s">
        <v>860</v>
      </c>
      <c r="EZ1301" s="33" t="s">
        <v>861</v>
      </c>
      <c r="FA1301" s="33" t="s">
        <v>343</v>
      </c>
      <c r="FB1301" s="33" t="s">
        <v>344</v>
      </c>
      <c r="FC1301" s="33" t="s">
        <v>345</v>
      </c>
      <c r="FD1301" s="33" t="s">
        <v>346</v>
      </c>
      <c r="FE1301" s="33">
        <v>2025</v>
      </c>
      <c r="FF1301" s="33" t="s">
        <v>59</v>
      </c>
      <c r="FG1301" s="33" t="s">
        <v>477</v>
      </c>
      <c r="FH1301" s="33" t="s">
        <v>478</v>
      </c>
      <c r="FI1301" s="33" t="s">
        <v>479</v>
      </c>
      <c r="FJ1301" t="s">
        <v>59</v>
      </c>
      <c r="FM1301" s="32" t="s">
        <v>133</v>
      </c>
      <c r="FN1301" t="s">
        <v>134</v>
      </c>
      <c r="FO1301" t="s">
        <v>135</v>
      </c>
      <c r="FP1301" t="str">
        <f t="shared" si="205"/>
        <v>B</v>
      </c>
    </row>
    <row r="1302" spans="153:172" x14ac:dyDescent="0.35">
      <c r="EW1302" t="s">
        <v>2339</v>
      </c>
      <c r="EX1302" s="33" t="s">
        <v>2710</v>
      </c>
      <c r="EY1302" s="33" t="s">
        <v>862</v>
      </c>
      <c r="EZ1302" s="33" t="s">
        <v>863</v>
      </c>
      <c r="FA1302" s="33" t="s">
        <v>343</v>
      </c>
      <c r="FB1302" s="33" t="s">
        <v>344</v>
      </c>
      <c r="FC1302" s="33" t="s">
        <v>345</v>
      </c>
      <c r="FD1302" s="33" t="s">
        <v>346</v>
      </c>
      <c r="FE1302" s="33">
        <v>2025</v>
      </c>
      <c r="FF1302" s="33" t="s">
        <v>59</v>
      </c>
      <c r="FG1302" s="33" t="s">
        <v>477</v>
      </c>
      <c r="FH1302" s="33" t="s">
        <v>478</v>
      </c>
      <c r="FI1302" s="33" t="s">
        <v>479</v>
      </c>
      <c r="FJ1302" t="s">
        <v>59</v>
      </c>
      <c r="FM1302" s="32" t="s">
        <v>2711</v>
      </c>
      <c r="FN1302" t="s">
        <v>2711</v>
      </c>
      <c r="FO1302" t="s">
        <v>2661</v>
      </c>
      <c r="FP1302" t="str">
        <f t="shared" si="205"/>
        <v>B</v>
      </c>
    </row>
    <row r="1303" spans="153:172" x14ac:dyDescent="0.35">
      <c r="EW1303" t="s">
        <v>2339</v>
      </c>
      <c r="EX1303" s="33" t="s">
        <v>2712</v>
      </c>
      <c r="EY1303" s="33" t="s">
        <v>864</v>
      </c>
      <c r="EZ1303" s="33" t="s">
        <v>865</v>
      </c>
      <c r="FA1303" s="33" t="s">
        <v>343</v>
      </c>
      <c r="FB1303" s="33" t="s">
        <v>344</v>
      </c>
      <c r="FC1303" s="33" t="s">
        <v>345</v>
      </c>
      <c r="FD1303" s="33" t="s">
        <v>346</v>
      </c>
      <c r="FE1303" s="33">
        <v>2025</v>
      </c>
      <c r="FF1303" s="33" t="s">
        <v>59</v>
      </c>
      <c r="FG1303" s="33" t="s">
        <v>477</v>
      </c>
      <c r="FH1303" s="33" t="s">
        <v>478</v>
      </c>
      <c r="FI1303" s="33" t="s">
        <v>479</v>
      </c>
      <c r="FJ1303" t="s">
        <v>59</v>
      </c>
      <c r="FM1303" s="32" t="s">
        <v>698</v>
      </c>
      <c r="FN1303" t="s">
        <v>699</v>
      </c>
      <c r="FO1303" t="s">
        <v>700</v>
      </c>
      <c r="FP1303" t="str">
        <f t="shared" si="205"/>
        <v>B</v>
      </c>
    </row>
    <row r="1304" spans="153:172" x14ac:dyDescent="0.35">
      <c r="EW1304" t="s">
        <v>2339</v>
      </c>
      <c r="EX1304" s="33" t="s">
        <v>2713</v>
      </c>
      <c r="EY1304" s="33" t="s">
        <v>866</v>
      </c>
      <c r="EZ1304" s="33" t="s">
        <v>867</v>
      </c>
      <c r="FA1304" s="33" t="s">
        <v>343</v>
      </c>
      <c r="FB1304" s="33" t="s">
        <v>344</v>
      </c>
      <c r="FC1304" s="33" t="s">
        <v>345</v>
      </c>
      <c r="FD1304" s="33" t="s">
        <v>346</v>
      </c>
      <c r="FE1304" s="33">
        <v>2025</v>
      </c>
      <c r="FF1304" s="33" t="s">
        <v>59</v>
      </c>
      <c r="FG1304" s="33" t="s">
        <v>470</v>
      </c>
      <c r="FH1304" s="33" t="s">
        <v>471</v>
      </c>
      <c r="FI1304" s="33" t="s">
        <v>467</v>
      </c>
      <c r="FJ1304" t="s">
        <v>59</v>
      </c>
      <c r="FM1304" s="32" t="s">
        <v>775</v>
      </c>
      <c r="FN1304" t="s">
        <v>776</v>
      </c>
      <c r="FO1304" t="s">
        <v>777</v>
      </c>
      <c r="FP1304" t="str">
        <f t="shared" si="205"/>
        <v>B</v>
      </c>
    </row>
    <row r="1305" spans="153:172" x14ac:dyDescent="0.35">
      <c r="EW1305" t="s">
        <v>2339</v>
      </c>
      <c r="EX1305" s="33" t="s">
        <v>2714</v>
      </c>
      <c r="EY1305" s="33" t="s">
        <v>871</v>
      </c>
      <c r="EZ1305" s="33" t="s">
        <v>872</v>
      </c>
      <c r="FA1305" s="33" t="s">
        <v>343</v>
      </c>
      <c r="FB1305" s="33" t="s">
        <v>344</v>
      </c>
      <c r="FC1305" s="33" t="s">
        <v>345</v>
      </c>
      <c r="FD1305" s="33" t="s">
        <v>346</v>
      </c>
      <c r="FE1305" s="33">
        <v>2025</v>
      </c>
      <c r="FF1305" s="33" t="s">
        <v>59</v>
      </c>
      <c r="FG1305" s="33" t="s">
        <v>470</v>
      </c>
      <c r="FH1305" s="33" t="s">
        <v>471</v>
      </c>
      <c r="FI1305" s="33" t="s">
        <v>467</v>
      </c>
      <c r="FJ1305" t="s">
        <v>59</v>
      </c>
      <c r="FM1305" s="32" t="s">
        <v>295</v>
      </c>
      <c r="FN1305" t="s">
        <v>296</v>
      </c>
      <c r="FO1305" t="s">
        <v>297</v>
      </c>
      <c r="FP1305" t="str">
        <f t="shared" si="205"/>
        <v>B</v>
      </c>
    </row>
    <row r="1306" spans="153:172" x14ac:dyDescent="0.35">
      <c r="EW1306" t="s">
        <v>2339</v>
      </c>
      <c r="EX1306" s="33" t="s">
        <v>2715</v>
      </c>
      <c r="EY1306" s="33" t="s">
        <v>873</v>
      </c>
      <c r="EZ1306" s="33" t="s">
        <v>874</v>
      </c>
      <c r="FA1306" s="33" t="s">
        <v>343</v>
      </c>
      <c r="FB1306" s="33" t="s">
        <v>344</v>
      </c>
      <c r="FC1306" s="33" t="s">
        <v>345</v>
      </c>
      <c r="FD1306" s="33" t="s">
        <v>346</v>
      </c>
      <c r="FE1306" s="33">
        <v>2025</v>
      </c>
      <c r="FF1306" s="33" t="s">
        <v>59</v>
      </c>
      <c r="FG1306" s="33" t="s">
        <v>477</v>
      </c>
      <c r="FH1306" s="33" t="s">
        <v>478</v>
      </c>
      <c r="FI1306" s="33" t="s">
        <v>479</v>
      </c>
      <c r="FJ1306" t="s">
        <v>59</v>
      </c>
      <c r="FM1306" s="32" t="s">
        <v>836</v>
      </c>
      <c r="FN1306" t="s">
        <v>836</v>
      </c>
      <c r="FO1306" t="s">
        <v>836</v>
      </c>
      <c r="FP1306" t="str">
        <f t="shared" si="205"/>
        <v>B</v>
      </c>
    </row>
    <row r="1307" spans="153:172" x14ac:dyDescent="0.35">
      <c r="EW1307" t="s">
        <v>2339</v>
      </c>
      <c r="EX1307" s="33" t="s">
        <v>2716</v>
      </c>
      <c r="EY1307" s="33" t="s">
        <v>875</v>
      </c>
      <c r="EZ1307" s="33" t="s">
        <v>876</v>
      </c>
      <c r="FA1307" s="33" t="s">
        <v>343</v>
      </c>
      <c r="FB1307" s="33" t="s">
        <v>344</v>
      </c>
      <c r="FC1307" s="33" t="s">
        <v>345</v>
      </c>
      <c r="FD1307" s="33" t="s">
        <v>346</v>
      </c>
      <c r="FE1307" s="33">
        <v>2025</v>
      </c>
      <c r="FF1307" s="33" t="s">
        <v>59</v>
      </c>
      <c r="FG1307" s="33" t="s">
        <v>477</v>
      </c>
      <c r="FH1307" s="33" t="s">
        <v>478</v>
      </c>
      <c r="FI1307" s="33" t="s">
        <v>479</v>
      </c>
      <c r="FJ1307" t="s">
        <v>59</v>
      </c>
      <c r="FM1307" s="32" t="s">
        <v>2711</v>
      </c>
      <c r="FN1307" t="s">
        <v>2711</v>
      </c>
      <c r="FO1307" t="s">
        <v>2661</v>
      </c>
      <c r="FP1307" t="str">
        <f t="shared" si="205"/>
        <v>B</v>
      </c>
    </row>
    <row r="1308" spans="153:172" x14ac:dyDescent="0.35">
      <c r="EW1308" t="s">
        <v>2339</v>
      </c>
      <c r="EX1308" s="33" t="s">
        <v>2717</v>
      </c>
      <c r="EY1308" s="33" t="s">
        <v>877</v>
      </c>
      <c r="EZ1308" s="33" t="s">
        <v>878</v>
      </c>
      <c r="FA1308" s="33" t="s">
        <v>343</v>
      </c>
      <c r="FB1308" s="33" t="s">
        <v>344</v>
      </c>
      <c r="FC1308" s="33" t="s">
        <v>345</v>
      </c>
      <c r="FD1308" s="33" t="s">
        <v>346</v>
      </c>
      <c r="FE1308" s="33">
        <v>2025</v>
      </c>
      <c r="FF1308" s="33" t="s">
        <v>59</v>
      </c>
      <c r="FG1308" s="33" t="s">
        <v>470</v>
      </c>
      <c r="FH1308" s="33" t="s">
        <v>471</v>
      </c>
      <c r="FI1308" s="33" t="s">
        <v>467</v>
      </c>
      <c r="FJ1308" t="s">
        <v>59</v>
      </c>
      <c r="FM1308" s="32" t="s">
        <v>2718</v>
      </c>
      <c r="FN1308" t="s">
        <v>2718</v>
      </c>
      <c r="FO1308" t="s">
        <v>2719</v>
      </c>
      <c r="FP1308" t="str">
        <f t="shared" si="205"/>
        <v>B</v>
      </c>
    </row>
    <row r="1309" spans="153:172" x14ac:dyDescent="0.35">
      <c r="EW1309" t="s">
        <v>2339</v>
      </c>
      <c r="EX1309" s="33" t="s">
        <v>2720</v>
      </c>
      <c r="EY1309" s="33" t="s">
        <v>879</v>
      </c>
      <c r="EZ1309" s="33" t="s">
        <v>880</v>
      </c>
      <c r="FA1309" s="33" t="s">
        <v>343</v>
      </c>
      <c r="FB1309" s="33" t="s">
        <v>344</v>
      </c>
      <c r="FC1309" s="33" t="s">
        <v>345</v>
      </c>
      <c r="FD1309" s="33" t="s">
        <v>346</v>
      </c>
      <c r="FE1309" s="33">
        <v>2025</v>
      </c>
      <c r="FF1309" s="33" t="s">
        <v>59</v>
      </c>
      <c r="FG1309" s="33" t="s">
        <v>470</v>
      </c>
      <c r="FH1309" s="33" t="s">
        <v>471</v>
      </c>
      <c r="FI1309" s="33" t="s">
        <v>467</v>
      </c>
      <c r="FJ1309" t="s">
        <v>59</v>
      </c>
      <c r="FM1309" s="32" t="s">
        <v>375</v>
      </c>
      <c r="FN1309" t="s">
        <v>376</v>
      </c>
      <c r="FO1309" t="s">
        <v>377</v>
      </c>
      <c r="FP1309" t="str">
        <f t="shared" si="205"/>
        <v>B</v>
      </c>
    </row>
    <row r="1310" spans="153:172" x14ac:dyDescent="0.35">
      <c r="EW1310" t="s">
        <v>2339</v>
      </c>
      <c r="EX1310" s="33" t="s">
        <v>2721</v>
      </c>
      <c r="EY1310" s="33" t="s">
        <v>881</v>
      </c>
      <c r="EZ1310" s="33" t="s">
        <v>882</v>
      </c>
      <c r="FA1310" s="33" t="s">
        <v>343</v>
      </c>
      <c r="FB1310" s="33" t="s">
        <v>344</v>
      </c>
      <c r="FC1310" s="33" t="s">
        <v>345</v>
      </c>
      <c r="FD1310" s="33" t="s">
        <v>346</v>
      </c>
      <c r="FE1310" s="33">
        <v>2025</v>
      </c>
      <c r="FF1310" s="33" t="s">
        <v>59</v>
      </c>
      <c r="FG1310" s="33" t="s">
        <v>470</v>
      </c>
      <c r="FH1310" s="33" t="s">
        <v>471</v>
      </c>
      <c r="FI1310" s="33" t="s">
        <v>467</v>
      </c>
      <c r="FJ1310" t="s">
        <v>59</v>
      </c>
      <c r="FM1310" s="32" t="s">
        <v>2722</v>
      </c>
      <c r="FN1310" t="s">
        <v>2722</v>
      </c>
      <c r="FO1310" t="s">
        <v>2723</v>
      </c>
      <c r="FP1310" t="str">
        <f t="shared" si="205"/>
        <v>B</v>
      </c>
    </row>
    <row r="1311" spans="153:172" x14ac:dyDescent="0.35">
      <c r="EW1311" t="s">
        <v>2339</v>
      </c>
      <c r="EX1311" s="33" t="s">
        <v>2724</v>
      </c>
      <c r="EY1311" s="33" t="s">
        <v>883</v>
      </c>
      <c r="EZ1311" s="33" t="s">
        <v>884</v>
      </c>
      <c r="FA1311" s="33" t="s">
        <v>343</v>
      </c>
      <c r="FB1311" s="33" t="s">
        <v>344</v>
      </c>
      <c r="FC1311" s="33" t="s">
        <v>345</v>
      </c>
      <c r="FD1311" s="33" t="s">
        <v>346</v>
      </c>
      <c r="FE1311" s="33">
        <v>2025</v>
      </c>
      <c r="FF1311" s="33" t="s">
        <v>59</v>
      </c>
      <c r="FG1311" s="33" t="s">
        <v>477</v>
      </c>
      <c r="FH1311" s="33" t="s">
        <v>478</v>
      </c>
      <c r="FI1311" s="33" t="s">
        <v>479</v>
      </c>
      <c r="FJ1311" t="s">
        <v>59</v>
      </c>
      <c r="FM1311" s="32" t="s">
        <v>841</v>
      </c>
      <c r="FN1311" t="s">
        <v>842</v>
      </c>
      <c r="FO1311" t="s">
        <v>843</v>
      </c>
      <c r="FP1311" t="str">
        <f t="shared" si="205"/>
        <v>B</v>
      </c>
    </row>
    <row r="1312" spans="153:172" x14ac:dyDescent="0.35">
      <c r="EW1312" t="s">
        <v>2339</v>
      </c>
      <c r="EX1312" s="33" t="s">
        <v>2725</v>
      </c>
      <c r="EY1312" s="33" t="s">
        <v>885</v>
      </c>
      <c r="EZ1312" s="33" t="s">
        <v>886</v>
      </c>
      <c r="FA1312" s="33" t="s">
        <v>343</v>
      </c>
      <c r="FB1312" s="33" t="s">
        <v>344</v>
      </c>
      <c r="FC1312" s="33" t="s">
        <v>345</v>
      </c>
      <c r="FD1312" s="33" t="s">
        <v>346</v>
      </c>
      <c r="FE1312" s="33">
        <v>2025</v>
      </c>
      <c r="FF1312" s="33" t="s">
        <v>59</v>
      </c>
      <c r="FG1312" s="33" t="s">
        <v>470</v>
      </c>
      <c r="FH1312" s="33" t="s">
        <v>471</v>
      </c>
      <c r="FI1312" s="33" t="s">
        <v>467</v>
      </c>
      <c r="FJ1312" t="s">
        <v>59</v>
      </c>
      <c r="FM1312" s="32" t="s">
        <v>226</v>
      </c>
      <c r="FN1312" t="s">
        <v>227</v>
      </c>
      <c r="FO1312" t="s">
        <v>228</v>
      </c>
      <c r="FP1312" t="str">
        <f t="shared" si="205"/>
        <v>B</v>
      </c>
    </row>
    <row r="1313" spans="153:172" x14ac:dyDescent="0.35">
      <c r="EW1313" t="s">
        <v>2339</v>
      </c>
      <c r="EX1313" s="33" t="s">
        <v>2726</v>
      </c>
      <c r="EY1313" s="33" t="s">
        <v>890</v>
      </c>
      <c r="EZ1313" s="33" t="s">
        <v>891</v>
      </c>
      <c r="FA1313" s="33" t="s">
        <v>343</v>
      </c>
      <c r="FB1313" s="33" t="s">
        <v>344</v>
      </c>
      <c r="FC1313" s="33" t="s">
        <v>345</v>
      </c>
      <c r="FD1313" s="33" t="s">
        <v>346</v>
      </c>
      <c r="FE1313" s="33">
        <v>2025</v>
      </c>
      <c r="FF1313" s="33" t="s">
        <v>59</v>
      </c>
      <c r="FG1313" s="33" t="s">
        <v>470</v>
      </c>
      <c r="FH1313" s="33" t="s">
        <v>471</v>
      </c>
      <c r="FI1313" s="33" t="s">
        <v>467</v>
      </c>
      <c r="FJ1313" t="s">
        <v>59</v>
      </c>
      <c r="FM1313" s="32" t="s">
        <v>308</v>
      </c>
      <c r="FN1313" t="s">
        <v>309</v>
      </c>
      <c r="FO1313" t="s">
        <v>310</v>
      </c>
      <c r="FP1313" t="str">
        <f t="shared" si="205"/>
        <v>B</v>
      </c>
    </row>
    <row r="1314" spans="153:172" x14ac:dyDescent="0.35">
      <c r="EW1314" t="s">
        <v>2339</v>
      </c>
      <c r="EX1314" s="33" t="s">
        <v>2727</v>
      </c>
      <c r="EY1314" s="33" t="s">
        <v>892</v>
      </c>
      <c r="EZ1314" s="33" t="s">
        <v>893</v>
      </c>
      <c r="FA1314" s="33" t="s">
        <v>343</v>
      </c>
      <c r="FB1314" s="33" t="s">
        <v>344</v>
      </c>
      <c r="FC1314" s="33" t="s">
        <v>345</v>
      </c>
      <c r="FD1314" s="33" t="s">
        <v>346</v>
      </c>
      <c r="FE1314" s="33">
        <v>2025</v>
      </c>
      <c r="FF1314" s="33" t="s">
        <v>59</v>
      </c>
      <c r="FG1314" s="33" t="s">
        <v>470</v>
      </c>
      <c r="FH1314" s="33" t="s">
        <v>471</v>
      </c>
      <c r="FI1314" s="33" t="s">
        <v>467</v>
      </c>
      <c r="FJ1314" t="s">
        <v>59</v>
      </c>
      <c r="FM1314" s="32" t="s">
        <v>898</v>
      </c>
      <c r="FN1314" t="s">
        <v>899</v>
      </c>
      <c r="FO1314" t="s">
        <v>900</v>
      </c>
      <c r="FP1314" t="str">
        <f t="shared" si="205"/>
        <v>B</v>
      </c>
    </row>
    <row r="1315" spans="153:172" x14ac:dyDescent="0.35">
      <c r="EW1315" t="s">
        <v>2339</v>
      </c>
      <c r="EX1315" s="33" t="s">
        <v>2728</v>
      </c>
      <c r="EY1315" s="33" t="s">
        <v>894</v>
      </c>
      <c r="EZ1315" s="33" t="s">
        <v>895</v>
      </c>
      <c r="FA1315" s="33" t="s">
        <v>343</v>
      </c>
      <c r="FB1315" s="33" t="s">
        <v>344</v>
      </c>
      <c r="FC1315" s="33" t="s">
        <v>345</v>
      </c>
      <c r="FD1315" s="33" t="s">
        <v>346</v>
      </c>
      <c r="FE1315" s="33">
        <v>2025</v>
      </c>
      <c r="FF1315" s="33" t="s">
        <v>59</v>
      </c>
      <c r="FG1315" s="33" t="s">
        <v>477</v>
      </c>
      <c r="FH1315" s="33" t="s">
        <v>478</v>
      </c>
      <c r="FI1315" s="33" t="s">
        <v>479</v>
      </c>
      <c r="FJ1315" t="s">
        <v>59</v>
      </c>
      <c r="FM1315" s="32" t="s">
        <v>2729</v>
      </c>
      <c r="FN1315" t="s">
        <v>2729</v>
      </c>
      <c r="FO1315" t="s">
        <v>2730</v>
      </c>
      <c r="FP1315" t="str">
        <f t="shared" si="205"/>
        <v>B</v>
      </c>
    </row>
    <row r="1316" spans="153:172" x14ac:dyDescent="0.35">
      <c r="EW1316" t="s">
        <v>2339</v>
      </c>
      <c r="EX1316" s="33" t="s">
        <v>2731</v>
      </c>
      <c r="EY1316" s="33" t="s">
        <v>896</v>
      </c>
      <c r="EZ1316" s="33" t="s">
        <v>897</v>
      </c>
      <c r="FA1316" s="33" t="s">
        <v>343</v>
      </c>
      <c r="FB1316" s="33" t="s">
        <v>344</v>
      </c>
      <c r="FC1316" s="33" t="s">
        <v>345</v>
      </c>
      <c r="FD1316" s="33" t="s">
        <v>346</v>
      </c>
      <c r="FE1316" s="33">
        <v>2025</v>
      </c>
      <c r="FF1316" s="33" t="s">
        <v>59</v>
      </c>
      <c r="FG1316" s="33" t="s">
        <v>477</v>
      </c>
      <c r="FH1316" s="33" t="s">
        <v>478</v>
      </c>
      <c r="FI1316" s="33" t="s">
        <v>479</v>
      </c>
      <c r="FJ1316" t="s">
        <v>59</v>
      </c>
      <c r="FM1316" s="32" t="s">
        <v>565</v>
      </c>
      <c r="FN1316" t="s">
        <v>565</v>
      </c>
      <c r="FO1316" t="s">
        <v>565</v>
      </c>
      <c r="FP1316" t="str">
        <f t="shared" si="205"/>
        <v>B</v>
      </c>
    </row>
    <row r="1317" spans="153:172" x14ac:dyDescent="0.35">
      <c r="EW1317" t="s">
        <v>2339</v>
      </c>
      <c r="EX1317" s="33" t="s">
        <v>2732</v>
      </c>
      <c r="EY1317" s="33" t="s">
        <v>901</v>
      </c>
      <c r="EZ1317" s="33" t="s">
        <v>902</v>
      </c>
      <c r="FA1317" s="33" t="s">
        <v>343</v>
      </c>
      <c r="FB1317" s="33" t="s">
        <v>344</v>
      </c>
      <c r="FC1317" s="33" t="s">
        <v>345</v>
      </c>
      <c r="FD1317" s="33" t="s">
        <v>346</v>
      </c>
      <c r="FE1317" s="33">
        <v>2025</v>
      </c>
      <c r="FF1317" s="33" t="s">
        <v>59</v>
      </c>
      <c r="FG1317" s="33" t="s">
        <v>477</v>
      </c>
      <c r="FH1317" s="33" t="s">
        <v>478</v>
      </c>
      <c r="FI1317" s="33" t="s">
        <v>479</v>
      </c>
      <c r="FJ1317" t="s">
        <v>59</v>
      </c>
      <c r="FM1317" s="32" t="s">
        <v>1202</v>
      </c>
      <c r="FN1317" t="s">
        <v>1202</v>
      </c>
      <c r="FO1317" t="s">
        <v>1203</v>
      </c>
      <c r="FP1317" t="str">
        <f t="shared" si="205"/>
        <v>B</v>
      </c>
    </row>
    <row r="1318" spans="153:172" x14ac:dyDescent="0.35">
      <c r="EW1318" t="s">
        <v>2339</v>
      </c>
      <c r="EX1318" s="33" t="s">
        <v>2733</v>
      </c>
      <c r="EY1318" s="33" t="s">
        <v>903</v>
      </c>
      <c r="EZ1318" s="33" t="s">
        <v>904</v>
      </c>
      <c r="FA1318" s="33" t="s">
        <v>343</v>
      </c>
      <c r="FB1318" s="33" t="s">
        <v>344</v>
      </c>
      <c r="FC1318" s="33" t="s">
        <v>345</v>
      </c>
      <c r="FD1318" s="33" t="s">
        <v>346</v>
      </c>
      <c r="FE1318" s="33">
        <v>2025</v>
      </c>
      <c r="FF1318" s="33" t="s">
        <v>59</v>
      </c>
      <c r="FG1318" s="33" t="s">
        <v>477</v>
      </c>
      <c r="FH1318" s="33" t="s">
        <v>478</v>
      </c>
      <c r="FI1318" s="33" t="s">
        <v>479</v>
      </c>
      <c r="FJ1318" t="s">
        <v>59</v>
      </c>
      <c r="FM1318" s="32" t="s">
        <v>950</v>
      </c>
      <c r="FN1318" t="s">
        <v>951</v>
      </c>
      <c r="FO1318" t="s">
        <v>952</v>
      </c>
      <c r="FP1318" t="str">
        <f t="shared" si="205"/>
        <v>B</v>
      </c>
    </row>
    <row r="1319" spans="153:172" x14ac:dyDescent="0.35">
      <c r="EW1319" t="s">
        <v>2339</v>
      </c>
      <c r="EX1319" s="33" t="s">
        <v>2734</v>
      </c>
      <c r="EY1319" s="33" t="s">
        <v>905</v>
      </c>
      <c r="EZ1319" s="33" t="s">
        <v>906</v>
      </c>
      <c r="FA1319" s="33" t="s">
        <v>343</v>
      </c>
      <c r="FB1319" s="33" t="s">
        <v>344</v>
      </c>
      <c r="FC1319" s="33" t="s">
        <v>345</v>
      </c>
      <c r="FD1319" s="33" t="s">
        <v>346</v>
      </c>
      <c r="FE1319" s="33">
        <v>2025</v>
      </c>
      <c r="FF1319" s="33" t="s">
        <v>59</v>
      </c>
      <c r="FG1319" s="33" t="s">
        <v>470</v>
      </c>
      <c r="FH1319" s="33" t="s">
        <v>471</v>
      </c>
      <c r="FI1319" s="33" t="s">
        <v>467</v>
      </c>
      <c r="FJ1319" t="s">
        <v>59</v>
      </c>
      <c r="FM1319" s="32" t="s">
        <v>2718</v>
      </c>
      <c r="FN1319" t="s">
        <v>2718</v>
      </c>
      <c r="FO1319" t="s">
        <v>2719</v>
      </c>
      <c r="FP1319" t="str">
        <f t="shared" si="205"/>
        <v>B</v>
      </c>
    </row>
    <row r="1320" spans="153:172" x14ac:dyDescent="0.35">
      <c r="EW1320" t="s">
        <v>2339</v>
      </c>
      <c r="EX1320" s="33" t="s">
        <v>2735</v>
      </c>
      <c r="EY1320" s="33" t="s">
        <v>907</v>
      </c>
      <c r="EZ1320" s="33" t="s">
        <v>908</v>
      </c>
      <c r="FA1320" s="33" t="s">
        <v>343</v>
      </c>
      <c r="FB1320" s="33" t="s">
        <v>344</v>
      </c>
      <c r="FC1320" s="33" t="s">
        <v>345</v>
      </c>
      <c r="FD1320" s="33" t="s">
        <v>346</v>
      </c>
      <c r="FE1320" s="33">
        <v>2025</v>
      </c>
      <c r="FF1320" s="33" t="s">
        <v>59</v>
      </c>
      <c r="FG1320" s="33" t="s">
        <v>477</v>
      </c>
      <c r="FH1320" s="33" t="s">
        <v>478</v>
      </c>
      <c r="FI1320" s="33" t="s">
        <v>479</v>
      </c>
      <c r="FJ1320" t="s">
        <v>59</v>
      </c>
      <c r="FM1320" s="32" t="s">
        <v>510</v>
      </c>
      <c r="FN1320" t="s">
        <v>511</v>
      </c>
      <c r="FO1320" t="s">
        <v>512</v>
      </c>
      <c r="FP1320" t="str">
        <f t="shared" si="205"/>
        <v>B</v>
      </c>
    </row>
    <row r="1321" spans="153:172" x14ac:dyDescent="0.35">
      <c r="EW1321" t="s">
        <v>2339</v>
      </c>
      <c r="EX1321" s="33" t="s">
        <v>2736</v>
      </c>
      <c r="EY1321" s="33" t="s">
        <v>909</v>
      </c>
      <c r="EZ1321" s="33" t="s">
        <v>910</v>
      </c>
      <c r="FA1321" s="33" t="s">
        <v>343</v>
      </c>
      <c r="FB1321" s="33" t="s">
        <v>344</v>
      </c>
      <c r="FC1321" s="33" t="s">
        <v>345</v>
      </c>
      <c r="FD1321" s="33" t="s">
        <v>346</v>
      </c>
      <c r="FE1321" s="33">
        <v>2025</v>
      </c>
      <c r="FF1321" s="33" t="s">
        <v>59</v>
      </c>
      <c r="FG1321" s="33" t="s">
        <v>477</v>
      </c>
      <c r="FH1321" s="33" t="s">
        <v>478</v>
      </c>
      <c r="FI1321" s="33" t="s">
        <v>479</v>
      </c>
      <c r="FJ1321" t="s">
        <v>59</v>
      </c>
      <c r="FM1321" s="32" t="s">
        <v>817</v>
      </c>
      <c r="FN1321" t="s">
        <v>818</v>
      </c>
      <c r="FO1321" t="s">
        <v>819</v>
      </c>
      <c r="FP1321" t="str">
        <f t="shared" si="205"/>
        <v>B</v>
      </c>
    </row>
    <row r="1322" spans="153:172" x14ac:dyDescent="0.35">
      <c r="EW1322" t="s">
        <v>2339</v>
      </c>
      <c r="EX1322" s="33" t="s">
        <v>2737</v>
      </c>
      <c r="EY1322" s="33" t="s">
        <v>914</v>
      </c>
      <c r="EZ1322" s="33" t="s">
        <v>915</v>
      </c>
      <c r="FA1322" s="33" t="s">
        <v>343</v>
      </c>
      <c r="FB1322" s="33" t="s">
        <v>344</v>
      </c>
      <c r="FC1322" s="33" t="s">
        <v>345</v>
      </c>
      <c r="FD1322" s="33" t="s">
        <v>346</v>
      </c>
      <c r="FE1322" s="33">
        <v>2025</v>
      </c>
      <c r="FF1322" s="33" t="s">
        <v>59</v>
      </c>
      <c r="FG1322" s="33" t="s">
        <v>470</v>
      </c>
      <c r="FH1322" s="33" t="s">
        <v>471</v>
      </c>
      <c r="FI1322" s="33" t="s">
        <v>467</v>
      </c>
      <c r="FJ1322" t="s">
        <v>59</v>
      </c>
      <c r="FM1322" s="32" t="s">
        <v>375</v>
      </c>
      <c r="FN1322" t="s">
        <v>376</v>
      </c>
      <c r="FO1322" t="s">
        <v>377</v>
      </c>
      <c r="FP1322" t="str">
        <f t="shared" si="205"/>
        <v>B</v>
      </c>
    </row>
    <row r="1323" spans="153:172" x14ac:dyDescent="0.35">
      <c r="EW1323" t="s">
        <v>2339</v>
      </c>
      <c r="EX1323" s="33" t="s">
        <v>2738</v>
      </c>
      <c r="EY1323" s="33" t="s">
        <v>916</v>
      </c>
      <c r="EZ1323" s="33" t="s">
        <v>917</v>
      </c>
      <c r="FA1323" s="33" t="s">
        <v>343</v>
      </c>
      <c r="FB1323" s="33" t="s">
        <v>344</v>
      </c>
      <c r="FC1323" s="33" t="s">
        <v>345</v>
      </c>
      <c r="FD1323" s="33" t="s">
        <v>346</v>
      </c>
      <c r="FE1323" s="33">
        <v>2025</v>
      </c>
      <c r="FF1323" s="33" t="s">
        <v>59</v>
      </c>
      <c r="FG1323" s="33" t="s">
        <v>470</v>
      </c>
      <c r="FH1323" s="33" t="s">
        <v>471</v>
      </c>
      <c r="FI1323" s="33" t="s">
        <v>467</v>
      </c>
      <c r="FJ1323" t="s">
        <v>59</v>
      </c>
      <c r="FM1323" s="32" t="s">
        <v>2739</v>
      </c>
      <c r="FN1323" t="s">
        <v>2739</v>
      </c>
      <c r="FO1323" t="s">
        <v>2740</v>
      </c>
      <c r="FP1323" t="str">
        <f t="shared" si="205"/>
        <v>B</v>
      </c>
    </row>
    <row r="1324" spans="153:172" x14ac:dyDescent="0.35">
      <c r="EW1324" t="s">
        <v>2339</v>
      </c>
      <c r="EX1324" s="33" t="s">
        <v>2741</v>
      </c>
      <c r="EY1324" s="33" t="s">
        <v>918</v>
      </c>
      <c r="EZ1324" s="33" t="s">
        <v>919</v>
      </c>
      <c r="FA1324" s="33" t="s">
        <v>343</v>
      </c>
      <c r="FB1324" s="33" t="s">
        <v>344</v>
      </c>
      <c r="FC1324" s="33" t="s">
        <v>345</v>
      </c>
      <c r="FD1324" s="33" t="s">
        <v>346</v>
      </c>
      <c r="FE1324" s="33">
        <v>2025</v>
      </c>
      <c r="FF1324" s="33" t="s">
        <v>59</v>
      </c>
      <c r="FG1324" s="33" t="s">
        <v>470</v>
      </c>
      <c r="FH1324" s="33" t="s">
        <v>471</v>
      </c>
      <c r="FI1324" s="33" t="s">
        <v>467</v>
      </c>
      <c r="FJ1324" t="s">
        <v>59</v>
      </c>
      <c r="FM1324" s="32" t="s">
        <v>2722</v>
      </c>
      <c r="FN1324" t="s">
        <v>2722</v>
      </c>
      <c r="FO1324" t="s">
        <v>2723</v>
      </c>
      <c r="FP1324" t="str">
        <f t="shared" si="205"/>
        <v>B</v>
      </c>
    </row>
    <row r="1325" spans="153:172" x14ac:dyDescent="0.35">
      <c r="EW1325" t="s">
        <v>2339</v>
      </c>
      <c r="EX1325" s="33" t="s">
        <v>2742</v>
      </c>
      <c r="EY1325" s="33" t="s">
        <v>920</v>
      </c>
      <c r="EZ1325" s="33" t="s">
        <v>921</v>
      </c>
      <c r="FA1325" s="33" t="s">
        <v>343</v>
      </c>
      <c r="FB1325" s="33" t="s">
        <v>344</v>
      </c>
      <c r="FC1325" s="33" t="s">
        <v>345</v>
      </c>
      <c r="FD1325" s="33" t="s">
        <v>346</v>
      </c>
      <c r="FE1325" s="33">
        <v>2025</v>
      </c>
      <c r="FF1325" s="33" t="s">
        <v>59</v>
      </c>
      <c r="FG1325" s="33" t="s">
        <v>470</v>
      </c>
      <c r="FH1325" s="33" t="s">
        <v>471</v>
      </c>
      <c r="FI1325" s="33" t="s">
        <v>467</v>
      </c>
      <c r="FJ1325" t="s">
        <v>59</v>
      </c>
      <c r="FM1325" s="32" t="s">
        <v>66</v>
      </c>
      <c r="FN1325" t="s">
        <v>67</v>
      </c>
      <c r="FO1325" t="s">
        <v>68</v>
      </c>
      <c r="FP1325" t="str">
        <f t="shared" si="205"/>
        <v>B</v>
      </c>
    </row>
    <row r="1326" spans="153:172" x14ac:dyDescent="0.35">
      <c r="EW1326" t="s">
        <v>2339</v>
      </c>
      <c r="EX1326" s="33" t="s">
        <v>2743</v>
      </c>
      <c r="EY1326" s="33" t="s">
        <v>925</v>
      </c>
      <c r="EZ1326" s="33" t="s">
        <v>926</v>
      </c>
      <c r="FA1326" s="33" t="s">
        <v>343</v>
      </c>
      <c r="FB1326" s="33" t="s">
        <v>344</v>
      </c>
      <c r="FC1326" s="33" t="s">
        <v>345</v>
      </c>
      <c r="FD1326" s="33" t="s">
        <v>346</v>
      </c>
      <c r="FE1326" s="33">
        <v>2025</v>
      </c>
      <c r="FF1326" s="33" t="s">
        <v>59</v>
      </c>
      <c r="FG1326" s="33" t="s">
        <v>470</v>
      </c>
      <c r="FH1326" s="33" t="s">
        <v>471</v>
      </c>
      <c r="FI1326" s="33" t="s">
        <v>467</v>
      </c>
      <c r="FJ1326" t="s">
        <v>59</v>
      </c>
      <c r="FM1326" s="32" t="s">
        <v>2744</v>
      </c>
      <c r="FN1326" t="s">
        <v>2744</v>
      </c>
      <c r="FO1326" t="s">
        <v>2745</v>
      </c>
      <c r="FP1326" t="str">
        <f t="shared" si="205"/>
        <v>B</v>
      </c>
    </row>
    <row r="1327" spans="153:172" x14ac:dyDescent="0.35">
      <c r="EW1327" t="s">
        <v>2339</v>
      </c>
      <c r="EX1327" s="33" t="s">
        <v>2746</v>
      </c>
      <c r="EY1327" s="33" t="s">
        <v>927</v>
      </c>
      <c r="EZ1327" s="33" t="s">
        <v>928</v>
      </c>
      <c r="FA1327" s="33" t="s">
        <v>343</v>
      </c>
      <c r="FB1327" s="33" t="s">
        <v>344</v>
      </c>
      <c r="FC1327" s="33" t="s">
        <v>345</v>
      </c>
      <c r="FD1327" s="33" t="s">
        <v>346</v>
      </c>
      <c r="FE1327" s="33">
        <v>2025</v>
      </c>
      <c r="FF1327" s="33" t="s">
        <v>59</v>
      </c>
      <c r="FG1327" s="33" t="s">
        <v>477</v>
      </c>
      <c r="FH1327" s="33" t="s">
        <v>478</v>
      </c>
      <c r="FI1327" s="33" t="s">
        <v>479</v>
      </c>
      <c r="FJ1327" t="s">
        <v>59</v>
      </c>
      <c r="FM1327" s="32" t="s">
        <v>436</v>
      </c>
      <c r="FN1327" t="s">
        <v>437</v>
      </c>
      <c r="FO1327" t="s">
        <v>438</v>
      </c>
      <c r="FP1327" t="str">
        <f t="shared" si="205"/>
        <v>B</v>
      </c>
    </row>
    <row r="1328" spans="153:172" x14ac:dyDescent="0.35">
      <c r="EW1328" t="s">
        <v>2339</v>
      </c>
      <c r="EX1328" s="33" t="s">
        <v>2747</v>
      </c>
      <c r="EY1328" s="33" t="s">
        <v>929</v>
      </c>
      <c r="EZ1328" s="33" t="s">
        <v>930</v>
      </c>
      <c r="FA1328" s="33" t="s">
        <v>343</v>
      </c>
      <c r="FB1328" s="33" t="s">
        <v>344</v>
      </c>
      <c r="FC1328" s="33" t="s">
        <v>345</v>
      </c>
      <c r="FD1328" s="33" t="s">
        <v>346</v>
      </c>
      <c r="FE1328" s="33">
        <v>2025</v>
      </c>
      <c r="FF1328" s="33" t="s">
        <v>59</v>
      </c>
      <c r="FG1328" s="33" t="s">
        <v>477</v>
      </c>
      <c r="FH1328" s="33" t="s">
        <v>478</v>
      </c>
      <c r="FI1328" s="33" t="s">
        <v>479</v>
      </c>
      <c r="FJ1328" t="s">
        <v>59</v>
      </c>
      <c r="FM1328" s="32" t="s">
        <v>2672</v>
      </c>
      <c r="FN1328" t="s">
        <v>2672</v>
      </c>
      <c r="FO1328" t="s">
        <v>2673</v>
      </c>
      <c r="FP1328" t="str">
        <f t="shared" si="205"/>
        <v>B</v>
      </c>
    </row>
    <row r="1329" spans="153:172" x14ac:dyDescent="0.35">
      <c r="EW1329" t="s">
        <v>2339</v>
      </c>
      <c r="EX1329" s="33" t="s">
        <v>2748</v>
      </c>
      <c r="EY1329" s="33" t="s">
        <v>931</v>
      </c>
      <c r="EZ1329" s="33" t="s">
        <v>932</v>
      </c>
      <c r="FA1329" s="33" t="s">
        <v>343</v>
      </c>
      <c r="FB1329" s="33" t="s">
        <v>344</v>
      </c>
      <c r="FC1329" s="33" t="s">
        <v>345</v>
      </c>
      <c r="FD1329" s="33" t="s">
        <v>346</v>
      </c>
      <c r="FE1329" s="33">
        <v>2025</v>
      </c>
      <c r="FF1329" s="33" t="s">
        <v>59</v>
      </c>
      <c r="FG1329" s="33" t="s">
        <v>477</v>
      </c>
      <c r="FH1329" s="33" t="s">
        <v>478</v>
      </c>
      <c r="FI1329" s="33" t="s">
        <v>479</v>
      </c>
      <c r="FJ1329" t="s">
        <v>59</v>
      </c>
      <c r="FM1329" s="32" t="s">
        <v>2749</v>
      </c>
      <c r="FN1329" t="s">
        <v>2749</v>
      </c>
      <c r="FO1329" t="s">
        <v>2750</v>
      </c>
      <c r="FP1329" t="str">
        <f t="shared" si="205"/>
        <v>B</v>
      </c>
    </row>
    <row r="1330" spans="153:172" x14ac:dyDescent="0.35">
      <c r="EW1330" t="s">
        <v>2339</v>
      </c>
      <c r="EX1330" s="33" t="s">
        <v>2751</v>
      </c>
      <c r="EY1330" s="33" t="s">
        <v>933</v>
      </c>
      <c r="EZ1330" s="33" t="s">
        <v>934</v>
      </c>
      <c r="FA1330" s="33" t="s">
        <v>343</v>
      </c>
      <c r="FB1330" s="33" t="s">
        <v>344</v>
      </c>
      <c r="FC1330" s="33" t="s">
        <v>345</v>
      </c>
      <c r="FD1330" s="33" t="s">
        <v>346</v>
      </c>
      <c r="FE1330" s="33">
        <v>2025</v>
      </c>
      <c r="FF1330" s="33" t="s">
        <v>59</v>
      </c>
      <c r="FG1330" s="33" t="s">
        <v>470</v>
      </c>
      <c r="FH1330" s="33" t="s">
        <v>471</v>
      </c>
      <c r="FI1330" s="33" t="s">
        <v>467</v>
      </c>
      <c r="FJ1330" t="s">
        <v>59</v>
      </c>
      <c r="FM1330" s="32" t="s">
        <v>1951</v>
      </c>
      <c r="FN1330" t="s">
        <v>1951</v>
      </c>
      <c r="FO1330" t="s">
        <v>1952</v>
      </c>
      <c r="FP1330" t="str">
        <f t="shared" si="205"/>
        <v>C</v>
      </c>
    </row>
    <row r="1331" spans="153:172" x14ac:dyDescent="0.35">
      <c r="EW1331" t="s">
        <v>2339</v>
      </c>
      <c r="EX1331" s="33" t="s">
        <v>2752</v>
      </c>
      <c r="EY1331" s="33" t="s">
        <v>935</v>
      </c>
      <c r="EZ1331" s="33" t="s">
        <v>936</v>
      </c>
      <c r="FA1331" s="33" t="s">
        <v>343</v>
      </c>
      <c r="FB1331" s="33" t="s">
        <v>344</v>
      </c>
      <c r="FC1331" s="33" t="s">
        <v>345</v>
      </c>
      <c r="FD1331" s="33" t="s">
        <v>346</v>
      </c>
      <c r="FE1331" s="33">
        <v>2025</v>
      </c>
      <c r="FF1331" s="33" t="s">
        <v>59</v>
      </c>
      <c r="FG1331" s="33" t="s">
        <v>470</v>
      </c>
      <c r="FH1331" s="33" t="s">
        <v>471</v>
      </c>
      <c r="FI1331" s="33" t="s">
        <v>467</v>
      </c>
      <c r="FJ1331" t="s">
        <v>59</v>
      </c>
      <c r="FM1331" s="32" t="s">
        <v>1264</v>
      </c>
      <c r="FN1331" t="s">
        <v>1264</v>
      </c>
      <c r="FO1331" t="s">
        <v>1265</v>
      </c>
      <c r="FP1331" t="str">
        <f t="shared" si="205"/>
        <v>C</v>
      </c>
    </row>
    <row r="1332" spans="153:172" x14ac:dyDescent="0.35">
      <c r="EW1332" t="s">
        <v>2339</v>
      </c>
      <c r="EX1332" s="33" t="s">
        <v>2753</v>
      </c>
      <c r="EY1332" s="33" t="s">
        <v>937</v>
      </c>
      <c r="EZ1332" s="33" t="s">
        <v>938</v>
      </c>
      <c r="FA1332" s="33" t="s">
        <v>343</v>
      </c>
      <c r="FB1332" s="33" t="s">
        <v>344</v>
      </c>
      <c r="FC1332" s="33" t="s">
        <v>345</v>
      </c>
      <c r="FD1332" s="33" t="s">
        <v>346</v>
      </c>
      <c r="FE1332" s="33">
        <v>2025</v>
      </c>
      <c r="FF1332" s="33" t="s">
        <v>59</v>
      </c>
      <c r="FG1332" s="33" t="s">
        <v>470</v>
      </c>
      <c r="FH1332" s="33" t="s">
        <v>471</v>
      </c>
      <c r="FI1332" s="33" t="s">
        <v>467</v>
      </c>
      <c r="FJ1332" t="s">
        <v>59</v>
      </c>
      <c r="FM1332" s="32" t="s">
        <v>1260</v>
      </c>
      <c r="FN1332" t="s">
        <v>1260</v>
      </c>
      <c r="FO1332" t="s">
        <v>1261</v>
      </c>
      <c r="FP1332" t="str">
        <f t="shared" si="205"/>
        <v>C</v>
      </c>
    </row>
    <row r="1333" spans="153:172" x14ac:dyDescent="0.35">
      <c r="EW1333" t="s">
        <v>2339</v>
      </c>
      <c r="EX1333" s="33" t="s">
        <v>2754</v>
      </c>
      <c r="EY1333" s="33" t="s">
        <v>939</v>
      </c>
      <c r="EZ1333" s="33" t="s">
        <v>940</v>
      </c>
      <c r="FA1333" s="33" t="s">
        <v>343</v>
      </c>
      <c r="FB1333" s="33" t="s">
        <v>344</v>
      </c>
      <c r="FC1333" s="33" t="s">
        <v>345</v>
      </c>
      <c r="FD1333" s="33" t="s">
        <v>346</v>
      </c>
      <c r="FE1333" s="33">
        <v>2025</v>
      </c>
      <c r="FF1333" s="33" t="s">
        <v>59</v>
      </c>
      <c r="FG1333" s="33" t="s">
        <v>470</v>
      </c>
      <c r="FH1333" s="33" t="s">
        <v>471</v>
      </c>
      <c r="FI1333" s="33" t="s">
        <v>467</v>
      </c>
      <c r="FJ1333" t="s">
        <v>59</v>
      </c>
      <c r="FM1333" s="32" t="s">
        <v>563</v>
      </c>
      <c r="FN1333" t="s">
        <v>564</v>
      </c>
      <c r="FO1333" t="s">
        <v>565</v>
      </c>
      <c r="FP1333" t="str">
        <f t="shared" si="205"/>
        <v>B</v>
      </c>
    </row>
    <row r="1334" spans="153:172" x14ac:dyDescent="0.35">
      <c r="EW1334" t="s">
        <v>2339</v>
      </c>
      <c r="EX1334" s="33" t="s">
        <v>2755</v>
      </c>
      <c r="EY1334" s="33" t="s">
        <v>944</v>
      </c>
      <c r="EZ1334" s="33" t="s">
        <v>945</v>
      </c>
      <c r="FA1334" s="33" t="s">
        <v>343</v>
      </c>
      <c r="FB1334" s="33" t="s">
        <v>344</v>
      </c>
      <c r="FC1334" s="33" t="s">
        <v>345</v>
      </c>
      <c r="FD1334" s="33" t="s">
        <v>346</v>
      </c>
      <c r="FE1334" s="33">
        <v>2025</v>
      </c>
      <c r="FF1334" s="33" t="s">
        <v>59</v>
      </c>
      <c r="FG1334" s="33" t="s">
        <v>470</v>
      </c>
      <c r="FH1334" s="33" t="s">
        <v>471</v>
      </c>
      <c r="FI1334" s="33" t="s">
        <v>467</v>
      </c>
      <c r="FJ1334" t="s">
        <v>59</v>
      </c>
      <c r="FM1334" s="32" t="s">
        <v>2756</v>
      </c>
      <c r="FN1334" t="s">
        <v>2756</v>
      </c>
      <c r="FO1334" t="s">
        <v>2757</v>
      </c>
      <c r="FP1334" t="str">
        <f t="shared" si="205"/>
        <v>B</v>
      </c>
    </row>
    <row r="1335" spans="153:172" x14ac:dyDescent="0.35">
      <c r="EW1335" t="s">
        <v>2339</v>
      </c>
      <c r="EX1335" s="33" t="s">
        <v>2758</v>
      </c>
      <c r="EY1335" s="33" t="s">
        <v>946</v>
      </c>
      <c r="EZ1335" s="33" t="s">
        <v>947</v>
      </c>
      <c r="FA1335" s="33" t="s">
        <v>343</v>
      </c>
      <c r="FB1335" s="33" t="s">
        <v>344</v>
      </c>
      <c r="FC1335" s="33" t="s">
        <v>345</v>
      </c>
      <c r="FD1335" s="33" t="s">
        <v>346</v>
      </c>
      <c r="FE1335" s="33">
        <v>2025</v>
      </c>
      <c r="FF1335" s="33" t="s">
        <v>59</v>
      </c>
      <c r="FG1335" s="33" t="s">
        <v>477</v>
      </c>
      <c r="FH1335" s="33" t="s">
        <v>478</v>
      </c>
      <c r="FI1335" s="33" t="s">
        <v>479</v>
      </c>
      <c r="FJ1335" t="s">
        <v>59</v>
      </c>
      <c r="FM1335" s="32" t="s">
        <v>2759</v>
      </c>
      <c r="FN1335" t="s">
        <v>2759</v>
      </c>
      <c r="FO1335" t="s">
        <v>2760</v>
      </c>
      <c r="FP1335" t="str">
        <f t="shared" si="205"/>
        <v>B</v>
      </c>
    </row>
    <row r="1336" spans="153:172" x14ac:dyDescent="0.35">
      <c r="EW1336" t="s">
        <v>2339</v>
      </c>
      <c r="EX1336" s="33" t="s">
        <v>2761</v>
      </c>
      <c r="EY1336" s="33" t="s">
        <v>948</v>
      </c>
      <c r="EZ1336" s="33" t="s">
        <v>949</v>
      </c>
      <c r="FA1336" s="33" t="s">
        <v>343</v>
      </c>
      <c r="FB1336" s="33" t="s">
        <v>344</v>
      </c>
      <c r="FC1336" s="33" t="s">
        <v>345</v>
      </c>
      <c r="FD1336" s="33" t="s">
        <v>346</v>
      </c>
      <c r="FE1336" s="33">
        <v>2025</v>
      </c>
      <c r="FF1336" s="33" t="s">
        <v>59</v>
      </c>
      <c r="FG1336" s="33" t="s">
        <v>470</v>
      </c>
      <c r="FH1336" s="33" t="s">
        <v>471</v>
      </c>
      <c r="FI1336" s="33" t="s">
        <v>467</v>
      </c>
      <c r="FJ1336" t="s">
        <v>59</v>
      </c>
      <c r="FM1336" s="32" t="s">
        <v>206</v>
      </c>
      <c r="FN1336" t="s">
        <v>207</v>
      </c>
      <c r="FO1336" t="s">
        <v>208</v>
      </c>
      <c r="FP1336" t="str">
        <f t="shared" si="205"/>
        <v>B</v>
      </c>
    </row>
    <row r="1337" spans="153:172" x14ac:dyDescent="0.35">
      <c r="EW1337" t="s">
        <v>2339</v>
      </c>
      <c r="EX1337" s="33" t="s">
        <v>2762</v>
      </c>
      <c r="EY1337" s="33" t="s">
        <v>953</v>
      </c>
      <c r="EZ1337" s="33" t="s">
        <v>954</v>
      </c>
      <c r="FA1337" s="33" t="s">
        <v>343</v>
      </c>
      <c r="FB1337" s="33" t="s">
        <v>344</v>
      </c>
      <c r="FC1337" s="33" t="s">
        <v>345</v>
      </c>
      <c r="FD1337" s="33" t="s">
        <v>346</v>
      </c>
      <c r="FE1337" s="33">
        <v>2025</v>
      </c>
      <c r="FF1337" s="33" t="s">
        <v>59</v>
      </c>
      <c r="FG1337" s="33" t="s">
        <v>470</v>
      </c>
      <c r="FH1337" s="33" t="s">
        <v>471</v>
      </c>
      <c r="FI1337" s="33" t="s">
        <v>467</v>
      </c>
      <c r="FJ1337" t="s">
        <v>59</v>
      </c>
      <c r="FM1337" s="32" t="s">
        <v>502</v>
      </c>
      <c r="FN1337" t="s">
        <v>503</v>
      </c>
      <c r="FO1337" t="s">
        <v>504</v>
      </c>
      <c r="FP1337" t="str">
        <f t="shared" si="205"/>
        <v>B</v>
      </c>
    </row>
    <row r="1338" spans="153:172" x14ac:dyDescent="0.35">
      <c r="EW1338" t="s">
        <v>2339</v>
      </c>
      <c r="EX1338" s="33" t="s">
        <v>2763</v>
      </c>
      <c r="EY1338" s="33" t="s">
        <v>955</v>
      </c>
      <c r="EZ1338" s="33" t="s">
        <v>956</v>
      </c>
      <c r="FA1338" s="33" t="s">
        <v>343</v>
      </c>
      <c r="FB1338" s="33" t="s">
        <v>344</v>
      </c>
      <c r="FC1338" s="33" t="s">
        <v>345</v>
      </c>
      <c r="FD1338" s="33" t="s">
        <v>346</v>
      </c>
      <c r="FE1338" s="33">
        <v>2025</v>
      </c>
      <c r="FF1338" s="33" t="s">
        <v>59</v>
      </c>
      <c r="FG1338" s="33" t="s">
        <v>477</v>
      </c>
      <c r="FH1338" s="33" t="s">
        <v>478</v>
      </c>
      <c r="FI1338" s="33" t="s">
        <v>479</v>
      </c>
      <c r="FJ1338" t="s">
        <v>59</v>
      </c>
      <c r="FM1338" s="32" t="s">
        <v>2388</v>
      </c>
      <c r="FN1338" t="s">
        <v>2388</v>
      </c>
      <c r="FO1338" t="s">
        <v>2389</v>
      </c>
      <c r="FP1338" t="str">
        <f t="shared" si="205"/>
        <v>C</v>
      </c>
    </row>
    <row r="1339" spans="153:172" x14ac:dyDescent="0.35">
      <c r="EW1339" t="s">
        <v>2339</v>
      </c>
      <c r="EX1339" s="33" t="s">
        <v>2764</v>
      </c>
      <c r="EY1339" s="33" t="s">
        <v>957</v>
      </c>
      <c r="EZ1339" s="33" t="s">
        <v>958</v>
      </c>
      <c r="FA1339" s="33" t="s">
        <v>343</v>
      </c>
      <c r="FB1339" s="33" t="s">
        <v>344</v>
      </c>
      <c r="FC1339" s="33" t="s">
        <v>345</v>
      </c>
      <c r="FD1339" s="33" t="s">
        <v>346</v>
      </c>
      <c r="FE1339" s="33">
        <v>2025</v>
      </c>
      <c r="FF1339" s="33" t="s">
        <v>59</v>
      </c>
      <c r="FG1339" s="33" t="s">
        <v>470</v>
      </c>
      <c r="FH1339" s="33" t="s">
        <v>471</v>
      </c>
      <c r="FI1339" s="33" t="s">
        <v>467</v>
      </c>
      <c r="FJ1339" t="s">
        <v>59</v>
      </c>
      <c r="FM1339" s="32" t="s">
        <v>528</v>
      </c>
      <c r="FN1339" t="s">
        <v>529</v>
      </c>
      <c r="FO1339" t="s">
        <v>530</v>
      </c>
      <c r="FP1339" t="str">
        <f t="shared" si="205"/>
        <v>B</v>
      </c>
    </row>
    <row r="1340" spans="153:172" x14ac:dyDescent="0.35">
      <c r="EW1340" t="s">
        <v>2339</v>
      </c>
      <c r="EX1340" s="33" t="s">
        <v>2765</v>
      </c>
      <c r="EY1340" s="33" t="s">
        <v>959</v>
      </c>
      <c r="EZ1340" s="33" t="s">
        <v>960</v>
      </c>
      <c r="FA1340" s="33" t="s">
        <v>343</v>
      </c>
      <c r="FB1340" s="33" t="s">
        <v>344</v>
      </c>
      <c r="FC1340" s="33" t="s">
        <v>345</v>
      </c>
      <c r="FD1340" s="33" t="s">
        <v>346</v>
      </c>
      <c r="FE1340" s="33">
        <v>2025</v>
      </c>
      <c r="FF1340" s="33" t="s">
        <v>59</v>
      </c>
      <c r="FG1340" s="33" t="s">
        <v>470</v>
      </c>
      <c r="FH1340" s="33" t="s">
        <v>471</v>
      </c>
      <c r="FI1340" s="33" t="s">
        <v>467</v>
      </c>
      <c r="FJ1340" t="s">
        <v>59</v>
      </c>
      <c r="FM1340" s="32" t="s">
        <v>2766</v>
      </c>
      <c r="FN1340" t="s">
        <v>2766</v>
      </c>
      <c r="FO1340" t="s">
        <v>2767</v>
      </c>
      <c r="FP1340" t="str">
        <f t="shared" si="205"/>
        <v>B</v>
      </c>
    </row>
    <row r="1341" spans="153:172" x14ac:dyDescent="0.35">
      <c r="EW1341" t="s">
        <v>2339</v>
      </c>
      <c r="EX1341" s="33" t="s">
        <v>2768</v>
      </c>
      <c r="EY1341" s="33" t="s">
        <v>964</v>
      </c>
      <c r="EZ1341" s="33" t="s">
        <v>965</v>
      </c>
      <c r="FA1341" s="33" t="s">
        <v>343</v>
      </c>
      <c r="FB1341" s="33" t="s">
        <v>344</v>
      </c>
      <c r="FC1341" s="33" t="s">
        <v>345</v>
      </c>
      <c r="FD1341" s="33" t="s">
        <v>346</v>
      </c>
      <c r="FE1341" s="33">
        <v>2025</v>
      </c>
      <c r="FF1341" s="33" t="s">
        <v>59</v>
      </c>
      <c r="FG1341" s="33" t="s">
        <v>477</v>
      </c>
      <c r="FH1341" s="33" t="s">
        <v>478</v>
      </c>
      <c r="FI1341" s="33" t="s">
        <v>479</v>
      </c>
      <c r="FJ1341" t="s">
        <v>59</v>
      </c>
      <c r="FM1341" s="32" t="s">
        <v>817</v>
      </c>
      <c r="FN1341" t="s">
        <v>818</v>
      </c>
      <c r="FO1341" t="s">
        <v>819</v>
      </c>
      <c r="FP1341" t="str">
        <f t="shared" si="205"/>
        <v>B</v>
      </c>
    </row>
    <row r="1342" spans="153:172" x14ac:dyDescent="0.35">
      <c r="EW1342" t="s">
        <v>2339</v>
      </c>
      <c r="EX1342" s="33" t="s">
        <v>2769</v>
      </c>
      <c r="EY1342" s="33" t="s">
        <v>966</v>
      </c>
      <c r="EZ1342" s="33" t="s">
        <v>967</v>
      </c>
      <c r="FA1342" s="33" t="s">
        <v>343</v>
      </c>
      <c r="FB1342" s="33" t="s">
        <v>344</v>
      </c>
      <c r="FC1342" s="33" t="s">
        <v>345</v>
      </c>
      <c r="FD1342" s="33" t="s">
        <v>346</v>
      </c>
      <c r="FE1342" s="33">
        <v>2025</v>
      </c>
      <c r="FF1342" s="33" t="s">
        <v>59</v>
      </c>
      <c r="FG1342" s="33" t="s">
        <v>470</v>
      </c>
      <c r="FH1342" s="33" t="s">
        <v>471</v>
      </c>
      <c r="FI1342" s="33" t="s">
        <v>467</v>
      </c>
      <c r="FJ1342" t="s">
        <v>59</v>
      </c>
      <c r="FM1342" s="32" t="s">
        <v>652</v>
      </c>
      <c r="FN1342" t="s">
        <v>653</v>
      </c>
      <c r="FO1342" t="s">
        <v>654</v>
      </c>
      <c r="FP1342" t="str">
        <f t="shared" si="205"/>
        <v>B</v>
      </c>
    </row>
    <row r="1343" spans="153:172" x14ac:dyDescent="0.35">
      <c r="EW1343" t="s">
        <v>2339</v>
      </c>
      <c r="EX1343" s="33" t="s">
        <v>2770</v>
      </c>
      <c r="EY1343" s="33" t="s">
        <v>968</v>
      </c>
      <c r="EZ1343" s="33" t="s">
        <v>969</v>
      </c>
      <c r="FA1343" s="33" t="s">
        <v>343</v>
      </c>
      <c r="FB1343" s="33" t="s">
        <v>344</v>
      </c>
      <c r="FC1343" s="33" t="s">
        <v>345</v>
      </c>
      <c r="FD1343" s="33" t="s">
        <v>346</v>
      </c>
      <c r="FE1343" s="33">
        <v>2025</v>
      </c>
      <c r="FF1343" s="33" t="s">
        <v>59</v>
      </c>
      <c r="FG1343" s="33" t="s">
        <v>470</v>
      </c>
      <c r="FH1343" s="33" t="s">
        <v>471</v>
      </c>
      <c r="FI1343" s="33" t="s">
        <v>467</v>
      </c>
      <c r="FJ1343" t="s">
        <v>59</v>
      </c>
      <c r="FM1343" s="32" t="s">
        <v>375</v>
      </c>
      <c r="FN1343" t="s">
        <v>376</v>
      </c>
      <c r="FO1343" t="s">
        <v>377</v>
      </c>
      <c r="FP1343" t="str">
        <f t="shared" si="205"/>
        <v>B</v>
      </c>
    </row>
    <row r="1344" spans="153:172" x14ac:dyDescent="0.35">
      <c r="EW1344" t="s">
        <v>2339</v>
      </c>
      <c r="EX1344" s="33" t="s">
        <v>2771</v>
      </c>
      <c r="EY1344" s="33" t="s">
        <v>970</v>
      </c>
      <c r="EZ1344" s="33" t="s">
        <v>971</v>
      </c>
      <c r="FA1344" s="33" t="s">
        <v>343</v>
      </c>
      <c r="FB1344" s="33" t="s">
        <v>344</v>
      </c>
      <c r="FC1344" s="33" t="s">
        <v>345</v>
      </c>
      <c r="FD1344" s="33" t="s">
        <v>346</v>
      </c>
      <c r="FE1344" s="33">
        <v>2025</v>
      </c>
      <c r="FF1344" s="33" t="s">
        <v>59</v>
      </c>
      <c r="FG1344" s="33" t="s">
        <v>477</v>
      </c>
      <c r="FH1344" s="33" t="s">
        <v>478</v>
      </c>
      <c r="FI1344" s="33" t="s">
        <v>479</v>
      </c>
      <c r="FJ1344" t="s">
        <v>59</v>
      </c>
      <c r="FM1344" s="32" t="s">
        <v>2739</v>
      </c>
      <c r="FN1344" t="s">
        <v>2739</v>
      </c>
      <c r="FO1344" t="s">
        <v>2740</v>
      </c>
      <c r="FP1344" t="str">
        <f t="shared" si="205"/>
        <v>B</v>
      </c>
    </row>
    <row r="1345" spans="153:172" x14ac:dyDescent="0.35">
      <c r="EW1345" t="s">
        <v>2339</v>
      </c>
      <c r="EX1345" s="33" t="s">
        <v>2772</v>
      </c>
      <c r="EY1345" s="33" t="s">
        <v>972</v>
      </c>
      <c r="EZ1345" s="33" t="s">
        <v>973</v>
      </c>
      <c r="FA1345" s="33" t="s">
        <v>343</v>
      </c>
      <c r="FB1345" s="33" t="s">
        <v>344</v>
      </c>
      <c r="FC1345" s="33" t="s">
        <v>345</v>
      </c>
      <c r="FD1345" s="33" t="s">
        <v>346</v>
      </c>
      <c r="FE1345" s="33">
        <v>2025</v>
      </c>
      <c r="FF1345" s="33" t="s">
        <v>59</v>
      </c>
      <c r="FG1345" s="33" t="s">
        <v>470</v>
      </c>
      <c r="FH1345" s="33" t="s">
        <v>471</v>
      </c>
      <c r="FI1345" s="33" t="s">
        <v>467</v>
      </c>
      <c r="FJ1345" t="s">
        <v>59</v>
      </c>
      <c r="FM1345" s="32" t="s">
        <v>66</v>
      </c>
      <c r="FN1345" t="s">
        <v>67</v>
      </c>
      <c r="FO1345" t="s">
        <v>68</v>
      </c>
      <c r="FP1345" t="str">
        <f t="shared" ref="FP1345:FP1408" si="206">VLOOKUP(FO1345,EX:FF,9,0)</f>
        <v>B</v>
      </c>
    </row>
    <row r="1346" spans="153:172" x14ac:dyDescent="0.35">
      <c r="EW1346" t="s">
        <v>2339</v>
      </c>
      <c r="EX1346" s="33" t="s">
        <v>2773</v>
      </c>
      <c r="EY1346" s="33" t="s">
        <v>974</v>
      </c>
      <c r="EZ1346" s="33" t="s">
        <v>975</v>
      </c>
      <c r="FA1346" s="33" t="s">
        <v>343</v>
      </c>
      <c r="FB1346" s="33" t="s">
        <v>344</v>
      </c>
      <c r="FC1346" s="33" t="s">
        <v>345</v>
      </c>
      <c r="FD1346" s="33" t="s">
        <v>346</v>
      </c>
      <c r="FE1346" s="33">
        <v>2025</v>
      </c>
      <c r="FF1346" s="33" t="s">
        <v>59</v>
      </c>
      <c r="FG1346" s="33" t="s">
        <v>477</v>
      </c>
      <c r="FH1346" s="33" t="s">
        <v>478</v>
      </c>
      <c r="FI1346" s="33" t="s">
        <v>479</v>
      </c>
      <c r="FJ1346" t="s">
        <v>59</v>
      </c>
      <c r="FM1346" s="32" t="s">
        <v>2508</v>
      </c>
      <c r="FN1346" t="s">
        <v>2508</v>
      </c>
      <c r="FO1346" t="s">
        <v>2509</v>
      </c>
      <c r="FP1346" t="str">
        <f t="shared" si="206"/>
        <v>B</v>
      </c>
    </row>
    <row r="1347" spans="153:172" x14ac:dyDescent="0.35">
      <c r="EW1347" t="s">
        <v>2339</v>
      </c>
      <c r="EX1347" s="33" t="s">
        <v>2774</v>
      </c>
      <c r="EY1347" s="33" t="s">
        <v>976</v>
      </c>
      <c r="EZ1347" s="33" t="s">
        <v>977</v>
      </c>
      <c r="FA1347" s="33" t="s">
        <v>343</v>
      </c>
      <c r="FB1347" s="33" t="s">
        <v>344</v>
      </c>
      <c r="FC1347" s="33" t="s">
        <v>345</v>
      </c>
      <c r="FD1347" s="33" t="s">
        <v>346</v>
      </c>
      <c r="FE1347" s="33">
        <v>2025</v>
      </c>
      <c r="FF1347" s="33" t="s">
        <v>59</v>
      </c>
      <c r="FG1347" s="33" t="s">
        <v>477</v>
      </c>
      <c r="FH1347" s="33" t="s">
        <v>478</v>
      </c>
      <c r="FI1347" s="33" t="s">
        <v>479</v>
      </c>
      <c r="FJ1347" t="s">
        <v>59</v>
      </c>
      <c r="FM1347" s="32" t="s">
        <v>2722</v>
      </c>
      <c r="FN1347" t="s">
        <v>2722</v>
      </c>
      <c r="FO1347" t="s">
        <v>2723</v>
      </c>
      <c r="FP1347" t="str">
        <f t="shared" si="206"/>
        <v>B</v>
      </c>
    </row>
    <row r="1348" spans="153:172" x14ac:dyDescent="0.35">
      <c r="EW1348" t="s">
        <v>2339</v>
      </c>
      <c r="EX1348" s="33" t="s">
        <v>2775</v>
      </c>
      <c r="EY1348" s="33" t="s">
        <v>978</v>
      </c>
      <c r="EZ1348" s="33" t="s">
        <v>979</v>
      </c>
      <c r="FA1348" s="33" t="s">
        <v>343</v>
      </c>
      <c r="FB1348" s="33" t="s">
        <v>344</v>
      </c>
      <c r="FC1348" s="33" t="s">
        <v>345</v>
      </c>
      <c r="FD1348" s="33" t="s">
        <v>346</v>
      </c>
      <c r="FE1348" s="33">
        <v>2025</v>
      </c>
      <c r="FF1348" s="33" t="s">
        <v>59</v>
      </c>
      <c r="FG1348" s="33" t="s">
        <v>470</v>
      </c>
      <c r="FH1348" s="33" t="s">
        <v>471</v>
      </c>
      <c r="FI1348" s="33" t="s">
        <v>467</v>
      </c>
      <c r="FJ1348" t="s">
        <v>59</v>
      </c>
      <c r="FM1348" s="32" t="s">
        <v>278</v>
      </c>
      <c r="FN1348" t="s">
        <v>279</v>
      </c>
      <c r="FO1348" t="s">
        <v>280</v>
      </c>
      <c r="FP1348" t="str">
        <f t="shared" si="206"/>
        <v>B</v>
      </c>
    </row>
    <row r="1349" spans="153:172" x14ac:dyDescent="0.35">
      <c r="EW1349" t="s">
        <v>2339</v>
      </c>
      <c r="EX1349" s="33" t="s">
        <v>2776</v>
      </c>
      <c r="EY1349" s="33" t="s">
        <v>980</v>
      </c>
      <c r="EZ1349" s="33" t="s">
        <v>981</v>
      </c>
      <c r="FA1349" s="33" t="s">
        <v>343</v>
      </c>
      <c r="FB1349" s="33" t="s">
        <v>344</v>
      </c>
      <c r="FC1349" s="33" t="s">
        <v>345</v>
      </c>
      <c r="FD1349" s="33" t="s">
        <v>346</v>
      </c>
      <c r="FE1349" s="33">
        <v>2025</v>
      </c>
      <c r="FF1349" s="33" t="s">
        <v>59</v>
      </c>
      <c r="FG1349" s="33" t="s">
        <v>477</v>
      </c>
      <c r="FH1349" s="33" t="s">
        <v>478</v>
      </c>
      <c r="FI1349" s="33" t="s">
        <v>479</v>
      </c>
      <c r="FJ1349" t="s">
        <v>59</v>
      </c>
      <c r="FM1349" s="32" t="s">
        <v>2744</v>
      </c>
      <c r="FN1349" t="s">
        <v>2744</v>
      </c>
      <c r="FO1349" t="s">
        <v>2745</v>
      </c>
      <c r="FP1349" t="str">
        <f t="shared" si="206"/>
        <v>B</v>
      </c>
    </row>
    <row r="1350" spans="153:172" x14ac:dyDescent="0.35">
      <c r="EW1350" t="s">
        <v>2339</v>
      </c>
      <c r="EX1350" s="33" t="s">
        <v>2777</v>
      </c>
      <c r="EY1350" s="33" t="s">
        <v>985</v>
      </c>
      <c r="EZ1350" s="33" t="s">
        <v>986</v>
      </c>
      <c r="FA1350" s="33" t="s">
        <v>343</v>
      </c>
      <c r="FB1350" s="33" t="s">
        <v>344</v>
      </c>
      <c r="FC1350" s="33" t="s">
        <v>345</v>
      </c>
      <c r="FD1350" s="33" t="s">
        <v>346</v>
      </c>
      <c r="FE1350" s="33">
        <v>2025</v>
      </c>
      <c r="FF1350" s="33" t="s">
        <v>59</v>
      </c>
      <c r="FG1350" s="33" t="s">
        <v>477</v>
      </c>
      <c r="FH1350" s="33" t="s">
        <v>478</v>
      </c>
      <c r="FI1350" s="33" t="s">
        <v>479</v>
      </c>
      <c r="FJ1350" t="s">
        <v>59</v>
      </c>
      <c r="FM1350" s="32" t="s">
        <v>436</v>
      </c>
      <c r="FN1350" t="s">
        <v>437</v>
      </c>
      <c r="FO1350" t="s">
        <v>438</v>
      </c>
      <c r="FP1350" t="str">
        <f t="shared" si="206"/>
        <v>B</v>
      </c>
    </row>
    <row r="1351" spans="153:172" x14ac:dyDescent="0.35">
      <c r="EW1351" t="s">
        <v>2339</v>
      </c>
      <c r="EX1351" s="33" t="s">
        <v>2778</v>
      </c>
      <c r="EY1351" s="33" t="s">
        <v>987</v>
      </c>
      <c r="EZ1351" s="33" t="s">
        <v>988</v>
      </c>
      <c r="FA1351" s="33" t="s">
        <v>343</v>
      </c>
      <c r="FB1351" s="33" t="s">
        <v>344</v>
      </c>
      <c r="FC1351" s="33" t="s">
        <v>345</v>
      </c>
      <c r="FD1351" s="33" t="s">
        <v>346</v>
      </c>
      <c r="FE1351" s="33">
        <v>2025</v>
      </c>
      <c r="FF1351" s="33" t="s">
        <v>59</v>
      </c>
      <c r="FG1351" s="33" t="s">
        <v>386</v>
      </c>
      <c r="FH1351" s="33" t="s">
        <v>387</v>
      </c>
      <c r="FI1351" s="33" t="s">
        <v>407</v>
      </c>
      <c r="FJ1351" t="s">
        <v>59</v>
      </c>
      <c r="FM1351" s="32" t="s">
        <v>396</v>
      </c>
      <c r="FN1351" t="s">
        <v>397</v>
      </c>
      <c r="FO1351" t="s">
        <v>398</v>
      </c>
      <c r="FP1351" t="str">
        <f t="shared" si="206"/>
        <v>B</v>
      </c>
    </row>
    <row r="1352" spans="153:172" x14ac:dyDescent="0.35">
      <c r="EW1352" t="s">
        <v>2339</v>
      </c>
      <c r="EX1352" s="33" t="s">
        <v>2779</v>
      </c>
      <c r="EY1352" s="33" t="s">
        <v>989</v>
      </c>
      <c r="EZ1352" s="33" t="s">
        <v>990</v>
      </c>
      <c r="FA1352" s="33" t="s">
        <v>343</v>
      </c>
      <c r="FB1352" s="33" t="s">
        <v>344</v>
      </c>
      <c r="FC1352" s="33" t="s">
        <v>345</v>
      </c>
      <c r="FD1352" s="33" t="s">
        <v>346</v>
      </c>
      <c r="FE1352" s="33">
        <v>2025</v>
      </c>
      <c r="FF1352" s="33" t="s">
        <v>59</v>
      </c>
      <c r="FG1352" s="33" t="s">
        <v>477</v>
      </c>
      <c r="FH1352" s="33" t="s">
        <v>478</v>
      </c>
      <c r="FI1352" s="33" t="s">
        <v>479</v>
      </c>
      <c r="FJ1352" t="s">
        <v>59</v>
      </c>
      <c r="FM1352" s="32" t="s">
        <v>226</v>
      </c>
      <c r="FN1352" t="s">
        <v>227</v>
      </c>
      <c r="FO1352" t="s">
        <v>228</v>
      </c>
      <c r="FP1352" t="str">
        <f t="shared" si="206"/>
        <v>B</v>
      </c>
    </row>
    <row r="1353" spans="153:172" x14ac:dyDescent="0.35">
      <c r="EW1353" t="s">
        <v>2339</v>
      </c>
      <c r="EX1353" s="33" t="s">
        <v>2780</v>
      </c>
      <c r="EY1353" s="33" t="s">
        <v>991</v>
      </c>
      <c r="EZ1353" s="33" t="s">
        <v>992</v>
      </c>
      <c r="FA1353" s="33" t="s">
        <v>343</v>
      </c>
      <c r="FB1353" s="33" t="s">
        <v>344</v>
      </c>
      <c r="FC1353" s="33" t="s">
        <v>345</v>
      </c>
      <c r="FD1353" s="33" t="s">
        <v>346</v>
      </c>
      <c r="FE1353" s="33">
        <v>2025</v>
      </c>
      <c r="FF1353" s="33" t="s">
        <v>59</v>
      </c>
      <c r="FG1353" s="33" t="s">
        <v>386</v>
      </c>
      <c r="FH1353" s="33" t="s">
        <v>387</v>
      </c>
      <c r="FI1353" s="33" t="s">
        <v>407</v>
      </c>
      <c r="FJ1353" t="s">
        <v>59</v>
      </c>
      <c r="FM1353" s="32" t="s">
        <v>2781</v>
      </c>
      <c r="FN1353" t="s">
        <v>2781</v>
      </c>
      <c r="FO1353" t="s">
        <v>2782</v>
      </c>
      <c r="FP1353" t="str">
        <f t="shared" si="206"/>
        <v>B</v>
      </c>
    </row>
    <row r="1354" spans="153:172" x14ac:dyDescent="0.35">
      <c r="EW1354" t="s">
        <v>2339</v>
      </c>
      <c r="EX1354" s="33" t="s">
        <v>2783</v>
      </c>
      <c r="EY1354" s="33" t="s">
        <v>993</v>
      </c>
      <c r="EZ1354" s="33" t="s">
        <v>994</v>
      </c>
      <c r="FA1354" s="33" t="s">
        <v>343</v>
      </c>
      <c r="FB1354" s="33" t="s">
        <v>344</v>
      </c>
      <c r="FC1354" s="33" t="s">
        <v>345</v>
      </c>
      <c r="FD1354" s="33" t="s">
        <v>346</v>
      </c>
      <c r="FE1354" s="33">
        <v>2025</v>
      </c>
      <c r="FF1354" s="33" t="s">
        <v>59</v>
      </c>
      <c r="FG1354" s="33" t="s">
        <v>477</v>
      </c>
      <c r="FH1354" s="33" t="s">
        <v>478</v>
      </c>
      <c r="FI1354" s="33" t="s">
        <v>479</v>
      </c>
      <c r="FJ1354" t="s">
        <v>59</v>
      </c>
      <c r="FM1354" s="32" t="s">
        <v>2784</v>
      </c>
      <c r="FN1354" t="s">
        <v>2784</v>
      </c>
      <c r="FO1354" t="s">
        <v>2785</v>
      </c>
      <c r="FP1354" t="str">
        <f t="shared" si="206"/>
        <v>B</v>
      </c>
    </row>
    <row r="1355" spans="153:172" x14ac:dyDescent="0.35">
      <c r="EW1355" t="s">
        <v>2339</v>
      </c>
      <c r="EX1355" s="33" t="s">
        <v>2786</v>
      </c>
      <c r="EY1355" s="33" t="s">
        <v>998</v>
      </c>
      <c r="EZ1355" s="33" t="s">
        <v>999</v>
      </c>
      <c r="FA1355" s="33" t="s">
        <v>343</v>
      </c>
      <c r="FB1355" s="33" t="s">
        <v>344</v>
      </c>
      <c r="FC1355" s="33" t="s">
        <v>345</v>
      </c>
      <c r="FD1355" s="33" t="s">
        <v>346</v>
      </c>
      <c r="FE1355" s="33">
        <v>2025</v>
      </c>
      <c r="FF1355" s="33" t="s">
        <v>59</v>
      </c>
      <c r="FG1355" s="33" t="s">
        <v>477</v>
      </c>
      <c r="FH1355" s="33" t="s">
        <v>478</v>
      </c>
      <c r="FI1355" s="33" t="s">
        <v>479</v>
      </c>
      <c r="FJ1355" t="s">
        <v>59</v>
      </c>
      <c r="FM1355" s="32" t="s">
        <v>412</v>
      </c>
      <c r="FN1355" t="s">
        <v>413</v>
      </c>
      <c r="FO1355" t="s">
        <v>414</v>
      </c>
      <c r="FP1355" t="str">
        <f t="shared" si="206"/>
        <v>B</v>
      </c>
    </row>
    <row r="1356" spans="153:172" x14ac:dyDescent="0.35">
      <c r="EW1356" t="s">
        <v>2339</v>
      </c>
      <c r="EX1356" s="33" t="s">
        <v>2787</v>
      </c>
      <c r="EY1356" s="33" t="s">
        <v>1000</v>
      </c>
      <c r="EZ1356" s="33" t="s">
        <v>1001</v>
      </c>
      <c r="FA1356" s="33" t="s">
        <v>343</v>
      </c>
      <c r="FB1356" s="33" t="s">
        <v>344</v>
      </c>
      <c r="FC1356" s="33" t="s">
        <v>345</v>
      </c>
      <c r="FD1356" s="33" t="s">
        <v>346</v>
      </c>
      <c r="FE1356" s="33">
        <v>2025</v>
      </c>
      <c r="FF1356" s="33" t="s">
        <v>59</v>
      </c>
      <c r="FG1356" s="33" t="s">
        <v>477</v>
      </c>
      <c r="FH1356" s="33" t="s">
        <v>478</v>
      </c>
      <c r="FI1356" s="33" t="s">
        <v>479</v>
      </c>
      <c r="FJ1356" t="s">
        <v>59</v>
      </c>
      <c r="FM1356" s="32" t="s">
        <v>563</v>
      </c>
      <c r="FN1356" t="s">
        <v>564</v>
      </c>
      <c r="FO1356" t="s">
        <v>565</v>
      </c>
      <c r="FP1356" t="str">
        <f t="shared" si="206"/>
        <v>B</v>
      </c>
    </row>
    <row r="1357" spans="153:172" x14ac:dyDescent="0.35">
      <c r="EW1357" t="s">
        <v>2339</v>
      </c>
      <c r="EX1357" s="33" t="s">
        <v>2788</v>
      </c>
      <c r="EY1357" s="33" t="s">
        <v>1002</v>
      </c>
      <c r="EZ1357" s="33" t="s">
        <v>1003</v>
      </c>
      <c r="FA1357" s="33" t="s">
        <v>343</v>
      </c>
      <c r="FB1357" s="33" t="s">
        <v>344</v>
      </c>
      <c r="FC1357" s="33" t="s">
        <v>345</v>
      </c>
      <c r="FD1357" s="33" t="s">
        <v>346</v>
      </c>
      <c r="FE1357" s="33">
        <v>2025</v>
      </c>
      <c r="FF1357" s="33" t="s">
        <v>59</v>
      </c>
      <c r="FG1357" s="33" t="s">
        <v>477</v>
      </c>
      <c r="FH1357" s="33" t="s">
        <v>478</v>
      </c>
      <c r="FI1357" s="33" t="s">
        <v>479</v>
      </c>
      <c r="FJ1357" t="s">
        <v>59</v>
      </c>
      <c r="FM1357" s="32" t="s">
        <v>1202</v>
      </c>
      <c r="FN1357" t="s">
        <v>1202</v>
      </c>
      <c r="FO1357" t="s">
        <v>1203</v>
      </c>
      <c r="FP1357" t="str">
        <f t="shared" si="206"/>
        <v>B</v>
      </c>
    </row>
    <row r="1358" spans="153:172" x14ac:dyDescent="0.35">
      <c r="EW1358" t="s">
        <v>2339</v>
      </c>
      <c r="EX1358" s="33" t="s">
        <v>2789</v>
      </c>
      <c r="EY1358" s="33" t="s">
        <v>1004</v>
      </c>
      <c r="EZ1358" s="33" t="s">
        <v>1005</v>
      </c>
      <c r="FA1358" s="33" t="s">
        <v>343</v>
      </c>
      <c r="FB1358" s="33" t="s">
        <v>344</v>
      </c>
      <c r="FC1358" s="33" t="s">
        <v>345</v>
      </c>
      <c r="FD1358" s="33" t="s">
        <v>346</v>
      </c>
      <c r="FE1358" s="33">
        <v>2025</v>
      </c>
      <c r="FF1358" s="33" t="s">
        <v>59</v>
      </c>
      <c r="FG1358" s="33" t="s">
        <v>386</v>
      </c>
      <c r="FH1358" s="33" t="s">
        <v>387</v>
      </c>
      <c r="FI1358" s="33" t="s">
        <v>407</v>
      </c>
      <c r="FJ1358" t="s">
        <v>59</v>
      </c>
      <c r="FM1358" s="32" t="s">
        <v>2790</v>
      </c>
      <c r="FN1358" t="s">
        <v>2790</v>
      </c>
      <c r="FO1358" t="s">
        <v>2791</v>
      </c>
      <c r="FP1358" t="str">
        <f t="shared" si="206"/>
        <v>B</v>
      </c>
    </row>
    <row r="1359" spans="153:172" x14ac:dyDescent="0.35">
      <c r="EW1359" t="s">
        <v>2339</v>
      </c>
      <c r="EX1359" s="33" t="s">
        <v>2792</v>
      </c>
      <c r="EY1359" s="33" t="s">
        <v>1006</v>
      </c>
      <c r="EZ1359" s="33" t="s">
        <v>1007</v>
      </c>
      <c r="FA1359" s="33" t="s">
        <v>343</v>
      </c>
      <c r="FB1359" s="33" t="s">
        <v>344</v>
      </c>
      <c r="FC1359" s="33" t="s">
        <v>345</v>
      </c>
      <c r="FD1359" s="33" t="s">
        <v>346</v>
      </c>
      <c r="FE1359" s="33">
        <v>2025</v>
      </c>
      <c r="FF1359" s="33" t="s">
        <v>59</v>
      </c>
      <c r="FG1359" s="33" t="s">
        <v>477</v>
      </c>
      <c r="FH1359" s="33" t="s">
        <v>478</v>
      </c>
      <c r="FI1359" s="33" t="s">
        <v>479</v>
      </c>
      <c r="FJ1359" t="s">
        <v>59</v>
      </c>
      <c r="FM1359" s="32" t="s">
        <v>846</v>
      </c>
      <c r="FN1359" t="s">
        <v>847</v>
      </c>
      <c r="FO1359" t="s">
        <v>848</v>
      </c>
      <c r="FP1359" t="str">
        <f t="shared" si="206"/>
        <v>B</v>
      </c>
    </row>
    <row r="1360" spans="153:172" x14ac:dyDescent="0.35">
      <c r="EW1360" t="s">
        <v>2339</v>
      </c>
      <c r="EX1360" s="33" t="s">
        <v>2793</v>
      </c>
      <c r="EY1360" s="33" t="s">
        <v>1011</v>
      </c>
      <c r="EZ1360" s="33" t="s">
        <v>1012</v>
      </c>
      <c r="FA1360" s="33" t="s">
        <v>343</v>
      </c>
      <c r="FB1360" s="33" t="s">
        <v>344</v>
      </c>
      <c r="FC1360" s="33" t="s">
        <v>345</v>
      </c>
      <c r="FD1360" s="33" t="s">
        <v>346</v>
      </c>
      <c r="FE1360" s="33">
        <v>2025</v>
      </c>
      <c r="FF1360" s="33" t="s">
        <v>59</v>
      </c>
      <c r="FG1360" s="33" t="s">
        <v>477</v>
      </c>
      <c r="FH1360" s="33" t="s">
        <v>478</v>
      </c>
      <c r="FI1360" s="33" t="s">
        <v>479</v>
      </c>
      <c r="FJ1360" t="s">
        <v>59</v>
      </c>
      <c r="FM1360" s="32" t="s">
        <v>995</v>
      </c>
      <c r="FN1360" t="s">
        <v>996</v>
      </c>
      <c r="FO1360" t="s">
        <v>997</v>
      </c>
      <c r="FP1360" t="str">
        <f t="shared" si="206"/>
        <v>B</v>
      </c>
    </row>
    <row r="1361" spans="153:172" x14ac:dyDescent="0.35">
      <c r="EW1361" t="s">
        <v>2339</v>
      </c>
      <c r="EX1361" s="33" t="s">
        <v>2794</v>
      </c>
      <c r="EY1361" s="33" t="s">
        <v>1013</v>
      </c>
      <c r="EZ1361" s="33" t="s">
        <v>1014</v>
      </c>
      <c r="FA1361" s="33" t="s">
        <v>343</v>
      </c>
      <c r="FB1361" s="33" t="s">
        <v>344</v>
      </c>
      <c r="FC1361" s="33" t="s">
        <v>345</v>
      </c>
      <c r="FD1361" s="33" t="s">
        <v>346</v>
      </c>
      <c r="FE1361" s="33">
        <v>2025</v>
      </c>
      <c r="FF1361" s="33" t="s">
        <v>59</v>
      </c>
      <c r="FG1361" s="33" t="s">
        <v>477</v>
      </c>
      <c r="FH1361" s="33" t="s">
        <v>478</v>
      </c>
      <c r="FI1361" s="33" t="s">
        <v>479</v>
      </c>
      <c r="FJ1361" t="s">
        <v>59</v>
      </c>
      <c r="FM1361" s="32" t="s">
        <v>2795</v>
      </c>
      <c r="FN1361" t="s">
        <v>2795</v>
      </c>
      <c r="FO1361" t="s">
        <v>2796</v>
      </c>
      <c r="FP1361" t="str">
        <f t="shared" si="206"/>
        <v>B</v>
      </c>
    </row>
    <row r="1362" spans="153:172" x14ac:dyDescent="0.35">
      <c r="EW1362" t="s">
        <v>2339</v>
      </c>
      <c r="EX1362" s="33" t="s">
        <v>2797</v>
      </c>
      <c r="EY1362" s="33" t="s">
        <v>1015</v>
      </c>
      <c r="EZ1362" s="33" t="s">
        <v>1016</v>
      </c>
      <c r="FA1362" s="33" t="s">
        <v>343</v>
      </c>
      <c r="FB1362" s="33" t="s">
        <v>344</v>
      </c>
      <c r="FC1362" s="33" t="s">
        <v>345</v>
      </c>
      <c r="FD1362" s="33" t="s">
        <v>346</v>
      </c>
      <c r="FE1362" s="33">
        <v>2025</v>
      </c>
      <c r="FF1362" s="33" t="s">
        <v>59</v>
      </c>
      <c r="FG1362" s="33" t="s">
        <v>470</v>
      </c>
      <c r="FH1362" s="33" t="s">
        <v>471</v>
      </c>
      <c r="FI1362" s="33" t="s">
        <v>467</v>
      </c>
      <c r="FJ1362" t="s">
        <v>59</v>
      </c>
      <c r="FM1362" s="32" t="s">
        <v>911</v>
      </c>
      <c r="FN1362" t="s">
        <v>912</v>
      </c>
      <c r="FO1362" t="s">
        <v>913</v>
      </c>
      <c r="FP1362" t="str">
        <f t="shared" si="206"/>
        <v>B</v>
      </c>
    </row>
    <row r="1363" spans="153:172" x14ac:dyDescent="0.35">
      <c r="EW1363" t="s">
        <v>2339</v>
      </c>
      <c r="EX1363" s="33" t="s">
        <v>2798</v>
      </c>
      <c r="EY1363" s="33" t="s">
        <v>1020</v>
      </c>
      <c r="EZ1363" s="33" t="s">
        <v>1021</v>
      </c>
      <c r="FA1363" s="33" t="s">
        <v>343</v>
      </c>
      <c r="FB1363" s="33" t="s">
        <v>344</v>
      </c>
      <c r="FC1363" s="33" t="s">
        <v>345</v>
      </c>
      <c r="FD1363" s="33" t="s">
        <v>346</v>
      </c>
      <c r="FE1363" s="33">
        <v>2025</v>
      </c>
      <c r="FF1363" s="33" t="s">
        <v>59</v>
      </c>
      <c r="FG1363" s="33" t="s">
        <v>470</v>
      </c>
      <c r="FH1363" s="33" t="s">
        <v>471</v>
      </c>
      <c r="FI1363" s="33" t="s">
        <v>467</v>
      </c>
      <c r="FJ1363" t="s">
        <v>59</v>
      </c>
      <c r="FM1363" s="32" t="s">
        <v>2799</v>
      </c>
      <c r="FN1363" t="s">
        <v>2799</v>
      </c>
      <c r="FO1363" t="s">
        <v>2800</v>
      </c>
      <c r="FP1363" t="str">
        <f t="shared" si="206"/>
        <v>B</v>
      </c>
    </row>
    <row r="1364" spans="153:172" x14ac:dyDescent="0.35">
      <c r="EW1364" t="s">
        <v>2339</v>
      </c>
      <c r="EX1364" s="33" t="s">
        <v>2801</v>
      </c>
      <c r="EY1364" s="33" t="s">
        <v>1022</v>
      </c>
      <c r="EZ1364" s="33" t="s">
        <v>1023</v>
      </c>
      <c r="FA1364" s="33" t="s">
        <v>343</v>
      </c>
      <c r="FB1364" s="33" t="s">
        <v>344</v>
      </c>
      <c r="FC1364" s="33" t="s">
        <v>345</v>
      </c>
      <c r="FD1364" s="33" t="s">
        <v>346</v>
      </c>
      <c r="FE1364" s="33">
        <v>2025</v>
      </c>
      <c r="FF1364" s="33" t="s">
        <v>59</v>
      </c>
      <c r="FG1364" s="33" t="s">
        <v>470</v>
      </c>
      <c r="FH1364" s="33" t="s">
        <v>471</v>
      </c>
      <c r="FI1364" s="33" t="s">
        <v>467</v>
      </c>
      <c r="FJ1364" t="s">
        <v>59</v>
      </c>
      <c r="FM1364" s="32" t="s">
        <v>610</v>
      </c>
      <c r="FN1364" t="s">
        <v>611</v>
      </c>
      <c r="FO1364" t="s">
        <v>612</v>
      </c>
      <c r="FP1364" t="str">
        <f t="shared" si="206"/>
        <v>B</v>
      </c>
    </row>
    <row r="1365" spans="153:172" x14ac:dyDescent="0.35">
      <c r="EW1365" t="s">
        <v>2339</v>
      </c>
      <c r="EX1365" s="33" t="s">
        <v>2802</v>
      </c>
      <c r="EY1365" s="33" t="s">
        <v>1024</v>
      </c>
      <c r="EZ1365" s="33" t="s">
        <v>1025</v>
      </c>
      <c r="FA1365" s="33" t="s">
        <v>343</v>
      </c>
      <c r="FB1365" s="33" t="s">
        <v>344</v>
      </c>
      <c r="FC1365" s="33" t="s">
        <v>345</v>
      </c>
      <c r="FD1365" s="33" t="s">
        <v>346</v>
      </c>
      <c r="FE1365" s="33">
        <v>2025</v>
      </c>
      <c r="FF1365" s="33" t="s">
        <v>59</v>
      </c>
      <c r="FG1365" s="33" t="s">
        <v>477</v>
      </c>
      <c r="FH1365" s="33" t="s">
        <v>478</v>
      </c>
      <c r="FI1365" s="33" t="s">
        <v>479</v>
      </c>
      <c r="FJ1365" t="s">
        <v>59</v>
      </c>
      <c r="FM1365" s="32" t="s">
        <v>652</v>
      </c>
      <c r="FN1365" t="s">
        <v>653</v>
      </c>
      <c r="FO1365" t="s">
        <v>654</v>
      </c>
      <c r="FP1365" t="str">
        <f t="shared" si="206"/>
        <v>B</v>
      </c>
    </row>
    <row r="1366" spans="153:172" x14ac:dyDescent="0.35">
      <c r="EW1366" t="s">
        <v>2339</v>
      </c>
      <c r="EX1366" s="33" t="s">
        <v>2803</v>
      </c>
      <c r="EY1366" s="33" t="s">
        <v>1026</v>
      </c>
      <c r="EZ1366" s="33" t="s">
        <v>1027</v>
      </c>
      <c r="FA1366" s="33" t="s">
        <v>343</v>
      </c>
      <c r="FB1366" s="33" t="s">
        <v>344</v>
      </c>
      <c r="FC1366" s="33" t="s">
        <v>345</v>
      </c>
      <c r="FD1366" s="33" t="s">
        <v>346</v>
      </c>
      <c r="FE1366" s="33">
        <v>2025</v>
      </c>
      <c r="FF1366" s="33" t="s">
        <v>59</v>
      </c>
      <c r="FG1366" s="33" t="s">
        <v>386</v>
      </c>
      <c r="FH1366" s="33" t="s">
        <v>387</v>
      </c>
      <c r="FI1366" s="33" t="s">
        <v>407</v>
      </c>
      <c r="FJ1366" t="s">
        <v>59</v>
      </c>
      <c r="FM1366" s="32" t="s">
        <v>2804</v>
      </c>
      <c r="FN1366" t="s">
        <v>2804</v>
      </c>
      <c r="FO1366" t="s">
        <v>2805</v>
      </c>
      <c r="FP1366" t="str">
        <f t="shared" si="206"/>
        <v>B</v>
      </c>
    </row>
    <row r="1367" spans="153:172" x14ac:dyDescent="0.35">
      <c r="EW1367" t="s">
        <v>2339</v>
      </c>
      <c r="EX1367" s="33" t="s">
        <v>2806</v>
      </c>
      <c r="EY1367" s="33" t="s">
        <v>1028</v>
      </c>
      <c r="EZ1367" s="33" t="s">
        <v>1029</v>
      </c>
      <c r="FA1367" s="33" t="s">
        <v>343</v>
      </c>
      <c r="FB1367" s="33" t="s">
        <v>344</v>
      </c>
      <c r="FC1367" s="33" t="s">
        <v>345</v>
      </c>
      <c r="FD1367" s="33" t="s">
        <v>346</v>
      </c>
      <c r="FE1367" s="33">
        <v>2025</v>
      </c>
      <c r="FF1367" s="33" t="s">
        <v>59</v>
      </c>
      <c r="FG1367" s="33" t="s">
        <v>470</v>
      </c>
      <c r="FH1367" s="33" t="s">
        <v>471</v>
      </c>
      <c r="FI1367" s="33" t="s">
        <v>467</v>
      </c>
      <c r="FJ1367" t="s">
        <v>59</v>
      </c>
      <c r="FM1367" s="32" t="s">
        <v>1225</v>
      </c>
      <c r="FN1367" t="s">
        <v>1225</v>
      </c>
      <c r="FO1367" t="s">
        <v>1226</v>
      </c>
      <c r="FP1367" t="str">
        <f t="shared" si="206"/>
        <v>B</v>
      </c>
    </row>
    <row r="1368" spans="153:172" x14ac:dyDescent="0.35">
      <c r="EW1368" t="s">
        <v>2339</v>
      </c>
      <c r="EX1368" s="33" t="s">
        <v>2807</v>
      </c>
      <c r="EY1368" s="33" t="s">
        <v>1030</v>
      </c>
      <c r="EZ1368" s="33" t="s">
        <v>1031</v>
      </c>
      <c r="FA1368" s="33" t="s">
        <v>343</v>
      </c>
      <c r="FB1368" s="33" t="s">
        <v>344</v>
      </c>
      <c r="FC1368" s="33" t="s">
        <v>345</v>
      </c>
      <c r="FD1368" s="33" t="s">
        <v>346</v>
      </c>
      <c r="FE1368" s="33">
        <v>2025</v>
      </c>
      <c r="FF1368" s="33" t="s">
        <v>59</v>
      </c>
      <c r="FG1368" s="33" t="s">
        <v>477</v>
      </c>
      <c r="FH1368" s="33" t="s">
        <v>478</v>
      </c>
      <c r="FI1368" s="33" t="s">
        <v>479</v>
      </c>
      <c r="FJ1368" t="s">
        <v>59</v>
      </c>
      <c r="FM1368" s="32" t="s">
        <v>2808</v>
      </c>
      <c r="FN1368" t="s">
        <v>2808</v>
      </c>
      <c r="FO1368" t="s">
        <v>2809</v>
      </c>
      <c r="FP1368" t="str">
        <f t="shared" si="206"/>
        <v>B</v>
      </c>
    </row>
    <row r="1369" spans="153:172" x14ac:dyDescent="0.35">
      <c r="EW1369" t="s">
        <v>2339</v>
      </c>
      <c r="EX1369" s="33" t="s">
        <v>2810</v>
      </c>
      <c r="EY1369" s="33" t="s">
        <v>1032</v>
      </c>
      <c r="EZ1369" s="33" t="s">
        <v>1033</v>
      </c>
      <c r="FA1369" s="33" t="s">
        <v>343</v>
      </c>
      <c r="FB1369" s="33" t="s">
        <v>344</v>
      </c>
      <c r="FC1369" s="33" t="s">
        <v>345</v>
      </c>
      <c r="FD1369" s="33" t="s">
        <v>346</v>
      </c>
      <c r="FE1369" s="33">
        <v>2025</v>
      </c>
      <c r="FF1369" s="33" t="s">
        <v>59</v>
      </c>
      <c r="FG1369" s="33" t="s">
        <v>470</v>
      </c>
      <c r="FH1369" s="33" t="s">
        <v>471</v>
      </c>
      <c r="FI1369" s="33" t="s">
        <v>467</v>
      </c>
      <c r="FJ1369" t="s">
        <v>59</v>
      </c>
      <c r="FM1369" s="32" t="s">
        <v>2811</v>
      </c>
      <c r="FN1369" t="s">
        <v>2811</v>
      </c>
      <c r="FO1369" t="s">
        <v>2812</v>
      </c>
      <c r="FP1369" t="str">
        <f t="shared" si="206"/>
        <v>B</v>
      </c>
    </row>
    <row r="1370" spans="153:172" x14ac:dyDescent="0.35">
      <c r="EW1370" t="s">
        <v>2339</v>
      </c>
      <c r="EX1370" s="33" t="s">
        <v>2813</v>
      </c>
      <c r="EY1370" s="33" t="s">
        <v>1037</v>
      </c>
      <c r="EZ1370" s="33" t="s">
        <v>1038</v>
      </c>
      <c r="FA1370" s="33" t="s">
        <v>343</v>
      </c>
      <c r="FB1370" s="33" t="s">
        <v>344</v>
      </c>
      <c r="FC1370" s="33" t="s">
        <v>345</v>
      </c>
      <c r="FD1370" s="33" t="s">
        <v>346</v>
      </c>
      <c r="FE1370" s="33">
        <v>2025</v>
      </c>
      <c r="FF1370" s="33" t="s">
        <v>59</v>
      </c>
      <c r="FG1370" s="33" t="s">
        <v>470</v>
      </c>
      <c r="FH1370" s="33" t="s">
        <v>471</v>
      </c>
      <c r="FI1370" s="33" t="s">
        <v>467</v>
      </c>
      <c r="FJ1370" t="s">
        <v>59</v>
      </c>
      <c r="FM1370" s="32" t="s">
        <v>2729</v>
      </c>
      <c r="FN1370" t="s">
        <v>2729</v>
      </c>
      <c r="FO1370" t="s">
        <v>2730</v>
      </c>
      <c r="FP1370" t="str">
        <f t="shared" si="206"/>
        <v>B</v>
      </c>
    </row>
    <row r="1371" spans="153:172" x14ac:dyDescent="0.35">
      <c r="EW1371" t="s">
        <v>2339</v>
      </c>
      <c r="EX1371" s="33" t="s">
        <v>2814</v>
      </c>
      <c r="EY1371" s="33" t="s">
        <v>1039</v>
      </c>
      <c r="EZ1371" s="33" t="s">
        <v>1040</v>
      </c>
      <c r="FA1371" s="33" t="s">
        <v>343</v>
      </c>
      <c r="FB1371" s="33" t="s">
        <v>344</v>
      </c>
      <c r="FC1371" s="33" t="s">
        <v>345</v>
      </c>
      <c r="FD1371" s="33" t="s">
        <v>346</v>
      </c>
      <c r="FE1371" s="33">
        <v>2025</v>
      </c>
      <c r="FF1371" s="33" t="s">
        <v>59</v>
      </c>
      <c r="FG1371" s="33" t="s">
        <v>477</v>
      </c>
      <c r="FH1371" s="33" t="s">
        <v>478</v>
      </c>
      <c r="FI1371" s="33" t="s">
        <v>479</v>
      </c>
      <c r="FJ1371" t="s">
        <v>59</v>
      </c>
      <c r="FM1371" s="32" t="s">
        <v>1408</v>
      </c>
      <c r="FN1371" t="s">
        <v>1408</v>
      </c>
      <c r="FO1371" t="s">
        <v>1409</v>
      </c>
      <c r="FP1371" t="str">
        <f t="shared" si="206"/>
        <v>C</v>
      </c>
    </row>
    <row r="1372" spans="153:172" x14ac:dyDescent="0.35">
      <c r="EW1372" t="s">
        <v>2339</v>
      </c>
      <c r="EX1372" s="33" t="s">
        <v>2815</v>
      </c>
      <c r="EY1372" s="33" t="s">
        <v>1041</v>
      </c>
      <c r="EZ1372" s="33" t="s">
        <v>1042</v>
      </c>
      <c r="FA1372" s="33" t="s">
        <v>343</v>
      </c>
      <c r="FB1372" s="33" t="s">
        <v>344</v>
      </c>
      <c r="FC1372" s="33" t="s">
        <v>345</v>
      </c>
      <c r="FD1372" s="33" t="s">
        <v>346</v>
      </c>
      <c r="FE1372" s="33">
        <v>2025</v>
      </c>
      <c r="FF1372" s="33" t="s">
        <v>59</v>
      </c>
      <c r="FG1372" s="33" t="s">
        <v>477</v>
      </c>
      <c r="FH1372" s="33" t="s">
        <v>478</v>
      </c>
      <c r="FI1372" s="33" t="s">
        <v>479</v>
      </c>
      <c r="FJ1372" t="s">
        <v>59</v>
      </c>
      <c r="FM1372" s="32" t="s">
        <v>537</v>
      </c>
      <c r="FN1372" t="s">
        <v>538</v>
      </c>
      <c r="FO1372" t="s">
        <v>539</v>
      </c>
      <c r="FP1372" t="str">
        <f t="shared" si="206"/>
        <v>B</v>
      </c>
    </row>
    <row r="1373" spans="153:172" x14ac:dyDescent="0.35">
      <c r="EW1373" t="s">
        <v>2339</v>
      </c>
      <c r="EX1373" s="33" t="s">
        <v>2816</v>
      </c>
      <c r="EY1373" s="33" t="s">
        <v>1043</v>
      </c>
      <c r="EZ1373" s="33" t="s">
        <v>1044</v>
      </c>
      <c r="FA1373" s="33" t="s">
        <v>343</v>
      </c>
      <c r="FB1373" s="33" t="s">
        <v>344</v>
      </c>
      <c r="FC1373" s="33" t="s">
        <v>345</v>
      </c>
      <c r="FD1373" s="33" t="s">
        <v>346</v>
      </c>
      <c r="FE1373" s="33">
        <v>2025</v>
      </c>
      <c r="FF1373" s="33" t="s">
        <v>59</v>
      </c>
      <c r="FG1373" s="33" t="s">
        <v>477</v>
      </c>
      <c r="FH1373" s="33" t="s">
        <v>478</v>
      </c>
      <c r="FI1373" s="33" t="s">
        <v>479</v>
      </c>
      <c r="FJ1373" t="s">
        <v>59</v>
      </c>
      <c r="FM1373" s="32" t="s">
        <v>1511</v>
      </c>
      <c r="FN1373" t="s">
        <v>1511</v>
      </c>
      <c r="FO1373" t="s">
        <v>1512</v>
      </c>
      <c r="FP1373" t="str">
        <f t="shared" si="206"/>
        <v>C</v>
      </c>
    </row>
    <row r="1374" spans="153:172" x14ac:dyDescent="0.35">
      <c r="EW1374" t="s">
        <v>2339</v>
      </c>
      <c r="EX1374" s="33" t="s">
        <v>2817</v>
      </c>
      <c r="EY1374" s="33" t="s">
        <v>1045</v>
      </c>
      <c r="EZ1374" s="33" t="s">
        <v>1046</v>
      </c>
      <c r="FA1374" s="33" t="s">
        <v>343</v>
      </c>
      <c r="FB1374" s="33" t="s">
        <v>344</v>
      </c>
      <c r="FC1374" s="33" t="s">
        <v>345</v>
      </c>
      <c r="FD1374" s="33" t="s">
        <v>346</v>
      </c>
      <c r="FE1374" s="33">
        <v>2025</v>
      </c>
      <c r="FF1374" s="33" t="s">
        <v>59</v>
      </c>
      <c r="FG1374" s="33" t="s">
        <v>470</v>
      </c>
      <c r="FH1374" s="33" t="s">
        <v>471</v>
      </c>
      <c r="FI1374" s="33" t="s">
        <v>467</v>
      </c>
      <c r="FJ1374" t="s">
        <v>59</v>
      </c>
      <c r="FM1374" s="32" t="s">
        <v>2498</v>
      </c>
      <c r="FN1374" t="s">
        <v>2498</v>
      </c>
      <c r="FO1374" t="s">
        <v>2499</v>
      </c>
      <c r="FP1374" t="str">
        <f t="shared" si="206"/>
        <v>B</v>
      </c>
    </row>
    <row r="1375" spans="153:172" x14ac:dyDescent="0.35">
      <c r="EW1375" t="s">
        <v>2339</v>
      </c>
      <c r="EX1375" s="33" t="s">
        <v>2818</v>
      </c>
      <c r="EY1375" s="33" t="s">
        <v>1047</v>
      </c>
      <c r="EZ1375" s="33" t="s">
        <v>1048</v>
      </c>
      <c r="FA1375" s="33" t="s">
        <v>343</v>
      </c>
      <c r="FB1375" s="33" t="s">
        <v>344</v>
      </c>
      <c r="FC1375" s="33" t="s">
        <v>345</v>
      </c>
      <c r="FD1375" s="33" t="s">
        <v>346</v>
      </c>
      <c r="FE1375" s="33">
        <v>2025</v>
      </c>
      <c r="FF1375" s="33" t="s">
        <v>59</v>
      </c>
      <c r="FG1375" s="33" t="s">
        <v>477</v>
      </c>
      <c r="FH1375" s="33" t="s">
        <v>478</v>
      </c>
      <c r="FI1375" s="33" t="s">
        <v>479</v>
      </c>
      <c r="FJ1375" t="s">
        <v>59</v>
      </c>
      <c r="FM1375" s="32" t="s">
        <v>710</v>
      </c>
      <c r="FN1375" t="s">
        <v>711</v>
      </c>
      <c r="FO1375" t="s">
        <v>712</v>
      </c>
      <c r="FP1375" t="str">
        <f t="shared" si="206"/>
        <v>B</v>
      </c>
    </row>
    <row r="1376" spans="153:172" x14ac:dyDescent="0.35">
      <c r="EW1376" t="s">
        <v>2339</v>
      </c>
      <c r="EX1376" s="33" t="s">
        <v>2819</v>
      </c>
      <c r="EY1376" s="33" t="s">
        <v>1049</v>
      </c>
      <c r="EZ1376" s="33" t="s">
        <v>1050</v>
      </c>
      <c r="FA1376" s="33" t="s">
        <v>343</v>
      </c>
      <c r="FB1376" s="33" t="s">
        <v>344</v>
      </c>
      <c r="FC1376" s="33" t="s">
        <v>345</v>
      </c>
      <c r="FD1376" s="33" t="s">
        <v>346</v>
      </c>
      <c r="FE1376" s="33">
        <v>2025</v>
      </c>
      <c r="FF1376" s="33" t="s">
        <v>59</v>
      </c>
      <c r="FG1376" s="33" t="s">
        <v>477</v>
      </c>
      <c r="FH1376" s="33" t="s">
        <v>478</v>
      </c>
      <c r="FI1376" s="33" t="s">
        <v>479</v>
      </c>
      <c r="FJ1376" t="s">
        <v>59</v>
      </c>
      <c r="FM1376" s="32" t="s">
        <v>2756</v>
      </c>
      <c r="FN1376" t="s">
        <v>2756</v>
      </c>
      <c r="FO1376" t="s">
        <v>2757</v>
      </c>
      <c r="FP1376" t="str">
        <f t="shared" si="206"/>
        <v>B</v>
      </c>
    </row>
    <row r="1377" spans="153:172" x14ac:dyDescent="0.35">
      <c r="EW1377" t="s">
        <v>2339</v>
      </c>
      <c r="EX1377" s="33" t="s">
        <v>2820</v>
      </c>
      <c r="EY1377" s="33" t="s">
        <v>1051</v>
      </c>
      <c r="EZ1377" s="33" t="s">
        <v>1052</v>
      </c>
      <c r="FA1377" s="33" t="s">
        <v>343</v>
      </c>
      <c r="FB1377" s="33" t="s">
        <v>344</v>
      </c>
      <c r="FC1377" s="33" t="s">
        <v>345</v>
      </c>
      <c r="FD1377" s="33" t="s">
        <v>346</v>
      </c>
      <c r="FE1377" s="33">
        <v>2025</v>
      </c>
      <c r="FF1377" s="33" t="s">
        <v>59</v>
      </c>
      <c r="FG1377" s="33" t="s">
        <v>386</v>
      </c>
      <c r="FH1377" s="33" t="s">
        <v>387</v>
      </c>
      <c r="FI1377" s="33" t="s">
        <v>407</v>
      </c>
      <c r="FJ1377" t="s">
        <v>59</v>
      </c>
      <c r="FM1377" s="32" t="s">
        <v>1099</v>
      </c>
      <c r="FN1377" t="s">
        <v>1100</v>
      </c>
      <c r="FO1377" t="s">
        <v>1101</v>
      </c>
      <c r="FP1377" t="str">
        <f t="shared" si="206"/>
        <v>B</v>
      </c>
    </row>
    <row r="1378" spans="153:172" x14ac:dyDescent="0.35">
      <c r="EW1378" t="s">
        <v>2339</v>
      </c>
      <c r="EX1378" s="33" t="s">
        <v>2821</v>
      </c>
      <c r="EY1378" s="33" t="s">
        <v>1053</v>
      </c>
      <c r="EZ1378" s="33" t="s">
        <v>1054</v>
      </c>
      <c r="FA1378" s="33" t="s">
        <v>343</v>
      </c>
      <c r="FB1378" s="33" t="s">
        <v>344</v>
      </c>
      <c r="FC1378" s="33" t="s">
        <v>345</v>
      </c>
      <c r="FD1378" s="33" t="s">
        <v>346</v>
      </c>
      <c r="FE1378" s="33">
        <v>2025</v>
      </c>
      <c r="FF1378" s="33" t="s">
        <v>59</v>
      </c>
      <c r="FG1378" s="33" t="s">
        <v>470</v>
      </c>
      <c r="FH1378" s="33" t="s">
        <v>471</v>
      </c>
      <c r="FI1378" s="33" t="s">
        <v>467</v>
      </c>
      <c r="FJ1378" t="s">
        <v>59</v>
      </c>
      <c r="FM1378" s="32" t="s">
        <v>2822</v>
      </c>
      <c r="FN1378" t="s">
        <v>2822</v>
      </c>
      <c r="FO1378" t="s">
        <v>2823</v>
      </c>
      <c r="FP1378" t="str">
        <f t="shared" si="206"/>
        <v>B</v>
      </c>
    </row>
    <row r="1379" spans="153:172" x14ac:dyDescent="0.35">
      <c r="EW1379" t="s">
        <v>2339</v>
      </c>
      <c r="EX1379" s="33" t="s">
        <v>2824</v>
      </c>
      <c r="EY1379" s="33" t="s">
        <v>1055</v>
      </c>
      <c r="EZ1379" s="33" t="s">
        <v>1056</v>
      </c>
      <c r="FA1379" s="33" t="s">
        <v>343</v>
      </c>
      <c r="FB1379" s="33" t="s">
        <v>344</v>
      </c>
      <c r="FC1379" s="33" t="s">
        <v>345</v>
      </c>
      <c r="FD1379" s="33" t="s">
        <v>346</v>
      </c>
      <c r="FE1379" s="33">
        <v>2025</v>
      </c>
      <c r="FF1379" s="33" t="s">
        <v>59</v>
      </c>
      <c r="FG1379" s="33" t="s">
        <v>470</v>
      </c>
      <c r="FH1379" s="33" t="s">
        <v>471</v>
      </c>
      <c r="FI1379" s="33" t="s">
        <v>467</v>
      </c>
      <c r="FJ1379" t="s">
        <v>59</v>
      </c>
      <c r="FM1379" s="32" t="s">
        <v>1346</v>
      </c>
      <c r="FN1379" t="s">
        <v>1346</v>
      </c>
      <c r="FO1379" t="s">
        <v>1347</v>
      </c>
      <c r="FP1379" t="str">
        <f t="shared" si="206"/>
        <v>B</v>
      </c>
    </row>
    <row r="1380" spans="153:172" x14ac:dyDescent="0.35">
      <c r="EW1380" t="s">
        <v>2339</v>
      </c>
      <c r="EX1380" s="33" t="s">
        <v>2825</v>
      </c>
      <c r="EY1380" s="33" t="s">
        <v>1057</v>
      </c>
      <c r="EZ1380" s="33" t="s">
        <v>1058</v>
      </c>
      <c r="FA1380" s="33" t="s">
        <v>343</v>
      </c>
      <c r="FB1380" s="33" t="s">
        <v>344</v>
      </c>
      <c r="FC1380" s="33" t="s">
        <v>345</v>
      </c>
      <c r="FD1380" s="33" t="s">
        <v>346</v>
      </c>
      <c r="FE1380" s="33">
        <v>2025</v>
      </c>
      <c r="FF1380" s="33" t="s">
        <v>59</v>
      </c>
      <c r="FG1380" s="33" t="s">
        <v>477</v>
      </c>
      <c r="FH1380" s="33" t="s">
        <v>478</v>
      </c>
      <c r="FI1380" s="33" t="s">
        <v>479</v>
      </c>
      <c r="FJ1380" t="s">
        <v>59</v>
      </c>
      <c r="FM1380" s="32" t="s">
        <v>2826</v>
      </c>
      <c r="FN1380" t="s">
        <v>2826</v>
      </c>
      <c r="FO1380" t="s">
        <v>2827</v>
      </c>
      <c r="FP1380" t="str">
        <f t="shared" si="206"/>
        <v>B</v>
      </c>
    </row>
    <row r="1381" spans="153:172" x14ac:dyDescent="0.35">
      <c r="EW1381" t="s">
        <v>2339</v>
      </c>
      <c r="EX1381" s="33" t="s">
        <v>2828</v>
      </c>
      <c r="EY1381" s="33" t="s">
        <v>1062</v>
      </c>
      <c r="EZ1381" s="33" t="s">
        <v>1063</v>
      </c>
      <c r="FA1381" s="33" t="s">
        <v>343</v>
      </c>
      <c r="FB1381" s="33" t="s">
        <v>344</v>
      </c>
      <c r="FC1381" s="33" t="s">
        <v>345</v>
      </c>
      <c r="FD1381" s="33" t="s">
        <v>346</v>
      </c>
      <c r="FE1381" s="33">
        <v>2025</v>
      </c>
      <c r="FF1381" s="33" t="s">
        <v>59</v>
      </c>
      <c r="FG1381" s="33" t="s">
        <v>477</v>
      </c>
      <c r="FH1381" s="33" t="s">
        <v>478</v>
      </c>
      <c r="FI1381" s="33" t="s">
        <v>479</v>
      </c>
      <c r="FJ1381" t="s">
        <v>59</v>
      </c>
      <c r="FM1381" s="32" t="s">
        <v>2722</v>
      </c>
      <c r="FN1381" t="s">
        <v>2722</v>
      </c>
      <c r="FO1381" t="s">
        <v>2723</v>
      </c>
      <c r="FP1381" t="str">
        <f t="shared" si="206"/>
        <v>B</v>
      </c>
    </row>
    <row r="1382" spans="153:172" x14ac:dyDescent="0.35">
      <c r="EW1382" t="s">
        <v>2339</v>
      </c>
      <c r="EX1382" s="33" t="s">
        <v>2829</v>
      </c>
      <c r="EY1382" s="33" t="s">
        <v>1064</v>
      </c>
      <c r="EZ1382" s="33" t="s">
        <v>1065</v>
      </c>
      <c r="FA1382" s="33" t="s">
        <v>343</v>
      </c>
      <c r="FB1382" s="33" t="s">
        <v>344</v>
      </c>
      <c r="FC1382" s="33" t="s">
        <v>345</v>
      </c>
      <c r="FD1382" s="33" t="s">
        <v>346</v>
      </c>
      <c r="FE1382" s="33">
        <v>2025</v>
      </c>
      <c r="FF1382" s="33" t="s">
        <v>59</v>
      </c>
      <c r="FG1382" s="33" t="s">
        <v>477</v>
      </c>
      <c r="FH1382" s="33" t="s">
        <v>478</v>
      </c>
      <c r="FI1382" s="33" t="s">
        <v>479</v>
      </c>
      <c r="FJ1382" t="s">
        <v>59</v>
      </c>
      <c r="FM1382" s="32" t="s">
        <v>528</v>
      </c>
      <c r="FN1382" t="s">
        <v>529</v>
      </c>
      <c r="FO1382" t="s">
        <v>530</v>
      </c>
      <c r="FP1382" t="str">
        <f t="shared" si="206"/>
        <v>B</v>
      </c>
    </row>
    <row r="1383" spans="153:172" x14ac:dyDescent="0.35">
      <c r="EW1383" t="s">
        <v>2339</v>
      </c>
      <c r="EX1383" s="33" t="s">
        <v>2830</v>
      </c>
      <c r="EY1383" s="33" t="s">
        <v>1066</v>
      </c>
      <c r="EZ1383" s="33" t="s">
        <v>1067</v>
      </c>
      <c r="FA1383" s="33" t="s">
        <v>343</v>
      </c>
      <c r="FB1383" s="33" t="s">
        <v>344</v>
      </c>
      <c r="FC1383" s="33" t="s">
        <v>345</v>
      </c>
      <c r="FD1383" s="33" t="s">
        <v>346</v>
      </c>
      <c r="FE1383" s="33">
        <v>2025</v>
      </c>
      <c r="FF1383" s="33" t="s">
        <v>59</v>
      </c>
      <c r="FG1383" s="33" t="s">
        <v>477</v>
      </c>
      <c r="FH1383" s="33" t="s">
        <v>478</v>
      </c>
      <c r="FI1383" s="33" t="s">
        <v>479</v>
      </c>
      <c r="FJ1383" t="s">
        <v>59</v>
      </c>
      <c r="FM1383" s="32" t="s">
        <v>2781</v>
      </c>
      <c r="FN1383" t="s">
        <v>2781</v>
      </c>
      <c r="FO1383" t="s">
        <v>2782</v>
      </c>
      <c r="FP1383" t="str">
        <f t="shared" si="206"/>
        <v>B</v>
      </c>
    </row>
    <row r="1384" spans="153:172" x14ac:dyDescent="0.35">
      <c r="EW1384" t="s">
        <v>2339</v>
      </c>
      <c r="EX1384" s="33" t="s">
        <v>2831</v>
      </c>
      <c r="EY1384" s="33" t="s">
        <v>1068</v>
      </c>
      <c r="EZ1384" s="33" t="s">
        <v>1069</v>
      </c>
      <c r="FA1384" s="33" t="s">
        <v>343</v>
      </c>
      <c r="FB1384" s="33" t="s">
        <v>344</v>
      </c>
      <c r="FC1384" s="33" t="s">
        <v>345</v>
      </c>
      <c r="FD1384" s="33" t="s">
        <v>346</v>
      </c>
      <c r="FE1384" s="33">
        <v>2025</v>
      </c>
      <c r="FF1384" s="33" t="s">
        <v>59</v>
      </c>
      <c r="FG1384" s="33" t="s">
        <v>56</v>
      </c>
      <c r="FH1384" s="33" t="s">
        <v>57</v>
      </c>
      <c r="FI1384" s="33" t="s">
        <v>58</v>
      </c>
      <c r="FJ1384" t="s">
        <v>59</v>
      </c>
      <c r="FM1384" s="32" t="s">
        <v>2784</v>
      </c>
      <c r="FN1384" t="s">
        <v>2784</v>
      </c>
      <c r="FO1384" t="s">
        <v>2785</v>
      </c>
      <c r="FP1384" t="str">
        <f t="shared" si="206"/>
        <v>B</v>
      </c>
    </row>
    <row r="1385" spans="153:172" x14ac:dyDescent="0.35">
      <c r="EW1385" t="s">
        <v>2339</v>
      </c>
      <c r="EX1385" s="33" t="s">
        <v>2832</v>
      </c>
      <c r="EY1385" s="33" t="s">
        <v>1070</v>
      </c>
      <c r="EZ1385" s="33" t="s">
        <v>1071</v>
      </c>
      <c r="FA1385" s="33" t="s">
        <v>343</v>
      </c>
      <c r="FB1385" s="33" t="s">
        <v>344</v>
      </c>
      <c r="FC1385" s="33" t="s">
        <v>345</v>
      </c>
      <c r="FD1385" s="33" t="s">
        <v>346</v>
      </c>
      <c r="FE1385" s="33">
        <v>2025</v>
      </c>
      <c r="FF1385" s="33" t="s">
        <v>59</v>
      </c>
      <c r="FG1385" s="33" t="s">
        <v>56</v>
      </c>
      <c r="FH1385" s="33" t="s">
        <v>57</v>
      </c>
      <c r="FI1385" s="33" t="s">
        <v>58</v>
      </c>
      <c r="FJ1385" t="s">
        <v>59</v>
      </c>
      <c r="FM1385" s="32" t="s">
        <v>2744</v>
      </c>
      <c r="FN1385" t="s">
        <v>2744</v>
      </c>
      <c r="FO1385" t="s">
        <v>2745</v>
      </c>
      <c r="FP1385" t="str">
        <f t="shared" si="206"/>
        <v>B</v>
      </c>
    </row>
    <row r="1386" spans="153:172" x14ac:dyDescent="0.35">
      <c r="EW1386" t="s">
        <v>2339</v>
      </c>
      <c r="EX1386" s="33" t="s">
        <v>2833</v>
      </c>
      <c r="EY1386" s="33" t="s">
        <v>1072</v>
      </c>
      <c r="EZ1386" s="33" t="s">
        <v>1073</v>
      </c>
      <c r="FA1386" s="33" t="s">
        <v>343</v>
      </c>
      <c r="FB1386" s="33" t="s">
        <v>344</v>
      </c>
      <c r="FC1386" s="33" t="s">
        <v>345</v>
      </c>
      <c r="FD1386" s="33" t="s">
        <v>346</v>
      </c>
      <c r="FE1386" s="33">
        <v>2025</v>
      </c>
      <c r="FF1386" s="33" t="s">
        <v>59</v>
      </c>
      <c r="FG1386" s="33" t="s">
        <v>56</v>
      </c>
      <c r="FH1386" s="33" t="s">
        <v>57</v>
      </c>
      <c r="FI1386" s="33" t="s">
        <v>58</v>
      </c>
      <c r="FJ1386" t="s">
        <v>59</v>
      </c>
      <c r="FM1386" s="32" t="s">
        <v>2811</v>
      </c>
      <c r="FN1386" t="s">
        <v>2811</v>
      </c>
      <c r="FO1386" t="s">
        <v>2812</v>
      </c>
      <c r="FP1386" t="str">
        <f t="shared" si="206"/>
        <v>B</v>
      </c>
    </row>
    <row r="1387" spans="153:172" x14ac:dyDescent="0.35">
      <c r="EW1387" t="s">
        <v>2339</v>
      </c>
      <c r="EX1387" s="33" t="s">
        <v>2834</v>
      </c>
      <c r="EY1387" s="33" t="s">
        <v>1074</v>
      </c>
      <c r="EZ1387" s="33" t="s">
        <v>1075</v>
      </c>
      <c r="FA1387" s="33" t="s">
        <v>343</v>
      </c>
      <c r="FB1387" s="33" t="s">
        <v>344</v>
      </c>
      <c r="FC1387" s="33" t="s">
        <v>345</v>
      </c>
      <c r="FD1387" s="33" t="s">
        <v>346</v>
      </c>
      <c r="FE1387" s="33">
        <v>2025</v>
      </c>
      <c r="FF1387" s="33" t="s">
        <v>59</v>
      </c>
      <c r="FG1387" s="33" t="s">
        <v>386</v>
      </c>
      <c r="FH1387" s="33" t="s">
        <v>387</v>
      </c>
      <c r="FI1387" s="33" t="s">
        <v>407</v>
      </c>
      <c r="FJ1387" t="s">
        <v>59</v>
      </c>
      <c r="FM1387" s="32" t="s">
        <v>2729</v>
      </c>
      <c r="FN1387" t="s">
        <v>2729</v>
      </c>
      <c r="FO1387" t="s">
        <v>2730</v>
      </c>
      <c r="FP1387" t="str">
        <f t="shared" si="206"/>
        <v>B</v>
      </c>
    </row>
    <row r="1388" spans="153:172" x14ac:dyDescent="0.35">
      <c r="EW1388" t="s">
        <v>2339</v>
      </c>
      <c r="EX1388" s="33" t="s">
        <v>2835</v>
      </c>
      <c r="EY1388" s="33" t="s">
        <v>1076</v>
      </c>
      <c r="EZ1388" s="33" t="s">
        <v>1077</v>
      </c>
      <c r="FA1388" s="33" t="s">
        <v>343</v>
      </c>
      <c r="FB1388" s="33" t="s">
        <v>344</v>
      </c>
      <c r="FC1388" s="33" t="s">
        <v>345</v>
      </c>
      <c r="FD1388" s="33" t="s">
        <v>346</v>
      </c>
      <c r="FE1388" s="33">
        <v>2025</v>
      </c>
      <c r="FF1388" s="33" t="s">
        <v>59</v>
      </c>
      <c r="FG1388" s="33" t="s">
        <v>477</v>
      </c>
      <c r="FH1388" s="33" t="s">
        <v>478</v>
      </c>
      <c r="FI1388" s="33" t="s">
        <v>479</v>
      </c>
      <c r="FJ1388" t="s">
        <v>59</v>
      </c>
      <c r="FM1388" s="32" t="s">
        <v>2766</v>
      </c>
      <c r="FN1388" t="s">
        <v>2766</v>
      </c>
      <c r="FO1388" t="s">
        <v>2767</v>
      </c>
      <c r="FP1388" t="str">
        <f t="shared" si="206"/>
        <v>B</v>
      </c>
    </row>
    <row r="1389" spans="153:172" x14ac:dyDescent="0.35">
      <c r="EW1389" t="s">
        <v>2339</v>
      </c>
      <c r="EX1389" s="33" t="s">
        <v>2836</v>
      </c>
      <c r="EY1389" s="33" t="s">
        <v>1078</v>
      </c>
      <c r="EZ1389" s="33" t="s">
        <v>1079</v>
      </c>
      <c r="FA1389" s="33" t="s">
        <v>343</v>
      </c>
      <c r="FB1389" s="33" t="s">
        <v>344</v>
      </c>
      <c r="FC1389" s="33" t="s">
        <v>345</v>
      </c>
      <c r="FD1389" s="33" t="s">
        <v>346</v>
      </c>
      <c r="FE1389" s="33">
        <v>2025</v>
      </c>
      <c r="FF1389" s="33" t="s">
        <v>59</v>
      </c>
      <c r="FG1389" s="33" t="s">
        <v>470</v>
      </c>
      <c r="FH1389" s="33" t="s">
        <v>471</v>
      </c>
      <c r="FI1389" s="33" t="s">
        <v>467</v>
      </c>
      <c r="FJ1389" t="s">
        <v>59</v>
      </c>
      <c r="FM1389" s="32" t="s">
        <v>1408</v>
      </c>
      <c r="FN1389" t="s">
        <v>1408</v>
      </c>
      <c r="FO1389" t="s">
        <v>1409</v>
      </c>
      <c r="FP1389" t="str">
        <f t="shared" si="206"/>
        <v>C</v>
      </c>
    </row>
    <row r="1390" spans="153:172" x14ac:dyDescent="0.35">
      <c r="EW1390" t="s">
        <v>2339</v>
      </c>
      <c r="EX1390" s="33" t="s">
        <v>2837</v>
      </c>
      <c r="EY1390" s="33" t="s">
        <v>1080</v>
      </c>
      <c r="EZ1390" s="33" t="s">
        <v>1081</v>
      </c>
      <c r="FA1390" s="33" t="s">
        <v>343</v>
      </c>
      <c r="FB1390" s="33" t="s">
        <v>344</v>
      </c>
      <c r="FC1390" s="33" t="s">
        <v>345</v>
      </c>
      <c r="FD1390" s="33" t="s">
        <v>346</v>
      </c>
      <c r="FE1390" s="33">
        <v>2025</v>
      </c>
      <c r="FF1390" s="33" t="s">
        <v>59</v>
      </c>
      <c r="FG1390" s="33" t="s">
        <v>386</v>
      </c>
      <c r="FH1390" s="33" t="s">
        <v>387</v>
      </c>
      <c r="FI1390" s="33" t="s">
        <v>407</v>
      </c>
      <c r="FJ1390" t="s">
        <v>59</v>
      </c>
      <c r="FM1390" s="32" t="s">
        <v>911</v>
      </c>
      <c r="FN1390" t="s">
        <v>912</v>
      </c>
      <c r="FO1390" t="s">
        <v>913</v>
      </c>
      <c r="FP1390" t="str">
        <f t="shared" si="206"/>
        <v>B</v>
      </c>
    </row>
    <row r="1391" spans="153:172" x14ac:dyDescent="0.35">
      <c r="EW1391" t="s">
        <v>2339</v>
      </c>
      <c r="EX1391" s="33" t="s">
        <v>2838</v>
      </c>
      <c r="EY1391" s="33" t="s">
        <v>1085</v>
      </c>
      <c r="EZ1391" s="33" t="s">
        <v>1086</v>
      </c>
      <c r="FA1391" s="33" t="s">
        <v>343</v>
      </c>
      <c r="FB1391" s="33" t="s">
        <v>344</v>
      </c>
      <c r="FC1391" s="33" t="s">
        <v>345</v>
      </c>
      <c r="FD1391" s="33" t="s">
        <v>346</v>
      </c>
      <c r="FE1391" s="33">
        <v>2025</v>
      </c>
      <c r="FF1391" s="33" t="s">
        <v>59</v>
      </c>
      <c r="FG1391" s="33" t="s">
        <v>477</v>
      </c>
      <c r="FH1391" s="33" t="s">
        <v>478</v>
      </c>
      <c r="FI1391" s="33" t="s">
        <v>479</v>
      </c>
      <c r="FJ1391" t="s">
        <v>59</v>
      </c>
      <c r="FM1391" s="32" t="s">
        <v>710</v>
      </c>
      <c r="FN1391" t="s">
        <v>711</v>
      </c>
      <c r="FO1391" t="s">
        <v>712</v>
      </c>
      <c r="FP1391" t="str">
        <f t="shared" si="206"/>
        <v>B</v>
      </c>
    </row>
    <row r="1392" spans="153:172" x14ac:dyDescent="0.35">
      <c r="EW1392" t="s">
        <v>2339</v>
      </c>
      <c r="EX1392" s="33" t="s">
        <v>2839</v>
      </c>
      <c r="EY1392" s="33" t="s">
        <v>1087</v>
      </c>
      <c r="EZ1392" s="33" t="s">
        <v>1088</v>
      </c>
      <c r="FA1392" s="33" t="s">
        <v>343</v>
      </c>
      <c r="FB1392" s="33" t="s">
        <v>344</v>
      </c>
      <c r="FC1392" s="33" t="s">
        <v>345</v>
      </c>
      <c r="FD1392" s="33" t="s">
        <v>346</v>
      </c>
      <c r="FE1392" s="33">
        <v>2025</v>
      </c>
      <c r="FF1392" s="33" t="s">
        <v>59</v>
      </c>
      <c r="FG1392" s="33" t="s">
        <v>386</v>
      </c>
      <c r="FH1392" s="33" t="s">
        <v>387</v>
      </c>
      <c r="FI1392" s="33" t="s">
        <v>407</v>
      </c>
      <c r="FJ1392" t="s">
        <v>59</v>
      </c>
      <c r="FM1392" s="32" t="s">
        <v>2840</v>
      </c>
      <c r="FN1392" t="s">
        <v>2840</v>
      </c>
      <c r="FO1392" t="s">
        <v>2841</v>
      </c>
      <c r="FP1392" t="str">
        <f t="shared" si="206"/>
        <v>B</v>
      </c>
    </row>
    <row r="1393" spans="153:172" x14ac:dyDescent="0.35">
      <c r="EW1393" t="s">
        <v>2339</v>
      </c>
      <c r="EX1393" s="33" t="s">
        <v>2842</v>
      </c>
      <c r="EY1393" s="33" t="s">
        <v>1089</v>
      </c>
      <c r="EZ1393" s="33" t="s">
        <v>1090</v>
      </c>
      <c r="FA1393" s="33" t="s">
        <v>343</v>
      </c>
      <c r="FB1393" s="33" t="s">
        <v>344</v>
      </c>
      <c r="FC1393" s="33" t="s">
        <v>345</v>
      </c>
      <c r="FD1393" s="33" t="s">
        <v>346</v>
      </c>
      <c r="FE1393" s="33">
        <v>2025</v>
      </c>
      <c r="FF1393" s="33" t="s">
        <v>59</v>
      </c>
      <c r="FG1393" s="33" t="s">
        <v>477</v>
      </c>
      <c r="FH1393" s="33" t="s">
        <v>478</v>
      </c>
      <c r="FI1393" s="33" t="s">
        <v>479</v>
      </c>
      <c r="FJ1393" t="s">
        <v>59</v>
      </c>
      <c r="FM1393" s="32" t="s">
        <v>2756</v>
      </c>
      <c r="FN1393" t="s">
        <v>2756</v>
      </c>
      <c r="FO1393" t="s">
        <v>2757</v>
      </c>
      <c r="FP1393" t="str">
        <f t="shared" si="206"/>
        <v>B</v>
      </c>
    </row>
    <row r="1394" spans="153:172" x14ac:dyDescent="0.35">
      <c r="EW1394" t="s">
        <v>2339</v>
      </c>
      <c r="EX1394" s="33" t="s">
        <v>2843</v>
      </c>
      <c r="EY1394" s="33" t="s">
        <v>1091</v>
      </c>
      <c r="EZ1394" s="33" t="s">
        <v>1092</v>
      </c>
      <c r="FA1394" s="33" t="s">
        <v>343</v>
      </c>
      <c r="FB1394" s="33" t="s">
        <v>344</v>
      </c>
      <c r="FC1394" s="33" t="s">
        <v>345</v>
      </c>
      <c r="FD1394" s="33" t="s">
        <v>346</v>
      </c>
      <c r="FE1394" s="33">
        <v>2025</v>
      </c>
      <c r="FF1394" s="33" t="s">
        <v>59</v>
      </c>
      <c r="FG1394" s="33" t="s">
        <v>477</v>
      </c>
      <c r="FH1394" s="33" t="s">
        <v>478</v>
      </c>
      <c r="FI1394" s="33" t="s">
        <v>479</v>
      </c>
      <c r="FJ1394" t="s">
        <v>59</v>
      </c>
      <c r="FM1394" s="32" t="s">
        <v>2781</v>
      </c>
      <c r="FN1394" t="s">
        <v>2781</v>
      </c>
      <c r="FO1394" t="s">
        <v>2782</v>
      </c>
      <c r="FP1394" t="str">
        <f t="shared" si="206"/>
        <v>B</v>
      </c>
    </row>
    <row r="1395" spans="153:172" x14ac:dyDescent="0.35">
      <c r="EW1395" t="s">
        <v>2339</v>
      </c>
      <c r="EX1395" s="33" t="s">
        <v>2844</v>
      </c>
      <c r="EY1395" s="33" t="s">
        <v>1093</v>
      </c>
      <c r="EZ1395" s="33" t="s">
        <v>1094</v>
      </c>
      <c r="FA1395" s="33" t="s">
        <v>343</v>
      </c>
      <c r="FB1395" s="33" t="s">
        <v>344</v>
      </c>
      <c r="FC1395" s="33" t="s">
        <v>345</v>
      </c>
      <c r="FD1395" s="33" t="s">
        <v>346</v>
      </c>
      <c r="FE1395" s="33">
        <v>2025</v>
      </c>
      <c r="FF1395" s="33" t="s">
        <v>59</v>
      </c>
      <c r="FG1395" s="33" t="s">
        <v>477</v>
      </c>
      <c r="FH1395" s="33" t="s">
        <v>478</v>
      </c>
      <c r="FI1395" s="33" t="s">
        <v>479</v>
      </c>
      <c r="FJ1395" t="s">
        <v>59</v>
      </c>
      <c r="FM1395" s="32" t="s">
        <v>319</v>
      </c>
      <c r="FN1395" t="s">
        <v>320</v>
      </c>
      <c r="FO1395" t="s">
        <v>321</v>
      </c>
      <c r="FP1395" t="str">
        <f t="shared" si="206"/>
        <v>B</v>
      </c>
    </row>
    <row r="1396" spans="153:172" x14ac:dyDescent="0.35">
      <c r="EW1396" t="s">
        <v>2339</v>
      </c>
      <c r="EX1396" s="33" t="s">
        <v>2845</v>
      </c>
      <c r="EY1396" s="33" t="s">
        <v>1095</v>
      </c>
      <c r="EZ1396" s="33" t="s">
        <v>1096</v>
      </c>
      <c r="FA1396" s="33" t="s">
        <v>343</v>
      </c>
      <c r="FB1396" s="33" t="s">
        <v>344</v>
      </c>
      <c r="FC1396" s="33" t="s">
        <v>345</v>
      </c>
      <c r="FD1396" s="33" t="s">
        <v>346</v>
      </c>
      <c r="FE1396" s="33">
        <v>2025</v>
      </c>
      <c r="FF1396" s="33" t="s">
        <v>59</v>
      </c>
      <c r="FG1396" s="33" t="s">
        <v>477</v>
      </c>
      <c r="FH1396" s="33" t="s">
        <v>478</v>
      </c>
      <c r="FI1396" s="33" t="s">
        <v>479</v>
      </c>
      <c r="FJ1396" t="s">
        <v>59</v>
      </c>
      <c r="FM1396" s="32" t="s">
        <v>245</v>
      </c>
      <c r="FN1396" t="s">
        <v>246</v>
      </c>
      <c r="FO1396" t="s">
        <v>247</v>
      </c>
      <c r="FP1396" t="str">
        <f t="shared" si="206"/>
        <v>B</v>
      </c>
    </row>
    <row r="1397" spans="153:172" x14ac:dyDescent="0.35">
      <c r="EW1397" t="s">
        <v>2339</v>
      </c>
      <c r="EX1397" s="33" t="s">
        <v>2846</v>
      </c>
      <c r="EY1397" s="33" t="s">
        <v>1097</v>
      </c>
      <c r="EZ1397" s="33" t="s">
        <v>1098</v>
      </c>
      <c r="FA1397" s="33" t="s">
        <v>343</v>
      </c>
      <c r="FB1397" s="33" t="s">
        <v>344</v>
      </c>
      <c r="FC1397" s="33" t="s">
        <v>345</v>
      </c>
      <c r="FD1397" s="33" t="s">
        <v>346</v>
      </c>
      <c r="FE1397" s="33">
        <v>2025</v>
      </c>
      <c r="FF1397" s="33" t="s">
        <v>59</v>
      </c>
      <c r="FG1397" s="33" t="s">
        <v>477</v>
      </c>
      <c r="FH1397" s="33" t="s">
        <v>478</v>
      </c>
      <c r="FI1397" s="33" t="s">
        <v>479</v>
      </c>
      <c r="FJ1397" t="s">
        <v>59</v>
      </c>
      <c r="FM1397" s="32" t="s">
        <v>528</v>
      </c>
      <c r="FN1397" t="s">
        <v>529</v>
      </c>
      <c r="FO1397" t="s">
        <v>530</v>
      </c>
      <c r="FP1397" t="str">
        <f t="shared" si="206"/>
        <v>B</v>
      </c>
    </row>
    <row r="1398" spans="153:172" x14ac:dyDescent="0.35">
      <c r="EW1398" t="s">
        <v>2339</v>
      </c>
      <c r="EX1398" s="33" t="s">
        <v>2847</v>
      </c>
      <c r="EY1398" s="33" t="s">
        <v>1102</v>
      </c>
      <c r="EZ1398" s="33" t="s">
        <v>1103</v>
      </c>
      <c r="FA1398" s="33" t="s">
        <v>343</v>
      </c>
      <c r="FB1398" s="33" t="s">
        <v>344</v>
      </c>
      <c r="FC1398" s="33" t="s">
        <v>345</v>
      </c>
      <c r="FD1398" s="33" t="s">
        <v>346</v>
      </c>
      <c r="FE1398" s="33">
        <v>2025</v>
      </c>
      <c r="FF1398" s="33" t="s">
        <v>59</v>
      </c>
      <c r="FG1398" s="33" t="s">
        <v>477</v>
      </c>
      <c r="FH1398" s="33" t="s">
        <v>478</v>
      </c>
      <c r="FI1398" s="33" t="s">
        <v>479</v>
      </c>
      <c r="FJ1398" t="s">
        <v>59</v>
      </c>
      <c r="FM1398" s="32" t="s">
        <v>226</v>
      </c>
      <c r="FN1398" t="s">
        <v>227</v>
      </c>
      <c r="FO1398" t="s">
        <v>228</v>
      </c>
      <c r="FP1398" t="str">
        <f t="shared" si="206"/>
        <v>B</v>
      </c>
    </row>
    <row r="1399" spans="153:172" x14ac:dyDescent="0.35">
      <c r="EW1399" t="s">
        <v>2339</v>
      </c>
      <c r="EX1399" s="33" t="s">
        <v>2848</v>
      </c>
      <c r="EY1399" s="33" t="s">
        <v>1104</v>
      </c>
      <c r="EZ1399" s="33" t="s">
        <v>1105</v>
      </c>
      <c r="FA1399" s="33" t="s">
        <v>343</v>
      </c>
      <c r="FB1399" s="33" t="s">
        <v>344</v>
      </c>
      <c r="FC1399" s="33" t="s">
        <v>345</v>
      </c>
      <c r="FD1399" s="33" t="s">
        <v>346</v>
      </c>
      <c r="FE1399" s="33">
        <v>2025</v>
      </c>
      <c r="FF1399" s="33" t="s">
        <v>59</v>
      </c>
      <c r="FG1399" s="33" t="s">
        <v>477</v>
      </c>
      <c r="FH1399" s="33" t="s">
        <v>478</v>
      </c>
      <c r="FI1399" s="33" t="s">
        <v>479</v>
      </c>
      <c r="FJ1399" t="s">
        <v>59</v>
      </c>
      <c r="FM1399" s="32" t="s">
        <v>898</v>
      </c>
      <c r="FN1399" t="s">
        <v>899</v>
      </c>
      <c r="FO1399" t="s">
        <v>900</v>
      </c>
      <c r="FP1399" t="str">
        <f t="shared" si="206"/>
        <v>B</v>
      </c>
    </row>
    <row r="1400" spans="153:172" x14ac:dyDescent="0.35">
      <c r="EW1400" t="s">
        <v>2339</v>
      </c>
      <c r="EX1400" s="33" t="s">
        <v>2849</v>
      </c>
      <c r="EY1400" s="33" t="s">
        <v>1106</v>
      </c>
      <c r="EZ1400" s="33" t="s">
        <v>1107</v>
      </c>
      <c r="FA1400" s="33" t="s">
        <v>343</v>
      </c>
      <c r="FB1400" s="33" t="s">
        <v>1108</v>
      </c>
      <c r="FC1400" s="33" t="s">
        <v>345</v>
      </c>
      <c r="FD1400" s="33" t="s">
        <v>1108</v>
      </c>
      <c r="FE1400" s="33">
        <v>2025</v>
      </c>
      <c r="FF1400" s="33" t="s">
        <v>1109</v>
      </c>
      <c r="FG1400" s="33" t="s">
        <v>386</v>
      </c>
      <c r="FH1400" s="33" t="s">
        <v>387</v>
      </c>
      <c r="FI1400" s="33" t="s">
        <v>407</v>
      </c>
      <c r="FJ1400" t="s">
        <v>1109</v>
      </c>
      <c r="FM1400" s="32" t="s">
        <v>2729</v>
      </c>
      <c r="FN1400" t="s">
        <v>2729</v>
      </c>
      <c r="FO1400" t="s">
        <v>2730</v>
      </c>
      <c r="FP1400" t="str">
        <f t="shared" si="206"/>
        <v>B</v>
      </c>
    </row>
    <row r="1401" spans="153:172" x14ac:dyDescent="0.35">
      <c r="EW1401" t="s">
        <v>2339</v>
      </c>
      <c r="EX1401" s="33" t="s">
        <v>2850</v>
      </c>
      <c r="EY1401" s="33" t="s">
        <v>1110</v>
      </c>
      <c r="EZ1401" s="33" t="s">
        <v>1111</v>
      </c>
      <c r="FA1401" s="33" t="s">
        <v>343</v>
      </c>
      <c r="FB1401" s="33" t="s">
        <v>1108</v>
      </c>
      <c r="FC1401" s="33" t="s">
        <v>345</v>
      </c>
      <c r="FD1401" s="33" t="s">
        <v>1108</v>
      </c>
      <c r="FE1401" s="33">
        <v>2025</v>
      </c>
      <c r="FF1401" s="33" t="s">
        <v>1109</v>
      </c>
      <c r="FG1401" s="33" t="s">
        <v>386</v>
      </c>
      <c r="FH1401" s="33" t="s">
        <v>387</v>
      </c>
      <c r="FI1401" s="33" t="s">
        <v>407</v>
      </c>
      <c r="FJ1401" t="s">
        <v>1109</v>
      </c>
      <c r="FM1401" s="32" t="s">
        <v>950</v>
      </c>
      <c r="FN1401" t="s">
        <v>951</v>
      </c>
      <c r="FO1401" t="s">
        <v>952</v>
      </c>
      <c r="FP1401" t="str">
        <f t="shared" si="206"/>
        <v>B</v>
      </c>
    </row>
    <row r="1402" spans="153:172" x14ac:dyDescent="0.35">
      <c r="EW1402" t="s">
        <v>2339</v>
      </c>
      <c r="EX1402" s="33" t="s">
        <v>2851</v>
      </c>
      <c r="EY1402" s="33" t="s">
        <v>1112</v>
      </c>
      <c r="EZ1402" s="33" t="s">
        <v>1113</v>
      </c>
      <c r="FA1402" s="33" t="s">
        <v>343</v>
      </c>
      <c r="FB1402" s="33" t="s">
        <v>1108</v>
      </c>
      <c r="FC1402" s="33" t="s">
        <v>345</v>
      </c>
      <c r="FD1402" s="33" t="s">
        <v>1108</v>
      </c>
      <c r="FE1402" s="33">
        <v>2025</v>
      </c>
      <c r="FF1402" s="33" t="s">
        <v>1109</v>
      </c>
      <c r="FG1402" s="33" t="s">
        <v>386</v>
      </c>
      <c r="FH1402" s="33" t="s">
        <v>387</v>
      </c>
      <c r="FI1402" s="33" t="s">
        <v>407</v>
      </c>
      <c r="FJ1402" t="s">
        <v>1109</v>
      </c>
      <c r="FM1402" s="32" t="s">
        <v>1202</v>
      </c>
      <c r="FN1402" t="s">
        <v>1202</v>
      </c>
      <c r="FO1402" t="s">
        <v>1203</v>
      </c>
      <c r="FP1402" t="str">
        <f t="shared" si="206"/>
        <v>B</v>
      </c>
    </row>
    <row r="1403" spans="153:172" x14ac:dyDescent="0.35">
      <c r="EW1403" t="s">
        <v>2339</v>
      </c>
      <c r="EX1403" s="33" t="s">
        <v>2852</v>
      </c>
      <c r="EY1403" s="33" t="s">
        <v>1114</v>
      </c>
      <c r="EZ1403" s="33" t="s">
        <v>1115</v>
      </c>
      <c r="FA1403" s="33" t="s">
        <v>343</v>
      </c>
      <c r="FB1403" s="33" t="s">
        <v>1108</v>
      </c>
      <c r="FC1403" s="33" t="s">
        <v>345</v>
      </c>
      <c r="FD1403" s="33" t="s">
        <v>1108</v>
      </c>
      <c r="FE1403" s="33">
        <v>2025</v>
      </c>
      <c r="FF1403" s="33" t="s">
        <v>1109</v>
      </c>
      <c r="FG1403" s="33" t="s">
        <v>386</v>
      </c>
      <c r="FH1403" s="33" t="s">
        <v>387</v>
      </c>
      <c r="FI1403" s="33" t="s">
        <v>407</v>
      </c>
      <c r="FJ1403" t="s">
        <v>1109</v>
      </c>
      <c r="FM1403" s="32" t="s">
        <v>2718</v>
      </c>
      <c r="FN1403" t="s">
        <v>2718</v>
      </c>
      <c r="FO1403" t="s">
        <v>2719</v>
      </c>
      <c r="FP1403" t="str">
        <f t="shared" si="206"/>
        <v>B</v>
      </c>
    </row>
    <row r="1404" spans="153:172" x14ac:dyDescent="0.35">
      <c r="EW1404" t="s">
        <v>2339</v>
      </c>
      <c r="EX1404" s="33" t="s">
        <v>2853</v>
      </c>
      <c r="EY1404" s="33" t="s">
        <v>1116</v>
      </c>
      <c r="EZ1404" s="33" t="s">
        <v>1117</v>
      </c>
      <c r="FA1404" s="33" t="s">
        <v>343</v>
      </c>
      <c r="FB1404" s="33" t="s">
        <v>1108</v>
      </c>
      <c r="FC1404" s="33" t="s">
        <v>345</v>
      </c>
      <c r="FD1404" s="33" t="s">
        <v>1108</v>
      </c>
      <c r="FE1404" s="33">
        <v>2025</v>
      </c>
      <c r="FF1404" s="33" t="s">
        <v>1109</v>
      </c>
      <c r="FG1404" s="33" t="s">
        <v>386</v>
      </c>
      <c r="FH1404" s="33" t="s">
        <v>387</v>
      </c>
      <c r="FI1404" s="33" t="s">
        <v>407</v>
      </c>
      <c r="FJ1404" t="s">
        <v>1109</v>
      </c>
      <c r="FM1404" s="32" t="s">
        <v>510</v>
      </c>
      <c r="FN1404" t="s">
        <v>511</v>
      </c>
      <c r="FO1404" t="s">
        <v>512</v>
      </c>
      <c r="FP1404" t="str">
        <f t="shared" si="206"/>
        <v>B</v>
      </c>
    </row>
    <row r="1405" spans="153:172" x14ac:dyDescent="0.35">
      <c r="EW1405" t="s">
        <v>2339</v>
      </c>
      <c r="EX1405" s="33" t="s">
        <v>2854</v>
      </c>
      <c r="EY1405" s="33" t="s">
        <v>1118</v>
      </c>
      <c r="EZ1405" s="33" t="s">
        <v>1119</v>
      </c>
      <c r="FA1405" s="33" t="s">
        <v>343</v>
      </c>
      <c r="FB1405" s="33" t="s">
        <v>1108</v>
      </c>
      <c r="FC1405" s="33" t="s">
        <v>345</v>
      </c>
      <c r="FD1405" s="33" t="s">
        <v>1108</v>
      </c>
      <c r="FE1405" s="33">
        <v>2025</v>
      </c>
      <c r="FF1405" s="33" t="s">
        <v>1109</v>
      </c>
      <c r="FG1405" s="33" t="s">
        <v>386</v>
      </c>
      <c r="FH1405" s="33" t="s">
        <v>387</v>
      </c>
      <c r="FI1405" s="33" t="s">
        <v>407</v>
      </c>
      <c r="FJ1405" t="s">
        <v>1109</v>
      </c>
      <c r="FM1405" s="32" t="s">
        <v>817</v>
      </c>
      <c r="FN1405" t="s">
        <v>818</v>
      </c>
      <c r="FO1405" t="s">
        <v>819</v>
      </c>
      <c r="FP1405" t="str">
        <f t="shared" si="206"/>
        <v>B</v>
      </c>
    </row>
    <row r="1406" spans="153:172" x14ac:dyDescent="0.35">
      <c r="EW1406" t="s">
        <v>2339</v>
      </c>
      <c r="EX1406" s="33" t="s">
        <v>2855</v>
      </c>
      <c r="EY1406" s="33" t="s">
        <v>1123</v>
      </c>
      <c r="EZ1406" s="33" t="s">
        <v>1124</v>
      </c>
      <c r="FA1406" s="33" t="s">
        <v>343</v>
      </c>
      <c r="FB1406" s="33" t="s">
        <v>1108</v>
      </c>
      <c r="FC1406" s="33" t="s">
        <v>345</v>
      </c>
      <c r="FD1406" s="33" t="s">
        <v>1108</v>
      </c>
      <c r="FE1406" s="33">
        <v>2025</v>
      </c>
      <c r="FF1406" s="33" t="s">
        <v>1109</v>
      </c>
      <c r="FG1406" s="33" t="s">
        <v>386</v>
      </c>
      <c r="FH1406" s="33" t="s">
        <v>387</v>
      </c>
      <c r="FI1406" s="33" t="s">
        <v>407</v>
      </c>
      <c r="FJ1406" t="s">
        <v>1109</v>
      </c>
      <c r="FM1406" s="32" t="s">
        <v>377</v>
      </c>
      <c r="FN1406" t="s">
        <v>377</v>
      </c>
      <c r="FO1406" t="s">
        <v>377</v>
      </c>
      <c r="FP1406" t="str">
        <f t="shared" si="206"/>
        <v>B</v>
      </c>
    </row>
    <row r="1407" spans="153:172" x14ac:dyDescent="0.35">
      <c r="EW1407" t="s">
        <v>2339</v>
      </c>
      <c r="EX1407" s="33" t="s">
        <v>2856</v>
      </c>
      <c r="EY1407" s="33" t="s">
        <v>1128</v>
      </c>
      <c r="EZ1407" s="33" t="s">
        <v>1129</v>
      </c>
      <c r="FA1407" s="33" t="s">
        <v>343</v>
      </c>
      <c r="FB1407" s="33" t="s">
        <v>1108</v>
      </c>
      <c r="FC1407" s="33" t="s">
        <v>345</v>
      </c>
      <c r="FD1407" s="33" t="s">
        <v>1108</v>
      </c>
      <c r="FE1407" s="33">
        <v>2025</v>
      </c>
      <c r="FF1407" s="33" t="s">
        <v>1109</v>
      </c>
      <c r="FG1407" s="33" t="s">
        <v>386</v>
      </c>
      <c r="FH1407" s="33" t="s">
        <v>387</v>
      </c>
      <c r="FI1407" s="33" t="s">
        <v>407</v>
      </c>
      <c r="FJ1407" t="s">
        <v>1109</v>
      </c>
      <c r="FM1407" s="32" t="s">
        <v>2740</v>
      </c>
      <c r="FN1407" t="s">
        <v>2740</v>
      </c>
      <c r="FO1407" t="s">
        <v>2740</v>
      </c>
      <c r="FP1407" t="str">
        <f t="shared" si="206"/>
        <v>B</v>
      </c>
    </row>
    <row r="1408" spans="153:172" x14ac:dyDescent="0.35">
      <c r="EW1408" t="s">
        <v>2339</v>
      </c>
      <c r="EX1408" s="33" t="s">
        <v>2857</v>
      </c>
      <c r="EY1408" s="33" t="s">
        <v>1130</v>
      </c>
      <c r="EZ1408" s="33" t="s">
        <v>1131</v>
      </c>
      <c r="FA1408" s="33" t="s">
        <v>343</v>
      </c>
      <c r="FB1408" s="33" t="s">
        <v>1108</v>
      </c>
      <c r="FC1408" s="33" t="s">
        <v>345</v>
      </c>
      <c r="FD1408" s="33" t="s">
        <v>1108</v>
      </c>
      <c r="FE1408" s="33">
        <v>2025</v>
      </c>
      <c r="FF1408" s="33" t="s">
        <v>1109</v>
      </c>
      <c r="FG1408" s="33" t="s">
        <v>386</v>
      </c>
      <c r="FH1408" s="33" t="s">
        <v>387</v>
      </c>
      <c r="FI1408" s="33" t="s">
        <v>407</v>
      </c>
      <c r="FJ1408" t="s">
        <v>1109</v>
      </c>
      <c r="FM1408" s="32" t="s">
        <v>68</v>
      </c>
      <c r="FN1408" t="s">
        <v>68</v>
      </c>
      <c r="FO1408" t="s">
        <v>68</v>
      </c>
      <c r="FP1408" t="str">
        <f t="shared" si="206"/>
        <v>B</v>
      </c>
    </row>
    <row r="1409" spans="153:172" x14ac:dyDescent="0.35">
      <c r="EW1409" t="s">
        <v>2339</v>
      </c>
      <c r="EX1409" s="33" t="s">
        <v>2858</v>
      </c>
      <c r="EY1409" s="33" t="s">
        <v>1135</v>
      </c>
      <c r="EZ1409" s="33" t="s">
        <v>1136</v>
      </c>
      <c r="FA1409" s="33" t="s">
        <v>343</v>
      </c>
      <c r="FB1409" s="33" t="s">
        <v>1108</v>
      </c>
      <c r="FC1409" s="33" t="s">
        <v>345</v>
      </c>
      <c r="FD1409" s="33" t="s">
        <v>1108</v>
      </c>
      <c r="FE1409" s="33">
        <v>2025</v>
      </c>
      <c r="FF1409" s="33" t="s">
        <v>1109</v>
      </c>
      <c r="FG1409" s="33" t="s">
        <v>386</v>
      </c>
      <c r="FH1409" s="33" t="s">
        <v>387</v>
      </c>
      <c r="FI1409" s="33" t="s">
        <v>407</v>
      </c>
      <c r="FJ1409" t="s">
        <v>1109</v>
      </c>
      <c r="FM1409" s="32" t="s">
        <v>2723</v>
      </c>
      <c r="FN1409" t="s">
        <v>2723</v>
      </c>
      <c r="FO1409" t="s">
        <v>2723</v>
      </c>
      <c r="FP1409" t="str">
        <f t="shared" ref="FP1409:FP1472" si="207">VLOOKUP(FO1409,EX:FF,9,0)</f>
        <v>B</v>
      </c>
    </row>
    <row r="1410" spans="153:172" x14ac:dyDescent="0.35">
      <c r="EW1410" t="s">
        <v>2339</v>
      </c>
      <c r="EX1410" s="33" t="s">
        <v>2859</v>
      </c>
      <c r="EY1410" s="33" t="s">
        <v>1137</v>
      </c>
      <c r="EZ1410" s="33" t="s">
        <v>1138</v>
      </c>
      <c r="FA1410" s="33" t="s">
        <v>343</v>
      </c>
      <c r="FB1410" s="33" t="s">
        <v>1108</v>
      </c>
      <c r="FC1410" s="33" t="s">
        <v>345</v>
      </c>
      <c r="FD1410" s="33" t="s">
        <v>1108</v>
      </c>
      <c r="FE1410" s="33">
        <v>2025</v>
      </c>
      <c r="FF1410" s="33" t="s">
        <v>1109</v>
      </c>
      <c r="FG1410" s="33" t="s">
        <v>386</v>
      </c>
      <c r="FH1410" s="33" t="s">
        <v>387</v>
      </c>
      <c r="FI1410" s="33" t="s">
        <v>407</v>
      </c>
      <c r="FJ1410" t="s">
        <v>1109</v>
      </c>
      <c r="FM1410" s="32" t="s">
        <v>2745</v>
      </c>
      <c r="FN1410" t="s">
        <v>2745</v>
      </c>
      <c r="FO1410" t="s">
        <v>2745</v>
      </c>
      <c r="FP1410" t="str">
        <f t="shared" si="207"/>
        <v>B</v>
      </c>
    </row>
    <row r="1411" spans="153:172" x14ac:dyDescent="0.35">
      <c r="EW1411" t="s">
        <v>2339</v>
      </c>
      <c r="EX1411" s="33" t="s">
        <v>2860</v>
      </c>
      <c r="EY1411" s="33" t="s">
        <v>1139</v>
      </c>
      <c r="EZ1411" s="33" t="s">
        <v>1140</v>
      </c>
      <c r="FA1411" s="33" t="s">
        <v>343</v>
      </c>
      <c r="FB1411" s="33" t="s">
        <v>1108</v>
      </c>
      <c r="FC1411" s="33" t="s">
        <v>345</v>
      </c>
      <c r="FD1411" s="33" t="s">
        <v>1108</v>
      </c>
      <c r="FE1411" s="33">
        <v>2025</v>
      </c>
      <c r="FF1411" s="33" t="s">
        <v>1109</v>
      </c>
      <c r="FG1411" s="33" t="s">
        <v>386</v>
      </c>
      <c r="FH1411" s="33" t="s">
        <v>387</v>
      </c>
      <c r="FI1411" s="33" t="s">
        <v>407</v>
      </c>
      <c r="FJ1411" t="s">
        <v>1109</v>
      </c>
      <c r="FM1411" s="32" t="s">
        <v>438</v>
      </c>
      <c r="FN1411" t="s">
        <v>438</v>
      </c>
      <c r="FO1411" t="s">
        <v>438</v>
      </c>
      <c r="FP1411" t="str">
        <f t="shared" si="207"/>
        <v>B</v>
      </c>
    </row>
    <row r="1412" spans="153:172" x14ac:dyDescent="0.35">
      <c r="EW1412" t="s">
        <v>2339</v>
      </c>
      <c r="EX1412" s="33" t="s">
        <v>2861</v>
      </c>
      <c r="EY1412" s="33" t="s">
        <v>1141</v>
      </c>
      <c r="EZ1412" s="33" t="s">
        <v>1142</v>
      </c>
      <c r="FA1412" s="33" t="s">
        <v>343</v>
      </c>
      <c r="FB1412" s="33" t="s">
        <v>1108</v>
      </c>
      <c r="FC1412" s="33" t="s">
        <v>345</v>
      </c>
      <c r="FD1412" s="33" t="s">
        <v>1108</v>
      </c>
      <c r="FE1412" s="33">
        <v>2025</v>
      </c>
      <c r="FF1412" s="33" t="s">
        <v>1109</v>
      </c>
      <c r="FG1412" s="33" t="s">
        <v>386</v>
      </c>
      <c r="FH1412" s="33" t="s">
        <v>387</v>
      </c>
      <c r="FI1412" s="33" t="s">
        <v>407</v>
      </c>
      <c r="FJ1412" t="s">
        <v>1109</v>
      </c>
      <c r="FM1412" s="32" t="s">
        <v>228</v>
      </c>
      <c r="FN1412" t="s">
        <v>228</v>
      </c>
      <c r="FO1412" t="s">
        <v>228</v>
      </c>
      <c r="FP1412" t="str">
        <f t="shared" si="207"/>
        <v>B</v>
      </c>
    </row>
    <row r="1413" spans="153:172" x14ac:dyDescent="0.35">
      <c r="EW1413" t="s">
        <v>2339</v>
      </c>
      <c r="EX1413" s="33" t="s">
        <v>2862</v>
      </c>
      <c r="EY1413" s="33" t="s">
        <v>1143</v>
      </c>
      <c r="EZ1413" s="33" t="s">
        <v>1144</v>
      </c>
      <c r="FA1413" s="33" t="s">
        <v>343</v>
      </c>
      <c r="FB1413" s="33" t="s">
        <v>1108</v>
      </c>
      <c r="FC1413" s="33" t="s">
        <v>345</v>
      </c>
      <c r="FD1413" s="33" t="s">
        <v>1108</v>
      </c>
      <c r="FE1413" s="33">
        <v>2025</v>
      </c>
      <c r="FF1413" s="33" t="s">
        <v>1109</v>
      </c>
      <c r="FG1413" s="33" t="s">
        <v>386</v>
      </c>
      <c r="FH1413" s="33" t="s">
        <v>387</v>
      </c>
      <c r="FI1413" s="33" t="s">
        <v>407</v>
      </c>
      <c r="FJ1413" t="s">
        <v>1109</v>
      </c>
      <c r="FM1413" s="32" t="s">
        <v>308</v>
      </c>
      <c r="FN1413" t="s">
        <v>309</v>
      </c>
      <c r="FO1413" t="s">
        <v>310</v>
      </c>
      <c r="FP1413" t="str">
        <f t="shared" si="207"/>
        <v>B</v>
      </c>
    </row>
    <row r="1414" spans="153:172" x14ac:dyDescent="0.35">
      <c r="EW1414" t="s">
        <v>2339</v>
      </c>
      <c r="EX1414" s="33" t="s">
        <v>2863</v>
      </c>
      <c r="EY1414" s="33" t="s">
        <v>1145</v>
      </c>
      <c r="EZ1414" s="33" t="s">
        <v>1146</v>
      </c>
      <c r="FA1414" s="33" t="s">
        <v>343</v>
      </c>
      <c r="FB1414" s="33" t="s">
        <v>1108</v>
      </c>
      <c r="FC1414" s="33" t="s">
        <v>345</v>
      </c>
      <c r="FD1414" s="33" t="s">
        <v>1108</v>
      </c>
      <c r="FE1414" s="33">
        <v>2025</v>
      </c>
      <c r="FF1414" s="33" t="s">
        <v>1109</v>
      </c>
      <c r="FG1414" s="33" t="s">
        <v>386</v>
      </c>
      <c r="FH1414" s="33" t="s">
        <v>387</v>
      </c>
      <c r="FI1414" s="33" t="s">
        <v>407</v>
      </c>
      <c r="FJ1414" t="s">
        <v>1109</v>
      </c>
      <c r="FM1414" s="32" t="s">
        <v>2749</v>
      </c>
      <c r="FN1414" t="s">
        <v>2749</v>
      </c>
      <c r="FO1414" t="s">
        <v>2750</v>
      </c>
      <c r="FP1414" t="str">
        <f t="shared" si="207"/>
        <v>B</v>
      </c>
    </row>
    <row r="1415" spans="153:172" x14ac:dyDescent="0.35">
      <c r="EW1415" t="s">
        <v>2339</v>
      </c>
      <c r="EX1415" s="33" t="s">
        <v>2864</v>
      </c>
      <c r="EY1415" s="33" t="s">
        <v>1147</v>
      </c>
      <c r="EZ1415" s="33" t="s">
        <v>1148</v>
      </c>
      <c r="FA1415" s="33" t="s">
        <v>343</v>
      </c>
      <c r="FB1415" s="33" t="s">
        <v>1108</v>
      </c>
      <c r="FC1415" s="33" t="s">
        <v>345</v>
      </c>
      <c r="FD1415" s="33" t="s">
        <v>1108</v>
      </c>
      <c r="FE1415" s="33">
        <v>2025</v>
      </c>
      <c r="FF1415" s="33" t="s">
        <v>1109</v>
      </c>
      <c r="FG1415" s="33" t="s">
        <v>386</v>
      </c>
      <c r="FH1415" s="33" t="s">
        <v>387</v>
      </c>
      <c r="FI1415" s="33" t="s">
        <v>407</v>
      </c>
      <c r="FJ1415" t="s">
        <v>1109</v>
      </c>
      <c r="FM1415" s="32" t="s">
        <v>1951</v>
      </c>
      <c r="FN1415" t="s">
        <v>1951</v>
      </c>
      <c r="FO1415" t="s">
        <v>1952</v>
      </c>
      <c r="FP1415" t="str">
        <f t="shared" si="207"/>
        <v>C</v>
      </c>
    </row>
    <row r="1416" spans="153:172" x14ac:dyDescent="0.35">
      <c r="EW1416" t="s">
        <v>2339</v>
      </c>
      <c r="EX1416" s="33" t="s">
        <v>2865</v>
      </c>
      <c r="EY1416" s="33" t="s">
        <v>1149</v>
      </c>
      <c r="EZ1416" s="33" t="s">
        <v>1150</v>
      </c>
      <c r="FA1416" s="33" t="s">
        <v>343</v>
      </c>
      <c r="FB1416" s="33" t="s">
        <v>1108</v>
      </c>
      <c r="FC1416" s="33" t="s">
        <v>345</v>
      </c>
      <c r="FD1416" s="33" t="s">
        <v>1108</v>
      </c>
      <c r="FE1416" s="33">
        <v>2025</v>
      </c>
      <c r="FF1416" s="33" t="s">
        <v>1109</v>
      </c>
      <c r="FG1416" s="33" t="s">
        <v>386</v>
      </c>
      <c r="FH1416" s="33" t="s">
        <v>387</v>
      </c>
      <c r="FI1416" s="33" t="s">
        <v>407</v>
      </c>
      <c r="FJ1416" t="s">
        <v>1109</v>
      </c>
      <c r="FM1416" s="32" t="s">
        <v>1264</v>
      </c>
      <c r="FN1416" t="s">
        <v>1264</v>
      </c>
      <c r="FO1416" t="s">
        <v>1265</v>
      </c>
      <c r="FP1416" t="str">
        <f t="shared" si="207"/>
        <v>C</v>
      </c>
    </row>
    <row r="1417" spans="153:172" x14ac:dyDescent="0.35">
      <c r="EW1417" t="s">
        <v>2339</v>
      </c>
      <c r="EX1417" s="33" t="s">
        <v>2866</v>
      </c>
      <c r="EY1417" s="33" t="s">
        <v>1151</v>
      </c>
      <c r="EZ1417" s="33" t="s">
        <v>1152</v>
      </c>
      <c r="FA1417" s="33" t="s">
        <v>343</v>
      </c>
      <c r="FB1417" s="33" t="s">
        <v>1108</v>
      </c>
      <c r="FC1417" s="33" t="s">
        <v>345</v>
      </c>
      <c r="FD1417" s="33" t="s">
        <v>1108</v>
      </c>
      <c r="FE1417" s="33">
        <v>2025</v>
      </c>
      <c r="FF1417" s="33" t="s">
        <v>1109</v>
      </c>
      <c r="FG1417" s="33" t="s">
        <v>386</v>
      </c>
      <c r="FH1417" s="33" t="s">
        <v>387</v>
      </c>
      <c r="FI1417" s="33" t="s">
        <v>407</v>
      </c>
      <c r="FJ1417" t="s">
        <v>1109</v>
      </c>
      <c r="FM1417" s="32" t="s">
        <v>563</v>
      </c>
      <c r="FN1417" t="s">
        <v>564</v>
      </c>
      <c r="FO1417" t="s">
        <v>565</v>
      </c>
      <c r="FP1417" t="str">
        <f t="shared" si="207"/>
        <v>B</v>
      </c>
    </row>
    <row r="1418" spans="153:172" x14ac:dyDescent="0.35">
      <c r="EW1418" t="s">
        <v>2339</v>
      </c>
      <c r="EX1418" s="33" t="s">
        <v>2867</v>
      </c>
      <c r="EY1418" s="33" t="s">
        <v>1156</v>
      </c>
      <c r="EZ1418" s="33" t="s">
        <v>1157</v>
      </c>
      <c r="FA1418" s="33" t="s">
        <v>343</v>
      </c>
      <c r="FB1418" s="33" t="s">
        <v>1108</v>
      </c>
      <c r="FC1418" s="33" t="s">
        <v>345</v>
      </c>
      <c r="FD1418" s="33" t="s">
        <v>1108</v>
      </c>
      <c r="FE1418" s="33">
        <v>2025</v>
      </c>
      <c r="FF1418" s="33" t="s">
        <v>1109</v>
      </c>
      <c r="FG1418" s="33" t="s">
        <v>386</v>
      </c>
      <c r="FH1418" s="33" t="s">
        <v>387</v>
      </c>
      <c r="FI1418" s="33" t="s">
        <v>407</v>
      </c>
      <c r="FJ1418" t="s">
        <v>1109</v>
      </c>
      <c r="FM1418" s="32" t="s">
        <v>2756</v>
      </c>
      <c r="FN1418" t="s">
        <v>2756</v>
      </c>
      <c r="FO1418" t="s">
        <v>2757</v>
      </c>
      <c r="FP1418" t="str">
        <f t="shared" si="207"/>
        <v>B</v>
      </c>
    </row>
    <row r="1419" spans="153:172" x14ac:dyDescent="0.35">
      <c r="EW1419" t="s">
        <v>2339</v>
      </c>
      <c r="EX1419" s="33" t="s">
        <v>2868</v>
      </c>
      <c r="EY1419" s="33" t="s">
        <v>1158</v>
      </c>
      <c r="EZ1419" s="33" t="s">
        <v>1159</v>
      </c>
      <c r="FA1419" s="33" t="s">
        <v>343</v>
      </c>
      <c r="FB1419" s="33" t="s">
        <v>1108</v>
      </c>
      <c r="FC1419" s="33" t="s">
        <v>345</v>
      </c>
      <c r="FD1419" s="33" t="s">
        <v>1108</v>
      </c>
      <c r="FE1419" s="33">
        <v>2025</v>
      </c>
      <c r="FF1419" s="33" t="s">
        <v>1109</v>
      </c>
      <c r="FG1419" s="33" t="s">
        <v>386</v>
      </c>
      <c r="FH1419" s="33" t="s">
        <v>387</v>
      </c>
      <c r="FI1419" s="33" t="s">
        <v>407</v>
      </c>
      <c r="FJ1419" t="s">
        <v>1109</v>
      </c>
      <c r="FM1419" s="32" t="s">
        <v>2759</v>
      </c>
      <c r="FN1419" t="s">
        <v>2759</v>
      </c>
      <c r="FO1419" t="s">
        <v>2760</v>
      </c>
      <c r="FP1419" t="str">
        <f t="shared" si="207"/>
        <v>B</v>
      </c>
    </row>
    <row r="1420" spans="153:172" x14ac:dyDescent="0.35">
      <c r="EW1420" t="s">
        <v>2339</v>
      </c>
      <c r="EX1420" s="33" t="s">
        <v>2869</v>
      </c>
      <c r="EY1420" s="33" t="s">
        <v>1160</v>
      </c>
      <c r="EZ1420" s="33" t="s">
        <v>1161</v>
      </c>
      <c r="FA1420" s="33" t="s">
        <v>343</v>
      </c>
      <c r="FB1420" s="33" t="s">
        <v>1108</v>
      </c>
      <c r="FC1420" s="33" t="s">
        <v>345</v>
      </c>
      <c r="FD1420" s="33" t="s">
        <v>1108</v>
      </c>
      <c r="FE1420" s="33">
        <v>2025</v>
      </c>
      <c r="FF1420" s="33" t="s">
        <v>1109</v>
      </c>
      <c r="FG1420" s="33" t="s">
        <v>386</v>
      </c>
      <c r="FH1420" s="33" t="s">
        <v>387</v>
      </c>
      <c r="FI1420" s="33" t="s">
        <v>407</v>
      </c>
      <c r="FJ1420" t="s">
        <v>1109</v>
      </c>
      <c r="FM1420" s="32" t="s">
        <v>206</v>
      </c>
      <c r="FN1420" t="s">
        <v>207</v>
      </c>
      <c r="FO1420" t="s">
        <v>208</v>
      </c>
      <c r="FP1420" t="str">
        <f t="shared" si="207"/>
        <v>B</v>
      </c>
    </row>
    <row r="1421" spans="153:172" x14ac:dyDescent="0.35">
      <c r="EW1421" t="s">
        <v>2339</v>
      </c>
      <c r="EX1421" s="33" t="s">
        <v>2870</v>
      </c>
      <c r="EY1421" s="33" t="s">
        <v>1165</v>
      </c>
      <c r="EZ1421" s="33" t="s">
        <v>1166</v>
      </c>
      <c r="FA1421" s="33" t="s">
        <v>343</v>
      </c>
      <c r="FB1421" s="33" t="s">
        <v>1108</v>
      </c>
      <c r="FC1421" s="33" t="s">
        <v>345</v>
      </c>
      <c r="FD1421" s="33" t="s">
        <v>1108</v>
      </c>
      <c r="FE1421" s="33">
        <v>2025</v>
      </c>
      <c r="FF1421" s="33" t="s">
        <v>1109</v>
      </c>
      <c r="FG1421" s="33" t="s">
        <v>386</v>
      </c>
      <c r="FH1421" s="33" t="s">
        <v>387</v>
      </c>
      <c r="FI1421" s="33" t="s">
        <v>407</v>
      </c>
      <c r="FJ1421" t="s">
        <v>1109</v>
      </c>
      <c r="FM1421" s="32" t="s">
        <v>2718</v>
      </c>
      <c r="FN1421" t="s">
        <v>2718</v>
      </c>
      <c r="FO1421" t="s">
        <v>2719</v>
      </c>
      <c r="FP1421" t="str">
        <f t="shared" si="207"/>
        <v>B</v>
      </c>
    </row>
    <row r="1422" spans="153:172" x14ac:dyDescent="0.35">
      <c r="EW1422" t="s">
        <v>2339</v>
      </c>
      <c r="EX1422" s="33" t="s">
        <v>2871</v>
      </c>
      <c r="EY1422" s="33" t="s">
        <v>1167</v>
      </c>
      <c r="EZ1422" s="33" t="s">
        <v>1168</v>
      </c>
      <c r="FA1422" s="33" t="s">
        <v>343</v>
      </c>
      <c r="FB1422" s="33" t="s">
        <v>1108</v>
      </c>
      <c r="FC1422" s="33" t="s">
        <v>345</v>
      </c>
      <c r="FD1422" s="33" t="s">
        <v>1108</v>
      </c>
      <c r="FE1422" s="33">
        <v>2025</v>
      </c>
      <c r="FF1422" s="33" t="s">
        <v>1109</v>
      </c>
      <c r="FG1422" s="33" t="s">
        <v>386</v>
      </c>
      <c r="FH1422" s="33" t="s">
        <v>387</v>
      </c>
      <c r="FI1422" s="33" t="s">
        <v>407</v>
      </c>
      <c r="FJ1422" t="s">
        <v>1109</v>
      </c>
      <c r="FM1422" s="32" t="s">
        <v>502</v>
      </c>
      <c r="FN1422" t="s">
        <v>503</v>
      </c>
      <c r="FO1422" t="s">
        <v>504</v>
      </c>
      <c r="FP1422" t="str">
        <f t="shared" si="207"/>
        <v>B</v>
      </c>
    </row>
    <row r="1423" spans="153:172" x14ac:dyDescent="0.35">
      <c r="EW1423" t="s">
        <v>2339</v>
      </c>
      <c r="EX1423" s="33" t="s">
        <v>2872</v>
      </c>
      <c r="EY1423" s="33" t="s">
        <v>1169</v>
      </c>
      <c r="EZ1423" s="33" t="s">
        <v>1170</v>
      </c>
      <c r="FA1423" s="33" t="s">
        <v>343</v>
      </c>
      <c r="FB1423" s="33" t="s">
        <v>1108</v>
      </c>
      <c r="FC1423" s="33" t="s">
        <v>345</v>
      </c>
      <c r="FD1423" s="33" t="s">
        <v>1108</v>
      </c>
      <c r="FE1423" s="33">
        <v>2025</v>
      </c>
      <c r="FF1423" s="33" t="s">
        <v>1109</v>
      </c>
      <c r="FG1423" s="33" t="s">
        <v>386</v>
      </c>
      <c r="FH1423" s="33" t="s">
        <v>387</v>
      </c>
      <c r="FI1423" s="33" t="s">
        <v>407</v>
      </c>
      <c r="FJ1423" t="s">
        <v>1109</v>
      </c>
      <c r="FM1423" s="32" t="s">
        <v>2766</v>
      </c>
      <c r="FN1423" t="s">
        <v>2766</v>
      </c>
      <c r="FO1423" t="s">
        <v>2767</v>
      </c>
      <c r="FP1423" t="str">
        <f t="shared" si="207"/>
        <v>B</v>
      </c>
    </row>
    <row r="1424" spans="153:172" x14ac:dyDescent="0.35">
      <c r="EW1424" t="s">
        <v>2339</v>
      </c>
      <c r="EX1424" s="33" t="s">
        <v>2873</v>
      </c>
      <c r="EY1424" s="33" t="s">
        <v>1171</v>
      </c>
      <c r="EZ1424" s="33" t="s">
        <v>1172</v>
      </c>
      <c r="FA1424" s="33" t="s">
        <v>343</v>
      </c>
      <c r="FB1424" s="33" t="s">
        <v>1108</v>
      </c>
      <c r="FC1424" s="33" t="s">
        <v>345</v>
      </c>
      <c r="FD1424" s="33" t="s">
        <v>1108</v>
      </c>
      <c r="FE1424" s="33">
        <v>2025</v>
      </c>
      <c r="FF1424" s="33" t="s">
        <v>1109</v>
      </c>
      <c r="FG1424" s="33" t="s">
        <v>386</v>
      </c>
      <c r="FH1424" s="33" t="s">
        <v>387</v>
      </c>
      <c r="FI1424" s="33" t="s">
        <v>407</v>
      </c>
      <c r="FJ1424" t="s">
        <v>1109</v>
      </c>
      <c r="FM1424" s="32" t="s">
        <v>817</v>
      </c>
      <c r="FN1424" t="s">
        <v>818</v>
      </c>
      <c r="FO1424" t="s">
        <v>819</v>
      </c>
      <c r="FP1424" t="str">
        <f t="shared" si="207"/>
        <v>B</v>
      </c>
    </row>
    <row r="1425" spans="153:172" x14ac:dyDescent="0.35">
      <c r="EW1425" t="s">
        <v>2339</v>
      </c>
      <c r="EX1425" s="33" t="s">
        <v>2874</v>
      </c>
      <c r="EY1425" s="33" t="s">
        <v>1176</v>
      </c>
      <c r="EZ1425" s="33" t="s">
        <v>1177</v>
      </c>
      <c r="FA1425" s="33" t="s">
        <v>343</v>
      </c>
      <c r="FB1425" s="33" t="s">
        <v>1108</v>
      </c>
      <c r="FC1425" s="33" t="s">
        <v>345</v>
      </c>
      <c r="FD1425" s="33" t="s">
        <v>1108</v>
      </c>
      <c r="FE1425" s="33">
        <v>2025</v>
      </c>
      <c r="FF1425" s="33" t="s">
        <v>1109</v>
      </c>
      <c r="FG1425" s="33" t="s">
        <v>386</v>
      </c>
      <c r="FH1425" s="33" t="s">
        <v>387</v>
      </c>
      <c r="FI1425" s="33" t="s">
        <v>407</v>
      </c>
      <c r="FJ1425" t="s">
        <v>1109</v>
      </c>
      <c r="FM1425" s="32" t="s">
        <v>652</v>
      </c>
      <c r="FN1425" t="s">
        <v>653</v>
      </c>
      <c r="FO1425" t="s">
        <v>654</v>
      </c>
      <c r="FP1425" t="str">
        <f t="shared" si="207"/>
        <v>B</v>
      </c>
    </row>
    <row r="1426" spans="153:172" x14ac:dyDescent="0.35">
      <c r="EW1426" t="s">
        <v>2339</v>
      </c>
      <c r="EX1426" s="33" t="s">
        <v>2875</v>
      </c>
      <c r="EY1426" s="33" t="s">
        <v>1178</v>
      </c>
      <c r="EZ1426" s="33" t="s">
        <v>1179</v>
      </c>
      <c r="FA1426" s="33" t="s">
        <v>343</v>
      </c>
      <c r="FB1426" s="33" t="s">
        <v>1108</v>
      </c>
      <c r="FC1426" s="33" t="s">
        <v>345</v>
      </c>
      <c r="FD1426" s="33" t="s">
        <v>1108</v>
      </c>
      <c r="FE1426" s="33">
        <v>2025</v>
      </c>
      <c r="FF1426" s="33" t="s">
        <v>1109</v>
      </c>
      <c r="FG1426" s="33" t="s">
        <v>386</v>
      </c>
      <c r="FH1426" s="33" t="s">
        <v>387</v>
      </c>
      <c r="FI1426" s="33" t="s">
        <v>407</v>
      </c>
      <c r="FJ1426" t="s">
        <v>1109</v>
      </c>
      <c r="FM1426" s="32" t="s">
        <v>375</v>
      </c>
      <c r="FN1426" t="s">
        <v>376</v>
      </c>
      <c r="FO1426" t="s">
        <v>377</v>
      </c>
      <c r="FP1426" t="str">
        <f t="shared" si="207"/>
        <v>B</v>
      </c>
    </row>
    <row r="1427" spans="153:172" x14ac:dyDescent="0.35">
      <c r="EW1427" t="s">
        <v>2339</v>
      </c>
      <c r="EX1427" s="33" t="s">
        <v>2876</v>
      </c>
      <c r="EY1427" s="33" t="s">
        <v>1180</v>
      </c>
      <c r="EZ1427" s="33" t="s">
        <v>1181</v>
      </c>
      <c r="FA1427" s="33" t="s">
        <v>343</v>
      </c>
      <c r="FB1427" s="33" t="s">
        <v>1108</v>
      </c>
      <c r="FC1427" s="33" t="s">
        <v>345</v>
      </c>
      <c r="FD1427" s="33" t="s">
        <v>1108</v>
      </c>
      <c r="FE1427" s="33">
        <v>2025</v>
      </c>
      <c r="FF1427" s="33" t="s">
        <v>1109</v>
      </c>
      <c r="FG1427" s="33" t="s">
        <v>386</v>
      </c>
      <c r="FH1427" s="33" t="s">
        <v>387</v>
      </c>
      <c r="FI1427" s="33" t="s">
        <v>407</v>
      </c>
      <c r="FJ1427" t="s">
        <v>1109</v>
      </c>
      <c r="FM1427" s="32" t="s">
        <v>2739</v>
      </c>
      <c r="FN1427" t="s">
        <v>2739</v>
      </c>
      <c r="FO1427" t="s">
        <v>2740</v>
      </c>
      <c r="FP1427" t="str">
        <f t="shared" si="207"/>
        <v>B</v>
      </c>
    </row>
    <row r="1428" spans="153:172" x14ac:dyDescent="0.35">
      <c r="EW1428" t="s">
        <v>2339</v>
      </c>
      <c r="EX1428" s="33" t="s">
        <v>2877</v>
      </c>
      <c r="EY1428" s="33" t="s">
        <v>1182</v>
      </c>
      <c r="EZ1428" s="33" t="s">
        <v>1183</v>
      </c>
      <c r="FA1428" s="33" t="s">
        <v>343</v>
      </c>
      <c r="FB1428" s="33" t="s">
        <v>1108</v>
      </c>
      <c r="FC1428" s="33" t="s">
        <v>345</v>
      </c>
      <c r="FD1428" s="33" t="s">
        <v>1108</v>
      </c>
      <c r="FE1428" s="33">
        <v>2025</v>
      </c>
      <c r="FF1428" s="33" t="s">
        <v>1109</v>
      </c>
      <c r="FG1428" s="33" t="s">
        <v>386</v>
      </c>
      <c r="FH1428" s="33" t="s">
        <v>387</v>
      </c>
      <c r="FI1428" s="33" t="s">
        <v>407</v>
      </c>
      <c r="FJ1428" t="s">
        <v>1109</v>
      </c>
      <c r="FM1428" s="32" t="s">
        <v>2508</v>
      </c>
      <c r="FN1428" t="s">
        <v>2508</v>
      </c>
      <c r="FO1428" t="s">
        <v>2509</v>
      </c>
      <c r="FP1428" t="str">
        <f t="shared" si="207"/>
        <v>B</v>
      </c>
    </row>
    <row r="1429" spans="153:172" x14ac:dyDescent="0.35">
      <c r="EW1429" t="s">
        <v>2339</v>
      </c>
      <c r="EX1429" s="33" t="s">
        <v>2878</v>
      </c>
      <c r="EY1429" s="33" t="s">
        <v>1184</v>
      </c>
      <c r="EZ1429" s="33" t="s">
        <v>1185</v>
      </c>
      <c r="FA1429" s="33" t="s">
        <v>343</v>
      </c>
      <c r="FB1429" s="33" t="s">
        <v>1108</v>
      </c>
      <c r="FC1429" s="33" t="s">
        <v>345</v>
      </c>
      <c r="FD1429" s="33" t="s">
        <v>1108</v>
      </c>
      <c r="FE1429" s="33">
        <v>2025</v>
      </c>
      <c r="FF1429" s="33" t="s">
        <v>1109</v>
      </c>
      <c r="FG1429" s="33" t="s">
        <v>386</v>
      </c>
      <c r="FH1429" s="33" t="s">
        <v>387</v>
      </c>
      <c r="FI1429" s="33" t="s">
        <v>407</v>
      </c>
      <c r="FJ1429" t="s">
        <v>1109</v>
      </c>
      <c r="FM1429" s="32" t="s">
        <v>2722</v>
      </c>
      <c r="FN1429" t="s">
        <v>2722</v>
      </c>
      <c r="FO1429" t="s">
        <v>2723</v>
      </c>
      <c r="FP1429" t="str">
        <f t="shared" si="207"/>
        <v>B</v>
      </c>
    </row>
    <row r="1430" spans="153:172" x14ac:dyDescent="0.35">
      <c r="EW1430" t="s">
        <v>2339</v>
      </c>
      <c r="EX1430" s="33" t="s">
        <v>2879</v>
      </c>
      <c r="EY1430" s="33" t="s">
        <v>1186</v>
      </c>
      <c r="EZ1430" s="33" t="s">
        <v>1187</v>
      </c>
      <c r="FA1430" s="33" t="s">
        <v>343</v>
      </c>
      <c r="FB1430" s="33" t="s">
        <v>1108</v>
      </c>
      <c r="FC1430" s="33" t="s">
        <v>345</v>
      </c>
      <c r="FD1430" s="33" t="s">
        <v>1108</v>
      </c>
      <c r="FE1430" s="33">
        <v>2025</v>
      </c>
      <c r="FF1430" s="33" t="s">
        <v>1109</v>
      </c>
      <c r="FG1430" s="33" t="s">
        <v>386</v>
      </c>
      <c r="FH1430" s="33" t="s">
        <v>387</v>
      </c>
      <c r="FI1430" s="33" t="s">
        <v>407</v>
      </c>
      <c r="FJ1430" t="s">
        <v>1109</v>
      </c>
      <c r="FM1430" s="32" t="s">
        <v>66</v>
      </c>
      <c r="FN1430" t="s">
        <v>67</v>
      </c>
      <c r="FO1430" t="s">
        <v>68</v>
      </c>
      <c r="FP1430" t="str">
        <f t="shared" si="207"/>
        <v>B</v>
      </c>
    </row>
    <row r="1431" spans="153:172" x14ac:dyDescent="0.35">
      <c r="EW1431" t="s">
        <v>2339</v>
      </c>
      <c r="EX1431" s="33" t="s">
        <v>2880</v>
      </c>
      <c r="EY1431" s="33" t="s">
        <v>1188</v>
      </c>
      <c r="EZ1431" s="33" t="s">
        <v>1189</v>
      </c>
      <c r="FA1431" s="33" t="s">
        <v>343</v>
      </c>
      <c r="FB1431" s="33" t="s">
        <v>1108</v>
      </c>
      <c r="FC1431" s="33" t="s">
        <v>345</v>
      </c>
      <c r="FD1431" s="33" t="s">
        <v>1108</v>
      </c>
      <c r="FE1431" s="33">
        <v>2025</v>
      </c>
      <c r="FF1431" s="33" t="s">
        <v>1109</v>
      </c>
      <c r="FG1431" s="33" t="s">
        <v>386</v>
      </c>
      <c r="FH1431" s="33" t="s">
        <v>387</v>
      </c>
      <c r="FI1431" s="33" t="s">
        <v>407</v>
      </c>
      <c r="FJ1431" t="s">
        <v>1109</v>
      </c>
      <c r="FM1431" s="32" t="s">
        <v>278</v>
      </c>
      <c r="FN1431" t="s">
        <v>279</v>
      </c>
      <c r="FO1431" t="s">
        <v>280</v>
      </c>
      <c r="FP1431" t="str">
        <f t="shared" si="207"/>
        <v>B</v>
      </c>
    </row>
    <row r="1432" spans="153:172" x14ac:dyDescent="0.35">
      <c r="EW1432" t="s">
        <v>2339</v>
      </c>
      <c r="EX1432" s="33" t="s">
        <v>2499</v>
      </c>
      <c r="EY1432" s="35" t="s">
        <v>1190</v>
      </c>
      <c r="EZ1432" s="36" t="s">
        <v>1191</v>
      </c>
      <c r="FA1432" s="36" t="s">
        <v>1192</v>
      </c>
      <c r="FB1432" s="36" t="s">
        <v>344</v>
      </c>
      <c r="FC1432" s="36" t="s">
        <v>1192</v>
      </c>
      <c r="FD1432" s="36" t="s">
        <v>344</v>
      </c>
      <c r="FE1432" s="36">
        <v>2026</v>
      </c>
      <c r="FF1432" s="36" t="s">
        <v>59</v>
      </c>
      <c r="FG1432" s="36" t="s">
        <v>1193</v>
      </c>
      <c r="FJ1432" t="s">
        <v>59</v>
      </c>
      <c r="FM1432" s="32" t="s">
        <v>2744</v>
      </c>
      <c r="FN1432" t="s">
        <v>2744</v>
      </c>
      <c r="FO1432" t="s">
        <v>2745</v>
      </c>
      <c r="FP1432" t="str">
        <f t="shared" si="207"/>
        <v>B</v>
      </c>
    </row>
    <row r="1433" spans="153:172" x14ac:dyDescent="0.35">
      <c r="EW1433" t="s">
        <v>2339</v>
      </c>
      <c r="EX1433" s="33" t="s">
        <v>2760</v>
      </c>
      <c r="EY1433" s="35" t="s">
        <v>1196</v>
      </c>
      <c r="EZ1433" s="36" t="s">
        <v>1197</v>
      </c>
      <c r="FA1433" s="36" t="s">
        <v>1192</v>
      </c>
      <c r="FB1433" s="36" t="s">
        <v>344</v>
      </c>
      <c r="FC1433" s="36" t="s">
        <v>1192</v>
      </c>
      <c r="FD1433" s="36" t="s">
        <v>344</v>
      </c>
      <c r="FE1433" s="36">
        <v>2026</v>
      </c>
      <c r="FF1433" s="36" t="s">
        <v>59</v>
      </c>
      <c r="FG1433" s="36" t="s">
        <v>1193</v>
      </c>
      <c r="FJ1433" t="s">
        <v>59</v>
      </c>
      <c r="FM1433" s="32" t="s">
        <v>436</v>
      </c>
      <c r="FN1433" t="s">
        <v>437</v>
      </c>
      <c r="FO1433" t="s">
        <v>438</v>
      </c>
      <c r="FP1433" t="str">
        <f t="shared" si="207"/>
        <v>B</v>
      </c>
    </row>
    <row r="1434" spans="153:172" x14ac:dyDescent="0.35">
      <c r="EW1434" t="s">
        <v>2339</v>
      </c>
      <c r="EX1434" s="33" t="s">
        <v>2639</v>
      </c>
      <c r="EY1434" s="35" t="s">
        <v>1200</v>
      </c>
      <c r="EZ1434" s="36" t="s">
        <v>1201</v>
      </c>
      <c r="FA1434" s="36" t="s">
        <v>1192</v>
      </c>
      <c r="FB1434" s="36" t="s">
        <v>344</v>
      </c>
      <c r="FC1434" s="36" t="s">
        <v>1192</v>
      </c>
      <c r="FD1434" s="36" t="s">
        <v>344</v>
      </c>
      <c r="FE1434" s="36">
        <v>2026</v>
      </c>
      <c r="FF1434" s="36" t="s">
        <v>59</v>
      </c>
      <c r="FG1434" s="36" t="s">
        <v>1193</v>
      </c>
      <c r="FJ1434" t="s">
        <v>59</v>
      </c>
      <c r="FM1434" s="32" t="s">
        <v>226</v>
      </c>
      <c r="FN1434" t="s">
        <v>227</v>
      </c>
      <c r="FO1434" t="s">
        <v>228</v>
      </c>
      <c r="FP1434" t="str">
        <f t="shared" si="207"/>
        <v>B</v>
      </c>
    </row>
    <row r="1435" spans="153:172" x14ac:dyDescent="0.35">
      <c r="EW1435" t="s">
        <v>2339</v>
      </c>
      <c r="EX1435" s="33" t="s">
        <v>2745</v>
      </c>
      <c r="EY1435" s="35" t="s">
        <v>1204</v>
      </c>
      <c r="EZ1435" s="36" t="s">
        <v>1205</v>
      </c>
      <c r="FA1435" s="36" t="s">
        <v>1192</v>
      </c>
      <c r="FB1435" s="36" t="s">
        <v>344</v>
      </c>
      <c r="FC1435" s="36" t="s">
        <v>1192</v>
      </c>
      <c r="FD1435" s="36" t="s">
        <v>344</v>
      </c>
      <c r="FE1435" s="36">
        <v>2026</v>
      </c>
      <c r="FF1435" s="36" t="s">
        <v>59</v>
      </c>
      <c r="FG1435" s="36" t="s">
        <v>1193</v>
      </c>
      <c r="FJ1435" t="s">
        <v>59</v>
      </c>
      <c r="FM1435" s="32" t="s">
        <v>396</v>
      </c>
      <c r="FN1435" t="s">
        <v>397</v>
      </c>
      <c r="FO1435" t="s">
        <v>398</v>
      </c>
      <c r="FP1435" t="str">
        <f t="shared" si="207"/>
        <v>B</v>
      </c>
    </row>
    <row r="1436" spans="153:172" x14ac:dyDescent="0.35">
      <c r="EW1436" t="s">
        <v>2339</v>
      </c>
      <c r="EX1436" s="33" t="s">
        <v>2881</v>
      </c>
      <c r="EY1436" s="35" t="s">
        <v>1208</v>
      </c>
      <c r="EZ1436" s="36" t="s">
        <v>1209</v>
      </c>
      <c r="FA1436" s="36" t="s">
        <v>1192</v>
      </c>
      <c r="FB1436" s="36" t="s">
        <v>344</v>
      </c>
      <c r="FC1436" s="36" t="s">
        <v>1192</v>
      </c>
      <c r="FD1436" s="36" t="s">
        <v>344</v>
      </c>
      <c r="FE1436" s="36">
        <v>2026</v>
      </c>
      <c r="FF1436" s="36" t="s">
        <v>59</v>
      </c>
      <c r="FG1436" s="36" t="s">
        <v>1210</v>
      </c>
      <c r="FJ1436" t="s">
        <v>59</v>
      </c>
      <c r="FM1436" s="32" t="s">
        <v>2784</v>
      </c>
      <c r="FN1436" t="s">
        <v>2784</v>
      </c>
      <c r="FO1436" t="s">
        <v>2785</v>
      </c>
      <c r="FP1436" t="str">
        <f t="shared" si="207"/>
        <v>B</v>
      </c>
    </row>
    <row r="1437" spans="153:172" x14ac:dyDescent="0.35">
      <c r="EW1437" t="s">
        <v>2339</v>
      </c>
      <c r="EX1437" s="33" t="s">
        <v>2882</v>
      </c>
      <c r="EY1437" s="35" t="s">
        <v>1213</v>
      </c>
      <c r="EZ1437" s="36" t="s">
        <v>1214</v>
      </c>
      <c r="FA1437" s="36" t="s">
        <v>1192</v>
      </c>
      <c r="FB1437" s="36" t="s">
        <v>344</v>
      </c>
      <c r="FC1437" s="36" t="s">
        <v>1192</v>
      </c>
      <c r="FD1437" s="36" t="s">
        <v>344</v>
      </c>
      <c r="FE1437" s="36">
        <v>2026</v>
      </c>
      <c r="FF1437" s="36" t="s">
        <v>59</v>
      </c>
      <c r="FG1437" s="36" t="s">
        <v>1193</v>
      </c>
      <c r="FJ1437" t="s">
        <v>59</v>
      </c>
      <c r="FM1437" s="32" t="s">
        <v>412</v>
      </c>
      <c r="FN1437" t="s">
        <v>413</v>
      </c>
      <c r="FO1437" t="s">
        <v>414</v>
      </c>
      <c r="FP1437" t="str">
        <f t="shared" si="207"/>
        <v>B</v>
      </c>
    </row>
    <row r="1438" spans="153:172" x14ac:dyDescent="0.35">
      <c r="EW1438" t="s">
        <v>2339</v>
      </c>
      <c r="EX1438" s="33" t="s">
        <v>2643</v>
      </c>
      <c r="EY1438" s="35" t="s">
        <v>1217</v>
      </c>
      <c r="EZ1438" s="36" t="s">
        <v>1218</v>
      </c>
      <c r="FA1438" s="36" t="s">
        <v>1192</v>
      </c>
      <c r="FB1438" s="36" t="s">
        <v>344</v>
      </c>
      <c r="FC1438" s="36" t="s">
        <v>1192</v>
      </c>
      <c r="FD1438" s="36" t="s">
        <v>344</v>
      </c>
      <c r="FE1438" s="36">
        <v>2026</v>
      </c>
      <c r="FF1438" s="36" t="s">
        <v>59</v>
      </c>
      <c r="FG1438" s="36" t="s">
        <v>1193</v>
      </c>
      <c r="FJ1438" t="s">
        <v>59</v>
      </c>
      <c r="FM1438" s="32" t="s">
        <v>2781</v>
      </c>
      <c r="FN1438" t="s">
        <v>2781</v>
      </c>
      <c r="FO1438" t="s">
        <v>2782</v>
      </c>
      <c r="FP1438" t="str">
        <f t="shared" si="207"/>
        <v>B</v>
      </c>
    </row>
    <row r="1439" spans="153:172" x14ac:dyDescent="0.35">
      <c r="EW1439" t="s">
        <v>2339</v>
      </c>
      <c r="EX1439" s="33" t="s">
        <v>2883</v>
      </c>
      <c r="EY1439" s="35" t="s">
        <v>1219</v>
      </c>
      <c r="EZ1439" s="36" t="s">
        <v>1220</v>
      </c>
      <c r="FA1439" s="36" t="s">
        <v>1192</v>
      </c>
      <c r="FB1439" s="36" t="s">
        <v>344</v>
      </c>
      <c r="FC1439" s="36" t="s">
        <v>1192</v>
      </c>
      <c r="FD1439" s="36" t="s">
        <v>344</v>
      </c>
      <c r="FE1439" s="36">
        <v>2026</v>
      </c>
      <c r="FF1439" s="36" t="s">
        <v>59</v>
      </c>
      <c r="FG1439" s="36" t="s">
        <v>1193</v>
      </c>
      <c r="FJ1439" t="s">
        <v>59</v>
      </c>
      <c r="FM1439" s="32" t="s">
        <v>563</v>
      </c>
      <c r="FN1439" t="s">
        <v>564</v>
      </c>
      <c r="FO1439" t="s">
        <v>565</v>
      </c>
      <c r="FP1439" t="str">
        <f t="shared" si="207"/>
        <v>B</v>
      </c>
    </row>
    <row r="1440" spans="153:172" x14ac:dyDescent="0.35">
      <c r="EW1440" t="s">
        <v>2339</v>
      </c>
      <c r="EX1440" s="33" t="s">
        <v>2800</v>
      </c>
      <c r="EY1440" s="35" t="s">
        <v>1223</v>
      </c>
      <c r="EZ1440" s="36" t="s">
        <v>1224</v>
      </c>
      <c r="FA1440" s="36" t="s">
        <v>1192</v>
      </c>
      <c r="FB1440" s="36" t="s">
        <v>344</v>
      </c>
      <c r="FC1440" s="36" t="s">
        <v>1192</v>
      </c>
      <c r="FD1440" s="36" t="s">
        <v>344</v>
      </c>
      <c r="FE1440" s="36">
        <v>2026</v>
      </c>
      <c r="FF1440" s="36" t="s">
        <v>59</v>
      </c>
      <c r="FG1440" s="36" t="s">
        <v>1193</v>
      </c>
      <c r="FJ1440" t="s">
        <v>59</v>
      </c>
      <c r="FM1440" s="32" t="s">
        <v>1202</v>
      </c>
      <c r="FN1440" t="s">
        <v>1202</v>
      </c>
      <c r="FO1440" t="s">
        <v>1203</v>
      </c>
      <c r="FP1440" t="str">
        <f t="shared" si="207"/>
        <v>B</v>
      </c>
    </row>
    <row r="1441" spans="153:172" x14ac:dyDescent="0.35">
      <c r="EW1441" t="s">
        <v>2339</v>
      </c>
      <c r="EX1441" s="33" t="s">
        <v>2509</v>
      </c>
      <c r="EY1441" s="35" t="s">
        <v>1227</v>
      </c>
      <c r="EZ1441" s="36" t="s">
        <v>1228</v>
      </c>
      <c r="FA1441" s="36" t="s">
        <v>1192</v>
      </c>
      <c r="FB1441" s="36" t="s">
        <v>344</v>
      </c>
      <c r="FC1441" s="36" t="s">
        <v>1192</v>
      </c>
      <c r="FD1441" s="36" t="s">
        <v>344</v>
      </c>
      <c r="FE1441" s="36">
        <v>2026</v>
      </c>
      <c r="FF1441" s="36" t="s">
        <v>59</v>
      </c>
      <c r="FG1441" s="36" t="s">
        <v>1193</v>
      </c>
      <c r="FJ1441" t="s">
        <v>59</v>
      </c>
      <c r="FM1441" s="32" t="s">
        <v>2790</v>
      </c>
      <c r="FN1441" t="s">
        <v>2790</v>
      </c>
      <c r="FO1441" t="s">
        <v>2791</v>
      </c>
      <c r="FP1441" t="str">
        <f t="shared" si="207"/>
        <v>B</v>
      </c>
    </row>
    <row r="1442" spans="153:172" x14ac:dyDescent="0.35">
      <c r="EW1442" t="s">
        <v>2339</v>
      </c>
      <c r="EX1442" s="33" t="s">
        <v>2823</v>
      </c>
      <c r="EY1442" s="35" t="s">
        <v>1231</v>
      </c>
      <c r="EZ1442" s="36" t="s">
        <v>1232</v>
      </c>
      <c r="FA1442" s="36" t="s">
        <v>1192</v>
      </c>
      <c r="FB1442" s="36" t="s">
        <v>344</v>
      </c>
      <c r="FC1442" s="36" t="s">
        <v>1192</v>
      </c>
      <c r="FD1442" s="36" t="s">
        <v>344</v>
      </c>
      <c r="FE1442" s="36">
        <v>2026</v>
      </c>
      <c r="FF1442" s="36" t="s">
        <v>59</v>
      </c>
      <c r="FG1442" s="36" t="s">
        <v>1193</v>
      </c>
      <c r="FJ1442" t="s">
        <v>59</v>
      </c>
      <c r="FM1442" s="32" t="s">
        <v>2795</v>
      </c>
      <c r="FN1442" t="s">
        <v>2795</v>
      </c>
      <c r="FO1442" t="s">
        <v>2796</v>
      </c>
      <c r="FP1442" t="str">
        <f t="shared" si="207"/>
        <v>B</v>
      </c>
    </row>
    <row r="1443" spans="153:172" x14ac:dyDescent="0.35">
      <c r="EW1443" t="s">
        <v>2339</v>
      </c>
      <c r="EX1443" s="33" t="s">
        <v>2719</v>
      </c>
      <c r="EY1443" s="35" t="s">
        <v>1235</v>
      </c>
      <c r="EZ1443" s="36" t="s">
        <v>1236</v>
      </c>
      <c r="FA1443" s="36" t="s">
        <v>1192</v>
      </c>
      <c r="FB1443" s="36" t="s">
        <v>344</v>
      </c>
      <c r="FC1443" s="36" t="s">
        <v>1192</v>
      </c>
      <c r="FD1443" s="36" t="s">
        <v>344</v>
      </c>
      <c r="FE1443" s="36">
        <v>2026</v>
      </c>
      <c r="FF1443" s="36" t="s">
        <v>59</v>
      </c>
      <c r="FG1443" s="36" t="s">
        <v>1193</v>
      </c>
      <c r="FJ1443" t="s">
        <v>59</v>
      </c>
      <c r="FM1443" s="32" t="s">
        <v>995</v>
      </c>
      <c r="FN1443" t="s">
        <v>996</v>
      </c>
      <c r="FO1443" t="s">
        <v>997</v>
      </c>
      <c r="FP1443" t="str">
        <f t="shared" si="207"/>
        <v>B</v>
      </c>
    </row>
    <row r="1444" spans="153:172" x14ac:dyDescent="0.35">
      <c r="EW1444" t="s">
        <v>2339</v>
      </c>
      <c r="EX1444" s="33" t="s">
        <v>2805</v>
      </c>
      <c r="EY1444" s="35" t="s">
        <v>1239</v>
      </c>
      <c r="EZ1444" s="36" t="s">
        <v>1240</v>
      </c>
      <c r="FA1444" s="36" t="s">
        <v>1192</v>
      </c>
      <c r="FB1444" s="36" t="s">
        <v>344</v>
      </c>
      <c r="FC1444" s="36" t="s">
        <v>1192</v>
      </c>
      <c r="FD1444" s="36" t="s">
        <v>344</v>
      </c>
      <c r="FE1444" s="36">
        <v>2026</v>
      </c>
      <c r="FF1444" s="36" t="s">
        <v>59</v>
      </c>
      <c r="FG1444" s="36" t="s">
        <v>1241</v>
      </c>
      <c r="FJ1444" t="s">
        <v>59</v>
      </c>
      <c r="FM1444" s="32" t="s">
        <v>911</v>
      </c>
      <c r="FN1444" t="s">
        <v>912</v>
      </c>
      <c r="FO1444" t="s">
        <v>913</v>
      </c>
      <c r="FP1444" t="str">
        <f t="shared" si="207"/>
        <v>B</v>
      </c>
    </row>
    <row r="1445" spans="153:172" x14ac:dyDescent="0.35">
      <c r="EW1445" t="s">
        <v>2339</v>
      </c>
      <c r="EX1445" s="33" t="s">
        <v>2884</v>
      </c>
      <c r="EY1445" s="35" t="s">
        <v>1244</v>
      </c>
      <c r="EZ1445" s="36" t="s">
        <v>1245</v>
      </c>
      <c r="FA1445" s="36" t="s">
        <v>1192</v>
      </c>
      <c r="FB1445" s="36" t="s">
        <v>344</v>
      </c>
      <c r="FC1445" s="36" t="s">
        <v>1192</v>
      </c>
      <c r="FD1445" s="36" t="s">
        <v>344</v>
      </c>
      <c r="FE1445" s="36">
        <v>2026</v>
      </c>
      <c r="FF1445" s="36" t="s">
        <v>59</v>
      </c>
      <c r="FG1445" s="36" t="s">
        <v>1241</v>
      </c>
      <c r="FJ1445" t="s">
        <v>59</v>
      </c>
      <c r="FM1445" s="32" t="s">
        <v>2799</v>
      </c>
      <c r="FN1445" t="s">
        <v>2799</v>
      </c>
      <c r="FO1445" t="s">
        <v>2800</v>
      </c>
      <c r="FP1445" t="str">
        <f t="shared" si="207"/>
        <v>B</v>
      </c>
    </row>
    <row r="1446" spans="153:172" x14ac:dyDescent="0.35">
      <c r="EW1446" t="s">
        <v>2339</v>
      </c>
      <c r="EX1446" s="33" t="s">
        <v>2740</v>
      </c>
      <c r="EY1446" s="35" t="s">
        <v>1246</v>
      </c>
      <c r="EZ1446" s="36" t="s">
        <v>1247</v>
      </c>
      <c r="FA1446" s="36" t="s">
        <v>1192</v>
      </c>
      <c r="FB1446" s="36" t="s">
        <v>344</v>
      </c>
      <c r="FC1446" s="36" t="s">
        <v>1192</v>
      </c>
      <c r="FD1446" s="36" t="s">
        <v>344</v>
      </c>
      <c r="FE1446" s="36">
        <v>2026</v>
      </c>
      <c r="FF1446" s="36" t="s">
        <v>59</v>
      </c>
      <c r="FG1446" s="36" t="s">
        <v>1241</v>
      </c>
      <c r="FJ1446" t="s">
        <v>59</v>
      </c>
      <c r="FM1446" s="32" t="s">
        <v>610</v>
      </c>
      <c r="FN1446" t="s">
        <v>611</v>
      </c>
      <c r="FO1446" t="s">
        <v>612</v>
      </c>
      <c r="FP1446" t="str">
        <f t="shared" si="207"/>
        <v>B</v>
      </c>
    </row>
    <row r="1447" spans="153:172" x14ac:dyDescent="0.35">
      <c r="EW1447" t="s">
        <v>2339</v>
      </c>
      <c r="EX1447" s="33" t="s">
        <v>2885</v>
      </c>
      <c r="EY1447" s="35" t="s">
        <v>1250</v>
      </c>
      <c r="EZ1447" s="36" t="s">
        <v>1251</v>
      </c>
      <c r="FA1447" s="36" t="s">
        <v>1192</v>
      </c>
      <c r="FB1447" s="36" t="s">
        <v>344</v>
      </c>
      <c r="FC1447" s="36" t="s">
        <v>1192</v>
      </c>
      <c r="FD1447" s="36" t="s">
        <v>344</v>
      </c>
      <c r="FE1447" s="36">
        <v>2026</v>
      </c>
      <c r="FF1447" s="36" t="s">
        <v>59</v>
      </c>
      <c r="FG1447" s="36" t="s">
        <v>1241</v>
      </c>
      <c r="FJ1447" t="s">
        <v>59</v>
      </c>
      <c r="FM1447" s="32" t="s">
        <v>652</v>
      </c>
      <c r="FN1447" t="s">
        <v>653</v>
      </c>
      <c r="FO1447" t="s">
        <v>654</v>
      </c>
      <c r="FP1447" t="str">
        <f t="shared" si="207"/>
        <v>B</v>
      </c>
    </row>
    <row r="1448" spans="153:172" x14ac:dyDescent="0.35">
      <c r="EW1448" t="s">
        <v>2339</v>
      </c>
      <c r="EX1448" s="33" t="s">
        <v>2658</v>
      </c>
      <c r="EY1448" s="35" t="s">
        <v>1254</v>
      </c>
      <c r="EZ1448" s="36" t="s">
        <v>1255</v>
      </c>
      <c r="FA1448" s="36" t="s">
        <v>1192</v>
      </c>
      <c r="FB1448" s="36" t="s">
        <v>344</v>
      </c>
      <c r="FC1448" s="36" t="s">
        <v>1192</v>
      </c>
      <c r="FD1448" s="36" t="s">
        <v>344</v>
      </c>
      <c r="FE1448" s="36">
        <v>2026</v>
      </c>
      <c r="FF1448" s="36" t="s">
        <v>59</v>
      </c>
      <c r="FG1448" s="36" t="s">
        <v>1241</v>
      </c>
      <c r="FJ1448" t="s">
        <v>59</v>
      </c>
      <c r="FM1448" s="32" t="s">
        <v>2804</v>
      </c>
      <c r="FN1448" t="s">
        <v>2804</v>
      </c>
      <c r="FO1448" t="s">
        <v>2805</v>
      </c>
      <c r="FP1448" t="str">
        <f t="shared" si="207"/>
        <v>B</v>
      </c>
    </row>
    <row r="1449" spans="153:172" x14ac:dyDescent="0.35">
      <c r="EW1449" t="s">
        <v>2339</v>
      </c>
      <c r="EX1449" s="33" t="s">
        <v>2886</v>
      </c>
      <c r="EY1449" s="35" t="s">
        <v>1258</v>
      </c>
      <c r="EZ1449" s="36" t="s">
        <v>1259</v>
      </c>
      <c r="FA1449" s="36" t="s">
        <v>1192</v>
      </c>
      <c r="FB1449" s="36" t="s">
        <v>344</v>
      </c>
      <c r="FC1449" s="36" t="s">
        <v>1192</v>
      </c>
      <c r="FD1449" s="36" t="s">
        <v>344</v>
      </c>
      <c r="FE1449" s="36">
        <v>2026</v>
      </c>
      <c r="FF1449" s="36" t="s">
        <v>59</v>
      </c>
      <c r="FG1449" s="36" t="s">
        <v>1241</v>
      </c>
      <c r="FJ1449" t="s">
        <v>59</v>
      </c>
      <c r="FM1449" s="32" t="s">
        <v>1225</v>
      </c>
      <c r="FN1449" t="s">
        <v>1225</v>
      </c>
      <c r="FO1449" t="s">
        <v>1226</v>
      </c>
      <c r="FP1449" t="str">
        <f t="shared" si="207"/>
        <v>B</v>
      </c>
    </row>
    <row r="1450" spans="153:172" x14ac:dyDescent="0.35">
      <c r="EW1450" t="s">
        <v>2339</v>
      </c>
      <c r="EX1450" s="33" t="s">
        <v>1484</v>
      </c>
      <c r="EY1450" s="35" t="s">
        <v>1262</v>
      </c>
      <c r="EZ1450" s="36" t="s">
        <v>1263</v>
      </c>
      <c r="FA1450" s="36" t="s">
        <v>1192</v>
      </c>
      <c r="FB1450" s="36" t="s">
        <v>344</v>
      </c>
      <c r="FC1450" s="36" t="s">
        <v>1192</v>
      </c>
      <c r="FD1450" s="36" t="s">
        <v>344</v>
      </c>
      <c r="FE1450" s="36">
        <v>2026</v>
      </c>
      <c r="FF1450" s="36" t="s">
        <v>59</v>
      </c>
      <c r="FG1450" s="36" t="s">
        <v>1241</v>
      </c>
      <c r="FJ1450" t="s">
        <v>59</v>
      </c>
      <c r="FM1450" s="32" t="s">
        <v>2808</v>
      </c>
      <c r="FN1450" t="s">
        <v>2808</v>
      </c>
      <c r="FO1450" t="s">
        <v>2809</v>
      </c>
      <c r="FP1450" t="str">
        <f t="shared" si="207"/>
        <v>B</v>
      </c>
    </row>
    <row r="1451" spans="153:172" x14ac:dyDescent="0.35">
      <c r="EW1451" t="s">
        <v>2339</v>
      </c>
      <c r="EX1451" s="33" t="s">
        <v>2887</v>
      </c>
      <c r="EY1451" s="35" t="s">
        <v>1266</v>
      </c>
      <c r="EZ1451" s="36" t="s">
        <v>1267</v>
      </c>
      <c r="FA1451" s="36" t="s">
        <v>1192</v>
      </c>
      <c r="FB1451" s="36" t="s">
        <v>344</v>
      </c>
      <c r="FC1451" s="36" t="s">
        <v>1192</v>
      </c>
      <c r="FD1451" s="36" t="s">
        <v>344</v>
      </c>
      <c r="FE1451" s="36">
        <v>2026</v>
      </c>
      <c r="FF1451" s="36" t="s">
        <v>59</v>
      </c>
      <c r="FG1451" s="36" t="s">
        <v>1193</v>
      </c>
      <c r="FJ1451" t="s">
        <v>59</v>
      </c>
      <c r="FM1451" s="32" t="s">
        <v>2811</v>
      </c>
      <c r="FN1451" t="s">
        <v>2811</v>
      </c>
      <c r="FO1451" t="s">
        <v>2812</v>
      </c>
      <c r="FP1451" t="str">
        <f t="shared" si="207"/>
        <v>B</v>
      </c>
    </row>
    <row r="1452" spans="153:172" x14ac:dyDescent="0.35">
      <c r="EW1452" t="s">
        <v>2339</v>
      </c>
      <c r="EX1452" s="33" t="s">
        <v>2678</v>
      </c>
      <c r="EY1452" s="35" t="s">
        <v>1269</v>
      </c>
      <c r="EZ1452" s="36" t="s">
        <v>1270</v>
      </c>
      <c r="FA1452" s="36" t="s">
        <v>1192</v>
      </c>
      <c r="FB1452" s="36" t="s">
        <v>344</v>
      </c>
      <c r="FC1452" s="36" t="s">
        <v>1192</v>
      </c>
      <c r="FD1452" s="36" t="s">
        <v>344</v>
      </c>
      <c r="FE1452" s="36">
        <v>2026</v>
      </c>
      <c r="FF1452" s="36" t="s">
        <v>59</v>
      </c>
      <c r="FG1452" s="36" t="s">
        <v>1210</v>
      </c>
      <c r="FJ1452" t="s">
        <v>59</v>
      </c>
      <c r="FM1452" s="32" t="s">
        <v>2729</v>
      </c>
      <c r="FN1452" t="s">
        <v>2729</v>
      </c>
      <c r="FO1452" t="s">
        <v>2730</v>
      </c>
      <c r="FP1452" t="str">
        <f t="shared" si="207"/>
        <v>B</v>
      </c>
    </row>
    <row r="1453" spans="153:172" x14ac:dyDescent="0.35">
      <c r="EW1453" t="s">
        <v>2339</v>
      </c>
      <c r="EX1453" s="33" t="s">
        <v>1207</v>
      </c>
      <c r="EY1453" s="35" t="s">
        <v>1271</v>
      </c>
      <c r="EZ1453" s="36" t="s">
        <v>1272</v>
      </c>
      <c r="FA1453" s="36" t="s">
        <v>1192</v>
      </c>
      <c r="FB1453" s="36" t="s">
        <v>344</v>
      </c>
      <c r="FC1453" s="36" t="s">
        <v>1192</v>
      </c>
      <c r="FD1453" s="36" t="s">
        <v>344</v>
      </c>
      <c r="FE1453" s="36">
        <v>2026</v>
      </c>
      <c r="FF1453" s="36" t="s">
        <v>59</v>
      </c>
      <c r="FG1453" s="36" t="s">
        <v>1210</v>
      </c>
      <c r="FJ1453" t="s">
        <v>59</v>
      </c>
      <c r="FM1453" s="32" t="s">
        <v>537</v>
      </c>
      <c r="FN1453" t="s">
        <v>538</v>
      </c>
      <c r="FO1453" t="s">
        <v>539</v>
      </c>
      <c r="FP1453" t="str">
        <f t="shared" si="207"/>
        <v>B</v>
      </c>
    </row>
    <row r="1454" spans="153:172" x14ac:dyDescent="0.35">
      <c r="EW1454" t="s">
        <v>2339</v>
      </c>
      <c r="EX1454" s="33" t="s">
        <v>2791</v>
      </c>
      <c r="EY1454" s="35" t="s">
        <v>1274</v>
      </c>
      <c r="EZ1454" s="36" t="s">
        <v>1275</v>
      </c>
      <c r="FA1454" s="36" t="s">
        <v>1192</v>
      </c>
      <c r="FB1454" s="36" t="s">
        <v>344</v>
      </c>
      <c r="FC1454" s="36" t="s">
        <v>1192</v>
      </c>
      <c r="FD1454" s="36" t="s">
        <v>344</v>
      </c>
      <c r="FE1454" s="36">
        <v>2026</v>
      </c>
      <c r="FF1454" s="36" t="s">
        <v>59</v>
      </c>
      <c r="FG1454" s="36" t="s">
        <v>1210</v>
      </c>
      <c r="FJ1454" t="s">
        <v>59</v>
      </c>
      <c r="FM1454" s="32" t="s">
        <v>2888</v>
      </c>
      <c r="FN1454" t="s">
        <v>2888</v>
      </c>
      <c r="FO1454" t="s">
        <v>2889</v>
      </c>
      <c r="FP1454" t="str">
        <f t="shared" si="207"/>
        <v>B</v>
      </c>
    </row>
    <row r="1455" spans="153:172" x14ac:dyDescent="0.35">
      <c r="EW1455" t="s">
        <v>2339</v>
      </c>
      <c r="EX1455" s="33" t="s">
        <v>2890</v>
      </c>
      <c r="EY1455" s="35" t="s">
        <v>1276</v>
      </c>
      <c r="EZ1455" s="36" t="s">
        <v>1277</v>
      </c>
      <c r="FA1455" s="36" t="s">
        <v>1192</v>
      </c>
      <c r="FB1455" s="36" t="s">
        <v>344</v>
      </c>
      <c r="FC1455" s="36" t="s">
        <v>1192</v>
      </c>
      <c r="FD1455" s="36" t="s">
        <v>344</v>
      </c>
      <c r="FE1455" s="36">
        <v>2026</v>
      </c>
      <c r="FF1455" s="36" t="s">
        <v>59</v>
      </c>
      <c r="FG1455" s="36" t="s">
        <v>1210</v>
      </c>
      <c r="FJ1455" t="s">
        <v>59</v>
      </c>
      <c r="FM1455" s="32" t="s">
        <v>710</v>
      </c>
      <c r="FN1455" t="s">
        <v>711</v>
      </c>
      <c r="FO1455" t="s">
        <v>712</v>
      </c>
      <c r="FP1455" t="str">
        <f t="shared" si="207"/>
        <v>B</v>
      </c>
    </row>
    <row r="1456" spans="153:172" x14ac:dyDescent="0.35">
      <c r="EW1456" t="s">
        <v>2339</v>
      </c>
      <c r="EX1456" s="33" t="s">
        <v>1226</v>
      </c>
      <c r="EY1456" s="35" t="s">
        <v>1279</v>
      </c>
      <c r="EZ1456" s="36" t="s">
        <v>1280</v>
      </c>
      <c r="FA1456" s="36" t="s">
        <v>1192</v>
      </c>
      <c r="FB1456" s="36" t="s">
        <v>344</v>
      </c>
      <c r="FC1456" s="36" t="s">
        <v>1192</v>
      </c>
      <c r="FD1456" s="36" t="s">
        <v>344</v>
      </c>
      <c r="FE1456" s="36">
        <v>2026</v>
      </c>
      <c r="FF1456" s="36" t="s">
        <v>59</v>
      </c>
      <c r="FG1456" s="36" t="s">
        <v>1210</v>
      </c>
      <c r="FJ1456" t="s">
        <v>59</v>
      </c>
      <c r="FM1456" s="32" t="s">
        <v>2498</v>
      </c>
      <c r="FN1456" t="s">
        <v>2498</v>
      </c>
      <c r="FO1456" t="s">
        <v>2499</v>
      </c>
      <c r="FP1456" t="str">
        <f t="shared" si="207"/>
        <v>B</v>
      </c>
    </row>
    <row r="1457" spans="153:172" x14ac:dyDescent="0.35">
      <c r="EW1457" t="s">
        <v>2339</v>
      </c>
      <c r="EX1457" s="33" t="s">
        <v>2841</v>
      </c>
      <c r="EY1457" s="35" t="s">
        <v>1281</v>
      </c>
      <c r="EZ1457" s="36" t="s">
        <v>1282</v>
      </c>
      <c r="FA1457" s="36" t="s">
        <v>1192</v>
      </c>
      <c r="FB1457" s="36" t="s">
        <v>344</v>
      </c>
      <c r="FC1457" s="36" t="s">
        <v>1192</v>
      </c>
      <c r="FD1457" s="36" t="s">
        <v>344</v>
      </c>
      <c r="FE1457" s="36">
        <v>2026</v>
      </c>
      <c r="FF1457" s="36" t="s">
        <v>59</v>
      </c>
      <c r="FG1457" s="36" t="s">
        <v>1210</v>
      </c>
      <c r="FJ1457" t="s">
        <v>59</v>
      </c>
      <c r="FM1457" s="32" t="s">
        <v>2756</v>
      </c>
      <c r="FN1457" t="s">
        <v>2756</v>
      </c>
      <c r="FO1457" t="s">
        <v>2757</v>
      </c>
      <c r="FP1457" t="str">
        <f t="shared" si="207"/>
        <v>B</v>
      </c>
    </row>
    <row r="1458" spans="153:172" x14ac:dyDescent="0.35">
      <c r="EW1458" t="s">
        <v>2339</v>
      </c>
      <c r="EX1458" s="33" t="s">
        <v>2636</v>
      </c>
      <c r="EY1458" s="35" t="s">
        <v>1284</v>
      </c>
      <c r="EZ1458" s="36" t="s">
        <v>1285</v>
      </c>
      <c r="FA1458" s="36" t="s">
        <v>1192</v>
      </c>
      <c r="FB1458" s="36" t="s">
        <v>344</v>
      </c>
      <c r="FC1458" s="36" t="s">
        <v>1192</v>
      </c>
      <c r="FD1458" s="36" t="s">
        <v>344</v>
      </c>
      <c r="FE1458" s="36">
        <v>2026</v>
      </c>
      <c r="FF1458" s="36" t="s">
        <v>59</v>
      </c>
      <c r="FG1458" s="36" t="s">
        <v>1210</v>
      </c>
      <c r="FJ1458" t="s">
        <v>59</v>
      </c>
      <c r="FM1458" s="32" t="s">
        <v>1099</v>
      </c>
      <c r="FN1458" t="s">
        <v>1100</v>
      </c>
      <c r="FO1458" t="s">
        <v>1101</v>
      </c>
      <c r="FP1458" t="str">
        <f t="shared" si="207"/>
        <v>B</v>
      </c>
    </row>
    <row r="1459" spans="153:172" x14ac:dyDescent="0.35">
      <c r="EW1459" t="s">
        <v>2339</v>
      </c>
      <c r="EX1459" s="33" t="s">
        <v>2661</v>
      </c>
      <c r="EY1459" s="35" t="s">
        <v>1287</v>
      </c>
      <c r="EZ1459" s="36" t="s">
        <v>1288</v>
      </c>
      <c r="FA1459" s="36" t="s">
        <v>1192</v>
      </c>
      <c r="FB1459" s="36" t="s">
        <v>344</v>
      </c>
      <c r="FC1459" s="36" t="s">
        <v>1192</v>
      </c>
      <c r="FD1459" s="36" t="s">
        <v>344</v>
      </c>
      <c r="FE1459" s="36">
        <v>2026</v>
      </c>
      <c r="FF1459" s="36" t="s">
        <v>59</v>
      </c>
      <c r="FG1459" s="36" t="s">
        <v>1210</v>
      </c>
      <c r="FJ1459" t="s">
        <v>59</v>
      </c>
      <c r="FM1459" s="32" t="s">
        <v>2822</v>
      </c>
      <c r="FN1459" t="s">
        <v>2822</v>
      </c>
      <c r="FO1459" t="s">
        <v>2823</v>
      </c>
      <c r="FP1459" t="str">
        <f t="shared" si="207"/>
        <v>B</v>
      </c>
    </row>
    <row r="1460" spans="153:172" x14ac:dyDescent="0.35">
      <c r="EW1460" t="s">
        <v>2339</v>
      </c>
      <c r="EX1460" s="33" t="s">
        <v>2782</v>
      </c>
      <c r="EY1460" s="35" t="s">
        <v>1290</v>
      </c>
      <c r="EZ1460" s="36" t="s">
        <v>1291</v>
      </c>
      <c r="FA1460" s="36" t="s">
        <v>1192</v>
      </c>
      <c r="FB1460" s="36" t="s">
        <v>344</v>
      </c>
      <c r="FC1460" s="36" t="s">
        <v>1192</v>
      </c>
      <c r="FD1460" s="36" t="s">
        <v>344</v>
      </c>
      <c r="FE1460" s="36">
        <v>2026</v>
      </c>
      <c r="FF1460" s="36" t="s">
        <v>59</v>
      </c>
      <c r="FG1460" s="36" t="s">
        <v>1210</v>
      </c>
      <c r="FJ1460" t="s">
        <v>59</v>
      </c>
      <c r="FM1460" s="32" t="s">
        <v>2826</v>
      </c>
      <c r="FN1460" t="s">
        <v>2826</v>
      </c>
      <c r="FO1460" t="s">
        <v>2827</v>
      </c>
      <c r="FP1460" t="str">
        <f t="shared" si="207"/>
        <v>B</v>
      </c>
    </row>
    <row r="1461" spans="153:172" x14ac:dyDescent="0.35">
      <c r="EW1461" t="s">
        <v>2339</v>
      </c>
      <c r="EX1461" s="33" t="s">
        <v>2812</v>
      </c>
      <c r="EY1461" s="35" t="s">
        <v>1294</v>
      </c>
      <c r="EZ1461" s="36" t="s">
        <v>1295</v>
      </c>
      <c r="FA1461" s="36" t="s">
        <v>1192</v>
      </c>
      <c r="FB1461" s="36" t="s">
        <v>344</v>
      </c>
      <c r="FC1461" s="36" t="s">
        <v>1192</v>
      </c>
      <c r="FD1461" s="36" t="s">
        <v>344</v>
      </c>
      <c r="FE1461" s="36">
        <v>2026</v>
      </c>
      <c r="FF1461" s="36" t="s">
        <v>59</v>
      </c>
      <c r="FG1461" s="36" t="s">
        <v>1210</v>
      </c>
      <c r="FJ1461" t="s">
        <v>59</v>
      </c>
      <c r="FM1461" s="32" t="s">
        <v>1346</v>
      </c>
      <c r="FN1461" t="s">
        <v>1346</v>
      </c>
      <c r="FO1461" t="s">
        <v>1347</v>
      </c>
      <c r="FP1461" t="str">
        <f t="shared" si="207"/>
        <v>B</v>
      </c>
    </row>
    <row r="1462" spans="153:172" x14ac:dyDescent="0.35">
      <c r="EW1462" t="s">
        <v>2339</v>
      </c>
      <c r="EX1462" s="33" t="s">
        <v>2767</v>
      </c>
      <c r="EY1462" s="35" t="s">
        <v>1296</v>
      </c>
      <c r="EZ1462" s="36" t="s">
        <v>1297</v>
      </c>
      <c r="FA1462" s="36" t="s">
        <v>1192</v>
      </c>
      <c r="FB1462" s="36" t="s">
        <v>344</v>
      </c>
      <c r="FC1462" s="36" t="s">
        <v>1192</v>
      </c>
      <c r="FD1462" s="36" t="s">
        <v>344</v>
      </c>
      <c r="FE1462" s="36">
        <v>2026</v>
      </c>
      <c r="FF1462" s="36" t="s">
        <v>59</v>
      </c>
      <c r="FG1462" s="36" t="s">
        <v>1210</v>
      </c>
      <c r="FJ1462" t="s">
        <v>59</v>
      </c>
      <c r="FM1462" s="32" t="s">
        <v>2722</v>
      </c>
      <c r="FN1462" t="s">
        <v>2722</v>
      </c>
      <c r="FO1462" t="s">
        <v>2723</v>
      </c>
      <c r="FP1462" t="str">
        <f t="shared" si="207"/>
        <v>B</v>
      </c>
    </row>
    <row r="1463" spans="153:172" x14ac:dyDescent="0.35">
      <c r="EW1463" t="s">
        <v>2339</v>
      </c>
      <c r="EX1463" s="33" t="s">
        <v>2796</v>
      </c>
      <c r="EY1463" s="35" t="s">
        <v>1300</v>
      </c>
      <c r="EZ1463" s="36" t="s">
        <v>1301</v>
      </c>
      <c r="FA1463" s="36" t="s">
        <v>1192</v>
      </c>
      <c r="FB1463" s="36" t="s">
        <v>344</v>
      </c>
      <c r="FC1463" s="36" t="s">
        <v>1192</v>
      </c>
      <c r="FD1463" s="36" t="s">
        <v>344</v>
      </c>
      <c r="FE1463" s="36">
        <v>2026</v>
      </c>
      <c r="FF1463" s="36" t="s">
        <v>59</v>
      </c>
      <c r="FG1463" s="36" t="s">
        <v>1210</v>
      </c>
      <c r="FJ1463" t="s">
        <v>59</v>
      </c>
      <c r="FM1463" s="32" t="s">
        <v>528</v>
      </c>
      <c r="FN1463" t="s">
        <v>529</v>
      </c>
      <c r="FO1463" t="s">
        <v>530</v>
      </c>
      <c r="FP1463" t="str">
        <f t="shared" si="207"/>
        <v>B</v>
      </c>
    </row>
    <row r="1464" spans="153:172" x14ac:dyDescent="0.35">
      <c r="EW1464" t="s">
        <v>2339</v>
      </c>
      <c r="EX1464" s="33" t="s">
        <v>2889</v>
      </c>
      <c r="EY1464" s="35" t="s">
        <v>1302</v>
      </c>
      <c r="EZ1464" s="36" t="s">
        <v>1303</v>
      </c>
      <c r="FA1464" s="36" t="s">
        <v>1192</v>
      </c>
      <c r="FB1464" s="36" t="s">
        <v>344</v>
      </c>
      <c r="FC1464" s="36" t="s">
        <v>1192</v>
      </c>
      <c r="FD1464" s="36" t="s">
        <v>344</v>
      </c>
      <c r="FE1464" s="36">
        <v>2026</v>
      </c>
      <c r="FF1464" s="36" t="s">
        <v>59</v>
      </c>
      <c r="FG1464" s="36" t="s">
        <v>1210</v>
      </c>
      <c r="FJ1464" t="s">
        <v>59</v>
      </c>
      <c r="FM1464" s="32" t="s">
        <v>2781</v>
      </c>
      <c r="FN1464" t="s">
        <v>2781</v>
      </c>
      <c r="FO1464" t="s">
        <v>2782</v>
      </c>
      <c r="FP1464" t="str">
        <f t="shared" si="207"/>
        <v>B</v>
      </c>
    </row>
    <row r="1465" spans="153:172" x14ac:dyDescent="0.35">
      <c r="EW1465" t="s">
        <v>2339</v>
      </c>
      <c r="EX1465" s="33" t="s">
        <v>2891</v>
      </c>
      <c r="EY1465" s="35" t="s">
        <v>1304</v>
      </c>
      <c r="EZ1465" s="36" t="s">
        <v>1305</v>
      </c>
      <c r="FA1465" s="36" t="s">
        <v>1192</v>
      </c>
      <c r="FB1465" s="36" t="s">
        <v>344</v>
      </c>
      <c r="FC1465" s="36" t="s">
        <v>1192</v>
      </c>
      <c r="FD1465" s="36" t="s">
        <v>344</v>
      </c>
      <c r="FE1465" s="36">
        <v>2026</v>
      </c>
      <c r="FF1465" s="36" t="s">
        <v>59</v>
      </c>
      <c r="FG1465" s="36" t="s">
        <v>1241</v>
      </c>
      <c r="FJ1465" t="s">
        <v>59</v>
      </c>
      <c r="FM1465" s="32" t="s">
        <v>2784</v>
      </c>
      <c r="FN1465" t="s">
        <v>2784</v>
      </c>
      <c r="FO1465" t="s">
        <v>2785</v>
      </c>
      <c r="FP1465" t="str">
        <f t="shared" si="207"/>
        <v>B</v>
      </c>
    </row>
    <row r="1466" spans="153:172" x14ac:dyDescent="0.35">
      <c r="EW1466" t="s">
        <v>2339</v>
      </c>
      <c r="EX1466" s="33" t="s">
        <v>2892</v>
      </c>
      <c r="EY1466" s="35" t="s">
        <v>1308</v>
      </c>
      <c r="EZ1466" s="36" t="s">
        <v>1309</v>
      </c>
      <c r="FA1466" s="36" t="s">
        <v>1192</v>
      </c>
      <c r="FB1466" s="36" t="s">
        <v>344</v>
      </c>
      <c r="FC1466" s="36" t="s">
        <v>1192</v>
      </c>
      <c r="FD1466" s="36" t="s">
        <v>344</v>
      </c>
      <c r="FE1466" s="36">
        <v>2026</v>
      </c>
      <c r="FF1466" s="36" t="s">
        <v>59</v>
      </c>
      <c r="FG1466" s="36" t="s">
        <v>1241</v>
      </c>
      <c r="FJ1466" t="s">
        <v>59</v>
      </c>
      <c r="FM1466" s="32" t="s">
        <v>2744</v>
      </c>
      <c r="FN1466" t="s">
        <v>2744</v>
      </c>
      <c r="FO1466" t="s">
        <v>2745</v>
      </c>
      <c r="FP1466" t="str">
        <f t="shared" si="207"/>
        <v>B</v>
      </c>
    </row>
    <row r="1467" spans="153:172" x14ac:dyDescent="0.35">
      <c r="EW1467" t="s">
        <v>2339</v>
      </c>
      <c r="EX1467" s="33" t="s">
        <v>2893</v>
      </c>
      <c r="EY1467" s="35" t="s">
        <v>1310</v>
      </c>
      <c r="EZ1467" s="36" t="s">
        <v>1311</v>
      </c>
      <c r="FA1467" s="36" t="s">
        <v>1192</v>
      </c>
      <c r="FB1467" s="36" t="s">
        <v>344</v>
      </c>
      <c r="FC1467" s="36" t="s">
        <v>1192</v>
      </c>
      <c r="FD1467" s="36" t="s">
        <v>344</v>
      </c>
      <c r="FE1467" s="36">
        <v>2026</v>
      </c>
      <c r="FF1467" s="36" t="s">
        <v>59</v>
      </c>
      <c r="FG1467" s="36" t="s">
        <v>1241</v>
      </c>
      <c r="FJ1467" t="s">
        <v>59</v>
      </c>
      <c r="FM1467" s="32" t="s">
        <v>2766</v>
      </c>
      <c r="FN1467" t="s">
        <v>2766</v>
      </c>
      <c r="FO1467" t="s">
        <v>2767</v>
      </c>
      <c r="FP1467" t="str">
        <f t="shared" si="207"/>
        <v>B</v>
      </c>
    </row>
    <row r="1468" spans="153:172" x14ac:dyDescent="0.35">
      <c r="EW1468" t="s">
        <v>2339</v>
      </c>
      <c r="EX1468" s="33" t="s">
        <v>2757</v>
      </c>
      <c r="EY1468" s="35" t="s">
        <v>1312</v>
      </c>
      <c r="EZ1468" s="36" t="s">
        <v>1313</v>
      </c>
      <c r="FA1468" s="36" t="s">
        <v>1192</v>
      </c>
      <c r="FB1468" s="36" t="s">
        <v>344</v>
      </c>
      <c r="FC1468" s="36" t="s">
        <v>1192</v>
      </c>
      <c r="FD1468" s="36" t="s">
        <v>344</v>
      </c>
      <c r="FE1468" s="36">
        <v>2026</v>
      </c>
      <c r="FF1468" s="36" t="s">
        <v>59</v>
      </c>
      <c r="FG1468" s="36" t="s">
        <v>1210</v>
      </c>
      <c r="FJ1468" t="s">
        <v>59</v>
      </c>
      <c r="FM1468" s="32" t="s">
        <v>2811</v>
      </c>
      <c r="FN1468" t="s">
        <v>2811</v>
      </c>
      <c r="FO1468" t="s">
        <v>2812</v>
      </c>
      <c r="FP1468" t="str">
        <f t="shared" si="207"/>
        <v>B</v>
      </c>
    </row>
    <row r="1469" spans="153:172" x14ac:dyDescent="0.35">
      <c r="EW1469" t="s">
        <v>2339</v>
      </c>
      <c r="EX1469" s="33" t="s">
        <v>2647</v>
      </c>
      <c r="EY1469" s="35" t="s">
        <v>1314</v>
      </c>
      <c r="EZ1469" s="36" t="s">
        <v>1315</v>
      </c>
      <c r="FA1469" s="36" t="s">
        <v>1192</v>
      </c>
      <c r="FB1469" s="36" t="s">
        <v>344</v>
      </c>
      <c r="FC1469" s="36" t="s">
        <v>1192</v>
      </c>
      <c r="FD1469" s="36" t="s">
        <v>344</v>
      </c>
      <c r="FE1469" s="36">
        <v>2026</v>
      </c>
      <c r="FF1469" s="36" t="s">
        <v>59</v>
      </c>
      <c r="FG1469" s="36" t="s">
        <v>1210</v>
      </c>
      <c r="FJ1469" t="s">
        <v>59</v>
      </c>
      <c r="FM1469" s="32" t="s">
        <v>2729</v>
      </c>
      <c r="FN1469" t="s">
        <v>2729</v>
      </c>
      <c r="FO1469" t="s">
        <v>2730</v>
      </c>
      <c r="FP1469" t="str">
        <f t="shared" si="207"/>
        <v>B</v>
      </c>
    </row>
    <row r="1470" spans="153:172" x14ac:dyDescent="0.35">
      <c r="EW1470" t="s">
        <v>2339</v>
      </c>
      <c r="EX1470" s="33" t="s">
        <v>2730</v>
      </c>
      <c r="EY1470" s="35" t="s">
        <v>1316</v>
      </c>
      <c r="EZ1470" s="36" t="s">
        <v>1317</v>
      </c>
      <c r="FA1470" s="36" t="s">
        <v>1192</v>
      </c>
      <c r="FB1470" s="36" t="s">
        <v>344</v>
      </c>
      <c r="FC1470" s="36" t="s">
        <v>1192</v>
      </c>
      <c r="FD1470" s="36" t="s">
        <v>344</v>
      </c>
      <c r="FE1470" s="36">
        <v>2026</v>
      </c>
      <c r="FF1470" s="36" t="s">
        <v>59</v>
      </c>
      <c r="FG1470" s="36" t="s">
        <v>1210</v>
      </c>
      <c r="FJ1470" t="s">
        <v>59</v>
      </c>
      <c r="FM1470" s="32" t="s">
        <v>1408</v>
      </c>
      <c r="FN1470" t="s">
        <v>1408</v>
      </c>
      <c r="FO1470" t="s">
        <v>1409</v>
      </c>
      <c r="FP1470" t="str">
        <f t="shared" si="207"/>
        <v>C</v>
      </c>
    </row>
    <row r="1471" spans="153:172" x14ac:dyDescent="0.35">
      <c r="EW1471" t="s">
        <v>2339</v>
      </c>
      <c r="EX1471" s="33" t="s">
        <v>2827</v>
      </c>
      <c r="EY1471" s="35" t="s">
        <v>1318</v>
      </c>
      <c r="EZ1471" s="36" t="s">
        <v>1319</v>
      </c>
      <c r="FA1471" s="36" t="s">
        <v>1192</v>
      </c>
      <c r="FB1471" s="36" t="s">
        <v>344</v>
      </c>
      <c r="FC1471" s="36" t="s">
        <v>1192</v>
      </c>
      <c r="FD1471" s="36" t="s">
        <v>344</v>
      </c>
      <c r="FE1471" s="36">
        <v>2026</v>
      </c>
      <c r="FF1471" s="36" t="s">
        <v>59</v>
      </c>
      <c r="FG1471" s="36" t="s">
        <v>1210</v>
      </c>
      <c r="FJ1471" t="s">
        <v>59</v>
      </c>
      <c r="FM1471" s="32" t="s">
        <v>2894</v>
      </c>
      <c r="FN1471" t="s">
        <v>2894</v>
      </c>
      <c r="FO1471" t="s">
        <v>2895</v>
      </c>
      <c r="FP1471" t="str">
        <f t="shared" si="207"/>
        <v>B</v>
      </c>
    </row>
    <row r="1472" spans="153:172" x14ac:dyDescent="0.35">
      <c r="EW1472" t="s">
        <v>2339</v>
      </c>
      <c r="EX1472" s="33" t="s">
        <v>2809</v>
      </c>
      <c r="EY1472" s="35" t="s">
        <v>1320</v>
      </c>
      <c r="EZ1472" s="36" t="s">
        <v>1321</v>
      </c>
      <c r="FA1472" s="36" t="s">
        <v>1192</v>
      </c>
      <c r="FB1472" s="36" t="s">
        <v>344</v>
      </c>
      <c r="FC1472" s="36" t="s">
        <v>1192</v>
      </c>
      <c r="FD1472" s="36" t="s">
        <v>344</v>
      </c>
      <c r="FE1472" s="36">
        <v>2026</v>
      </c>
      <c r="FF1472" s="36" t="s">
        <v>59</v>
      </c>
      <c r="FG1472" s="36" t="s">
        <v>1210</v>
      </c>
      <c r="FJ1472" t="s">
        <v>59</v>
      </c>
      <c r="FM1472" s="32" t="s">
        <v>1511</v>
      </c>
      <c r="FN1472" t="s">
        <v>1511</v>
      </c>
      <c r="FO1472" t="s">
        <v>1512</v>
      </c>
      <c r="FP1472" t="str">
        <f t="shared" si="207"/>
        <v>C</v>
      </c>
    </row>
    <row r="1473" spans="153:172" x14ac:dyDescent="0.35">
      <c r="EW1473" t="s">
        <v>2339</v>
      </c>
      <c r="EX1473" s="33" t="s">
        <v>2785</v>
      </c>
      <c r="EY1473" s="35" t="s">
        <v>1322</v>
      </c>
      <c r="EZ1473" s="36" t="s">
        <v>1323</v>
      </c>
      <c r="FA1473" s="36" t="s">
        <v>1192</v>
      </c>
      <c r="FB1473" s="36" t="s">
        <v>344</v>
      </c>
      <c r="FC1473" s="36" t="s">
        <v>1192</v>
      </c>
      <c r="FD1473" s="36" t="s">
        <v>344</v>
      </c>
      <c r="FE1473" s="36">
        <v>2026</v>
      </c>
      <c r="FF1473" s="36" t="s">
        <v>59</v>
      </c>
      <c r="FG1473" s="36" t="s">
        <v>1210</v>
      </c>
      <c r="FJ1473" t="s">
        <v>59</v>
      </c>
      <c r="FM1473" s="32" t="s">
        <v>911</v>
      </c>
      <c r="FN1473" t="s">
        <v>912</v>
      </c>
      <c r="FO1473" t="s">
        <v>913</v>
      </c>
      <c r="FP1473" t="str">
        <f t="shared" ref="FP1473:FP1536" si="208">VLOOKUP(FO1473,EX:FF,9,0)</f>
        <v>B</v>
      </c>
    </row>
    <row r="1474" spans="153:172" x14ac:dyDescent="0.35">
      <c r="EW1474" t="s">
        <v>2339</v>
      </c>
      <c r="EX1474" s="33" t="s">
        <v>1921</v>
      </c>
      <c r="EY1474" s="35" t="s">
        <v>1324</v>
      </c>
      <c r="EZ1474" s="36" t="s">
        <v>1325</v>
      </c>
      <c r="FA1474" s="36" t="s">
        <v>1192</v>
      </c>
      <c r="FB1474" s="36" t="s">
        <v>344</v>
      </c>
      <c r="FC1474" s="36" t="s">
        <v>1192</v>
      </c>
      <c r="FD1474" s="36" t="s">
        <v>344</v>
      </c>
      <c r="FE1474" s="36">
        <v>2026</v>
      </c>
      <c r="FF1474" s="36" t="s">
        <v>59</v>
      </c>
      <c r="FG1474" s="36" t="s">
        <v>1210</v>
      </c>
      <c r="FJ1474" t="s">
        <v>59</v>
      </c>
      <c r="FM1474" s="32" t="s">
        <v>710</v>
      </c>
      <c r="FN1474" t="s">
        <v>711</v>
      </c>
      <c r="FO1474" t="s">
        <v>712</v>
      </c>
      <c r="FP1474" t="str">
        <f t="shared" si="208"/>
        <v>B</v>
      </c>
    </row>
    <row r="1475" spans="153:172" x14ac:dyDescent="0.35">
      <c r="EW1475" t="s">
        <v>2339</v>
      </c>
      <c r="EX1475" s="33" t="s">
        <v>2634</v>
      </c>
      <c r="EY1475" s="35" t="s">
        <v>1326</v>
      </c>
      <c r="EZ1475" s="36" t="s">
        <v>1327</v>
      </c>
      <c r="FA1475" s="36" t="s">
        <v>1192</v>
      </c>
      <c r="FB1475" s="36" t="s">
        <v>344</v>
      </c>
      <c r="FC1475" s="36" t="s">
        <v>1192</v>
      </c>
      <c r="FD1475" s="36" t="s">
        <v>344</v>
      </c>
      <c r="FE1475" s="36">
        <v>2026</v>
      </c>
      <c r="FF1475" s="36" t="s">
        <v>59</v>
      </c>
      <c r="FG1475" s="36" t="s">
        <v>1210</v>
      </c>
      <c r="FJ1475" t="s">
        <v>59</v>
      </c>
      <c r="FM1475" s="32" t="s">
        <v>2840</v>
      </c>
      <c r="FN1475" t="s">
        <v>2840</v>
      </c>
      <c r="FO1475" t="s">
        <v>2841</v>
      </c>
      <c r="FP1475" t="str">
        <f t="shared" si="208"/>
        <v>B</v>
      </c>
    </row>
    <row r="1476" spans="153:172" x14ac:dyDescent="0.35">
      <c r="EW1476" t="s">
        <v>2339</v>
      </c>
      <c r="EX1476" s="33" t="s">
        <v>1347</v>
      </c>
      <c r="EY1476" s="35" t="s">
        <v>1330</v>
      </c>
      <c r="EZ1476" s="36" t="s">
        <v>1331</v>
      </c>
      <c r="FA1476" s="36" t="s">
        <v>1192</v>
      </c>
      <c r="FB1476" s="36" t="s">
        <v>344</v>
      </c>
      <c r="FC1476" s="36" t="s">
        <v>1192</v>
      </c>
      <c r="FD1476" s="36" t="s">
        <v>344</v>
      </c>
      <c r="FE1476" s="36">
        <v>2026</v>
      </c>
      <c r="FF1476" s="36" t="s">
        <v>59</v>
      </c>
      <c r="FG1476" s="36" t="s">
        <v>1210</v>
      </c>
      <c r="FJ1476" t="s">
        <v>59</v>
      </c>
      <c r="FM1476" s="32" t="s">
        <v>2756</v>
      </c>
      <c r="FN1476" t="s">
        <v>2756</v>
      </c>
      <c r="FO1476" t="s">
        <v>2757</v>
      </c>
      <c r="FP1476" t="str">
        <f t="shared" si="208"/>
        <v>B</v>
      </c>
    </row>
    <row r="1477" spans="153:172" x14ac:dyDescent="0.35">
      <c r="EW1477" t="s">
        <v>2339</v>
      </c>
      <c r="EX1477" s="33" t="s">
        <v>2896</v>
      </c>
      <c r="EY1477" s="35" t="s">
        <v>1334</v>
      </c>
      <c r="EZ1477" s="36" t="s">
        <v>1335</v>
      </c>
      <c r="FA1477" s="36" t="s">
        <v>1192</v>
      </c>
      <c r="FB1477" s="36" t="s">
        <v>344</v>
      </c>
      <c r="FC1477" s="36" t="s">
        <v>1192</v>
      </c>
      <c r="FD1477" s="36" t="s">
        <v>344</v>
      </c>
      <c r="FE1477" s="36">
        <v>2026</v>
      </c>
      <c r="FF1477" s="36" t="s">
        <v>59</v>
      </c>
      <c r="FG1477" s="36" t="s">
        <v>1210</v>
      </c>
      <c r="FJ1477" t="s">
        <v>59</v>
      </c>
      <c r="FM1477" s="32" t="s">
        <v>2781</v>
      </c>
      <c r="FN1477" t="s">
        <v>2781</v>
      </c>
      <c r="FO1477" t="s">
        <v>2782</v>
      </c>
      <c r="FP1477" t="str">
        <f t="shared" si="208"/>
        <v>B</v>
      </c>
    </row>
    <row r="1478" spans="153:172" x14ac:dyDescent="0.35">
      <c r="EW1478" t="s">
        <v>2339</v>
      </c>
      <c r="EX1478" s="33" t="s">
        <v>2897</v>
      </c>
      <c r="EY1478" s="35" t="s">
        <v>1336</v>
      </c>
      <c r="EZ1478" s="36" t="s">
        <v>1337</v>
      </c>
      <c r="FA1478" s="36" t="s">
        <v>1192</v>
      </c>
      <c r="FB1478" s="36" t="s">
        <v>344</v>
      </c>
      <c r="FC1478" s="36" t="s">
        <v>1192</v>
      </c>
      <c r="FD1478" s="36" t="s">
        <v>344</v>
      </c>
      <c r="FE1478" s="36">
        <v>2026</v>
      </c>
      <c r="FF1478" s="36" t="s">
        <v>59</v>
      </c>
      <c r="FG1478" s="36" t="s">
        <v>1241</v>
      </c>
      <c r="FJ1478" t="s">
        <v>59</v>
      </c>
      <c r="FM1478" s="32" t="s">
        <v>319</v>
      </c>
      <c r="FN1478" t="s">
        <v>320</v>
      </c>
      <c r="FO1478" t="s">
        <v>321</v>
      </c>
      <c r="FP1478" t="str">
        <f t="shared" si="208"/>
        <v>B</v>
      </c>
    </row>
    <row r="1479" spans="153:172" x14ac:dyDescent="0.35">
      <c r="EW1479" t="s">
        <v>2339</v>
      </c>
      <c r="EX1479" s="33" t="s">
        <v>2898</v>
      </c>
      <c r="EY1479" s="35" t="s">
        <v>1338</v>
      </c>
      <c r="EZ1479" s="36" t="s">
        <v>1339</v>
      </c>
      <c r="FA1479" s="36" t="s">
        <v>1192</v>
      </c>
      <c r="FB1479" s="36" t="s">
        <v>344</v>
      </c>
      <c r="FC1479" s="36" t="s">
        <v>1192</v>
      </c>
      <c r="FD1479" s="36" t="s">
        <v>344</v>
      </c>
      <c r="FE1479" s="36">
        <v>2026</v>
      </c>
      <c r="FF1479" s="36" t="s">
        <v>59</v>
      </c>
      <c r="FG1479" s="36" t="s">
        <v>1241</v>
      </c>
      <c r="FJ1479" t="s">
        <v>59</v>
      </c>
      <c r="FM1479" s="32" t="s">
        <v>245</v>
      </c>
      <c r="FN1479" t="s">
        <v>246</v>
      </c>
      <c r="FO1479" t="s">
        <v>247</v>
      </c>
      <c r="FP1479" t="str">
        <f t="shared" si="208"/>
        <v>B</v>
      </c>
    </row>
    <row r="1480" spans="153:172" x14ac:dyDescent="0.35">
      <c r="EW1480" t="s">
        <v>2339</v>
      </c>
      <c r="EX1480" s="33" t="s">
        <v>2899</v>
      </c>
      <c r="EY1480" s="35" t="s">
        <v>1341</v>
      </c>
      <c r="EZ1480" s="36" t="s">
        <v>1342</v>
      </c>
      <c r="FA1480" s="36" t="s">
        <v>1192</v>
      </c>
      <c r="FB1480" s="36" t="s">
        <v>344</v>
      </c>
      <c r="FC1480" s="36" t="s">
        <v>1192</v>
      </c>
      <c r="FD1480" s="36" t="s">
        <v>344</v>
      </c>
      <c r="FE1480" s="36">
        <v>2026</v>
      </c>
      <c r="FF1480" s="36" t="s">
        <v>59</v>
      </c>
      <c r="FG1480" s="36" t="s">
        <v>1241</v>
      </c>
      <c r="FJ1480" t="s">
        <v>59</v>
      </c>
      <c r="FM1480" s="32" t="s">
        <v>528</v>
      </c>
      <c r="FN1480" t="s">
        <v>529</v>
      </c>
      <c r="FO1480" t="s">
        <v>530</v>
      </c>
      <c r="FP1480" t="str">
        <f t="shared" si="208"/>
        <v>B</v>
      </c>
    </row>
    <row r="1481" spans="153:172" x14ac:dyDescent="0.35">
      <c r="EW1481" t="s">
        <v>2339</v>
      </c>
      <c r="EX1481" s="33" t="s">
        <v>2900</v>
      </c>
      <c r="EY1481" s="35" t="s">
        <v>1344</v>
      </c>
      <c r="EZ1481" s="36" t="s">
        <v>1345</v>
      </c>
      <c r="FA1481" s="36" t="s">
        <v>1192</v>
      </c>
      <c r="FB1481" s="36" t="s">
        <v>344</v>
      </c>
      <c r="FC1481" s="36" t="s">
        <v>1192</v>
      </c>
      <c r="FD1481" s="36" t="s">
        <v>344</v>
      </c>
      <c r="FE1481" s="36">
        <v>2026</v>
      </c>
      <c r="FF1481" s="36" t="s">
        <v>59</v>
      </c>
      <c r="FG1481" s="36" t="s">
        <v>1241</v>
      </c>
      <c r="FJ1481" t="s">
        <v>59</v>
      </c>
      <c r="FM1481" s="32" t="s">
        <v>2744</v>
      </c>
      <c r="FN1481" t="s">
        <v>2744</v>
      </c>
      <c r="FO1481" t="s">
        <v>2745</v>
      </c>
      <c r="FP1481" t="str">
        <f t="shared" si="208"/>
        <v>B</v>
      </c>
    </row>
    <row r="1482" spans="153:172" x14ac:dyDescent="0.35">
      <c r="EW1482" t="s">
        <v>2339</v>
      </c>
      <c r="EX1482" s="33" t="s">
        <v>2901</v>
      </c>
      <c r="EY1482" s="35" t="s">
        <v>1348</v>
      </c>
      <c r="EZ1482" s="36" t="s">
        <v>1349</v>
      </c>
      <c r="FA1482" s="36" t="s">
        <v>1192</v>
      </c>
      <c r="FB1482" s="36" t="s">
        <v>344</v>
      </c>
      <c r="FC1482" s="36" t="s">
        <v>1192</v>
      </c>
      <c r="FD1482" s="36" t="s">
        <v>344</v>
      </c>
      <c r="FE1482" s="36">
        <v>2026</v>
      </c>
      <c r="FF1482" s="36" t="s">
        <v>59</v>
      </c>
      <c r="FG1482" s="36" t="s">
        <v>1241</v>
      </c>
      <c r="FJ1482" t="s">
        <v>59</v>
      </c>
      <c r="FM1482" s="32" t="s">
        <v>2784</v>
      </c>
      <c r="FN1482" t="s">
        <v>2784</v>
      </c>
      <c r="FO1482" t="s">
        <v>2785</v>
      </c>
      <c r="FP1482" t="str">
        <f t="shared" si="208"/>
        <v>B</v>
      </c>
    </row>
    <row r="1483" spans="153:172" x14ac:dyDescent="0.35">
      <c r="EW1483" t="s">
        <v>2339</v>
      </c>
      <c r="EX1483" s="33" t="s">
        <v>2902</v>
      </c>
      <c r="EY1483" s="35" t="s">
        <v>1352</v>
      </c>
      <c r="EZ1483" s="36" t="s">
        <v>1353</v>
      </c>
      <c r="FA1483" s="36" t="s">
        <v>1192</v>
      </c>
      <c r="FB1483" s="36" t="s">
        <v>344</v>
      </c>
      <c r="FC1483" s="36" t="s">
        <v>1192</v>
      </c>
      <c r="FD1483" s="36" t="s">
        <v>344</v>
      </c>
      <c r="FE1483" s="36">
        <v>2026</v>
      </c>
      <c r="FF1483" s="36" t="s">
        <v>59</v>
      </c>
      <c r="FG1483" s="36" t="s">
        <v>1241</v>
      </c>
      <c r="FJ1483" t="s">
        <v>59</v>
      </c>
      <c r="FM1483" s="32" t="s">
        <v>1483</v>
      </c>
      <c r="FN1483" t="s">
        <v>1483</v>
      </c>
      <c r="FO1483" t="s">
        <v>1484</v>
      </c>
      <c r="FP1483" t="str">
        <f t="shared" si="208"/>
        <v>B</v>
      </c>
    </row>
    <row r="1484" spans="153:172" x14ac:dyDescent="0.35">
      <c r="EW1484" t="s">
        <v>2339</v>
      </c>
      <c r="EX1484" s="33" t="s">
        <v>2903</v>
      </c>
      <c r="EY1484" s="35" t="s">
        <v>1356</v>
      </c>
      <c r="EZ1484" s="36" t="s">
        <v>1357</v>
      </c>
      <c r="FA1484" s="36" t="s">
        <v>1192</v>
      </c>
      <c r="FB1484" s="36" t="s">
        <v>344</v>
      </c>
      <c r="FC1484" s="36" t="s">
        <v>1192</v>
      </c>
      <c r="FD1484" s="36" t="s">
        <v>344</v>
      </c>
      <c r="FE1484" s="36">
        <v>2026</v>
      </c>
      <c r="FF1484" s="36" t="s">
        <v>59</v>
      </c>
      <c r="FG1484" s="36" t="s">
        <v>1241</v>
      </c>
      <c r="FJ1484" t="s">
        <v>59</v>
      </c>
      <c r="FM1484" s="32" t="s">
        <v>2795</v>
      </c>
      <c r="FN1484" t="s">
        <v>2795</v>
      </c>
      <c r="FO1484" t="s">
        <v>2796</v>
      </c>
      <c r="FP1484" t="str">
        <f t="shared" si="208"/>
        <v>B</v>
      </c>
    </row>
    <row r="1485" spans="153:172" x14ac:dyDescent="0.35">
      <c r="EW1485" t="s">
        <v>2339</v>
      </c>
      <c r="EX1485" s="33" t="s">
        <v>2904</v>
      </c>
      <c r="EY1485" s="35" t="s">
        <v>1360</v>
      </c>
      <c r="EZ1485" s="36" t="s">
        <v>1361</v>
      </c>
      <c r="FA1485" s="36" t="s">
        <v>1192</v>
      </c>
      <c r="FB1485" s="36" t="s">
        <v>344</v>
      </c>
      <c r="FC1485" s="36" t="s">
        <v>1192</v>
      </c>
      <c r="FD1485" s="36" t="s">
        <v>344</v>
      </c>
      <c r="FE1485" s="36">
        <v>2026</v>
      </c>
      <c r="FF1485" s="36" t="s">
        <v>59</v>
      </c>
      <c r="FG1485" s="36" t="s">
        <v>1241</v>
      </c>
      <c r="FJ1485" t="s">
        <v>59</v>
      </c>
      <c r="FM1485" s="32" t="s">
        <v>2905</v>
      </c>
      <c r="FN1485" t="s">
        <v>2905</v>
      </c>
      <c r="FO1485" t="s">
        <v>2896</v>
      </c>
      <c r="FP1485" t="str">
        <f t="shared" si="208"/>
        <v>B</v>
      </c>
    </row>
    <row r="1486" spans="153:172" x14ac:dyDescent="0.35">
      <c r="EW1486" t="s">
        <v>2339</v>
      </c>
      <c r="EX1486" s="33" t="s">
        <v>2906</v>
      </c>
      <c r="EY1486" s="35" t="s">
        <v>1364</v>
      </c>
      <c r="EZ1486" s="36" t="s">
        <v>1365</v>
      </c>
      <c r="FA1486" s="36" t="s">
        <v>1192</v>
      </c>
      <c r="FB1486" s="36" t="s">
        <v>344</v>
      </c>
      <c r="FC1486" s="36" t="s">
        <v>1192</v>
      </c>
      <c r="FD1486" s="36" t="s">
        <v>344</v>
      </c>
      <c r="FE1486" s="36">
        <v>2026</v>
      </c>
      <c r="FF1486" s="36" t="s">
        <v>59</v>
      </c>
      <c r="FG1486" s="36" t="s">
        <v>1241</v>
      </c>
      <c r="FJ1486" t="s">
        <v>59</v>
      </c>
      <c r="FM1486" s="32" t="s">
        <v>2840</v>
      </c>
      <c r="FN1486" t="s">
        <v>2840</v>
      </c>
      <c r="FO1486" t="s">
        <v>2841</v>
      </c>
      <c r="FP1486" t="str">
        <f t="shared" si="208"/>
        <v>B</v>
      </c>
    </row>
    <row r="1487" spans="153:172" x14ac:dyDescent="0.35">
      <c r="EW1487" t="s">
        <v>2339</v>
      </c>
      <c r="EX1487" s="33" t="s">
        <v>2907</v>
      </c>
      <c r="EY1487" s="35" t="s">
        <v>1368</v>
      </c>
      <c r="EZ1487" s="36" t="s">
        <v>1369</v>
      </c>
      <c r="FA1487" s="36" t="s">
        <v>1192</v>
      </c>
      <c r="FB1487" s="36" t="s">
        <v>344</v>
      </c>
      <c r="FC1487" s="36" t="s">
        <v>1192</v>
      </c>
      <c r="FD1487" s="36" t="s">
        <v>344</v>
      </c>
      <c r="FE1487" s="36">
        <v>2026</v>
      </c>
      <c r="FF1487" s="36" t="s">
        <v>59</v>
      </c>
      <c r="FG1487" s="36" t="s">
        <v>1241</v>
      </c>
      <c r="FJ1487" t="s">
        <v>59</v>
      </c>
      <c r="FM1487" s="32" t="s">
        <v>982</v>
      </c>
      <c r="FN1487" t="s">
        <v>983</v>
      </c>
      <c r="FO1487" t="s">
        <v>984</v>
      </c>
      <c r="FP1487" t="str">
        <f t="shared" si="208"/>
        <v>B</v>
      </c>
    </row>
    <row r="1488" spans="153:172" x14ac:dyDescent="0.35">
      <c r="EW1488" t="s">
        <v>2339</v>
      </c>
      <c r="EX1488" s="33" t="s">
        <v>2723</v>
      </c>
      <c r="EY1488" s="35" t="s">
        <v>1372</v>
      </c>
      <c r="EZ1488" s="36" t="s">
        <v>1373</v>
      </c>
      <c r="FA1488" s="36" t="s">
        <v>1192</v>
      </c>
      <c r="FB1488" s="36" t="s">
        <v>344</v>
      </c>
      <c r="FC1488" s="36" t="s">
        <v>1192</v>
      </c>
      <c r="FD1488" s="36" t="s">
        <v>344</v>
      </c>
      <c r="FE1488" s="36">
        <v>2026</v>
      </c>
      <c r="FF1488" s="36" t="s">
        <v>59</v>
      </c>
      <c r="FG1488" s="36" t="s">
        <v>1210</v>
      </c>
      <c r="FJ1488" t="s">
        <v>59</v>
      </c>
      <c r="FM1488" s="32" t="s">
        <v>2908</v>
      </c>
      <c r="FN1488" t="s">
        <v>2908</v>
      </c>
      <c r="FO1488" t="s">
        <v>2883</v>
      </c>
      <c r="FP1488" t="str">
        <f t="shared" si="208"/>
        <v>B</v>
      </c>
    </row>
    <row r="1489" spans="153:172" x14ac:dyDescent="0.35">
      <c r="EW1489" t="s">
        <v>2339</v>
      </c>
      <c r="EX1489" s="33" t="s">
        <v>1333</v>
      </c>
      <c r="EY1489" s="35" t="s">
        <v>1376</v>
      </c>
      <c r="EZ1489" s="36" t="s">
        <v>1377</v>
      </c>
      <c r="FA1489" s="36" t="s">
        <v>1192</v>
      </c>
      <c r="FB1489" s="36" t="s">
        <v>344</v>
      </c>
      <c r="FC1489" s="36" t="s">
        <v>1192</v>
      </c>
      <c r="FD1489" s="36" t="s">
        <v>344</v>
      </c>
      <c r="FE1489" s="36">
        <v>2026</v>
      </c>
      <c r="FF1489" s="36" t="s">
        <v>59</v>
      </c>
      <c r="FG1489" s="36" t="s">
        <v>1210</v>
      </c>
      <c r="FJ1489" t="s">
        <v>59</v>
      </c>
      <c r="FM1489" s="32" t="s">
        <v>519</v>
      </c>
      <c r="FN1489" t="s">
        <v>520</v>
      </c>
      <c r="FO1489" t="s">
        <v>521</v>
      </c>
      <c r="FP1489" t="str">
        <f t="shared" si="208"/>
        <v>B</v>
      </c>
    </row>
    <row r="1490" spans="153:172" x14ac:dyDescent="0.35">
      <c r="EW1490" t="s">
        <v>2339</v>
      </c>
      <c r="EX1490" s="33" t="s">
        <v>2909</v>
      </c>
      <c r="EY1490" s="35" t="s">
        <v>1380</v>
      </c>
      <c r="EZ1490" s="36" t="s">
        <v>1381</v>
      </c>
      <c r="FA1490" s="36" t="s">
        <v>1192</v>
      </c>
      <c r="FB1490" s="36" t="s">
        <v>344</v>
      </c>
      <c r="FC1490" s="36" t="s">
        <v>1192</v>
      </c>
      <c r="FD1490" s="36" t="s">
        <v>344</v>
      </c>
      <c r="FE1490" s="36">
        <v>2026</v>
      </c>
      <c r="FF1490" s="36" t="s">
        <v>59</v>
      </c>
      <c r="FG1490" s="36" t="s">
        <v>1241</v>
      </c>
      <c r="FJ1490" t="s">
        <v>59</v>
      </c>
      <c r="FM1490" s="32" t="s">
        <v>462</v>
      </c>
      <c r="FN1490" t="s">
        <v>463</v>
      </c>
      <c r="FO1490" t="s">
        <v>464</v>
      </c>
      <c r="FP1490" t="str">
        <f t="shared" si="208"/>
        <v>B</v>
      </c>
    </row>
    <row r="1491" spans="153:172" x14ac:dyDescent="0.35">
      <c r="EW1491" t="s">
        <v>2339</v>
      </c>
      <c r="EX1491" s="33" t="s">
        <v>2910</v>
      </c>
      <c r="EY1491" s="35" t="s">
        <v>1382</v>
      </c>
      <c r="EZ1491" s="36" t="s">
        <v>1383</v>
      </c>
      <c r="FA1491" s="36" t="s">
        <v>1192</v>
      </c>
      <c r="FB1491" s="36" t="s">
        <v>344</v>
      </c>
      <c r="FC1491" s="36" t="s">
        <v>1192</v>
      </c>
      <c r="FD1491" s="36" t="s">
        <v>344</v>
      </c>
      <c r="FE1491" s="36">
        <v>2026</v>
      </c>
      <c r="FF1491" s="36" t="s">
        <v>59</v>
      </c>
      <c r="FG1491" s="36" t="s">
        <v>1210</v>
      </c>
      <c r="FJ1491" t="s">
        <v>59</v>
      </c>
      <c r="FM1491" s="32" t="s">
        <v>922</v>
      </c>
      <c r="FN1491" t="s">
        <v>923</v>
      </c>
      <c r="FO1491" t="s">
        <v>924</v>
      </c>
      <c r="FP1491" t="str">
        <f t="shared" si="208"/>
        <v>B</v>
      </c>
    </row>
    <row r="1492" spans="153:172" x14ac:dyDescent="0.35">
      <c r="EW1492" t="s">
        <v>2339</v>
      </c>
      <c r="EX1492" s="33" t="s">
        <v>2911</v>
      </c>
      <c r="EY1492" s="35" t="s">
        <v>1386</v>
      </c>
      <c r="EZ1492" s="36" t="s">
        <v>1387</v>
      </c>
      <c r="FA1492" s="36" t="s">
        <v>1192</v>
      </c>
      <c r="FB1492" s="36" t="s">
        <v>344</v>
      </c>
      <c r="FC1492" s="36" t="s">
        <v>1192</v>
      </c>
      <c r="FD1492" s="36" t="s">
        <v>344</v>
      </c>
      <c r="FE1492" s="36">
        <v>2026</v>
      </c>
      <c r="FF1492" s="36" t="s">
        <v>59</v>
      </c>
      <c r="FG1492" s="36" t="s">
        <v>1241</v>
      </c>
      <c r="FJ1492" t="s">
        <v>59</v>
      </c>
      <c r="FM1492" s="32" t="s">
        <v>982</v>
      </c>
      <c r="FN1492" t="s">
        <v>983</v>
      </c>
      <c r="FO1492" t="s">
        <v>984</v>
      </c>
      <c r="FP1492" t="str">
        <f t="shared" si="208"/>
        <v>B</v>
      </c>
    </row>
    <row r="1493" spans="153:172" x14ac:dyDescent="0.35">
      <c r="EW1493" t="s">
        <v>2339</v>
      </c>
      <c r="EX1493" s="33" t="s">
        <v>2912</v>
      </c>
      <c r="EY1493" s="35" t="s">
        <v>1390</v>
      </c>
      <c r="EZ1493" s="36" t="s">
        <v>1391</v>
      </c>
      <c r="FA1493" s="36" t="s">
        <v>1192</v>
      </c>
      <c r="FB1493" s="36" t="s">
        <v>344</v>
      </c>
      <c r="FC1493" s="36" t="s">
        <v>1192</v>
      </c>
      <c r="FD1493" s="36" t="s">
        <v>344</v>
      </c>
      <c r="FE1493" s="36">
        <v>2026</v>
      </c>
      <c r="FF1493" s="36" t="s">
        <v>59</v>
      </c>
      <c r="FG1493" s="36" t="s">
        <v>1241</v>
      </c>
      <c r="FJ1493" t="s">
        <v>59</v>
      </c>
      <c r="FM1493" s="32" t="s">
        <v>425</v>
      </c>
      <c r="FN1493" t="s">
        <v>426</v>
      </c>
      <c r="FO1493" t="s">
        <v>427</v>
      </c>
      <c r="FP1493" t="str">
        <f t="shared" si="208"/>
        <v>B</v>
      </c>
    </row>
    <row r="1494" spans="153:172" x14ac:dyDescent="0.35">
      <c r="EW1494" t="s">
        <v>2339</v>
      </c>
      <c r="EX1494" s="33" t="s">
        <v>2913</v>
      </c>
      <c r="EY1494" s="35" t="s">
        <v>1394</v>
      </c>
      <c r="EZ1494" s="36" t="s">
        <v>1395</v>
      </c>
      <c r="FA1494" s="36" t="s">
        <v>1192</v>
      </c>
      <c r="FB1494" s="36" t="s">
        <v>344</v>
      </c>
      <c r="FC1494" s="36" t="s">
        <v>1192</v>
      </c>
      <c r="FD1494" s="36" t="s">
        <v>344</v>
      </c>
      <c r="FE1494" s="36">
        <v>2026</v>
      </c>
      <c r="FF1494" s="36" t="s">
        <v>59</v>
      </c>
      <c r="FG1494" s="36" t="s">
        <v>1241</v>
      </c>
      <c r="FJ1494" t="s">
        <v>59</v>
      </c>
      <c r="FM1494" s="32" t="s">
        <v>2908</v>
      </c>
      <c r="FN1494" t="s">
        <v>2908</v>
      </c>
      <c r="FO1494" t="s">
        <v>2883</v>
      </c>
      <c r="FP1494" t="str">
        <f t="shared" si="208"/>
        <v>B</v>
      </c>
    </row>
    <row r="1495" spans="153:172" x14ac:dyDescent="0.35">
      <c r="EW1495" t="s">
        <v>2339</v>
      </c>
      <c r="EX1495" s="33" t="s">
        <v>2914</v>
      </c>
      <c r="EY1495" s="35" t="s">
        <v>1396</v>
      </c>
      <c r="EZ1495" s="36" t="s">
        <v>1397</v>
      </c>
      <c r="FA1495" s="36" t="s">
        <v>1192</v>
      </c>
      <c r="FB1495" s="36" t="s">
        <v>344</v>
      </c>
      <c r="FC1495" s="36" t="s">
        <v>1192</v>
      </c>
      <c r="FD1495" s="36" t="s">
        <v>344</v>
      </c>
      <c r="FE1495" s="36">
        <v>2026</v>
      </c>
      <c r="FF1495" s="36" t="s">
        <v>59</v>
      </c>
      <c r="FG1495" s="36" t="s">
        <v>1241</v>
      </c>
      <c r="FJ1495" t="s">
        <v>59</v>
      </c>
      <c r="FM1495" s="32" t="s">
        <v>43</v>
      </c>
      <c r="FN1495" t="s">
        <v>44</v>
      </c>
      <c r="FO1495" t="s">
        <v>45</v>
      </c>
      <c r="FP1495" t="str">
        <f t="shared" si="208"/>
        <v>B</v>
      </c>
    </row>
    <row r="1496" spans="153:172" x14ac:dyDescent="0.35">
      <c r="EW1496" t="s">
        <v>2339</v>
      </c>
      <c r="EX1496" s="33" t="s">
        <v>2915</v>
      </c>
      <c r="EY1496" s="35" t="s">
        <v>1398</v>
      </c>
      <c r="EZ1496" s="36" t="s">
        <v>1399</v>
      </c>
      <c r="FA1496" s="36" t="s">
        <v>1192</v>
      </c>
      <c r="FB1496" s="36" t="s">
        <v>344</v>
      </c>
      <c r="FC1496" s="36" t="s">
        <v>1192</v>
      </c>
      <c r="FD1496" s="36" t="s">
        <v>344</v>
      </c>
      <c r="FE1496" s="36">
        <v>2026</v>
      </c>
      <c r="FF1496" s="36" t="s">
        <v>59</v>
      </c>
      <c r="FG1496" s="36" t="s">
        <v>1241</v>
      </c>
      <c r="FJ1496" t="s">
        <v>59</v>
      </c>
      <c r="FM1496" s="32" t="s">
        <v>217</v>
      </c>
      <c r="FN1496" t="s">
        <v>218</v>
      </c>
      <c r="FO1496" t="s">
        <v>219</v>
      </c>
      <c r="FP1496" t="str">
        <f t="shared" si="208"/>
        <v>B</v>
      </c>
    </row>
    <row r="1497" spans="153:172" x14ac:dyDescent="0.35">
      <c r="EW1497" t="s">
        <v>2339</v>
      </c>
      <c r="EX1497" s="33" t="s">
        <v>2916</v>
      </c>
      <c r="EY1497" s="35" t="s">
        <v>1400</v>
      </c>
      <c r="EZ1497" s="36" t="s">
        <v>1401</v>
      </c>
      <c r="FA1497" s="36" t="s">
        <v>1192</v>
      </c>
      <c r="FB1497" s="36" t="s">
        <v>344</v>
      </c>
      <c r="FC1497" s="36" t="s">
        <v>1192</v>
      </c>
      <c r="FD1497" s="36" t="s">
        <v>344</v>
      </c>
      <c r="FE1497" s="36">
        <v>2026</v>
      </c>
      <c r="FF1497" s="36" t="s">
        <v>59</v>
      </c>
      <c r="FG1497" s="36" t="s">
        <v>1241</v>
      </c>
      <c r="FJ1497" t="s">
        <v>59</v>
      </c>
      <c r="FM1497" s="32" t="s">
        <v>519</v>
      </c>
      <c r="FN1497" t="s">
        <v>520</v>
      </c>
      <c r="FO1497" t="s">
        <v>521</v>
      </c>
      <c r="FP1497" t="str">
        <f t="shared" si="208"/>
        <v>B</v>
      </c>
    </row>
    <row r="1498" spans="153:172" x14ac:dyDescent="0.35">
      <c r="EW1498" t="s">
        <v>2339</v>
      </c>
      <c r="EX1498" s="33" t="s">
        <v>2917</v>
      </c>
      <c r="EY1498" s="35" t="s">
        <v>1402</v>
      </c>
      <c r="EZ1498" s="36" t="s">
        <v>1403</v>
      </c>
      <c r="FA1498" s="36" t="s">
        <v>1192</v>
      </c>
      <c r="FB1498" s="36" t="s">
        <v>344</v>
      </c>
      <c r="FC1498" s="36" t="s">
        <v>1192</v>
      </c>
      <c r="FD1498" s="36" t="s">
        <v>344</v>
      </c>
      <c r="FE1498" s="36">
        <v>2026</v>
      </c>
      <c r="FF1498" s="36" t="s">
        <v>59</v>
      </c>
      <c r="FG1498" s="36" t="s">
        <v>1241</v>
      </c>
      <c r="FJ1498" t="s">
        <v>59</v>
      </c>
      <c r="FM1498" s="32" t="s">
        <v>462</v>
      </c>
      <c r="FN1498" t="s">
        <v>463</v>
      </c>
      <c r="FO1498" t="s">
        <v>464</v>
      </c>
      <c r="FP1498" t="str">
        <f t="shared" si="208"/>
        <v>B</v>
      </c>
    </row>
    <row r="1499" spans="153:172" x14ac:dyDescent="0.35">
      <c r="EW1499" t="s">
        <v>2339</v>
      </c>
      <c r="EX1499" s="33" t="s">
        <v>2918</v>
      </c>
      <c r="EY1499" s="35" t="s">
        <v>1406</v>
      </c>
      <c r="EZ1499" s="36" t="s">
        <v>1407</v>
      </c>
      <c r="FA1499" s="36" t="s">
        <v>1192</v>
      </c>
      <c r="FB1499" s="36" t="s">
        <v>344</v>
      </c>
      <c r="FC1499" s="36" t="s">
        <v>1192</v>
      </c>
      <c r="FD1499" s="36" t="s">
        <v>344</v>
      </c>
      <c r="FE1499" s="36">
        <v>2026</v>
      </c>
      <c r="FF1499" s="36" t="s">
        <v>59</v>
      </c>
      <c r="FG1499" s="36" t="s">
        <v>1241</v>
      </c>
      <c r="FJ1499" t="s">
        <v>59</v>
      </c>
      <c r="FM1499" s="32" t="s">
        <v>922</v>
      </c>
      <c r="FN1499" t="s">
        <v>923</v>
      </c>
      <c r="FO1499" t="s">
        <v>924</v>
      </c>
      <c r="FP1499" t="str">
        <f t="shared" si="208"/>
        <v>B</v>
      </c>
    </row>
    <row r="1500" spans="153:172" x14ac:dyDescent="0.35">
      <c r="EW1500" t="s">
        <v>2339</v>
      </c>
      <c r="EX1500" s="33" t="s">
        <v>2919</v>
      </c>
      <c r="EY1500" s="35" t="s">
        <v>1410</v>
      </c>
      <c r="EZ1500" s="36" t="s">
        <v>1411</v>
      </c>
      <c r="FA1500" s="36" t="s">
        <v>1192</v>
      </c>
      <c r="FB1500" s="36" t="s">
        <v>344</v>
      </c>
      <c r="FC1500" s="36" t="s">
        <v>1192</v>
      </c>
      <c r="FD1500" s="36" t="s">
        <v>344</v>
      </c>
      <c r="FE1500" s="36">
        <v>2026</v>
      </c>
      <c r="FF1500" s="36" t="s">
        <v>59</v>
      </c>
      <c r="FG1500" s="36" t="s">
        <v>1241</v>
      </c>
      <c r="FJ1500" t="s">
        <v>59</v>
      </c>
      <c r="FM1500" s="32" t="s">
        <v>982</v>
      </c>
      <c r="FN1500" t="s">
        <v>983</v>
      </c>
      <c r="FO1500" t="s">
        <v>984</v>
      </c>
      <c r="FP1500" t="str">
        <f t="shared" si="208"/>
        <v>B</v>
      </c>
    </row>
    <row r="1501" spans="153:172" x14ac:dyDescent="0.35">
      <c r="EW1501" t="s">
        <v>2339</v>
      </c>
      <c r="EX1501" s="33" t="s">
        <v>2920</v>
      </c>
      <c r="EY1501" s="35" t="s">
        <v>1412</v>
      </c>
      <c r="EZ1501" s="36" t="s">
        <v>1413</v>
      </c>
      <c r="FA1501" s="36" t="s">
        <v>1192</v>
      </c>
      <c r="FB1501" s="36" t="s">
        <v>344</v>
      </c>
      <c r="FC1501" s="36" t="s">
        <v>1192</v>
      </c>
      <c r="FD1501" s="36" t="s">
        <v>344</v>
      </c>
      <c r="FE1501" s="36">
        <v>2026</v>
      </c>
      <c r="FF1501" s="36" t="s">
        <v>59</v>
      </c>
      <c r="FG1501" s="36" t="s">
        <v>1241</v>
      </c>
      <c r="FJ1501" t="s">
        <v>59</v>
      </c>
      <c r="FM1501" s="32" t="s">
        <v>855</v>
      </c>
      <c r="FN1501" t="s">
        <v>856</v>
      </c>
      <c r="FO1501" t="s">
        <v>857</v>
      </c>
      <c r="FP1501" t="str">
        <f t="shared" si="208"/>
        <v>B</v>
      </c>
    </row>
    <row r="1502" spans="153:172" x14ac:dyDescent="0.35">
      <c r="EW1502" t="s">
        <v>2339</v>
      </c>
      <c r="EX1502" s="33" t="s">
        <v>2921</v>
      </c>
      <c r="EY1502" s="35" t="s">
        <v>1414</v>
      </c>
      <c r="EZ1502" s="36" t="s">
        <v>1415</v>
      </c>
      <c r="FA1502" s="36" t="s">
        <v>1192</v>
      </c>
      <c r="FB1502" s="36" t="s">
        <v>344</v>
      </c>
      <c r="FC1502" s="36" t="s">
        <v>1192</v>
      </c>
      <c r="FD1502" s="36" t="s">
        <v>344</v>
      </c>
      <c r="FE1502" s="36">
        <v>2026</v>
      </c>
      <c r="FF1502" s="36" t="s">
        <v>59</v>
      </c>
      <c r="FG1502" s="36" t="s">
        <v>1241</v>
      </c>
      <c r="FJ1502" t="s">
        <v>59</v>
      </c>
      <c r="FM1502" s="32" t="s">
        <v>425</v>
      </c>
      <c r="FN1502" t="s">
        <v>426</v>
      </c>
      <c r="FO1502" t="s">
        <v>427</v>
      </c>
      <c r="FP1502" t="str">
        <f t="shared" si="208"/>
        <v>B</v>
      </c>
    </row>
    <row r="1503" spans="153:172" x14ac:dyDescent="0.35">
      <c r="EW1503" t="s">
        <v>2339</v>
      </c>
      <c r="EX1503" s="33" t="s">
        <v>2922</v>
      </c>
      <c r="EY1503" s="35" t="s">
        <v>1416</v>
      </c>
      <c r="EZ1503" s="36" t="s">
        <v>1417</v>
      </c>
      <c r="FA1503" s="36" t="s">
        <v>1192</v>
      </c>
      <c r="FB1503" s="36" t="s">
        <v>344</v>
      </c>
      <c r="FC1503" s="36" t="s">
        <v>1192</v>
      </c>
      <c r="FD1503" s="36" t="s">
        <v>344</v>
      </c>
      <c r="FE1503" s="36">
        <v>2026</v>
      </c>
      <c r="FF1503" s="36" t="s">
        <v>59</v>
      </c>
      <c r="FG1503" s="36" t="s">
        <v>1241</v>
      </c>
      <c r="FJ1503" t="s">
        <v>59</v>
      </c>
      <c r="FM1503" s="32" t="s">
        <v>519</v>
      </c>
      <c r="FN1503" t="s">
        <v>520</v>
      </c>
      <c r="FO1503" t="s">
        <v>521</v>
      </c>
      <c r="FP1503" t="str">
        <f t="shared" si="208"/>
        <v>B</v>
      </c>
    </row>
    <row r="1504" spans="153:172" x14ac:dyDescent="0.35">
      <c r="EW1504" t="s">
        <v>2339</v>
      </c>
      <c r="EX1504" s="33" t="s">
        <v>2923</v>
      </c>
      <c r="EY1504" s="35" t="s">
        <v>1420</v>
      </c>
      <c r="EZ1504" s="36" t="s">
        <v>1421</v>
      </c>
      <c r="FA1504" s="36" t="s">
        <v>1192</v>
      </c>
      <c r="FB1504" s="36" t="s">
        <v>344</v>
      </c>
      <c r="FC1504" s="36" t="s">
        <v>1192</v>
      </c>
      <c r="FD1504" s="36" t="s">
        <v>344</v>
      </c>
      <c r="FE1504" s="36">
        <v>2026</v>
      </c>
      <c r="FF1504" s="36" t="s">
        <v>59</v>
      </c>
      <c r="FG1504" s="36" t="s">
        <v>1241</v>
      </c>
      <c r="FJ1504" t="s">
        <v>59</v>
      </c>
      <c r="FM1504" s="32" t="s">
        <v>43</v>
      </c>
      <c r="FN1504" t="s">
        <v>44</v>
      </c>
      <c r="FO1504" t="s">
        <v>45</v>
      </c>
      <c r="FP1504" t="str">
        <f t="shared" si="208"/>
        <v>B</v>
      </c>
    </row>
    <row r="1505" spans="153:172" x14ac:dyDescent="0.35">
      <c r="EW1505" t="s">
        <v>2339</v>
      </c>
      <c r="EX1505" s="33" t="s">
        <v>2924</v>
      </c>
      <c r="EY1505" s="35" t="s">
        <v>1422</v>
      </c>
      <c r="EZ1505" s="36" t="s">
        <v>1423</v>
      </c>
      <c r="FA1505" s="36" t="s">
        <v>1192</v>
      </c>
      <c r="FB1505" s="36" t="s">
        <v>344</v>
      </c>
      <c r="FC1505" s="36" t="s">
        <v>1192</v>
      </c>
      <c r="FD1505" s="36" t="s">
        <v>344</v>
      </c>
      <c r="FE1505" s="36">
        <v>2026</v>
      </c>
      <c r="FF1505" s="36" t="s">
        <v>59</v>
      </c>
      <c r="FG1505" s="36" t="s">
        <v>1241</v>
      </c>
      <c r="FJ1505" t="s">
        <v>59</v>
      </c>
      <c r="FM1505" s="32" t="s">
        <v>217</v>
      </c>
      <c r="FN1505" t="s">
        <v>218</v>
      </c>
      <c r="FO1505" t="s">
        <v>219</v>
      </c>
      <c r="FP1505" t="str">
        <f t="shared" si="208"/>
        <v>B</v>
      </c>
    </row>
    <row r="1506" spans="153:172" x14ac:dyDescent="0.35">
      <c r="EW1506" t="s">
        <v>2339</v>
      </c>
      <c r="EX1506" s="33" t="s">
        <v>2925</v>
      </c>
      <c r="EY1506" s="35" t="s">
        <v>1424</v>
      </c>
      <c r="EZ1506" s="36" t="s">
        <v>1425</v>
      </c>
      <c r="FA1506" s="36" t="s">
        <v>1192</v>
      </c>
      <c r="FB1506" s="36" t="s">
        <v>344</v>
      </c>
      <c r="FC1506" s="36" t="s">
        <v>1192</v>
      </c>
      <c r="FD1506" s="36" t="s">
        <v>344</v>
      </c>
      <c r="FE1506" s="36">
        <v>2026</v>
      </c>
      <c r="FF1506" s="36" t="s">
        <v>59</v>
      </c>
      <c r="FG1506" s="36" t="s">
        <v>1241</v>
      </c>
      <c r="FJ1506" t="s">
        <v>59</v>
      </c>
      <c r="FM1506" s="32" t="s">
        <v>670</v>
      </c>
      <c r="FN1506" t="s">
        <v>671</v>
      </c>
      <c r="FO1506" t="s">
        <v>672</v>
      </c>
      <c r="FP1506" t="str">
        <f t="shared" si="208"/>
        <v>B</v>
      </c>
    </row>
    <row r="1507" spans="153:172" x14ac:dyDescent="0.35">
      <c r="EW1507" t="s">
        <v>2339</v>
      </c>
      <c r="EX1507" s="33" t="s">
        <v>2926</v>
      </c>
      <c r="EY1507" s="35" t="s">
        <v>1428</v>
      </c>
      <c r="EZ1507" s="36" t="s">
        <v>1429</v>
      </c>
      <c r="FA1507" s="36" t="s">
        <v>1192</v>
      </c>
      <c r="FB1507" s="36" t="s">
        <v>344</v>
      </c>
      <c r="FC1507" s="36" t="s">
        <v>1192</v>
      </c>
      <c r="FD1507" s="36" t="s">
        <v>344</v>
      </c>
      <c r="FE1507" s="36">
        <v>2026</v>
      </c>
      <c r="FF1507" s="36" t="s">
        <v>59</v>
      </c>
      <c r="FG1507" s="36" t="s">
        <v>1241</v>
      </c>
      <c r="FJ1507" t="s">
        <v>59</v>
      </c>
      <c r="FM1507" s="32" t="s">
        <v>462</v>
      </c>
      <c r="FN1507" t="s">
        <v>463</v>
      </c>
      <c r="FO1507" t="s">
        <v>464</v>
      </c>
      <c r="FP1507" t="str">
        <f t="shared" si="208"/>
        <v>B</v>
      </c>
    </row>
    <row r="1508" spans="153:172" x14ac:dyDescent="0.35">
      <c r="EW1508" t="s">
        <v>2339</v>
      </c>
      <c r="EX1508" s="33" t="s">
        <v>2927</v>
      </c>
      <c r="EY1508" s="35" t="s">
        <v>1430</v>
      </c>
      <c r="EZ1508" s="36" t="s">
        <v>1431</v>
      </c>
      <c r="FA1508" s="36" t="s">
        <v>1192</v>
      </c>
      <c r="FB1508" s="36" t="s">
        <v>344</v>
      </c>
      <c r="FC1508" s="36" t="s">
        <v>1192</v>
      </c>
      <c r="FD1508" s="36" t="s">
        <v>344</v>
      </c>
      <c r="FE1508" s="36">
        <v>2026</v>
      </c>
      <c r="FF1508" s="36" t="s">
        <v>59</v>
      </c>
      <c r="FG1508" s="36" t="s">
        <v>1241</v>
      </c>
      <c r="FJ1508" t="s">
        <v>59</v>
      </c>
      <c r="FM1508" s="32" t="s">
        <v>922</v>
      </c>
      <c r="FN1508" t="s">
        <v>923</v>
      </c>
      <c r="FO1508" t="s">
        <v>924</v>
      </c>
      <c r="FP1508" t="str">
        <f t="shared" si="208"/>
        <v>B</v>
      </c>
    </row>
    <row r="1509" spans="153:172" x14ac:dyDescent="0.35">
      <c r="EW1509" t="s">
        <v>2339</v>
      </c>
      <c r="EX1509" s="33" t="s">
        <v>2673</v>
      </c>
      <c r="EY1509" s="35" t="s">
        <v>1432</v>
      </c>
      <c r="EZ1509" s="36" t="s">
        <v>1433</v>
      </c>
      <c r="FA1509" s="36" t="s">
        <v>1192</v>
      </c>
      <c r="FB1509" s="36" t="s">
        <v>344</v>
      </c>
      <c r="FC1509" s="36" t="s">
        <v>1192</v>
      </c>
      <c r="FD1509" s="36" t="s">
        <v>344</v>
      </c>
      <c r="FE1509" s="36">
        <v>2026</v>
      </c>
      <c r="FF1509" s="36" t="s">
        <v>59</v>
      </c>
      <c r="FG1509" s="36" t="s">
        <v>1210</v>
      </c>
      <c r="FJ1509" t="s">
        <v>59</v>
      </c>
      <c r="FM1509" s="32" t="s">
        <v>855</v>
      </c>
      <c r="FN1509" t="s">
        <v>856</v>
      </c>
      <c r="FO1509" t="s">
        <v>857</v>
      </c>
      <c r="FP1509" t="str">
        <f t="shared" si="208"/>
        <v>B</v>
      </c>
    </row>
    <row r="1510" spans="153:172" x14ac:dyDescent="0.35">
      <c r="EW1510" t="s">
        <v>2339</v>
      </c>
      <c r="EX1510" s="33" t="s">
        <v>2895</v>
      </c>
      <c r="EY1510" s="35" t="s">
        <v>1434</v>
      </c>
      <c r="EZ1510" s="36" t="s">
        <v>1435</v>
      </c>
      <c r="FA1510" s="36" t="s">
        <v>1192</v>
      </c>
      <c r="FB1510" s="36" t="s">
        <v>344</v>
      </c>
      <c r="FC1510" s="36" t="s">
        <v>1192</v>
      </c>
      <c r="FD1510" s="36" t="s">
        <v>344</v>
      </c>
      <c r="FE1510" s="36">
        <v>2026</v>
      </c>
      <c r="FF1510" s="36" t="s">
        <v>59</v>
      </c>
      <c r="FG1510" s="36" t="s">
        <v>1210</v>
      </c>
      <c r="FJ1510" t="s">
        <v>59</v>
      </c>
      <c r="FM1510" s="32" t="s">
        <v>2908</v>
      </c>
      <c r="FN1510" t="s">
        <v>2908</v>
      </c>
      <c r="FO1510" t="s">
        <v>2883</v>
      </c>
      <c r="FP1510" t="str">
        <f t="shared" si="208"/>
        <v>B</v>
      </c>
    </row>
    <row r="1511" spans="153:172" x14ac:dyDescent="0.35">
      <c r="EW1511" t="s">
        <v>2339</v>
      </c>
      <c r="EX1511" s="33" t="s">
        <v>1203</v>
      </c>
      <c r="EY1511" s="35" t="s">
        <v>1436</v>
      </c>
      <c r="EZ1511" s="36" t="s">
        <v>1437</v>
      </c>
      <c r="FA1511" s="36" t="s">
        <v>1192</v>
      </c>
      <c r="FB1511" s="36" t="s">
        <v>344</v>
      </c>
      <c r="FC1511" s="36" t="s">
        <v>1192</v>
      </c>
      <c r="FD1511" s="36" t="s">
        <v>344</v>
      </c>
      <c r="FE1511" s="36">
        <v>2026</v>
      </c>
      <c r="FF1511" s="36" t="s">
        <v>59</v>
      </c>
      <c r="FG1511" s="36" t="s">
        <v>1210</v>
      </c>
      <c r="FJ1511" t="s">
        <v>59</v>
      </c>
      <c r="FM1511" s="32" t="s">
        <v>484</v>
      </c>
      <c r="FN1511" t="s">
        <v>485</v>
      </c>
      <c r="FO1511" t="s">
        <v>486</v>
      </c>
      <c r="FP1511" t="str">
        <f t="shared" si="208"/>
        <v>B</v>
      </c>
    </row>
    <row r="1512" spans="153:172" x14ac:dyDescent="0.35">
      <c r="EW1512" t="s">
        <v>2339</v>
      </c>
      <c r="EX1512" s="33" t="s">
        <v>2628</v>
      </c>
      <c r="EY1512" s="35" t="s">
        <v>1438</v>
      </c>
      <c r="EZ1512" s="36" t="s">
        <v>1439</v>
      </c>
      <c r="FA1512" s="36" t="s">
        <v>1192</v>
      </c>
      <c r="FB1512" s="36" t="s">
        <v>344</v>
      </c>
      <c r="FC1512" s="36" t="s">
        <v>1192</v>
      </c>
      <c r="FD1512" s="36" t="s">
        <v>344</v>
      </c>
      <c r="FE1512" s="36">
        <v>2026</v>
      </c>
      <c r="FF1512" s="36" t="s">
        <v>59</v>
      </c>
      <c r="FG1512" s="36" t="s">
        <v>1210</v>
      </c>
      <c r="FJ1512" t="s">
        <v>59</v>
      </c>
      <c r="FM1512" s="32" t="s">
        <v>43</v>
      </c>
      <c r="FN1512" t="s">
        <v>44</v>
      </c>
      <c r="FO1512" t="s">
        <v>45</v>
      </c>
      <c r="FP1512" t="str">
        <f t="shared" si="208"/>
        <v>B</v>
      </c>
    </row>
    <row r="1513" spans="153:172" x14ac:dyDescent="0.35">
      <c r="EW1513" t="s">
        <v>2339</v>
      </c>
      <c r="EX1513" s="33" t="s">
        <v>2750</v>
      </c>
      <c r="EY1513" s="35" t="s">
        <v>1440</v>
      </c>
      <c r="EZ1513" s="36" t="s">
        <v>1441</v>
      </c>
      <c r="FA1513" s="36" t="s">
        <v>1192</v>
      </c>
      <c r="FB1513" s="36" t="s">
        <v>344</v>
      </c>
      <c r="FC1513" s="36" t="s">
        <v>1192</v>
      </c>
      <c r="FD1513" s="36" t="s">
        <v>344</v>
      </c>
      <c r="FE1513" s="36">
        <v>2026</v>
      </c>
      <c r="FF1513" s="36" t="s">
        <v>59</v>
      </c>
      <c r="FG1513" s="36" t="s">
        <v>1210</v>
      </c>
      <c r="FJ1513" t="s">
        <v>59</v>
      </c>
      <c r="FM1513" s="32" t="s">
        <v>462</v>
      </c>
      <c r="FN1513" t="s">
        <v>463</v>
      </c>
      <c r="FO1513" t="s">
        <v>464</v>
      </c>
      <c r="FP1513" t="str">
        <f t="shared" si="208"/>
        <v>B</v>
      </c>
    </row>
    <row r="1514" spans="153:172" x14ac:dyDescent="0.35">
      <c r="EW1514" t="s">
        <v>2339</v>
      </c>
      <c r="EX1514" s="33" t="s">
        <v>2928</v>
      </c>
      <c r="EY1514" s="35" t="s">
        <v>1442</v>
      </c>
      <c r="EZ1514" s="36" t="s">
        <v>1443</v>
      </c>
      <c r="FA1514" s="36" t="s">
        <v>1192</v>
      </c>
      <c r="FB1514" s="36" t="s">
        <v>344</v>
      </c>
      <c r="FC1514" s="36" t="s">
        <v>1192</v>
      </c>
      <c r="FD1514" s="36" t="s">
        <v>344</v>
      </c>
      <c r="FE1514" s="36">
        <v>2026</v>
      </c>
      <c r="FF1514" s="36" t="s">
        <v>59</v>
      </c>
      <c r="FG1514" s="36" t="s">
        <v>1241</v>
      </c>
      <c r="FJ1514" t="s">
        <v>59</v>
      </c>
      <c r="FM1514" s="32" t="s">
        <v>120</v>
      </c>
      <c r="FN1514" t="s">
        <v>121</v>
      </c>
      <c r="FO1514" t="s">
        <v>122</v>
      </c>
      <c r="FP1514" t="str">
        <f t="shared" si="208"/>
        <v>B</v>
      </c>
    </row>
    <row r="1515" spans="153:172" x14ac:dyDescent="0.35">
      <c r="EW1515" t="s">
        <v>2339</v>
      </c>
      <c r="EX1515" s="33" t="s">
        <v>2929</v>
      </c>
      <c r="EY1515" s="35" t="s">
        <v>1444</v>
      </c>
      <c r="EZ1515" s="36" t="s">
        <v>1445</v>
      </c>
      <c r="FA1515" s="36" t="s">
        <v>1192</v>
      </c>
      <c r="FB1515" s="36" t="s">
        <v>344</v>
      </c>
      <c r="FC1515" s="36" t="s">
        <v>1192</v>
      </c>
      <c r="FD1515" s="36" t="s">
        <v>344</v>
      </c>
      <c r="FE1515" s="36">
        <v>2026</v>
      </c>
      <c r="FF1515" s="36" t="s">
        <v>59</v>
      </c>
      <c r="FG1515" s="36" t="s">
        <v>1241</v>
      </c>
      <c r="FJ1515" t="s">
        <v>59</v>
      </c>
      <c r="FM1515" s="32" t="s">
        <v>670</v>
      </c>
      <c r="FN1515" t="s">
        <v>671</v>
      </c>
      <c r="FO1515" t="s">
        <v>672</v>
      </c>
      <c r="FP1515" t="str">
        <f t="shared" si="208"/>
        <v>B</v>
      </c>
    </row>
    <row r="1516" spans="153:172" x14ac:dyDescent="0.35">
      <c r="EW1516" t="s">
        <v>2339</v>
      </c>
      <c r="EX1516" s="33" t="s">
        <v>2930</v>
      </c>
      <c r="EY1516" s="35" t="s">
        <v>1446</v>
      </c>
      <c r="EZ1516" s="36" t="s">
        <v>1447</v>
      </c>
      <c r="FA1516" s="36" t="s">
        <v>1192</v>
      </c>
      <c r="FB1516" s="36" t="s">
        <v>344</v>
      </c>
      <c r="FC1516" s="36" t="s">
        <v>1192</v>
      </c>
      <c r="FD1516" s="36" t="s">
        <v>344</v>
      </c>
      <c r="FE1516" s="36">
        <v>2026</v>
      </c>
      <c r="FF1516" s="36" t="s">
        <v>59</v>
      </c>
      <c r="FG1516" s="36" t="s">
        <v>1241</v>
      </c>
      <c r="FJ1516" t="s">
        <v>59</v>
      </c>
      <c r="FM1516" s="32" t="s">
        <v>922</v>
      </c>
      <c r="FN1516" t="s">
        <v>923</v>
      </c>
      <c r="FO1516" t="s">
        <v>924</v>
      </c>
      <c r="FP1516" t="str">
        <f t="shared" si="208"/>
        <v>B</v>
      </c>
    </row>
    <row r="1517" spans="153:172" x14ac:dyDescent="0.35">
      <c r="EW1517" t="s">
        <v>2339</v>
      </c>
      <c r="EX1517" s="33" t="s">
        <v>2931</v>
      </c>
      <c r="EY1517" s="35" t="s">
        <v>1448</v>
      </c>
      <c r="EZ1517" s="36" t="s">
        <v>1449</v>
      </c>
      <c r="FA1517" s="36" t="s">
        <v>1192</v>
      </c>
      <c r="FB1517" s="36" t="s">
        <v>344</v>
      </c>
      <c r="FC1517" s="36" t="s">
        <v>1192</v>
      </c>
      <c r="FD1517" s="36" t="s">
        <v>344</v>
      </c>
      <c r="FE1517" s="36">
        <v>2026</v>
      </c>
      <c r="FF1517" s="36" t="s">
        <v>59</v>
      </c>
      <c r="FG1517" s="36" t="s">
        <v>1241</v>
      </c>
      <c r="FJ1517" t="s">
        <v>59</v>
      </c>
      <c r="FM1517" s="32" t="s">
        <v>140</v>
      </c>
      <c r="FN1517" t="s">
        <v>141</v>
      </c>
      <c r="FO1517" t="s">
        <v>142</v>
      </c>
      <c r="FP1517" t="str">
        <f t="shared" si="208"/>
        <v>B</v>
      </c>
    </row>
    <row r="1518" spans="153:172" x14ac:dyDescent="0.35">
      <c r="EW1518" t="s">
        <v>2339</v>
      </c>
      <c r="EX1518" s="33" t="s">
        <v>2932</v>
      </c>
      <c r="EY1518" s="35" t="s">
        <v>1451</v>
      </c>
      <c r="EZ1518" s="36" t="s">
        <v>1452</v>
      </c>
      <c r="FA1518" s="36" t="s">
        <v>1192</v>
      </c>
      <c r="FB1518" s="36" t="s">
        <v>344</v>
      </c>
      <c r="FC1518" s="36" t="s">
        <v>1192</v>
      </c>
      <c r="FD1518" s="36" t="s">
        <v>344</v>
      </c>
      <c r="FE1518" s="36">
        <v>2026</v>
      </c>
      <c r="FF1518" s="36" t="s">
        <v>59</v>
      </c>
      <c r="FG1518" s="36" t="s">
        <v>1241</v>
      </c>
      <c r="FJ1518" t="s">
        <v>59</v>
      </c>
      <c r="FM1518" s="32" t="s">
        <v>1082</v>
      </c>
      <c r="FN1518" t="s">
        <v>1083</v>
      </c>
      <c r="FO1518" t="s">
        <v>1084</v>
      </c>
      <c r="FP1518" t="str">
        <f t="shared" si="208"/>
        <v>B</v>
      </c>
    </row>
    <row r="1519" spans="153:172" x14ac:dyDescent="0.35">
      <c r="EW1519" t="s">
        <v>2339</v>
      </c>
      <c r="EX1519" s="33" t="s">
        <v>2933</v>
      </c>
      <c r="EY1519" s="35" t="s">
        <v>1453</v>
      </c>
      <c r="EZ1519" s="36" t="s">
        <v>1454</v>
      </c>
      <c r="FA1519" s="36" t="s">
        <v>1192</v>
      </c>
      <c r="FB1519" s="36" t="s">
        <v>344</v>
      </c>
      <c r="FC1519" s="36" t="s">
        <v>1192</v>
      </c>
      <c r="FD1519" s="36" t="s">
        <v>344</v>
      </c>
      <c r="FE1519" s="36">
        <v>2026</v>
      </c>
      <c r="FF1519" s="36" t="s">
        <v>59</v>
      </c>
      <c r="FG1519" s="36" t="s">
        <v>1241</v>
      </c>
      <c r="FJ1519" t="s">
        <v>59</v>
      </c>
      <c r="FM1519" s="32" t="s">
        <v>855</v>
      </c>
      <c r="FN1519" t="s">
        <v>856</v>
      </c>
      <c r="FO1519" t="s">
        <v>857</v>
      </c>
      <c r="FP1519" t="str">
        <f t="shared" si="208"/>
        <v>B</v>
      </c>
    </row>
    <row r="1520" spans="153:172" x14ac:dyDescent="0.35">
      <c r="EW1520" t="s">
        <v>2339</v>
      </c>
      <c r="EX1520" s="33" t="s">
        <v>2934</v>
      </c>
      <c r="EY1520" s="35" t="s">
        <v>1455</v>
      </c>
      <c r="EZ1520" s="36" t="s">
        <v>1456</v>
      </c>
      <c r="FA1520" s="36" t="s">
        <v>1192</v>
      </c>
      <c r="FB1520" s="36" t="s">
        <v>344</v>
      </c>
      <c r="FC1520" s="36" t="s">
        <v>1192</v>
      </c>
      <c r="FD1520" s="36" t="s">
        <v>344</v>
      </c>
      <c r="FE1520" s="36">
        <v>2026</v>
      </c>
      <c r="FF1520" s="36" t="s">
        <v>59</v>
      </c>
      <c r="FG1520" s="36" t="s">
        <v>1241</v>
      </c>
      <c r="FJ1520" t="s">
        <v>59</v>
      </c>
      <c r="FM1520" s="32" t="s">
        <v>554</v>
      </c>
      <c r="FN1520" t="s">
        <v>555</v>
      </c>
      <c r="FO1520" t="s">
        <v>556</v>
      </c>
      <c r="FP1520" t="str">
        <f t="shared" si="208"/>
        <v>B</v>
      </c>
    </row>
    <row r="1521" spans="153:172" x14ac:dyDescent="0.35">
      <c r="EW1521" t="s">
        <v>2339</v>
      </c>
      <c r="EX1521" s="33" t="s">
        <v>2935</v>
      </c>
      <c r="EY1521" s="35" t="s">
        <v>1457</v>
      </c>
      <c r="EZ1521" s="36" t="s">
        <v>1458</v>
      </c>
      <c r="FA1521" s="36" t="s">
        <v>1192</v>
      </c>
      <c r="FB1521" s="36" t="s">
        <v>344</v>
      </c>
      <c r="FC1521" s="36" t="s">
        <v>1192</v>
      </c>
      <c r="FD1521" s="36" t="s">
        <v>344</v>
      </c>
      <c r="FE1521" s="36">
        <v>2026</v>
      </c>
      <c r="FF1521" s="36" t="s">
        <v>59</v>
      </c>
      <c r="FG1521" s="36" t="s">
        <v>1241</v>
      </c>
      <c r="FJ1521" t="s">
        <v>59</v>
      </c>
      <c r="FM1521" s="32" t="s">
        <v>120</v>
      </c>
      <c r="FN1521" t="s">
        <v>121</v>
      </c>
      <c r="FO1521" t="s">
        <v>122</v>
      </c>
      <c r="FP1521" t="str">
        <f t="shared" si="208"/>
        <v>B</v>
      </c>
    </row>
    <row r="1522" spans="153:172" x14ac:dyDescent="0.35">
      <c r="EW1522" t="s">
        <v>2339</v>
      </c>
      <c r="EX1522" s="33" t="s">
        <v>2936</v>
      </c>
      <c r="EY1522" s="35" t="s">
        <v>1459</v>
      </c>
      <c r="EZ1522" s="36" t="s">
        <v>1460</v>
      </c>
      <c r="FA1522" s="36" t="s">
        <v>1192</v>
      </c>
      <c r="FB1522" s="36" t="s">
        <v>344</v>
      </c>
      <c r="FC1522" s="36" t="s">
        <v>1192</v>
      </c>
      <c r="FD1522" s="36" t="s">
        <v>344</v>
      </c>
      <c r="FE1522" s="36">
        <v>2026</v>
      </c>
      <c r="FF1522" s="36" t="s">
        <v>59</v>
      </c>
      <c r="FG1522" s="36" t="s">
        <v>1241</v>
      </c>
      <c r="FJ1522" t="s">
        <v>59</v>
      </c>
      <c r="FM1522" s="32" t="s">
        <v>43</v>
      </c>
      <c r="FN1522" t="s">
        <v>44</v>
      </c>
      <c r="FO1522" t="s">
        <v>45</v>
      </c>
      <c r="FP1522" t="str">
        <f t="shared" si="208"/>
        <v>B</v>
      </c>
    </row>
    <row r="1523" spans="153:172" x14ac:dyDescent="0.35">
      <c r="EW1523" t="s">
        <v>2339</v>
      </c>
      <c r="EX1523" s="33" t="s">
        <v>2937</v>
      </c>
      <c r="EY1523" s="35" t="s">
        <v>1461</v>
      </c>
      <c r="EZ1523" s="36" t="s">
        <v>1462</v>
      </c>
      <c r="FA1523" s="36" t="s">
        <v>1192</v>
      </c>
      <c r="FB1523" s="36" t="s">
        <v>344</v>
      </c>
      <c r="FC1523" s="36" t="s">
        <v>1192</v>
      </c>
      <c r="FD1523" s="36" t="s">
        <v>344</v>
      </c>
      <c r="FE1523" s="36">
        <v>2026</v>
      </c>
      <c r="FF1523" s="36" t="s">
        <v>59</v>
      </c>
      <c r="FG1523" s="36" t="s">
        <v>1241</v>
      </c>
      <c r="FJ1523" t="s">
        <v>59</v>
      </c>
      <c r="FM1523" s="32" t="s">
        <v>140</v>
      </c>
      <c r="FN1523" t="s">
        <v>141</v>
      </c>
      <c r="FO1523" t="s">
        <v>142</v>
      </c>
      <c r="FP1523" t="str">
        <f t="shared" si="208"/>
        <v>B</v>
      </c>
    </row>
    <row r="1524" spans="153:172" x14ac:dyDescent="0.35">
      <c r="EW1524" t="s">
        <v>2339</v>
      </c>
      <c r="EX1524" s="33" t="s">
        <v>2938</v>
      </c>
      <c r="EY1524" s="35" t="s">
        <v>1463</v>
      </c>
      <c r="EZ1524" s="36" t="s">
        <v>1464</v>
      </c>
      <c r="FA1524" s="36" t="s">
        <v>1192</v>
      </c>
      <c r="FB1524" s="36" t="s">
        <v>344</v>
      </c>
      <c r="FC1524" s="36" t="s">
        <v>1192</v>
      </c>
      <c r="FD1524" s="36" t="s">
        <v>344</v>
      </c>
      <c r="FE1524" s="36">
        <v>2026</v>
      </c>
      <c r="FF1524" s="36" t="s">
        <v>59</v>
      </c>
      <c r="FG1524" s="36" t="s">
        <v>1241</v>
      </c>
      <c r="FJ1524" t="s">
        <v>59</v>
      </c>
      <c r="FM1524" s="32" t="s">
        <v>278</v>
      </c>
      <c r="FN1524" t="s">
        <v>279</v>
      </c>
      <c r="FO1524" t="s">
        <v>280</v>
      </c>
      <c r="FP1524" t="str">
        <f t="shared" si="208"/>
        <v>B</v>
      </c>
    </row>
    <row r="1525" spans="153:172" x14ac:dyDescent="0.35">
      <c r="EW1525" t="s">
        <v>2339</v>
      </c>
      <c r="EX1525" s="33" t="s">
        <v>2939</v>
      </c>
      <c r="EY1525" s="35" t="s">
        <v>1465</v>
      </c>
      <c r="EZ1525" s="36" t="s">
        <v>1466</v>
      </c>
      <c r="FA1525" s="36" t="s">
        <v>1192</v>
      </c>
      <c r="FB1525" s="36" t="s">
        <v>344</v>
      </c>
      <c r="FC1525" s="36" t="s">
        <v>1192</v>
      </c>
      <c r="FD1525" s="36" t="s">
        <v>344</v>
      </c>
      <c r="FE1525" s="36">
        <v>2026</v>
      </c>
      <c r="FF1525" s="36" t="s">
        <v>59</v>
      </c>
      <c r="FG1525" s="36" t="s">
        <v>1241</v>
      </c>
      <c r="FJ1525" t="s">
        <v>59</v>
      </c>
      <c r="FM1525" s="32" t="s">
        <v>120</v>
      </c>
      <c r="FN1525" t="s">
        <v>121</v>
      </c>
      <c r="FO1525" t="s">
        <v>122</v>
      </c>
      <c r="FP1525" t="str">
        <f t="shared" si="208"/>
        <v>B</v>
      </c>
    </row>
    <row r="1526" spans="153:172" x14ac:dyDescent="0.35">
      <c r="EW1526" t="s">
        <v>2339</v>
      </c>
      <c r="EX1526" s="33" t="s">
        <v>2940</v>
      </c>
      <c r="EY1526" s="35" t="s">
        <v>1467</v>
      </c>
      <c r="EZ1526" s="36" t="s">
        <v>1468</v>
      </c>
      <c r="FA1526" s="36" t="s">
        <v>1192</v>
      </c>
      <c r="FB1526" s="36" t="s">
        <v>344</v>
      </c>
      <c r="FC1526" s="36" t="s">
        <v>1192</v>
      </c>
      <c r="FD1526" s="36" t="s">
        <v>344</v>
      </c>
      <c r="FE1526" s="36">
        <v>2026</v>
      </c>
      <c r="FF1526" s="36" t="s">
        <v>59</v>
      </c>
      <c r="FG1526" s="36" t="s">
        <v>1241</v>
      </c>
      <c r="FJ1526" t="s">
        <v>59</v>
      </c>
      <c r="FM1526" s="32" t="s">
        <v>375</v>
      </c>
      <c r="FN1526" t="s">
        <v>376</v>
      </c>
      <c r="FO1526" t="s">
        <v>377</v>
      </c>
      <c r="FP1526" t="str">
        <f t="shared" si="208"/>
        <v>B</v>
      </c>
    </row>
    <row r="1527" spans="153:172" x14ac:dyDescent="0.35">
      <c r="EW1527" t="s">
        <v>2339</v>
      </c>
      <c r="EX1527" s="33" t="s">
        <v>2941</v>
      </c>
      <c r="EY1527" s="35" t="s">
        <v>1469</v>
      </c>
      <c r="EZ1527" s="36" t="s">
        <v>1470</v>
      </c>
      <c r="FA1527" s="36" t="s">
        <v>1192</v>
      </c>
      <c r="FB1527" s="36" t="s">
        <v>344</v>
      </c>
      <c r="FC1527" s="36" t="s">
        <v>1192</v>
      </c>
      <c r="FD1527" s="36" t="s">
        <v>344</v>
      </c>
      <c r="FE1527" s="36">
        <v>2026</v>
      </c>
      <c r="FF1527" s="36" t="s">
        <v>59</v>
      </c>
      <c r="FG1527" s="36" t="s">
        <v>1241</v>
      </c>
      <c r="FJ1527" t="s">
        <v>59</v>
      </c>
      <c r="FM1527" s="32" t="s">
        <v>88</v>
      </c>
      <c r="FN1527" t="s">
        <v>89</v>
      </c>
      <c r="FO1527" t="s">
        <v>90</v>
      </c>
      <c r="FP1527" t="str">
        <f t="shared" si="208"/>
        <v>B</v>
      </c>
    </row>
    <row r="1528" spans="153:172" x14ac:dyDescent="0.35">
      <c r="EW1528" t="s">
        <v>2339</v>
      </c>
      <c r="EX1528" s="33" t="s">
        <v>2942</v>
      </c>
      <c r="EY1528" s="35" t="s">
        <v>1471</v>
      </c>
      <c r="EZ1528" s="36" t="s">
        <v>1472</v>
      </c>
      <c r="FA1528" s="36" t="s">
        <v>1192</v>
      </c>
      <c r="FB1528" s="36" t="s">
        <v>344</v>
      </c>
      <c r="FC1528" s="36" t="s">
        <v>1192</v>
      </c>
      <c r="FD1528" s="36" t="s">
        <v>344</v>
      </c>
      <c r="FE1528" s="36">
        <v>2026</v>
      </c>
      <c r="FF1528" s="36" t="s">
        <v>59</v>
      </c>
      <c r="FG1528" s="36" t="s">
        <v>1241</v>
      </c>
      <c r="FJ1528" t="s">
        <v>59</v>
      </c>
      <c r="FM1528" s="32" t="s">
        <v>43</v>
      </c>
      <c r="FN1528" t="s">
        <v>44</v>
      </c>
      <c r="FO1528" t="s">
        <v>45</v>
      </c>
      <c r="FP1528" t="str">
        <f t="shared" si="208"/>
        <v>B</v>
      </c>
    </row>
    <row r="1529" spans="153:172" x14ac:dyDescent="0.35">
      <c r="EW1529" t="s">
        <v>2339</v>
      </c>
      <c r="EX1529" s="33" t="s">
        <v>2943</v>
      </c>
      <c r="EY1529" s="35" t="s">
        <v>1473</v>
      </c>
      <c r="EZ1529" s="36" t="s">
        <v>1474</v>
      </c>
      <c r="FA1529" s="36" t="s">
        <v>1192</v>
      </c>
      <c r="FB1529" s="36" t="s">
        <v>344</v>
      </c>
      <c r="FC1529" s="36" t="s">
        <v>1192</v>
      </c>
      <c r="FD1529" s="36" t="s">
        <v>344</v>
      </c>
      <c r="FE1529" s="36">
        <v>2026</v>
      </c>
      <c r="FF1529" s="36" t="s">
        <v>59</v>
      </c>
      <c r="FG1529" s="36" t="s">
        <v>1241</v>
      </c>
      <c r="FJ1529" t="s">
        <v>59</v>
      </c>
      <c r="FM1529" s="32" t="s">
        <v>140</v>
      </c>
      <c r="FN1529" t="s">
        <v>141</v>
      </c>
      <c r="FO1529" t="s">
        <v>142</v>
      </c>
      <c r="FP1529" t="str">
        <f t="shared" si="208"/>
        <v>B</v>
      </c>
    </row>
    <row r="1530" spans="153:172" x14ac:dyDescent="0.35">
      <c r="EW1530" t="s">
        <v>2339</v>
      </c>
      <c r="EX1530" s="33" t="s">
        <v>2944</v>
      </c>
      <c r="EY1530" s="35" t="s">
        <v>1475</v>
      </c>
      <c r="EZ1530" s="36" t="s">
        <v>1476</v>
      </c>
      <c r="FA1530" s="36" t="s">
        <v>1192</v>
      </c>
      <c r="FB1530" s="36" t="s">
        <v>344</v>
      </c>
      <c r="FC1530" s="36" t="s">
        <v>1192</v>
      </c>
      <c r="FD1530" s="36" t="s">
        <v>344</v>
      </c>
      <c r="FE1530" s="36">
        <v>2026</v>
      </c>
      <c r="FF1530" s="36" t="s">
        <v>59</v>
      </c>
      <c r="FG1530" s="36" t="s">
        <v>1241</v>
      </c>
      <c r="FJ1530" t="s">
        <v>59</v>
      </c>
      <c r="FM1530" s="32" t="s">
        <v>547</v>
      </c>
      <c r="FN1530" t="s">
        <v>548</v>
      </c>
      <c r="FO1530" t="s">
        <v>549</v>
      </c>
      <c r="FP1530" t="str">
        <f t="shared" si="208"/>
        <v>B</v>
      </c>
    </row>
    <row r="1531" spans="153:172" x14ac:dyDescent="0.35">
      <c r="EW1531" t="s">
        <v>2339</v>
      </c>
      <c r="EX1531" s="33" t="s">
        <v>2945</v>
      </c>
      <c r="EY1531" s="35" t="s">
        <v>1477</v>
      </c>
      <c r="EZ1531" s="36" t="s">
        <v>1478</v>
      </c>
      <c r="FA1531" s="36" t="s">
        <v>1192</v>
      </c>
      <c r="FB1531" s="36" t="s">
        <v>344</v>
      </c>
      <c r="FC1531" s="36" t="s">
        <v>1192</v>
      </c>
      <c r="FD1531" s="36" t="s">
        <v>344</v>
      </c>
      <c r="FE1531" s="36">
        <v>2026</v>
      </c>
      <c r="FF1531" s="36" t="s">
        <v>59</v>
      </c>
      <c r="FG1531" s="36" t="s">
        <v>1241</v>
      </c>
      <c r="FJ1531" t="s">
        <v>59</v>
      </c>
      <c r="FM1531" s="32" t="s">
        <v>278</v>
      </c>
      <c r="FN1531" t="s">
        <v>279</v>
      </c>
      <c r="FO1531" t="s">
        <v>280</v>
      </c>
      <c r="FP1531" t="str">
        <f t="shared" si="208"/>
        <v>B</v>
      </c>
    </row>
    <row r="1532" spans="153:172" x14ac:dyDescent="0.35">
      <c r="EW1532" t="s">
        <v>2339</v>
      </c>
      <c r="EX1532" s="33" t="s">
        <v>2946</v>
      </c>
      <c r="EY1532" s="35" t="s">
        <v>1479</v>
      </c>
      <c r="EZ1532" s="36" t="s">
        <v>1480</v>
      </c>
      <c r="FA1532" s="36" t="s">
        <v>1192</v>
      </c>
      <c r="FB1532" s="36" t="s">
        <v>344</v>
      </c>
      <c r="FC1532" s="36" t="s">
        <v>1192</v>
      </c>
      <c r="FD1532" s="36" t="s">
        <v>344</v>
      </c>
      <c r="FE1532" s="36">
        <v>2026</v>
      </c>
      <c r="FF1532" s="36" t="s">
        <v>59</v>
      </c>
      <c r="FG1532" s="36" t="s">
        <v>1241</v>
      </c>
      <c r="FJ1532" t="s">
        <v>59</v>
      </c>
      <c r="FM1532" s="32" t="s">
        <v>177</v>
      </c>
      <c r="FN1532" t="s">
        <v>178</v>
      </c>
      <c r="FO1532" t="s">
        <v>179</v>
      </c>
      <c r="FP1532" t="str">
        <f t="shared" si="208"/>
        <v>B</v>
      </c>
    </row>
    <row r="1533" spans="153:172" x14ac:dyDescent="0.35">
      <c r="EW1533" t="s">
        <v>2339</v>
      </c>
      <c r="EX1533" s="33" t="s">
        <v>2947</v>
      </c>
      <c r="EY1533" s="35" t="s">
        <v>1481</v>
      </c>
      <c r="EZ1533" s="36" t="s">
        <v>1482</v>
      </c>
      <c r="FA1533" s="36" t="s">
        <v>1192</v>
      </c>
      <c r="FB1533" s="36" t="s">
        <v>344</v>
      </c>
      <c r="FC1533" s="36" t="s">
        <v>1192</v>
      </c>
      <c r="FD1533" s="36" t="s">
        <v>344</v>
      </c>
      <c r="FE1533" s="36">
        <v>2026</v>
      </c>
      <c r="FF1533" s="36" t="s">
        <v>59</v>
      </c>
      <c r="FG1533" s="36" t="s">
        <v>1241</v>
      </c>
      <c r="FJ1533" t="s">
        <v>59</v>
      </c>
      <c r="FM1533" s="32" t="s">
        <v>360</v>
      </c>
      <c r="FN1533" t="s">
        <v>361</v>
      </c>
      <c r="FO1533" t="s">
        <v>362</v>
      </c>
      <c r="FP1533" t="str">
        <f t="shared" si="208"/>
        <v>B</v>
      </c>
    </row>
    <row r="1534" spans="153:172" x14ac:dyDescent="0.35">
      <c r="EW1534" t="s">
        <v>2339</v>
      </c>
      <c r="EX1534" s="33" t="s">
        <v>2948</v>
      </c>
      <c r="EY1534" s="35" t="s">
        <v>1485</v>
      </c>
      <c r="EZ1534" s="36" t="s">
        <v>1486</v>
      </c>
      <c r="FA1534" s="36" t="s">
        <v>1192</v>
      </c>
      <c r="FB1534" s="36" t="s">
        <v>344</v>
      </c>
      <c r="FC1534" s="36" t="s">
        <v>1192</v>
      </c>
      <c r="FD1534" s="36" t="s">
        <v>344</v>
      </c>
      <c r="FE1534" s="36">
        <v>2026</v>
      </c>
      <c r="FF1534" s="36" t="s">
        <v>59</v>
      </c>
      <c r="FG1534" s="36" t="s">
        <v>1241</v>
      </c>
      <c r="FJ1534" t="s">
        <v>59</v>
      </c>
      <c r="FM1534" s="32" t="s">
        <v>375</v>
      </c>
      <c r="FN1534" t="s">
        <v>376</v>
      </c>
      <c r="FO1534" t="s">
        <v>377</v>
      </c>
      <c r="FP1534" t="str">
        <f t="shared" si="208"/>
        <v>B</v>
      </c>
    </row>
    <row r="1535" spans="153:172" x14ac:dyDescent="0.35">
      <c r="EW1535" t="s">
        <v>2339</v>
      </c>
      <c r="EX1535" s="33" t="s">
        <v>2949</v>
      </c>
      <c r="EY1535" s="35" t="s">
        <v>1487</v>
      </c>
      <c r="EZ1535" s="36" t="s">
        <v>1488</v>
      </c>
      <c r="FA1535" s="36" t="s">
        <v>1192</v>
      </c>
      <c r="FB1535" s="36" t="s">
        <v>344</v>
      </c>
      <c r="FC1535" s="36" t="s">
        <v>1192</v>
      </c>
      <c r="FD1535" s="36" t="s">
        <v>344</v>
      </c>
      <c r="FE1535" s="36">
        <v>2026</v>
      </c>
      <c r="FF1535" s="36" t="s">
        <v>59</v>
      </c>
      <c r="FG1535" s="36" t="s">
        <v>1241</v>
      </c>
      <c r="FJ1535" t="s">
        <v>59</v>
      </c>
      <c r="FM1535" s="32" t="s">
        <v>425</v>
      </c>
      <c r="FN1535" t="s">
        <v>426</v>
      </c>
      <c r="FO1535" t="s">
        <v>427</v>
      </c>
      <c r="FP1535" t="str">
        <f t="shared" si="208"/>
        <v>B</v>
      </c>
    </row>
    <row r="1536" spans="153:172" x14ac:dyDescent="0.35">
      <c r="EW1536" t="s">
        <v>2339</v>
      </c>
      <c r="EX1536" s="33" t="s">
        <v>2950</v>
      </c>
      <c r="EY1536" s="35" t="s">
        <v>1489</v>
      </c>
      <c r="EZ1536" s="36" t="s">
        <v>1490</v>
      </c>
      <c r="FA1536" s="36" t="s">
        <v>1192</v>
      </c>
      <c r="FB1536" s="36" t="s">
        <v>344</v>
      </c>
      <c r="FC1536" s="36" t="s">
        <v>1192</v>
      </c>
      <c r="FD1536" s="36" t="s">
        <v>344</v>
      </c>
      <c r="FE1536" s="36">
        <v>2026</v>
      </c>
      <c r="FF1536" s="36" t="s">
        <v>59</v>
      </c>
      <c r="FG1536" s="36" t="s">
        <v>1241</v>
      </c>
      <c r="FJ1536" t="s">
        <v>59</v>
      </c>
      <c r="FM1536" s="32" t="s">
        <v>88</v>
      </c>
      <c r="FN1536" t="s">
        <v>89</v>
      </c>
      <c r="FO1536" t="s">
        <v>90</v>
      </c>
      <c r="FP1536" t="str">
        <f t="shared" si="208"/>
        <v>B</v>
      </c>
    </row>
    <row r="1537" spans="153:172" x14ac:dyDescent="0.35">
      <c r="EW1537" t="s">
        <v>2339</v>
      </c>
      <c r="EX1537" s="33" t="s">
        <v>2951</v>
      </c>
      <c r="EY1537" s="35" t="s">
        <v>1493</v>
      </c>
      <c r="EZ1537" s="36" t="s">
        <v>1494</v>
      </c>
      <c r="FA1537" s="36" t="s">
        <v>1192</v>
      </c>
      <c r="FB1537" s="36" t="s">
        <v>344</v>
      </c>
      <c r="FC1537" s="36" t="s">
        <v>1192</v>
      </c>
      <c r="FD1537" s="36" t="s">
        <v>344</v>
      </c>
      <c r="FE1537" s="36">
        <v>2026</v>
      </c>
      <c r="FF1537" s="36" t="s">
        <v>59</v>
      </c>
      <c r="FG1537" s="36" t="s">
        <v>1241</v>
      </c>
      <c r="FJ1537" t="s">
        <v>59</v>
      </c>
      <c r="FM1537" s="32" t="s">
        <v>140</v>
      </c>
      <c r="FN1537" t="s">
        <v>141</v>
      </c>
      <c r="FO1537" t="s">
        <v>142</v>
      </c>
      <c r="FP1537" t="str">
        <f t="shared" ref="FP1537:FP1600" si="209">VLOOKUP(FO1537,EX:FF,9,0)</f>
        <v>B</v>
      </c>
    </row>
    <row r="1538" spans="153:172" x14ac:dyDescent="0.35">
      <c r="EW1538" t="s">
        <v>2339</v>
      </c>
      <c r="EX1538" s="33" t="s">
        <v>2952</v>
      </c>
      <c r="EY1538" s="35" t="s">
        <v>1495</v>
      </c>
      <c r="EZ1538" s="36" t="s">
        <v>1496</v>
      </c>
      <c r="FA1538" s="36" t="s">
        <v>1192</v>
      </c>
      <c r="FB1538" s="36" t="s">
        <v>344</v>
      </c>
      <c r="FC1538" s="36" t="s">
        <v>1192</v>
      </c>
      <c r="FD1538" s="36" t="s">
        <v>344</v>
      </c>
      <c r="FE1538" s="36">
        <v>2026</v>
      </c>
      <c r="FF1538" s="36" t="s">
        <v>59</v>
      </c>
      <c r="FG1538" s="36" t="s">
        <v>1241</v>
      </c>
      <c r="FJ1538" t="s">
        <v>59</v>
      </c>
      <c r="FM1538" s="32" t="s">
        <v>547</v>
      </c>
      <c r="FN1538" t="s">
        <v>548</v>
      </c>
      <c r="FO1538" t="s">
        <v>549</v>
      </c>
      <c r="FP1538" t="str">
        <f t="shared" si="209"/>
        <v>B</v>
      </c>
    </row>
    <row r="1539" spans="153:172" x14ac:dyDescent="0.35">
      <c r="EW1539" t="s">
        <v>2339</v>
      </c>
      <c r="EX1539" s="33" t="s">
        <v>2953</v>
      </c>
      <c r="EY1539" s="35" t="s">
        <v>1499</v>
      </c>
      <c r="EZ1539" s="36" t="s">
        <v>1500</v>
      </c>
      <c r="FA1539" s="36" t="s">
        <v>1192</v>
      </c>
      <c r="FB1539" s="36" t="s">
        <v>344</v>
      </c>
      <c r="FC1539" s="36" t="s">
        <v>1192</v>
      </c>
      <c r="FD1539" s="36" t="s">
        <v>344</v>
      </c>
      <c r="FE1539" s="36">
        <v>2026</v>
      </c>
      <c r="FF1539" s="36" t="s">
        <v>59</v>
      </c>
      <c r="FG1539" s="36" t="s">
        <v>1241</v>
      </c>
      <c r="FJ1539" t="s">
        <v>59</v>
      </c>
      <c r="FM1539" s="32" t="s">
        <v>278</v>
      </c>
      <c r="FN1539" t="s">
        <v>279</v>
      </c>
      <c r="FO1539" t="s">
        <v>280</v>
      </c>
      <c r="FP1539" t="str">
        <f t="shared" si="209"/>
        <v>B</v>
      </c>
    </row>
    <row r="1540" spans="153:172" x14ac:dyDescent="0.35">
      <c r="EW1540" t="s">
        <v>2339</v>
      </c>
      <c r="EX1540" s="33" t="s">
        <v>2954</v>
      </c>
      <c r="EY1540" s="35" t="s">
        <v>1501</v>
      </c>
      <c r="EZ1540" s="36" t="s">
        <v>1502</v>
      </c>
      <c r="FA1540" s="36" t="s">
        <v>1192</v>
      </c>
      <c r="FB1540" s="36" t="s">
        <v>344</v>
      </c>
      <c r="FC1540" s="36" t="s">
        <v>1192</v>
      </c>
      <c r="FD1540" s="36" t="s">
        <v>344</v>
      </c>
      <c r="FE1540" s="36">
        <v>2026</v>
      </c>
      <c r="FF1540" s="36" t="s">
        <v>59</v>
      </c>
      <c r="FG1540" s="36" t="s">
        <v>1241</v>
      </c>
      <c r="FJ1540" t="s">
        <v>59</v>
      </c>
      <c r="FM1540" s="32" t="s">
        <v>177</v>
      </c>
      <c r="FN1540" t="s">
        <v>178</v>
      </c>
      <c r="FO1540" t="s">
        <v>179</v>
      </c>
      <c r="FP1540" t="str">
        <f t="shared" si="209"/>
        <v>B</v>
      </c>
    </row>
    <row r="1541" spans="153:172" x14ac:dyDescent="0.35">
      <c r="EW1541" t="s">
        <v>2339</v>
      </c>
      <c r="EX1541" s="33" t="s">
        <v>2955</v>
      </c>
      <c r="EY1541" s="35" t="s">
        <v>1503</v>
      </c>
      <c r="EZ1541" s="36" t="s">
        <v>1504</v>
      </c>
      <c r="FA1541" s="36" t="s">
        <v>1192</v>
      </c>
      <c r="FB1541" s="36" t="s">
        <v>344</v>
      </c>
      <c r="FC1541" s="36" t="s">
        <v>1192</v>
      </c>
      <c r="FD1541" s="36" t="s">
        <v>344</v>
      </c>
      <c r="FE1541" s="36">
        <v>2026</v>
      </c>
      <c r="FF1541" s="36" t="s">
        <v>59</v>
      </c>
      <c r="FG1541" s="36" t="s">
        <v>1241</v>
      </c>
      <c r="FJ1541" t="s">
        <v>59</v>
      </c>
      <c r="FM1541" s="32" t="s">
        <v>308</v>
      </c>
      <c r="FN1541" t="s">
        <v>309</v>
      </c>
      <c r="FO1541" t="s">
        <v>310</v>
      </c>
      <c r="FP1541" t="str">
        <f t="shared" si="209"/>
        <v>B</v>
      </c>
    </row>
    <row r="1542" spans="153:172" x14ac:dyDescent="0.35">
      <c r="EW1542" t="s">
        <v>2339</v>
      </c>
      <c r="EX1542" s="33" t="s">
        <v>2956</v>
      </c>
      <c r="EY1542" s="35" t="s">
        <v>1505</v>
      </c>
      <c r="EZ1542" s="36" t="s">
        <v>1506</v>
      </c>
      <c r="FA1542" s="36" t="s">
        <v>1192</v>
      </c>
      <c r="FB1542" s="36" t="s">
        <v>344</v>
      </c>
      <c r="FC1542" s="36" t="s">
        <v>1192</v>
      </c>
      <c r="FD1542" s="36" t="s">
        <v>344</v>
      </c>
      <c r="FE1542" s="36">
        <v>2026</v>
      </c>
      <c r="FF1542" s="36" t="s">
        <v>59</v>
      </c>
      <c r="FG1542" s="36" t="s">
        <v>1241</v>
      </c>
      <c r="FJ1542" t="s">
        <v>59</v>
      </c>
      <c r="FM1542" s="32" t="s">
        <v>375</v>
      </c>
      <c r="FN1542" t="s">
        <v>376</v>
      </c>
      <c r="FO1542" t="s">
        <v>377</v>
      </c>
      <c r="FP1542" t="str">
        <f t="shared" si="209"/>
        <v>B</v>
      </c>
    </row>
    <row r="1543" spans="153:172" x14ac:dyDescent="0.35">
      <c r="EW1543" t="s">
        <v>2339</v>
      </c>
      <c r="EX1543" s="33" t="s">
        <v>2957</v>
      </c>
      <c r="EY1543" s="35" t="s">
        <v>1507</v>
      </c>
      <c r="EZ1543" s="36" t="s">
        <v>1508</v>
      </c>
      <c r="FA1543" s="36" t="s">
        <v>1192</v>
      </c>
      <c r="FB1543" s="36" t="s">
        <v>344</v>
      </c>
      <c r="FC1543" s="36" t="s">
        <v>1192</v>
      </c>
      <c r="FD1543" s="36" t="s">
        <v>344</v>
      </c>
      <c r="FE1543" s="36">
        <v>2026</v>
      </c>
      <c r="FF1543" s="36" t="s">
        <v>59</v>
      </c>
      <c r="FG1543" s="36" t="s">
        <v>1241</v>
      </c>
      <c r="FJ1543" t="s">
        <v>59</v>
      </c>
      <c r="FM1543" s="32" t="s">
        <v>177</v>
      </c>
      <c r="FN1543" t="s">
        <v>178</v>
      </c>
      <c r="FO1543" t="s">
        <v>179</v>
      </c>
      <c r="FP1543" t="str">
        <f t="shared" si="209"/>
        <v>B</v>
      </c>
    </row>
    <row r="1544" spans="153:172" x14ac:dyDescent="0.35">
      <c r="EW1544" t="s">
        <v>2339</v>
      </c>
      <c r="EX1544" s="33" t="s">
        <v>2958</v>
      </c>
      <c r="EY1544" s="35" t="s">
        <v>1509</v>
      </c>
      <c r="EZ1544" s="36" t="s">
        <v>1510</v>
      </c>
      <c r="FA1544" s="36" t="s">
        <v>1192</v>
      </c>
      <c r="FB1544" s="36" t="s">
        <v>344</v>
      </c>
      <c r="FC1544" s="36" t="s">
        <v>1192</v>
      </c>
      <c r="FD1544" s="36" t="s">
        <v>344</v>
      </c>
      <c r="FE1544" s="36">
        <v>2026</v>
      </c>
      <c r="FF1544" s="36" t="s">
        <v>59</v>
      </c>
      <c r="FG1544" s="36" t="s">
        <v>1241</v>
      </c>
      <c r="FJ1544" t="s">
        <v>59</v>
      </c>
      <c r="FM1544" s="32" t="s">
        <v>308</v>
      </c>
      <c r="FN1544" t="s">
        <v>309</v>
      </c>
      <c r="FO1544" t="s">
        <v>310</v>
      </c>
      <c r="FP1544" t="str">
        <f t="shared" si="209"/>
        <v>B</v>
      </c>
    </row>
    <row r="1545" spans="153:172" x14ac:dyDescent="0.35">
      <c r="EW1545" t="s">
        <v>2339</v>
      </c>
      <c r="EX1545" s="33" t="s">
        <v>2959</v>
      </c>
      <c r="EY1545" s="35" t="s">
        <v>1513</v>
      </c>
      <c r="EZ1545" s="36" t="s">
        <v>1514</v>
      </c>
      <c r="FA1545" s="36" t="s">
        <v>1192</v>
      </c>
      <c r="FB1545" s="36" t="s">
        <v>344</v>
      </c>
      <c r="FC1545" s="36" t="s">
        <v>1192</v>
      </c>
      <c r="FD1545" s="36" t="s">
        <v>344</v>
      </c>
      <c r="FE1545" s="36">
        <v>2026</v>
      </c>
      <c r="FF1545" s="36" t="s">
        <v>59</v>
      </c>
      <c r="FG1545" s="36" t="s">
        <v>1241</v>
      </c>
      <c r="FJ1545" t="s">
        <v>59</v>
      </c>
      <c r="FM1545" s="32" t="s">
        <v>375</v>
      </c>
      <c r="FN1545" t="s">
        <v>376</v>
      </c>
      <c r="FO1545" t="s">
        <v>377</v>
      </c>
      <c r="FP1545" t="str">
        <f t="shared" si="209"/>
        <v>B</v>
      </c>
    </row>
    <row r="1546" spans="153:172" x14ac:dyDescent="0.35">
      <c r="EW1546" t="s">
        <v>2339</v>
      </c>
      <c r="EX1546" s="33" t="s">
        <v>2960</v>
      </c>
      <c r="EY1546" s="35" t="s">
        <v>1515</v>
      </c>
      <c r="EZ1546" s="36" t="s">
        <v>1516</v>
      </c>
      <c r="FA1546" s="36" t="s">
        <v>1192</v>
      </c>
      <c r="FB1546" s="36" t="s">
        <v>344</v>
      </c>
      <c r="FC1546" s="36" t="s">
        <v>1192</v>
      </c>
      <c r="FD1546" s="36" t="s">
        <v>344</v>
      </c>
      <c r="FE1546" s="36">
        <v>2026</v>
      </c>
      <c r="FF1546" s="36" t="s">
        <v>59</v>
      </c>
      <c r="FG1546" s="36" t="s">
        <v>1241</v>
      </c>
      <c r="FJ1546" t="s">
        <v>59</v>
      </c>
      <c r="FM1546" s="32" t="s">
        <v>593</v>
      </c>
      <c r="FN1546" t="s">
        <v>594</v>
      </c>
      <c r="FO1546" t="s">
        <v>595</v>
      </c>
      <c r="FP1546" t="str">
        <f t="shared" si="209"/>
        <v>B</v>
      </c>
    </row>
    <row r="1547" spans="153:172" x14ac:dyDescent="0.35">
      <c r="EW1547" t="s">
        <v>2339</v>
      </c>
      <c r="EX1547" s="33" t="s">
        <v>2961</v>
      </c>
      <c r="EY1547" s="35" t="s">
        <v>1517</v>
      </c>
      <c r="EZ1547" s="36" t="s">
        <v>1518</v>
      </c>
      <c r="FA1547" s="36" t="s">
        <v>1192</v>
      </c>
      <c r="FB1547" s="36" t="s">
        <v>344</v>
      </c>
      <c r="FC1547" s="36" t="s">
        <v>1192</v>
      </c>
      <c r="FD1547" s="36" t="s">
        <v>344</v>
      </c>
      <c r="FE1547" s="36">
        <v>2026</v>
      </c>
      <c r="FF1547" s="36" t="s">
        <v>59</v>
      </c>
      <c r="FG1547" s="36" t="s">
        <v>1241</v>
      </c>
      <c r="FJ1547" t="s">
        <v>59</v>
      </c>
      <c r="FM1547" s="32" t="s">
        <v>2962</v>
      </c>
      <c r="FN1547" t="s">
        <v>2962</v>
      </c>
      <c r="FO1547" t="s">
        <v>2910</v>
      </c>
      <c r="FP1547" t="str">
        <f t="shared" si="209"/>
        <v>B</v>
      </c>
    </row>
    <row r="1548" spans="153:172" x14ac:dyDescent="0.35">
      <c r="EW1548" t="s">
        <v>2339</v>
      </c>
      <c r="EX1548" s="33" t="s">
        <v>2963</v>
      </c>
      <c r="EY1548" s="35" t="s">
        <v>1519</v>
      </c>
      <c r="EZ1548" s="36" t="s">
        <v>1520</v>
      </c>
      <c r="FA1548" s="36" t="s">
        <v>1192</v>
      </c>
      <c r="FB1548" s="36" t="s">
        <v>344</v>
      </c>
      <c r="FC1548" s="36" t="s">
        <v>1192</v>
      </c>
      <c r="FD1548" s="36" t="s">
        <v>344</v>
      </c>
      <c r="FE1548" s="36">
        <v>2026</v>
      </c>
      <c r="FF1548" s="36" t="s">
        <v>59</v>
      </c>
      <c r="FG1548" s="36" t="s">
        <v>1241</v>
      </c>
      <c r="FJ1548" t="s">
        <v>59</v>
      </c>
      <c r="FM1548" s="32" t="s">
        <v>484</v>
      </c>
      <c r="FN1548" t="s">
        <v>485</v>
      </c>
      <c r="FO1548" t="s">
        <v>486</v>
      </c>
      <c r="FP1548" t="str">
        <f t="shared" si="209"/>
        <v>B</v>
      </c>
    </row>
    <row r="1549" spans="153:172" x14ac:dyDescent="0.35">
      <c r="EW1549" t="s">
        <v>2339</v>
      </c>
      <c r="EX1549" s="33" t="s">
        <v>2964</v>
      </c>
      <c r="EY1549" s="35" t="s">
        <v>1521</v>
      </c>
      <c r="EZ1549" s="36" t="s">
        <v>1522</v>
      </c>
      <c r="FA1549" s="36" t="s">
        <v>1192</v>
      </c>
      <c r="FB1549" s="36" t="s">
        <v>344</v>
      </c>
      <c r="FC1549" s="36" t="s">
        <v>1192</v>
      </c>
      <c r="FD1549" s="36" t="s">
        <v>344</v>
      </c>
      <c r="FE1549" s="36">
        <v>2026</v>
      </c>
      <c r="FF1549" s="36" t="s">
        <v>59</v>
      </c>
      <c r="FG1549" s="36" t="s">
        <v>1241</v>
      </c>
      <c r="FJ1549" t="s">
        <v>59</v>
      </c>
      <c r="FM1549" s="32" t="s">
        <v>2749</v>
      </c>
      <c r="FN1549" t="s">
        <v>2749</v>
      </c>
      <c r="FO1549" t="s">
        <v>2750</v>
      </c>
      <c r="FP1549" t="str">
        <f t="shared" si="209"/>
        <v>B</v>
      </c>
    </row>
    <row r="1550" spans="153:172" x14ac:dyDescent="0.35">
      <c r="EW1550" t="s">
        <v>2339</v>
      </c>
      <c r="EX1550" s="33" t="s">
        <v>2965</v>
      </c>
      <c r="EY1550" s="35" t="s">
        <v>1523</v>
      </c>
      <c r="EZ1550" s="36" t="s">
        <v>1524</v>
      </c>
      <c r="FA1550" s="36" t="s">
        <v>1192</v>
      </c>
      <c r="FB1550" s="36" t="s">
        <v>344</v>
      </c>
      <c r="FC1550" s="36" t="s">
        <v>1192</v>
      </c>
      <c r="FD1550" s="36" t="s">
        <v>344</v>
      </c>
      <c r="FE1550" s="36">
        <v>2026</v>
      </c>
      <c r="FF1550" s="36" t="s">
        <v>59</v>
      </c>
      <c r="FG1550" s="36" t="s">
        <v>1241</v>
      </c>
      <c r="FJ1550" t="s">
        <v>59</v>
      </c>
      <c r="FM1550" s="32" t="s">
        <v>624</v>
      </c>
      <c r="FN1550" t="s">
        <v>625</v>
      </c>
      <c r="FO1550" t="s">
        <v>626</v>
      </c>
      <c r="FP1550" t="str">
        <f t="shared" si="209"/>
        <v>B</v>
      </c>
    </row>
    <row r="1551" spans="153:172" x14ac:dyDescent="0.35">
      <c r="EW1551" t="s">
        <v>2339</v>
      </c>
      <c r="EX1551" s="33" t="s">
        <v>2966</v>
      </c>
      <c r="EY1551" s="35" t="s">
        <v>1527</v>
      </c>
      <c r="EZ1551" s="36" t="s">
        <v>1528</v>
      </c>
      <c r="FA1551" s="36" t="s">
        <v>1192</v>
      </c>
      <c r="FB1551" s="36" t="s">
        <v>344</v>
      </c>
      <c r="FC1551" s="36" t="s">
        <v>1192</v>
      </c>
      <c r="FD1551" s="36" t="s">
        <v>344</v>
      </c>
      <c r="FE1551" s="36">
        <v>2026</v>
      </c>
      <c r="FF1551" s="36" t="s">
        <v>59</v>
      </c>
      <c r="FG1551" s="36" t="s">
        <v>1241</v>
      </c>
      <c r="FJ1551" t="s">
        <v>59</v>
      </c>
      <c r="FM1551" s="32" t="s">
        <v>66</v>
      </c>
      <c r="FN1551" t="s">
        <v>67</v>
      </c>
      <c r="FO1551" t="s">
        <v>68</v>
      </c>
      <c r="FP1551" t="str">
        <f t="shared" si="209"/>
        <v>B</v>
      </c>
    </row>
    <row r="1552" spans="153:172" x14ac:dyDescent="0.35">
      <c r="EW1552" t="s">
        <v>2339</v>
      </c>
      <c r="EX1552" s="33" t="s">
        <v>2967</v>
      </c>
      <c r="EY1552" s="35" t="s">
        <v>1531</v>
      </c>
      <c r="EZ1552" s="36" t="s">
        <v>1532</v>
      </c>
      <c r="FA1552" s="36" t="s">
        <v>1192</v>
      </c>
      <c r="FB1552" s="36" t="s">
        <v>344</v>
      </c>
      <c r="FC1552" s="36" t="s">
        <v>1192</v>
      </c>
      <c r="FD1552" s="36" t="s">
        <v>344</v>
      </c>
      <c r="FE1552" s="36">
        <v>2026</v>
      </c>
      <c r="FF1552" s="36" t="s">
        <v>59</v>
      </c>
      <c r="FG1552" s="36" t="s">
        <v>1241</v>
      </c>
      <c r="FJ1552" t="s">
        <v>59</v>
      </c>
      <c r="FM1552" s="32" t="s">
        <v>412</v>
      </c>
      <c r="FN1552" t="s">
        <v>413</v>
      </c>
      <c r="FO1552" t="s">
        <v>414</v>
      </c>
      <c r="FP1552" t="str">
        <f t="shared" si="209"/>
        <v>B</v>
      </c>
    </row>
    <row r="1553" spans="153:172" x14ac:dyDescent="0.35">
      <c r="EW1553" t="s">
        <v>2339</v>
      </c>
      <c r="EX1553" s="33" t="s">
        <v>2968</v>
      </c>
      <c r="EY1553" s="35" t="s">
        <v>1533</v>
      </c>
      <c r="EZ1553" s="36" t="s">
        <v>1534</v>
      </c>
      <c r="FA1553" s="36" t="s">
        <v>1192</v>
      </c>
      <c r="FB1553" s="36" t="s">
        <v>344</v>
      </c>
      <c r="FC1553" s="36" t="s">
        <v>1192</v>
      </c>
      <c r="FD1553" s="36" t="s">
        <v>344</v>
      </c>
      <c r="FE1553" s="36">
        <v>2026</v>
      </c>
      <c r="FF1553" s="36" t="s">
        <v>59</v>
      </c>
      <c r="FG1553" s="36" t="s">
        <v>1241</v>
      </c>
      <c r="FJ1553" t="s">
        <v>59</v>
      </c>
      <c r="FM1553" s="32" t="s">
        <v>615</v>
      </c>
      <c r="FN1553" t="s">
        <v>616</v>
      </c>
      <c r="FO1553" t="s">
        <v>617</v>
      </c>
      <c r="FP1553" t="str">
        <f t="shared" si="209"/>
        <v>B</v>
      </c>
    </row>
    <row r="1554" spans="153:172" x14ac:dyDescent="0.35">
      <c r="EW1554" t="s">
        <v>2339</v>
      </c>
      <c r="EX1554" s="33" t="s">
        <v>2969</v>
      </c>
      <c r="EY1554" s="35" t="s">
        <v>1535</v>
      </c>
      <c r="EZ1554" s="36" t="s">
        <v>1536</v>
      </c>
      <c r="FA1554" s="36" t="s">
        <v>1192</v>
      </c>
      <c r="FB1554" s="36" t="s">
        <v>344</v>
      </c>
      <c r="FC1554" s="36" t="s">
        <v>1192</v>
      </c>
      <c r="FD1554" s="36" t="s">
        <v>344</v>
      </c>
      <c r="FE1554" s="36">
        <v>2026</v>
      </c>
      <c r="FF1554" s="36" t="s">
        <v>59</v>
      </c>
      <c r="FG1554" s="36" t="s">
        <v>1241</v>
      </c>
      <c r="FJ1554" t="s">
        <v>59</v>
      </c>
      <c r="FM1554" s="32" t="s">
        <v>1099</v>
      </c>
      <c r="FN1554" t="s">
        <v>1100</v>
      </c>
      <c r="FO1554" t="s">
        <v>1101</v>
      </c>
      <c r="FP1554" t="str">
        <f t="shared" si="209"/>
        <v>B</v>
      </c>
    </row>
    <row r="1555" spans="153:172" x14ac:dyDescent="0.35">
      <c r="EW1555" t="s">
        <v>2339</v>
      </c>
      <c r="EX1555" s="33" t="s">
        <v>2970</v>
      </c>
      <c r="EY1555" s="35" t="s">
        <v>1537</v>
      </c>
      <c r="EZ1555" s="36" t="s">
        <v>1538</v>
      </c>
      <c r="FA1555" s="36" t="s">
        <v>1192</v>
      </c>
      <c r="FB1555" s="36" t="s">
        <v>344</v>
      </c>
      <c r="FC1555" s="36" t="s">
        <v>1192</v>
      </c>
      <c r="FD1555" s="36" t="s">
        <v>344</v>
      </c>
      <c r="FE1555" s="36">
        <v>2026</v>
      </c>
      <c r="FF1555" s="36" t="s">
        <v>59</v>
      </c>
      <c r="FG1555" s="36" t="s">
        <v>1241</v>
      </c>
      <c r="FJ1555" t="s">
        <v>59</v>
      </c>
      <c r="FM1555" s="32" t="s">
        <v>186</v>
      </c>
      <c r="FN1555" t="s">
        <v>187</v>
      </c>
      <c r="FO1555" t="s">
        <v>188</v>
      </c>
      <c r="FP1555" t="str">
        <f t="shared" si="209"/>
        <v>B</v>
      </c>
    </row>
    <row r="1556" spans="153:172" x14ac:dyDescent="0.35">
      <c r="EW1556" t="s">
        <v>2339</v>
      </c>
      <c r="EX1556" s="33" t="s">
        <v>2971</v>
      </c>
      <c r="EY1556" s="35" t="s">
        <v>1539</v>
      </c>
      <c r="EZ1556" s="36" t="s">
        <v>1540</v>
      </c>
      <c r="FA1556" s="36" t="s">
        <v>1192</v>
      </c>
      <c r="FB1556" s="36" t="s">
        <v>344</v>
      </c>
      <c r="FC1556" s="36" t="s">
        <v>1192</v>
      </c>
      <c r="FD1556" s="36" t="s">
        <v>344</v>
      </c>
      <c r="FE1556" s="36">
        <v>2026</v>
      </c>
      <c r="FF1556" s="36" t="s">
        <v>59</v>
      </c>
      <c r="FG1556" s="36" t="s">
        <v>1241</v>
      </c>
      <c r="FJ1556" t="s">
        <v>59</v>
      </c>
      <c r="FM1556" s="32" t="s">
        <v>1017</v>
      </c>
      <c r="FN1556" t="s">
        <v>1018</v>
      </c>
      <c r="FO1556" t="s">
        <v>1019</v>
      </c>
      <c r="FP1556" t="str">
        <f t="shared" si="209"/>
        <v>B</v>
      </c>
    </row>
    <row r="1557" spans="153:172" x14ac:dyDescent="0.35">
      <c r="EW1557" t="s">
        <v>2339</v>
      </c>
      <c r="EX1557" s="33" t="s">
        <v>2972</v>
      </c>
      <c r="EY1557" s="35" t="s">
        <v>1541</v>
      </c>
      <c r="EZ1557" s="36" t="s">
        <v>1542</v>
      </c>
      <c r="FA1557" s="36" t="s">
        <v>1192</v>
      </c>
      <c r="FB1557" s="36" t="s">
        <v>344</v>
      </c>
      <c r="FC1557" s="36" t="s">
        <v>1192</v>
      </c>
      <c r="FD1557" s="36" t="s">
        <v>344</v>
      </c>
      <c r="FE1557" s="36">
        <v>2026</v>
      </c>
      <c r="FF1557" s="36" t="s">
        <v>59</v>
      </c>
      <c r="FG1557" s="36" t="s">
        <v>1241</v>
      </c>
      <c r="FJ1557" t="s">
        <v>59</v>
      </c>
      <c r="FM1557" s="32" t="s">
        <v>749</v>
      </c>
      <c r="FN1557" t="s">
        <v>750</v>
      </c>
      <c r="FO1557" t="s">
        <v>751</v>
      </c>
      <c r="FP1557" t="str">
        <f t="shared" si="209"/>
        <v>B</v>
      </c>
    </row>
    <row r="1558" spans="153:172" x14ac:dyDescent="0.35">
      <c r="EW1558" t="s">
        <v>2339</v>
      </c>
      <c r="EX1558" s="33" t="s">
        <v>2973</v>
      </c>
      <c r="EY1558" s="35" t="s">
        <v>1543</v>
      </c>
      <c r="EZ1558" s="36" t="s">
        <v>1544</v>
      </c>
      <c r="FA1558" s="36" t="s">
        <v>1192</v>
      </c>
      <c r="FB1558" s="36" t="s">
        <v>344</v>
      </c>
      <c r="FC1558" s="36" t="s">
        <v>1192</v>
      </c>
      <c r="FD1558" s="36" t="s">
        <v>344</v>
      </c>
      <c r="FE1558" s="36">
        <v>2026</v>
      </c>
      <c r="FF1558" s="36" t="s">
        <v>59</v>
      </c>
      <c r="FG1558" s="36" t="s">
        <v>1241</v>
      </c>
      <c r="FJ1558" t="s">
        <v>59</v>
      </c>
      <c r="FM1558" s="32" t="s">
        <v>1034</v>
      </c>
      <c r="FN1558" t="s">
        <v>1035</v>
      </c>
      <c r="FO1558" t="s">
        <v>1036</v>
      </c>
      <c r="FP1558" t="str">
        <f t="shared" si="209"/>
        <v>B</v>
      </c>
    </row>
    <row r="1559" spans="153:172" x14ac:dyDescent="0.35">
      <c r="EW1559" t="s">
        <v>2339</v>
      </c>
      <c r="EX1559" s="33" t="s">
        <v>2974</v>
      </c>
      <c r="EY1559" s="35" t="s">
        <v>1545</v>
      </c>
      <c r="EZ1559" s="36" t="s">
        <v>1546</v>
      </c>
      <c r="FA1559" s="36" t="s">
        <v>1192</v>
      </c>
      <c r="FB1559" s="36" t="s">
        <v>344</v>
      </c>
      <c r="FC1559" s="36" t="s">
        <v>1192</v>
      </c>
      <c r="FD1559" s="36" t="s">
        <v>344</v>
      </c>
      <c r="FE1559" s="36">
        <v>2026</v>
      </c>
      <c r="FF1559" s="36" t="s">
        <v>59</v>
      </c>
      <c r="FG1559" s="36" t="s">
        <v>1241</v>
      </c>
      <c r="FJ1559" t="s">
        <v>59</v>
      </c>
      <c r="FM1559" s="32" t="s">
        <v>1059</v>
      </c>
      <c r="FN1559" t="s">
        <v>1060</v>
      </c>
      <c r="FO1559" t="s">
        <v>1061</v>
      </c>
      <c r="FP1559" t="str">
        <f t="shared" si="209"/>
        <v>B</v>
      </c>
    </row>
    <row r="1560" spans="153:172" x14ac:dyDescent="0.35">
      <c r="EW1560" t="s">
        <v>2339</v>
      </c>
      <c r="EX1560" s="33" t="s">
        <v>2975</v>
      </c>
      <c r="EY1560" s="35" t="s">
        <v>1549</v>
      </c>
      <c r="EZ1560" s="36" t="s">
        <v>1550</v>
      </c>
      <c r="FA1560" s="36" t="s">
        <v>1192</v>
      </c>
      <c r="FB1560" s="36" t="s">
        <v>344</v>
      </c>
      <c r="FC1560" s="36" t="s">
        <v>1192</v>
      </c>
      <c r="FD1560" s="36" t="s">
        <v>344</v>
      </c>
      <c r="FE1560" s="36">
        <v>2026</v>
      </c>
      <c r="FF1560" s="36" t="s">
        <v>59</v>
      </c>
      <c r="FG1560" s="36" t="s">
        <v>1241</v>
      </c>
      <c r="FJ1560" t="s">
        <v>59</v>
      </c>
      <c r="FM1560" s="32" t="s">
        <v>670</v>
      </c>
      <c r="FN1560" t="s">
        <v>671</v>
      </c>
      <c r="FO1560" t="s">
        <v>672</v>
      </c>
      <c r="FP1560" t="str">
        <f t="shared" si="209"/>
        <v>B</v>
      </c>
    </row>
    <row r="1561" spans="153:172" x14ac:dyDescent="0.35">
      <c r="EW1561" t="s">
        <v>2339</v>
      </c>
      <c r="EX1561" s="33" t="s">
        <v>2976</v>
      </c>
      <c r="EY1561" s="35" t="s">
        <v>1552</v>
      </c>
      <c r="EZ1561" s="36" t="s">
        <v>1553</v>
      </c>
      <c r="FA1561" s="36" t="s">
        <v>1192</v>
      </c>
      <c r="FB1561" s="36" t="s">
        <v>344</v>
      </c>
      <c r="FC1561" s="36" t="s">
        <v>1192</v>
      </c>
      <c r="FD1561" s="36" t="s">
        <v>344</v>
      </c>
      <c r="FE1561" s="36">
        <v>2026</v>
      </c>
      <c r="FF1561" s="36" t="s">
        <v>59</v>
      </c>
      <c r="FG1561" s="36" t="s">
        <v>1241</v>
      </c>
      <c r="FJ1561" t="s">
        <v>59</v>
      </c>
      <c r="FM1561" s="32" t="s">
        <v>1082</v>
      </c>
      <c r="FN1561" t="s">
        <v>1083</v>
      </c>
      <c r="FO1561" t="s">
        <v>1084</v>
      </c>
      <c r="FP1561" t="str">
        <f t="shared" si="209"/>
        <v>B</v>
      </c>
    </row>
    <row r="1562" spans="153:172" x14ac:dyDescent="0.35">
      <c r="EW1562" t="s">
        <v>2339</v>
      </c>
      <c r="EX1562" s="33" t="s">
        <v>2977</v>
      </c>
      <c r="EY1562" s="35" t="s">
        <v>1555</v>
      </c>
      <c r="EZ1562" s="36" t="s">
        <v>1556</v>
      </c>
      <c r="FA1562" s="36" t="s">
        <v>1192</v>
      </c>
      <c r="FB1562" s="36" t="s">
        <v>344</v>
      </c>
      <c r="FC1562" s="36" t="s">
        <v>1192</v>
      </c>
      <c r="FD1562" s="36" t="s">
        <v>344</v>
      </c>
      <c r="FE1562" s="36">
        <v>2026</v>
      </c>
      <c r="FF1562" s="36" t="s">
        <v>59</v>
      </c>
      <c r="FG1562" s="36" t="s">
        <v>1241</v>
      </c>
      <c r="FJ1562" t="s">
        <v>59</v>
      </c>
      <c r="FM1562" s="32" t="s">
        <v>2804</v>
      </c>
      <c r="FN1562" t="s">
        <v>2804</v>
      </c>
      <c r="FO1562" t="s">
        <v>2805</v>
      </c>
      <c r="FP1562" t="str">
        <f t="shared" si="209"/>
        <v>B</v>
      </c>
    </row>
    <row r="1563" spans="153:172" x14ac:dyDescent="0.35">
      <c r="EW1563" t="s">
        <v>2339</v>
      </c>
      <c r="EX1563" s="33" t="s">
        <v>2978</v>
      </c>
      <c r="EY1563" s="35" t="s">
        <v>1557</v>
      </c>
      <c r="EZ1563" s="36" t="s">
        <v>1558</v>
      </c>
      <c r="FA1563" s="36" t="s">
        <v>1192</v>
      </c>
      <c r="FB1563" s="36" t="s">
        <v>344</v>
      </c>
      <c r="FC1563" s="36" t="s">
        <v>1192</v>
      </c>
      <c r="FD1563" s="36" t="s">
        <v>344</v>
      </c>
      <c r="FE1563" s="36">
        <v>2026</v>
      </c>
      <c r="FF1563" s="36" t="s">
        <v>59</v>
      </c>
      <c r="FG1563" s="36" t="s">
        <v>1241</v>
      </c>
      <c r="FJ1563" t="s">
        <v>59</v>
      </c>
      <c r="FM1563" s="32" t="s">
        <v>88</v>
      </c>
      <c r="FN1563" t="s">
        <v>89</v>
      </c>
      <c r="FO1563" t="s">
        <v>90</v>
      </c>
      <c r="FP1563" t="str">
        <f t="shared" si="209"/>
        <v>B</v>
      </c>
    </row>
    <row r="1564" spans="153:172" x14ac:dyDescent="0.35">
      <c r="EW1564" t="s">
        <v>2339</v>
      </c>
      <c r="EX1564" s="33" t="s">
        <v>2979</v>
      </c>
      <c r="EY1564" s="35" t="s">
        <v>1559</v>
      </c>
      <c r="EZ1564" s="36" t="s">
        <v>1560</v>
      </c>
      <c r="FA1564" s="36" t="s">
        <v>1192</v>
      </c>
      <c r="FB1564" s="36" t="s">
        <v>344</v>
      </c>
      <c r="FC1564" s="36" t="s">
        <v>1192</v>
      </c>
      <c r="FD1564" s="36" t="s">
        <v>344</v>
      </c>
      <c r="FE1564" s="36">
        <v>2026</v>
      </c>
      <c r="FF1564" s="36" t="s">
        <v>59</v>
      </c>
      <c r="FG1564" s="36" t="s">
        <v>1241</v>
      </c>
      <c r="FJ1564" t="s">
        <v>59</v>
      </c>
      <c r="FM1564" s="32" t="s">
        <v>2980</v>
      </c>
      <c r="FN1564" t="s">
        <v>2980</v>
      </c>
      <c r="FO1564" t="s">
        <v>2882</v>
      </c>
      <c r="FP1564" t="str">
        <f t="shared" si="209"/>
        <v>B</v>
      </c>
    </row>
    <row r="1565" spans="153:172" x14ac:dyDescent="0.35">
      <c r="EW1565" t="s">
        <v>2339</v>
      </c>
      <c r="EX1565" s="33" t="s">
        <v>2981</v>
      </c>
      <c r="EY1565" s="35" t="s">
        <v>1561</v>
      </c>
      <c r="EZ1565" s="36" t="s">
        <v>1562</v>
      </c>
      <c r="FA1565" s="36" t="s">
        <v>1192</v>
      </c>
      <c r="FB1565" s="36" t="s">
        <v>344</v>
      </c>
      <c r="FC1565" s="36" t="s">
        <v>1192</v>
      </c>
      <c r="FD1565" s="36" t="s">
        <v>344</v>
      </c>
      <c r="FE1565" s="36">
        <v>2026</v>
      </c>
      <c r="FF1565" s="36" t="s">
        <v>59</v>
      </c>
      <c r="FG1565" s="36" t="s">
        <v>1241</v>
      </c>
      <c r="FJ1565" t="s">
        <v>59</v>
      </c>
      <c r="FM1565" s="32" t="s">
        <v>2962</v>
      </c>
      <c r="FN1565" t="s">
        <v>2962</v>
      </c>
      <c r="FO1565" t="s">
        <v>2910</v>
      </c>
      <c r="FP1565" t="str">
        <f t="shared" si="209"/>
        <v>B</v>
      </c>
    </row>
    <row r="1566" spans="153:172" x14ac:dyDescent="0.35">
      <c r="EW1566" t="s">
        <v>2339</v>
      </c>
      <c r="EX1566" s="33" t="s">
        <v>2982</v>
      </c>
      <c r="EY1566" s="35" t="s">
        <v>1563</v>
      </c>
      <c r="EZ1566" s="36" t="s">
        <v>1564</v>
      </c>
      <c r="FA1566" s="36" t="s">
        <v>1192</v>
      </c>
      <c r="FB1566" s="36" t="s">
        <v>344</v>
      </c>
      <c r="FC1566" s="36" t="s">
        <v>1192</v>
      </c>
      <c r="FD1566" s="36" t="s">
        <v>344</v>
      </c>
      <c r="FE1566" s="36">
        <v>2026</v>
      </c>
      <c r="FF1566" s="36" t="s">
        <v>59</v>
      </c>
      <c r="FG1566" s="36" t="s">
        <v>1241</v>
      </c>
      <c r="FJ1566" t="s">
        <v>59</v>
      </c>
      <c r="FM1566" s="32" t="s">
        <v>961</v>
      </c>
      <c r="FN1566" t="s">
        <v>962</v>
      </c>
      <c r="FO1566" t="s">
        <v>963</v>
      </c>
      <c r="FP1566" t="str">
        <f t="shared" si="209"/>
        <v>B</v>
      </c>
    </row>
    <row r="1567" spans="153:172" x14ac:dyDescent="0.35">
      <c r="EW1567" t="s">
        <v>2339</v>
      </c>
      <c r="EX1567" s="33" t="s">
        <v>2983</v>
      </c>
      <c r="EY1567" s="35" t="s">
        <v>1565</v>
      </c>
      <c r="EZ1567" s="36" t="s">
        <v>1566</v>
      </c>
      <c r="FA1567" s="36" t="s">
        <v>1192</v>
      </c>
      <c r="FB1567" s="36" t="s">
        <v>344</v>
      </c>
      <c r="FC1567" s="36" t="s">
        <v>1192</v>
      </c>
      <c r="FD1567" s="36" t="s">
        <v>344</v>
      </c>
      <c r="FE1567" s="36">
        <v>2026</v>
      </c>
      <c r="FF1567" s="36" t="s">
        <v>59</v>
      </c>
      <c r="FG1567" s="36" t="s">
        <v>1241</v>
      </c>
      <c r="FJ1567" t="s">
        <v>59</v>
      </c>
      <c r="FM1567" s="32" t="s">
        <v>636</v>
      </c>
      <c r="FN1567" t="s">
        <v>637</v>
      </c>
      <c r="FO1567" t="s">
        <v>638</v>
      </c>
      <c r="FP1567" t="str">
        <f t="shared" si="209"/>
        <v>B</v>
      </c>
    </row>
    <row r="1568" spans="153:172" x14ac:dyDescent="0.35">
      <c r="EW1568" t="s">
        <v>2339</v>
      </c>
      <c r="EX1568" s="33" t="s">
        <v>2984</v>
      </c>
      <c r="EY1568" s="35" t="s">
        <v>1567</v>
      </c>
      <c r="EZ1568" s="36" t="s">
        <v>1568</v>
      </c>
      <c r="FA1568" s="36" t="s">
        <v>1192</v>
      </c>
      <c r="FB1568" s="36" t="s">
        <v>344</v>
      </c>
      <c r="FC1568" s="36" t="s">
        <v>1192</v>
      </c>
      <c r="FD1568" s="36" t="s">
        <v>344</v>
      </c>
      <c r="FE1568" s="36">
        <v>2026</v>
      </c>
      <c r="FF1568" s="36" t="s">
        <v>59</v>
      </c>
      <c r="FG1568" s="36" t="s">
        <v>1241</v>
      </c>
      <c r="FJ1568" t="s">
        <v>59</v>
      </c>
      <c r="FM1568" s="32" t="s">
        <v>868</v>
      </c>
      <c r="FN1568" t="s">
        <v>869</v>
      </c>
      <c r="FO1568" t="s">
        <v>870</v>
      </c>
      <c r="FP1568" t="str">
        <f t="shared" si="209"/>
        <v>B</v>
      </c>
    </row>
    <row r="1569" spans="153:172" x14ac:dyDescent="0.35">
      <c r="EW1569" t="s">
        <v>2339</v>
      </c>
      <c r="EX1569" s="33" t="s">
        <v>2985</v>
      </c>
      <c r="EY1569" s="35" t="s">
        <v>1569</v>
      </c>
      <c r="EZ1569" s="36" t="s">
        <v>1570</v>
      </c>
      <c r="FA1569" s="36" t="s">
        <v>1192</v>
      </c>
      <c r="FB1569" s="36" t="s">
        <v>344</v>
      </c>
      <c r="FC1569" s="36" t="s">
        <v>1192</v>
      </c>
      <c r="FD1569" s="36" t="s">
        <v>344</v>
      </c>
      <c r="FE1569" s="36">
        <v>2026</v>
      </c>
      <c r="FF1569" s="36" t="s">
        <v>59</v>
      </c>
      <c r="FG1569" s="36" t="s">
        <v>1241</v>
      </c>
      <c r="FJ1569" t="s">
        <v>59</v>
      </c>
      <c r="FM1569" s="32" t="s">
        <v>360</v>
      </c>
      <c r="FN1569" t="s">
        <v>361</v>
      </c>
      <c r="FO1569" t="s">
        <v>362</v>
      </c>
      <c r="FP1569" t="str">
        <f t="shared" si="209"/>
        <v>B</v>
      </c>
    </row>
    <row r="1570" spans="153:172" x14ac:dyDescent="0.35">
      <c r="EW1570" t="s">
        <v>2339</v>
      </c>
      <c r="EX1570" s="33" t="s">
        <v>2986</v>
      </c>
      <c r="EY1570" s="35" t="s">
        <v>1571</v>
      </c>
      <c r="EZ1570" s="36" t="s">
        <v>1572</v>
      </c>
      <c r="FA1570" s="36" t="s">
        <v>1192</v>
      </c>
      <c r="FB1570" s="36" t="s">
        <v>344</v>
      </c>
      <c r="FC1570" s="36" t="s">
        <v>1192</v>
      </c>
      <c r="FD1570" s="36" t="s">
        <v>344</v>
      </c>
      <c r="FE1570" s="36">
        <v>2026</v>
      </c>
      <c r="FF1570" s="36" t="s">
        <v>59</v>
      </c>
      <c r="FG1570" s="36" t="s">
        <v>1241</v>
      </c>
      <c r="FJ1570" t="s">
        <v>59</v>
      </c>
      <c r="FM1570" s="32" t="s">
        <v>120</v>
      </c>
      <c r="FN1570" t="s">
        <v>121</v>
      </c>
      <c r="FO1570" t="s">
        <v>122</v>
      </c>
      <c r="FP1570" t="str">
        <f t="shared" si="209"/>
        <v>B</v>
      </c>
    </row>
    <row r="1571" spans="153:172" x14ac:dyDescent="0.35">
      <c r="EW1571" t="s">
        <v>2339</v>
      </c>
      <c r="EX1571" s="33" t="s">
        <v>2987</v>
      </c>
      <c r="EY1571" s="35" t="s">
        <v>1573</v>
      </c>
      <c r="EZ1571" s="36" t="s">
        <v>1574</v>
      </c>
      <c r="FA1571" s="36" t="s">
        <v>1192</v>
      </c>
      <c r="FB1571" s="36" t="s">
        <v>344</v>
      </c>
      <c r="FC1571" s="36" t="s">
        <v>1192</v>
      </c>
      <c r="FD1571" s="36" t="s">
        <v>344</v>
      </c>
      <c r="FE1571" s="36">
        <v>2026</v>
      </c>
      <c r="FF1571" s="36" t="s">
        <v>59</v>
      </c>
      <c r="FG1571" s="36" t="s">
        <v>1241</v>
      </c>
      <c r="FJ1571" t="s">
        <v>59</v>
      </c>
      <c r="FM1571" s="32" t="s">
        <v>784</v>
      </c>
      <c r="FN1571" t="s">
        <v>785</v>
      </c>
      <c r="FO1571" t="s">
        <v>786</v>
      </c>
      <c r="FP1571" t="str">
        <f t="shared" si="209"/>
        <v>B</v>
      </c>
    </row>
    <row r="1572" spans="153:172" x14ac:dyDescent="0.35">
      <c r="EW1572" t="s">
        <v>2339</v>
      </c>
      <c r="EX1572" s="33" t="s">
        <v>2988</v>
      </c>
      <c r="EY1572" s="35" t="s">
        <v>1577</v>
      </c>
      <c r="EZ1572" s="36" t="s">
        <v>1578</v>
      </c>
      <c r="FA1572" s="36" t="s">
        <v>1192</v>
      </c>
      <c r="FB1572" s="36" t="s">
        <v>344</v>
      </c>
      <c r="FC1572" s="36" t="s">
        <v>1192</v>
      </c>
      <c r="FD1572" s="36" t="s">
        <v>344</v>
      </c>
      <c r="FE1572" s="36">
        <v>2026</v>
      </c>
      <c r="FF1572" s="36" t="s">
        <v>59</v>
      </c>
      <c r="FG1572" s="36" t="s">
        <v>1241</v>
      </c>
      <c r="FJ1572" t="s">
        <v>59</v>
      </c>
      <c r="FM1572" s="32" t="s">
        <v>484</v>
      </c>
      <c r="FN1572" t="s">
        <v>485</v>
      </c>
      <c r="FO1572" t="s">
        <v>486</v>
      </c>
      <c r="FP1572" t="str">
        <f t="shared" si="209"/>
        <v>B</v>
      </c>
    </row>
    <row r="1573" spans="153:172" x14ac:dyDescent="0.35">
      <c r="EW1573" t="s">
        <v>2339</v>
      </c>
      <c r="EX1573" s="33" t="s">
        <v>2989</v>
      </c>
      <c r="EY1573" s="35" t="s">
        <v>1579</v>
      </c>
      <c r="EZ1573" s="36" t="s">
        <v>1580</v>
      </c>
      <c r="FA1573" s="36" t="s">
        <v>1192</v>
      </c>
      <c r="FB1573" s="36" t="s">
        <v>344</v>
      </c>
      <c r="FC1573" s="36" t="s">
        <v>1192</v>
      </c>
      <c r="FD1573" s="36" t="s">
        <v>344</v>
      </c>
      <c r="FE1573" s="36">
        <v>2026</v>
      </c>
      <c r="FF1573" s="36" t="s">
        <v>59</v>
      </c>
      <c r="FG1573" s="36" t="s">
        <v>1241</v>
      </c>
      <c r="FJ1573" t="s">
        <v>59</v>
      </c>
      <c r="FM1573" s="32" t="s">
        <v>162</v>
      </c>
      <c r="FN1573" t="s">
        <v>163</v>
      </c>
      <c r="FO1573" t="s">
        <v>164</v>
      </c>
      <c r="FP1573" t="str">
        <f t="shared" si="209"/>
        <v>B</v>
      </c>
    </row>
    <row r="1574" spans="153:172" x14ac:dyDescent="0.35">
      <c r="EW1574" t="s">
        <v>2339</v>
      </c>
      <c r="EX1574" s="33" t="s">
        <v>2990</v>
      </c>
      <c r="EY1574" s="35" t="s">
        <v>1582</v>
      </c>
      <c r="EZ1574" s="36" t="s">
        <v>1583</v>
      </c>
      <c r="FA1574" s="36" t="s">
        <v>1192</v>
      </c>
      <c r="FB1574" s="36" t="s">
        <v>344</v>
      </c>
      <c r="FC1574" s="36" t="s">
        <v>1192</v>
      </c>
      <c r="FD1574" s="36" t="s">
        <v>344</v>
      </c>
      <c r="FE1574" s="36">
        <v>2026</v>
      </c>
      <c r="FF1574" s="36" t="s">
        <v>59</v>
      </c>
      <c r="FG1574" s="36" t="s">
        <v>1584</v>
      </c>
      <c r="FJ1574" t="s">
        <v>59</v>
      </c>
      <c r="FM1574" s="32" t="s">
        <v>1099</v>
      </c>
      <c r="FN1574" t="s">
        <v>1100</v>
      </c>
      <c r="FO1574" t="s">
        <v>1101</v>
      </c>
      <c r="FP1574" t="str">
        <f t="shared" si="209"/>
        <v>B</v>
      </c>
    </row>
    <row r="1575" spans="153:172" x14ac:dyDescent="0.35">
      <c r="EW1575" t="s">
        <v>2339</v>
      </c>
      <c r="EX1575" s="33" t="s">
        <v>2991</v>
      </c>
      <c r="EY1575" s="35" t="s">
        <v>1585</v>
      </c>
      <c r="EZ1575" s="36" t="s">
        <v>1586</v>
      </c>
      <c r="FA1575" s="36" t="s">
        <v>1192</v>
      </c>
      <c r="FB1575" s="36" t="s">
        <v>344</v>
      </c>
      <c r="FC1575" s="36" t="s">
        <v>1192</v>
      </c>
      <c r="FD1575" s="36" t="s">
        <v>344</v>
      </c>
      <c r="FE1575" s="36">
        <v>2026</v>
      </c>
      <c r="FF1575" s="36" t="s">
        <v>59</v>
      </c>
      <c r="FG1575" s="36" t="s">
        <v>1584</v>
      </c>
      <c r="FJ1575" t="s">
        <v>59</v>
      </c>
      <c r="FM1575" s="32" t="s">
        <v>615</v>
      </c>
      <c r="FN1575" t="s">
        <v>616</v>
      </c>
      <c r="FO1575" t="s">
        <v>617</v>
      </c>
      <c r="FP1575" t="str">
        <f t="shared" si="209"/>
        <v>B</v>
      </c>
    </row>
    <row r="1576" spans="153:172" x14ac:dyDescent="0.35">
      <c r="EW1576" t="s">
        <v>2339</v>
      </c>
      <c r="EX1576" s="33" t="s">
        <v>2992</v>
      </c>
      <c r="EY1576" s="35" t="s">
        <v>1587</v>
      </c>
      <c r="EZ1576" s="36" t="s">
        <v>1588</v>
      </c>
      <c r="FA1576" s="36" t="s">
        <v>1192</v>
      </c>
      <c r="FB1576" s="36" t="s">
        <v>344</v>
      </c>
      <c r="FC1576" s="36" t="s">
        <v>1192</v>
      </c>
      <c r="FD1576" s="36" t="s">
        <v>344</v>
      </c>
      <c r="FE1576" s="36">
        <v>2026</v>
      </c>
      <c r="FF1576" s="36" t="s">
        <v>59</v>
      </c>
      <c r="FG1576" s="36" t="s">
        <v>1584</v>
      </c>
      <c r="FJ1576" t="s">
        <v>59</v>
      </c>
      <c r="FM1576" s="32" t="s">
        <v>624</v>
      </c>
      <c r="FN1576" t="s">
        <v>625</v>
      </c>
      <c r="FO1576" t="s">
        <v>626</v>
      </c>
      <c r="FP1576" t="str">
        <f t="shared" si="209"/>
        <v>B</v>
      </c>
    </row>
    <row r="1577" spans="153:172" x14ac:dyDescent="0.35">
      <c r="EW1577" t="s">
        <v>2339</v>
      </c>
      <c r="EX1577" s="33" t="s">
        <v>2993</v>
      </c>
      <c r="EY1577" s="35" t="s">
        <v>1590</v>
      </c>
      <c r="EZ1577" s="36" t="s">
        <v>1591</v>
      </c>
      <c r="FA1577" s="36" t="s">
        <v>1192</v>
      </c>
      <c r="FB1577" s="36" t="s">
        <v>344</v>
      </c>
      <c r="FC1577" s="36" t="s">
        <v>1192</v>
      </c>
      <c r="FD1577" s="36" t="s">
        <v>344</v>
      </c>
      <c r="FE1577" s="36">
        <v>2026</v>
      </c>
      <c r="FF1577" s="36" t="s">
        <v>59</v>
      </c>
      <c r="FG1577" s="36" t="s">
        <v>1584</v>
      </c>
      <c r="FJ1577" t="s">
        <v>59</v>
      </c>
      <c r="FM1577" s="32" t="s">
        <v>1059</v>
      </c>
      <c r="FN1577" t="s">
        <v>1060</v>
      </c>
      <c r="FO1577" t="s">
        <v>1061</v>
      </c>
      <c r="FP1577" t="str">
        <f t="shared" si="209"/>
        <v>B</v>
      </c>
    </row>
    <row r="1578" spans="153:172" x14ac:dyDescent="0.35">
      <c r="EW1578" t="s">
        <v>2339</v>
      </c>
      <c r="EX1578" s="33" t="s">
        <v>2994</v>
      </c>
      <c r="EY1578" s="35" t="s">
        <v>1593</v>
      </c>
      <c r="EZ1578" s="36" t="s">
        <v>1594</v>
      </c>
      <c r="FA1578" s="36" t="s">
        <v>1192</v>
      </c>
      <c r="FB1578" s="36" t="s">
        <v>344</v>
      </c>
      <c r="FC1578" s="36" t="s">
        <v>1192</v>
      </c>
      <c r="FD1578" s="36" t="s">
        <v>344</v>
      </c>
      <c r="FE1578" s="36">
        <v>2026</v>
      </c>
      <c r="FF1578" s="36" t="s">
        <v>59</v>
      </c>
      <c r="FG1578" s="36" t="s">
        <v>1584</v>
      </c>
      <c r="FJ1578" t="s">
        <v>59</v>
      </c>
      <c r="FM1578" s="32" t="s">
        <v>749</v>
      </c>
      <c r="FN1578" t="s">
        <v>750</v>
      </c>
      <c r="FO1578" t="s">
        <v>751</v>
      </c>
      <c r="FP1578" t="str">
        <f t="shared" si="209"/>
        <v>B</v>
      </c>
    </row>
    <row r="1579" spans="153:172" x14ac:dyDescent="0.35">
      <c r="EW1579" t="s">
        <v>2339</v>
      </c>
      <c r="EX1579" s="33" t="s">
        <v>2995</v>
      </c>
      <c r="EY1579" s="35" t="s">
        <v>1595</v>
      </c>
      <c r="EZ1579" s="36" t="s">
        <v>1596</v>
      </c>
      <c r="FA1579" s="36" t="s">
        <v>1192</v>
      </c>
      <c r="FB1579" s="36" t="s">
        <v>344</v>
      </c>
      <c r="FC1579" s="36" t="s">
        <v>1192</v>
      </c>
      <c r="FD1579" s="36" t="s">
        <v>344</v>
      </c>
      <c r="FE1579" s="36">
        <v>2026</v>
      </c>
      <c r="FF1579" s="36" t="s">
        <v>59</v>
      </c>
      <c r="FG1579" s="36" t="s">
        <v>1584</v>
      </c>
      <c r="FJ1579" t="s">
        <v>59</v>
      </c>
      <c r="FM1579" s="32" t="s">
        <v>1034</v>
      </c>
      <c r="FN1579" t="s">
        <v>1035</v>
      </c>
      <c r="FO1579" t="s">
        <v>1036</v>
      </c>
      <c r="FP1579" t="str">
        <f t="shared" si="209"/>
        <v>B</v>
      </c>
    </row>
    <row r="1580" spans="153:172" x14ac:dyDescent="0.35">
      <c r="EW1580" t="s">
        <v>2339</v>
      </c>
      <c r="EX1580" s="33" t="s">
        <v>2996</v>
      </c>
      <c r="EY1580" s="35" t="s">
        <v>1598</v>
      </c>
      <c r="EZ1580" s="36" t="s">
        <v>1599</v>
      </c>
      <c r="FA1580" s="36" t="s">
        <v>1192</v>
      </c>
      <c r="FB1580" s="36" t="s">
        <v>344</v>
      </c>
      <c r="FC1580" s="36" t="s">
        <v>1192</v>
      </c>
      <c r="FD1580" s="36" t="s">
        <v>344</v>
      </c>
      <c r="FE1580" s="36">
        <v>2026</v>
      </c>
      <c r="FF1580" s="36" t="s">
        <v>59</v>
      </c>
      <c r="FG1580" s="36" t="s">
        <v>1584</v>
      </c>
      <c r="FJ1580" t="s">
        <v>59</v>
      </c>
      <c r="FM1580" s="32" t="s">
        <v>1082</v>
      </c>
      <c r="FN1580" t="s">
        <v>1083</v>
      </c>
      <c r="FO1580" t="s">
        <v>1084</v>
      </c>
      <c r="FP1580" t="str">
        <f t="shared" si="209"/>
        <v>B</v>
      </c>
    </row>
    <row r="1581" spans="153:172" x14ac:dyDescent="0.35">
      <c r="EW1581" t="s">
        <v>2339</v>
      </c>
      <c r="EX1581" s="33" t="s">
        <v>2997</v>
      </c>
      <c r="EY1581" s="35" t="s">
        <v>1600</v>
      </c>
      <c r="EZ1581" s="36" t="s">
        <v>1601</v>
      </c>
      <c r="FA1581" s="36" t="s">
        <v>1192</v>
      </c>
      <c r="FB1581" s="36" t="s">
        <v>344</v>
      </c>
      <c r="FC1581" s="36" t="s">
        <v>1192</v>
      </c>
      <c r="FD1581" s="36" t="s">
        <v>344</v>
      </c>
      <c r="FE1581" s="36">
        <v>2026</v>
      </c>
      <c r="FF1581" s="36" t="s">
        <v>59</v>
      </c>
      <c r="FG1581" s="36" t="s">
        <v>1584</v>
      </c>
      <c r="FJ1581" t="s">
        <v>59</v>
      </c>
      <c r="FM1581" s="32" t="s">
        <v>412</v>
      </c>
      <c r="FN1581" t="s">
        <v>413</v>
      </c>
      <c r="FO1581" t="s">
        <v>414</v>
      </c>
      <c r="FP1581" t="str">
        <f t="shared" si="209"/>
        <v>B</v>
      </c>
    </row>
    <row r="1582" spans="153:172" x14ac:dyDescent="0.35">
      <c r="EW1582" t="s">
        <v>2339</v>
      </c>
      <c r="EX1582" s="33" t="s">
        <v>2998</v>
      </c>
      <c r="EY1582" s="35" t="s">
        <v>1602</v>
      </c>
      <c r="EZ1582" s="36" t="s">
        <v>1603</v>
      </c>
      <c r="FA1582" s="36" t="s">
        <v>1192</v>
      </c>
      <c r="FB1582" s="36" t="s">
        <v>344</v>
      </c>
      <c r="FC1582" s="36" t="s">
        <v>1192</v>
      </c>
      <c r="FD1582" s="36" t="s">
        <v>344</v>
      </c>
      <c r="FE1582" s="36">
        <v>2026</v>
      </c>
      <c r="FF1582" s="36" t="s">
        <v>59</v>
      </c>
      <c r="FG1582" s="36" t="s">
        <v>1584</v>
      </c>
      <c r="FJ1582" t="s">
        <v>59</v>
      </c>
      <c r="FM1582" s="32" t="s">
        <v>961</v>
      </c>
      <c r="FN1582" t="s">
        <v>962</v>
      </c>
      <c r="FO1582" t="s">
        <v>963</v>
      </c>
      <c r="FP1582" t="str">
        <f t="shared" si="209"/>
        <v>B</v>
      </c>
    </row>
    <row r="1583" spans="153:172" x14ac:dyDescent="0.35">
      <c r="EW1583" t="s">
        <v>2339</v>
      </c>
      <c r="EX1583" s="33" t="s">
        <v>2999</v>
      </c>
      <c r="EY1583" s="35" t="s">
        <v>1604</v>
      </c>
      <c r="EZ1583" s="36" t="s">
        <v>1605</v>
      </c>
      <c r="FA1583" s="36" t="s">
        <v>1192</v>
      </c>
      <c r="FB1583" s="36" t="s">
        <v>344</v>
      </c>
      <c r="FC1583" s="36" t="s">
        <v>1192</v>
      </c>
      <c r="FD1583" s="36" t="s">
        <v>344</v>
      </c>
      <c r="FE1583" s="36">
        <v>2026</v>
      </c>
      <c r="FF1583" s="36" t="s">
        <v>59</v>
      </c>
      <c r="FG1583" s="36" t="s">
        <v>1584</v>
      </c>
      <c r="FJ1583" t="s">
        <v>59</v>
      </c>
      <c r="FM1583" s="32" t="s">
        <v>2804</v>
      </c>
      <c r="FN1583" t="s">
        <v>2804</v>
      </c>
      <c r="FO1583" t="s">
        <v>2805</v>
      </c>
      <c r="FP1583" t="str">
        <f t="shared" si="209"/>
        <v>B</v>
      </c>
    </row>
    <row r="1584" spans="153:172" x14ac:dyDescent="0.35">
      <c r="EW1584" t="s">
        <v>2339</v>
      </c>
      <c r="EX1584" s="33" t="s">
        <v>3000</v>
      </c>
      <c r="EY1584" s="35" t="s">
        <v>1606</v>
      </c>
      <c r="EZ1584" s="36" t="s">
        <v>1607</v>
      </c>
      <c r="FA1584" s="36" t="s">
        <v>1192</v>
      </c>
      <c r="FB1584" s="36" t="s">
        <v>344</v>
      </c>
      <c r="FC1584" s="36" t="s">
        <v>1192</v>
      </c>
      <c r="FD1584" s="36" t="s">
        <v>344</v>
      </c>
      <c r="FE1584" s="36">
        <v>2026</v>
      </c>
      <c r="FF1584" s="36" t="s">
        <v>59</v>
      </c>
      <c r="FG1584" s="36" t="s">
        <v>1584</v>
      </c>
      <c r="FJ1584" t="s">
        <v>59</v>
      </c>
      <c r="FM1584" s="32" t="s">
        <v>537</v>
      </c>
      <c r="FN1584" t="s">
        <v>538</v>
      </c>
      <c r="FO1584" t="s">
        <v>539</v>
      </c>
      <c r="FP1584" t="str">
        <f t="shared" si="209"/>
        <v>B</v>
      </c>
    </row>
    <row r="1585" spans="153:172" x14ac:dyDescent="0.35">
      <c r="EW1585" t="s">
        <v>2339</v>
      </c>
      <c r="EX1585" s="33" t="s">
        <v>3001</v>
      </c>
      <c r="EY1585" s="35" t="s">
        <v>1609</v>
      </c>
      <c r="EZ1585" s="36" t="s">
        <v>1610</v>
      </c>
      <c r="FA1585" s="36" t="s">
        <v>1192</v>
      </c>
      <c r="FB1585" s="36" t="s">
        <v>1611</v>
      </c>
      <c r="FC1585" s="36" t="s">
        <v>1192</v>
      </c>
      <c r="FD1585" s="36" t="s">
        <v>1611</v>
      </c>
      <c r="FE1585" s="36">
        <v>2026</v>
      </c>
      <c r="FF1585" s="36" t="s">
        <v>1109</v>
      </c>
      <c r="FG1585" s="36" t="s">
        <v>1584</v>
      </c>
      <c r="FJ1585" t="s">
        <v>1109</v>
      </c>
      <c r="FM1585" s="32" t="s">
        <v>2980</v>
      </c>
      <c r="FN1585" t="s">
        <v>2980</v>
      </c>
      <c r="FO1585" t="s">
        <v>2882</v>
      </c>
      <c r="FP1585" t="str">
        <f t="shared" si="209"/>
        <v>B</v>
      </c>
    </row>
    <row r="1586" spans="153:172" x14ac:dyDescent="0.35">
      <c r="EW1586" t="s">
        <v>2339</v>
      </c>
      <c r="EX1586" s="33" t="s">
        <v>3002</v>
      </c>
      <c r="EY1586" s="35" t="s">
        <v>1612</v>
      </c>
      <c r="EZ1586" s="36" t="s">
        <v>1613</v>
      </c>
      <c r="FA1586" s="36" t="s">
        <v>1192</v>
      </c>
      <c r="FB1586" s="36" t="s">
        <v>1611</v>
      </c>
      <c r="FC1586" s="36" t="s">
        <v>1192</v>
      </c>
      <c r="FD1586" s="36" t="s">
        <v>1611</v>
      </c>
      <c r="FE1586" s="36">
        <v>2026</v>
      </c>
      <c r="FF1586" s="36" t="s">
        <v>1109</v>
      </c>
      <c r="FG1586" s="36" t="s">
        <v>1584</v>
      </c>
      <c r="FJ1586" t="s">
        <v>1109</v>
      </c>
      <c r="FM1586" s="32" t="s">
        <v>685</v>
      </c>
      <c r="FN1586" t="s">
        <v>686</v>
      </c>
      <c r="FO1586" t="s">
        <v>687</v>
      </c>
      <c r="FP1586" t="str">
        <f t="shared" si="209"/>
        <v>B</v>
      </c>
    </row>
    <row r="1587" spans="153:172" x14ac:dyDescent="0.35">
      <c r="EW1587" t="s">
        <v>2339</v>
      </c>
      <c r="EX1587" s="33" t="s">
        <v>3003</v>
      </c>
      <c r="EY1587" s="35" t="s">
        <v>1614</v>
      </c>
      <c r="EZ1587" s="36" t="s">
        <v>1615</v>
      </c>
      <c r="FA1587" s="36" t="s">
        <v>1192</v>
      </c>
      <c r="FB1587" s="36" t="s">
        <v>1611</v>
      </c>
      <c r="FC1587" s="36" t="s">
        <v>1192</v>
      </c>
      <c r="FD1587" s="36" t="s">
        <v>1611</v>
      </c>
      <c r="FE1587" s="36">
        <v>2026</v>
      </c>
      <c r="FF1587" s="36" t="s">
        <v>1109</v>
      </c>
      <c r="FG1587" s="36" t="s">
        <v>1584</v>
      </c>
      <c r="FJ1587" t="s">
        <v>1109</v>
      </c>
      <c r="FM1587" s="32" t="s">
        <v>360</v>
      </c>
      <c r="FN1587" t="s">
        <v>361</v>
      </c>
      <c r="FO1587" t="s">
        <v>362</v>
      </c>
      <c r="FP1587" t="str">
        <f t="shared" si="209"/>
        <v>B</v>
      </c>
    </row>
    <row r="1588" spans="153:172" x14ac:dyDescent="0.35">
      <c r="EW1588" t="s">
        <v>2339</v>
      </c>
      <c r="EX1588" s="33" t="s">
        <v>3004</v>
      </c>
      <c r="EY1588" s="35" t="s">
        <v>1617</v>
      </c>
      <c r="EZ1588" s="36" t="s">
        <v>1618</v>
      </c>
      <c r="FA1588" s="36" t="s">
        <v>1192</v>
      </c>
      <c r="FB1588" s="36" t="s">
        <v>1611</v>
      </c>
      <c r="FC1588" s="36" t="s">
        <v>1192</v>
      </c>
      <c r="FD1588" s="36" t="s">
        <v>1611</v>
      </c>
      <c r="FE1588" s="36">
        <v>2026</v>
      </c>
      <c r="FF1588" s="36" t="s">
        <v>1109</v>
      </c>
      <c r="FG1588" s="36" t="s">
        <v>1584</v>
      </c>
      <c r="FJ1588" t="s">
        <v>1109</v>
      </c>
      <c r="FM1588" s="32" t="s">
        <v>1099</v>
      </c>
      <c r="FN1588" t="s">
        <v>1100</v>
      </c>
      <c r="FO1588" t="s">
        <v>1101</v>
      </c>
      <c r="FP1588" t="str">
        <f t="shared" si="209"/>
        <v>B</v>
      </c>
    </row>
    <row r="1589" spans="153:172" x14ac:dyDescent="0.35">
      <c r="EW1589" t="s">
        <v>2339</v>
      </c>
      <c r="EX1589" s="33" t="s">
        <v>3005</v>
      </c>
      <c r="EY1589" s="35" t="s">
        <v>1619</v>
      </c>
      <c r="EZ1589" s="36" t="s">
        <v>1620</v>
      </c>
      <c r="FA1589" s="36" t="s">
        <v>1192</v>
      </c>
      <c r="FB1589" s="36" t="s">
        <v>1611</v>
      </c>
      <c r="FC1589" s="36" t="s">
        <v>1192</v>
      </c>
      <c r="FD1589" s="36" t="s">
        <v>1611</v>
      </c>
      <c r="FE1589" s="36">
        <v>2026</v>
      </c>
      <c r="FF1589" s="36" t="s">
        <v>1109</v>
      </c>
      <c r="FG1589" s="36" t="s">
        <v>1584</v>
      </c>
      <c r="FJ1589" t="s">
        <v>1109</v>
      </c>
      <c r="FM1589" s="32" t="s">
        <v>88</v>
      </c>
      <c r="FN1589" t="s">
        <v>89</v>
      </c>
      <c r="FO1589" t="s">
        <v>90</v>
      </c>
      <c r="FP1589" t="str">
        <f t="shared" si="209"/>
        <v>B</v>
      </c>
    </row>
    <row r="1590" spans="153:172" x14ac:dyDescent="0.35">
      <c r="EW1590" t="s">
        <v>2339</v>
      </c>
      <c r="EX1590" s="33" t="s">
        <v>3006</v>
      </c>
      <c r="EY1590" s="35" t="s">
        <v>1622</v>
      </c>
      <c r="EZ1590" s="36" t="s">
        <v>1623</v>
      </c>
      <c r="FA1590" s="36" t="s">
        <v>1192</v>
      </c>
      <c r="FB1590" s="36" t="s">
        <v>1611</v>
      </c>
      <c r="FC1590" s="36" t="s">
        <v>1192</v>
      </c>
      <c r="FD1590" s="36" t="s">
        <v>1611</v>
      </c>
      <c r="FE1590" s="36">
        <v>2026</v>
      </c>
      <c r="FF1590" s="36" t="s">
        <v>1109</v>
      </c>
      <c r="FG1590" s="36" t="s">
        <v>1584</v>
      </c>
      <c r="FJ1590" t="s">
        <v>1109</v>
      </c>
      <c r="FM1590" s="32" t="s">
        <v>795</v>
      </c>
      <c r="FN1590" t="s">
        <v>796</v>
      </c>
      <c r="FO1590" t="s">
        <v>797</v>
      </c>
      <c r="FP1590" t="str">
        <f t="shared" si="209"/>
        <v>B</v>
      </c>
    </row>
    <row r="1591" spans="153:172" x14ac:dyDescent="0.35">
      <c r="EW1591" t="s">
        <v>2339</v>
      </c>
      <c r="EX1591" s="33" t="s">
        <v>3007</v>
      </c>
      <c r="EY1591" s="35" t="s">
        <v>1625</v>
      </c>
      <c r="EZ1591" s="36" t="s">
        <v>1626</v>
      </c>
      <c r="FA1591" s="36" t="s">
        <v>1192</v>
      </c>
      <c r="FB1591" s="36" t="s">
        <v>1611</v>
      </c>
      <c r="FC1591" s="36" t="s">
        <v>1192</v>
      </c>
      <c r="FD1591" s="36" t="s">
        <v>1611</v>
      </c>
      <c r="FE1591" s="36">
        <v>2026</v>
      </c>
      <c r="FF1591" s="36" t="s">
        <v>1109</v>
      </c>
      <c r="FG1591" s="36" t="s">
        <v>1584</v>
      </c>
      <c r="FJ1591" t="s">
        <v>1109</v>
      </c>
      <c r="FM1591" s="32" t="s">
        <v>868</v>
      </c>
      <c r="FN1591" t="s">
        <v>869</v>
      </c>
      <c r="FO1591" t="s">
        <v>870</v>
      </c>
      <c r="FP1591" t="str">
        <f t="shared" si="209"/>
        <v>B</v>
      </c>
    </row>
    <row r="1592" spans="153:172" x14ac:dyDescent="0.35">
      <c r="EW1592" t="s">
        <v>2339</v>
      </c>
      <c r="EX1592" s="33" t="s">
        <v>3008</v>
      </c>
      <c r="EY1592" s="35" t="s">
        <v>1629</v>
      </c>
      <c r="EZ1592" s="36" t="s">
        <v>1630</v>
      </c>
      <c r="FA1592" s="36" t="s">
        <v>1192</v>
      </c>
      <c r="FB1592" s="36" t="s">
        <v>1611</v>
      </c>
      <c r="FC1592" s="36" t="s">
        <v>1192</v>
      </c>
      <c r="FD1592" s="36" t="s">
        <v>1611</v>
      </c>
      <c r="FE1592" s="36">
        <v>2026</v>
      </c>
      <c r="FF1592" s="36" t="s">
        <v>1109</v>
      </c>
      <c r="FG1592" s="36" t="s">
        <v>1584</v>
      </c>
      <c r="FJ1592" t="s">
        <v>1109</v>
      </c>
      <c r="FM1592" s="32" t="s">
        <v>624</v>
      </c>
      <c r="FN1592" t="s">
        <v>625</v>
      </c>
      <c r="FO1592" t="s">
        <v>626</v>
      </c>
      <c r="FP1592" t="str">
        <f t="shared" si="209"/>
        <v>B</v>
      </c>
    </row>
    <row r="1593" spans="153:172" x14ac:dyDescent="0.35">
      <c r="EW1593" t="s">
        <v>2339</v>
      </c>
      <c r="EX1593" s="33" t="s">
        <v>3009</v>
      </c>
      <c r="EY1593" s="35" t="s">
        <v>1632</v>
      </c>
      <c r="EZ1593" s="36" t="s">
        <v>1633</v>
      </c>
      <c r="FA1593" s="36" t="s">
        <v>1192</v>
      </c>
      <c r="FB1593" s="36" t="s">
        <v>1611</v>
      </c>
      <c r="FC1593" s="36" t="s">
        <v>1192</v>
      </c>
      <c r="FD1593" s="36" t="s">
        <v>1611</v>
      </c>
      <c r="FE1593" s="36">
        <v>2026</v>
      </c>
      <c r="FF1593" s="36" t="s">
        <v>1109</v>
      </c>
      <c r="FG1593" s="36" t="s">
        <v>1584</v>
      </c>
      <c r="FJ1593" t="s">
        <v>1109</v>
      </c>
      <c r="FM1593" s="32" t="s">
        <v>1059</v>
      </c>
      <c r="FN1593" t="s">
        <v>1060</v>
      </c>
      <c r="FO1593" t="s">
        <v>1061</v>
      </c>
      <c r="FP1593" t="str">
        <f t="shared" si="209"/>
        <v>B</v>
      </c>
    </row>
    <row r="1594" spans="153:172" x14ac:dyDescent="0.35">
      <c r="EW1594" t="s">
        <v>2339</v>
      </c>
      <c r="EX1594" s="33" t="s">
        <v>3010</v>
      </c>
      <c r="EY1594" s="35" t="s">
        <v>1634</v>
      </c>
      <c r="EZ1594" s="36" t="s">
        <v>1635</v>
      </c>
      <c r="FA1594" s="36" t="s">
        <v>1192</v>
      </c>
      <c r="FB1594" s="36" t="s">
        <v>344</v>
      </c>
      <c r="FC1594" s="36" t="s">
        <v>1192</v>
      </c>
      <c r="FD1594" s="36" t="s">
        <v>344</v>
      </c>
      <c r="FE1594" s="36">
        <v>2026</v>
      </c>
      <c r="FF1594" s="36" t="s">
        <v>59</v>
      </c>
      <c r="FG1594" s="36" t="s">
        <v>1584</v>
      </c>
      <c r="FJ1594" t="s">
        <v>59</v>
      </c>
      <c r="FM1594" s="32" t="s">
        <v>784</v>
      </c>
      <c r="FN1594" t="s">
        <v>785</v>
      </c>
      <c r="FO1594" t="s">
        <v>786</v>
      </c>
      <c r="FP1594" t="str">
        <f t="shared" si="209"/>
        <v>B</v>
      </c>
    </row>
    <row r="1595" spans="153:172" x14ac:dyDescent="0.35">
      <c r="EW1595" t="s">
        <v>2339</v>
      </c>
      <c r="EX1595" s="33" t="s">
        <v>3011</v>
      </c>
      <c r="EY1595" s="35" t="s">
        <v>1637</v>
      </c>
      <c r="EZ1595" s="36" t="s">
        <v>1638</v>
      </c>
      <c r="FA1595" s="36" t="s">
        <v>1192</v>
      </c>
      <c r="FB1595" s="36" t="s">
        <v>344</v>
      </c>
      <c r="FC1595" s="36" t="s">
        <v>1192</v>
      </c>
      <c r="FD1595" s="36" t="s">
        <v>344</v>
      </c>
      <c r="FE1595" s="36">
        <v>2026</v>
      </c>
      <c r="FF1595" s="36" t="s">
        <v>59</v>
      </c>
      <c r="FG1595" s="36" t="s">
        <v>1584</v>
      </c>
      <c r="FJ1595" t="s">
        <v>59</v>
      </c>
      <c r="FM1595" s="32" t="s">
        <v>961</v>
      </c>
      <c r="FN1595" t="s">
        <v>962</v>
      </c>
      <c r="FO1595" t="s">
        <v>963</v>
      </c>
      <c r="FP1595" t="str">
        <f t="shared" si="209"/>
        <v>B</v>
      </c>
    </row>
    <row r="1596" spans="153:172" x14ac:dyDescent="0.35">
      <c r="EW1596" t="s">
        <v>2339</v>
      </c>
      <c r="EX1596" s="33" t="s">
        <v>3012</v>
      </c>
      <c r="EY1596" s="35" t="s">
        <v>1639</v>
      </c>
      <c r="EZ1596" s="36" t="s">
        <v>1640</v>
      </c>
      <c r="FA1596" s="36" t="s">
        <v>1192</v>
      </c>
      <c r="FB1596" s="36" t="s">
        <v>344</v>
      </c>
      <c r="FC1596" s="36" t="s">
        <v>1192</v>
      </c>
      <c r="FD1596" s="36" t="s">
        <v>344</v>
      </c>
      <c r="FE1596" s="36">
        <v>2026</v>
      </c>
      <c r="FF1596" s="36" t="s">
        <v>59</v>
      </c>
      <c r="FG1596" s="36" t="s">
        <v>1584</v>
      </c>
      <c r="FJ1596" t="s">
        <v>59</v>
      </c>
      <c r="FM1596" s="32" t="s">
        <v>2962</v>
      </c>
      <c r="FN1596" t="s">
        <v>2962</v>
      </c>
      <c r="FO1596" t="s">
        <v>2910</v>
      </c>
      <c r="FP1596" t="str">
        <f t="shared" si="209"/>
        <v>B</v>
      </c>
    </row>
    <row r="1597" spans="153:172" x14ac:dyDescent="0.35">
      <c r="EW1597" t="s">
        <v>2339</v>
      </c>
      <c r="EX1597" s="33" t="s">
        <v>3013</v>
      </c>
      <c r="EY1597" s="35" t="s">
        <v>1641</v>
      </c>
      <c r="EZ1597" s="36" t="s">
        <v>1642</v>
      </c>
      <c r="FA1597" s="36" t="s">
        <v>1192</v>
      </c>
      <c r="FB1597" s="36" t="s">
        <v>344</v>
      </c>
      <c r="FC1597" s="36" t="s">
        <v>1192</v>
      </c>
      <c r="FD1597" s="36" t="s">
        <v>344</v>
      </c>
      <c r="FE1597" s="36">
        <v>2026</v>
      </c>
      <c r="FF1597" s="36" t="s">
        <v>59</v>
      </c>
      <c r="FG1597" s="36" t="s">
        <v>1584</v>
      </c>
      <c r="FJ1597" t="s">
        <v>59</v>
      </c>
      <c r="FM1597" s="32" t="s">
        <v>604</v>
      </c>
      <c r="FN1597" t="s">
        <v>605</v>
      </c>
      <c r="FO1597" t="s">
        <v>606</v>
      </c>
      <c r="FP1597" t="str">
        <f t="shared" si="209"/>
        <v>B</v>
      </c>
    </row>
    <row r="1598" spans="153:172" x14ac:dyDescent="0.35">
      <c r="EW1598" t="s">
        <v>2339</v>
      </c>
      <c r="EX1598" s="33" t="s">
        <v>3014</v>
      </c>
      <c r="EY1598" s="35" t="s">
        <v>1643</v>
      </c>
      <c r="EZ1598" s="36" t="s">
        <v>1644</v>
      </c>
      <c r="FA1598" s="36" t="s">
        <v>1192</v>
      </c>
      <c r="FB1598" s="36" t="s">
        <v>344</v>
      </c>
      <c r="FC1598" s="36" t="s">
        <v>1192</v>
      </c>
      <c r="FD1598" s="36" t="s">
        <v>344</v>
      </c>
      <c r="FE1598" s="36">
        <v>2026</v>
      </c>
      <c r="FF1598" s="36" t="s">
        <v>59</v>
      </c>
      <c r="FG1598" s="36" t="s">
        <v>1584</v>
      </c>
      <c r="FJ1598" t="s">
        <v>59</v>
      </c>
      <c r="FM1598" s="32" t="s">
        <v>1034</v>
      </c>
      <c r="FN1598" t="s">
        <v>1035</v>
      </c>
      <c r="FO1598" t="s">
        <v>1036</v>
      </c>
      <c r="FP1598" t="str">
        <f t="shared" si="209"/>
        <v>B</v>
      </c>
    </row>
    <row r="1599" spans="153:172" x14ac:dyDescent="0.35">
      <c r="EW1599" t="s">
        <v>2339</v>
      </c>
      <c r="EX1599" s="33" t="s">
        <v>3015</v>
      </c>
      <c r="EY1599" s="35" t="s">
        <v>1645</v>
      </c>
      <c r="EZ1599" s="36" t="s">
        <v>1646</v>
      </c>
      <c r="FA1599" s="36" t="s">
        <v>1192</v>
      </c>
      <c r="FB1599" s="36" t="s">
        <v>344</v>
      </c>
      <c r="FC1599" s="36" t="s">
        <v>1192</v>
      </c>
      <c r="FD1599" s="36" t="s">
        <v>344</v>
      </c>
      <c r="FE1599" s="36">
        <v>2026</v>
      </c>
      <c r="FF1599" s="36" t="s">
        <v>59</v>
      </c>
      <c r="FG1599" s="36" t="s">
        <v>1584</v>
      </c>
      <c r="FJ1599" t="s">
        <v>59</v>
      </c>
      <c r="FM1599" s="32" t="s">
        <v>3016</v>
      </c>
      <c r="FN1599" t="s">
        <v>3016</v>
      </c>
      <c r="FO1599" t="s">
        <v>2881</v>
      </c>
      <c r="FP1599" t="str">
        <f t="shared" si="209"/>
        <v>B</v>
      </c>
    </row>
    <row r="1600" spans="153:172" x14ac:dyDescent="0.35">
      <c r="EW1600" t="s">
        <v>2339</v>
      </c>
      <c r="EX1600" s="33" t="s">
        <v>3017</v>
      </c>
      <c r="EY1600" s="35" t="s">
        <v>1648</v>
      </c>
      <c r="EZ1600" s="36" t="s">
        <v>1649</v>
      </c>
      <c r="FA1600" s="36" t="s">
        <v>1192</v>
      </c>
      <c r="FB1600" s="36" t="s">
        <v>344</v>
      </c>
      <c r="FC1600" s="36" t="s">
        <v>1192</v>
      </c>
      <c r="FD1600" s="36" t="s">
        <v>344</v>
      </c>
      <c r="FE1600" s="36">
        <v>2026</v>
      </c>
      <c r="FF1600" s="36" t="s">
        <v>59</v>
      </c>
      <c r="FG1600" s="36" t="s">
        <v>1584</v>
      </c>
      <c r="FJ1600" t="s">
        <v>59</v>
      </c>
      <c r="FM1600" s="32" t="s">
        <v>319</v>
      </c>
      <c r="FN1600" t="s">
        <v>320</v>
      </c>
      <c r="FO1600" t="s">
        <v>321</v>
      </c>
      <c r="FP1600" t="str">
        <f t="shared" si="209"/>
        <v>B</v>
      </c>
    </row>
    <row r="1601" spans="153:172" x14ac:dyDescent="0.35">
      <c r="EW1601" t="s">
        <v>2339</v>
      </c>
      <c r="EX1601" s="33" t="s">
        <v>3018</v>
      </c>
      <c r="EY1601" s="35" t="s">
        <v>1650</v>
      </c>
      <c r="EZ1601" s="36" t="s">
        <v>1651</v>
      </c>
      <c r="FA1601" s="36" t="s">
        <v>1192</v>
      </c>
      <c r="FB1601" s="36" t="s">
        <v>344</v>
      </c>
      <c r="FC1601" s="36" t="s">
        <v>1192</v>
      </c>
      <c r="FD1601" s="36" t="s">
        <v>344</v>
      </c>
      <c r="FE1601" s="36">
        <v>2026</v>
      </c>
      <c r="FF1601" s="36" t="s">
        <v>59</v>
      </c>
      <c r="FG1601" s="36" t="s">
        <v>1584</v>
      </c>
      <c r="FJ1601" t="s">
        <v>59</v>
      </c>
      <c r="FM1601" s="32" t="s">
        <v>451</v>
      </c>
      <c r="FN1601" t="s">
        <v>452</v>
      </c>
      <c r="FO1601" t="s">
        <v>453</v>
      </c>
      <c r="FP1601" t="str">
        <f t="shared" ref="FP1601:FP1664" si="210">VLOOKUP(FO1601,EX:FF,9,0)</f>
        <v>B</v>
      </c>
    </row>
    <row r="1602" spans="153:172" x14ac:dyDescent="0.35">
      <c r="EW1602" t="s">
        <v>2339</v>
      </c>
      <c r="EX1602" s="33" t="s">
        <v>3019</v>
      </c>
      <c r="EY1602" s="35" t="s">
        <v>1652</v>
      </c>
      <c r="EZ1602" s="36" t="s">
        <v>1653</v>
      </c>
      <c r="FA1602" s="36" t="s">
        <v>1192</v>
      </c>
      <c r="FB1602" s="36" t="s">
        <v>344</v>
      </c>
      <c r="FC1602" s="36" t="s">
        <v>1192</v>
      </c>
      <c r="FD1602" s="36" t="s">
        <v>344</v>
      </c>
      <c r="FE1602" s="36">
        <v>2026</v>
      </c>
      <c r="FF1602" s="36" t="s">
        <v>59</v>
      </c>
      <c r="FG1602" s="36" t="s">
        <v>1584</v>
      </c>
      <c r="FJ1602" t="s">
        <v>59</v>
      </c>
      <c r="FM1602" s="32" t="s">
        <v>484</v>
      </c>
      <c r="FN1602" t="s">
        <v>485</v>
      </c>
      <c r="FO1602" t="s">
        <v>486</v>
      </c>
      <c r="FP1602" t="str">
        <f t="shared" si="210"/>
        <v>B</v>
      </c>
    </row>
    <row r="1603" spans="153:172" x14ac:dyDescent="0.35">
      <c r="EW1603" t="s">
        <v>2339</v>
      </c>
      <c r="EX1603" s="33" t="s">
        <v>3020</v>
      </c>
      <c r="EY1603" s="35" t="s">
        <v>1654</v>
      </c>
      <c r="EZ1603" s="36" t="s">
        <v>1655</v>
      </c>
      <c r="FA1603" s="36" t="s">
        <v>1192</v>
      </c>
      <c r="FB1603" s="36" t="s">
        <v>344</v>
      </c>
      <c r="FC1603" s="36" t="s">
        <v>1192</v>
      </c>
      <c r="FD1603" s="36" t="s">
        <v>344</v>
      </c>
      <c r="FE1603" s="36">
        <v>2026</v>
      </c>
      <c r="FF1603" s="36" t="s">
        <v>59</v>
      </c>
      <c r="FG1603" s="36" t="s">
        <v>1584</v>
      </c>
      <c r="FJ1603" t="s">
        <v>59</v>
      </c>
      <c r="FM1603" s="32" t="s">
        <v>162</v>
      </c>
      <c r="FN1603" t="s">
        <v>163</v>
      </c>
      <c r="FO1603" t="s">
        <v>164</v>
      </c>
      <c r="FP1603" t="str">
        <f t="shared" si="210"/>
        <v>B</v>
      </c>
    </row>
    <row r="1604" spans="153:172" x14ac:dyDescent="0.35">
      <c r="EW1604" t="s">
        <v>2339</v>
      </c>
      <c r="EX1604" s="33" t="s">
        <v>3021</v>
      </c>
      <c r="EY1604" s="35" t="s">
        <v>1657</v>
      </c>
      <c r="EZ1604" s="36" t="s">
        <v>1658</v>
      </c>
      <c r="FA1604" s="36" t="s">
        <v>1192</v>
      </c>
      <c r="FB1604" s="36" t="s">
        <v>344</v>
      </c>
      <c r="FC1604" s="36" t="s">
        <v>1192</v>
      </c>
      <c r="FD1604" s="36" t="s">
        <v>344</v>
      </c>
      <c r="FE1604" s="36">
        <v>2026</v>
      </c>
      <c r="FF1604" s="36" t="s">
        <v>59</v>
      </c>
      <c r="FG1604" s="36" t="s">
        <v>1584</v>
      </c>
      <c r="FJ1604" t="s">
        <v>59</v>
      </c>
      <c r="FM1604" s="32" t="s">
        <v>88</v>
      </c>
      <c r="FN1604" t="s">
        <v>89</v>
      </c>
      <c r="FO1604" t="s">
        <v>90</v>
      </c>
      <c r="FP1604" t="str">
        <f t="shared" si="210"/>
        <v>B</v>
      </c>
    </row>
    <row r="1605" spans="153:172" x14ac:dyDescent="0.35">
      <c r="EW1605" t="s">
        <v>2339</v>
      </c>
      <c r="EX1605" s="33" t="s">
        <v>3022</v>
      </c>
      <c r="EY1605" s="35" t="s">
        <v>1659</v>
      </c>
      <c r="EZ1605" s="36" t="s">
        <v>1660</v>
      </c>
      <c r="FA1605" s="36" t="s">
        <v>1192</v>
      </c>
      <c r="FB1605" s="36" t="s">
        <v>344</v>
      </c>
      <c r="FC1605" s="36" t="s">
        <v>1192</v>
      </c>
      <c r="FD1605" s="36" t="s">
        <v>344</v>
      </c>
      <c r="FE1605" s="36">
        <v>2026</v>
      </c>
      <c r="FF1605" s="36" t="s">
        <v>59</v>
      </c>
      <c r="FG1605" s="36" t="s">
        <v>1584</v>
      </c>
      <c r="FJ1605" t="s">
        <v>59</v>
      </c>
      <c r="FM1605" s="32" t="s">
        <v>547</v>
      </c>
      <c r="FN1605" t="s">
        <v>548</v>
      </c>
      <c r="FO1605" t="s">
        <v>549</v>
      </c>
      <c r="FP1605" t="str">
        <f t="shared" si="210"/>
        <v>B</v>
      </c>
    </row>
    <row r="1606" spans="153:172" x14ac:dyDescent="0.35">
      <c r="EW1606" t="s">
        <v>2339</v>
      </c>
      <c r="EX1606" s="33" t="s">
        <v>3023</v>
      </c>
      <c r="EY1606" s="35" t="s">
        <v>1661</v>
      </c>
      <c r="EZ1606" s="36" t="s">
        <v>1662</v>
      </c>
      <c r="FA1606" s="36" t="s">
        <v>1192</v>
      </c>
      <c r="FB1606" s="36" t="s">
        <v>344</v>
      </c>
      <c r="FC1606" s="36" t="s">
        <v>1192</v>
      </c>
      <c r="FD1606" s="36" t="s">
        <v>344</v>
      </c>
      <c r="FE1606" s="36">
        <v>2026</v>
      </c>
      <c r="FF1606" s="36" t="s">
        <v>59</v>
      </c>
      <c r="FG1606" s="36" t="s">
        <v>1584</v>
      </c>
      <c r="FJ1606" t="s">
        <v>59</v>
      </c>
      <c r="FM1606" s="32" t="s">
        <v>868</v>
      </c>
      <c r="FN1606" t="s">
        <v>869</v>
      </c>
      <c r="FO1606" t="s">
        <v>870</v>
      </c>
      <c r="FP1606" t="str">
        <f t="shared" si="210"/>
        <v>B</v>
      </c>
    </row>
    <row r="1607" spans="153:172" x14ac:dyDescent="0.35">
      <c r="EW1607" t="s">
        <v>2339</v>
      </c>
      <c r="EX1607" s="33" t="s">
        <v>3024</v>
      </c>
      <c r="EY1607" s="35" t="s">
        <v>1663</v>
      </c>
      <c r="EZ1607" s="36" t="s">
        <v>1664</v>
      </c>
      <c r="FA1607" s="36" t="s">
        <v>1192</v>
      </c>
      <c r="FB1607" s="36" t="s">
        <v>344</v>
      </c>
      <c r="FC1607" s="36" t="s">
        <v>1192</v>
      </c>
      <c r="FD1607" s="36" t="s">
        <v>344</v>
      </c>
      <c r="FE1607" s="36">
        <v>2026</v>
      </c>
      <c r="FF1607" s="36" t="s">
        <v>59</v>
      </c>
      <c r="FG1607" s="36" t="s">
        <v>1584</v>
      </c>
      <c r="FJ1607" t="s">
        <v>59</v>
      </c>
      <c r="FM1607" s="32" t="s">
        <v>1059</v>
      </c>
      <c r="FN1607" t="s">
        <v>1060</v>
      </c>
      <c r="FO1607" t="s">
        <v>1061</v>
      </c>
      <c r="FP1607" t="str">
        <f t="shared" si="210"/>
        <v>B</v>
      </c>
    </row>
    <row r="1608" spans="153:172" x14ac:dyDescent="0.35">
      <c r="EW1608" t="s">
        <v>2339</v>
      </c>
      <c r="EX1608" s="33" t="s">
        <v>3025</v>
      </c>
      <c r="EY1608" s="35" t="s">
        <v>1665</v>
      </c>
      <c r="EZ1608" s="36" t="s">
        <v>1666</v>
      </c>
      <c r="FA1608" s="36" t="s">
        <v>1192</v>
      </c>
      <c r="FB1608" s="36" t="s">
        <v>344</v>
      </c>
      <c r="FC1608" s="36" t="s">
        <v>1192</v>
      </c>
      <c r="FD1608" s="36" t="s">
        <v>344</v>
      </c>
      <c r="FE1608" s="36">
        <v>2026</v>
      </c>
      <c r="FF1608" s="36" t="s">
        <v>59</v>
      </c>
      <c r="FG1608" s="36" t="s">
        <v>1584</v>
      </c>
      <c r="FJ1608" t="s">
        <v>59</v>
      </c>
      <c r="FM1608" s="32" t="s">
        <v>258</v>
      </c>
      <c r="FN1608" t="s">
        <v>259</v>
      </c>
      <c r="FO1608" t="s">
        <v>260</v>
      </c>
      <c r="FP1608" t="str">
        <f t="shared" si="210"/>
        <v>B</v>
      </c>
    </row>
    <row r="1609" spans="153:172" x14ac:dyDescent="0.35">
      <c r="EW1609" t="s">
        <v>2339</v>
      </c>
      <c r="EX1609" s="33" t="s">
        <v>3026</v>
      </c>
      <c r="EY1609" s="35" t="s">
        <v>1667</v>
      </c>
      <c r="EZ1609" s="36" t="s">
        <v>1668</v>
      </c>
      <c r="FA1609" s="36" t="s">
        <v>1192</v>
      </c>
      <c r="FB1609" s="36" t="s">
        <v>344</v>
      </c>
      <c r="FC1609" s="36" t="s">
        <v>1192</v>
      </c>
      <c r="FD1609" s="36" t="s">
        <v>344</v>
      </c>
      <c r="FE1609" s="36">
        <v>2026</v>
      </c>
      <c r="FF1609" s="36" t="s">
        <v>59</v>
      </c>
      <c r="FG1609" s="36" t="s">
        <v>1584</v>
      </c>
      <c r="FJ1609" t="s">
        <v>59</v>
      </c>
      <c r="FM1609" s="32" t="s">
        <v>2962</v>
      </c>
      <c r="FN1609" t="s">
        <v>2962</v>
      </c>
      <c r="FO1609" t="s">
        <v>2910</v>
      </c>
      <c r="FP1609" t="str">
        <f t="shared" si="210"/>
        <v>B</v>
      </c>
    </row>
    <row r="1610" spans="153:172" x14ac:dyDescent="0.35">
      <c r="EW1610" t="s">
        <v>2339</v>
      </c>
      <c r="EX1610" s="33" t="s">
        <v>3027</v>
      </c>
      <c r="EY1610" s="35" t="s">
        <v>1669</v>
      </c>
      <c r="EZ1610" s="36" t="s">
        <v>1670</v>
      </c>
      <c r="FA1610" s="36" t="s">
        <v>1192</v>
      </c>
      <c r="FB1610" s="36" t="s">
        <v>344</v>
      </c>
      <c r="FC1610" s="36" t="s">
        <v>1192</v>
      </c>
      <c r="FD1610" s="36" t="s">
        <v>344</v>
      </c>
      <c r="FE1610" s="36">
        <v>2026</v>
      </c>
      <c r="FF1610" s="36" t="s">
        <v>59</v>
      </c>
      <c r="FG1610" s="36" t="s">
        <v>1584</v>
      </c>
      <c r="FJ1610" t="s">
        <v>59</v>
      </c>
      <c r="FM1610" s="32" t="s">
        <v>1034</v>
      </c>
      <c r="FN1610" t="s">
        <v>1035</v>
      </c>
      <c r="FO1610" t="s">
        <v>1036</v>
      </c>
      <c r="FP1610" t="str">
        <f t="shared" si="210"/>
        <v>B</v>
      </c>
    </row>
    <row r="1611" spans="153:172" x14ac:dyDescent="0.35">
      <c r="EW1611" t="s">
        <v>2339</v>
      </c>
      <c r="EX1611" s="33" t="s">
        <v>3028</v>
      </c>
      <c r="EY1611" s="35" t="s">
        <v>1671</v>
      </c>
      <c r="EZ1611" s="36" t="s">
        <v>1672</v>
      </c>
      <c r="FA1611" s="36" t="s">
        <v>1192</v>
      </c>
      <c r="FB1611" s="36" t="s">
        <v>344</v>
      </c>
      <c r="FC1611" s="36" t="s">
        <v>1192</v>
      </c>
      <c r="FD1611" s="36" t="s">
        <v>344</v>
      </c>
      <c r="FE1611" s="36">
        <v>2026</v>
      </c>
      <c r="FF1611" s="36" t="s">
        <v>59</v>
      </c>
      <c r="FG1611" s="36" t="s">
        <v>1584</v>
      </c>
      <c r="FJ1611" t="s">
        <v>59</v>
      </c>
      <c r="FM1611" s="32" t="s">
        <v>749</v>
      </c>
      <c r="FN1611" t="s">
        <v>750</v>
      </c>
      <c r="FO1611" t="s">
        <v>751</v>
      </c>
      <c r="FP1611" t="str">
        <f t="shared" si="210"/>
        <v>B</v>
      </c>
    </row>
    <row r="1612" spans="153:172" x14ac:dyDescent="0.35">
      <c r="EW1612" t="s">
        <v>2339</v>
      </c>
      <c r="EX1612" s="33" t="s">
        <v>3029</v>
      </c>
      <c r="EY1612" s="35" t="s">
        <v>1673</v>
      </c>
      <c r="EZ1612" s="36" t="s">
        <v>1674</v>
      </c>
      <c r="FA1612" s="36" t="s">
        <v>1192</v>
      </c>
      <c r="FB1612" s="36" t="s">
        <v>344</v>
      </c>
      <c r="FC1612" s="36" t="s">
        <v>1192</v>
      </c>
      <c r="FD1612" s="36" t="s">
        <v>344</v>
      </c>
      <c r="FE1612" s="36">
        <v>2026</v>
      </c>
      <c r="FF1612" s="36" t="s">
        <v>59</v>
      </c>
      <c r="FG1612" s="36" t="s">
        <v>1584</v>
      </c>
      <c r="FJ1612" t="s">
        <v>59</v>
      </c>
      <c r="FM1612" s="32" t="s">
        <v>2980</v>
      </c>
      <c r="FN1612" t="s">
        <v>2980</v>
      </c>
      <c r="FO1612" t="s">
        <v>2882</v>
      </c>
      <c r="FP1612" t="str">
        <f t="shared" si="210"/>
        <v>B</v>
      </c>
    </row>
    <row r="1613" spans="153:172" x14ac:dyDescent="0.35">
      <c r="EW1613" t="s">
        <v>2339</v>
      </c>
      <c r="EX1613" s="33" t="s">
        <v>3030</v>
      </c>
      <c r="EY1613" s="35" t="s">
        <v>1676</v>
      </c>
      <c r="EZ1613" s="36" t="s">
        <v>1677</v>
      </c>
      <c r="FA1613" s="36" t="s">
        <v>1192</v>
      </c>
      <c r="FB1613" s="36" t="s">
        <v>344</v>
      </c>
      <c r="FC1613" s="36" t="s">
        <v>1192</v>
      </c>
      <c r="FD1613" s="36" t="s">
        <v>344</v>
      </c>
      <c r="FE1613" s="36">
        <v>2026</v>
      </c>
      <c r="FF1613" s="36" t="s">
        <v>59</v>
      </c>
      <c r="FG1613" s="36" t="s">
        <v>1584</v>
      </c>
      <c r="FJ1613" t="s">
        <v>59</v>
      </c>
      <c r="FM1613" s="32" t="s">
        <v>162</v>
      </c>
      <c r="FN1613" t="s">
        <v>163</v>
      </c>
      <c r="FO1613" t="s">
        <v>164</v>
      </c>
      <c r="FP1613" t="str">
        <f t="shared" si="210"/>
        <v>B</v>
      </c>
    </row>
    <row r="1614" spans="153:172" x14ac:dyDescent="0.35">
      <c r="EW1614" t="s">
        <v>2339</v>
      </c>
      <c r="EX1614" s="33" t="s">
        <v>3031</v>
      </c>
      <c r="EY1614" s="35" t="s">
        <v>1678</v>
      </c>
      <c r="EZ1614" s="36" t="s">
        <v>1679</v>
      </c>
      <c r="FA1614" s="36" t="s">
        <v>1192</v>
      </c>
      <c r="FB1614" s="36" t="s">
        <v>344</v>
      </c>
      <c r="FC1614" s="36" t="s">
        <v>1192</v>
      </c>
      <c r="FD1614" s="36" t="s">
        <v>344</v>
      </c>
      <c r="FE1614" s="36">
        <v>2026</v>
      </c>
      <c r="FF1614" s="36" t="s">
        <v>59</v>
      </c>
      <c r="FG1614" s="36" t="s">
        <v>1584</v>
      </c>
      <c r="FJ1614" t="s">
        <v>59</v>
      </c>
      <c r="FM1614" s="32" t="s">
        <v>484</v>
      </c>
      <c r="FN1614" t="s">
        <v>485</v>
      </c>
      <c r="FO1614" t="s">
        <v>486</v>
      </c>
      <c r="FP1614" t="str">
        <f t="shared" si="210"/>
        <v>B</v>
      </c>
    </row>
    <row r="1615" spans="153:172" x14ac:dyDescent="0.35">
      <c r="EW1615" t="s">
        <v>2339</v>
      </c>
      <c r="EX1615" s="33" t="s">
        <v>3032</v>
      </c>
      <c r="EY1615" s="35" t="s">
        <v>1680</v>
      </c>
      <c r="EZ1615" s="36" t="s">
        <v>1681</v>
      </c>
      <c r="FA1615" s="36" t="s">
        <v>1192</v>
      </c>
      <c r="FB1615" s="36" t="s">
        <v>344</v>
      </c>
      <c r="FC1615" s="36" t="s">
        <v>1192</v>
      </c>
      <c r="FD1615" s="36" t="s">
        <v>344</v>
      </c>
      <c r="FE1615" s="36">
        <v>2026</v>
      </c>
      <c r="FF1615" s="36" t="s">
        <v>59</v>
      </c>
      <c r="FG1615" s="36" t="s">
        <v>1584</v>
      </c>
      <c r="FJ1615" t="s">
        <v>59</v>
      </c>
      <c r="FM1615" s="32" t="s">
        <v>107</v>
      </c>
      <c r="FN1615" t="s">
        <v>108</v>
      </c>
      <c r="FO1615" t="s">
        <v>109</v>
      </c>
      <c r="FP1615" t="str">
        <f t="shared" si="210"/>
        <v>B</v>
      </c>
    </row>
    <row r="1616" spans="153:172" x14ac:dyDescent="0.35">
      <c r="EW1616" t="s">
        <v>2339</v>
      </c>
      <c r="EX1616" s="33" t="s">
        <v>3033</v>
      </c>
      <c r="EY1616" s="35" t="s">
        <v>1682</v>
      </c>
      <c r="EZ1616" s="36" t="s">
        <v>1683</v>
      </c>
      <c r="FA1616" s="36" t="s">
        <v>1192</v>
      </c>
      <c r="FB1616" s="36" t="s">
        <v>344</v>
      </c>
      <c r="FC1616" s="36" t="s">
        <v>1192</v>
      </c>
      <c r="FD1616" s="36" t="s">
        <v>344</v>
      </c>
      <c r="FE1616" s="36">
        <v>2026</v>
      </c>
      <c r="FF1616" s="36" t="s">
        <v>59</v>
      </c>
      <c r="FG1616" s="36" t="s">
        <v>1584</v>
      </c>
      <c r="FJ1616" t="s">
        <v>59</v>
      </c>
      <c r="FM1616" s="32" t="s">
        <v>66</v>
      </c>
      <c r="FN1616" t="s">
        <v>67</v>
      </c>
      <c r="FO1616" t="s">
        <v>68</v>
      </c>
      <c r="FP1616" t="str">
        <f t="shared" si="210"/>
        <v>B</v>
      </c>
    </row>
    <row r="1617" spans="153:172" x14ac:dyDescent="0.35">
      <c r="EW1617" t="s">
        <v>2339</v>
      </c>
      <c r="EX1617" s="33" t="s">
        <v>3034</v>
      </c>
      <c r="EY1617" s="35" t="s">
        <v>1684</v>
      </c>
      <c r="EZ1617" s="36" t="s">
        <v>1685</v>
      </c>
      <c r="FA1617" s="36" t="s">
        <v>1192</v>
      </c>
      <c r="FB1617" s="36" t="s">
        <v>344</v>
      </c>
      <c r="FC1617" s="36" t="s">
        <v>1192</v>
      </c>
      <c r="FD1617" s="36" t="s">
        <v>344</v>
      </c>
      <c r="FE1617" s="36">
        <v>2026</v>
      </c>
      <c r="FF1617" s="36" t="s">
        <v>59</v>
      </c>
      <c r="FG1617" s="36" t="s">
        <v>1584</v>
      </c>
      <c r="FJ1617" t="s">
        <v>59</v>
      </c>
      <c r="FM1617" s="32" t="s">
        <v>961</v>
      </c>
      <c r="FN1617" t="s">
        <v>962</v>
      </c>
      <c r="FO1617" t="s">
        <v>963</v>
      </c>
      <c r="FP1617" t="str">
        <f t="shared" si="210"/>
        <v>B</v>
      </c>
    </row>
    <row r="1618" spans="153:172" x14ac:dyDescent="0.35">
      <c r="EW1618" t="s">
        <v>2339</v>
      </c>
      <c r="EX1618" s="33" t="s">
        <v>3035</v>
      </c>
      <c r="EY1618" s="35" t="s">
        <v>1686</v>
      </c>
      <c r="EZ1618" s="36" t="s">
        <v>1687</v>
      </c>
      <c r="FA1618" s="36" t="s">
        <v>1192</v>
      </c>
      <c r="FB1618" s="36" t="s">
        <v>344</v>
      </c>
      <c r="FC1618" s="36" t="s">
        <v>1192</v>
      </c>
      <c r="FD1618" s="36" t="s">
        <v>344</v>
      </c>
      <c r="FE1618" s="36">
        <v>2026</v>
      </c>
      <c r="FF1618" s="36" t="s">
        <v>59</v>
      </c>
      <c r="FG1618" s="36" t="s">
        <v>1584</v>
      </c>
      <c r="FJ1618" t="s">
        <v>59</v>
      </c>
      <c r="FM1618" s="32" t="s">
        <v>670</v>
      </c>
      <c r="FN1618" t="s">
        <v>671</v>
      </c>
      <c r="FO1618" t="s">
        <v>672</v>
      </c>
      <c r="FP1618" t="str">
        <f t="shared" si="210"/>
        <v>B</v>
      </c>
    </row>
    <row r="1619" spans="153:172" x14ac:dyDescent="0.35">
      <c r="EW1619" t="s">
        <v>2339</v>
      </c>
      <c r="EX1619" s="33" t="s">
        <v>3036</v>
      </c>
      <c r="EY1619" s="35" t="s">
        <v>1688</v>
      </c>
      <c r="EZ1619" s="36" t="s">
        <v>1689</v>
      </c>
      <c r="FA1619" s="36" t="s">
        <v>1192</v>
      </c>
      <c r="FB1619" s="36" t="s">
        <v>344</v>
      </c>
      <c r="FC1619" s="36" t="s">
        <v>1192</v>
      </c>
      <c r="FD1619" s="36" t="s">
        <v>344</v>
      </c>
      <c r="FE1619" s="36">
        <v>2026</v>
      </c>
      <c r="FF1619" s="36" t="s">
        <v>59</v>
      </c>
      <c r="FG1619" s="36" t="s">
        <v>1584</v>
      </c>
      <c r="FJ1619" t="s">
        <v>59</v>
      </c>
      <c r="FM1619" s="32" t="s">
        <v>3016</v>
      </c>
      <c r="FN1619" t="s">
        <v>3016</v>
      </c>
      <c r="FO1619" t="s">
        <v>2881</v>
      </c>
      <c r="FP1619" t="str">
        <f t="shared" si="210"/>
        <v>B</v>
      </c>
    </row>
    <row r="1620" spans="153:172" x14ac:dyDescent="0.35">
      <c r="EW1620" t="s">
        <v>2339</v>
      </c>
      <c r="EX1620" s="33" t="s">
        <v>3037</v>
      </c>
      <c r="EY1620" s="35" t="s">
        <v>1690</v>
      </c>
      <c r="EZ1620" s="36" t="s">
        <v>1691</v>
      </c>
      <c r="FA1620" s="36" t="s">
        <v>1192</v>
      </c>
      <c r="FB1620" s="36" t="s">
        <v>344</v>
      </c>
      <c r="FC1620" s="36" t="s">
        <v>1192</v>
      </c>
      <c r="FD1620" s="36" t="s">
        <v>344</v>
      </c>
      <c r="FE1620" s="36">
        <v>2026</v>
      </c>
      <c r="FF1620" s="36" t="s">
        <v>59</v>
      </c>
      <c r="FG1620" s="36" t="s">
        <v>1584</v>
      </c>
      <c r="FJ1620" t="s">
        <v>59</v>
      </c>
      <c r="FM1620" s="32" t="s">
        <v>451</v>
      </c>
      <c r="FN1620" t="s">
        <v>452</v>
      </c>
      <c r="FO1620" t="s">
        <v>453</v>
      </c>
      <c r="FP1620" t="str">
        <f t="shared" si="210"/>
        <v>B</v>
      </c>
    </row>
    <row r="1621" spans="153:172" x14ac:dyDescent="0.35">
      <c r="EW1621" t="s">
        <v>2339</v>
      </c>
      <c r="EX1621" s="33" t="s">
        <v>3038</v>
      </c>
      <c r="EY1621" s="35" t="s">
        <v>1692</v>
      </c>
      <c r="EZ1621" s="36" t="s">
        <v>1693</v>
      </c>
      <c r="FA1621" s="36" t="s">
        <v>1192</v>
      </c>
      <c r="FB1621" s="36" t="s">
        <v>344</v>
      </c>
      <c r="FC1621" s="36" t="s">
        <v>1192</v>
      </c>
      <c r="FD1621" s="36" t="s">
        <v>344</v>
      </c>
      <c r="FE1621" s="36">
        <v>2026</v>
      </c>
      <c r="FF1621" s="36" t="s">
        <v>59</v>
      </c>
      <c r="FG1621" s="36" t="s">
        <v>1584</v>
      </c>
      <c r="FJ1621" t="s">
        <v>59</v>
      </c>
      <c r="FM1621" s="32" t="s">
        <v>396</v>
      </c>
      <c r="FN1621" t="s">
        <v>397</v>
      </c>
      <c r="FO1621" t="s">
        <v>398</v>
      </c>
      <c r="FP1621" t="str">
        <f t="shared" si="210"/>
        <v>B</v>
      </c>
    </row>
    <row r="1622" spans="153:172" x14ac:dyDescent="0.35">
      <c r="EW1622" t="s">
        <v>2339</v>
      </c>
      <c r="EX1622" s="33" t="s">
        <v>3039</v>
      </c>
      <c r="EY1622" s="35" t="s">
        <v>1694</v>
      </c>
      <c r="EZ1622" s="36" t="s">
        <v>1695</v>
      </c>
      <c r="FA1622" s="36" t="s">
        <v>1192</v>
      </c>
      <c r="FB1622" s="36" t="s">
        <v>344</v>
      </c>
      <c r="FC1622" s="36" t="s">
        <v>1192</v>
      </c>
      <c r="FD1622" s="36" t="s">
        <v>344</v>
      </c>
      <c r="FE1622" s="36">
        <v>2026</v>
      </c>
      <c r="FF1622" s="36" t="s">
        <v>59</v>
      </c>
      <c r="FG1622" s="36" t="s">
        <v>1584</v>
      </c>
      <c r="FJ1622" t="s">
        <v>59</v>
      </c>
      <c r="FM1622" s="32" t="s">
        <v>855</v>
      </c>
      <c r="FN1622" t="s">
        <v>856</v>
      </c>
      <c r="FO1622" t="s">
        <v>857</v>
      </c>
      <c r="FP1622" t="str">
        <f t="shared" si="210"/>
        <v>B</v>
      </c>
    </row>
    <row r="1623" spans="153:172" x14ac:dyDescent="0.35">
      <c r="EW1623" t="s">
        <v>2339</v>
      </c>
      <c r="EX1623" s="33" t="s">
        <v>3040</v>
      </c>
      <c r="EY1623" s="35" t="s">
        <v>1696</v>
      </c>
      <c r="EZ1623" s="36" t="s">
        <v>1697</v>
      </c>
      <c r="FA1623" s="36" t="s">
        <v>1192</v>
      </c>
      <c r="FB1623" s="36" t="s">
        <v>344</v>
      </c>
      <c r="FC1623" s="36" t="s">
        <v>1192</v>
      </c>
      <c r="FD1623" s="36" t="s">
        <v>344</v>
      </c>
      <c r="FE1623" s="36">
        <v>2026</v>
      </c>
      <c r="FF1623" s="36" t="s">
        <v>59</v>
      </c>
      <c r="FG1623" s="36" t="s">
        <v>1584</v>
      </c>
      <c r="FJ1623" t="s">
        <v>59</v>
      </c>
      <c r="FM1623" s="32" t="s">
        <v>868</v>
      </c>
      <c r="FN1623" t="s">
        <v>869</v>
      </c>
      <c r="FO1623" t="s">
        <v>870</v>
      </c>
      <c r="FP1623" t="str">
        <f t="shared" si="210"/>
        <v>B</v>
      </c>
    </row>
    <row r="1624" spans="153:172" x14ac:dyDescent="0.35">
      <c r="EW1624" t="s">
        <v>2339</v>
      </c>
      <c r="EX1624" s="33" t="s">
        <v>3041</v>
      </c>
      <c r="EY1624" s="35" t="s">
        <v>1698</v>
      </c>
      <c r="EZ1624" s="36" t="s">
        <v>1699</v>
      </c>
      <c r="FA1624" s="36" t="s">
        <v>1192</v>
      </c>
      <c r="FB1624" s="36" t="s">
        <v>344</v>
      </c>
      <c r="FC1624" s="36" t="s">
        <v>1192</v>
      </c>
      <c r="FD1624" s="36" t="s">
        <v>344</v>
      </c>
      <c r="FE1624" s="36">
        <v>2026</v>
      </c>
      <c r="FF1624" s="36" t="s">
        <v>59</v>
      </c>
      <c r="FG1624" s="36" t="s">
        <v>1584</v>
      </c>
      <c r="FJ1624" t="s">
        <v>59</v>
      </c>
      <c r="FM1624" s="32" t="s">
        <v>735</v>
      </c>
      <c r="FN1624" t="s">
        <v>736</v>
      </c>
      <c r="FO1624" t="s">
        <v>737</v>
      </c>
      <c r="FP1624" t="str">
        <f t="shared" si="210"/>
        <v>B</v>
      </c>
    </row>
    <row r="1625" spans="153:172" x14ac:dyDescent="0.35">
      <c r="EW1625" t="s">
        <v>2339</v>
      </c>
      <c r="EX1625" s="33" t="s">
        <v>3042</v>
      </c>
      <c r="EY1625" s="35" t="s">
        <v>1700</v>
      </c>
      <c r="EZ1625" s="36" t="s">
        <v>1701</v>
      </c>
      <c r="FA1625" s="36" t="s">
        <v>1192</v>
      </c>
      <c r="FB1625" s="36" t="s">
        <v>344</v>
      </c>
      <c r="FC1625" s="36" t="s">
        <v>1192</v>
      </c>
      <c r="FD1625" s="36" t="s">
        <v>344</v>
      </c>
      <c r="FE1625" s="36">
        <v>2026</v>
      </c>
      <c r="FF1625" s="36" t="s">
        <v>59</v>
      </c>
      <c r="FG1625" s="36" t="s">
        <v>1584</v>
      </c>
      <c r="FJ1625" t="s">
        <v>59</v>
      </c>
      <c r="FM1625" s="32" t="s">
        <v>226</v>
      </c>
      <c r="FN1625" t="s">
        <v>227</v>
      </c>
      <c r="FO1625" t="s">
        <v>228</v>
      </c>
      <c r="FP1625" t="str">
        <f t="shared" si="210"/>
        <v>B</v>
      </c>
    </row>
    <row r="1626" spans="153:172" x14ac:dyDescent="0.35">
      <c r="EW1626" t="s">
        <v>2339</v>
      </c>
      <c r="EX1626" s="33" t="s">
        <v>3043</v>
      </c>
      <c r="EY1626" s="35" t="s">
        <v>1702</v>
      </c>
      <c r="EZ1626" s="36" t="s">
        <v>1703</v>
      </c>
      <c r="FA1626" s="36" t="s">
        <v>1192</v>
      </c>
      <c r="FB1626" s="36" t="s">
        <v>344</v>
      </c>
      <c r="FC1626" s="36" t="s">
        <v>1192</v>
      </c>
      <c r="FD1626" s="36" t="s">
        <v>344</v>
      </c>
      <c r="FE1626" s="36">
        <v>2026</v>
      </c>
      <c r="FF1626" s="36" t="s">
        <v>59</v>
      </c>
      <c r="FG1626" s="36" t="s">
        <v>1584</v>
      </c>
      <c r="FJ1626" t="s">
        <v>59</v>
      </c>
      <c r="FM1626" s="32" t="s">
        <v>578</v>
      </c>
      <c r="FN1626" t="s">
        <v>579</v>
      </c>
      <c r="FO1626" t="s">
        <v>580</v>
      </c>
      <c r="FP1626" t="str">
        <f t="shared" si="210"/>
        <v>B</v>
      </c>
    </row>
    <row r="1627" spans="153:172" x14ac:dyDescent="0.35">
      <c r="EW1627" t="s">
        <v>2339</v>
      </c>
      <c r="EX1627" s="33" t="s">
        <v>3044</v>
      </c>
      <c r="EY1627" s="35" t="s">
        <v>1704</v>
      </c>
      <c r="EZ1627" s="36" t="s">
        <v>1705</v>
      </c>
      <c r="FA1627" s="36" t="s">
        <v>1192</v>
      </c>
      <c r="FB1627" s="36" t="s">
        <v>344</v>
      </c>
      <c r="FC1627" s="36" t="s">
        <v>1192</v>
      </c>
      <c r="FD1627" s="36" t="s">
        <v>344</v>
      </c>
      <c r="FE1627" s="36">
        <v>2026</v>
      </c>
      <c r="FF1627" s="36" t="s">
        <v>59</v>
      </c>
      <c r="FG1627" s="36" t="s">
        <v>1584</v>
      </c>
      <c r="FJ1627" t="s">
        <v>59</v>
      </c>
      <c r="FM1627" s="32" t="s">
        <v>652</v>
      </c>
      <c r="FN1627" t="s">
        <v>653</v>
      </c>
      <c r="FO1627" t="s">
        <v>654</v>
      </c>
      <c r="FP1627" t="str">
        <f t="shared" si="210"/>
        <v>B</v>
      </c>
    </row>
    <row r="1628" spans="153:172" x14ac:dyDescent="0.35">
      <c r="EW1628" t="s">
        <v>2339</v>
      </c>
      <c r="EX1628" s="33" t="s">
        <v>3045</v>
      </c>
      <c r="EY1628" s="35" t="s">
        <v>1708</v>
      </c>
      <c r="EZ1628" s="36" t="s">
        <v>1709</v>
      </c>
      <c r="FA1628" s="36" t="s">
        <v>1192</v>
      </c>
      <c r="FB1628" s="36" t="s">
        <v>344</v>
      </c>
      <c r="FC1628" s="36" t="s">
        <v>1192</v>
      </c>
      <c r="FD1628" s="36" t="s">
        <v>344</v>
      </c>
      <c r="FE1628" s="36">
        <v>2026</v>
      </c>
      <c r="FF1628" s="36" t="s">
        <v>59</v>
      </c>
      <c r="FG1628" s="36" t="s">
        <v>1584</v>
      </c>
      <c r="FJ1628" t="s">
        <v>59</v>
      </c>
      <c r="FM1628" s="32" t="s">
        <v>636</v>
      </c>
      <c r="FN1628" t="s">
        <v>637</v>
      </c>
      <c r="FO1628" t="s">
        <v>638</v>
      </c>
      <c r="FP1628" t="str">
        <f t="shared" si="210"/>
        <v>B</v>
      </c>
    </row>
    <row r="1629" spans="153:172" x14ac:dyDescent="0.35">
      <c r="EW1629" t="s">
        <v>2339</v>
      </c>
      <c r="EX1629" s="33" t="s">
        <v>3046</v>
      </c>
      <c r="EY1629" s="35" t="s">
        <v>1710</v>
      </c>
      <c r="EZ1629" s="36" t="s">
        <v>1711</v>
      </c>
      <c r="FA1629" s="36" t="s">
        <v>1192</v>
      </c>
      <c r="FB1629" s="36" t="s">
        <v>344</v>
      </c>
      <c r="FC1629" s="36" t="s">
        <v>1192</v>
      </c>
      <c r="FD1629" s="36" t="s">
        <v>344</v>
      </c>
      <c r="FE1629" s="36">
        <v>2026</v>
      </c>
      <c r="FF1629" s="36" t="s">
        <v>59</v>
      </c>
      <c r="FG1629" s="36" t="s">
        <v>1584</v>
      </c>
      <c r="FJ1629" t="s">
        <v>59</v>
      </c>
      <c r="FM1629" s="32" t="s">
        <v>2980</v>
      </c>
      <c r="FN1629" t="s">
        <v>2980</v>
      </c>
      <c r="FO1629" t="s">
        <v>2882</v>
      </c>
      <c r="FP1629" t="str">
        <f t="shared" si="210"/>
        <v>B</v>
      </c>
    </row>
    <row r="1630" spans="153:172" x14ac:dyDescent="0.35">
      <c r="EW1630" t="s">
        <v>2339</v>
      </c>
      <c r="EX1630" s="33" t="s">
        <v>3047</v>
      </c>
      <c r="EY1630" s="35" t="s">
        <v>1712</v>
      </c>
      <c r="EZ1630" s="36" t="s">
        <v>1713</v>
      </c>
      <c r="FA1630" s="36" t="s">
        <v>1192</v>
      </c>
      <c r="FB1630" s="36" t="s">
        <v>344</v>
      </c>
      <c r="FC1630" s="36" t="s">
        <v>1192</v>
      </c>
      <c r="FD1630" s="36" t="s">
        <v>344</v>
      </c>
      <c r="FE1630" s="36">
        <v>2026</v>
      </c>
      <c r="FF1630" s="36" t="s">
        <v>59</v>
      </c>
      <c r="FG1630" s="36" t="s">
        <v>1584</v>
      </c>
      <c r="FJ1630" t="s">
        <v>59</v>
      </c>
      <c r="FM1630" s="32" t="s">
        <v>107</v>
      </c>
      <c r="FN1630" t="s">
        <v>108</v>
      </c>
      <c r="FO1630" t="s">
        <v>109</v>
      </c>
      <c r="FP1630" t="str">
        <f t="shared" si="210"/>
        <v>B</v>
      </c>
    </row>
    <row r="1631" spans="153:172" x14ac:dyDescent="0.35">
      <c r="EW1631" t="s">
        <v>2339</v>
      </c>
      <c r="EX1631" s="33" t="s">
        <v>3048</v>
      </c>
      <c r="EY1631" s="35" t="s">
        <v>1714</v>
      </c>
      <c r="EZ1631" s="36" t="s">
        <v>1715</v>
      </c>
      <c r="FA1631" s="36" t="s">
        <v>1192</v>
      </c>
      <c r="FB1631" s="36" t="s">
        <v>344</v>
      </c>
      <c r="FC1631" s="36" t="s">
        <v>1192</v>
      </c>
      <c r="FD1631" s="36" t="s">
        <v>344</v>
      </c>
      <c r="FE1631" s="36">
        <v>2026</v>
      </c>
      <c r="FF1631" s="36" t="s">
        <v>59</v>
      </c>
      <c r="FG1631" s="36" t="s">
        <v>1584</v>
      </c>
      <c r="FJ1631" t="s">
        <v>59</v>
      </c>
      <c r="FM1631" s="32" t="s">
        <v>484</v>
      </c>
      <c r="FN1631" t="s">
        <v>485</v>
      </c>
      <c r="FO1631" t="s">
        <v>486</v>
      </c>
      <c r="FP1631" t="str">
        <f t="shared" si="210"/>
        <v>B</v>
      </c>
    </row>
    <row r="1632" spans="153:172" x14ac:dyDescent="0.35">
      <c r="EW1632" t="s">
        <v>2339</v>
      </c>
      <c r="EX1632" s="33" t="s">
        <v>3049</v>
      </c>
      <c r="EY1632" s="35" t="s">
        <v>1716</v>
      </c>
      <c r="EZ1632" s="36" t="s">
        <v>1717</v>
      </c>
      <c r="FA1632" s="36" t="s">
        <v>1192</v>
      </c>
      <c r="FB1632" s="36" t="s">
        <v>344</v>
      </c>
      <c r="FC1632" s="36" t="s">
        <v>1192</v>
      </c>
      <c r="FD1632" s="36" t="s">
        <v>344</v>
      </c>
      <c r="FE1632" s="36">
        <v>2026</v>
      </c>
      <c r="FF1632" s="36" t="s">
        <v>59</v>
      </c>
      <c r="FG1632" s="36" t="s">
        <v>1584</v>
      </c>
      <c r="FJ1632" t="s">
        <v>59</v>
      </c>
      <c r="FM1632" s="32" t="s">
        <v>258</v>
      </c>
      <c r="FN1632" t="s">
        <v>259</v>
      </c>
      <c r="FO1632" t="s">
        <v>260</v>
      </c>
      <c r="FP1632" t="str">
        <f t="shared" si="210"/>
        <v>B</v>
      </c>
    </row>
    <row r="1633" spans="153:172" x14ac:dyDescent="0.35">
      <c r="EW1633" t="s">
        <v>2339</v>
      </c>
      <c r="EX1633" s="33" t="s">
        <v>3050</v>
      </c>
      <c r="EY1633" s="35" t="s">
        <v>1720</v>
      </c>
      <c r="EZ1633" s="36" t="s">
        <v>1721</v>
      </c>
      <c r="FA1633" s="36" t="s">
        <v>1722</v>
      </c>
      <c r="FB1633" s="36" t="s">
        <v>1723</v>
      </c>
      <c r="FC1633" s="36" t="s">
        <v>1722</v>
      </c>
      <c r="FD1633" s="36" t="s">
        <v>1724</v>
      </c>
      <c r="FE1633" s="36">
        <v>2019</v>
      </c>
      <c r="FF1633" s="36" t="s">
        <v>59</v>
      </c>
      <c r="FG1633" s="36" t="s">
        <v>1193</v>
      </c>
      <c r="FJ1633" t="s">
        <v>59</v>
      </c>
      <c r="FM1633" s="32" t="s">
        <v>749</v>
      </c>
      <c r="FN1633" t="s">
        <v>750</v>
      </c>
      <c r="FO1633" t="s">
        <v>751</v>
      </c>
      <c r="FP1633" t="str">
        <f t="shared" si="210"/>
        <v>B</v>
      </c>
    </row>
    <row r="1634" spans="153:172" x14ac:dyDescent="0.35">
      <c r="EW1634" t="s">
        <v>2339</v>
      </c>
      <c r="EX1634" s="33" t="s">
        <v>3051</v>
      </c>
      <c r="EY1634" s="35" t="s">
        <v>1725</v>
      </c>
      <c r="EZ1634" s="36">
        <v>482342</v>
      </c>
      <c r="FA1634" s="36" t="s">
        <v>1726</v>
      </c>
      <c r="FB1634" s="36" t="s">
        <v>52</v>
      </c>
      <c r="FC1634" s="36" t="s">
        <v>53</v>
      </c>
      <c r="FD1634" s="36" t="s">
        <v>54</v>
      </c>
      <c r="FE1634" s="36">
        <v>2019</v>
      </c>
      <c r="FF1634" s="36" t="s">
        <v>1727</v>
      </c>
      <c r="FG1634" s="36" t="s">
        <v>1728</v>
      </c>
      <c r="FJ1634" t="s">
        <v>59</v>
      </c>
      <c r="FM1634" s="32" t="s">
        <v>438</v>
      </c>
      <c r="FN1634" t="s">
        <v>438</v>
      </c>
      <c r="FO1634" t="s">
        <v>438</v>
      </c>
      <c r="FP1634" t="str">
        <f t="shared" si="210"/>
        <v>B</v>
      </c>
    </row>
    <row r="1635" spans="153:172" x14ac:dyDescent="0.35">
      <c r="EW1635" t="s">
        <v>2339</v>
      </c>
      <c r="EX1635" s="33" t="s">
        <v>3052</v>
      </c>
      <c r="EY1635" s="35" t="s">
        <v>1729</v>
      </c>
      <c r="EZ1635" s="36">
        <v>483878</v>
      </c>
      <c r="FA1635" s="36" t="s">
        <v>1726</v>
      </c>
      <c r="FB1635" s="36" t="s">
        <v>52</v>
      </c>
      <c r="FC1635" s="36" t="s">
        <v>53</v>
      </c>
      <c r="FD1635" s="36" t="s">
        <v>54</v>
      </c>
      <c r="FE1635" s="36">
        <v>2019</v>
      </c>
      <c r="FF1635" s="36" t="s">
        <v>1727</v>
      </c>
      <c r="FG1635" s="36" t="s">
        <v>1193</v>
      </c>
      <c r="FJ1635" t="s">
        <v>59</v>
      </c>
      <c r="FM1635" s="32" t="s">
        <v>1034</v>
      </c>
      <c r="FN1635" t="s">
        <v>1035</v>
      </c>
      <c r="FO1635" t="s">
        <v>1036</v>
      </c>
      <c r="FP1635" t="str">
        <f t="shared" si="210"/>
        <v>B</v>
      </c>
    </row>
    <row r="1636" spans="153:172" x14ac:dyDescent="0.35">
      <c r="EW1636" t="s">
        <v>2339</v>
      </c>
      <c r="EX1636" s="33" t="s">
        <v>1122</v>
      </c>
      <c r="EY1636" s="35" t="s">
        <v>1732</v>
      </c>
      <c r="EZ1636" s="36">
        <v>479849</v>
      </c>
      <c r="FA1636" s="36" t="s">
        <v>1726</v>
      </c>
      <c r="FB1636" s="36" t="s">
        <v>52</v>
      </c>
      <c r="FC1636" s="36" t="s">
        <v>53</v>
      </c>
      <c r="FD1636" s="36" t="s">
        <v>54</v>
      </c>
      <c r="FE1636" s="36">
        <v>2019</v>
      </c>
      <c r="FF1636" s="36" t="s">
        <v>1727</v>
      </c>
      <c r="FG1636" s="36" t="s">
        <v>1193</v>
      </c>
      <c r="FJ1636" t="s">
        <v>59</v>
      </c>
      <c r="FM1636" s="32" t="s">
        <v>66</v>
      </c>
      <c r="FN1636" t="s">
        <v>67</v>
      </c>
      <c r="FO1636" t="s">
        <v>68</v>
      </c>
      <c r="FP1636" t="str">
        <f t="shared" si="210"/>
        <v>B</v>
      </c>
    </row>
    <row r="1637" spans="153:172" x14ac:dyDescent="0.35">
      <c r="EW1637" t="s">
        <v>2339</v>
      </c>
      <c r="EX1637" s="33" t="s">
        <v>3053</v>
      </c>
      <c r="EY1637" s="35" t="s">
        <v>1733</v>
      </c>
      <c r="EZ1637" s="36">
        <v>484541</v>
      </c>
      <c r="FA1637" s="36" t="s">
        <v>1726</v>
      </c>
      <c r="FB1637" s="36" t="s">
        <v>52</v>
      </c>
      <c r="FC1637" s="36" t="s">
        <v>53</v>
      </c>
      <c r="FD1637" s="36" t="s">
        <v>54</v>
      </c>
      <c r="FE1637" s="36">
        <v>2019</v>
      </c>
      <c r="FF1637" s="36" t="s">
        <v>1727</v>
      </c>
      <c r="FG1637" s="36" t="s">
        <v>1193</v>
      </c>
      <c r="FJ1637" t="s">
        <v>59</v>
      </c>
      <c r="FM1637" s="32" t="s">
        <v>396</v>
      </c>
      <c r="FN1637" t="s">
        <v>397</v>
      </c>
      <c r="FO1637" t="s">
        <v>398</v>
      </c>
      <c r="FP1637" t="str">
        <f t="shared" si="210"/>
        <v>B</v>
      </c>
    </row>
    <row r="1638" spans="153:172" x14ac:dyDescent="0.35">
      <c r="EW1638" t="s">
        <v>2339</v>
      </c>
      <c r="EX1638" s="33" t="s">
        <v>3054</v>
      </c>
      <c r="EY1638" s="35" t="s">
        <v>1734</v>
      </c>
      <c r="EZ1638" s="36">
        <v>481662</v>
      </c>
      <c r="FA1638" s="36" t="s">
        <v>1726</v>
      </c>
      <c r="FB1638" s="36" t="s">
        <v>52</v>
      </c>
      <c r="FC1638" s="36" t="s">
        <v>53</v>
      </c>
      <c r="FD1638" s="36" t="s">
        <v>54</v>
      </c>
      <c r="FE1638" s="36">
        <v>2019</v>
      </c>
      <c r="FF1638" s="36" t="s">
        <v>1727</v>
      </c>
      <c r="FG1638" s="36" t="s">
        <v>1728</v>
      </c>
      <c r="FJ1638" t="s">
        <v>59</v>
      </c>
      <c r="FM1638" s="32" t="s">
        <v>2962</v>
      </c>
      <c r="FN1638" t="s">
        <v>2962</v>
      </c>
      <c r="FO1638" t="s">
        <v>2910</v>
      </c>
      <c r="FP1638" t="str">
        <f t="shared" si="210"/>
        <v>B</v>
      </c>
    </row>
    <row r="1639" spans="153:172" x14ac:dyDescent="0.35">
      <c r="EW1639" t="s">
        <v>2339</v>
      </c>
      <c r="EX1639" s="33" t="s">
        <v>3055</v>
      </c>
      <c r="EY1639" s="35" t="s">
        <v>1737</v>
      </c>
      <c r="EZ1639" s="36">
        <v>478253</v>
      </c>
      <c r="FA1639" s="36" t="s">
        <v>1726</v>
      </c>
      <c r="FB1639" s="36" t="s">
        <v>52</v>
      </c>
      <c r="FC1639" s="36" t="s">
        <v>53</v>
      </c>
      <c r="FD1639" s="36" t="s">
        <v>54</v>
      </c>
      <c r="FE1639" s="36">
        <v>2019</v>
      </c>
      <c r="FF1639" s="36" t="s">
        <v>1727</v>
      </c>
      <c r="FG1639" s="36" t="s">
        <v>1728</v>
      </c>
      <c r="FJ1639" t="s">
        <v>59</v>
      </c>
      <c r="FM1639" s="32" t="s">
        <v>636</v>
      </c>
      <c r="FN1639" t="s">
        <v>637</v>
      </c>
      <c r="FO1639" t="s">
        <v>638</v>
      </c>
      <c r="FP1639" t="str">
        <f t="shared" si="210"/>
        <v>B</v>
      </c>
    </row>
    <row r="1640" spans="153:172" x14ac:dyDescent="0.35">
      <c r="EW1640" t="s">
        <v>2339</v>
      </c>
      <c r="EX1640" s="33" t="s">
        <v>3056</v>
      </c>
      <c r="EY1640" s="35" t="s">
        <v>1740</v>
      </c>
      <c r="EZ1640" s="36">
        <v>482584</v>
      </c>
      <c r="FA1640" s="36" t="s">
        <v>1726</v>
      </c>
      <c r="FB1640" s="36" t="s">
        <v>52</v>
      </c>
      <c r="FC1640" s="36" t="s">
        <v>53</v>
      </c>
      <c r="FD1640" s="36" t="s">
        <v>54</v>
      </c>
      <c r="FE1640" s="36">
        <v>2019</v>
      </c>
      <c r="FF1640" s="36" t="s">
        <v>1727</v>
      </c>
      <c r="FG1640" s="36" t="s">
        <v>1728</v>
      </c>
      <c r="FJ1640" t="s">
        <v>59</v>
      </c>
      <c r="FM1640" s="32" t="s">
        <v>502</v>
      </c>
      <c r="FN1640" t="s">
        <v>503</v>
      </c>
      <c r="FO1640" t="s">
        <v>504</v>
      </c>
      <c r="FP1640" t="str">
        <f t="shared" si="210"/>
        <v>B</v>
      </c>
    </row>
    <row r="1641" spans="153:172" x14ac:dyDescent="0.35">
      <c r="EW1641" t="s">
        <v>2339</v>
      </c>
      <c r="EX1641" s="33" t="s">
        <v>3057</v>
      </c>
      <c r="EY1641" s="35" t="s">
        <v>1743</v>
      </c>
      <c r="EZ1641" s="36">
        <v>482487</v>
      </c>
      <c r="FA1641" s="36" t="s">
        <v>1726</v>
      </c>
      <c r="FB1641" s="36" t="s">
        <v>52</v>
      </c>
      <c r="FC1641" s="36" t="s">
        <v>53</v>
      </c>
      <c r="FD1641" s="36" t="s">
        <v>54</v>
      </c>
      <c r="FE1641" s="36">
        <v>2019</v>
      </c>
      <c r="FF1641" s="36" t="s">
        <v>1727</v>
      </c>
      <c r="FG1641" s="36" t="s">
        <v>1728</v>
      </c>
      <c r="FJ1641" t="s">
        <v>59</v>
      </c>
      <c r="FM1641" s="32" t="s">
        <v>226</v>
      </c>
      <c r="FN1641" t="s">
        <v>227</v>
      </c>
      <c r="FO1641" t="s">
        <v>228</v>
      </c>
      <c r="FP1641" t="str">
        <f t="shared" si="210"/>
        <v>B</v>
      </c>
    </row>
    <row r="1642" spans="153:172" x14ac:dyDescent="0.35">
      <c r="EW1642" t="s">
        <v>2339</v>
      </c>
      <c r="EX1642" s="33" t="s">
        <v>2373</v>
      </c>
      <c r="EY1642" s="35" t="s">
        <v>1746</v>
      </c>
      <c r="EZ1642" s="36">
        <v>483422</v>
      </c>
      <c r="FA1642" s="36" t="s">
        <v>1726</v>
      </c>
      <c r="FB1642" s="36" t="s">
        <v>52</v>
      </c>
      <c r="FC1642" s="36" t="s">
        <v>53</v>
      </c>
      <c r="FD1642" s="36" t="s">
        <v>54</v>
      </c>
      <c r="FE1642" s="36">
        <v>2019</v>
      </c>
      <c r="FF1642" s="36" t="s">
        <v>1727</v>
      </c>
      <c r="FG1642" s="36" t="s">
        <v>1193</v>
      </c>
      <c r="FJ1642" t="s">
        <v>59</v>
      </c>
      <c r="FM1642" s="32" t="s">
        <v>436</v>
      </c>
      <c r="FN1642" t="s">
        <v>437</v>
      </c>
      <c r="FO1642" t="s">
        <v>438</v>
      </c>
      <c r="FP1642" t="str">
        <f t="shared" si="210"/>
        <v>B</v>
      </c>
    </row>
    <row r="1643" spans="153:172" x14ac:dyDescent="0.35">
      <c r="EW1643" t="s">
        <v>2339</v>
      </c>
      <c r="EX1643" s="33" t="s">
        <v>1127</v>
      </c>
      <c r="EY1643" s="35" t="s">
        <v>1747</v>
      </c>
      <c r="EZ1643" s="36">
        <v>484639</v>
      </c>
      <c r="FA1643" s="36" t="s">
        <v>1726</v>
      </c>
      <c r="FB1643" s="36" t="s">
        <v>52</v>
      </c>
      <c r="FC1643" s="36" t="s">
        <v>53</v>
      </c>
      <c r="FD1643" s="36" t="s">
        <v>54</v>
      </c>
      <c r="FE1643" s="36">
        <v>2019</v>
      </c>
      <c r="FF1643" s="36" t="s">
        <v>1727</v>
      </c>
      <c r="FG1643" s="36" t="s">
        <v>1193</v>
      </c>
      <c r="FJ1643" t="s">
        <v>59</v>
      </c>
      <c r="FM1643" s="32" t="s">
        <v>2962</v>
      </c>
      <c r="FN1643" t="s">
        <v>2962</v>
      </c>
      <c r="FO1643" t="s">
        <v>2910</v>
      </c>
      <c r="FP1643" t="str">
        <f t="shared" si="210"/>
        <v>B</v>
      </c>
    </row>
    <row r="1644" spans="153:172" x14ac:dyDescent="0.35">
      <c r="EW1644" t="s">
        <v>2339</v>
      </c>
      <c r="EX1644" s="33" t="s">
        <v>3058</v>
      </c>
      <c r="EY1644" s="35" t="s">
        <v>1748</v>
      </c>
      <c r="EZ1644" s="36">
        <v>484547</v>
      </c>
      <c r="FA1644" s="36" t="s">
        <v>1726</v>
      </c>
      <c r="FB1644" s="36" t="s">
        <v>52</v>
      </c>
      <c r="FC1644" s="36" t="s">
        <v>53</v>
      </c>
      <c r="FD1644" s="36" t="s">
        <v>54</v>
      </c>
      <c r="FE1644" s="36">
        <v>2019</v>
      </c>
      <c r="FF1644" s="36" t="s">
        <v>1727</v>
      </c>
      <c r="FG1644" s="36" t="s">
        <v>1193</v>
      </c>
      <c r="FJ1644" t="s">
        <v>59</v>
      </c>
      <c r="FM1644" s="32" t="s">
        <v>484</v>
      </c>
      <c r="FN1644" t="s">
        <v>485</v>
      </c>
      <c r="FO1644" t="s">
        <v>486</v>
      </c>
      <c r="FP1644" t="str">
        <f t="shared" si="210"/>
        <v>B</v>
      </c>
    </row>
    <row r="1645" spans="153:172" x14ac:dyDescent="0.35">
      <c r="EW1645" t="s">
        <v>2339</v>
      </c>
      <c r="EX1645" s="33" t="s">
        <v>1751</v>
      </c>
      <c r="EY1645" s="35" t="s">
        <v>1749</v>
      </c>
      <c r="EZ1645" s="36">
        <v>506294</v>
      </c>
      <c r="FA1645" s="36" t="s">
        <v>1726</v>
      </c>
      <c r="FB1645" s="36" t="s">
        <v>473</v>
      </c>
      <c r="FC1645" s="36" t="s">
        <v>53</v>
      </c>
      <c r="FD1645" s="36" t="s">
        <v>476</v>
      </c>
      <c r="FE1645" s="36">
        <v>2020</v>
      </c>
      <c r="FF1645" s="36" t="s">
        <v>474</v>
      </c>
      <c r="FG1645" s="36" t="s">
        <v>1193</v>
      </c>
      <c r="FJ1645" t="s">
        <v>474</v>
      </c>
      <c r="FM1645" s="32" t="s">
        <v>2749</v>
      </c>
      <c r="FN1645" t="s">
        <v>2749</v>
      </c>
      <c r="FO1645" t="s">
        <v>2750</v>
      </c>
      <c r="FP1645" t="str">
        <f t="shared" si="210"/>
        <v>B</v>
      </c>
    </row>
    <row r="1646" spans="153:172" x14ac:dyDescent="0.35">
      <c r="EW1646" t="s">
        <v>2339</v>
      </c>
      <c r="EX1646" s="33" t="s">
        <v>2389</v>
      </c>
      <c r="EY1646" s="35" t="s">
        <v>1752</v>
      </c>
      <c r="EZ1646" s="36">
        <v>505924</v>
      </c>
      <c r="FA1646" s="36" t="s">
        <v>1726</v>
      </c>
      <c r="FB1646" s="36" t="s">
        <v>473</v>
      </c>
      <c r="FC1646" s="36" t="s">
        <v>53</v>
      </c>
      <c r="FD1646" s="36" t="s">
        <v>476</v>
      </c>
      <c r="FE1646" s="36">
        <v>2020</v>
      </c>
      <c r="FF1646" s="36" t="s">
        <v>474</v>
      </c>
      <c r="FG1646" s="36" t="s">
        <v>1193</v>
      </c>
      <c r="FJ1646" t="s">
        <v>474</v>
      </c>
      <c r="FM1646" s="32" t="s">
        <v>412</v>
      </c>
      <c r="FN1646" t="s">
        <v>413</v>
      </c>
      <c r="FO1646" t="s">
        <v>414</v>
      </c>
      <c r="FP1646" t="str">
        <f t="shared" si="210"/>
        <v>B</v>
      </c>
    </row>
    <row r="1647" spans="153:172" x14ac:dyDescent="0.35">
      <c r="EW1647" t="s">
        <v>2339</v>
      </c>
      <c r="EX1647" s="33" t="s">
        <v>1589</v>
      </c>
      <c r="EY1647" s="35" t="s">
        <v>1755</v>
      </c>
      <c r="EZ1647" s="36">
        <v>505881</v>
      </c>
      <c r="FA1647" s="36" t="s">
        <v>1726</v>
      </c>
      <c r="FB1647" s="36" t="s">
        <v>473</v>
      </c>
      <c r="FC1647" s="36" t="s">
        <v>53</v>
      </c>
      <c r="FD1647" s="36" t="s">
        <v>476</v>
      </c>
      <c r="FE1647" s="36">
        <v>2020</v>
      </c>
      <c r="FF1647" s="36" t="s">
        <v>474</v>
      </c>
      <c r="FG1647" s="36" t="s">
        <v>1210</v>
      </c>
      <c r="FJ1647" t="s">
        <v>474</v>
      </c>
      <c r="FM1647" s="32" t="s">
        <v>624</v>
      </c>
      <c r="FN1647" t="s">
        <v>625</v>
      </c>
      <c r="FO1647" t="s">
        <v>626</v>
      </c>
      <c r="FP1647" t="str">
        <f t="shared" si="210"/>
        <v>B</v>
      </c>
    </row>
    <row r="1648" spans="153:172" x14ac:dyDescent="0.35">
      <c r="EW1648" t="s">
        <v>2339</v>
      </c>
      <c r="EX1648" s="33" t="s">
        <v>1887</v>
      </c>
      <c r="EY1648" s="35" t="s">
        <v>1758</v>
      </c>
      <c r="EZ1648" s="36">
        <v>505895</v>
      </c>
      <c r="FA1648" s="36" t="s">
        <v>1726</v>
      </c>
      <c r="FB1648" s="36" t="s">
        <v>473</v>
      </c>
      <c r="FC1648" s="36" t="s">
        <v>53</v>
      </c>
      <c r="FD1648" s="36" t="s">
        <v>476</v>
      </c>
      <c r="FE1648" s="36">
        <v>2020</v>
      </c>
      <c r="FF1648" s="36" t="s">
        <v>474</v>
      </c>
      <c r="FG1648" s="36" t="s">
        <v>1193</v>
      </c>
      <c r="FJ1648" t="s">
        <v>474</v>
      </c>
      <c r="FM1648" s="32" t="s">
        <v>186</v>
      </c>
      <c r="FN1648" t="s">
        <v>187</v>
      </c>
      <c r="FO1648" t="s">
        <v>188</v>
      </c>
      <c r="FP1648" t="str">
        <f t="shared" si="210"/>
        <v>B</v>
      </c>
    </row>
    <row r="1649" spans="153:172" x14ac:dyDescent="0.35">
      <c r="EW1649" t="s">
        <v>2339</v>
      </c>
      <c r="EX1649" s="33" t="s">
        <v>1498</v>
      </c>
      <c r="EY1649" s="35" t="s">
        <v>1761</v>
      </c>
      <c r="EZ1649" s="36">
        <v>506176</v>
      </c>
      <c r="FA1649" s="36" t="s">
        <v>1726</v>
      </c>
      <c r="FB1649" s="36" t="s">
        <v>473</v>
      </c>
      <c r="FC1649" s="36" t="s">
        <v>53</v>
      </c>
      <c r="FD1649" s="36" t="s">
        <v>476</v>
      </c>
      <c r="FE1649" s="36">
        <v>2020</v>
      </c>
      <c r="FF1649" s="36" t="s">
        <v>474</v>
      </c>
      <c r="FG1649" s="36" t="s">
        <v>1193</v>
      </c>
      <c r="FJ1649" t="s">
        <v>474</v>
      </c>
      <c r="FM1649" s="32" t="s">
        <v>1099</v>
      </c>
      <c r="FN1649" t="s">
        <v>1100</v>
      </c>
      <c r="FO1649" t="s">
        <v>1101</v>
      </c>
      <c r="FP1649" t="str">
        <f t="shared" si="210"/>
        <v>B</v>
      </c>
    </row>
    <row r="1650" spans="153:172" x14ac:dyDescent="0.35">
      <c r="EW1650" t="s">
        <v>2339</v>
      </c>
      <c r="EX1650" s="33" t="s">
        <v>1719</v>
      </c>
      <c r="EY1650" s="35" t="s">
        <v>1764</v>
      </c>
      <c r="EZ1650" s="36">
        <v>506197</v>
      </c>
      <c r="FA1650" s="36" t="s">
        <v>1726</v>
      </c>
      <c r="FB1650" s="36" t="s">
        <v>473</v>
      </c>
      <c r="FC1650" s="36" t="s">
        <v>53</v>
      </c>
      <c r="FD1650" s="36" t="s">
        <v>476</v>
      </c>
      <c r="FE1650" s="36">
        <v>2020</v>
      </c>
      <c r="FF1650" s="36" t="s">
        <v>474</v>
      </c>
      <c r="FG1650" s="36" t="s">
        <v>1193</v>
      </c>
      <c r="FJ1650" t="s">
        <v>474</v>
      </c>
      <c r="FM1650" s="32" t="s">
        <v>1017</v>
      </c>
      <c r="FN1650" t="s">
        <v>1018</v>
      </c>
      <c r="FO1650" t="s">
        <v>1019</v>
      </c>
      <c r="FP1650" t="str">
        <f t="shared" si="210"/>
        <v>B</v>
      </c>
    </row>
    <row r="1651" spans="153:172" x14ac:dyDescent="0.35">
      <c r="EW1651" t="s">
        <v>2339</v>
      </c>
      <c r="EX1651" s="33" t="s">
        <v>2022</v>
      </c>
      <c r="EY1651" s="35" t="s">
        <v>1767</v>
      </c>
      <c r="EZ1651" s="36">
        <v>506187</v>
      </c>
      <c r="FA1651" s="36" t="s">
        <v>1726</v>
      </c>
      <c r="FB1651" s="36" t="s">
        <v>473</v>
      </c>
      <c r="FC1651" s="36" t="s">
        <v>53</v>
      </c>
      <c r="FD1651" s="36" t="s">
        <v>476</v>
      </c>
      <c r="FE1651" s="36">
        <v>2020</v>
      </c>
      <c r="FF1651" s="36" t="s">
        <v>474</v>
      </c>
      <c r="FG1651" s="36" t="s">
        <v>1193</v>
      </c>
      <c r="FJ1651" t="s">
        <v>474</v>
      </c>
      <c r="FM1651" s="32" t="s">
        <v>749</v>
      </c>
      <c r="FN1651" t="s">
        <v>750</v>
      </c>
      <c r="FO1651" t="s">
        <v>751</v>
      </c>
      <c r="FP1651" t="str">
        <f t="shared" si="210"/>
        <v>B</v>
      </c>
    </row>
    <row r="1652" spans="153:172" x14ac:dyDescent="0.35">
      <c r="EW1652" t="s">
        <v>2339</v>
      </c>
      <c r="EX1652" s="33" t="s">
        <v>1946</v>
      </c>
      <c r="EY1652" s="35" t="s">
        <v>1770</v>
      </c>
      <c r="EZ1652" s="36">
        <v>506345</v>
      </c>
      <c r="FA1652" s="36" t="s">
        <v>1726</v>
      </c>
      <c r="FB1652" s="36" t="s">
        <v>473</v>
      </c>
      <c r="FC1652" s="36" t="s">
        <v>53</v>
      </c>
      <c r="FD1652" s="36" t="s">
        <v>476</v>
      </c>
      <c r="FE1652" s="36">
        <v>2020</v>
      </c>
      <c r="FF1652" s="36" t="s">
        <v>474</v>
      </c>
      <c r="FG1652" s="36" t="s">
        <v>1193</v>
      </c>
      <c r="FJ1652" t="s">
        <v>474</v>
      </c>
      <c r="FM1652" s="32" t="s">
        <v>1034</v>
      </c>
      <c r="FN1652" t="s">
        <v>1035</v>
      </c>
      <c r="FO1652" t="s">
        <v>1036</v>
      </c>
      <c r="FP1652" t="str">
        <f t="shared" si="210"/>
        <v>B</v>
      </c>
    </row>
    <row r="1653" spans="153:172" x14ac:dyDescent="0.35">
      <c r="EW1653" t="s">
        <v>2339</v>
      </c>
      <c r="EX1653" s="33" t="s">
        <v>2316</v>
      </c>
      <c r="EY1653" s="35" t="s">
        <v>1773</v>
      </c>
      <c r="EZ1653" s="36">
        <v>506403</v>
      </c>
      <c r="FA1653" s="36" t="s">
        <v>1726</v>
      </c>
      <c r="FB1653" s="36" t="s">
        <v>473</v>
      </c>
      <c r="FC1653" s="36" t="s">
        <v>53</v>
      </c>
      <c r="FD1653" s="36" t="s">
        <v>476</v>
      </c>
      <c r="FE1653" s="36">
        <v>2020</v>
      </c>
      <c r="FF1653" s="36" t="s">
        <v>474</v>
      </c>
      <c r="FG1653" s="36" t="s">
        <v>1193</v>
      </c>
      <c r="FJ1653" t="s">
        <v>474</v>
      </c>
      <c r="FM1653" s="32" t="s">
        <v>1059</v>
      </c>
      <c r="FN1653" t="s">
        <v>1060</v>
      </c>
      <c r="FO1653" t="s">
        <v>1061</v>
      </c>
      <c r="FP1653" t="str">
        <f t="shared" si="210"/>
        <v>B</v>
      </c>
    </row>
    <row r="1654" spans="153:172" x14ac:dyDescent="0.35">
      <c r="EW1654" t="s">
        <v>2339</v>
      </c>
      <c r="EX1654" s="33" t="s">
        <v>1371</v>
      </c>
      <c r="EY1654" s="35" t="s">
        <v>1776</v>
      </c>
      <c r="EZ1654" s="36">
        <v>506358</v>
      </c>
      <c r="FA1654" s="36" t="s">
        <v>1726</v>
      </c>
      <c r="FB1654" s="36" t="s">
        <v>473</v>
      </c>
      <c r="FC1654" s="36" t="s">
        <v>53</v>
      </c>
      <c r="FD1654" s="36" t="s">
        <v>476</v>
      </c>
      <c r="FE1654" s="36">
        <v>2020</v>
      </c>
      <c r="FF1654" s="36" t="s">
        <v>474</v>
      </c>
      <c r="FG1654" s="36" t="s">
        <v>1193</v>
      </c>
      <c r="FJ1654" t="s">
        <v>474</v>
      </c>
      <c r="FM1654" s="32" t="s">
        <v>1082</v>
      </c>
      <c r="FN1654" t="s">
        <v>1083</v>
      </c>
      <c r="FO1654" t="s">
        <v>1084</v>
      </c>
      <c r="FP1654" t="str">
        <f t="shared" si="210"/>
        <v>B</v>
      </c>
    </row>
    <row r="1655" spans="153:172" x14ac:dyDescent="0.35">
      <c r="EW1655" t="s">
        <v>2339</v>
      </c>
      <c r="EX1655" s="33" t="s">
        <v>1283</v>
      </c>
      <c r="EY1655" s="35" t="s">
        <v>1779</v>
      </c>
      <c r="EZ1655" s="36">
        <v>506311</v>
      </c>
      <c r="FA1655" s="36" t="s">
        <v>1726</v>
      </c>
      <c r="FB1655" s="36" t="s">
        <v>473</v>
      </c>
      <c r="FC1655" s="36" t="s">
        <v>53</v>
      </c>
      <c r="FD1655" s="36" t="s">
        <v>476</v>
      </c>
      <c r="FE1655" s="36">
        <v>2020</v>
      </c>
      <c r="FF1655" s="36" t="s">
        <v>474</v>
      </c>
      <c r="FG1655" s="36" t="s">
        <v>1193</v>
      </c>
      <c r="FJ1655" t="s">
        <v>474</v>
      </c>
      <c r="FM1655" s="32" t="s">
        <v>670</v>
      </c>
      <c r="FN1655" t="s">
        <v>671</v>
      </c>
      <c r="FO1655" t="s">
        <v>672</v>
      </c>
      <c r="FP1655" t="str">
        <f t="shared" si="210"/>
        <v>B</v>
      </c>
    </row>
    <row r="1656" spans="153:172" x14ac:dyDescent="0.35">
      <c r="EW1656" t="s">
        <v>2339</v>
      </c>
      <c r="EX1656" s="33" t="s">
        <v>1775</v>
      </c>
      <c r="EY1656" s="35" t="s">
        <v>1780</v>
      </c>
      <c r="EZ1656" s="36">
        <v>506179</v>
      </c>
      <c r="FA1656" s="36" t="s">
        <v>1726</v>
      </c>
      <c r="FB1656" s="36" t="s">
        <v>473</v>
      </c>
      <c r="FC1656" s="36" t="s">
        <v>53</v>
      </c>
      <c r="FD1656" s="36" t="s">
        <v>476</v>
      </c>
      <c r="FE1656" s="36">
        <v>2020</v>
      </c>
      <c r="FF1656" s="36" t="s">
        <v>474</v>
      </c>
      <c r="FG1656" s="36" t="s">
        <v>1193</v>
      </c>
      <c r="FJ1656" t="s">
        <v>474</v>
      </c>
      <c r="FM1656" s="32" t="s">
        <v>2804</v>
      </c>
      <c r="FN1656" t="s">
        <v>2804</v>
      </c>
      <c r="FO1656" t="s">
        <v>2805</v>
      </c>
      <c r="FP1656" t="str">
        <f t="shared" si="210"/>
        <v>B</v>
      </c>
    </row>
    <row r="1657" spans="153:172" x14ac:dyDescent="0.35">
      <c r="EW1657" t="s">
        <v>2339</v>
      </c>
      <c r="EX1657" s="33" t="s">
        <v>1329</v>
      </c>
      <c r="EY1657" s="35" t="s">
        <v>1783</v>
      </c>
      <c r="EZ1657" s="36">
        <v>505882</v>
      </c>
      <c r="FA1657" s="36" t="s">
        <v>1726</v>
      </c>
      <c r="FB1657" s="36" t="s">
        <v>473</v>
      </c>
      <c r="FC1657" s="36" t="s">
        <v>53</v>
      </c>
      <c r="FD1657" s="36" t="s">
        <v>476</v>
      </c>
      <c r="FE1657" s="36">
        <v>2020</v>
      </c>
      <c r="FF1657" s="36" t="s">
        <v>474</v>
      </c>
      <c r="FG1657" s="36" t="s">
        <v>1193</v>
      </c>
      <c r="FJ1657" t="s">
        <v>474</v>
      </c>
      <c r="FM1657" s="32" t="s">
        <v>88</v>
      </c>
      <c r="FN1657" t="s">
        <v>89</v>
      </c>
      <c r="FO1657" t="s">
        <v>90</v>
      </c>
      <c r="FP1657" t="str">
        <f t="shared" si="210"/>
        <v>B</v>
      </c>
    </row>
    <row r="1658" spans="153:172" x14ac:dyDescent="0.35">
      <c r="EW1658" t="s">
        <v>2339</v>
      </c>
      <c r="EX1658" s="33" t="s">
        <v>1938</v>
      </c>
      <c r="EY1658" s="35" t="s">
        <v>1786</v>
      </c>
      <c r="EZ1658" s="36">
        <v>500916</v>
      </c>
      <c r="FA1658" s="36" t="s">
        <v>1726</v>
      </c>
      <c r="FB1658" s="36" t="s">
        <v>473</v>
      </c>
      <c r="FC1658" s="36" t="s">
        <v>53</v>
      </c>
      <c r="FD1658" s="36" t="s">
        <v>476</v>
      </c>
      <c r="FE1658" s="36">
        <v>2020</v>
      </c>
      <c r="FF1658" s="36" t="s">
        <v>474</v>
      </c>
      <c r="FG1658" s="36" t="s">
        <v>1210</v>
      </c>
      <c r="FJ1658" t="s">
        <v>474</v>
      </c>
      <c r="FM1658" s="32" t="s">
        <v>2980</v>
      </c>
      <c r="FN1658" t="s">
        <v>2980</v>
      </c>
      <c r="FO1658" t="s">
        <v>2882</v>
      </c>
      <c r="FP1658" t="str">
        <f t="shared" si="210"/>
        <v>B</v>
      </c>
    </row>
    <row r="1659" spans="153:172" x14ac:dyDescent="0.35">
      <c r="EW1659" t="s">
        <v>2339</v>
      </c>
      <c r="EX1659" s="33" t="s">
        <v>1788</v>
      </c>
      <c r="EY1659" s="35" t="s">
        <v>1789</v>
      </c>
      <c r="EZ1659" s="36">
        <v>505962</v>
      </c>
      <c r="FA1659" s="36" t="s">
        <v>1726</v>
      </c>
      <c r="FB1659" s="36" t="s">
        <v>473</v>
      </c>
      <c r="FC1659" s="36" t="s">
        <v>53</v>
      </c>
      <c r="FD1659" s="36" t="s">
        <v>476</v>
      </c>
      <c r="FE1659" s="36">
        <v>2020</v>
      </c>
      <c r="FF1659" s="36" t="s">
        <v>474</v>
      </c>
      <c r="FG1659" s="36" t="s">
        <v>1193</v>
      </c>
      <c r="FJ1659" t="s">
        <v>474</v>
      </c>
      <c r="FM1659" s="32" t="s">
        <v>2962</v>
      </c>
      <c r="FN1659" t="s">
        <v>2962</v>
      </c>
      <c r="FO1659" t="s">
        <v>2910</v>
      </c>
      <c r="FP1659" t="str">
        <f t="shared" si="210"/>
        <v>B</v>
      </c>
    </row>
    <row r="1660" spans="153:172" x14ac:dyDescent="0.35">
      <c r="EW1660" t="s">
        <v>2339</v>
      </c>
      <c r="EX1660" s="33" t="s">
        <v>3059</v>
      </c>
      <c r="EY1660" s="35" t="s">
        <v>1792</v>
      </c>
      <c r="EZ1660" s="36">
        <v>505947</v>
      </c>
      <c r="FA1660" s="36" t="s">
        <v>1726</v>
      </c>
      <c r="FB1660" s="36" t="s">
        <v>473</v>
      </c>
      <c r="FC1660" s="36" t="s">
        <v>53</v>
      </c>
      <c r="FD1660" s="36" t="s">
        <v>476</v>
      </c>
      <c r="FE1660" s="36">
        <v>2020</v>
      </c>
      <c r="FF1660" s="36" t="s">
        <v>474</v>
      </c>
      <c r="FG1660" s="36" t="s">
        <v>1193</v>
      </c>
      <c r="FJ1660" t="s">
        <v>474</v>
      </c>
      <c r="FM1660" s="32" t="s">
        <v>961</v>
      </c>
      <c r="FN1660" t="s">
        <v>962</v>
      </c>
      <c r="FO1660" t="s">
        <v>963</v>
      </c>
      <c r="FP1660" t="str">
        <f t="shared" si="210"/>
        <v>B</v>
      </c>
    </row>
    <row r="1661" spans="153:172" x14ac:dyDescent="0.35">
      <c r="EW1661" t="s">
        <v>2339</v>
      </c>
      <c r="EX1661" s="33" t="s">
        <v>1238</v>
      </c>
      <c r="EY1661" s="35" t="s">
        <v>1793</v>
      </c>
      <c r="EZ1661" s="36">
        <v>505956</v>
      </c>
      <c r="FA1661" s="36" t="s">
        <v>1726</v>
      </c>
      <c r="FB1661" s="36" t="s">
        <v>473</v>
      </c>
      <c r="FC1661" s="36" t="s">
        <v>53</v>
      </c>
      <c r="FD1661" s="36" t="s">
        <v>476</v>
      </c>
      <c r="FE1661" s="36">
        <v>2020</v>
      </c>
      <c r="FF1661" s="36" t="s">
        <v>474</v>
      </c>
      <c r="FG1661" s="36" t="s">
        <v>1193</v>
      </c>
      <c r="FJ1661" t="s">
        <v>474</v>
      </c>
      <c r="FM1661" s="32" t="s">
        <v>636</v>
      </c>
      <c r="FN1661" t="s">
        <v>637</v>
      </c>
      <c r="FO1661" t="s">
        <v>638</v>
      </c>
      <c r="FP1661" t="str">
        <f t="shared" si="210"/>
        <v>B</v>
      </c>
    </row>
    <row r="1662" spans="153:172" x14ac:dyDescent="0.35">
      <c r="EW1662" t="s">
        <v>2339</v>
      </c>
      <c r="EX1662" s="33" t="s">
        <v>1576</v>
      </c>
      <c r="EY1662" s="35" t="s">
        <v>1796</v>
      </c>
      <c r="EZ1662" s="36">
        <v>505976</v>
      </c>
      <c r="FA1662" s="36" t="s">
        <v>1726</v>
      </c>
      <c r="FB1662" s="36" t="s">
        <v>473</v>
      </c>
      <c r="FC1662" s="36" t="s">
        <v>53</v>
      </c>
      <c r="FD1662" s="36" t="s">
        <v>476</v>
      </c>
      <c r="FE1662" s="36">
        <v>2020</v>
      </c>
      <c r="FF1662" s="36" t="s">
        <v>474</v>
      </c>
      <c r="FG1662" s="36" t="s">
        <v>1193</v>
      </c>
      <c r="FJ1662" t="s">
        <v>474</v>
      </c>
      <c r="FM1662" s="32" t="s">
        <v>360</v>
      </c>
      <c r="FN1662" t="s">
        <v>361</v>
      </c>
      <c r="FO1662" t="s">
        <v>362</v>
      </c>
      <c r="FP1662" t="str">
        <f t="shared" si="210"/>
        <v>B</v>
      </c>
    </row>
    <row r="1663" spans="153:172" x14ac:dyDescent="0.35">
      <c r="EW1663" t="s">
        <v>2339</v>
      </c>
      <c r="EX1663" s="33" t="s">
        <v>2336</v>
      </c>
      <c r="EY1663" s="35" t="s">
        <v>1799</v>
      </c>
      <c r="EZ1663" s="36">
        <v>507683</v>
      </c>
      <c r="FA1663" s="36" t="s">
        <v>1726</v>
      </c>
      <c r="FB1663" s="36" t="s">
        <v>473</v>
      </c>
      <c r="FC1663" s="36" t="s">
        <v>53</v>
      </c>
      <c r="FD1663" s="36" t="s">
        <v>476</v>
      </c>
      <c r="FE1663" s="36">
        <v>2020</v>
      </c>
      <c r="FF1663" s="36" t="s">
        <v>474</v>
      </c>
      <c r="FG1663" s="36" t="s">
        <v>1210</v>
      </c>
      <c r="FJ1663" t="s">
        <v>474</v>
      </c>
      <c r="FM1663" s="32" t="s">
        <v>868</v>
      </c>
      <c r="FN1663" t="s">
        <v>869</v>
      </c>
      <c r="FO1663" t="s">
        <v>870</v>
      </c>
      <c r="FP1663" t="str">
        <f t="shared" si="210"/>
        <v>B</v>
      </c>
    </row>
    <row r="1664" spans="153:172" x14ac:dyDescent="0.35">
      <c r="EW1664" t="s">
        <v>2339</v>
      </c>
      <c r="EX1664" s="33" t="s">
        <v>3060</v>
      </c>
      <c r="EY1664" s="35" t="s">
        <v>1802</v>
      </c>
      <c r="EZ1664" s="36">
        <v>507344</v>
      </c>
      <c r="FA1664" s="36" t="s">
        <v>1726</v>
      </c>
      <c r="FB1664" s="36" t="s">
        <v>473</v>
      </c>
      <c r="FC1664" s="36" t="s">
        <v>53</v>
      </c>
      <c r="FD1664" s="36" t="s">
        <v>476</v>
      </c>
      <c r="FE1664" s="36">
        <v>2020</v>
      </c>
      <c r="FF1664" s="36" t="s">
        <v>474</v>
      </c>
      <c r="FG1664" s="36" t="s">
        <v>1210</v>
      </c>
      <c r="FJ1664" t="s">
        <v>474</v>
      </c>
      <c r="FM1664" s="32" t="s">
        <v>120</v>
      </c>
      <c r="FN1664" t="s">
        <v>121</v>
      </c>
      <c r="FO1664" t="s">
        <v>122</v>
      </c>
      <c r="FP1664" t="str">
        <f t="shared" si="210"/>
        <v>B</v>
      </c>
    </row>
    <row r="1665" spans="153:172" x14ac:dyDescent="0.35">
      <c r="EW1665" t="s">
        <v>2339</v>
      </c>
      <c r="EX1665" s="33" t="s">
        <v>1846</v>
      </c>
      <c r="EY1665" s="35" t="s">
        <v>1803</v>
      </c>
      <c r="EZ1665" s="36">
        <v>506177</v>
      </c>
      <c r="FA1665" s="36" t="s">
        <v>1726</v>
      </c>
      <c r="FB1665" s="36" t="s">
        <v>473</v>
      </c>
      <c r="FC1665" s="36" t="s">
        <v>53</v>
      </c>
      <c r="FD1665" s="36" t="s">
        <v>476</v>
      </c>
      <c r="FE1665" s="36">
        <v>2020</v>
      </c>
      <c r="FF1665" s="36" t="s">
        <v>474</v>
      </c>
      <c r="FG1665" s="36" t="s">
        <v>1193</v>
      </c>
      <c r="FJ1665" t="s">
        <v>474</v>
      </c>
      <c r="FM1665" s="32" t="s">
        <v>784</v>
      </c>
      <c r="FN1665" t="s">
        <v>785</v>
      </c>
      <c r="FO1665" t="s">
        <v>786</v>
      </c>
      <c r="FP1665" t="str">
        <f t="shared" ref="FP1665:FP1728" si="211">VLOOKUP(FO1665,EX:FF,9,0)</f>
        <v>B</v>
      </c>
    </row>
    <row r="1666" spans="153:172" x14ac:dyDescent="0.35">
      <c r="EW1666" t="s">
        <v>2339</v>
      </c>
      <c r="EX1666" s="33" t="s">
        <v>1257</v>
      </c>
      <c r="EY1666" s="35" t="s">
        <v>1806</v>
      </c>
      <c r="EZ1666" s="36">
        <v>506195</v>
      </c>
      <c r="FA1666" s="36" t="s">
        <v>1726</v>
      </c>
      <c r="FB1666" s="36" t="s">
        <v>473</v>
      </c>
      <c r="FC1666" s="36" t="s">
        <v>53</v>
      </c>
      <c r="FD1666" s="36" t="s">
        <v>476</v>
      </c>
      <c r="FE1666" s="36">
        <v>2020</v>
      </c>
      <c r="FF1666" s="36" t="s">
        <v>474</v>
      </c>
      <c r="FG1666" s="36" t="s">
        <v>1210</v>
      </c>
      <c r="FJ1666" t="s">
        <v>474</v>
      </c>
      <c r="FM1666" s="32" t="s">
        <v>537</v>
      </c>
      <c r="FN1666" t="s">
        <v>538</v>
      </c>
      <c r="FO1666" t="s">
        <v>539</v>
      </c>
      <c r="FP1666" t="str">
        <f t="shared" si="211"/>
        <v>B</v>
      </c>
    </row>
    <row r="1667" spans="153:172" x14ac:dyDescent="0.35">
      <c r="EW1667" t="s">
        <v>2339</v>
      </c>
      <c r="EX1667" s="33" t="s">
        <v>1393</v>
      </c>
      <c r="EY1667" s="35" t="s">
        <v>1809</v>
      </c>
      <c r="EZ1667" s="36">
        <v>507350</v>
      </c>
      <c r="FA1667" s="36" t="s">
        <v>1726</v>
      </c>
      <c r="FB1667" s="36" t="s">
        <v>473</v>
      </c>
      <c r="FC1667" s="36" t="s">
        <v>53</v>
      </c>
      <c r="FD1667" s="36" t="s">
        <v>476</v>
      </c>
      <c r="FE1667" s="36">
        <v>2020</v>
      </c>
      <c r="FF1667" s="36" t="s">
        <v>474</v>
      </c>
      <c r="FG1667" s="36" t="s">
        <v>1210</v>
      </c>
      <c r="FJ1667" t="s">
        <v>474</v>
      </c>
      <c r="FM1667" s="32" t="s">
        <v>484</v>
      </c>
      <c r="FN1667" t="s">
        <v>485</v>
      </c>
      <c r="FO1667" t="s">
        <v>486</v>
      </c>
      <c r="FP1667" t="str">
        <f t="shared" si="211"/>
        <v>B</v>
      </c>
    </row>
    <row r="1668" spans="153:172" x14ac:dyDescent="0.35">
      <c r="EW1668" t="s">
        <v>2339</v>
      </c>
      <c r="EX1668" s="33" t="s">
        <v>1952</v>
      </c>
      <c r="EY1668" s="35" t="s">
        <v>1810</v>
      </c>
      <c r="EZ1668" s="36">
        <v>507672</v>
      </c>
      <c r="FA1668" s="36" t="s">
        <v>1726</v>
      </c>
      <c r="FB1668" s="36" t="s">
        <v>473</v>
      </c>
      <c r="FC1668" s="36" t="s">
        <v>53</v>
      </c>
      <c r="FD1668" s="36" t="s">
        <v>476</v>
      </c>
      <c r="FE1668" s="36">
        <v>2020</v>
      </c>
      <c r="FF1668" s="36" t="s">
        <v>474</v>
      </c>
      <c r="FG1668" s="36" t="s">
        <v>1210</v>
      </c>
      <c r="FJ1668" t="s">
        <v>474</v>
      </c>
      <c r="FM1668" s="32" t="s">
        <v>162</v>
      </c>
      <c r="FN1668" t="s">
        <v>163</v>
      </c>
      <c r="FO1668" t="s">
        <v>164</v>
      </c>
      <c r="FP1668" t="str">
        <f t="shared" si="211"/>
        <v>B</v>
      </c>
    </row>
    <row r="1669" spans="153:172" x14ac:dyDescent="0.35">
      <c r="EW1669" t="s">
        <v>2339</v>
      </c>
      <c r="EX1669" s="33" t="s">
        <v>1772</v>
      </c>
      <c r="EY1669" s="35" t="s">
        <v>1813</v>
      </c>
      <c r="EZ1669" s="36">
        <v>507437</v>
      </c>
      <c r="FA1669" s="36" t="s">
        <v>1726</v>
      </c>
      <c r="FB1669" s="36" t="s">
        <v>473</v>
      </c>
      <c r="FC1669" s="36" t="s">
        <v>53</v>
      </c>
      <c r="FD1669" s="36" t="s">
        <v>476</v>
      </c>
      <c r="FE1669" s="36">
        <v>2020</v>
      </c>
      <c r="FF1669" s="36" t="s">
        <v>474</v>
      </c>
      <c r="FG1669" s="36" t="s">
        <v>1210</v>
      </c>
      <c r="FJ1669" t="s">
        <v>474</v>
      </c>
      <c r="FM1669" s="32" t="s">
        <v>1099</v>
      </c>
      <c r="FN1669" t="s">
        <v>1100</v>
      </c>
      <c r="FO1669" t="s">
        <v>1101</v>
      </c>
      <c r="FP1669" t="str">
        <f t="shared" si="211"/>
        <v>B</v>
      </c>
    </row>
    <row r="1670" spans="153:172" x14ac:dyDescent="0.35">
      <c r="EW1670" t="s">
        <v>2339</v>
      </c>
      <c r="EX1670" s="33" t="s">
        <v>1763</v>
      </c>
      <c r="EY1670" s="35" t="s">
        <v>1816</v>
      </c>
      <c r="EZ1670" s="36">
        <v>506904</v>
      </c>
      <c r="FA1670" s="36" t="s">
        <v>1726</v>
      </c>
      <c r="FB1670" s="36" t="s">
        <v>473</v>
      </c>
      <c r="FC1670" s="36" t="s">
        <v>53</v>
      </c>
      <c r="FD1670" s="36" t="s">
        <v>476</v>
      </c>
      <c r="FE1670" s="36">
        <v>2020</v>
      </c>
      <c r="FF1670" s="36" t="s">
        <v>474</v>
      </c>
      <c r="FG1670" s="36" t="s">
        <v>1210</v>
      </c>
      <c r="FJ1670" t="s">
        <v>474</v>
      </c>
      <c r="FM1670" s="32" t="s">
        <v>615</v>
      </c>
      <c r="FN1670" t="s">
        <v>616</v>
      </c>
      <c r="FO1670" t="s">
        <v>617</v>
      </c>
      <c r="FP1670" t="str">
        <f t="shared" si="211"/>
        <v>B</v>
      </c>
    </row>
    <row r="1671" spans="153:172" x14ac:dyDescent="0.35">
      <c r="EW1671" t="s">
        <v>2339</v>
      </c>
      <c r="EX1671" s="33" t="s">
        <v>1867</v>
      </c>
      <c r="EY1671" s="35" t="s">
        <v>1819</v>
      </c>
      <c r="EZ1671" s="36">
        <v>507372</v>
      </c>
      <c r="FA1671" s="36" t="s">
        <v>1726</v>
      </c>
      <c r="FB1671" s="36" t="s">
        <v>473</v>
      </c>
      <c r="FC1671" s="36" t="s">
        <v>53</v>
      </c>
      <c r="FD1671" s="36" t="s">
        <v>476</v>
      </c>
      <c r="FE1671" s="36">
        <v>2020</v>
      </c>
      <c r="FF1671" s="36" t="s">
        <v>474</v>
      </c>
      <c r="FG1671" s="36" t="s">
        <v>1210</v>
      </c>
      <c r="FJ1671" t="s">
        <v>474</v>
      </c>
      <c r="FM1671" s="32" t="s">
        <v>624</v>
      </c>
      <c r="FN1671" t="s">
        <v>625</v>
      </c>
      <c r="FO1671" t="s">
        <v>626</v>
      </c>
      <c r="FP1671" t="str">
        <f t="shared" si="211"/>
        <v>B</v>
      </c>
    </row>
    <row r="1672" spans="153:172" x14ac:dyDescent="0.35">
      <c r="EW1672" t="s">
        <v>2339</v>
      </c>
      <c r="EX1672" s="33" t="s">
        <v>3061</v>
      </c>
      <c r="EY1672" s="35" t="s">
        <v>1820</v>
      </c>
      <c r="EZ1672" s="36">
        <v>506843</v>
      </c>
      <c r="FA1672" s="36" t="s">
        <v>1726</v>
      </c>
      <c r="FB1672" s="36" t="s">
        <v>473</v>
      </c>
      <c r="FC1672" s="36" t="s">
        <v>53</v>
      </c>
      <c r="FD1672" s="36" t="s">
        <v>476</v>
      </c>
      <c r="FE1672" s="36">
        <v>2020</v>
      </c>
      <c r="FF1672" s="36" t="s">
        <v>474</v>
      </c>
      <c r="FG1672" s="36" t="s">
        <v>1210</v>
      </c>
      <c r="FJ1672" t="s">
        <v>474</v>
      </c>
      <c r="FM1672" s="32" t="s">
        <v>1059</v>
      </c>
      <c r="FN1672" t="s">
        <v>1060</v>
      </c>
      <c r="FO1672" t="s">
        <v>1061</v>
      </c>
      <c r="FP1672" t="str">
        <f t="shared" si="211"/>
        <v>B</v>
      </c>
    </row>
    <row r="1673" spans="153:172" x14ac:dyDescent="0.35">
      <c r="EW1673" t="s">
        <v>2339</v>
      </c>
      <c r="EX1673" s="33" t="s">
        <v>1826</v>
      </c>
      <c r="EY1673" s="35" t="s">
        <v>1823</v>
      </c>
      <c r="EZ1673" s="36">
        <v>507397</v>
      </c>
      <c r="FA1673" s="36" t="s">
        <v>1726</v>
      </c>
      <c r="FB1673" s="36" t="s">
        <v>473</v>
      </c>
      <c r="FC1673" s="36" t="s">
        <v>53</v>
      </c>
      <c r="FD1673" s="36" t="s">
        <v>476</v>
      </c>
      <c r="FE1673" s="36">
        <v>2020</v>
      </c>
      <c r="FF1673" s="36" t="s">
        <v>474</v>
      </c>
      <c r="FG1673" s="36" t="s">
        <v>1210</v>
      </c>
      <c r="FJ1673" t="s">
        <v>474</v>
      </c>
      <c r="FM1673" s="32" t="s">
        <v>749</v>
      </c>
      <c r="FN1673" t="s">
        <v>750</v>
      </c>
      <c r="FO1673" t="s">
        <v>751</v>
      </c>
      <c r="FP1673" t="str">
        <f t="shared" si="211"/>
        <v>B</v>
      </c>
    </row>
    <row r="1674" spans="153:172" x14ac:dyDescent="0.35">
      <c r="EW1674" t="s">
        <v>2339</v>
      </c>
      <c r="EX1674" s="33" t="s">
        <v>2422</v>
      </c>
      <c r="EY1674" s="35" t="s">
        <v>1824</v>
      </c>
      <c r="EZ1674" s="36">
        <v>507451</v>
      </c>
      <c r="FA1674" s="36" t="s">
        <v>1726</v>
      </c>
      <c r="FB1674" s="36" t="s">
        <v>473</v>
      </c>
      <c r="FC1674" s="36" t="s">
        <v>53</v>
      </c>
      <c r="FD1674" s="36" t="s">
        <v>476</v>
      </c>
      <c r="FE1674" s="36">
        <v>2020</v>
      </c>
      <c r="FF1674" s="36" t="s">
        <v>474</v>
      </c>
      <c r="FG1674" s="36" t="s">
        <v>1210</v>
      </c>
      <c r="FJ1674" t="s">
        <v>474</v>
      </c>
      <c r="FM1674" s="32" t="s">
        <v>1034</v>
      </c>
      <c r="FN1674" t="s">
        <v>1035</v>
      </c>
      <c r="FO1674" t="s">
        <v>1036</v>
      </c>
      <c r="FP1674" t="str">
        <f t="shared" si="211"/>
        <v>B</v>
      </c>
    </row>
    <row r="1675" spans="153:172" x14ac:dyDescent="0.35">
      <c r="EW1675" t="s">
        <v>2339</v>
      </c>
      <c r="EX1675" s="33" t="s">
        <v>2492</v>
      </c>
      <c r="EY1675" s="35" t="s">
        <v>1827</v>
      </c>
      <c r="EZ1675" s="36">
        <v>507423</v>
      </c>
      <c r="FA1675" s="36" t="s">
        <v>1726</v>
      </c>
      <c r="FB1675" s="36" t="s">
        <v>473</v>
      </c>
      <c r="FC1675" s="36" t="s">
        <v>53</v>
      </c>
      <c r="FD1675" s="36" t="s">
        <v>476</v>
      </c>
      <c r="FE1675" s="36">
        <v>2020</v>
      </c>
      <c r="FF1675" s="36" t="s">
        <v>474</v>
      </c>
      <c r="FG1675" s="36" t="s">
        <v>1210</v>
      </c>
      <c r="FJ1675" t="s">
        <v>474</v>
      </c>
      <c r="FM1675" s="32" t="s">
        <v>1082</v>
      </c>
      <c r="FN1675" t="s">
        <v>1083</v>
      </c>
      <c r="FO1675" t="s">
        <v>1084</v>
      </c>
      <c r="FP1675" t="str">
        <f t="shared" si="211"/>
        <v>B</v>
      </c>
    </row>
    <row r="1676" spans="153:172" x14ac:dyDescent="0.35">
      <c r="EW1676" t="s">
        <v>2339</v>
      </c>
      <c r="EX1676" s="33" t="s">
        <v>1915</v>
      </c>
      <c r="EY1676" s="35" t="s">
        <v>1828</v>
      </c>
      <c r="EZ1676" s="36">
        <v>507427</v>
      </c>
      <c r="FA1676" s="36" t="s">
        <v>1726</v>
      </c>
      <c r="FB1676" s="36" t="s">
        <v>473</v>
      </c>
      <c r="FC1676" s="36" t="s">
        <v>53</v>
      </c>
      <c r="FD1676" s="36" t="s">
        <v>476</v>
      </c>
      <c r="FE1676" s="36">
        <v>2020</v>
      </c>
      <c r="FF1676" s="36" t="s">
        <v>474</v>
      </c>
      <c r="FG1676" s="36" t="s">
        <v>1210</v>
      </c>
      <c r="FJ1676" t="s">
        <v>474</v>
      </c>
      <c r="FM1676" s="32" t="s">
        <v>2962</v>
      </c>
      <c r="FN1676" t="s">
        <v>2962</v>
      </c>
      <c r="FO1676" t="s">
        <v>2910</v>
      </c>
      <c r="FP1676" t="str">
        <f t="shared" si="211"/>
        <v>B</v>
      </c>
    </row>
    <row r="1677" spans="153:172" x14ac:dyDescent="0.35">
      <c r="EW1677" t="s">
        <v>2339</v>
      </c>
      <c r="EX1677" s="33" t="s">
        <v>1956</v>
      </c>
      <c r="EY1677" s="35" t="s">
        <v>1829</v>
      </c>
      <c r="EZ1677" s="36">
        <v>499868</v>
      </c>
      <c r="FA1677" s="36" t="s">
        <v>1726</v>
      </c>
      <c r="FB1677" s="36" t="s">
        <v>473</v>
      </c>
      <c r="FC1677" s="36" t="s">
        <v>53</v>
      </c>
      <c r="FD1677" s="36" t="s">
        <v>476</v>
      </c>
      <c r="FE1677" s="36">
        <v>2020</v>
      </c>
      <c r="FF1677" s="36" t="s">
        <v>474</v>
      </c>
      <c r="FG1677" s="36" t="s">
        <v>1210</v>
      </c>
      <c r="FJ1677" t="s">
        <v>474</v>
      </c>
      <c r="FM1677" s="32" t="s">
        <v>636</v>
      </c>
      <c r="FN1677" t="s">
        <v>637</v>
      </c>
      <c r="FO1677" t="s">
        <v>638</v>
      </c>
      <c r="FP1677" t="str">
        <f t="shared" si="211"/>
        <v>B</v>
      </c>
    </row>
    <row r="1678" spans="153:172" x14ac:dyDescent="0.35">
      <c r="EW1678" t="s">
        <v>2339</v>
      </c>
      <c r="EX1678" s="33" t="s">
        <v>1837</v>
      </c>
      <c r="EY1678" s="35" t="s">
        <v>1830</v>
      </c>
      <c r="EZ1678" s="36">
        <v>499801</v>
      </c>
      <c r="FA1678" s="36" t="s">
        <v>1726</v>
      </c>
      <c r="FB1678" s="36" t="s">
        <v>473</v>
      </c>
      <c r="FC1678" s="36" t="s">
        <v>53</v>
      </c>
      <c r="FD1678" s="36" t="s">
        <v>476</v>
      </c>
      <c r="FE1678" s="36">
        <v>2020</v>
      </c>
      <c r="FF1678" s="36" t="s">
        <v>474</v>
      </c>
      <c r="FG1678" s="36" t="s">
        <v>1210</v>
      </c>
      <c r="FJ1678" t="s">
        <v>474</v>
      </c>
      <c r="FM1678" s="32" t="s">
        <v>961</v>
      </c>
      <c r="FN1678" t="s">
        <v>962</v>
      </c>
      <c r="FO1678" t="s">
        <v>963</v>
      </c>
      <c r="FP1678" t="str">
        <f t="shared" si="211"/>
        <v>B</v>
      </c>
    </row>
    <row r="1679" spans="153:172" x14ac:dyDescent="0.35">
      <c r="EW1679" t="s">
        <v>2339</v>
      </c>
      <c r="EX1679" s="33" t="s">
        <v>1812</v>
      </c>
      <c r="EY1679" s="35" t="s">
        <v>1831</v>
      </c>
      <c r="EZ1679" s="36">
        <v>506525</v>
      </c>
      <c r="FA1679" s="36" t="s">
        <v>1726</v>
      </c>
      <c r="FB1679" s="36" t="s">
        <v>473</v>
      </c>
      <c r="FC1679" s="36" t="s">
        <v>53</v>
      </c>
      <c r="FD1679" s="36" t="s">
        <v>476</v>
      </c>
      <c r="FE1679" s="36">
        <v>2020</v>
      </c>
      <c r="FF1679" s="36" t="s">
        <v>474</v>
      </c>
      <c r="FG1679" s="36" t="s">
        <v>1193</v>
      </c>
      <c r="FJ1679" t="s">
        <v>474</v>
      </c>
      <c r="FM1679" s="32" t="s">
        <v>2804</v>
      </c>
      <c r="FN1679" t="s">
        <v>2804</v>
      </c>
      <c r="FO1679" t="s">
        <v>2805</v>
      </c>
      <c r="FP1679" t="str">
        <f t="shared" si="211"/>
        <v>B</v>
      </c>
    </row>
    <row r="1680" spans="153:172" x14ac:dyDescent="0.35">
      <c r="EW1680" t="s">
        <v>2339</v>
      </c>
      <c r="EX1680" s="33" t="s">
        <v>1791</v>
      </c>
      <c r="EY1680" s="35" t="s">
        <v>1832</v>
      </c>
      <c r="EZ1680" s="36">
        <v>501057</v>
      </c>
      <c r="FA1680" s="36" t="s">
        <v>1726</v>
      </c>
      <c r="FB1680" s="36" t="s">
        <v>473</v>
      </c>
      <c r="FC1680" s="36" t="s">
        <v>53</v>
      </c>
      <c r="FD1680" s="36" t="s">
        <v>476</v>
      </c>
      <c r="FE1680" s="36">
        <v>2020</v>
      </c>
      <c r="FF1680" s="36" t="s">
        <v>474</v>
      </c>
      <c r="FG1680" s="36" t="s">
        <v>1193</v>
      </c>
      <c r="FJ1680" t="s">
        <v>474</v>
      </c>
      <c r="FM1680" s="32" t="s">
        <v>537</v>
      </c>
      <c r="FN1680" t="s">
        <v>538</v>
      </c>
      <c r="FO1680" t="s">
        <v>539</v>
      </c>
      <c r="FP1680" t="str">
        <f t="shared" si="211"/>
        <v>B</v>
      </c>
    </row>
    <row r="1681" spans="153:172" x14ac:dyDescent="0.35">
      <c r="EW1681" t="s">
        <v>2339</v>
      </c>
      <c r="EX1681" s="33" t="s">
        <v>1343</v>
      </c>
      <c r="EY1681" s="35" t="s">
        <v>1835</v>
      </c>
      <c r="EZ1681" s="36">
        <v>500912</v>
      </c>
      <c r="FA1681" s="36" t="s">
        <v>1726</v>
      </c>
      <c r="FB1681" s="36" t="s">
        <v>473</v>
      </c>
      <c r="FC1681" s="36" t="s">
        <v>53</v>
      </c>
      <c r="FD1681" s="36" t="s">
        <v>476</v>
      </c>
      <c r="FE1681" s="36">
        <v>2020</v>
      </c>
      <c r="FF1681" s="36" t="s">
        <v>474</v>
      </c>
      <c r="FG1681" s="36" t="s">
        <v>1210</v>
      </c>
      <c r="FJ1681" t="s">
        <v>474</v>
      </c>
      <c r="FM1681" s="32" t="s">
        <v>2980</v>
      </c>
      <c r="FN1681" t="s">
        <v>2980</v>
      </c>
      <c r="FO1681" t="s">
        <v>2882</v>
      </c>
      <c r="FP1681" t="str">
        <f t="shared" si="211"/>
        <v>B</v>
      </c>
    </row>
    <row r="1682" spans="153:172" x14ac:dyDescent="0.35">
      <c r="EW1682" t="s">
        <v>2339</v>
      </c>
      <c r="EX1682" s="33" t="s">
        <v>2272</v>
      </c>
      <c r="EY1682" s="35" t="s">
        <v>1838</v>
      </c>
      <c r="EZ1682" s="36">
        <v>507442</v>
      </c>
      <c r="FA1682" s="36" t="s">
        <v>1726</v>
      </c>
      <c r="FB1682" s="36" t="s">
        <v>473</v>
      </c>
      <c r="FC1682" s="36" t="s">
        <v>53</v>
      </c>
      <c r="FD1682" s="36" t="s">
        <v>476</v>
      </c>
      <c r="FE1682" s="36">
        <v>2020</v>
      </c>
      <c r="FF1682" s="36" t="s">
        <v>474</v>
      </c>
      <c r="FG1682" s="36" t="s">
        <v>1210</v>
      </c>
      <c r="FJ1682" t="s">
        <v>474</v>
      </c>
      <c r="FM1682" s="32" t="s">
        <v>685</v>
      </c>
      <c r="FN1682" t="s">
        <v>686</v>
      </c>
      <c r="FO1682" t="s">
        <v>687</v>
      </c>
      <c r="FP1682" t="str">
        <f t="shared" si="211"/>
        <v>B</v>
      </c>
    </row>
    <row r="1683" spans="153:172" x14ac:dyDescent="0.35">
      <c r="EW1683" t="s">
        <v>2339</v>
      </c>
      <c r="EX1683" s="33" t="s">
        <v>3062</v>
      </c>
      <c r="EY1683" s="35" t="s">
        <v>1841</v>
      </c>
      <c r="EZ1683" s="36">
        <v>506479</v>
      </c>
      <c r="FA1683" s="36" t="s">
        <v>1726</v>
      </c>
      <c r="FB1683" s="36" t="s">
        <v>473</v>
      </c>
      <c r="FC1683" s="36" t="s">
        <v>53</v>
      </c>
      <c r="FD1683" s="36" t="s">
        <v>476</v>
      </c>
      <c r="FE1683" s="36">
        <v>2020</v>
      </c>
      <c r="FF1683" s="36" t="s">
        <v>474</v>
      </c>
      <c r="FG1683" s="36" t="s">
        <v>1210</v>
      </c>
      <c r="FJ1683" t="s">
        <v>474</v>
      </c>
      <c r="FM1683" s="32" t="s">
        <v>360</v>
      </c>
      <c r="FN1683" t="s">
        <v>361</v>
      </c>
      <c r="FO1683" t="s">
        <v>362</v>
      </c>
      <c r="FP1683" t="str">
        <f t="shared" si="211"/>
        <v>B</v>
      </c>
    </row>
    <row r="1684" spans="153:172" x14ac:dyDescent="0.35">
      <c r="EW1684" t="s">
        <v>2339</v>
      </c>
      <c r="EX1684" s="33" t="s">
        <v>1253</v>
      </c>
      <c r="EY1684" s="35" t="s">
        <v>1842</v>
      </c>
      <c r="EZ1684" s="36">
        <v>506651</v>
      </c>
      <c r="FA1684" s="36" t="s">
        <v>1726</v>
      </c>
      <c r="FB1684" s="36" t="s">
        <v>473</v>
      </c>
      <c r="FC1684" s="36" t="s">
        <v>53</v>
      </c>
      <c r="FD1684" s="36" t="s">
        <v>476</v>
      </c>
      <c r="FE1684" s="36">
        <v>2020</v>
      </c>
      <c r="FF1684" s="36" t="s">
        <v>474</v>
      </c>
      <c r="FG1684" s="36" t="s">
        <v>1210</v>
      </c>
      <c r="FJ1684" t="s">
        <v>474</v>
      </c>
      <c r="FM1684" s="32" t="s">
        <v>1099</v>
      </c>
      <c r="FN1684" t="s">
        <v>1100</v>
      </c>
      <c r="FO1684" t="s">
        <v>1101</v>
      </c>
      <c r="FP1684" t="str">
        <f t="shared" si="211"/>
        <v>B</v>
      </c>
    </row>
    <row r="1685" spans="153:172" x14ac:dyDescent="0.35">
      <c r="EW1685" t="s">
        <v>2339</v>
      </c>
      <c r="EX1685" s="33" t="s">
        <v>1849</v>
      </c>
      <c r="EY1685" s="35" t="s">
        <v>1844</v>
      </c>
      <c r="EZ1685" s="36">
        <v>507458</v>
      </c>
      <c r="FA1685" s="36" t="s">
        <v>1726</v>
      </c>
      <c r="FB1685" s="36" t="s">
        <v>473</v>
      </c>
      <c r="FC1685" s="36" t="s">
        <v>53</v>
      </c>
      <c r="FD1685" s="36" t="s">
        <v>476</v>
      </c>
      <c r="FE1685" s="36">
        <v>2020</v>
      </c>
      <c r="FF1685" s="36" t="s">
        <v>474</v>
      </c>
      <c r="FG1685" s="36" t="s">
        <v>1210</v>
      </c>
      <c r="FJ1685" t="s">
        <v>474</v>
      </c>
      <c r="FM1685" s="32" t="s">
        <v>88</v>
      </c>
      <c r="FN1685" t="s">
        <v>89</v>
      </c>
      <c r="FO1685" t="s">
        <v>90</v>
      </c>
      <c r="FP1685" t="str">
        <f t="shared" si="211"/>
        <v>B</v>
      </c>
    </row>
    <row r="1686" spans="153:172" x14ac:dyDescent="0.35">
      <c r="EW1686" t="s">
        <v>2339</v>
      </c>
      <c r="EX1686" s="33" t="s">
        <v>1355</v>
      </c>
      <c r="EY1686" s="35" t="s">
        <v>1847</v>
      </c>
      <c r="EZ1686" s="36">
        <v>507661</v>
      </c>
      <c r="FA1686" s="36" t="s">
        <v>1726</v>
      </c>
      <c r="FB1686" s="36" t="s">
        <v>473</v>
      </c>
      <c r="FC1686" s="36" t="s">
        <v>53</v>
      </c>
      <c r="FD1686" s="36" t="s">
        <v>476</v>
      </c>
      <c r="FE1686" s="36">
        <v>2020</v>
      </c>
      <c r="FF1686" s="36" t="s">
        <v>474</v>
      </c>
      <c r="FG1686" s="36" t="s">
        <v>1210</v>
      </c>
      <c r="FJ1686" t="s">
        <v>474</v>
      </c>
      <c r="FM1686" s="32" t="s">
        <v>795</v>
      </c>
      <c r="FN1686" t="s">
        <v>796</v>
      </c>
      <c r="FO1686" t="s">
        <v>797</v>
      </c>
      <c r="FP1686" t="str">
        <f t="shared" si="211"/>
        <v>B</v>
      </c>
    </row>
    <row r="1687" spans="153:172" x14ac:dyDescent="0.35">
      <c r="EW1687" t="s">
        <v>2339</v>
      </c>
      <c r="EX1687" s="33" t="s">
        <v>1822</v>
      </c>
      <c r="EY1687" s="35" t="s">
        <v>1850</v>
      </c>
      <c r="EZ1687" s="36">
        <v>506530</v>
      </c>
      <c r="FA1687" s="36" t="s">
        <v>1726</v>
      </c>
      <c r="FB1687" s="36" t="s">
        <v>473</v>
      </c>
      <c r="FC1687" s="36" t="s">
        <v>53</v>
      </c>
      <c r="FD1687" s="36" t="s">
        <v>476</v>
      </c>
      <c r="FE1687" s="36">
        <v>2020</v>
      </c>
      <c r="FF1687" s="36" t="s">
        <v>474</v>
      </c>
      <c r="FG1687" s="36" t="s">
        <v>1193</v>
      </c>
      <c r="FJ1687" t="s">
        <v>474</v>
      </c>
      <c r="FM1687" s="32" t="s">
        <v>868</v>
      </c>
      <c r="FN1687" t="s">
        <v>869</v>
      </c>
      <c r="FO1687" t="s">
        <v>870</v>
      </c>
      <c r="FP1687" t="str">
        <f t="shared" si="211"/>
        <v>B</v>
      </c>
    </row>
    <row r="1688" spans="153:172" x14ac:dyDescent="0.35">
      <c r="EW1688" t="s">
        <v>2339</v>
      </c>
      <c r="EX1688" s="33" t="s">
        <v>1530</v>
      </c>
      <c r="EY1688" s="35" t="s">
        <v>1853</v>
      </c>
      <c r="EZ1688" s="36">
        <v>506543</v>
      </c>
      <c r="FA1688" s="36" t="s">
        <v>1726</v>
      </c>
      <c r="FB1688" s="36" t="s">
        <v>473</v>
      </c>
      <c r="FC1688" s="36" t="s">
        <v>53</v>
      </c>
      <c r="FD1688" s="36" t="s">
        <v>476</v>
      </c>
      <c r="FE1688" s="36">
        <v>2020</v>
      </c>
      <c r="FF1688" s="36" t="s">
        <v>474</v>
      </c>
      <c r="FG1688" s="36" t="s">
        <v>1210</v>
      </c>
      <c r="FJ1688" t="s">
        <v>474</v>
      </c>
      <c r="FM1688" s="32" t="s">
        <v>624</v>
      </c>
      <c r="FN1688" t="s">
        <v>625</v>
      </c>
      <c r="FO1688" t="s">
        <v>626</v>
      </c>
      <c r="FP1688" t="str">
        <f t="shared" si="211"/>
        <v>B</v>
      </c>
    </row>
    <row r="1689" spans="153:172" x14ac:dyDescent="0.35">
      <c r="EW1689" t="s">
        <v>2339</v>
      </c>
      <c r="EX1689" s="33" t="s">
        <v>1199</v>
      </c>
      <c r="EY1689" s="35" t="s">
        <v>1854</v>
      </c>
      <c r="EZ1689" s="36">
        <v>507419</v>
      </c>
      <c r="FA1689" s="36" t="s">
        <v>1726</v>
      </c>
      <c r="FB1689" s="36" t="s">
        <v>473</v>
      </c>
      <c r="FC1689" s="36" t="s">
        <v>53</v>
      </c>
      <c r="FD1689" s="36" t="s">
        <v>476</v>
      </c>
      <c r="FE1689" s="36">
        <v>2020</v>
      </c>
      <c r="FF1689" s="36" t="s">
        <v>474</v>
      </c>
      <c r="FG1689" s="36" t="s">
        <v>1210</v>
      </c>
      <c r="FJ1689" t="s">
        <v>474</v>
      </c>
      <c r="FM1689" s="32" t="s">
        <v>1059</v>
      </c>
      <c r="FN1689" t="s">
        <v>1060</v>
      </c>
      <c r="FO1689" t="s">
        <v>1061</v>
      </c>
      <c r="FP1689" t="str">
        <f t="shared" si="211"/>
        <v>B</v>
      </c>
    </row>
    <row r="1690" spans="153:172" x14ac:dyDescent="0.35">
      <c r="EW1690" t="s">
        <v>2339</v>
      </c>
      <c r="EX1690" s="33" t="s">
        <v>1927</v>
      </c>
      <c r="EY1690" s="35" t="s">
        <v>1857</v>
      </c>
      <c r="EZ1690" s="36">
        <v>507446</v>
      </c>
      <c r="FA1690" s="36" t="s">
        <v>1726</v>
      </c>
      <c r="FB1690" s="36" t="s">
        <v>473</v>
      </c>
      <c r="FC1690" s="36" t="s">
        <v>53</v>
      </c>
      <c r="FD1690" s="36" t="s">
        <v>476</v>
      </c>
      <c r="FE1690" s="36">
        <v>2020</v>
      </c>
      <c r="FF1690" s="36" t="s">
        <v>474</v>
      </c>
      <c r="FG1690" s="36" t="s">
        <v>1210</v>
      </c>
      <c r="FJ1690" t="s">
        <v>474</v>
      </c>
      <c r="FM1690" s="32" t="s">
        <v>961</v>
      </c>
      <c r="FN1690" t="s">
        <v>962</v>
      </c>
      <c r="FO1690" t="s">
        <v>963</v>
      </c>
      <c r="FP1690" t="str">
        <f t="shared" si="211"/>
        <v>B</v>
      </c>
    </row>
    <row r="1691" spans="153:172" x14ac:dyDescent="0.35">
      <c r="EW1691" t="s">
        <v>2339</v>
      </c>
      <c r="EX1691" s="33" t="s">
        <v>1801</v>
      </c>
      <c r="EY1691" s="35" t="s">
        <v>1858</v>
      </c>
      <c r="EZ1691" s="36">
        <v>506223</v>
      </c>
      <c r="FA1691" s="36" t="s">
        <v>1726</v>
      </c>
      <c r="FB1691" s="36" t="s">
        <v>473</v>
      </c>
      <c r="FC1691" s="36" t="s">
        <v>53</v>
      </c>
      <c r="FD1691" s="36" t="s">
        <v>476</v>
      </c>
      <c r="FE1691" s="36">
        <v>2020</v>
      </c>
      <c r="FF1691" s="36" t="s">
        <v>474</v>
      </c>
      <c r="FG1691" s="36" t="s">
        <v>1210</v>
      </c>
      <c r="FJ1691" t="s">
        <v>474</v>
      </c>
      <c r="FM1691" s="32" t="s">
        <v>2962</v>
      </c>
      <c r="FN1691" t="s">
        <v>2962</v>
      </c>
      <c r="FO1691" t="s">
        <v>2910</v>
      </c>
      <c r="FP1691" t="str">
        <f t="shared" si="211"/>
        <v>B</v>
      </c>
    </row>
    <row r="1692" spans="153:172" x14ac:dyDescent="0.35">
      <c r="EW1692" t="s">
        <v>2339</v>
      </c>
      <c r="EX1692" s="33" t="s">
        <v>1492</v>
      </c>
      <c r="EY1692" s="35" t="s">
        <v>1859</v>
      </c>
      <c r="EZ1692" s="36">
        <v>507455</v>
      </c>
      <c r="FA1692" s="36" t="s">
        <v>1726</v>
      </c>
      <c r="FB1692" s="36" t="s">
        <v>473</v>
      </c>
      <c r="FC1692" s="36" t="s">
        <v>53</v>
      </c>
      <c r="FD1692" s="36" t="s">
        <v>476</v>
      </c>
      <c r="FE1692" s="36">
        <v>2020</v>
      </c>
      <c r="FF1692" s="36" t="s">
        <v>474</v>
      </c>
      <c r="FG1692" s="36" t="s">
        <v>1193</v>
      </c>
      <c r="FJ1692" t="s">
        <v>474</v>
      </c>
      <c r="FM1692" s="32" t="s">
        <v>604</v>
      </c>
      <c r="FN1692" t="s">
        <v>605</v>
      </c>
      <c r="FO1692" t="s">
        <v>606</v>
      </c>
      <c r="FP1692" t="str">
        <f t="shared" si="211"/>
        <v>B</v>
      </c>
    </row>
    <row r="1693" spans="153:172" x14ac:dyDescent="0.35">
      <c r="EW1693" t="s">
        <v>2339</v>
      </c>
      <c r="EX1693" s="33" t="s">
        <v>1216</v>
      </c>
      <c r="EY1693" s="35" t="s">
        <v>1862</v>
      </c>
      <c r="EZ1693" s="36">
        <v>506662</v>
      </c>
      <c r="FA1693" s="36" t="s">
        <v>1726</v>
      </c>
      <c r="FB1693" s="36" t="s">
        <v>473</v>
      </c>
      <c r="FC1693" s="36" t="s">
        <v>53</v>
      </c>
      <c r="FD1693" s="36" t="s">
        <v>476</v>
      </c>
      <c r="FE1693" s="36">
        <v>2020</v>
      </c>
      <c r="FF1693" s="36" t="s">
        <v>474</v>
      </c>
      <c r="FG1693" s="36" t="s">
        <v>1193</v>
      </c>
      <c r="FJ1693" t="s">
        <v>474</v>
      </c>
      <c r="FM1693" s="32" t="s">
        <v>1034</v>
      </c>
      <c r="FN1693" t="s">
        <v>1035</v>
      </c>
      <c r="FO1693" t="s">
        <v>1036</v>
      </c>
      <c r="FP1693" t="str">
        <f t="shared" si="211"/>
        <v>B</v>
      </c>
    </row>
    <row r="1694" spans="153:172" x14ac:dyDescent="0.35">
      <c r="EW1694" t="s">
        <v>2339</v>
      </c>
      <c r="EX1694" s="33" t="s">
        <v>1351</v>
      </c>
      <c r="EY1694" s="35" t="s">
        <v>1863</v>
      </c>
      <c r="EZ1694" s="36">
        <v>507173</v>
      </c>
      <c r="FA1694" s="36" t="s">
        <v>1726</v>
      </c>
      <c r="FB1694" s="36" t="s">
        <v>473</v>
      </c>
      <c r="FC1694" s="36" t="s">
        <v>53</v>
      </c>
      <c r="FD1694" s="36" t="s">
        <v>476</v>
      </c>
      <c r="FE1694" s="36">
        <v>2020</v>
      </c>
      <c r="FF1694" s="36" t="s">
        <v>474</v>
      </c>
      <c r="FG1694" s="36" t="s">
        <v>1193</v>
      </c>
      <c r="FJ1694" t="s">
        <v>474</v>
      </c>
      <c r="FM1694" s="32" t="s">
        <v>3016</v>
      </c>
      <c r="FN1694" t="s">
        <v>3016</v>
      </c>
      <c r="FO1694" t="s">
        <v>2881</v>
      </c>
      <c r="FP1694" t="str">
        <f t="shared" si="211"/>
        <v>B</v>
      </c>
    </row>
    <row r="1695" spans="153:172" x14ac:dyDescent="0.35">
      <c r="EW1695" t="s">
        <v>2339</v>
      </c>
      <c r="EX1695" s="33" t="s">
        <v>1840</v>
      </c>
      <c r="EY1695" s="35" t="s">
        <v>1865</v>
      </c>
      <c r="EZ1695" s="36">
        <v>507153</v>
      </c>
      <c r="FA1695" s="36" t="s">
        <v>1726</v>
      </c>
      <c r="FB1695" s="36" t="s">
        <v>473</v>
      </c>
      <c r="FC1695" s="36" t="s">
        <v>53</v>
      </c>
      <c r="FD1695" s="36" t="s">
        <v>476</v>
      </c>
      <c r="FE1695" s="36">
        <v>2020</v>
      </c>
      <c r="FF1695" s="36" t="s">
        <v>474</v>
      </c>
      <c r="FG1695" s="36" t="s">
        <v>1193</v>
      </c>
      <c r="FJ1695" t="s">
        <v>474</v>
      </c>
      <c r="FM1695" s="32" t="s">
        <v>319</v>
      </c>
      <c r="FN1695" t="s">
        <v>320</v>
      </c>
      <c r="FO1695" t="s">
        <v>321</v>
      </c>
      <c r="FP1695" t="str">
        <f t="shared" si="211"/>
        <v>B</v>
      </c>
    </row>
    <row r="1696" spans="153:172" x14ac:dyDescent="0.35">
      <c r="EW1696" t="s">
        <v>2339</v>
      </c>
      <c r="EX1696" s="33" t="s">
        <v>1834</v>
      </c>
      <c r="EY1696" s="35" t="s">
        <v>1866</v>
      </c>
      <c r="EZ1696" s="36">
        <v>507167</v>
      </c>
      <c r="FA1696" s="36" t="s">
        <v>1726</v>
      </c>
      <c r="FB1696" s="36" t="s">
        <v>473</v>
      </c>
      <c r="FC1696" s="36" t="s">
        <v>53</v>
      </c>
      <c r="FD1696" s="36" t="s">
        <v>476</v>
      </c>
      <c r="FE1696" s="36">
        <v>2020</v>
      </c>
      <c r="FF1696" s="36" t="s">
        <v>474</v>
      </c>
      <c r="FG1696" s="36" t="s">
        <v>1193</v>
      </c>
      <c r="FJ1696" t="s">
        <v>474</v>
      </c>
      <c r="FM1696" s="32" t="s">
        <v>749</v>
      </c>
      <c r="FN1696" t="s">
        <v>750</v>
      </c>
      <c r="FO1696" t="s">
        <v>751</v>
      </c>
      <c r="FP1696" t="str">
        <f t="shared" si="211"/>
        <v>B</v>
      </c>
    </row>
    <row r="1697" spans="153:172" x14ac:dyDescent="0.35">
      <c r="EW1697" t="s">
        <v>2339</v>
      </c>
      <c r="EX1697" s="33" t="s">
        <v>1234</v>
      </c>
      <c r="EY1697" s="35" t="s">
        <v>1868</v>
      </c>
      <c r="EZ1697" s="36">
        <v>507082</v>
      </c>
      <c r="FA1697" s="36" t="s">
        <v>1726</v>
      </c>
      <c r="FB1697" s="36" t="s">
        <v>473</v>
      </c>
      <c r="FC1697" s="36" t="s">
        <v>53</v>
      </c>
      <c r="FD1697" s="36" t="s">
        <v>476</v>
      </c>
      <c r="FE1697" s="36">
        <v>2020</v>
      </c>
      <c r="FF1697" s="36" t="s">
        <v>474</v>
      </c>
      <c r="FG1697" s="36" t="s">
        <v>1193</v>
      </c>
      <c r="FJ1697" t="s">
        <v>474</v>
      </c>
      <c r="FM1697" s="32" t="s">
        <v>451</v>
      </c>
      <c r="FN1697" t="s">
        <v>452</v>
      </c>
      <c r="FO1697" t="s">
        <v>453</v>
      </c>
      <c r="FP1697" t="str">
        <f t="shared" si="211"/>
        <v>B</v>
      </c>
    </row>
    <row r="1698" spans="153:172" x14ac:dyDescent="0.35">
      <c r="EW1698" t="s">
        <v>2339</v>
      </c>
      <c r="EX1698" s="33" t="s">
        <v>1907</v>
      </c>
      <c r="EY1698" s="35" t="s">
        <v>1869</v>
      </c>
      <c r="EZ1698" s="36">
        <v>506645</v>
      </c>
      <c r="FA1698" s="36" t="s">
        <v>1726</v>
      </c>
      <c r="FB1698" s="36" t="s">
        <v>473</v>
      </c>
      <c r="FC1698" s="36" t="s">
        <v>53</v>
      </c>
      <c r="FD1698" s="36" t="s">
        <v>476</v>
      </c>
      <c r="FE1698" s="36">
        <v>2020</v>
      </c>
      <c r="FF1698" s="36" t="s">
        <v>474</v>
      </c>
      <c r="FG1698" s="36" t="s">
        <v>1193</v>
      </c>
      <c r="FJ1698" t="s">
        <v>474</v>
      </c>
      <c r="FM1698" s="32" t="s">
        <v>685</v>
      </c>
      <c r="FN1698" t="s">
        <v>686</v>
      </c>
      <c r="FO1698" t="s">
        <v>687</v>
      </c>
      <c r="FP1698" t="str">
        <f t="shared" si="211"/>
        <v>B</v>
      </c>
    </row>
    <row r="1699" spans="153:172" x14ac:dyDescent="0.35">
      <c r="EW1699" t="s">
        <v>2339</v>
      </c>
      <c r="EX1699" s="33" t="s">
        <v>2365</v>
      </c>
      <c r="EY1699" s="35" t="s">
        <v>1870</v>
      </c>
      <c r="EZ1699" s="36">
        <v>507402</v>
      </c>
      <c r="FA1699" s="36" t="s">
        <v>1726</v>
      </c>
      <c r="FB1699" s="36" t="s">
        <v>473</v>
      </c>
      <c r="FC1699" s="36" t="s">
        <v>53</v>
      </c>
      <c r="FD1699" s="36" t="s">
        <v>476</v>
      </c>
      <c r="FE1699" s="36">
        <v>2020</v>
      </c>
      <c r="FF1699" s="36" t="s">
        <v>474</v>
      </c>
      <c r="FG1699" s="36" t="s">
        <v>1193</v>
      </c>
      <c r="FJ1699" t="s">
        <v>474</v>
      </c>
      <c r="FM1699" s="32" t="s">
        <v>484</v>
      </c>
      <c r="FN1699" t="s">
        <v>485</v>
      </c>
      <c r="FO1699" t="s">
        <v>486</v>
      </c>
      <c r="FP1699" t="str">
        <f t="shared" si="211"/>
        <v>B</v>
      </c>
    </row>
    <row r="1700" spans="153:172" x14ac:dyDescent="0.35">
      <c r="EW1700" t="s">
        <v>2339</v>
      </c>
      <c r="EX1700" s="33" t="s">
        <v>1340</v>
      </c>
      <c r="EY1700" s="35" t="s">
        <v>1871</v>
      </c>
      <c r="EZ1700" s="36">
        <v>507277</v>
      </c>
      <c r="FA1700" s="36" t="s">
        <v>1726</v>
      </c>
      <c r="FB1700" s="36" t="s">
        <v>473</v>
      </c>
      <c r="FC1700" s="36" t="s">
        <v>53</v>
      </c>
      <c r="FD1700" s="36" t="s">
        <v>476</v>
      </c>
      <c r="FE1700" s="36">
        <v>2020</v>
      </c>
      <c r="FF1700" s="36" t="s">
        <v>474</v>
      </c>
      <c r="FG1700" s="36" t="s">
        <v>1193</v>
      </c>
      <c r="FJ1700" t="s">
        <v>474</v>
      </c>
      <c r="FM1700" s="32" t="s">
        <v>547</v>
      </c>
      <c r="FN1700" t="s">
        <v>548</v>
      </c>
      <c r="FO1700" t="s">
        <v>549</v>
      </c>
      <c r="FP1700" t="str">
        <f t="shared" si="211"/>
        <v>B</v>
      </c>
    </row>
    <row r="1701" spans="153:172" x14ac:dyDescent="0.35">
      <c r="EW1701" t="s">
        <v>2339</v>
      </c>
      <c r="EX1701" s="33" t="s">
        <v>1883</v>
      </c>
      <c r="EY1701" s="35" t="s">
        <v>1872</v>
      </c>
      <c r="EZ1701" s="36">
        <v>506865</v>
      </c>
      <c r="FA1701" s="36" t="s">
        <v>1726</v>
      </c>
      <c r="FB1701" s="36" t="s">
        <v>473</v>
      </c>
      <c r="FC1701" s="36" t="s">
        <v>53</v>
      </c>
      <c r="FD1701" s="36" t="s">
        <v>476</v>
      </c>
      <c r="FE1701" s="36">
        <v>2020</v>
      </c>
      <c r="FF1701" s="36" t="s">
        <v>474</v>
      </c>
      <c r="FG1701" s="36" t="s">
        <v>1193</v>
      </c>
      <c r="FJ1701" t="s">
        <v>474</v>
      </c>
      <c r="FM1701" s="32" t="s">
        <v>88</v>
      </c>
      <c r="FN1701" t="s">
        <v>89</v>
      </c>
      <c r="FO1701" t="s">
        <v>90</v>
      </c>
      <c r="FP1701" t="str">
        <f t="shared" si="211"/>
        <v>B</v>
      </c>
    </row>
    <row r="1702" spans="153:172" x14ac:dyDescent="0.35">
      <c r="EW1702" t="s">
        <v>2339</v>
      </c>
      <c r="EX1702" s="33" t="s">
        <v>2415</v>
      </c>
      <c r="EY1702" s="35" t="s">
        <v>1873</v>
      </c>
      <c r="EZ1702" s="36">
        <v>506732</v>
      </c>
      <c r="FA1702" s="36" t="s">
        <v>1726</v>
      </c>
      <c r="FB1702" s="36" t="s">
        <v>473</v>
      </c>
      <c r="FC1702" s="36" t="s">
        <v>53</v>
      </c>
      <c r="FD1702" s="36" t="s">
        <v>476</v>
      </c>
      <c r="FE1702" s="36">
        <v>2020</v>
      </c>
      <c r="FF1702" s="36" t="s">
        <v>474</v>
      </c>
      <c r="FG1702" s="36" t="s">
        <v>1193</v>
      </c>
      <c r="FJ1702" t="s">
        <v>474</v>
      </c>
      <c r="FM1702" s="32" t="s">
        <v>868</v>
      </c>
      <c r="FN1702" t="s">
        <v>869</v>
      </c>
      <c r="FO1702" t="s">
        <v>870</v>
      </c>
      <c r="FP1702" t="str">
        <f t="shared" si="211"/>
        <v>B</v>
      </c>
    </row>
    <row r="1703" spans="153:172" x14ac:dyDescent="0.35">
      <c r="EW1703" t="s">
        <v>2339</v>
      </c>
      <c r="EX1703" s="33" t="s">
        <v>2140</v>
      </c>
      <c r="EY1703" s="35" t="s">
        <v>1875</v>
      </c>
      <c r="EZ1703" s="36">
        <v>506661</v>
      </c>
      <c r="FA1703" s="36" t="s">
        <v>1726</v>
      </c>
      <c r="FB1703" s="36" t="s">
        <v>473</v>
      </c>
      <c r="FC1703" s="36" t="s">
        <v>53</v>
      </c>
      <c r="FD1703" s="36" t="s">
        <v>476</v>
      </c>
      <c r="FE1703" s="36">
        <v>2020</v>
      </c>
      <c r="FF1703" s="36" t="s">
        <v>474</v>
      </c>
      <c r="FG1703" s="36" t="s">
        <v>1193</v>
      </c>
      <c r="FJ1703" t="s">
        <v>474</v>
      </c>
      <c r="FM1703" s="32" t="s">
        <v>1059</v>
      </c>
      <c r="FN1703" t="s">
        <v>1060</v>
      </c>
      <c r="FO1703" t="s">
        <v>1061</v>
      </c>
      <c r="FP1703" t="str">
        <f t="shared" si="211"/>
        <v>B</v>
      </c>
    </row>
    <row r="1704" spans="153:172" x14ac:dyDescent="0.35">
      <c r="EW1704" t="s">
        <v>2339</v>
      </c>
      <c r="EX1704" s="33" t="s">
        <v>1512</v>
      </c>
      <c r="EY1704" s="35" t="s">
        <v>1876</v>
      </c>
      <c r="EZ1704" s="36">
        <v>506598</v>
      </c>
      <c r="FA1704" s="36" t="s">
        <v>1726</v>
      </c>
      <c r="FB1704" s="36" t="s">
        <v>473</v>
      </c>
      <c r="FC1704" s="36" t="s">
        <v>53</v>
      </c>
      <c r="FD1704" s="36" t="s">
        <v>476</v>
      </c>
      <c r="FE1704" s="36">
        <v>2020</v>
      </c>
      <c r="FF1704" s="36" t="s">
        <v>474</v>
      </c>
      <c r="FG1704" s="36" t="s">
        <v>1193</v>
      </c>
      <c r="FJ1704" t="s">
        <v>474</v>
      </c>
      <c r="FM1704" s="32" t="s">
        <v>258</v>
      </c>
      <c r="FN1704" t="s">
        <v>259</v>
      </c>
      <c r="FO1704" t="s">
        <v>260</v>
      </c>
      <c r="FP1704" t="str">
        <f t="shared" si="211"/>
        <v>B</v>
      </c>
    </row>
    <row r="1705" spans="153:172" x14ac:dyDescent="0.35">
      <c r="EW1705" t="s">
        <v>2339</v>
      </c>
      <c r="EX1705" s="33" t="s">
        <v>1856</v>
      </c>
      <c r="EY1705" s="35" t="s">
        <v>1879</v>
      </c>
      <c r="EZ1705" s="36">
        <v>506305</v>
      </c>
      <c r="FA1705" s="36" t="s">
        <v>1726</v>
      </c>
      <c r="FB1705" s="36" t="s">
        <v>473</v>
      </c>
      <c r="FC1705" s="36" t="s">
        <v>53</v>
      </c>
      <c r="FD1705" s="36" t="s">
        <v>476</v>
      </c>
      <c r="FE1705" s="36">
        <v>2020</v>
      </c>
      <c r="FF1705" s="36" t="s">
        <v>474</v>
      </c>
      <c r="FG1705" s="36" t="s">
        <v>1193</v>
      </c>
      <c r="FJ1705" t="s">
        <v>474</v>
      </c>
      <c r="FM1705" s="32" t="s">
        <v>2962</v>
      </c>
      <c r="FN1705" t="s">
        <v>2962</v>
      </c>
      <c r="FO1705" t="s">
        <v>2910</v>
      </c>
      <c r="FP1705" t="str">
        <f t="shared" si="211"/>
        <v>B</v>
      </c>
    </row>
    <row r="1706" spans="153:172" x14ac:dyDescent="0.35">
      <c r="EW1706" t="s">
        <v>2339</v>
      </c>
      <c r="EX1706" s="33" t="s">
        <v>1805</v>
      </c>
      <c r="EY1706" s="35" t="s">
        <v>1880</v>
      </c>
      <c r="EZ1706" s="36">
        <v>506647</v>
      </c>
      <c r="FA1706" s="36" t="s">
        <v>1726</v>
      </c>
      <c r="FB1706" s="36" t="s">
        <v>473</v>
      </c>
      <c r="FC1706" s="36" t="s">
        <v>53</v>
      </c>
      <c r="FD1706" s="36" t="s">
        <v>476</v>
      </c>
      <c r="FE1706" s="36">
        <v>2020</v>
      </c>
      <c r="FF1706" s="36" t="s">
        <v>474</v>
      </c>
      <c r="FG1706" s="36" t="s">
        <v>1193</v>
      </c>
      <c r="FJ1706" t="s">
        <v>474</v>
      </c>
      <c r="FM1706" s="32" t="s">
        <v>1034</v>
      </c>
      <c r="FN1706" t="s">
        <v>1035</v>
      </c>
      <c r="FO1706" t="s">
        <v>1036</v>
      </c>
      <c r="FP1706" t="str">
        <f t="shared" si="211"/>
        <v>B</v>
      </c>
    </row>
    <row r="1707" spans="153:172" x14ac:dyDescent="0.35">
      <c r="EW1707" t="s">
        <v>2339</v>
      </c>
      <c r="EX1707" s="33" t="s">
        <v>1864</v>
      </c>
      <c r="EY1707" s="35" t="s">
        <v>1881</v>
      </c>
      <c r="EZ1707" s="36">
        <v>507078</v>
      </c>
      <c r="FA1707" s="36" t="s">
        <v>1726</v>
      </c>
      <c r="FB1707" s="36" t="s">
        <v>473</v>
      </c>
      <c r="FC1707" s="36" t="s">
        <v>53</v>
      </c>
      <c r="FD1707" s="36" t="s">
        <v>476</v>
      </c>
      <c r="FE1707" s="36">
        <v>2020</v>
      </c>
      <c r="FF1707" s="36" t="s">
        <v>474</v>
      </c>
      <c r="FG1707" s="36" t="s">
        <v>1193</v>
      </c>
      <c r="FJ1707" t="s">
        <v>474</v>
      </c>
      <c r="FM1707" s="32" t="s">
        <v>2980</v>
      </c>
      <c r="FN1707" t="s">
        <v>2980</v>
      </c>
      <c r="FO1707" t="s">
        <v>2882</v>
      </c>
      <c r="FP1707" t="str">
        <f t="shared" si="211"/>
        <v>B</v>
      </c>
    </row>
    <row r="1708" spans="153:172" x14ac:dyDescent="0.35">
      <c r="EW1708" t="s">
        <v>2339</v>
      </c>
      <c r="EX1708" s="33" t="s">
        <v>1551</v>
      </c>
      <c r="EY1708" s="35" t="s">
        <v>1884</v>
      </c>
      <c r="EZ1708" s="36">
        <v>506749</v>
      </c>
      <c r="FA1708" s="36" t="s">
        <v>1726</v>
      </c>
      <c r="FB1708" s="36" t="s">
        <v>473</v>
      </c>
      <c r="FC1708" s="36" t="s">
        <v>53</v>
      </c>
      <c r="FD1708" s="36" t="s">
        <v>476</v>
      </c>
      <c r="FE1708" s="36">
        <v>2020</v>
      </c>
      <c r="FF1708" s="36" t="s">
        <v>474</v>
      </c>
      <c r="FG1708" s="36" t="s">
        <v>1193</v>
      </c>
      <c r="FJ1708" t="s">
        <v>474</v>
      </c>
      <c r="FM1708" s="32" t="s">
        <v>749</v>
      </c>
      <c r="FN1708" t="s">
        <v>750</v>
      </c>
      <c r="FO1708" t="s">
        <v>751</v>
      </c>
      <c r="FP1708" t="str">
        <f t="shared" si="211"/>
        <v>B</v>
      </c>
    </row>
    <row r="1709" spans="153:172" x14ac:dyDescent="0.35">
      <c r="EW1709" t="s">
        <v>2339</v>
      </c>
      <c r="EX1709" s="33" t="s">
        <v>1385</v>
      </c>
      <c r="EY1709" s="35" t="s">
        <v>1885</v>
      </c>
      <c r="EZ1709" s="36">
        <v>507040</v>
      </c>
      <c r="FA1709" s="36" t="s">
        <v>1726</v>
      </c>
      <c r="FB1709" s="36" t="s">
        <v>473</v>
      </c>
      <c r="FC1709" s="36" t="s">
        <v>53</v>
      </c>
      <c r="FD1709" s="36" t="s">
        <v>476</v>
      </c>
      <c r="FE1709" s="36">
        <v>2020</v>
      </c>
      <c r="FF1709" s="36" t="s">
        <v>474</v>
      </c>
      <c r="FG1709" s="36" t="s">
        <v>1193</v>
      </c>
      <c r="FJ1709" t="s">
        <v>474</v>
      </c>
      <c r="FM1709" s="32" t="s">
        <v>107</v>
      </c>
      <c r="FN1709" t="s">
        <v>108</v>
      </c>
      <c r="FO1709" t="s">
        <v>109</v>
      </c>
      <c r="FP1709" t="str">
        <f t="shared" si="211"/>
        <v>B</v>
      </c>
    </row>
    <row r="1710" spans="153:172" x14ac:dyDescent="0.35">
      <c r="EW1710" t="s">
        <v>2339</v>
      </c>
      <c r="EX1710" s="33" t="s">
        <v>1766</v>
      </c>
      <c r="EY1710" s="35" t="s">
        <v>1888</v>
      </c>
      <c r="EZ1710" s="36">
        <v>506999</v>
      </c>
      <c r="FA1710" s="36" t="s">
        <v>1726</v>
      </c>
      <c r="FB1710" s="36" t="s">
        <v>473</v>
      </c>
      <c r="FC1710" s="36" t="s">
        <v>53</v>
      </c>
      <c r="FD1710" s="36" t="s">
        <v>476</v>
      </c>
      <c r="FE1710" s="36">
        <v>2020</v>
      </c>
      <c r="FF1710" s="36" t="s">
        <v>474</v>
      </c>
      <c r="FG1710" s="36" t="s">
        <v>1193</v>
      </c>
      <c r="FJ1710" t="s">
        <v>474</v>
      </c>
      <c r="FM1710" s="32" t="s">
        <v>66</v>
      </c>
      <c r="FN1710" t="s">
        <v>67</v>
      </c>
      <c r="FO1710" t="s">
        <v>68</v>
      </c>
      <c r="FP1710" t="str">
        <f t="shared" si="211"/>
        <v>B</v>
      </c>
    </row>
    <row r="1711" spans="153:172" x14ac:dyDescent="0.35">
      <c r="EW1711" t="s">
        <v>2339</v>
      </c>
      <c r="EX1711" s="33" t="s">
        <v>1597</v>
      </c>
      <c r="EY1711" s="35" t="s">
        <v>1889</v>
      </c>
      <c r="EZ1711" s="36">
        <v>506686</v>
      </c>
      <c r="FA1711" s="36" t="s">
        <v>1726</v>
      </c>
      <c r="FB1711" s="36" t="s">
        <v>473</v>
      </c>
      <c r="FC1711" s="36" t="s">
        <v>53</v>
      </c>
      <c r="FD1711" s="36" t="s">
        <v>476</v>
      </c>
      <c r="FE1711" s="36">
        <v>2020</v>
      </c>
      <c r="FF1711" s="36" t="s">
        <v>474</v>
      </c>
      <c r="FG1711" s="36" t="s">
        <v>1193</v>
      </c>
      <c r="FJ1711" t="s">
        <v>474</v>
      </c>
      <c r="FM1711" s="32" t="s">
        <v>484</v>
      </c>
      <c r="FN1711" t="s">
        <v>485</v>
      </c>
      <c r="FO1711" t="s">
        <v>486</v>
      </c>
      <c r="FP1711" t="str">
        <f t="shared" si="211"/>
        <v>B</v>
      </c>
    </row>
    <row r="1712" spans="153:172" x14ac:dyDescent="0.35">
      <c r="EW1712" t="s">
        <v>2339</v>
      </c>
      <c r="EX1712" s="33" t="s">
        <v>3063</v>
      </c>
      <c r="EY1712" s="35" t="s">
        <v>1890</v>
      </c>
      <c r="EZ1712" s="36">
        <v>507117</v>
      </c>
      <c r="FA1712" s="36" t="s">
        <v>1726</v>
      </c>
      <c r="FB1712" s="36" t="s">
        <v>473</v>
      </c>
      <c r="FC1712" s="36" t="s">
        <v>53</v>
      </c>
      <c r="FD1712" s="36" t="s">
        <v>476</v>
      </c>
      <c r="FE1712" s="36">
        <v>2020</v>
      </c>
      <c r="FF1712" s="36" t="s">
        <v>474</v>
      </c>
      <c r="FG1712" s="36" t="s">
        <v>1193</v>
      </c>
      <c r="FJ1712" t="s">
        <v>474</v>
      </c>
      <c r="FM1712" s="32" t="s">
        <v>961</v>
      </c>
      <c r="FN1712" t="s">
        <v>962</v>
      </c>
      <c r="FO1712" t="s">
        <v>963</v>
      </c>
      <c r="FP1712" t="str">
        <f t="shared" si="211"/>
        <v>B</v>
      </c>
    </row>
    <row r="1713" spans="153:172" x14ac:dyDescent="0.35">
      <c r="EW1713" t="s">
        <v>2339</v>
      </c>
      <c r="EX1713" s="33" t="s">
        <v>1769</v>
      </c>
      <c r="EY1713" s="35" t="s">
        <v>1891</v>
      </c>
      <c r="EZ1713" s="36">
        <v>507055</v>
      </c>
      <c r="FA1713" s="36" t="s">
        <v>1726</v>
      </c>
      <c r="FB1713" s="36" t="s">
        <v>473</v>
      </c>
      <c r="FC1713" s="36" t="s">
        <v>53</v>
      </c>
      <c r="FD1713" s="36" t="s">
        <v>476</v>
      </c>
      <c r="FE1713" s="36">
        <v>2020</v>
      </c>
      <c r="FF1713" s="36" t="s">
        <v>474</v>
      </c>
      <c r="FG1713" s="36" t="s">
        <v>1193</v>
      </c>
      <c r="FJ1713" t="s">
        <v>474</v>
      </c>
      <c r="FM1713" s="32" t="s">
        <v>670</v>
      </c>
      <c r="FN1713" t="s">
        <v>671</v>
      </c>
      <c r="FO1713" t="s">
        <v>672</v>
      </c>
      <c r="FP1713" t="str">
        <f t="shared" si="211"/>
        <v>B</v>
      </c>
    </row>
    <row r="1714" spans="153:172" x14ac:dyDescent="0.35">
      <c r="EW1714" t="s">
        <v>2339</v>
      </c>
      <c r="EX1714" s="33" t="s">
        <v>1554</v>
      </c>
      <c r="EY1714" s="35" t="s">
        <v>1892</v>
      </c>
      <c r="EZ1714" s="36">
        <v>507102</v>
      </c>
      <c r="FA1714" s="36" t="s">
        <v>1726</v>
      </c>
      <c r="FB1714" s="36" t="s">
        <v>473</v>
      </c>
      <c r="FC1714" s="36" t="s">
        <v>53</v>
      </c>
      <c r="FD1714" s="36" t="s">
        <v>476</v>
      </c>
      <c r="FE1714" s="36">
        <v>2020</v>
      </c>
      <c r="FF1714" s="36" t="s">
        <v>474</v>
      </c>
      <c r="FG1714" s="36" t="s">
        <v>1193</v>
      </c>
      <c r="FJ1714" t="s">
        <v>474</v>
      </c>
      <c r="FM1714" s="32" t="s">
        <v>3016</v>
      </c>
      <c r="FN1714" t="s">
        <v>3016</v>
      </c>
      <c r="FO1714" t="s">
        <v>2881</v>
      </c>
      <c r="FP1714" t="str">
        <f t="shared" si="211"/>
        <v>B</v>
      </c>
    </row>
    <row r="1715" spans="153:172" x14ac:dyDescent="0.35">
      <c r="EW1715" t="s">
        <v>2339</v>
      </c>
      <c r="EX1715" s="33" t="s">
        <v>2470</v>
      </c>
      <c r="EY1715" s="35" t="s">
        <v>1893</v>
      </c>
      <c r="EZ1715" s="36">
        <v>507075</v>
      </c>
      <c r="FA1715" s="36" t="s">
        <v>1726</v>
      </c>
      <c r="FB1715" s="36" t="s">
        <v>473</v>
      </c>
      <c r="FC1715" s="36" t="s">
        <v>53</v>
      </c>
      <c r="FD1715" s="36" t="s">
        <v>476</v>
      </c>
      <c r="FE1715" s="36">
        <v>2020</v>
      </c>
      <c r="FF1715" s="36" t="s">
        <v>474</v>
      </c>
      <c r="FG1715" s="36" t="s">
        <v>1193</v>
      </c>
      <c r="FJ1715" t="s">
        <v>474</v>
      </c>
      <c r="FM1715" s="32" t="s">
        <v>451</v>
      </c>
      <c r="FN1715" t="s">
        <v>452</v>
      </c>
      <c r="FO1715" t="s">
        <v>453</v>
      </c>
      <c r="FP1715" t="str">
        <f t="shared" si="211"/>
        <v>B</v>
      </c>
    </row>
    <row r="1716" spans="153:172" x14ac:dyDescent="0.35">
      <c r="EW1716" t="s">
        <v>2339</v>
      </c>
      <c r="EX1716" s="33" t="s">
        <v>3064</v>
      </c>
      <c r="EY1716" s="35" t="s">
        <v>1896</v>
      </c>
      <c r="EZ1716" s="36">
        <v>507106</v>
      </c>
      <c r="FA1716" s="36" t="s">
        <v>1726</v>
      </c>
      <c r="FB1716" s="36" t="s">
        <v>473</v>
      </c>
      <c r="FC1716" s="36" t="s">
        <v>53</v>
      </c>
      <c r="FD1716" s="36" t="s">
        <v>476</v>
      </c>
      <c r="FE1716" s="36">
        <v>2020</v>
      </c>
      <c r="FF1716" s="36" t="s">
        <v>474</v>
      </c>
      <c r="FG1716" s="36" t="s">
        <v>1193</v>
      </c>
      <c r="FJ1716" t="s">
        <v>474</v>
      </c>
      <c r="FM1716" s="32" t="s">
        <v>855</v>
      </c>
      <c r="FN1716" t="s">
        <v>856</v>
      </c>
      <c r="FO1716" t="s">
        <v>857</v>
      </c>
      <c r="FP1716" t="str">
        <f t="shared" si="211"/>
        <v>B</v>
      </c>
    </row>
    <row r="1717" spans="153:172" x14ac:dyDescent="0.35">
      <c r="EW1717" t="s">
        <v>2339</v>
      </c>
      <c r="EX1717" s="33" t="s">
        <v>1222</v>
      </c>
      <c r="EY1717" s="35" t="s">
        <v>1899</v>
      </c>
      <c r="EZ1717" s="36">
        <v>506644</v>
      </c>
      <c r="FA1717" s="36" t="s">
        <v>1726</v>
      </c>
      <c r="FB1717" s="36" t="s">
        <v>473</v>
      </c>
      <c r="FC1717" s="36" t="s">
        <v>53</v>
      </c>
      <c r="FD1717" s="36" t="s">
        <v>476</v>
      </c>
      <c r="FE1717" s="36">
        <v>2020</v>
      </c>
      <c r="FF1717" s="36" t="s">
        <v>474</v>
      </c>
      <c r="FG1717" s="36" t="s">
        <v>1193</v>
      </c>
      <c r="FJ1717" t="s">
        <v>474</v>
      </c>
      <c r="FM1717" s="32" t="s">
        <v>868</v>
      </c>
      <c r="FN1717" t="s">
        <v>869</v>
      </c>
      <c r="FO1717" t="s">
        <v>870</v>
      </c>
      <c r="FP1717" t="str">
        <f t="shared" si="211"/>
        <v>B</v>
      </c>
    </row>
    <row r="1718" spans="153:172" x14ac:dyDescent="0.35">
      <c r="EW1718" t="s">
        <v>2339</v>
      </c>
      <c r="EX1718" s="33" t="s">
        <v>1943</v>
      </c>
      <c r="EY1718" s="35" t="s">
        <v>1902</v>
      </c>
      <c r="EZ1718" s="36">
        <v>506671</v>
      </c>
      <c r="FA1718" s="36" t="s">
        <v>1726</v>
      </c>
      <c r="FB1718" s="36" t="s">
        <v>473</v>
      </c>
      <c r="FC1718" s="36" t="s">
        <v>53</v>
      </c>
      <c r="FD1718" s="36" t="s">
        <v>476</v>
      </c>
      <c r="FE1718" s="36">
        <v>2020</v>
      </c>
      <c r="FF1718" s="36" t="s">
        <v>474</v>
      </c>
      <c r="FG1718" s="36" t="s">
        <v>1193</v>
      </c>
      <c r="FJ1718" t="s">
        <v>474</v>
      </c>
      <c r="FM1718" s="32" t="s">
        <v>735</v>
      </c>
      <c r="FN1718" t="s">
        <v>736</v>
      </c>
      <c r="FO1718" t="s">
        <v>737</v>
      </c>
      <c r="FP1718" t="str">
        <f t="shared" si="211"/>
        <v>B</v>
      </c>
    </row>
    <row r="1719" spans="153:172" x14ac:dyDescent="0.35">
      <c r="EW1719" t="s">
        <v>2339</v>
      </c>
      <c r="EX1719" s="33" t="s">
        <v>1978</v>
      </c>
      <c r="EY1719" s="35" t="s">
        <v>1903</v>
      </c>
      <c r="EZ1719" s="36">
        <v>507033</v>
      </c>
      <c r="FA1719" s="36" t="s">
        <v>1726</v>
      </c>
      <c r="FB1719" s="36" t="s">
        <v>473</v>
      </c>
      <c r="FC1719" s="36" t="s">
        <v>53</v>
      </c>
      <c r="FD1719" s="36" t="s">
        <v>476</v>
      </c>
      <c r="FE1719" s="36">
        <v>2020</v>
      </c>
      <c r="FF1719" s="36" t="s">
        <v>474</v>
      </c>
      <c r="FG1719" s="36" t="s">
        <v>1193</v>
      </c>
      <c r="FJ1719" t="s">
        <v>474</v>
      </c>
      <c r="FM1719" s="32" t="s">
        <v>578</v>
      </c>
      <c r="FN1719" t="s">
        <v>579</v>
      </c>
      <c r="FO1719" t="s">
        <v>580</v>
      </c>
      <c r="FP1719" t="str">
        <f t="shared" si="211"/>
        <v>B</v>
      </c>
    </row>
    <row r="1720" spans="153:172" x14ac:dyDescent="0.35">
      <c r="EW1720" t="s">
        <v>2339</v>
      </c>
      <c r="EX1720" s="33" t="s">
        <v>1785</v>
      </c>
      <c r="EY1720" s="35" t="s">
        <v>1904</v>
      </c>
      <c r="EZ1720" s="36">
        <v>506988</v>
      </c>
      <c r="FA1720" s="36" t="s">
        <v>1726</v>
      </c>
      <c r="FB1720" s="36" t="s">
        <v>473</v>
      </c>
      <c r="FC1720" s="36" t="s">
        <v>53</v>
      </c>
      <c r="FD1720" s="36" t="s">
        <v>476</v>
      </c>
      <c r="FE1720" s="36">
        <v>2020</v>
      </c>
      <c r="FF1720" s="36" t="s">
        <v>474</v>
      </c>
      <c r="FG1720" s="36" t="s">
        <v>1193</v>
      </c>
      <c r="FJ1720" t="s">
        <v>474</v>
      </c>
      <c r="FM1720" s="32" t="s">
        <v>226</v>
      </c>
      <c r="FN1720" t="s">
        <v>227</v>
      </c>
      <c r="FO1720" t="s">
        <v>228</v>
      </c>
      <c r="FP1720" t="str">
        <f t="shared" si="211"/>
        <v>B</v>
      </c>
    </row>
    <row r="1721" spans="153:172" x14ac:dyDescent="0.35">
      <c r="EW1721" t="s">
        <v>2339</v>
      </c>
      <c r="EX1721" s="33" t="s">
        <v>1419</v>
      </c>
      <c r="EY1721" s="35" t="s">
        <v>1905</v>
      </c>
      <c r="EZ1721" s="36">
        <v>506841</v>
      </c>
      <c r="FA1721" s="36" t="s">
        <v>1726</v>
      </c>
      <c r="FB1721" s="36" t="s">
        <v>473</v>
      </c>
      <c r="FC1721" s="36" t="s">
        <v>53</v>
      </c>
      <c r="FD1721" s="36" t="s">
        <v>476</v>
      </c>
      <c r="FE1721" s="36">
        <v>2020</v>
      </c>
      <c r="FF1721" s="36" t="s">
        <v>474</v>
      </c>
      <c r="FG1721" s="36" t="s">
        <v>1728</v>
      </c>
      <c r="FJ1721" t="s">
        <v>474</v>
      </c>
      <c r="FM1721" s="32" t="s">
        <v>652</v>
      </c>
      <c r="FN1721" t="s">
        <v>653</v>
      </c>
      <c r="FO1721" t="s">
        <v>654</v>
      </c>
      <c r="FP1721" t="str">
        <f t="shared" si="211"/>
        <v>B</v>
      </c>
    </row>
    <row r="1722" spans="153:172" x14ac:dyDescent="0.35">
      <c r="EW1722" t="s">
        <v>2339</v>
      </c>
      <c r="EX1722" s="33" t="s">
        <v>1367</v>
      </c>
      <c r="EY1722" s="35" t="s">
        <v>1908</v>
      </c>
      <c r="EZ1722" s="36">
        <v>507058</v>
      </c>
      <c r="FA1722" s="36" t="s">
        <v>1726</v>
      </c>
      <c r="FB1722" s="36" t="s">
        <v>473</v>
      </c>
      <c r="FC1722" s="36" t="s">
        <v>53</v>
      </c>
      <c r="FD1722" s="36" t="s">
        <v>476</v>
      </c>
      <c r="FE1722" s="36">
        <v>2020</v>
      </c>
      <c r="FF1722" s="36" t="s">
        <v>474</v>
      </c>
      <c r="FG1722" s="36" t="s">
        <v>1193</v>
      </c>
      <c r="FJ1722" t="s">
        <v>474</v>
      </c>
      <c r="FM1722" s="32" t="s">
        <v>636</v>
      </c>
      <c r="FN1722" t="s">
        <v>637</v>
      </c>
      <c r="FO1722" t="s">
        <v>638</v>
      </c>
      <c r="FP1722" t="str">
        <f t="shared" si="211"/>
        <v>B</v>
      </c>
    </row>
    <row r="1723" spans="153:172" x14ac:dyDescent="0.35">
      <c r="EW1723" t="s">
        <v>2339</v>
      </c>
      <c r="EX1723" s="33" t="s">
        <v>1195</v>
      </c>
      <c r="EY1723" s="35" t="s">
        <v>1910</v>
      </c>
      <c r="EZ1723" s="36">
        <v>506731</v>
      </c>
      <c r="FA1723" s="36" t="s">
        <v>1726</v>
      </c>
      <c r="FB1723" s="36" t="s">
        <v>473</v>
      </c>
      <c r="FC1723" s="36" t="s">
        <v>53</v>
      </c>
      <c r="FD1723" s="36" t="s">
        <v>476</v>
      </c>
      <c r="FE1723" s="36">
        <v>2020</v>
      </c>
      <c r="FF1723" s="36" t="s">
        <v>474</v>
      </c>
      <c r="FG1723" s="36" t="s">
        <v>1728</v>
      </c>
      <c r="FJ1723" t="s">
        <v>474</v>
      </c>
      <c r="FM1723" s="32" t="s">
        <v>2980</v>
      </c>
      <c r="FN1723" t="s">
        <v>2980</v>
      </c>
      <c r="FO1723" t="s">
        <v>2882</v>
      </c>
      <c r="FP1723" t="str">
        <f t="shared" si="211"/>
        <v>B</v>
      </c>
    </row>
    <row r="1724" spans="153:172" x14ac:dyDescent="0.35">
      <c r="EW1724" t="s">
        <v>2339</v>
      </c>
      <c r="EX1724" s="33" t="s">
        <v>3065</v>
      </c>
      <c r="EY1724" s="35" t="s">
        <v>1913</v>
      </c>
      <c r="EZ1724" s="36">
        <v>507121</v>
      </c>
      <c r="FA1724" s="36" t="s">
        <v>1726</v>
      </c>
      <c r="FB1724" s="36" t="s">
        <v>473</v>
      </c>
      <c r="FC1724" s="36" t="s">
        <v>53</v>
      </c>
      <c r="FD1724" s="36" t="s">
        <v>476</v>
      </c>
      <c r="FE1724" s="36">
        <v>2020</v>
      </c>
      <c r="FF1724" s="36" t="s">
        <v>474</v>
      </c>
      <c r="FG1724" s="36" t="s">
        <v>1193</v>
      </c>
      <c r="FJ1724" t="s">
        <v>474</v>
      </c>
      <c r="FM1724" s="32" t="s">
        <v>107</v>
      </c>
      <c r="FN1724" t="s">
        <v>108</v>
      </c>
      <c r="FO1724" t="s">
        <v>109</v>
      </c>
      <c r="FP1724" t="str">
        <f t="shared" si="211"/>
        <v>B</v>
      </c>
    </row>
    <row r="1725" spans="153:172" x14ac:dyDescent="0.35">
      <c r="EW1725" t="s">
        <v>2339</v>
      </c>
      <c r="EX1725" s="33" t="s">
        <v>1548</v>
      </c>
      <c r="EY1725" s="35" t="s">
        <v>1916</v>
      </c>
      <c r="EZ1725" s="36">
        <v>507144</v>
      </c>
      <c r="FA1725" s="36" t="s">
        <v>1726</v>
      </c>
      <c r="FB1725" s="36" t="s">
        <v>473</v>
      </c>
      <c r="FC1725" s="36" t="s">
        <v>53</v>
      </c>
      <c r="FD1725" s="36" t="s">
        <v>476</v>
      </c>
      <c r="FE1725" s="36">
        <v>2020</v>
      </c>
      <c r="FF1725" s="36" t="s">
        <v>474</v>
      </c>
      <c r="FG1725" s="36" t="s">
        <v>1728</v>
      </c>
      <c r="FJ1725" t="s">
        <v>474</v>
      </c>
      <c r="FM1725" s="32" t="s">
        <v>258</v>
      </c>
      <c r="FN1725" t="s">
        <v>259</v>
      </c>
      <c r="FO1725" t="s">
        <v>260</v>
      </c>
      <c r="FP1725" t="str">
        <f t="shared" si="211"/>
        <v>B</v>
      </c>
    </row>
    <row r="1726" spans="153:172" x14ac:dyDescent="0.35">
      <c r="EW1726" t="s">
        <v>2339</v>
      </c>
      <c r="EX1726" s="33" t="s">
        <v>1760</v>
      </c>
      <c r="EY1726" s="35" t="s">
        <v>1917</v>
      </c>
      <c r="EZ1726" s="36">
        <v>507047</v>
      </c>
      <c r="FA1726" s="36" t="s">
        <v>1726</v>
      </c>
      <c r="FB1726" s="36" t="s">
        <v>473</v>
      </c>
      <c r="FC1726" s="36" t="s">
        <v>53</v>
      </c>
      <c r="FD1726" s="36" t="s">
        <v>476</v>
      </c>
      <c r="FE1726" s="36">
        <v>2020</v>
      </c>
      <c r="FF1726" s="36" t="s">
        <v>474</v>
      </c>
      <c r="FG1726" s="36" t="s">
        <v>1193</v>
      </c>
      <c r="FJ1726" t="s">
        <v>474</v>
      </c>
      <c r="FM1726" s="32" t="s">
        <v>162</v>
      </c>
      <c r="FN1726" t="s">
        <v>163</v>
      </c>
      <c r="FO1726" t="s">
        <v>164</v>
      </c>
      <c r="FP1726" t="str">
        <f t="shared" si="211"/>
        <v>B</v>
      </c>
    </row>
    <row r="1727" spans="153:172" x14ac:dyDescent="0.35">
      <c r="EW1727" t="s">
        <v>2339</v>
      </c>
      <c r="EX1727" s="33" t="s">
        <v>1427</v>
      </c>
      <c r="EY1727" s="35" t="s">
        <v>1918</v>
      </c>
      <c r="EZ1727" s="36">
        <v>507680</v>
      </c>
      <c r="FA1727" s="36" t="s">
        <v>1726</v>
      </c>
      <c r="FB1727" s="36" t="s">
        <v>473</v>
      </c>
      <c r="FC1727" s="36" t="s">
        <v>53</v>
      </c>
      <c r="FD1727" s="36" t="s">
        <v>476</v>
      </c>
      <c r="FE1727" s="36">
        <v>2020</v>
      </c>
      <c r="FF1727" s="36" t="s">
        <v>474</v>
      </c>
      <c r="FG1727" s="36" t="s">
        <v>1728</v>
      </c>
      <c r="FJ1727" t="s">
        <v>474</v>
      </c>
      <c r="FM1727" s="32" t="s">
        <v>749</v>
      </c>
      <c r="FN1727" t="s">
        <v>750</v>
      </c>
      <c r="FO1727" t="s">
        <v>751</v>
      </c>
      <c r="FP1727" t="str">
        <f t="shared" si="211"/>
        <v>B</v>
      </c>
    </row>
    <row r="1728" spans="153:172" x14ac:dyDescent="0.35">
      <c r="EW1728" t="s">
        <v>2339</v>
      </c>
      <c r="EX1728" s="33" t="s">
        <v>1798</v>
      </c>
      <c r="EY1728" s="35" t="s">
        <v>1919</v>
      </c>
      <c r="EZ1728" s="36">
        <v>506696</v>
      </c>
      <c r="FA1728" s="36" t="s">
        <v>1726</v>
      </c>
      <c r="FB1728" s="36" t="s">
        <v>473</v>
      </c>
      <c r="FC1728" s="36" t="s">
        <v>53</v>
      </c>
      <c r="FD1728" s="36" t="s">
        <v>476</v>
      </c>
      <c r="FE1728" s="36">
        <v>2020</v>
      </c>
      <c r="FF1728" s="36" t="s">
        <v>474</v>
      </c>
      <c r="FG1728" s="36" t="s">
        <v>1193</v>
      </c>
      <c r="FJ1728" t="s">
        <v>474</v>
      </c>
      <c r="FM1728" s="32" t="s">
        <v>502</v>
      </c>
      <c r="FN1728" t="s">
        <v>503</v>
      </c>
      <c r="FO1728" t="s">
        <v>504</v>
      </c>
      <c r="FP1728" t="str">
        <f t="shared" si="211"/>
        <v>B</v>
      </c>
    </row>
    <row r="1729" spans="153:172" x14ac:dyDescent="0.35">
      <c r="EW1729" t="s">
        <v>2339</v>
      </c>
      <c r="EX1729" s="33" t="s">
        <v>2308</v>
      </c>
      <c r="EY1729" s="35" t="s">
        <v>1922</v>
      </c>
      <c r="EZ1729" s="36">
        <v>506823</v>
      </c>
      <c r="FA1729" s="36" t="s">
        <v>1726</v>
      </c>
      <c r="FB1729" s="36" t="s">
        <v>473</v>
      </c>
      <c r="FC1729" s="36" t="s">
        <v>53</v>
      </c>
      <c r="FD1729" s="36" t="s">
        <v>476</v>
      </c>
      <c r="FE1729" s="36">
        <v>2020</v>
      </c>
      <c r="FF1729" s="36" t="s">
        <v>474</v>
      </c>
      <c r="FG1729" s="36" t="s">
        <v>1728</v>
      </c>
      <c r="FJ1729" t="s">
        <v>474</v>
      </c>
      <c r="FM1729" s="32" t="s">
        <v>961</v>
      </c>
      <c r="FN1729" t="s">
        <v>962</v>
      </c>
      <c r="FO1729" t="s">
        <v>963</v>
      </c>
      <c r="FP1729" t="str">
        <f t="shared" ref="FP1729:FP1741" si="212">VLOOKUP(FO1729,EX:FF,9,0)</f>
        <v>B</v>
      </c>
    </row>
    <row r="1730" spans="153:172" x14ac:dyDescent="0.35">
      <c r="EW1730" t="s">
        <v>2339</v>
      </c>
      <c r="EX1730" s="33" t="s">
        <v>2246</v>
      </c>
      <c r="EY1730" s="35" t="s">
        <v>1923</v>
      </c>
      <c r="EZ1730" s="36">
        <v>506866</v>
      </c>
      <c r="FA1730" s="36" t="s">
        <v>1726</v>
      </c>
      <c r="FB1730" s="36" t="s">
        <v>473</v>
      </c>
      <c r="FC1730" s="36" t="s">
        <v>53</v>
      </c>
      <c r="FD1730" s="36" t="s">
        <v>476</v>
      </c>
      <c r="FE1730" s="36">
        <v>2020</v>
      </c>
      <c r="FF1730" s="36" t="s">
        <v>474</v>
      </c>
      <c r="FG1730" s="36" t="s">
        <v>1728</v>
      </c>
      <c r="FJ1730" t="s">
        <v>474</v>
      </c>
      <c r="FM1730" s="32" t="s">
        <v>436</v>
      </c>
      <c r="FN1730" t="s">
        <v>437</v>
      </c>
      <c r="FO1730" t="s">
        <v>438</v>
      </c>
      <c r="FP1730" t="str">
        <f t="shared" si="212"/>
        <v>B</v>
      </c>
    </row>
    <row r="1731" spans="153:172" x14ac:dyDescent="0.35">
      <c r="EW1731" t="s">
        <v>2339</v>
      </c>
      <c r="EX1731" s="33" t="s">
        <v>2322</v>
      </c>
      <c r="EY1731" s="35" t="s">
        <v>1924</v>
      </c>
      <c r="EZ1731" s="36">
        <v>507134</v>
      </c>
      <c r="FA1731" s="36" t="s">
        <v>1726</v>
      </c>
      <c r="FB1731" s="36" t="s">
        <v>473</v>
      </c>
      <c r="FC1731" s="36" t="s">
        <v>53</v>
      </c>
      <c r="FD1731" s="36" t="s">
        <v>476</v>
      </c>
      <c r="FE1731" s="36">
        <v>2020</v>
      </c>
      <c r="FF1731" s="36" t="s">
        <v>474</v>
      </c>
      <c r="FG1731" s="36" t="s">
        <v>1728</v>
      </c>
      <c r="FJ1731" t="s">
        <v>474</v>
      </c>
      <c r="FM1731" s="32" t="s">
        <v>1034</v>
      </c>
      <c r="FN1731" t="s">
        <v>1035</v>
      </c>
      <c r="FO1731" t="s">
        <v>1036</v>
      </c>
      <c r="FP1731" t="str">
        <f t="shared" si="212"/>
        <v>B</v>
      </c>
    </row>
    <row r="1732" spans="153:172" x14ac:dyDescent="0.35">
      <c r="EW1732" t="s">
        <v>2339</v>
      </c>
      <c r="EX1732" s="33" t="s">
        <v>1912</v>
      </c>
      <c r="EY1732" s="35" t="s">
        <v>1925</v>
      </c>
      <c r="EZ1732" s="36">
        <v>507160</v>
      </c>
      <c r="FA1732" s="36" t="s">
        <v>1726</v>
      </c>
      <c r="FB1732" s="36" t="s">
        <v>473</v>
      </c>
      <c r="FC1732" s="36" t="s">
        <v>53</v>
      </c>
      <c r="FD1732" s="36" t="s">
        <v>476</v>
      </c>
      <c r="FE1732" s="36">
        <v>2020</v>
      </c>
      <c r="FF1732" s="36" t="s">
        <v>474</v>
      </c>
      <c r="FG1732" s="36" t="s">
        <v>1728</v>
      </c>
      <c r="FJ1732" t="s">
        <v>474</v>
      </c>
      <c r="FM1732" s="32" t="s">
        <v>66</v>
      </c>
      <c r="FN1732" t="s">
        <v>67</v>
      </c>
      <c r="FO1732" t="s">
        <v>68</v>
      </c>
      <c r="FP1732" t="str">
        <f t="shared" si="212"/>
        <v>B</v>
      </c>
    </row>
    <row r="1733" spans="153:172" x14ac:dyDescent="0.35">
      <c r="EW1733" t="s">
        <v>2339</v>
      </c>
      <c r="EX1733" s="33" t="s">
        <v>1405</v>
      </c>
      <c r="EY1733" s="35" t="s">
        <v>1928</v>
      </c>
      <c r="EZ1733" s="36">
        <v>507108</v>
      </c>
      <c r="FA1733" s="36" t="s">
        <v>1726</v>
      </c>
      <c r="FB1733" s="36" t="s">
        <v>473</v>
      </c>
      <c r="FC1733" s="36" t="s">
        <v>53</v>
      </c>
      <c r="FD1733" s="36" t="s">
        <v>476</v>
      </c>
      <c r="FE1733" s="36">
        <v>2020</v>
      </c>
      <c r="FF1733" s="36" t="s">
        <v>474</v>
      </c>
      <c r="FG1733" s="36" t="s">
        <v>1728</v>
      </c>
      <c r="FJ1733" t="s">
        <v>474</v>
      </c>
      <c r="FM1733" s="32" t="s">
        <v>396</v>
      </c>
      <c r="FN1733" t="s">
        <v>397</v>
      </c>
      <c r="FO1733" t="s">
        <v>398</v>
      </c>
      <c r="FP1733" t="str">
        <f t="shared" si="212"/>
        <v>B</v>
      </c>
    </row>
    <row r="1734" spans="153:172" x14ac:dyDescent="0.35">
      <c r="EW1734" t="s">
        <v>2339</v>
      </c>
      <c r="EX1734" s="33" t="s">
        <v>1273</v>
      </c>
      <c r="EY1734" s="35" t="s">
        <v>1930</v>
      </c>
      <c r="EZ1734" s="36">
        <v>507057</v>
      </c>
      <c r="FA1734" s="36" t="s">
        <v>1726</v>
      </c>
      <c r="FB1734" s="36" t="s">
        <v>473</v>
      </c>
      <c r="FC1734" s="36" t="s">
        <v>53</v>
      </c>
      <c r="FD1734" s="36" t="s">
        <v>476</v>
      </c>
      <c r="FE1734" s="36">
        <v>2020</v>
      </c>
      <c r="FF1734" s="36" t="s">
        <v>474</v>
      </c>
      <c r="FG1734" s="36" t="s">
        <v>1193</v>
      </c>
      <c r="FJ1734" t="s">
        <v>474</v>
      </c>
      <c r="FM1734" s="32" t="s">
        <v>3016</v>
      </c>
      <c r="FN1734" t="s">
        <v>3016</v>
      </c>
      <c r="FO1734" t="s">
        <v>2881</v>
      </c>
      <c r="FP1734" t="str">
        <f t="shared" si="212"/>
        <v>B</v>
      </c>
    </row>
    <row r="1735" spans="153:172" x14ac:dyDescent="0.35">
      <c r="EW1735" t="s">
        <v>2339</v>
      </c>
      <c r="EX1735" s="33" t="s">
        <v>1389</v>
      </c>
      <c r="EY1735" s="35" t="s">
        <v>1932</v>
      </c>
      <c r="EZ1735" s="36">
        <v>507062</v>
      </c>
      <c r="FA1735" s="36" t="s">
        <v>1726</v>
      </c>
      <c r="FB1735" s="36" t="s">
        <v>473</v>
      </c>
      <c r="FC1735" s="36" t="s">
        <v>53</v>
      </c>
      <c r="FD1735" s="36" t="s">
        <v>476</v>
      </c>
      <c r="FE1735" s="36">
        <v>2020</v>
      </c>
      <c r="FF1735" s="36" t="s">
        <v>474</v>
      </c>
      <c r="FG1735" s="36" t="s">
        <v>1193</v>
      </c>
      <c r="FJ1735" t="s">
        <v>474</v>
      </c>
      <c r="FM1735" s="32" t="s">
        <v>2962</v>
      </c>
      <c r="FN1735" t="s">
        <v>2962</v>
      </c>
      <c r="FO1735" t="s">
        <v>2910</v>
      </c>
      <c r="FP1735" t="str">
        <f t="shared" si="212"/>
        <v>B</v>
      </c>
    </row>
    <row r="1736" spans="153:172" x14ac:dyDescent="0.35">
      <c r="EW1736" t="s">
        <v>2339</v>
      </c>
      <c r="EX1736" s="33" t="s">
        <v>1934</v>
      </c>
      <c r="EY1736" s="35" t="s">
        <v>1935</v>
      </c>
      <c r="EZ1736" s="36">
        <v>507971</v>
      </c>
      <c r="FA1736" s="36" t="s">
        <v>1726</v>
      </c>
      <c r="FB1736" s="36" t="s">
        <v>473</v>
      </c>
      <c r="FC1736" s="36" t="s">
        <v>53</v>
      </c>
      <c r="FD1736" s="36" t="s">
        <v>476</v>
      </c>
      <c r="FE1736" s="36">
        <v>2020</v>
      </c>
      <c r="FF1736" s="36" t="s">
        <v>474</v>
      </c>
      <c r="FG1736" s="36" t="s">
        <v>1728</v>
      </c>
      <c r="FJ1736" t="s">
        <v>474</v>
      </c>
      <c r="FM1736" s="32" t="s">
        <v>502</v>
      </c>
      <c r="FN1736" t="s">
        <v>503</v>
      </c>
      <c r="FO1736" t="s">
        <v>504</v>
      </c>
      <c r="FP1736" t="str">
        <f t="shared" si="212"/>
        <v>B</v>
      </c>
    </row>
    <row r="1737" spans="153:172" x14ac:dyDescent="0.35">
      <c r="EW1737" t="s">
        <v>2339</v>
      </c>
      <c r="EX1737" s="33" t="s">
        <v>2252</v>
      </c>
      <c r="EY1737" s="35" t="s">
        <v>1936</v>
      </c>
      <c r="EZ1737" s="36">
        <v>508481</v>
      </c>
      <c r="FA1737" s="36" t="s">
        <v>1726</v>
      </c>
      <c r="FB1737" s="36" t="s">
        <v>473</v>
      </c>
      <c r="FC1737" s="36" t="s">
        <v>53</v>
      </c>
      <c r="FD1737" s="36" t="s">
        <v>476</v>
      </c>
      <c r="FE1737" s="36">
        <v>2020</v>
      </c>
      <c r="FF1737" s="36" t="s">
        <v>474</v>
      </c>
      <c r="FG1737" s="36" t="s">
        <v>1193</v>
      </c>
      <c r="FJ1737" t="s">
        <v>474</v>
      </c>
      <c r="FM1737" s="32" t="s">
        <v>360</v>
      </c>
      <c r="FN1737" t="s">
        <v>361</v>
      </c>
      <c r="FO1737" t="s">
        <v>362</v>
      </c>
      <c r="FP1737" t="str">
        <f t="shared" si="212"/>
        <v>B</v>
      </c>
    </row>
    <row r="1738" spans="153:172" x14ac:dyDescent="0.35">
      <c r="EW1738" t="s">
        <v>2339</v>
      </c>
      <c r="EX1738" s="33" t="s">
        <v>1861</v>
      </c>
      <c r="EY1738" s="35" t="s">
        <v>1939</v>
      </c>
      <c r="EZ1738" s="36">
        <v>509156</v>
      </c>
      <c r="FA1738" s="36" t="s">
        <v>1726</v>
      </c>
      <c r="FB1738" s="36" t="s">
        <v>473</v>
      </c>
      <c r="FC1738" s="36" t="s">
        <v>53</v>
      </c>
      <c r="FD1738" s="36" t="s">
        <v>476</v>
      </c>
      <c r="FE1738" s="36">
        <v>2020</v>
      </c>
      <c r="FF1738" s="36" t="s">
        <v>474</v>
      </c>
      <c r="FG1738" s="36" t="s">
        <v>1193</v>
      </c>
      <c r="FJ1738" t="s">
        <v>474</v>
      </c>
      <c r="FM1738" s="32" t="s">
        <v>636</v>
      </c>
      <c r="FN1738" t="s">
        <v>637</v>
      </c>
      <c r="FO1738" t="s">
        <v>638</v>
      </c>
      <c r="FP1738" t="str">
        <f t="shared" si="212"/>
        <v>B</v>
      </c>
    </row>
    <row r="1739" spans="153:172" x14ac:dyDescent="0.35">
      <c r="EW1739" t="s">
        <v>2339</v>
      </c>
      <c r="EX1739" s="33" t="s">
        <v>1243</v>
      </c>
      <c r="EY1739" s="35" t="s">
        <v>1940</v>
      </c>
      <c r="EZ1739" s="36">
        <v>509224</v>
      </c>
      <c r="FA1739" s="36" t="s">
        <v>1726</v>
      </c>
      <c r="FB1739" s="36" t="s">
        <v>473</v>
      </c>
      <c r="FC1739" s="36" t="s">
        <v>53</v>
      </c>
      <c r="FD1739" s="36" t="s">
        <v>476</v>
      </c>
      <c r="FE1739" s="36">
        <v>2020</v>
      </c>
      <c r="FF1739" s="36" t="s">
        <v>474</v>
      </c>
      <c r="FG1739" s="36" t="s">
        <v>1193</v>
      </c>
      <c r="FJ1739" t="s">
        <v>474</v>
      </c>
      <c r="FM1739" s="32" t="s">
        <v>1034</v>
      </c>
      <c r="FN1739" t="s">
        <v>1035</v>
      </c>
      <c r="FO1739" t="s">
        <v>1036</v>
      </c>
      <c r="FP1739" t="str">
        <f t="shared" si="212"/>
        <v>B</v>
      </c>
    </row>
    <row r="1740" spans="153:172" x14ac:dyDescent="0.35">
      <c r="EW1740" t="s">
        <v>2339</v>
      </c>
      <c r="EX1740" s="33" t="s">
        <v>1739</v>
      </c>
      <c r="EY1740" s="35" t="s">
        <v>1941</v>
      </c>
      <c r="EZ1740" s="36">
        <v>509231</v>
      </c>
      <c r="FA1740" s="36" t="s">
        <v>1726</v>
      </c>
      <c r="FB1740" s="36" t="s">
        <v>473</v>
      </c>
      <c r="FC1740" s="36" t="s">
        <v>53</v>
      </c>
      <c r="FD1740" s="36" t="s">
        <v>476</v>
      </c>
      <c r="FE1740" s="36">
        <v>2020</v>
      </c>
      <c r="FF1740" s="36" t="s">
        <v>474</v>
      </c>
      <c r="FG1740" s="36" t="s">
        <v>1728</v>
      </c>
      <c r="FJ1740" t="s">
        <v>474</v>
      </c>
      <c r="FM1740" s="32" t="s">
        <v>226</v>
      </c>
      <c r="FN1740" t="s">
        <v>227</v>
      </c>
      <c r="FO1740" t="s">
        <v>228</v>
      </c>
      <c r="FP1740" t="str">
        <f t="shared" si="212"/>
        <v>B</v>
      </c>
    </row>
    <row r="1741" spans="153:172" x14ac:dyDescent="0.35">
      <c r="EW1741" t="s">
        <v>2339</v>
      </c>
      <c r="EX1741" s="33" t="s">
        <v>2208</v>
      </c>
      <c r="EY1741" s="35" t="s">
        <v>1944</v>
      </c>
      <c r="EZ1741" s="36">
        <v>509235</v>
      </c>
      <c r="FA1741" s="36" t="s">
        <v>1726</v>
      </c>
      <c r="FB1741" s="36" t="s">
        <v>473</v>
      </c>
      <c r="FC1741" s="36" t="s">
        <v>53</v>
      </c>
      <c r="FD1741" s="36" t="s">
        <v>476</v>
      </c>
      <c r="FE1741" s="36">
        <v>2020</v>
      </c>
      <c r="FF1741" s="36" t="s">
        <v>474</v>
      </c>
      <c r="FG1741" s="36" t="s">
        <v>1193</v>
      </c>
      <c r="FJ1741" t="s">
        <v>474</v>
      </c>
      <c r="FM1741" s="32" t="s">
        <v>436</v>
      </c>
      <c r="FN1741" t="s">
        <v>437</v>
      </c>
      <c r="FO1741" t="s">
        <v>438</v>
      </c>
      <c r="FP1741" t="str">
        <f t="shared" si="212"/>
        <v>B</v>
      </c>
    </row>
    <row r="1742" spans="153:172" x14ac:dyDescent="0.35">
      <c r="EW1742" t="s">
        <v>2339</v>
      </c>
      <c r="EX1742" s="33" t="s">
        <v>3066</v>
      </c>
      <c r="EY1742" s="35" t="s">
        <v>1947</v>
      </c>
      <c r="EZ1742" s="36">
        <v>507983</v>
      </c>
      <c r="FA1742" s="36" t="s">
        <v>1726</v>
      </c>
      <c r="FB1742" s="36" t="s">
        <v>473</v>
      </c>
      <c r="FC1742" s="36" t="s">
        <v>53</v>
      </c>
      <c r="FD1742" s="36" t="s">
        <v>476</v>
      </c>
      <c r="FE1742" s="36">
        <v>2020</v>
      </c>
      <c r="FF1742" s="36" t="s">
        <v>474</v>
      </c>
      <c r="FG1742" s="36" t="s">
        <v>1728</v>
      </c>
      <c r="FJ1742" t="s">
        <v>474</v>
      </c>
    </row>
    <row r="1743" spans="153:172" x14ac:dyDescent="0.35">
      <c r="EW1743" t="s">
        <v>2339</v>
      </c>
      <c r="EX1743" s="33" t="s">
        <v>1379</v>
      </c>
      <c r="EY1743" s="35" t="s">
        <v>1948</v>
      </c>
      <c r="EZ1743" s="36">
        <v>509204</v>
      </c>
      <c r="FA1743" s="36" t="s">
        <v>1726</v>
      </c>
      <c r="FB1743" s="36" t="s">
        <v>473</v>
      </c>
      <c r="FC1743" s="36" t="s">
        <v>53</v>
      </c>
      <c r="FD1743" s="36" t="s">
        <v>476</v>
      </c>
      <c r="FE1743" s="36">
        <v>2020</v>
      </c>
      <c r="FF1743" s="36" t="s">
        <v>474</v>
      </c>
      <c r="FG1743" s="36" t="s">
        <v>1193</v>
      </c>
      <c r="FJ1743" t="s">
        <v>474</v>
      </c>
    </row>
    <row r="1744" spans="153:172" x14ac:dyDescent="0.35">
      <c r="EW1744" t="s">
        <v>2339</v>
      </c>
      <c r="EX1744" s="33" t="s">
        <v>2083</v>
      </c>
      <c r="EY1744" s="35" t="s">
        <v>1949</v>
      </c>
      <c r="EZ1744" s="36">
        <v>507876</v>
      </c>
      <c r="FA1744" s="36" t="s">
        <v>1726</v>
      </c>
      <c r="FB1744" s="36" t="s">
        <v>473</v>
      </c>
      <c r="FC1744" s="36" t="s">
        <v>53</v>
      </c>
      <c r="FD1744" s="36" t="s">
        <v>476</v>
      </c>
      <c r="FE1744" s="36">
        <v>2020</v>
      </c>
      <c r="FF1744" s="36" t="s">
        <v>474</v>
      </c>
      <c r="FG1744" s="36" t="s">
        <v>1728</v>
      </c>
      <c r="FJ1744" t="s">
        <v>474</v>
      </c>
    </row>
    <row r="1745" spans="153:166" x14ac:dyDescent="0.35">
      <c r="EW1745" t="s">
        <v>2339</v>
      </c>
      <c r="EX1745" s="33" t="s">
        <v>1307</v>
      </c>
      <c r="EY1745" s="35" t="s">
        <v>1950</v>
      </c>
      <c r="EZ1745" s="36">
        <v>507532</v>
      </c>
      <c r="FA1745" s="36" t="s">
        <v>1726</v>
      </c>
      <c r="FB1745" s="36" t="s">
        <v>473</v>
      </c>
      <c r="FC1745" s="36" t="s">
        <v>53</v>
      </c>
      <c r="FD1745" s="36" t="s">
        <v>476</v>
      </c>
      <c r="FE1745" s="36">
        <v>2020</v>
      </c>
      <c r="FF1745" s="36" t="s">
        <v>474</v>
      </c>
      <c r="FG1745" s="36" t="s">
        <v>1728</v>
      </c>
      <c r="FJ1745" t="s">
        <v>474</v>
      </c>
    </row>
    <row r="1746" spans="153:166" x14ac:dyDescent="0.35">
      <c r="EW1746" t="s">
        <v>2339</v>
      </c>
      <c r="EX1746" s="33" t="s">
        <v>1901</v>
      </c>
      <c r="EY1746" s="35" t="s">
        <v>1953</v>
      </c>
      <c r="EZ1746" s="36">
        <v>508062</v>
      </c>
      <c r="FA1746" s="36" t="s">
        <v>1726</v>
      </c>
      <c r="FB1746" s="36" t="s">
        <v>473</v>
      </c>
      <c r="FC1746" s="36" t="s">
        <v>53</v>
      </c>
      <c r="FD1746" s="36" t="s">
        <v>476</v>
      </c>
      <c r="FE1746" s="36">
        <v>2020</v>
      </c>
      <c r="FF1746" s="36" t="s">
        <v>474</v>
      </c>
      <c r="FG1746" s="36" t="s">
        <v>1728</v>
      </c>
      <c r="FJ1746" t="s">
        <v>474</v>
      </c>
    </row>
    <row r="1747" spans="153:166" x14ac:dyDescent="0.35">
      <c r="EW1747" t="s">
        <v>2339</v>
      </c>
      <c r="EX1747" s="33" t="s">
        <v>1249</v>
      </c>
      <c r="EY1747" s="35" t="s">
        <v>1954</v>
      </c>
      <c r="EZ1747" s="36">
        <v>507705</v>
      </c>
      <c r="FA1747" s="36" t="s">
        <v>1726</v>
      </c>
      <c r="FB1747" s="36" t="s">
        <v>473</v>
      </c>
      <c r="FC1747" s="36" t="s">
        <v>53</v>
      </c>
      <c r="FD1747" s="36" t="s">
        <v>476</v>
      </c>
      <c r="FE1747" s="36">
        <v>2020</v>
      </c>
      <c r="FF1747" s="36" t="s">
        <v>474</v>
      </c>
      <c r="FG1747" s="36" t="s">
        <v>1728</v>
      </c>
      <c r="FJ1747" t="s">
        <v>474</v>
      </c>
    </row>
    <row r="1748" spans="153:166" x14ac:dyDescent="0.35">
      <c r="EW1748" t="s">
        <v>2339</v>
      </c>
      <c r="EX1748" s="33" t="s">
        <v>1526</v>
      </c>
      <c r="EY1748" s="35" t="s">
        <v>1957</v>
      </c>
      <c r="EZ1748" s="36">
        <v>507636</v>
      </c>
      <c r="FA1748" s="36" t="s">
        <v>1726</v>
      </c>
      <c r="FB1748" s="36" t="s">
        <v>473</v>
      </c>
      <c r="FC1748" s="36" t="s">
        <v>53</v>
      </c>
      <c r="FD1748" s="36" t="s">
        <v>476</v>
      </c>
      <c r="FE1748" s="36">
        <v>2020</v>
      </c>
      <c r="FF1748" s="36" t="s">
        <v>474</v>
      </c>
      <c r="FG1748" s="36" t="s">
        <v>1728</v>
      </c>
      <c r="FJ1748" t="s">
        <v>474</v>
      </c>
    </row>
    <row r="1749" spans="153:166" x14ac:dyDescent="0.35">
      <c r="EW1749" t="s">
        <v>2339</v>
      </c>
      <c r="EX1749" s="33" t="s">
        <v>2302</v>
      </c>
      <c r="EY1749" s="35" t="s">
        <v>1958</v>
      </c>
      <c r="EZ1749" s="36">
        <v>508054</v>
      </c>
      <c r="FA1749" s="36" t="s">
        <v>1726</v>
      </c>
      <c r="FB1749" s="36" t="s">
        <v>473</v>
      </c>
      <c r="FC1749" s="36" t="s">
        <v>53</v>
      </c>
      <c r="FD1749" s="36" t="s">
        <v>476</v>
      </c>
      <c r="FE1749" s="36">
        <v>2020</v>
      </c>
      <c r="FF1749" s="36" t="s">
        <v>474</v>
      </c>
      <c r="FG1749" s="36" t="s">
        <v>1728</v>
      </c>
      <c r="FJ1749" t="s">
        <v>474</v>
      </c>
    </row>
    <row r="1750" spans="153:166" x14ac:dyDescent="0.35">
      <c r="EW1750" t="s">
        <v>2339</v>
      </c>
      <c r="EX1750" s="33" t="s">
        <v>1795</v>
      </c>
      <c r="EY1750" s="35" t="s">
        <v>1959</v>
      </c>
      <c r="EZ1750" s="36">
        <v>508070</v>
      </c>
      <c r="FA1750" s="36" t="s">
        <v>1726</v>
      </c>
      <c r="FB1750" s="36" t="s">
        <v>473</v>
      </c>
      <c r="FC1750" s="36" t="s">
        <v>53</v>
      </c>
      <c r="FD1750" s="36" t="s">
        <v>476</v>
      </c>
      <c r="FE1750" s="36">
        <v>2020</v>
      </c>
      <c r="FF1750" s="36" t="s">
        <v>474</v>
      </c>
      <c r="FG1750" s="36" t="s">
        <v>1728</v>
      </c>
      <c r="FJ1750" t="s">
        <v>474</v>
      </c>
    </row>
    <row r="1751" spans="153:166" x14ac:dyDescent="0.35">
      <c r="EW1751" t="s">
        <v>2339</v>
      </c>
      <c r="EX1751" s="33" t="s">
        <v>2455</v>
      </c>
      <c r="EY1751" s="35" t="s">
        <v>1960</v>
      </c>
      <c r="EZ1751" s="36">
        <v>507800</v>
      </c>
      <c r="FA1751" s="36" t="s">
        <v>1726</v>
      </c>
      <c r="FB1751" s="36" t="s">
        <v>473</v>
      </c>
      <c r="FC1751" s="36" t="s">
        <v>53</v>
      </c>
      <c r="FD1751" s="36" t="s">
        <v>476</v>
      </c>
      <c r="FE1751" s="36">
        <v>2020</v>
      </c>
      <c r="FF1751" s="36" t="s">
        <v>474</v>
      </c>
      <c r="FG1751" s="36" t="s">
        <v>1728</v>
      </c>
      <c r="FJ1751" t="s">
        <v>474</v>
      </c>
    </row>
    <row r="1752" spans="153:166" x14ac:dyDescent="0.35">
      <c r="EW1752" t="s">
        <v>2339</v>
      </c>
      <c r="EX1752" s="33" t="s">
        <v>1299</v>
      </c>
      <c r="EY1752" s="35" t="s">
        <v>1961</v>
      </c>
      <c r="EZ1752" s="36">
        <v>508092</v>
      </c>
      <c r="FA1752" s="36" t="s">
        <v>1726</v>
      </c>
      <c r="FB1752" s="36" t="s">
        <v>473</v>
      </c>
      <c r="FC1752" s="36" t="s">
        <v>53</v>
      </c>
      <c r="FD1752" s="36" t="s">
        <v>476</v>
      </c>
      <c r="FE1752" s="36">
        <v>2020</v>
      </c>
      <c r="FF1752" s="36" t="s">
        <v>474</v>
      </c>
      <c r="FG1752" s="36" t="s">
        <v>1728</v>
      </c>
      <c r="FJ1752" t="s">
        <v>474</v>
      </c>
    </row>
    <row r="1753" spans="153:166" x14ac:dyDescent="0.35">
      <c r="EW1753" t="s">
        <v>2339</v>
      </c>
      <c r="EX1753" s="33" t="s">
        <v>1782</v>
      </c>
      <c r="EY1753" s="35" t="s">
        <v>1962</v>
      </c>
      <c r="EZ1753" s="36">
        <v>507827</v>
      </c>
      <c r="FA1753" s="36" t="s">
        <v>1726</v>
      </c>
      <c r="FB1753" s="36" t="s">
        <v>473</v>
      </c>
      <c r="FC1753" s="36" t="s">
        <v>53</v>
      </c>
      <c r="FD1753" s="36" t="s">
        <v>476</v>
      </c>
      <c r="FE1753" s="36">
        <v>2020</v>
      </c>
      <c r="FF1753" s="36" t="s">
        <v>474</v>
      </c>
      <c r="FG1753" s="36" t="s">
        <v>1728</v>
      </c>
      <c r="FJ1753" t="s">
        <v>474</v>
      </c>
    </row>
    <row r="1754" spans="153:166" x14ac:dyDescent="0.35">
      <c r="EW1754" t="s">
        <v>2339</v>
      </c>
      <c r="EX1754" s="33" t="s">
        <v>2428</v>
      </c>
      <c r="EY1754" s="35" t="s">
        <v>1963</v>
      </c>
      <c r="EZ1754" s="36">
        <v>508067</v>
      </c>
      <c r="FA1754" s="36" t="s">
        <v>1726</v>
      </c>
      <c r="FB1754" s="36" t="s">
        <v>473</v>
      </c>
      <c r="FC1754" s="36" t="s">
        <v>53</v>
      </c>
      <c r="FD1754" s="36" t="s">
        <v>476</v>
      </c>
      <c r="FE1754" s="36">
        <v>2020</v>
      </c>
      <c r="FF1754" s="36" t="s">
        <v>474</v>
      </c>
      <c r="FG1754" s="36" t="s">
        <v>1728</v>
      </c>
      <c r="FJ1754" t="s">
        <v>474</v>
      </c>
    </row>
    <row r="1755" spans="153:166" x14ac:dyDescent="0.35">
      <c r="EW1755" t="s">
        <v>2339</v>
      </c>
      <c r="EX1755" s="33" t="s">
        <v>1293</v>
      </c>
      <c r="EY1755" s="35" t="s">
        <v>1964</v>
      </c>
      <c r="EZ1755" s="36">
        <v>507830</v>
      </c>
      <c r="FA1755" s="36" t="s">
        <v>1726</v>
      </c>
      <c r="FB1755" s="36" t="s">
        <v>473</v>
      </c>
      <c r="FC1755" s="36" t="s">
        <v>53</v>
      </c>
      <c r="FD1755" s="36" t="s">
        <v>476</v>
      </c>
      <c r="FE1755" s="36">
        <v>2020</v>
      </c>
      <c r="FF1755" s="36" t="s">
        <v>474</v>
      </c>
      <c r="FG1755" s="36" t="s">
        <v>1728</v>
      </c>
      <c r="FJ1755" t="s">
        <v>474</v>
      </c>
    </row>
    <row r="1756" spans="153:166" x14ac:dyDescent="0.35">
      <c r="EW1756" t="s">
        <v>2339</v>
      </c>
      <c r="EX1756" s="33" t="s">
        <v>1754</v>
      </c>
      <c r="EY1756" s="35" t="s">
        <v>1965</v>
      </c>
      <c r="EZ1756" s="36">
        <v>507813</v>
      </c>
      <c r="FA1756" s="36" t="s">
        <v>1726</v>
      </c>
      <c r="FB1756" s="36" t="s">
        <v>473</v>
      </c>
      <c r="FC1756" s="36" t="s">
        <v>53</v>
      </c>
      <c r="FD1756" s="36" t="s">
        <v>476</v>
      </c>
      <c r="FE1756" s="36">
        <v>2020</v>
      </c>
      <c r="FF1756" s="36" t="s">
        <v>474</v>
      </c>
      <c r="FG1756" s="36" t="s">
        <v>1728</v>
      </c>
      <c r="FJ1756" t="s">
        <v>474</v>
      </c>
    </row>
    <row r="1757" spans="153:166" x14ac:dyDescent="0.35">
      <c r="EW1757" t="s">
        <v>2339</v>
      </c>
      <c r="EX1757" s="33" t="s">
        <v>1230</v>
      </c>
      <c r="EY1757" s="35" t="s">
        <v>1966</v>
      </c>
      <c r="EZ1757" s="36">
        <v>507862</v>
      </c>
      <c r="FA1757" s="36" t="s">
        <v>1726</v>
      </c>
      <c r="FB1757" s="36" t="s">
        <v>473</v>
      </c>
      <c r="FC1757" s="36" t="s">
        <v>53</v>
      </c>
      <c r="FD1757" s="36" t="s">
        <v>476</v>
      </c>
      <c r="FE1757" s="36">
        <v>2020</v>
      </c>
      <c r="FF1757" s="36" t="s">
        <v>474</v>
      </c>
      <c r="FG1757" s="36" t="s">
        <v>1728</v>
      </c>
      <c r="FJ1757" t="s">
        <v>474</v>
      </c>
    </row>
    <row r="1758" spans="153:166" x14ac:dyDescent="0.35">
      <c r="EW1758" t="s">
        <v>2339</v>
      </c>
      <c r="EX1758" s="33" t="s">
        <v>1628</v>
      </c>
      <c r="EY1758" s="35" t="s">
        <v>1967</v>
      </c>
      <c r="EZ1758" s="36">
        <v>507688</v>
      </c>
      <c r="FA1758" s="36" t="s">
        <v>1726</v>
      </c>
      <c r="FB1758" s="36" t="s">
        <v>473</v>
      </c>
      <c r="FC1758" s="36" t="s">
        <v>53</v>
      </c>
      <c r="FD1758" s="36" t="s">
        <v>476</v>
      </c>
      <c r="FE1758" s="36">
        <v>2020</v>
      </c>
      <c r="FF1758" s="36" t="s">
        <v>474</v>
      </c>
      <c r="FG1758" s="36" t="s">
        <v>1728</v>
      </c>
      <c r="FJ1758" t="s">
        <v>474</v>
      </c>
    </row>
    <row r="1759" spans="153:166" x14ac:dyDescent="0.35">
      <c r="EW1759" t="s">
        <v>2339</v>
      </c>
      <c r="EX1759" s="33" t="s">
        <v>1212</v>
      </c>
      <c r="EY1759" s="35" t="s">
        <v>1968</v>
      </c>
      <c r="EZ1759" s="36">
        <v>507514</v>
      </c>
      <c r="FA1759" s="36" t="s">
        <v>1726</v>
      </c>
      <c r="FB1759" s="36" t="s">
        <v>473</v>
      </c>
      <c r="FC1759" s="36" t="s">
        <v>53</v>
      </c>
      <c r="FD1759" s="36" t="s">
        <v>476</v>
      </c>
      <c r="FE1759" s="36">
        <v>2020</v>
      </c>
      <c r="FF1759" s="36" t="s">
        <v>474</v>
      </c>
      <c r="FG1759" s="36" t="s">
        <v>1728</v>
      </c>
      <c r="FJ1759" t="s">
        <v>474</v>
      </c>
    </row>
    <row r="1760" spans="153:166" x14ac:dyDescent="0.35">
      <c r="EW1760" t="s">
        <v>2339</v>
      </c>
      <c r="EX1760" s="33" t="s">
        <v>1286</v>
      </c>
      <c r="EY1760" s="35" t="s">
        <v>1969</v>
      </c>
      <c r="EZ1760" s="36">
        <v>508059</v>
      </c>
      <c r="FA1760" s="36" t="s">
        <v>1726</v>
      </c>
      <c r="FB1760" s="36" t="s">
        <v>473</v>
      </c>
      <c r="FC1760" s="36" t="s">
        <v>53</v>
      </c>
      <c r="FD1760" s="36" t="s">
        <v>476</v>
      </c>
      <c r="FE1760" s="36">
        <v>2020</v>
      </c>
      <c r="FF1760" s="36" t="s">
        <v>474</v>
      </c>
      <c r="FG1760" s="36" t="s">
        <v>1728</v>
      </c>
      <c r="FJ1760" t="s">
        <v>474</v>
      </c>
    </row>
    <row r="1761" spans="153:166" x14ac:dyDescent="0.35">
      <c r="EW1761" t="s">
        <v>2339</v>
      </c>
      <c r="EX1761" s="33" t="s">
        <v>1878</v>
      </c>
      <c r="EY1761" s="35" t="s">
        <v>1970</v>
      </c>
      <c r="EZ1761" s="36">
        <v>507493</v>
      </c>
      <c r="FA1761" s="36" t="s">
        <v>1726</v>
      </c>
      <c r="FB1761" s="36" t="s">
        <v>473</v>
      </c>
      <c r="FC1761" s="36" t="s">
        <v>53</v>
      </c>
      <c r="FD1761" s="36" t="s">
        <v>476</v>
      </c>
      <c r="FE1761" s="36">
        <v>2020</v>
      </c>
      <c r="FF1761" s="36" t="s">
        <v>474</v>
      </c>
      <c r="FG1761" s="36" t="s">
        <v>1728</v>
      </c>
      <c r="FJ1761" t="s">
        <v>474</v>
      </c>
    </row>
    <row r="1762" spans="153:166" x14ac:dyDescent="0.35">
      <c r="EW1762" t="s">
        <v>2339</v>
      </c>
      <c r="EX1762" s="33" t="s">
        <v>1731</v>
      </c>
      <c r="EY1762" s="35" t="s">
        <v>1971</v>
      </c>
      <c r="EZ1762" s="36">
        <v>508050</v>
      </c>
      <c r="FA1762" s="36" t="s">
        <v>1726</v>
      </c>
      <c r="FB1762" s="36" t="s">
        <v>473</v>
      </c>
      <c r="FC1762" s="36" t="s">
        <v>53</v>
      </c>
      <c r="FD1762" s="36" t="s">
        <v>476</v>
      </c>
      <c r="FE1762" s="36">
        <v>2020</v>
      </c>
      <c r="FF1762" s="36" t="s">
        <v>474</v>
      </c>
      <c r="FG1762" s="36" t="s">
        <v>1728</v>
      </c>
      <c r="FJ1762" t="s">
        <v>474</v>
      </c>
    </row>
    <row r="1763" spans="153:166" x14ac:dyDescent="0.35">
      <c r="EW1763" t="s">
        <v>2339</v>
      </c>
      <c r="EX1763" s="33" t="s">
        <v>1359</v>
      </c>
      <c r="EY1763" s="35" t="s">
        <v>1972</v>
      </c>
      <c r="EZ1763" s="36">
        <v>507531</v>
      </c>
      <c r="FA1763" s="36" t="s">
        <v>1726</v>
      </c>
      <c r="FB1763" s="36" t="s">
        <v>473</v>
      </c>
      <c r="FC1763" s="36" t="s">
        <v>53</v>
      </c>
      <c r="FD1763" s="36" t="s">
        <v>476</v>
      </c>
      <c r="FE1763" s="36">
        <v>2020</v>
      </c>
      <c r="FF1763" s="36" t="s">
        <v>474</v>
      </c>
      <c r="FG1763" s="36" t="s">
        <v>1728</v>
      </c>
      <c r="FJ1763" t="s">
        <v>474</v>
      </c>
    </row>
    <row r="1764" spans="153:166" x14ac:dyDescent="0.35">
      <c r="EW1764" t="s">
        <v>2339</v>
      </c>
      <c r="EX1764" s="33" t="s">
        <v>1261</v>
      </c>
      <c r="EY1764" s="35" t="s">
        <v>1973</v>
      </c>
      <c r="EZ1764" s="36">
        <v>507748</v>
      </c>
      <c r="FA1764" s="36" t="s">
        <v>1726</v>
      </c>
      <c r="FB1764" s="36" t="s">
        <v>473</v>
      </c>
      <c r="FC1764" s="36" t="s">
        <v>53</v>
      </c>
      <c r="FD1764" s="36" t="s">
        <v>476</v>
      </c>
      <c r="FE1764" s="36">
        <v>2020</v>
      </c>
      <c r="FF1764" s="36" t="s">
        <v>474</v>
      </c>
      <c r="FG1764" s="36" t="s">
        <v>1728</v>
      </c>
      <c r="FJ1764" t="s">
        <v>474</v>
      </c>
    </row>
    <row r="1765" spans="153:166" x14ac:dyDescent="0.35">
      <c r="EW1765" t="s">
        <v>2339</v>
      </c>
      <c r="EX1765" s="33" t="s">
        <v>1409</v>
      </c>
      <c r="EY1765" s="35" t="s">
        <v>1974</v>
      </c>
      <c r="EZ1765" s="36">
        <v>508084</v>
      </c>
      <c r="FA1765" s="36" t="s">
        <v>1726</v>
      </c>
      <c r="FB1765" s="36" t="s">
        <v>473</v>
      </c>
      <c r="FC1765" s="36" t="s">
        <v>53</v>
      </c>
      <c r="FD1765" s="36" t="s">
        <v>476</v>
      </c>
      <c r="FE1765" s="36">
        <v>2020</v>
      </c>
      <c r="FF1765" s="36" t="s">
        <v>474</v>
      </c>
      <c r="FG1765" s="36" t="s">
        <v>1728</v>
      </c>
      <c r="FJ1765" t="s">
        <v>474</v>
      </c>
    </row>
    <row r="1766" spans="153:166" x14ac:dyDescent="0.35">
      <c r="EW1766" t="s">
        <v>2339</v>
      </c>
      <c r="EX1766" s="33" t="s">
        <v>2260</v>
      </c>
      <c r="EY1766" s="35" t="s">
        <v>1975</v>
      </c>
      <c r="EZ1766" s="36">
        <v>507795</v>
      </c>
      <c r="FA1766" s="36" t="s">
        <v>1726</v>
      </c>
      <c r="FB1766" s="36" t="s">
        <v>473</v>
      </c>
      <c r="FC1766" s="36" t="s">
        <v>53</v>
      </c>
      <c r="FD1766" s="36" t="s">
        <v>476</v>
      </c>
      <c r="FE1766" s="36">
        <v>2020</v>
      </c>
      <c r="FF1766" s="36" t="s">
        <v>474</v>
      </c>
      <c r="FG1766" s="36" t="s">
        <v>1728</v>
      </c>
      <c r="FJ1766" t="s">
        <v>474</v>
      </c>
    </row>
    <row r="1767" spans="153:166" x14ac:dyDescent="0.35">
      <c r="EW1767" t="s">
        <v>2339</v>
      </c>
      <c r="EX1767" s="33" t="s">
        <v>1778</v>
      </c>
      <c r="EY1767" s="35" t="s">
        <v>1976</v>
      </c>
      <c r="EZ1767" s="36">
        <v>507522</v>
      </c>
      <c r="FA1767" s="36" t="s">
        <v>1726</v>
      </c>
      <c r="FB1767" s="36" t="s">
        <v>473</v>
      </c>
      <c r="FC1767" s="36" t="s">
        <v>53</v>
      </c>
      <c r="FD1767" s="36" t="s">
        <v>476</v>
      </c>
      <c r="FE1767" s="36">
        <v>2020</v>
      </c>
      <c r="FF1767" s="36" t="s">
        <v>474</v>
      </c>
      <c r="FG1767" s="36" t="s">
        <v>1728</v>
      </c>
      <c r="FJ1767" t="s">
        <v>474</v>
      </c>
    </row>
    <row r="1768" spans="153:166" x14ac:dyDescent="0.35">
      <c r="EW1768" t="s">
        <v>2339</v>
      </c>
      <c r="EX1768" s="33" t="s">
        <v>1736</v>
      </c>
      <c r="EY1768" s="35" t="s">
        <v>1979</v>
      </c>
      <c r="EZ1768" s="36">
        <v>506628</v>
      </c>
      <c r="FA1768" s="36" t="s">
        <v>1726</v>
      </c>
      <c r="FB1768" s="36" t="s">
        <v>473</v>
      </c>
      <c r="FC1768" s="36" t="s">
        <v>53</v>
      </c>
      <c r="FD1768" s="36" t="s">
        <v>476</v>
      </c>
      <c r="FE1768" s="36">
        <v>2020</v>
      </c>
      <c r="FF1768" s="36" t="s">
        <v>474</v>
      </c>
      <c r="FG1768" s="36" t="s">
        <v>1193</v>
      </c>
      <c r="FJ1768" t="s">
        <v>474</v>
      </c>
    </row>
    <row r="1769" spans="153:166" x14ac:dyDescent="0.35">
      <c r="EW1769" t="s">
        <v>2339</v>
      </c>
      <c r="EX1769" s="33" t="s">
        <v>1745</v>
      </c>
      <c r="EY1769" s="35" t="s">
        <v>1980</v>
      </c>
      <c r="EZ1769" s="36">
        <v>507710</v>
      </c>
      <c r="FA1769" s="36" t="s">
        <v>1726</v>
      </c>
      <c r="FB1769" s="36" t="s">
        <v>473</v>
      </c>
      <c r="FC1769" s="36" t="s">
        <v>53</v>
      </c>
      <c r="FD1769" s="36" t="s">
        <v>476</v>
      </c>
      <c r="FE1769" s="36">
        <v>2020</v>
      </c>
      <c r="FF1769" s="36" t="s">
        <v>474</v>
      </c>
      <c r="FG1769" s="36" t="s">
        <v>1728</v>
      </c>
      <c r="FJ1769" t="s">
        <v>474</v>
      </c>
    </row>
    <row r="1770" spans="153:166" x14ac:dyDescent="0.35">
      <c r="EW1770" t="s">
        <v>2339</v>
      </c>
      <c r="EX1770" s="33" t="s">
        <v>1742</v>
      </c>
      <c r="EY1770" s="35" t="s">
        <v>1981</v>
      </c>
      <c r="EZ1770" s="36">
        <v>507489</v>
      </c>
      <c r="FA1770" s="36" t="s">
        <v>1726</v>
      </c>
      <c r="FB1770" s="36" t="s">
        <v>473</v>
      </c>
      <c r="FC1770" s="36" t="s">
        <v>53</v>
      </c>
      <c r="FD1770" s="36" t="s">
        <v>476</v>
      </c>
      <c r="FE1770" s="36">
        <v>2020</v>
      </c>
      <c r="FF1770" s="36" t="s">
        <v>474</v>
      </c>
      <c r="FG1770" s="36" t="s">
        <v>1728</v>
      </c>
      <c r="FJ1770" t="s">
        <v>474</v>
      </c>
    </row>
    <row r="1771" spans="153:166" x14ac:dyDescent="0.35">
      <c r="EW1771" t="s">
        <v>2339</v>
      </c>
      <c r="EX1771" s="33" t="s">
        <v>1895</v>
      </c>
      <c r="EY1771" s="35" t="s">
        <v>1982</v>
      </c>
      <c r="EZ1771" s="36">
        <v>507762</v>
      </c>
      <c r="FA1771" s="36" t="s">
        <v>1726</v>
      </c>
      <c r="FB1771" s="36" t="s">
        <v>473</v>
      </c>
      <c r="FC1771" s="36" t="s">
        <v>53</v>
      </c>
      <c r="FD1771" s="36" t="s">
        <v>476</v>
      </c>
      <c r="FE1771" s="36">
        <v>2020</v>
      </c>
      <c r="FF1771" s="36" t="s">
        <v>474</v>
      </c>
      <c r="FG1771" s="36" t="s">
        <v>1728</v>
      </c>
      <c r="FJ1771" t="s">
        <v>474</v>
      </c>
    </row>
    <row r="1772" spans="153:166" x14ac:dyDescent="0.35">
      <c r="EW1772" t="s">
        <v>2339</v>
      </c>
      <c r="EX1772" s="33" t="s">
        <v>1707</v>
      </c>
      <c r="EY1772" s="35" t="s">
        <v>1983</v>
      </c>
      <c r="EZ1772" s="36">
        <v>507817</v>
      </c>
      <c r="FA1772" s="36" t="s">
        <v>1726</v>
      </c>
      <c r="FB1772" s="36" t="s">
        <v>473</v>
      </c>
      <c r="FC1772" s="36" t="s">
        <v>53</v>
      </c>
      <c r="FD1772" s="36" t="s">
        <v>476</v>
      </c>
      <c r="FE1772" s="36">
        <v>2020</v>
      </c>
      <c r="FF1772" s="36" t="s">
        <v>474</v>
      </c>
      <c r="FG1772" s="36" t="s">
        <v>1728</v>
      </c>
      <c r="FJ1772" t="s">
        <v>474</v>
      </c>
    </row>
    <row r="1773" spans="153:166" x14ac:dyDescent="0.35">
      <c r="EW1773" t="s">
        <v>2339</v>
      </c>
      <c r="EX1773" s="33" t="s">
        <v>1616</v>
      </c>
      <c r="EY1773" s="35" t="s">
        <v>1984</v>
      </c>
      <c r="EZ1773" s="36">
        <v>509236</v>
      </c>
      <c r="FA1773" s="36" t="s">
        <v>1726</v>
      </c>
      <c r="FB1773" s="36" t="s">
        <v>473</v>
      </c>
      <c r="FC1773" s="36" t="s">
        <v>53</v>
      </c>
      <c r="FD1773" s="36" t="s">
        <v>476</v>
      </c>
      <c r="FE1773" s="36">
        <v>2020</v>
      </c>
      <c r="FF1773" s="36" t="s">
        <v>474</v>
      </c>
      <c r="FG1773" s="36" t="s">
        <v>1728</v>
      </c>
      <c r="FJ1773" t="s">
        <v>474</v>
      </c>
    </row>
    <row r="1774" spans="153:166" x14ac:dyDescent="0.35">
      <c r="EW1774" t="s">
        <v>2339</v>
      </c>
      <c r="EX1774" s="33" t="s">
        <v>1363</v>
      </c>
      <c r="EY1774" s="35" t="s">
        <v>1985</v>
      </c>
      <c r="EZ1774" s="36">
        <v>507070</v>
      </c>
      <c r="FA1774" s="36" t="s">
        <v>1726</v>
      </c>
      <c r="FB1774" s="36" t="s">
        <v>473</v>
      </c>
      <c r="FC1774" s="36" t="s">
        <v>53</v>
      </c>
      <c r="FD1774" s="36" t="s">
        <v>476</v>
      </c>
      <c r="FE1774" s="36">
        <v>2020</v>
      </c>
      <c r="FF1774" s="36" t="s">
        <v>474</v>
      </c>
      <c r="FG1774" s="36" t="s">
        <v>1193</v>
      </c>
      <c r="FJ1774" t="s">
        <v>474</v>
      </c>
    </row>
    <row r="1775" spans="153:166" x14ac:dyDescent="0.35">
      <c r="EW1775" t="s">
        <v>2339</v>
      </c>
      <c r="EX1775" s="33" t="s">
        <v>1268</v>
      </c>
      <c r="EY1775" s="35" t="s">
        <v>1986</v>
      </c>
      <c r="EZ1775" s="36">
        <v>507658</v>
      </c>
      <c r="FA1775" s="36" t="s">
        <v>1726</v>
      </c>
      <c r="FB1775" s="36" t="s">
        <v>473</v>
      </c>
      <c r="FC1775" s="36" t="s">
        <v>53</v>
      </c>
      <c r="FD1775" s="36" t="s">
        <v>476</v>
      </c>
      <c r="FE1775" s="36">
        <v>2020</v>
      </c>
      <c r="FF1775" s="36" t="s">
        <v>474</v>
      </c>
      <c r="FG1775" s="36" t="s">
        <v>1728</v>
      </c>
      <c r="FJ1775" t="s">
        <v>474</v>
      </c>
    </row>
    <row r="1776" spans="153:166" x14ac:dyDescent="0.35">
      <c r="EW1776" t="s">
        <v>2339</v>
      </c>
      <c r="EX1776" s="33" t="s">
        <v>2352</v>
      </c>
      <c r="EY1776" s="35" t="s">
        <v>1987</v>
      </c>
      <c r="EZ1776" s="36">
        <v>507679</v>
      </c>
      <c r="FA1776" s="36" t="s">
        <v>1726</v>
      </c>
      <c r="FB1776" s="36" t="s">
        <v>473</v>
      </c>
      <c r="FC1776" s="36" t="s">
        <v>53</v>
      </c>
      <c r="FD1776" s="36" t="s">
        <v>476</v>
      </c>
      <c r="FE1776" s="36">
        <v>2020</v>
      </c>
      <c r="FF1776" s="36" t="s">
        <v>474</v>
      </c>
      <c r="FG1776" s="36" t="s">
        <v>1728</v>
      </c>
      <c r="FJ1776" t="s">
        <v>474</v>
      </c>
    </row>
    <row r="1777" spans="153:166" x14ac:dyDescent="0.35">
      <c r="EW1777" t="s">
        <v>2339</v>
      </c>
      <c r="EX1777" s="33" t="s">
        <v>1808</v>
      </c>
      <c r="EY1777" s="35" t="s">
        <v>1988</v>
      </c>
      <c r="EZ1777" s="36">
        <v>507655</v>
      </c>
      <c r="FA1777" s="36" t="s">
        <v>1726</v>
      </c>
      <c r="FB1777" s="36" t="s">
        <v>473</v>
      </c>
      <c r="FC1777" s="36" t="s">
        <v>53</v>
      </c>
      <c r="FD1777" s="36" t="s">
        <v>476</v>
      </c>
      <c r="FE1777" s="36">
        <v>2020</v>
      </c>
      <c r="FF1777" s="36" t="s">
        <v>474</v>
      </c>
      <c r="FG1777" s="36" t="s">
        <v>1728</v>
      </c>
      <c r="FJ1777" t="s">
        <v>474</v>
      </c>
    </row>
    <row r="1778" spans="153:166" x14ac:dyDescent="0.35">
      <c r="EW1778" t="s">
        <v>2339</v>
      </c>
      <c r="EX1778" s="33" t="s">
        <v>1375</v>
      </c>
      <c r="EY1778" s="35" t="s">
        <v>1989</v>
      </c>
      <c r="EZ1778" s="36">
        <v>507719</v>
      </c>
      <c r="FA1778" s="36" t="s">
        <v>1726</v>
      </c>
      <c r="FB1778" s="36" t="s">
        <v>473</v>
      </c>
      <c r="FC1778" s="36" t="s">
        <v>53</v>
      </c>
      <c r="FD1778" s="36" t="s">
        <v>476</v>
      </c>
      <c r="FE1778" s="36">
        <v>2020</v>
      </c>
      <c r="FF1778" s="36" t="s">
        <v>474</v>
      </c>
      <c r="FG1778" s="36" t="s">
        <v>1728</v>
      </c>
      <c r="FJ1778" t="s">
        <v>474</v>
      </c>
    </row>
    <row r="1779" spans="153:166" x14ac:dyDescent="0.35">
      <c r="EW1779" t="s">
        <v>2339</v>
      </c>
      <c r="EX1779" s="33" t="s">
        <v>1874</v>
      </c>
      <c r="EY1779" s="35" t="s">
        <v>1990</v>
      </c>
      <c r="EZ1779" s="36">
        <v>507775</v>
      </c>
      <c r="FA1779" s="36" t="s">
        <v>1726</v>
      </c>
      <c r="FB1779" s="36" t="s">
        <v>473</v>
      </c>
      <c r="FC1779" s="36" t="s">
        <v>53</v>
      </c>
      <c r="FD1779" s="36" t="s">
        <v>476</v>
      </c>
      <c r="FE1779" s="36">
        <v>2020</v>
      </c>
      <c r="FF1779" s="36" t="s">
        <v>474</v>
      </c>
      <c r="FG1779" s="36" t="s">
        <v>1728</v>
      </c>
      <c r="FJ1779" t="s">
        <v>474</v>
      </c>
    </row>
    <row r="1780" spans="153:166" x14ac:dyDescent="0.35">
      <c r="EW1780" t="s">
        <v>2339</v>
      </c>
      <c r="EX1780" s="33" t="s">
        <v>1757</v>
      </c>
      <c r="EY1780" s="35" t="s">
        <v>1991</v>
      </c>
      <c r="EZ1780" s="36">
        <v>508214</v>
      </c>
      <c r="FA1780" s="36" t="s">
        <v>1726</v>
      </c>
      <c r="FB1780" s="36" t="s">
        <v>473</v>
      </c>
      <c r="FC1780" s="36" t="s">
        <v>53</v>
      </c>
      <c r="FD1780" s="36" t="s">
        <v>476</v>
      </c>
      <c r="FE1780" s="36">
        <v>2020</v>
      </c>
      <c r="FF1780" s="36" t="s">
        <v>474</v>
      </c>
      <c r="FG1780" s="36" t="s">
        <v>1728</v>
      </c>
      <c r="FJ1780" t="s">
        <v>474</v>
      </c>
    </row>
    <row r="1781" spans="153:166" x14ac:dyDescent="0.35">
      <c r="EW1781" t="s">
        <v>2339</v>
      </c>
      <c r="EX1781" s="33" t="s">
        <v>1608</v>
      </c>
      <c r="EY1781" s="35" t="s">
        <v>1992</v>
      </c>
      <c r="EZ1781" s="36">
        <v>508621</v>
      </c>
      <c r="FA1781" s="36" t="s">
        <v>1726</v>
      </c>
      <c r="FB1781" s="36" t="s">
        <v>473</v>
      </c>
      <c r="FC1781" s="36" t="s">
        <v>53</v>
      </c>
      <c r="FD1781" s="36" t="s">
        <v>476</v>
      </c>
      <c r="FE1781" s="36">
        <v>2020</v>
      </c>
      <c r="FF1781" s="36" t="s">
        <v>474</v>
      </c>
      <c r="FG1781" s="36" t="s">
        <v>1728</v>
      </c>
      <c r="FJ1781" t="s">
        <v>474</v>
      </c>
    </row>
    <row r="1782" spans="153:166" x14ac:dyDescent="0.35">
      <c r="EW1782" t="s">
        <v>2339</v>
      </c>
      <c r="EX1782" s="33" t="s">
        <v>1278</v>
      </c>
      <c r="EY1782" s="35" t="s">
        <v>1993</v>
      </c>
      <c r="EZ1782" s="36">
        <v>507509</v>
      </c>
      <c r="FA1782" s="36" t="s">
        <v>1726</v>
      </c>
      <c r="FB1782" s="36" t="s">
        <v>473</v>
      </c>
      <c r="FC1782" s="36" t="s">
        <v>53</v>
      </c>
      <c r="FD1782" s="36" t="s">
        <v>476</v>
      </c>
      <c r="FE1782" s="36">
        <v>2020</v>
      </c>
      <c r="FF1782" s="36" t="s">
        <v>474</v>
      </c>
      <c r="FG1782" s="36" t="s">
        <v>1728</v>
      </c>
      <c r="FJ1782" t="s">
        <v>474</v>
      </c>
    </row>
    <row r="1783" spans="153:166" x14ac:dyDescent="0.35">
      <c r="EW1783" t="s">
        <v>2339</v>
      </c>
      <c r="EX1783" s="33" t="s">
        <v>1265</v>
      </c>
      <c r="EY1783" s="35" t="s">
        <v>1994</v>
      </c>
      <c r="EZ1783" s="36">
        <v>507017</v>
      </c>
      <c r="FA1783" s="36" t="s">
        <v>1726</v>
      </c>
      <c r="FB1783" s="36" t="s">
        <v>473</v>
      </c>
      <c r="FC1783" s="36" t="s">
        <v>53</v>
      </c>
      <c r="FD1783" s="36" t="s">
        <v>476</v>
      </c>
      <c r="FE1783" s="36">
        <v>2020</v>
      </c>
      <c r="FF1783" s="36" t="s">
        <v>474</v>
      </c>
      <c r="FG1783" s="36" t="s">
        <v>1193</v>
      </c>
      <c r="FJ1783" t="s">
        <v>474</v>
      </c>
    </row>
    <row r="1784" spans="153:166" x14ac:dyDescent="0.35">
      <c r="EW1784" t="s">
        <v>2339</v>
      </c>
      <c r="EX1784" s="33" t="s">
        <v>2380</v>
      </c>
      <c r="EY1784" s="35" t="s">
        <v>1995</v>
      </c>
      <c r="EZ1784" s="36">
        <v>507871</v>
      </c>
      <c r="FA1784" s="36" t="s">
        <v>1726</v>
      </c>
      <c r="FB1784" s="36" t="s">
        <v>473</v>
      </c>
      <c r="FC1784" s="36" t="s">
        <v>53</v>
      </c>
      <c r="FD1784" s="36" t="s">
        <v>476</v>
      </c>
      <c r="FE1784" s="36">
        <v>2020</v>
      </c>
      <c r="FF1784" s="36" t="s">
        <v>474</v>
      </c>
      <c r="FG1784" s="36" t="s">
        <v>1728</v>
      </c>
      <c r="FJ1784" t="s">
        <v>474</v>
      </c>
    </row>
    <row r="1785" spans="153:166" x14ac:dyDescent="0.35">
      <c r="EW1785" t="s">
        <v>2339</v>
      </c>
      <c r="EX1785" s="33" t="s">
        <v>1815</v>
      </c>
      <c r="EY1785" s="35" t="s">
        <v>1996</v>
      </c>
      <c r="EZ1785" s="36">
        <v>509217</v>
      </c>
      <c r="FA1785" s="36" t="s">
        <v>1726</v>
      </c>
      <c r="FB1785" s="36" t="s">
        <v>473</v>
      </c>
      <c r="FC1785" s="36" t="s">
        <v>53</v>
      </c>
      <c r="FD1785" s="36" t="s">
        <v>476</v>
      </c>
      <c r="FE1785" s="36">
        <v>2020</v>
      </c>
      <c r="FF1785" s="36" t="s">
        <v>474</v>
      </c>
      <c r="FG1785" s="36" t="s">
        <v>1728</v>
      </c>
      <c r="FJ1785" t="s">
        <v>474</v>
      </c>
    </row>
    <row r="1786" spans="153:166" x14ac:dyDescent="0.35">
      <c r="EW1786" t="s">
        <v>2339</v>
      </c>
      <c r="EX1786" s="33" t="s">
        <v>1818</v>
      </c>
      <c r="EY1786" s="35" t="s">
        <v>1997</v>
      </c>
      <c r="EZ1786" s="36">
        <v>508593</v>
      </c>
      <c r="FA1786" s="36" t="s">
        <v>1726</v>
      </c>
      <c r="FB1786" s="36" t="s">
        <v>473</v>
      </c>
      <c r="FC1786" s="36" t="s">
        <v>53</v>
      </c>
      <c r="FD1786" s="36" t="s">
        <v>476</v>
      </c>
      <c r="FE1786" s="36">
        <v>2020</v>
      </c>
      <c r="FF1786" s="36" t="s">
        <v>474</v>
      </c>
      <c r="FG1786" s="36" t="s">
        <v>1728</v>
      </c>
      <c r="FJ1786" t="s">
        <v>474</v>
      </c>
    </row>
    <row r="1787" spans="153:166" x14ac:dyDescent="0.35">
      <c r="EW1787" t="s">
        <v>2339</v>
      </c>
      <c r="EX1787" s="33" t="s">
        <v>1898</v>
      </c>
      <c r="EY1787" s="35" t="s">
        <v>1998</v>
      </c>
      <c r="EZ1787" s="36">
        <v>509325</v>
      </c>
      <c r="FA1787" s="36" t="s">
        <v>1726</v>
      </c>
      <c r="FB1787" s="36" t="s">
        <v>473</v>
      </c>
      <c r="FC1787" s="36" t="s">
        <v>53</v>
      </c>
      <c r="FD1787" s="36" t="s">
        <v>476</v>
      </c>
      <c r="FE1787" s="36">
        <v>2020</v>
      </c>
      <c r="FF1787" s="36" t="s">
        <v>474</v>
      </c>
      <c r="FG1787" s="36" t="s">
        <v>1728</v>
      </c>
      <c r="FJ1787" t="s">
        <v>474</v>
      </c>
    </row>
    <row r="1788" spans="153:166" x14ac:dyDescent="0.35">
      <c r="EW1788" t="s">
        <v>2339</v>
      </c>
      <c r="EX1788" s="33" t="s">
        <v>2399</v>
      </c>
      <c r="EY1788" s="35" t="s">
        <v>1999</v>
      </c>
      <c r="EZ1788" s="36">
        <v>509608</v>
      </c>
      <c r="FA1788" s="36" t="s">
        <v>1726</v>
      </c>
      <c r="FB1788" s="36" t="s">
        <v>473</v>
      </c>
      <c r="FC1788" s="36" t="s">
        <v>53</v>
      </c>
      <c r="FD1788" s="36" t="s">
        <v>476</v>
      </c>
      <c r="FE1788" s="36">
        <v>2020</v>
      </c>
      <c r="FF1788" s="36" t="s">
        <v>474</v>
      </c>
      <c r="FG1788" s="36" t="s">
        <v>1728</v>
      </c>
      <c r="FJ1788" t="s">
        <v>474</v>
      </c>
    </row>
    <row r="1789" spans="153:166" x14ac:dyDescent="0.35">
      <c r="EW1789" t="s">
        <v>2339</v>
      </c>
      <c r="EX1789" s="33" t="s">
        <v>1852</v>
      </c>
      <c r="EY1789" s="35" t="s">
        <v>2000</v>
      </c>
      <c r="EZ1789" s="36">
        <v>509543</v>
      </c>
      <c r="FA1789" s="36" t="s">
        <v>1726</v>
      </c>
      <c r="FB1789" s="36" t="s">
        <v>473</v>
      </c>
      <c r="FC1789" s="36" t="s">
        <v>53</v>
      </c>
      <c r="FD1789" s="36" t="s">
        <v>476</v>
      </c>
      <c r="FE1789" s="36">
        <v>2020</v>
      </c>
      <c r="FF1789" s="36" t="s">
        <v>474</v>
      </c>
      <c r="FG1789" s="36" t="s">
        <v>1728</v>
      </c>
      <c r="FJ1789" t="s">
        <v>474</v>
      </c>
    </row>
    <row r="1790" spans="153:166" x14ac:dyDescent="0.35">
      <c r="EW1790" t="s">
        <v>2339</v>
      </c>
      <c r="EX1790" s="33" t="s">
        <v>414</v>
      </c>
      <c r="EY1790" s="35" t="s">
        <v>2001</v>
      </c>
      <c r="EZ1790" s="36" t="s">
        <v>2002</v>
      </c>
      <c r="FA1790" s="36" t="s">
        <v>2003</v>
      </c>
      <c r="FB1790" s="36" t="s">
        <v>2004</v>
      </c>
      <c r="FC1790" s="36" t="s">
        <v>2003</v>
      </c>
      <c r="FD1790" s="36" t="s">
        <v>2004</v>
      </c>
      <c r="FE1790" s="36">
        <v>2022</v>
      </c>
      <c r="FF1790" s="36" t="s">
        <v>59</v>
      </c>
      <c r="FG1790" s="36" t="s">
        <v>1241</v>
      </c>
      <c r="FJ1790" t="s">
        <v>59</v>
      </c>
    </row>
    <row r="1791" spans="153:166" x14ac:dyDescent="0.35">
      <c r="EW1791" t="s">
        <v>2339</v>
      </c>
      <c r="EX1791" s="33" t="s">
        <v>530</v>
      </c>
      <c r="EY1791" s="35" t="s">
        <v>2005</v>
      </c>
      <c r="EZ1791" s="36" t="s">
        <v>2006</v>
      </c>
      <c r="FA1791" s="36" t="s">
        <v>2003</v>
      </c>
      <c r="FB1791" s="36" t="s">
        <v>2004</v>
      </c>
      <c r="FC1791" s="36" t="s">
        <v>2003</v>
      </c>
      <c r="FD1791" s="36" t="s">
        <v>2004</v>
      </c>
      <c r="FE1791" s="36">
        <v>2022</v>
      </c>
      <c r="FF1791" s="36" t="s">
        <v>59</v>
      </c>
      <c r="FG1791" s="36" t="s">
        <v>1241</v>
      </c>
      <c r="FJ1791" t="s">
        <v>59</v>
      </c>
    </row>
    <row r="1792" spans="153:166" x14ac:dyDescent="0.35">
      <c r="EW1792" t="s">
        <v>2339</v>
      </c>
      <c r="EX1792" s="33" t="s">
        <v>672</v>
      </c>
      <c r="EY1792" s="35" t="s">
        <v>2007</v>
      </c>
      <c r="EZ1792" s="36" t="s">
        <v>2008</v>
      </c>
      <c r="FA1792" s="36" t="s">
        <v>2003</v>
      </c>
      <c r="FB1792" s="36" t="s">
        <v>2004</v>
      </c>
      <c r="FC1792" s="36" t="s">
        <v>2003</v>
      </c>
      <c r="FD1792" s="36" t="s">
        <v>2004</v>
      </c>
      <c r="FE1792" s="36">
        <v>2022</v>
      </c>
      <c r="FF1792" s="36" t="s">
        <v>59</v>
      </c>
      <c r="FG1792" s="36" t="s">
        <v>1728</v>
      </c>
      <c r="FJ1792" t="s">
        <v>59</v>
      </c>
    </row>
    <row r="1793" spans="153:166" x14ac:dyDescent="0.35">
      <c r="EW1793" t="s">
        <v>2339</v>
      </c>
      <c r="EX1793" s="33" t="s">
        <v>310</v>
      </c>
      <c r="EY1793" s="35" t="s">
        <v>2009</v>
      </c>
      <c r="EZ1793" s="36" t="s">
        <v>2010</v>
      </c>
      <c r="FA1793" s="36" t="s">
        <v>2003</v>
      </c>
      <c r="FB1793" s="36" t="s">
        <v>2004</v>
      </c>
      <c r="FC1793" s="36" t="s">
        <v>2003</v>
      </c>
      <c r="FD1793" s="36" t="s">
        <v>2004</v>
      </c>
      <c r="FE1793" s="36">
        <v>2022</v>
      </c>
      <c r="FF1793" s="36" t="s">
        <v>59</v>
      </c>
      <c r="FG1793" s="36" t="s">
        <v>1728</v>
      </c>
      <c r="FJ1793" t="s">
        <v>59</v>
      </c>
    </row>
    <row r="1794" spans="153:166" x14ac:dyDescent="0.35">
      <c r="EW1794" t="s">
        <v>2339</v>
      </c>
      <c r="EX1794" s="33" t="s">
        <v>486</v>
      </c>
      <c r="EY1794" s="35" t="s">
        <v>2011</v>
      </c>
      <c r="EZ1794" s="36" t="s">
        <v>2012</v>
      </c>
      <c r="FA1794" s="36" t="s">
        <v>2003</v>
      </c>
      <c r="FB1794" s="36" t="s">
        <v>2004</v>
      </c>
      <c r="FC1794" s="36" t="s">
        <v>2003</v>
      </c>
      <c r="FD1794" s="36" t="s">
        <v>2004</v>
      </c>
      <c r="FE1794" s="36">
        <v>2022</v>
      </c>
      <c r="FF1794" s="36" t="s">
        <v>59</v>
      </c>
      <c r="FG1794" s="36" t="s">
        <v>1728</v>
      </c>
      <c r="FJ1794" t="s">
        <v>59</v>
      </c>
    </row>
    <row r="1795" spans="153:166" x14ac:dyDescent="0.35">
      <c r="EW1795" t="s">
        <v>2339</v>
      </c>
      <c r="EX1795" s="33" t="s">
        <v>499</v>
      </c>
      <c r="EY1795" s="35" t="s">
        <v>2013</v>
      </c>
      <c r="EZ1795" s="36" t="s">
        <v>2014</v>
      </c>
      <c r="FA1795" s="36" t="s">
        <v>2003</v>
      </c>
      <c r="FB1795" s="36" t="s">
        <v>2004</v>
      </c>
      <c r="FC1795" s="36" t="s">
        <v>2003</v>
      </c>
      <c r="FD1795" s="36" t="s">
        <v>2004</v>
      </c>
      <c r="FE1795" s="36">
        <v>2022</v>
      </c>
      <c r="FF1795" s="36" t="s">
        <v>59</v>
      </c>
      <c r="FG1795" s="36" t="s">
        <v>1728</v>
      </c>
      <c r="FJ1795" t="s">
        <v>59</v>
      </c>
    </row>
    <row r="1796" spans="153:166" x14ac:dyDescent="0.35">
      <c r="EW1796" t="s">
        <v>2339</v>
      </c>
      <c r="EX1796" s="33" t="s">
        <v>3067</v>
      </c>
      <c r="EY1796" s="35" t="s">
        <v>2015</v>
      </c>
      <c r="EZ1796" s="36" t="s">
        <v>2016</v>
      </c>
      <c r="FA1796" s="36" t="s">
        <v>2003</v>
      </c>
      <c r="FB1796" s="36" t="s">
        <v>2004</v>
      </c>
      <c r="FC1796" s="36" t="s">
        <v>2003</v>
      </c>
      <c r="FD1796" s="36" t="s">
        <v>2004</v>
      </c>
      <c r="FE1796" s="36">
        <v>2022</v>
      </c>
      <c r="FF1796" s="36" t="s">
        <v>59</v>
      </c>
      <c r="FG1796" s="36" t="s">
        <v>1210</v>
      </c>
      <c r="FJ1796" t="s">
        <v>59</v>
      </c>
    </row>
    <row r="1797" spans="153:166" x14ac:dyDescent="0.35">
      <c r="EW1797" t="s">
        <v>2339</v>
      </c>
      <c r="EX1797" s="33" t="s">
        <v>199</v>
      </c>
      <c r="EY1797" s="35" t="s">
        <v>2017</v>
      </c>
      <c r="EZ1797" s="36" t="s">
        <v>2018</v>
      </c>
      <c r="FA1797" s="36" t="s">
        <v>2003</v>
      </c>
      <c r="FB1797" s="36" t="s">
        <v>2004</v>
      </c>
      <c r="FC1797" s="36" t="s">
        <v>2003</v>
      </c>
      <c r="FD1797" s="36" t="s">
        <v>2004</v>
      </c>
      <c r="FE1797" s="36">
        <v>2022</v>
      </c>
      <c r="FF1797" s="36" t="s">
        <v>59</v>
      </c>
      <c r="FG1797" s="36" t="s">
        <v>1728</v>
      </c>
      <c r="FJ1797" t="s">
        <v>59</v>
      </c>
    </row>
    <row r="1798" spans="153:166" x14ac:dyDescent="0.35">
      <c r="EW1798" t="s">
        <v>2339</v>
      </c>
      <c r="EX1798" s="33" t="s">
        <v>504</v>
      </c>
      <c r="EY1798" s="35" t="s">
        <v>2019</v>
      </c>
      <c r="EZ1798" s="36" t="s">
        <v>2020</v>
      </c>
      <c r="FA1798" s="36" t="s">
        <v>2003</v>
      </c>
      <c r="FB1798" s="36" t="s">
        <v>2004</v>
      </c>
      <c r="FC1798" s="36" t="s">
        <v>2003</v>
      </c>
      <c r="FD1798" s="36" t="s">
        <v>2004</v>
      </c>
      <c r="FE1798" s="36">
        <v>2022</v>
      </c>
      <c r="FF1798" s="36" t="s">
        <v>59</v>
      </c>
      <c r="FG1798" s="36" t="s">
        <v>1728</v>
      </c>
      <c r="FJ1798" t="s">
        <v>59</v>
      </c>
    </row>
    <row r="1799" spans="153:166" x14ac:dyDescent="0.35">
      <c r="EW1799" t="s">
        <v>2339</v>
      </c>
      <c r="EX1799" s="33" t="s">
        <v>3068</v>
      </c>
      <c r="EY1799" s="35" t="s">
        <v>2023</v>
      </c>
      <c r="EZ1799" s="36" t="s">
        <v>2024</v>
      </c>
      <c r="FA1799" s="36" t="s">
        <v>2003</v>
      </c>
      <c r="FB1799" s="36" t="s">
        <v>2004</v>
      </c>
      <c r="FC1799" s="36" t="s">
        <v>2003</v>
      </c>
      <c r="FD1799" s="36" t="s">
        <v>2004</v>
      </c>
      <c r="FE1799" s="36">
        <v>2022</v>
      </c>
      <c r="FF1799" s="36" t="s">
        <v>59</v>
      </c>
      <c r="FG1799" s="36" t="s">
        <v>1728</v>
      </c>
      <c r="FJ1799" t="s">
        <v>59</v>
      </c>
    </row>
    <row r="1800" spans="153:166" x14ac:dyDescent="0.35">
      <c r="EW1800" t="s">
        <v>2339</v>
      </c>
      <c r="EX1800" s="33" t="s">
        <v>561</v>
      </c>
      <c r="EY1800" s="35" t="s">
        <v>2025</v>
      </c>
      <c r="EZ1800" s="36" t="s">
        <v>2026</v>
      </c>
      <c r="FA1800" s="36" t="s">
        <v>2003</v>
      </c>
      <c r="FB1800" s="36" t="s">
        <v>2004</v>
      </c>
      <c r="FC1800" s="36" t="s">
        <v>2003</v>
      </c>
      <c r="FD1800" s="36" t="s">
        <v>2004</v>
      </c>
      <c r="FE1800" s="36">
        <v>2022</v>
      </c>
      <c r="FF1800" s="36" t="s">
        <v>59</v>
      </c>
      <c r="FG1800" s="36" t="s">
        <v>1728</v>
      </c>
      <c r="FJ1800" t="s">
        <v>59</v>
      </c>
    </row>
    <row r="1801" spans="153:166" x14ac:dyDescent="0.35">
      <c r="EW1801" t="s">
        <v>2339</v>
      </c>
      <c r="EX1801" s="33" t="s">
        <v>321</v>
      </c>
      <c r="EY1801" s="35" t="s">
        <v>2027</v>
      </c>
      <c r="EZ1801" s="36" t="s">
        <v>2028</v>
      </c>
      <c r="FA1801" s="36" t="s">
        <v>2003</v>
      </c>
      <c r="FB1801" s="36" t="s">
        <v>2004</v>
      </c>
      <c r="FC1801" s="36" t="s">
        <v>2003</v>
      </c>
      <c r="FD1801" s="36" t="s">
        <v>2004</v>
      </c>
      <c r="FE1801" s="36">
        <v>2022</v>
      </c>
      <c r="FF1801" s="36" t="s">
        <v>59</v>
      </c>
      <c r="FG1801" s="36" t="s">
        <v>1728</v>
      </c>
      <c r="FJ1801" t="s">
        <v>59</v>
      </c>
    </row>
    <row r="1802" spans="153:166" x14ac:dyDescent="0.35">
      <c r="EW1802" t="s">
        <v>2339</v>
      </c>
      <c r="EX1802" s="33" t="s">
        <v>340</v>
      </c>
      <c r="EY1802" s="35" t="s">
        <v>2029</v>
      </c>
      <c r="EZ1802" s="36" t="s">
        <v>2030</v>
      </c>
      <c r="FA1802" s="36" t="s">
        <v>2003</v>
      </c>
      <c r="FB1802" s="36" t="s">
        <v>2004</v>
      </c>
      <c r="FC1802" s="36" t="s">
        <v>2003</v>
      </c>
      <c r="FD1802" s="36" t="s">
        <v>2004</v>
      </c>
      <c r="FE1802" s="36">
        <v>2022</v>
      </c>
      <c r="FF1802" s="36" t="s">
        <v>59</v>
      </c>
      <c r="FG1802" s="36" t="s">
        <v>1728</v>
      </c>
      <c r="FJ1802" t="s">
        <v>59</v>
      </c>
    </row>
    <row r="1803" spans="153:166" x14ac:dyDescent="0.35">
      <c r="EW1803" t="s">
        <v>2339</v>
      </c>
      <c r="EX1803" s="33" t="s">
        <v>565</v>
      </c>
      <c r="EY1803" s="35" t="s">
        <v>2031</v>
      </c>
      <c r="EZ1803" s="36" t="s">
        <v>2032</v>
      </c>
      <c r="FA1803" s="36" t="s">
        <v>2003</v>
      </c>
      <c r="FB1803" s="36" t="s">
        <v>2004</v>
      </c>
      <c r="FC1803" s="36" t="s">
        <v>2003</v>
      </c>
      <c r="FD1803" s="36" t="s">
        <v>2004</v>
      </c>
      <c r="FE1803" s="36">
        <v>2022</v>
      </c>
      <c r="FF1803" s="36" t="s">
        <v>59</v>
      </c>
      <c r="FG1803" s="36" t="s">
        <v>1728</v>
      </c>
      <c r="FJ1803" t="s">
        <v>59</v>
      </c>
    </row>
    <row r="1804" spans="153:166" x14ac:dyDescent="0.35">
      <c r="EW1804" t="s">
        <v>2339</v>
      </c>
      <c r="EX1804" s="33" t="s">
        <v>142</v>
      </c>
      <c r="EY1804" s="35" t="s">
        <v>2033</v>
      </c>
      <c r="EZ1804" s="36" t="s">
        <v>2034</v>
      </c>
      <c r="FA1804" s="36" t="s">
        <v>2003</v>
      </c>
      <c r="FB1804" s="36" t="s">
        <v>2004</v>
      </c>
      <c r="FC1804" s="36" t="s">
        <v>2003</v>
      </c>
      <c r="FD1804" s="36" t="s">
        <v>2004</v>
      </c>
      <c r="FE1804" s="36">
        <v>2022</v>
      </c>
      <c r="FF1804" s="36" t="s">
        <v>59</v>
      </c>
      <c r="FG1804" s="36" t="s">
        <v>1210</v>
      </c>
      <c r="FJ1804" t="s">
        <v>59</v>
      </c>
    </row>
    <row r="1805" spans="153:166" x14ac:dyDescent="0.35">
      <c r="EW1805" t="s">
        <v>2339</v>
      </c>
      <c r="EX1805" s="33" t="s">
        <v>109</v>
      </c>
      <c r="EY1805" s="35" t="s">
        <v>2035</v>
      </c>
      <c r="EZ1805" s="36" t="s">
        <v>2036</v>
      </c>
      <c r="FA1805" s="36" t="s">
        <v>2003</v>
      </c>
      <c r="FB1805" s="36" t="s">
        <v>2004</v>
      </c>
      <c r="FC1805" s="36" t="s">
        <v>2003</v>
      </c>
      <c r="FD1805" s="36" t="s">
        <v>2004</v>
      </c>
      <c r="FE1805" s="36">
        <v>2022</v>
      </c>
      <c r="FF1805" s="36" t="s">
        <v>59</v>
      </c>
      <c r="FG1805" s="36" t="s">
        <v>1193</v>
      </c>
      <c r="FJ1805" t="s">
        <v>59</v>
      </c>
    </row>
    <row r="1806" spans="153:166" x14ac:dyDescent="0.35">
      <c r="EW1806" t="s">
        <v>2339</v>
      </c>
      <c r="EX1806" s="33" t="s">
        <v>539</v>
      </c>
      <c r="EY1806" s="35" t="s">
        <v>2037</v>
      </c>
      <c r="EZ1806" s="36" t="s">
        <v>2038</v>
      </c>
      <c r="FA1806" s="36" t="s">
        <v>2003</v>
      </c>
      <c r="FB1806" s="36" t="s">
        <v>2004</v>
      </c>
      <c r="FC1806" s="36" t="s">
        <v>2003</v>
      </c>
      <c r="FD1806" s="36" t="s">
        <v>2004</v>
      </c>
      <c r="FE1806" s="36">
        <v>2022</v>
      </c>
      <c r="FF1806" s="36" t="s">
        <v>59</v>
      </c>
      <c r="FG1806" s="36" t="s">
        <v>1728</v>
      </c>
      <c r="FJ1806" t="s">
        <v>59</v>
      </c>
    </row>
    <row r="1807" spans="153:166" x14ac:dyDescent="0.35">
      <c r="EW1807" t="s">
        <v>2339</v>
      </c>
      <c r="EX1807" s="33" t="s">
        <v>687</v>
      </c>
      <c r="EY1807" s="35" t="s">
        <v>2039</v>
      </c>
      <c r="EZ1807" s="36" t="s">
        <v>2040</v>
      </c>
      <c r="FA1807" s="36" t="s">
        <v>2003</v>
      </c>
      <c r="FB1807" s="36" t="s">
        <v>2004</v>
      </c>
      <c r="FC1807" s="36" t="s">
        <v>2003</v>
      </c>
      <c r="FD1807" s="36" t="s">
        <v>2004</v>
      </c>
      <c r="FE1807" s="36">
        <v>2022</v>
      </c>
      <c r="FF1807" s="36" t="s">
        <v>59</v>
      </c>
      <c r="FG1807" s="36" t="s">
        <v>1193</v>
      </c>
      <c r="FJ1807" t="s">
        <v>59</v>
      </c>
    </row>
    <row r="1808" spans="153:166" x14ac:dyDescent="0.35">
      <c r="EW1808" t="s">
        <v>2339</v>
      </c>
      <c r="EX1808" s="33" t="s">
        <v>612</v>
      </c>
      <c r="EY1808" s="35" t="s">
        <v>2041</v>
      </c>
      <c r="EZ1808" s="36" t="s">
        <v>2042</v>
      </c>
      <c r="FA1808" s="36" t="s">
        <v>2003</v>
      </c>
      <c r="FB1808" s="36" t="s">
        <v>2004</v>
      </c>
      <c r="FC1808" s="36" t="s">
        <v>2003</v>
      </c>
      <c r="FD1808" s="36" t="s">
        <v>2004</v>
      </c>
      <c r="FE1808" s="36">
        <v>2022</v>
      </c>
      <c r="FF1808" s="36" t="s">
        <v>59</v>
      </c>
      <c r="FG1808" s="36" t="s">
        <v>1728</v>
      </c>
      <c r="FJ1808" t="s">
        <v>59</v>
      </c>
    </row>
    <row r="1809" spans="153:166" x14ac:dyDescent="0.35">
      <c r="EW1809" t="s">
        <v>2339</v>
      </c>
      <c r="EX1809" s="33" t="s">
        <v>600</v>
      </c>
      <c r="EY1809" s="35" t="s">
        <v>2043</v>
      </c>
      <c r="EZ1809" s="36" t="s">
        <v>2044</v>
      </c>
      <c r="FA1809" s="36" t="s">
        <v>2003</v>
      </c>
      <c r="FB1809" s="36" t="s">
        <v>2004</v>
      </c>
      <c r="FC1809" s="36" t="s">
        <v>2003</v>
      </c>
      <c r="FD1809" s="36" t="s">
        <v>2004</v>
      </c>
      <c r="FE1809" s="36">
        <v>2022</v>
      </c>
      <c r="FF1809" s="36" t="s">
        <v>59</v>
      </c>
      <c r="FG1809" s="36" t="s">
        <v>1193</v>
      </c>
      <c r="FJ1809" t="s">
        <v>59</v>
      </c>
    </row>
    <row r="1810" spans="153:166" x14ac:dyDescent="0.35">
      <c r="EW1810" t="s">
        <v>2339</v>
      </c>
      <c r="EX1810" s="33" t="s">
        <v>575</v>
      </c>
      <c r="EY1810" s="35" t="s">
        <v>2045</v>
      </c>
      <c r="EZ1810" s="36" t="s">
        <v>2046</v>
      </c>
      <c r="FA1810" s="36" t="s">
        <v>2003</v>
      </c>
      <c r="FB1810" s="36" t="s">
        <v>2004</v>
      </c>
      <c r="FC1810" s="36" t="s">
        <v>2003</v>
      </c>
      <c r="FD1810" s="36" t="s">
        <v>2004</v>
      </c>
      <c r="FE1810" s="36">
        <v>2022</v>
      </c>
      <c r="FF1810" s="36" t="s">
        <v>59</v>
      </c>
      <c r="FG1810" s="36" t="s">
        <v>1728</v>
      </c>
      <c r="FJ1810" t="s">
        <v>59</v>
      </c>
    </row>
    <row r="1811" spans="153:166" x14ac:dyDescent="0.35">
      <c r="EW1811" t="s">
        <v>2339</v>
      </c>
      <c r="EX1811" s="33" t="s">
        <v>580</v>
      </c>
      <c r="EY1811" s="35" t="s">
        <v>2047</v>
      </c>
      <c r="EZ1811" s="36" t="s">
        <v>2048</v>
      </c>
      <c r="FA1811" s="36" t="s">
        <v>2003</v>
      </c>
      <c r="FB1811" s="36" t="s">
        <v>2004</v>
      </c>
      <c r="FC1811" s="36" t="s">
        <v>2003</v>
      </c>
      <c r="FD1811" s="36" t="s">
        <v>2004</v>
      </c>
      <c r="FE1811" s="36">
        <v>2022</v>
      </c>
      <c r="FF1811" s="36" t="s">
        <v>59</v>
      </c>
      <c r="FG1811" s="36" t="s">
        <v>1728</v>
      </c>
      <c r="FJ1811" t="s">
        <v>59</v>
      </c>
    </row>
    <row r="1812" spans="153:166" x14ac:dyDescent="0.35">
      <c r="EW1812" t="s">
        <v>2339</v>
      </c>
      <c r="EX1812" s="33" t="s">
        <v>208</v>
      </c>
      <c r="EY1812" s="35" t="s">
        <v>2049</v>
      </c>
      <c r="EZ1812" s="36" t="s">
        <v>2050</v>
      </c>
      <c r="FA1812" s="36" t="s">
        <v>2003</v>
      </c>
      <c r="FB1812" s="36" t="s">
        <v>2004</v>
      </c>
      <c r="FC1812" s="36" t="s">
        <v>2003</v>
      </c>
      <c r="FD1812" s="36" t="s">
        <v>2004</v>
      </c>
      <c r="FE1812" s="36">
        <v>2022</v>
      </c>
      <c r="FF1812" s="36" t="s">
        <v>59</v>
      </c>
      <c r="FG1812" s="36" t="s">
        <v>1728</v>
      </c>
      <c r="FJ1812" t="s">
        <v>59</v>
      </c>
    </row>
    <row r="1813" spans="153:166" x14ac:dyDescent="0.35">
      <c r="EW1813" t="s">
        <v>2339</v>
      </c>
      <c r="EX1813" s="33" t="s">
        <v>219</v>
      </c>
      <c r="EY1813" s="35" t="s">
        <v>2051</v>
      </c>
      <c r="EZ1813" s="36" t="s">
        <v>2052</v>
      </c>
      <c r="FA1813" s="36" t="s">
        <v>2003</v>
      </c>
      <c r="FB1813" s="36" t="s">
        <v>2004</v>
      </c>
      <c r="FC1813" s="36" t="s">
        <v>2003</v>
      </c>
      <c r="FD1813" s="36" t="s">
        <v>2004</v>
      </c>
      <c r="FE1813" s="36">
        <v>2022</v>
      </c>
      <c r="FF1813" s="36" t="s">
        <v>59</v>
      </c>
      <c r="FG1813" s="36" t="s">
        <v>1728</v>
      </c>
      <c r="FJ1813" t="s">
        <v>59</v>
      </c>
    </row>
    <row r="1814" spans="153:166" x14ac:dyDescent="0.35">
      <c r="EW1814" t="s">
        <v>2339</v>
      </c>
      <c r="EX1814" s="33" t="s">
        <v>273</v>
      </c>
      <c r="EY1814" s="35" t="s">
        <v>2053</v>
      </c>
      <c r="EZ1814" s="36" t="s">
        <v>2054</v>
      </c>
      <c r="FA1814" s="36" t="s">
        <v>2003</v>
      </c>
      <c r="FB1814" s="36" t="s">
        <v>2004</v>
      </c>
      <c r="FC1814" s="36" t="s">
        <v>2003</v>
      </c>
      <c r="FD1814" s="36" t="s">
        <v>2004</v>
      </c>
      <c r="FE1814" s="36">
        <v>2022</v>
      </c>
      <c r="FF1814" s="36" t="s">
        <v>59</v>
      </c>
      <c r="FG1814" s="36" t="s">
        <v>1193</v>
      </c>
      <c r="FJ1814" t="s">
        <v>59</v>
      </c>
    </row>
    <row r="1815" spans="153:166" x14ac:dyDescent="0.35">
      <c r="EW1815" t="s">
        <v>2339</v>
      </c>
      <c r="EX1815" s="33" t="s">
        <v>280</v>
      </c>
      <c r="EY1815" s="35" t="s">
        <v>2055</v>
      </c>
      <c r="EZ1815" s="36" t="s">
        <v>2056</v>
      </c>
      <c r="FA1815" s="36" t="s">
        <v>2003</v>
      </c>
      <c r="FB1815" s="36" t="s">
        <v>2004</v>
      </c>
      <c r="FC1815" s="36" t="s">
        <v>2003</v>
      </c>
      <c r="FD1815" s="36" t="s">
        <v>2004</v>
      </c>
      <c r="FE1815" s="36">
        <v>2022</v>
      </c>
      <c r="FF1815" s="36" t="s">
        <v>59</v>
      </c>
      <c r="FG1815" s="36" t="s">
        <v>1728</v>
      </c>
      <c r="FJ1815" t="s">
        <v>59</v>
      </c>
    </row>
    <row r="1816" spans="153:166" x14ac:dyDescent="0.35">
      <c r="EW1816" t="s">
        <v>2339</v>
      </c>
      <c r="EX1816" s="33" t="s">
        <v>3069</v>
      </c>
      <c r="EY1816" s="35" t="s">
        <v>2057</v>
      </c>
      <c r="EZ1816" s="36" t="s">
        <v>2058</v>
      </c>
      <c r="FA1816" s="36" t="s">
        <v>2003</v>
      </c>
      <c r="FB1816" s="36" t="s">
        <v>2004</v>
      </c>
      <c r="FC1816" s="36" t="s">
        <v>2003</v>
      </c>
      <c r="FD1816" s="36" t="s">
        <v>2004</v>
      </c>
      <c r="FE1816" s="36">
        <v>2022</v>
      </c>
      <c r="FF1816" s="36" t="s">
        <v>59</v>
      </c>
      <c r="FG1816" s="36" t="s">
        <v>1193</v>
      </c>
      <c r="FJ1816" t="s">
        <v>59</v>
      </c>
    </row>
    <row r="1817" spans="153:166" x14ac:dyDescent="0.35">
      <c r="EW1817" t="s">
        <v>2339</v>
      </c>
      <c r="EX1817" s="33" t="s">
        <v>3070</v>
      </c>
      <c r="EY1817" s="35" t="s">
        <v>2059</v>
      </c>
      <c r="EZ1817" s="36" t="s">
        <v>2060</v>
      </c>
      <c r="FA1817" s="36" t="s">
        <v>2003</v>
      </c>
      <c r="FB1817" s="36" t="s">
        <v>2004</v>
      </c>
      <c r="FC1817" s="36" t="s">
        <v>2003</v>
      </c>
      <c r="FD1817" s="36" t="s">
        <v>2004</v>
      </c>
      <c r="FE1817" s="36">
        <v>2022</v>
      </c>
      <c r="FF1817" s="36" t="s">
        <v>59</v>
      </c>
      <c r="FG1817" s="36" t="s">
        <v>1728</v>
      </c>
      <c r="FJ1817" t="s">
        <v>59</v>
      </c>
    </row>
    <row r="1818" spans="153:166" x14ac:dyDescent="0.35">
      <c r="EW1818" t="s">
        <v>2339</v>
      </c>
      <c r="EX1818" s="33" t="s">
        <v>228</v>
      </c>
      <c r="EY1818" s="35" t="s">
        <v>2061</v>
      </c>
      <c r="EZ1818" s="36" t="s">
        <v>2062</v>
      </c>
      <c r="FA1818" s="36" t="s">
        <v>2003</v>
      </c>
      <c r="FB1818" s="36" t="s">
        <v>2004</v>
      </c>
      <c r="FC1818" s="36" t="s">
        <v>2003</v>
      </c>
      <c r="FD1818" s="36" t="s">
        <v>2004</v>
      </c>
      <c r="FE1818" s="36">
        <v>2022</v>
      </c>
      <c r="FF1818" s="36" t="s">
        <v>59</v>
      </c>
      <c r="FG1818" s="36" t="s">
        <v>1728</v>
      </c>
      <c r="FJ1818" t="s">
        <v>59</v>
      </c>
    </row>
    <row r="1819" spans="153:166" x14ac:dyDescent="0.35">
      <c r="EW1819" t="s">
        <v>2339</v>
      </c>
      <c r="EX1819" s="33" t="s">
        <v>153</v>
      </c>
      <c r="EY1819" s="35" t="s">
        <v>2063</v>
      </c>
      <c r="EZ1819" s="36" t="s">
        <v>2064</v>
      </c>
      <c r="FA1819" s="36" t="s">
        <v>2003</v>
      </c>
      <c r="FB1819" s="36" t="s">
        <v>2004</v>
      </c>
      <c r="FC1819" s="36" t="s">
        <v>2003</v>
      </c>
      <c r="FD1819" s="36" t="s">
        <v>2004</v>
      </c>
      <c r="FE1819" s="36">
        <v>2022</v>
      </c>
      <c r="FF1819" s="36" t="s">
        <v>59</v>
      </c>
      <c r="FG1819" s="36" t="s">
        <v>1728</v>
      </c>
      <c r="FJ1819" t="s">
        <v>59</v>
      </c>
    </row>
    <row r="1820" spans="153:166" x14ac:dyDescent="0.35">
      <c r="EW1820" t="s">
        <v>2339</v>
      </c>
      <c r="EX1820" s="33" t="s">
        <v>512</v>
      </c>
      <c r="EY1820" s="35" t="s">
        <v>2065</v>
      </c>
      <c r="EZ1820" s="36" t="s">
        <v>2066</v>
      </c>
      <c r="FA1820" s="36" t="s">
        <v>2003</v>
      </c>
      <c r="FB1820" s="36" t="s">
        <v>2004</v>
      </c>
      <c r="FC1820" s="36" t="s">
        <v>2003</v>
      </c>
      <c r="FD1820" s="36" t="s">
        <v>2004</v>
      </c>
      <c r="FE1820" s="36">
        <v>2022</v>
      </c>
      <c r="FF1820" s="36" t="s">
        <v>59</v>
      </c>
      <c r="FG1820" s="36" t="s">
        <v>1728</v>
      </c>
      <c r="FJ1820" t="s">
        <v>59</v>
      </c>
    </row>
    <row r="1821" spans="153:166" x14ac:dyDescent="0.35">
      <c r="EW1821" t="s">
        <v>2339</v>
      </c>
      <c r="EX1821" s="33" t="s">
        <v>122</v>
      </c>
      <c r="EY1821" s="35" t="s">
        <v>2067</v>
      </c>
      <c r="EZ1821" s="36" t="s">
        <v>2068</v>
      </c>
      <c r="FA1821" s="36" t="s">
        <v>2003</v>
      </c>
      <c r="FB1821" s="36" t="s">
        <v>2004</v>
      </c>
      <c r="FC1821" s="36" t="s">
        <v>2003</v>
      </c>
      <c r="FD1821" s="36" t="s">
        <v>2004</v>
      </c>
      <c r="FE1821" s="36">
        <v>2022</v>
      </c>
      <c r="FF1821" s="36" t="s">
        <v>59</v>
      </c>
      <c r="FG1821" s="36" t="s">
        <v>1193</v>
      </c>
      <c r="FJ1821" t="s">
        <v>59</v>
      </c>
    </row>
    <row r="1822" spans="153:166" x14ac:dyDescent="0.35">
      <c r="EW1822" t="s">
        <v>2339</v>
      </c>
      <c r="EX1822" s="33" t="s">
        <v>588</v>
      </c>
      <c r="EY1822" s="35" t="s">
        <v>2069</v>
      </c>
      <c r="EZ1822" s="36" t="s">
        <v>2070</v>
      </c>
      <c r="FA1822" s="36" t="s">
        <v>2003</v>
      </c>
      <c r="FB1822" s="36" t="s">
        <v>2004</v>
      </c>
      <c r="FC1822" s="36" t="s">
        <v>2003</v>
      </c>
      <c r="FD1822" s="36" t="s">
        <v>2004</v>
      </c>
      <c r="FE1822" s="36">
        <v>2022</v>
      </c>
      <c r="FF1822" s="36" t="s">
        <v>59</v>
      </c>
      <c r="FG1822" s="36" t="s">
        <v>1728</v>
      </c>
      <c r="FJ1822" t="s">
        <v>59</v>
      </c>
    </row>
    <row r="1823" spans="153:166" x14ac:dyDescent="0.35">
      <c r="EW1823" t="s">
        <v>2339</v>
      </c>
      <c r="EX1823" s="33" t="s">
        <v>135</v>
      </c>
      <c r="EY1823" s="35" t="s">
        <v>2072</v>
      </c>
      <c r="EZ1823" s="36" t="s">
        <v>2073</v>
      </c>
      <c r="FA1823" s="36" t="s">
        <v>2003</v>
      </c>
      <c r="FB1823" s="36" t="s">
        <v>2004</v>
      </c>
      <c r="FC1823" s="36" t="s">
        <v>2003</v>
      </c>
      <c r="FD1823" s="36" t="s">
        <v>2004</v>
      </c>
      <c r="FE1823" s="36">
        <v>2022</v>
      </c>
      <c r="FF1823" s="36" t="s">
        <v>59</v>
      </c>
      <c r="FG1823" s="36" t="s">
        <v>1193</v>
      </c>
      <c r="FJ1823" t="s">
        <v>59</v>
      </c>
    </row>
    <row r="1824" spans="153:166" x14ac:dyDescent="0.35">
      <c r="EW1824" t="s">
        <v>2339</v>
      </c>
      <c r="EX1824" s="33" t="s">
        <v>595</v>
      </c>
      <c r="EY1824" s="35" t="s">
        <v>2074</v>
      </c>
      <c r="EZ1824" s="36" t="s">
        <v>2075</v>
      </c>
      <c r="FA1824" s="36" t="s">
        <v>2003</v>
      </c>
      <c r="FB1824" s="36" t="s">
        <v>2004</v>
      </c>
      <c r="FC1824" s="36" t="s">
        <v>2003</v>
      </c>
      <c r="FD1824" s="36" t="s">
        <v>2004</v>
      </c>
      <c r="FE1824" s="36">
        <v>2022</v>
      </c>
      <c r="FF1824" s="36" t="s">
        <v>59</v>
      </c>
      <c r="FG1824" s="36" t="s">
        <v>1728</v>
      </c>
      <c r="FJ1824" t="s">
        <v>59</v>
      </c>
    </row>
    <row r="1825" spans="153:166" x14ac:dyDescent="0.35">
      <c r="EW1825" t="s">
        <v>2339</v>
      </c>
      <c r="EX1825" s="33" t="s">
        <v>427</v>
      </c>
      <c r="EY1825" s="35" t="s">
        <v>2076</v>
      </c>
      <c r="EZ1825" s="36" t="s">
        <v>2077</v>
      </c>
      <c r="FA1825" s="36" t="s">
        <v>2003</v>
      </c>
      <c r="FB1825" s="36" t="s">
        <v>2004</v>
      </c>
      <c r="FC1825" s="36" t="s">
        <v>2003</v>
      </c>
      <c r="FD1825" s="36" t="s">
        <v>2004</v>
      </c>
      <c r="FE1825" s="36">
        <v>2022</v>
      </c>
      <c r="FF1825" s="36" t="s">
        <v>59</v>
      </c>
      <c r="FG1825" s="36" t="s">
        <v>1728</v>
      </c>
      <c r="FJ1825" t="s">
        <v>59</v>
      </c>
    </row>
    <row r="1826" spans="153:166" x14ac:dyDescent="0.35">
      <c r="EW1826" t="s">
        <v>2339</v>
      </c>
      <c r="EX1826" s="33" t="s">
        <v>617</v>
      </c>
      <c r="EY1826" s="35" t="s">
        <v>2078</v>
      </c>
      <c r="EZ1826" s="36" t="s">
        <v>2079</v>
      </c>
      <c r="FA1826" s="36" t="s">
        <v>2003</v>
      </c>
      <c r="FB1826" s="36" t="s">
        <v>2004</v>
      </c>
      <c r="FC1826" s="36" t="s">
        <v>2003</v>
      </c>
      <c r="FD1826" s="36" t="s">
        <v>2004</v>
      </c>
      <c r="FE1826" s="36">
        <v>2022</v>
      </c>
      <c r="FF1826" s="36" t="s">
        <v>59</v>
      </c>
      <c r="FG1826" s="36" t="s">
        <v>1193</v>
      </c>
      <c r="FJ1826" t="s">
        <v>59</v>
      </c>
    </row>
    <row r="1827" spans="153:166" x14ac:dyDescent="0.35">
      <c r="EW1827" t="s">
        <v>2339</v>
      </c>
      <c r="EX1827" s="33" t="s">
        <v>164</v>
      </c>
      <c r="EY1827" s="35" t="s">
        <v>2080</v>
      </c>
      <c r="EZ1827" s="36" t="s">
        <v>2081</v>
      </c>
      <c r="FA1827" s="36" t="s">
        <v>2003</v>
      </c>
      <c r="FB1827" s="36" t="s">
        <v>2004</v>
      </c>
      <c r="FC1827" s="36" t="s">
        <v>2003</v>
      </c>
      <c r="FD1827" s="36" t="s">
        <v>2004</v>
      </c>
      <c r="FE1827" s="36">
        <v>2022</v>
      </c>
      <c r="FF1827" s="36" t="s">
        <v>59</v>
      </c>
      <c r="FG1827" s="36" t="s">
        <v>1728</v>
      </c>
      <c r="FJ1827" t="s">
        <v>59</v>
      </c>
    </row>
    <row r="1828" spans="153:166" x14ac:dyDescent="0.35">
      <c r="EW1828" t="s">
        <v>2339</v>
      </c>
      <c r="EX1828" s="33" t="s">
        <v>700</v>
      </c>
      <c r="EY1828" s="35" t="s">
        <v>2084</v>
      </c>
      <c r="EZ1828" s="36" t="s">
        <v>2085</v>
      </c>
      <c r="FA1828" s="36" t="s">
        <v>2003</v>
      </c>
      <c r="FB1828" s="36" t="s">
        <v>2004</v>
      </c>
      <c r="FC1828" s="36" t="s">
        <v>2003</v>
      </c>
      <c r="FD1828" s="36" t="s">
        <v>2004</v>
      </c>
      <c r="FE1828" s="36">
        <v>2022</v>
      </c>
      <c r="FF1828" s="36" t="s">
        <v>59</v>
      </c>
      <c r="FG1828" s="36" t="s">
        <v>1728</v>
      </c>
      <c r="FJ1828" t="s">
        <v>59</v>
      </c>
    </row>
    <row r="1829" spans="153:166" x14ac:dyDescent="0.35">
      <c r="EW1829" t="s">
        <v>2339</v>
      </c>
      <c r="EX1829" s="33" t="s">
        <v>349</v>
      </c>
      <c r="EY1829" s="35" t="s">
        <v>2086</v>
      </c>
      <c r="EZ1829" s="36" t="s">
        <v>2087</v>
      </c>
      <c r="FA1829" s="36" t="s">
        <v>2003</v>
      </c>
      <c r="FB1829" s="36" t="s">
        <v>2004</v>
      </c>
      <c r="FC1829" s="36" t="s">
        <v>2003</v>
      </c>
      <c r="FD1829" s="36" t="s">
        <v>2004</v>
      </c>
      <c r="FE1829" s="36">
        <v>2022</v>
      </c>
      <c r="FF1829" s="36" t="s">
        <v>59</v>
      </c>
      <c r="FG1829" s="36" t="s">
        <v>1728</v>
      </c>
      <c r="FJ1829" t="s">
        <v>59</v>
      </c>
    </row>
    <row r="1830" spans="153:166" x14ac:dyDescent="0.35">
      <c r="EW1830" t="s">
        <v>2339</v>
      </c>
      <c r="EX1830" s="33" t="s">
        <v>297</v>
      </c>
      <c r="EY1830" s="35" t="s">
        <v>2088</v>
      </c>
      <c r="EZ1830" s="36" t="s">
        <v>2089</v>
      </c>
      <c r="FA1830" s="36" t="s">
        <v>2003</v>
      </c>
      <c r="FB1830" s="36" t="s">
        <v>2004</v>
      </c>
      <c r="FC1830" s="36" t="s">
        <v>2003</v>
      </c>
      <c r="FD1830" s="36" t="s">
        <v>2004</v>
      </c>
      <c r="FE1830" s="36">
        <v>2022</v>
      </c>
      <c r="FF1830" s="36" t="s">
        <v>59</v>
      </c>
      <c r="FG1830" s="36" t="s">
        <v>1728</v>
      </c>
      <c r="FJ1830" t="s">
        <v>59</v>
      </c>
    </row>
    <row r="1831" spans="153:166" x14ac:dyDescent="0.35">
      <c r="EW1831" t="s">
        <v>2339</v>
      </c>
      <c r="EX1831" s="33" t="s">
        <v>438</v>
      </c>
      <c r="EY1831" s="35" t="s">
        <v>2090</v>
      </c>
      <c r="EZ1831" s="36" t="s">
        <v>2091</v>
      </c>
      <c r="FA1831" s="36" t="s">
        <v>2003</v>
      </c>
      <c r="FB1831" s="36" t="s">
        <v>2004</v>
      </c>
      <c r="FC1831" s="36" t="s">
        <v>2003</v>
      </c>
      <c r="FD1831" s="36" t="s">
        <v>2004</v>
      </c>
      <c r="FE1831" s="36">
        <v>2022</v>
      </c>
      <c r="FF1831" s="36" t="s">
        <v>59</v>
      </c>
      <c r="FG1831" s="36" t="s">
        <v>1728</v>
      </c>
      <c r="FJ1831" t="s">
        <v>59</v>
      </c>
    </row>
    <row r="1832" spans="153:166" x14ac:dyDescent="0.35">
      <c r="EW1832" t="s">
        <v>2339</v>
      </c>
      <c r="EX1832" s="33" t="s">
        <v>556</v>
      </c>
      <c r="EY1832" s="35" t="s">
        <v>2092</v>
      </c>
      <c r="EZ1832" s="36" t="s">
        <v>2093</v>
      </c>
      <c r="FA1832" s="36" t="s">
        <v>2003</v>
      </c>
      <c r="FB1832" s="36" t="s">
        <v>2004</v>
      </c>
      <c r="FC1832" s="36" t="s">
        <v>2003</v>
      </c>
      <c r="FD1832" s="36" t="s">
        <v>2004</v>
      </c>
      <c r="FE1832" s="36">
        <v>2022</v>
      </c>
      <c r="FF1832" s="36" t="s">
        <v>59</v>
      </c>
      <c r="FG1832" s="36" t="s">
        <v>1728</v>
      </c>
      <c r="FJ1832" t="s">
        <v>59</v>
      </c>
    </row>
    <row r="1833" spans="153:166" x14ac:dyDescent="0.35">
      <c r="EW1833" t="s">
        <v>2339</v>
      </c>
      <c r="EX1833" s="33" t="s">
        <v>707</v>
      </c>
      <c r="EY1833" s="35" t="s">
        <v>2095</v>
      </c>
      <c r="EZ1833" s="36" t="s">
        <v>2096</v>
      </c>
      <c r="FA1833" s="36" t="s">
        <v>2003</v>
      </c>
      <c r="FB1833" s="36" t="s">
        <v>2004</v>
      </c>
      <c r="FC1833" s="36" t="s">
        <v>2003</v>
      </c>
      <c r="FD1833" s="36" t="s">
        <v>2004</v>
      </c>
      <c r="FE1833" s="36">
        <v>2022</v>
      </c>
      <c r="FF1833" s="36" t="s">
        <v>59</v>
      </c>
      <c r="FG1833" s="36" t="s">
        <v>1193</v>
      </c>
      <c r="FJ1833" t="s">
        <v>59</v>
      </c>
    </row>
    <row r="1834" spans="153:166" x14ac:dyDescent="0.35">
      <c r="EW1834" t="s">
        <v>2339</v>
      </c>
      <c r="EX1834" s="33" t="s">
        <v>606</v>
      </c>
      <c r="EY1834" s="35" t="s">
        <v>2097</v>
      </c>
      <c r="EZ1834" s="36" t="s">
        <v>2098</v>
      </c>
      <c r="FA1834" s="36" t="s">
        <v>2003</v>
      </c>
      <c r="FB1834" s="36" t="s">
        <v>2004</v>
      </c>
      <c r="FC1834" s="36" t="s">
        <v>2003</v>
      </c>
      <c r="FD1834" s="36" t="s">
        <v>2004</v>
      </c>
      <c r="FE1834" s="36">
        <v>2022</v>
      </c>
      <c r="FF1834" s="36" t="s">
        <v>59</v>
      </c>
      <c r="FG1834" s="36" t="s">
        <v>1728</v>
      </c>
      <c r="FJ1834" t="s">
        <v>59</v>
      </c>
    </row>
    <row r="1835" spans="153:166" x14ac:dyDescent="0.35">
      <c r="EW1835" t="s">
        <v>2339</v>
      </c>
      <c r="EX1835" s="33" t="s">
        <v>453</v>
      </c>
      <c r="EY1835" s="35" t="s">
        <v>2099</v>
      </c>
      <c r="EZ1835" s="36" t="s">
        <v>2100</v>
      </c>
      <c r="FA1835" s="36" t="s">
        <v>2003</v>
      </c>
      <c r="FB1835" s="36" t="s">
        <v>2004</v>
      </c>
      <c r="FC1835" s="36" t="s">
        <v>2003</v>
      </c>
      <c r="FD1835" s="36" t="s">
        <v>2004</v>
      </c>
      <c r="FE1835" s="36">
        <v>2022</v>
      </c>
      <c r="FF1835" s="36" t="s">
        <v>59</v>
      </c>
      <c r="FG1835" s="36" t="s">
        <v>1728</v>
      </c>
      <c r="FJ1835" t="s">
        <v>59</v>
      </c>
    </row>
    <row r="1836" spans="153:166" x14ac:dyDescent="0.35">
      <c r="EW1836" t="s">
        <v>2339</v>
      </c>
      <c r="EX1836" s="33" t="s">
        <v>737</v>
      </c>
      <c r="EY1836" s="35" t="s">
        <v>2101</v>
      </c>
      <c r="EZ1836" s="36" t="s">
        <v>2102</v>
      </c>
      <c r="FA1836" s="36" t="s">
        <v>2003</v>
      </c>
      <c r="FB1836" s="36" t="s">
        <v>2004</v>
      </c>
      <c r="FC1836" s="36" t="s">
        <v>2003</v>
      </c>
      <c r="FD1836" s="36" t="s">
        <v>2004</v>
      </c>
      <c r="FE1836" s="36">
        <v>2022</v>
      </c>
      <c r="FF1836" s="36" t="s">
        <v>59</v>
      </c>
      <c r="FG1836" s="36" t="s">
        <v>1193</v>
      </c>
      <c r="FJ1836" t="s">
        <v>59</v>
      </c>
    </row>
    <row r="1837" spans="153:166" x14ac:dyDescent="0.35">
      <c r="EW1837" t="s">
        <v>2339</v>
      </c>
      <c r="EX1837" s="33" t="s">
        <v>464</v>
      </c>
      <c r="EY1837" s="35" t="s">
        <v>2103</v>
      </c>
      <c r="EZ1837" s="36" t="s">
        <v>2104</v>
      </c>
      <c r="FA1837" s="36" t="s">
        <v>2003</v>
      </c>
      <c r="FB1837" s="36" t="s">
        <v>2004</v>
      </c>
      <c r="FC1837" s="36" t="s">
        <v>2003</v>
      </c>
      <c r="FD1837" s="36" t="s">
        <v>2004</v>
      </c>
      <c r="FE1837" s="36">
        <v>2022</v>
      </c>
      <c r="FF1837" s="36" t="s">
        <v>59</v>
      </c>
      <c r="FG1837" s="36" t="s">
        <v>1728</v>
      </c>
      <c r="FJ1837" t="s">
        <v>59</v>
      </c>
    </row>
    <row r="1838" spans="153:166" x14ac:dyDescent="0.35">
      <c r="EW1838" t="s">
        <v>2339</v>
      </c>
      <c r="EX1838" s="33" t="s">
        <v>3071</v>
      </c>
      <c r="EY1838" s="35" t="s">
        <v>2105</v>
      </c>
      <c r="EZ1838" s="36" t="s">
        <v>2106</v>
      </c>
      <c r="FA1838" s="36" t="s">
        <v>2003</v>
      </c>
      <c r="FB1838" s="36" t="s">
        <v>2004</v>
      </c>
      <c r="FC1838" s="36" t="s">
        <v>2003</v>
      </c>
      <c r="FD1838" s="36" t="s">
        <v>2004</v>
      </c>
      <c r="FE1838" s="36">
        <v>2022</v>
      </c>
      <c r="FF1838" s="36" t="s">
        <v>59</v>
      </c>
      <c r="FG1838" s="36" t="s">
        <v>1728</v>
      </c>
      <c r="FJ1838" t="s">
        <v>59</v>
      </c>
    </row>
    <row r="1839" spans="153:166" x14ac:dyDescent="0.35">
      <c r="EW1839" t="s">
        <v>2339</v>
      </c>
      <c r="EX1839" s="33" t="s">
        <v>746</v>
      </c>
      <c r="EY1839" s="35" t="s">
        <v>2107</v>
      </c>
      <c r="EZ1839" s="36" t="s">
        <v>2108</v>
      </c>
      <c r="FA1839" s="36" t="s">
        <v>2003</v>
      </c>
      <c r="FB1839" s="36" t="s">
        <v>2004</v>
      </c>
      <c r="FC1839" s="36" t="s">
        <v>2003</v>
      </c>
      <c r="FD1839" s="36" t="s">
        <v>2004</v>
      </c>
      <c r="FE1839" s="36">
        <v>2022</v>
      </c>
      <c r="FF1839" s="36" t="s">
        <v>59</v>
      </c>
      <c r="FG1839" s="36" t="s">
        <v>1728</v>
      </c>
      <c r="FJ1839" t="s">
        <v>59</v>
      </c>
    </row>
    <row r="1840" spans="153:166" x14ac:dyDescent="0.35">
      <c r="EW1840" t="s">
        <v>2339</v>
      </c>
      <c r="EX1840" s="33" t="s">
        <v>521</v>
      </c>
      <c r="EY1840" s="35" t="s">
        <v>2109</v>
      </c>
      <c r="EZ1840" s="36" t="s">
        <v>2110</v>
      </c>
      <c r="FA1840" s="36" t="s">
        <v>2003</v>
      </c>
      <c r="FB1840" s="36" t="s">
        <v>2004</v>
      </c>
      <c r="FC1840" s="36" t="s">
        <v>2003</v>
      </c>
      <c r="FD1840" s="36" t="s">
        <v>2004</v>
      </c>
      <c r="FE1840" s="36">
        <v>2022</v>
      </c>
      <c r="FF1840" s="36" t="s">
        <v>59</v>
      </c>
      <c r="FG1840" s="36" t="s">
        <v>1728</v>
      </c>
      <c r="FJ1840" t="s">
        <v>59</v>
      </c>
    </row>
    <row r="1841" spans="153:166" x14ac:dyDescent="0.35">
      <c r="EW1841" t="s">
        <v>2339</v>
      </c>
      <c r="EX1841" s="33" t="s">
        <v>626</v>
      </c>
      <c r="EY1841" s="35" t="s">
        <v>2111</v>
      </c>
      <c r="EZ1841" s="36" t="s">
        <v>2112</v>
      </c>
      <c r="FA1841" s="36" t="s">
        <v>2003</v>
      </c>
      <c r="FB1841" s="36" t="s">
        <v>2004</v>
      </c>
      <c r="FC1841" s="36" t="s">
        <v>2003</v>
      </c>
      <c r="FD1841" s="36" t="s">
        <v>2004</v>
      </c>
      <c r="FE1841" s="36">
        <v>2022</v>
      </c>
      <c r="FF1841" s="36" t="s">
        <v>59</v>
      </c>
      <c r="FG1841" s="36" t="s">
        <v>1728</v>
      </c>
      <c r="FJ1841" t="s">
        <v>59</v>
      </c>
    </row>
    <row r="1842" spans="153:166" x14ac:dyDescent="0.35">
      <c r="EW1842" t="s">
        <v>2339</v>
      </c>
      <c r="EX1842" s="33" t="s">
        <v>549</v>
      </c>
      <c r="EY1842" s="35" t="s">
        <v>2113</v>
      </c>
      <c r="EZ1842" s="36" t="s">
        <v>2114</v>
      </c>
      <c r="FA1842" s="36" t="s">
        <v>2003</v>
      </c>
      <c r="FB1842" s="36" t="s">
        <v>2004</v>
      </c>
      <c r="FC1842" s="36" t="s">
        <v>2003</v>
      </c>
      <c r="FD1842" s="36" t="s">
        <v>2004</v>
      </c>
      <c r="FE1842" s="36">
        <v>2022</v>
      </c>
      <c r="FF1842" s="36" t="s">
        <v>59</v>
      </c>
      <c r="FG1842" s="36" t="s">
        <v>1728</v>
      </c>
      <c r="FJ1842" t="s">
        <v>59</v>
      </c>
    </row>
    <row r="1843" spans="153:166" x14ac:dyDescent="0.35">
      <c r="EW1843" t="s">
        <v>2339</v>
      </c>
      <c r="EX1843" s="33" t="s">
        <v>362</v>
      </c>
      <c r="EY1843" s="35" t="s">
        <v>2115</v>
      </c>
      <c r="EZ1843" s="36" t="s">
        <v>2116</v>
      </c>
      <c r="FA1843" s="36" t="s">
        <v>2003</v>
      </c>
      <c r="FB1843" s="36" t="s">
        <v>2004</v>
      </c>
      <c r="FC1843" s="36" t="s">
        <v>2003</v>
      </c>
      <c r="FD1843" s="36" t="s">
        <v>2004</v>
      </c>
      <c r="FE1843" s="36">
        <v>2022</v>
      </c>
      <c r="FF1843" s="36" t="s">
        <v>59</v>
      </c>
      <c r="FG1843" s="36" t="s">
        <v>1728</v>
      </c>
      <c r="FJ1843" t="s">
        <v>59</v>
      </c>
    </row>
    <row r="1844" spans="153:166" x14ac:dyDescent="0.35">
      <c r="EW1844" t="s">
        <v>2339</v>
      </c>
      <c r="EX1844" s="33" t="s">
        <v>45</v>
      </c>
      <c r="EY1844" s="35" t="s">
        <v>2117</v>
      </c>
      <c r="EZ1844" s="36" t="s">
        <v>2118</v>
      </c>
      <c r="FA1844" s="36" t="s">
        <v>2003</v>
      </c>
      <c r="FB1844" s="36" t="s">
        <v>2004</v>
      </c>
      <c r="FC1844" s="36" t="s">
        <v>2003</v>
      </c>
      <c r="FD1844" s="36" t="s">
        <v>2004</v>
      </c>
      <c r="FE1844" s="36">
        <v>2022</v>
      </c>
      <c r="FF1844" s="36" t="s">
        <v>59</v>
      </c>
      <c r="FG1844" s="36" t="s">
        <v>1193</v>
      </c>
      <c r="FJ1844" t="s">
        <v>59</v>
      </c>
    </row>
    <row r="1845" spans="153:166" x14ac:dyDescent="0.35">
      <c r="EW1845" t="s">
        <v>2339</v>
      </c>
      <c r="EX1845" s="33" t="s">
        <v>751</v>
      </c>
      <c r="EY1845" s="35" t="s">
        <v>2119</v>
      </c>
      <c r="EZ1845" s="36" t="s">
        <v>2120</v>
      </c>
      <c r="FA1845" s="36" t="s">
        <v>2003</v>
      </c>
      <c r="FB1845" s="36" t="s">
        <v>2004</v>
      </c>
      <c r="FC1845" s="36" t="s">
        <v>2003</v>
      </c>
      <c r="FD1845" s="36" t="s">
        <v>2004</v>
      </c>
      <c r="FE1845" s="36">
        <v>2022</v>
      </c>
      <c r="FF1845" s="36" t="s">
        <v>59</v>
      </c>
      <c r="FG1845" s="36" t="s">
        <v>1193</v>
      </c>
      <c r="FJ1845" t="s">
        <v>59</v>
      </c>
    </row>
    <row r="1846" spans="153:166" x14ac:dyDescent="0.35">
      <c r="EW1846" t="s">
        <v>2339</v>
      </c>
      <c r="EX1846" s="33" t="s">
        <v>179</v>
      </c>
      <c r="EY1846" s="35" t="s">
        <v>2121</v>
      </c>
      <c r="EZ1846" s="36" t="s">
        <v>2122</v>
      </c>
      <c r="FA1846" s="36" t="s">
        <v>2003</v>
      </c>
      <c r="FB1846" s="36" t="s">
        <v>2004</v>
      </c>
      <c r="FC1846" s="36" t="s">
        <v>2003</v>
      </c>
      <c r="FD1846" s="36" t="s">
        <v>2004</v>
      </c>
      <c r="FE1846" s="36">
        <v>2022</v>
      </c>
      <c r="FF1846" s="36" t="s">
        <v>59</v>
      </c>
      <c r="FG1846" s="36" t="s">
        <v>1728</v>
      </c>
      <c r="FJ1846" t="s">
        <v>59</v>
      </c>
    </row>
    <row r="1847" spans="153:166" x14ac:dyDescent="0.35">
      <c r="EW1847" t="s">
        <v>2339</v>
      </c>
      <c r="EX1847" s="33" t="s">
        <v>247</v>
      </c>
      <c r="EY1847" s="35" t="s">
        <v>2123</v>
      </c>
      <c r="EZ1847" s="36" t="s">
        <v>2124</v>
      </c>
      <c r="FA1847" s="36" t="s">
        <v>2003</v>
      </c>
      <c r="FB1847" s="36" t="s">
        <v>2004</v>
      </c>
      <c r="FC1847" s="36" t="s">
        <v>2003</v>
      </c>
      <c r="FD1847" s="36" t="s">
        <v>2004</v>
      </c>
      <c r="FE1847" s="36">
        <v>2022</v>
      </c>
      <c r="FF1847" s="36" t="s">
        <v>59</v>
      </c>
      <c r="FG1847" s="36" t="s">
        <v>1728</v>
      </c>
      <c r="FJ1847" t="s">
        <v>59</v>
      </c>
    </row>
    <row r="1848" spans="153:166" x14ac:dyDescent="0.35">
      <c r="EW1848" t="s">
        <v>2339</v>
      </c>
      <c r="EX1848" s="33" t="s">
        <v>638</v>
      </c>
      <c r="EY1848" s="35" t="s">
        <v>2125</v>
      </c>
      <c r="EZ1848" s="36" t="s">
        <v>2126</v>
      </c>
      <c r="FA1848" s="36" t="s">
        <v>2003</v>
      </c>
      <c r="FB1848" s="36" t="s">
        <v>2004</v>
      </c>
      <c r="FC1848" s="36" t="s">
        <v>2003</v>
      </c>
      <c r="FD1848" s="36" t="s">
        <v>2004</v>
      </c>
      <c r="FE1848" s="36">
        <v>2022</v>
      </c>
      <c r="FF1848" s="36" t="s">
        <v>59</v>
      </c>
      <c r="FG1848" s="36" t="s">
        <v>1728</v>
      </c>
      <c r="FJ1848" t="s">
        <v>59</v>
      </c>
    </row>
    <row r="1849" spans="153:166" x14ac:dyDescent="0.35">
      <c r="EW1849" t="s">
        <v>2339</v>
      </c>
      <c r="EX1849" s="33" t="s">
        <v>3072</v>
      </c>
      <c r="EY1849" s="35" t="s">
        <v>2127</v>
      </c>
      <c r="EZ1849" s="36" t="s">
        <v>2128</v>
      </c>
      <c r="FA1849" s="36" t="s">
        <v>2003</v>
      </c>
      <c r="FB1849" s="36" t="s">
        <v>2004</v>
      </c>
      <c r="FC1849" s="36" t="s">
        <v>2003</v>
      </c>
      <c r="FD1849" s="36" t="s">
        <v>2004</v>
      </c>
      <c r="FE1849" s="36">
        <v>2022</v>
      </c>
      <c r="FF1849" s="36" t="s">
        <v>59</v>
      </c>
      <c r="FG1849" s="36" t="s">
        <v>1728</v>
      </c>
      <c r="FJ1849" t="s">
        <v>59</v>
      </c>
    </row>
    <row r="1850" spans="153:166" x14ac:dyDescent="0.35">
      <c r="EW1850" t="s">
        <v>2339</v>
      </c>
      <c r="EX1850" s="33" t="s">
        <v>3073</v>
      </c>
      <c r="EY1850" s="35" t="s">
        <v>2129</v>
      </c>
      <c r="EZ1850" s="36" t="s">
        <v>2130</v>
      </c>
      <c r="FA1850" s="36" t="s">
        <v>2003</v>
      </c>
      <c r="FB1850" s="36" t="s">
        <v>2004</v>
      </c>
      <c r="FC1850" s="36" t="s">
        <v>2003</v>
      </c>
      <c r="FD1850" s="36" t="s">
        <v>2004</v>
      </c>
      <c r="FE1850" s="36">
        <v>2022</v>
      </c>
      <c r="FF1850" s="36" t="s">
        <v>59</v>
      </c>
      <c r="FG1850" s="36" t="s">
        <v>1728</v>
      </c>
      <c r="FJ1850" t="s">
        <v>59</v>
      </c>
    </row>
    <row r="1851" spans="153:166" x14ac:dyDescent="0.35">
      <c r="EW1851" t="s">
        <v>2339</v>
      </c>
      <c r="EX1851" s="33" t="s">
        <v>188</v>
      </c>
      <c r="EY1851" s="35" t="s">
        <v>2131</v>
      </c>
      <c r="EZ1851" s="36" t="s">
        <v>2132</v>
      </c>
      <c r="FA1851" s="36" t="s">
        <v>2003</v>
      </c>
      <c r="FB1851" s="36" t="s">
        <v>2004</v>
      </c>
      <c r="FC1851" s="36" t="s">
        <v>2003</v>
      </c>
      <c r="FD1851" s="36" t="s">
        <v>2004</v>
      </c>
      <c r="FE1851" s="36">
        <v>2022</v>
      </c>
      <c r="FF1851" s="36" t="s">
        <v>59</v>
      </c>
      <c r="FG1851" s="36" t="s">
        <v>1728</v>
      </c>
      <c r="FJ1851" t="s">
        <v>59</v>
      </c>
    </row>
    <row r="1852" spans="153:166" x14ac:dyDescent="0.35">
      <c r="EW1852" t="s">
        <v>2339</v>
      </c>
      <c r="EX1852" s="33" t="s">
        <v>482</v>
      </c>
      <c r="EY1852" s="35" t="s">
        <v>2133</v>
      </c>
      <c r="EZ1852" s="36" t="s">
        <v>2134</v>
      </c>
      <c r="FA1852" s="36" t="s">
        <v>2003</v>
      </c>
      <c r="FB1852" s="36" t="s">
        <v>2004</v>
      </c>
      <c r="FC1852" s="36" t="s">
        <v>2003</v>
      </c>
      <c r="FD1852" s="36" t="s">
        <v>2004</v>
      </c>
      <c r="FE1852" s="36">
        <v>2022</v>
      </c>
      <c r="FF1852" s="36" t="s">
        <v>59</v>
      </c>
      <c r="FG1852" s="36" t="s">
        <v>1193</v>
      </c>
      <c r="FJ1852" t="s">
        <v>59</v>
      </c>
    </row>
    <row r="1853" spans="153:166" x14ac:dyDescent="0.35">
      <c r="EW1853" t="s">
        <v>2339</v>
      </c>
      <c r="EX1853" s="33" t="s">
        <v>730</v>
      </c>
      <c r="EY1853" s="35" t="s">
        <v>2135</v>
      </c>
      <c r="EZ1853" s="36" t="s">
        <v>2136</v>
      </c>
      <c r="FA1853" s="36" t="s">
        <v>2003</v>
      </c>
      <c r="FB1853" s="36" t="s">
        <v>2004</v>
      </c>
      <c r="FC1853" s="36" t="s">
        <v>2003</v>
      </c>
      <c r="FD1853" s="36" t="s">
        <v>2004</v>
      </c>
      <c r="FE1853" s="36">
        <v>2022</v>
      </c>
      <c r="FF1853" s="36" t="s">
        <v>59</v>
      </c>
      <c r="FG1853" s="36" t="s">
        <v>1193</v>
      </c>
      <c r="FJ1853" t="s">
        <v>59</v>
      </c>
    </row>
    <row r="1854" spans="153:166" x14ac:dyDescent="0.35">
      <c r="EW1854" t="s">
        <v>2339</v>
      </c>
      <c r="EX1854" s="33" t="s">
        <v>68</v>
      </c>
      <c r="EY1854" s="35" t="s">
        <v>2137</v>
      </c>
      <c r="EZ1854" s="36" t="s">
        <v>2138</v>
      </c>
      <c r="FA1854" s="36" t="s">
        <v>2003</v>
      </c>
      <c r="FB1854" s="36" t="s">
        <v>2004</v>
      </c>
      <c r="FC1854" s="36" t="s">
        <v>2003</v>
      </c>
      <c r="FD1854" s="36" t="s">
        <v>2004</v>
      </c>
      <c r="FE1854" s="36">
        <v>2022</v>
      </c>
      <c r="FF1854" s="36" t="s">
        <v>59</v>
      </c>
      <c r="FG1854" s="36" t="s">
        <v>1193</v>
      </c>
      <c r="FJ1854" t="s">
        <v>59</v>
      </c>
    </row>
    <row r="1855" spans="153:166" x14ac:dyDescent="0.35">
      <c r="EW1855" t="s">
        <v>2339</v>
      </c>
      <c r="EX1855" s="33" t="s">
        <v>712</v>
      </c>
      <c r="EY1855" s="35" t="s">
        <v>2141</v>
      </c>
      <c r="EZ1855" s="36" t="s">
        <v>2142</v>
      </c>
      <c r="FA1855" s="36" t="s">
        <v>2003</v>
      </c>
      <c r="FB1855" s="36" t="s">
        <v>2004</v>
      </c>
      <c r="FC1855" s="36" t="s">
        <v>2003</v>
      </c>
      <c r="FD1855" s="36" t="s">
        <v>2004</v>
      </c>
      <c r="FE1855" s="36">
        <v>2022</v>
      </c>
      <c r="FF1855" s="36" t="s">
        <v>59</v>
      </c>
      <c r="FG1855" s="36" t="s">
        <v>1728</v>
      </c>
      <c r="FJ1855" t="s">
        <v>59</v>
      </c>
    </row>
    <row r="1856" spans="153:166" x14ac:dyDescent="0.35">
      <c r="EW1856" t="s">
        <v>2339</v>
      </c>
      <c r="EX1856" s="33" t="s">
        <v>377</v>
      </c>
      <c r="EY1856" s="35" t="s">
        <v>2143</v>
      </c>
      <c r="EZ1856" s="36" t="s">
        <v>2144</v>
      </c>
      <c r="FA1856" s="36" t="s">
        <v>2003</v>
      </c>
      <c r="FB1856" s="36" t="s">
        <v>2004</v>
      </c>
      <c r="FC1856" s="36" t="s">
        <v>2003</v>
      </c>
      <c r="FD1856" s="36" t="s">
        <v>2004</v>
      </c>
      <c r="FE1856" s="36">
        <v>2022</v>
      </c>
      <c r="FF1856" s="36" t="s">
        <v>59</v>
      </c>
      <c r="FG1856" s="36" t="s">
        <v>1193</v>
      </c>
      <c r="FJ1856" t="s">
        <v>59</v>
      </c>
    </row>
    <row r="1857" spans="153:166" x14ac:dyDescent="0.35">
      <c r="EW1857" t="s">
        <v>2339</v>
      </c>
      <c r="EX1857" s="33" t="s">
        <v>398</v>
      </c>
      <c r="EY1857" s="35" t="s">
        <v>2145</v>
      </c>
      <c r="EZ1857" s="36" t="s">
        <v>2146</v>
      </c>
      <c r="FA1857" s="36" t="s">
        <v>2003</v>
      </c>
      <c r="FB1857" s="36" t="s">
        <v>2004</v>
      </c>
      <c r="FC1857" s="36" t="s">
        <v>2003</v>
      </c>
      <c r="FD1857" s="36" t="s">
        <v>2004</v>
      </c>
      <c r="FE1857" s="36">
        <v>2022</v>
      </c>
      <c r="FF1857" s="36" t="s">
        <v>59</v>
      </c>
      <c r="FG1857" s="36" t="s">
        <v>1728</v>
      </c>
      <c r="FJ1857" t="s">
        <v>59</v>
      </c>
    </row>
    <row r="1858" spans="153:166" x14ac:dyDescent="0.35">
      <c r="EW1858" t="s">
        <v>2339</v>
      </c>
      <c r="EX1858" s="33" t="s">
        <v>260</v>
      </c>
      <c r="EY1858" s="35" t="s">
        <v>2147</v>
      </c>
      <c r="EZ1858" s="36" t="s">
        <v>2148</v>
      </c>
      <c r="FA1858" s="36" t="s">
        <v>2003</v>
      </c>
      <c r="FB1858" s="36" t="s">
        <v>2004</v>
      </c>
      <c r="FC1858" s="36" t="s">
        <v>2003</v>
      </c>
      <c r="FD1858" s="36" t="s">
        <v>2004</v>
      </c>
      <c r="FE1858" s="36">
        <v>2022</v>
      </c>
      <c r="FF1858" s="36" t="s">
        <v>59</v>
      </c>
      <c r="FG1858" s="36" t="s">
        <v>1728</v>
      </c>
      <c r="FJ1858" t="s">
        <v>59</v>
      </c>
    </row>
    <row r="1859" spans="153:166" x14ac:dyDescent="0.35">
      <c r="EW1859" t="s">
        <v>2339</v>
      </c>
      <c r="EX1859" s="33" t="s">
        <v>984</v>
      </c>
      <c r="EY1859" s="35" t="s">
        <v>2149</v>
      </c>
      <c r="EZ1859" s="36" t="s">
        <v>2150</v>
      </c>
      <c r="FA1859" s="36" t="s">
        <v>2003</v>
      </c>
      <c r="FB1859" s="36" t="s">
        <v>2004</v>
      </c>
      <c r="FC1859" s="36" t="s">
        <v>2003</v>
      </c>
      <c r="FD1859" s="36" t="s">
        <v>2004</v>
      </c>
      <c r="FE1859" s="36">
        <v>2022</v>
      </c>
      <c r="FF1859" s="36" t="s">
        <v>59</v>
      </c>
      <c r="FG1859" s="36" t="s">
        <v>1193</v>
      </c>
      <c r="FJ1859" t="s">
        <v>59</v>
      </c>
    </row>
    <row r="1860" spans="153:166" x14ac:dyDescent="0.35">
      <c r="EW1860" t="s">
        <v>2339</v>
      </c>
      <c r="EX1860" s="33" t="s">
        <v>725</v>
      </c>
      <c r="EY1860" s="35" t="s">
        <v>2151</v>
      </c>
      <c r="EZ1860" s="36" t="s">
        <v>2152</v>
      </c>
      <c r="FA1860" s="36" t="s">
        <v>2003</v>
      </c>
      <c r="FB1860" s="36" t="s">
        <v>2004</v>
      </c>
      <c r="FC1860" s="36" t="s">
        <v>2003</v>
      </c>
      <c r="FD1860" s="36" t="s">
        <v>2004</v>
      </c>
      <c r="FE1860" s="36">
        <v>2022</v>
      </c>
      <c r="FF1860" s="36" t="s">
        <v>59</v>
      </c>
      <c r="FG1860" s="36" t="s">
        <v>1728</v>
      </c>
      <c r="FJ1860" t="s">
        <v>59</v>
      </c>
    </row>
    <row r="1861" spans="153:166" x14ac:dyDescent="0.35">
      <c r="EW1861" t="s">
        <v>2339</v>
      </c>
      <c r="EX1861" s="33" t="s">
        <v>90</v>
      </c>
      <c r="EY1861" s="35" t="s">
        <v>2153</v>
      </c>
      <c r="EZ1861" s="36" t="s">
        <v>2154</v>
      </c>
      <c r="FA1861" s="36" t="s">
        <v>2003</v>
      </c>
      <c r="FB1861" s="36" t="s">
        <v>2004</v>
      </c>
      <c r="FC1861" s="36" t="s">
        <v>2003</v>
      </c>
      <c r="FD1861" s="36" t="s">
        <v>2004</v>
      </c>
      <c r="FE1861" s="36">
        <v>2022</v>
      </c>
      <c r="FF1861" s="36" t="s">
        <v>59</v>
      </c>
      <c r="FG1861" s="36" t="s">
        <v>1193</v>
      </c>
      <c r="FJ1861" t="s">
        <v>59</v>
      </c>
    </row>
    <row r="1862" spans="153:166" x14ac:dyDescent="0.35">
      <c r="EW1862" t="s">
        <v>2339</v>
      </c>
      <c r="EX1862" s="33" t="s">
        <v>924</v>
      </c>
      <c r="EY1862" s="35" t="s">
        <v>2155</v>
      </c>
      <c r="EZ1862" s="36" t="s">
        <v>2156</v>
      </c>
      <c r="FA1862" s="36" t="s">
        <v>2003</v>
      </c>
      <c r="FB1862" s="36" t="s">
        <v>2004</v>
      </c>
      <c r="FC1862" s="36" t="s">
        <v>2003</v>
      </c>
      <c r="FD1862" s="36" t="s">
        <v>2004</v>
      </c>
      <c r="FE1862" s="36">
        <v>2022</v>
      </c>
      <c r="FF1862" s="36" t="s">
        <v>59</v>
      </c>
      <c r="FG1862" s="36" t="s">
        <v>1728</v>
      </c>
      <c r="FJ1862" t="s">
        <v>59</v>
      </c>
    </row>
    <row r="1863" spans="153:166" x14ac:dyDescent="0.35">
      <c r="EW1863" t="s">
        <v>2339</v>
      </c>
      <c r="EX1863" s="33" t="s">
        <v>3074</v>
      </c>
      <c r="EY1863" s="35" t="s">
        <v>2157</v>
      </c>
      <c r="EZ1863" s="36" t="s">
        <v>2158</v>
      </c>
      <c r="FA1863" s="36" t="s">
        <v>2003</v>
      </c>
      <c r="FB1863" s="36" t="s">
        <v>2004</v>
      </c>
      <c r="FC1863" s="36" t="s">
        <v>2003</v>
      </c>
      <c r="FD1863" s="36" t="s">
        <v>2004</v>
      </c>
      <c r="FE1863" s="36">
        <v>2022</v>
      </c>
      <c r="FF1863" s="36" t="s">
        <v>59</v>
      </c>
      <c r="FG1863" s="36" t="s">
        <v>1193</v>
      </c>
      <c r="FJ1863" t="s">
        <v>59</v>
      </c>
    </row>
    <row r="1864" spans="153:166" x14ac:dyDescent="0.35">
      <c r="EW1864" t="s">
        <v>2339</v>
      </c>
      <c r="EX1864" s="33" t="s">
        <v>3075</v>
      </c>
      <c r="EY1864" s="35" t="s">
        <v>2159</v>
      </c>
      <c r="EZ1864" s="36" t="s">
        <v>2160</v>
      </c>
      <c r="FA1864" s="36" t="s">
        <v>2003</v>
      </c>
      <c r="FB1864" s="36" t="s">
        <v>2004</v>
      </c>
      <c r="FC1864" s="36" t="s">
        <v>2003</v>
      </c>
      <c r="FD1864" s="36" t="s">
        <v>2004</v>
      </c>
      <c r="FE1864" s="36">
        <v>2022</v>
      </c>
      <c r="FF1864" s="36" t="s">
        <v>59</v>
      </c>
      <c r="FG1864" s="36" t="s">
        <v>1728</v>
      </c>
      <c r="FJ1864" t="s">
        <v>59</v>
      </c>
    </row>
    <row r="1865" spans="153:166" x14ac:dyDescent="0.35">
      <c r="EW1865" t="s">
        <v>2339</v>
      </c>
      <c r="EX1865" s="33" t="s">
        <v>848</v>
      </c>
      <c r="EY1865" s="35" t="s">
        <v>2161</v>
      </c>
      <c r="EZ1865" s="36" t="s">
        <v>2162</v>
      </c>
      <c r="FA1865" s="36" t="s">
        <v>2003</v>
      </c>
      <c r="FB1865" s="36" t="s">
        <v>2004</v>
      </c>
      <c r="FC1865" s="36" t="s">
        <v>2003</v>
      </c>
      <c r="FD1865" s="36" t="s">
        <v>2004</v>
      </c>
      <c r="FE1865" s="36">
        <v>2022</v>
      </c>
      <c r="FF1865" s="36" t="s">
        <v>59</v>
      </c>
      <c r="FG1865" s="36" t="s">
        <v>1193</v>
      </c>
      <c r="FJ1865" t="s">
        <v>59</v>
      </c>
    </row>
    <row r="1866" spans="153:166" x14ac:dyDescent="0.35">
      <c r="EW1866" t="s">
        <v>2339</v>
      </c>
      <c r="EX1866" s="33" t="s">
        <v>889</v>
      </c>
      <c r="EY1866" s="35" t="s">
        <v>2163</v>
      </c>
      <c r="EZ1866" s="36" t="s">
        <v>2164</v>
      </c>
      <c r="FA1866" s="36" t="s">
        <v>2003</v>
      </c>
      <c r="FB1866" s="36" t="s">
        <v>2004</v>
      </c>
      <c r="FC1866" s="36" t="s">
        <v>2003</v>
      </c>
      <c r="FD1866" s="36" t="s">
        <v>2004</v>
      </c>
      <c r="FE1866" s="36">
        <v>2022</v>
      </c>
      <c r="FF1866" s="36" t="s">
        <v>59</v>
      </c>
      <c r="FG1866" s="36" t="s">
        <v>1193</v>
      </c>
      <c r="FJ1866" t="s">
        <v>59</v>
      </c>
    </row>
    <row r="1867" spans="153:166" x14ac:dyDescent="0.35">
      <c r="EW1867" t="s">
        <v>2339</v>
      </c>
      <c r="EX1867" s="33" t="s">
        <v>3076</v>
      </c>
      <c r="EY1867" s="35" t="s">
        <v>2165</v>
      </c>
      <c r="EZ1867" s="36" t="s">
        <v>2166</v>
      </c>
      <c r="FA1867" s="36" t="s">
        <v>2003</v>
      </c>
      <c r="FB1867" s="36" t="s">
        <v>2004</v>
      </c>
      <c r="FC1867" s="36" t="s">
        <v>2003</v>
      </c>
      <c r="FD1867" s="36" t="s">
        <v>2004</v>
      </c>
      <c r="FE1867" s="36">
        <v>2022</v>
      </c>
      <c r="FF1867" s="36" t="s">
        <v>59</v>
      </c>
      <c r="FG1867" s="36" t="s">
        <v>1193</v>
      </c>
      <c r="FJ1867" t="s">
        <v>59</v>
      </c>
    </row>
    <row r="1868" spans="153:166" x14ac:dyDescent="0.35">
      <c r="EW1868" t="s">
        <v>2339</v>
      </c>
      <c r="EX1868" s="33" t="s">
        <v>1036</v>
      </c>
      <c r="EY1868" s="35" t="s">
        <v>2167</v>
      </c>
      <c r="EZ1868" s="36" t="s">
        <v>2168</v>
      </c>
      <c r="FA1868" s="36" t="s">
        <v>2003</v>
      </c>
      <c r="FB1868" s="36" t="s">
        <v>2004</v>
      </c>
      <c r="FC1868" s="36" t="s">
        <v>2003</v>
      </c>
      <c r="FD1868" s="36" t="s">
        <v>2004</v>
      </c>
      <c r="FE1868" s="36">
        <v>2022</v>
      </c>
      <c r="FF1868" s="36" t="s">
        <v>59</v>
      </c>
      <c r="FG1868" s="36" t="s">
        <v>1193</v>
      </c>
      <c r="FJ1868" t="s">
        <v>59</v>
      </c>
    </row>
    <row r="1869" spans="153:166" x14ac:dyDescent="0.35">
      <c r="EW1869" t="s">
        <v>2339</v>
      </c>
      <c r="EX1869" s="33" t="s">
        <v>777</v>
      </c>
      <c r="EY1869" s="35" t="s">
        <v>2169</v>
      </c>
      <c r="EZ1869" s="36" t="s">
        <v>2170</v>
      </c>
      <c r="FA1869" s="36" t="s">
        <v>2003</v>
      </c>
      <c r="FB1869" s="36" t="s">
        <v>2004</v>
      </c>
      <c r="FC1869" s="36" t="s">
        <v>2003</v>
      </c>
      <c r="FD1869" s="36" t="s">
        <v>2004</v>
      </c>
      <c r="FE1869" s="36">
        <v>2022</v>
      </c>
      <c r="FF1869" s="36" t="s">
        <v>59</v>
      </c>
      <c r="FG1869" s="36" t="s">
        <v>1193</v>
      </c>
      <c r="FJ1869" t="s">
        <v>59</v>
      </c>
    </row>
    <row r="1870" spans="153:166" x14ac:dyDescent="0.35">
      <c r="EW1870" t="s">
        <v>2339</v>
      </c>
      <c r="EX1870" s="33" t="s">
        <v>1061</v>
      </c>
      <c r="EY1870" s="35" t="s">
        <v>2171</v>
      </c>
      <c r="EZ1870" s="36" t="s">
        <v>2172</v>
      </c>
      <c r="FA1870" s="36" t="s">
        <v>2003</v>
      </c>
      <c r="FB1870" s="36" t="s">
        <v>2004</v>
      </c>
      <c r="FC1870" s="36" t="s">
        <v>2003</v>
      </c>
      <c r="FD1870" s="36" t="s">
        <v>2004</v>
      </c>
      <c r="FE1870" s="36">
        <v>2022</v>
      </c>
      <c r="FF1870" s="36" t="s">
        <v>59</v>
      </c>
      <c r="FG1870" s="36" t="s">
        <v>1193</v>
      </c>
      <c r="FJ1870" t="s">
        <v>59</v>
      </c>
    </row>
    <row r="1871" spans="153:166" x14ac:dyDescent="0.35">
      <c r="EW1871" t="s">
        <v>2339</v>
      </c>
      <c r="EX1871" s="33" t="s">
        <v>786</v>
      </c>
      <c r="EY1871" s="35" t="s">
        <v>2173</v>
      </c>
      <c r="EZ1871" s="36" t="s">
        <v>2174</v>
      </c>
      <c r="FA1871" s="36" t="s">
        <v>2003</v>
      </c>
      <c r="FB1871" s="36" t="s">
        <v>2004</v>
      </c>
      <c r="FC1871" s="36" t="s">
        <v>2003</v>
      </c>
      <c r="FD1871" s="36" t="s">
        <v>2004</v>
      </c>
      <c r="FE1871" s="36">
        <v>2022</v>
      </c>
      <c r="FF1871" s="36" t="s">
        <v>59</v>
      </c>
      <c r="FG1871" s="36" t="s">
        <v>1193</v>
      </c>
      <c r="FJ1871" t="s">
        <v>59</v>
      </c>
    </row>
    <row r="1872" spans="153:166" x14ac:dyDescent="0.35">
      <c r="EW1872" t="s">
        <v>2339</v>
      </c>
      <c r="EX1872" s="33" t="s">
        <v>836</v>
      </c>
      <c r="EY1872" s="35" t="s">
        <v>2175</v>
      </c>
      <c r="EZ1872" s="36" t="s">
        <v>2176</v>
      </c>
      <c r="FA1872" s="36" t="s">
        <v>2003</v>
      </c>
      <c r="FB1872" s="36" t="s">
        <v>2004</v>
      </c>
      <c r="FC1872" s="36" t="s">
        <v>2003</v>
      </c>
      <c r="FD1872" s="36" t="s">
        <v>2004</v>
      </c>
      <c r="FE1872" s="36">
        <v>2022</v>
      </c>
      <c r="FF1872" s="36" t="s">
        <v>59</v>
      </c>
      <c r="FG1872" s="36" t="s">
        <v>1193</v>
      </c>
      <c r="FJ1872" t="s">
        <v>59</v>
      </c>
    </row>
    <row r="1873" spans="153:166" x14ac:dyDescent="0.35">
      <c r="EW1873" t="s">
        <v>2339</v>
      </c>
      <c r="EX1873" s="33" t="s">
        <v>943</v>
      </c>
      <c r="EY1873" s="35" t="s">
        <v>2177</v>
      </c>
      <c r="EZ1873" s="36" t="s">
        <v>2178</v>
      </c>
      <c r="FA1873" s="36" t="s">
        <v>2003</v>
      </c>
      <c r="FB1873" s="36" t="s">
        <v>2004</v>
      </c>
      <c r="FC1873" s="36" t="s">
        <v>2003</v>
      </c>
      <c r="FD1873" s="36" t="s">
        <v>2004</v>
      </c>
      <c r="FE1873" s="36">
        <v>2022</v>
      </c>
      <c r="FF1873" s="36" t="s">
        <v>59</v>
      </c>
      <c r="FG1873" s="36" t="s">
        <v>1728</v>
      </c>
      <c r="FJ1873" t="s">
        <v>59</v>
      </c>
    </row>
    <row r="1874" spans="153:166" x14ac:dyDescent="0.35">
      <c r="EW1874" t="s">
        <v>2339</v>
      </c>
      <c r="EX1874" s="33" t="s">
        <v>1010</v>
      </c>
      <c r="EY1874" s="35" t="s">
        <v>2179</v>
      </c>
      <c r="EZ1874" s="36" t="s">
        <v>2180</v>
      </c>
      <c r="FA1874" s="36" t="s">
        <v>2003</v>
      </c>
      <c r="FB1874" s="36" t="s">
        <v>2004</v>
      </c>
      <c r="FC1874" s="36" t="s">
        <v>2003</v>
      </c>
      <c r="FD1874" s="36" t="s">
        <v>2004</v>
      </c>
      <c r="FE1874" s="36">
        <v>2022</v>
      </c>
      <c r="FF1874" s="36" t="s">
        <v>59</v>
      </c>
      <c r="FG1874" s="36" t="s">
        <v>1193</v>
      </c>
      <c r="FJ1874" t="s">
        <v>59</v>
      </c>
    </row>
    <row r="1875" spans="153:166" x14ac:dyDescent="0.35">
      <c r="EW1875" t="s">
        <v>2339</v>
      </c>
      <c r="EX1875" s="33" t="s">
        <v>654</v>
      </c>
      <c r="EY1875" s="35" t="s">
        <v>2181</v>
      </c>
      <c r="EZ1875" s="36" t="s">
        <v>2182</v>
      </c>
      <c r="FA1875" s="36" t="s">
        <v>2003</v>
      </c>
      <c r="FB1875" s="36" t="s">
        <v>2004</v>
      </c>
      <c r="FC1875" s="36" t="s">
        <v>2003</v>
      </c>
      <c r="FD1875" s="36" t="s">
        <v>2004</v>
      </c>
      <c r="FE1875" s="36">
        <v>2022</v>
      </c>
      <c r="FF1875" s="36" t="s">
        <v>59</v>
      </c>
      <c r="FG1875" s="36" t="s">
        <v>1193</v>
      </c>
      <c r="FJ1875" t="s">
        <v>59</v>
      </c>
    </row>
    <row r="1876" spans="153:166" x14ac:dyDescent="0.35">
      <c r="EW1876" t="s">
        <v>2339</v>
      </c>
      <c r="EX1876" s="33" t="s">
        <v>810</v>
      </c>
      <c r="EY1876" s="35" t="s">
        <v>2183</v>
      </c>
      <c r="EZ1876" s="36" t="s">
        <v>2184</v>
      </c>
      <c r="FA1876" s="36" t="s">
        <v>2003</v>
      </c>
      <c r="FB1876" s="36" t="s">
        <v>2004</v>
      </c>
      <c r="FC1876" s="36" t="s">
        <v>2003</v>
      </c>
      <c r="FD1876" s="36" t="s">
        <v>2004</v>
      </c>
      <c r="FE1876" s="36">
        <v>2022</v>
      </c>
      <c r="FF1876" s="36" t="s">
        <v>59</v>
      </c>
      <c r="FG1876" s="36" t="s">
        <v>1193</v>
      </c>
      <c r="FJ1876" t="s">
        <v>59</v>
      </c>
    </row>
    <row r="1877" spans="153:166" x14ac:dyDescent="0.35">
      <c r="EW1877" t="s">
        <v>2339</v>
      </c>
      <c r="EX1877" s="33" t="s">
        <v>2630</v>
      </c>
      <c r="EY1877" s="35" t="s">
        <v>2185</v>
      </c>
      <c r="EZ1877" s="36" t="s">
        <v>2186</v>
      </c>
      <c r="FA1877" s="36" t="s">
        <v>2003</v>
      </c>
      <c r="FB1877" s="36" t="s">
        <v>2004</v>
      </c>
      <c r="FC1877" s="36" t="s">
        <v>2003</v>
      </c>
      <c r="FD1877" s="36" t="s">
        <v>2004</v>
      </c>
      <c r="FE1877" s="36">
        <v>2022</v>
      </c>
      <c r="FF1877" s="36" t="s">
        <v>59</v>
      </c>
      <c r="FG1877" s="36" t="s">
        <v>1728</v>
      </c>
      <c r="FJ1877" t="s">
        <v>59</v>
      </c>
    </row>
    <row r="1878" spans="153:166" x14ac:dyDescent="0.35">
      <c r="EW1878" t="s">
        <v>2339</v>
      </c>
      <c r="EX1878" s="33" t="s">
        <v>772</v>
      </c>
      <c r="EY1878" s="35" t="s">
        <v>2187</v>
      </c>
      <c r="EZ1878" s="36" t="s">
        <v>2188</v>
      </c>
      <c r="FA1878" s="36" t="s">
        <v>2003</v>
      </c>
      <c r="FB1878" s="36" t="s">
        <v>2004</v>
      </c>
      <c r="FC1878" s="36" t="s">
        <v>2003</v>
      </c>
      <c r="FD1878" s="36" t="s">
        <v>2004</v>
      </c>
      <c r="FE1878" s="36">
        <v>2022</v>
      </c>
      <c r="FF1878" s="36" t="s">
        <v>59</v>
      </c>
      <c r="FG1878" s="36" t="s">
        <v>1193</v>
      </c>
      <c r="FJ1878" t="s">
        <v>59</v>
      </c>
    </row>
    <row r="1879" spans="153:166" x14ac:dyDescent="0.35">
      <c r="EW1879" t="s">
        <v>2339</v>
      </c>
      <c r="EX1879" s="33" t="s">
        <v>819</v>
      </c>
      <c r="EY1879" s="35" t="s">
        <v>2189</v>
      </c>
      <c r="EZ1879" s="36" t="s">
        <v>2190</v>
      </c>
      <c r="FA1879" s="36" t="s">
        <v>2003</v>
      </c>
      <c r="FB1879" s="36" t="s">
        <v>2004</v>
      </c>
      <c r="FC1879" s="36" t="s">
        <v>2003</v>
      </c>
      <c r="FD1879" s="36" t="s">
        <v>2004</v>
      </c>
      <c r="FE1879" s="36">
        <v>2022</v>
      </c>
      <c r="FF1879" s="36" t="s">
        <v>59</v>
      </c>
      <c r="FG1879" s="36" t="s">
        <v>1193</v>
      </c>
      <c r="FJ1879" t="s">
        <v>59</v>
      </c>
    </row>
    <row r="1880" spans="153:166" x14ac:dyDescent="0.35">
      <c r="EW1880" t="s">
        <v>2339</v>
      </c>
      <c r="EX1880" s="33" t="s">
        <v>2624</v>
      </c>
      <c r="EY1880" s="35" t="s">
        <v>2191</v>
      </c>
      <c r="EZ1880" s="36" t="s">
        <v>2192</v>
      </c>
      <c r="FA1880" s="36" t="s">
        <v>2003</v>
      </c>
      <c r="FB1880" s="36" t="s">
        <v>2004</v>
      </c>
      <c r="FC1880" s="36" t="s">
        <v>2003</v>
      </c>
      <c r="FD1880" s="36" t="s">
        <v>2004</v>
      </c>
      <c r="FE1880" s="36">
        <v>2022</v>
      </c>
      <c r="FF1880" s="36" t="s">
        <v>59</v>
      </c>
      <c r="FG1880" s="36" t="s">
        <v>1193</v>
      </c>
      <c r="FJ1880" t="s">
        <v>59</v>
      </c>
    </row>
    <row r="1881" spans="153:166" x14ac:dyDescent="0.35">
      <c r="EW1881" t="s">
        <v>2339</v>
      </c>
      <c r="EX1881" s="33" t="s">
        <v>900</v>
      </c>
      <c r="EY1881" s="35" t="s">
        <v>2193</v>
      </c>
      <c r="EZ1881" s="36" t="s">
        <v>2194</v>
      </c>
      <c r="FA1881" s="36" t="s">
        <v>2003</v>
      </c>
      <c r="FB1881" s="36" t="s">
        <v>2004</v>
      </c>
      <c r="FC1881" s="36" t="s">
        <v>2003</v>
      </c>
      <c r="FD1881" s="36" t="s">
        <v>2004</v>
      </c>
      <c r="FE1881" s="36">
        <v>2022</v>
      </c>
      <c r="FF1881" s="36" t="s">
        <v>59</v>
      </c>
      <c r="FG1881" s="36" t="s">
        <v>1728</v>
      </c>
      <c r="FJ1881" t="s">
        <v>59</v>
      </c>
    </row>
    <row r="1882" spans="153:166" x14ac:dyDescent="0.35">
      <c r="EW1882" t="s">
        <v>2339</v>
      </c>
      <c r="EX1882" s="33" t="s">
        <v>1084</v>
      </c>
      <c r="EY1882" s="35" t="s">
        <v>2195</v>
      </c>
      <c r="EZ1882" s="36" t="s">
        <v>2196</v>
      </c>
      <c r="FA1882" s="36" t="s">
        <v>2003</v>
      </c>
      <c r="FB1882" s="36" t="s">
        <v>2004</v>
      </c>
      <c r="FC1882" s="36" t="s">
        <v>2003</v>
      </c>
      <c r="FD1882" s="36" t="s">
        <v>2004</v>
      </c>
      <c r="FE1882" s="36">
        <v>2022</v>
      </c>
      <c r="FF1882" s="36" t="s">
        <v>59</v>
      </c>
      <c r="FG1882" s="36" t="s">
        <v>1728</v>
      </c>
      <c r="FJ1882" t="s">
        <v>59</v>
      </c>
    </row>
    <row r="1883" spans="153:166" x14ac:dyDescent="0.35">
      <c r="EW1883" t="s">
        <v>2339</v>
      </c>
      <c r="EX1883" s="33" t="s">
        <v>797</v>
      </c>
      <c r="EY1883" s="35" t="s">
        <v>2197</v>
      </c>
      <c r="EZ1883" s="36" t="s">
        <v>2198</v>
      </c>
      <c r="FA1883" s="36" t="s">
        <v>2003</v>
      </c>
      <c r="FB1883" s="36" t="s">
        <v>2004</v>
      </c>
      <c r="FC1883" s="36" t="s">
        <v>2003</v>
      </c>
      <c r="FD1883" s="36" t="s">
        <v>2004</v>
      </c>
      <c r="FE1883" s="36">
        <v>2022</v>
      </c>
      <c r="FF1883" s="36" t="s">
        <v>59</v>
      </c>
      <c r="FG1883" s="36" t="s">
        <v>1193</v>
      </c>
      <c r="FJ1883" t="s">
        <v>59</v>
      </c>
    </row>
    <row r="1884" spans="153:166" x14ac:dyDescent="0.35">
      <c r="EW1884" t="s">
        <v>2339</v>
      </c>
      <c r="EX1884" s="33" t="s">
        <v>843</v>
      </c>
      <c r="EY1884" s="35" t="s">
        <v>2199</v>
      </c>
      <c r="EZ1884" s="36" t="s">
        <v>2200</v>
      </c>
      <c r="FA1884" s="36" t="s">
        <v>2003</v>
      </c>
      <c r="FB1884" s="36" t="s">
        <v>2004</v>
      </c>
      <c r="FC1884" s="36" t="s">
        <v>2003</v>
      </c>
      <c r="FD1884" s="36" t="s">
        <v>2004</v>
      </c>
      <c r="FE1884" s="36">
        <v>2022</v>
      </c>
      <c r="FF1884" s="36" t="s">
        <v>59</v>
      </c>
      <c r="FG1884" s="36" t="s">
        <v>1728</v>
      </c>
      <c r="FJ1884" t="s">
        <v>59</v>
      </c>
    </row>
    <row r="1885" spans="153:166" x14ac:dyDescent="0.35">
      <c r="EW1885" t="s">
        <v>2339</v>
      </c>
      <c r="EX1885" s="33" t="s">
        <v>870</v>
      </c>
      <c r="EY1885" s="35" t="s">
        <v>2201</v>
      </c>
      <c r="EZ1885" s="36" t="s">
        <v>2202</v>
      </c>
      <c r="FA1885" s="36" t="s">
        <v>2003</v>
      </c>
      <c r="FB1885" s="36" t="s">
        <v>2004</v>
      </c>
      <c r="FC1885" s="36" t="s">
        <v>2003</v>
      </c>
      <c r="FD1885" s="36" t="s">
        <v>2004</v>
      </c>
      <c r="FE1885" s="36">
        <v>2022</v>
      </c>
      <c r="FF1885" s="36" t="s">
        <v>59</v>
      </c>
      <c r="FG1885" s="36" t="s">
        <v>1193</v>
      </c>
      <c r="FJ1885" t="s">
        <v>59</v>
      </c>
    </row>
    <row r="1886" spans="153:166" x14ac:dyDescent="0.35">
      <c r="EW1886" t="s">
        <v>2339</v>
      </c>
      <c r="EX1886" s="33" t="s">
        <v>952</v>
      </c>
      <c r="EY1886" s="35" t="s">
        <v>2203</v>
      </c>
      <c r="EZ1886" s="36" t="s">
        <v>2204</v>
      </c>
      <c r="FA1886" s="36" t="s">
        <v>2003</v>
      </c>
      <c r="FB1886" s="36" t="s">
        <v>2004</v>
      </c>
      <c r="FC1886" s="36" t="s">
        <v>2003</v>
      </c>
      <c r="FD1886" s="36" t="s">
        <v>2004</v>
      </c>
      <c r="FE1886" s="36">
        <v>2022</v>
      </c>
      <c r="FF1886" s="36" t="s">
        <v>59</v>
      </c>
      <c r="FG1886" s="36" t="s">
        <v>1728</v>
      </c>
      <c r="FJ1886" t="s">
        <v>59</v>
      </c>
    </row>
    <row r="1887" spans="153:166" x14ac:dyDescent="0.35">
      <c r="EW1887" t="s">
        <v>2339</v>
      </c>
      <c r="EX1887" s="33" t="s">
        <v>1450</v>
      </c>
      <c r="EY1887" s="35" t="s">
        <v>2205</v>
      </c>
      <c r="EZ1887" s="36" t="s">
        <v>2206</v>
      </c>
      <c r="FA1887" s="36" t="s">
        <v>2003</v>
      </c>
      <c r="FB1887" s="36" t="s">
        <v>2004</v>
      </c>
      <c r="FC1887" s="36" t="s">
        <v>2003</v>
      </c>
      <c r="FD1887" s="36" t="s">
        <v>2004</v>
      </c>
      <c r="FE1887" s="36">
        <v>2022</v>
      </c>
      <c r="FF1887" s="36" t="s">
        <v>59</v>
      </c>
      <c r="FG1887" s="36" t="s">
        <v>1728</v>
      </c>
      <c r="FJ1887" t="s">
        <v>59</v>
      </c>
    </row>
    <row r="1888" spans="153:166" x14ac:dyDescent="0.35">
      <c r="EW1888" t="s">
        <v>2339</v>
      </c>
      <c r="EX1888" s="33" t="s">
        <v>2651</v>
      </c>
      <c r="EY1888" s="35" t="s">
        <v>2209</v>
      </c>
      <c r="EZ1888" s="36" t="s">
        <v>2210</v>
      </c>
      <c r="FA1888" s="36" t="s">
        <v>2003</v>
      </c>
      <c r="FB1888" s="36" t="s">
        <v>2004</v>
      </c>
      <c r="FC1888" s="36" t="s">
        <v>2003</v>
      </c>
      <c r="FD1888" s="36" t="s">
        <v>2004</v>
      </c>
      <c r="FE1888" s="36">
        <v>2022</v>
      </c>
      <c r="FF1888" s="36" t="s">
        <v>59</v>
      </c>
      <c r="FG1888" s="36" t="s">
        <v>1728</v>
      </c>
      <c r="FJ1888" t="s">
        <v>59</v>
      </c>
    </row>
    <row r="1889" spans="153:166" x14ac:dyDescent="0.35">
      <c r="EW1889" t="s">
        <v>2339</v>
      </c>
      <c r="EX1889" s="33" t="s">
        <v>963</v>
      </c>
      <c r="EY1889" s="35" t="s">
        <v>2211</v>
      </c>
      <c r="EZ1889" s="36" t="s">
        <v>2212</v>
      </c>
      <c r="FA1889" s="36" t="s">
        <v>2003</v>
      </c>
      <c r="FB1889" s="36" t="s">
        <v>2004</v>
      </c>
      <c r="FC1889" s="36" t="s">
        <v>2003</v>
      </c>
      <c r="FD1889" s="36" t="s">
        <v>2004</v>
      </c>
      <c r="FE1889" s="36">
        <v>2022</v>
      </c>
      <c r="FF1889" s="36" t="s">
        <v>59</v>
      </c>
      <c r="FG1889" s="36" t="s">
        <v>1728</v>
      </c>
      <c r="FJ1889" t="s">
        <v>59</v>
      </c>
    </row>
    <row r="1890" spans="153:166" x14ac:dyDescent="0.35">
      <c r="EW1890" t="s">
        <v>2339</v>
      </c>
      <c r="EX1890" s="33" t="s">
        <v>1019</v>
      </c>
      <c r="EY1890" s="35" t="s">
        <v>2213</v>
      </c>
      <c r="EZ1890" s="36" t="s">
        <v>2214</v>
      </c>
      <c r="FA1890" s="36" t="s">
        <v>2003</v>
      </c>
      <c r="FB1890" s="36" t="s">
        <v>2004</v>
      </c>
      <c r="FC1890" s="36" t="s">
        <v>2003</v>
      </c>
      <c r="FD1890" s="36" t="s">
        <v>2004</v>
      </c>
      <c r="FE1890" s="36">
        <v>2022</v>
      </c>
      <c r="FF1890" s="36" t="s">
        <v>59</v>
      </c>
      <c r="FG1890" s="36" t="s">
        <v>1728</v>
      </c>
      <c r="FJ1890" t="s">
        <v>59</v>
      </c>
    </row>
    <row r="1891" spans="153:166" x14ac:dyDescent="0.35">
      <c r="EW1891" t="s">
        <v>2339</v>
      </c>
      <c r="EX1891" s="33" t="s">
        <v>3077</v>
      </c>
      <c r="EY1891" s="35" t="s">
        <v>2215</v>
      </c>
      <c r="EZ1891" s="36" t="s">
        <v>2216</v>
      </c>
      <c r="FA1891" s="36" t="s">
        <v>2003</v>
      </c>
      <c r="FB1891" s="36" t="s">
        <v>2004</v>
      </c>
      <c r="FC1891" s="36" t="s">
        <v>2003</v>
      </c>
      <c r="FD1891" s="36" t="s">
        <v>2004</v>
      </c>
      <c r="FE1891" s="36">
        <v>2022</v>
      </c>
      <c r="FF1891" s="36" t="s">
        <v>59</v>
      </c>
      <c r="FG1891" s="36" t="s">
        <v>1193</v>
      </c>
      <c r="FJ1891" t="s">
        <v>59</v>
      </c>
    </row>
    <row r="1892" spans="153:166" x14ac:dyDescent="0.35">
      <c r="EW1892" t="s">
        <v>2339</v>
      </c>
      <c r="EX1892" s="33" t="s">
        <v>857</v>
      </c>
      <c r="EY1892" s="35" t="s">
        <v>2217</v>
      </c>
      <c r="EZ1892" s="36" t="s">
        <v>2218</v>
      </c>
      <c r="FA1892" s="36" t="s">
        <v>2003</v>
      </c>
      <c r="FB1892" s="36" t="s">
        <v>2004</v>
      </c>
      <c r="FC1892" s="36" t="s">
        <v>2003</v>
      </c>
      <c r="FD1892" s="36" t="s">
        <v>2004</v>
      </c>
      <c r="FE1892" s="36">
        <v>2022</v>
      </c>
      <c r="FF1892" s="36" t="s">
        <v>59</v>
      </c>
      <c r="FG1892" s="36" t="s">
        <v>1193</v>
      </c>
      <c r="FJ1892" t="s">
        <v>59</v>
      </c>
    </row>
    <row r="1893" spans="153:166" x14ac:dyDescent="0.35">
      <c r="EW1893" t="s">
        <v>2339</v>
      </c>
      <c r="EX1893" s="33" t="s">
        <v>913</v>
      </c>
      <c r="EY1893" s="35" t="s">
        <v>2219</v>
      </c>
      <c r="EZ1893" s="36" t="s">
        <v>2220</v>
      </c>
      <c r="FA1893" s="36" t="s">
        <v>2003</v>
      </c>
      <c r="FB1893" s="36" t="s">
        <v>2004</v>
      </c>
      <c r="FC1893" s="36" t="s">
        <v>2003</v>
      </c>
      <c r="FD1893" s="36" t="s">
        <v>2004</v>
      </c>
      <c r="FE1893" s="36">
        <v>2022</v>
      </c>
      <c r="FF1893" s="36" t="s">
        <v>59</v>
      </c>
      <c r="FG1893" s="36" t="s">
        <v>1193</v>
      </c>
      <c r="FJ1893" t="s">
        <v>59</v>
      </c>
    </row>
    <row r="1894" spans="153:166" x14ac:dyDescent="0.35">
      <c r="EW1894" t="s">
        <v>2339</v>
      </c>
      <c r="EX1894" s="33" t="s">
        <v>997</v>
      </c>
      <c r="EY1894" s="35" t="s">
        <v>2221</v>
      </c>
      <c r="EZ1894" s="36" t="s">
        <v>2222</v>
      </c>
      <c r="FA1894" s="36" t="s">
        <v>2003</v>
      </c>
      <c r="FB1894" s="36" t="s">
        <v>2004</v>
      </c>
      <c r="FC1894" s="36" t="s">
        <v>2003</v>
      </c>
      <c r="FD1894" s="36" t="s">
        <v>2004</v>
      </c>
      <c r="FE1894" s="36">
        <v>2022</v>
      </c>
      <c r="FF1894" s="36" t="s">
        <v>59</v>
      </c>
      <c r="FG1894" s="36" t="s">
        <v>1193</v>
      </c>
      <c r="FJ1894" t="s">
        <v>59</v>
      </c>
    </row>
    <row r="1895" spans="153:166" x14ac:dyDescent="0.35">
      <c r="EW1895" t="s">
        <v>2339</v>
      </c>
      <c r="EX1895" s="33" t="s">
        <v>1101</v>
      </c>
      <c r="EY1895" s="35" t="s">
        <v>2223</v>
      </c>
      <c r="EZ1895" s="36" t="s">
        <v>2224</v>
      </c>
      <c r="FA1895" s="36" t="s">
        <v>2003</v>
      </c>
      <c r="FB1895" s="36" t="s">
        <v>2004</v>
      </c>
      <c r="FC1895" s="36" t="s">
        <v>2003</v>
      </c>
      <c r="FD1895" s="36" t="s">
        <v>2004</v>
      </c>
      <c r="FE1895" s="36">
        <v>2022</v>
      </c>
      <c r="FF1895" s="36" t="s">
        <v>59</v>
      </c>
      <c r="FG1895" s="36" t="s">
        <v>1728</v>
      </c>
      <c r="FJ1895" t="s">
        <v>59</v>
      </c>
    </row>
    <row r="1896" spans="153:166" x14ac:dyDescent="0.35">
      <c r="EW1896" t="s">
        <v>2339</v>
      </c>
      <c r="EX1896" s="33" t="s">
        <v>1134</v>
      </c>
      <c r="EY1896" s="35" t="s">
        <v>2225</v>
      </c>
      <c r="EZ1896" s="36">
        <v>593521</v>
      </c>
      <c r="FA1896" s="36" t="s">
        <v>1726</v>
      </c>
      <c r="FB1896" s="36" t="s">
        <v>473</v>
      </c>
      <c r="FC1896" s="36" t="s">
        <v>53</v>
      </c>
      <c r="FD1896" s="36" t="s">
        <v>476</v>
      </c>
      <c r="FE1896" s="36">
        <v>2023</v>
      </c>
      <c r="FF1896" s="36" t="s">
        <v>474</v>
      </c>
      <c r="FG1896" s="36" t="s">
        <v>1728</v>
      </c>
      <c r="FJ1896" t="s">
        <v>474</v>
      </c>
    </row>
    <row r="1897" spans="153:166" x14ac:dyDescent="0.35">
      <c r="EW1897" t="s">
        <v>2339</v>
      </c>
      <c r="EX1897" s="33" t="s">
        <v>1155</v>
      </c>
      <c r="EY1897" s="35" t="s">
        <v>2226</v>
      </c>
      <c r="EZ1897" s="36">
        <v>593751</v>
      </c>
      <c r="FA1897" s="36" t="s">
        <v>1726</v>
      </c>
      <c r="FB1897" s="36" t="s">
        <v>473</v>
      </c>
      <c r="FC1897" s="36" t="s">
        <v>53</v>
      </c>
      <c r="FD1897" s="36" t="s">
        <v>476</v>
      </c>
      <c r="FE1897" s="36">
        <v>2023</v>
      </c>
      <c r="FF1897" s="36" t="s">
        <v>474</v>
      </c>
      <c r="FG1897" s="36" t="s">
        <v>1728</v>
      </c>
      <c r="FJ1897" t="s">
        <v>474</v>
      </c>
    </row>
    <row r="1898" spans="153:166" x14ac:dyDescent="0.35">
      <c r="EW1898" t="s">
        <v>2339</v>
      </c>
      <c r="EX1898" s="33" t="s">
        <v>1164</v>
      </c>
      <c r="EY1898" s="35" t="s">
        <v>2227</v>
      </c>
      <c r="EZ1898" s="36">
        <v>595002</v>
      </c>
      <c r="FA1898" s="36" t="s">
        <v>1726</v>
      </c>
      <c r="FB1898" s="36" t="s">
        <v>473</v>
      </c>
      <c r="FC1898" s="36" t="s">
        <v>53</v>
      </c>
      <c r="FD1898" s="36" t="s">
        <v>476</v>
      </c>
      <c r="FE1898" s="36">
        <v>2023</v>
      </c>
      <c r="FF1898" s="36" t="s">
        <v>474</v>
      </c>
      <c r="FG1898" s="36" t="s">
        <v>1728</v>
      </c>
      <c r="FJ1898" t="s">
        <v>474</v>
      </c>
    </row>
    <row r="1899" spans="153:166" x14ac:dyDescent="0.35">
      <c r="EW1899" t="s">
        <v>2339</v>
      </c>
      <c r="EX1899" s="33" t="s">
        <v>1175</v>
      </c>
      <c r="EY1899" s="35" t="s">
        <v>2228</v>
      </c>
      <c r="EZ1899" s="36">
        <v>598537</v>
      </c>
      <c r="FA1899" s="36" t="s">
        <v>1726</v>
      </c>
      <c r="FB1899" s="36" t="s">
        <v>473</v>
      </c>
      <c r="FC1899" s="36" t="s">
        <v>53</v>
      </c>
      <c r="FD1899" s="36" t="s">
        <v>476</v>
      </c>
      <c r="FE1899" s="36">
        <v>2023</v>
      </c>
      <c r="FF1899" s="36" t="s">
        <v>474</v>
      </c>
      <c r="FG1899" s="36" t="s">
        <v>1728</v>
      </c>
      <c r="FJ1899" t="s">
        <v>474</v>
      </c>
    </row>
    <row r="1900" spans="153:166" x14ac:dyDescent="0.35">
      <c r="EW1900" t="s">
        <v>2339</v>
      </c>
      <c r="EX1900" s="33" t="s">
        <v>3078</v>
      </c>
      <c r="EY1900" s="35" t="s">
        <v>2229</v>
      </c>
      <c r="EZ1900" s="36" t="s">
        <v>2230</v>
      </c>
      <c r="FA1900" s="36" t="s">
        <v>1192</v>
      </c>
      <c r="FB1900" s="36" t="s">
        <v>344</v>
      </c>
      <c r="FC1900" s="36" t="s">
        <v>1192</v>
      </c>
      <c r="FD1900" s="36" t="s">
        <v>344</v>
      </c>
      <c r="FE1900" s="36">
        <v>2026</v>
      </c>
      <c r="FF1900" s="36" t="s">
        <v>59</v>
      </c>
      <c r="FG1900" s="36" t="s">
        <v>1584</v>
      </c>
      <c r="FJ1900" t="s">
        <v>59</v>
      </c>
    </row>
    <row r="1901" spans="153:166" x14ac:dyDescent="0.35">
      <c r="EW1901" t="s">
        <v>2339</v>
      </c>
      <c r="EX1901" s="33" t="s">
        <v>3079</v>
      </c>
      <c r="EY1901" s="35" t="s">
        <v>2231</v>
      </c>
      <c r="EZ1901" s="36" t="s">
        <v>2232</v>
      </c>
      <c r="FA1901" s="36" t="s">
        <v>1192</v>
      </c>
      <c r="FB1901" s="36" t="s">
        <v>344</v>
      </c>
      <c r="FC1901" s="36" t="s">
        <v>1192</v>
      </c>
      <c r="FD1901" s="36" t="s">
        <v>344</v>
      </c>
      <c r="FE1901" s="36">
        <v>2026</v>
      </c>
      <c r="FF1901" s="36" t="s">
        <v>59</v>
      </c>
      <c r="FG1901" s="36" t="s">
        <v>1584</v>
      </c>
      <c r="FJ1901" t="s">
        <v>59</v>
      </c>
    </row>
    <row r="1902" spans="153:166" x14ac:dyDescent="0.35">
      <c r="EW1902" t="s">
        <v>2339</v>
      </c>
      <c r="EX1902" s="33" t="s">
        <v>3080</v>
      </c>
      <c r="EY1902" s="35" t="s">
        <v>2233</v>
      </c>
      <c r="EZ1902" s="36" t="s">
        <v>2234</v>
      </c>
      <c r="FA1902" s="36" t="s">
        <v>1192</v>
      </c>
      <c r="FB1902" s="36" t="s">
        <v>344</v>
      </c>
      <c r="FC1902" s="36" t="s">
        <v>1192</v>
      </c>
      <c r="FD1902" s="36" t="s">
        <v>344</v>
      </c>
      <c r="FE1902" s="36">
        <v>2026</v>
      </c>
      <c r="FF1902" s="36" t="s">
        <v>59</v>
      </c>
      <c r="FG1902" s="36" t="s">
        <v>1584</v>
      </c>
      <c r="FJ1902" t="s">
        <v>59</v>
      </c>
    </row>
    <row r="1903" spans="153:166" x14ac:dyDescent="0.35">
      <c r="EW1903" t="s">
        <v>2339</v>
      </c>
      <c r="EX1903" s="33" t="s">
        <v>3081</v>
      </c>
      <c r="EY1903" s="35" t="s">
        <v>2235</v>
      </c>
      <c r="EZ1903" s="36" t="s">
        <v>2236</v>
      </c>
      <c r="FA1903" s="36" t="s">
        <v>1192</v>
      </c>
      <c r="FB1903" s="36" t="s">
        <v>344</v>
      </c>
      <c r="FC1903" s="36" t="s">
        <v>1192</v>
      </c>
      <c r="FD1903" s="36" t="s">
        <v>344</v>
      </c>
      <c r="FE1903" s="36">
        <v>2026</v>
      </c>
      <c r="FF1903" s="36" t="s">
        <v>59</v>
      </c>
      <c r="FG1903" s="36" t="s">
        <v>1584</v>
      </c>
      <c r="FJ1903" t="s">
        <v>59</v>
      </c>
    </row>
    <row r="1904" spans="153:166" x14ac:dyDescent="0.35">
      <c r="EW1904" t="s">
        <v>2339</v>
      </c>
      <c r="EX1904" s="33" t="s">
        <v>3082</v>
      </c>
      <c r="EY1904" s="35" t="s">
        <v>2237</v>
      </c>
      <c r="EZ1904" s="36" t="s">
        <v>2238</v>
      </c>
      <c r="FA1904" s="36" t="s">
        <v>1192</v>
      </c>
      <c r="FB1904" s="36" t="s">
        <v>344</v>
      </c>
      <c r="FC1904" s="36" t="s">
        <v>1192</v>
      </c>
      <c r="FD1904" s="36" t="s">
        <v>344</v>
      </c>
      <c r="FE1904" s="36">
        <v>2026</v>
      </c>
      <c r="FF1904" s="36" t="s">
        <v>59</v>
      </c>
      <c r="FG1904" s="36" t="s">
        <v>1584</v>
      </c>
      <c r="FJ1904" t="s">
        <v>59</v>
      </c>
    </row>
    <row r="1905" spans="153:166" x14ac:dyDescent="0.35">
      <c r="EW1905" t="s">
        <v>2339</v>
      </c>
      <c r="EX1905" s="33" t="s">
        <v>3083</v>
      </c>
      <c r="EY1905" s="35" t="s">
        <v>2239</v>
      </c>
      <c r="EZ1905" s="36" t="s">
        <v>2240</v>
      </c>
      <c r="FA1905" s="36" t="s">
        <v>1192</v>
      </c>
      <c r="FB1905" s="36" t="s">
        <v>344</v>
      </c>
      <c r="FC1905" s="36" t="s">
        <v>1192</v>
      </c>
      <c r="FD1905" s="36" t="s">
        <v>344</v>
      </c>
      <c r="FE1905" s="36">
        <v>2026</v>
      </c>
      <c r="FF1905" s="36" t="s">
        <v>59</v>
      </c>
      <c r="FG1905" s="36" t="s">
        <v>1584</v>
      </c>
      <c r="FJ1905" t="s">
        <v>59</v>
      </c>
    </row>
    <row r="1906" spans="153:166" x14ac:dyDescent="0.35">
      <c r="EW1906" t="s">
        <v>2339</v>
      </c>
      <c r="EX1906" s="33" t="s">
        <v>3084</v>
      </c>
      <c r="EY1906" s="35" t="s">
        <v>2241</v>
      </c>
      <c r="EZ1906" s="36" t="s">
        <v>2242</v>
      </c>
      <c r="FA1906" s="36" t="s">
        <v>1192</v>
      </c>
      <c r="FB1906" s="36" t="s">
        <v>344</v>
      </c>
      <c r="FC1906" s="36" t="s">
        <v>1192</v>
      </c>
      <c r="FD1906" s="36" t="s">
        <v>344</v>
      </c>
      <c r="FE1906" s="36">
        <v>2026</v>
      </c>
      <c r="FF1906" s="36" t="s">
        <v>59</v>
      </c>
      <c r="FG1906" s="36" t="s">
        <v>1584</v>
      </c>
      <c r="FJ1906" t="s">
        <v>59</v>
      </c>
    </row>
    <row r="1907" spans="153:166" x14ac:dyDescent="0.35">
      <c r="EW1907" t="s">
        <v>2339</v>
      </c>
      <c r="EX1907" s="33" t="s">
        <v>3085</v>
      </c>
      <c r="EY1907" s="35" t="s">
        <v>2243</v>
      </c>
      <c r="EZ1907" s="36" t="s">
        <v>2244</v>
      </c>
      <c r="FA1907" s="36" t="s">
        <v>1192</v>
      </c>
      <c r="FB1907" s="36" t="s">
        <v>344</v>
      </c>
      <c r="FC1907" s="36" t="s">
        <v>1192</v>
      </c>
      <c r="FD1907" s="36" t="s">
        <v>344</v>
      </c>
      <c r="FE1907" s="36">
        <v>2026</v>
      </c>
      <c r="FF1907" s="36" t="s">
        <v>59</v>
      </c>
      <c r="FG1907" s="36" t="s">
        <v>1584</v>
      </c>
      <c r="FJ1907" t="s">
        <v>59</v>
      </c>
    </row>
    <row r="1908" spans="153:166" x14ac:dyDescent="0.35">
      <c r="EW1908" t="s">
        <v>2339</v>
      </c>
      <c r="EX1908" s="33" t="s">
        <v>3086</v>
      </c>
      <c r="EY1908" s="35" t="s">
        <v>2247</v>
      </c>
      <c r="EZ1908" s="36" t="s">
        <v>2248</v>
      </c>
      <c r="FA1908" s="36" t="s">
        <v>1192</v>
      </c>
      <c r="FB1908" s="36" t="s">
        <v>344</v>
      </c>
      <c r="FC1908" s="36" t="s">
        <v>1192</v>
      </c>
      <c r="FD1908" s="36" t="s">
        <v>344</v>
      </c>
      <c r="FE1908" s="36">
        <v>2026</v>
      </c>
      <c r="FF1908" s="36" t="s">
        <v>59</v>
      </c>
      <c r="FG1908" s="36" t="s">
        <v>1584</v>
      </c>
      <c r="FJ1908" t="s">
        <v>59</v>
      </c>
    </row>
    <row r="1909" spans="153:166" x14ac:dyDescent="0.35">
      <c r="EW1909" t="s">
        <v>2339</v>
      </c>
      <c r="EX1909" s="33" t="s">
        <v>3087</v>
      </c>
      <c r="EY1909" s="35" t="s">
        <v>2249</v>
      </c>
      <c r="EZ1909" s="36" t="s">
        <v>2250</v>
      </c>
      <c r="FA1909" s="36" t="s">
        <v>1192</v>
      </c>
      <c r="FB1909" s="36" t="s">
        <v>344</v>
      </c>
      <c r="FC1909" s="36" t="s">
        <v>1192</v>
      </c>
      <c r="FD1909" s="36" t="s">
        <v>344</v>
      </c>
      <c r="FE1909" s="36">
        <v>2026</v>
      </c>
      <c r="FF1909" s="36" t="s">
        <v>59</v>
      </c>
      <c r="FG1909" s="36" t="s">
        <v>1584</v>
      </c>
      <c r="FJ1909" t="s">
        <v>59</v>
      </c>
    </row>
    <row r="1910" spans="153:166" x14ac:dyDescent="0.35">
      <c r="EW1910" t="s">
        <v>2339</v>
      </c>
      <c r="EX1910" s="33" t="s">
        <v>3088</v>
      </c>
      <c r="EY1910" s="35" t="s">
        <v>2253</v>
      </c>
      <c r="EZ1910" s="36" t="s">
        <v>2254</v>
      </c>
      <c r="FA1910" s="36" t="s">
        <v>1192</v>
      </c>
      <c r="FB1910" s="36" t="s">
        <v>344</v>
      </c>
      <c r="FC1910" s="36" t="s">
        <v>1192</v>
      </c>
      <c r="FD1910" s="36" t="s">
        <v>344</v>
      </c>
      <c r="FE1910" s="36">
        <v>2026</v>
      </c>
      <c r="FF1910" s="36" t="s">
        <v>59</v>
      </c>
      <c r="FG1910" s="36" t="s">
        <v>1584</v>
      </c>
      <c r="FJ1910" t="s">
        <v>59</v>
      </c>
    </row>
    <row r="1911" spans="153:166" x14ac:dyDescent="0.35">
      <c r="EW1911" t="s">
        <v>2339</v>
      </c>
      <c r="EX1911" s="33" t="s">
        <v>3089</v>
      </c>
      <c r="EY1911" s="35" t="s">
        <v>2255</v>
      </c>
      <c r="EZ1911" s="36" t="s">
        <v>2256</v>
      </c>
      <c r="FA1911" s="36" t="s">
        <v>1192</v>
      </c>
      <c r="FB1911" s="36" t="s">
        <v>344</v>
      </c>
      <c r="FC1911" s="36" t="s">
        <v>1192</v>
      </c>
      <c r="FD1911" s="36" t="s">
        <v>344</v>
      </c>
      <c r="FE1911" s="36">
        <v>2026</v>
      </c>
      <c r="FF1911" s="36" t="s">
        <v>59</v>
      </c>
      <c r="FG1911" s="36" t="s">
        <v>1584</v>
      </c>
      <c r="FJ1911" t="s">
        <v>59</v>
      </c>
    </row>
    <row r="1912" spans="153:166" x14ac:dyDescent="0.35">
      <c r="EW1912" t="s">
        <v>2339</v>
      </c>
      <c r="EX1912" s="33" t="s">
        <v>3090</v>
      </c>
      <c r="EY1912" s="35" t="s">
        <v>2257</v>
      </c>
      <c r="EZ1912" s="36" t="s">
        <v>2258</v>
      </c>
      <c r="FA1912" s="36" t="s">
        <v>1192</v>
      </c>
      <c r="FB1912" s="36" t="s">
        <v>344</v>
      </c>
      <c r="FC1912" s="36" t="s">
        <v>1192</v>
      </c>
      <c r="FD1912" s="36" t="s">
        <v>344</v>
      </c>
      <c r="FE1912" s="36">
        <v>2026</v>
      </c>
      <c r="FF1912" s="36" t="s">
        <v>59</v>
      </c>
      <c r="FG1912" s="36" t="s">
        <v>1584</v>
      </c>
      <c r="FJ1912" t="s">
        <v>59</v>
      </c>
    </row>
    <row r="1913" spans="153:166" x14ac:dyDescent="0.35">
      <c r="EW1913" t="s">
        <v>2339</v>
      </c>
      <c r="EX1913" s="33" t="s">
        <v>3091</v>
      </c>
      <c r="EY1913" s="35" t="s">
        <v>2261</v>
      </c>
      <c r="EZ1913" s="36" t="s">
        <v>2262</v>
      </c>
      <c r="FA1913" s="36" t="s">
        <v>1192</v>
      </c>
      <c r="FB1913" s="36" t="s">
        <v>344</v>
      </c>
      <c r="FC1913" s="36" t="s">
        <v>1192</v>
      </c>
      <c r="FD1913" s="36" t="s">
        <v>344</v>
      </c>
      <c r="FE1913" s="36">
        <v>2026</v>
      </c>
      <c r="FF1913" s="36" t="s">
        <v>59</v>
      </c>
      <c r="FG1913" s="36" t="s">
        <v>1584</v>
      </c>
      <c r="FJ1913" t="s">
        <v>59</v>
      </c>
    </row>
    <row r="1914" spans="153:166" x14ac:dyDescent="0.35">
      <c r="EW1914" t="s">
        <v>2339</v>
      </c>
      <c r="EX1914" s="33" t="s">
        <v>3092</v>
      </c>
      <c r="EY1914" s="35" t="s">
        <v>2263</v>
      </c>
      <c r="EZ1914" s="36" t="s">
        <v>2264</v>
      </c>
      <c r="FA1914" s="36" t="s">
        <v>1192</v>
      </c>
      <c r="FB1914" s="36" t="s">
        <v>344</v>
      </c>
      <c r="FC1914" s="36" t="s">
        <v>1192</v>
      </c>
      <c r="FD1914" s="36" t="s">
        <v>344</v>
      </c>
      <c r="FE1914" s="36">
        <v>2026</v>
      </c>
      <c r="FF1914" s="36" t="s">
        <v>59</v>
      </c>
      <c r="FG1914" s="36" t="s">
        <v>1584</v>
      </c>
      <c r="FJ1914" t="s">
        <v>59</v>
      </c>
    </row>
    <row r="1915" spans="153:166" x14ac:dyDescent="0.35">
      <c r="EW1915" t="s">
        <v>2339</v>
      </c>
      <c r="EX1915" s="33" t="s">
        <v>3093</v>
      </c>
      <c r="EY1915" s="35" t="s">
        <v>2265</v>
      </c>
      <c r="EZ1915" s="36" t="s">
        <v>2266</v>
      </c>
      <c r="FA1915" s="36" t="s">
        <v>1192</v>
      </c>
      <c r="FB1915" s="36" t="s">
        <v>344</v>
      </c>
      <c r="FC1915" s="36" t="s">
        <v>1192</v>
      </c>
      <c r="FD1915" s="36" t="s">
        <v>344</v>
      </c>
      <c r="FE1915" s="36">
        <v>2026</v>
      </c>
      <c r="FF1915" s="36" t="s">
        <v>59</v>
      </c>
      <c r="FG1915" s="36" t="s">
        <v>1584</v>
      </c>
      <c r="FJ1915" t="s">
        <v>59</v>
      </c>
    </row>
    <row r="1916" spans="153:166" x14ac:dyDescent="0.35">
      <c r="EW1916" t="s">
        <v>2339</v>
      </c>
      <c r="EX1916" s="33" t="s">
        <v>3094</v>
      </c>
      <c r="EY1916" s="35" t="s">
        <v>2267</v>
      </c>
      <c r="EZ1916" s="36" t="s">
        <v>2268</v>
      </c>
      <c r="FA1916" s="36" t="s">
        <v>1192</v>
      </c>
      <c r="FB1916" s="36" t="s">
        <v>344</v>
      </c>
      <c r="FC1916" s="36" t="s">
        <v>1192</v>
      </c>
      <c r="FD1916" s="36" t="s">
        <v>344</v>
      </c>
      <c r="FE1916" s="36">
        <v>2026</v>
      </c>
      <c r="FF1916" s="36" t="s">
        <v>59</v>
      </c>
      <c r="FG1916" s="36" t="s">
        <v>1584</v>
      </c>
      <c r="FJ1916" t="s">
        <v>59</v>
      </c>
    </row>
    <row r="1917" spans="153:166" x14ac:dyDescent="0.35">
      <c r="EW1917" t="s">
        <v>2339</v>
      </c>
      <c r="EX1917" s="33" t="s">
        <v>3095</v>
      </c>
      <c r="EY1917" s="35" t="s">
        <v>2269</v>
      </c>
      <c r="EZ1917" s="36" t="s">
        <v>2270</v>
      </c>
      <c r="FA1917" s="36" t="s">
        <v>1192</v>
      </c>
      <c r="FB1917" s="36" t="s">
        <v>344</v>
      </c>
      <c r="FC1917" s="36" t="s">
        <v>1192</v>
      </c>
      <c r="FD1917" s="36" t="s">
        <v>344</v>
      </c>
      <c r="FE1917" s="36">
        <v>2026</v>
      </c>
      <c r="FF1917" s="36" t="s">
        <v>59</v>
      </c>
      <c r="FG1917" s="36" t="s">
        <v>1584</v>
      </c>
      <c r="FJ1917" t="s">
        <v>59</v>
      </c>
    </row>
    <row r="1918" spans="153:166" x14ac:dyDescent="0.35">
      <c r="EW1918" t="s">
        <v>2339</v>
      </c>
      <c r="EX1918" s="33" t="s">
        <v>3096</v>
      </c>
      <c r="EY1918" s="35" t="s">
        <v>2273</v>
      </c>
      <c r="EZ1918" s="36" t="s">
        <v>2274</v>
      </c>
      <c r="FA1918" s="36" t="s">
        <v>1192</v>
      </c>
      <c r="FB1918" s="36" t="s">
        <v>344</v>
      </c>
      <c r="FC1918" s="36" t="s">
        <v>1192</v>
      </c>
      <c r="FD1918" s="36" t="s">
        <v>344</v>
      </c>
      <c r="FE1918" s="36">
        <v>2026</v>
      </c>
      <c r="FF1918" s="36" t="s">
        <v>59</v>
      </c>
      <c r="FG1918" s="36" t="s">
        <v>1584</v>
      </c>
      <c r="FJ1918" t="s">
        <v>59</v>
      </c>
    </row>
    <row r="1919" spans="153:166" x14ac:dyDescent="0.35">
      <c r="EW1919" t="s">
        <v>2339</v>
      </c>
      <c r="EX1919" s="33" t="s">
        <v>3097</v>
      </c>
      <c r="EY1919" s="35" t="s">
        <v>2275</v>
      </c>
      <c r="EZ1919" s="36" t="s">
        <v>2276</v>
      </c>
      <c r="FA1919" s="36" t="s">
        <v>1192</v>
      </c>
      <c r="FB1919" s="36" t="s">
        <v>344</v>
      </c>
      <c r="FC1919" s="36" t="s">
        <v>1192</v>
      </c>
      <c r="FD1919" s="36" t="s">
        <v>344</v>
      </c>
      <c r="FE1919" s="36">
        <v>2026</v>
      </c>
      <c r="FF1919" s="36" t="s">
        <v>59</v>
      </c>
      <c r="FG1919" s="36" t="s">
        <v>1584</v>
      </c>
      <c r="FJ1919" t="s">
        <v>59</v>
      </c>
    </row>
    <row r="1920" spans="153:166" x14ac:dyDescent="0.35">
      <c r="EW1920" t="s">
        <v>2339</v>
      </c>
      <c r="EX1920" s="33" t="s">
        <v>3098</v>
      </c>
      <c r="EY1920" s="35" t="s">
        <v>2277</v>
      </c>
      <c r="EZ1920" s="36" t="s">
        <v>2278</v>
      </c>
      <c r="FA1920" s="36" t="s">
        <v>1192</v>
      </c>
      <c r="FB1920" s="36" t="s">
        <v>344</v>
      </c>
      <c r="FC1920" s="36" t="s">
        <v>1192</v>
      </c>
      <c r="FD1920" s="36" t="s">
        <v>344</v>
      </c>
      <c r="FE1920" s="36">
        <v>2026</v>
      </c>
      <c r="FF1920" s="36" t="s">
        <v>59</v>
      </c>
      <c r="FG1920" s="36" t="s">
        <v>1584</v>
      </c>
      <c r="FJ1920" t="s">
        <v>59</v>
      </c>
    </row>
    <row r="1921" spans="153:166" x14ac:dyDescent="0.35">
      <c r="EW1921" t="s">
        <v>2339</v>
      </c>
      <c r="EX1921" s="33" t="s">
        <v>3099</v>
      </c>
      <c r="EY1921" s="35" t="s">
        <v>2279</v>
      </c>
      <c r="EZ1921" s="36" t="s">
        <v>2280</v>
      </c>
      <c r="FA1921" s="36" t="s">
        <v>1192</v>
      </c>
      <c r="FB1921" s="36" t="s">
        <v>344</v>
      </c>
      <c r="FC1921" s="36" t="s">
        <v>1192</v>
      </c>
      <c r="FD1921" s="36" t="s">
        <v>344</v>
      </c>
      <c r="FE1921" s="36">
        <v>2026</v>
      </c>
      <c r="FF1921" s="36" t="s">
        <v>59</v>
      </c>
      <c r="FG1921" s="36" t="s">
        <v>1584</v>
      </c>
      <c r="FJ1921" t="s">
        <v>59</v>
      </c>
    </row>
    <row r="1922" spans="153:166" x14ac:dyDescent="0.35">
      <c r="EW1922" t="s">
        <v>2339</v>
      </c>
      <c r="EX1922" s="33" t="s">
        <v>3100</v>
      </c>
      <c r="EY1922" s="35" t="s">
        <v>2281</v>
      </c>
      <c r="EZ1922" s="36" t="s">
        <v>2282</v>
      </c>
      <c r="FA1922" s="36" t="s">
        <v>1192</v>
      </c>
      <c r="FB1922" s="36" t="s">
        <v>344</v>
      </c>
      <c r="FC1922" s="36" t="s">
        <v>1192</v>
      </c>
      <c r="FD1922" s="36" t="s">
        <v>344</v>
      </c>
      <c r="FE1922" s="36">
        <v>2026</v>
      </c>
      <c r="FF1922" s="36" t="s">
        <v>59</v>
      </c>
      <c r="FG1922" s="36" t="s">
        <v>1584</v>
      </c>
      <c r="FJ1922" t="s">
        <v>59</v>
      </c>
    </row>
    <row r="1923" spans="153:166" x14ac:dyDescent="0.35">
      <c r="EW1923" t="s">
        <v>2339</v>
      </c>
      <c r="EX1923" s="33" t="s">
        <v>3101</v>
      </c>
      <c r="EY1923" s="35" t="s">
        <v>2283</v>
      </c>
      <c r="EZ1923" s="36" t="s">
        <v>2284</v>
      </c>
      <c r="FA1923" s="36" t="s">
        <v>1192</v>
      </c>
      <c r="FB1923" s="36" t="s">
        <v>344</v>
      </c>
      <c r="FC1923" s="36" t="s">
        <v>1192</v>
      </c>
      <c r="FD1923" s="36" t="s">
        <v>344</v>
      </c>
      <c r="FE1923" s="36">
        <v>2026</v>
      </c>
      <c r="FF1923" s="36" t="s">
        <v>59</v>
      </c>
      <c r="FG1923" s="36" t="s">
        <v>1584</v>
      </c>
      <c r="FJ1923" t="s">
        <v>59</v>
      </c>
    </row>
    <row r="1924" spans="153:166" x14ac:dyDescent="0.35">
      <c r="EW1924" t="s">
        <v>2339</v>
      </c>
      <c r="EX1924" s="33" t="s">
        <v>3102</v>
      </c>
      <c r="EY1924" s="35" t="s">
        <v>2285</v>
      </c>
      <c r="EZ1924" s="36" t="s">
        <v>2286</v>
      </c>
      <c r="FA1924" s="36" t="s">
        <v>1192</v>
      </c>
      <c r="FB1924" s="36" t="s">
        <v>344</v>
      </c>
      <c r="FC1924" s="36" t="s">
        <v>1192</v>
      </c>
      <c r="FD1924" s="36" t="s">
        <v>344</v>
      </c>
      <c r="FE1924" s="36">
        <v>2026</v>
      </c>
      <c r="FF1924" s="36" t="s">
        <v>59</v>
      </c>
      <c r="FG1924" s="36" t="s">
        <v>1584</v>
      </c>
      <c r="FJ1924" t="s">
        <v>59</v>
      </c>
    </row>
    <row r="1925" spans="153:166" x14ac:dyDescent="0.35">
      <c r="EW1925" t="s">
        <v>2339</v>
      </c>
      <c r="EX1925" s="33" t="s">
        <v>3103</v>
      </c>
      <c r="EY1925" s="35" t="s">
        <v>2287</v>
      </c>
      <c r="EZ1925" s="36" t="s">
        <v>2288</v>
      </c>
      <c r="FA1925" s="36" t="s">
        <v>1192</v>
      </c>
      <c r="FB1925" s="36" t="s">
        <v>344</v>
      </c>
      <c r="FC1925" s="36" t="s">
        <v>1192</v>
      </c>
      <c r="FD1925" s="36" t="s">
        <v>344</v>
      </c>
      <c r="FE1925" s="36">
        <v>2026</v>
      </c>
      <c r="FF1925" s="36" t="s">
        <v>59</v>
      </c>
      <c r="FG1925" s="36" t="s">
        <v>1584</v>
      </c>
      <c r="FJ1925" t="s">
        <v>59</v>
      </c>
    </row>
    <row r="1926" spans="153:166" x14ac:dyDescent="0.35">
      <c r="EW1926" t="s">
        <v>2339</v>
      </c>
      <c r="EX1926" s="33" t="s">
        <v>3104</v>
      </c>
      <c r="EY1926" s="35" t="s">
        <v>2289</v>
      </c>
      <c r="EZ1926" s="36" t="s">
        <v>2290</v>
      </c>
      <c r="FA1926" s="36" t="s">
        <v>1192</v>
      </c>
      <c r="FB1926" s="36" t="s">
        <v>344</v>
      </c>
      <c r="FC1926" s="36" t="s">
        <v>1192</v>
      </c>
      <c r="FD1926" s="36" t="s">
        <v>344</v>
      </c>
      <c r="FE1926" s="36">
        <v>2026</v>
      </c>
      <c r="FF1926" s="36" t="s">
        <v>59</v>
      </c>
      <c r="FG1926" s="36" t="s">
        <v>1584</v>
      </c>
      <c r="FJ1926" t="s">
        <v>59</v>
      </c>
    </row>
    <row r="1927" spans="153:166" x14ac:dyDescent="0.35">
      <c r="EW1927" t="s">
        <v>2339</v>
      </c>
      <c r="EX1927" s="33" t="s">
        <v>3105</v>
      </c>
      <c r="EY1927" s="35" t="s">
        <v>2291</v>
      </c>
      <c r="EZ1927" s="36" t="s">
        <v>2292</v>
      </c>
      <c r="FA1927" s="36" t="s">
        <v>1192</v>
      </c>
      <c r="FB1927" s="36" t="s">
        <v>344</v>
      </c>
      <c r="FC1927" s="36" t="s">
        <v>1192</v>
      </c>
      <c r="FD1927" s="36" t="s">
        <v>344</v>
      </c>
      <c r="FE1927" s="36">
        <v>2026</v>
      </c>
      <c r="FF1927" s="36" t="s">
        <v>59</v>
      </c>
      <c r="FG1927" s="36" t="s">
        <v>1584</v>
      </c>
      <c r="FJ1927" t="s">
        <v>59</v>
      </c>
    </row>
    <row r="1928" spans="153:166" x14ac:dyDescent="0.35">
      <c r="EW1928" t="s">
        <v>2339</v>
      </c>
      <c r="EX1928" s="33" t="s">
        <v>3106</v>
      </c>
      <c r="EY1928" s="35" t="s">
        <v>2293</v>
      </c>
      <c r="EZ1928" s="36" t="s">
        <v>2294</v>
      </c>
      <c r="FA1928" s="36" t="s">
        <v>1192</v>
      </c>
      <c r="FB1928" s="36" t="s">
        <v>344</v>
      </c>
      <c r="FC1928" s="36" t="s">
        <v>1192</v>
      </c>
      <c r="FD1928" s="36" t="s">
        <v>344</v>
      </c>
      <c r="FE1928" s="36">
        <v>2026</v>
      </c>
      <c r="FF1928" s="36" t="s">
        <v>59</v>
      </c>
      <c r="FG1928" s="36" t="s">
        <v>1584</v>
      </c>
      <c r="FJ1928" t="s">
        <v>59</v>
      </c>
    </row>
    <row r="1929" spans="153:166" x14ac:dyDescent="0.35">
      <c r="EW1929" t="s">
        <v>2339</v>
      </c>
      <c r="EX1929" s="33" t="s">
        <v>3107</v>
      </c>
      <c r="EY1929" s="35" t="s">
        <v>2295</v>
      </c>
      <c r="EZ1929" s="36" t="s">
        <v>2296</v>
      </c>
      <c r="FA1929" s="36" t="s">
        <v>1192</v>
      </c>
      <c r="FB1929" s="36" t="s">
        <v>344</v>
      </c>
      <c r="FC1929" s="36" t="s">
        <v>1192</v>
      </c>
      <c r="FD1929" s="36" t="s">
        <v>344</v>
      </c>
      <c r="FE1929" s="36">
        <v>2026</v>
      </c>
      <c r="FF1929" s="36" t="s">
        <v>59</v>
      </c>
      <c r="FG1929" s="36" t="s">
        <v>1584</v>
      </c>
      <c r="FJ1929" t="s">
        <v>59</v>
      </c>
    </row>
    <row r="1930" spans="153:166" x14ac:dyDescent="0.35">
      <c r="EW1930" t="s">
        <v>2339</v>
      </c>
      <c r="EX1930" s="33" t="s">
        <v>3108</v>
      </c>
      <c r="EY1930" s="35" t="s">
        <v>2297</v>
      </c>
      <c r="EZ1930" s="36" t="s">
        <v>2298</v>
      </c>
      <c r="FA1930" s="36" t="s">
        <v>1192</v>
      </c>
      <c r="FB1930" s="36" t="s">
        <v>344</v>
      </c>
      <c r="FC1930" s="36" t="s">
        <v>1192</v>
      </c>
      <c r="FD1930" s="36" t="s">
        <v>344</v>
      </c>
      <c r="FE1930" s="36">
        <v>2026</v>
      </c>
      <c r="FF1930" s="36" t="s">
        <v>59</v>
      </c>
      <c r="FG1930" s="36" t="s">
        <v>1584</v>
      </c>
      <c r="FJ1930" t="s">
        <v>59</v>
      </c>
    </row>
    <row r="1931" spans="153:166" x14ac:dyDescent="0.35">
      <c r="EW1931" t="s">
        <v>2339</v>
      </c>
      <c r="EX1931" s="33" t="s">
        <v>3109</v>
      </c>
      <c r="EY1931" s="35" t="s">
        <v>2299</v>
      </c>
      <c r="EZ1931" s="36" t="s">
        <v>2300</v>
      </c>
      <c r="FA1931" s="36" t="s">
        <v>1192</v>
      </c>
      <c r="FB1931" s="36" t="s">
        <v>344</v>
      </c>
      <c r="FC1931" s="36" t="s">
        <v>1192</v>
      </c>
      <c r="FD1931" s="36" t="s">
        <v>344</v>
      </c>
      <c r="FE1931" s="36">
        <v>2026</v>
      </c>
      <c r="FF1931" s="36" t="s">
        <v>59</v>
      </c>
      <c r="FG1931" s="36" t="s">
        <v>1584</v>
      </c>
      <c r="FJ1931" t="s">
        <v>59</v>
      </c>
    </row>
    <row r="1932" spans="153:166" x14ac:dyDescent="0.35">
      <c r="EW1932" t="s">
        <v>2339</v>
      </c>
      <c r="EX1932" s="33" t="s">
        <v>3110</v>
      </c>
      <c r="EY1932" s="35" t="s">
        <v>2303</v>
      </c>
      <c r="EZ1932" s="36" t="s">
        <v>2304</v>
      </c>
      <c r="FA1932" s="36" t="s">
        <v>1192</v>
      </c>
      <c r="FB1932" s="36" t="s">
        <v>344</v>
      </c>
      <c r="FC1932" s="36" t="s">
        <v>1192</v>
      </c>
      <c r="FD1932" s="36" t="s">
        <v>344</v>
      </c>
      <c r="FE1932" s="36">
        <v>2026</v>
      </c>
      <c r="FF1932" s="36" t="s">
        <v>59</v>
      </c>
      <c r="FG1932" s="36" t="s">
        <v>1584</v>
      </c>
      <c r="FJ1932" t="s">
        <v>59</v>
      </c>
    </row>
    <row r="1933" spans="153:166" x14ac:dyDescent="0.35">
      <c r="EW1933" t="s">
        <v>2339</v>
      </c>
      <c r="EX1933" s="33" t="s">
        <v>3111</v>
      </c>
      <c r="EY1933" s="35" t="s">
        <v>2305</v>
      </c>
      <c r="EZ1933" s="36" t="s">
        <v>2306</v>
      </c>
      <c r="FA1933" s="36" t="s">
        <v>1192</v>
      </c>
      <c r="FB1933" s="36" t="s">
        <v>344</v>
      </c>
      <c r="FC1933" s="36" t="s">
        <v>1192</v>
      </c>
      <c r="FD1933" s="36" t="s">
        <v>344</v>
      </c>
      <c r="FE1933" s="36">
        <v>2026</v>
      </c>
      <c r="FF1933" s="36" t="s">
        <v>59</v>
      </c>
      <c r="FG1933" s="36" t="s">
        <v>1584</v>
      </c>
      <c r="FJ1933" t="s">
        <v>59</v>
      </c>
    </row>
    <row r="1934" spans="153:166" x14ac:dyDescent="0.35">
      <c r="EW1934" t="s">
        <v>2339</v>
      </c>
      <c r="EX1934" s="33" t="s">
        <v>3112</v>
      </c>
      <c r="EY1934" s="35" t="s">
        <v>2309</v>
      </c>
      <c r="EZ1934" s="36" t="s">
        <v>2310</v>
      </c>
      <c r="FA1934" s="36" t="s">
        <v>1192</v>
      </c>
      <c r="FB1934" s="36" t="s">
        <v>344</v>
      </c>
      <c r="FC1934" s="36" t="s">
        <v>1192</v>
      </c>
      <c r="FD1934" s="36" t="s">
        <v>344</v>
      </c>
      <c r="FE1934" s="36">
        <v>2026</v>
      </c>
      <c r="FF1934" s="36" t="s">
        <v>59</v>
      </c>
      <c r="FG1934" s="36" t="s">
        <v>1584</v>
      </c>
      <c r="FJ1934" t="s">
        <v>59</v>
      </c>
    </row>
    <row r="1935" spans="153:166" x14ac:dyDescent="0.35">
      <c r="EW1935" t="s">
        <v>2339</v>
      </c>
      <c r="EX1935" s="33" t="s">
        <v>3113</v>
      </c>
      <c r="EY1935" s="35" t="s">
        <v>2311</v>
      </c>
      <c r="EZ1935" s="36" t="s">
        <v>2312</v>
      </c>
      <c r="FA1935" s="36" t="s">
        <v>1192</v>
      </c>
      <c r="FB1935" s="36" t="s">
        <v>344</v>
      </c>
      <c r="FC1935" s="36" t="s">
        <v>1192</v>
      </c>
      <c r="FD1935" s="36" t="s">
        <v>344</v>
      </c>
      <c r="FE1935" s="36">
        <v>2026</v>
      </c>
      <c r="FF1935" s="36" t="s">
        <v>59</v>
      </c>
      <c r="FG1935" s="36" t="s">
        <v>1584</v>
      </c>
      <c r="FJ1935" t="s">
        <v>59</v>
      </c>
    </row>
    <row r="1936" spans="153:166" x14ac:dyDescent="0.35">
      <c r="EW1936" t="s">
        <v>2339</v>
      </c>
      <c r="EX1936" s="33" t="s">
        <v>3114</v>
      </c>
      <c r="EY1936" s="35" t="s">
        <v>2313</v>
      </c>
      <c r="EZ1936" s="36" t="s">
        <v>2314</v>
      </c>
      <c r="FA1936" s="36" t="s">
        <v>1192</v>
      </c>
      <c r="FB1936" s="36" t="s">
        <v>344</v>
      </c>
      <c r="FC1936" s="36" t="s">
        <v>1192</v>
      </c>
      <c r="FD1936" s="36" t="s">
        <v>344</v>
      </c>
      <c r="FE1936" s="36">
        <v>2026</v>
      </c>
      <c r="FF1936" s="36" t="s">
        <v>59</v>
      </c>
      <c r="FG1936" s="36" t="s">
        <v>1584</v>
      </c>
      <c r="FJ1936" t="s">
        <v>59</v>
      </c>
    </row>
    <row r="1937" spans="153:166" x14ac:dyDescent="0.35">
      <c r="EW1937" t="s">
        <v>2339</v>
      </c>
      <c r="EX1937" s="33" t="s">
        <v>3115</v>
      </c>
      <c r="EY1937" s="35" t="s">
        <v>2317</v>
      </c>
      <c r="EZ1937" s="36" t="s">
        <v>2318</v>
      </c>
      <c r="FA1937" s="36" t="s">
        <v>1192</v>
      </c>
      <c r="FB1937" s="36" t="s">
        <v>344</v>
      </c>
      <c r="FC1937" s="36" t="s">
        <v>1192</v>
      </c>
      <c r="FD1937" s="36" t="s">
        <v>344</v>
      </c>
      <c r="FE1937" s="36">
        <v>2026</v>
      </c>
      <c r="FF1937" s="36" t="s">
        <v>59</v>
      </c>
      <c r="FG1937" s="36" t="s">
        <v>1584</v>
      </c>
      <c r="FJ1937" t="s">
        <v>59</v>
      </c>
    </row>
    <row r="1938" spans="153:166" x14ac:dyDescent="0.35">
      <c r="EW1938" t="s">
        <v>2339</v>
      </c>
      <c r="EX1938" s="33" t="s">
        <v>3116</v>
      </c>
      <c r="EY1938" s="35" t="s">
        <v>2319</v>
      </c>
      <c r="EZ1938" s="36" t="s">
        <v>2320</v>
      </c>
      <c r="FA1938" s="36" t="s">
        <v>1192</v>
      </c>
      <c r="FB1938" s="36" t="s">
        <v>344</v>
      </c>
      <c r="FC1938" s="36" t="s">
        <v>1192</v>
      </c>
      <c r="FD1938" s="36" t="s">
        <v>344</v>
      </c>
      <c r="FE1938" s="36">
        <v>2026</v>
      </c>
      <c r="FF1938" s="36" t="s">
        <v>59</v>
      </c>
      <c r="FG1938" s="36" t="s">
        <v>1584</v>
      </c>
      <c r="FJ1938" t="s">
        <v>59</v>
      </c>
    </row>
    <row r="1939" spans="153:166" x14ac:dyDescent="0.35">
      <c r="EW1939" t="s">
        <v>2339</v>
      </c>
      <c r="EX1939" s="33" t="s">
        <v>3117</v>
      </c>
      <c r="EY1939" s="35" t="s">
        <v>2323</v>
      </c>
      <c r="EZ1939" s="36" t="s">
        <v>2324</v>
      </c>
      <c r="FA1939" s="36" t="s">
        <v>1192</v>
      </c>
      <c r="FB1939" s="36" t="s">
        <v>344</v>
      </c>
      <c r="FC1939" s="36" t="s">
        <v>1192</v>
      </c>
      <c r="FD1939" s="36" t="s">
        <v>344</v>
      </c>
      <c r="FE1939" s="36">
        <v>2026</v>
      </c>
      <c r="FF1939" s="36" t="s">
        <v>59</v>
      </c>
      <c r="FG1939" s="36" t="s">
        <v>1584</v>
      </c>
      <c r="FJ1939" t="s">
        <v>59</v>
      </c>
    </row>
    <row r="1940" spans="153:166" x14ac:dyDescent="0.35">
      <c r="EW1940" t="s">
        <v>2339</v>
      </c>
      <c r="EX1940" s="33" t="s">
        <v>3118</v>
      </c>
      <c r="EY1940" s="35" t="s">
        <v>2325</v>
      </c>
      <c r="EZ1940" s="36" t="s">
        <v>2326</v>
      </c>
      <c r="FA1940" s="36" t="s">
        <v>1192</v>
      </c>
      <c r="FB1940" s="36" t="s">
        <v>344</v>
      </c>
      <c r="FC1940" s="36" t="s">
        <v>1192</v>
      </c>
      <c r="FD1940" s="36" t="s">
        <v>344</v>
      </c>
      <c r="FE1940" s="36">
        <v>2026</v>
      </c>
      <c r="FF1940" s="36" t="s">
        <v>59</v>
      </c>
      <c r="FG1940" s="36" t="s">
        <v>1584</v>
      </c>
      <c r="FJ1940" t="s">
        <v>59</v>
      </c>
    </row>
    <row r="1941" spans="153:166" x14ac:dyDescent="0.35">
      <c r="EW1941" t="s">
        <v>2339</v>
      </c>
      <c r="EX1941" s="33" t="s">
        <v>3119</v>
      </c>
      <c r="EY1941" s="35" t="s">
        <v>2327</v>
      </c>
      <c r="EZ1941" s="36" t="s">
        <v>2328</v>
      </c>
      <c r="FA1941" s="36" t="s">
        <v>1192</v>
      </c>
      <c r="FB1941" s="36" t="s">
        <v>344</v>
      </c>
      <c r="FC1941" s="36" t="s">
        <v>1192</v>
      </c>
      <c r="FD1941" s="36" t="s">
        <v>344</v>
      </c>
      <c r="FE1941" s="36">
        <v>2026</v>
      </c>
      <c r="FF1941" s="36" t="s">
        <v>59</v>
      </c>
      <c r="FG1941" s="36" t="s">
        <v>1584</v>
      </c>
      <c r="FJ1941" t="s">
        <v>59</v>
      </c>
    </row>
    <row r="1942" spans="153:166" x14ac:dyDescent="0.35">
      <c r="EW1942" t="s">
        <v>2339</v>
      </c>
      <c r="EX1942" s="33" t="s">
        <v>3120</v>
      </c>
      <c r="EY1942" s="35" t="s">
        <v>2329</v>
      </c>
      <c r="EZ1942" s="36" t="s">
        <v>2330</v>
      </c>
      <c r="FA1942" s="36" t="s">
        <v>1192</v>
      </c>
      <c r="FB1942" s="36" t="s">
        <v>344</v>
      </c>
      <c r="FC1942" s="36" t="s">
        <v>1192</v>
      </c>
      <c r="FD1942" s="36" t="s">
        <v>344</v>
      </c>
      <c r="FE1942" s="36">
        <v>2026</v>
      </c>
      <c r="FF1942" s="36" t="s">
        <v>59</v>
      </c>
      <c r="FG1942" s="36" t="s">
        <v>1584</v>
      </c>
      <c r="FJ1942" t="s">
        <v>59</v>
      </c>
    </row>
    <row r="1943" spans="153:166" x14ac:dyDescent="0.35">
      <c r="EW1943" t="s">
        <v>2339</v>
      </c>
      <c r="EX1943" s="33" t="s">
        <v>3121</v>
      </c>
      <c r="EY1943" s="35" t="s">
        <v>2331</v>
      </c>
      <c r="EZ1943" s="36" t="s">
        <v>2332</v>
      </c>
      <c r="FA1943" s="36" t="s">
        <v>1192</v>
      </c>
      <c r="FB1943" s="36" t="s">
        <v>344</v>
      </c>
      <c r="FC1943" s="36" t="s">
        <v>1192</v>
      </c>
      <c r="FD1943" s="36" t="s">
        <v>344</v>
      </c>
      <c r="FE1943" s="36">
        <v>2026</v>
      </c>
      <c r="FF1943" s="36" t="s">
        <v>59</v>
      </c>
      <c r="FG1943" s="36" t="s">
        <v>1584</v>
      </c>
      <c r="FJ1943" t="s">
        <v>59</v>
      </c>
    </row>
    <row r="1944" spans="153:166" x14ac:dyDescent="0.35">
      <c r="EW1944" t="s">
        <v>2339</v>
      </c>
      <c r="EX1944" s="33" t="s">
        <v>3122</v>
      </c>
      <c r="EY1944" s="35" t="s">
        <v>2333</v>
      </c>
      <c r="EZ1944" s="36" t="s">
        <v>2334</v>
      </c>
      <c r="FA1944" s="36" t="s">
        <v>1192</v>
      </c>
      <c r="FB1944" s="36" t="s">
        <v>344</v>
      </c>
      <c r="FC1944" s="36" t="s">
        <v>1192</v>
      </c>
      <c r="FD1944" s="36" t="s">
        <v>344</v>
      </c>
      <c r="FE1944" s="36">
        <v>2026</v>
      </c>
      <c r="FF1944" s="36" t="s">
        <v>59</v>
      </c>
      <c r="FG1944" s="36" t="s">
        <v>1584</v>
      </c>
      <c r="FJ1944" t="s">
        <v>59</v>
      </c>
    </row>
    <row r="1945" spans="153:166" x14ac:dyDescent="0.35">
      <c r="EW1945" t="s">
        <v>2337</v>
      </c>
      <c r="EX1945" s="31" t="s">
        <v>3123</v>
      </c>
      <c r="EY1945" s="31" t="s">
        <v>31</v>
      </c>
      <c r="EZ1945" s="31" t="s">
        <v>32</v>
      </c>
      <c r="FA1945" s="31" t="s">
        <v>33</v>
      </c>
      <c r="FB1945" s="31" t="s">
        <v>34</v>
      </c>
      <c r="FC1945" s="31" t="s">
        <v>35</v>
      </c>
      <c r="FD1945" s="31" t="s">
        <v>36</v>
      </c>
      <c r="FE1945" s="31" t="s">
        <v>37</v>
      </c>
      <c r="FF1945" s="31" t="s">
        <v>38</v>
      </c>
      <c r="FG1945" s="31" t="s">
        <v>39</v>
      </c>
      <c r="FH1945" s="31" t="s">
        <v>40</v>
      </c>
      <c r="FI1945" s="31" t="s">
        <v>41</v>
      </c>
    </row>
    <row r="1946" spans="153:166" x14ac:dyDescent="0.35">
      <c r="EW1946" t="s">
        <v>3124</v>
      </c>
      <c r="EX1946" s="33" t="s">
        <v>3125</v>
      </c>
      <c r="EY1946" s="33" t="s">
        <v>48</v>
      </c>
      <c r="EZ1946" s="33" t="s">
        <v>48</v>
      </c>
      <c r="FA1946" s="33" t="s">
        <v>48</v>
      </c>
      <c r="FB1946" s="33" t="s">
        <v>48</v>
      </c>
      <c r="FC1946" s="33" t="s">
        <v>48</v>
      </c>
      <c r="FD1946" s="33" t="s">
        <v>48</v>
      </c>
      <c r="FE1946" s="33" t="s">
        <v>48</v>
      </c>
      <c r="FF1946" s="33" t="s">
        <v>48</v>
      </c>
      <c r="FG1946" s="33" t="s">
        <v>48</v>
      </c>
      <c r="FH1946" s="33" t="s">
        <v>48</v>
      </c>
      <c r="FI1946" s="33" t="s">
        <v>48</v>
      </c>
    </row>
    <row r="1947" spans="153:166" x14ac:dyDescent="0.35">
      <c r="EW1947" t="s">
        <v>3124</v>
      </c>
      <c r="EX1947" s="33" t="s">
        <v>3126</v>
      </c>
      <c r="EY1947" s="33" t="s">
        <v>49</v>
      </c>
      <c r="EZ1947" s="33" t="s">
        <v>50</v>
      </c>
      <c r="FA1947" s="33" t="s">
        <v>51</v>
      </c>
      <c r="FB1947" s="33" t="s">
        <v>52</v>
      </c>
      <c r="FC1947" s="33" t="s">
        <v>53</v>
      </c>
      <c r="FD1947" s="33" t="s">
        <v>54</v>
      </c>
      <c r="FE1947" s="33">
        <v>2019</v>
      </c>
      <c r="FF1947" s="33" t="s">
        <v>55</v>
      </c>
      <c r="FG1947" s="33" t="s">
        <v>56</v>
      </c>
      <c r="FH1947" s="33" t="s">
        <v>57</v>
      </c>
      <c r="FI1947" s="33" t="s">
        <v>58</v>
      </c>
      <c r="FJ1947" t="s">
        <v>59</v>
      </c>
    </row>
    <row r="1948" spans="153:166" x14ac:dyDescent="0.35">
      <c r="EW1948" t="s">
        <v>3124</v>
      </c>
      <c r="EX1948" s="33" t="s">
        <v>3127</v>
      </c>
      <c r="EY1948" s="33" t="s">
        <v>60</v>
      </c>
      <c r="EZ1948" s="33" t="s">
        <v>61</v>
      </c>
      <c r="FA1948" s="33" t="s">
        <v>51</v>
      </c>
      <c r="FB1948" s="33" t="s">
        <v>52</v>
      </c>
      <c r="FC1948" s="33" t="s">
        <v>53</v>
      </c>
      <c r="FD1948" s="33" t="s">
        <v>54</v>
      </c>
      <c r="FE1948" s="33">
        <v>2019</v>
      </c>
      <c r="FF1948" s="33" t="s">
        <v>55</v>
      </c>
      <c r="FG1948" s="33" t="s">
        <v>56</v>
      </c>
      <c r="FH1948" s="33" t="s">
        <v>57</v>
      </c>
      <c r="FI1948" s="33" t="s">
        <v>58</v>
      </c>
      <c r="FJ1948" t="s">
        <v>59</v>
      </c>
    </row>
    <row r="1949" spans="153:166" x14ac:dyDescent="0.35">
      <c r="EW1949" t="s">
        <v>3124</v>
      </c>
      <c r="EX1949" s="33" t="s">
        <v>3128</v>
      </c>
      <c r="EY1949" s="33" t="s">
        <v>62</v>
      </c>
      <c r="EZ1949" s="33" t="s">
        <v>63</v>
      </c>
      <c r="FA1949" s="33" t="s">
        <v>51</v>
      </c>
      <c r="FB1949" s="33" t="s">
        <v>52</v>
      </c>
      <c r="FC1949" s="33" t="s">
        <v>53</v>
      </c>
      <c r="FD1949" s="33" t="s">
        <v>54</v>
      </c>
      <c r="FE1949" s="33">
        <v>2019</v>
      </c>
      <c r="FF1949" s="33" t="s">
        <v>55</v>
      </c>
      <c r="FG1949" s="33" t="s">
        <v>56</v>
      </c>
      <c r="FH1949" s="33" t="s">
        <v>57</v>
      </c>
      <c r="FI1949" s="33" t="s">
        <v>58</v>
      </c>
      <c r="FJ1949" t="s">
        <v>59</v>
      </c>
    </row>
    <row r="1950" spans="153:166" x14ac:dyDescent="0.35">
      <c r="EW1950" t="s">
        <v>3124</v>
      </c>
      <c r="EX1950" s="33" t="s">
        <v>3129</v>
      </c>
      <c r="EY1950" s="33" t="s">
        <v>64</v>
      </c>
      <c r="EZ1950" s="33" t="s">
        <v>65</v>
      </c>
      <c r="FA1950" s="33" t="s">
        <v>51</v>
      </c>
      <c r="FB1950" s="33" t="s">
        <v>52</v>
      </c>
      <c r="FC1950" s="33" t="s">
        <v>53</v>
      </c>
      <c r="FD1950" s="33" t="s">
        <v>54</v>
      </c>
      <c r="FE1950" s="33">
        <v>2019</v>
      </c>
      <c r="FF1950" s="33" t="s">
        <v>55</v>
      </c>
      <c r="FG1950" s="33" t="s">
        <v>56</v>
      </c>
      <c r="FH1950" s="33" t="s">
        <v>57</v>
      </c>
      <c r="FI1950" s="33" t="s">
        <v>58</v>
      </c>
      <c r="FJ1950" t="s">
        <v>59</v>
      </c>
    </row>
    <row r="1951" spans="153:166" x14ac:dyDescent="0.35">
      <c r="EW1951" t="s">
        <v>3124</v>
      </c>
      <c r="EX1951" s="33" t="s">
        <v>3130</v>
      </c>
      <c r="EY1951" s="33" t="s">
        <v>69</v>
      </c>
      <c r="EZ1951" s="33" t="s">
        <v>70</v>
      </c>
      <c r="FA1951" s="33" t="s">
        <v>51</v>
      </c>
      <c r="FB1951" s="33" t="s">
        <v>52</v>
      </c>
      <c r="FC1951" s="33" t="s">
        <v>53</v>
      </c>
      <c r="FD1951" s="33" t="s">
        <v>54</v>
      </c>
      <c r="FE1951" s="33">
        <v>2019</v>
      </c>
      <c r="FF1951" s="33" t="s">
        <v>55</v>
      </c>
      <c r="FG1951" s="33" t="s">
        <v>71</v>
      </c>
      <c r="FH1951" s="33" t="s">
        <v>72</v>
      </c>
      <c r="FI1951" s="33" t="s">
        <v>73</v>
      </c>
      <c r="FJ1951" t="s">
        <v>59</v>
      </c>
    </row>
    <row r="1952" spans="153:166" x14ac:dyDescent="0.35">
      <c r="EW1952" t="s">
        <v>3124</v>
      </c>
      <c r="EX1952" s="33" t="s">
        <v>3131</v>
      </c>
      <c r="EY1952" s="33" t="s">
        <v>74</v>
      </c>
      <c r="EZ1952" s="33" t="s">
        <v>75</v>
      </c>
      <c r="FA1952" s="33" t="s">
        <v>51</v>
      </c>
      <c r="FB1952" s="33" t="s">
        <v>52</v>
      </c>
      <c r="FC1952" s="33" t="s">
        <v>53</v>
      </c>
      <c r="FD1952" s="33" t="s">
        <v>54</v>
      </c>
      <c r="FE1952" s="33">
        <v>2019</v>
      </c>
      <c r="FF1952" s="33" t="s">
        <v>55</v>
      </c>
      <c r="FG1952" s="33" t="s">
        <v>71</v>
      </c>
      <c r="FH1952" s="33" t="s">
        <v>72</v>
      </c>
      <c r="FI1952" s="33" t="s">
        <v>73</v>
      </c>
      <c r="FJ1952" t="s">
        <v>59</v>
      </c>
    </row>
    <row r="1953" spans="153:166" x14ac:dyDescent="0.35">
      <c r="EW1953" t="s">
        <v>3124</v>
      </c>
      <c r="EX1953" s="33" t="s">
        <v>3132</v>
      </c>
      <c r="EY1953" s="33" t="s">
        <v>76</v>
      </c>
      <c r="EZ1953" s="33" t="s">
        <v>77</v>
      </c>
      <c r="FA1953" s="33" t="s">
        <v>51</v>
      </c>
      <c r="FB1953" s="33" t="s">
        <v>52</v>
      </c>
      <c r="FC1953" s="33" t="s">
        <v>53</v>
      </c>
      <c r="FD1953" s="33" t="s">
        <v>54</v>
      </c>
      <c r="FE1953" s="33">
        <v>2019</v>
      </c>
      <c r="FF1953" s="33" t="s">
        <v>55</v>
      </c>
      <c r="FG1953" s="33" t="s">
        <v>71</v>
      </c>
      <c r="FH1953" s="33" t="s">
        <v>72</v>
      </c>
      <c r="FI1953" s="33" t="s">
        <v>73</v>
      </c>
      <c r="FJ1953" t="s">
        <v>59</v>
      </c>
    </row>
    <row r="1954" spans="153:166" x14ac:dyDescent="0.35">
      <c r="EW1954" t="s">
        <v>3124</v>
      </c>
      <c r="EX1954" s="33" t="s">
        <v>3133</v>
      </c>
      <c r="EY1954" s="33" t="s">
        <v>78</v>
      </c>
      <c r="EZ1954" s="33" t="s">
        <v>79</v>
      </c>
      <c r="FA1954" s="33" t="s">
        <v>51</v>
      </c>
      <c r="FB1954" s="33" t="s">
        <v>52</v>
      </c>
      <c r="FC1954" s="33" t="s">
        <v>53</v>
      </c>
      <c r="FD1954" s="33" t="s">
        <v>54</v>
      </c>
      <c r="FE1954" s="33">
        <v>2019</v>
      </c>
      <c r="FF1954" s="33" t="s">
        <v>55</v>
      </c>
      <c r="FG1954" s="33" t="s">
        <v>56</v>
      </c>
      <c r="FH1954" s="33" t="s">
        <v>57</v>
      </c>
      <c r="FI1954" s="33" t="s">
        <v>58</v>
      </c>
      <c r="FJ1954" t="s">
        <v>59</v>
      </c>
    </row>
    <row r="1955" spans="153:166" x14ac:dyDescent="0.35">
      <c r="EW1955" t="s">
        <v>3124</v>
      </c>
      <c r="EX1955" s="33" t="s">
        <v>3134</v>
      </c>
      <c r="EY1955" s="33" t="s">
        <v>80</v>
      </c>
      <c r="EZ1955" s="33" t="s">
        <v>81</v>
      </c>
      <c r="FA1955" s="33" t="s">
        <v>51</v>
      </c>
      <c r="FB1955" s="33" t="s">
        <v>52</v>
      </c>
      <c r="FC1955" s="33" t="s">
        <v>53</v>
      </c>
      <c r="FD1955" s="33" t="s">
        <v>54</v>
      </c>
      <c r="FE1955" s="33">
        <v>2019</v>
      </c>
      <c r="FF1955" s="33" t="s">
        <v>55</v>
      </c>
      <c r="FG1955" s="33" t="s">
        <v>56</v>
      </c>
      <c r="FH1955" s="33" t="s">
        <v>57</v>
      </c>
      <c r="FI1955" s="33" t="s">
        <v>58</v>
      </c>
      <c r="FJ1955" t="s">
        <v>59</v>
      </c>
    </row>
    <row r="1956" spans="153:166" x14ac:dyDescent="0.35">
      <c r="EW1956" t="s">
        <v>3124</v>
      </c>
      <c r="EX1956" s="33" t="s">
        <v>3135</v>
      </c>
      <c r="EY1956" s="33" t="s">
        <v>82</v>
      </c>
      <c r="EZ1956" s="33" t="s">
        <v>83</v>
      </c>
      <c r="FA1956" s="33" t="s">
        <v>51</v>
      </c>
      <c r="FB1956" s="33" t="s">
        <v>52</v>
      </c>
      <c r="FC1956" s="33" t="s">
        <v>53</v>
      </c>
      <c r="FD1956" s="33" t="s">
        <v>54</v>
      </c>
      <c r="FE1956" s="33">
        <v>2019</v>
      </c>
      <c r="FF1956" s="33" t="s">
        <v>55</v>
      </c>
      <c r="FG1956" s="33" t="s">
        <v>56</v>
      </c>
      <c r="FH1956" s="33" t="s">
        <v>57</v>
      </c>
      <c r="FI1956" s="33" t="s">
        <v>58</v>
      </c>
      <c r="FJ1956" t="s">
        <v>59</v>
      </c>
    </row>
    <row r="1957" spans="153:166" x14ac:dyDescent="0.35">
      <c r="EW1957" t="s">
        <v>3124</v>
      </c>
      <c r="EX1957" s="33" t="s">
        <v>3136</v>
      </c>
      <c r="EY1957" s="33" t="s">
        <v>84</v>
      </c>
      <c r="EZ1957" s="33" t="s">
        <v>85</v>
      </c>
      <c r="FA1957" s="33" t="s">
        <v>51</v>
      </c>
      <c r="FB1957" s="33" t="s">
        <v>52</v>
      </c>
      <c r="FC1957" s="33" t="s">
        <v>53</v>
      </c>
      <c r="FD1957" s="33" t="s">
        <v>54</v>
      </c>
      <c r="FE1957" s="33">
        <v>2019</v>
      </c>
      <c r="FF1957" s="33" t="s">
        <v>55</v>
      </c>
      <c r="FG1957" s="33" t="s">
        <v>56</v>
      </c>
      <c r="FH1957" s="33" t="s">
        <v>57</v>
      </c>
      <c r="FI1957" s="33" t="s">
        <v>58</v>
      </c>
      <c r="FJ1957" t="s">
        <v>59</v>
      </c>
    </row>
    <row r="1958" spans="153:166" x14ac:dyDescent="0.35">
      <c r="EW1958" t="s">
        <v>3124</v>
      </c>
      <c r="EX1958" s="33" t="s">
        <v>3137</v>
      </c>
      <c r="EY1958" s="33" t="s">
        <v>86</v>
      </c>
      <c r="EZ1958" s="33" t="s">
        <v>87</v>
      </c>
      <c r="FA1958" s="33" t="s">
        <v>51</v>
      </c>
      <c r="FB1958" s="33" t="s">
        <v>52</v>
      </c>
      <c r="FC1958" s="33" t="s">
        <v>53</v>
      </c>
      <c r="FD1958" s="33" t="s">
        <v>54</v>
      </c>
      <c r="FE1958" s="33">
        <v>2019</v>
      </c>
      <c r="FF1958" s="33" t="s">
        <v>55</v>
      </c>
      <c r="FG1958" s="33" t="s">
        <v>56</v>
      </c>
      <c r="FH1958" s="33" t="s">
        <v>57</v>
      </c>
      <c r="FI1958" s="33" t="s">
        <v>58</v>
      </c>
      <c r="FJ1958" t="s">
        <v>59</v>
      </c>
    </row>
    <row r="1959" spans="153:166" x14ac:dyDescent="0.35">
      <c r="EW1959" t="s">
        <v>3124</v>
      </c>
      <c r="EX1959" s="33" t="s">
        <v>3138</v>
      </c>
      <c r="EY1959" s="33" t="s">
        <v>91</v>
      </c>
      <c r="EZ1959" s="33" t="s">
        <v>92</v>
      </c>
      <c r="FA1959" s="33" t="s">
        <v>51</v>
      </c>
      <c r="FB1959" s="33" t="s">
        <v>52</v>
      </c>
      <c r="FC1959" s="33" t="s">
        <v>53</v>
      </c>
      <c r="FD1959" s="33" t="s">
        <v>54</v>
      </c>
      <c r="FE1959" s="33">
        <v>2019</v>
      </c>
      <c r="FF1959" s="33" t="s">
        <v>55</v>
      </c>
      <c r="FG1959" s="33" t="s">
        <v>71</v>
      </c>
      <c r="FH1959" s="33" t="s">
        <v>72</v>
      </c>
      <c r="FI1959" s="33" t="s">
        <v>73</v>
      </c>
      <c r="FJ1959" t="s">
        <v>59</v>
      </c>
    </row>
    <row r="1960" spans="153:166" x14ac:dyDescent="0.35">
      <c r="EW1960" t="s">
        <v>3124</v>
      </c>
      <c r="EX1960" s="33" t="s">
        <v>3139</v>
      </c>
      <c r="EY1960" s="33" t="s">
        <v>93</v>
      </c>
      <c r="EZ1960" s="33" t="s">
        <v>94</v>
      </c>
      <c r="FA1960" s="33" t="s">
        <v>51</v>
      </c>
      <c r="FB1960" s="33" t="s">
        <v>52</v>
      </c>
      <c r="FC1960" s="33" t="s">
        <v>53</v>
      </c>
      <c r="FD1960" s="33" t="s">
        <v>54</v>
      </c>
      <c r="FE1960" s="33">
        <v>2019</v>
      </c>
      <c r="FF1960" s="33" t="s">
        <v>55</v>
      </c>
      <c r="FG1960" s="33" t="s">
        <v>56</v>
      </c>
      <c r="FH1960" s="33" t="s">
        <v>57</v>
      </c>
      <c r="FI1960" s="33" t="s">
        <v>58</v>
      </c>
      <c r="FJ1960" t="s">
        <v>59</v>
      </c>
    </row>
    <row r="1961" spans="153:166" x14ac:dyDescent="0.35">
      <c r="EW1961" t="s">
        <v>3124</v>
      </c>
      <c r="EX1961" s="33" t="s">
        <v>3140</v>
      </c>
      <c r="EY1961" s="33" t="s">
        <v>95</v>
      </c>
      <c r="EZ1961" s="33" t="s">
        <v>96</v>
      </c>
      <c r="FA1961" s="33" t="s">
        <v>51</v>
      </c>
      <c r="FB1961" s="33" t="s">
        <v>52</v>
      </c>
      <c r="FC1961" s="33" t="s">
        <v>53</v>
      </c>
      <c r="FD1961" s="33" t="s">
        <v>54</v>
      </c>
      <c r="FE1961" s="33">
        <v>2019</v>
      </c>
      <c r="FF1961" s="33" t="s">
        <v>55</v>
      </c>
      <c r="FG1961" s="33" t="s">
        <v>56</v>
      </c>
      <c r="FH1961" s="33" t="s">
        <v>57</v>
      </c>
      <c r="FI1961" s="33" t="s">
        <v>58</v>
      </c>
      <c r="FJ1961" t="s">
        <v>59</v>
      </c>
    </row>
    <row r="1962" spans="153:166" x14ac:dyDescent="0.35">
      <c r="EW1962" t="s">
        <v>3124</v>
      </c>
      <c r="EX1962" s="33" t="s">
        <v>3141</v>
      </c>
      <c r="EY1962" s="33" t="s">
        <v>97</v>
      </c>
      <c r="EZ1962" s="33" t="s">
        <v>98</v>
      </c>
      <c r="FA1962" s="33" t="s">
        <v>51</v>
      </c>
      <c r="FB1962" s="33" t="s">
        <v>52</v>
      </c>
      <c r="FC1962" s="33" t="s">
        <v>53</v>
      </c>
      <c r="FD1962" s="33" t="s">
        <v>54</v>
      </c>
      <c r="FE1962" s="33">
        <v>2019</v>
      </c>
      <c r="FF1962" s="33" t="s">
        <v>55</v>
      </c>
      <c r="FG1962" s="33" t="s">
        <v>56</v>
      </c>
      <c r="FH1962" s="33" t="s">
        <v>57</v>
      </c>
      <c r="FI1962" s="33" t="s">
        <v>58</v>
      </c>
      <c r="FJ1962" t="s">
        <v>59</v>
      </c>
    </row>
    <row r="1963" spans="153:166" x14ac:dyDescent="0.35">
      <c r="EW1963" t="s">
        <v>3124</v>
      </c>
      <c r="EX1963" s="33" t="s">
        <v>3142</v>
      </c>
      <c r="EY1963" s="33" t="s">
        <v>99</v>
      </c>
      <c r="EZ1963" s="33" t="s">
        <v>100</v>
      </c>
      <c r="FA1963" s="33" t="s">
        <v>51</v>
      </c>
      <c r="FB1963" s="33" t="s">
        <v>52</v>
      </c>
      <c r="FC1963" s="33" t="s">
        <v>53</v>
      </c>
      <c r="FD1963" s="33" t="s">
        <v>54</v>
      </c>
      <c r="FE1963" s="33">
        <v>2019</v>
      </c>
      <c r="FF1963" s="33" t="s">
        <v>55</v>
      </c>
      <c r="FG1963" s="33" t="s">
        <v>56</v>
      </c>
      <c r="FH1963" s="33" t="s">
        <v>57</v>
      </c>
      <c r="FI1963" s="33" t="s">
        <v>58</v>
      </c>
      <c r="FJ1963" t="s">
        <v>59</v>
      </c>
    </row>
    <row r="1964" spans="153:166" x14ac:dyDescent="0.35">
      <c r="EW1964" t="s">
        <v>3124</v>
      </c>
      <c r="EX1964" s="33" t="s">
        <v>3143</v>
      </c>
      <c r="EY1964" s="33" t="s">
        <v>101</v>
      </c>
      <c r="EZ1964" s="33" t="s">
        <v>102</v>
      </c>
      <c r="FA1964" s="33" t="s">
        <v>51</v>
      </c>
      <c r="FB1964" s="33" t="s">
        <v>52</v>
      </c>
      <c r="FC1964" s="33" t="s">
        <v>53</v>
      </c>
      <c r="FD1964" s="33" t="s">
        <v>54</v>
      </c>
      <c r="FE1964" s="33">
        <v>2019</v>
      </c>
      <c r="FF1964" s="33" t="s">
        <v>55</v>
      </c>
      <c r="FG1964" s="33" t="s">
        <v>56</v>
      </c>
      <c r="FH1964" s="33" t="s">
        <v>57</v>
      </c>
      <c r="FI1964" s="33" t="s">
        <v>58</v>
      </c>
      <c r="FJ1964" t="s">
        <v>59</v>
      </c>
    </row>
    <row r="1965" spans="153:166" x14ac:dyDescent="0.35">
      <c r="EW1965" t="s">
        <v>3124</v>
      </c>
      <c r="EX1965" s="33" t="s">
        <v>3144</v>
      </c>
      <c r="EY1965" s="33" t="s">
        <v>103</v>
      </c>
      <c r="EZ1965" s="33" t="s">
        <v>104</v>
      </c>
      <c r="FA1965" s="33" t="s">
        <v>51</v>
      </c>
      <c r="FB1965" s="33" t="s">
        <v>52</v>
      </c>
      <c r="FC1965" s="33" t="s">
        <v>53</v>
      </c>
      <c r="FD1965" s="33" t="s">
        <v>54</v>
      </c>
      <c r="FE1965" s="33">
        <v>2019</v>
      </c>
      <c r="FF1965" s="33" t="s">
        <v>55</v>
      </c>
      <c r="FG1965" s="33" t="s">
        <v>56</v>
      </c>
      <c r="FH1965" s="33" t="s">
        <v>57</v>
      </c>
      <c r="FI1965" s="33" t="s">
        <v>58</v>
      </c>
      <c r="FJ1965" t="s">
        <v>59</v>
      </c>
    </row>
    <row r="1966" spans="153:166" x14ac:dyDescent="0.35">
      <c r="EW1966" t="s">
        <v>3124</v>
      </c>
      <c r="EX1966" s="33" t="s">
        <v>3145</v>
      </c>
      <c r="EY1966" s="33" t="s">
        <v>105</v>
      </c>
      <c r="EZ1966" s="33" t="s">
        <v>106</v>
      </c>
      <c r="FA1966" s="33" t="s">
        <v>51</v>
      </c>
      <c r="FB1966" s="33" t="s">
        <v>52</v>
      </c>
      <c r="FC1966" s="33" t="s">
        <v>53</v>
      </c>
      <c r="FD1966" s="33" t="s">
        <v>54</v>
      </c>
      <c r="FE1966" s="33">
        <v>2019</v>
      </c>
      <c r="FF1966" s="33" t="s">
        <v>55</v>
      </c>
      <c r="FG1966" s="33" t="s">
        <v>56</v>
      </c>
      <c r="FH1966" s="33" t="s">
        <v>57</v>
      </c>
      <c r="FI1966" s="33" t="s">
        <v>58</v>
      </c>
      <c r="FJ1966" t="s">
        <v>59</v>
      </c>
    </row>
    <row r="1967" spans="153:166" x14ac:dyDescent="0.35">
      <c r="EW1967" t="s">
        <v>3124</v>
      </c>
      <c r="EX1967" s="33" t="s">
        <v>3146</v>
      </c>
      <c r="EY1967" s="33" t="s">
        <v>110</v>
      </c>
      <c r="EZ1967" s="33" t="s">
        <v>111</v>
      </c>
      <c r="FA1967" s="33" t="s">
        <v>51</v>
      </c>
      <c r="FB1967" s="33" t="s">
        <v>52</v>
      </c>
      <c r="FC1967" s="33" t="s">
        <v>53</v>
      </c>
      <c r="FD1967" s="33" t="s">
        <v>54</v>
      </c>
      <c r="FE1967" s="33">
        <v>2019</v>
      </c>
      <c r="FF1967" s="33" t="s">
        <v>55</v>
      </c>
      <c r="FG1967" s="33" t="s">
        <v>56</v>
      </c>
      <c r="FH1967" s="33" t="s">
        <v>57</v>
      </c>
      <c r="FI1967" s="33" t="s">
        <v>58</v>
      </c>
      <c r="FJ1967" t="s">
        <v>59</v>
      </c>
    </row>
    <row r="1968" spans="153:166" x14ac:dyDescent="0.35">
      <c r="EW1968" t="s">
        <v>3124</v>
      </c>
      <c r="EX1968" s="33" t="s">
        <v>3147</v>
      </c>
      <c r="EY1968" s="33" t="s">
        <v>112</v>
      </c>
      <c r="EZ1968" s="33" t="s">
        <v>113</v>
      </c>
      <c r="FA1968" s="33" t="s">
        <v>51</v>
      </c>
      <c r="FB1968" s="33" t="s">
        <v>52</v>
      </c>
      <c r="FC1968" s="33" t="s">
        <v>53</v>
      </c>
      <c r="FD1968" s="33" t="s">
        <v>54</v>
      </c>
      <c r="FE1968" s="33">
        <v>2019</v>
      </c>
      <c r="FF1968" s="33" t="s">
        <v>55</v>
      </c>
      <c r="FG1968" s="33" t="s">
        <v>56</v>
      </c>
      <c r="FH1968" s="33" t="s">
        <v>57</v>
      </c>
      <c r="FI1968" s="33" t="s">
        <v>58</v>
      </c>
      <c r="FJ1968" t="s">
        <v>59</v>
      </c>
    </row>
    <row r="1969" spans="153:166" x14ac:dyDescent="0.35">
      <c r="EW1969" t="s">
        <v>3124</v>
      </c>
      <c r="EX1969" s="38" t="s">
        <v>3148</v>
      </c>
      <c r="EY1969" s="33" t="s">
        <v>114</v>
      </c>
      <c r="EZ1969" s="33" t="s">
        <v>115</v>
      </c>
      <c r="FA1969" s="33" t="s">
        <v>51</v>
      </c>
      <c r="FB1969" s="33" t="s">
        <v>52</v>
      </c>
      <c r="FC1969" s="33" t="s">
        <v>53</v>
      </c>
      <c r="FD1969" s="33" t="s">
        <v>54</v>
      </c>
      <c r="FE1969" s="33">
        <v>2019</v>
      </c>
      <c r="FF1969" s="33" t="s">
        <v>55</v>
      </c>
      <c r="FG1969" s="33" t="s">
        <v>56</v>
      </c>
      <c r="FH1969" s="33" t="s">
        <v>57</v>
      </c>
      <c r="FI1969" s="33" t="s">
        <v>58</v>
      </c>
      <c r="FJ1969" t="s">
        <v>59</v>
      </c>
    </row>
    <row r="1970" spans="153:166" x14ac:dyDescent="0.35">
      <c r="EW1970" t="s">
        <v>3124</v>
      </c>
      <c r="EX1970" s="33" t="s">
        <v>3149</v>
      </c>
      <c r="EY1970" s="33" t="s">
        <v>116</v>
      </c>
      <c r="EZ1970" s="33" t="s">
        <v>117</v>
      </c>
      <c r="FA1970" s="33" t="s">
        <v>51</v>
      </c>
      <c r="FB1970" s="33" t="s">
        <v>52</v>
      </c>
      <c r="FC1970" s="33" t="s">
        <v>53</v>
      </c>
      <c r="FD1970" s="33" t="s">
        <v>54</v>
      </c>
      <c r="FE1970" s="33">
        <v>2019</v>
      </c>
      <c r="FF1970" s="33" t="s">
        <v>55</v>
      </c>
      <c r="FG1970" s="33" t="s">
        <v>56</v>
      </c>
      <c r="FH1970" s="33" t="s">
        <v>57</v>
      </c>
      <c r="FI1970" s="33" t="s">
        <v>58</v>
      </c>
      <c r="FJ1970" t="s">
        <v>59</v>
      </c>
    </row>
    <row r="1971" spans="153:166" x14ac:dyDescent="0.35">
      <c r="EW1971" t="s">
        <v>3124</v>
      </c>
      <c r="EX1971" s="33" t="s">
        <v>3150</v>
      </c>
      <c r="EY1971" s="33" t="s">
        <v>118</v>
      </c>
      <c r="EZ1971" s="33" t="s">
        <v>119</v>
      </c>
      <c r="FA1971" s="33" t="s">
        <v>51</v>
      </c>
      <c r="FB1971" s="33" t="s">
        <v>52</v>
      </c>
      <c r="FC1971" s="33" t="s">
        <v>53</v>
      </c>
      <c r="FD1971" s="33" t="s">
        <v>54</v>
      </c>
      <c r="FE1971" s="33">
        <v>2019</v>
      </c>
      <c r="FF1971" s="33" t="s">
        <v>55</v>
      </c>
      <c r="FG1971" s="33" t="s">
        <v>56</v>
      </c>
      <c r="FH1971" s="33" t="s">
        <v>57</v>
      </c>
      <c r="FI1971" s="33" t="s">
        <v>58</v>
      </c>
      <c r="FJ1971" t="s">
        <v>59</v>
      </c>
    </row>
    <row r="1972" spans="153:166" x14ac:dyDescent="0.35">
      <c r="EW1972" t="s">
        <v>3124</v>
      </c>
      <c r="EX1972" s="33" t="s">
        <v>3151</v>
      </c>
      <c r="EY1972" s="33" t="s">
        <v>123</v>
      </c>
      <c r="EZ1972" s="33" t="s">
        <v>124</v>
      </c>
      <c r="FA1972" s="33" t="s">
        <v>51</v>
      </c>
      <c r="FB1972" s="33" t="s">
        <v>52</v>
      </c>
      <c r="FC1972" s="33" t="s">
        <v>53</v>
      </c>
      <c r="FD1972" s="33" t="s">
        <v>54</v>
      </c>
      <c r="FE1972" s="33">
        <v>2019</v>
      </c>
      <c r="FF1972" s="33" t="s">
        <v>55</v>
      </c>
      <c r="FG1972" s="33" t="s">
        <v>56</v>
      </c>
      <c r="FH1972" s="33" t="s">
        <v>57</v>
      </c>
      <c r="FI1972" s="33" t="s">
        <v>58</v>
      </c>
      <c r="FJ1972" t="s">
        <v>59</v>
      </c>
    </row>
    <row r="1973" spans="153:166" x14ac:dyDescent="0.35">
      <c r="EW1973" t="s">
        <v>3124</v>
      </c>
      <c r="EX1973" s="33" t="s">
        <v>3152</v>
      </c>
      <c r="EY1973" s="33" t="s">
        <v>125</v>
      </c>
      <c r="EZ1973" s="33" t="s">
        <v>126</v>
      </c>
      <c r="FA1973" s="33" t="s">
        <v>51</v>
      </c>
      <c r="FB1973" s="33" t="s">
        <v>52</v>
      </c>
      <c r="FC1973" s="33" t="s">
        <v>53</v>
      </c>
      <c r="FD1973" s="33" t="s">
        <v>54</v>
      </c>
      <c r="FE1973" s="33">
        <v>2019</v>
      </c>
      <c r="FF1973" s="33" t="s">
        <v>55</v>
      </c>
      <c r="FG1973" s="33" t="s">
        <v>56</v>
      </c>
      <c r="FH1973" s="33" t="s">
        <v>57</v>
      </c>
      <c r="FI1973" s="33" t="s">
        <v>58</v>
      </c>
      <c r="FJ1973" t="s">
        <v>59</v>
      </c>
    </row>
    <row r="1974" spans="153:166" x14ac:dyDescent="0.35">
      <c r="EW1974" t="s">
        <v>3124</v>
      </c>
      <c r="EX1974" s="33" t="s">
        <v>3153</v>
      </c>
      <c r="EY1974" s="33" t="s">
        <v>127</v>
      </c>
      <c r="EZ1974" s="33" t="s">
        <v>128</v>
      </c>
      <c r="FA1974" s="33" t="s">
        <v>51</v>
      </c>
      <c r="FB1974" s="33" t="s">
        <v>52</v>
      </c>
      <c r="FC1974" s="33" t="s">
        <v>53</v>
      </c>
      <c r="FD1974" s="33" t="s">
        <v>54</v>
      </c>
      <c r="FE1974" s="33">
        <v>2019</v>
      </c>
      <c r="FF1974" s="33" t="s">
        <v>55</v>
      </c>
      <c r="FG1974" s="33" t="s">
        <v>56</v>
      </c>
      <c r="FH1974" s="33" t="s">
        <v>57</v>
      </c>
      <c r="FI1974" s="33" t="s">
        <v>58</v>
      </c>
      <c r="FJ1974" t="s">
        <v>59</v>
      </c>
    </row>
    <row r="1975" spans="153:166" x14ac:dyDescent="0.35">
      <c r="EW1975" t="s">
        <v>3124</v>
      </c>
      <c r="EX1975" s="33" t="s">
        <v>3154</v>
      </c>
      <c r="EY1975" s="33" t="s">
        <v>129</v>
      </c>
      <c r="EZ1975" s="33" t="s">
        <v>130</v>
      </c>
      <c r="FA1975" s="33" t="s">
        <v>51</v>
      </c>
      <c r="FB1975" s="33" t="s">
        <v>52</v>
      </c>
      <c r="FC1975" s="33" t="s">
        <v>53</v>
      </c>
      <c r="FD1975" s="33" t="s">
        <v>54</v>
      </c>
      <c r="FE1975" s="33">
        <v>2019</v>
      </c>
      <c r="FF1975" s="33" t="s">
        <v>55</v>
      </c>
      <c r="FG1975" s="33" t="s">
        <v>56</v>
      </c>
      <c r="FH1975" s="33" t="s">
        <v>57</v>
      </c>
      <c r="FI1975" s="33" t="s">
        <v>58</v>
      </c>
      <c r="FJ1975" t="s">
        <v>59</v>
      </c>
    </row>
    <row r="1976" spans="153:166" x14ac:dyDescent="0.35">
      <c r="EW1976" t="s">
        <v>3124</v>
      </c>
      <c r="EX1976" s="33" t="s">
        <v>3155</v>
      </c>
      <c r="EY1976" s="33" t="s">
        <v>131</v>
      </c>
      <c r="EZ1976" s="33" t="s">
        <v>132</v>
      </c>
      <c r="FA1976" s="33" t="s">
        <v>51</v>
      </c>
      <c r="FB1976" s="33" t="s">
        <v>52</v>
      </c>
      <c r="FC1976" s="33" t="s">
        <v>53</v>
      </c>
      <c r="FD1976" s="33" t="s">
        <v>54</v>
      </c>
      <c r="FE1976" s="33">
        <v>2019</v>
      </c>
      <c r="FF1976" s="33" t="s">
        <v>55</v>
      </c>
      <c r="FG1976" s="33" t="s">
        <v>56</v>
      </c>
      <c r="FH1976" s="33" t="s">
        <v>57</v>
      </c>
      <c r="FI1976" s="33" t="s">
        <v>58</v>
      </c>
      <c r="FJ1976" t="s">
        <v>59</v>
      </c>
    </row>
    <row r="1977" spans="153:166" x14ac:dyDescent="0.35">
      <c r="EW1977" t="s">
        <v>3124</v>
      </c>
      <c r="EX1977" s="33" t="s">
        <v>3156</v>
      </c>
      <c r="EY1977" s="33" t="s">
        <v>136</v>
      </c>
      <c r="EZ1977" s="33" t="s">
        <v>137</v>
      </c>
      <c r="FA1977" s="33" t="s">
        <v>51</v>
      </c>
      <c r="FB1977" s="33" t="s">
        <v>52</v>
      </c>
      <c r="FC1977" s="33" t="s">
        <v>53</v>
      </c>
      <c r="FD1977" s="33" t="s">
        <v>54</v>
      </c>
      <c r="FE1977" s="33">
        <v>2019</v>
      </c>
      <c r="FF1977" s="33" t="s">
        <v>55</v>
      </c>
      <c r="FG1977" s="33" t="s">
        <v>56</v>
      </c>
      <c r="FH1977" s="33" t="s">
        <v>57</v>
      </c>
      <c r="FI1977" s="33" t="s">
        <v>58</v>
      </c>
      <c r="FJ1977" t="s">
        <v>59</v>
      </c>
    </row>
    <row r="1978" spans="153:166" x14ac:dyDescent="0.35">
      <c r="EW1978" t="s">
        <v>3124</v>
      </c>
      <c r="EX1978" s="33" t="s">
        <v>3157</v>
      </c>
      <c r="EY1978" s="33" t="s">
        <v>138</v>
      </c>
      <c r="EZ1978" s="33" t="s">
        <v>139</v>
      </c>
      <c r="FA1978" s="33" t="s">
        <v>51</v>
      </c>
      <c r="FB1978" s="33" t="s">
        <v>52</v>
      </c>
      <c r="FC1978" s="33" t="s">
        <v>53</v>
      </c>
      <c r="FD1978" s="33" t="s">
        <v>54</v>
      </c>
      <c r="FE1978" s="33">
        <v>2019</v>
      </c>
      <c r="FF1978" s="33" t="s">
        <v>55</v>
      </c>
      <c r="FG1978" s="33" t="s">
        <v>56</v>
      </c>
      <c r="FH1978" s="33" t="s">
        <v>57</v>
      </c>
      <c r="FI1978" s="33" t="s">
        <v>58</v>
      </c>
      <c r="FJ1978" t="s">
        <v>59</v>
      </c>
    </row>
    <row r="1979" spans="153:166" x14ac:dyDescent="0.35">
      <c r="EW1979" t="s">
        <v>3124</v>
      </c>
      <c r="EX1979" s="33" t="s">
        <v>3158</v>
      </c>
      <c r="EY1979" s="33" t="s">
        <v>143</v>
      </c>
      <c r="EZ1979" s="33" t="s">
        <v>144</v>
      </c>
      <c r="FA1979" s="33" t="s">
        <v>51</v>
      </c>
      <c r="FB1979" s="33" t="s">
        <v>52</v>
      </c>
      <c r="FC1979" s="33" t="s">
        <v>53</v>
      </c>
      <c r="FD1979" s="33" t="s">
        <v>54</v>
      </c>
      <c r="FE1979" s="33">
        <v>2019</v>
      </c>
      <c r="FF1979" s="33" t="s">
        <v>55</v>
      </c>
      <c r="FG1979" s="33" t="s">
        <v>56</v>
      </c>
      <c r="FH1979" s="33" t="s">
        <v>57</v>
      </c>
      <c r="FI1979" s="33" t="s">
        <v>58</v>
      </c>
      <c r="FJ1979" t="s">
        <v>59</v>
      </c>
    </row>
    <row r="1980" spans="153:166" x14ac:dyDescent="0.35">
      <c r="EW1980" t="s">
        <v>3124</v>
      </c>
      <c r="EX1980" s="33" t="s">
        <v>3159</v>
      </c>
      <c r="EY1980" s="33" t="s">
        <v>145</v>
      </c>
      <c r="EZ1980" s="33" t="s">
        <v>146</v>
      </c>
      <c r="FA1980" s="33" t="s">
        <v>51</v>
      </c>
      <c r="FB1980" s="33" t="s">
        <v>52</v>
      </c>
      <c r="FC1980" s="33" t="s">
        <v>53</v>
      </c>
      <c r="FD1980" s="33" t="s">
        <v>54</v>
      </c>
      <c r="FE1980" s="33">
        <v>2019</v>
      </c>
      <c r="FF1980" s="33" t="s">
        <v>55</v>
      </c>
      <c r="FG1980" s="33" t="s">
        <v>56</v>
      </c>
      <c r="FH1980" s="33" t="s">
        <v>57</v>
      </c>
      <c r="FI1980" s="33" t="s">
        <v>58</v>
      </c>
      <c r="FJ1980" t="s">
        <v>59</v>
      </c>
    </row>
    <row r="1981" spans="153:166" x14ac:dyDescent="0.35">
      <c r="EW1981" t="s">
        <v>3124</v>
      </c>
      <c r="EX1981" s="33" t="s">
        <v>3160</v>
      </c>
      <c r="EY1981" s="33" t="s">
        <v>147</v>
      </c>
      <c r="EZ1981" s="33" t="s">
        <v>148</v>
      </c>
      <c r="FA1981" s="33" t="s">
        <v>51</v>
      </c>
      <c r="FB1981" s="33" t="s">
        <v>52</v>
      </c>
      <c r="FC1981" s="33" t="s">
        <v>53</v>
      </c>
      <c r="FD1981" s="33" t="s">
        <v>54</v>
      </c>
      <c r="FE1981" s="33">
        <v>2019</v>
      </c>
      <c r="FF1981" s="33" t="s">
        <v>55</v>
      </c>
      <c r="FG1981" s="33" t="s">
        <v>56</v>
      </c>
      <c r="FH1981" s="33" t="s">
        <v>57</v>
      </c>
      <c r="FI1981" s="33" t="s">
        <v>58</v>
      </c>
      <c r="FJ1981" t="s">
        <v>59</v>
      </c>
    </row>
    <row r="1982" spans="153:166" x14ac:dyDescent="0.35">
      <c r="EW1982" t="s">
        <v>3124</v>
      </c>
      <c r="EX1982" s="33" t="s">
        <v>3161</v>
      </c>
      <c r="EY1982" s="33" t="s">
        <v>149</v>
      </c>
      <c r="EZ1982" s="33" t="s">
        <v>150</v>
      </c>
      <c r="FA1982" s="33" t="s">
        <v>51</v>
      </c>
      <c r="FB1982" s="33" t="s">
        <v>52</v>
      </c>
      <c r="FC1982" s="33" t="s">
        <v>53</v>
      </c>
      <c r="FD1982" s="33" t="s">
        <v>54</v>
      </c>
      <c r="FE1982" s="33">
        <v>2019</v>
      </c>
      <c r="FF1982" s="33" t="s">
        <v>55</v>
      </c>
      <c r="FG1982" s="33" t="s">
        <v>56</v>
      </c>
      <c r="FH1982" s="33" t="s">
        <v>57</v>
      </c>
      <c r="FI1982" s="33" t="s">
        <v>58</v>
      </c>
      <c r="FJ1982" t="s">
        <v>59</v>
      </c>
    </row>
    <row r="1983" spans="153:166" x14ac:dyDescent="0.35">
      <c r="EW1983" t="s">
        <v>3124</v>
      </c>
      <c r="EX1983" s="33" t="s">
        <v>3162</v>
      </c>
      <c r="EY1983" s="33" t="s">
        <v>154</v>
      </c>
      <c r="EZ1983" s="33" t="s">
        <v>155</v>
      </c>
      <c r="FA1983" s="33" t="s">
        <v>51</v>
      </c>
      <c r="FB1983" s="33" t="s">
        <v>52</v>
      </c>
      <c r="FC1983" s="33" t="s">
        <v>53</v>
      </c>
      <c r="FD1983" s="33" t="s">
        <v>54</v>
      </c>
      <c r="FE1983" s="33">
        <v>2019</v>
      </c>
      <c r="FF1983" s="33" t="s">
        <v>55</v>
      </c>
      <c r="FG1983" s="33" t="s">
        <v>56</v>
      </c>
      <c r="FH1983" s="33" t="s">
        <v>57</v>
      </c>
      <c r="FI1983" s="33" t="s">
        <v>58</v>
      </c>
      <c r="FJ1983" t="s">
        <v>59</v>
      </c>
    </row>
    <row r="1984" spans="153:166" x14ac:dyDescent="0.35">
      <c r="EW1984" t="s">
        <v>3124</v>
      </c>
      <c r="EX1984" s="33" t="s">
        <v>3163</v>
      </c>
      <c r="EY1984" s="33" t="s">
        <v>156</v>
      </c>
      <c r="EZ1984" s="33" t="s">
        <v>157</v>
      </c>
      <c r="FA1984" s="33" t="s">
        <v>51</v>
      </c>
      <c r="FB1984" s="33" t="s">
        <v>52</v>
      </c>
      <c r="FC1984" s="33" t="s">
        <v>53</v>
      </c>
      <c r="FD1984" s="33" t="s">
        <v>54</v>
      </c>
      <c r="FE1984" s="33">
        <v>2019</v>
      </c>
      <c r="FF1984" s="33" t="s">
        <v>55</v>
      </c>
      <c r="FG1984" s="33" t="s">
        <v>56</v>
      </c>
      <c r="FH1984" s="33" t="s">
        <v>57</v>
      </c>
      <c r="FI1984" s="33" t="s">
        <v>58</v>
      </c>
      <c r="FJ1984" t="s">
        <v>59</v>
      </c>
    </row>
    <row r="1985" spans="153:166" x14ac:dyDescent="0.35">
      <c r="EW1985" t="s">
        <v>3124</v>
      </c>
      <c r="EX1985" s="33" t="s">
        <v>3164</v>
      </c>
      <c r="EY1985" s="33" t="s">
        <v>158</v>
      </c>
      <c r="EZ1985" s="33" t="s">
        <v>159</v>
      </c>
      <c r="FA1985" s="33" t="s">
        <v>51</v>
      </c>
      <c r="FB1985" s="33" t="s">
        <v>52</v>
      </c>
      <c r="FC1985" s="33" t="s">
        <v>53</v>
      </c>
      <c r="FD1985" s="33" t="s">
        <v>54</v>
      </c>
      <c r="FE1985" s="33">
        <v>2019</v>
      </c>
      <c r="FF1985" s="33" t="s">
        <v>55</v>
      </c>
      <c r="FG1985" s="33" t="s">
        <v>56</v>
      </c>
      <c r="FH1985" s="33" t="s">
        <v>57</v>
      </c>
      <c r="FI1985" s="33" t="s">
        <v>58</v>
      </c>
      <c r="FJ1985" t="s">
        <v>59</v>
      </c>
    </row>
    <row r="1986" spans="153:166" x14ac:dyDescent="0.35">
      <c r="EW1986" t="s">
        <v>3124</v>
      </c>
      <c r="EX1986" s="33" t="s">
        <v>3165</v>
      </c>
      <c r="EY1986" s="33" t="s">
        <v>160</v>
      </c>
      <c r="EZ1986" s="33" t="s">
        <v>161</v>
      </c>
      <c r="FA1986" s="33" t="s">
        <v>51</v>
      </c>
      <c r="FB1986" s="33" t="s">
        <v>52</v>
      </c>
      <c r="FC1986" s="33" t="s">
        <v>53</v>
      </c>
      <c r="FD1986" s="33" t="s">
        <v>54</v>
      </c>
      <c r="FE1986" s="33">
        <v>2019</v>
      </c>
      <c r="FF1986" s="33" t="s">
        <v>55</v>
      </c>
      <c r="FG1986" s="33" t="s">
        <v>56</v>
      </c>
      <c r="FH1986" s="33" t="s">
        <v>57</v>
      </c>
      <c r="FI1986" s="33" t="s">
        <v>58</v>
      </c>
      <c r="FJ1986" t="s">
        <v>59</v>
      </c>
    </row>
    <row r="1987" spans="153:166" x14ac:dyDescent="0.35">
      <c r="EW1987" t="s">
        <v>3124</v>
      </c>
      <c r="EX1987" s="33" t="s">
        <v>3166</v>
      </c>
      <c r="EY1987" s="33" t="s">
        <v>165</v>
      </c>
      <c r="EZ1987" s="33" t="s">
        <v>166</v>
      </c>
      <c r="FA1987" s="33" t="s">
        <v>51</v>
      </c>
      <c r="FB1987" s="33" t="s">
        <v>52</v>
      </c>
      <c r="FC1987" s="33" t="s">
        <v>53</v>
      </c>
      <c r="FD1987" s="33" t="s">
        <v>54</v>
      </c>
      <c r="FE1987" s="33">
        <v>2019</v>
      </c>
      <c r="FF1987" s="33" t="s">
        <v>55</v>
      </c>
      <c r="FG1987" s="33" t="s">
        <v>56</v>
      </c>
      <c r="FH1987" s="33" t="s">
        <v>57</v>
      </c>
      <c r="FI1987" s="33" t="s">
        <v>58</v>
      </c>
      <c r="FJ1987" t="s">
        <v>59</v>
      </c>
    </row>
    <row r="1988" spans="153:166" x14ac:dyDescent="0.35">
      <c r="EW1988" t="s">
        <v>3124</v>
      </c>
      <c r="EX1988" s="33" t="s">
        <v>3167</v>
      </c>
      <c r="EY1988" s="33" t="s">
        <v>167</v>
      </c>
      <c r="EZ1988" s="33" t="s">
        <v>168</v>
      </c>
      <c r="FA1988" s="33" t="s">
        <v>51</v>
      </c>
      <c r="FB1988" s="33" t="s">
        <v>52</v>
      </c>
      <c r="FC1988" s="33" t="s">
        <v>53</v>
      </c>
      <c r="FD1988" s="33" t="s">
        <v>54</v>
      </c>
      <c r="FE1988" s="33">
        <v>2019</v>
      </c>
      <c r="FF1988" s="33" t="s">
        <v>55</v>
      </c>
      <c r="FG1988" s="33" t="s">
        <v>56</v>
      </c>
      <c r="FH1988" s="33" t="s">
        <v>57</v>
      </c>
      <c r="FI1988" s="33" t="s">
        <v>58</v>
      </c>
      <c r="FJ1988" t="s">
        <v>59</v>
      </c>
    </row>
    <row r="1989" spans="153:166" x14ac:dyDescent="0.35">
      <c r="EW1989" t="s">
        <v>3124</v>
      </c>
      <c r="EX1989" s="33" t="s">
        <v>3168</v>
      </c>
      <c r="EY1989" s="33" t="s">
        <v>169</v>
      </c>
      <c r="EZ1989" s="33" t="s">
        <v>170</v>
      </c>
      <c r="FA1989" s="33" t="s">
        <v>51</v>
      </c>
      <c r="FB1989" s="33" t="s">
        <v>52</v>
      </c>
      <c r="FC1989" s="33" t="s">
        <v>53</v>
      </c>
      <c r="FD1989" s="33" t="s">
        <v>54</v>
      </c>
      <c r="FE1989" s="33">
        <v>2019</v>
      </c>
      <c r="FF1989" s="33" t="s">
        <v>55</v>
      </c>
      <c r="FG1989" s="33" t="s">
        <v>56</v>
      </c>
      <c r="FH1989" s="33" t="s">
        <v>57</v>
      </c>
      <c r="FI1989" s="33" t="s">
        <v>58</v>
      </c>
      <c r="FJ1989" t="s">
        <v>59</v>
      </c>
    </row>
    <row r="1990" spans="153:166" x14ac:dyDescent="0.35">
      <c r="EW1990" t="s">
        <v>3124</v>
      </c>
      <c r="EX1990" s="33" t="s">
        <v>3169</v>
      </c>
      <c r="EY1990" s="33" t="s">
        <v>171</v>
      </c>
      <c r="EZ1990" s="33" t="s">
        <v>172</v>
      </c>
      <c r="FA1990" s="33" t="s">
        <v>51</v>
      </c>
      <c r="FB1990" s="33" t="s">
        <v>52</v>
      </c>
      <c r="FC1990" s="33" t="s">
        <v>53</v>
      </c>
      <c r="FD1990" s="33" t="s">
        <v>54</v>
      </c>
      <c r="FE1990" s="33">
        <v>2019</v>
      </c>
      <c r="FF1990" s="33" t="s">
        <v>55</v>
      </c>
      <c r="FG1990" s="33" t="s">
        <v>56</v>
      </c>
      <c r="FH1990" s="33" t="s">
        <v>57</v>
      </c>
      <c r="FI1990" s="33" t="s">
        <v>58</v>
      </c>
      <c r="FJ1990" t="s">
        <v>59</v>
      </c>
    </row>
    <row r="1991" spans="153:166" x14ac:dyDescent="0.35">
      <c r="EW1991" t="s">
        <v>3124</v>
      </c>
      <c r="EX1991" s="33" t="s">
        <v>3170</v>
      </c>
      <c r="EY1991" s="33" t="s">
        <v>173</v>
      </c>
      <c r="EZ1991" s="33" t="s">
        <v>174</v>
      </c>
      <c r="FA1991" s="33" t="s">
        <v>51</v>
      </c>
      <c r="FB1991" s="33" t="s">
        <v>52</v>
      </c>
      <c r="FC1991" s="33" t="s">
        <v>53</v>
      </c>
      <c r="FD1991" s="33" t="s">
        <v>54</v>
      </c>
      <c r="FE1991" s="33">
        <v>2019</v>
      </c>
      <c r="FF1991" s="33" t="s">
        <v>55</v>
      </c>
      <c r="FG1991" s="33" t="s">
        <v>56</v>
      </c>
      <c r="FH1991" s="33" t="s">
        <v>57</v>
      </c>
      <c r="FI1991" s="33" t="s">
        <v>58</v>
      </c>
      <c r="FJ1991" t="s">
        <v>59</v>
      </c>
    </row>
    <row r="1992" spans="153:166" x14ac:dyDescent="0.35">
      <c r="EW1992" t="s">
        <v>3124</v>
      </c>
      <c r="EX1992" s="33" t="s">
        <v>3171</v>
      </c>
      <c r="EY1992" s="33" t="s">
        <v>175</v>
      </c>
      <c r="EZ1992" s="33" t="s">
        <v>176</v>
      </c>
      <c r="FA1992" s="33" t="s">
        <v>51</v>
      </c>
      <c r="FB1992" s="33" t="s">
        <v>52</v>
      </c>
      <c r="FC1992" s="33" t="s">
        <v>53</v>
      </c>
      <c r="FD1992" s="33" t="s">
        <v>54</v>
      </c>
      <c r="FE1992" s="33">
        <v>2019</v>
      </c>
      <c r="FF1992" s="33" t="s">
        <v>55</v>
      </c>
      <c r="FG1992" s="33" t="s">
        <v>56</v>
      </c>
      <c r="FH1992" s="33" t="s">
        <v>57</v>
      </c>
      <c r="FI1992" s="33" t="s">
        <v>58</v>
      </c>
      <c r="FJ1992" t="s">
        <v>59</v>
      </c>
    </row>
    <row r="1993" spans="153:166" x14ac:dyDescent="0.35">
      <c r="EW1993" t="s">
        <v>3124</v>
      </c>
      <c r="EX1993" s="33" t="s">
        <v>3172</v>
      </c>
      <c r="EY1993" s="33" t="s">
        <v>180</v>
      </c>
      <c r="EZ1993" s="33" t="s">
        <v>181</v>
      </c>
      <c r="FA1993" s="33" t="s">
        <v>51</v>
      </c>
      <c r="FB1993" s="33" t="s">
        <v>52</v>
      </c>
      <c r="FC1993" s="33" t="s">
        <v>53</v>
      </c>
      <c r="FD1993" s="33" t="s">
        <v>54</v>
      </c>
      <c r="FE1993" s="33">
        <v>2019</v>
      </c>
      <c r="FF1993" s="33" t="s">
        <v>55</v>
      </c>
      <c r="FG1993" s="33" t="s">
        <v>56</v>
      </c>
      <c r="FH1993" s="33" t="s">
        <v>57</v>
      </c>
      <c r="FI1993" s="33" t="s">
        <v>58</v>
      </c>
      <c r="FJ1993" t="s">
        <v>59</v>
      </c>
    </row>
    <row r="1994" spans="153:166" x14ac:dyDescent="0.35">
      <c r="EW1994" t="s">
        <v>3124</v>
      </c>
      <c r="EX1994" s="33" t="s">
        <v>3173</v>
      </c>
      <c r="EY1994" s="33" t="s">
        <v>182</v>
      </c>
      <c r="EZ1994" s="33" t="s">
        <v>183</v>
      </c>
      <c r="FA1994" s="33" t="s">
        <v>51</v>
      </c>
      <c r="FB1994" s="33" t="s">
        <v>52</v>
      </c>
      <c r="FC1994" s="33" t="s">
        <v>53</v>
      </c>
      <c r="FD1994" s="33" t="s">
        <v>54</v>
      </c>
      <c r="FE1994" s="33">
        <v>2019</v>
      </c>
      <c r="FF1994" s="33" t="s">
        <v>55</v>
      </c>
      <c r="FG1994" s="33" t="s">
        <v>56</v>
      </c>
      <c r="FH1994" s="33" t="s">
        <v>57</v>
      </c>
      <c r="FI1994" s="33" t="s">
        <v>58</v>
      </c>
      <c r="FJ1994" t="s">
        <v>59</v>
      </c>
    </row>
    <row r="1995" spans="153:166" x14ac:dyDescent="0.35">
      <c r="EW1995" t="s">
        <v>3124</v>
      </c>
      <c r="EX1995" s="33" t="s">
        <v>3174</v>
      </c>
      <c r="EY1995" s="33" t="s">
        <v>184</v>
      </c>
      <c r="EZ1995" s="33" t="s">
        <v>185</v>
      </c>
      <c r="FA1995" s="33" t="s">
        <v>51</v>
      </c>
      <c r="FB1995" s="33" t="s">
        <v>52</v>
      </c>
      <c r="FC1995" s="33" t="s">
        <v>53</v>
      </c>
      <c r="FD1995" s="33" t="s">
        <v>54</v>
      </c>
      <c r="FE1995" s="33">
        <v>2019</v>
      </c>
      <c r="FF1995" s="33" t="s">
        <v>55</v>
      </c>
      <c r="FG1995" s="33" t="s">
        <v>56</v>
      </c>
      <c r="FH1995" s="33" t="s">
        <v>57</v>
      </c>
      <c r="FI1995" s="33" t="s">
        <v>58</v>
      </c>
      <c r="FJ1995" t="s">
        <v>59</v>
      </c>
    </row>
    <row r="1996" spans="153:166" x14ac:dyDescent="0.35">
      <c r="EW1996" t="s">
        <v>3124</v>
      </c>
      <c r="EX1996" s="33" t="s">
        <v>3175</v>
      </c>
      <c r="EY1996" s="33" t="s">
        <v>189</v>
      </c>
      <c r="EZ1996" s="33" t="s">
        <v>190</v>
      </c>
      <c r="FA1996" s="33" t="s">
        <v>51</v>
      </c>
      <c r="FB1996" s="33" t="s">
        <v>52</v>
      </c>
      <c r="FC1996" s="33" t="s">
        <v>53</v>
      </c>
      <c r="FD1996" s="33" t="s">
        <v>54</v>
      </c>
      <c r="FE1996" s="33">
        <v>2019</v>
      </c>
      <c r="FF1996" s="33" t="s">
        <v>55</v>
      </c>
      <c r="FG1996" s="33" t="s">
        <v>56</v>
      </c>
      <c r="FH1996" s="33" t="s">
        <v>57</v>
      </c>
      <c r="FI1996" s="33" t="s">
        <v>58</v>
      </c>
      <c r="FJ1996" t="s">
        <v>59</v>
      </c>
    </row>
    <row r="1997" spans="153:166" x14ac:dyDescent="0.35">
      <c r="EW1997" t="s">
        <v>3124</v>
      </c>
      <c r="EX1997" s="33" t="s">
        <v>3176</v>
      </c>
      <c r="EY1997" s="33" t="s">
        <v>191</v>
      </c>
      <c r="EZ1997" s="33" t="s">
        <v>192</v>
      </c>
      <c r="FA1997" s="33" t="s">
        <v>51</v>
      </c>
      <c r="FB1997" s="33" t="s">
        <v>52</v>
      </c>
      <c r="FC1997" s="33" t="s">
        <v>53</v>
      </c>
      <c r="FD1997" s="33" t="s">
        <v>54</v>
      </c>
      <c r="FE1997" s="33">
        <v>2019</v>
      </c>
      <c r="FF1997" s="33" t="s">
        <v>55</v>
      </c>
      <c r="FG1997" s="33" t="s">
        <v>56</v>
      </c>
      <c r="FH1997" s="33" t="s">
        <v>57</v>
      </c>
      <c r="FI1997" s="33" t="s">
        <v>58</v>
      </c>
      <c r="FJ1997" t="s">
        <v>59</v>
      </c>
    </row>
    <row r="1998" spans="153:166" x14ac:dyDescent="0.35">
      <c r="EW1998" t="s">
        <v>3124</v>
      </c>
      <c r="EX1998" s="33" t="s">
        <v>3177</v>
      </c>
      <c r="EY1998" s="33" t="s">
        <v>193</v>
      </c>
      <c r="EZ1998" s="33" t="s">
        <v>194</v>
      </c>
      <c r="FA1998" s="33" t="s">
        <v>51</v>
      </c>
      <c r="FB1998" s="33" t="s">
        <v>52</v>
      </c>
      <c r="FC1998" s="33" t="s">
        <v>53</v>
      </c>
      <c r="FD1998" s="33" t="s">
        <v>54</v>
      </c>
      <c r="FE1998" s="33">
        <v>2019</v>
      </c>
      <c r="FF1998" s="33" t="s">
        <v>55</v>
      </c>
      <c r="FG1998" s="33" t="s">
        <v>56</v>
      </c>
      <c r="FH1998" s="33" t="s">
        <v>57</v>
      </c>
      <c r="FI1998" s="33" t="s">
        <v>58</v>
      </c>
      <c r="FJ1998" t="s">
        <v>59</v>
      </c>
    </row>
    <row r="1999" spans="153:166" x14ac:dyDescent="0.35">
      <c r="EW1999" t="s">
        <v>3124</v>
      </c>
      <c r="EX1999" s="33" t="s">
        <v>3178</v>
      </c>
      <c r="EY1999" s="33" t="s">
        <v>195</v>
      </c>
      <c r="EZ1999" s="33" t="s">
        <v>196</v>
      </c>
      <c r="FA1999" s="33" t="s">
        <v>51</v>
      </c>
      <c r="FB1999" s="33" t="s">
        <v>52</v>
      </c>
      <c r="FC1999" s="33" t="s">
        <v>53</v>
      </c>
      <c r="FD1999" s="33" t="s">
        <v>54</v>
      </c>
      <c r="FE1999" s="33">
        <v>2019</v>
      </c>
      <c r="FF1999" s="33" t="s">
        <v>55</v>
      </c>
      <c r="FG1999" s="33" t="s">
        <v>56</v>
      </c>
      <c r="FH1999" s="33" t="s">
        <v>57</v>
      </c>
      <c r="FI1999" s="33" t="s">
        <v>58</v>
      </c>
      <c r="FJ1999" t="s">
        <v>59</v>
      </c>
    </row>
    <row r="2000" spans="153:166" x14ac:dyDescent="0.35">
      <c r="EW2000" t="s">
        <v>3124</v>
      </c>
      <c r="EX2000" s="33" t="s">
        <v>3179</v>
      </c>
      <c r="EY2000" s="33" t="s">
        <v>200</v>
      </c>
      <c r="EZ2000" s="33" t="s">
        <v>201</v>
      </c>
      <c r="FA2000" s="33" t="s">
        <v>51</v>
      </c>
      <c r="FB2000" s="33" t="s">
        <v>52</v>
      </c>
      <c r="FC2000" s="33" t="s">
        <v>53</v>
      </c>
      <c r="FD2000" s="33" t="s">
        <v>54</v>
      </c>
      <c r="FE2000" s="33">
        <v>2019</v>
      </c>
      <c r="FF2000" s="33" t="s">
        <v>55</v>
      </c>
      <c r="FG2000" s="33" t="s">
        <v>56</v>
      </c>
      <c r="FH2000" s="33" t="s">
        <v>57</v>
      </c>
      <c r="FI2000" s="33" t="s">
        <v>58</v>
      </c>
      <c r="FJ2000" t="s">
        <v>59</v>
      </c>
    </row>
    <row r="2001" spans="153:166" x14ac:dyDescent="0.35">
      <c r="EW2001" t="s">
        <v>3124</v>
      </c>
      <c r="EX2001" s="33" t="s">
        <v>3180</v>
      </c>
      <c r="EY2001" s="33" t="s">
        <v>202</v>
      </c>
      <c r="EZ2001" s="33" t="s">
        <v>203</v>
      </c>
      <c r="FA2001" s="33" t="s">
        <v>51</v>
      </c>
      <c r="FB2001" s="33" t="s">
        <v>52</v>
      </c>
      <c r="FC2001" s="33" t="s">
        <v>53</v>
      </c>
      <c r="FD2001" s="33" t="s">
        <v>54</v>
      </c>
      <c r="FE2001" s="33">
        <v>2019</v>
      </c>
      <c r="FF2001" s="33" t="s">
        <v>55</v>
      </c>
      <c r="FG2001" s="33" t="s">
        <v>56</v>
      </c>
      <c r="FH2001" s="33" t="s">
        <v>57</v>
      </c>
      <c r="FI2001" s="33" t="s">
        <v>58</v>
      </c>
      <c r="FJ2001" t="s">
        <v>59</v>
      </c>
    </row>
    <row r="2002" spans="153:166" x14ac:dyDescent="0.35">
      <c r="EW2002" t="s">
        <v>3124</v>
      </c>
      <c r="EX2002" s="33" t="s">
        <v>3181</v>
      </c>
      <c r="EY2002" s="33" t="s">
        <v>204</v>
      </c>
      <c r="EZ2002" s="33" t="s">
        <v>205</v>
      </c>
      <c r="FA2002" s="33" t="s">
        <v>51</v>
      </c>
      <c r="FB2002" s="33" t="s">
        <v>52</v>
      </c>
      <c r="FC2002" s="33" t="s">
        <v>53</v>
      </c>
      <c r="FD2002" s="33" t="s">
        <v>54</v>
      </c>
      <c r="FE2002" s="33">
        <v>2019</v>
      </c>
      <c r="FF2002" s="33" t="s">
        <v>55</v>
      </c>
      <c r="FG2002" s="33" t="s">
        <v>56</v>
      </c>
      <c r="FH2002" s="33" t="s">
        <v>57</v>
      </c>
      <c r="FI2002" s="33" t="s">
        <v>58</v>
      </c>
      <c r="FJ2002" t="s">
        <v>59</v>
      </c>
    </row>
    <row r="2003" spans="153:166" x14ac:dyDescent="0.35">
      <c r="EW2003" t="s">
        <v>3124</v>
      </c>
      <c r="EX2003" s="33" t="s">
        <v>3182</v>
      </c>
      <c r="EY2003" s="33" t="s">
        <v>209</v>
      </c>
      <c r="EZ2003" s="33" t="s">
        <v>210</v>
      </c>
      <c r="FA2003" s="33" t="s">
        <v>51</v>
      </c>
      <c r="FB2003" s="33" t="s">
        <v>52</v>
      </c>
      <c r="FC2003" s="33" t="s">
        <v>53</v>
      </c>
      <c r="FD2003" s="33" t="s">
        <v>54</v>
      </c>
      <c r="FE2003" s="33">
        <v>2019</v>
      </c>
      <c r="FF2003" s="33" t="s">
        <v>55</v>
      </c>
      <c r="FG2003" s="33" t="s">
        <v>56</v>
      </c>
      <c r="FH2003" s="33" t="s">
        <v>57</v>
      </c>
      <c r="FI2003" s="33" t="s">
        <v>58</v>
      </c>
      <c r="FJ2003" t="s">
        <v>59</v>
      </c>
    </row>
    <row r="2004" spans="153:166" x14ac:dyDescent="0.35">
      <c r="EW2004" t="s">
        <v>3124</v>
      </c>
      <c r="EX2004" s="33" t="s">
        <v>3183</v>
      </c>
      <c r="EY2004" s="33" t="s">
        <v>211</v>
      </c>
      <c r="EZ2004" s="33" t="s">
        <v>212</v>
      </c>
      <c r="FA2004" s="33" t="s">
        <v>51</v>
      </c>
      <c r="FB2004" s="33" t="s">
        <v>52</v>
      </c>
      <c r="FC2004" s="33" t="s">
        <v>53</v>
      </c>
      <c r="FD2004" s="33" t="s">
        <v>54</v>
      </c>
      <c r="FE2004" s="33">
        <v>2019</v>
      </c>
      <c r="FF2004" s="33" t="s">
        <v>55</v>
      </c>
      <c r="FG2004" s="33" t="s">
        <v>56</v>
      </c>
      <c r="FH2004" s="33" t="s">
        <v>57</v>
      </c>
      <c r="FI2004" s="33" t="s">
        <v>58</v>
      </c>
      <c r="FJ2004" t="s">
        <v>59</v>
      </c>
    </row>
    <row r="2005" spans="153:166" x14ac:dyDescent="0.35">
      <c r="EW2005" t="s">
        <v>3124</v>
      </c>
      <c r="EX2005" s="33" t="s">
        <v>3184</v>
      </c>
      <c r="EY2005" s="33" t="s">
        <v>213</v>
      </c>
      <c r="EZ2005" s="33" t="s">
        <v>214</v>
      </c>
      <c r="FA2005" s="33" t="s">
        <v>51</v>
      </c>
      <c r="FB2005" s="33" t="s">
        <v>52</v>
      </c>
      <c r="FC2005" s="33" t="s">
        <v>53</v>
      </c>
      <c r="FD2005" s="33" t="s">
        <v>54</v>
      </c>
      <c r="FE2005" s="33">
        <v>2019</v>
      </c>
      <c r="FF2005" s="33" t="s">
        <v>55</v>
      </c>
      <c r="FG2005" s="33" t="s">
        <v>56</v>
      </c>
      <c r="FH2005" s="33" t="s">
        <v>57</v>
      </c>
      <c r="FI2005" s="33" t="s">
        <v>58</v>
      </c>
      <c r="FJ2005" t="s">
        <v>59</v>
      </c>
    </row>
    <row r="2006" spans="153:166" x14ac:dyDescent="0.35">
      <c r="EW2006" t="s">
        <v>3124</v>
      </c>
      <c r="EX2006" s="33" t="s">
        <v>3185</v>
      </c>
      <c r="EY2006" s="33" t="s">
        <v>215</v>
      </c>
      <c r="EZ2006" s="33" t="s">
        <v>216</v>
      </c>
      <c r="FA2006" s="33" t="s">
        <v>51</v>
      </c>
      <c r="FB2006" s="33" t="s">
        <v>52</v>
      </c>
      <c r="FC2006" s="33" t="s">
        <v>53</v>
      </c>
      <c r="FD2006" s="33" t="s">
        <v>54</v>
      </c>
      <c r="FE2006" s="33">
        <v>2019</v>
      </c>
      <c r="FF2006" s="33" t="s">
        <v>55</v>
      </c>
      <c r="FG2006" s="33" t="s">
        <v>56</v>
      </c>
      <c r="FH2006" s="33" t="s">
        <v>57</v>
      </c>
      <c r="FI2006" s="33" t="s">
        <v>58</v>
      </c>
      <c r="FJ2006" t="s">
        <v>59</v>
      </c>
    </row>
    <row r="2007" spans="153:166" x14ac:dyDescent="0.35">
      <c r="EW2007" t="s">
        <v>3124</v>
      </c>
      <c r="EX2007" s="33" t="s">
        <v>3186</v>
      </c>
      <c r="EY2007" s="33" t="s">
        <v>220</v>
      </c>
      <c r="EZ2007" s="33" t="s">
        <v>221</v>
      </c>
      <c r="FA2007" s="33" t="s">
        <v>51</v>
      </c>
      <c r="FB2007" s="33" t="s">
        <v>52</v>
      </c>
      <c r="FC2007" s="33" t="s">
        <v>53</v>
      </c>
      <c r="FD2007" s="33" t="s">
        <v>54</v>
      </c>
      <c r="FE2007" s="33">
        <v>2019</v>
      </c>
      <c r="FF2007" s="33" t="s">
        <v>55</v>
      </c>
      <c r="FG2007" s="33" t="s">
        <v>56</v>
      </c>
      <c r="FH2007" s="33" t="s">
        <v>57</v>
      </c>
      <c r="FI2007" s="33" t="s">
        <v>58</v>
      </c>
      <c r="FJ2007" t="s">
        <v>59</v>
      </c>
    </row>
    <row r="2008" spans="153:166" x14ac:dyDescent="0.35">
      <c r="EW2008" t="s">
        <v>3124</v>
      </c>
      <c r="EX2008" s="33" t="s">
        <v>3187</v>
      </c>
      <c r="EY2008" s="33" t="s">
        <v>222</v>
      </c>
      <c r="EZ2008" s="33" t="s">
        <v>223</v>
      </c>
      <c r="FA2008" s="33" t="s">
        <v>51</v>
      </c>
      <c r="FB2008" s="33" t="s">
        <v>52</v>
      </c>
      <c r="FC2008" s="33" t="s">
        <v>53</v>
      </c>
      <c r="FD2008" s="33" t="s">
        <v>54</v>
      </c>
      <c r="FE2008" s="33">
        <v>2019</v>
      </c>
      <c r="FF2008" s="33" t="s">
        <v>55</v>
      </c>
      <c r="FG2008" s="33" t="s">
        <v>56</v>
      </c>
      <c r="FH2008" s="33" t="s">
        <v>57</v>
      </c>
      <c r="FI2008" s="33" t="s">
        <v>58</v>
      </c>
      <c r="FJ2008" t="s">
        <v>59</v>
      </c>
    </row>
    <row r="2009" spans="153:166" x14ac:dyDescent="0.35">
      <c r="EW2009" t="s">
        <v>3124</v>
      </c>
      <c r="EX2009" s="33" t="s">
        <v>3188</v>
      </c>
      <c r="EY2009" s="33" t="s">
        <v>224</v>
      </c>
      <c r="EZ2009" s="33" t="s">
        <v>225</v>
      </c>
      <c r="FA2009" s="33" t="s">
        <v>51</v>
      </c>
      <c r="FB2009" s="33" t="s">
        <v>52</v>
      </c>
      <c r="FC2009" s="33" t="s">
        <v>53</v>
      </c>
      <c r="FD2009" s="33" t="s">
        <v>54</v>
      </c>
      <c r="FE2009" s="33">
        <v>2019</v>
      </c>
      <c r="FF2009" s="33" t="s">
        <v>55</v>
      </c>
      <c r="FG2009" s="33" t="s">
        <v>56</v>
      </c>
      <c r="FH2009" s="33" t="s">
        <v>57</v>
      </c>
      <c r="FI2009" s="33" t="s">
        <v>58</v>
      </c>
      <c r="FJ2009" t="s">
        <v>59</v>
      </c>
    </row>
    <row r="2010" spans="153:166" x14ac:dyDescent="0.35">
      <c r="EW2010" t="s">
        <v>3124</v>
      </c>
      <c r="EX2010" s="33" t="s">
        <v>3189</v>
      </c>
      <c r="EY2010" s="33" t="s">
        <v>229</v>
      </c>
      <c r="EZ2010" s="33" t="s">
        <v>230</v>
      </c>
      <c r="FA2010" s="33" t="s">
        <v>51</v>
      </c>
      <c r="FB2010" s="33" t="s">
        <v>52</v>
      </c>
      <c r="FC2010" s="33" t="s">
        <v>53</v>
      </c>
      <c r="FD2010" s="33" t="s">
        <v>54</v>
      </c>
      <c r="FE2010" s="33">
        <v>2019</v>
      </c>
      <c r="FF2010" s="33" t="s">
        <v>55</v>
      </c>
      <c r="FG2010" s="33" t="s">
        <v>56</v>
      </c>
      <c r="FH2010" s="33" t="s">
        <v>57</v>
      </c>
      <c r="FI2010" s="33" t="s">
        <v>58</v>
      </c>
      <c r="FJ2010" t="s">
        <v>59</v>
      </c>
    </row>
    <row r="2011" spans="153:166" x14ac:dyDescent="0.35">
      <c r="EW2011" t="s">
        <v>3124</v>
      </c>
      <c r="EX2011" s="33" t="s">
        <v>3190</v>
      </c>
      <c r="EY2011" s="33" t="s">
        <v>231</v>
      </c>
      <c r="EZ2011" s="33" t="s">
        <v>232</v>
      </c>
      <c r="FA2011" s="33" t="s">
        <v>51</v>
      </c>
      <c r="FB2011" s="33" t="s">
        <v>52</v>
      </c>
      <c r="FC2011" s="33" t="s">
        <v>53</v>
      </c>
      <c r="FD2011" s="33" t="s">
        <v>54</v>
      </c>
      <c r="FE2011" s="33">
        <v>2019</v>
      </c>
      <c r="FF2011" s="33" t="s">
        <v>55</v>
      </c>
      <c r="FG2011" s="33" t="s">
        <v>56</v>
      </c>
      <c r="FH2011" s="33" t="s">
        <v>57</v>
      </c>
      <c r="FI2011" s="33" t="s">
        <v>58</v>
      </c>
      <c r="FJ2011" t="s">
        <v>59</v>
      </c>
    </row>
    <row r="2012" spans="153:166" x14ac:dyDescent="0.35">
      <c r="EW2012" t="s">
        <v>3124</v>
      </c>
      <c r="EX2012" s="33" t="s">
        <v>3191</v>
      </c>
      <c r="EY2012" s="33" t="s">
        <v>233</v>
      </c>
      <c r="EZ2012" s="33" t="s">
        <v>234</v>
      </c>
      <c r="FA2012" s="33" t="s">
        <v>51</v>
      </c>
      <c r="FB2012" s="33" t="s">
        <v>52</v>
      </c>
      <c r="FC2012" s="33" t="s">
        <v>53</v>
      </c>
      <c r="FD2012" s="33" t="s">
        <v>54</v>
      </c>
      <c r="FE2012" s="33">
        <v>2019</v>
      </c>
      <c r="FF2012" s="33" t="s">
        <v>55</v>
      </c>
      <c r="FG2012" s="33" t="s">
        <v>56</v>
      </c>
      <c r="FH2012" s="33" t="s">
        <v>57</v>
      </c>
      <c r="FI2012" s="33" t="s">
        <v>58</v>
      </c>
      <c r="FJ2012" t="s">
        <v>59</v>
      </c>
    </row>
    <row r="2013" spans="153:166" x14ac:dyDescent="0.35">
      <c r="EW2013" t="s">
        <v>3124</v>
      </c>
      <c r="EX2013" s="33" t="s">
        <v>3192</v>
      </c>
      <c r="EY2013" s="33" t="s">
        <v>235</v>
      </c>
      <c r="EZ2013" s="33" t="s">
        <v>236</v>
      </c>
      <c r="FA2013" s="33" t="s">
        <v>51</v>
      </c>
      <c r="FB2013" s="33" t="s">
        <v>52</v>
      </c>
      <c r="FC2013" s="33" t="s">
        <v>53</v>
      </c>
      <c r="FD2013" s="33" t="s">
        <v>54</v>
      </c>
      <c r="FE2013" s="33">
        <v>2019</v>
      </c>
      <c r="FF2013" s="33" t="s">
        <v>55</v>
      </c>
      <c r="FG2013" s="33" t="s">
        <v>56</v>
      </c>
      <c r="FH2013" s="33" t="s">
        <v>57</v>
      </c>
      <c r="FI2013" s="33" t="s">
        <v>58</v>
      </c>
      <c r="FJ2013" t="s">
        <v>59</v>
      </c>
    </row>
    <row r="2014" spans="153:166" x14ac:dyDescent="0.35">
      <c r="EW2014" t="s">
        <v>3124</v>
      </c>
      <c r="EX2014" s="33" t="s">
        <v>3193</v>
      </c>
      <c r="EY2014" s="33" t="s">
        <v>237</v>
      </c>
      <c r="EZ2014" s="33" t="s">
        <v>238</v>
      </c>
      <c r="FA2014" s="33" t="s">
        <v>51</v>
      </c>
      <c r="FB2014" s="33" t="s">
        <v>52</v>
      </c>
      <c r="FC2014" s="33" t="s">
        <v>53</v>
      </c>
      <c r="FD2014" s="33" t="s">
        <v>54</v>
      </c>
      <c r="FE2014" s="33">
        <v>2019</v>
      </c>
      <c r="FF2014" s="33" t="s">
        <v>55</v>
      </c>
      <c r="FG2014" s="33" t="s">
        <v>71</v>
      </c>
      <c r="FH2014" s="33" t="s">
        <v>72</v>
      </c>
      <c r="FI2014" s="33" t="s">
        <v>73</v>
      </c>
      <c r="FJ2014" t="s">
        <v>59</v>
      </c>
    </row>
    <row r="2015" spans="153:166" x14ac:dyDescent="0.35">
      <c r="EW2015" t="s">
        <v>3124</v>
      </c>
      <c r="EX2015" s="33" t="s">
        <v>3194</v>
      </c>
      <c r="EY2015" s="33" t="s">
        <v>239</v>
      </c>
      <c r="EZ2015" s="33" t="s">
        <v>240</v>
      </c>
      <c r="FA2015" s="33" t="s">
        <v>51</v>
      </c>
      <c r="FB2015" s="33" t="s">
        <v>52</v>
      </c>
      <c r="FC2015" s="33" t="s">
        <v>53</v>
      </c>
      <c r="FD2015" s="33" t="s">
        <v>54</v>
      </c>
      <c r="FE2015" s="33">
        <v>2019</v>
      </c>
      <c r="FF2015" s="33" t="s">
        <v>55</v>
      </c>
      <c r="FG2015" s="33" t="s">
        <v>56</v>
      </c>
      <c r="FH2015" s="33" t="s">
        <v>57</v>
      </c>
      <c r="FI2015" s="33" t="s">
        <v>58</v>
      </c>
      <c r="FJ2015" t="s">
        <v>59</v>
      </c>
    </row>
    <row r="2016" spans="153:166" x14ac:dyDescent="0.35">
      <c r="EW2016" t="s">
        <v>3124</v>
      </c>
      <c r="EX2016" s="33" t="s">
        <v>3195</v>
      </c>
      <c r="EY2016" s="33" t="s">
        <v>241</v>
      </c>
      <c r="EZ2016" s="33" t="s">
        <v>242</v>
      </c>
      <c r="FA2016" s="33" t="s">
        <v>51</v>
      </c>
      <c r="FB2016" s="33" t="s">
        <v>52</v>
      </c>
      <c r="FC2016" s="33" t="s">
        <v>53</v>
      </c>
      <c r="FD2016" s="33" t="s">
        <v>54</v>
      </c>
      <c r="FE2016" s="33">
        <v>2019</v>
      </c>
      <c r="FF2016" s="33" t="s">
        <v>55</v>
      </c>
      <c r="FG2016" s="33" t="s">
        <v>56</v>
      </c>
      <c r="FH2016" s="33" t="s">
        <v>57</v>
      </c>
      <c r="FI2016" s="33" t="s">
        <v>58</v>
      </c>
      <c r="FJ2016" t="s">
        <v>59</v>
      </c>
    </row>
    <row r="2017" spans="153:166" x14ac:dyDescent="0.35">
      <c r="EW2017" t="s">
        <v>3124</v>
      </c>
      <c r="EX2017" s="33" t="s">
        <v>3196</v>
      </c>
      <c r="EY2017" s="33" t="s">
        <v>243</v>
      </c>
      <c r="EZ2017" s="33" t="s">
        <v>244</v>
      </c>
      <c r="FA2017" s="33" t="s">
        <v>51</v>
      </c>
      <c r="FB2017" s="33" t="s">
        <v>52</v>
      </c>
      <c r="FC2017" s="33" t="s">
        <v>53</v>
      </c>
      <c r="FD2017" s="33" t="s">
        <v>54</v>
      </c>
      <c r="FE2017" s="33">
        <v>2019</v>
      </c>
      <c r="FF2017" s="33" t="s">
        <v>55</v>
      </c>
      <c r="FG2017" s="33" t="s">
        <v>56</v>
      </c>
      <c r="FH2017" s="33" t="s">
        <v>57</v>
      </c>
      <c r="FI2017" s="33" t="s">
        <v>58</v>
      </c>
      <c r="FJ2017" t="s">
        <v>59</v>
      </c>
    </row>
    <row r="2018" spans="153:166" x14ac:dyDescent="0.35">
      <c r="EW2018" t="s">
        <v>3124</v>
      </c>
      <c r="EX2018" s="33" t="s">
        <v>3197</v>
      </c>
      <c r="EY2018" s="33" t="s">
        <v>248</v>
      </c>
      <c r="EZ2018" s="33" t="s">
        <v>249</v>
      </c>
      <c r="FA2018" s="33" t="s">
        <v>51</v>
      </c>
      <c r="FB2018" s="33" t="s">
        <v>52</v>
      </c>
      <c r="FC2018" s="33" t="s">
        <v>53</v>
      </c>
      <c r="FD2018" s="33" t="s">
        <v>54</v>
      </c>
      <c r="FE2018" s="33">
        <v>2019</v>
      </c>
      <c r="FF2018" s="33" t="s">
        <v>55</v>
      </c>
      <c r="FG2018" s="33" t="s">
        <v>56</v>
      </c>
      <c r="FH2018" s="33" t="s">
        <v>57</v>
      </c>
      <c r="FI2018" s="33" t="s">
        <v>58</v>
      </c>
      <c r="FJ2018" t="s">
        <v>59</v>
      </c>
    </row>
    <row r="2019" spans="153:166" x14ac:dyDescent="0.35">
      <c r="EW2019" t="s">
        <v>3124</v>
      </c>
      <c r="EX2019" s="33" t="s">
        <v>3198</v>
      </c>
      <c r="EY2019" s="33" t="s">
        <v>250</v>
      </c>
      <c r="EZ2019" s="33" t="s">
        <v>251</v>
      </c>
      <c r="FA2019" s="33" t="s">
        <v>51</v>
      </c>
      <c r="FB2019" s="33" t="s">
        <v>52</v>
      </c>
      <c r="FC2019" s="33" t="s">
        <v>53</v>
      </c>
      <c r="FD2019" s="33" t="s">
        <v>54</v>
      </c>
      <c r="FE2019" s="33">
        <v>2019</v>
      </c>
      <c r="FF2019" s="33" t="s">
        <v>55</v>
      </c>
      <c r="FG2019" s="33" t="s">
        <v>71</v>
      </c>
      <c r="FH2019" s="33" t="s">
        <v>72</v>
      </c>
      <c r="FI2019" s="33" t="s">
        <v>73</v>
      </c>
      <c r="FJ2019" t="s">
        <v>59</v>
      </c>
    </row>
    <row r="2020" spans="153:166" x14ac:dyDescent="0.35">
      <c r="EW2020" t="s">
        <v>3124</v>
      </c>
      <c r="EX2020" s="33" t="s">
        <v>3199</v>
      </c>
      <c r="EY2020" s="33" t="s">
        <v>252</v>
      </c>
      <c r="EZ2020" s="33" t="s">
        <v>253</v>
      </c>
      <c r="FA2020" s="33" t="s">
        <v>51</v>
      </c>
      <c r="FB2020" s="33" t="s">
        <v>52</v>
      </c>
      <c r="FC2020" s="33" t="s">
        <v>53</v>
      </c>
      <c r="FD2020" s="33" t="s">
        <v>54</v>
      </c>
      <c r="FE2020" s="33">
        <v>2019</v>
      </c>
      <c r="FF2020" s="33" t="s">
        <v>55</v>
      </c>
      <c r="FG2020" s="33" t="s">
        <v>56</v>
      </c>
      <c r="FH2020" s="33" t="s">
        <v>57</v>
      </c>
      <c r="FI2020" s="33" t="s">
        <v>58</v>
      </c>
      <c r="FJ2020" t="s">
        <v>59</v>
      </c>
    </row>
    <row r="2021" spans="153:166" x14ac:dyDescent="0.35">
      <c r="EW2021" t="s">
        <v>3124</v>
      </c>
      <c r="EX2021" s="33" t="s">
        <v>3200</v>
      </c>
      <c r="EY2021" s="33" t="s">
        <v>254</v>
      </c>
      <c r="EZ2021" s="33" t="s">
        <v>255</v>
      </c>
      <c r="FA2021" s="33" t="s">
        <v>51</v>
      </c>
      <c r="FB2021" s="33" t="s">
        <v>52</v>
      </c>
      <c r="FC2021" s="33" t="s">
        <v>53</v>
      </c>
      <c r="FD2021" s="33" t="s">
        <v>54</v>
      </c>
      <c r="FE2021" s="33">
        <v>2019</v>
      </c>
      <c r="FF2021" s="33" t="s">
        <v>55</v>
      </c>
      <c r="FG2021" s="33" t="s">
        <v>56</v>
      </c>
      <c r="FH2021" s="33" t="s">
        <v>57</v>
      </c>
      <c r="FI2021" s="33" t="s">
        <v>58</v>
      </c>
      <c r="FJ2021" t="s">
        <v>59</v>
      </c>
    </row>
    <row r="2022" spans="153:166" x14ac:dyDescent="0.35">
      <c r="EW2022" t="s">
        <v>3124</v>
      </c>
      <c r="EX2022" s="33" t="s">
        <v>3201</v>
      </c>
      <c r="EY2022" s="33" t="s">
        <v>256</v>
      </c>
      <c r="EZ2022" s="33" t="s">
        <v>257</v>
      </c>
      <c r="FA2022" s="33" t="s">
        <v>51</v>
      </c>
      <c r="FB2022" s="33" t="s">
        <v>52</v>
      </c>
      <c r="FC2022" s="33" t="s">
        <v>53</v>
      </c>
      <c r="FD2022" s="33" t="s">
        <v>54</v>
      </c>
      <c r="FE2022" s="33">
        <v>2019</v>
      </c>
      <c r="FF2022" s="33" t="s">
        <v>55</v>
      </c>
      <c r="FG2022" s="33" t="s">
        <v>56</v>
      </c>
      <c r="FH2022" s="33" t="s">
        <v>57</v>
      </c>
      <c r="FI2022" s="33" t="s">
        <v>58</v>
      </c>
      <c r="FJ2022" t="s">
        <v>59</v>
      </c>
    </row>
    <row r="2023" spans="153:166" x14ac:dyDescent="0.35">
      <c r="EW2023" t="s">
        <v>3124</v>
      </c>
      <c r="EX2023" s="33" t="s">
        <v>3202</v>
      </c>
      <c r="EY2023" s="33" t="s">
        <v>261</v>
      </c>
      <c r="EZ2023" s="33" t="s">
        <v>262</v>
      </c>
      <c r="FA2023" s="33" t="s">
        <v>51</v>
      </c>
      <c r="FB2023" s="33" t="s">
        <v>52</v>
      </c>
      <c r="FC2023" s="33" t="s">
        <v>53</v>
      </c>
      <c r="FD2023" s="33" t="s">
        <v>54</v>
      </c>
      <c r="FE2023" s="33">
        <v>2019</v>
      </c>
      <c r="FF2023" s="33" t="s">
        <v>55</v>
      </c>
      <c r="FG2023" s="33" t="s">
        <v>71</v>
      </c>
      <c r="FH2023" s="33" t="s">
        <v>72</v>
      </c>
      <c r="FI2023" s="33" t="s">
        <v>73</v>
      </c>
      <c r="FJ2023" t="s">
        <v>59</v>
      </c>
    </row>
    <row r="2024" spans="153:166" x14ac:dyDescent="0.35">
      <c r="EW2024" t="s">
        <v>3124</v>
      </c>
      <c r="EX2024" s="33" t="s">
        <v>3203</v>
      </c>
      <c r="EY2024" s="33" t="s">
        <v>263</v>
      </c>
      <c r="EZ2024" s="33" t="s">
        <v>264</v>
      </c>
      <c r="FA2024" s="33" t="s">
        <v>51</v>
      </c>
      <c r="FB2024" s="33" t="s">
        <v>52</v>
      </c>
      <c r="FC2024" s="33" t="s">
        <v>53</v>
      </c>
      <c r="FD2024" s="33" t="s">
        <v>54</v>
      </c>
      <c r="FE2024" s="33">
        <v>2019</v>
      </c>
      <c r="FF2024" s="33" t="s">
        <v>55</v>
      </c>
      <c r="FG2024" s="33" t="s">
        <v>56</v>
      </c>
      <c r="FH2024" s="33" t="s">
        <v>57</v>
      </c>
      <c r="FI2024" s="33" t="s">
        <v>58</v>
      </c>
      <c r="FJ2024" t="s">
        <v>59</v>
      </c>
    </row>
    <row r="2025" spans="153:166" x14ac:dyDescent="0.35">
      <c r="EW2025" t="s">
        <v>3124</v>
      </c>
      <c r="EX2025" s="33" t="s">
        <v>3204</v>
      </c>
      <c r="EY2025" s="33" t="s">
        <v>265</v>
      </c>
      <c r="EZ2025" s="33" t="s">
        <v>266</v>
      </c>
      <c r="FA2025" s="33" t="s">
        <v>51</v>
      </c>
      <c r="FB2025" s="33" t="s">
        <v>52</v>
      </c>
      <c r="FC2025" s="33" t="s">
        <v>53</v>
      </c>
      <c r="FD2025" s="33" t="s">
        <v>54</v>
      </c>
      <c r="FE2025" s="33">
        <v>2019</v>
      </c>
      <c r="FF2025" s="33" t="s">
        <v>55</v>
      </c>
      <c r="FG2025" s="33" t="s">
        <v>56</v>
      </c>
      <c r="FH2025" s="33" t="s">
        <v>57</v>
      </c>
      <c r="FI2025" s="33" t="s">
        <v>58</v>
      </c>
      <c r="FJ2025" t="s">
        <v>59</v>
      </c>
    </row>
    <row r="2026" spans="153:166" x14ac:dyDescent="0.35">
      <c r="EW2026" t="s">
        <v>3124</v>
      </c>
      <c r="EX2026" s="33" t="s">
        <v>3205</v>
      </c>
      <c r="EY2026" s="33" t="s">
        <v>267</v>
      </c>
      <c r="EZ2026" s="33" t="s">
        <v>268</v>
      </c>
      <c r="FA2026" s="33" t="s">
        <v>51</v>
      </c>
      <c r="FB2026" s="33" t="s">
        <v>52</v>
      </c>
      <c r="FC2026" s="33" t="s">
        <v>53</v>
      </c>
      <c r="FD2026" s="33" t="s">
        <v>54</v>
      </c>
      <c r="FE2026" s="33">
        <v>2019</v>
      </c>
      <c r="FF2026" s="33" t="s">
        <v>55</v>
      </c>
      <c r="FG2026" s="33" t="s">
        <v>71</v>
      </c>
      <c r="FH2026" s="33" t="s">
        <v>72</v>
      </c>
      <c r="FI2026" s="33" t="s">
        <v>73</v>
      </c>
      <c r="FJ2026" t="s">
        <v>59</v>
      </c>
    </row>
    <row r="2027" spans="153:166" x14ac:dyDescent="0.35">
      <c r="EW2027" t="s">
        <v>3124</v>
      </c>
      <c r="EX2027" s="33" t="s">
        <v>3206</v>
      </c>
      <c r="EY2027" s="33" t="s">
        <v>269</v>
      </c>
      <c r="EZ2027" s="33" t="s">
        <v>270</v>
      </c>
      <c r="FA2027" s="33" t="s">
        <v>51</v>
      </c>
      <c r="FB2027" s="33" t="s">
        <v>52</v>
      </c>
      <c r="FC2027" s="33" t="s">
        <v>53</v>
      </c>
      <c r="FD2027" s="33" t="s">
        <v>54</v>
      </c>
      <c r="FE2027" s="33">
        <v>2019</v>
      </c>
      <c r="FF2027" s="33" t="s">
        <v>55</v>
      </c>
      <c r="FG2027" s="33" t="s">
        <v>71</v>
      </c>
      <c r="FH2027" s="33" t="s">
        <v>72</v>
      </c>
      <c r="FI2027" s="33" t="s">
        <v>73</v>
      </c>
      <c r="FJ2027" t="s">
        <v>59</v>
      </c>
    </row>
    <row r="2028" spans="153:166" x14ac:dyDescent="0.35">
      <c r="EW2028" t="s">
        <v>3124</v>
      </c>
      <c r="EX2028" s="33" t="s">
        <v>3207</v>
      </c>
      <c r="EY2028" s="33" t="s">
        <v>274</v>
      </c>
      <c r="EZ2028" s="33" t="s">
        <v>275</v>
      </c>
      <c r="FA2028" s="33" t="s">
        <v>51</v>
      </c>
      <c r="FB2028" s="33" t="s">
        <v>52</v>
      </c>
      <c r="FC2028" s="33" t="s">
        <v>53</v>
      </c>
      <c r="FD2028" s="33" t="s">
        <v>54</v>
      </c>
      <c r="FE2028" s="33">
        <v>2019</v>
      </c>
      <c r="FF2028" s="33" t="s">
        <v>55</v>
      </c>
      <c r="FG2028" s="33" t="s">
        <v>71</v>
      </c>
      <c r="FH2028" s="33" t="s">
        <v>72</v>
      </c>
      <c r="FI2028" s="33" t="s">
        <v>73</v>
      </c>
      <c r="FJ2028" t="s">
        <v>59</v>
      </c>
    </row>
    <row r="2029" spans="153:166" x14ac:dyDescent="0.35">
      <c r="EW2029" t="s">
        <v>3124</v>
      </c>
      <c r="EX2029" s="33" t="s">
        <v>3208</v>
      </c>
      <c r="EY2029" s="33" t="s">
        <v>276</v>
      </c>
      <c r="EZ2029" s="33" t="s">
        <v>277</v>
      </c>
      <c r="FA2029" s="33" t="s">
        <v>51</v>
      </c>
      <c r="FB2029" s="33" t="s">
        <v>52</v>
      </c>
      <c r="FC2029" s="33" t="s">
        <v>53</v>
      </c>
      <c r="FD2029" s="33" t="s">
        <v>54</v>
      </c>
      <c r="FE2029" s="33">
        <v>2019</v>
      </c>
      <c r="FF2029" s="33" t="s">
        <v>55</v>
      </c>
      <c r="FG2029" s="33" t="s">
        <v>71</v>
      </c>
      <c r="FH2029" s="33" t="s">
        <v>72</v>
      </c>
      <c r="FI2029" s="33" t="s">
        <v>73</v>
      </c>
      <c r="FJ2029" t="s">
        <v>59</v>
      </c>
    </row>
    <row r="2030" spans="153:166" x14ac:dyDescent="0.35">
      <c r="EW2030" t="s">
        <v>3124</v>
      </c>
      <c r="EX2030" s="33" t="s">
        <v>3209</v>
      </c>
      <c r="EY2030" s="33" t="s">
        <v>281</v>
      </c>
      <c r="EZ2030" s="33" t="s">
        <v>282</v>
      </c>
      <c r="FA2030" s="33" t="s">
        <v>51</v>
      </c>
      <c r="FB2030" s="33" t="s">
        <v>52</v>
      </c>
      <c r="FC2030" s="33" t="s">
        <v>53</v>
      </c>
      <c r="FD2030" s="33" t="s">
        <v>54</v>
      </c>
      <c r="FE2030" s="33">
        <v>2019</v>
      </c>
      <c r="FF2030" s="33" t="s">
        <v>55</v>
      </c>
      <c r="FG2030" s="33" t="s">
        <v>56</v>
      </c>
      <c r="FH2030" s="33" t="s">
        <v>57</v>
      </c>
      <c r="FI2030" s="33" t="s">
        <v>58</v>
      </c>
      <c r="FJ2030" t="s">
        <v>59</v>
      </c>
    </row>
    <row r="2031" spans="153:166" x14ac:dyDescent="0.35">
      <c r="EW2031" t="s">
        <v>3124</v>
      </c>
      <c r="EX2031" s="33" t="s">
        <v>3210</v>
      </c>
      <c r="EY2031" s="33" t="s">
        <v>283</v>
      </c>
      <c r="EZ2031" s="33" t="s">
        <v>284</v>
      </c>
      <c r="FA2031" s="33" t="s">
        <v>51</v>
      </c>
      <c r="FB2031" s="33" t="s">
        <v>52</v>
      </c>
      <c r="FC2031" s="33" t="s">
        <v>53</v>
      </c>
      <c r="FD2031" s="33" t="s">
        <v>54</v>
      </c>
      <c r="FE2031" s="33">
        <v>2019</v>
      </c>
      <c r="FF2031" s="33" t="s">
        <v>55</v>
      </c>
      <c r="FG2031" s="33" t="s">
        <v>71</v>
      </c>
      <c r="FH2031" s="33" t="s">
        <v>72</v>
      </c>
      <c r="FI2031" s="33" t="s">
        <v>73</v>
      </c>
      <c r="FJ2031" t="s">
        <v>59</v>
      </c>
    </row>
    <row r="2032" spans="153:166" x14ac:dyDescent="0.35">
      <c r="EW2032" t="s">
        <v>3124</v>
      </c>
      <c r="EX2032" s="33" t="s">
        <v>3211</v>
      </c>
      <c r="EY2032" s="33" t="s">
        <v>285</v>
      </c>
      <c r="EZ2032" s="33" t="s">
        <v>286</v>
      </c>
      <c r="FA2032" s="33" t="s">
        <v>51</v>
      </c>
      <c r="FB2032" s="33" t="s">
        <v>52</v>
      </c>
      <c r="FC2032" s="33" t="s">
        <v>53</v>
      </c>
      <c r="FD2032" s="33" t="s">
        <v>54</v>
      </c>
      <c r="FE2032" s="33">
        <v>2019</v>
      </c>
      <c r="FF2032" s="33" t="s">
        <v>55</v>
      </c>
      <c r="FG2032" s="33" t="s">
        <v>56</v>
      </c>
      <c r="FH2032" s="33" t="s">
        <v>57</v>
      </c>
      <c r="FI2032" s="33" t="s">
        <v>58</v>
      </c>
      <c r="FJ2032" t="s">
        <v>59</v>
      </c>
    </row>
    <row r="2033" spans="153:166" x14ac:dyDescent="0.35">
      <c r="EW2033" t="s">
        <v>3124</v>
      </c>
      <c r="EX2033" s="33" t="s">
        <v>3212</v>
      </c>
      <c r="EY2033" s="33" t="s">
        <v>287</v>
      </c>
      <c r="EZ2033" s="33" t="s">
        <v>288</v>
      </c>
      <c r="FA2033" s="33" t="s">
        <v>51</v>
      </c>
      <c r="FB2033" s="33" t="s">
        <v>52</v>
      </c>
      <c r="FC2033" s="33" t="s">
        <v>53</v>
      </c>
      <c r="FD2033" s="33" t="s">
        <v>54</v>
      </c>
      <c r="FE2033" s="33">
        <v>2019</v>
      </c>
      <c r="FF2033" s="33" t="s">
        <v>55</v>
      </c>
      <c r="FG2033" s="33" t="s">
        <v>56</v>
      </c>
      <c r="FH2033" s="33" t="s">
        <v>57</v>
      </c>
      <c r="FI2033" s="33" t="s">
        <v>58</v>
      </c>
      <c r="FJ2033" t="s">
        <v>59</v>
      </c>
    </row>
    <row r="2034" spans="153:166" x14ac:dyDescent="0.35">
      <c r="EW2034" t="s">
        <v>3124</v>
      </c>
      <c r="EX2034" s="33" t="s">
        <v>3213</v>
      </c>
      <c r="EY2034" s="33" t="s">
        <v>289</v>
      </c>
      <c r="EZ2034" s="33" t="s">
        <v>290</v>
      </c>
      <c r="FA2034" s="33" t="s">
        <v>51</v>
      </c>
      <c r="FB2034" s="33" t="s">
        <v>52</v>
      </c>
      <c r="FC2034" s="33" t="s">
        <v>53</v>
      </c>
      <c r="FD2034" s="33" t="s">
        <v>54</v>
      </c>
      <c r="FE2034" s="33">
        <v>2019</v>
      </c>
      <c r="FF2034" s="33" t="s">
        <v>55</v>
      </c>
      <c r="FG2034" s="33" t="s">
        <v>71</v>
      </c>
      <c r="FH2034" s="33" t="s">
        <v>72</v>
      </c>
      <c r="FI2034" s="33" t="s">
        <v>73</v>
      </c>
      <c r="FJ2034" t="s">
        <v>59</v>
      </c>
    </row>
    <row r="2035" spans="153:166" x14ac:dyDescent="0.35">
      <c r="EW2035" t="s">
        <v>3124</v>
      </c>
      <c r="EX2035" s="33" t="s">
        <v>3214</v>
      </c>
      <c r="EY2035" s="33" t="s">
        <v>291</v>
      </c>
      <c r="EZ2035" s="33" t="s">
        <v>292</v>
      </c>
      <c r="FA2035" s="33" t="s">
        <v>51</v>
      </c>
      <c r="FB2035" s="33" t="s">
        <v>52</v>
      </c>
      <c r="FC2035" s="33" t="s">
        <v>53</v>
      </c>
      <c r="FD2035" s="33" t="s">
        <v>54</v>
      </c>
      <c r="FE2035" s="33">
        <v>2019</v>
      </c>
      <c r="FF2035" s="33" t="s">
        <v>55</v>
      </c>
      <c r="FG2035" s="33" t="s">
        <v>71</v>
      </c>
      <c r="FH2035" s="33" t="s">
        <v>72</v>
      </c>
      <c r="FI2035" s="33" t="s">
        <v>73</v>
      </c>
      <c r="FJ2035" t="s">
        <v>59</v>
      </c>
    </row>
    <row r="2036" spans="153:166" x14ac:dyDescent="0.35">
      <c r="EW2036" t="s">
        <v>3124</v>
      </c>
      <c r="EX2036" s="33" t="s">
        <v>3215</v>
      </c>
      <c r="EY2036" s="33" t="s">
        <v>293</v>
      </c>
      <c r="EZ2036" s="33" t="s">
        <v>294</v>
      </c>
      <c r="FA2036" s="33" t="s">
        <v>51</v>
      </c>
      <c r="FB2036" s="33" t="s">
        <v>52</v>
      </c>
      <c r="FC2036" s="33" t="s">
        <v>53</v>
      </c>
      <c r="FD2036" s="33" t="s">
        <v>54</v>
      </c>
      <c r="FE2036" s="33">
        <v>2019</v>
      </c>
      <c r="FF2036" s="33" t="s">
        <v>55</v>
      </c>
      <c r="FG2036" s="33" t="s">
        <v>71</v>
      </c>
      <c r="FH2036" s="33" t="s">
        <v>72</v>
      </c>
      <c r="FI2036" s="33" t="s">
        <v>73</v>
      </c>
      <c r="FJ2036" t="s">
        <v>59</v>
      </c>
    </row>
    <row r="2037" spans="153:166" x14ac:dyDescent="0.35">
      <c r="EW2037" t="s">
        <v>3124</v>
      </c>
      <c r="EX2037" s="33" t="s">
        <v>3216</v>
      </c>
      <c r="EY2037" s="33" t="s">
        <v>298</v>
      </c>
      <c r="EZ2037" s="33" t="s">
        <v>299</v>
      </c>
      <c r="FA2037" s="33" t="s">
        <v>51</v>
      </c>
      <c r="FB2037" s="33" t="s">
        <v>52</v>
      </c>
      <c r="FC2037" s="33" t="s">
        <v>53</v>
      </c>
      <c r="FD2037" s="33" t="s">
        <v>54</v>
      </c>
      <c r="FE2037" s="33">
        <v>2019</v>
      </c>
      <c r="FF2037" s="33" t="s">
        <v>55</v>
      </c>
      <c r="FG2037" s="33" t="s">
        <v>71</v>
      </c>
      <c r="FH2037" s="33" t="s">
        <v>72</v>
      </c>
      <c r="FI2037" s="33" t="s">
        <v>73</v>
      </c>
      <c r="FJ2037" t="s">
        <v>59</v>
      </c>
    </row>
    <row r="2038" spans="153:166" x14ac:dyDescent="0.35">
      <c r="EW2038" t="s">
        <v>3124</v>
      </c>
      <c r="EX2038" s="33" t="s">
        <v>3217</v>
      </c>
      <c r="EY2038" s="33" t="s">
        <v>300</v>
      </c>
      <c r="EZ2038" s="33" t="s">
        <v>301</v>
      </c>
      <c r="FA2038" s="33" t="s">
        <v>51</v>
      </c>
      <c r="FB2038" s="33" t="s">
        <v>52</v>
      </c>
      <c r="FC2038" s="33" t="s">
        <v>53</v>
      </c>
      <c r="FD2038" s="33" t="s">
        <v>54</v>
      </c>
      <c r="FE2038" s="33">
        <v>2019</v>
      </c>
      <c r="FF2038" s="33" t="s">
        <v>55</v>
      </c>
      <c r="FG2038" s="33" t="s">
        <v>56</v>
      </c>
      <c r="FH2038" s="33" t="s">
        <v>57</v>
      </c>
      <c r="FI2038" s="33" t="s">
        <v>58</v>
      </c>
      <c r="FJ2038" t="s">
        <v>59</v>
      </c>
    </row>
    <row r="2039" spans="153:166" x14ac:dyDescent="0.35">
      <c r="EW2039" t="s">
        <v>3124</v>
      </c>
      <c r="EX2039" s="33" t="s">
        <v>3218</v>
      </c>
      <c r="EY2039" s="33" t="s">
        <v>302</v>
      </c>
      <c r="EZ2039" s="33" t="s">
        <v>303</v>
      </c>
      <c r="FA2039" s="33" t="s">
        <v>51</v>
      </c>
      <c r="FB2039" s="33" t="s">
        <v>52</v>
      </c>
      <c r="FC2039" s="33" t="s">
        <v>53</v>
      </c>
      <c r="FD2039" s="33" t="s">
        <v>54</v>
      </c>
      <c r="FE2039" s="33">
        <v>2019</v>
      </c>
      <c r="FF2039" s="33" t="s">
        <v>55</v>
      </c>
      <c r="FG2039" s="33" t="s">
        <v>71</v>
      </c>
      <c r="FH2039" s="33" t="s">
        <v>72</v>
      </c>
      <c r="FI2039" s="33" t="s">
        <v>73</v>
      </c>
      <c r="FJ2039" t="s">
        <v>59</v>
      </c>
    </row>
    <row r="2040" spans="153:166" x14ac:dyDescent="0.35">
      <c r="EW2040" t="s">
        <v>3124</v>
      </c>
      <c r="EX2040" s="33" t="s">
        <v>3219</v>
      </c>
      <c r="EY2040" s="33" t="s">
        <v>304</v>
      </c>
      <c r="EZ2040" s="33" t="s">
        <v>305</v>
      </c>
      <c r="FA2040" s="33" t="s">
        <v>51</v>
      </c>
      <c r="FB2040" s="33" t="s">
        <v>52</v>
      </c>
      <c r="FC2040" s="33" t="s">
        <v>53</v>
      </c>
      <c r="FD2040" s="33" t="s">
        <v>54</v>
      </c>
      <c r="FE2040" s="33">
        <v>2019</v>
      </c>
      <c r="FF2040" s="33" t="s">
        <v>55</v>
      </c>
      <c r="FG2040" s="33" t="s">
        <v>71</v>
      </c>
      <c r="FH2040" s="33" t="s">
        <v>72</v>
      </c>
      <c r="FI2040" s="33" t="s">
        <v>73</v>
      </c>
      <c r="FJ2040" t="s">
        <v>59</v>
      </c>
    </row>
    <row r="2041" spans="153:166" x14ac:dyDescent="0.35">
      <c r="EW2041" t="s">
        <v>3124</v>
      </c>
      <c r="EX2041" s="33" t="s">
        <v>3220</v>
      </c>
      <c r="EY2041" s="33" t="s">
        <v>306</v>
      </c>
      <c r="EZ2041" s="33" t="s">
        <v>307</v>
      </c>
      <c r="FA2041" s="33" t="s">
        <v>51</v>
      </c>
      <c r="FB2041" s="33" t="s">
        <v>52</v>
      </c>
      <c r="FC2041" s="33" t="s">
        <v>53</v>
      </c>
      <c r="FD2041" s="33" t="s">
        <v>54</v>
      </c>
      <c r="FE2041" s="33">
        <v>2019</v>
      </c>
      <c r="FF2041" s="33" t="s">
        <v>55</v>
      </c>
      <c r="FG2041" s="33" t="s">
        <v>56</v>
      </c>
      <c r="FH2041" s="33" t="s">
        <v>57</v>
      </c>
      <c r="FI2041" s="33" t="s">
        <v>58</v>
      </c>
      <c r="FJ2041" t="s">
        <v>59</v>
      </c>
    </row>
    <row r="2042" spans="153:166" x14ac:dyDescent="0.35">
      <c r="EW2042" t="s">
        <v>3124</v>
      </c>
      <c r="EX2042" s="33" t="s">
        <v>3221</v>
      </c>
      <c r="EY2042" s="33" t="s">
        <v>311</v>
      </c>
      <c r="EZ2042" s="33" t="s">
        <v>312</v>
      </c>
      <c r="FA2042" s="33" t="s">
        <v>51</v>
      </c>
      <c r="FB2042" s="33" t="s">
        <v>52</v>
      </c>
      <c r="FC2042" s="33" t="s">
        <v>53</v>
      </c>
      <c r="FD2042" s="33" t="s">
        <v>54</v>
      </c>
      <c r="FE2042" s="33">
        <v>2019</v>
      </c>
      <c r="FF2042" s="33" t="s">
        <v>55</v>
      </c>
      <c r="FG2042" s="33" t="s">
        <v>71</v>
      </c>
      <c r="FH2042" s="33" t="s">
        <v>72</v>
      </c>
      <c r="FI2042" s="33" t="s">
        <v>73</v>
      </c>
      <c r="FJ2042" t="s">
        <v>59</v>
      </c>
    </row>
    <row r="2043" spans="153:166" x14ac:dyDescent="0.35">
      <c r="EW2043" t="s">
        <v>3124</v>
      </c>
      <c r="EX2043" s="33" t="s">
        <v>3127</v>
      </c>
      <c r="EY2043" s="33" t="s">
        <v>313</v>
      </c>
      <c r="EZ2043" s="33" t="s">
        <v>314</v>
      </c>
      <c r="FA2043" s="33" t="s">
        <v>51</v>
      </c>
      <c r="FB2043" s="33" t="s">
        <v>52</v>
      </c>
      <c r="FC2043" s="33" t="s">
        <v>53</v>
      </c>
      <c r="FD2043" s="33" t="s">
        <v>54</v>
      </c>
      <c r="FE2043" s="33">
        <v>2019</v>
      </c>
      <c r="FF2043" s="33" t="s">
        <v>55</v>
      </c>
      <c r="FG2043" s="33" t="s">
        <v>56</v>
      </c>
      <c r="FH2043" s="33" t="s">
        <v>57</v>
      </c>
      <c r="FI2043" s="33" t="s">
        <v>58</v>
      </c>
      <c r="FJ2043" t="s">
        <v>59</v>
      </c>
    </row>
    <row r="2044" spans="153:166" x14ac:dyDescent="0.35">
      <c r="EW2044" t="s">
        <v>3124</v>
      </c>
      <c r="EX2044" s="33" t="s">
        <v>3222</v>
      </c>
      <c r="EY2044" s="33" t="s">
        <v>315</v>
      </c>
      <c r="EZ2044" s="33" t="s">
        <v>316</v>
      </c>
      <c r="FA2044" s="33" t="s">
        <v>51</v>
      </c>
      <c r="FB2044" s="33" t="s">
        <v>52</v>
      </c>
      <c r="FC2044" s="33" t="s">
        <v>53</v>
      </c>
      <c r="FD2044" s="33" t="s">
        <v>54</v>
      </c>
      <c r="FE2044" s="33">
        <v>2019</v>
      </c>
      <c r="FF2044" s="33" t="s">
        <v>55</v>
      </c>
      <c r="FG2044" s="33" t="s">
        <v>71</v>
      </c>
      <c r="FH2044" s="33" t="s">
        <v>72</v>
      </c>
      <c r="FI2044" s="33" t="s">
        <v>73</v>
      </c>
      <c r="FJ2044" t="s">
        <v>59</v>
      </c>
    </row>
    <row r="2045" spans="153:166" x14ac:dyDescent="0.35">
      <c r="EW2045" t="s">
        <v>3124</v>
      </c>
      <c r="EX2045" s="33" t="s">
        <v>3223</v>
      </c>
      <c r="EY2045" s="33" t="s">
        <v>317</v>
      </c>
      <c r="EZ2045" s="33" t="s">
        <v>318</v>
      </c>
      <c r="FA2045" s="33" t="s">
        <v>51</v>
      </c>
      <c r="FB2045" s="33" t="s">
        <v>52</v>
      </c>
      <c r="FC2045" s="33" t="s">
        <v>53</v>
      </c>
      <c r="FD2045" s="33" t="s">
        <v>54</v>
      </c>
      <c r="FE2045" s="33">
        <v>2019</v>
      </c>
      <c r="FF2045" s="33" t="s">
        <v>55</v>
      </c>
      <c r="FG2045" s="33" t="s">
        <v>71</v>
      </c>
      <c r="FH2045" s="33" t="s">
        <v>72</v>
      </c>
      <c r="FI2045" s="33" t="s">
        <v>73</v>
      </c>
      <c r="FJ2045" t="s">
        <v>59</v>
      </c>
    </row>
    <row r="2046" spans="153:166" x14ac:dyDescent="0.35">
      <c r="EW2046" t="s">
        <v>3124</v>
      </c>
      <c r="EX2046" s="33" t="s">
        <v>3224</v>
      </c>
      <c r="EY2046" s="33" t="s">
        <v>322</v>
      </c>
      <c r="EZ2046" s="33" t="s">
        <v>323</v>
      </c>
      <c r="FA2046" s="33" t="s">
        <v>51</v>
      </c>
      <c r="FB2046" s="33" t="s">
        <v>52</v>
      </c>
      <c r="FC2046" s="33" t="s">
        <v>53</v>
      </c>
      <c r="FD2046" s="33" t="s">
        <v>54</v>
      </c>
      <c r="FE2046" s="33">
        <v>2019</v>
      </c>
      <c r="FF2046" s="33" t="s">
        <v>55</v>
      </c>
      <c r="FG2046" s="33" t="s">
        <v>71</v>
      </c>
      <c r="FH2046" s="33" t="s">
        <v>72</v>
      </c>
      <c r="FI2046" s="33" t="s">
        <v>73</v>
      </c>
      <c r="FJ2046" t="s">
        <v>59</v>
      </c>
    </row>
    <row r="2047" spans="153:166" x14ac:dyDescent="0.35">
      <c r="EW2047" t="s">
        <v>3124</v>
      </c>
      <c r="EX2047" s="33" t="s">
        <v>3225</v>
      </c>
      <c r="EY2047" s="33" t="s">
        <v>324</v>
      </c>
      <c r="EZ2047" s="33" t="s">
        <v>325</v>
      </c>
      <c r="FA2047" s="33" t="s">
        <v>51</v>
      </c>
      <c r="FB2047" s="33" t="s">
        <v>52</v>
      </c>
      <c r="FC2047" s="33" t="s">
        <v>53</v>
      </c>
      <c r="FD2047" s="33" t="s">
        <v>54</v>
      </c>
      <c r="FE2047" s="33">
        <v>2019</v>
      </c>
      <c r="FF2047" s="33" t="s">
        <v>55</v>
      </c>
      <c r="FG2047" s="33" t="s">
        <v>71</v>
      </c>
      <c r="FH2047" s="33" t="s">
        <v>72</v>
      </c>
      <c r="FI2047" s="33" t="s">
        <v>73</v>
      </c>
      <c r="FJ2047" t="s">
        <v>59</v>
      </c>
    </row>
    <row r="2048" spans="153:166" x14ac:dyDescent="0.35">
      <c r="EW2048" t="s">
        <v>3124</v>
      </c>
      <c r="EX2048" s="33" t="s">
        <v>3226</v>
      </c>
      <c r="EY2048" s="33" t="s">
        <v>326</v>
      </c>
      <c r="EZ2048" s="33" t="s">
        <v>327</v>
      </c>
      <c r="FA2048" s="33" t="s">
        <v>51</v>
      </c>
      <c r="FB2048" s="33" t="s">
        <v>52</v>
      </c>
      <c r="FC2048" s="33" t="s">
        <v>53</v>
      </c>
      <c r="FD2048" s="33" t="s">
        <v>54</v>
      </c>
      <c r="FE2048" s="33">
        <v>2019</v>
      </c>
      <c r="FF2048" s="33" t="s">
        <v>55</v>
      </c>
      <c r="FG2048" s="33" t="s">
        <v>71</v>
      </c>
      <c r="FH2048" s="33" t="s">
        <v>72</v>
      </c>
      <c r="FI2048" s="33" t="s">
        <v>73</v>
      </c>
      <c r="FJ2048" t="s">
        <v>59</v>
      </c>
    </row>
    <row r="2049" spans="153:166" x14ac:dyDescent="0.35">
      <c r="EW2049" t="s">
        <v>3124</v>
      </c>
      <c r="EX2049" s="33" t="s">
        <v>3227</v>
      </c>
      <c r="EY2049" s="33" t="s">
        <v>328</v>
      </c>
      <c r="EZ2049" s="33" t="s">
        <v>329</v>
      </c>
      <c r="FA2049" s="33" t="s">
        <v>51</v>
      </c>
      <c r="FB2049" s="33" t="s">
        <v>52</v>
      </c>
      <c r="FC2049" s="33" t="s">
        <v>53</v>
      </c>
      <c r="FD2049" s="33" t="s">
        <v>54</v>
      </c>
      <c r="FE2049" s="33">
        <v>2019</v>
      </c>
      <c r="FF2049" s="33" t="s">
        <v>55</v>
      </c>
      <c r="FG2049" s="33" t="s">
        <v>71</v>
      </c>
      <c r="FH2049" s="33" t="s">
        <v>72</v>
      </c>
      <c r="FI2049" s="33" t="s">
        <v>73</v>
      </c>
      <c r="FJ2049" t="s">
        <v>59</v>
      </c>
    </row>
    <row r="2050" spans="153:166" x14ac:dyDescent="0.35">
      <c r="EW2050" t="s">
        <v>3124</v>
      </c>
      <c r="EX2050" s="33" t="s">
        <v>3228</v>
      </c>
      <c r="EY2050" s="33" t="s">
        <v>330</v>
      </c>
      <c r="EZ2050" s="33" t="s">
        <v>331</v>
      </c>
      <c r="FA2050" s="33" t="s">
        <v>51</v>
      </c>
      <c r="FB2050" s="33" t="s">
        <v>52</v>
      </c>
      <c r="FC2050" s="33" t="s">
        <v>53</v>
      </c>
      <c r="FD2050" s="33" t="s">
        <v>54</v>
      </c>
      <c r="FE2050" s="33">
        <v>2019</v>
      </c>
      <c r="FF2050" s="33" t="s">
        <v>55</v>
      </c>
      <c r="FG2050" s="33" t="s">
        <v>71</v>
      </c>
      <c r="FH2050" s="33" t="s">
        <v>72</v>
      </c>
      <c r="FI2050" s="33" t="s">
        <v>73</v>
      </c>
      <c r="FJ2050" t="s">
        <v>59</v>
      </c>
    </row>
    <row r="2051" spans="153:166" x14ac:dyDescent="0.35">
      <c r="EW2051" t="s">
        <v>3124</v>
      </c>
      <c r="EX2051" s="33" t="s">
        <v>3229</v>
      </c>
      <c r="EY2051" s="33" t="s">
        <v>332</v>
      </c>
      <c r="EZ2051" s="33" t="s">
        <v>333</v>
      </c>
      <c r="FA2051" s="33" t="s">
        <v>51</v>
      </c>
      <c r="FB2051" s="33" t="s">
        <v>52</v>
      </c>
      <c r="FC2051" s="33" t="s">
        <v>53</v>
      </c>
      <c r="FD2051" s="33" t="s">
        <v>54</v>
      </c>
      <c r="FE2051" s="33">
        <v>2019</v>
      </c>
      <c r="FF2051" s="33" t="s">
        <v>55</v>
      </c>
      <c r="FG2051" s="33" t="s">
        <v>71</v>
      </c>
      <c r="FH2051" s="33" t="s">
        <v>72</v>
      </c>
      <c r="FI2051" s="33" t="s">
        <v>73</v>
      </c>
      <c r="FJ2051" t="s">
        <v>59</v>
      </c>
    </row>
    <row r="2052" spans="153:166" x14ac:dyDescent="0.35">
      <c r="EW2052" t="s">
        <v>3124</v>
      </c>
      <c r="EX2052" s="33" t="s">
        <v>3230</v>
      </c>
      <c r="EY2052" s="33" t="s">
        <v>334</v>
      </c>
      <c r="EZ2052" s="33" t="s">
        <v>335</v>
      </c>
      <c r="FA2052" s="33" t="s">
        <v>51</v>
      </c>
      <c r="FB2052" s="33" t="s">
        <v>52</v>
      </c>
      <c r="FC2052" s="33" t="s">
        <v>53</v>
      </c>
      <c r="FD2052" s="33" t="s">
        <v>54</v>
      </c>
      <c r="FE2052" s="33">
        <v>2019</v>
      </c>
      <c r="FF2052" s="33" t="s">
        <v>55</v>
      </c>
      <c r="FG2052" s="33" t="s">
        <v>71</v>
      </c>
      <c r="FH2052" s="33" t="s">
        <v>72</v>
      </c>
      <c r="FI2052" s="33" t="s">
        <v>73</v>
      </c>
      <c r="FJ2052" t="s">
        <v>59</v>
      </c>
    </row>
    <row r="2053" spans="153:166" x14ac:dyDescent="0.35">
      <c r="EW2053" t="s">
        <v>3124</v>
      </c>
      <c r="EX2053" s="33" t="s">
        <v>3231</v>
      </c>
      <c r="EY2053" s="33" t="s">
        <v>336</v>
      </c>
      <c r="EZ2053" s="33" t="s">
        <v>337</v>
      </c>
      <c r="FA2053" s="33" t="s">
        <v>51</v>
      </c>
      <c r="FB2053" s="33" t="s">
        <v>52</v>
      </c>
      <c r="FC2053" s="33" t="s">
        <v>53</v>
      </c>
      <c r="FD2053" s="33" t="s">
        <v>54</v>
      </c>
      <c r="FE2053" s="33">
        <v>2019</v>
      </c>
      <c r="FF2053" s="33" t="s">
        <v>55</v>
      </c>
      <c r="FG2053" s="33" t="s">
        <v>71</v>
      </c>
      <c r="FH2053" s="33" t="s">
        <v>72</v>
      </c>
      <c r="FI2053" s="33" t="s">
        <v>73</v>
      </c>
      <c r="FJ2053" t="s">
        <v>59</v>
      </c>
    </row>
    <row r="2054" spans="153:166" x14ac:dyDescent="0.35">
      <c r="EW2054" t="s">
        <v>3124</v>
      </c>
      <c r="EX2054" s="33" t="s">
        <v>3232</v>
      </c>
      <c r="EY2054" s="33" t="s">
        <v>341</v>
      </c>
      <c r="EZ2054" s="33" t="s">
        <v>342</v>
      </c>
      <c r="FA2054" s="33" t="s">
        <v>343</v>
      </c>
      <c r="FB2054" s="33" t="s">
        <v>344</v>
      </c>
      <c r="FC2054" s="33" t="s">
        <v>345</v>
      </c>
      <c r="FD2054" s="33" t="s">
        <v>346</v>
      </c>
      <c r="FE2054" s="33">
        <v>2025</v>
      </c>
      <c r="FF2054" s="33" t="s">
        <v>59</v>
      </c>
      <c r="FG2054" s="33" t="s">
        <v>71</v>
      </c>
      <c r="FH2054" s="33" t="s">
        <v>72</v>
      </c>
      <c r="FI2054" s="33" t="s">
        <v>73</v>
      </c>
      <c r="FJ2054" t="s">
        <v>59</v>
      </c>
    </row>
    <row r="2055" spans="153:166" x14ac:dyDescent="0.35">
      <c r="EW2055" t="s">
        <v>3124</v>
      </c>
      <c r="EX2055" s="33" t="s">
        <v>3233</v>
      </c>
      <c r="EY2055" s="33" t="s">
        <v>350</v>
      </c>
      <c r="EZ2055" s="33" t="s">
        <v>351</v>
      </c>
      <c r="FA2055" s="33" t="s">
        <v>343</v>
      </c>
      <c r="FB2055" s="33" t="s">
        <v>344</v>
      </c>
      <c r="FC2055" s="33" t="s">
        <v>345</v>
      </c>
      <c r="FD2055" s="33" t="s">
        <v>346</v>
      </c>
      <c r="FE2055" s="33">
        <v>2025</v>
      </c>
      <c r="FF2055" s="33" t="s">
        <v>59</v>
      </c>
      <c r="FG2055" s="33" t="s">
        <v>71</v>
      </c>
      <c r="FH2055" s="33" t="s">
        <v>72</v>
      </c>
      <c r="FI2055" s="33" t="s">
        <v>73</v>
      </c>
      <c r="FJ2055" t="s">
        <v>59</v>
      </c>
    </row>
    <row r="2056" spans="153:166" x14ac:dyDescent="0.35">
      <c r="EW2056" t="s">
        <v>3124</v>
      </c>
      <c r="EX2056" s="33" t="s">
        <v>3234</v>
      </c>
      <c r="EY2056" s="33" t="s">
        <v>352</v>
      </c>
      <c r="EZ2056" s="33" t="s">
        <v>353</v>
      </c>
      <c r="FA2056" s="33" t="s">
        <v>343</v>
      </c>
      <c r="FB2056" s="33" t="s">
        <v>344</v>
      </c>
      <c r="FC2056" s="33" t="s">
        <v>345</v>
      </c>
      <c r="FD2056" s="33" t="s">
        <v>346</v>
      </c>
      <c r="FE2056" s="33">
        <v>2025</v>
      </c>
      <c r="FF2056" s="33" t="s">
        <v>59</v>
      </c>
      <c r="FG2056" s="33" t="s">
        <v>71</v>
      </c>
      <c r="FH2056" s="33" t="s">
        <v>72</v>
      </c>
      <c r="FI2056" s="33" t="s">
        <v>73</v>
      </c>
      <c r="FJ2056" t="s">
        <v>59</v>
      </c>
    </row>
    <row r="2057" spans="153:166" x14ac:dyDescent="0.35">
      <c r="EW2057" t="s">
        <v>3124</v>
      </c>
      <c r="EX2057" s="33" t="s">
        <v>3235</v>
      </c>
      <c r="EY2057" s="33" t="s">
        <v>354</v>
      </c>
      <c r="EZ2057" s="33" t="s">
        <v>355</v>
      </c>
      <c r="FA2057" s="33" t="s">
        <v>343</v>
      </c>
      <c r="FB2057" s="33" t="s">
        <v>344</v>
      </c>
      <c r="FC2057" s="33" t="s">
        <v>345</v>
      </c>
      <c r="FD2057" s="33" t="s">
        <v>346</v>
      </c>
      <c r="FE2057" s="33">
        <v>2025</v>
      </c>
      <c r="FF2057" s="33" t="s">
        <v>59</v>
      </c>
      <c r="FG2057" s="33" t="s">
        <v>71</v>
      </c>
      <c r="FH2057" s="33" t="s">
        <v>72</v>
      </c>
      <c r="FI2057" s="33" t="s">
        <v>73</v>
      </c>
      <c r="FJ2057" t="s">
        <v>59</v>
      </c>
    </row>
    <row r="2058" spans="153:166" x14ac:dyDescent="0.35">
      <c r="EW2058" t="s">
        <v>3124</v>
      </c>
      <c r="EX2058" s="33" t="s">
        <v>3236</v>
      </c>
      <c r="EY2058" s="33" t="s">
        <v>356</v>
      </c>
      <c r="EZ2058" s="33" t="s">
        <v>357</v>
      </c>
      <c r="FA2058" s="33" t="s">
        <v>343</v>
      </c>
      <c r="FB2058" s="33" t="s">
        <v>344</v>
      </c>
      <c r="FC2058" s="33" t="s">
        <v>345</v>
      </c>
      <c r="FD2058" s="33" t="s">
        <v>346</v>
      </c>
      <c r="FE2058" s="33">
        <v>2025</v>
      </c>
      <c r="FF2058" s="33" t="s">
        <v>59</v>
      </c>
      <c r="FG2058" s="33" t="s">
        <v>71</v>
      </c>
      <c r="FH2058" s="33" t="s">
        <v>72</v>
      </c>
      <c r="FI2058" s="33" t="s">
        <v>73</v>
      </c>
      <c r="FJ2058" t="s">
        <v>59</v>
      </c>
    </row>
    <row r="2059" spans="153:166" x14ac:dyDescent="0.35">
      <c r="EW2059" t="s">
        <v>3124</v>
      </c>
      <c r="EX2059" s="33" t="s">
        <v>3237</v>
      </c>
      <c r="EY2059" s="33" t="s">
        <v>358</v>
      </c>
      <c r="EZ2059" s="33" t="s">
        <v>359</v>
      </c>
      <c r="FA2059" s="33" t="s">
        <v>343</v>
      </c>
      <c r="FB2059" s="33" t="s">
        <v>344</v>
      </c>
      <c r="FC2059" s="33" t="s">
        <v>345</v>
      </c>
      <c r="FD2059" s="33" t="s">
        <v>346</v>
      </c>
      <c r="FE2059" s="33">
        <v>2025</v>
      </c>
      <c r="FF2059" s="33" t="s">
        <v>59</v>
      </c>
      <c r="FG2059" s="33" t="s">
        <v>71</v>
      </c>
      <c r="FH2059" s="33" t="s">
        <v>72</v>
      </c>
      <c r="FI2059" s="33" t="s">
        <v>73</v>
      </c>
      <c r="FJ2059" t="s">
        <v>59</v>
      </c>
    </row>
    <row r="2060" spans="153:166" x14ac:dyDescent="0.35">
      <c r="EW2060" t="s">
        <v>3124</v>
      </c>
      <c r="EX2060" s="33" t="s">
        <v>3238</v>
      </c>
      <c r="EY2060" s="33" t="s">
        <v>363</v>
      </c>
      <c r="EZ2060" s="33" t="s">
        <v>364</v>
      </c>
      <c r="FA2060" s="33" t="s">
        <v>343</v>
      </c>
      <c r="FB2060" s="33" t="s">
        <v>344</v>
      </c>
      <c r="FC2060" s="33" t="s">
        <v>345</v>
      </c>
      <c r="FD2060" s="33" t="s">
        <v>346</v>
      </c>
      <c r="FE2060" s="33">
        <v>2025</v>
      </c>
      <c r="FF2060" s="33" t="s">
        <v>59</v>
      </c>
      <c r="FG2060" s="33" t="s">
        <v>71</v>
      </c>
      <c r="FH2060" s="33" t="s">
        <v>72</v>
      </c>
      <c r="FI2060" s="33" t="s">
        <v>73</v>
      </c>
      <c r="FJ2060" t="s">
        <v>59</v>
      </c>
    </row>
    <row r="2061" spans="153:166" x14ac:dyDescent="0.35">
      <c r="EW2061" t="s">
        <v>3124</v>
      </c>
      <c r="EX2061" s="33" t="s">
        <v>3239</v>
      </c>
      <c r="EY2061" s="33" t="s">
        <v>365</v>
      </c>
      <c r="EZ2061" s="33" t="s">
        <v>366</v>
      </c>
      <c r="FA2061" s="33" t="s">
        <v>343</v>
      </c>
      <c r="FB2061" s="33" t="s">
        <v>344</v>
      </c>
      <c r="FC2061" s="33" t="s">
        <v>345</v>
      </c>
      <c r="FD2061" s="33" t="s">
        <v>346</v>
      </c>
      <c r="FE2061" s="33">
        <v>2025</v>
      </c>
      <c r="FF2061" s="33" t="s">
        <v>59</v>
      </c>
      <c r="FG2061" s="33" t="s">
        <v>71</v>
      </c>
      <c r="FH2061" s="33" t="s">
        <v>72</v>
      </c>
      <c r="FI2061" s="33" t="s">
        <v>73</v>
      </c>
      <c r="FJ2061" t="s">
        <v>59</v>
      </c>
    </row>
    <row r="2062" spans="153:166" x14ac:dyDescent="0.35">
      <c r="EW2062" t="s">
        <v>3124</v>
      </c>
      <c r="EX2062" s="33" t="s">
        <v>3240</v>
      </c>
      <c r="EY2062" s="33" t="s">
        <v>367</v>
      </c>
      <c r="EZ2062" s="33" t="s">
        <v>368</v>
      </c>
      <c r="FA2062" s="33" t="s">
        <v>343</v>
      </c>
      <c r="FB2062" s="33" t="s">
        <v>344</v>
      </c>
      <c r="FC2062" s="33" t="s">
        <v>345</v>
      </c>
      <c r="FD2062" s="33" t="s">
        <v>346</v>
      </c>
      <c r="FE2062" s="33">
        <v>2025</v>
      </c>
      <c r="FF2062" s="33" t="s">
        <v>59</v>
      </c>
      <c r="FG2062" s="33" t="s">
        <v>71</v>
      </c>
      <c r="FH2062" s="33" t="s">
        <v>72</v>
      </c>
      <c r="FI2062" s="33" t="s">
        <v>73</v>
      </c>
      <c r="FJ2062" t="s">
        <v>59</v>
      </c>
    </row>
    <row r="2063" spans="153:166" x14ac:dyDescent="0.35">
      <c r="EW2063" t="s">
        <v>3124</v>
      </c>
      <c r="EX2063" s="33" t="s">
        <v>3241</v>
      </c>
      <c r="EY2063" s="33" t="s">
        <v>369</v>
      </c>
      <c r="EZ2063" s="33" t="s">
        <v>370</v>
      </c>
      <c r="FA2063" s="33" t="s">
        <v>343</v>
      </c>
      <c r="FB2063" s="33" t="s">
        <v>344</v>
      </c>
      <c r="FC2063" s="33" t="s">
        <v>345</v>
      </c>
      <c r="FD2063" s="33" t="s">
        <v>346</v>
      </c>
      <c r="FE2063" s="33">
        <v>2025</v>
      </c>
      <c r="FF2063" s="33" t="s">
        <v>59</v>
      </c>
      <c r="FG2063" s="33" t="s">
        <v>71</v>
      </c>
      <c r="FH2063" s="33" t="s">
        <v>72</v>
      </c>
      <c r="FI2063" s="33" t="s">
        <v>73</v>
      </c>
      <c r="FJ2063" t="s">
        <v>59</v>
      </c>
    </row>
    <row r="2064" spans="153:166" x14ac:dyDescent="0.35">
      <c r="EW2064" t="s">
        <v>3124</v>
      </c>
      <c r="EX2064" s="33" t="s">
        <v>3242</v>
      </c>
      <c r="EY2064" s="33" t="s">
        <v>371</v>
      </c>
      <c r="EZ2064" s="33" t="s">
        <v>372</v>
      </c>
      <c r="FA2064" s="33" t="s">
        <v>343</v>
      </c>
      <c r="FB2064" s="33" t="s">
        <v>344</v>
      </c>
      <c r="FC2064" s="33" t="s">
        <v>345</v>
      </c>
      <c r="FD2064" s="33" t="s">
        <v>346</v>
      </c>
      <c r="FE2064" s="33">
        <v>2025</v>
      </c>
      <c r="FF2064" s="33" t="s">
        <v>59</v>
      </c>
      <c r="FG2064" s="33" t="s">
        <v>71</v>
      </c>
      <c r="FH2064" s="33" t="s">
        <v>72</v>
      </c>
      <c r="FI2064" s="33" t="s">
        <v>73</v>
      </c>
      <c r="FJ2064" t="s">
        <v>59</v>
      </c>
    </row>
    <row r="2065" spans="153:166" x14ac:dyDescent="0.35">
      <c r="EW2065" t="s">
        <v>3124</v>
      </c>
      <c r="EX2065" s="33" t="s">
        <v>3243</v>
      </c>
      <c r="EY2065" s="33" t="s">
        <v>373</v>
      </c>
      <c r="EZ2065" s="33" t="s">
        <v>374</v>
      </c>
      <c r="FA2065" s="33" t="s">
        <v>343</v>
      </c>
      <c r="FB2065" s="33" t="s">
        <v>344</v>
      </c>
      <c r="FC2065" s="33" t="s">
        <v>345</v>
      </c>
      <c r="FD2065" s="33" t="s">
        <v>346</v>
      </c>
      <c r="FE2065" s="33">
        <v>2025</v>
      </c>
      <c r="FF2065" s="33" t="s">
        <v>59</v>
      </c>
      <c r="FG2065" s="33" t="s">
        <v>71</v>
      </c>
      <c r="FH2065" s="33" t="s">
        <v>72</v>
      </c>
      <c r="FI2065" s="33" t="s">
        <v>73</v>
      </c>
      <c r="FJ2065" t="s">
        <v>59</v>
      </c>
    </row>
    <row r="2066" spans="153:166" x14ac:dyDescent="0.35">
      <c r="EW2066" t="s">
        <v>3124</v>
      </c>
      <c r="EX2066" s="33" t="s">
        <v>3244</v>
      </c>
      <c r="EY2066" s="33" t="s">
        <v>378</v>
      </c>
      <c r="EZ2066" s="33" t="s">
        <v>379</v>
      </c>
      <c r="FA2066" s="33" t="s">
        <v>343</v>
      </c>
      <c r="FB2066" s="33" t="s">
        <v>344</v>
      </c>
      <c r="FC2066" s="33" t="s">
        <v>345</v>
      </c>
      <c r="FD2066" s="33" t="s">
        <v>346</v>
      </c>
      <c r="FE2066" s="33">
        <v>2025</v>
      </c>
      <c r="FF2066" s="33" t="s">
        <v>59</v>
      </c>
      <c r="FG2066" s="33" t="s">
        <v>71</v>
      </c>
      <c r="FH2066" s="33" t="s">
        <v>72</v>
      </c>
      <c r="FI2066" s="33" t="s">
        <v>73</v>
      </c>
      <c r="FJ2066" t="s">
        <v>59</v>
      </c>
    </row>
    <row r="2067" spans="153:166" x14ac:dyDescent="0.35">
      <c r="EW2067" t="s">
        <v>3124</v>
      </c>
      <c r="EX2067" s="33" t="s">
        <v>3245</v>
      </c>
      <c r="EY2067" s="33" t="s">
        <v>380</v>
      </c>
      <c r="EZ2067" s="33" t="s">
        <v>381</v>
      </c>
      <c r="FA2067" s="33" t="s">
        <v>343</v>
      </c>
      <c r="FB2067" s="33" t="s">
        <v>344</v>
      </c>
      <c r="FC2067" s="33" t="s">
        <v>345</v>
      </c>
      <c r="FD2067" s="33" t="s">
        <v>346</v>
      </c>
      <c r="FE2067" s="33">
        <v>2025</v>
      </c>
      <c r="FF2067" s="33" t="s">
        <v>59</v>
      </c>
      <c r="FG2067" s="33" t="s">
        <v>71</v>
      </c>
      <c r="FH2067" s="33" t="s">
        <v>72</v>
      </c>
      <c r="FI2067" s="33" t="s">
        <v>73</v>
      </c>
      <c r="FJ2067" t="s">
        <v>59</v>
      </c>
    </row>
    <row r="2068" spans="153:166" x14ac:dyDescent="0.35">
      <c r="EW2068" t="s">
        <v>3124</v>
      </c>
      <c r="EX2068" s="33" t="s">
        <v>3246</v>
      </c>
      <c r="EY2068" s="33" t="s">
        <v>382</v>
      </c>
      <c r="EZ2068" s="33" t="s">
        <v>383</v>
      </c>
      <c r="FA2068" s="33" t="s">
        <v>343</v>
      </c>
      <c r="FB2068" s="33" t="s">
        <v>344</v>
      </c>
      <c r="FC2068" s="33" t="s">
        <v>345</v>
      </c>
      <c r="FD2068" s="33" t="s">
        <v>346</v>
      </c>
      <c r="FE2068" s="33">
        <v>2025</v>
      </c>
      <c r="FF2068" s="33" t="s">
        <v>59</v>
      </c>
      <c r="FG2068" s="33" t="s">
        <v>71</v>
      </c>
      <c r="FH2068" s="33" t="s">
        <v>72</v>
      </c>
      <c r="FI2068" s="33" t="s">
        <v>73</v>
      </c>
      <c r="FJ2068" t="s">
        <v>59</v>
      </c>
    </row>
    <row r="2069" spans="153:166" x14ac:dyDescent="0.35">
      <c r="EW2069" t="s">
        <v>3124</v>
      </c>
      <c r="EX2069" s="33" t="s">
        <v>3247</v>
      </c>
      <c r="EY2069" s="33" t="s">
        <v>384</v>
      </c>
      <c r="EZ2069" s="33" t="s">
        <v>385</v>
      </c>
      <c r="FA2069" s="33" t="s">
        <v>343</v>
      </c>
      <c r="FB2069" s="33" t="s">
        <v>344</v>
      </c>
      <c r="FC2069" s="33" t="s">
        <v>345</v>
      </c>
      <c r="FD2069" s="33" t="s">
        <v>346</v>
      </c>
      <c r="FE2069" s="33">
        <v>2025</v>
      </c>
      <c r="FF2069" s="33" t="s">
        <v>59</v>
      </c>
      <c r="FG2069" s="33" t="s">
        <v>386</v>
      </c>
      <c r="FH2069" s="33" t="s">
        <v>387</v>
      </c>
      <c r="FI2069" s="33" t="s">
        <v>58</v>
      </c>
      <c r="FJ2069" t="s">
        <v>59</v>
      </c>
    </row>
    <row r="2070" spans="153:166" x14ac:dyDescent="0.35">
      <c r="EW2070" t="s">
        <v>3124</v>
      </c>
      <c r="EX2070" s="33" t="s">
        <v>3248</v>
      </c>
      <c r="EY2070" s="33" t="s">
        <v>388</v>
      </c>
      <c r="EZ2070" s="33" t="s">
        <v>389</v>
      </c>
      <c r="FA2070" s="33" t="s">
        <v>343</v>
      </c>
      <c r="FB2070" s="33" t="s">
        <v>344</v>
      </c>
      <c r="FC2070" s="33" t="s">
        <v>345</v>
      </c>
      <c r="FD2070" s="33" t="s">
        <v>346</v>
      </c>
      <c r="FE2070" s="33">
        <v>2025</v>
      </c>
      <c r="FF2070" s="33" t="s">
        <v>59</v>
      </c>
      <c r="FG2070" s="33" t="s">
        <v>56</v>
      </c>
      <c r="FH2070" s="33" t="s">
        <v>57</v>
      </c>
      <c r="FI2070" s="33" t="s">
        <v>58</v>
      </c>
      <c r="FJ2070" t="s">
        <v>59</v>
      </c>
    </row>
    <row r="2071" spans="153:166" x14ac:dyDescent="0.35">
      <c r="EW2071" t="s">
        <v>3124</v>
      </c>
      <c r="EX2071" s="33" t="s">
        <v>3249</v>
      </c>
      <c r="EY2071" s="33" t="s">
        <v>390</v>
      </c>
      <c r="EZ2071" s="33" t="s">
        <v>391</v>
      </c>
      <c r="FA2071" s="33" t="s">
        <v>343</v>
      </c>
      <c r="FB2071" s="33" t="s">
        <v>344</v>
      </c>
      <c r="FC2071" s="33" t="s">
        <v>345</v>
      </c>
      <c r="FD2071" s="33" t="s">
        <v>346</v>
      </c>
      <c r="FE2071" s="33">
        <v>2025</v>
      </c>
      <c r="FF2071" s="33" t="s">
        <v>59</v>
      </c>
      <c r="FG2071" s="33" t="s">
        <v>56</v>
      </c>
      <c r="FH2071" s="33" t="s">
        <v>57</v>
      </c>
      <c r="FI2071" s="33" t="s">
        <v>58</v>
      </c>
      <c r="FJ2071" t="s">
        <v>59</v>
      </c>
    </row>
    <row r="2072" spans="153:166" x14ac:dyDescent="0.35">
      <c r="EW2072" t="s">
        <v>3124</v>
      </c>
      <c r="EX2072" s="33" t="s">
        <v>3250</v>
      </c>
      <c r="EY2072" s="33" t="s">
        <v>392</v>
      </c>
      <c r="EZ2072" s="33" t="s">
        <v>393</v>
      </c>
      <c r="FA2072" s="33" t="s">
        <v>343</v>
      </c>
      <c r="FB2072" s="33" t="s">
        <v>344</v>
      </c>
      <c r="FC2072" s="33" t="s">
        <v>345</v>
      </c>
      <c r="FD2072" s="33" t="s">
        <v>346</v>
      </c>
      <c r="FE2072" s="33">
        <v>2025</v>
      </c>
      <c r="FF2072" s="33" t="s">
        <v>59</v>
      </c>
      <c r="FG2072" s="33" t="s">
        <v>56</v>
      </c>
      <c r="FH2072" s="33" t="s">
        <v>57</v>
      </c>
      <c r="FI2072" s="33" t="s">
        <v>58</v>
      </c>
      <c r="FJ2072" t="s">
        <v>59</v>
      </c>
    </row>
    <row r="2073" spans="153:166" x14ac:dyDescent="0.35">
      <c r="EW2073" t="s">
        <v>3124</v>
      </c>
      <c r="EX2073" s="33" t="s">
        <v>3251</v>
      </c>
      <c r="EY2073" s="33" t="s">
        <v>394</v>
      </c>
      <c r="EZ2073" s="33" t="s">
        <v>395</v>
      </c>
      <c r="FA2073" s="33" t="s">
        <v>343</v>
      </c>
      <c r="FB2073" s="33" t="s">
        <v>344</v>
      </c>
      <c r="FC2073" s="33" t="s">
        <v>345</v>
      </c>
      <c r="FD2073" s="33" t="s">
        <v>346</v>
      </c>
      <c r="FE2073" s="33">
        <v>2025</v>
      </c>
      <c r="FF2073" s="33" t="s">
        <v>59</v>
      </c>
      <c r="FG2073" s="33" t="s">
        <v>71</v>
      </c>
      <c r="FH2073" s="33" t="s">
        <v>72</v>
      </c>
      <c r="FI2073" s="33" t="s">
        <v>73</v>
      </c>
      <c r="FJ2073" t="s">
        <v>59</v>
      </c>
    </row>
    <row r="2074" spans="153:166" x14ac:dyDescent="0.35">
      <c r="EW2074" t="s">
        <v>3124</v>
      </c>
      <c r="EX2074" s="33" t="s">
        <v>3252</v>
      </c>
      <c r="EY2074" s="33" t="s">
        <v>399</v>
      </c>
      <c r="EZ2074" s="33" t="s">
        <v>400</v>
      </c>
      <c r="FA2074" s="33" t="s">
        <v>343</v>
      </c>
      <c r="FB2074" s="33" t="s">
        <v>344</v>
      </c>
      <c r="FC2074" s="33" t="s">
        <v>345</v>
      </c>
      <c r="FD2074" s="33" t="s">
        <v>346</v>
      </c>
      <c r="FE2074" s="33">
        <v>2025</v>
      </c>
      <c r="FF2074" s="33" t="s">
        <v>59</v>
      </c>
      <c r="FG2074" s="33" t="s">
        <v>71</v>
      </c>
      <c r="FH2074" s="33" t="s">
        <v>72</v>
      </c>
      <c r="FI2074" s="33" t="s">
        <v>73</v>
      </c>
      <c r="FJ2074" t="s">
        <v>59</v>
      </c>
    </row>
    <row r="2075" spans="153:166" x14ac:dyDescent="0.35">
      <c r="EW2075" t="s">
        <v>3124</v>
      </c>
      <c r="EX2075" s="33" t="s">
        <v>3253</v>
      </c>
      <c r="EY2075" s="33" t="s">
        <v>401</v>
      </c>
      <c r="EZ2075" s="33" t="s">
        <v>402</v>
      </c>
      <c r="FA2075" s="33" t="s">
        <v>343</v>
      </c>
      <c r="FB2075" s="33" t="s">
        <v>344</v>
      </c>
      <c r="FC2075" s="33" t="s">
        <v>345</v>
      </c>
      <c r="FD2075" s="33" t="s">
        <v>346</v>
      </c>
      <c r="FE2075" s="33">
        <v>2025</v>
      </c>
      <c r="FF2075" s="33" t="s">
        <v>59</v>
      </c>
      <c r="FG2075" s="33" t="s">
        <v>71</v>
      </c>
      <c r="FH2075" s="33" t="s">
        <v>72</v>
      </c>
      <c r="FI2075" s="33" t="s">
        <v>73</v>
      </c>
      <c r="FJ2075" t="s">
        <v>59</v>
      </c>
    </row>
    <row r="2076" spans="153:166" x14ac:dyDescent="0.35">
      <c r="EW2076" t="s">
        <v>3124</v>
      </c>
      <c r="EX2076" s="33" t="s">
        <v>3254</v>
      </c>
      <c r="EY2076" s="33" t="s">
        <v>403</v>
      </c>
      <c r="EZ2076" s="33" t="s">
        <v>404</v>
      </c>
      <c r="FA2076" s="33" t="s">
        <v>343</v>
      </c>
      <c r="FB2076" s="33" t="s">
        <v>344</v>
      </c>
      <c r="FC2076" s="33" t="s">
        <v>345</v>
      </c>
      <c r="FD2076" s="33" t="s">
        <v>346</v>
      </c>
      <c r="FE2076" s="33">
        <v>2025</v>
      </c>
      <c r="FF2076" s="33" t="s">
        <v>59</v>
      </c>
      <c r="FG2076" s="33" t="s">
        <v>71</v>
      </c>
      <c r="FH2076" s="33" t="s">
        <v>72</v>
      </c>
      <c r="FI2076" s="33" t="s">
        <v>73</v>
      </c>
      <c r="FJ2076" t="s">
        <v>59</v>
      </c>
    </row>
    <row r="2077" spans="153:166" x14ac:dyDescent="0.35">
      <c r="EW2077" t="s">
        <v>3124</v>
      </c>
      <c r="EX2077" s="33" t="s">
        <v>3255</v>
      </c>
      <c r="EY2077" s="33" t="s">
        <v>405</v>
      </c>
      <c r="EZ2077" s="33" t="s">
        <v>406</v>
      </c>
      <c r="FA2077" s="33" t="s">
        <v>343</v>
      </c>
      <c r="FB2077" s="33" t="s">
        <v>344</v>
      </c>
      <c r="FC2077" s="33" t="s">
        <v>345</v>
      </c>
      <c r="FD2077" s="33" t="s">
        <v>346</v>
      </c>
      <c r="FE2077" s="33">
        <v>2025</v>
      </c>
      <c r="FF2077" s="33" t="s">
        <v>59</v>
      </c>
      <c r="FG2077" s="33" t="s">
        <v>386</v>
      </c>
      <c r="FH2077" s="33" t="s">
        <v>387</v>
      </c>
      <c r="FI2077" s="33" t="s">
        <v>407</v>
      </c>
      <c r="FJ2077" t="s">
        <v>59</v>
      </c>
    </row>
    <row r="2078" spans="153:166" x14ac:dyDescent="0.35">
      <c r="EW2078" t="s">
        <v>3124</v>
      </c>
      <c r="EX2078" s="33" t="s">
        <v>3256</v>
      </c>
      <c r="EY2078" s="33" t="s">
        <v>408</v>
      </c>
      <c r="EZ2078" s="33" t="s">
        <v>409</v>
      </c>
      <c r="FA2078" s="33" t="s">
        <v>343</v>
      </c>
      <c r="FB2078" s="33" t="s">
        <v>344</v>
      </c>
      <c r="FC2078" s="33" t="s">
        <v>345</v>
      </c>
      <c r="FD2078" s="33" t="s">
        <v>346</v>
      </c>
      <c r="FE2078" s="33">
        <v>2025</v>
      </c>
      <c r="FF2078" s="33" t="s">
        <v>59</v>
      </c>
      <c r="FG2078" s="33" t="s">
        <v>56</v>
      </c>
      <c r="FH2078" s="33" t="s">
        <v>57</v>
      </c>
      <c r="FI2078" s="33" t="s">
        <v>58</v>
      </c>
      <c r="FJ2078" t="s">
        <v>59</v>
      </c>
    </row>
    <row r="2079" spans="153:166" x14ac:dyDescent="0.35">
      <c r="EW2079" t="s">
        <v>3124</v>
      </c>
      <c r="EX2079" s="33" t="s">
        <v>3257</v>
      </c>
      <c r="EY2079" s="33" t="s">
        <v>410</v>
      </c>
      <c r="EZ2079" s="33" t="s">
        <v>411</v>
      </c>
      <c r="FA2079" s="33" t="s">
        <v>343</v>
      </c>
      <c r="FB2079" s="33" t="s">
        <v>344</v>
      </c>
      <c r="FC2079" s="33" t="s">
        <v>345</v>
      </c>
      <c r="FD2079" s="33" t="s">
        <v>346</v>
      </c>
      <c r="FE2079" s="33">
        <v>2025</v>
      </c>
      <c r="FF2079" s="33" t="s">
        <v>59</v>
      </c>
      <c r="FG2079" s="33" t="s">
        <v>56</v>
      </c>
      <c r="FH2079" s="33" t="s">
        <v>57</v>
      </c>
      <c r="FI2079" s="33" t="s">
        <v>58</v>
      </c>
      <c r="FJ2079" t="s">
        <v>59</v>
      </c>
    </row>
    <row r="2080" spans="153:166" x14ac:dyDescent="0.35">
      <c r="EW2080" t="s">
        <v>3124</v>
      </c>
      <c r="EX2080" s="33" t="s">
        <v>3258</v>
      </c>
      <c r="EY2080" s="33" t="s">
        <v>415</v>
      </c>
      <c r="EZ2080" s="33" t="s">
        <v>416</v>
      </c>
      <c r="FA2080" s="33" t="s">
        <v>343</v>
      </c>
      <c r="FB2080" s="33" t="s">
        <v>344</v>
      </c>
      <c r="FC2080" s="33" t="s">
        <v>345</v>
      </c>
      <c r="FD2080" s="33" t="s">
        <v>346</v>
      </c>
      <c r="FE2080" s="33">
        <v>2025</v>
      </c>
      <c r="FF2080" s="33" t="s">
        <v>59</v>
      </c>
      <c r="FG2080" s="33" t="s">
        <v>56</v>
      </c>
      <c r="FH2080" s="33" t="s">
        <v>57</v>
      </c>
      <c r="FI2080" s="33" t="s">
        <v>58</v>
      </c>
      <c r="FJ2080" t="s">
        <v>59</v>
      </c>
    </row>
    <row r="2081" spans="153:166" x14ac:dyDescent="0.35">
      <c r="EW2081" t="s">
        <v>3124</v>
      </c>
      <c r="EX2081" s="33" t="s">
        <v>3259</v>
      </c>
      <c r="EY2081" s="33" t="s">
        <v>417</v>
      </c>
      <c r="EZ2081" s="33" t="s">
        <v>418</v>
      </c>
      <c r="FA2081" s="33" t="s">
        <v>343</v>
      </c>
      <c r="FB2081" s="33" t="s">
        <v>344</v>
      </c>
      <c r="FC2081" s="33" t="s">
        <v>345</v>
      </c>
      <c r="FD2081" s="33" t="s">
        <v>346</v>
      </c>
      <c r="FE2081" s="33">
        <v>2025</v>
      </c>
      <c r="FF2081" s="33" t="s">
        <v>59</v>
      </c>
      <c r="FG2081" s="33" t="s">
        <v>56</v>
      </c>
      <c r="FH2081" s="33" t="s">
        <v>57</v>
      </c>
      <c r="FI2081" s="33" t="s">
        <v>58</v>
      </c>
      <c r="FJ2081" t="s">
        <v>59</v>
      </c>
    </row>
    <row r="2082" spans="153:166" x14ac:dyDescent="0.35">
      <c r="EW2082" t="s">
        <v>3124</v>
      </c>
      <c r="EX2082" s="33" t="s">
        <v>3260</v>
      </c>
      <c r="EY2082" s="33" t="s">
        <v>419</v>
      </c>
      <c r="EZ2082" s="33" t="s">
        <v>420</v>
      </c>
      <c r="FA2082" s="33" t="s">
        <v>343</v>
      </c>
      <c r="FB2082" s="33" t="s">
        <v>344</v>
      </c>
      <c r="FC2082" s="33" t="s">
        <v>345</v>
      </c>
      <c r="FD2082" s="33" t="s">
        <v>346</v>
      </c>
      <c r="FE2082" s="33">
        <v>2025</v>
      </c>
      <c r="FF2082" s="33" t="s">
        <v>59</v>
      </c>
      <c r="FG2082" s="33" t="s">
        <v>56</v>
      </c>
      <c r="FH2082" s="33" t="s">
        <v>57</v>
      </c>
      <c r="FI2082" s="33" t="s">
        <v>58</v>
      </c>
      <c r="FJ2082" t="s">
        <v>59</v>
      </c>
    </row>
    <row r="2083" spans="153:166" x14ac:dyDescent="0.35">
      <c r="EW2083" t="s">
        <v>3124</v>
      </c>
      <c r="EX2083" s="33" t="s">
        <v>3261</v>
      </c>
      <c r="EY2083" s="33" t="s">
        <v>421</v>
      </c>
      <c r="EZ2083" s="33" t="s">
        <v>422</v>
      </c>
      <c r="FA2083" s="33" t="s">
        <v>343</v>
      </c>
      <c r="FB2083" s="33" t="s">
        <v>344</v>
      </c>
      <c r="FC2083" s="33" t="s">
        <v>345</v>
      </c>
      <c r="FD2083" s="33" t="s">
        <v>346</v>
      </c>
      <c r="FE2083" s="33">
        <v>2025</v>
      </c>
      <c r="FF2083" s="33" t="s">
        <v>59</v>
      </c>
      <c r="FG2083" s="33" t="s">
        <v>56</v>
      </c>
      <c r="FH2083" s="33" t="s">
        <v>57</v>
      </c>
      <c r="FI2083" s="33" t="s">
        <v>58</v>
      </c>
      <c r="FJ2083" t="s">
        <v>59</v>
      </c>
    </row>
    <row r="2084" spans="153:166" x14ac:dyDescent="0.35">
      <c r="EW2084" t="s">
        <v>3124</v>
      </c>
      <c r="EX2084" s="33" t="s">
        <v>3262</v>
      </c>
      <c r="EY2084" s="33" t="s">
        <v>423</v>
      </c>
      <c r="EZ2084" s="33" t="s">
        <v>424</v>
      </c>
      <c r="FA2084" s="33" t="s">
        <v>343</v>
      </c>
      <c r="FB2084" s="33" t="s">
        <v>344</v>
      </c>
      <c r="FC2084" s="33" t="s">
        <v>345</v>
      </c>
      <c r="FD2084" s="33" t="s">
        <v>346</v>
      </c>
      <c r="FE2084" s="33">
        <v>2025</v>
      </c>
      <c r="FF2084" s="33" t="s">
        <v>59</v>
      </c>
      <c r="FG2084" s="33" t="s">
        <v>56</v>
      </c>
      <c r="FH2084" s="33" t="s">
        <v>57</v>
      </c>
      <c r="FI2084" s="33" t="s">
        <v>58</v>
      </c>
      <c r="FJ2084" t="s">
        <v>59</v>
      </c>
    </row>
    <row r="2085" spans="153:166" x14ac:dyDescent="0.35">
      <c r="EW2085" t="s">
        <v>3124</v>
      </c>
      <c r="EX2085" s="33" t="s">
        <v>3263</v>
      </c>
      <c r="EY2085" s="33" t="s">
        <v>428</v>
      </c>
      <c r="EZ2085" s="33" t="s">
        <v>429</v>
      </c>
      <c r="FA2085" s="33" t="s">
        <v>343</v>
      </c>
      <c r="FB2085" s="33" t="s">
        <v>344</v>
      </c>
      <c r="FC2085" s="33" t="s">
        <v>345</v>
      </c>
      <c r="FD2085" s="33" t="s">
        <v>346</v>
      </c>
      <c r="FE2085" s="33">
        <v>2025</v>
      </c>
      <c r="FF2085" s="33" t="s">
        <v>59</v>
      </c>
      <c r="FG2085" s="33" t="s">
        <v>56</v>
      </c>
      <c r="FH2085" s="33" t="s">
        <v>57</v>
      </c>
      <c r="FI2085" s="33" t="s">
        <v>58</v>
      </c>
      <c r="FJ2085" t="s">
        <v>59</v>
      </c>
    </row>
    <row r="2086" spans="153:166" x14ac:dyDescent="0.35">
      <c r="EW2086" t="s">
        <v>3124</v>
      </c>
      <c r="EX2086" s="33" t="s">
        <v>3264</v>
      </c>
      <c r="EY2086" s="33" t="s">
        <v>430</v>
      </c>
      <c r="EZ2086" s="33" t="s">
        <v>431</v>
      </c>
      <c r="FA2086" s="33" t="s">
        <v>343</v>
      </c>
      <c r="FB2086" s="33" t="s">
        <v>344</v>
      </c>
      <c r="FC2086" s="33" t="s">
        <v>345</v>
      </c>
      <c r="FD2086" s="33" t="s">
        <v>346</v>
      </c>
      <c r="FE2086" s="33">
        <v>2025</v>
      </c>
      <c r="FF2086" s="33" t="s">
        <v>59</v>
      </c>
      <c r="FG2086" s="33" t="s">
        <v>56</v>
      </c>
      <c r="FH2086" s="33" t="s">
        <v>57</v>
      </c>
      <c r="FI2086" s="33" t="s">
        <v>58</v>
      </c>
      <c r="FJ2086" t="s">
        <v>59</v>
      </c>
    </row>
    <row r="2087" spans="153:166" x14ac:dyDescent="0.35">
      <c r="EW2087" t="s">
        <v>3124</v>
      </c>
      <c r="EX2087" s="33" t="s">
        <v>3265</v>
      </c>
      <c r="EY2087" s="33" t="s">
        <v>432</v>
      </c>
      <c r="EZ2087" s="33" t="s">
        <v>433</v>
      </c>
      <c r="FA2087" s="33" t="s">
        <v>343</v>
      </c>
      <c r="FB2087" s="33" t="s">
        <v>344</v>
      </c>
      <c r="FC2087" s="33" t="s">
        <v>345</v>
      </c>
      <c r="FD2087" s="33" t="s">
        <v>346</v>
      </c>
      <c r="FE2087" s="33">
        <v>2025</v>
      </c>
      <c r="FF2087" s="33" t="s">
        <v>59</v>
      </c>
      <c r="FG2087" s="33" t="s">
        <v>71</v>
      </c>
      <c r="FH2087" s="33" t="s">
        <v>72</v>
      </c>
      <c r="FI2087" s="33" t="s">
        <v>73</v>
      </c>
      <c r="FJ2087" t="s">
        <v>59</v>
      </c>
    </row>
    <row r="2088" spans="153:166" x14ac:dyDescent="0.35">
      <c r="EW2088" t="s">
        <v>3124</v>
      </c>
      <c r="EX2088" s="33" t="s">
        <v>3266</v>
      </c>
      <c r="EY2088" s="33" t="s">
        <v>434</v>
      </c>
      <c r="EZ2088" s="33" t="s">
        <v>435</v>
      </c>
      <c r="FA2088" s="33" t="s">
        <v>343</v>
      </c>
      <c r="FB2088" s="33" t="s">
        <v>344</v>
      </c>
      <c r="FC2088" s="33" t="s">
        <v>345</v>
      </c>
      <c r="FD2088" s="33" t="s">
        <v>346</v>
      </c>
      <c r="FE2088" s="33">
        <v>2025</v>
      </c>
      <c r="FF2088" s="33" t="s">
        <v>59</v>
      </c>
      <c r="FG2088" s="33" t="s">
        <v>56</v>
      </c>
      <c r="FH2088" s="33" t="s">
        <v>57</v>
      </c>
      <c r="FI2088" s="33" t="s">
        <v>58</v>
      </c>
      <c r="FJ2088" t="s">
        <v>59</v>
      </c>
    </row>
    <row r="2089" spans="153:166" x14ac:dyDescent="0.35">
      <c r="EW2089" t="s">
        <v>3124</v>
      </c>
      <c r="EX2089" s="33" t="s">
        <v>3267</v>
      </c>
      <c r="EY2089" s="33" t="s">
        <v>439</v>
      </c>
      <c r="EZ2089" s="33" t="s">
        <v>440</v>
      </c>
      <c r="FA2089" s="33" t="s">
        <v>343</v>
      </c>
      <c r="FB2089" s="33" t="s">
        <v>344</v>
      </c>
      <c r="FC2089" s="33" t="s">
        <v>345</v>
      </c>
      <c r="FD2089" s="33" t="s">
        <v>346</v>
      </c>
      <c r="FE2089" s="33">
        <v>2025</v>
      </c>
      <c r="FF2089" s="33" t="s">
        <v>59</v>
      </c>
      <c r="FG2089" s="33" t="s">
        <v>56</v>
      </c>
      <c r="FH2089" s="33" t="s">
        <v>57</v>
      </c>
      <c r="FI2089" s="33" t="s">
        <v>58</v>
      </c>
      <c r="FJ2089" t="s">
        <v>59</v>
      </c>
    </row>
    <row r="2090" spans="153:166" x14ac:dyDescent="0.35">
      <c r="EW2090" t="s">
        <v>3124</v>
      </c>
      <c r="EX2090" s="33" t="s">
        <v>3268</v>
      </c>
      <c r="EY2090" s="33" t="s">
        <v>441</v>
      </c>
      <c r="EZ2090" s="33" t="s">
        <v>442</v>
      </c>
      <c r="FA2090" s="33" t="s">
        <v>343</v>
      </c>
      <c r="FB2090" s="33" t="s">
        <v>344</v>
      </c>
      <c r="FC2090" s="33" t="s">
        <v>345</v>
      </c>
      <c r="FD2090" s="33" t="s">
        <v>346</v>
      </c>
      <c r="FE2090" s="33">
        <v>2025</v>
      </c>
      <c r="FF2090" s="33" t="s">
        <v>59</v>
      </c>
      <c r="FG2090" s="33" t="s">
        <v>56</v>
      </c>
      <c r="FH2090" s="33" t="s">
        <v>57</v>
      </c>
      <c r="FI2090" s="33" t="s">
        <v>58</v>
      </c>
      <c r="FJ2090" t="s">
        <v>59</v>
      </c>
    </row>
    <row r="2091" spans="153:166" x14ac:dyDescent="0.35">
      <c r="EW2091" t="s">
        <v>3124</v>
      </c>
      <c r="EX2091" s="33" t="s">
        <v>3269</v>
      </c>
      <c r="EY2091" s="33" t="s">
        <v>443</v>
      </c>
      <c r="EZ2091" s="33" t="s">
        <v>444</v>
      </c>
      <c r="FA2091" s="33" t="s">
        <v>343</v>
      </c>
      <c r="FB2091" s="33" t="s">
        <v>344</v>
      </c>
      <c r="FC2091" s="33" t="s">
        <v>345</v>
      </c>
      <c r="FD2091" s="33" t="s">
        <v>346</v>
      </c>
      <c r="FE2091" s="33">
        <v>2025</v>
      </c>
      <c r="FF2091" s="33" t="s">
        <v>59</v>
      </c>
      <c r="FG2091" s="33" t="s">
        <v>56</v>
      </c>
      <c r="FH2091" s="33" t="s">
        <v>57</v>
      </c>
      <c r="FI2091" s="33" t="s">
        <v>58</v>
      </c>
      <c r="FJ2091" t="s">
        <v>59</v>
      </c>
    </row>
    <row r="2092" spans="153:166" x14ac:dyDescent="0.35">
      <c r="EW2092" t="s">
        <v>3124</v>
      </c>
      <c r="EX2092" s="33" t="s">
        <v>3270</v>
      </c>
      <c r="EY2092" s="33" t="s">
        <v>445</v>
      </c>
      <c r="EZ2092" s="33" t="s">
        <v>446</v>
      </c>
      <c r="FA2092" s="33" t="s">
        <v>343</v>
      </c>
      <c r="FB2092" s="33" t="s">
        <v>344</v>
      </c>
      <c r="FC2092" s="33" t="s">
        <v>345</v>
      </c>
      <c r="FD2092" s="33" t="s">
        <v>346</v>
      </c>
      <c r="FE2092" s="33">
        <v>2025</v>
      </c>
      <c r="FF2092" s="33" t="s">
        <v>59</v>
      </c>
      <c r="FG2092" s="33" t="s">
        <v>56</v>
      </c>
      <c r="FH2092" s="33" t="s">
        <v>57</v>
      </c>
      <c r="FI2092" s="33" t="s">
        <v>58</v>
      </c>
      <c r="FJ2092" t="s">
        <v>59</v>
      </c>
    </row>
    <row r="2093" spans="153:166" x14ac:dyDescent="0.35">
      <c r="EW2093" t="s">
        <v>3124</v>
      </c>
      <c r="EX2093" s="33" t="s">
        <v>3271</v>
      </c>
      <c r="EY2093" s="33" t="s">
        <v>447</v>
      </c>
      <c r="EZ2093" s="33" t="s">
        <v>448</v>
      </c>
      <c r="FA2093" s="33" t="s">
        <v>343</v>
      </c>
      <c r="FB2093" s="33" t="s">
        <v>344</v>
      </c>
      <c r="FC2093" s="33" t="s">
        <v>345</v>
      </c>
      <c r="FD2093" s="33" t="s">
        <v>346</v>
      </c>
      <c r="FE2093" s="33">
        <v>2025</v>
      </c>
      <c r="FF2093" s="33" t="s">
        <v>59</v>
      </c>
      <c r="FG2093" s="33" t="s">
        <v>56</v>
      </c>
      <c r="FH2093" s="33" t="s">
        <v>57</v>
      </c>
      <c r="FI2093" s="33" t="s">
        <v>58</v>
      </c>
      <c r="FJ2093" t="s">
        <v>59</v>
      </c>
    </row>
    <row r="2094" spans="153:166" x14ac:dyDescent="0.35">
      <c r="EW2094" t="s">
        <v>3124</v>
      </c>
      <c r="EX2094" s="33" t="s">
        <v>3272</v>
      </c>
      <c r="EY2094" s="33" t="s">
        <v>449</v>
      </c>
      <c r="EZ2094" s="33" t="s">
        <v>450</v>
      </c>
      <c r="FA2094" s="33" t="s">
        <v>343</v>
      </c>
      <c r="FB2094" s="33" t="s">
        <v>344</v>
      </c>
      <c r="FC2094" s="33" t="s">
        <v>345</v>
      </c>
      <c r="FD2094" s="33" t="s">
        <v>346</v>
      </c>
      <c r="FE2094" s="33">
        <v>2025</v>
      </c>
      <c r="FF2094" s="33" t="s">
        <v>59</v>
      </c>
      <c r="FG2094" s="33" t="s">
        <v>56</v>
      </c>
      <c r="FH2094" s="33" t="s">
        <v>57</v>
      </c>
      <c r="FI2094" s="33" t="s">
        <v>58</v>
      </c>
      <c r="FJ2094" t="s">
        <v>59</v>
      </c>
    </row>
    <row r="2095" spans="153:166" x14ac:dyDescent="0.35">
      <c r="EW2095" t="s">
        <v>3124</v>
      </c>
      <c r="EX2095" s="33" t="s">
        <v>3273</v>
      </c>
      <c r="EY2095" s="33" t="s">
        <v>454</v>
      </c>
      <c r="EZ2095" s="33" t="s">
        <v>455</v>
      </c>
      <c r="FA2095" s="33" t="s">
        <v>343</v>
      </c>
      <c r="FB2095" s="33" t="s">
        <v>344</v>
      </c>
      <c r="FC2095" s="33" t="s">
        <v>345</v>
      </c>
      <c r="FD2095" s="33" t="s">
        <v>346</v>
      </c>
      <c r="FE2095" s="33">
        <v>2025</v>
      </c>
      <c r="FF2095" s="33" t="s">
        <v>59</v>
      </c>
      <c r="FG2095" s="33" t="s">
        <v>56</v>
      </c>
      <c r="FH2095" s="33" t="s">
        <v>57</v>
      </c>
      <c r="FI2095" s="33" t="s">
        <v>58</v>
      </c>
      <c r="FJ2095" t="s">
        <v>59</v>
      </c>
    </row>
    <row r="2096" spans="153:166" x14ac:dyDescent="0.35">
      <c r="EW2096" t="s">
        <v>3124</v>
      </c>
      <c r="EX2096" s="33" t="s">
        <v>3274</v>
      </c>
      <c r="EY2096" s="33" t="s">
        <v>456</v>
      </c>
      <c r="EZ2096" s="33" t="s">
        <v>457</v>
      </c>
      <c r="FA2096" s="33" t="s">
        <v>343</v>
      </c>
      <c r="FB2096" s="33" t="s">
        <v>344</v>
      </c>
      <c r="FC2096" s="33" t="s">
        <v>345</v>
      </c>
      <c r="FD2096" s="33" t="s">
        <v>346</v>
      </c>
      <c r="FE2096" s="33">
        <v>2025</v>
      </c>
      <c r="FF2096" s="33" t="s">
        <v>59</v>
      </c>
      <c r="FG2096" s="33" t="s">
        <v>71</v>
      </c>
      <c r="FH2096" s="33" t="s">
        <v>72</v>
      </c>
      <c r="FI2096" s="33" t="s">
        <v>73</v>
      </c>
      <c r="FJ2096" t="s">
        <v>59</v>
      </c>
    </row>
    <row r="2097" spans="153:166" x14ac:dyDescent="0.35">
      <c r="EW2097" t="s">
        <v>3124</v>
      </c>
      <c r="EX2097" s="33" t="s">
        <v>3275</v>
      </c>
      <c r="EY2097" s="33" t="s">
        <v>458</v>
      </c>
      <c r="EZ2097" s="33" t="s">
        <v>459</v>
      </c>
      <c r="FA2097" s="33" t="s">
        <v>343</v>
      </c>
      <c r="FB2097" s="33" t="s">
        <v>344</v>
      </c>
      <c r="FC2097" s="33" t="s">
        <v>345</v>
      </c>
      <c r="FD2097" s="33" t="s">
        <v>346</v>
      </c>
      <c r="FE2097" s="33">
        <v>2025</v>
      </c>
      <c r="FF2097" s="33" t="s">
        <v>59</v>
      </c>
      <c r="FG2097" s="33" t="s">
        <v>71</v>
      </c>
      <c r="FH2097" s="33" t="s">
        <v>72</v>
      </c>
      <c r="FI2097" s="33" t="s">
        <v>73</v>
      </c>
      <c r="FJ2097" t="s">
        <v>59</v>
      </c>
    </row>
    <row r="2098" spans="153:166" x14ac:dyDescent="0.35">
      <c r="EW2098" t="s">
        <v>3124</v>
      </c>
      <c r="EX2098" s="33" t="s">
        <v>3276</v>
      </c>
      <c r="EY2098" s="33" t="s">
        <v>460</v>
      </c>
      <c r="EZ2098" s="33" t="s">
        <v>461</v>
      </c>
      <c r="FA2098" s="33" t="s">
        <v>343</v>
      </c>
      <c r="FB2098" s="33" t="s">
        <v>344</v>
      </c>
      <c r="FC2098" s="33" t="s">
        <v>345</v>
      </c>
      <c r="FD2098" s="33" t="s">
        <v>346</v>
      </c>
      <c r="FE2098" s="33">
        <v>2025</v>
      </c>
      <c r="FF2098" s="33" t="s">
        <v>59</v>
      </c>
      <c r="FG2098" s="33" t="s">
        <v>71</v>
      </c>
      <c r="FH2098" s="33" t="s">
        <v>72</v>
      </c>
      <c r="FI2098" s="33" t="s">
        <v>73</v>
      </c>
      <c r="FJ2098" t="s">
        <v>59</v>
      </c>
    </row>
    <row r="2099" spans="153:166" x14ac:dyDescent="0.35">
      <c r="EW2099" t="s">
        <v>3124</v>
      </c>
      <c r="EX2099" s="33" t="s">
        <v>3277</v>
      </c>
      <c r="EY2099" s="33" t="s">
        <v>465</v>
      </c>
      <c r="EZ2099" s="33" t="s">
        <v>466</v>
      </c>
      <c r="FA2099" s="33" t="s">
        <v>343</v>
      </c>
      <c r="FB2099" s="33" t="s">
        <v>344</v>
      </c>
      <c r="FC2099" s="33" t="s">
        <v>345</v>
      </c>
      <c r="FD2099" s="33" t="s">
        <v>346</v>
      </c>
      <c r="FE2099" s="33">
        <v>2025</v>
      </c>
      <c r="FF2099" s="33" t="s">
        <v>59</v>
      </c>
      <c r="FG2099" s="33" t="s">
        <v>386</v>
      </c>
      <c r="FH2099" s="33" t="s">
        <v>387</v>
      </c>
      <c r="FI2099" s="33" t="s">
        <v>467</v>
      </c>
      <c r="FJ2099" t="s">
        <v>59</v>
      </c>
    </row>
    <row r="2100" spans="153:166" x14ac:dyDescent="0.35">
      <c r="EW2100" t="s">
        <v>3124</v>
      </c>
      <c r="EX2100" s="33" t="s">
        <v>3278</v>
      </c>
      <c r="EY2100" s="33" t="s">
        <v>468</v>
      </c>
      <c r="EZ2100" s="33" t="s">
        <v>469</v>
      </c>
      <c r="FA2100" s="33" t="s">
        <v>343</v>
      </c>
      <c r="FB2100" s="33" t="s">
        <v>344</v>
      </c>
      <c r="FC2100" s="33" t="s">
        <v>345</v>
      </c>
      <c r="FD2100" s="33" t="s">
        <v>346</v>
      </c>
      <c r="FE2100" s="33">
        <v>2025</v>
      </c>
      <c r="FF2100" s="33" t="s">
        <v>59</v>
      </c>
      <c r="FG2100" s="33" t="s">
        <v>470</v>
      </c>
      <c r="FH2100" s="33" t="s">
        <v>471</v>
      </c>
      <c r="FI2100" s="33" t="s">
        <v>467</v>
      </c>
      <c r="FJ2100" t="s">
        <v>59</v>
      </c>
    </row>
    <row r="2101" spans="153:166" x14ac:dyDescent="0.35">
      <c r="EW2101" t="s">
        <v>3124</v>
      </c>
      <c r="EX2101" s="33" t="s">
        <v>3279</v>
      </c>
      <c r="EY2101" s="33" t="s">
        <v>472</v>
      </c>
      <c r="EZ2101" s="33">
        <v>451887</v>
      </c>
      <c r="FA2101" s="33" t="s">
        <v>51</v>
      </c>
      <c r="FB2101" s="33" t="s">
        <v>473</v>
      </c>
      <c r="FC2101" s="33" t="s">
        <v>53</v>
      </c>
      <c r="FD2101" s="33" t="s">
        <v>54</v>
      </c>
      <c r="FE2101" s="33">
        <v>2020</v>
      </c>
      <c r="FF2101" s="33" t="s">
        <v>474</v>
      </c>
      <c r="FG2101" s="33" t="s">
        <v>470</v>
      </c>
      <c r="FH2101" s="33" t="s">
        <v>471</v>
      </c>
      <c r="FI2101" s="33" t="s">
        <v>467</v>
      </c>
      <c r="FJ2101" t="s">
        <v>474</v>
      </c>
    </row>
    <row r="2102" spans="153:166" x14ac:dyDescent="0.35">
      <c r="EW2102" t="s">
        <v>3124</v>
      </c>
      <c r="EX2102" s="33" t="s">
        <v>3280</v>
      </c>
      <c r="EY2102" s="33" t="s">
        <v>475</v>
      </c>
      <c r="EZ2102" s="33">
        <v>508408</v>
      </c>
      <c r="FA2102" s="33" t="s">
        <v>51</v>
      </c>
      <c r="FB2102" s="33" t="s">
        <v>473</v>
      </c>
      <c r="FC2102" s="33" t="s">
        <v>53</v>
      </c>
      <c r="FD2102" s="33" t="s">
        <v>476</v>
      </c>
      <c r="FE2102" s="33">
        <v>2020</v>
      </c>
      <c r="FF2102" s="33" t="s">
        <v>474</v>
      </c>
      <c r="FG2102" s="33" t="s">
        <v>477</v>
      </c>
      <c r="FH2102" s="33" t="s">
        <v>478</v>
      </c>
      <c r="FI2102" s="33" t="s">
        <v>479</v>
      </c>
      <c r="FJ2102" t="s">
        <v>474</v>
      </c>
    </row>
    <row r="2103" spans="153:166" x14ac:dyDescent="0.35">
      <c r="EW2103" t="s">
        <v>3124</v>
      </c>
      <c r="EX2103" s="33" t="s">
        <v>3281</v>
      </c>
      <c r="EY2103" s="33" t="s">
        <v>483</v>
      </c>
      <c r="EZ2103" s="33">
        <v>509327</v>
      </c>
      <c r="FA2103" s="33" t="s">
        <v>51</v>
      </c>
      <c r="FB2103" s="33" t="s">
        <v>473</v>
      </c>
      <c r="FC2103" s="33" t="s">
        <v>53</v>
      </c>
      <c r="FD2103" s="33" t="s">
        <v>476</v>
      </c>
      <c r="FE2103" s="33">
        <v>2020</v>
      </c>
      <c r="FF2103" s="33" t="s">
        <v>474</v>
      </c>
      <c r="FG2103" s="33" t="s">
        <v>477</v>
      </c>
      <c r="FH2103" s="33" t="s">
        <v>478</v>
      </c>
      <c r="FI2103" s="33" t="s">
        <v>479</v>
      </c>
      <c r="FJ2103" t="s">
        <v>474</v>
      </c>
    </row>
    <row r="2104" spans="153:166" x14ac:dyDescent="0.35">
      <c r="EW2104" t="s">
        <v>3124</v>
      </c>
      <c r="EX2104" s="33" t="s">
        <v>3282</v>
      </c>
      <c r="EY2104" s="33" t="s">
        <v>487</v>
      </c>
      <c r="EZ2104" s="33">
        <v>508437</v>
      </c>
      <c r="FA2104" s="33" t="s">
        <v>51</v>
      </c>
      <c r="FB2104" s="33" t="s">
        <v>473</v>
      </c>
      <c r="FC2104" s="33" t="s">
        <v>53</v>
      </c>
      <c r="FD2104" s="33" t="s">
        <v>476</v>
      </c>
      <c r="FE2104" s="33">
        <v>2020</v>
      </c>
      <c r="FF2104" s="33" t="s">
        <v>474</v>
      </c>
      <c r="FG2104" s="33" t="s">
        <v>477</v>
      </c>
      <c r="FH2104" s="33" t="s">
        <v>478</v>
      </c>
      <c r="FI2104" s="33" t="s">
        <v>479</v>
      </c>
      <c r="FJ2104" t="s">
        <v>474</v>
      </c>
    </row>
    <row r="2105" spans="153:166" x14ac:dyDescent="0.35">
      <c r="EW2105" t="s">
        <v>3124</v>
      </c>
      <c r="EX2105" s="33" t="s">
        <v>3283</v>
      </c>
      <c r="EY2105" s="33" t="s">
        <v>488</v>
      </c>
      <c r="EZ2105" s="33">
        <v>508572</v>
      </c>
      <c r="FA2105" s="33" t="s">
        <v>51</v>
      </c>
      <c r="FB2105" s="33" t="s">
        <v>473</v>
      </c>
      <c r="FC2105" s="33" t="s">
        <v>53</v>
      </c>
      <c r="FD2105" s="33" t="s">
        <v>476</v>
      </c>
      <c r="FE2105" s="33">
        <v>2020</v>
      </c>
      <c r="FF2105" s="33" t="s">
        <v>474</v>
      </c>
      <c r="FG2105" s="33" t="s">
        <v>477</v>
      </c>
      <c r="FH2105" s="33" t="s">
        <v>478</v>
      </c>
      <c r="FI2105" s="33" t="s">
        <v>479</v>
      </c>
      <c r="FJ2105" t="s">
        <v>474</v>
      </c>
    </row>
    <row r="2106" spans="153:166" x14ac:dyDescent="0.35">
      <c r="EW2106" t="s">
        <v>3124</v>
      </c>
      <c r="EX2106" s="33" t="s">
        <v>3284</v>
      </c>
      <c r="EY2106" s="33" t="s">
        <v>489</v>
      </c>
      <c r="EZ2106" s="33">
        <v>508361</v>
      </c>
      <c r="FA2106" s="33" t="s">
        <v>51</v>
      </c>
      <c r="FB2106" s="33" t="s">
        <v>473</v>
      </c>
      <c r="FC2106" s="33" t="s">
        <v>53</v>
      </c>
      <c r="FD2106" s="33" t="s">
        <v>476</v>
      </c>
      <c r="FE2106" s="33">
        <v>2020</v>
      </c>
      <c r="FF2106" s="33" t="s">
        <v>474</v>
      </c>
      <c r="FG2106" s="33" t="s">
        <v>477</v>
      </c>
      <c r="FH2106" s="33" t="s">
        <v>478</v>
      </c>
      <c r="FI2106" s="33" t="s">
        <v>479</v>
      </c>
      <c r="FJ2106" t="s">
        <v>474</v>
      </c>
    </row>
    <row r="2107" spans="153:166" x14ac:dyDescent="0.35">
      <c r="EW2107" t="s">
        <v>3124</v>
      </c>
      <c r="EX2107" s="33" t="s">
        <v>3285</v>
      </c>
      <c r="EY2107" s="33" t="s">
        <v>490</v>
      </c>
      <c r="EZ2107" s="33">
        <v>508380</v>
      </c>
      <c r="FA2107" s="33" t="s">
        <v>51</v>
      </c>
      <c r="FB2107" s="33" t="s">
        <v>473</v>
      </c>
      <c r="FC2107" s="33" t="s">
        <v>53</v>
      </c>
      <c r="FD2107" s="33" t="s">
        <v>476</v>
      </c>
      <c r="FE2107" s="33">
        <v>2020</v>
      </c>
      <c r="FF2107" s="33" t="s">
        <v>474</v>
      </c>
      <c r="FG2107" s="33" t="s">
        <v>477</v>
      </c>
      <c r="FH2107" s="33" t="s">
        <v>478</v>
      </c>
      <c r="FI2107" s="33" t="s">
        <v>479</v>
      </c>
      <c r="FJ2107" t="s">
        <v>474</v>
      </c>
    </row>
    <row r="2108" spans="153:166" x14ac:dyDescent="0.35">
      <c r="EW2108" t="s">
        <v>3124</v>
      </c>
      <c r="EX2108" s="33" t="s">
        <v>3286</v>
      </c>
      <c r="EY2108" s="33" t="s">
        <v>491</v>
      </c>
      <c r="EZ2108" s="33">
        <v>508444</v>
      </c>
      <c r="FA2108" s="33" t="s">
        <v>51</v>
      </c>
      <c r="FB2108" s="33" t="s">
        <v>473</v>
      </c>
      <c r="FC2108" s="33" t="s">
        <v>53</v>
      </c>
      <c r="FD2108" s="33" t="s">
        <v>476</v>
      </c>
      <c r="FE2108" s="33">
        <v>2020</v>
      </c>
      <c r="FF2108" s="33" t="s">
        <v>474</v>
      </c>
      <c r="FG2108" s="33" t="s">
        <v>477</v>
      </c>
      <c r="FH2108" s="33" t="s">
        <v>478</v>
      </c>
      <c r="FI2108" s="33" t="s">
        <v>479</v>
      </c>
      <c r="FJ2108" t="s">
        <v>474</v>
      </c>
    </row>
    <row r="2109" spans="153:166" x14ac:dyDescent="0.35">
      <c r="EW2109" t="s">
        <v>3124</v>
      </c>
      <c r="EX2109" s="33" t="s">
        <v>3287</v>
      </c>
      <c r="EY2109" s="33" t="s">
        <v>492</v>
      </c>
      <c r="EZ2109" s="33">
        <v>508467</v>
      </c>
      <c r="FA2109" s="33" t="s">
        <v>51</v>
      </c>
      <c r="FB2109" s="33" t="s">
        <v>473</v>
      </c>
      <c r="FC2109" s="33" t="s">
        <v>53</v>
      </c>
      <c r="FD2109" s="33" t="s">
        <v>476</v>
      </c>
      <c r="FE2109" s="33">
        <v>2020</v>
      </c>
      <c r="FF2109" s="33" t="s">
        <v>474</v>
      </c>
      <c r="FG2109" s="33" t="s">
        <v>477</v>
      </c>
      <c r="FH2109" s="33" t="s">
        <v>478</v>
      </c>
      <c r="FI2109" s="33" t="s">
        <v>479</v>
      </c>
      <c r="FJ2109" t="s">
        <v>474</v>
      </c>
    </row>
    <row r="2110" spans="153:166" x14ac:dyDescent="0.35">
      <c r="EW2110" t="s">
        <v>3124</v>
      </c>
      <c r="EX2110" s="33" t="s">
        <v>3288</v>
      </c>
      <c r="EY2110" s="33" t="s">
        <v>493</v>
      </c>
      <c r="EZ2110" s="33">
        <v>508196</v>
      </c>
      <c r="FA2110" s="33" t="s">
        <v>51</v>
      </c>
      <c r="FB2110" s="33" t="s">
        <v>473</v>
      </c>
      <c r="FC2110" s="33" t="s">
        <v>53</v>
      </c>
      <c r="FD2110" s="33" t="s">
        <v>476</v>
      </c>
      <c r="FE2110" s="33">
        <v>2020</v>
      </c>
      <c r="FF2110" s="33" t="s">
        <v>474</v>
      </c>
      <c r="FG2110" s="33" t="s">
        <v>477</v>
      </c>
      <c r="FH2110" s="33" t="s">
        <v>478</v>
      </c>
      <c r="FI2110" s="33" t="s">
        <v>479</v>
      </c>
      <c r="FJ2110" t="s">
        <v>474</v>
      </c>
    </row>
    <row r="2111" spans="153:166" x14ac:dyDescent="0.35">
      <c r="EW2111" t="s">
        <v>3124</v>
      </c>
      <c r="EX2111" s="33" t="s">
        <v>3289</v>
      </c>
      <c r="EY2111" s="33" t="s">
        <v>494</v>
      </c>
      <c r="EZ2111" s="33">
        <v>508277</v>
      </c>
      <c r="FA2111" s="33" t="s">
        <v>51</v>
      </c>
      <c r="FB2111" s="33" t="s">
        <v>473</v>
      </c>
      <c r="FC2111" s="33" t="s">
        <v>53</v>
      </c>
      <c r="FD2111" s="33" t="s">
        <v>476</v>
      </c>
      <c r="FE2111" s="33">
        <v>2020</v>
      </c>
      <c r="FF2111" s="33" t="s">
        <v>474</v>
      </c>
      <c r="FG2111" s="33" t="s">
        <v>477</v>
      </c>
      <c r="FH2111" s="33" t="s">
        <v>478</v>
      </c>
      <c r="FI2111" s="33" t="s">
        <v>479</v>
      </c>
      <c r="FJ2111" t="s">
        <v>474</v>
      </c>
    </row>
    <row r="2112" spans="153:166" x14ac:dyDescent="0.35">
      <c r="EW2112" t="s">
        <v>3124</v>
      </c>
      <c r="EX2112" s="33" t="s">
        <v>3290</v>
      </c>
      <c r="EY2112" s="33" t="s">
        <v>495</v>
      </c>
      <c r="EZ2112" s="33">
        <v>508208</v>
      </c>
      <c r="FA2112" s="33" t="s">
        <v>51</v>
      </c>
      <c r="FB2112" s="33" t="s">
        <v>473</v>
      </c>
      <c r="FC2112" s="33" t="s">
        <v>53</v>
      </c>
      <c r="FD2112" s="33" t="s">
        <v>476</v>
      </c>
      <c r="FE2112" s="33">
        <v>2020</v>
      </c>
      <c r="FF2112" s="33" t="s">
        <v>474</v>
      </c>
      <c r="FG2112" s="33" t="s">
        <v>477</v>
      </c>
      <c r="FH2112" s="33" t="s">
        <v>478</v>
      </c>
      <c r="FI2112" s="33" t="s">
        <v>479</v>
      </c>
      <c r="FJ2112" t="s">
        <v>474</v>
      </c>
    </row>
    <row r="2113" spans="153:166" x14ac:dyDescent="0.35">
      <c r="EW2113" t="s">
        <v>3124</v>
      </c>
      <c r="EX2113" s="33" t="s">
        <v>3291</v>
      </c>
      <c r="EY2113" s="33" t="s">
        <v>496</v>
      </c>
      <c r="EZ2113" s="33">
        <v>508167</v>
      </c>
      <c r="FA2113" s="33" t="s">
        <v>51</v>
      </c>
      <c r="FB2113" s="33" t="s">
        <v>473</v>
      </c>
      <c r="FC2113" s="33" t="s">
        <v>53</v>
      </c>
      <c r="FD2113" s="33" t="s">
        <v>476</v>
      </c>
      <c r="FE2113" s="33">
        <v>2020</v>
      </c>
      <c r="FF2113" s="33" t="s">
        <v>474</v>
      </c>
      <c r="FG2113" s="33" t="s">
        <v>477</v>
      </c>
      <c r="FH2113" s="33" t="s">
        <v>478</v>
      </c>
      <c r="FI2113" s="33" t="s">
        <v>479</v>
      </c>
      <c r="FJ2113" t="s">
        <v>474</v>
      </c>
    </row>
    <row r="2114" spans="153:166" x14ac:dyDescent="0.35">
      <c r="EW2114" t="s">
        <v>3124</v>
      </c>
      <c r="EX2114" s="33" t="s">
        <v>3292</v>
      </c>
      <c r="EY2114" s="33" t="s">
        <v>500</v>
      </c>
      <c r="EZ2114" s="33">
        <v>507859</v>
      </c>
      <c r="FA2114" s="33" t="s">
        <v>51</v>
      </c>
      <c r="FB2114" s="33" t="s">
        <v>473</v>
      </c>
      <c r="FC2114" s="33" t="s">
        <v>53</v>
      </c>
      <c r="FD2114" s="33" t="s">
        <v>476</v>
      </c>
      <c r="FE2114" s="33">
        <v>2020</v>
      </c>
      <c r="FF2114" s="33" t="s">
        <v>474</v>
      </c>
      <c r="FG2114" s="33" t="s">
        <v>477</v>
      </c>
      <c r="FH2114" s="33" t="s">
        <v>478</v>
      </c>
      <c r="FI2114" s="33" t="s">
        <v>479</v>
      </c>
      <c r="FJ2114" t="s">
        <v>474</v>
      </c>
    </row>
    <row r="2115" spans="153:166" x14ac:dyDescent="0.35">
      <c r="EW2115" t="s">
        <v>3124</v>
      </c>
      <c r="EX2115" s="33" t="s">
        <v>3293</v>
      </c>
      <c r="EY2115" s="33" t="s">
        <v>501</v>
      </c>
      <c r="EZ2115" s="33">
        <v>508172</v>
      </c>
      <c r="FA2115" s="33" t="s">
        <v>51</v>
      </c>
      <c r="FB2115" s="33" t="s">
        <v>473</v>
      </c>
      <c r="FC2115" s="33" t="s">
        <v>53</v>
      </c>
      <c r="FD2115" s="33" t="s">
        <v>476</v>
      </c>
      <c r="FE2115" s="33">
        <v>2020</v>
      </c>
      <c r="FF2115" s="33" t="s">
        <v>474</v>
      </c>
      <c r="FG2115" s="33" t="s">
        <v>477</v>
      </c>
      <c r="FH2115" s="33" t="s">
        <v>478</v>
      </c>
      <c r="FI2115" s="33" t="s">
        <v>479</v>
      </c>
      <c r="FJ2115" t="s">
        <v>474</v>
      </c>
    </row>
    <row r="2116" spans="153:166" x14ac:dyDescent="0.35">
      <c r="EW2116" t="s">
        <v>3124</v>
      </c>
      <c r="EX2116" s="33" t="s">
        <v>3294</v>
      </c>
      <c r="EY2116" s="33" t="s">
        <v>505</v>
      </c>
      <c r="EZ2116" s="33">
        <v>508690</v>
      </c>
      <c r="FA2116" s="33" t="s">
        <v>51</v>
      </c>
      <c r="FB2116" s="33" t="s">
        <v>473</v>
      </c>
      <c r="FC2116" s="33" t="s">
        <v>53</v>
      </c>
      <c r="FD2116" s="33" t="s">
        <v>476</v>
      </c>
      <c r="FE2116" s="33">
        <v>2020</v>
      </c>
      <c r="FF2116" s="33" t="s">
        <v>474</v>
      </c>
      <c r="FG2116" s="33" t="s">
        <v>470</v>
      </c>
      <c r="FH2116" s="33" t="s">
        <v>471</v>
      </c>
      <c r="FI2116" s="33" t="s">
        <v>467</v>
      </c>
      <c r="FJ2116" t="s">
        <v>474</v>
      </c>
    </row>
    <row r="2117" spans="153:166" x14ac:dyDescent="0.35">
      <c r="EW2117" t="s">
        <v>3124</v>
      </c>
      <c r="EX2117" s="33" t="s">
        <v>3295</v>
      </c>
      <c r="EY2117" s="33" t="s">
        <v>506</v>
      </c>
      <c r="EZ2117" s="33">
        <v>508223</v>
      </c>
      <c r="FA2117" s="33" t="s">
        <v>51</v>
      </c>
      <c r="FB2117" s="33" t="s">
        <v>473</v>
      </c>
      <c r="FC2117" s="33" t="s">
        <v>53</v>
      </c>
      <c r="FD2117" s="33" t="s">
        <v>476</v>
      </c>
      <c r="FE2117" s="33">
        <v>2020</v>
      </c>
      <c r="FF2117" s="33" t="s">
        <v>474</v>
      </c>
      <c r="FG2117" s="33" t="s">
        <v>477</v>
      </c>
      <c r="FH2117" s="33" t="s">
        <v>478</v>
      </c>
      <c r="FI2117" s="33" t="s">
        <v>479</v>
      </c>
      <c r="FJ2117" t="s">
        <v>474</v>
      </c>
    </row>
    <row r="2118" spans="153:166" x14ac:dyDescent="0.35">
      <c r="EW2118" t="s">
        <v>3124</v>
      </c>
      <c r="EX2118" s="33" t="s">
        <v>3296</v>
      </c>
      <c r="EY2118" s="33" t="s">
        <v>507</v>
      </c>
      <c r="EZ2118" s="33">
        <v>508144</v>
      </c>
      <c r="FA2118" s="33" t="s">
        <v>51</v>
      </c>
      <c r="FB2118" s="33" t="s">
        <v>473</v>
      </c>
      <c r="FC2118" s="33" t="s">
        <v>53</v>
      </c>
      <c r="FD2118" s="33" t="s">
        <v>476</v>
      </c>
      <c r="FE2118" s="33">
        <v>2020</v>
      </c>
      <c r="FF2118" s="33" t="s">
        <v>474</v>
      </c>
      <c r="FG2118" s="33" t="s">
        <v>477</v>
      </c>
      <c r="FH2118" s="33" t="s">
        <v>478</v>
      </c>
      <c r="FI2118" s="33" t="s">
        <v>479</v>
      </c>
      <c r="FJ2118" t="s">
        <v>474</v>
      </c>
    </row>
    <row r="2119" spans="153:166" x14ac:dyDescent="0.35">
      <c r="EW2119" t="s">
        <v>3124</v>
      </c>
      <c r="EX2119" s="33" t="s">
        <v>3297</v>
      </c>
      <c r="EY2119" s="33" t="s">
        <v>508</v>
      </c>
      <c r="EZ2119" s="33">
        <v>508132</v>
      </c>
      <c r="FA2119" s="33" t="s">
        <v>51</v>
      </c>
      <c r="FB2119" s="33" t="s">
        <v>473</v>
      </c>
      <c r="FC2119" s="33" t="s">
        <v>53</v>
      </c>
      <c r="FD2119" s="33" t="s">
        <v>476</v>
      </c>
      <c r="FE2119" s="33">
        <v>2020</v>
      </c>
      <c r="FF2119" s="33" t="s">
        <v>474</v>
      </c>
      <c r="FG2119" s="33" t="s">
        <v>477</v>
      </c>
      <c r="FH2119" s="33" t="s">
        <v>478</v>
      </c>
      <c r="FI2119" s="33" t="s">
        <v>479</v>
      </c>
      <c r="FJ2119" t="s">
        <v>474</v>
      </c>
    </row>
    <row r="2120" spans="153:166" x14ac:dyDescent="0.35">
      <c r="EW2120" t="s">
        <v>3124</v>
      </c>
      <c r="EX2120" s="33" t="s">
        <v>3298</v>
      </c>
      <c r="EY2120" s="33" t="s">
        <v>509</v>
      </c>
      <c r="EZ2120" s="33">
        <v>508345</v>
      </c>
      <c r="FA2120" s="33" t="s">
        <v>51</v>
      </c>
      <c r="FB2120" s="33" t="s">
        <v>473</v>
      </c>
      <c r="FC2120" s="33" t="s">
        <v>53</v>
      </c>
      <c r="FD2120" s="33" t="s">
        <v>476</v>
      </c>
      <c r="FE2120" s="33">
        <v>2020</v>
      </c>
      <c r="FF2120" s="33" t="s">
        <v>474</v>
      </c>
      <c r="FG2120" s="33" t="s">
        <v>477</v>
      </c>
      <c r="FH2120" s="33" t="s">
        <v>478</v>
      </c>
      <c r="FI2120" s="33" t="s">
        <v>479</v>
      </c>
      <c r="FJ2120" t="s">
        <v>474</v>
      </c>
    </row>
    <row r="2121" spans="153:166" x14ac:dyDescent="0.35">
      <c r="EW2121" t="s">
        <v>3124</v>
      </c>
      <c r="EX2121" s="33" t="s">
        <v>3299</v>
      </c>
      <c r="EY2121" s="33" t="s">
        <v>513</v>
      </c>
      <c r="EZ2121" s="33">
        <v>508201</v>
      </c>
      <c r="FA2121" s="33" t="s">
        <v>51</v>
      </c>
      <c r="FB2121" s="33" t="s">
        <v>473</v>
      </c>
      <c r="FC2121" s="33" t="s">
        <v>53</v>
      </c>
      <c r="FD2121" s="33" t="s">
        <v>476</v>
      </c>
      <c r="FE2121" s="33">
        <v>2020</v>
      </c>
      <c r="FF2121" s="33" t="s">
        <v>474</v>
      </c>
      <c r="FG2121" s="33" t="s">
        <v>477</v>
      </c>
      <c r="FH2121" s="33" t="s">
        <v>478</v>
      </c>
      <c r="FI2121" s="33" t="s">
        <v>479</v>
      </c>
      <c r="FJ2121" t="s">
        <v>474</v>
      </c>
    </row>
    <row r="2122" spans="153:166" x14ac:dyDescent="0.35">
      <c r="EW2122" t="s">
        <v>3124</v>
      </c>
      <c r="EX2122" s="33" t="s">
        <v>3300</v>
      </c>
      <c r="EY2122" s="33" t="s">
        <v>514</v>
      </c>
      <c r="EZ2122" s="33">
        <v>508119</v>
      </c>
      <c r="FA2122" s="33" t="s">
        <v>51</v>
      </c>
      <c r="FB2122" s="33" t="s">
        <v>473</v>
      </c>
      <c r="FC2122" s="33" t="s">
        <v>53</v>
      </c>
      <c r="FD2122" s="33" t="s">
        <v>476</v>
      </c>
      <c r="FE2122" s="33">
        <v>2020</v>
      </c>
      <c r="FF2122" s="33" t="s">
        <v>474</v>
      </c>
      <c r="FG2122" s="33" t="s">
        <v>477</v>
      </c>
      <c r="FH2122" s="33" t="s">
        <v>478</v>
      </c>
      <c r="FI2122" s="33" t="s">
        <v>479</v>
      </c>
      <c r="FJ2122" t="s">
        <v>474</v>
      </c>
    </row>
    <row r="2123" spans="153:166" x14ac:dyDescent="0.35">
      <c r="EW2123" t="s">
        <v>3124</v>
      </c>
      <c r="EX2123" s="33" t="s">
        <v>3301</v>
      </c>
      <c r="EY2123" s="33" t="s">
        <v>515</v>
      </c>
      <c r="EZ2123" s="33">
        <v>508282</v>
      </c>
      <c r="FA2123" s="33" t="s">
        <v>51</v>
      </c>
      <c r="FB2123" s="33" t="s">
        <v>473</v>
      </c>
      <c r="FC2123" s="33" t="s">
        <v>53</v>
      </c>
      <c r="FD2123" s="33" t="s">
        <v>476</v>
      </c>
      <c r="FE2123" s="33">
        <v>2020</v>
      </c>
      <c r="FF2123" s="33" t="s">
        <v>474</v>
      </c>
      <c r="FG2123" s="33" t="s">
        <v>477</v>
      </c>
      <c r="FH2123" s="33" t="s">
        <v>478</v>
      </c>
      <c r="FI2123" s="33" t="s">
        <v>479</v>
      </c>
      <c r="FJ2123" t="s">
        <v>474</v>
      </c>
    </row>
    <row r="2124" spans="153:166" x14ac:dyDescent="0.35">
      <c r="EW2124" t="s">
        <v>3124</v>
      </c>
      <c r="EX2124" s="33" t="s">
        <v>3302</v>
      </c>
      <c r="EY2124" s="33" t="s">
        <v>516</v>
      </c>
      <c r="EZ2124" s="33">
        <v>508121</v>
      </c>
      <c r="FA2124" s="33" t="s">
        <v>51</v>
      </c>
      <c r="FB2124" s="33" t="s">
        <v>473</v>
      </c>
      <c r="FC2124" s="33" t="s">
        <v>53</v>
      </c>
      <c r="FD2124" s="33" t="s">
        <v>476</v>
      </c>
      <c r="FE2124" s="33">
        <v>2020</v>
      </c>
      <c r="FF2124" s="33" t="s">
        <v>474</v>
      </c>
      <c r="FG2124" s="33" t="s">
        <v>470</v>
      </c>
      <c r="FH2124" s="33" t="s">
        <v>471</v>
      </c>
      <c r="FI2124" s="33" t="s">
        <v>467</v>
      </c>
      <c r="FJ2124" t="s">
        <v>474</v>
      </c>
    </row>
    <row r="2125" spans="153:166" x14ac:dyDescent="0.35">
      <c r="EW2125" t="s">
        <v>3124</v>
      </c>
      <c r="EX2125" s="33" t="s">
        <v>3303</v>
      </c>
      <c r="EY2125" s="33" t="s">
        <v>517</v>
      </c>
      <c r="EZ2125" s="33">
        <v>508224</v>
      </c>
      <c r="FA2125" s="33" t="s">
        <v>51</v>
      </c>
      <c r="FB2125" s="33" t="s">
        <v>473</v>
      </c>
      <c r="FC2125" s="33" t="s">
        <v>53</v>
      </c>
      <c r="FD2125" s="33" t="s">
        <v>476</v>
      </c>
      <c r="FE2125" s="33">
        <v>2020</v>
      </c>
      <c r="FF2125" s="33" t="s">
        <v>474</v>
      </c>
      <c r="FG2125" s="33" t="s">
        <v>470</v>
      </c>
      <c r="FH2125" s="33" t="s">
        <v>471</v>
      </c>
      <c r="FI2125" s="33" t="s">
        <v>467</v>
      </c>
      <c r="FJ2125" t="s">
        <v>474</v>
      </c>
    </row>
    <row r="2126" spans="153:166" x14ac:dyDescent="0.35">
      <c r="EW2126" t="s">
        <v>3124</v>
      </c>
      <c r="EX2126" s="33" t="s">
        <v>3304</v>
      </c>
      <c r="EY2126" s="33" t="s">
        <v>518</v>
      </c>
      <c r="EZ2126" s="33">
        <v>508615</v>
      </c>
      <c r="FA2126" s="33" t="s">
        <v>51</v>
      </c>
      <c r="FB2126" s="33" t="s">
        <v>473</v>
      </c>
      <c r="FC2126" s="33" t="s">
        <v>53</v>
      </c>
      <c r="FD2126" s="33" t="s">
        <v>476</v>
      </c>
      <c r="FE2126" s="33">
        <v>2020</v>
      </c>
      <c r="FF2126" s="33" t="s">
        <v>474</v>
      </c>
      <c r="FG2126" s="33" t="s">
        <v>477</v>
      </c>
      <c r="FH2126" s="33" t="s">
        <v>478</v>
      </c>
      <c r="FI2126" s="33" t="s">
        <v>479</v>
      </c>
      <c r="FJ2126" t="s">
        <v>474</v>
      </c>
    </row>
    <row r="2127" spans="153:166" x14ac:dyDescent="0.35">
      <c r="EW2127" t="s">
        <v>3124</v>
      </c>
      <c r="EX2127" s="33" t="s">
        <v>3305</v>
      </c>
      <c r="EY2127" s="33" t="s">
        <v>522</v>
      </c>
      <c r="EZ2127" s="33">
        <v>508569</v>
      </c>
      <c r="FA2127" s="33" t="s">
        <v>51</v>
      </c>
      <c r="FB2127" s="33" t="s">
        <v>473</v>
      </c>
      <c r="FC2127" s="33" t="s">
        <v>53</v>
      </c>
      <c r="FD2127" s="33" t="s">
        <v>476</v>
      </c>
      <c r="FE2127" s="33">
        <v>2020</v>
      </c>
      <c r="FF2127" s="33" t="s">
        <v>474</v>
      </c>
      <c r="FG2127" s="33" t="s">
        <v>470</v>
      </c>
      <c r="FH2127" s="33" t="s">
        <v>471</v>
      </c>
      <c r="FI2127" s="33" t="s">
        <v>467</v>
      </c>
      <c r="FJ2127" t="s">
        <v>474</v>
      </c>
    </row>
    <row r="2128" spans="153:166" x14ac:dyDescent="0.35">
      <c r="EW2128" t="s">
        <v>3124</v>
      </c>
      <c r="EX2128" s="33" t="s">
        <v>3306</v>
      </c>
      <c r="EY2128" s="33" t="s">
        <v>523</v>
      </c>
      <c r="EZ2128" s="33">
        <v>508297</v>
      </c>
      <c r="FA2128" s="33" t="s">
        <v>51</v>
      </c>
      <c r="FB2128" s="33" t="s">
        <v>473</v>
      </c>
      <c r="FC2128" s="33" t="s">
        <v>53</v>
      </c>
      <c r="FD2128" s="33" t="s">
        <v>476</v>
      </c>
      <c r="FE2128" s="33">
        <v>2020</v>
      </c>
      <c r="FF2128" s="33" t="s">
        <v>474</v>
      </c>
      <c r="FG2128" s="33" t="s">
        <v>477</v>
      </c>
      <c r="FH2128" s="33" t="s">
        <v>478</v>
      </c>
      <c r="FI2128" s="33" t="s">
        <v>479</v>
      </c>
      <c r="FJ2128" t="s">
        <v>474</v>
      </c>
    </row>
    <row r="2129" spans="153:166" x14ac:dyDescent="0.35">
      <c r="EW2129" t="s">
        <v>3124</v>
      </c>
      <c r="EX2129" s="33" t="s">
        <v>3307</v>
      </c>
      <c r="EY2129" s="33" t="s">
        <v>524</v>
      </c>
      <c r="EZ2129" s="33">
        <v>508303</v>
      </c>
      <c r="FA2129" s="33" t="s">
        <v>51</v>
      </c>
      <c r="FB2129" s="33" t="s">
        <v>473</v>
      </c>
      <c r="FC2129" s="33" t="s">
        <v>53</v>
      </c>
      <c r="FD2129" s="33" t="s">
        <v>476</v>
      </c>
      <c r="FE2129" s="33">
        <v>2020</v>
      </c>
      <c r="FF2129" s="33" t="s">
        <v>474</v>
      </c>
      <c r="FG2129" s="33" t="s">
        <v>477</v>
      </c>
      <c r="FH2129" s="33" t="s">
        <v>478</v>
      </c>
      <c r="FI2129" s="33" t="s">
        <v>479</v>
      </c>
      <c r="FJ2129" t="s">
        <v>474</v>
      </c>
    </row>
    <row r="2130" spans="153:166" x14ac:dyDescent="0.35">
      <c r="EW2130" t="s">
        <v>3124</v>
      </c>
      <c r="EX2130" s="33" t="s">
        <v>3308</v>
      </c>
      <c r="EY2130" s="33" t="s">
        <v>525</v>
      </c>
      <c r="EZ2130" s="33">
        <v>508235</v>
      </c>
      <c r="FA2130" s="33" t="s">
        <v>51</v>
      </c>
      <c r="FB2130" s="33" t="s">
        <v>473</v>
      </c>
      <c r="FC2130" s="33" t="s">
        <v>53</v>
      </c>
      <c r="FD2130" s="33" t="s">
        <v>476</v>
      </c>
      <c r="FE2130" s="33">
        <v>2020</v>
      </c>
      <c r="FF2130" s="33" t="s">
        <v>474</v>
      </c>
      <c r="FG2130" s="33" t="s">
        <v>477</v>
      </c>
      <c r="FH2130" s="33" t="s">
        <v>478</v>
      </c>
      <c r="FI2130" s="33" t="s">
        <v>479</v>
      </c>
      <c r="FJ2130" t="s">
        <v>474</v>
      </c>
    </row>
    <row r="2131" spans="153:166" x14ac:dyDescent="0.35">
      <c r="EW2131" t="s">
        <v>3124</v>
      </c>
      <c r="EX2131" s="33" t="s">
        <v>3309</v>
      </c>
      <c r="EY2131" s="33" t="s">
        <v>526</v>
      </c>
      <c r="EZ2131" s="33">
        <v>507854</v>
      </c>
      <c r="FA2131" s="33" t="s">
        <v>51</v>
      </c>
      <c r="FB2131" s="33" t="s">
        <v>473</v>
      </c>
      <c r="FC2131" s="33" t="s">
        <v>53</v>
      </c>
      <c r="FD2131" s="33" t="s">
        <v>476</v>
      </c>
      <c r="FE2131" s="33">
        <v>2020</v>
      </c>
      <c r="FF2131" s="33" t="s">
        <v>474</v>
      </c>
      <c r="FG2131" s="33" t="s">
        <v>477</v>
      </c>
      <c r="FH2131" s="33" t="s">
        <v>478</v>
      </c>
      <c r="FI2131" s="33" t="s">
        <v>479</v>
      </c>
      <c r="FJ2131" t="s">
        <v>474</v>
      </c>
    </row>
    <row r="2132" spans="153:166" x14ac:dyDescent="0.35">
      <c r="EW2132" t="s">
        <v>3124</v>
      </c>
      <c r="EX2132" s="33" t="s">
        <v>3310</v>
      </c>
      <c r="EY2132" s="33" t="s">
        <v>527</v>
      </c>
      <c r="EZ2132" s="33">
        <v>507955</v>
      </c>
      <c r="FA2132" s="33" t="s">
        <v>51</v>
      </c>
      <c r="FB2132" s="33" t="s">
        <v>473</v>
      </c>
      <c r="FC2132" s="33" t="s">
        <v>53</v>
      </c>
      <c r="FD2132" s="33" t="s">
        <v>476</v>
      </c>
      <c r="FE2132" s="33">
        <v>2020</v>
      </c>
      <c r="FF2132" s="33" t="s">
        <v>474</v>
      </c>
      <c r="FG2132" s="33" t="s">
        <v>470</v>
      </c>
      <c r="FH2132" s="33" t="s">
        <v>471</v>
      </c>
      <c r="FI2132" s="33" t="s">
        <v>467</v>
      </c>
      <c r="FJ2132" t="s">
        <v>474</v>
      </c>
    </row>
    <row r="2133" spans="153:166" x14ac:dyDescent="0.35">
      <c r="EW2133" t="s">
        <v>3124</v>
      </c>
      <c r="EX2133" s="33" t="s">
        <v>3311</v>
      </c>
      <c r="EY2133" s="33" t="s">
        <v>531</v>
      </c>
      <c r="EZ2133" s="33">
        <v>508633</v>
      </c>
      <c r="FA2133" s="33" t="s">
        <v>51</v>
      </c>
      <c r="FB2133" s="33" t="s">
        <v>473</v>
      </c>
      <c r="FC2133" s="33" t="s">
        <v>53</v>
      </c>
      <c r="FD2133" s="33" t="s">
        <v>476</v>
      </c>
      <c r="FE2133" s="33">
        <v>2020</v>
      </c>
      <c r="FF2133" s="33" t="s">
        <v>474</v>
      </c>
      <c r="FG2133" s="33" t="s">
        <v>477</v>
      </c>
      <c r="FH2133" s="33" t="s">
        <v>478</v>
      </c>
      <c r="FI2133" s="33" t="s">
        <v>479</v>
      </c>
      <c r="FJ2133" t="s">
        <v>474</v>
      </c>
    </row>
    <row r="2134" spans="153:166" x14ac:dyDescent="0.35">
      <c r="EW2134" t="s">
        <v>3124</v>
      </c>
      <c r="EX2134" s="33" t="s">
        <v>3312</v>
      </c>
      <c r="EY2134" s="33" t="s">
        <v>532</v>
      </c>
      <c r="EZ2134" s="33">
        <v>508651</v>
      </c>
      <c r="FA2134" s="33" t="s">
        <v>51</v>
      </c>
      <c r="FB2134" s="33" t="s">
        <v>473</v>
      </c>
      <c r="FC2134" s="33" t="s">
        <v>53</v>
      </c>
      <c r="FD2134" s="33" t="s">
        <v>476</v>
      </c>
      <c r="FE2134" s="33">
        <v>2020</v>
      </c>
      <c r="FF2134" s="33" t="s">
        <v>474</v>
      </c>
      <c r="FG2134" s="33" t="s">
        <v>477</v>
      </c>
      <c r="FH2134" s="33" t="s">
        <v>478</v>
      </c>
      <c r="FI2134" s="33" t="s">
        <v>479</v>
      </c>
      <c r="FJ2134" t="s">
        <v>474</v>
      </c>
    </row>
    <row r="2135" spans="153:166" x14ac:dyDescent="0.35">
      <c r="EW2135" t="s">
        <v>3124</v>
      </c>
      <c r="EX2135" s="33" t="s">
        <v>3313</v>
      </c>
      <c r="EY2135" s="33" t="s">
        <v>533</v>
      </c>
      <c r="EZ2135" s="33">
        <v>508236</v>
      </c>
      <c r="FA2135" s="33" t="s">
        <v>51</v>
      </c>
      <c r="FB2135" s="33" t="s">
        <v>473</v>
      </c>
      <c r="FC2135" s="33" t="s">
        <v>53</v>
      </c>
      <c r="FD2135" s="33" t="s">
        <v>476</v>
      </c>
      <c r="FE2135" s="33">
        <v>2020</v>
      </c>
      <c r="FF2135" s="33" t="s">
        <v>474</v>
      </c>
      <c r="FG2135" s="33" t="s">
        <v>477</v>
      </c>
      <c r="FH2135" s="33" t="s">
        <v>478</v>
      </c>
      <c r="FI2135" s="33" t="s">
        <v>479</v>
      </c>
      <c r="FJ2135" t="s">
        <v>474</v>
      </c>
    </row>
    <row r="2136" spans="153:166" x14ac:dyDescent="0.35">
      <c r="EW2136" t="s">
        <v>3124</v>
      </c>
      <c r="EX2136" s="33" t="s">
        <v>3314</v>
      </c>
      <c r="EY2136" s="33" t="s">
        <v>534</v>
      </c>
      <c r="EZ2136" s="33">
        <v>508307</v>
      </c>
      <c r="FA2136" s="33" t="s">
        <v>51</v>
      </c>
      <c r="FB2136" s="33" t="s">
        <v>473</v>
      </c>
      <c r="FC2136" s="33" t="s">
        <v>53</v>
      </c>
      <c r="FD2136" s="33" t="s">
        <v>476</v>
      </c>
      <c r="FE2136" s="33">
        <v>2020</v>
      </c>
      <c r="FF2136" s="33" t="s">
        <v>474</v>
      </c>
      <c r="FG2136" s="33" t="s">
        <v>477</v>
      </c>
      <c r="FH2136" s="33" t="s">
        <v>478</v>
      </c>
      <c r="FI2136" s="33" t="s">
        <v>479</v>
      </c>
      <c r="FJ2136" t="s">
        <v>474</v>
      </c>
    </row>
    <row r="2137" spans="153:166" x14ac:dyDescent="0.35">
      <c r="EW2137" t="s">
        <v>3124</v>
      </c>
      <c r="EX2137" s="33" t="s">
        <v>3315</v>
      </c>
      <c r="EY2137" s="33" t="s">
        <v>535</v>
      </c>
      <c r="EZ2137" s="33">
        <v>508215</v>
      </c>
      <c r="FA2137" s="33" t="s">
        <v>51</v>
      </c>
      <c r="FB2137" s="33" t="s">
        <v>473</v>
      </c>
      <c r="FC2137" s="33" t="s">
        <v>53</v>
      </c>
      <c r="FD2137" s="33" t="s">
        <v>476</v>
      </c>
      <c r="FE2137" s="33">
        <v>2020</v>
      </c>
      <c r="FF2137" s="33" t="s">
        <v>474</v>
      </c>
      <c r="FG2137" s="33" t="s">
        <v>470</v>
      </c>
      <c r="FH2137" s="33" t="s">
        <v>471</v>
      </c>
      <c r="FI2137" s="33" t="s">
        <v>467</v>
      </c>
      <c r="FJ2137" t="s">
        <v>474</v>
      </c>
    </row>
    <row r="2138" spans="153:166" x14ac:dyDescent="0.35">
      <c r="EW2138" t="s">
        <v>3124</v>
      </c>
      <c r="EX2138" s="33" t="s">
        <v>3316</v>
      </c>
      <c r="EY2138" s="33" t="s">
        <v>536</v>
      </c>
      <c r="EZ2138" s="33">
        <v>508655</v>
      </c>
      <c r="FA2138" s="33" t="s">
        <v>51</v>
      </c>
      <c r="FB2138" s="33" t="s">
        <v>473</v>
      </c>
      <c r="FC2138" s="33" t="s">
        <v>53</v>
      </c>
      <c r="FD2138" s="33" t="s">
        <v>476</v>
      </c>
      <c r="FE2138" s="33">
        <v>2020</v>
      </c>
      <c r="FF2138" s="33" t="s">
        <v>474</v>
      </c>
      <c r="FG2138" s="33" t="s">
        <v>477</v>
      </c>
      <c r="FH2138" s="33" t="s">
        <v>478</v>
      </c>
      <c r="FI2138" s="33" t="s">
        <v>479</v>
      </c>
      <c r="FJ2138" t="s">
        <v>474</v>
      </c>
    </row>
    <row r="2139" spans="153:166" x14ac:dyDescent="0.35">
      <c r="EW2139" t="s">
        <v>3124</v>
      </c>
      <c r="EX2139" s="33" t="s">
        <v>3317</v>
      </c>
      <c r="EY2139" s="33" t="s">
        <v>540</v>
      </c>
      <c r="EZ2139" s="33">
        <v>508198</v>
      </c>
      <c r="FA2139" s="33" t="s">
        <v>51</v>
      </c>
      <c r="FB2139" s="33" t="s">
        <v>473</v>
      </c>
      <c r="FC2139" s="33" t="s">
        <v>53</v>
      </c>
      <c r="FD2139" s="33" t="s">
        <v>476</v>
      </c>
      <c r="FE2139" s="33">
        <v>2020</v>
      </c>
      <c r="FF2139" s="33" t="s">
        <v>474</v>
      </c>
      <c r="FG2139" s="33" t="s">
        <v>477</v>
      </c>
      <c r="FH2139" s="33" t="s">
        <v>478</v>
      </c>
      <c r="FI2139" s="33" t="s">
        <v>479</v>
      </c>
      <c r="FJ2139" t="s">
        <v>474</v>
      </c>
    </row>
    <row r="2140" spans="153:166" x14ac:dyDescent="0.35">
      <c r="EW2140" t="s">
        <v>3124</v>
      </c>
      <c r="EX2140" s="33" t="s">
        <v>3318</v>
      </c>
      <c r="EY2140" s="33" t="s">
        <v>541</v>
      </c>
      <c r="EZ2140" s="33">
        <v>509348</v>
      </c>
      <c r="FA2140" s="33" t="s">
        <v>51</v>
      </c>
      <c r="FB2140" s="33" t="s">
        <v>473</v>
      </c>
      <c r="FC2140" s="33" t="s">
        <v>53</v>
      </c>
      <c r="FD2140" s="33" t="s">
        <v>476</v>
      </c>
      <c r="FE2140" s="33">
        <v>2020</v>
      </c>
      <c r="FF2140" s="33" t="s">
        <v>474</v>
      </c>
      <c r="FG2140" s="33" t="s">
        <v>470</v>
      </c>
      <c r="FH2140" s="33" t="s">
        <v>471</v>
      </c>
      <c r="FI2140" s="33" t="s">
        <v>467</v>
      </c>
      <c r="FJ2140" t="s">
        <v>474</v>
      </c>
    </row>
    <row r="2141" spans="153:166" x14ac:dyDescent="0.35">
      <c r="EW2141" t="s">
        <v>3124</v>
      </c>
      <c r="EX2141" s="33" t="s">
        <v>3319</v>
      </c>
      <c r="EY2141" s="33" t="s">
        <v>542</v>
      </c>
      <c r="EZ2141" s="33">
        <v>509467</v>
      </c>
      <c r="FA2141" s="33" t="s">
        <v>51</v>
      </c>
      <c r="FB2141" s="33" t="s">
        <v>473</v>
      </c>
      <c r="FC2141" s="33" t="s">
        <v>53</v>
      </c>
      <c r="FD2141" s="33" t="s">
        <v>476</v>
      </c>
      <c r="FE2141" s="33">
        <v>2020</v>
      </c>
      <c r="FF2141" s="33" t="s">
        <v>474</v>
      </c>
      <c r="FG2141" s="33" t="s">
        <v>470</v>
      </c>
      <c r="FH2141" s="33" t="s">
        <v>471</v>
      </c>
      <c r="FI2141" s="33" t="s">
        <v>467</v>
      </c>
      <c r="FJ2141" t="s">
        <v>474</v>
      </c>
    </row>
    <row r="2142" spans="153:166" x14ac:dyDescent="0.35">
      <c r="EW2142" t="s">
        <v>3124</v>
      </c>
      <c r="EX2142" s="39" t="s">
        <v>3288</v>
      </c>
      <c r="EY2142" s="33" t="s">
        <v>543</v>
      </c>
      <c r="EZ2142" s="33">
        <v>507981</v>
      </c>
      <c r="FA2142" s="33" t="s">
        <v>51</v>
      </c>
      <c r="FB2142" s="33" t="s">
        <v>473</v>
      </c>
      <c r="FC2142" s="33" t="s">
        <v>53</v>
      </c>
      <c r="FD2142" s="33" t="s">
        <v>476</v>
      </c>
      <c r="FE2142" s="33">
        <v>2020</v>
      </c>
      <c r="FF2142" s="33" t="s">
        <v>474</v>
      </c>
      <c r="FG2142" s="33" t="s">
        <v>477</v>
      </c>
      <c r="FH2142" s="33" t="s">
        <v>478</v>
      </c>
      <c r="FI2142" s="33" t="s">
        <v>479</v>
      </c>
      <c r="FJ2142" t="s">
        <v>474</v>
      </c>
    </row>
    <row r="2143" spans="153:166" x14ac:dyDescent="0.35">
      <c r="EW2143" t="s">
        <v>3124</v>
      </c>
      <c r="EX2143" s="33" t="s">
        <v>3320</v>
      </c>
      <c r="EY2143" s="33" t="s">
        <v>544</v>
      </c>
      <c r="EZ2143" s="33">
        <v>508404</v>
      </c>
      <c r="FA2143" s="33" t="s">
        <v>51</v>
      </c>
      <c r="FB2143" s="33" t="s">
        <v>473</v>
      </c>
      <c r="FC2143" s="33" t="s">
        <v>53</v>
      </c>
      <c r="FD2143" s="33" t="s">
        <v>476</v>
      </c>
      <c r="FE2143" s="33">
        <v>2020</v>
      </c>
      <c r="FF2143" s="33" t="s">
        <v>474</v>
      </c>
      <c r="FG2143" s="33" t="s">
        <v>477</v>
      </c>
      <c r="FH2143" s="33" t="s">
        <v>478</v>
      </c>
      <c r="FI2143" s="33" t="s">
        <v>479</v>
      </c>
      <c r="FJ2143" t="s">
        <v>474</v>
      </c>
    </row>
    <row r="2144" spans="153:166" x14ac:dyDescent="0.35">
      <c r="EW2144" t="s">
        <v>3124</v>
      </c>
      <c r="EX2144" s="33" t="s">
        <v>3321</v>
      </c>
      <c r="EY2144" s="33" t="s">
        <v>545</v>
      </c>
      <c r="EZ2144" s="33">
        <v>509585</v>
      </c>
      <c r="FA2144" s="33" t="s">
        <v>51</v>
      </c>
      <c r="FB2144" s="33" t="s">
        <v>473</v>
      </c>
      <c r="FC2144" s="33" t="s">
        <v>53</v>
      </c>
      <c r="FD2144" s="33" t="s">
        <v>476</v>
      </c>
      <c r="FE2144" s="33">
        <v>2020</v>
      </c>
      <c r="FF2144" s="33" t="s">
        <v>474</v>
      </c>
      <c r="FG2144" s="33" t="s">
        <v>477</v>
      </c>
      <c r="FH2144" s="33" t="s">
        <v>478</v>
      </c>
      <c r="FI2144" s="33" t="s">
        <v>479</v>
      </c>
      <c r="FJ2144" t="s">
        <v>474</v>
      </c>
    </row>
    <row r="2145" spans="153:166" x14ac:dyDescent="0.35">
      <c r="EW2145" t="s">
        <v>3124</v>
      </c>
      <c r="EX2145" s="33" t="s">
        <v>3322</v>
      </c>
      <c r="EY2145" s="33" t="s">
        <v>546</v>
      </c>
      <c r="EZ2145" s="33">
        <v>509583</v>
      </c>
      <c r="FA2145" s="33" t="s">
        <v>51</v>
      </c>
      <c r="FB2145" s="33" t="s">
        <v>473</v>
      </c>
      <c r="FC2145" s="33" t="s">
        <v>53</v>
      </c>
      <c r="FD2145" s="33" t="s">
        <v>476</v>
      </c>
      <c r="FE2145" s="33">
        <v>2020</v>
      </c>
      <c r="FF2145" s="33" t="s">
        <v>474</v>
      </c>
      <c r="FG2145" s="33" t="s">
        <v>477</v>
      </c>
      <c r="FH2145" s="33" t="s">
        <v>478</v>
      </c>
      <c r="FI2145" s="33" t="s">
        <v>479</v>
      </c>
      <c r="FJ2145" t="s">
        <v>474</v>
      </c>
    </row>
    <row r="2146" spans="153:166" x14ac:dyDescent="0.35">
      <c r="EW2146" t="s">
        <v>3124</v>
      </c>
      <c r="EX2146" s="33" t="s">
        <v>3323</v>
      </c>
      <c r="EY2146" s="33" t="s">
        <v>550</v>
      </c>
      <c r="EZ2146" s="33">
        <v>509444</v>
      </c>
      <c r="FA2146" s="33" t="s">
        <v>51</v>
      </c>
      <c r="FB2146" s="33" t="s">
        <v>473</v>
      </c>
      <c r="FC2146" s="33" t="s">
        <v>53</v>
      </c>
      <c r="FD2146" s="33" t="s">
        <v>476</v>
      </c>
      <c r="FE2146" s="33">
        <v>2020</v>
      </c>
      <c r="FF2146" s="33" t="s">
        <v>474</v>
      </c>
      <c r="FG2146" s="33" t="s">
        <v>477</v>
      </c>
      <c r="FH2146" s="33" t="s">
        <v>478</v>
      </c>
      <c r="FI2146" s="33" t="s">
        <v>479</v>
      </c>
      <c r="FJ2146" t="s">
        <v>474</v>
      </c>
    </row>
    <row r="2147" spans="153:166" x14ac:dyDescent="0.35">
      <c r="EW2147" t="s">
        <v>3124</v>
      </c>
      <c r="EX2147" s="33" t="s">
        <v>3324</v>
      </c>
      <c r="EY2147" s="33" t="s">
        <v>551</v>
      </c>
      <c r="EZ2147" s="33">
        <v>509171</v>
      </c>
      <c r="FA2147" s="33" t="s">
        <v>51</v>
      </c>
      <c r="FB2147" s="33" t="s">
        <v>473</v>
      </c>
      <c r="FC2147" s="33" t="s">
        <v>53</v>
      </c>
      <c r="FD2147" s="33" t="s">
        <v>476</v>
      </c>
      <c r="FE2147" s="33">
        <v>2020</v>
      </c>
      <c r="FF2147" s="33" t="s">
        <v>474</v>
      </c>
      <c r="FG2147" s="33" t="s">
        <v>477</v>
      </c>
      <c r="FH2147" s="33" t="s">
        <v>478</v>
      </c>
      <c r="FI2147" s="33" t="s">
        <v>479</v>
      </c>
      <c r="FJ2147" t="s">
        <v>474</v>
      </c>
    </row>
    <row r="2148" spans="153:166" x14ac:dyDescent="0.35">
      <c r="EW2148" t="s">
        <v>3124</v>
      </c>
      <c r="EX2148" s="33" t="s">
        <v>3325</v>
      </c>
      <c r="EY2148" s="33" t="s">
        <v>552</v>
      </c>
      <c r="EZ2148" s="33">
        <v>509572</v>
      </c>
      <c r="FA2148" s="33" t="s">
        <v>51</v>
      </c>
      <c r="FB2148" s="33" t="s">
        <v>473</v>
      </c>
      <c r="FC2148" s="33" t="s">
        <v>53</v>
      </c>
      <c r="FD2148" s="33" t="s">
        <v>476</v>
      </c>
      <c r="FE2148" s="33">
        <v>2020</v>
      </c>
      <c r="FF2148" s="33" t="s">
        <v>474</v>
      </c>
      <c r="FG2148" s="33" t="s">
        <v>477</v>
      </c>
      <c r="FH2148" s="33" t="s">
        <v>478</v>
      </c>
      <c r="FI2148" s="33" t="s">
        <v>479</v>
      </c>
      <c r="FJ2148" t="s">
        <v>474</v>
      </c>
    </row>
    <row r="2149" spans="153:166" x14ac:dyDescent="0.35">
      <c r="EW2149" t="s">
        <v>3124</v>
      </c>
      <c r="EX2149" s="33" t="s">
        <v>3326</v>
      </c>
      <c r="EY2149" s="33" t="s">
        <v>553</v>
      </c>
      <c r="EZ2149" s="33">
        <v>508475</v>
      </c>
      <c r="FA2149" s="33" t="s">
        <v>51</v>
      </c>
      <c r="FB2149" s="33" t="s">
        <v>473</v>
      </c>
      <c r="FC2149" s="33" t="s">
        <v>53</v>
      </c>
      <c r="FD2149" s="33" t="s">
        <v>476</v>
      </c>
      <c r="FE2149" s="33">
        <v>2020</v>
      </c>
      <c r="FF2149" s="33" t="s">
        <v>474</v>
      </c>
      <c r="FG2149" s="33" t="s">
        <v>477</v>
      </c>
      <c r="FH2149" s="33" t="s">
        <v>478</v>
      </c>
      <c r="FI2149" s="33" t="s">
        <v>479</v>
      </c>
      <c r="FJ2149" t="s">
        <v>474</v>
      </c>
    </row>
    <row r="2150" spans="153:166" x14ac:dyDescent="0.35">
      <c r="EW2150" t="s">
        <v>3124</v>
      </c>
      <c r="EX2150" s="33" t="s">
        <v>3327</v>
      </c>
      <c r="EY2150" s="33" t="s">
        <v>557</v>
      </c>
      <c r="EZ2150" s="33">
        <v>507974</v>
      </c>
      <c r="FA2150" s="33" t="s">
        <v>51</v>
      </c>
      <c r="FB2150" s="33" t="s">
        <v>473</v>
      </c>
      <c r="FC2150" s="33" t="s">
        <v>53</v>
      </c>
      <c r="FD2150" s="33" t="s">
        <v>476</v>
      </c>
      <c r="FE2150" s="33">
        <v>2020</v>
      </c>
      <c r="FF2150" s="33" t="s">
        <v>474</v>
      </c>
      <c r="FG2150" s="33" t="s">
        <v>477</v>
      </c>
      <c r="FH2150" s="33" t="s">
        <v>478</v>
      </c>
      <c r="FI2150" s="33" t="s">
        <v>479</v>
      </c>
      <c r="FJ2150" t="s">
        <v>474</v>
      </c>
    </row>
    <row r="2151" spans="153:166" x14ac:dyDescent="0.35">
      <c r="EW2151" t="s">
        <v>3124</v>
      </c>
      <c r="EX2151" s="33" t="s">
        <v>3328</v>
      </c>
      <c r="EY2151" s="33" t="s">
        <v>558</v>
      </c>
      <c r="EZ2151" s="33">
        <v>508008</v>
      </c>
      <c r="FA2151" s="33" t="s">
        <v>51</v>
      </c>
      <c r="FB2151" s="33" t="s">
        <v>473</v>
      </c>
      <c r="FC2151" s="33" t="s">
        <v>53</v>
      </c>
      <c r="FD2151" s="33" t="s">
        <v>476</v>
      </c>
      <c r="FE2151" s="33">
        <v>2020</v>
      </c>
      <c r="FF2151" s="33" t="s">
        <v>474</v>
      </c>
      <c r="FG2151" s="33" t="s">
        <v>477</v>
      </c>
      <c r="FH2151" s="33" t="s">
        <v>478</v>
      </c>
      <c r="FI2151" s="33" t="s">
        <v>479</v>
      </c>
      <c r="FJ2151" t="s">
        <v>474</v>
      </c>
    </row>
    <row r="2152" spans="153:166" x14ac:dyDescent="0.35">
      <c r="EW2152" t="s">
        <v>3124</v>
      </c>
      <c r="EX2152" s="33" t="s">
        <v>3329</v>
      </c>
      <c r="EY2152" s="33" t="s">
        <v>562</v>
      </c>
      <c r="EZ2152" s="33">
        <v>507878</v>
      </c>
      <c r="FA2152" s="33" t="s">
        <v>51</v>
      </c>
      <c r="FB2152" s="33" t="s">
        <v>473</v>
      </c>
      <c r="FC2152" s="33" t="s">
        <v>53</v>
      </c>
      <c r="FD2152" s="33" t="s">
        <v>476</v>
      </c>
      <c r="FE2152" s="33">
        <v>2020</v>
      </c>
      <c r="FF2152" s="33" t="s">
        <v>474</v>
      </c>
      <c r="FG2152" s="33" t="s">
        <v>477</v>
      </c>
      <c r="FH2152" s="33" t="s">
        <v>478</v>
      </c>
      <c r="FI2152" s="33" t="s">
        <v>479</v>
      </c>
      <c r="FJ2152" t="s">
        <v>474</v>
      </c>
    </row>
    <row r="2153" spans="153:166" x14ac:dyDescent="0.35">
      <c r="EW2153" t="s">
        <v>3124</v>
      </c>
      <c r="EX2153" s="33" t="s">
        <v>3330</v>
      </c>
      <c r="EY2153" s="33" t="s">
        <v>566</v>
      </c>
      <c r="EZ2153" s="33">
        <v>507933</v>
      </c>
      <c r="FA2153" s="33" t="s">
        <v>51</v>
      </c>
      <c r="FB2153" s="33" t="s">
        <v>473</v>
      </c>
      <c r="FC2153" s="33" t="s">
        <v>53</v>
      </c>
      <c r="FD2153" s="33" t="s">
        <v>476</v>
      </c>
      <c r="FE2153" s="33">
        <v>2020</v>
      </c>
      <c r="FF2153" s="33" t="s">
        <v>474</v>
      </c>
      <c r="FG2153" s="33" t="s">
        <v>477</v>
      </c>
      <c r="FH2153" s="33" t="s">
        <v>478</v>
      </c>
      <c r="FI2153" s="33" t="s">
        <v>479</v>
      </c>
      <c r="FJ2153" t="s">
        <v>474</v>
      </c>
    </row>
    <row r="2154" spans="153:166" x14ac:dyDescent="0.35">
      <c r="EW2154" t="s">
        <v>3124</v>
      </c>
      <c r="EX2154" s="33" t="s">
        <v>3331</v>
      </c>
      <c r="EY2154" s="33" t="s">
        <v>567</v>
      </c>
      <c r="EZ2154" s="33">
        <v>508173</v>
      </c>
      <c r="FA2154" s="33" t="s">
        <v>51</v>
      </c>
      <c r="FB2154" s="33" t="s">
        <v>473</v>
      </c>
      <c r="FC2154" s="33" t="s">
        <v>53</v>
      </c>
      <c r="FD2154" s="33" t="s">
        <v>476</v>
      </c>
      <c r="FE2154" s="33">
        <v>2020</v>
      </c>
      <c r="FF2154" s="33" t="s">
        <v>474</v>
      </c>
      <c r="FG2154" s="33" t="s">
        <v>477</v>
      </c>
      <c r="FH2154" s="33" t="s">
        <v>478</v>
      </c>
      <c r="FI2154" s="33" t="s">
        <v>479</v>
      </c>
      <c r="FJ2154" t="s">
        <v>474</v>
      </c>
    </row>
    <row r="2155" spans="153:166" x14ac:dyDescent="0.35">
      <c r="EW2155" t="s">
        <v>3124</v>
      </c>
      <c r="EX2155" s="33" t="s">
        <v>3332</v>
      </c>
      <c r="EY2155" s="33" t="s">
        <v>568</v>
      </c>
      <c r="EZ2155" s="33">
        <v>480074</v>
      </c>
      <c r="FA2155" s="33" t="s">
        <v>51</v>
      </c>
      <c r="FB2155" s="33" t="s">
        <v>473</v>
      </c>
      <c r="FC2155" s="33" t="s">
        <v>53</v>
      </c>
      <c r="FD2155" s="33" t="s">
        <v>569</v>
      </c>
      <c r="FE2155" s="33">
        <v>2021</v>
      </c>
      <c r="FF2155" s="33" t="s">
        <v>474</v>
      </c>
      <c r="FG2155" s="33" t="s">
        <v>477</v>
      </c>
      <c r="FH2155" s="33" t="s">
        <v>478</v>
      </c>
      <c r="FI2155" s="33" t="s">
        <v>479</v>
      </c>
      <c r="FJ2155" t="s">
        <v>474</v>
      </c>
    </row>
    <row r="2156" spans="153:166" x14ac:dyDescent="0.35">
      <c r="EW2156" t="s">
        <v>3124</v>
      </c>
      <c r="EX2156" s="33" t="s">
        <v>3333</v>
      </c>
      <c r="EY2156" s="33" t="s">
        <v>570</v>
      </c>
      <c r="EZ2156" s="33">
        <v>552632</v>
      </c>
      <c r="FA2156" s="33" t="s">
        <v>51</v>
      </c>
      <c r="FB2156" s="33" t="s">
        <v>473</v>
      </c>
      <c r="FC2156" s="33" t="s">
        <v>53</v>
      </c>
      <c r="FD2156" s="33" t="s">
        <v>476</v>
      </c>
      <c r="FE2156" s="33">
        <v>2022</v>
      </c>
      <c r="FF2156" s="33" t="s">
        <v>474</v>
      </c>
      <c r="FG2156" s="33" t="s">
        <v>477</v>
      </c>
      <c r="FH2156" s="33" t="s">
        <v>478</v>
      </c>
      <c r="FI2156" s="33" t="s">
        <v>479</v>
      </c>
      <c r="FJ2156" t="s">
        <v>474</v>
      </c>
    </row>
    <row r="2157" spans="153:166" x14ac:dyDescent="0.35">
      <c r="EW2157" t="s">
        <v>3124</v>
      </c>
      <c r="EX2157" s="33" t="s">
        <v>3334</v>
      </c>
      <c r="EY2157" s="33" t="s">
        <v>571</v>
      </c>
      <c r="EZ2157" s="33">
        <v>552649</v>
      </c>
      <c r="FA2157" s="33" t="s">
        <v>51</v>
      </c>
      <c r="FB2157" s="33" t="s">
        <v>473</v>
      </c>
      <c r="FC2157" s="33" t="s">
        <v>53</v>
      </c>
      <c r="FD2157" s="33" t="s">
        <v>476</v>
      </c>
      <c r="FE2157" s="33">
        <v>2022</v>
      </c>
      <c r="FF2157" s="33" t="s">
        <v>474</v>
      </c>
      <c r="FG2157" s="33" t="s">
        <v>470</v>
      </c>
      <c r="FH2157" s="33" t="s">
        <v>471</v>
      </c>
      <c r="FI2157" s="33" t="s">
        <v>467</v>
      </c>
      <c r="FJ2157" t="s">
        <v>474</v>
      </c>
    </row>
    <row r="2158" spans="153:166" x14ac:dyDescent="0.35">
      <c r="EW2158" t="s">
        <v>3124</v>
      </c>
      <c r="EX2158" s="33" t="s">
        <v>3335</v>
      </c>
      <c r="EY2158" s="33" t="s">
        <v>572</v>
      </c>
      <c r="EZ2158" s="33">
        <v>552624</v>
      </c>
      <c r="FA2158" s="33" t="s">
        <v>51</v>
      </c>
      <c r="FB2158" s="33" t="s">
        <v>473</v>
      </c>
      <c r="FC2158" s="33" t="s">
        <v>53</v>
      </c>
      <c r="FD2158" s="33" t="s">
        <v>476</v>
      </c>
      <c r="FE2158" s="33">
        <v>2022</v>
      </c>
      <c r="FF2158" s="33" t="s">
        <v>474</v>
      </c>
      <c r="FG2158" s="33" t="s">
        <v>470</v>
      </c>
      <c r="FH2158" s="33" t="s">
        <v>471</v>
      </c>
      <c r="FI2158" s="33" t="s">
        <v>467</v>
      </c>
      <c r="FJ2158" t="s">
        <v>474</v>
      </c>
    </row>
    <row r="2159" spans="153:166" x14ac:dyDescent="0.35">
      <c r="EW2159" t="s">
        <v>3124</v>
      </c>
      <c r="EX2159" s="33" t="s">
        <v>3336</v>
      </c>
      <c r="EY2159" s="33" t="s">
        <v>576</v>
      </c>
      <c r="EZ2159" s="33">
        <v>552338</v>
      </c>
      <c r="FA2159" s="33" t="s">
        <v>51</v>
      </c>
      <c r="FB2159" s="33" t="s">
        <v>473</v>
      </c>
      <c r="FC2159" s="33" t="s">
        <v>53</v>
      </c>
      <c r="FD2159" s="33" t="s">
        <v>476</v>
      </c>
      <c r="FE2159" s="33">
        <v>2022</v>
      </c>
      <c r="FF2159" s="33" t="s">
        <v>474</v>
      </c>
      <c r="FG2159" s="33" t="s">
        <v>470</v>
      </c>
      <c r="FH2159" s="33" t="s">
        <v>471</v>
      </c>
      <c r="FI2159" s="33" t="s">
        <v>467</v>
      </c>
      <c r="FJ2159" t="s">
        <v>474</v>
      </c>
    </row>
    <row r="2160" spans="153:166" x14ac:dyDescent="0.35">
      <c r="EW2160" t="s">
        <v>3124</v>
      </c>
      <c r="EX2160" s="33" t="s">
        <v>3337</v>
      </c>
      <c r="EY2160" s="33" t="s">
        <v>577</v>
      </c>
      <c r="EZ2160" s="33">
        <v>552333</v>
      </c>
      <c r="FA2160" s="33" t="s">
        <v>51</v>
      </c>
      <c r="FB2160" s="33" t="s">
        <v>473</v>
      </c>
      <c r="FC2160" s="33" t="s">
        <v>53</v>
      </c>
      <c r="FD2160" s="33" t="s">
        <v>476</v>
      </c>
      <c r="FE2160" s="33">
        <v>2022</v>
      </c>
      <c r="FF2160" s="33" t="s">
        <v>474</v>
      </c>
      <c r="FG2160" s="33" t="s">
        <v>470</v>
      </c>
      <c r="FH2160" s="33" t="s">
        <v>471</v>
      </c>
      <c r="FI2160" s="33" t="s">
        <v>467</v>
      </c>
      <c r="FJ2160" t="s">
        <v>474</v>
      </c>
    </row>
    <row r="2161" spans="153:166" x14ac:dyDescent="0.35">
      <c r="EW2161" t="s">
        <v>3124</v>
      </c>
      <c r="EX2161" s="33" t="s">
        <v>3338</v>
      </c>
      <c r="EY2161" s="33" t="s">
        <v>581</v>
      </c>
      <c r="EZ2161" s="33">
        <v>552881</v>
      </c>
      <c r="FA2161" s="33" t="s">
        <v>51</v>
      </c>
      <c r="FB2161" s="33" t="s">
        <v>473</v>
      </c>
      <c r="FC2161" s="33" t="s">
        <v>53</v>
      </c>
      <c r="FD2161" s="33" t="s">
        <v>476</v>
      </c>
      <c r="FE2161" s="33">
        <v>2022</v>
      </c>
      <c r="FF2161" s="33" t="s">
        <v>474</v>
      </c>
      <c r="FG2161" s="33" t="s">
        <v>477</v>
      </c>
      <c r="FH2161" s="33" t="s">
        <v>478</v>
      </c>
      <c r="FI2161" s="33" t="s">
        <v>479</v>
      </c>
      <c r="FJ2161" t="s">
        <v>474</v>
      </c>
    </row>
    <row r="2162" spans="153:166" x14ac:dyDescent="0.35">
      <c r="EW2162" t="s">
        <v>3124</v>
      </c>
      <c r="EX2162" s="33" t="s">
        <v>3339</v>
      </c>
      <c r="EY2162" s="33" t="s">
        <v>582</v>
      </c>
      <c r="EZ2162" s="33">
        <v>550630</v>
      </c>
      <c r="FA2162" s="33" t="s">
        <v>51</v>
      </c>
      <c r="FB2162" s="33" t="s">
        <v>473</v>
      </c>
      <c r="FC2162" s="33" t="s">
        <v>53</v>
      </c>
      <c r="FD2162" s="33" t="s">
        <v>476</v>
      </c>
      <c r="FE2162" s="33">
        <v>2022</v>
      </c>
      <c r="FF2162" s="33" t="s">
        <v>474</v>
      </c>
      <c r="FG2162" s="33" t="s">
        <v>470</v>
      </c>
      <c r="FH2162" s="33" t="s">
        <v>471</v>
      </c>
      <c r="FI2162" s="33" t="s">
        <v>467</v>
      </c>
      <c r="FJ2162" t="s">
        <v>474</v>
      </c>
    </row>
    <row r="2163" spans="153:166" x14ac:dyDescent="0.35">
      <c r="EW2163" t="s">
        <v>3124</v>
      </c>
      <c r="EX2163" s="33" t="s">
        <v>3340</v>
      </c>
      <c r="EY2163" s="33" t="s">
        <v>583</v>
      </c>
      <c r="EZ2163" s="33">
        <v>552303</v>
      </c>
      <c r="FA2163" s="33" t="s">
        <v>51</v>
      </c>
      <c r="FB2163" s="33" t="s">
        <v>473</v>
      </c>
      <c r="FC2163" s="33" t="s">
        <v>53</v>
      </c>
      <c r="FD2163" s="33" t="s">
        <v>476</v>
      </c>
      <c r="FE2163" s="33">
        <v>2022</v>
      </c>
      <c r="FF2163" s="33" t="s">
        <v>474</v>
      </c>
      <c r="FG2163" s="33" t="s">
        <v>477</v>
      </c>
      <c r="FH2163" s="33" t="s">
        <v>478</v>
      </c>
      <c r="FI2163" s="33" t="s">
        <v>479</v>
      </c>
      <c r="FJ2163" t="s">
        <v>474</v>
      </c>
    </row>
    <row r="2164" spans="153:166" x14ac:dyDescent="0.35">
      <c r="EW2164" t="s">
        <v>3124</v>
      </c>
      <c r="EX2164" s="33" t="s">
        <v>3341</v>
      </c>
      <c r="EY2164" s="33" t="s">
        <v>584</v>
      </c>
      <c r="EZ2164" s="33">
        <v>551701</v>
      </c>
      <c r="FA2164" s="33" t="s">
        <v>51</v>
      </c>
      <c r="FB2164" s="33" t="s">
        <v>473</v>
      </c>
      <c r="FC2164" s="33" t="s">
        <v>53</v>
      </c>
      <c r="FD2164" s="33" t="s">
        <v>476</v>
      </c>
      <c r="FE2164" s="33">
        <v>2022</v>
      </c>
      <c r="FF2164" s="33" t="s">
        <v>474</v>
      </c>
      <c r="FG2164" s="33" t="s">
        <v>477</v>
      </c>
      <c r="FH2164" s="33" t="s">
        <v>478</v>
      </c>
      <c r="FI2164" s="33" t="s">
        <v>479</v>
      </c>
      <c r="FJ2164" t="s">
        <v>474</v>
      </c>
    </row>
    <row r="2165" spans="153:166" x14ac:dyDescent="0.35">
      <c r="EW2165" t="s">
        <v>3124</v>
      </c>
      <c r="EX2165" s="33" t="s">
        <v>3342</v>
      </c>
      <c r="EY2165" s="33" t="s">
        <v>585</v>
      </c>
      <c r="EZ2165" s="33">
        <v>552373</v>
      </c>
      <c r="FA2165" s="33" t="s">
        <v>51</v>
      </c>
      <c r="FB2165" s="33" t="s">
        <v>473</v>
      </c>
      <c r="FC2165" s="33" t="s">
        <v>53</v>
      </c>
      <c r="FD2165" s="33" t="s">
        <v>476</v>
      </c>
      <c r="FE2165" s="33">
        <v>2022</v>
      </c>
      <c r="FF2165" s="33" t="s">
        <v>474</v>
      </c>
      <c r="FG2165" s="33" t="s">
        <v>470</v>
      </c>
      <c r="FH2165" s="33" t="s">
        <v>471</v>
      </c>
      <c r="FI2165" s="33" t="s">
        <v>467</v>
      </c>
      <c r="FJ2165" t="s">
        <v>474</v>
      </c>
    </row>
    <row r="2166" spans="153:166" x14ac:dyDescent="0.35">
      <c r="EW2166" t="s">
        <v>3124</v>
      </c>
      <c r="EX2166" s="33" t="s">
        <v>3343</v>
      </c>
      <c r="EY2166" s="33" t="s">
        <v>589</v>
      </c>
      <c r="EZ2166" s="33">
        <v>552573</v>
      </c>
      <c r="FA2166" s="33" t="s">
        <v>51</v>
      </c>
      <c r="FB2166" s="33" t="s">
        <v>473</v>
      </c>
      <c r="FC2166" s="33" t="s">
        <v>53</v>
      </c>
      <c r="FD2166" s="33" t="s">
        <v>476</v>
      </c>
      <c r="FE2166" s="33">
        <v>2022</v>
      </c>
      <c r="FF2166" s="33" t="s">
        <v>474</v>
      </c>
      <c r="FG2166" s="33" t="s">
        <v>470</v>
      </c>
      <c r="FH2166" s="33" t="s">
        <v>471</v>
      </c>
      <c r="FI2166" s="33" t="s">
        <v>467</v>
      </c>
      <c r="FJ2166" t="s">
        <v>474</v>
      </c>
    </row>
    <row r="2167" spans="153:166" x14ac:dyDescent="0.35">
      <c r="EW2167" t="s">
        <v>3124</v>
      </c>
      <c r="EX2167" s="33" t="s">
        <v>3344</v>
      </c>
      <c r="EY2167" s="33" t="s">
        <v>590</v>
      </c>
      <c r="EZ2167" s="33">
        <v>550568</v>
      </c>
      <c r="FA2167" s="33" t="s">
        <v>51</v>
      </c>
      <c r="FB2167" s="33" t="s">
        <v>473</v>
      </c>
      <c r="FC2167" s="33" t="s">
        <v>53</v>
      </c>
      <c r="FD2167" s="33" t="s">
        <v>476</v>
      </c>
      <c r="FE2167" s="33">
        <v>2022</v>
      </c>
      <c r="FF2167" s="33" t="s">
        <v>474</v>
      </c>
      <c r="FG2167" s="33" t="s">
        <v>470</v>
      </c>
      <c r="FH2167" s="33" t="s">
        <v>471</v>
      </c>
      <c r="FI2167" s="33" t="s">
        <v>467</v>
      </c>
      <c r="FJ2167" t="s">
        <v>474</v>
      </c>
    </row>
    <row r="2168" spans="153:166" x14ac:dyDescent="0.35">
      <c r="EW2168" t="s">
        <v>3124</v>
      </c>
      <c r="EX2168" s="33" t="s">
        <v>3345</v>
      </c>
      <c r="EY2168" s="33" t="s">
        <v>591</v>
      </c>
      <c r="EZ2168" s="33">
        <v>551734</v>
      </c>
      <c r="FA2168" s="33" t="s">
        <v>51</v>
      </c>
      <c r="FB2168" s="33" t="s">
        <v>473</v>
      </c>
      <c r="FC2168" s="33" t="s">
        <v>53</v>
      </c>
      <c r="FD2168" s="33" t="s">
        <v>476</v>
      </c>
      <c r="FE2168" s="33">
        <v>2022</v>
      </c>
      <c r="FF2168" s="33" t="s">
        <v>474</v>
      </c>
      <c r="FG2168" s="33" t="s">
        <v>477</v>
      </c>
      <c r="FH2168" s="33" t="s">
        <v>478</v>
      </c>
      <c r="FI2168" s="33" t="s">
        <v>479</v>
      </c>
      <c r="FJ2168" t="s">
        <v>474</v>
      </c>
    </row>
    <row r="2169" spans="153:166" x14ac:dyDescent="0.35">
      <c r="EW2169" t="s">
        <v>3124</v>
      </c>
      <c r="EX2169" s="33" t="s">
        <v>3346</v>
      </c>
      <c r="EY2169" s="33" t="s">
        <v>592</v>
      </c>
      <c r="EZ2169" s="33">
        <v>552393</v>
      </c>
      <c r="FA2169" s="33" t="s">
        <v>51</v>
      </c>
      <c r="FB2169" s="33" t="s">
        <v>473</v>
      </c>
      <c r="FC2169" s="33" t="s">
        <v>53</v>
      </c>
      <c r="FD2169" s="33" t="s">
        <v>476</v>
      </c>
      <c r="FE2169" s="33">
        <v>2022</v>
      </c>
      <c r="FF2169" s="33" t="s">
        <v>474</v>
      </c>
      <c r="FG2169" s="33" t="s">
        <v>470</v>
      </c>
      <c r="FH2169" s="33" t="s">
        <v>471</v>
      </c>
      <c r="FI2169" s="33" t="s">
        <v>467</v>
      </c>
      <c r="FJ2169" t="s">
        <v>474</v>
      </c>
    </row>
    <row r="2170" spans="153:166" x14ac:dyDescent="0.35">
      <c r="EW2170" t="s">
        <v>3124</v>
      </c>
      <c r="EX2170" s="33" t="s">
        <v>3347</v>
      </c>
      <c r="EY2170" s="33" t="s">
        <v>596</v>
      </c>
      <c r="EZ2170" s="33">
        <v>550593</v>
      </c>
      <c r="FA2170" s="33" t="s">
        <v>51</v>
      </c>
      <c r="FB2170" s="33" t="s">
        <v>473</v>
      </c>
      <c r="FC2170" s="33" t="s">
        <v>53</v>
      </c>
      <c r="FD2170" s="33" t="s">
        <v>476</v>
      </c>
      <c r="FE2170" s="33">
        <v>2022</v>
      </c>
      <c r="FF2170" s="33" t="s">
        <v>474</v>
      </c>
      <c r="FG2170" s="33" t="s">
        <v>470</v>
      </c>
      <c r="FH2170" s="33" t="s">
        <v>471</v>
      </c>
      <c r="FI2170" s="33" t="s">
        <v>467</v>
      </c>
      <c r="FJ2170" t="s">
        <v>474</v>
      </c>
    </row>
    <row r="2171" spans="153:166" x14ac:dyDescent="0.35">
      <c r="EW2171" t="s">
        <v>3124</v>
      </c>
      <c r="EX2171" s="33" t="s">
        <v>3348</v>
      </c>
      <c r="EY2171" s="33" t="s">
        <v>597</v>
      </c>
      <c r="EZ2171" s="33">
        <v>550451</v>
      </c>
      <c r="FA2171" s="33" t="s">
        <v>51</v>
      </c>
      <c r="FB2171" s="33" t="s">
        <v>473</v>
      </c>
      <c r="FC2171" s="33" t="s">
        <v>53</v>
      </c>
      <c r="FD2171" s="33" t="s">
        <v>476</v>
      </c>
      <c r="FE2171" s="33">
        <v>2022</v>
      </c>
      <c r="FF2171" s="33" t="s">
        <v>474</v>
      </c>
      <c r="FG2171" s="33" t="s">
        <v>470</v>
      </c>
      <c r="FH2171" s="33" t="s">
        <v>471</v>
      </c>
      <c r="FI2171" s="33" t="s">
        <v>467</v>
      </c>
      <c r="FJ2171" t="s">
        <v>474</v>
      </c>
    </row>
    <row r="2172" spans="153:166" x14ac:dyDescent="0.35">
      <c r="EW2172" t="s">
        <v>3124</v>
      </c>
      <c r="EX2172" s="33" t="s">
        <v>3349</v>
      </c>
      <c r="EY2172" s="33" t="s">
        <v>601</v>
      </c>
      <c r="EZ2172" s="33">
        <v>551900</v>
      </c>
      <c r="FA2172" s="33" t="s">
        <v>51</v>
      </c>
      <c r="FB2172" s="33" t="s">
        <v>473</v>
      </c>
      <c r="FC2172" s="33" t="s">
        <v>53</v>
      </c>
      <c r="FD2172" s="33" t="s">
        <v>476</v>
      </c>
      <c r="FE2172" s="33">
        <v>2022</v>
      </c>
      <c r="FF2172" s="33" t="s">
        <v>474</v>
      </c>
      <c r="FG2172" s="33" t="s">
        <v>477</v>
      </c>
      <c r="FH2172" s="33" t="s">
        <v>478</v>
      </c>
      <c r="FI2172" s="33" t="s">
        <v>479</v>
      </c>
      <c r="FJ2172" t="s">
        <v>474</v>
      </c>
    </row>
    <row r="2173" spans="153:166" x14ac:dyDescent="0.35">
      <c r="EW2173" t="s">
        <v>3124</v>
      </c>
      <c r="EX2173" s="33" t="s">
        <v>3350</v>
      </c>
      <c r="EY2173" s="33" t="s">
        <v>602</v>
      </c>
      <c r="EZ2173" s="33">
        <v>553953</v>
      </c>
      <c r="FA2173" s="33" t="s">
        <v>51</v>
      </c>
      <c r="FB2173" s="33" t="s">
        <v>473</v>
      </c>
      <c r="FC2173" s="33" t="s">
        <v>53</v>
      </c>
      <c r="FD2173" s="33" t="s">
        <v>476</v>
      </c>
      <c r="FE2173" s="33">
        <v>2022</v>
      </c>
      <c r="FF2173" s="33" t="s">
        <v>474</v>
      </c>
      <c r="FG2173" s="33" t="s">
        <v>477</v>
      </c>
      <c r="FH2173" s="33" t="s">
        <v>478</v>
      </c>
      <c r="FI2173" s="33" t="s">
        <v>479</v>
      </c>
      <c r="FJ2173" t="s">
        <v>474</v>
      </c>
    </row>
    <row r="2174" spans="153:166" x14ac:dyDescent="0.35">
      <c r="EW2174" t="s">
        <v>3124</v>
      </c>
      <c r="EX2174" s="33" t="s">
        <v>3351</v>
      </c>
      <c r="EY2174" s="33" t="s">
        <v>603</v>
      </c>
      <c r="EZ2174" s="33">
        <v>551716</v>
      </c>
      <c r="FA2174" s="33" t="s">
        <v>51</v>
      </c>
      <c r="FB2174" s="33" t="s">
        <v>473</v>
      </c>
      <c r="FC2174" s="33" t="s">
        <v>53</v>
      </c>
      <c r="FD2174" s="33" t="s">
        <v>476</v>
      </c>
      <c r="FE2174" s="33">
        <v>2022</v>
      </c>
      <c r="FF2174" s="33" t="s">
        <v>474</v>
      </c>
      <c r="FG2174" s="33" t="s">
        <v>477</v>
      </c>
      <c r="FH2174" s="33" t="s">
        <v>478</v>
      </c>
      <c r="FI2174" s="33" t="s">
        <v>479</v>
      </c>
      <c r="FJ2174" t="s">
        <v>474</v>
      </c>
    </row>
    <row r="2175" spans="153:166" x14ac:dyDescent="0.35">
      <c r="EW2175" t="s">
        <v>3124</v>
      </c>
      <c r="EX2175" s="33" t="s">
        <v>3352</v>
      </c>
      <c r="EY2175" s="33" t="s">
        <v>607</v>
      </c>
      <c r="EZ2175" s="33">
        <v>551695</v>
      </c>
      <c r="FA2175" s="33" t="s">
        <v>51</v>
      </c>
      <c r="FB2175" s="33" t="s">
        <v>473</v>
      </c>
      <c r="FC2175" s="33" t="s">
        <v>53</v>
      </c>
      <c r="FD2175" s="33" t="s">
        <v>476</v>
      </c>
      <c r="FE2175" s="33">
        <v>2022</v>
      </c>
      <c r="FF2175" s="33" t="s">
        <v>474</v>
      </c>
      <c r="FG2175" s="33" t="s">
        <v>477</v>
      </c>
      <c r="FH2175" s="33" t="s">
        <v>478</v>
      </c>
      <c r="FI2175" s="33" t="s">
        <v>479</v>
      </c>
      <c r="FJ2175" t="s">
        <v>474</v>
      </c>
    </row>
    <row r="2176" spans="153:166" x14ac:dyDescent="0.35">
      <c r="EW2176" t="s">
        <v>3124</v>
      </c>
      <c r="EX2176" s="33" t="s">
        <v>3353</v>
      </c>
      <c r="EY2176" s="33" t="s">
        <v>608</v>
      </c>
      <c r="EZ2176" s="33">
        <v>551682</v>
      </c>
      <c r="FA2176" s="33" t="s">
        <v>51</v>
      </c>
      <c r="FB2176" s="33" t="s">
        <v>473</v>
      </c>
      <c r="FC2176" s="33" t="s">
        <v>53</v>
      </c>
      <c r="FD2176" s="33" t="s">
        <v>476</v>
      </c>
      <c r="FE2176" s="33">
        <v>2022</v>
      </c>
      <c r="FF2176" s="33" t="s">
        <v>474</v>
      </c>
      <c r="FG2176" s="33" t="s">
        <v>477</v>
      </c>
      <c r="FH2176" s="33" t="s">
        <v>478</v>
      </c>
      <c r="FI2176" s="33" t="s">
        <v>479</v>
      </c>
      <c r="FJ2176" t="s">
        <v>474</v>
      </c>
    </row>
    <row r="2177" spans="153:166" x14ac:dyDescent="0.35">
      <c r="EW2177" t="s">
        <v>3124</v>
      </c>
      <c r="EX2177" s="33" t="s">
        <v>3354</v>
      </c>
      <c r="EY2177" s="33" t="s">
        <v>609</v>
      </c>
      <c r="EZ2177" s="33">
        <v>551698</v>
      </c>
      <c r="FA2177" s="33" t="s">
        <v>51</v>
      </c>
      <c r="FB2177" s="33" t="s">
        <v>473</v>
      </c>
      <c r="FC2177" s="33" t="s">
        <v>53</v>
      </c>
      <c r="FD2177" s="33" t="s">
        <v>476</v>
      </c>
      <c r="FE2177" s="33">
        <v>2022</v>
      </c>
      <c r="FF2177" s="33" t="s">
        <v>474</v>
      </c>
      <c r="FG2177" s="33" t="s">
        <v>477</v>
      </c>
      <c r="FH2177" s="33" t="s">
        <v>478</v>
      </c>
      <c r="FI2177" s="33" t="s">
        <v>479</v>
      </c>
      <c r="FJ2177" t="s">
        <v>474</v>
      </c>
    </row>
    <row r="2178" spans="153:166" x14ac:dyDescent="0.35">
      <c r="EW2178" t="s">
        <v>3124</v>
      </c>
      <c r="EX2178" s="33" t="s">
        <v>3355</v>
      </c>
      <c r="EY2178" s="33" t="s">
        <v>613</v>
      </c>
      <c r="EZ2178" s="33">
        <v>551645</v>
      </c>
      <c r="FA2178" s="33" t="s">
        <v>51</v>
      </c>
      <c r="FB2178" s="33" t="s">
        <v>473</v>
      </c>
      <c r="FC2178" s="33" t="s">
        <v>53</v>
      </c>
      <c r="FD2178" s="33" t="s">
        <v>476</v>
      </c>
      <c r="FE2178" s="33">
        <v>2022</v>
      </c>
      <c r="FF2178" s="33" t="s">
        <v>474</v>
      </c>
      <c r="FG2178" s="33" t="s">
        <v>470</v>
      </c>
      <c r="FH2178" s="33" t="s">
        <v>471</v>
      </c>
      <c r="FI2178" s="33" t="s">
        <v>467</v>
      </c>
      <c r="FJ2178" t="s">
        <v>474</v>
      </c>
    </row>
    <row r="2179" spans="153:166" x14ac:dyDescent="0.35">
      <c r="EW2179" t="s">
        <v>3124</v>
      </c>
      <c r="EX2179" s="33" t="s">
        <v>3356</v>
      </c>
      <c r="EY2179" s="33" t="s">
        <v>614</v>
      </c>
      <c r="EZ2179" s="33">
        <v>551661</v>
      </c>
      <c r="FA2179" s="33" t="s">
        <v>51</v>
      </c>
      <c r="FB2179" s="33" t="s">
        <v>473</v>
      </c>
      <c r="FC2179" s="33" t="s">
        <v>53</v>
      </c>
      <c r="FD2179" s="33" t="s">
        <v>476</v>
      </c>
      <c r="FE2179" s="33">
        <v>2022</v>
      </c>
      <c r="FF2179" s="33" t="s">
        <v>474</v>
      </c>
      <c r="FG2179" s="33" t="s">
        <v>470</v>
      </c>
      <c r="FH2179" s="33" t="s">
        <v>471</v>
      </c>
      <c r="FI2179" s="33" t="s">
        <v>467</v>
      </c>
      <c r="FJ2179" t="s">
        <v>474</v>
      </c>
    </row>
    <row r="2180" spans="153:166" x14ac:dyDescent="0.35">
      <c r="EW2180" t="s">
        <v>3124</v>
      </c>
      <c r="EX2180" s="33" t="s">
        <v>3357</v>
      </c>
      <c r="EY2180" s="33" t="s">
        <v>618</v>
      </c>
      <c r="EZ2180" s="33">
        <v>554610</v>
      </c>
      <c r="FA2180" s="33" t="s">
        <v>51</v>
      </c>
      <c r="FB2180" s="33" t="s">
        <v>473</v>
      </c>
      <c r="FC2180" s="33" t="s">
        <v>53</v>
      </c>
      <c r="FD2180" s="33" t="s">
        <v>476</v>
      </c>
      <c r="FE2180" s="33">
        <v>2022</v>
      </c>
      <c r="FF2180" s="33" t="s">
        <v>474</v>
      </c>
      <c r="FG2180" s="33" t="s">
        <v>477</v>
      </c>
      <c r="FH2180" s="33" t="s">
        <v>478</v>
      </c>
      <c r="FI2180" s="33" t="s">
        <v>479</v>
      </c>
      <c r="FJ2180" t="s">
        <v>474</v>
      </c>
    </row>
    <row r="2181" spans="153:166" x14ac:dyDescent="0.35">
      <c r="EW2181" t="s">
        <v>3124</v>
      </c>
      <c r="EX2181" s="33" t="s">
        <v>3358</v>
      </c>
      <c r="EY2181" s="33" t="s">
        <v>619</v>
      </c>
      <c r="EZ2181" s="33">
        <v>554682</v>
      </c>
      <c r="FA2181" s="33" t="s">
        <v>51</v>
      </c>
      <c r="FB2181" s="33" t="s">
        <v>473</v>
      </c>
      <c r="FC2181" s="33" t="s">
        <v>53</v>
      </c>
      <c r="FD2181" s="33" t="s">
        <v>476</v>
      </c>
      <c r="FE2181" s="33">
        <v>2022</v>
      </c>
      <c r="FF2181" s="33" t="s">
        <v>474</v>
      </c>
      <c r="FG2181" s="33" t="s">
        <v>477</v>
      </c>
      <c r="FH2181" s="33" t="s">
        <v>478</v>
      </c>
      <c r="FI2181" s="33" t="s">
        <v>479</v>
      </c>
      <c r="FJ2181" t="s">
        <v>474</v>
      </c>
    </row>
    <row r="2182" spans="153:166" x14ac:dyDescent="0.35">
      <c r="EW2182" t="s">
        <v>3124</v>
      </c>
      <c r="EX2182" s="33" t="s">
        <v>3359</v>
      </c>
      <c r="EY2182" s="33" t="s">
        <v>620</v>
      </c>
      <c r="EZ2182" s="33">
        <v>554694</v>
      </c>
      <c r="FA2182" s="33" t="s">
        <v>51</v>
      </c>
      <c r="FB2182" s="33" t="s">
        <v>473</v>
      </c>
      <c r="FC2182" s="33" t="s">
        <v>53</v>
      </c>
      <c r="FD2182" s="33" t="s">
        <v>476</v>
      </c>
      <c r="FE2182" s="33">
        <v>2022</v>
      </c>
      <c r="FF2182" s="33" t="s">
        <v>474</v>
      </c>
      <c r="FG2182" s="33" t="s">
        <v>470</v>
      </c>
      <c r="FH2182" s="33" t="s">
        <v>471</v>
      </c>
      <c r="FI2182" s="33" t="s">
        <v>467</v>
      </c>
      <c r="FJ2182" t="s">
        <v>474</v>
      </c>
    </row>
    <row r="2183" spans="153:166" x14ac:dyDescent="0.35">
      <c r="EW2183" t="s">
        <v>3124</v>
      </c>
      <c r="EX2183" s="33" t="s">
        <v>3360</v>
      </c>
      <c r="EY2183" s="33" t="s">
        <v>621</v>
      </c>
      <c r="EZ2183" s="33">
        <v>555374</v>
      </c>
      <c r="FA2183" s="33" t="s">
        <v>51</v>
      </c>
      <c r="FB2183" s="33" t="s">
        <v>473</v>
      </c>
      <c r="FC2183" s="33" t="s">
        <v>53</v>
      </c>
      <c r="FD2183" s="33" t="s">
        <v>476</v>
      </c>
      <c r="FE2183" s="33">
        <v>2022</v>
      </c>
      <c r="FF2183" s="33" t="s">
        <v>474</v>
      </c>
      <c r="FG2183" s="33" t="s">
        <v>470</v>
      </c>
      <c r="FH2183" s="33" t="s">
        <v>471</v>
      </c>
      <c r="FI2183" s="33" t="s">
        <v>467</v>
      </c>
      <c r="FJ2183" t="s">
        <v>474</v>
      </c>
    </row>
    <row r="2184" spans="153:166" x14ac:dyDescent="0.35">
      <c r="EW2184" t="s">
        <v>3124</v>
      </c>
      <c r="EX2184" s="33" t="s">
        <v>3361</v>
      </c>
      <c r="EY2184" s="33" t="s">
        <v>622</v>
      </c>
      <c r="EZ2184" s="33">
        <v>555138</v>
      </c>
      <c r="FA2184" s="33" t="s">
        <v>51</v>
      </c>
      <c r="FB2184" s="33" t="s">
        <v>473</v>
      </c>
      <c r="FC2184" s="33" t="s">
        <v>53</v>
      </c>
      <c r="FD2184" s="33" t="s">
        <v>476</v>
      </c>
      <c r="FE2184" s="33">
        <v>2022</v>
      </c>
      <c r="FF2184" s="33" t="s">
        <v>474</v>
      </c>
      <c r="FG2184" s="33" t="s">
        <v>470</v>
      </c>
      <c r="FH2184" s="33" t="s">
        <v>471</v>
      </c>
      <c r="FI2184" s="33" t="s">
        <v>467</v>
      </c>
      <c r="FJ2184" t="s">
        <v>474</v>
      </c>
    </row>
    <row r="2185" spans="153:166" x14ac:dyDescent="0.35">
      <c r="EW2185" t="s">
        <v>3124</v>
      </c>
      <c r="EX2185" s="33" t="s">
        <v>3362</v>
      </c>
      <c r="EY2185" s="33" t="s">
        <v>623</v>
      </c>
      <c r="EZ2185" s="33">
        <v>555050</v>
      </c>
      <c r="FA2185" s="33" t="s">
        <v>51</v>
      </c>
      <c r="FB2185" s="33" t="s">
        <v>473</v>
      </c>
      <c r="FC2185" s="33" t="s">
        <v>53</v>
      </c>
      <c r="FD2185" s="33" t="s">
        <v>476</v>
      </c>
      <c r="FE2185" s="33">
        <v>2022</v>
      </c>
      <c r="FF2185" s="33" t="s">
        <v>474</v>
      </c>
      <c r="FG2185" s="33" t="s">
        <v>470</v>
      </c>
      <c r="FH2185" s="33" t="s">
        <v>471</v>
      </c>
      <c r="FI2185" s="33" t="s">
        <v>467</v>
      </c>
      <c r="FJ2185" t="s">
        <v>474</v>
      </c>
    </row>
    <row r="2186" spans="153:166" x14ac:dyDescent="0.35">
      <c r="EW2186" t="s">
        <v>3124</v>
      </c>
      <c r="EX2186" s="33" t="s">
        <v>3363</v>
      </c>
      <c r="EY2186" s="33" t="s">
        <v>627</v>
      </c>
      <c r="EZ2186" s="33">
        <v>593684</v>
      </c>
      <c r="FA2186" s="33" t="s">
        <v>51</v>
      </c>
      <c r="FB2186" s="33" t="s">
        <v>473</v>
      </c>
      <c r="FC2186" s="33" t="s">
        <v>53</v>
      </c>
      <c r="FD2186" s="33" t="s">
        <v>476</v>
      </c>
      <c r="FE2186" s="33">
        <v>2023</v>
      </c>
      <c r="FF2186" s="33" t="s">
        <v>474</v>
      </c>
      <c r="FG2186" s="33" t="s">
        <v>470</v>
      </c>
      <c r="FH2186" s="33" t="s">
        <v>471</v>
      </c>
      <c r="FI2186" s="33" t="s">
        <v>467</v>
      </c>
      <c r="FJ2186" t="s">
        <v>474</v>
      </c>
    </row>
    <row r="2187" spans="153:166" x14ac:dyDescent="0.35">
      <c r="EW2187" t="s">
        <v>3124</v>
      </c>
      <c r="EX2187" s="33" t="s">
        <v>3364</v>
      </c>
      <c r="EY2187" s="33" t="s">
        <v>628</v>
      </c>
      <c r="EZ2187" s="33">
        <v>593717</v>
      </c>
      <c r="FA2187" s="33" t="s">
        <v>51</v>
      </c>
      <c r="FB2187" s="33" t="s">
        <v>473</v>
      </c>
      <c r="FC2187" s="33" t="s">
        <v>53</v>
      </c>
      <c r="FD2187" s="33" t="s">
        <v>476</v>
      </c>
      <c r="FE2187" s="33">
        <v>2023</v>
      </c>
      <c r="FF2187" s="33" t="s">
        <v>474</v>
      </c>
      <c r="FG2187" s="33" t="s">
        <v>470</v>
      </c>
      <c r="FH2187" s="33" t="s">
        <v>471</v>
      </c>
      <c r="FI2187" s="33" t="s">
        <v>467</v>
      </c>
      <c r="FJ2187" t="s">
        <v>474</v>
      </c>
    </row>
    <row r="2188" spans="153:166" x14ac:dyDescent="0.35">
      <c r="EW2188" t="s">
        <v>3124</v>
      </c>
      <c r="EX2188" s="33" t="s">
        <v>3365</v>
      </c>
      <c r="EY2188" s="33" t="s">
        <v>629</v>
      </c>
      <c r="EZ2188" s="33">
        <v>592427</v>
      </c>
      <c r="FA2188" s="33" t="s">
        <v>51</v>
      </c>
      <c r="FB2188" s="33" t="s">
        <v>473</v>
      </c>
      <c r="FC2188" s="33" t="s">
        <v>53</v>
      </c>
      <c r="FD2188" s="33" t="s">
        <v>476</v>
      </c>
      <c r="FE2188" s="33">
        <v>2023</v>
      </c>
      <c r="FF2188" s="33" t="s">
        <v>474</v>
      </c>
      <c r="FG2188" s="33" t="s">
        <v>470</v>
      </c>
      <c r="FH2188" s="33" t="s">
        <v>471</v>
      </c>
      <c r="FI2188" s="33" t="s">
        <v>467</v>
      </c>
      <c r="FJ2188" t="s">
        <v>474</v>
      </c>
    </row>
    <row r="2189" spans="153:166" x14ac:dyDescent="0.35">
      <c r="EW2189" t="s">
        <v>3124</v>
      </c>
      <c r="EX2189" s="33" t="s">
        <v>3366</v>
      </c>
      <c r="EY2189" s="33" t="s">
        <v>630</v>
      </c>
      <c r="EZ2189" s="33">
        <v>593907</v>
      </c>
      <c r="FA2189" s="33" t="s">
        <v>51</v>
      </c>
      <c r="FB2189" s="33" t="s">
        <v>473</v>
      </c>
      <c r="FC2189" s="33" t="s">
        <v>53</v>
      </c>
      <c r="FD2189" s="33" t="s">
        <v>476</v>
      </c>
      <c r="FE2189" s="33">
        <v>2023</v>
      </c>
      <c r="FF2189" s="33" t="s">
        <v>474</v>
      </c>
      <c r="FG2189" s="33" t="s">
        <v>470</v>
      </c>
      <c r="FH2189" s="33" t="s">
        <v>471</v>
      </c>
      <c r="FI2189" s="33" t="s">
        <v>467</v>
      </c>
      <c r="FJ2189" t="s">
        <v>474</v>
      </c>
    </row>
    <row r="2190" spans="153:166" x14ac:dyDescent="0.35">
      <c r="EW2190" t="s">
        <v>3124</v>
      </c>
      <c r="EX2190" s="33" t="s">
        <v>3367</v>
      </c>
      <c r="EY2190" s="33" t="s">
        <v>631</v>
      </c>
      <c r="EZ2190" s="33">
        <v>593887</v>
      </c>
      <c r="FA2190" s="33" t="s">
        <v>51</v>
      </c>
      <c r="FB2190" s="33" t="s">
        <v>473</v>
      </c>
      <c r="FC2190" s="33" t="s">
        <v>53</v>
      </c>
      <c r="FD2190" s="33" t="s">
        <v>476</v>
      </c>
      <c r="FE2190" s="33">
        <v>2023</v>
      </c>
      <c r="FF2190" s="33" t="s">
        <v>474</v>
      </c>
      <c r="FG2190" s="33" t="s">
        <v>470</v>
      </c>
      <c r="FH2190" s="33" t="s">
        <v>471</v>
      </c>
      <c r="FI2190" s="33" t="s">
        <v>467</v>
      </c>
      <c r="FJ2190" t="s">
        <v>474</v>
      </c>
    </row>
    <row r="2191" spans="153:166" x14ac:dyDescent="0.35">
      <c r="EW2191" t="s">
        <v>3124</v>
      </c>
      <c r="EX2191" s="33" t="s">
        <v>3368</v>
      </c>
      <c r="EY2191" s="33" t="s">
        <v>632</v>
      </c>
      <c r="EZ2191" s="33">
        <v>593899</v>
      </c>
      <c r="FA2191" s="33" t="s">
        <v>51</v>
      </c>
      <c r="FB2191" s="33" t="s">
        <v>473</v>
      </c>
      <c r="FC2191" s="33" t="s">
        <v>53</v>
      </c>
      <c r="FD2191" s="33" t="s">
        <v>476</v>
      </c>
      <c r="FE2191" s="33">
        <v>2023</v>
      </c>
      <c r="FF2191" s="33" t="s">
        <v>474</v>
      </c>
      <c r="FG2191" s="33" t="s">
        <v>470</v>
      </c>
      <c r="FH2191" s="33" t="s">
        <v>471</v>
      </c>
      <c r="FI2191" s="33" t="s">
        <v>467</v>
      </c>
      <c r="FJ2191" t="s">
        <v>474</v>
      </c>
    </row>
    <row r="2192" spans="153:166" x14ac:dyDescent="0.35">
      <c r="EW2192" t="s">
        <v>3124</v>
      </c>
      <c r="EX2192" s="33" t="s">
        <v>3369</v>
      </c>
      <c r="EY2192" s="33" t="s">
        <v>633</v>
      </c>
      <c r="EZ2192" s="33">
        <v>593420</v>
      </c>
      <c r="FA2192" s="33" t="s">
        <v>51</v>
      </c>
      <c r="FB2192" s="33" t="s">
        <v>473</v>
      </c>
      <c r="FC2192" s="33" t="s">
        <v>53</v>
      </c>
      <c r="FD2192" s="33" t="s">
        <v>476</v>
      </c>
      <c r="FE2192" s="33">
        <v>2023</v>
      </c>
      <c r="FF2192" s="33" t="s">
        <v>474</v>
      </c>
      <c r="FG2192" s="33" t="s">
        <v>470</v>
      </c>
      <c r="FH2192" s="33" t="s">
        <v>471</v>
      </c>
      <c r="FI2192" s="33" t="s">
        <v>467</v>
      </c>
      <c r="FJ2192" t="s">
        <v>474</v>
      </c>
    </row>
    <row r="2193" spans="153:166" x14ac:dyDescent="0.35">
      <c r="EW2193" t="s">
        <v>3124</v>
      </c>
      <c r="EX2193" s="33" t="s">
        <v>3370</v>
      </c>
      <c r="EY2193" s="33" t="s">
        <v>634</v>
      </c>
      <c r="EZ2193" s="33">
        <v>593506</v>
      </c>
      <c r="FA2193" s="33" t="s">
        <v>51</v>
      </c>
      <c r="FB2193" s="33" t="s">
        <v>473</v>
      </c>
      <c r="FC2193" s="33" t="s">
        <v>53</v>
      </c>
      <c r="FD2193" s="33" t="s">
        <v>476</v>
      </c>
      <c r="FE2193" s="33">
        <v>2023</v>
      </c>
      <c r="FF2193" s="33" t="s">
        <v>474</v>
      </c>
      <c r="FG2193" s="33" t="s">
        <v>470</v>
      </c>
      <c r="FH2193" s="33" t="s">
        <v>471</v>
      </c>
      <c r="FI2193" s="33" t="s">
        <v>467</v>
      </c>
      <c r="FJ2193" t="s">
        <v>474</v>
      </c>
    </row>
    <row r="2194" spans="153:166" x14ac:dyDescent="0.35">
      <c r="EW2194" t="s">
        <v>3124</v>
      </c>
      <c r="EX2194" s="33" t="s">
        <v>3371</v>
      </c>
      <c r="EY2194" s="33" t="s">
        <v>635</v>
      </c>
      <c r="EZ2194" s="33">
        <v>593418</v>
      </c>
      <c r="FA2194" s="33" t="s">
        <v>51</v>
      </c>
      <c r="FB2194" s="33" t="s">
        <v>473</v>
      </c>
      <c r="FC2194" s="33" t="s">
        <v>53</v>
      </c>
      <c r="FD2194" s="33" t="s">
        <v>476</v>
      </c>
      <c r="FE2194" s="33">
        <v>2023</v>
      </c>
      <c r="FF2194" s="33" t="s">
        <v>474</v>
      </c>
      <c r="FG2194" s="33" t="s">
        <v>470</v>
      </c>
      <c r="FH2194" s="33" t="s">
        <v>471</v>
      </c>
      <c r="FI2194" s="33" t="s">
        <v>467</v>
      </c>
      <c r="FJ2194" t="s">
        <v>474</v>
      </c>
    </row>
    <row r="2195" spans="153:166" x14ac:dyDescent="0.35">
      <c r="EW2195" t="s">
        <v>3124</v>
      </c>
      <c r="EX2195" s="33" t="s">
        <v>3372</v>
      </c>
      <c r="EY2195" s="33" t="s">
        <v>639</v>
      </c>
      <c r="EZ2195" s="33">
        <v>593145</v>
      </c>
      <c r="FA2195" s="33" t="s">
        <v>51</v>
      </c>
      <c r="FB2195" s="33" t="s">
        <v>473</v>
      </c>
      <c r="FC2195" s="33" t="s">
        <v>53</v>
      </c>
      <c r="FD2195" s="33" t="s">
        <v>476</v>
      </c>
      <c r="FE2195" s="33">
        <v>2023</v>
      </c>
      <c r="FF2195" s="33" t="s">
        <v>474</v>
      </c>
      <c r="FG2195" s="33" t="s">
        <v>470</v>
      </c>
      <c r="FH2195" s="33" t="s">
        <v>471</v>
      </c>
      <c r="FI2195" s="33" t="s">
        <v>467</v>
      </c>
      <c r="FJ2195" t="s">
        <v>474</v>
      </c>
    </row>
    <row r="2196" spans="153:166" x14ac:dyDescent="0.35">
      <c r="EW2196" t="s">
        <v>3124</v>
      </c>
      <c r="EX2196" s="33" t="s">
        <v>3373</v>
      </c>
      <c r="EY2196" s="33" t="s">
        <v>640</v>
      </c>
      <c r="EZ2196" s="33" t="s">
        <v>641</v>
      </c>
      <c r="FA2196" s="33" t="s">
        <v>343</v>
      </c>
      <c r="FB2196" s="33" t="s">
        <v>344</v>
      </c>
      <c r="FC2196" s="33" t="s">
        <v>345</v>
      </c>
      <c r="FD2196" s="33" t="s">
        <v>346</v>
      </c>
      <c r="FE2196" s="33">
        <v>2025</v>
      </c>
      <c r="FF2196" s="33" t="s">
        <v>59</v>
      </c>
      <c r="FG2196" s="33" t="s">
        <v>386</v>
      </c>
      <c r="FH2196" s="33" t="s">
        <v>387</v>
      </c>
      <c r="FI2196" s="33" t="s">
        <v>407</v>
      </c>
      <c r="FJ2196" t="s">
        <v>59</v>
      </c>
    </row>
    <row r="2197" spans="153:166" x14ac:dyDescent="0.35">
      <c r="EW2197" t="s">
        <v>3124</v>
      </c>
      <c r="EX2197" s="33" t="s">
        <v>3374</v>
      </c>
      <c r="EY2197" s="33" t="s">
        <v>642</v>
      </c>
      <c r="EZ2197" s="33" t="s">
        <v>643</v>
      </c>
      <c r="FA2197" s="33" t="s">
        <v>343</v>
      </c>
      <c r="FB2197" s="33" t="s">
        <v>344</v>
      </c>
      <c r="FC2197" s="33" t="s">
        <v>345</v>
      </c>
      <c r="FD2197" s="33" t="s">
        <v>346</v>
      </c>
      <c r="FE2197" s="33">
        <v>2025</v>
      </c>
      <c r="FF2197" s="33" t="s">
        <v>59</v>
      </c>
      <c r="FG2197" s="33" t="s">
        <v>477</v>
      </c>
      <c r="FH2197" s="33" t="s">
        <v>478</v>
      </c>
      <c r="FI2197" s="33" t="s">
        <v>479</v>
      </c>
      <c r="FJ2197" t="s">
        <v>59</v>
      </c>
    </row>
    <row r="2198" spans="153:166" x14ac:dyDescent="0.35">
      <c r="EW2198" t="s">
        <v>3124</v>
      </c>
      <c r="EX2198" s="33" t="s">
        <v>3375</v>
      </c>
      <c r="EY2198" s="33" t="s">
        <v>644</v>
      </c>
      <c r="EZ2198" s="33" t="s">
        <v>645</v>
      </c>
      <c r="FA2198" s="33" t="s">
        <v>343</v>
      </c>
      <c r="FB2198" s="33" t="s">
        <v>344</v>
      </c>
      <c r="FC2198" s="33" t="s">
        <v>345</v>
      </c>
      <c r="FD2198" s="33" t="s">
        <v>346</v>
      </c>
      <c r="FE2198" s="33">
        <v>2025</v>
      </c>
      <c r="FF2198" s="33" t="s">
        <v>59</v>
      </c>
      <c r="FG2198" s="33" t="s">
        <v>470</v>
      </c>
      <c r="FH2198" s="33" t="s">
        <v>471</v>
      </c>
      <c r="FI2198" s="33" t="s">
        <v>467</v>
      </c>
      <c r="FJ2198" t="s">
        <v>59</v>
      </c>
    </row>
    <row r="2199" spans="153:166" x14ac:dyDescent="0.35">
      <c r="EW2199" t="s">
        <v>3124</v>
      </c>
      <c r="EX2199" s="33" t="s">
        <v>3376</v>
      </c>
      <c r="EY2199" s="33" t="s">
        <v>646</v>
      </c>
      <c r="EZ2199" s="33" t="s">
        <v>647</v>
      </c>
      <c r="FA2199" s="33" t="s">
        <v>343</v>
      </c>
      <c r="FB2199" s="33" t="s">
        <v>344</v>
      </c>
      <c r="FC2199" s="33" t="s">
        <v>345</v>
      </c>
      <c r="FD2199" s="33" t="s">
        <v>346</v>
      </c>
      <c r="FE2199" s="33">
        <v>2025</v>
      </c>
      <c r="FF2199" s="33" t="s">
        <v>59</v>
      </c>
      <c r="FG2199" s="33" t="s">
        <v>470</v>
      </c>
      <c r="FH2199" s="33" t="s">
        <v>471</v>
      </c>
      <c r="FI2199" s="33" t="s">
        <v>467</v>
      </c>
      <c r="FJ2199" t="s">
        <v>59</v>
      </c>
    </row>
    <row r="2200" spans="153:166" x14ac:dyDescent="0.35">
      <c r="EW2200" t="s">
        <v>3124</v>
      </c>
      <c r="EX2200" s="33" t="s">
        <v>3377</v>
      </c>
      <c r="EY2200" s="33" t="s">
        <v>648</v>
      </c>
      <c r="EZ2200" s="33" t="s">
        <v>649</v>
      </c>
      <c r="FA2200" s="33" t="s">
        <v>343</v>
      </c>
      <c r="FB2200" s="33" t="s">
        <v>344</v>
      </c>
      <c r="FC2200" s="33" t="s">
        <v>345</v>
      </c>
      <c r="FD2200" s="33" t="s">
        <v>346</v>
      </c>
      <c r="FE2200" s="33">
        <v>2025</v>
      </c>
      <c r="FF2200" s="33" t="s">
        <v>59</v>
      </c>
      <c r="FG2200" s="33" t="s">
        <v>477</v>
      </c>
      <c r="FH2200" s="33" t="s">
        <v>478</v>
      </c>
      <c r="FI2200" s="33" t="s">
        <v>479</v>
      </c>
      <c r="FJ2200" t="s">
        <v>59</v>
      </c>
    </row>
    <row r="2201" spans="153:166" x14ac:dyDescent="0.35">
      <c r="EW2201" t="s">
        <v>3124</v>
      </c>
      <c r="EX2201" s="33" t="s">
        <v>3378</v>
      </c>
      <c r="EY2201" s="33" t="s">
        <v>650</v>
      </c>
      <c r="EZ2201" s="33" t="s">
        <v>651</v>
      </c>
      <c r="FA2201" s="33" t="s">
        <v>343</v>
      </c>
      <c r="FB2201" s="33" t="s">
        <v>344</v>
      </c>
      <c r="FC2201" s="33" t="s">
        <v>345</v>
      </c>
      <c r="FD2201" s="33" t="s">
        <v>346</v>
      </c>
      <c r="FE2201" s="33">
        <v>2025</v>
      </c>
      <c r="FF2201" s="33" t="s">
        <v>59</v>
      </c>
      <c r="FG2201" s="33" t="s">
        <v>386</v>
      </c>
      <c r="FH2201" s="33" t="s">
        <v>387</v>
      </c>
      <c r="FI2201" s="33" t="s">
        <v>407</v>
      </c>
      <c r="FJ2201" t="s">
        <v>59</v>
      </c>
    </row>
    <row r="2202" spans="153:166" x14ac:dyDescent="0.35">
      <c r="EW2202" t="s">
        <v>3124</v>
      </c>
      <c r="EX2202" s="33" t="s">
        <v>3379</v>
      </c>
      <c r="EY2202" s="33" t="s">
        <v>655</v>
      </c>
      <c r="EZ2202" s="33" t="s">
        <v>656</v>
      </c>
      <c r="FA2202" s="33" t="s">
        <v>343</v>
      </c>
      <c r="FB2202" s="33" t="s">
        <v>344</v>
      </c>
      <c r="FC2202" s="33" t="s">
        <v>345</v>
      </c>
      <c r="FD2202" s="33" t="s">
        <v>346</v>
      </c>
      <c r="FE2202" s="33">
        <v>2025</v>
      </c>
      <c r="FF2202" s="33" t="s">
        <v>59</v>
      </c>
      <c r="FG2202" s="33" t="s">
        <v>477</v>
      </c>
      <c r="FH2202" s="33" t="s">
        <v>478</v>
      </c>
      <c r="FI2202" s="33" t="s">
        <v>479</v>
      </c>
      <c r="FJ2202" t="s">
        <v>59</v>
      </c>
    </row>
    <row r="2203" spans="153:166" x14ac:dyDescent="0.35">
      <c r="EW2203" t="s">
        <v>3124</v>
      </c>
      <c r="EX2203" s="33" t="s">
        <v>3380</v>
      </c>
      <c r="EY2203" s="33" t="s">
        <v>657</v>
      </c>
      <c r="EZ2203" s="33" t="s">
        <v>658</v>
      </c>
      <c r="FA2203" s="33" t="s">
        <v>343</v>
      </c>
      <c r="FB2203" s="33" t="s">
        <v>344</v>
      </c>
      <c r="FC2203" s="33" t="s">
        <v>345</v>
      </c>
      <c r="FD2203" s="33" t="s">
        <v>346</v>
      </c>
      <c r="FE2203" s="33">
        <v>2025</v>
      </c>
      <c r="FF2203" s="33" t="s">
        <v>59</v>
      </c>
      <c r="FG2203" s="33" t="s">
        <v>386</v>
      </c>
      <c r="FH2203" s="33" t="s">
        <v>387</v>
      </c>
      <c r="FI2203" s="33" t="s">
        <v>407</v>
      </c>
      <c r="FJ2203" t="s">
        <v>59</v>
      </c>
    </row>
    <row r="2204" spans="153:166" x14ac:dyDescent="0.35">
      <c r="EW2204" t="s">
        <v>3124</v>
      </c>
      <c r="EX2204" s="33" t="s">
        <v>3381</v>
      </c>
      <c r="EY2204" s="33" t="s">
        <v>659</v>
      </c>
      <c r="EZ2204" s="33" t="s">
        <v>660</v>
      </c>
      <c r="FA2204" s="33" t="s">
        <v>343</v>
      </c>
      <c r="FB2204" s="33" t="s">
        <v>344</v>
      </c>
      <c r="FC2204" s="33" t="s">
        <v>345</v>
      </c>
      <c r="FD2204" s="33" t="s">
        <v>346</v>
      </c>
      <c r="FE2204" s="33">
        <v>2025</v>
      </c>
      <c r="FF2204" s="33" t="s">
        <v>59</v>
      </c>
      <c r="FG2204" s="33" t="s">
        <v>386</v>
      </c>
      <c r="FH2204" s="33" t="s">
        <v>387</v>
      </c>
      <c r="FI2204" s="33" t="s">
        <v>407</v>
      </c>
      <c r="FJ2204" t="s">
        <v>59</v>
      </c>
    </row>
    <row r="2205" spans="153:166" x14ac:dyDescent="0.35">
      <c r="EW2205" t="s">
        <v>3124</v>
      </c>
      <c r="EX2205" s="33" t="s">
        <v>3382</v>
      </c>
      <c r="EY2205" s="33" t="s">
        <v>661</v>
      </c>
      <c r="EZ2205" s="33" t="s">
        <v>662</v>
      </c>
      <c r="FA2205" s="33" t="s">
        <v>343</v>
      </c>
      <c r="FB2205" s="33" t="s">
        <v>344</v>
      </c>
      <c r="FC2205" s="33" t="s">
        <v>345</v>
      </c>
      <c r="FD2205" s="33" t="s">
        <v>346</v>
      </c>
      <c r="FE2205" s="33">
        <v>2025</v>
      </c>
      <c r="FF2205" s="33" t="s">
        <v>59</v>
      </c>
      <c r="FG2205" s="33" t="s">
        <v>386</v>
      </c>
      <c r="FH2205" s="33" t="s">
        <v>387</v>
      </c>
      <c r="FI2205" s="33" t="s">
        <v>407</v>
      </c>
      <c r="FJ2205" t="s">
        <v>59</v>
      </c>
    </row>
    <row r="2206" spans="153:166" x14ac:dyDescent="0.35">
      <c r="EW2206" t="s">
        <v>3124</v>
      </c>
      <c r="EX2206" s="33" t="s">
        <v>3383</v>
      </c>
      <c r="EY2206" s="33" t="s">
        <v>663</v>
      </c>
      <c r="EZ2206" s="33" t="s">
        <v>664</v>
      </c>
      <c r="FA2206" s="33" t="s">
        <v>343</v>
      </c>
      <c r="FB2206" s="33" t="s">
        <v>344</v>
      </c>
      <c r="FC2206" s="33" t="s">
        <v>345</v>
      </c>
      <c r="FD2206" s="33" t="s">
        <v>346</v>
      </c>
      <c r="FE2206" s="33">
        <v>2025</v>
      </c>
      <c r="FF2206" s="33" t="s">
        <v>59</v>
      </c>
      <c r="FG2206" s="33" t="s">
        <v>386</v>
      </c>
      <c r="FH2206" s="33" t="s">
        <v>387</v>
      </c>
      <c r="FI2206" s="33" t="s">
        <v>407</v>
      </c>
      <c r="FJ2206" t="s">
        <v>59</v>
      </c>
    </row>
    <row r="2207" spans="153:166" x14ac:dyDescent="0.35">
      <c r="EW2207" t="s">
        <v>3124</v>
      </c>
      <c r="EX2207" s="33" t="s">
        <v>3384</v>
      </c>
      <c r="EY2207" s="33" t="s">
        <v>668</v>
      </c>
      <c r="EZ2207" s="33" t="s">
        <v>669</v>
      </c>
      <c r="FA2207" s="33" t="s">
        <v>343</v>
      </c>
      <c r="FB2207" s="33" t="s">
        <v>344</v>
      </c>
      <c r="FC2207" s="33" t="s">
        <v>345</v>
      </c>
      <c r="FD2207" s="33" t="s">
        <v>346</v>
      </c>
      <c r="FE2207" s="33">
        <v>2025</v>
      </c>
      <c r="FF2207" s="33" t="s">
        <v>59</v>
      </c>
      <c r="FG2207" s="33" t="s">
        <v>477</v>
      </c>
      <c r="FH2207" s="33" t="s">
        <v>478</v>
      </c>
      <c r="FI2207" s="33" t="s">
        <v>479</v>
      </c>
      <c r="FJ2207" t="s">
        <v>59</v>
      </c>
    </row>
    <row r="2208" spans="153:166" x14ac:dyDescent="0.35">
      <c r="EW2208" t="s">
        <v>3124</v>
      </c>
      <c r="EX2208" s="33" t="s">
        <v>3385</v>
      </c>
      <c r="EY2208" s="33" t="s">
        <v>673</v>
      </c>
      <c r="EZ2208" s="33" t="s">
        <v>674</v>
      </c>
      <c r="FA2208" s="33" t="s">
        <v>343</v>
      </c>
      <c r="FB2208" s="33" t="s">
        <v>344</v>
      </c>
      <c r="FC2208" s="33" t="s">
        <v>345</v>
      </c>
      <c r="FD2208" s="33" t="s">
        <v>346</v>
      </c>
      <c r="FE2208" s="33">
        <v>2025</v>
      </c>
      <c r="FF2208" s="33" t="s">
        <v>59</v>
      </c>
      <c r="FG2208" s="33" t="s">
        <v>386</v>
      </c>
      <c r="FH2208" s="33" t="s">
        <v>387</v>
      </c>
      <c r="FI2208" s="33" t="s">
        <v>407</v>
      </c>
      <c r="FJ2208" t="s">
        <v>59</v>
      </c>
    </row>
    <row r="2209" spans="153:166" x14ac:dyDescent="0.35">
      <c r="EW2209" t="s">
        <v>3124</v>
      </c>
      <c r="EX2209" s="33" t="s">
        <v>3386</v>
      </c>
      <c r="EY2209" s="33" t="s">
        <v>675</v>
      </c>
      <c r="EZ2209" s="33" t="s">
        <v>676</v>
      </c>
      <c r="FA2209" s="33" t="s">
        <v>343</v>
      </c>
      <c r="FB2209" s="33" t="s">
        <v>344</v>
      </c>
      <c r="FC2209" s="33" t="s">
        <v>345</v>
      </c>
      <c r="FD2209" s="33" t="s">
        <v>346</v>
      </c>
      <c r="FE2209" s="33">
        <v>2025</v>
      </c>
      <c r="FF2209" s="33" t="s">
        <v>59</v>
      </c>
      <c r="FG2209" s="33" t="s">
        <v>386</v>
      </c>
      <c r="FH2209" s="33" t="s">
        <v>387</v>
      </c>
      <c r="FI2209" s="33" t="s">
        <v>407</v>
      </c>
      <c r="FJ2209" t="s">
        <v>59</v>
      </c>
    </row>
    <row r="2210" spans="153:166" x14ac:dyDescent="0.35">
      <c r="EW2210" t="s">
        <v>3124</v>
      </c>
      <c r="EX2210" s="33" t="s">
        <v>3387</v>
      </c>
      <c r="EY2210" s="33" t="s">
        <v>677</v>
      </c>
      <c r="EZ2210" s="33" t="s">
        <v>678</v>
      </c>
      <c r="FA2210" s="33" t="s">
        <v>343</v>
      </c>
      <c r="FB2210" s="33" t="s">
        <v>344</v>
      </c>
      <c r="FC2210" s="33" t="s">
        <v>345</v>
      </c>
      <c r="FD2210" s="33" t="s">
        <v>346</v>
      </c>
      <c r="FE2210" s="33">
        <v>2025</v>
      </c>
      <c r="FF2210" s="33" t="s">
        <v>59</v>
      </c>
      <c r="FG2210" s="33" t="s">
        <v>477</v>
      </c>
      <c r="FH2210" s="33" t="s">
        <v>478</v>
      </c>
      <c r="FI2210" s="33" t="s">
        <v>479</v>
      </c>
      <c r="FJ2210" t="s">
        <v>59</v>
      </c>
    </row>
    <row r="2211" spans="153:166" x14ac:dyDescent="0.35">
      <c r="EW2211" t="s">
        <v>3124</v>
      </c>
      <c r="EX2211" s="33" t="s">
        <v>3388</v>
      </c>
      <c r="EY2211" s="33" t="s">
        <v>679</v>
      </c>
      <c r="EZ2211" s="33" t="s">
        <v>680</v>
      </c>
      <c r="FA2211" s="33" t="s">
        <v>343</v>
      </c>
      <c r="FB2211" s="33" t="s">
        <v>344</v>
      </c>
      <c r="FC2211" s="33" t="s">
        <v>345</v>
      </c>
      <c r="FD2211" s="33" t="s">
        <v>346</v>
      </c>
      <c r="FE2211" s="33">
        <v>2025</v>
      </c>
      <c r="FF2211" s="33" t="s">
        <v>59</v>
      </c>
      <c r="FG2211" s="33" t="s">
        <v>470</v>
      </c>
      <c r="FH2211" s="33" t="s">
        <v>471</v>
      </c>
      <c r="FI2211" s="33" t="s">
        <v>467</v>
      </c>
      <c r="FJ2211" t="s">
        <v>59</v>
      </c>
    </row>
    <row r="2212" spans="153:166" x14ac:dyDescent="0.35">
      <c r="EW2212" t="s">
        <v>3124</v>
      </c>
      <c r="EX2212" s="33" t="s">
        <v>3389</v>
      </c>
      <c r="EY2212" s="33" t="s">
        <v>681</v>
      </c>
      <c r="EZ2212" s="33" t="s">
        <v>682</v>
      </c>
      <c r="FA2212" s="33" t="s">
        <v>343</v>
      </c>
      <c r="FB2212" s="33" t="s">
        <v>344</v>
      </c>
      <c r="FC2212" s="33" t="s">
        <v>345</v>
      </c>
      <c r="FD2212" s="33" t="s">
        <v>346</v>
      </c>
      <c r="FE2212" s="33">
        <v>2025</v>
      </c>
      <c r="FF2212" s="33" t="s">
        <v>59</v>
      </c>
      <c r="FG2212" s="33" t="s">
        <v>386</v>
      </c>
      <c r="FH2212" s="33" t="s">
        <v>387</v>
      </c>
      <c r="FI2212" s="33" t="s">
        <v>407</v>
      </c>
      <c r="FJ2212" t="s">
        <v>59</v>
      </c>
    </row>
    <row r="2213" spans="153:166" x14ac:dyDescent="0.35">
      <c r="EW2213" t="s">
        <v>3124</v>
      </c>
      <c r="EX2213" s="33" t="s">
        <v>3390</v>
      </c>
      <c r="EY2213" s="33" t="s">
        <v>683</v>
      </c>
      <c r="EZ2213" s="33" t="s">
        <v>684</v>
      </c>
      <c r="FA2213" s="33" t="s">
        <v>343</v>
      </c>
      <c r="FB2213" s="33" t="s">
        <v>344</v>
      </c>
      <c r="FC2213" s="33" t="s">
        <v>345</v>
      </c>
      <c r="FD2213" s="33" t="s">
        <v>346</v>
      </c>
      <c r="FE2213" s="33">
        <v>2025</v>
      </c>
      <c r="FF2213" s="33" t="s">
        <v>59</v>
      </c>
      <c r="FG2213" s="33" t="s">
        <v>386</v>
      </c>
      <c r="FH2213" s="33" t="s">
        <v>387</v>
      </c>
      <c r="FI2213" s="33" t="s">
        <v>407</v>
      </c>
      <c r="FJ2213" t="s">
        <v>59</v>
      </c>
    </row>
    <row r="2214" spans="153:166" x14ac:dyDescent="0.35">
      <c r="EW2214" t="s">
        <v>3124</v>
      </c>
      <c r="EX2214" s="33" t="s">
        <v>3391</v>
      </c>
      <c r="EY2214" s="33" t="s">
        <v>688</v>
      </c>
      <c r="EZ2214" s="33" t="s">
        <v>689</v>
      </c>
      <c r="FA2214" s="33" t="s">
        <v>343</v>
      </c>
      <c r="FB2214" s="33" t="s">
        <v>344</v>
      </c>
      <c r="FC2214" s="33" t="s">
        <v>345</v>
      </c>
      <c r="FD2214" s="33" t="s">
        <v>346</v>
      </c>
      <c r="FE2214" s="33">
        <v>2025</v>
      </c>
      <c r="FF2214" s="33" t="s">
        <v>59</v>
      </c>
      <c r="FG2214" s="33" t="s">
        <v>477</v>
      </c>
      <c r="FH2214" s="33" t="s">
        <v>478</v>
      </c>
      <c r="FI2214" s="33" t="s">
        <v>479</v>
      </c>
      <c r="FJ2214" t="s">
        <v>59</v>
      </c>
    </row>
    <row r="2215" spans="153:166" x14ac:dyDescent="0.35">
      <c r="EW2215" t="s">
        <v>3124</v>
      </c>
      <c r="EX2215" s="33" t="s">
        <v>3392</v>
      </c>
      <c r="EY2215" s="33" t="s">
        <v>690</v>
      </c>
      <c r="EZ2215" s="33" t="s">
        <v>691</v>
      </c>
      <c r="FA2215" s="33" t="s">
        <v>343</v>
      </c>
      <c r="FB2215" s="33" t="s">
        <v>344</v>
      </c>
      <c r="FC2215" s="33" t="s">
        <v>345</v>
      </c>
      <c r="FD2215" s="33" t="s">
        <v>346</v>
      </c>
      <c r="FE2215" s="33">
        <v>2025</v>
      </c>
      <c r="FF2215" s="33" t="s">
        <v>59</v>
      </c>
      <c r="FG2215" s="33" t="s">
        <v>477</v>
      </c>
      <c r="FH2215" s="33" t="s">
        <v>478</v>
      </c>
      <c r="FI2215" s="33" t="s">
        <v>479</v>
      </c>
      <c r="FJ2215" t="s">
        <v>59</v>
      </c>
    </row>
    <row r="2216" spans="153:166" x14ac:dyDescent="0.35">
      <c r="EW2216" t="s">
        <v>3124</v>
      </c>
      <c r="EX2216" s="33" t="s">
        <v>3393</v>
      </c>
      <c r="EY2216" s="33" t="s">
        <v>692</v>
      </c>
      <c r="EZ2216" s="33" t="s">
        <v>693</v>
      </c>
      <c r="FA2216" s="33" t="s">
        <v>343</v>
      </c>
      <c r="FB2216" s="33" t="s">
        <v>344</v>
      </c>
      <c r="FC2216" s="33" t="s">
        <v>345</v>
      </c>
      <c r="FD2216" s="33" t="s">
        <v>346</v>
      </c>
      <c r="FE2216" s="33">
        <v>2025</v>
      </c>
      <c r="FF2216" s="33" t="s">
        <v>59</v>
      </c>
      <c r="FG2216" s="33" t="s">
        <v>386</v>
      </c>
      <c r="FH2216" s="33" t="s">
        <v>387</v>
      </c>
      <c r="FI2216" s="33" t="s">
        <v>407</v>
      </c>
      <c r="FJ2216" t="s">
        <v>59</v>
      </c>
    </row>
    <row r="2217" spans="153:166" x14ac:dyDescent="0.35">
      <c r="EW2217" t="s">
        <v>3124</v>
      </c>
      <c r="EX2217" s="33" t="s">
        <v>3394</v>
      </c>
      <c r="EY2217" s="33" t="s">
        <v>694</v>
      </c>
      <c r="EZ2217" s="33" t="s">
        <v>695</v>
      </c>
      <c r="FA2217" s="33" t="s">
        <v>343</v>
      </c>
      <c r="FB2217" s="33" t="s">
        <v>344</v>
      </c>
      <c r="FC2217" s="33" t="s">
        <v>345</v>
      </c>
      <c r="FD2217" s="33" t="s">
        <v>346</v>
      </c>
      <c r="FE2217" s="33">
        <v>2025</v>
      </c>
      <c r="FF2217" s="33" t="s">
        <v>59</v>
      </c>
      <c r="FG2217" s="33" t="s">
        <v>477</v>
      </c>
      <c r="FH2217" s="33" t="s">
        <v>478</v>
      </c>
      <c r="FI2217" s="33" t="s">
        <v>479</v>
      </c>
      <c r="FJ2217" t="s">
        <v>59</v>
      </c>
    </row>
    <row r="2218" spans="153:166" x14ac:dyDescent="0.35">
      <c r="EW2218" t="s">
        <v>3124</v>
      </c>
      <c r="EX2218" s="33" t="s">
        <v>3395</v>
      </c>
      <c r="EY2218" s="33" t="s">
        <v>696</v>
      </c>
      <c r="EZ2218" s="33" t="s">
        <v>697</v>
      </c>
      <c r="FA2218" s="33" t="s">
        <v>343</v>
      </c>
      <c r="FB2218" s="33" t="s">
        <v>344</v>
      </c>
      <c r="FC2218" s="33" t="s">
        <v>345</v>
      </c>
      <c r="FD2218" s="33" t="s">
        <v>346</v>
      </c>
      <c r="FE2218" s="33">
        <v>2025</v>
      </c>
      <c r="FF2218" s="33" t="s">
        <v>59</v>
      </c>
      <c r="FG2218" s="33" t="s">
        <v>386</v>
      </c>
      <c r="FH2218" s="33" t="s">
        <v>387</v>
      </c>
      <c r="FI2218" s="33" t="s">
        <v>407</v>
      </c>
      <c r="FJ2218" t="s">
        <v>59</v>
      </c>
    </row>
    <row r="2219" spans="153:166" x14ac:dyDescent="0.35">
      <c r="EW2219" t="s">
        <v>3124</v>
      </c>
      <c r="EX2219" s="33" t="s">
        <v>3396</v>
      </c>
      <c r="EY2219" s="33" t="s">
        <v>701</v>
      </c>
      <c r="EZ2219" s="33" t="s">
        <v>702</v>
      </c>
      <c r="FA2219" s="33" t="s">
        <v>343</v>
      </c>
      <c r="FB2219" s="33" t="s">
        <v>344</v>
      </c>
      <c r="FC2219" s="33" t="s">
        <v>345</v>
      </c>
      <c r="FD2219" s="33" t="s">
        <v>346</v>
      </c>
      <c r="FE2219" s="33">
        <v>2025</v>
      </c>
      <c r="FF2219" s="33" t="s">
        <v>59</v>
      </c>
      <c r="FG2219" s="33" t="s">
        <v>477</v>
      </c>
      <c r="FH2219" s="33" t="s">
        <v>478</v>
      </c>
      <c r="FI2219" s="33" t="s">
        <v>479</v>
      </c>
      <c r="FJ2219" t="s">
        <v>59</v>
      </c>
    </row>
    <row r="2220" spans="153:166" x14ac:dyDescent="0.35">
      <c r="EW2220" t="s">
        <v>3124</v>
      </c>
      <c r="EX2220" s="33" t="s">
        <v>3397</v>
      </c>
      <c r="EY2220" s="33" t="s">
        <v>703</v>
      </c>
      <c r="EZ2220" s="33" t="s">
        <v>704</v>
      </c>
      <c r="FA2220" s="33" t="s">
        <v>343</v>
      </c>
      <c r="FB2220" s="33" t="s">
        <v>344</v>
      </c>
      <c r="FC2220" s="33" t="s">
        <v>345</v>
      </c>
      <c r="FD2220" s="33" t="s">
        <v>346</v>
      </c>
      <c r="FE2220" s="33">
        <v>2025</v>
      </c>
      <c r="FF2220" s="33" t="s">
        <v>59</v>
      </c>
      <c r="FG2220" s="33" t="s">
        <v>477</v>
      </c>
      <c r="FH2220" s="33" t="s">
        <v>478</v>
      </c>
      <c r="FI2220" s="33" t="s">
        <v>479</v>
      </c>
      <c r="FJ2220" t="s">
        <v>59</v>
      </c>
    </row>
    <row r="2221" spans="153:166" x14ac:dyDescent="0.35">
      <c r="EW2221" t="s">
        <v>3124</v>
      </c>
      <c r="EX2221" s="33" t="s">
        <v>3398</v>
      </c>
      <c r="EY2221" s="33" t="s">
        <v>708</v>
      </c>
      <c r="EZ2221" s="33" t="s">
        <v>709</v>
      </c>
      <c r="FA2221" s="33" t="s">
        <v>343</v>
      </c>
      <c r="FB2221" s="33" t="s">
        <v>344</v>
      </c>
      <c r="FC2221" s="33" t="s">
        <v>345</v>
      </c>
      <c r="FD2221" s="33" t="s">
        <v>346</v>
      </c>
      <c r="FE2221" s="33">
        <v>2025</v>
      </c>
      <c r="FF2221" s="33" t="s">
        <v>59</v>
      </c>
      <c r="FG2221" s="33" t="s">
        <v>477</v>
      </c>
      <c r="FH2221" s="33" t="s">
        <v>478</v>
      </c>
      <c r="FI2221" s="33" t="s">
        <v>479</v>
      </c>
      <c r="FJ2221" t="s">
        <v>59</v>
      </c>
    </row>
    <row r="2222" spans="153:166" x14ac:dyDescent="0.35">
      <c r="EW2222" t="s">
        <v>3124</v>
      </c>
      <c r="EX2222" s="33" t="s">
        <v>3399</v>
      </c>
      <c r="EY2222" s="33" t="s">
        <v>713</v>
      </c>
      <c r="EZ2222" s="33" t="s">
        <v>714</v>
      </c>
      <c r="FA2222" s="33" t="s">
        <v>343</v>
      </c>
      <c r="FB2222" s="33" t="s">
        <v>344</v>
      </c>
      <c r="FC2222" s="33" t="s">
        <v>345</v>
      </c>
      <c r="FD2222" s="33" t="s">
        <v>346</v>
      </c>
      <c r="FE2222" s="33">
        <v>2025</v>
      </c>
      <c r="FF2222" s="33" t="s">
        <v>59</v>
      </c>
      <c r="FG2222" s="33" t="s">
        <v>470</v>
      </c>
      <c r="FH2222" s="33" t="s">
        <v>471</v>
      </c>
      <c r="FI2222" s="33" t="s">
        <v>467</v>
      </c>
      <c r="FJ2222" t="s">
        <v>59</v>
      </c>
    </row>
    <row r="2223" spans="153:166" x14ac:dyDescent="0.35">
      <c r="EW2223" t="s">
        <v>3124</v>
      </c>
      <c r="EX2223" s="33" t="s">
        <v>3400</v>
      </c>
      <c r="EY2223" s="33" t="s">
        <v>715</v>
      </c>
      <c r="EZ2223" s="33" t="s">
        <v>716</v>
      </c>
      <c r="FA2223" s="33" t="s">
        <v>343</v>
      </c>
      <c r="FB2223" s="33" t="s">
        <v>344</v>
      </c>
      <c r="FC2223" s="33" t="s">
        <v>345</v>
      </c>
      <c r="FD2223" s="33" t="s">
        <v>346</v>
      </c>
      <c r="FE2223" s="33">
        <v>2025</v>
      </c>
      <c r="FF2223" s="33" t="s">
        <v>59</v>
      </c>
      <c r="FG2223" s="33" t="s">
        <v>386</v>
      </c>
      <c r="FH2223" s="33" t="s">
        <v>387</v>
      </c>
      <c r="FI2223" s="33" t="s">
        <v>407</v>
      </c>
      <c r="FJ2223" t="s">
        <v>59</v>
      </c>
    </row>
    <row r="2224" spans="153:166" x14ac:dyDescent="0.35">
      <c r="EW2224" t="s">
        <v>3124</v>
      </c>
      <c r="EX2224" s="33" t="s">
        <v>3401</v>
      </c>
      <c r="EY2224" s="33" t="s">
        <v>717</v>
      </c>
      <c r="EZ2224" s="33" t="s">
        <v>718</v>
      </c>
      <c r="FA2224" s="33" t="s">
        <v>343</v>
      </c>
      <c r="FB2224" s="33" t="s">
        <v>344</v>
      </c>
      <c r="FC2224" s="33" t="s">
        <v>345</v>
      </c>
      <c r="FD2224" s="33" t="s">
        <v>346</v>
      </c>
      <c r="FE2224" s="33">
        <v>2025</v>
      </c>
      <c r="FF2224" s="33" t="s">
        <v>59</v>
      </c>
      <c r="FG2224" s="33" t="s">
        <v>477</v>
      </c>
      <c r="FH2224" s="33" t="s">
        <v>478</v>
      </c>
      <c r="FI2224" s="33" t="s">
        <v>479</v>
      </c>
      <c r="FJ2224" t="s">
        <v>59</v>
      </c>
    </row>
    <row r="2225" spans="153:166" x14ac:dyDescent="0.35">
      <c r="EW2225" t="s">
        <v>3124</v>
      </c>
      <c r="EX2225" s="33" t="s">
        <v>3402</v>
      </c>
      <c r="EY2225" s="33" t="s">
        <v>719</v>
      </c>
      <c r="EZ2225" s="33" t="s">
        <v>720</v>
      </c>
      <c r="FA2225" s="33" t="s">
        <v>343</v>
      </c>
      <c r="FB2225" s="33" t="s">
        <v>344</v>
      </c>
      <c r="FC2225" s="33" t="s">
        <v>345</v>
      </c>
      <c r="FD2225" s="33" t="s">
        <v>346</v>
      </c>
      <c r="FE2225" s="33">
        <v>2025</v>
      </c>
      <c r="FF2225" s="33" t="s">
        <v>59</v>
      </c>
      <c r="FG2225" s="33" t="s">
        <v>477</v>
      </c>
      <c r="FH2225" s="33" t="s">
        <v>478</v>
      </c>
      <c r="FI2225" s="33" t="s">
        <v>479</v>
      </c>
      <c r="FJ2225" t="s">
        <v>59</v>
      </c>
    </row>
    <row r="2226" spans="153:166" x14ac:dyDescent="0.35">
      <c r="EW2226" t="s">
        <v>3124</v>
      </c>
      <c r="EX2226" s="33" t="s">
        <v>3403</v>
      </c>
      <c r="EY2226" s="33" t="s">
        <v>721</v>
      </c>
      <c r="EZ2226" s="33" t="s">
        <v>722</v>
      </c>
      <c r="FA2226" s="33" t="s">
        <v>343</v>
      </c>
      <c r="FB2226" s="33" t="s">
        <v>344</v>
      </c>
      <c r="FC2226" s="33" t="s">
        <v>345</v>
      </c>
      <c r="FD2226" s="33" t="s">
        <v>346</v>
      </c>
      <c r="FE2226" s="33">
        <v>2025</v>
      </c>
      <c r="FF2226" s="33" t="s">
        <v>59</v>
      </c>
      <c r="FG2226" s="33" t="s">
        <v>386</v>
      </c>
      <c r="FH2226" s="33" t="s">
        <v>387</v>
      </c>
      <c r="FI2226" s="33" t="s">
        <v>407</v>
      </c>
      <c r="FJ2226" t="s">
        <v>59</v>
      </c>
    </row>
    <row r="2227" spans="153:166" x14ac:dyDescent="0.35">
      <c r="EW2227" t="s">
        <v>3124</v>
      </c>
      <c r="EX2227" s="33" t="s">
        <v>3404</v>
      </c>
      <c r="EY2227" s="33" t="s">
        <v>726</v>
      </c>
      <c r="EZ2227" s="33" t="s">
        <v>727</v>
      </c>
      <c r="FA2227" s="33" t="s">
        <v>343</v>
      </c>
      <c r="FB2227" s="33" t="s">
        <v>344</v>
      </c>
      <c r="FC2227" s="33" t="s">
        <v>345</v>
      </c>
      <c r="FD2227" s="33" t="s">
        <v>346</v>
      </c>
      <c r="FE2227" s="33">
        <v>2025</v>
      </c>
      <c r="FF2227" s="33" t="s">
        <v>59</v>
      </c>
      <c r="FG2227" s="33" t="s">
        <v>477</v>
      </c>
      <c r="FH2227" s="33" t="s">
        <v>478</v>
      </c>
      <c r="FI2227" s="33" t="s">
        <v>479</v>
      </c>
      <c r="FJ2227" t="s">
        <v>59</v>
      </c>
    </row>
    <row r="2228" spans="153:166" x14ac:dyDescent="0.35">
      <c r="EW2228" t="s">
        <v>3124</v>
      </c>
      <c r="EX2228" s="33" t="s">
        <v>3405</v>
      </c>
      <c r="EY2228" s="33" t="s">
        <v>731</v>
      </c>
      <c r="EZ2228" s="33" t="s">
        <v>732</v>
      </c>
      <c r="FA2228" s="33" t="s">
        <v>343</v>
      </c>
      <c r="FB2228" s="33" t="s">
        <v>344</v>
      </c>
      <c r="FC2228" s="33" t="s">
        <v>345</v>
      </c>
      <c r="FD2228" s="33" t="s">
        <v>346</v>
      </c>
      <c r="FE2228" s="33">
        <v>2025</v>
      </c>
      <c r="FF2228" s="33" t="s">
        <v>59</v>
      </c>
      <c r="FG2228" s="33" t="s">
        <v>386</v>
      </c>
      <c r="FH2228" s="33" t="s">
        <v>387</v>
      </c>
      <c r="FI2228" s="33" t="s">
        <v>407</v>
      </c>
      <c r="FJ2228" t="s">
        <v>59</v>
      </c>
    </row>
    <row r="2229" spans="153:166" x14ac:dyDescent="0.35">
      <c r="EW2229" t="s">
        <v>3124</v>
      </c>
      <c r="EX2229" s="33" t="s">
        <v>3406</v>
      </c>
      <c r="EY2229" s="33" t="s">
        <v>733</v>
      </c>
      <c r="EZ2229" s="33" t="s">
        <v>734</v>
      </c>
      <c r="FA2229" s="33" t="s">
        <v>343</v>
      </c>
      <c r="FB2229" s="33" t="s">
        <v>344</v>
      </c>
      <c r="FC2229" s="33" t="s">
        <v>345</v>
      </c>
      <c r="FD2229" s="33" t="s">
        <v>346</v>
      </c>
      <c r="FE2229" s="33">
        <v>2025</v>
      </c>
      <c r="FF2229" s="33" t="s">
        <v>59</v>
      </c>
      <c r="FG2229" s="33" t="s">
        <v>477</v>
      </c>
      <c r="FH2229" s="33" t="s">
        <v>478</v>
      </c>
      <c r="FI2229" s="33" t="s">
        <v>479</v>
      </c>
      <c r="FJ2229" t="s">
        <v>59</v>
      </c>
    </row>
    <row r="2230" spans="153:166" x14ac:dyDescent="0.35">
      <c r="EW2230" t="s">
        <v>3124</v>
      </c>
      <c r="EX2230" s="33" t="s">
        <v>3407</v>
      </c>
      <c r="EY2230" s="33" t="s">
        <v>738</v>
      </c>
      <c r="EZ2230" s="33" t="s">
        <v>739</v>
      </c>
      <c r="FA2230" s="33" t="s">
        <v>343</v>
      </c>
      <c r="FB2230" s="33" t="s">
        <v>344</v>
      </c>
      <c r="FC2230" s="33" t="s">
        <v>345</v>
      </c>
      <c r="FD2230" s="33" t="s">
        <v>346</v>
      </c>
      <c r="FE2230" s="33">
        <v>2025</v>
      </c>
      <c r="FF2230" s="33" t="s">
        <v>59</v>
      </c>
      <c r="FG2230" s="33" t="s">
        <v>386</v>
      </c>
      <c r="FH2230" s="33" t="s">
        <v>387</v>
      </c>
      <c r="FI2230" s="33" t="s">
        <v>407</v>
      </c>
      <c r="FJ2230" t="s">
        <v>59</v>
      </c>
    </row>
    <row r="2231" spans="153:166" x14ac:dyDescent="0.35">
      <c r="EW2231" t="s">
        <v>3124</v>
      </c>
      <c r="EX2231" s="33" t="s">
        <v>3408</v>
      </c>
      <c r="EY2231" s="33" t="s">
        <v>740</v>
      </c>
      <c r="EZ2231" s="33" t="s">
        <v>741</v>
      </c>
      <c r="FA2231" s="33" t="s">
        <v>343</v>
      </c>
      <c r="FB2231" s="33" t="s">
        <v>344</v>
      </c>
      <c r="FC2231" s="33" t="s">
        <v>345</v>
      </c>
      <c r="FD2231" s="33" t="s">
        <v>346</v>
      </c>
      <c r="FE2231" s="33">
        <v>2025</v>
      </c>
      <c r="FF2231" s="33" t="s">
        <v>59</v>
      </c>
      <c r="FG2231" s="33" t="s">
        <v>477</v>
      </c>
      <c r="FH2231" s="33" t="s">
        <v>478</v>
      </c>
      <c r="FI2231" s="33" t="s">
        <v>479</v>
      </c>
      <c r="FJ2231" t="s">
        <v>59</v>
      </c>
    </row>
    <row r="2232" spans="153:166" x14ac:dyDescent="0.35">
      <c r="EW2232" t="s">
        <v>3124</v>
      </c>
      <c r="EX2232" s="33" t="s">
        <v>3409</v>
      </c>
      <c r="EY2232" s="33" t="s">
        <v>742</v>
      </c>
      <c r="EZ2232" s="33" t="s">
        <v>743</v>
      </c>
      <c r="FA2232" s="33" t="s">
        <v>343</v>
      </c>
      <c r="FB2232" s="33" t="s">
        <v>344</v>
      </c>
      <c r="FC2232" s="33" t="s">
        <v>345</v>
      </c>
      <c r="FD2232" s="33" t="s">
        <v>346</v>
      </c>
      <c r="FE2232" s="33">
        <v>2025</v>
      </c>
      <c r="FF2232" s="33" t="s">
        <v>59</v>
      </c>
      <c r="FG2232" s="33" t="s">
        <v>386</v>
      </c>
      <c r="FH2232" s="33" t="s">
        <v>387</v>
      </c>
      <c r="FI2232" s="33" t="s">
        <v>407</v>
      </c>
      <c r="FJ2232" t="s">
        <v>59</v>
      </c>
    </row>
    <row r="2233" spans="153:166" x14ac:dyDescent="0.35">
      <c r="EW2233" t="s">
        <v>3124</v>
      </c>
      <c r="EX2233" s="33" t="s">
        <v>3410</v>
      </c>
      <c r="EY2233" s="33" t="s">
        <v>747</v>
      </c>
      <c r="EZ2233" s="33" t="s">
        <v>748</v>
      </c>
      <c r="FA2233" s="33" t="s">
        <v>343</v>
      </c>
      <c r="FB2233" s="33" t="s">
        <v>344</v>
      </c>
      <c r="FC2233" s="33" t="s">
        <v>345</v>
      </c>
      <c r="FD2233" s="33" t="s">
        <v>346</v>
      </c>
      <c r="FE2233" s="33">
        <v>2025</v>
      </c>
      <c r="FF2233" s="33" t="s">
        <v>59</v>
      </c>
      <c r="FG2233" s="33" t="s">
        <v>477</v>
      </c>
      <c r="FH2233" s="33" t="s">
        <v>478</v>
      </c>
      <c r="FI2233" s="33" t="s">
        <v>479</v>
      </c>
      <c r="FJ2233" t="s">
        <v>59</v>
      </c>
    </row>
    <row r="2234" spans="153:166" x14ac:dyDescent="0.35">
      <c r="EW2234" t="s">
        <v>3124</v>
      </c>
      <c r="EX2234" s="33" t="s">
        <v>3411</v>
      </c>
      <c r="EY2234" s="33" t="s">
        <v>752</v>
      </c>
      <c r="EZ2234" s="33" t="s">
        <v>753</v>
      </c>
      <c r="FA2234" s="33" t="s">
        <v>343</v>
      </c>
      <c r="FB2234" s="33" t="s">
        <v>344</v>
      </c>
      <c r="FC2234" s="33" t="s">
        <v>345</v>
      </c>
      <c r="FD2234" s="33" t="s">
        <v>346</v>
      </c>
      <c r="FE2234" s="33">
        <v>2025</v>
      </c>
      <c r="FF2234" s="33" t="s">
        <v>59</v>
      </c>
      <c r="FG2234" s="33" t="s">
        <v>386</v>
      </c>
      <c r="FH2234" s="33" t="s">
        <v>387</v>
      </c>
      <c r="FI2234" s="33" t="s">
        <v>407</v>
      </c>
      <c r="FJ2234" t="s">
        <v>59</v>
      </c>
    </row>
    <row r="2235" spans="153:166" x14ac:dyDescent="0.35">
      <c r="EW2235" t="s">
        <v>3124</v>
      </c>
      <c r="EX2235" s="33" t="s">
        <v>3412</v>
      </c>
      <c r="EY2235" s="33" t="s">
        <v>754</v>
      </c>
      <c r="EZ2235" s="33" t="s">
        <v>755</v>
      </c>
      <c r="FA2235" s="33" t="s">
        <v>343</v>
      </c>
      <c r="FB2235" s="33" t="s">
        <v>344</v>
      </c>
      <c r="FC2235" s="33" t="s">
        <v>345</v>
      </c>
      <c r="FD2235" s="33" t="s">
        <v>346</v>
      </c>
      <c r="FE2235" s="33">
        <v>2025</v>
      </c>
      <c r="FF2235" s="33" t="s">
        <v>59</v>
      </c>
      <c r="FG2235" s="33" t="s">
        <v>477</v>
      </c>
      <c r="FH2235" s="33" t="s">
        <v>478</v>
      </c>
      <c r="FI2235" s="33" t="s">
        <v>479</v>
      </c>
      <c r="FJ2235" t="s">
        <v>59</v>
      </c>
    </row>
    <row r="2236" spans="153:166" x14ac:dyDescent="0.35">
      <c r="EW2236" t="s">
        <v>3124</v>
      </c>
      <c r="EX2236" s="33" t="s">
        <v>3413</v>
      </c>
      <c r="EY2236" s="33" t="s">
        <v>756</v>
      </c>
      <c r="EZ2236" s="33" t="s">
        <v>757</v>
      </c>
      <c r="FA2236" s="33" t="s">
        <v>343</v>
      </c>
      <c r="FB2236" s="33" t="s">
        <v>344</v>
      </c>
      <c r="FC2236" s="33" t="s">
        <v>345</v>
      </c>
      <c r="FD2236" s="33" t="s">
        <v>346</v>
      </c>
      <c r="FE2236" s="33">
        <v>2025</v>
      </c>
      <c r="FF2236" s="33" t="s">
        <v>59</v>
      </c>
      <c r="FG2236" s="33" t="s">
        <v>477</v>
      </c>
      <c r="FH2236" s="33" t="s">
        <v>478</v>
      </c>
      <c r="FI2236" s="33" t="s">
        <v>479</v>
      </c>
      <c r="FJ2236" t="s">
        <v>59</v>
      </c>
    </row>
    <row r="2237" spans="153:166" x14ac:dyDescent="0.35">
      <c r="EW2237" t="s">
        <v>3124</v>
      </c>
      <c r="EX2237" s="37" t="s">
        <v>3414</v>
      </c>
      <c r="EY2237" s="33" t="s">
        <v>758</v>
      </c>
      <c r="EZ2237" s="33" t="s">
        <v>759</v>
      </c>
      <c r="FA2237" s="33" t="s">
        <v>343</v>
      </c>
      <c r="FB2237" s="33" t="s">
        <v>344</v>
      </c>
      <c r="FC2237" s="33" t="s">
        <v>345</v>
      </c>
      <c r="FD2237" s="33" t="s">
        <v>346</v>
      </c>
      <c r="FE2237" s="33">
        <v>2025</v>
      </c>
      <c r="FF2237" s="33" t="s">
        <v>59</v>
      </c>
      <c r="FG2237" s="33" t="s">
        <v>477</v>
      </c>
      <c r="FH2237" s="33" t="s">
        <v>478</v>
      </c>
      <c r="FI2237" s="33" t="s">
        <v>479</v>
      </c>
      <c r="FJ2237" t="s">
        <v>59</v>
      </c>
    </row>
    <row r="2238" spans="153:166" x14ac:dyDescent="0.35">
      <c r="EW2238" t="s">
        <v>3124</v>
      </c>
      <c r="EX2238" s="33" t="s">
        <v>3415</v>
      </c>
      <c r="EY2238" s="33" t="s">
        <v>760</v>
      </c>
      <c r="EZ2238" s="33" t="s">
        <v>761</v>
      </c>
      <c r="FA2238" s="33" t="s">
        <v>343</v>
      </c>
      <c r="FB2238" s="33" t="s">
        <v>344</v>
      </c>
      <c r="FC2238" s="33" t="s">
        <v>345</v>
      </c>
      <c r="FD2238" s="33" t="s">
        <v>346</v>
      </c>
      <c r="FE2238" s="33">
        <v>2025</v>
      </c>
      <c r="FF2238" s="33" t="s">
        <v>59</v>
      </c>
      <c r="FG2238" s="33" t="s">
        <v>477</v>
      </c>
      <c r="FH2238" s="33" t="s">
        <v>478</v>
      </c>
      <c r="FI2238" s="33" t="s">
        <v>479</v>
      </c>
      <c r="FJ2238" t="s">
        <v>59</v>
      </c>
    </row>
    <row r="2239" spans="153:166" x14ac:dyDescent="0.35">
      <c r="EW2239" t="s">
        <v>3124</v>
      </c>
      <c r="EX2239" s="33" t="s">
        <v>3416</v>
      </c>
      <c r="EY2239" s="33" t="s">
        <v>762</v>
      </c>
      <c r="EZ2239" s="33" t="s">
        <v>763</v>
      </c>
      <c r="FA2239" s="33" t="s">
        <v>343</v>
      </c>
      <c r="FB2239" s="33" t="s">
        <v>344</v>
      </c>
      <c r="FC2239" s="33" t="s">
        <v>345</v>
      </c>
      <c r="FD2239" s="33" t="s">
        <v>346</v>
      </c>
      <c r="FE2239" s="33">
        <v>2025</v>
      </c>
      <c r="FF2239" s="33" t="s">
        <v>59</v>
      </c>
      <c r="FG2239" s="33" t="s">
        <v>477</v>
      </c>
      <c r="FH2239" s="33" t="s">
        <v>478</v>
      </c>
      <c r="FI2239" s="33" t="s">
        <v>479</v>
      </c>
      <c r="FJ2239" t="s">
        <v>59</v>
      </c>
    </row>
    <row r="2240" spans="153:166" x14ac:dyDescent="0.35">
      <c r="EW2240" t="s">
        <v>3124</v>
      </c>
      <c r="EX2240" s="33" t="s">
        <v>3417</v>
      </c>
      <c r="EY2240" s="33" t="s">
        <v>764</v>
      </c>
      <c r="EZ2240" s="33" t="s">
        <v>765</v>
      </c>
      <c r="FA2240" s="33" t="s">
        <v>343</v>
      </c>
      <c r="FB2240" s="33" t="s">
        <v>344</v>
      </c>
      <c r="FC2240" s="33" t="s">
        <v>345</v>
      </c>
      <c r="FD2240" s="33" t="s">
        <v>346</v>
      </c>
      <c r="FE2240" s="33">
        <v>2025</v>
      </c>
      <c r="FF2240" s="33" t="s">
        <v>59</v>
      </c>
      <c r="FG2240" s="33" t="s">
        <v>477</v>
      </c>
      <c r="FH2240" s="33" t="s">
        <v>478</v>
      </c>
      <c r="FI2240" s="33" t="s">
        <v>479</v>
      </c>
      <c r="FJ2240" t="s">
        <v>59</v>
      </c>
    </row>
    <row r="2241" spans="153:166" x14ac:dyDescent="0.35">
      <c r="EW2241" t="s">
        <v>3124</v>
      </c>
      <c r="EX2241" s="33" t="s">
        <v>3418</v>
      </c>
      <c r="EY2241" s="33" t="s">
        <v>766</v>
      </c>
      <c r="EZ2241" s="33" t="s">
        <v>767</v>
      </c>
      <c r="FA2241" s="33" t="s">
        <v>343</v>
      </c>
      <c r="FB2241" s="33" t="s">
        <v>344</v>
      </c>
      <c r="FC2241" s="33" t="s">
        <v>345</v>
      </c>
      <c r="FD2241" s="33" t="s">
        <v>346</v>
      </c>
      <c r="FE2241" s="33">
        <v>2025</v>
      </c>
      <c r="FF2241" s="33" t="s">
        <v>59</v>
      </c>
      <c r="FG2241" s="33" t="s">
        <v>477</v>
      </c>
      <c r="FH2241" s="33" t="s">
        <v>478</v>
      </c>
      <c r="FI2241" s="33" t="s">
        <v>479</v>
      </c>
      <c r="FJ2241" t="s">
        <v>59</v>
      </c>
    </row>
    <row r="2242" spans="153:166" x14ac:dyDescent="0.35">
      <c r="EW2242" t="s">
        <v>3124</v>
      </c>
      <c r="EX2242" s="33" t="s">
        <v>3419</v>
      </c>
      <c r="EY2242" s="33" t="s">
        <v>768</v>
      </c>
      <c r="EZ2242" s="33" t="s">
        <v>769</v>
      </c>
      <c r="FA2242" s="33" t="s">
        <v>343</v>
      </c>
      <c r="FB2242" s="33" t="s">
        <v>344</v>
      </c>
      <c r="FC2242" s="33" t="s">
        <v>345</v>
      </c>
      <c r="FD2242" s="33" t="s">
        <v>346</v>
      </c>
      <c r="FE2242" s="33">
        <v>2025</v>
      </c>
      <c r="FF2242" s="33" t="s">
        <v>59</v>
      </c>
      <c r="FG2242" s="33" t="s">
        <v>470</v>
      </c>
      <c r="FH2242" s="33" t="s">
        <v>471</v>
      </c>
      <c r="FI2242" s="33" t="s">
        <v>467</v>
      </c>
      <c r="FJ2242" t="s">
        <v>59</v>
      </c>
    </row>
    <row r="2243" spans="153:166" x14ac:dyDescent="0.35">
      <c r="EW2243" t="s">
        <v>3124</v>
      </c>
      <c r="EX2243" s="33" t="s">
        <v>3420</v>
      </c>
      <c r="EY2243" s="33" t="s">
        <v>773</v>
      </c>
      <c r="EZ2243" s="33" t="s">
        <v>774</v>
      </c>
      <c r="FA2243" s="33" t="s">
        <v>343</v>
      </c>
      <c r="FB2243" s="33" t="s">
        <v>344</v>
      </c>
      <c r="FC2243" s="33" t="s">
        <v>345</v>
      </c>
      <c r="FD2243" s="33" t="s">
        <v>346</v>
      </c>
      <c r="FE2243" s="33">
        <v>2025</v>
      </c>
      <c r="FF2243" s="33" t="s">
        <v>59</v>
      </c>
      <c r="FG2243" s="33" t="s">
        <v>470</v>
      </c>
      <c r="FH2243" s="33" t="s">
        <v>471</v>
      </c>
      <c r="FI2243" s="33" t="s">
        <v>467</v>
      </c>
      <c r="FJ2243" t="s">
        <v>59</v>
      </c>
    </row>
    <row r="2244" spans="153:166" x14ac:dyDescent="0.35">
      <c r="EW2244" t="s">
        <v>3124</v>
      </c>
      <c r="EX2244" s="33" t="s">
        <v>3421</v>
      </c>
      <c r="EY2244" s="33" t="s">
        <v>778</v>
      </c>
      <c r="EZ2244" s="33" t="s">
        <v>779</v>
      </c>
      <c r="FA2244" s="33" t="s">
        <v>343</v>
      </c>
      <c r="FB2244" s="33" t="s">
        <v>344</v>
      </c>
      <c r="FC2244" s="33" t="s">
        <v>345</v>
      </c>
      <c r="FD2244" s="33" t="s">
        <v>346</v>
      </c>
      <c r="FE2244" s="33">
        <v>2025</v>
      </c>
      <c r="FF2244" s="33" t="s">
        <v>59</v>
      </c>
      <c r="FG2244" s="33" t="s">
        <v>386</v>
      </c>
      <c r="FH2244" s="33" t="s">
        <v>387</v>
      </c>
      <c r="FI2244" s="33" t="s">
        <v>407</v>
      </c>
      <c r="FJ2244" t="s">
        <v>59</v>
      </c>
    </row>
    <row r="2245" spans="153:166" x14ac:dyDescent="0.35">
      <c r="EW2245" t="s">
        <v>3124</v>
      </c>
      <c r="EX2245" s="33" t="s">
        <v>3422</v>
      </c>
      <c r="EY2245" s="33" t="s">
        <v>780</v>
      </c>
      <c r="EZ2245" s="33" t="s">
        <v>781</v>
      </c>
      <c r="FA2245" s="33" t="s">
        <v>343</v>
      </c>
      <c r="FB2245" s="33" t="s">
        <v>344</v>
      </c>
      <c r="FC2245" s="33" t="s">
        <v>345</v>
      </c>
      <c r="FD2245" s="33" t="s">
        <v>346</v>
      </c>
      <c r="FE2245" s="33">
        <v>2025</v>
      </c>
      <c r="FF2245" s="33" t="s">
        <v>59</v>
      </c>
      <c r="FG2245" s="33" t="s">
        <v>386</v>
      </c>
      <c r="FH2245" s="33" t="s">
        <v>387</v>
      </c>
      <c r="FI2245" s="33" t="s">
        <v>407</v>
      </c>
      <c r="FJ2245" t="s">
        <v>59</v>
      </c>
    </row>
    <row r="2246" spans="153:166" x14ac:dyDescent="0.35">
      <c r="EW2246" t="s">
        <v>3124</v>
      </c>
      <c r="EX2246" s="33" t="s">
        <v>3423</v>
      </c>
      <c r="EY2246" s="33" t="s">
        <v>782</v>
      </c>
      <c r="EZ2246" s="33" t="s">
        <v>783</v>
      </c>
      <c r="FA2246" s="33" t="s">
        <v>343</v>
      </c>
      <c r="FB2246" s="33" t="s">
        <v>344</v>
      </c>
      <c r="FC2246" s="33" t="s">
        <v>345</v>
      </c>
      <c r="FD2246" s="33" t="s">
        <v>346</v>
      </c>
      <c r="FE2246" s="33">
        <v>2025</v>
      </c>
      <c r="FF2246" s="33" t="s">
        <v>59</v>
      </c>
      <c r="FG2246" s="33" t="s">
        <v>386</v>
      </c>
      <c r="FH2246" s="33" t="s">
        <v>387</v>
      </c>
      <c r="FI2246" s="33" t="s">
        <v>407</v>
      </c>
      <c r="FJ2246" t="s">
        <v>59</v>
      </c>
    </row>
    <row r="2247" spans="153:166" x14ac:dyDescent="0.35">
      <c r="EW2247" t="s">
        <v>3124</v>
      </c>
      <c r="EX2247" s="33" t="s">
        <v>3424</v>
      </c>
      <c r="EY2247" s="33" t="s">
        <v>787</v>
      </c>
      <c r="EZ2247" s="33" t="s">
        <v>788</v>
      </c>
      <c r="FA2247" s="33" t="s">
        <v>343</v>
      </c>
      <c r="FB2247" s="33" t="s">
        <v>344</v>
      </c>
      <c r="FC2247" s="33" t="s">
        <v>345</v>
      </c>
      <c r="FD2247" s="33" t="s">
        <v>346</v>
      </c>
      <c r="FE2247" s="33">
        <v>2025</v>
      </c>
      <c r="FF2247" s="33" t="s">
        <v>59</v>
      </c>
      <c r="FG2247" s="33" t="s">
        <v>386</v>
      </c>
      <c r="FH2247" s="33" t="s">
        <v>387</v>
      </c>
      <c r="FI2247" s="33" t="s">
        <v>407</v>
      </c>
      <c r="FJ2247" t="s">
        <v>59</v>
      </c>
    </row>
    <row r="2248" spans="153:166" x14ac:dyDescent="0.35">
      <c r="EW2248" t="s">
        <v>3124</v>
      </c>
      <c r="EX2248" s="33" t="s">
        <v>3425</v>
      </c>
      <c r="EY2248" s="33" t="s">
        <v>789</v>
      </c>
      <c r="EZ2248" s="33" t="s">
        <v>790</v>
      </c>
      <c r="FA2248" s="33" t="s">
        <v>343</v>
      </c>
      <c r="FB2248" s="33" t="s">
        <v>344</v>
      </c>
      <c r="FC2248" s="33" t="s">
        <v>345</v>
      </c>
      <c r="FD2248" s="33" t="s">
        <v>346</v>
      </c>
      <c r="FE2248" s="33">
        <v>2025</v>
      </c>
      <c r="FF2248" s="33" t="s">
        <v>59</v>
      </c>
      <c r="FG2248" s="33" t="s">
        <v>477</v>
      </c>
      <c r="FH2248" s="33" t="s">
        <v>478</v>
      </c>
      <c r="FI2248" s="33" t="s">
        <v>479</v>
      </c>
      <c r="FJ2248" t="s">
        <v>59</v>
      </c>
    </row>
    <row r="2249" spans="153:166" x14ac:dyDescent="0.35">
      <c r="EW2249" t="s">
        <v>3124</v>
      </c>
      <c r="EX2249" s="33" t="s">
        <v>3426</v>
      </c>
      <c r="EY2249" s="33" t="s">
        <v>791</v>
      </c>
      <c r="EZ2249" s="33" t="s">
        <v>792</v>
      </c>
      <c r="FA2249" s="33" t="s">
        <v>343</v>
      </c>
      <c r="FB2249" s="33" t="s">
        <v>344</v>
      </c>
      <c r="FC2249" s="33" t="s">
        <v>345</v>
      </c>
      <c r="FD2249" s="33" t="s">
        <v>346</v>
      </c>
      <c r="FE2249" s="33">
        <v>2025</v>
      </c>
      <c r="FF2249" s="33" t="s">
        <v>59</v>
      </c>
      <c r="FG2249" s="33" t="s">
        <v>386</v>
      </c>
      <c r="FH2249" s="33" t="s">
        <v>387</v>
      </c>
      <c r="FI2249" s="33" t="s">
        <v>407</v>
      </c>
      <c r="FJ2249" t="s">
        <v>59</v>
      </c>
    </row>
    <row r="2250" spans="153:166" x14ac:dyDescent="0.35">
      <c r="EW2250" t="s">
        <v>3124</v>
      </c>
      <c r="EX2250" s="33" t="s">
        <v>3427</v>
      </c>
      <c r="EY2250" s="33" t="s">
        <v>793</v>
      </c>
      <c r="EZ2250" s="33" t="s">
        <v>794</v>
      </c>
      <c r="FA2250" s="33" t="s">
        <v>343</v>
      </c>
      <c r="FB2250" s="33" t="s">
        <v>344</v>
      </c>
      <c r="FC2250" s="33" t="s">
        <v>345</v>
      </c>
      <c r="FD2250" s="33" t="s">
        <v>346</v>
      </c>
      <c r="FE2250" s="33">
        <v>2025</v>
      </c>
      <c r="FF2250" s="33" t="s">
        <v>59</v>
      </c>
      <c r="FG2250" s="33" t="s">
        <v>386</v>
      </c>
      <c r="FH2250" s="33" t="s">
        <v>387</v>
      </c>
      <c r="FI2250" s="33" t="s">
        <v>407</v>
      </c>
      <c r="FJ2250" t="s">
        <v>59</v>
      </c>
    </row>
    <row r="2251" spans="153:166" x14ac:dyDescent="0.35">
      <c r="EW2251" t="s">
        <v>3124</v>
      </c>
      <c r="EX2251" s="33" t="s">
        <v>3428</v>
      </c>
      <c r="EY2251" s="33" t="s">
        <v>798</v>
      </c>
      <c r="EZ2251" s="33" t="s">
        <v>799</v>
      </c>
      <c r="FA2251" s="33" t="s">
        <v>343</v>
      </c>
      <c r="FB2251" s="33" t="s">
        <v>344</v>
      </c>
      <c r="FC2251" s="33" t="s">
        <v>345</v>
      </c>
      <c r="FD2251" s="33" t="s">
        <v>346</v>
      </c>
      <c r="FE2251" s="33">
        <v>2025</v>
      </c>
      <c r="FF2251" s="33" t="s">
        <v>59</v>
      </c>
      <c r="FG2251" s="33" t="s">
        <v>386</v>
      </c>
      <c r="FH2251" s="33" t="s">
        <v>387</v>
      </c>
      <c r="FI2251" s="33" t="s">
        <v>407</v>
      </c>
      <c r="FJ2251" t="s">
        <v>59</v>
      </c>
    </row>
    <row r="2252" spans="153:166" x14ac:dyDescent="0.35">
      <c r="EW2252" t="s">
        <v>3124</v>
      </c>
      <c r="EX2252" s="33" t="s">
        <v>3429</v>
      </c>
      <c r="EY2252" s="33" t="s">
        <v>800</v>
      </c>
      <c r="EZ2252" s="33" t="s">
        <v>801</v>
      </c>
      <c r="FA2252" s="33" t="s">
        <v>343</v>
      </c>
      <c r="FB2252" s="33" t="s">
        <v>344</v>
      </c>
      <c r="FC2252" s="33" t="s">
        <v>345</v>
      </c>
      <c r="FD2252" s="33" t="s">
        <v>346</v>
      </c>
      <c r="FE2252" s="33">
        <v>2025</v>
      </c>
      <c r="FF2252" s="33" t="s">
        <v>59</v>
      </c>
      <c r="FG2252" s="33" t="s">
        <v>477</v>
      </c>
      <c r="FH2252" s="33" t="s">
        <v>478</v>
      </c>
      <c r="FI2252" s="33" t="s">
        <v>479</v>
      </c>
      <c r="FJ2252" t="s">
        <v>59</v>
      </c>
    </row>
    <row r="2253" spans="153:166" x14ac:dyDescent="0.35">
      <c r="EW2253" t="s">
        <v>3124</v>
      </c>
      <c r="EX2253" s="33" t="s">
        <v>3430</v>
      </c>
      <c r="EY2253" s="33" t="s">
        <v>802</v>
      </c>
      <c r="EZ2253" s="33" t="s">
        <v>803</v>
      </c>
      <c r="FA2253" s="33" t="s">
        <v>343</v>
      </c>
      <c r="FB2253" s="33" t="s">
        <v>344</v>
      </c>
      <c r="FC2253" s="33" t="s">
        <v>345</v>
      </c>
      <c r="FD2253" s="33" t="s">
        <v>346</v>
      </c>
      <c r="FE2253" s="33">
        <v>2025</v>
      </c>
      <c r="FF2253" s="33" t="s">
        <v>59</v>
      </c>
      <c r="FG2253" s="33" t="s">
        <v>477</v>
      </c>
      <c r="FH2253" s="33" t="s">
        <v>478</v>
      </c>
      <c r="FI2253" s="33" t="s">
        <v>479</v>
      </c>
      <c r="FJ2253" t="s">
        <v>59</v>
      </c>
    </row>
    <row r="2254" spans="153:166" x14ac:dyDescent="0.35">
      <c r="EW2254" t="s">
        <v>3124</v>
      </c>
      <c r="EX2254" s="33" t="s">
        <v>3431</v>
      </c>
      <c r="EY2254" s="33" t="s">
        <v>804</v>
      </c>
      <c r="EZ2254" s="33" t="s">
        <v>805</v>
      </c>
      <c r="FA2254" s="33" t="s">
        <v>343</v>
      </c>
      <c r="FB2254" s="33" t="s">
        <v>344</v>
      </c>
      <c r="FC2254" s="33" t="s">
        <v>345</v>
      </c>
      <c r="FD2254" s="33" t="s">
        <v>346</v>
      </c>
      <c r="FE2254" s="33">
        <v>2025</v>
      </c>
      <c r="FF2254" s="33" t="s">
        <v>59</v>
      </c>
      <c r="FG2254" s="33" t="s">
        <v>477</v>
      </c>
      <c r="FH2254" s="33" t="s">
        <v>478</v>
      </c>
      <c r="FI2254" s="33" t="s">
        <v>479</v>
      </c>
      <c r="FJ2254" t="s">
        <v>59</v>
      </c>
    </row>
    <row r="2255" spans="153:166" x14ac:dyDescent="0.35">
      <c r="EW2255" t="s">
        <v>3124</v>
      </c>
      <c r="EX2255" s="33" t="s">
        <v>3432</v>
      </c>
      <c r="EY2255" s="33" t="s">
        <v>806</v>
      </c>
      <c r="EZ2255" s="33" t="s">
        <v>807</v>
      </c>
      <c r="FA2255" s="33" t="s">
        <v>343</v>
      </c>
      <c r="FB2255" s="33" t="s">
        <v>344</v>
      </c>
      <c r="FC2255" s="33" t="s">
        <v>345</v>
      </c>
      <c r="FD2255" s="33" t="s">
        <v>346</v>
      </c>
      <c r="FE2255" s="33">
        <v>2025</v>
      </c>
      <c r="FF2255" s="33" t="s">
        <v>59</v>
      </c>
      <c r="FG2255" s="33" t="s">
        <v>386</v>
      </c>
      <c r="FH2255" s="33" t="s">
        <v>387</v>
      </c>
      <c r="FI2255" s="33" t="s">
        <v>407</v>
      </c>
      <c r="FJ2255" t="s">
        <v>59</v>
      </c>
    </row>
    <row r="2256" spans="153:166" x14ac:dyDescent="0.35">
      <c r="EW2256" t="s">
        <v>3124</v>
      </c>
      <c r="EX2256" s="33" t="s">
        <v>3433</v>
      </c>
      <c r="EY2256" s="33" t="s">
        <v>811</v>
      </c>
      <c r="EZ2256" s="33" t="s">
        <v>812</v>
      </c>
      <c r="FA2256" s="33" t="s">
        <v>343</v>
      </c>
      <c r="FB2256" s="33" t="s">
        <v>344</v>
      </c>
      <c r="FC2256" s="33" t="s">
        <v>345</v>
      </c>
      <c r="FD2256" s="33" t="s">
        <v>346</v>
      </c>
      <c r="FE2256" s="33">
        <v>2025</v>
      </c>
      <c r="FF2256" s="33" t="s">
        <v>59</v>
      </c>
      <c r="FG2256" s="33" t="s">
        <v>386</v>
      </c>
      <c r="FH2256" s="33" t="s">
        <v>387</v>
      </c>
      <c r="FI2256" s="33" t="s">
        <v>407</v>
      </c>
      <c r="FJ2256" t="s">
        <v>59</v>
      </c>
    </row>
    <row r="2257" spans="153:166" x14ac:dyDescent="0.35">
      <c r="EW2257" t="s">
        <v>3124</v>
      </c>
      <c r="EX2257" s="33" t="s">
        <v>3434</v>
      </c>
      <c r="EY2257" s="33" t="s">
        <v>813</v>
      </c>
      <c r="EZ2257" s="33" t="s">
        <v>814</v>
      </c>
      <c r="FA2257" s="33" t="s">
        <v>343</v>
      </c>
      <c r="FB2257" s="33" t="s">
        <v>344</v>
      </c>
      <c r="FC2257" s="33" t="s">
        <v>345</v>
      </c>
      <c r="FD2257" s="33" t="s">
        <v>346</v>
      </c>
      <c r="FE2257" s="33">
        <v>2025</v>
      </c>
      <c r="FF2257" s="33" t="s">
        <v>59</v>
      </c>
      <c r="FG2257" s="33" t="s">
        <v>477</v>
      </c>
      <c r="FH2257" s="33" t="s">
        <v>478</v>
      </c>
      <c r="FI2257" s="33" t="s">
        <v>479</v>
      </c>
      <c r="FJ2257" t="s">
        <v>59</v>
      </c>
    </row>
    <row r="2258" spans="153:166" x14ac:dyDescent="0.35">
      <c r="EW2258" t="s">
        <v>3124</v>
      </c>
      <c r="EX2258" s="33" t="s">
        <v>3435</v>
      </c>
      <c r="EY2258" s="33" t="s">
        <v>815</v>
      </c>
      <c r="EZ2258" s="33" t="s">
        <v>816</v>
      </c>
      <c r="FA2258" s="33" t="s">
        <v>343</v>
      </c>
      <c r="FB2258" s="33" t="s">
        <v>344</v>
      </c>
      <c r="FC2258" s="33" t="s">
        <v>345</v>
      </c>
      <c r="FD2258" s="33" t="s">
        <v>346</v>
      </c>
      <c r="FE2258" s="33">
        <v>2025</v>
      </c>
      <c r="FF2258" s="33" t="s">
        <v>59</v>
      </c>
      <c r="FG2258" s="33" t="s">
        <v>477</v>
      </c>
      <c r="FH2258" s="33" t="s">
        <v>478</v>
      </c>
      <c r="FI2258" s="33" t="s">
        <v>479</v>
      </c>
      <c r="FJ2258" t="s">
        <v>59</v>
      </c>
    </row>
    <row r="2259" spans="153:166" x14ac:dyDescent="0.35">
      <c r="EW2259" t="s">
        <v>3124</v>
      </c>
      <c r="EX2259" s="33" t="s">
        <v>3436</v>
      </c>
      <c r="EY2259" s="33" t="s">
        <v>820</v>
      </c>
      <c r="EZ2259" s="33" t="s">
        <v>821</v>
      </c>
      <c r="FA2259" s="33" t="s">
        <v>343</v>
      </c>
      <c r="FB2259" s="33" t="s">
        <v>344</v>
      </c>
      <c r="FC2259" s="33" t="s">
        <v>345</v>
      </c>
      <c r="FD2259" s="33" t="s">
        <v>346</v>
      </c>
      <c r="FE2259" s="33">
        <v>2025</v>
      </c>
      <c r="FF2259" s="33" t="s">
        <v>59</v>
      </c>
      <c r="FG2259" s="33" t="s">
        <v>386</v>
      </c>
      <c r="FH2259" s="33" t="s">
        <v>387</v>
      </c>
      <c r="FI2259" s="33" t="s">
        <v>407</v>
      </c>
      <c r="FJ2259" t="s">
        <v>59</v>
      </c>
    </row>
    <row r="2260" spans="153:166" x14ac:dyDescent="0.35">
      <c r="EW2260" t="s">
        <v>3124</v>
      </c>
      <c r="EX2260" s="33" t="s">
        <v>3437</v>
      </c>
      <c r="EY2260" s="33" t="s">
        <v>822</v>
      </c>
      <c r="EZ2260" s="33" t="s">
        <v>823</v>
      </c>
      <c r="FA2260" s="33" t="s">
        <v>343</v>
      </c>
      <c r="FB2260" s="33" t="s">
        <v>344</v>
      </c>
      <c r="FC2260" s="33" t="s">
        <v>345</v>
      </c>
      <c r="FD2260" s="33" t="s">
        <v>346</v>
      </c>
      <c r="FE2260" s="33">
        <v>2025</v>
      </c>
      <c r="FF2260" s="33" t="s">
        <v>59</v>
      </c>
      <c r="FG2260" s="33" t="s">
        <v>386</v>
      </c>
      <c r="FH2260" s="33" t="s">
        <v>387</v>
      </c>
      <c r="FI2260" s="33" t="s">
        <v>407</v>
      </c>
      <c r="FJ2260" t="s">
        <v>59</v>
      </c>
    </row>
    <row r="2261" spans="153:166" x14ac:dyDescent="0.35">
      <c r="EW2261" t="s">
        <v>3124</v>
      </c>
      <c r="EX2261" s="33" t="s">
        <v>3438</v>
      </c>
      <c r="EY2261" s="33" t="s">
        <v>824</v>
      </c>
      <c r="EZ2261" s="33" t="s">
        <v>825</v>
      </c>
      <c r="FA2261" s="33" t="s">
        <v>343</v>
      </c>
      <c r="FB2261" s="33" t="s">
        <v>344</v>
      </c>
      <c r="FC2261" s="33" t="s">
        <v>345</v>
      </c>
      <c r="FD2261" s="33" t="s">
        <v>346</v>
      </c>
      <c r="FE2261" s="33">
        <v>2025</v>
      </c>
      <c r="FF2261" s="33" t="s">
        <v>59</v>
      </c>
      <c r="FG2261" s="33" t="s">
        <v>477</v>
      </c>
      <c r="FH2261" s="33" t="s">
        <v>478</v>
      </c>
      <c r="FI2261" s="33" t="s">
        <v>479</v>
      </c>
      <c r="FJ2261" t="s">
        <v>59</v>
      </c>
    </row>
    <row r="2262" spans="153:166" x14ac:dyDescent="0.35">
      <c r="EW2262" t="s">
        <v>3124</v>
      </c>
      <c r="EX2262" s="33" t="s">
        <v>3439</v>
      </c>
      <c r="EY2262" s="33" t="s">
        <v>826</v>
      </c>
      <c r="EZ2262" s="33" t="s">
        <v>827</v>
      </c>
      <c r="FA2262" s="33" t="s">
        <v>343</v>
      </c>
      <c r="FB2262" s="33" t="s">
        <v>344</v>
      </c>
      <c r="FC2262" s="33" t="s">
        <v>345</v>
      </c>
      <c r="FD2262" s="33" t="s">
        <v>346</v>
      </c>
      <c r="FE2262" s="33">
        <v>2025</v>
      </c>
      <c r="FF2262" s="33" t="s">
        <v>59</v>
      </c>
      <c r="FG2262" s="33" t="s">
        <v>477</v>
      </c>
      <c r="FH2262" s="33" t="s">
        <v>478</v>
      </c>
      <c r="FI2262" s="33" t="s">
        <v>479</v>
      </c>
      <c r="FJ2262" t="s">
        <v>59</v>
      </c>
    </row>
    <row r="2263" spans="153:166" x14ac:dyDescent="0.35">
      <c r="EW2263" t="s">
        <v>3124</v>
      </c>
      <c r="EX2263" s="33" t="s">
        <v>3440</v>
      </c>
      <c r="EY2263" s="33" t="s">
        <v>828</v>
      </c>
      <c r="EZ2263" s="33" t="s">
        <v>829</v>
      </c>
      <c r="FA2263" s="33" t="s">
        <v>343</v>
      </c>
      <c r="FB2263" s="33" t="s">
        <v>344</v>
      </c>
      <c r="FC2263" s="33" t="s">
        <v>345</v>
      </c>
      <c r="FD2263" s="33" t="s">
        <v>346</v>
      </c>
      <c r="FE2263" s="33">
        <v>2025</v>
      </c>
      <c r="FF2263" s="33" t="s">
        <v>59</v>
      </c>
      <c r="FG2263" s="33" t="s">
        <v>477</v>
      </c>
      <c r="FH2263" s="33" t="s">
        <v>478</v>
      </c>
      <c r="FI2263" s="33" t="s">
        <v>479</v>
      </c>
      <c r="FJ2263" t="s">
        <v>59</v>
      </c>
    </row>
    <row r="2264" spans="153:166" x14ac:dyDescent="0.35">
      <c r="EW2264" t="s">
        <v>3124</v>
      </c>
      <c r="EX2264" s="33" t="s">
        <v>3441</v>
      </c>
      <c r="EY2264" s="33" t="s">
        <v>830</v>
      </c>
      <c r="EZ2264" s="33" t="s">
        <v>831</v>
      </c>
      <c r="FA2264" s="33" t="s">
        <v>343</v>
      </c>
      <c r="FB2264" s="33" t="s">
        <v>344</v>
      </c>
      <c r="FC2264" s="33" t="s">
        <v>345</v>
      </c>
      <c r="FD2264" s="33" t="s">
        <v>346</v>
      </c>
      <c r="FE2264" s="33">
        <v>2025</v>
      </c>
      <c r="FF2264" s="33" t="s">
        <v>59</v>
      </c>
      <c r="FG2264" s="33" t="s">
        <v>477</v>
      </c>
      <c r="FH2264" s="33" t="s">
        <v>478</v>
      </c>
      <c r="FI2264" s="33" t="s">
        <v>479</v>
      </c>
      <c r="FJ2264" t="s">
        <v>59</v>
      </c>
    </row>
    <row r="2265" spans="153:166" x14ac:dyDescent="0.35">
      <c r="EW2265" t="s">
        <v>3124</v>
      </c>
      <c r="EX2265" s="33" t="s">
        <v>3442</v>
      </c>
      <c r="EY2265" s="33" t="s">
        <v>832</v>
      </c>
      <c r="EZ2265" s="33" t="s">
        <v>833</v>
      </c>
      <c r="FA2265" s="33" t="s">
        <v>343</v>
      </c>
      <c r="FB2265" s="33" t="s">
        <v>344</v>
      </c>
      <c r="FC2265" s="33" t="s">
        <v>345</v>
      </c>
      <c r="FD2265" s="33" t="s">
        <v>346</v>
      </c>
      <c r="FE2265" s="33">
        <v>2025</v>
      </c>
      <c r="FF2265" s="33" t="s">
        <v>59</v>
      </c>
      <c r="FG2265" s="33" t="s">
        <v>386</v>
      </c>
      <c r="FH2265" s="33" t="s">
        <v>387</v>
      </c>
      <c r="FI2265" s="33" t="s">
        <v>407</v>
      </c>
      <c r="FJ2265" t="s">
        <v>59</v>
      </c>
    </row>
    <row r="2266" spans="153:166" x14ac:dyDescent="0.35">
      <c r="EW2266" t="s">
        <v>3124</v>
      </c>
      <c r="EX2266" s="33" t="s">
        <v>3443</v>
      </c>
      <c r="EY2266" s="33" t="s">
        <v>837</v>
      </c>
      <c r="EZ2266" s="33" t="s">
        <v>838</v>
      </c>
      <c r="FA2266" s="33" t="s">
        <v>343</v>
      </c>
      <c r="FB2266" s="33" t="s">
        <v>344</v>
      </c>
      <c r="FC2266" s="33" t="s">
        <v>345</v>
      </c>
      <c r="FD2266" s="33" t="s">
        <v>346</v>
      </c>
      <c r="FE2266" s="33">
        <v>2025</v>
      </c>
      <c r="FF2266" s="33" t="s">
        <v>59</v>
      </c>
      <c r="FG2266" s="33" t="s">
        <v>477</v>
      </c>
      <c r="FH2266" s="33" t="s">
        <v>478</v>
      </c>
      <c r="FI2266" s="33" t="s">
        <v>479</v>
      </c>
      <c r="FJ2266" t="s">
        <v>59</v>
      </c>
    </row>
    <row r="2267" spans="153:166" x14ac:dyDescent="0.35">
      <c r="EW2267" t="s">
        <v>3124</v>
      </c>
      <c r="EX2267" s="33" t="s">
        <v>3444</v>
      </c>
      <c r="EY2267" s="33" t="s">
        <v>839</v>
      </c>
      <c r="EZ2267" s="33" t="s">
        <v>840</v>
      </c>
      <c r="FA2267" s="33" t="s">
        <v>343</v>
      </c>
      <c r="FB2267" s="33" t="s">
        <v>344</v>
      </c>
      <c r="FC2267" s="33" t="s">
        <v>345</v>
      </c>
      <c r="FD2267" s="33" t="s">
        <v>346</v>
      </c>
      <c r="FE2267" s="33">
        <v>2025</v>
      </c>
      <c r="FF2267" s="33" t="s">
        <v>59</v>
      </c>
      <c r="FG2267" s="33" t="s">
        <v>477</v>
      </c>
      <c r="FH2267" s="33" t="s">
        <v>478</v>
      </c>
      <c r="FI2267" s="33" t="s">
        <v>479</v>
      </c>
      <c r="FJ2267" t="s">
        <v>59</v>
      </c>
    </row>
    <row r="2268" spans="153:166" x14ac:dyDescent="0.35">
      <c r="EW2268" t="s">
        <v>3124</v>
      </c>
      <c r="EX2268" s="33" t="s">
        <v>3445</v>
      </c>
      <c r="EY2268" s="33" t="s">
        <v>844</v>
      </c>
      <c r="EZ2268" s="33" t="s">
        <v>845</v>
      </c>
      <c r="FA2268" s="33" t="s">
        <v>343</v>
      </c>
      <c r="FB2268" s="33" t="s">
        <v>344</v>
      </c>
      <c r="FC2268" s="33" t="s">
        <v>345</v>
      </c>
      <c r="FD2268" s="33" t="s">
        <v>346</v>
      </c>
      <c r="FE2268" s="33">
        <v>2025</v>
      </c>
      <c r="FF2268" s="33" t="s">
        <v>59</v>
      </c>
      <c r="FG2268" s="33" t="s">
        <v>477</v>
      </c>
      <c r="FH2268" s="33" t="s">
        <v>478</v>
      </c>
      <c r="FI2268" s="33" t="s">
        <v>479</v>
      </c>
      <c r="FJ2268" t="s">
        <v>59</v>
      </c>
    </row>
    <row r="2269" spans="153:166" x14ac:dyDescent="0.35">
      <c r="EW2269" t="s">
        <v>3124</v>
      </c>
      <c r="EX2269" s="33" t="s">
        <v>3446</v>
      </c>
      <c r="EY2269" s="33" t="s">
        <v>849</v>
      </c>
      <c r="EZ2269" s="33" t="s">
        <v>850</v>
      </c>
      <c r="FA2269" s="33" t="s">
        <v>343</v>
      </c>
      <c r="FB2269" s="33" t="s">
        <v>344</v>
      </c>
      <c r="FC2269" s="33" t="s">
        <v>345</v>
      </c>
      <c r="FD2269" s="33" t="s">
        <v>346</v>
      </c>
      <c r="FE2269" s="33">
        <v>2025</v>
      </c>
      <c r="FF2269" s="33" t="s">
        <v>59</v>
      </c>
      <c r="FG2269" s="33" t="s">
        <v>470</v>
      </c>
      <c r="FH2269" s="33" t="s">
        <v>471</v>
      </c>
      <c r="FI2269" s="33" t="s">
        <v>467</v>
      </c>
      <c r="FJ2269" t="s">
        <v>59</v>
      </c>
    </row>
    <row r="2270" spans="153:166" x14ac:dyDescent="0.35">
      <c r="EW2270" t="s">
        <v>3124</v>
      </c>
      <c r="EX2270" s="33" t="s">
        <v>3447</v>
      </c>
      <c r="EY2270" s="33" t="s">
        <v>851</v>
      </c>
      <c r="EZ2270" s="33" t="s">
        <v>852</v>
      </c>
      <c r="FA2270" s="33" t="s">
        <v>343</v>
      </c>
      <c r="FB2270" s="33" t="s">
        <v>344</v>
      </c>
      <c r="FC2270" s="33" t="s">
        <v>345</v>
      </c>
      <c r="FD2270" s="33" t="s">
        <v>346</v>
      </c>
      <c r="FE2270" s="33">
        <v>2025</v>
      </c>
      <c r="FF2270" s="33" t="s">
        <v>59</v>
      </c>
      <c r="FG2270" s="33" t="s">
        <v>470</v>
      </c>
      <c r="FH2270" s="33" t="s">
        <v>471</v>
      </c>
      <c r="FI2270" s="33" t="s">
        <v>467</v>
      </c>
      <c r="FJ2270" t="s">
        <v>59</v>
      </c>
    </row>
    <row r="2271" spans="153:166" x14ac:dyDescent="0.35">
      <c r="EW2271" t="s">
        <v>3124</v>
      </c>
      <c r="EX2271" s="33" t="s">
        <v>3448</v>
      </c>
      <c r="EY2271" s="33" t="s">
        <v>853</v>
      </c>
      <c r="EZ2271" s="33" t="s">
        <v>854</v>
      </c>
      <c r="FA2271" s="33" t="s">
        <v>343</v>
      </c>
      <c r="FB2271" s="33" t="s">
        <v>344</v>
      </c>
      <c r="FC2271" s="33" t="s">
        <v>345</v>
      </c>
      <c r="FD2271" s="33" t="s">
        <v>346</v>
      </c>
      <c r="FE2271" s="33">
        <v>2025</v>
      </c>
      <c r="FF2271" s="33" t="s">
        <v>59</v>
      </c>
      <c r="FG2271" s="33" t="s">
        <v>477</v>
      </c>
      <c r="FH2271" s="33" t="s">
        <v>478</v>
      </c>
      <c r="FI2271" s="33" t="s">
        <v>479</v>
      </c>
      <c r="FJ2271" t="s">
        <v>59</v>
      </c>
    </row>
    <row r="2272" spans="153:166" x14ac:dyDescent="0.35">
      <c r="EW2272" t="s">
        <v>3124</v>
      </c>
      <c r="EX2272" s="33" t="s">
        <v>3449</v>
      </c>
      <c r="EY2272" s="33" t="s">
        <v>858</v>
      </c>
      <c r="EZ2272" s="33" t="s">
        <v>859</v>
      </c>
      <c r="FA2272" s="33" t="s">
        <v>343</v>
      </c>
      <c r="FB2272" s="33" t="s">
        <v>344</v>
      </c>
      <c r="FC2272" s="33" t="s">
        <v>345</v>
      </c>
      <c r="FD2272" s="33" t="s">
        <v>346</v>
      </c>
      <c r="FE2272" s="33">
        <v>2025</v>
      </c>
      <c r="FF2272" s="33" t="s">
        <v>59</v>
      </c>
      <c r="FG2272" s="33" t="s">
        <v>477</v>
      </c>
      <c r="FH2272" s="33" t="s">
        <v>478</v>
      </c>
      <c r="FI2272" s="33" t="s">
        <v>479</v>
      </c>
      <c r="FJ2272" t="s">
        <v>59</v>
      </c>
    </row>
    <row r="2273" spans="153:166" x14ac:dyDescent="0.35">
      <c r="EW2273" t="s">
        <v>3124</v>
      </c>
      <c r="EX2273" s="33" t="s">
        <v>3450</v>
      </c>
      <c r="EY2273" s="33" t="s">
        <v>860</v>
      </c>
      <c r="EZ2273" s="33" t="s">
        <v>861</v>
      </c>
      <c r="FA2273" s="33" t="s">
        <v>343</v>
      </c>
      <c r="FB2273" s="33" t="s">
        <v>344</v>
      </c>
      <c r="FC2273" s="33" t="s">
        <v>345</v>
      </c>
      <c r="FD2273" s="33" t="s">
        <v>346</v>
      </c>
      <c r="FE2273" s="33">
        <v>2025</v>
      </c>
      <c r="FF2273" s="33" t="s">
        <v>59</v>
      </c>
      <c r="FG2273" s="33" t="s">
        <v>477</v>
      </c>
      <c r="FH2273" s="33" t="s">
        <v>478</v>
      </c>
      <c r="FI2273" s="33" t="s">
        <v>479</v>
      </c>
      <c r="FJ2273" t="s">
        <v>59</v>
      </c>
    </row>
    <row r="2274" spans="153:166" x14ac:dyDescent="0.35">
      <c r="EW2274" t="s">
        <v>3124</v>
      </c>
      <c r="EX2274" s="33" t="s">
        <v>3451</v>
      </c>
      <c r="EY2274" s="33" t="s">
        <v>862</v>
      </c>
      <c r="EZ2274" s="33" t="s">
        <v>863</v>
      </c>
      <c r="FA2274" s="33" t="s">
        <v>343</v>
      </c>
      <c r="FB2274" s="33" t="s">
        <v>344</v>
      </c>
      <c r="FC2274" s="33" t="s">
        <v>345</v>
      </c>
      <c r="FD2274" s="33" t="s">
        <v>346</v>
      </c>
      <c r="FE2274" s="33">
        <v>2025</v>
      </c>
      <c r="FF2274" s="33" t="s">
        <v>59</v>
      </c>
      <c r="FG2274" s="33" t="s">
        <v>477</v>
      </c>
      <c r="FH2274" s="33" t="s">
        <v>478</v>
      </c>
      <c r="FI2274" s="33" t="s">
        <v>479</v>
      </c>
      <c r="FJ2274" t="s">
        <v>59</v>
      </c>
    </row>
    <row r="2275" spans="153:166" x14ac:dyDescent="0.35">
      <c r="EW2275" t="s">
        <v>3124</v>
      </c>
      <c r="EX2275" s="33" t="s">
        <v>3452</v>
      </c>
      <c r="EY2275" s="33" t="s">
        <v>864</v>
      </c>
      <c r="EZ2275" s="33" t="s">
        <v>865</v>
      </c>
      <c r="FA2275" s="33" t="s">
        <v>343</v>
      </c>
      <c r="FB2275" s="33" t="s">
        <v>344</v>
      </c>
      <c r="FC2275" s="33" t="s">
        <v>345</v>
      </c>
      <c r="FD2275" s="33" t="s">
        <v>346</v>
      </c>
      <c r="FE2275" s="33">
        <v>2025</v>
      </c>
      <c r="FF2275" s="33" t="s">
        <v>59</v>
      </c>
      <c r="FG2275" s="33" t="s">
        <v>477</v>
      </c>
      <c r="FH2275" s="33" t="s">
        <v>478</v>
      </c>
      <c r="FI2275" s="33" t="s">
        <v>479</v>
      </c>
      <c r="FJ2275" t="s">
        <v>59</v>
      </c>
    </row>
    <row r="2276" spans="153:166" x14ac:dyDescent="0.35">
      <c r="EW2276" t="s">
        <v>3124</v>
      </c>
      <c r="EX2276" s="33" t="s">
        <v>3453</v>
      </c>
      <c r="EY2276" s="33" t="s">
        <v>866</v>
      </c>
      <c r="EZ2276" s="33" t="s">
        <v>867</v>
      </c>
      <c r="FA2276" s="33" t="s">
        <v>343</v>
      </c>
      <c r="FB2276" s="33" t="s">
        <v>344</v>
      </c>
      <c r="FC2276" s="33" t="s">
        <v>345</v>
      </c>
      <c r="FD2276" s="33" t="s">
        <v>346</v>
      </c>
      <c r="FE2276" s="33">
        <v>2025</v>
      </c>
      <c r="FF2276" s="33" t="s">
        <v>59</v>
      </c>
      <c r="FG2276" s="33" t="s">
        <v>470</v>
      </c>
      <c r="FH2276" s="33" t="s">
        <v>471</v>
      </c>
      <c r="FI2276" s="33" t="s">
        <v>467</v>
      </c>
      <c r="FJ2276" t="s">
        <v>59</v>
      </c>
    </row>
    <row r="2277" spans="153:166" x14ac:dyDescent="0.35">
      <c r="EW2277" t="s">
        <v>3124</v>
      </c>
      <c r="EX2277" s="33" t="s">
        <v>3454</v>
      </c>
      <c r="EY2277" s="33" t="s">
        <v>871</v>
      </c>
      <c r="EZ2277" s="33" t="s">
        <v>872</v>
      </c>
      <c r="FA2277" s="33" t="s">
        <v>343</v>
      </c>
      <c r="FB2277" s="33" t="s">
        <v>344</v>
      </c>
      <c r="FC2277" s="33" t="s">
        <v>345</v>
      </c>
      <c r="FD2277" s="33" t="s">
        <v>346</v>
      </c>
      <c r="FE2277" s="33">
        <v>2025</v>
      </c>
      <c r="FF2277" s="33" t="s">
        <v>59</v>
      </c>
      <c r="FG2277" s="33" t="s">
        <v>470</v>
      </c>
      <c r="FH2277" s="33" t="s">
        <v>471</v>
      </c>
      <c r="FI2277" s="33" t="s">
        <v>467</v>
      </c>
      <c r="FJ2277" t="s">
        <v>59</v>
      </c>
    </row>
    <row r="2278" spans="153:166" x14ac:dyDescent="0.35">
      <c r="EW2278" t="s">
        <v>3124</v>
      </c>
      <c r="EX2278" s="33" t="s">
        <v>3455</v>
      </c>
      <c r="EY2278" s="33" t="s">
        <v>873</v>
      </c>
      <c r="EZ2278" s="33" t="s">
        <v>874</v>
      </c>
      <c r="FA2278" s="33" t="s">
        <v>343</v>
      </c>
      <c r="FB2278" s="33" t="s">
        <v>344</v>
      </c>
      <c r="FC2278" s="33" t="s">
        <v>345</v>
      </c>
      <c r="FD2278" s="33" t="s">
        <v>346</v>
      </c>
      <c r="FE2278" s="33">
        <v>2025</v>
      </c>
      <c r="FF2278" s="33" t="s">
        <v>59</v>
      </c>
      <c r="FG2278" s="33" t="s">
        <v>477</v>
      </c>
      <c r="FH2278" s="33" t="s">
        <v>478</v>
      </c>
      <c r="FI2278" s="33" t="s">
        <v>479</v>
      </c>
      <c r="FJ2278" t="s">
        <v>59</v>
      </c>
    </row>
    <row r="2279" spans="153:166" x14ac:dyDescent="0.35">
      <c r="EW2279" t="s">
        <v>3124</v>
      </c>
      <c r="EX2279" s="33" t="s">
        <v>3456</v>
      </c>
      <c r="EY2279" s="33" t="s">
        <v>875</v>
      </c>
      <c r="EZ2279" s="33" t="s">
        <v>876</v>
      </c>
      <c r="FA2279" s="33" t="s">
        <v>343</v>
      </c>
      <c r="FB2279" s="33" t="s">
        <v>344</v>
      </c>
      <c r="FC2279" s="33" t="s">
        <v>345</v>
      </c>
      <c r="FD2279" s="33" t="s">
        <v>346</v>
      </c>
      <c r="FE2279" s="33">
        <v>2025</v>
      </c>
      <c r="FF2279" s="33" t="s">
        <v>59</v>
      </c>
      <c r="FG2279" s="33" t="s">
        <v>477</v>
      </c>
      <c r="FH2279" s="33" t="s">
        <v>478</v>
      </c>
      <c r="FI2279" s="33" t="s">
        <v>479</v>
      </c>
      <c r="FJ2279" t="s">
        <v>59</v>
      </c>
    </row>
    <row r="2280" spans="153:166" x14ac:dyDescent="0.35">
      <c r="EW2280" t="s">
        <v>3124</v>
      </c>
      <c r="EX2280" s="33" t="s">
        <v>3457</v>
      </c>
      <c r="EY2280" s="33" t="s">
        <v>877</v>
      </c>
      <c r="EZ2280" s="33" t="s">
        <v>878</v>
      </c>
      <c r="FA2280" s="33" t="s">
        <v>343</v>
      </c>
      <c r="FB2280" s="33" t="s">
        <v>344</v>
      </c>
      <c r="FC2280" s="33" t="s">
        <v>345</v>
      </c>
      <c r="FD2280" s="33" t="s">
        <v>346</v>
      </c>
      <c r="FE2280" s="33">
        <v>2025</v>
      </c>
      <c r="FF2280" s="33" t="s">
        <v>59</v>
      </c>
      <c r="FG2280" s="33" t="s">
        <v>470</v>
      </c>
      <c r="FH2280" s="33" t="s">
        <v>471</v>
      </c>
      <c r="FI2280" s="33" t="s">
        <v>467</v>
      </c>
      <c r="FJ2280" t="s">
        <v>59</v>
      </c>
    </row>
    <row r="2281" spans="153:166" x14ac:dyDescent="0.35">
      <c r="EW2281" t="s">
        <v>3124</v>
      </c>
      <c r="EX2281" s="33" t="s">
        <v>3458</v>
      </c>
      <c r="EY2281" s="33" t="s">
        <v>879</v>
      </c>
      <c r="EZ2281" s="33" t="s">
        <v>880</v>
      </c>
      <c r="FA2281" s="33" t="s">
        <v>343</v>
      </c>
      <c r="FB2281" s="33" t="s">
        <v>344</v>
      </c>
      <c r="FC2281" s="33" t="s">
        <v>345</v>
      </c>
      <c r="FD2281" s="33" t="s">
        <v>346</v>
      </c>
      <c r="FE2281" s="33">
        <v>2025</v>
      </c>
      <c r="FF2281" s="33" t="s">
        <v>59</v>
      </c>
      <c r="FG2281" s="33" t="s">
        <v>470</v>
      </c>
      <c r="FH2281" s="33" t="s">
        <v>471</v>
      </c>
      <c r="FI2281" s="33" t="s">
        <v>467</v>
      </c>
      <c r="FJ2281" t="s">
        <v>59</v>
      </c>
    </row>
    <row r="2282" spans="153:166" x14ac:dyDescent="0.35">
      <c r="EW2282" t="s">
        <v>3124</v>
      </c>
      <c r="EX2282" s="33" t="s">
        <v>3459</v>
      </c>
      <c r="EY2282" s="33" t="s">
        <v>881</v>
      </c>
      <c r="EZ2282" s="33" t="s">
        <v>882</v>
      </c>
      <c r="FA2282" s="33" t="s">
        <v>343</v>
      </c>
      <c r="FB2282" s="33" t="s">
        <v>344</v>
      </c>
      <c r="FC2282" s="33" t="s">
        <v>345</v>
      </c>
      <c r="FD2282" s="33" t="s">
        <v>346</v>
      </c>
      <c r="FE2282" s="33">
        <v>2025</v>
      </c>
      <c r="FF2282" s="33" t="s">
        <v>59</v>
      </c>
      <c r="FG2282" s="33" t="s">
        <v>470</v>
      </c>
      <c r="FH2282" s="33" t="s">
        <v>471</v>
      </c>
      <c r="FI2282" s="33" t="s">
        <v>467</v>
      </c>
      <c r="FJ2282" t="s">
        <v>59</v>
      </c>
    </row>
    <row r="2283" spans="153:166" x14ac:dyDescent="0.35">
      <c r="EW2283" t="s">
        <v>3124</v>
      </c>
      <c r="EX2283" s="33" t="s">
        <v>3460</v>
      </c>
      <c r="EY2283" s="33" t="s">
        <v>883</v>
      </c>
      <c r="EZ2283" s="33" t="s">
        <v>884</v>
      </c>
      <c r="FA2283" s="33" t="s">
        <v>343</v>
      </c>
      <c r="FB2283" s="33" t="s">
        <v>344</v>
      </c>
      <c r="FC2283" s="33" t="s">
        <v>345</v>
      </c>
      <c r="FD2283" s="33" t="s">
        <v>346</v>
      </c>
      <c r="FE2283" s="33">
        <v>2025</v>
      </c>
      <c r="FF2283" s="33" t="s">
        <v>59</v>
      </c>
      <c r="FG2283" s="33" t="s">
        <v>477</v>
      </c>
      <c r="FH2283" s="33" t="s">
        <v>478</v>
      </c>
      <c r="FI2283" s="33" t="s">
        <v>479</v>
      </c>
      <c r="FJ2283" t="s">
        <v>59</v>
      </c>
    </row>
    <row r="2284" spans="153:166" x14ac:dyDescent="0.35">
      <c r="EW2284" t="s">
        <v>3124</v>
      </c>
      <c r="EX2284" s="33" t="s">
        <v>3461</v>
      </c>
      <c r="EY2284" s="33" t="s">
        <v>885</v>
      </c>
      <c r="EZ2284" s="33" t="s">
        <v>886</v>
      </c>
      <c r="FA2284" s="33" t="s">
        <v>343</v>
      </c>
      <c r="FB2284" s="33" t="s">
        <v>344</v>
      </c>
      <c r="FC2284" s="33" t="s">
        <v>345</v>
      </c>
      <c r="FD2284" s="33" t="s">
        <v>346</v>
      </c>
      <c r="FE2284" s="33">
        <v>2025</v>
      </c>
      <c r="FF2284" s="33" t="s">
        <v>59</v>
      </c>
      <c r="FG2284" s="33" t="s">
        <v>470</v>
      </c>
      <c r="FH2284" s="33" t="s">
        <v>471</v>
      </c>
      <c r="FI2284" s="33" t="s">
        <v>467</v>
      </c>
      <c r="FJ2284" t="s">
        <v>59</v>
      </c>
    </row>
    <row r="2285" spans="153:166" x14ac:dyDescent="0.35">
      <c r="EW2285" t="s">
        <v>3124</v>
      </c>
      <c r="EX2285" s="33" t="s">
        <v>3462</v>
      </c>
      <c r="EY2285" s="33" t="s">
        <v>890</v>
      </c>
      <c r="EZ2285" s="33" t="s">
        <v>891</v>
      </c>
      <c r="FA2285" s="33" t="s">
        <v>343</v>
      </c>
      <c r="FB2285" s="33" t="s">
        <v>344</v>
      </c>
      <c r="FC2285" s="33" t="s">
        <v>345</v>
      </c>
      <c r="FD2285" s="33" t="s">
        <v>346</v>
      </c>
      <c r="FE2285" s="33">
        <v>2025</v>
      </c>
      <c r="FF2285" s="33" t="s">
        <v>59</v>
      </c>
      <c r="FG2285" s="33" t="s">
        <v>470</v>
      </c>
      <c r="FH2285" s="33" t="s">
        <v>471</v>
      </c>
      <c r="FI2285" s="33" t="s">
        <v>467</v>
      </c>
      <c r="FJ2285" t="s">
        <v>59</v>
      </c>
    </row>
    <row r="2286" spans="153:166" x14ac:dyDescent="0.35">
      <c r="EW2286" t="s">
        <v>3124</v>
      </c>
      <c r="EX2286" s="33" t="s">
        <v>3463</v>
      </c>
      <c r="EY2286" s="33" t="s">
        <v>892</v>
      </c>
      <c r="EZ2286" s="33" t="s">
        <v>893</v>
      </c>
      <c r="FA2286" s="33" t="s">
        <v>343</v>
      </c>
      <c r="FB2286" s="33" t="s">
        <v>344</v>
      </c>
      <c r="FC2286" s="33" t="s">
        <v>345</v>
      </c>
      <c r="FD2286" s="33" t="s">
        <v>346</v>
      </c>
      <c r="FE2286" s="33">
        <v>2025</v>
      </c>
      <c r="FF2286" s="33" t="s">
        <v>59</v>
      </c>
      <c r="FG2286" s="33" t="s">
        <v>470</v>
      </c>
      <c r="FH2286" s="33" t="s">
        <v>471</v>
      </c>
      <c r="FI2286" s="33" t="s">
        <v>467</v>
      </c>
      <c r="FJ2286" t="s">
        <v>59</v>
      </c>
    </row>
    <row r="2287" spans="153:166" x14ac:dyDescent="0.35">
      <c r="EW2287" t="s">
        <v>3124</v>
      </c>
      <c r="EX2287" s="33" t="s">
        <v>3464</v>
      </c>
      <c r="EY2287" s="33" t="s">
        <v>894</v>
      </c>
      <c r="EZ2287" s="33" t="s">
        <v>895</v>
      </c>
      <c r="FA2287" s="33" t="s">
        <v>343</v>
      </c>
      <c r="FB2287" s="33" t="s">
        <v>344</v>
      </c>
      <c r="FC2287" s="33" t="s">
        <v>345</v>
      </c>
      <c r="FD2287" s="33" t="s">
        <v>346</v>
      </c>
      <c r="FE2287" s="33">
        <v>2025</v>
      </c>
      <c r="FF2287" s="33" t="s">
        <v>59</v>
      </c>
      <c r="FG2287" s="33" t="s">
        <v>477</v>
      </c>
      <c r="FH2287" s="33" t="s">
        <v>478</v>
      </c>
      <c r="FI2287" s="33" t="s">
        <v>479</v>
      </c>
      <c r="FJ2287" t="s">
        <v>59</v>
      </c>
    </row>
    <row r="2288" spans="153:166" x14ac:dyDescent="0.35">
      <c r="EW2288" t="s">
        <v>3124</v>
      </c>
      <c r="EX2288" s="33" t="s">
        <v>3465</v>
      </c>
      <c r="EY2288" s="33" t="s">
        <v>896</v>
      </c>
      <c r="EZ2288" s="33" t="s">
        <v>897</v>
      </c>
      <c r="FA2288" s="33" t="s">
        <v>343</v>
      </c>
      <c r="FB2288" s="33" t="s">
        <v>344</v>
      </c>
      <c r="FC2288" s="33" t="s">
        <v>345</v>
      </c>
      <c r="FD2288" s="33" t="s">
        <v>346</v>
      </c>
      <c r="FE2288" s="33">
        <v>2025</v>
      </c>
      <c r="FF2288" s="33" t="s">
        <v>59</v>
      </c>
      <c r="FG2288" s="33" t="s">
        <v>477</v>
      </c>
      <c r="FH2288" s="33" t="s">
        <v>478</v>
      </c>
      <c r="FI2288" s="33" t="s">
        <v>479</v>
      </c>
      <c r="FJ2288" t="s">
        <v>59</v>
      </c>
    </row>
    <row r="2289" spans="153:166" x14ac:dyDescent="0.35">
      <c r="EW2289" t="s">
        <v>3124</v>
      </c>
      <c r="EX2289" s="33" t="s">
        <v>3466</v>
      </c>
      <c r="EY2289" s="33" t="s">
        <v>901</v>
      </c>
      <c r="EZ2289" s="33" t="s">
        <v>902</v>
      </c>
      <c r="FA2289" s="33" t="s">
        <v>343</v>
      </c>
      <c r="FB2289" s="33" t="s">
        <v>344</v>
      </c>
      <c r="FC2289" s="33" t="s">
        <v>345</v>
      </c>
      <c r="FD2289" s="33" t="s">
        <v>346</v>
      </c>
      <c r="FE2289" s="33">
        <v>2025</v>
      </c>
      <c r="FF2289" s="33" t="s">
        <v>59</v>
      </c>
      <c r="FG2289" s="33" t="s">
        <v>477</v>
      </c>
      <c r="FH2289" s="33" t="s">
        <v>478</v>
      </c>
      <c r="FI2289" s="33" t="s">
        <v>479</v>
      </c>
      <c r="FJ2289" t="s">
        <v>59</v>
      </c>
    </row>
    <row r="2290" spans="153:166" x14ac:dyDescent="0.35">
      <c r="EW2290" t="s">
        <v>3124</v>
      </c>
      <c r="EX2290" s="33" t="s">
        <v>3467</v>
      </c>
      <c r="EY2290" s="33" t="s">
        <v>903</v>
      </c>
      <c r="EZ2290" s="33" t="s">
        <v>904</v>
      </c>
      <c r="FA2290" s="33" t="s">
        <v>343</v>
      </c>
      <c r="FB2290" s="33" t="s">
        <v>344</v>
      </c>
      <c r="FC2290" s="33" t="s">
        <v>345</v>
      </c>
      <c r="FD2290" s="33" t="s">
        <v>346</v>
      </c>
      <c r="FE2290" s="33">
        <v>2025</v>
      </c>
      <c r="FF2290" s="33" t="s">
        <v>59</v>
      </c>
      <c r="FG2290" s="33" t="s">
        <v>477</v>
      </c>
      <c r="FH2290" s="33" t="s">
        <v>478</v>
      </c>
      <c r="FI2290" s="33" t="s">
        <v>479</v>
      </c>
      <c r="FJ2290" t="s">
        <v>59</v>
      </c>
    </row>
    <row r="2291" spans="153:166" x14ac:dyDescent="0.35">
      <c r="EW2291" t="s">
        <v>3124</v>
      </c>
      <c r="EX2291" s="33" t="s">
        <v>3468</v>
      </c>
      <c r="EY2291" s="33" t="s">
        <v>905</v>
      </c>
      <c r="EZ2291" s="33" t="s">
        <v>906</v>
      </c>
      <c r="FA2291" s="33" t="s">
        <v>343</v>
      </c>
      <c r="FB2291" s="33" t="s">
        <v>344</v>
      </c>
      <c r="FC2291" s="33" t="s">
        <v>345</v>
      </c>
      <c r="FD2291" s="33" t="s">
        <v>346</v>
      </c>
      <c r="FE2291" s="33">
        <v>2025</v>
      </c>
      <c r="FF2291" s="33" t="s">
        <v>59</v>
      </c>
      <c r="FG2291" s="33" t="s">
        <v>470</v>
      </c>
      <c r="FH2291" s="33" t="s">
        <v>471</v>
      </c>
      <c r="FI2291" s="33" t="s">
        <v>467</v>
      </c>
      <c r="FJ2291" t="s">
        <v>59</v>
      </c>
    </row>
    <row r="2292" spans="153:166" x14ac:dyDescent="0.35">
      <c r="EW2292" t="s">
        <v>3124</v>
      </c>
      <c r="EX2292" s="33" t="s">
        <v>3469</v>
      </c>
      <c r="EY2292" s="33" t="s">
        <v>907</v>
      </c>
      <c r="EZ2292" s="33" t="s">
        <v>908</v>
      </c>
      <c r="FA2292" s="33" t="s">
        <v>343</v>
      </c>
      <c r="FB2292" s="33" t="s">
        <v>344</v>
      </c>
      <c r="FC2292" s="33" t="s">
        <v>345</v>
      </c>
      <c r="FD2292" s="33" t="s">
        <v>346</v>
      </c>
      <c r="FE2292" s="33">
        <v>2025</v>
      </c>
      <c r="FF2292" s="33" t="s">
        <v>59</v>
      </c>
      <c r="FG2292" s="33" t="s">
        <v>477</v>
      </c>
      <c r="FH2292" s="33" t="s">
        <v>478</v>
      </c>
      <c r="FI2292" s="33" t="s">
        <v>479</v>
      </c>
      <c r="FJ2292" t="s">
        <v>59</v>
      </c>
    </row>
    <row r="2293" spans="153:166" x14ac:dyDescent="0.35">
      <c r="EW2293" t="s">
        <v>3124</v>
      </c>
      <c r="EX2293" s="33" t="s">
        <v>3470</v>
      </c>
      <c r="EY2293" s="33" t="s">
        <v>909</v>
      </c>
      <c r="EZ2293" s="33" t="s">
        <v>910</v>
      </c>
      <c r="FA2293" s="33" t="s">
        <v>343</v>
      </c>
      <c r="FB2293" s="33" t="s">
        <v>344</v>
      </c>
      <c r="FC2293" s="33" t="s">
        <v>345</v>
      </c>
      <c r="FD2293" s="33" t="s">
        <v>346</v>
      </c>
      <c r="FE2293" s="33">
        <v>2025</v>
      </c>
      <c r="FF2293" s="33" t="s">
        <v>59</v>
      </c>
      <c r="FG2293" s="33" t="s">
        <v>477</v>
      </c>
      <c r="FH2293" s="33" t="s">
        <v>478</v>
      </c>
      <c r="FI2293" s="33" t="s">
        <v>479</v>
      </c>
      <c r="FJ2293" t="s">
        <v>59</v>
      </c>
    </row>
    <row r="2294" spans="153:166" x14ac:dyDescent="0.35">
      <c r="EW2294" t="s">
        <v>3124</v>
      </c>
      <c r="EX2294" s="33" t="s">
        <v>3471</v>
      </c>
      <c r="EY2294" s="33" t="s">
        <v>914</v>
      </c>
      <c r="EZ2294" s="33" t="s">
        <v>915</v>
      </c>
      <c r="FA2294" s="33" t="s">
        <v>343</v>
      </c>
      <c r="FB2294" s="33" t="s">
        <v>344</v>
      </c>
      <c r="FC2294" s="33" t="s">
        <v>345</v>
      </c>
      <c r="FD2294" s="33" t="s">
        <v>346</v>
      </c>
      <c r="FE2294" s="33">
        <v>2025</v>
      </c>
      <c r="FF2294" s="33" t="s">
        <v>59</v>
      </c>
      <c r="FG2294" s="33" t="s">
        <v>470</v>
      </c>
      <c r="FH2294" s="33" t="s">
        <v>471</v>
      </c>
      <c r="FI2294" s="33" t="s">
        <v>467</v>
      </c>
      <c r="FJ2294" t="s">
        <v>59</v>
      </c>
    </row>
    <row r="2295" spans="153:166" x14ac:dyDescent="0.35">
      <c r="EW2295" t="s">
        <v>3124</v>
      </c>
      <c r="EX2295" s="33" t="s">
        <v>3472</v>
      </c>
      <c r="EY2295" s="33" t="s">
        <v>916</v>
      </c>
      <c r="EZ2295" s="33" t="s">
        <v>917</v>
      </c>
      <c r="FA2295" s="33" t="s">
        <v>343</v>
      </c>
      <c r="FB2295" s="33" t="s">
        <v>344</v>
      </c>
      <c r="FC2295" s="33" t="s">
        <v>345</v>
      </c>
      <c r="FD2295" s="33" t="s">
        <v>346</v>
      </c>
      <c r="FE2295" s="33">
        <v>2025</v>
      </c>
      <c r="FF2295" s="33" t="s">
        <v>59</v>
      </c>
      <c r="FG2295" s="33" t="s">
        <v>470</v>
      </c>
      <c r="FH2295" s="33" t="s">
        <v>471</v>
      </c>
      <c r="FI2295" s="33" t="s">
        <v>467</v>
      </c>
      <c r="FJ2295" t="s">
        <v>59</v>
      </c>
    </row>
    <row r="2296" spans="153:166" x14ac:dyDescent="0.35">
      <c r="EW2296" t="s">
        <v>3124</v>
      </c>
      <c r="EX2296" s="33" t="s">
        <v>3473</v>
      </c>
      <c r="EY2296" s="33" t="s">
        <v>918</v>
      </c>
      <c r="EZ2296" s="33" t="s">
        <v>919</v>
      </c>
      <c r="FA2296" s="33" t="s">
        <v>343</v>
      </c>
      <c r="FB2296" s="33" t="s">
        <v>344</v>
      </c>
      <c r="FC2296" s="33" t="s">
        <v>345</v>
      </c>
      <c r="FD2296" s="33" t="s">
        <v>346</v>
      </c>
      <c r="FE2296" s="33">
        <v>2025</v>
      </c>
      <c r="FF2296" s="33" t="s">
        <v>59</v>
      </c>
      <c r="FG2296" s="33" t="s">
        <v>470</v>
      </c>
      <c r="FH2296" s="33" t="s">
        <v>471</v>
      </c>
      <c r="FI2296" s="33" t="s">
        <v>467</v>
      </c>
      <c r="FJ2296" t="s">
        <v>59</v>
      </c>
    </row>
    <row r="2297" spans="153:166" x14ac:dyDescent="0.35">
      <c r="EW2297" t="s">
        <v>3124</v>
      </c>
      <c r="EX2297" s="33" t="s">
        <v>3474</v>
      </c>
      <c r="EY2297" s="33" t="s">
        <v>920</v>
      </c>
      <c r="EZ2297" s="33" t="s">
        <v>921</v>
      </c>
      <c r="FA2297" s="33" t="s">
        <v>343</v>
      </c>
      <c r="FB2297" s="33" t="s">
        <v>344</v>
      </c>
      <c r="FC2297" s="33" t="s">
        <v>345</v>
      </c>
      <c r="FD2297" s="33" t="s">
        <v>346</v>
      </c>
      <c r="FE2297" s="33">
        <v>2025</v>
      </c>
      <c r="FF2297" s="33" t="s">
        <v>59</v>
      </c>
      <c r="FG2297" s="33" t="s">
        <v>470</v>
      </c>
      <c r="FH2297" s="33" t="s">
        <v>471</v>
      </c>
      <c r="FI2297" s="33" t="s">
        <v>467</v>
      </c>
      <c r="FJ2297" t="s">
        <v>59</v>
      </c>
    </row>
    <row r="2298" spans="153:166" x14ac:dyDescent="0.35">
      <c r="EW2298" t="s">
        <v>3124</v>
      </c>
      <c r="EX2298" s="33" t="s">
        <v>3475</v>
      </c>
      <c r="EY2298" s="33" t="s">
        <v>925</v>
      </c>
      <c r="EZ2298" s="33" t="s">
        <v>926</v>
      </c>
      <c r="FA2298" s="33" t="s">
        <v>343</v>
      </c>
      <c r="FB2298" s="33" t="s">
        <v>344</v>
      </c>
      <c r="FC2298" s="33" t="s">
        <v>345</v>
      </c>
      <c r="FD2298" s="33" t="s">
        <v>346</v>
      </c>
      <c r="FE2298" s="33">
        <v>2025</v>
      </c>
      <c r="FF2298" s="33" t="s">
        <v>59</v>
      </c>
      <c r="FG2298" s="33" t="s">
        <v>470</v>
      </c>
      <c r="FH2298" s="33" t="s">
        <v>471</v>
      </c>
      <c r="FI2298" s="33" t="s">
        <v>467</v>
      </c>
      <c r="FJ2298" t="s">
        <v>59</v>
      </c>
    </row>
    <row r="2299" spans="153:166" x14ac:dyDescent="0.35">
      <c r="EW2299" t="s">
        <v>3124</v>
      </c>
      <c r="EX2299" s="33" t="s">
        <v>3476</v>
      </c>
      <c r="EY2299" s="33" t="s">
        <v>927</v>
      </c>
      <c r="EZ2299" s="33" t="s">
        <v>928</v>
      </c>
      <c r="FA2299" s="33" t="s">
        <v>343</v>
      </c>
      <c r="FB2299" s="33" t="s">
        <v>344</v>
      </c>
      <c r="FC2299" s="33" t="s">
        <v>345</v>
      </c>
      <c r="FD2299" s="33" t="s">
        <v>346</v>
      </c>
      <c r="FE2299" s="33">
        <v>2025</v>
      </c>
      <c r="FF2299" s="33" t="s">
        <v>59</v>
      </c>
      <c r="FG2299" s="33" t="s">
        <v>477</v>
      </c>
      <c r="FH2299" s="33" t="s">
        <v>478</v>
      </c>
      <c r="FI2299" s="33" t="s">
        <v>479</v>
      </c>
      <c r="FJ2299" t="s">
        <v>59</v>
      </c>
    </row>
    <row r="2300" spans="153:166" x14ac:dyDescent="0.35">
      <c r="EW2300" t="s">
        <v>3124</v>
      </c>
      <c r="EX2300" s="33" t="s">
        <v>3477</v>
      </c>
      <c r="EY2300" s="33" t="s">
        <v>929</v>
      </c>
      <c r="EZ2300" s="33" t="s">
        <v>930</v>
      </c>
      <c r="FA2300" s="33" t="s">
        <v>343</v>
      </c>
      <c r="FB2300" s="33" t="s">
        <v>344</v>
      </c>
      <c r="FC2300" s="33" t="s">
        <v>345</v>
      </c>
      <c r="FD2300" s="33" t="s">
        <v>346</v>
      </c>
      <c r="FE2300" s="33">
        <v>2025</v>
      </c>
      <c r="FF2300" s="33" t="s">
        <v>59</v>
      </c>
      <c r="FG2300" s="33" t="s">
        <v>477</v>
      </c>
      <c r="FH2300" s="33" t="s">
        <v>478</v>
      </c>
      <c r="FI2300" s="33" t="s">
        <v>479</v>
      </c>
      <c r="FJ2300" t="s">
        <v>59</v>
      </c>
    </row>
    <row r="2301" spans="153:166" x14ac:dyDescent="0.35">
      <c r="EW2301" t="s">
        <v>3124</v>
      </c>
      <c r="EX2301" s="33" t="s">
        <v>3478</v>
      </c>
      <c r="EY2301" s="33" t="s">
        <v>931</v>
      </c>
      <c r="EZ2301" s="33" t="s">
        <v>932</v>
      </c>
      <c r="FA2301" s="33" t="s">
        <v>343</v>
      </c>
      <c r="FB2301" s="33" t="s">
        <v>344</v>
      </c>
      <c r="FC2301" s="33" t="s">
        <v>345</v>
      </c>
      <c r="FD2301" s="33" t="s">
        <v>346</v>
      </c>
      <c r="FE2301" s="33">
        <v>2025</v>
      </c>
      <c r="FF2301" s="33" t="s">
        <v>59</v>
      </c>
      <c r="FG2301" s="33" t="s">
        <v>477</v>
      </c>
      <c r="FH2301" s="33" t="s">
        <v>478</v>
      </c>
      <c r="FI2301" s="33" t="s">
        <v>479</v>
      </c>
      <c r="FJ2301" t="s">
        <v>59</v>
      </c>
    </row>
    <row r="2302" spans="153:166" x14ac:dyDescent="0.35">
      <c r="EW2302" t="s">
        <v>3124</v>
      </c>
      <c r="EX2302" s="33" t="s">
        <v>3479</v>
      </c>
      <c r="EY2302" s="33" t="s">
        <v>933</v>
      </c>
      <c r="EZ2302" s="33" t="s">
        <v>934</v>
      </c>
      <c r="FA2302" s="33" t="s">
        <v>343</v>
      </c>
      <c r="FB2302" s="33" t="s">
        <v>344</v>
      </c>
      <c r="FC2302" s="33" t="s">
        <v>345</v>
      </c>
      <c r="FD2302" s="33" t="s">
        <v>346</v>
      </c>
      <c r="FE2302" s="33">
        <v>2025</v>
      </c>
      <c r="FF2302" s="33" t="s">
        <v>59</v>
      </c>
      <c r="FG2302" s="33" t="s">
        <v>470</v>
      </c>
      <c r="FH2302" s="33" t="s">
        <v>471</v>
      </c>
      <c r="FI2302" s="33" t="s">
        <v>467</v>
      </c>
      <c r="FJ2302" t="s">
        <v>59</v>
      </c>
    </row>
    <row r="2303" spans="153:166" x14ac:dyDescent="0.35">
      <c r="EW2303" t="s">
        <v>3124</v>
      </c>
      <c r="EX2303" s="33" t="s">
        <v>3480</v>
      </c>
      <c r="EY2303" s="33" t="s">
        <v>935</v>
      </c>
      <c r="EZ2303" s="33" t="s">
        <v>936</v>
      </c>
      <c r="FA2303" s="33" t="s">
        <v>343</v>
      </c>
      <c r="FB2303" s="33" t="s">
        <v>344</v>
      </c>
      <c r="FC2303" s="33" t="s">
        <v>345</v>
      </c>
      <c r="FD2303" s="33" t="s">
        <v>346</v>
      </c>
      <c r="FE2303" s="33">
        <v>2025</v>
      </c>
      <c r="FF2303" s="33" t="s">
        <v>59</v>
      </c>
      <c r="FG2303" s="33" t="s">
        <v>470</v>
      </c>
      <c r="FH2303" s="33" t="s">
        <v>471</v>
      </c>
      <c r="FI2303" s="33" t="s">
        <v>467</v>
      </c>
      <c r="FJ2303" t="s">
        <v>59</v>
      </c>
    </row>
    <row r="2304" spans="153:166" x14ac:dyDescent="0.35">
      <c r="EW2304" t="s">
        <v>3124</v>
      </c>
      <c r="EX2304" s="33" t="s">
        <v>3481</v>
      </c>
      <c r="EY2304" s="33" t="s">
        <v>937</v>
      </c>
      <c r="EZ2304" s="33" t="s">
        <v>938</v>
      </c>
      <c r="FA2304" s="33" t="s">
        <v>343</v>
      </c>
      <c r="FB2304" s="33" t="s">
        <v>344</v>
      </c>
      <c r="FC2304" s="33" t="s">
        <v>345</v>
      </c>
      <c r="FD2304" s="33" t="s">
        <v>346</v>
      </c>
      <c r="FE2304" s="33">
        <v>2025</v>
      </c>
      <c r="FF2304" s="33" t="s">
        <v>59</v>
      </c>
      <c r="FG2304" s="33" t="s">
        <v>470</v>
      </c>
      <c r="FH2304" s="33" t="s">
        <v>471</v>
      </c>
      <c r="FI2304" s="33" t="s">
        <v>467</v>
      </c>
      <c r="FJ2304" t="s">
        <v>59</v>
      </c>
    </row>
    <row r="2305" spans="153:166" x14ac:dyDescent="0.35">
      <c r="EW2305" t="s">
        <v>3124</v>
      </c>
      <c r="EX2305" s="33" t="s">
        <v>3482</v>
      </c>
      <c r="EY2305" s="33" t="s">
        <v>939</v>
      </c>
      <c r="EZ2305" s="33" t="s">
        <v>940</v>
      </c>
      <c r="FA2305" s="33" t="s">
        <v>343</v>
      </c>
      <c r="FB2305" s="33" t="s">
        <v>344</v>
      </c>
      <c r="FC2305" s="33" t="s">
        <v>345</v>
      </c>
      <c r="FD2305" s="33" t="s">
        <v>346</v>
      </c>
      <c r="FE2305" s="33">
        <v>2025</v>
      </c>
      <c r="FF2305" s="33" t="s">
        <v>59</v>
      </c>
      <c r="FG2305" s="33" t="s">
        <v>470</v>
      </c>
      <c r="FH2305" s="33" t="s">
        <v>471</v>
      </c>
      <c r="FI2305" s="33" t="s">
        <v>467</v>
      </c>
      <c r="FJ2305" t="s">
        <v>59</v>
      </c>
    </row>
    <row r="2306" spans="153:166" x14ac:dyDescent="0.35">
      <c r="EW2306" t="s">
        <v>3124</v>
      </c>
      <c r="EX2306" s="33" t="s">
        <v>3483</v>
      </c>
      <c r="EY2306" s="33" t="s">
        <v>944</v>
      </c>
      <c r="EZ2306" s="33" t="s">
        <v>945</v>
      </c>
      <c r="FA2306" s="33" t="s">
        <v>343</v>
      </c>
      <c r="FB2306" s="33" t="s">
        <v>344</v>
      </c>
      <c r="FC2306" s="33" t="s">
        <v>345</v>
      </c>
      <c r="FD2306" s="33" t="s">
        <v>346</v>
      </c>
      <c r="FE2306" s="33">
        <v>2025</v>
      </c>
      <c r="FF2306" s="33" t="s">
        <v>59</v>
      </c>
      <c r="FG2306" s="33" t="s">
        <v>470</v>
      </c>
      <c r="FH2306" s="33" t="s">
        <v>471</v>
      </c>
      <c r="FI2306" s="33" t="s">
        <v>467</v>
      </c>
      <c r="FJ2306" t="s">
        <v>59</v>
      </c>
    </row>
    <row r="2307" spans="153:166" x14ac:dyDescent="0.35">
      <c r="EW2307" t="s">
        <v>3124</v>
      </c>
      <c r="EX2307" s="33" t="s">
        <v>3484</v>
      </c>
      <c r="EY2307" s="33" t="s">
        <v>946</v>
      </c>
      <c r="EZ2307" s="33" t="s">
        <v>947</v>
      </c>
      <c r="FA2307" s="33" t="s">
        <v>343</v>
      </c>
      <c r="FB2307" s="33" t="s">
        <v>344</v>
      </c>
      <c r="FC2307" s="33" t="s">
        <v>345</v>
      </c>
      <c r="FD2307" s="33" t="s">
        <v>346</v>
      </c>
      <c r="FE2307" s="33">
        <v>2025</v>
      </c>
      <c r="FF2307" s="33" t="s">
        <v>59</v>
      </c>
      <c r="FG2307" s="33" t="s">
        <v>477</v>
      </c>
      <c r="FH2307" s="33" t="s">
        <v>478</v>
      </c>
      <c r="FI2307" s="33" t="s">
        <v>479</v>
      </c>
      <c r="FJ2307" t="s">
        <v>59</v>
      </c>
    </row>
    <row r="2308" spans="153:166" x14ac:dyDescent="0.35">
      <c r="EW2308" t="s">
        <v>3124</v>
      </c>
      <c r="EX2308" s="33" t="s">
        <v>3485</v>
      </c>
      <c r="EY2308" s="33" t="s">
        <v>948</v>
      </c>
      <c r="EZ2308" s="33" t="s">
        <v>949</v>
      </c>
      <c r="FA2308" s="33" t="s">
        <v>343</v>
      </c>
      <c r="FB2308" s="33" t="s">
        <v>344</v>
      </c>
      <c r="FC2308" s="33" t="s">
        <v>345</v>
      </c>
      <c r="FD2308" s="33" t="s">
        <v>346</v>
      </c>
      <c r="FE2308" s="33">
        <v>2025</v>
      </c>
      <c r="FF2308" s="33" t="s">
        <v>59</v>
      </c>
      <c r="FG2308" s="33" t="s">
        <v>470</v>
      </c>
      <c r="FH2308" s="33" t="s">
        <v>471</v>
      </c>
      <c r="FI2308" s="33" t="s">
        <v>467</v>
      </c>
      <c r="FJ2308" t="s">
        <v>59</v>
      </c>
    </row>
    <row r="2309" spans="153:166" x14ac:dyDescent="0.35">
      <c r="EW2309" t="s">
        <v>3124</v>
      </c>
      <c r="EX2309" s="33" t="s">
        <v>3486</v>
      </c>
      <c r="EY2309" s="33" t="s">
        <v>953</v>
      </c>
      <c r="EZ2309" s="33" t="s">
        <v>954</v>
      </c>
      <c r="FA2309" s="33" t="s">
        <v>343</v>
      </c>
      <c r="FB2309" s="33" t="s">
        <v>344</v>
      </c>
      <c r="FC2309" s="33" t="s">
        <v>345</v>
      </c>
      <c r="FD2309" s="33" t="s">
        <v>346</v>
      </c>
      <c r="FE2309" s="33">
        <v>2025</v>
      </c>
      <c r="FF2309" s="33" t="s">
        <v>59</v>
      </c>
      <c r="FG2309" s="33" t="s">
        <v>470</v>
      </c>
      <c r="FH2309" s="33" t="s">
        <v>471</v>
      </c>
      <c r="FI2309" s="33" t="s">
        <v>467</v>
      </c>
      <c r="FJ2309" t="s">
        <v>59</v>
      </c>
    </row>
    <row r="2310" spans="153:166" x14ac:dyDescent="0.35">
      <c r="EW2310" t="s">
        <v>3124</v>
      </c>
      <c r="EX2310" s="33" t="s">
        <v>3487</v>
      </c>
      <c r="EY2310" s="33" t="s">
        <v>955</v>
      </c>
      <c r="EZ2310" s="33" t="s">
        <v>956</v>
      </c>
      <c r="FA2310" s="33" t="s">
        <v>343</v>
      </c>
      <c r="FB2310" s="33" t="s">
        <v>344</v>
      </c>
      <c r="FC2310" s="33" t="s">
        <v>345</v>
      </c>
      <c r="FD2310" s="33" t="s">
        <v>346</v>
      </c>
      <c r="FE2310" s="33">
        <v>2025</v>
      </c>
      <c r="FF2310" s="33" t="s">
        <v>59</v>
      </c>
      <c r="FG2310" s="33" t="s">
        <v>477</v>
      </c>
      <c r="FH2310" s="33" t="s">
        <v>478</v>
      </c>
      <c r="FI2310" s="33" t="s">
        <v>479</v>
      </c>
      <c r="FJ2310" t="s">
        <v>59</v>
      </c>
    </row>
    <row r="2311" spans="153:166" x14ac:dyDescent="0.35">
      <c r="EW2311" t="s">
        <v>3124</v>
      </c>
      <c r="EX2311" s="33" t="s">
        <v>3488</v>
      </c>
      <c r="EY2311" s="33" t="s">
        <v>957</v>
      </c>
      <c r="EZ2311" s="33" t="s">
        <v>958</v>
      </c>
      <c r="FA2311" s="33" t="s">
        <v>343</v>
      </c>
      <c r="FB2311" s="33" t="s">
        <v>344</v>
      </c>
      <c r="FC2311" s="33" t="s">
        <v>345</v>
      </c>
      <c r="FD2311" s="33" t="s">
        <v>346</v>
      </c>
      <c r="FE2311" s="33">
        <v>2025</v>
      </c>
      <c r="FF2311" s="33" t="s">
        <v>59</v>
      </c>
      <c r="FG2311" s="33" t="s">
        <v>470</v>
      </c>
      <c r="FH2311" s="33" t="s">
        <v>471</v>
      </c>
      <c r="FI2311" s="33" t="s">
        <v>467</v>
      </c>
      <c r="FJ2311" t="s">
        <v>59</v>
      </c>
    </row>
    <row r="2312" spans="153:166" x14ac:dyDescent="0.35">
      <c r="EW2312" t="s">
        <v>3124</v>
      </c>
      <c r="EX2312" s="33" t="s">
        <v>3489</v>
      </c>
      <c r="EY2312" s="33" t="s">
        <v>959</v>
      </c>
      <c r="EZ2312" s="33" t="s">
        <v>960</v>
      </c>
      <c r="FA2312" s="33" t="s">
        <v>343</v>
      </c>
      <c r="FB2312" s="33" t="s">
        <v>344</v>
      </c>
      <c r="FC2312" s="33" t="s">
        <v>345</v>
      </c>
      <c r="FD2312" s="33" t="s">
        <v>346</v>
      </c>
      <c r="FE2312" s="33">
        <v>2025</v>
      </c>
      <c r="FF2312" s="33" t="s">
        <v>59</v>
      </c>
      <c r="FG2312" s="33" t="s">
        <v>470</v>
      </c>
      <c r="FH2312" s="33" t="s">
        <v>471</v>
      </c>
      <c r="FI2312" s="33" t="s">
        <v>467</v>
      </c>
      <c r="FJ2312" t="s">
        <v>59</v>
      </c>
    </row>
    <row r="2313" spans="153:166" x14ac:dyDescent="0.35">
      <c r="EW2313" t="s">
        <v>3124</v>
      </c>
      <c r="EX2313" s="33" t="s">
        <v>3490</v>
      </c>
      <c r="EY2313" s="33" t="s">
        <v>964</v>
      </c>
      <c r="EZ2313" s="33" t="s">
        <v>965</v>
      </c>
      <c r="FA2313" s="33" t="s">
        <v>343</v>
      </c>
      <c r="FB2313" s="33" t="s">
        <v>344</v>
      </c>
      <c r="FC2313" s="33" t="s">
        <v>345</v>
      </c>
      <c r="FD2313" s="33" t="s">
        <v>346</v>
      </c>
      <c r="FE2313" s="33">
        <v>2025</v>
      </c>
      <c r="FF2313" s="33" t="s">
        <v>59</v>
      </c>
      <c r="FG2313" s="33" t="s">
        <v>477</v>
      </c>
      <c r="FH2313" s="33" t="s">
        <v>478</v>
      </c>
      <c r="FI2313" s="33" t="s">
        <v>479</v>
      </c>
      <c r="FJ2313" t="s">
        <v>59</v>
      </c>
    </row>
    <row r="2314" spans="153:166" x14ac:dyDescent="0.35">
      <c r="EW2314" t="s">
        <v>3124</v>
      </c>
      <c r="EX2314" s="33" t="s">
        <v>3491</v>
      </c>
      <c r="EY2314" s="33" t="s">
        <v>966</v>
      </c>
      <c r="EZ2314" s="33" t="s">
        <v>967</v>
      </c>
      <c r="FA2314" s="33" t="s">
        <v>343</v>
      </c>
      <c r="FB2314" s="33" t="s">
        <v>344</v>
      </c>
      <c r="FC2314" s="33" t="s">
        <v>345</v>
      </c>
      <c r="FD2314" s="33" t="s">
        <v>346</v>
      </c>
      <c r="FE2314" s="33">
        <v>2025</v>
      </c>
      <c r="FF2314" s="33" t="s">
        <v>59</v>
      </c>
      <c r="FG2314" s="33" t="s">
        <v>470</v>
      </c>
      <c r="FH2314" s="33" t="s">
        <v>471</v>
      </c>
      <c r="FI2314" s="33" t="s">
        <v>467</v>
      </c>
      <c r="FJ2314" t="s">
        <v>59</v>
      </c>
    </row>
    <row r="2315" spans="153:166" x14ac:dyDescent="0.35">
      <c r="EW2315" t="s">
        <v>3124</v>
      </c>
      <c r="EX2315" s="33" t="s">
        <v>3492</v>
      </c>
      <c r="EY2315" s="33" t="s">
        <v>968</v>
      </c>
      <c r="EZ2315" s="33" t="s">
        <v>969</v>
      </c>
      <c r="FA2315" s="33" t="s">
        <v>343</v>
      </c>
      <c r="FB2315" s="33" t="s">
        <v>344</v>
      </c>
      <c r="FC2315" s="33" t="s">
        <v>345</v>
      </c>
      <c r="FD2315" s="33" t="s">
        <v>346</v>
      </c>
      <c r="FE2315" s="33">
        <v>2025</v>
      </c>
      <c r="FF2315" s="33" t="s">
        <v>59</v>
      </c>
      <c r="FG2315" s="33" t="s">
        <v>470</v>
      </c>
      <c r="FH2315" s="33" t="s">
        <v>471</v>
      </c>
      <c r="FI2315" s="33" t="s">
        <v>467</v>
      </c>
      <c r="FJ2315" t="s">
        <v>59</v>
      </c>
    </row>
    <row r="2316" spans="153:166" x14ac:dyDescent="0.35">
      <c r="EW2316" t="s">
        <v>3124</v>
      </c>
      <c r="EX2316" s="33" t="s">
        <v>3493</v>
      </c>
      <c r="EY2316" s="33" t="s">
        <v>970</v>
      </c>
      <c r="EZ2316" s="33" t="s">
        <v>971</v>
      </c>
      <c r="FA2316" s="33" t="s">
        <v>343</v>
      </c>
      <c r="FB2316" s="33" t="s">
        <v>344</v>
      </c>
      <c r="FC2316" s="33" t="s">
        <v>345</v>
      </c>
      <c r="FD2316" s="33" t="s">
        <v>346</v>
      </c>
      <c r="FE2316" s="33">
        <v>2025</v>
      </c>
      <c r="FF2316" s="33" t="s">
        <v>59</v>
      </c>
      <c r="FG2316" s="33" t="s">
        <v>477</v>
      </c>
      <c r="FH2316" s="33" t="s">
        <v>478</v>
      </c>
      <c r="FI2316" s="33" t="s">
        <v>479</v>
      </c>
      <c r="FJ2316" t="s">
        <v>59</v>
      </c>
    </row>
    <row r="2317" spans="153:166" x14ac:dyDescent="0.35">
      <c r="EW2317" t="s">
        <v>3124</v>
      </c>
      <c r="EX2317" s="33" t="s">
        <v>3494</v>
      </c>
      <c r="EY2317" s="33" t="s">
        <v>972</v>
      </c>
      <c r="EZ2317" s="33" t="s">
        <v>973</v>
      </c>
      <c r="FA2317" s="33" t="s">
        <v>343</v>
      </c>
      <c r="FB2317" s="33" t="s">
        <v>344</v>
      </c>
      <c r="FC2317" s="33" t="s">
        <v>345</v>
      </c>
      <c r="FD2317" s="33" t="s">
        <v>346</v>
      </c>
      <c r="FE2317" s="33">
        <v>2025</v>
      </c>
      <c r="FF2317" s="33" t="s">
        <v>59</v>
      </c>
      <c r="FG2317" s="33" t="s">
        <v>470</v>
      </c>
      <c r="FH2317" s="33" t="s">
        <v>471</v>
      </c>
      <c r="FI2317" s="33" t="s">
        <v>467</v>
      </c>
      <c r="FJ2317" t="s">
        <v>59</v>
      </c>
    </row>
    <row r="2318" spans="153:166" x14ac:dyDescent="0.35">
      <c r="EW2318" t="s">
        <v>3124</v>
      </c>
      <c r="EX2318" s="33" t="s">
        <v>3495</v>
      </c>
      <c r="EY2318" s="33" t="s">
        <v>974</v>
      </c>
      <c r="EZ2318" s="33" t="s">
        <v>975</v>
      </c>
      <c r="FA2318" s="33" t="s">
        <v>343</v>
      </c>
      <c r="FB2318" s="33" t="s">
        <v>344</v>
      </c>
      <c r="FC2318" s="33" t="s">
        <v>345</v>
      </c>
      <c r="FD2318" s="33" t="s">
        <v>346</v>
      </c>
      <c r="FE2318" s="33">
        <v>2025</v>
      </c>
      <c r="FF2318" s="33" t="s">
        <v>59</v>
      </c>
      <c r="FG2318" s="33" t="s">
        <v>477</v>
      </c>
      <c r="FH2318" s="33" t="s">
        <v>478</v>
      </c>
      <c r="FI2318" s="33" t="s">
        <v>479</v>
      </c>
      <c r="FJ2318" t="s">
        <v>59</v>
      </c>
    </row>
    <row r="2319" spans="153:166" x14ac:dyDescent="0.35">
      <c r="EW2319" t="s">
        <v>3124</v>
      </c>
      <c r="EX2319" s="33" t="s">
        <v>3496</v>
      </c>
      <c r="EY2319" s="33" t="s">
        <v>976</v>
      </c>
      <c r="EZ2319" s="33" t="s">
        <v>977</v>
      </c>
      <c r="FA2319" s="33" t="s">
        <v>343</v>
      </c>
      <c r="FB2319" s="33" t="s">
        <v>344</v>
      </c>
      <c r="FC2319" s="33" t="s">
        <v>345</v>
      </c>
      <c r="FD2319" s="33" t="s">
        <v>346</v>
      </c>
      <c r="FE2319" s="33">
        <v>2025</v>
      </c>
      <c r="FF2319" s="33" t="s">
        <v>59</v>
      </c>
      <c r="FG2319" s="33" t="s">
        <v>477</v>
      </c>
      <c r="FH2319" s="33" t="s">
        <v>478</v>
      </c>
      <c r="FI2319" s="33" t="s">
        <v>479</v>
      </c>
      <c r="FJ2319" t="s">
        <v>59</v>
      </c>
    </row>
    <row r="2320" spans="153:166" x14ac:dyDescent="0.35">
      <c r="EW2320" t="s">
        <v>3124</v>
      </c>
      <c r="EX2320" s="33" t="s">
        <v>3497</v>
      </c>
      <c r="EY2320" s="33" t="s">
        <v>978</v>
      </c>
      <c r="EZ2320" s="33" t="s">
        <v>979</v>
      </c>
      <c r="FA2320" s="33" t="s">
        <v>343</v>
      </c>
      <c r="FB2320" s="33" t="s">
        <v>344</v>
      </c>
      <c r="FC2320" s="33" t="s">
        <v>345</v>
      </c>
      <c r="FD2320" s="33" t="s">
        <v>346</v>
      </c>
      <c r="FE2320" s="33">
        <v>2025</v>
      </c>
      <c r="FF2320" s="33" t="s">
        <v>59</v>
      </c>
      <c r="FG2320" s="33" t="s">
        <v>470</v>
      </c>
      <c r="FH2320" s="33" t="s">
        <v>471</v>
      </c>
      <c r="FI2320" s="33" t="s">
        <v>467</v>
      </c>
      <c r="FJ2320" t="s">
        <v>59</v>
      </c>
    </row>
    <row r="2321" spans="153:166" x14ac:dyDescent="0.35">
      <c r="EW2321" t="s">
        <v>3124</v>
      </c>
      <c r="EX2321" s="33" t="s">
        <v>3498</v>
      </c>
      <c r="EY2321" s="33" t="s">
        <v>980</v>
      </c>
      <c r="EZ2321" s="33" t="s">
        <v>981</v>
      </c>
      <c r="FA2321" s="33" t="s">
        <v>343</v>
      </c>
      <c r="FB2321" s="33" t="s">
        <v>344</v>
      </c>
      <c r="FC2321" s="33" t="s">
        <v>345</v>
      </c>
      <c r="FD2321" s="33" t="s">
        <v>346</v>
      </c>
      <c r="FE2321" s="33">
        <v>2025</v>
      </c>
      <c r="FF2321" s="33" t="s">
        <v>59</v>
      </c>
      <c r="FG2321" s="33" t="s">
        <v>477</v>
      </c>
      <c r="FH2321" s="33" t="s">
        <v>478</v>
      </c>
      <c r="FI2321" s="33" t="s">
        <v>479</v>
      </c>
      <c r="FJ2321" t="s">
        <v>59</v>
      </c>
    </row>
    <row r="2322" spans="153:166" x14ac:dyDescent="0.35">
      <c r="EW2322" t="s">
        <v>3124</v>
      </c>
      <c r="EX2322" s="33" t="s">
        <v>3499</v>
      </c>
      <c r="EY2322" s="33" t="s">
        <v>985</v>
      </c>
      <c r="EZ2322" s="33" t="s">
        <v>986</v>
      </c>
      <c r="FA2322" s="33" t="s">
        <v>343</v>
      </c>
      <c r="FB2322" s="33" t="s">
        <v>344</v>
      </c>
      <c r="FC2322" s="33" t="s">
        <v>345</v>
      </c>
      <c r="FD2322" s="33" t="s">
        <v>346</v>
      </c>
      <c r="FE2322" s="33">
        <v>2025</v>
      </c>
      <c r="FF2322" s="33" t="s">
        <v>59</v>
      </c>
      <c r="FG2322" s="33" t="s">
        <v>477</v>
      </c>
      <c r="FH2322" s="33" t="s">
        <v>478</v>
      </c>
      <c r="FI2322" s="33" t="s">
        <v>479</v>
      </c>
      <c r="FJ2322" t="s">
        <v>59</v>
      </c>
    </row>
    <row r="2323" spans="153:166" x14ac:dyDescent="0.35">
      <c r="EW2323" t="s">
        <v>3124</v>
      </c>
      <c r="EX2323" s="33" t="s">
        <v>3500</v>
      </c>
      <c r="EY2323" s="33" t="s">
        <v>987</v>
      </c>
      <c r="EZ2323" s="33" t="s">
        <v>988</v>
      </c>
      <c r="FA2323" s="33" t="s">
        <v>343</v>
      </c>
      <c r="FB2323" s="33" t="s">
        <v>344</v>
      </c>
      <c r="FC2323" s="33" t="s">
        <v>345</v>
      </c>
      <c r="FD2323" s="33" t="s">
        <v>346</v>
      </c>
      <c r="FE2323" s="33">
        <v>2025</v>
      </c>
      <c r="FF2323" s="33" t="s">
        <v>59</v>
      </c>
      <c r="FG2323" s="33" t="s">
        <v>386</v>
      </c>
      <c r="FH2323" s="33" t="s">
        <v>387</v>
      </c>
      <c r="FI2323" s="33" t="s">
        <v>407</v>
      </c>
      <c r="FJ2323" t="s">
        <v>59</v>
      </c>
    </row>
    <row r="2324" spans="153:166" x14ac:dyDescent="0.35">
      <c r="EW2324" t="s">
        <v>3124</v>
      </c>
      <c r="EX2324" s="33" t="s">
        <v>3501</v>
      </c>
      <c r="EY2324" s="33" t="s">
        <v>989</v>
      </c>
      <c r="EZ2324" s="33" t="s">
        <v>990</v>
      </c>
      <c r="FA2324" s="33" t="s">
        <v>343</v>
      </c>
      <c r="FB2324" s="33" t="s">
        <v>344</v>
      </c>
      <c r="FC2324" s="33" t="s">
        <v>345</v>
      </c>
      <c r="FD2324" s="33" t="s">
        <v>346</v>
      </c>
      <c r="FE2324" s="33">
        <v>2025</v>
      </c>
      <c r="FF2324" s="33" t="s">
        <v>59</v>
      </c>
      <c r="FG2324" s="33" t="s">
        <v>477</v>
      </c>
      <c r="FH2324" s="33" t="s">
        <v>478</v>
      </c>
      <c r="FI2324" s="33" t="s">
        <v>479</v>
      </c>
      <c r="FJ2324" t="s">
        <v>59</v>
      </c>
    </row>
    <row r="2325" spans="153:166" x14ac:dyDescent="0.35">
      <c r="EW2325" t="s">
        <v>3124</v>
      </c>
      <c r="EX2325" s="33" t="s">
        <v>3502</v>
      </c>
      <c r="EY2325" s="33" t="s">
        <v>991</v>
      </c>
      <c r="EZ2325" s="33" t="s">
        <v>992</v>
      </c>
      <c r="FA2325" s="33" t="s">
        <v>343</v>
      </c>
      <c r="FB2325" s="33" t="s">
        <v>344</v>
      </c>
      <c r="FC2325" s="33" t="s">
        <v>345</v>
      </c>
      <c r="FD2325" s="33" t="s">
        <v>346</v>
      </c>
      <c r="FE2325" s="33">
        <v>2025</v>
      </c>
      <c r="FF2325" s="33" t="s">
        <v>59</v>
      </c>
      <c r="FG2325" s="33" t="s">
        <v>386</v>
      </c>
      <c r="FH2325" s="33" t="s">
        <v>387</v>
      </c>
      <c r="FI2325" s="33" t="s">
        <v>407</v>
      </c>
      <c r="FJ2325" t="s">
        <v>59</v>
      </c>
    </row>
    <row r="2326" spans="153:166" x14ac:dyDescent="0.35">
      <c r="EW2326" t="s">
        <v>3124</v>
      </c>
      <c r="EX2326" s="33" t="s">
        <v>3503</v>
      </c>
      <c r="EY2326" s="33" t="s">
        <v>993</v>
      </c>
      <c r="EZ2326" s="33" t="s">
        <v>994</v>
      </c>
      <c r="FA2326" s="33" t="s">
        <v>343</v>
      </c>
      <c r="FB2326" s="33" t="s">
        <v>344</v>
      </c>
      <c r="FC2326" s="33" t="s">
        <v>345</v>
      </c>
      <c r="FD2326" s="33" t="s">
        <v>346</v>
      </c>
      <c r="FE2326" s="33">
        <v>2025</v>
      </c>
      <c r="FF2326" s="33" t="s">
        <v>59</v>
      </c>
      <c r="FG2326" s="33" t="s">
        <v>477</v>
      </c>
      <c r="FH2326" s="33" t="s">
        <v>478</v>
      </c>
      <c r="FI2326" s="33" t="s">
        <v>479</v>
      </c>
      <c r="FJ2326" t="s">
        <v>59</v>
      </c>
    </row>
    <row r="2327" spans="153:166" x14ac:dyDescent="0.35">
      <c r="EW2327" t="s">
        <v>3124</v>
      </c>
      <c r="EX2327" s="33" t="s">
        <v>3504</v>
      </c>
      <c r="EY2327" s="33" t="s">
        <v>998</v>
      </c>
      <c r="EZ2327" s="33" t="s">
        <v>999</v>
      </c>
      <c r="FA2327" s="33" t="s">
        <v>343</v>
      </c>
      <c r="FB2327" s="33" t="s">
        <v>344</v>
      </c>
      <c r="FC2327" s="33" t="s">
        <v>345</v>
      </c>
      <c r="FD2327" s="33" t="s">
        <v>346</v>
      </c>
      <c r="FE2327" s="33">
        <v>2025</v>
      </c>
      <c r="FF2327" s="33" t="s">
        <v>59</v>
      </c>
      <c r="FG2327" s="33" t="s">
        <v>477</v>
      </c>
      <c r="FH2327" s="33" t="s">
        <v>478</v>
      </c>
      <c r="FI2327" s="33" t="s">
        <v>479</v>
      </c>
      <c r="FJ2327" t="s">
        <v>59</v>
      </c>
    </row>
    <row r="2328" spans="153:166" x14ac:dyDescent="0.35">
      <c r="EW2328" t="s">
        <v>3124</v>
      </c>
      <c r="EX2328" s="33" t="s">
        <v>3505</v>
      </c>
      <c r="EY2328" s="33" t="s">
        <v>1000</v>
      </c>
      <c r="EZ2328" s="33" t="s">
        <v>1001</v>
      </c>
      <c r="FA2328" s="33" t="s">
        <v>343</v>
      </c>
      <c r="FB2328" s="33" t="s">
        <v>344</v>
      </c>
      <c r="FC2328" s="33" t="s">
        <v>345</v>
      </c>
      <c r="FD2328" s="33" t="s">
        <v>346</v>
      </c>
      <c r="FE2328" s="33">
        <v>2025</v>
      </c>
      <c r="FF2328" s="33" t="s">
        <v>59</v>
      </c>
      <c r="FG2328" s="33" t="s">
        <v>477</v>
      </c>
      <c r="FH2328" s="33" t="s">
        <v>478</v>
      </c>
      <c r="FI2328" s="33" t="s">
        <v>479</v>
      </c>
      <c r="FJ2328" t="s">
        <v>59</v>
      </c>
    </row>
    <row r="2329" spans="153:166" x14ac:dyDescent="0.35">
      <c r="EW2329" t="s">
        <v>3124</v>
      </c>
      <c r="EX2329" s="33" t="s">
        <v>3506</v>
      </c>
      <c r="EY2329" s="33" t="s">
        <v>1002</v>
      </c>
      <c r="EZ2329" s="33" t="s">
        <v>1003</v>
      </c>
      <c r="FA2329" s="33" t="s">
        <v>343</v>
      </c>
      <c r="FB2329" s="33" t="s">
        <v>344</v>
      </c>
      <c r="FC2329" s="33" t="s">
        <v>345</v>
      </c>
      <c r="FD2329" s="33" t="s">
        <v>346</v>
      </c>
      <c r="FE2329" s="33">
        <v>2025</v>
      </c>
      <c r="FF2329" s="33" t="s">
        <v>59</v>
      </c>
      <c r="FG2329" s="33" t="s">
        <v>477</v>
      </c>
      <c r="FH2329" s="33" t="s">
        <v>478</v>
      </c>
      <c r="FI2329" s="33" t="s">
        <v>479</v>
      </c>
      <c r="FJ2329" t="s">
        <v>59</v>
      </c>
    </row>
    <row r="2330" spans="153:166" x14ac:dyDescent="0.35">
      <c r="EW2330" t="s">
        <v>3124</v>
      </c>
      <c r="EX2330" s="33" t="s">
        <v>3507</v>
      </c>
      <c r="EY2330" s="33" t="s">
        <v>1004</v>
      </c>
      <c r="EZ2330" s="33" t="s">
        <v>1005</v>
      </c>
      <c r="FA2330" s="33" t="s">
        <v>343</v>
      </c>
      <c r="FB2330" s="33" t="s">
        <v>344</v>
      </c>
      <c r="FC2330" s="33" t="s">
        <v>345</v>
      </c>
      <c r="FD2330" s="33" t="s">
        <v>346</v>
      </c>
      <c r="FE2330" s="33">
        <v>2025</v>
      </c>
      <c r="FF2330" s="33" t="s">
        <v>59</v>
      </c>
      <c r="FG2330" s="33" t="s">
        <v>386</v>
      </c>
      <c r="FH2330" s="33" t="s">
        <v>387</v>
      </c>
      <c r="FI2330" s="33" t="s">
        <v>407</v>
      </c>
      <c r="FJ2330" t="s">
        <v>59</v>
      </c>
    </row>
    <row r="2331" spans="153:166" x14ac:dyDescent="0.35">
      <c r="EW2331" t="s">
        <v>3124</v>
      </c>
      <c r="EX2331" s="33" t="s">
        <v>3508</v>
      </c>
      <c r="EY2331" s="33" t="s">
        <v>1006</v>
      </c>
      <c r="EZ2331" s="33" t="s">
        <v>1007</v>
      </c>
      <c r="FA2331" s="33" t="s">
        <v>343</v>
      </c>
      <c r="FB2331" s="33" t="s">
        <v>344</v>
      </c>
      <c r="FC2331" s="33" t="s">
        <v>345</v>
      </c>
      <c r="FD2331" s="33" t="s">
        <v>346</v>
      </c>
      <c r="FE2331" s="33">
        <v>2025</v>
      </c>
      <c r="FF2331" s="33" t="s">
        <v>59</v>
      </c>
      <c r="FG2331" s="33" t="s">
        <v>477</v>
      </c>
      <c r="FH2331" s="33" t="s">
        <v>478</v>
      </c>
      <c r="FI2331" s="33" t="s">
        <v>479</v>
      </c>
      <c r="FJ2331" t="s">
        <v>59</v>
      </c>
    </row>
    <row r="2332" spans="153:166" x14ac:dyDescent="0.35">
      <c r="EW2332" t="s">
        <v>3124</v>
      </c>
      <c r="EX2332" s="33" t="s">
        <v>3509</v>
      </c>
      <c r="EY2332" s="33" t="s">
        <v>1011</v>
      </c>
      <c r="EZ2332" s="33" t="s">
        <v>1012</v>
      </c>
      <c r="FA2332" s="33" t="s">
        <v>343</v>
      </c>
      <c r="FB2332" s="33" t="s">
        <v>344</v>
      </c>
      <c r="FC2332" s="33" t="s">
        <v>345</v>
      </c>
      <c r="FD2332" s="33" t="s">
        <v>346</v>
      </c>
      <c r="FE2332" s="33">
        <v>2025</v>
      </c>
      <c r="FF2332" s="33" t="s">
        <v>59</v>
      </c>
      <c r="FG2332" s="33" t="s">
        <v>477</v>
      </c>
      <c r="FH2332" s="33" t="s">
        <v>478</v>
      </c>
      <c r="FI2332" s="33" t="s">
        <v>479</v>
      </c>
      <c r="FJ2332" t="s">
        <v>59</v>
      </c>
    </row>
    <row r="2333" spans="153:166" x14ac:dyDescent="0.35">
      <c r="EW2333" t="s">
        <v>3124</v>
      </c>
      <c r="EX2333" s="33" t="s">
        <v>3510</v>
      </c>
      <c r="EY2333" s="33" t="s">
        <v>1013</v>
      </c>
      <c r="EZ2333" s="33" t="s">
        <v>1014</v>
      </c>
      <c r="FA2333" s="33" t="s">
        <v>343</v>
      </c>
      <c r="FB2333" s="33" t="s">
        <v>344</v>
      </c>
      <c r="FC2333" s="33" t="s">
        <v>345</v>
      </c>
      <c r="FD2333" s="33" t="s">
        <v>346</v>
      </c>
      <c r="FE2333" s="33">
        <v>2025</v>
      </c>
      <c r="FF2333" s="33" t="s">
        <v>59</v>
      </c>
      <c r="FG2333" s="33" t="s">
        <v>477</v>
      </c>
      <c r="FH2333" s="33" t="s">
        <v>478</v>
      </c>
      <c r="FI2333" s="33" t="s">
        <v>479</v>
      </c>
      <c r="FJ2333" t="s">
        <v>59</v>
      </c>
    </row>
    <row r="2334" spans="153:166" x14ac:dyDescent="0.35">
      <c r="EW2334" t="s">
        <v>3124</v>
      </c>
      <c r="EX2334" s="33" t="s">
        <v>3511</v>
      </c>
      <c r="EY2334" s="33" t="s">
        <v>1015</v>
      </c>
      <c r="EZ2334" s="33" t="s">
        <v>1016</v>
      </c>
      <c r="FA2334" s="33" t="s">
        <v>343</v>
      </c>
      <c r="FB2334" s="33" t="s">
        <v>344</v>
      </c>
      <c r="FC2334" s="33" t="s">
        <v>345</v>
      </c>
      <c r="FD2334" s="33" t="s">
        <v>346</v>
      </c>
      <c r="FE2334" s="33">
        <v>2025</v>
      </c>
      <c r="FF2334" s="33" t="s">
        <v>59</v>
      </c>
      <c r="FG2334" s="33" t="s">
        <v>470</v>
      </c>
      <c r="FH2334" s="33" t="s">
        <v>471</v>
      </c>
      <c r="FI2334" s="33" t="s">
        <v>467</v>
      </c>
      <c r="FJ2334" t="s">
        <v>59</v>
      </c>
    </row>
    <row r="2335" spans="153:166" x14ac:dyDescent="0.35">
      <c r="EW2335" t="s">
        <v>3124</v>
      </c>
      <c r="EX2335" s="33" t="s">
        <v>3512</v>
      </c>
      <c r="EY2335" s="33" t="s">
        <v>1020</v>
      </c>
      <c r="EZ2335" s="33" t="s">
        <v>1021</v>
      </c>
      <c r="FA2335" s="33" t="s">
        <v>343</v>
      </c>
      <c r="FB2335" s="33" t="s">
        <v>344</v>
      </c>
      <c r="FC2335" s="33" t="s">
        <v>345</v>
      </c>
      <c r="FD2335" s="33" t="s">
        <v>346</v>
      </c>
      <c r="FE2335" s="33">
        <v>2025</v>
      </c>
      <c r="FF2335" s="33" t="s">
        <v>59</v>
      </c>
      <c r="FG2335" s="33" t="s">
        <v>470</v>
      </c>
      <c r="FH2335" s="33" t="s">
        <v>471</v>
      </c>
      <c r="FI2335" s="33" t="s">
        <v>467</v>
      </c>
      <c r="FJ2335" t="s">
        <v>59</v>
      </c>
    </row>
    <row r="2336" spans="153:166" x14ac:dyDescent="0.35">
      <c r="EW2336" t="s">
        <v>3124</v>
      </c>
      <c r="EX2336" s="33" t="s">
        <v>3513</v>
      </c>
      <c r="EY2336" s="33" t="s">
        <v>1022</v>
      </c>
      <c r="EZ2336" s="33" t="s">
        <v>1023</v>
      </c>
      <c r="FA2336" s="33" t="s">
        <v>343</v>
      </c>
      <c r="FB2336" s="33" t="s">
        <v>344</v>
      </c>
      <c r="FC2336" s="33" t="s">
        <v>345</v>
      </c>
      <c r="FD2336" s="33" t="s">
        <v>346</v>
      </c>
      <c r="FE2336" s="33">
        <v>2025</v>
      </c>
      <c r="FF2336" s="33" t="s">
        <v>59</v>
      </c>
      <c r="FG2336" s="33" t="s">
        <v>470</v>
      </c>
      <c r="FH2336" s="33" t="s">
        <v>471</v>
      </c>
      <c r="FI2336" s="33" t="s">
        <v>467</v>
      </c>
      <c r="FJ2336" t="s">
        <v>59</v>
      </c>
    </row>
    <row r="2337" spans="153:166" x14ac:dyDescent="0.35">
      <c r="EW2337" t="s">
        <v>3124</v>
      </c>
      <c r="EX2337" s="33" t="s">
        <v>3514</v>
      </c>
      <c r="EY2337" s="33" t="s">
        <v>1024</v>
      </c>
      <c r="EZ2337" s="33" t="s">
        <v>1025</v>
      </c>
      <c r="FA2337" s="33" t="s">
        <v>343</v>
      </c>
      <c r="FB2337" s="33" t="s">
        <v>344</v>
      </c>
      <c r="FC2337" s="33" t="s">
        <v>345</v>
      </c>
      <c r="FD2337" s="33" t="s">
        <v>346</v>
      </c>
      <c r="FE2337" s="33">
        <v>2025</v>
      </c>
      <c r="FF2337" s="33" t="s">
        <v>59</v>
      </c>
      <c r="FG2337" s="33" t="s">
        <v>477</v>
      </c>
      <c r="FH2337" s="33" t="s">
        <v>478</v>
      </c>
      <c r="FI2337" s="33" t="s">
        <v>479</v>
      </c>
      <c r="FJ2337" t="s">
        <v>59</v>
      </c>
    </row>
    <row r="2338" spans="153:166" x14ac:dyDescent="0.35">
      <c r="EW2338" t="s">
        <v>3124</v>
      </c>
      <c r="EX2338" s="33" t="s">
        <v>3515</v>
      </c>
      <c r="EY2338" s="33" t="s">
        <v>1026</v>
      </c>
      <c r="EZ2338" s="33" t="s">
        <v>1027</v>
      </c>
      <c r="FA2338" s="33" t="s">
        <v>343</v>
      </c>
      <c r="FB2338" s="33" t="s">
        <v>344</v>
      </c>
      <c r="FC2338" s="33" t="s">
        <v>345</v>
      </c>
      <c r="FD2338" s="33" t="s">
        <v>346</v>
      </c>
      <c r="FE2338" s="33">
        <v>2025</v>
      </c>
      <c r="FF2338" s="33" t="s">
        <v>59</v>
      </c>
      <c r="FG2338" s="33" t="s">
        <v>386</v>
      </c>
      <c r="FH2338" s="33" t="s">
        <v>387</v>
      </c>
      <c r="FI2338" s="33" t="s">
        <v>407</v>
      </c>
      <c r="FJ2338" t="s">
        <v>59</v>
      </c>
    </row>
    <row r="2339" spans="153:166" x14ac:dyDescent="0.35">
      <c r="EW2339" t="s">
        <v>3124</v>
      </c>
      <c r="EX2339" s="33" t="s">
        <v>3516</v>
      </c>
      <c r="EY2339" s="33" t="s">
        <v>1028</v>
      </c>
      <c r="EZ2339" s="33" t="s">
        <v>1029</v>
      </c>
      <c r="FA2339" s="33" t="s">
        <v>343</v>
      </c>
      <c r="FB2339" s="33" t="s">
        <v>344</v>
      </c>
      <c r="FC2339" s="33" t="s">
        <v>345</v>
      </c>
      <c r="FD2339" s="33" t="s">
        <v>346</v>
      </c>
      <c r="FE2339" s="33">
        <v>2025</v>
      </c>
      <c r="FF2339" s="33" t="s">
        <v>59</v>
      </c>
      <c r="FG2339" s="33" t="s">
        <v>470</v>
      </c>
      <c r="FH2339" s="33" t="s">
        <v>471</v>
      </c>
      <c r="FI2339" s="33" t="s">
        <v>467</v>
      </c>
      <c r="FJ2339" t="s">
        <v>59</v>
      </c>
    </row>
    <row r="2340" spans="153:166" x14ac:dyDescent="0.35">
      <c r="EW2340" t="s">
        <v>3124</v>
      </c>
      <c r="EX2340" s="33" t="s">
        <v>3517</v>
      </c>
      <c r="EY2340" s="33" t="s">
        <v>1030</v>
      </c>
      <c r="EZ2340" s="33" t="s">
        <v>1031</v>
      </c>
      <c r="FA2340" s="33" t="s">
        <v>343</v>
      </c>
      <c r="FB2340" s="33" t="s">
        <v>344</v>
      </c>
      <c r="FC2340" s="33" t="s">
        <v>345</v>
      </c>
      <c r="FD2340" s="33" t="s">
        <v>346</v>
      </c>
      <c r="FE2340" s="33">
        <v>2025</v>
      </c>
      <c r="FF2340" s="33" t="s">
        <v>59</v>
      </c>
      <c r="FG2340" s="33" t="s">
        <v>477</v>
      </c>
      <c r="FH2340" s="33" t="s">
        <v>478</v>
      </c>
      <c r="FI2340" s="33" t="s">
        <v>479</v>
      </c>
      <c r="FJ2340" t="s">
        <v>59</v>
      </c>
    </row>
    <row r="2341" spans="153:166" x14ac:dyDescent="0.35">
      <c r="EW2341" t="s">
        <v>3124</v>
      </c>
      <c r="EX2341" s="33" t="s">
        <v>3518</v>
      </c>
      <c r="EY2341" s="33" t="s">
        <v>1032</v>
      </c>
      <c r="EZ2341" s="33" t="s">
        <v>1033</v>
      </c>
      <c r="FA2341" s="33" t="s">
        <v>343</v>
      </c>
      <c r="FB2341" s="33" t="s">
        <v>344</v>
      </c>
      <c r="FC2341" s="33" t="s">
        <v>345</v>
      </c>
      <c r="FD2341" s="33" t="s">
        <v>346</v>
      </c>
      <c r="FE2341" s="33">
        <v>2025</v>
      </c>
      <c r="FF2341" s="33" t="s">
        <v>59</v>
      </c>
      <c r="FG2341" s="33" t="s">
        <v>470</v>
      </c>
      <c r="FH2341" s="33" t="s">
        <v>471</v>
      </c>
      <c r="FI2341" s="33" t="s">
        <v>467</v>
      </c>
      <c r="FJ2341" t="s">
        <v>59</v>
      </c>
    </row>
    <row r="2342" spans="153:166" x14ac:dyDescent="0.35">
      <c r="EW2342" t="s">
        <v>3124</v>
      </c>
      <c r="EX2342" s="33" t="s">
        <v>3519</v>
      </c>
      <c r="EY2342" s="33" t="s">
        <v>1037</v>
      </c>
      <c r="EZ2342" s="33" t="s">
        <v>1038</v>
      </c>
      <c r="FA2342" s="33" t="s">
        <v>343</v>
      </c>
      <c r="FB2342" s="33" t="s">
        <v>344</v>
      </c>
      <c r="FC2342" s="33" t="s">
        <v>345</v>
      </c>
      <c r="FD2342" s="33" t="s">
        <v>346</v>
      </c>
      <c r="FE2342" s="33">
        <v>2025</v>
      </c>
      <c r="FF2342" s="33" t="s">
        <v>59</v>
      </c>
      <c r="FG2342" s="33" t="s">
        <v>470</v>
      </c>
      <c r="FH2342" s="33" t="s">
        <v>471</v>
      </c>
      <c r="FI2342" s="33" t="s">
        <v>467</v>
      </c>
      <c r="FJ2342" t="s">
        <v>59</v>
      </c>
    </row>
    <row r="2343" spans="153:166" x14ac:dyDescent="0.35">
      <c r="EW2343" t="s">
        <v>3124</v>
      </c>
      <c r="EX2343" s="33" t="s">
        <v>3520</v>
      </c>
      <c r="EY2343" s="33" t="s">
        <v>1039</v>
      </c>
      <c r="EZ2343" s="33" t="s">
        <v>1040</v>
      </c>
      <c r="FA2343" s="33" t="s">
        <v>343</v>
      </c>
      <c r="FB2343" s="33" t="s">
        <v>344</v>
      </c>
      <c r="FC2343" s="33" t="s">
        <v>345</v>
      </c>
      <c r="FD2343" s="33" t="s">
        <v>346</v>
      </c>
      <c r="FE2343" s="33">
        <v>2025</v>
      </c>
      <c r="FF2343" s="33" t="s">
        <v>59</v>
      </c>
      <c r="FG2343" s="33" t="s">
        <v>477</v>
      </c>
      <c r="FH2343" s="33" t="s">
        <v>478</v>
      </c>
      <c r="FI2343" s="33" t="s">
        <v>479</v>
      </c>
      <c r="FJ2343" t="s">
        <v>59</v>
      </c>
    </row>
    <row r="2344" spans="153:166" x14ac:dyDescent="0.35">
      <c r="EW2344" t="s">
        <v>3124</v>
      </c>
      <c r="EX2344" s="33" t="s">
        <v>3521</v>
      </c>
      <c r="EY2344" s="33" t="s">
        <v>1041</v>
      </c>
      <c r="EZ2344" s="33" t="s">
        <v>1042</v>
      </c>
      <c r="FA2344" s="33" t="s">
        <v>343</v>
      </c>
      <c r="FB2344" s="33" t="s">
        <v>344</v>
      </c>
      <c r="FC2344" s="33" t="s">
        <v>345</v>
      </c>
      <c r="FD2344" s="33" t="s">
        <v>346</v>
      </c>
      <c r="FE2344" s="33">
        <v>2025</v>
      </c>
      <c r="FF2344" s="33" t="s">
        <v>59</v>
      </c>
      <c r="FG2344" s="33" t="s">
        <v>477</v>
      </c>
      <c r="FH2344" s="33" t="s">
        <v>478</v>
      </c>
      <c r="FI2344" s="33" t="s">
        <v>479</v>
      </c>
      <c r="FJ2344" t="s">
        <v>59</v>
      </c>
    </row>
    <row r="2345" spans="153:166" x14ac:dyDescent="0.35">
      <c r="EW2345" t="s">
        <v>3124</v>
      </c>
      <c r="EX2345" s="33" t="s">
        <v>3522</v>
      </c>
      <c r="EY2345" s="33" t="s">
        <v>1043</v>
      </c>
      <c r="EZ2345" s="33" t="s">
        <v>1044</v>
      </c>
      <c r="FA2345" s="33" t="s">
        <v>343</v>
      </c>
      <c r="FB2345" s="33" t="s">
        <v>344</v>
      </c>
      <c r="FC2345" s="33" t="s">
        <v>345</v>
      </c>
      <c r="FD2345" s="33" t="s">
        <v>346</v>
      </c>
      <c r="FE2345" s="33">
        <v>2025</v>
      </c>
      <c r="FF2345" s="33" t="s">
        <v>59</v>
      </c>
      <c r="FG2345" s="33" t="s">
        <v>477</v>
      </c>
      <c r="FH2345" s="33" t="s">
        <v>478</v>
      </c>
      <c r="FI2345" s="33" t="s">
        <v>479</v>
      </c>
      <c r="FJ2345" t="s">
        <v>59</v>
      </c>
    </row>
    <row r="2346" spans="153:166" x14ac:dyDescent="0.35">
      <c r="EW2346" t="s">
        <v>3124</v>
      </c>
      <c r="EX2346" s="33" t="s">
        <v>3523</v>
      </c>
      <c r="EY2346" s="33" t="s">
        <v>1045</v>
      </c>
      <c r="EZ2346" s="33" t="s">
        <v>1046</v>
      </c>
      <c r="FA2346" s="33" t="s">
        <v>343</v>
      </c>
      <c r="FB2346" s="33" t="s">
        <v>344</v>
      </c>
      <c r="FC2346" s="33" t="s">
        <v>345</v>
      </c>
      <c r="FD2346" s="33" t="s">
        <v>346</v>
      </c>
      <c r="FE2346" s="33">
        <v>2025</v>
      </c>
      <c r="FF2346" s="33" t="s">
        <v>59</v>
      </c>
      <c r="FG2346" s="33" t="s">
        <v>470</v>
      </c>
      <c r="FH2346" s="33" t="s">
        <v>471</v>
      </c>
      <c r="FI2346" s="33" t="s">
        <v>467</v>
      </c>
      <c r="FJ2346" t="s">
        <v>59</v>
      </c>
    </row>
    <row r="2347" spans="153:166" x14ac:dyDescent="0.35">
      <c r="EW2347" t="s">
        <v>3124</v>
      </c>
      <c r="EX2347" s="33" t="s">
        <v>3524</v>
      </c>
      <c r="EY2347" s="33" t="s">
        <v>1047</v>
      </c>
      <c r="EZ2347" s="33" t="s">
        <v>1048</v>
      </c>
      <c r="FA2347" s="33" t="s">
        <v>343</v>
      </c>
      <c r="FB2347" s="33" t="s">
        <v>344</v>
      </c>
      <c r="FC2347" s="33" t="s">
        <v>345</v>
      </c>
      <c r="FD2347" s="33" t="s">
        <v>346</v>
      </c>
      <c r="FE2347" s="33">
        <v>2025</v>
      </c>
      <c r="FF2347" s="33" t="s">
        <v>59</v>
      </c>
      <c r="FG2347" s="33" t="s">
        <v>477</v>
      </c>
      <c r="FH2347" s="33" t="s">
        <v>478</v>
      </c>
      <c r="FI2347" s="33" t="s">
        <v>479</v>
      </c>
      <c r="FJ2347" t="s">
        <v>59</v>
      </c>
    </row>
    <row r="2348" spans="153:166" x14ac:dyDescent="0.35">
      <c r="EW2348" t="s">
        <v>3124</v>
      </c>
      <c r="EX2348" s="33" t="s">
        <v>3525</v>
      </c>
      <c r="EY2348" s="33" t="s">
        <v>1049</v>
      </c>
      <c r="EZ2348" s="33" t="s">
        <v>1050</v>
      </c>
      <c r="FA2348" s="33" t="s">
        <v>343</v>
      </c>
      <c r="FB2348" s="33" t="s">
        <v>344</v>
      </c>
      <c r="FC2348" s="33" t="s">
        <v>345</v>
      </c>
      <c r="FD2348" s="33" t="s">
        <v>346</v>
      </c>
      <c r="FE2348" s="33">
        <v>2025</v>
      </c>
      <c r="FF2348" s="33" t="s">
        <v>59</v>
      </c>
      <c r="FG2348" s="33" t="s">
        <v>477</v>
      </c>
      <c r="FH2348" s="33" t="s">
        <v>478</v>
      </c>
      <c r="FI2348" s="33" t="s">
        <v>479</v>
      </c>
      <c r="FJ2348" t="s">
        <v>59</v>
      </c>
    </row>
    <row r="2349" spans="153:166" x14ac:dyDescent="0.35">
      <c r="EW2349" t="s">
        <v>3124</v>
      </c>
      <c r="EX2349" s="33" t="s">
        <v>3526</v>
      </c>
      <c r="EY2349" s="33" t="s">
        <v>1051</v>
      </c>
      <c r="EZ2349" s="33" t="s">
        <v>1052</v>
      </c>
      <c r="FA2349" s="33" t="s">
        <v>343</v>
      </c>
      <c r="FB2349" s="33" t="s">
        <v>344</v>
      </c>
      <c r="FC2349" s="33" t="s">
        <v>345</v>
      </c>
      <c r="FD2349" s="33" t="s">
        <v>346</v>
      </c>
      <c r="FE2349" s="33">
        <v>2025</v>
      </c>
      <c r="FF2349" s="33" t="s">
        <v>59</v>
      </c>
      <c r="FG2349" s="33" t="s">
        <v>386</v>
      </c>
      <c r="FH2349" s="33" t="s">
        <v>387</v>
      </c>
      <c r="FI2349" s="33" t="s">
        <v>407</v>
      </c>
      <c r="FJ2349" t="s">
        <v>59</v>
      </c>
    </row>
    <row r="2350" spans="153:166" x14ac:dyDescent="0.35">
      <c r="EW2350" t="s">
        <v>3124</v>
      </c>
      <c r="EX2350" s="33" t="s">
        <v>3527</v>
      </c>
      <c r="EY2350" s="33" t="s">
        <v>1053</v>
      </c>
      <c r="EZ2350" s="33" t="s">
        <v>1054</v>
      </c>
      <c r="FA2350" s="33" t="s">
        <v>343</v>
      </c>
      <c r="FB2350" s="33" t="s">
        <v>344</v>
      </c>
      <c r="FC2350" s="33" t="s">
        <v>345</v>
      </c>
      <c r="FD2350" s="33" t="s">
        <v>346</v>
      </c>
      <c r="FE2350" s="33">
        <v>2025</v>
      </c>
      <c r="FF2350" s="33" t="s">
        <v>59</v>
      </c>
      <c r="FG2350" s="33" t="s">
        <v>470</v>
      </c>
      <c r="FH2350" s="33" t="s">
        <v>471</v>
      </c>
      <c r="FI2350" s="33" t="s">
        <v>467</v>
      </c>
      <c r="FJ2350" t="s">
        <v>59</v>
      </c>
    </row>
    <row r="2351" spans="153:166" x14ac:dyDescent="0.35">
      <c r="EW2351" t="s">
        <v>3124</v>
      </c>
      <c r="EX2351" s="33" t="s">
        <v>3528</v>
      </c>
      <c r="EY2351" s="33" t="s">
        <v>1055</v>
      </c>
      <c r="EZ2351" s="33" t="s">
        <v>1056</v>
      </c>
      <c r="FA2351" s="33" t="s">
        <v>343</v>
      </c>
      <c r="FB2351" s="33" t="s">
        <v>344</v>
      </c>
      <c r="FC2351" s="33" t="s">
        <v>345</v>
      </c>
      <c r="FD2351" s="33" t="s">
        <v>346</v>
      </c>
      <c r="FE2351" s="33">
        <v>2025</v>
      </c>
      <c r="FF2351" s="33" t="s">
        <v>59</v>
      </c>
      <c r="FG2351" s="33" t="s">
        <v>470</v>
      </c>
      <c r="FH2351" s="33" t="s">
        <v>471</v>
      </c>
      <c r="FI2351" s="33" t="s">
        <v>467</v>
      </c>
      <c r="FJ2351" t="s">
        <v>59</v>
      </c>
    </row>
    <row r="2352" spans="153:166" x14ac:dyDescent="0.35">
      <c r="EW2352" t="s">
        <v>3124</v>
      </c>
      <c r="EX2352" s="33" t="s">
        <v>3529</v>
      </c>
      <c r="EY2352" s="33" t="s">
        <v>1057</v>
      </c>
      <c r="EZ2352" s="33" t="s">
        <v>1058</v>
      </c>
      <c r="FA2352" s="33" t="s">
        <v>343</v>
      </c>
      <c r="FB2352" s="33" t="s">
        <v>344</v>
      </c>
      <c r="FC2352" s="33" t="s">
        <v>345</v>
      </c>
      <c r="FD2352" s="33" t="s">
        <v>346</v>
      </c>
      <c r="FE2352" s="33">
        <v>2025</v>
      </c>
      <c r="FF2352" s="33" t="s">
        <v>59</v>
      </c>
      <c r="FG2352" s="33" t="s">
        <v>477</v>
      </c>
      <c r="FH2352" s="33" t="s">
        <v>478</v>
      </c>
      <c r="FI2352" s="33" t="s">
        <v>479</v>
      </c>
      <c r="FJ2352" t="s">
        <v>59</v>
      </c>
    </row>
    <row r="2353" spans="153:166" x14ac:dyDescent="0.35">
      <c r="EW2353" t="s">
        <v>3124</v>
      </c>
      <c r="EX2353" s="33" t="s">
        <v>3530</v>
      </c>
      <c r="EY2353" s="33" t="s">
        <v>1062</v>
      </c>
      <c r="EZ2353" s="33" t="s">
        <v>1063</v>
      </c>
      <c r="FA2353" s="33" t="s">
        <v>343</v>
      </c>
      <c r="FB2353" s="33" t="s">
        <v>344</v>
      </c>
      <c r="FC2353" s="33" t="s">
        <v>345</v>
      </c>
      <c r="FD2353" s="33" t="s">
        <v>346</v>
      </c>
      <c r="FE2353" s="33">
        <v>2025</v>
      </c>
      <c r="FF2353" s="33" t="s">
        <v>59</v>
      </c>
      <c r="FG2353" s="33" t="s">
        <v>477</v>
      </c>
      <c r="FH2353" s="33" t="s">
        <v>478</v>
      </c>
      <c r="FI2353" s="33" t="s">
        <v>479</v>
      </c>
      <c r="FJ2353" t="s">
        <v>59</v>
      </c>
    </row>
    <row r="2354" spans="153:166" x14ac:dyDescent="0.35">
      <c r="EW2354" t="s">
        <v>3124</v>
      </c>
      <c r="EX2354" s="33" t="s">
        <v>3531</v>
      </c>
      <c r="EY2354" s="33" t="s">
        <v>1064</v>
      </c>
      <c r="EZ2354" s="33" t="s">
        <v>1065</v>
      </c>
      <c r="FA2354" s="33" t="s">
        <v>343</v>
      </c>
      <c r="FB2354" s="33" t="s">
        <v>344</v>
      </c>
      <c r="FC2354" s="33" t="s">
        <v>345</v>
      </c>
      <c r="FD2354" s="33" t="s">
        <v>346</v>
      </c>
      <c r="FE2354" s="33">
        <v>2025</v>
      </c>
      <c r="FF2354" s="33" t="s">
        <v>59</v>
      </c>
      <c r="FG2354" s="33" t="s">
        <v>477</v>
      </c>
      <c r="FH2354" s="33" t="s">
        <v>478</v>
      </c>
      <c r="FI2354" s="33" t="s">
        <v>479</v>
      </c>
      <c r="FJ2354" t="s">
        <v>59</v>
      </c>
    </row>
    <row r="2355" spans="153:166" x14ac:dyDescent="0.35">
      <c r="EW2355" t="s">
        <v>3124</v>
      </c>
      <c r="EX2355" s="33" t="s">
        <v>3532</v>
      </c>
      <c r="EY2355" s="33" t="s">
        <v>1066</v>
      </c>
      <c r="EZ2355" s="33" t="s">
        <v>1067</v>
      </c>
      <c r="FA2355" s="33" t="s">
        <v>343</v>
      </c>
      <c r="FB2355" s="33" t="s">
        <v>344</v>
      </c>
      <c r="FC2355" s="33" t="s">
        <v>345</v>
      </c>
      <c r="FD2355" s="33" t="s">
        <v>346</v>
      </c>
      <c r="FE2355" s="33">
        <v>2025</v>
      </c>
      <c r="FF2355" s="33" t="s">
        <v>59</v>
      </c>
      <c r="FG2355" s="33" t="s">
        <v>477</v>
      </c>
      <c r="FH2355" s="33" t="s">
        <v>478</v>
      </c>
      <c r="FI2355" s="33" t="s">
        <v>479</v>
      </c>
      <c r="FJ2355" t="s">
        <v>59</v>
      </c>
    </row>
    <row r="2356" spans="153:166" x14ac:dyDescent="0.35">
      <c r="EW2356" t="s">
        <v>3124</v>
      </c>
      <c r="EX2356" s="33" t="s">
        <v>3533</v>
      </c>
      <c r="EY2356" s="33" t="s">
        <v>1068</v>
      </c>
      <c r="EZ2356" s="33" t="s">
        <v>1069</v>
      </c>
      <c r="FA2356" s="33" t="s">
        <v>343</v>
      </c>
      <c r="FB2356" s="33" t="s">
        <v>344</v>
      </c>
      <c r="FC2356" s="33" t="s">
        <v>345</v>
      </c>
      <c r="FD2356" s="33" t="s">
        <v>346</v>
      </c>
      <c r="FE2356" s="33">
        <v>2025</v>
      </c>
      <c r="FF2356" s="33" t="s">
        <v>59</v>
      </c>
      <c r="FG2356" s="33" t="s">
        <v>56</v>
      </c>
      <c r="FH2356" s="33" t="s">
        <v>57</v>
      </c>
      <c r="FI2356" s="33" t="s">
        <v>58</v>
      </c>
      <c r="FJ2356" t="s">
        <v>59</v>
      </c>
    </row>
    <row r="2357" spans="153:166" x14ac:dyDescent="0.35">
      <c r="EW2357" t="s">
        <v>3124</v>
      </c>
      <c r="EX2357" s="33" t="s">
        <v>3534</v>
      </c>
      <c r="EY2357" s="33" t="s">
        <v>1070</v>
      </c>
      <c r="EZ2357" s="33" t="s">
        <v>1071</v>
      </c>
      <c r="FA2357" s="33" t="s">
        <v>343</v>
      </c>
      <c r="FB2357" s="33" t="s">
        <v>344</v>
      </c>
      <c r="FC2357" s="33" t="s">
        <v>345</v>
      </c>
      <c r="FD2357" s="33" t="s">
        <v>346</v>
      </c>
      <c r="FE2357" s="33">
        <v>2025</v>
      </c>
      <c r="FF2357" s="33" t="s">
        <v>59</v>
      </c>
      <c r="FG2357" s="33" t="s">
        <v>56</v>
      </c>
      <c r="FH2357" s="33" t="s">
        <v>57</v>
      </c>
      <c r="FI2357" s="33" t="s">
        <v>58</v>
      </c>
      <c r="FJ2357" t="s">
        <v>59</v>
      </c>
    </row>
    <row r="2358" spans="153:166" x14ac:dyDescent="0.35">
      <c r="EW2358" t="s">
        <v>3124</v>
      </c>
      <c r="EX2358" s="33" t="s">
        <v>3535</v>
      </c>
      <c r="EY2358" s="33" t="s">
        <v>1072</v>
      </c>
      <c r="EZ2358" s="33" t="s">
        <v>1073</v>
      </c>
      <c r="FA2358" s="33" t="s">
        <v>343</v>
      </c>
      <c r="FB2358" s="33" t="s">
        <v>344</v>
      </c>
      <c r="FC2358" s="33" t="s">
        <v>345</v>
      </c>
      <c r="FD2358" s="33" t="s">
        <v>346</v>
      </c>
      <c r="FE2358" s="33">
        <v>2025</v>
      </c>
      <c r="FF2358" s="33" t="s">
        <v>59</v>
      </c>
      <c r="FG2358" s="33" t="s">
        <v>56</v>
      </c>
      <c r="FH2358" s="33" t="s">
        <v>57</v>
      </c>
      <c r="FI2358" s="33" t="s">
        <v>58</v>
      </c>
      <c r="FJ2358" t="s">
        <v>59</v>
      </c>
    </row>
    <row r="2359" spans="153:166" x14ac:dyDescent="0.35">
      <c r="EW2359" t="s">
        <v>3124</v>
      </c>
      <c r="EX2359" s="33" t="s">
        <v>3536</v>
      </c>
      <c r="EY2359" s="33" t="s">
        <v>1074</v>
      </c>
      <c r="EZ2359" s="33" t="s">
        <v>1075</v>
      </c>
      <c r="FA2359" s="33" t="s">
        <v>343</v>
      </c>
      <c r="FB2359" s="33" t="s">
        <v>344</v>
      </c>
      <c r="FC2359" s="33" t="s">
        <v>345</v>
      </c>
      <c r="FD2359" s="33" t="s">
        <v>346</v>
      </c>
      <c r="FE2359" s="33">
        <v>2025</v>
      </c>
      <c r="FF2359" s="33" t="s">
        <v>59</v>
      </c>
      <c r="FG2359" s="33" t="s">
        <v>386</v>
      </c>
      <c r="FH2359" s="33" t="s">
        <v>387</v>
      </c>
      <c r="FI2359" s="33" t="s">
        <v>407</v>
      </c>
      <c r="FJ2359" t="s">
        <v>59</v>
      </c>
    </row>
    <row r="2360" spans="153:166" x14ac:dyDescent="0.35">
      <c r="EW2360" t="s">
        <v>3124</v>
      </c>
      <c r="EX2360" s="33" t="s">
        <v>3537</v>
      </c>
      <c r="EY2360" s="33" t="s">
        <v>1076</v>
      </c>
      <c r="EZ2360" s="33" t="s">
        <v>1077</v>
      </c>
      <c r="FA2360" s="33" t="s">
        <v>343</v>
      </c>
      <c r="FB2360" s="33" t="s">
        <v>344</v>
      </c>
      <c r="FC2360" s="33" t="s">
        <v>345</v>
      </c>
      <c r="FD2360" s="33" t="s">
        <v>346</v>
      </c>
      <c r="FE2360" s="33">
        <v>2025</v>
      </c>
      <c r="FF2360" s="33" t="s">
        <v>59</v>
      </c>
      <c r="FG2360" s="33" t="s">
        <v>477</v>
      </c>
      <c r="FH2360" s="33" t="s">
        <v>478</v>
      </c>
      <c r="FI2360" s="33" t="s">
        <v>479</v>
      </c>
      <c r="FJ2360" t="s">
        <v>59</v>
      </c>
    </row>
    <row r="2361" spans="153:166" x14ac:dyDescent="0.35">
      <c r="EW2361" t="s">
        <v>3124</v>
      </c>
      <c r="EX2361" s="33" t="s">
        <v>3538</v>
      </c>
      <c r="EY2361" s="33" t="s">
        <v>1078</v>
      </c>
      <c r="EZ2361" s="33" t="s">
        <v>1079</v>
      </c>
      <c r="FA2361" s="33" t="s">
        <v>343</v>
      </c>
      <c r="FB2361" s="33" t="s">
        <v>344</v>
      </c>
      <c r="FC2361" s="33" t="s">
        <v>345</v>
      </c>
      <c r="FD2361" s="33" t="s">
        <v>346</v>
      </c>
      <c r="FE2361" s="33">
        <v>2025</v>
      </c>
      <c r="FF2361" s="33" t="s">
        <v>59</v>
      </c>
      <c r="FG2361" s="33" t="s">
        <v>470</v>
      </c>
      <c r="FH2361" s="33" t="s">
        <v>471</v>
      </c>
      <c r="FI2361" s="33" t="s">
        <v>467</v>
      </c>
      <c r="FJ2361" t="s">
        <v>59</v>
      </c>
    </row>
    <row r="2362" spans="153:166" x14ac:dyDescent="0.35">
      <c r="EW2362" t="s">
        <v>3124</v>
      </c>
      <c r="EX2362" s="33" t="s">
        <v>3539</v>
      </c>
      <c r="EY2362" s="33" t="s">
        <v>1080</v>
      </c>
      <c r="EZ2362" s="33" t="s">
        <v>1081</v>
      </c>
      <c r="FA2362" s="33" t="s">
        <v>343</v>
      </c>
      <c r="FB2362" s="33" t="s">
        <v>344</v>
      </c>
      <c r="FC2362" s="33" t="s">
        <v>345</v>
      </c>
      <c r="FD2362" s="33" t="s">
        <v>346</v>
      </c>
      <c r="FE2362" s="33">
        <v>2025</v>
      </c>
      <c r="FF2362" s="33" t="s">
        <v>59</v>
      </c>
      <c r="FG2362" s="33" t="s">
        <v>386</v>
      </c>
      <c r="FH2362" s="33" t="s">
        <v>387</v>
      </c>
      <c r="FI2362" s="33" t="s">
        <v>407</v>
      </c>
      <c r="FJ2362" t="s">
        <v>59</v>
      </c>
    </row>
    <row r="2363" spans="153:166" x14ac:dyDescent="0.35">
      <c r="EW2363" t="s">
        <v>3124</v>
      </c>
      <c r="EX2363" s="33" t="s">
        <v>3540</v>
      </c>
      <c r="EY2363" s="33" t="s">
        <v>1085</v>
      </c>
      <c r="EZ2363" s="33" t="s">
        <v>1086</v>
      </c>
      <c r="FA2363" s="33" t="s">
        <v>343</v>
      </c>
      <c r="FB2363" s="33" t="s">
        <v>344</v>
      </c>
      <c r="FC2363" s="33" t="s">
        <v>345</v>
      </c>
      <c r="FD2363" s="33" t="s">
        <v>346</v>
      </c>
      <c r="FE2363" s="33">
        <v>2025</v>
      </c>
      <c r="FF2363" s="33" t="s">
        <v>59</v>
      </c>
      <c r="FG2363" s="33" t="s">
        <v>477</v>
      </c>
      <c r="FH2363" s="33" t="s">
        <v>478</v>
      </c>
      <c r="FI2363" s="33" t="s">
        <v>479</v>
      </c>
      <c r="FJ2363" t="s">
        <v>59</v>
      </c>
    </row>
    <row r="2364" spans="153:166" x14ac:dyDescent="0.35">
      <c r="EW2364" t="s">
        <v>3124</v>
      </c>
      <c r="EX2364" s="33" t="s">
        <v>3541</v>
      </c>
      <c r="EY2364" s="33" t="s">
        <v>1087</v>
      </c>
      <c r="EZ2364" s="33" t="s">
        <v>1088</v>
      </c>
      <c r="FA2364" s="33" t="s">
        <v>343</v>
      </c>
      <c r="FB2364" s="33" t="s">
        <v>344</v>
      </c>
      <c r="FC2364" s="33" t="s">
        <v>345</v>
      </c>
      <c r="FD2364" s="33" t="s">
        <v>346</v>
      </c>
      <c r="FE2364" s="33">
        <v>2025</v>
      </c>
      <c r="FF2364" s="33" t="s">
        <v>59</v>
      </c>
      <c r="FG2364" s="33" t="s">
        <v>386</v>
      </c>
      <c r="FH2364" s="33" t="s">
        <v>387</v>
      </c>
      <c r="FI2364" s="33" t="s">
        <v>407</v>
      </c>
      <c r="FJ2364" t="s">
        <v>59</v>
      </c>
    </row>
    <row r="2365" spans="153:166" x14ac:dyDescent="0.35">
      <c r="EW2365" t="s">
        <v>3124</v>
      </c>
      <c r="EX2365" s="33" t="s">
        <v>3542</v>
      </c>
      <c r="EY2365" s="33" t="s">
        <v>1089</v>
      </c>
      <c r="EZ2365" s="33" t="s">
        <v>1090</v>
      </c>
      <c r="FA2365" s="33" t="s">
        <v>343</v>
      </c>
      <c r="FB2365" s="33" t="s">
        <v>344</v>
      </c>
      <c r="FC2365" s="33" t="s">
        <v>345</v>
      </c>
      <c r="FD2365" s="33" t="s">
        <v>346</v>
      </c>
      <c r="FE2365" s="33">
        <v>2025</v>
      </c>
      <c r="FF2365" s="33" t="s">
        <v>59</v>
      </c>
      <c r="FG2365" s="33" t="s">
        <v>477</v>
      </c>
      <c r="FH2365" s="33" t="s">
        <v>478</v>
      </c>
      <c r="FI2365" s="33" t="s">
        <v>479</v>
      </c>
      <c r="FJ2365" t="s">
        <v>59</v>
      </c>
    </row>
    <row r="2366" spans="153:166" x14ac:dyDescent="0.35">
      <c r="EW2366" t="s">
        <v>3124</v>
      </c>
      <c r="EX2366" s="33" t="s">
        <v>3543</v>
      </c>
      <c r="EY2366" s="33" t="s">
        <v>1091</v>
      </c>
      <c r="EZ2366" s="33" t="s">
        <v>1092</v>
      </c>
      <c r="FA2366" s="33" t="s">
        <v>343</v>
      </c>
      <c r="FB2366" s="33" t="s">
        <v>344</v>
      </c>
      <c r="FC2366" s="33" t="s">
        <v>345</v>
      </c>
      <c r="FD2366" s="33" t="s">
        <v>346</v>
      </c>
      <c r="FE2366" s="33">
        <v>2025</v>
      </c>
      <c r="FF2366" s="33" t="s">
        <v>59</v>
      </c>
      <c r="FG2366" s="33" t="s">
        <v>477</v>
      </c>
      <c r="FH2366" s="33" t="s">
        <v>478</v>
      </c>
      <c r="FI2366" s="33" t="s">
        <v>479</v>
      </c>
      <c r="FJ2366" t="s">
        <v>59</v>
      </c>
    </row>
    <row r="2367" spans="153:166" x14ac:dyDescent="0.35">
      <c r="EW2367" t="s">
        <v>3124</v>
      </c>
      <c r="EX2367" s="33" t="s">
        <v>3544</v>
      </c>
      <c r="EY2367" s="33" t="s">
        <v>1093</v>
      </c>
      <c r="EZ2367" s="33" t="s">
        <v>1094</v>
      </c>
      <c r="FA2367" s="33" t="s">
        <v>343</v>
      </c>
      <c r="FB2367" s="33" t="s">
        <v>344</v>
      </c>
      <c r="FC2367" s="33" t="s">
        <v>345</v>
      </c>
      <c r="FD2367" s="33" t="s">
        <v>346</v>
      </c>
      <c r="FE2367" s="33">
        <v>2025</v>
      </c>
      <c r="FF2367" s="33" t="s">
        <v>59</v>
      </c>
      <c r="FG2367" s="33" t="s">
        <v>477</v>
      </c>
      <c r="FH2367" s="33" t="s">
        <v>478</v>
      </c>
      <c r="FI2367" s="33" t="s">
        <v>479</v>
      </c>
      <c r="FJ2367" t="s">
        <v>59</v>
      </c>
    </row>
    <row r="2368" spans="153:166" x14ac:dyDescent="0.35">
      <c r="EW2368" t="s">
        <v>3124</v>
      </c>
      <c r="EX2368" s="33" t="s">
        <v>3545</v>
      </c>
      <c r="EY2368" s="33" t="s">
        <v>1095</v>
      </c>
      <c r="EZ2368" s="33" t="s">
        <v>1096</v>
      </c>
      <c r="FA2368" s="33" t="s">
        <v>343</v>
      </c>
      <c r="FB2368" s="33" t="s">
        <v>344</v>
      </c>
      <c r="FC2368" s="33" t="s">
        <v>345</v>
      </c>
      <c r="FD2368" s="33" t="s">
        <v>346</v>
      </c>
      <c r="FE2368" s="33">
        <v>2025</v>
      </c>
      <c r="FF2368" s="33" t="s">
        <v>59</v>
      </c>
      <c r="FG2368" s="33" t="s">
        <v>477</v>
      </c>
      <c r="FH2368" s="33" t="s">
        <v>478</v>
      </c>
      <c r="FI2368" s="33" t="s">
        <v>479</v>
      </c>
      <c r="FJ2368" t="s">
        <v>59</v>
      </c>
    </row>
    <row r="2369" spans="153:166" x14ac:dyDescent="0.35">
      <c r="EW2369" t="s">
        <v>3124</v>
      </c>
      <c r="EX2369" s="33" t="s">
        <v>3546</v>
      </c>
      <c r="EY2369" s="33" t="s">
        <v>1097</v>
      </c>
      <c r="EZ2369" s="33" t="s">
        <v>1098</v>
      </c>
      <c r="FA2369" s="33" t="s">
        <v>343</v>
      </c>
      <c r="FB2369" s="33" t="s">
        <v>344</v>
      </c>
      <c r="FC2369" s="33" t="s">
        <v>345</v>
      </c>
      <c r="FD2369" s="33" t="s">
        <v>346</v>
      </c>
      <c r="FE2369" s="33">
        <v>2025</v>
      </c>
      <c r="FF2369" s="33" t="s">
        <v>59</v>
      </c>
      <c r="FG2369" s="33" t="s">
        <v>477</v>
      </c>
      <c r="FH2369" s="33" t="s">
        <v>478</v>
      </c>
      <c r="FI2369" s="33" t="s">
        <v>479</v>
      </c>
      <c r="FJ2369" t="s">
        <v>59</v>
      </c>
    </row>
    <row r="2370" spans="153:166" x14ac:dyDescent="0.35">
      <c r="EW2370" t="s">
        <v>3124</v>
      </c>
      <c r="EX2370" s="33" t="s">
        <v>3547</v>
      </c>
      <c r="EY2370" s="33" t="s">
        <v>1102</v>
      </c>
      <c r="EZ2370" s="33" t="s">
        <v>1103</v>
      </c>
      <c r="FA2370" s="33" t="s">
        <v>343</v>
      </c>
      <c r="FB2370" s="33" t="s">
        <v>344</v>
      </c>
      <c r="FC2370" s="33" t="s">
        <v>345</v>
      </c>
      <c r="FD2370" s="33" t="s">
        <v>346</v>
      </c>
      <c r="FE2370" s="33">
        <v>2025</v>
      </c>
      <c r="FF2370" s="33" t="s">
        <v>59</v>
      </c>
      <c r="FG2370" s="33" t="s">
        <v>477</v>
      </c>
      <c r="FH2370" s="33" t="s">
        <v>478</v>
      </c>
      <c r="FI2370" s="33" t="s">
        <v>479</v>
      </c>
      <c r="FJ2370" t="s">
        <v>59</v>
      </c>
    </row>
    <row r="2371" spans="153:166" x14ac:dyDescent="0.35">
      <c r="EW2371" t="s">
        <v>3124</v>
      </c>
      <c r="EX2371" s="33" t="s">
        <v>3548</v>
      </c>
      <c r="EY2371" s="33" t="s">
        <v>1104</v>
      </c>
      <c r="EZ2371" s="33" t="s">
        <v>1105</v>
      </c>
      <c r="FA2371" s="33" t="s">
        <v>343</v>
      </c>
      <c r="FB2371" s="33" t="s">
        <v>344</v>
      </c>
      <c r="FC2371" s="33" t="s">
        <v>345</v>
      </c>
      <c r="FD2371" s="33" t="s">
        <v>346</v>
      </c>
      <c r="FE2371" s="33">
        <v>2025</v>
      </c>
      <c r="FF2371" s="33" t="s">
        <v>59</v>
      </c>
      <c r="FG2371" s="33" t="s">
        <v>477</v>
      </c>
      <c r="FH2371" s="33" t="s">
        <v>478</v>
      </c>
      <c r="FI2371" s="33" t="s">
        <v>479</v>
      </c>
      <c r="FJ2371" t="s">
        <v>59</v>
      </c>
    </row>
    <row r="2372" spans="153:166" x14ac:dyDescent="0.35">
      <c r="EW2372" t="s">
        <v>3124</v>
      </c>
      <c r="EX2372" s="33" t="s">
        <v>3549</v>
      </c>
      <c r="EY2372" s="33" t="s">
        <v>1106</v>
      </c>
      <c r="EZ2372" s="33" t="s">
        <v>1107</v>
      </c>
      <c r="FA2372" s="33" t="s">
        <v>343</v>
      </c>
      <c r="FB2372" s="33" t="s">
        <v>1108</v>
      </c>
      <c r="FC2372" s="33" t="s">
        <v>345</v>
      </c>
      <c r="FD2372" s="33" t="s">
        <v>1108</v>
      </c>
      <c r="FE2372" s="33">
        <v>2025</v>
      </c>
      <c r="FF2372" s="33" t="s">
        <v>1109</v>
      </c>
      <c r="FG2372" s="33" t="s">
        <v>386</v>
      </c>
      <c r="FH2372" s="33" t="s">
        <v>387</v>
      </c>
      <c r="FI2372" s="33" t="s">
        <v>407</v>
      </c>
      <c r="FJ2372" t="s">
        <v>1109</v>
      </c>
    </row>
    <row r="2373" spans="153:166" x14ac:dyDescent="0.35">
      <c r="EW2373" t="s">
        <v>3124</v>
      </c>
      <c r="EX2373" s="33" t="s">
        <v>3550</v>
      </c>
      <c r="EY2373" s="33" t="s">
        <v>1110</v>
      </c>
      <c r="EZ2373" s="33" t="s">
        <v>1111</v>
      </c>
      <c r="FA2373" s="33" t="s">
        <v>343</v>
      </c>
      <c r="FB2373" s="33" t="s">
        <v>1108</v>
      </c>
      <c r="FC2373" s="33" t="s">
        <v>345</v>
      </c>
      <c r="FD2373" s="33" t="s">
        <v>1108</v>
      </c>
      <c r="FE2373" s="33">
        <v>2025</v>
      </c>
      <c r="FF2373" s="33" t="s">
        <v>1109</v>
      </c>
      <c r="FG2373" s="33" t="s">
        <v>386</v>
      </c>
      <c r="FH2373" s="33" t="s">
        <v>387</v>
      </c>
      <c r="FI2373" s="33" t="s">
        <v>407</v>
      </c>
      <c r="FJ2373" t="s">
        <v>1109</v>
      </c>
    </row>
    <row r="2374" spans="153:166" x14ac:dyDescent="0.35">
      <c r="EW2374" t="s">
        <v>3124</v>
      </c>
      <c r="EX2374" s="33" t="s">
        <v>3551</v>
      </c>
      <c r="EY2374" s="33" t="s">
        <v>1112</v>
      </c>
      <c r="EZ2374" s="33" t="s">
        <v>1113</v>
      </c>
      <c r="FA2374" s="33" t="s">
        <v>343</v>
      </c>
      <c r="FB2374" s="33" t="s">
        <v>1108</v>
      </c>
      <c r="FC2374" s="33" t="s">
        <v>345</v>
      </c>
      <c r="FD2374" s="33" t="s">
        <v>1108</v>
      </c>
      <c r="FE2374" s="33">
        <v>2025</v>
      </c>
      <c r="FF2374" s="33" t="s">
        <v>1109</v>
      </c>
      <c r="FG2374" s="33" t="s">
        <v>386</v>
      </c>
      <c r="FH2374" s="33" t="s">
        <v>387</v>
      </c>
      <c r="FI2374" s="33" t="s">
        <v>407</v>
      </c>
      <c r="FJ2374" t="s">
        <v>1109</v>
      </c>
    </row>
    <row r="2375" spans="153:166" x14ac:dyDescent="0.35">
      <c r="EW2375" t="s">
        <v>3124</v>
      </c>
      <c r="EX2375" s="33" t="s">
        <v>3552</v>
      </c>
      <c r="EY2375" s="33" t="s">
        <v>1114</v>
      </c>
      <c r="EZ2375" s="33" t="s">
        <v>1115</v>
      </c>
      <c r="FA2375" s="33" t="s">
        <v>343</v>
      </c>
      <c r="FB2375" s="33" t="s">
        <v>1108</v>
      </c>
      <c r="FC2375" s="33" t="s">
        <v>345</v>
      </c>
      <c r="FD2375" s="33" t="s">
        <v>1108</v>
      </c>
      <c r="FE2375" s="33">
        <v>2025</v>
      </c>
      <c r="FF2375" s="33" t="s">
        <v>1109</v>
      </c>
      <c r="FG2375" s="33" t="s">
        <v>386</v>
      </c>
      <c r="FH2375" s="33" t="s">
        <v>387</v>
      </c>
      <c r="FI2375" s="33" t="s">
        <v>407</v>
      </c>
      <c r="FJ2375" t="s">
        <v>1109</v>
      </c>
    </row>
    <row r="2376" spans="153:166" x14ac:dyDescent="0.35">
      <c r="EW2376" t="s">
        <v>3124</v>
      </c>
      <c r="EX2376" s="40" t="s">
        <v>3553</v>
      </c>
      <c r="EY2376" s="33" t="s">
        <v>1116</v>
      </c>
      <c r="EZ2376" s="33" t="s">
        <v>1117</v>
      </c>
      <c r="FA2376" s="33" t="s">
        <v>343</v>
      </c>
      <c r="FB2376" s="33" t="s">
        <v>1108</v>
      </c>
      <c r="FC2376" s="33" t="s">
        <v>345</v>
      </c>
      <c r="FD2376" s="33" t="s">
        <v>1108</v>
      </c>
      <c r="FE2376" s="33">
        <v>2025</v>
      </c>
      <c r="FF2376" s="33" t="s">
        <v>1109</v>
      </c>
      <c r="FG2376" s="33" t="s">
        <v>386</v>
      </c>
      <c r="FH2376" s="33" t="s">
        <v>387</v>
      </c>
      <c r="FI2376" s="33" t="s">
        <v>407</v>
      </c>
      <c r="FJ2376" t="s">
        <v>1109</v>
      </c>
    </row>
    <row r="2377" spans="153:166" x14ac:dyDescent="0.35">
      <c r="EW2377" t="s">
        <v>3124</v>
      </c>
      <c r="EX2377" s="40" t="s">
        <v>3554</v>
      </c>
      <c r="EY2377" s="33" t="s">
        <v>1118</v>
      </c>
      <c r="EZ2377" s="33" t="s">
        <v>1119</v>
      </c>
      <c r="FA2377" s="33" t="s">
        <v>343</v>
      </c>
      <c r="FB2377" s="33" t="s">
        <v>1108</v>
      </c>
      <c r="FC2377" s="33" t="s">
        <v>345</v>
      </c>
      <c r="FD2377" s="33" t="s">
        <v>1108</v>
      </c>
      <c r="FE2377" s="33">
        <v>2025</v>
      </c>
      <c r="FF2377" s="33" t="s">
        <v>1109</v>
      </c>
      <c r="FG2377" s="33" t="s">
        <v>386</v>
      </c>
      <c r="FH2377" s="33" t="s">
        <v>387</v>
      </c>
      <c r="FI2377" s="33" t="s">
        <v>407</v>
      </c>
      <c r="FJ2377" t="s">
        <v>1109</v>
      </c>
    </row>
    <row r="2378" spans="153:166" x14ac:dyDescent="0.35">
      <c r="EW2378" t="s">
        <v>3124</v>
      </c>
      <c r="EX2378" s="40" t="s">
        <v>3555</v>
      </c>
      <c r="EY2378" s="33" t="s">
        <v>1123</v>
      </c>
      <c r="EZ2378" s="33" t="s">
        <v>1124</v>
      </c>
      <c r="FA2378" s="33" t="s">
        <v>343</v>
      </c>
      <c r="FB2378" s="33" t="s">
        <v>1108</v>
      </c>
      <c r="FC2378" s="33" t="s">
        <v>345</v>
      </c>
      <c r="FD2378" s="33" t="s">
        <v>1108</v>
      </c>
      <c r="FE2378" s="33">
        <v>2025</v>
      </c>
      <c r="FF2378" s="33" t="s">
        <v>1109</v>
      </c>
      <c r="FG2378" s="33" t="s">
        <v>386</v>
      </c>
      <c r="FH2378" s="33" t="s">
        <v>387</v>
      </c>
      <c r="FI2378" s="33" t="s">
        <v>407</v>
      </c>
      <c r="FJ2378" t="s">
        <v>1109</v>
      </c>
    </row>
    <row r="2379" spans="153:166" x14ac:dyDescent="0.35">
      <c r="EW2379" t="s">
        <v>3124</v>
      </c>
      <c r="EX2379" s="40" t="s">
        <v>3556</v>
      </c>
      <c r="EY2379" s="33" t="s">
        <v>1128</v>
      </c>
      <c r="EZ2379" s="33" t="s">
        <v>1129</v>
      </c>
      <c r="FA2379" s="33" t="s">
        <v>343</v>
      </c>
      <c r="FB2379" s="33" t="s">
        <v>1108</v>
      </c>
      <c r="FC2379" s="33" t="s">
        <v>345</v>
      </c>
      <c r="FD2379" s="33" t="s">
        <v>1108</v>
      </c>
      <c r="FE2379" s="33">
        <v>2025</v>
      </c>
      <c r="FF2379" s="33" t="s">
        <v>1109</v>
      </c>
      <c r="FG2379" s="33" t="s">
        <v>386</v>
      </c>
      <c r="FH2379" s="33" t="s">
        <v>387</v>
      </c>
      <c r="FI2379" s="33" t="s">
        <v>407</v>
      </c>
      <c r="FJ2379" t="s">
        <v>1109</v>
      </c>
    </row>
    <row r="2380" spans="153:166" x14ac:dyDescent="0.35">
      <c r="EW2380" t="s">
        <v>3124</v>
      </c>
      <c r="EX2380" s="40" t="s">
        <v>3557</v>
      </c>
      <c r="EY2380" s="33" t="s">
        <v>1130</v>
      </c>
      <c r="EZ2380" s="33" t="s">
        <v>1131</v>
      </c>
      <c r="FA2380" s="33" t="s">
        <v>343</v>
      </c>
      <c r="FB2380" s="33" t="s">
        <v>1108</v>
      </c>
      <c r="FC2380" s="33" t="s">
        <v>345</v>
      </c>
      <c r="FD2380" s="33" t="s">
        <v>1108</v>
      </c>
      <c r="FE2380" s="33">
        <v>2025</v>
      </c>
      <c r="FF2380" s="33" t="s">
        <v>1109</v>
      </c>
      <c r="FG2380" s="33" t="s">
        <v>386</v>
      </c>
      <c r="FH2380" s="33" t="s">
        <v>387</v>
      </c>
      <c r="FI2380" s="33" t="s">
        <v>407</v>
      </c>
      <c r="FJ2380" t="s">
        <v>1109</v>
      </c>
    </row>
    <row r="2381" spans="153:166" x14ac:dyDescent="0.35">
      <c r="EW2381" t="s">
        <v>3124</v>
      </c>
      <c r="EX2381" s="40" t="s">
        <v>3558</v>
      </c>
      <c r="EY2381" s="33" t="s">
        <v>1135</v>
      </c>
      <c r="EZ2381" s="33" t="s">
        <v>1136</v>
      </c>
      <c r="FA2381" s="33" t="s">
        <v>343</v>
      </c>
      <c r="FB2381" s="33" t="s">
        <v>1108</v>
      </c>
      <c r="FC2381" s="33" t="s">
        <v>345</v>
      </c>
      <c r="FD2381" s="33" t="s">
        <v>1108</v>
      </c>
      <c r="FE2381" s="33">
        <v>2025</v>
      </c>
      <c r="FF2381" s="33" t="s">
        <v>1109</v>
      </c>
      <c r="FG2381" s="33" t="s">
        <v>386</v>
      </c>
      <c r="FH2381" s="33" t="s">
        <v>387</v>
      </c>
      <c r="FI2381" s="33" t="s">
        <v>407</v>
      </c>
      <c r="FJ2381" t="s">
        <v>1109</v>
      </c>
    </row>
    <row r="2382" spans="153:166" x14ac:dyDescent="0.35">
      <c r="EW2382" t="s">
        <v>3124</v>
      </c>
      <c r="EX2382" s="40" t="s">
        <v>3559</v>
      </c>
      <c r="EY2382" s="33" t="s">
        <v>1137</v>
      </c>
      <c r="EZ2382" s="33" t="s">
        <v>1138</v>
      </c>
      <c r="FA2382" s="33" t="s">
        <v>343</v>
      </c>
      <c r="FB2382" s="33" t="s">
        <v>1108</v>
      </c>
      <c r="FC2382" s="33" t="s">
        <v>345</v>
      </c>
      <c r="FD2382" s="33" t="s">
        <v>1108</v>
      </c>
      <c r="FE2382" s="33">
        <v>2025</v>
      </c>
      <c r="FF2382" s="33" t="s">
        <v>1109</v>
      </c>
      <c r="FG2382" s="33" t="s">
        <v>386</v>
      </c>
      <c r="FH2382" s="33" t="s">
        <v>387</v>
      </c>
      <c r="FI2382" s="33" t="s">
        <v>407</v>
      </c>
      <c r="FJ2382" t="s">
        <v>1109</v>
      </c>
    </row>
    <row r="2383" spans="153:166" x14ac:dyDescent="0.35">
      <c r="EW2383" t="s">
        <v>3124</v>
      </c>
      <c r="EX2383" s="40" t="s">
        <v>3560</v>
      </c>
      <c r="EY2383" s="33" t="s">
        <v>1139</v>
      </c>
      <c r="EZ2383" s="33" t="s">
        <v>1140</v>
      </c>
      <c r="FA2383" s="33" t="s">
        <v>343</v>
      </c>
      <c r="FB2383" s="33" t="s">
        <v>1108</v>
      </c>
      <c r="FC2383" s="33" t="s">
        <v>345</v>
      </c>
      <c r="FD2383" s="33" t="s">
        <v>1108</v>
      </c>
      <c r="FE2383" s="33">
        <v>2025</v>
      </c>
      <c r="FF2383" s="33" t="s">
        <v>1109</v>
      </c>
      <c r="FG2383" s="33" t="s">
        <v>386</v>
      </c>
      <c r="FH2383" s="33" t="s">
        <v>387</v>
      </c>
      <c r="FI2383" s="33" t="s">
        <v>407</v>
      </c>
      <c r="FJ2383" t="s">
        <v>1109</v>
      </c>
    </row>
    <row r="2384" spans="153:166" x14ac:dyDescent="0.35">
      <c r="EW2384" t="s">
        <v>3124</v>
      </c>
      <c r="EX2384" s="40" t="s">
        <v>3561</v>
      </c>
      <c r="EY2384" s="33" t="s">
        <v>1141</v>
      </c>
      <c r="EZ2384" s="33" t="s">
        <v>1142</v>
      </c>
      <c r="FA2384" s="33" t="s">
        <v>343</v>
      </c>
      <c r="FB2384" s="33" t="s">
        <v>1108</v>
      </c>
      <c r="FC2384" s="33" t="s">
        <v>345</v>
      </c>
      <c r="FD2384" s="33" t="s">
        <v>1108</v>
      </c>
      <c r="FE2384" s="33">
        <v>2025</v>
      </c>
      <c r="FF2384" s="33" t="s">
        <v>1109</v>
      </c>
      <c r="FG2384" s="33" t="s">
        <v>386</v>
      </c>
      <c r="FH2384" s="33" t="s">
        <v>387</v>
      </c>
      <c r="FI2384" s="33" t="s">
        <v>407</v>
      </c>
      <c r="FJ2384" t="s">
        <v>1109</v>
      </c>
    </row>
    <row r="2385" spans="153:166" x14ac:dyDescent="0.35">
      <c r="EW2385" t="s">
        <v>3124</v>
      </c>
      <c r="EX2385" s="40" t="s">
        <v>3562</v>
      </c>
      <c r="EY2385" s="33" t="s">
        <v>1143</v>
      </c>
      <c r="EZ2385" s="33" t="s">
        <v>1144</v>
      </c>
      <c r="FA2385" s="33" t="s">
        <v>343</v>
      </c>
      <c r="FB2385" s="33" t="s">
        <v>1108</v>
      </c>
      <c r="FC2385" s="33" t="s">
        <v>345</v>
      </c>
      <c r="FD2385" s="33" t="s">
        <v>1108</v>
      </c>
      <c r="FE2385" s="33">
        <v>2025</v>
      </c>
      <c r="FF2385" s="33" t="s">
        <v>1109</v>
      </c>
      <c r="FG2385" s="33" t="s">
        <v>386</v>
      </c>
      <c r="FH2385" s="33" t="s">
        <v>387</v>
      </c>
      <c r="FI2385" s="33" t="s">
        <v>407</v>
      </c>
      <c r="FJ2385" t="s">
        <v>1109</v>
      </c>
    </row>
    <row r="2386" spans="153:166" x14ac:dyDescent="0.35">
      <c r="EW2386" t="s">
        <v>3124</v>
      </c>
      <c r="EX2386" s="40" t="s">
        <v>3563</v>
      </c>
      <c r="EY2386" s="33" t="s">
        <v>1145</v>
      </c>
      <c r="EZ2386" s="33" t="s">
        <v>1146</v>
      </c>
      <c r="FA2386" s="33" t="s">
        <v>343</v>
      </c>
      <c r="FB2386" s="33" t="s">
        <v>1108</v>
      </c>
      <c r="FC2386" s="33" t="s">
        <v>345</v>
      </c>
      <c r="FD2386" s="33" t="s">
        <v>1108</v>
      </c>
      <c r="FE2386" s="33">
        <v>2025</v>
      </c>
      <c r="FF2386" s="33" t="s">
        <v>1109</v>
      </c>
      <c r="FG2386" s="33" t="s">
        <v>386</v>
      </c>
      <c r="FH2386" s="33" t="s">
        <v>387</v>
      </c>
      <c r="FI2386" s="33" t="s">
        <v>407</v>
      </c>
      <c r="FJ2386" t="s">
        <v>1109</v>
      </c>
    </row>
    <row r="2387" spans="153:166" x14ac:dyDescent="0.35">
      <c r="EW2387" t="s">
        <v>3124</v>
      </c>
      <c r="EX2387" s="40" t="s">
        <v>3564</v>
      </c>
      <c r="EY2387" s="33" t="s">
        <v>1147</v>
      </c>
      <c r="EZ2387" s="33" t="s">
        <v>1148</v>
      </c>
      <c r="FA2387" s="33" t="s">
        <v>343</v>
      </c>
      <c r="FB2387" s="33" t="s">
        <v>1108</v>
      </c>
      <c r="FC2387" s="33" t="s">
        <v>345</v>
      </c>
      <c r="FD2387" s="33" t="s">
        <v>1108</v>
      </c>
      <c r="FE2387" s="33">
        <v>2025</v>
      </c>
      <c r="FF2387" s="33" t="s">
        <v>1109</v>
      </c>
      <c r="FG2387" s="33" t="s">
        <v>386</v>
      </c>
      <c r="FH2387" s="33" t="s">
        <v>387</v>
      </c>
      <c r="FI2387" s="33" t="s">
        <v>407</v>
      </c>
      <c r="FJ2387" t="s">
        <v>1109</v>
      </c>
    </row>
    <row r="2388" spans="153:166" x14ac:dyDescent="0.35">
      <c r="EW2388" t="s">
        <v>3124</v>
      </c>
      <c r="EX2388" s="40" t="s">
        <v>3565</v>
      </c>
      <c r="EY2388" s="33" t="s">
        <v>1149</v>
      </c>
      <c r="EZ2388" s="33" t="s">
        <v>1150</v>
      </c>
      <c r="FA2388" s="33" t="s">
        <v>343</v>
      </c>
      <c r="FB2388" s="33" t="s">
        <v>1108</v>
      </c>
      <c r="FC2388" s="33" t="s">
        <v>345</v>
      </c>
      <c r="FD2388" s="33" t="s">
        <v>1108</v>
      </c>
      <c r="FE2388" s="33">
        <v>2025</v>
      </c>
      <c r="FF2388" s="33" t="s">
        <v>1109</v>
      </c>
      <c r="FG2388" s="33" t="s">
        <v>386</v>
      </c>
      <c r="FH2388" s="33" t="s">
        <v>387</v>
      </c>
      <c r="FI2388" s="33" t="s">
        <v>407</v>
      </c>
      <c r="FJ2388" t="s">
        <v>1109</v>
      </c>
    </row>
    <row r="2389" spans="153:166" x14ac:dyDescent="0.35">
      <c r="EW2389" t="s">
        <v>3124</v>
      </c>
      <c r="EX2389" s="40" t="s">
        <v>3566</v>
      </c>
      <c r="EY2389" s="33" t="s">
        <v>1151</v>
      </c>
      <c r="EZ2389" s="33" t="s">
        <v>1152</v>
      </c>
      <c r="FA2389" s="33" t="s">
        <v>343</v>
      </c>
      <c r="FB2389" s="33" t="s">
        <v>1108</v>
      </c>
      <c r="FC2389" s="33" t="s">
        <v>345</v>
      </c>
      <c r="FD2389" s="33" t="s">
        <v>1108</v>
      </c>
      <c r="FE2389" s="33">
        <v>2025</v>
      </c>
      <c r="FF2389" s="33" t="s">
        <v>1109</v>
      </c>
      <c r="FG2389" s="33" t="s">
        <v>386</v>
      </c>
      <c r="FH2389" s="33" t="s">
        <v>387</v>
      </c>
      <c r="FI2389" s="33" t="s">
        <v>407</v>
      </c>
      <c r="FJ2389" t="s">
        <v>1109</v>
      </c>
    </row>
    <row r="2390" spans="153:166" x14ac:dyDescent="0.35">
      <c r="EW2390" t="s">
        <v>3124</v>
      </c>
      <c r="EX2390" s="40" t="s">
        <v>3567</v>
      </c>
      <c r="EY2390" s="33" t="s">
        <v>1156</v>
      </c>
      <c r="EZ2390" s="33" t="s">
        <v>1157</v>
      </c>
      <c r="FA2390" s="33" t="s">
        <v>343</v>
      </c>
      <c r="FB2390" s="33" t="s">
        <v>1108</v>
      </c>
      <c r="FC2390" s="33" t="s">
        <v>345</v>
      </c>
      <c r="FD2390" s="33" t="s">
        <v>1108</v>
      </c>
      <c r="FE2390" s="33">
        <v>2025</v>
      </c>
      <c r="FF2390" s="33" t="s">
        <v>1109</v>
      </c>
      <c r="FG2390" s="33" t="s">
        <v>386</v>
      </c>
      <c r="FH2390" s="33" t="s">
        <v>387</v>
      </c>
      <c r="FI2390" s="33" t="s">
        <v>407</v>
      </c>
      <c r="FJ2390" t="s">
        <v>1109</v>
      </c>
    </row>
    <row r="2391" spans="153:166" x14ac:dyDescent="0.35">
      <c r="EW2391" t="s">
        <v>3124</v>
      </c>
      <c r="EX2391" s="33" t="s">
        <v>3568</v>
      </c>
      <c r="EY2391" s="33" t="s">
        <v>1158</v>
      </c>
      <c r="EZ2391" s="33" t="s">
        <v>1159</v>
      </c>
      <c r="FA2391" s="33" t="s">
        <v>343</v>
      </c>
      <c r="FB2391" s="33" t="s">
        <v>1108</v>
      </c>
      <c r="FC2391" s="33" t="s">
        <v>345</v>
      </c>
      <c r="FD2391" s="33" t="s">
        <v>1108</v>
      </c>
      <c r="FE2391" s="33">
        <v>2025</v>
      </c>
      <c r="FF2391" s="33" t="s">
        <v>1109</v>
      </c>
      <c r="FG2391" s="33" t="s">
        <v>386</v>
      </c>
      <c r="FH2391" s="33" t="s">
        <v>387</v>
      </c>
      <c r="FI2391" s="33" t="s">
        <v>407</v>
      </c>
      <c r="FJ2391" t="s">
        <v>1109</v>
      </c>
    </row>
    <row r="2392" spans="153:166" x14ac:dyDescent="0.35">
      <c r="EW2392" t="s">
        <v>3124</v>
      </c>
      <c r="EX2392" s="33" t="s">
        <v>3569</v>
      </c>
      <c r="EY2392" s="33" t="s">
        <v>1160</v>
      </c>
      <c r="EZ2392" s="33" t="s">
        <v>1161</v>
      </c>
      <c r="FA2392" s="33" t="s">
        <v>343</v>
      </c>
      <c r="FB2392" s="33" t="s">
        <v>1108</v>
      </c>
      <c r="FC2392" s="33" t="s">
        <v>345</v>
      </c>
      <c r="FD2392" s="33" t="s">
        <v>1108</v>
      </c>
      <c r="FE2392" s="33">
        <v>2025</v>
      </c>
      <c r="FF2392" s="33" t="s">
        <v>1109</v>
      </c>
      <c r="FG2392" s="33" t="s">
        <v>386</v>
      </c>
      <c r="FH2392" s="33" t="s">
        <v>387</v>
      </c>
      <c r="FI2392" s="33" t="s">
        <v>407</v>
      </c>
      <c r="FJ2392" t="s">
        <v>1109</v>
      </c>
    </row>
    <row r="2393" spans="153:166" x14ac:dyDescent="0.35">
      <c r="EW2393" t="s">
        <v>3124</v>
      </c>
      <c r="EX2393" s="33" t="s">
        <v>3570</v>
      </c>
      <c r="EY2393" s="33" t="s">
        <v>1165</v>
      </c>
      <c r="EZ2393" s="33" t="s">
        <v>1166</v>
      </c>
      <c r="FA2393" s="33" t="s">
        <v>343</v>
      </c>
      <c r="FB2393" s="33" t="s">
        <v>1108</v>
      </c>
      <c r="FC2393" s="33" t="s">
        <v>345</v>
      </c>
      <c r="FD2393" s="33" t="s">
        <v>1108</v>
      </c>
      <c r="FE2393" s="33">
        <v>2025</v>
      </c>
      <c r="FF2393" s="33" t="s">
        <v>1109</v>
      </c>
      <c r="FG2393" s="33" t="s">
        <v>386</v>
      </c>
      <c r="FH2393" s="33" t="s">
        <v>387</v>
      </c>
      <c r="FI2393" s="33" t="s">
        <v>407</v>
      </c>
      <c r="FJ2393" t="s">
        <v>1109</v>
      </c>
    </row>
    <row r="2394" spans="153:166" x14ac:dyDescent="0.35">
      <c r="EW2394" t="s">
        <v>3124</v>
      </c>
      <c r="EX2394" s="33" t="s">
        <v>3571</v>
      </c>
      <c r="EY2394" s="33" t="s">
        <v>1167</v>
      </c>
      <c r="EZ2394" s="33" t="s">
        <v>1168</v>
      </c>
      <c r="FA2394" s="33" t="s">
        <v>343</v>
      </c>
      <c r="FB2394" s="33" t="s">
        <v>1108</v>
      </c>
      <c r="FC2394" s="33" t="s">
        <v>345</v>
      </c>
      <c r="FD2394" s="33" t="s">
        <v>1108</v>
      </c>
      <c r="FE2394" s="33">
        <v>2025</v>
      </c>
      <c r="FF2394" s="33" t="s">
        <v>1109</v>
      </c>
      <c r="FG2394" s="33" t="s">
        <v>386</v>
      </c>
      <c r="FH2394" s="33" t="s">
        <v>387</v>
      </c>
      <c r="FI2394" s="33" t="s">
        <v>407</v>
      </c>
      <c r="FJ2394" t="s">
        <v>1109</v>
      </c>
    </row>
    <row r="2395" spans="153:166" x14ac:dyDescent="0.35">
      <c r="EW2395" t="s">
        <v>3124</v>
      </c>
      <c r="EX2395" s="33" t="s">
        <v>3572</v>
      </c>
      <c r="EY2395" s="33" t="s">
        <v>1169</v>
      </c>
      <c r="EZ2395" s="33" t="s">
        <v>1170</v>
      </c>
      <c r="FA2395" s="33" t="s">
        <v>343</v>
      </c>
      <c r="FB2395" s="33" t="s">
        <v>1108</v>
      </c>
      <c r="FC2395" s="33" t="s">
        <v>345</v>
      </c>
      <c r="FD2395" s="33" t="s">
        <v>1108</v>
      </c>
      <c r="FE2395" s="33">
        <v>2025</v>
      </c>
      <c r="FF2395" s="33" t="s">
        <v>1109</v>
      </c>
      <c r="FG2395" s="33" t="s">
        <v>386</v>
      </c>
      <c r="FH2395" s="33" t="s">
        <v>387</v>
      </c>
      <c r="FI2395" s="33" t="s">
        <v>407</v>
      </c>
      <c r="FJ2395" t="s">
        <v>1109</v>
      </c>
    </row>
    <row r="2396" spans="153:166" x14ac:dyDescent="0.35">
      <c r="EW2396" t="s">
        <v>3124</v>
      </c>
      <c r="EX2396" s="33" t="s">
        <v>3573</v>
      </c>
      <c r="EY2396" s="33" t="s">
        <v>1171</v>
      </c>
      <c r="EZ2396" s="33" t="s">
        <v>1172</v>
      </c>
      <c r="FA2396" s="33" t="s">
        <v>343</v>
      </c>
      <c r="FB2396" s="33" t="s">
        <v>1108</v>
      </c>
      <c r="FC2396" s="33" t="s">
        <v>345</v>
      </c>
      <c r="FD2396" s="33" t="s">
        <v>1108</v>
      </c>
      <c r="FE2396" s="33">
        <v>2025</v>
      </c>
      <c r="FF2396" s="33" t="s">
        <v>1109</v>
      </c>
      <c r="FG2396" s="33" t="s">
        <v>386</v>
      </c>
      <c r="FH2396" s="33" t="s">
        <v>387</v>
      </c>
      <c r="FI2396" s="33" t="s">
        <v>407</v>
      </c>
      <c r="FJ2396" t="s">
        <v>1109</v>
      </c>
    </row>
    <row r="2397" spans="153:166" x14ac:dyDescent="0.35">
      <c r="EW2397" t="s">
        <v>3124</v>
      </c>
      <c r="EX2397" s="33" t="s">
        <v>3574</v>
      </c>
      <c r="EY2397" s="33" t="s">
        <v>1176</v>
      </c>
      <c r="EZ2397" s="33" t="s">
        <v>1177</v>
      </c>
      <c r="FA2397" s="33" t="s">
        <v>343</v>
      </c>
      <c r="FB2397" s="33" t="s">
        <v>1108</v>
      </c>
      <c r="FC2397" s="33" t="s">
        <v>345</v>
      </c>
      <c r="FD2397" s="33" t="s">
        <v>1108</v>
      </c>
      <c r="FE2397" s="33">
        <v>2025</v>
      </c>
      <c r="FF2397" s="33" t="s">
        <v>1109</v>
      </c>
      <c r="FG2397" s="33" t="s">
        <v>386</v>
      </c>
      <c r="FH2397" s="33" t="s">
        <v>387</v>
      </c>
      <c r="FI2397" s="33" t="s">
        <v>407</v>
      </c>
      <c r="FJ2397" t="s">
        <v>1109</v>
      </c>
    </row>
    <row r="2398" spans="153:166" x14ac:dyDescent="0.35">
      <c r="EW2398" t="s">
        <v>3124</v>
      </c>
      <c r="EX2398" s="33" t="s">
        <v>3575</v>
      </c>
      <c r="EY2398" s="33" t="s">
        <v>1178</v>
      </c>
      <c r="EZ2398" s="33" t="s">
        <v>1179</v>
      </c>
      <c r="FA2398" s="33" t="s">
        <v>343</v>
      </c>
      <c r="FB2398" s="33" t="s">
        <v>1108</v>
      </c>
      <c r="FC2398" s="33" t="s">
        <v>345</v>
      </c>
      <c r="FD2398" s="33" t="s">
        <v>1108</v>
      </c>
      <c r="FE2398" s="33">
        <v>2025</v>
      </c>
      <c r="FF2398" s="33" t="s">
        <v>1109</v>
      </c>
      <c r="FG2398" s="33" t="s">
        <v>386</v>
      </c>
      <c r="FH2398" s="33" t="s">
        <v>387</v>
      </c>
      <c r="FI2398" s="33" t="s">
        <v>407</v>
      </c>
      <c r="FJ2398" t="s">
        <v>1109</v>
      </c>
    </row>
    <row r="2399" spans="153:166" x14ac:dyDescent="0.35">
      <c r="EW2399" t="s">
        <v>3124</v>
      </c>
      <c r="EX2399" s="33" t="s">
        <v>3576</v>
      </c>
      <c r="EY2399" s="33" t="s">
        <v>1180</v>
      </c>
      <c r="EZ2399" s="33" t="s">
        <v>1181</v>
      </c>
      <c r="FA2399" s="33" t="s">
        <v>343</v>
      </c>
      <c r="FB2399" s="33" t="s">
        <v>1108</v>
      </c>
      <c r="FC2399" s="33" t="s">
        <v>345</v>
      </c>
      <c r="FD2399" s="33" t="s">
        <v>1108</v>
      </c>
      <c r="FE2399" s="33">
        <v>2025</v>
      </c>
      <c r="FF2399" s="33" t="s">
        <v>1109</v>
      </c>
      <c r="FG2399" s="33" t="s">
        <v>386</v>
      </c>
      <c r="FH2399" s="33" t="s">
        <v>387</v>
      </c>
      <c r="FI2399" s="33" t="s">
        <v>407</v>
      </c>
      <c r="FJ2399" t="s">
        <v>1109</v>
      </c>
    </row>
    <row r="2400" spans="153:166" x14ac:dyDescent="0.35">
      <c r="EW2400" t="s">
        <v>3124</v>
      </c>
      <c r="EX2400" s="33" t="s">
        <v>3577</v>
      </c>
      <c r="EY2400" s="33" t="s">
        <v>1182</v>
      </c>
      <c r="EZ2400" s="33" t="s">
        <v>1183</v>
      </c>
      <c r="FA2400" s="33" t="s">
        <v>343</v>
      </c>
      <c r="FB2400" s="33" t="s">
        <v>1108</v>
      </c>
      <c r="FC2400" s="33" t="s">
        <v>345</v>
      </c>
      <c r="FD2400" s="33" t="s">
        <v>1108</v>
      </c>
      <c r="FE2400" s="33">
        <v>2025</v>
      </c>
      <c r="FF2400" s="33" t="s">
        <v>1109</v>
      </c>
      <c r="FG2400" s="33" t="s">
        <v>386</v>
      </c>
      <c r="FH2400" s="33" t="s">
        <v>387</v>
      </c>
      <c r="FI2400" s="33" t="s">
        <v>407</v>
      </c>
      <c r="FJ2400" t="s">
        <v>1109</v>
      </c>
    </row>
    <row r="2401" spans="153:166" x14ac:dyDescent="0.35">
      <c r="EW2401" t="s">
        <v>3124</v>
      </c>
      <c r="EX2401" s="33" t="s">
        <v>3578</v>
      </c>
      <c r="EY2401" s="33" t="s">
        <v>1184</v>
      </c>
      <c r="EZ2401" s="33" t="s">
        <v>1185</v>
      </c>
      <c r="FA2401" s="33" t="s">
        <v>343</v>
      </c>
      <c r="FB2401" s="33" t="s">
        <v>1108</v>
      </c>
      <c r="FC2401" s="33" t="s">
        <v>345</v>
      </c>
      <c r="FD2401" s="33" t="s">
        <v>1108</v>
      </c>
      <c r="FE2401" s="33">
        <v>2025</v>
      </c>
      <c r="FF2401" s="33" t="s">
        <v>1109</v>
      </c>
      <c r="FG2401" s="33" t="s">
        <v>386</v>
      </c>
      <c r="FH2401" s="33" t="s">
        <v>387</v>
      </c>
      <c r="FI2401" s="33" t="s">
        <v>407</v>
      </c>
      <c r="FJ2401" t="s">
        <v>1109</v>
      </c>
    </row>
    <row r="2402" spans="153:166" x14ac:dyDescent="0.35">
      <c r="EW2402" t="s">
        <v>3124</v>
      </c>
      <c r="EX2402" s="33" t="s">
        <v>3579</v>
      </c>
      <c r="EY2402" s="33" t="s">
        <v>1186</v>
      </c>
      <c r="EZ2402" s="33" t="s">
        <v>1187</v>
      </c>
      <c r="FA2402" s="33" t="s">
        <v>343</v>
      </c>
      <c r="FB2402" s="33" t="s">
        <v>1108</v>
      </c>
      <c r="FC2402" s="33" t="s">
        <v>345</v>
      </c>
      <c r="FD2402" s="33" t="s">
        <v>1108</v>
      </c>
      <c r="FE2402" s="33">
        <v>2025</v>
      </c>
      <c r="FF2402" s="33" t="s">
        <v>1109</v>
      </c>
      <c r="FG2402" s="33" t="s">
        <v>386</v>
      </c>
      <c r="FH2402" s="33" t="s">
        <v>387</v>
      </c>
      <c r="FI2402" s="33" t="s">
        <v>407</v>
      </c>
      <c r="FJ2402" t="s">
        <v>1109</v>
      </c>
    </row>
    <row r="2403" spans="153:166" x14ac:dyDescent="0.35">
      <c r="EW2403" t="s">
        <v>3124</v>
      </c>
      <c r="EX2403" s="33" t="s">
        <v>3580</v>
      </c>
      <c r="EY2403" s="33" t="s">
        <v>1188</v>
      </c>
      <c r="EZ2403" s="33" t="s">
        <v>1189</v>
      </c>
      <c r="FA2403" s="33" t="s">
        <v>343</v>
      </c>
      <c r="FB2403" s="33" t="s">
        <v>1108</v>
      </c>
      <c r="FC2403" s="33" t="s">
        <v>345</v>
      </c>
      <c r="FD2403" s="33" t="s">
        <v>1108</v>
      </c>
      <c r="FE2403" s="33">
        <v>2025</v>
      </c>
      <c r="FF2403" s="33" t="s">
        <v>1109</v>
      </c>
      <c r="FG2403" s="33" t="s">
        <v>386</v>
      </c>
      <c r="FH2403" s="33" t="s">
        <v>387</v>
      </c>
      <c r="FI2403" s="33" t="s">
        <v>407</v>
      </c>
      <c r="FJ2403" t="s">
        <v>1109</v>
      </c>
    </row>
    <row r="2404" spans="153:166" x14ac:dyDescent="0.35">
      <c r="EW2404" t="s">
        <v>3124</v>
      </c>
      <c r="EX2404" s="35" t="s">
        <v>3581</v>
      </c>
      <c r="EY2404" s="35" t="s">
        <v>1190</v>
      </c>
      <c r="EZ2404" s="36" t="s">
        <v>1191</v>
      </c>
      <c r="FA2404" s="36" t="s">
        <v>1192</v>
      </c>
      <c r="FB2404" s="36" t="s">
        <v>344</v>
      </c>
      <c r="FC2404" s="36" t="s">
        <v>1192</v>
      </c>
      <c r="FD2404" s="36" t="s">
        <v>344</v>
      </c>
      <c r="FE2404" s="36">
        <v>2026</v>
      </c>
      <c r="FF2404" s="36" t="s">
        <v>59</v>
      </c>
      <c r="FG2404" s="36" t="s">
        <v>1193</v>
      </c>
      <c r="FJ2404" t="s">
        <v>59</v>
      </c>
    </row>
    <row r="2405" spans="153:166" x14ac:dyDescent="0.35">
      <c r="EW2405" t="s">
        <v>3124</v>
      </c>
      <c r="EX2405" s="35" t="s">
        <v>3582</v>
      </c>
      <c r="EY2405" s="35" t="s">
        <v>1196</v>
      </c>
      <c r="EZ2405" s="36" t="s">
        <v>1197</v>
      </c>
      <c r="FA2405" s="36" t="s">
        <v>1192</v>
      </c>
      <c r="FB2405" s="36" t="s">
        <v>344</v>
      </c>
      <c r="FC2405" s="36" t="s">
        <v>1192</v>
      </c>
      <c r="FD2405" s="36" t="s">
        <v>344</v>
      </c>
      <c r="FE2405" s="36">
        <v>2026</v>
      </c>
      <c r="FF2405" s="36" t="s">
        <v>59</v>
      </c>
      <c r="FG2405" s="36" t="s">
        <v>1193</v>
      </c>
      <c r="FJ2405" t="s">
        <v>59</v>
      </c>
    </row>
    <row r="2406" spans="153:166" x14ac:dyDescent="0.35">
      <c r="EW2406" t="s">
        <v>3124</v>
      </c>
      <c r="EX2406" s="35" t="s">
        <v>3583</v>
      </c>
      <c r="EY2406" s="35" t="s">
        <v>1200</v>
      </c>
      <c r="EZ2406" s="36" t="s">
        <v>1201</v>
      </c>
      <c r="FA2406" s="36" t="s">
        <v>1192</v>
      </c>
      <c r="FB2406" s="36" t="s">
        <v>344</v>
      </c>
      <c r="FC2406" s="36" t="s">
        <v>1192</v>
      </c>
      <c r="FD2406" s="36" t="s">
        <v>344</v>
      </c>
      <c r="FE2406" s="36">
        <v>2026</v>
      </c>
      <c r="FF2406" s="36" t="s">
        <v>59</v>
      </c>
      <c r="FG2406" s="36" t="s">
        <v>1193</v>
      </c>
      <c r="FJ2406" t="s">
        <v>59</v>
      </c>
    </row>
    <row r="2407" spans="153:166" x14ac:dyDescent="0.35">
      <c r="EW2407" t="s">
        <v>3124</v>
      </c>
      <c r="EX2407" s="35" t="s">
        <v>3584</v>
      </c>
      <c r="EY2407" s="35" t="s">
        <v>1204</v>
      </c>
      <c r="EZ2407" s="36" t="s">
        <v>1205</v>
      </c>
      <c r="FA2407" s="36" t="s">
        <v>1192</v>
      </c>
      <c r="FB2407" s="36" t="s">
        <v>344</v>
      </c>
      <c r="FC2407" s="36" t="s">
        <v>1192</v>
      </c>
      <c r="FD2407" s="36" t="s">
        <v>344</v>
      </c>
      <c r="FE2407" s="36">
        <v>2026</v>
      </c>
      <c r="FF2407" s="36" t="s">
        <v>59</v>
      </c>
      <c r="FG2407" s="36" t="s">
        <v>1193</v>
      </c>
      <c r="FJ2407" t="s">
        <v>59</v>
      </c>
    </row>
    <row r="2408" spans="153:166" x14ac:dyDescent="0.35">
      <c r="EW2408" t="s">
        <v>3124</v>
      </c>
      <c r="EX2408" s="35" t="s">
        <v>3585</v>
      </c>
      <c r="EY2408" s="35" t="s">
        <v>1208</v>
      </c>
      <c r="EZ2408" s="36" t="s">
        <v>1209</v>
      </c>
      <c r="FA2408" s="36" t="s">
        <v>1192</v>
      </c>
      <c r="FB2408" s="36" t="s">
        <v>344</v>
      </c>
      <c r="FC2408" s="36" t="s">
        <v>1192</v>
      </c>
      <c r="FD2408" s="36" t="s">
        <v>344</v>
      </c>
      <c r="FE2408" s="36">
        <v>2026</v>
      </c>
      <c r="FF2408" s="36" t="s">
        <v>59</v>
      </c>
      <c r="FG2408" s="36" t="s">
        <v>1210</v>
      </c>
      <c r="FJ2408" t="s">
        <v>59</v>
      </c>
    </row>
    <row r="2409" spans="153:166" x14ac:dyDescent="0.35">
      <c r="EW2409" t="s">
        <v>3124</v>
      </c>
      <c r="EX2409" s="35" t="s">
        <v>3586</v>
      </c>
      <c r="EY2409" s="35" t="s">
        <v>1213</v>
      </c>
      <c r="EZ2409" s="36" t="s">
        <v>1214</v>
      </c>
      <c r="FA2409" s="36" t="s">
        <v>1192</v>
      </c>
      <c r="FB2409" s="36" t="s">
        <v>344</v>
      </c>
      <c r="FC2409" s="36" t="s">
        <v>1192</v>
      </c>
      <c r="FD2409" s="36" t="s">
        <v>344</v>
      </c>
      <c r="FE2409" s="36">
        <v>2026</v>
      </c>
      <c r="FF2409" s="36" t="s">
        <v>59</v>
      </c>
      <c r="FG2409" s="36" t="s">
        <v>1193</v>
      </c>
      <c r="FJ2409" t="s">
        <v>59</v>
      </c>
    </row>
    <row r="2410" spans="153:166" x14ac:dyDescent="0.35">
      <c r="EW2410" t="s">
        <v>3124</v>
      </c>
      <c r="EX2410" s="35" t="s">
        <v>3587</v>
      </c>
      <c r="EY2410" s="35" t="s">
        <v>1217</v>
      </c>
      <c r="EZ2410" s="36" t="s">
        <v>1218</v>
      </c>
      <c r="FA2410" s="36" t="s">
        <v>1192</v>
      </c>
      <c r="FB2410" s="36" t="s">
        <v>344</v>
      </c>
      <c r="FC2410" s="36" t="s">
        <v>1192</v>
      </c>
      <c r="FD2410" s="36" t="s">
        <v>344</v>
      </c>
      <c r="FE2410" s="36">
        <v>2026</v>
      </c>
      <c r="FF2410" s="36" t="s">
        <v>59</v>
      </c>
      <c r="FG2410" s="36" t="s">
        <v>1193</v>
      </c>
      <c r="FJ2410" t="s">
        <v>59</v>
      </c>
    </row>
    <row r="2411" spans="153:166" x14ac:dyDescent="0.35">
      <c r="EW2411" t="s">
        <v>3124</v>
      </c>
      <c r="EX2411" s="35" t="s">
        <v>3588</v>
      </c>
      <c r="EY2411" s="35" t="s">
        <v>1219</v>
      </c>
      <c r="EZ2411" s="36" t="s">
        <v>1220</v>
      </c>
      <c r="FA2411" s="36" t="s">
        <v>1192</v>
      </c>
      <c r="FB2411" s="36" t="s">
        <v>344</v>
      </c>
      <c r="FC2411" s="36" t="s">
        <v>1192</v>
      </c>
      <c r="FD2411" s="36" t="s">
        <v>344</v>
      </c>
      <c r="FE2411" s="36">
        <v>2026</v>
      </c>
      <c r="FF2411" s="36" t="s">
        <v>59</v>
      </c>
      <c r="FG2411" s="36" t="s">
        <v>1193</v>
      </c>
      <c r="FJ2411" t="s">
        <v>59</v>
      </c>
    </row>
    <row r="2412" spans="153:166" x14ac:dyDescent="0.35">
      <c r="EW2412" t="s">
        <v>3124</v>
      </c>
      <c r="EX2412" s="35" t="s">
        <v>3589</v>
      </c>
      <c r="EY2412" s="35" t="s">
        <v>1223</v>
      </c>
      <c r="EZ2412" s="36" t="s">
        <v>1224</v>
      </c>
      <c r="FA2412" s="36" t="s">
        <v>1192</v>
      </c>
      <c r="FB2412" s="36" t="s">
        <v>344</v>
      </c>
      <c r="FC2412" s="36" t="s">
        <v>1192</v>
      </c>
      <c r="FD2412" s="36" t="s">
        <v>344</v>
      </c>
      <c r="FE2412" s="36">
        <v>2026</v>
      </c>
      <c r="FF2412" s="36" t="s">
        <v>59</v>
      </c>
      <c r="FG2412" s="36" t="s">
        <v>1193</v>
      </c>
      <c r="FJ2412" t="s">
        <v>59</v>
      </c>
    </row>
    <row r="2413" spans="153:166" x14ac:dyDescent="0.35">
      <c r="EW2413" t="s">
        <v>3124</v>
      </c>
      <c r="EX2413" s="35" t="s">
        <v>3590</v>
      </c>
      <c r="EY2413" s="35" t="s">
        <v>1227</v>
      </c>
      <c r="EZ2413" s="36" t="s">
        <v>1228</v>
      </c>
      <c r="FA2413" s="36" t="s">
        <v>1192</v>
      </c>
      <c r="FB2413" s="36" t="s">
        <v>344</v>
      </c>
      <c r="FC2413" s="36" t="s">
        <v>1192</v>
      </c>
      <c r="FD2413" s="36" t="s">
        <v>344</v>
      </c>
      <c r="FE2413" s="36">
        <v>2026</v>
      </c>
      <c r="FF2413" s="36" t="s">
        <v>59</v>
      </c>
      <c r="FG2413" s="36" t="s">
        <v>1193</v>
      </c>
      <c r="FJ2413" t="s">
        <v>59</v>
      </c>
    </row>
    <row r="2414" spans="153:166" x14ac:dyDescent="0.35">
      <c r="EW2414" t="s">
        <v>3124</v>
      </c>
      <c r="EX2414" s="35" t="s">
        <v>3591</v>
      </c>
      <c r="EY2414" s="35" t="s">
        <v>1231</v>
      </c>
      <c r="EZ2414" s="36" t="s">
        <v>1232</v>
      </c>
      <c r="FA2414" s="36" t="s">
        <v>1192</v>
      </c>
      <c r="FB2414" s="36" t="s">
        <v>344</v>
      </c>
      <c r="FC2414" s="36" t="s">
        <v>1192</v>
      </c>
      <c r="FD2414" s="36" t="s">
        <v>344</v>
      </c>
      <c r="FE2414" s="36">
        <v>2026</v>
      </c>
      <c r="FF2414" s="36" t="s">
        <v>59</v>
      </c>
      <c r="FG2414" s="36" t="s">
        <v>1193</v>
      </c>
      <c r="FJ2414" t="s">
        <v>59</v>
      </c>
    </row>
    <row r="2415" spans="153:166" x14ac:dyDescent="0.35">
      <c r="EW2415" t="s">
        <v>3124</v>
      </c>
      <c r="EX2415" s="35" t="s">
        <v>3592</v>
      </c>
      <c r="EY2415" s="35" t="s">
        <v>1235</v>
      </c>
      <c r="EZ2415" s="36" t="s">
        <v>1236</v>
      </c>
      <c r="FA2415" s="36" t="s">
        <v>1192</v>
      </c>
      <c r="FB2415" s="36" t="s">
        <v>344</v>
      </c>
      <c r="FC2415" s="36" t="s">
        <v>1192</v>
      </c>
      <c r="FD2415" s="36" t="s">
        <v>344</v>
      </c>
      <c r="FE2415" s="36">
        <v>2026</v>
      </c>
      <c r="FF2415" s="36" t="s">
        <v>59</v>
      </c>
      <c r="FG2415" s="36" t="s">
        <v>1193</v>
      </c>
      <c r="FJ2415" t="s">
        <v>59</v>
      </c>
    </row>
    <row r="2416" spans="153:166" x14ac:dyDescent="0.35">
      <c r="EW2416" t="s">
        <v>3124</v>
      </c>
      <c r="EX2416" s="35" t="s">
        <v>3593</v>
      </c>
      <c r="EY2416" s="35" t="s">
        <v>1239</v>
      </c>
      <c r="EZ2416" s="36" t="s">
        <v>1240</v>
      </c>
      <c r="FA2416" s="36" t="s">
        <v>1192</v>
      </c>
      <c r="FB2416" s="36" t="s">
        <v>344</v>
      </c>
      <c r="FC2416" s="36" t="s">
        <v>1192</v>
      </c>
      <c r="FD2416" s="36" t="s">
        <v>344</v>
      </c>
      <c r="FE2416" s="36">
        <v>2026</v>
      </c>
      <c r="FF2416" s="36" t="s">
        <v>59</v>
      </c>
      <c r="FG2416" s="36" t="s">
        <v>1241</v>
      </c>
      <c r="FJ2416" t="s">
        <v>59</v>
      </c>
    </row>
    <row r="2417" spans="153:166" x14ac:dyDescent="0.35">
      <c r="EW2417" t="s">
        <v>3124</v>
      </c>
      <c r="EX2417" s="35" t="s">
        <v>3594</v>
      </c>
      <c r="EY2417" s="35" t="s">
        <v>1244</v>
      </c>
      <c r="EZ2417" s="36" t="s">
        <v>1245</v>
      </c>
      <c r="FA2417" s="36" t="s">
        <v>1192</v>
      </c>
      <c r="FB2417" s="36" t="s">
        <v>344</v>
      </c>
      <c r="FC2417" s="36" t="s">
        <v>1192</v>
      </c>
      <c r="FD2417" s="36" t="s">
        <v>344</v>
      </c>
      <c r="FE2417" s="36">
        <v>2026</v>
      </c>
      <c r="FF2417" s="36" t="s">
        <v>59</v>
      </c>
      <c r="FG2417" s="36" t="s">
        <v>1241</v>
      </c>
      <c r="FJ2417" t="s">
        <v>59</v>
      </c>
    </row>
    <row r="2418" spans="153:166" x14ac:dyDescent="0.35">
      <c r="EW2418" t="s">
        <v>3124</v>
      </c>
      <c r="EX2418" s="35" t="s">
        <v>3595</v>
      </c>
      <c r="EY2418" s="35" t="s">
        <v>1246</v>
      </c>
      <c r="EZ2418" s="36" t="s">
        <v>1247</v>
      </c>
      <c r="FA2418" s="36" t="s">
        <v>1192</v>
      </c>
      <c r="FB2418" s="36" t="s">
        <v>344</v>
      </c>
      <c r="FC2418" s="36" t="s">
        <v>1192</v>
      </c>
      <c r="FD2418" s="36" t="s">
        <v>344</v>
      </c>
      <c r="FE2418" s="36">
        <v>2026</v>
      </c>
      <c r="FF2418" s="36" t="s">
        <v>59</v>
      </c>
      <c r="FG2418" s="36" t="s">
        <v>1241</v>
      </c>
      <c r="FJ2418" t="s">
        <v>59</v>
      </c>
    </row>
    <row r="2419" spans="153:166" x14ac:dyDescent="0.35">
      <c r="EW2419" t="s">
        <v>3124</v>
      </c>
      <c r="EX2419" s="35" t="s">
        <v>3596</v>
      </c>
      <c r="EY2419" s="35" t="s">
        <v>1250</v>
      </c>
      <c r="EZ2419" s="36" t="s">
        <v>1251</v>
      </c>
      <c r="FA2419" s="36" t="s">
        <v>1192</v>
      </c>
      <c r="FB2419" s="36" t="s">
        <v>344</v>
      </c>
      <c r="FC2419" s="36" t="s">
        <v>1192</v>
      </c>
      <c r="FD2419" s="36" t="s">
        <v>344</v>
      </c>
      <c r="FE2419" s="36">
        <v>2026</v>
      </c>
      <c r="FF2419" s="36" t="s">
        <v>59</v>
      </c>
      <c r="FG2419" s="36" t="s">
        <v>1241</v>
      </c>
      <c r="FJ2419" t="s">
        <v>59</v>
      </c>
    </row>
    <row r="2420" spans="153:166" x14ac:dyDescent="0.35">
      <c r="EW2420" t="s">
        <v>3124</v>
      </c>
      <c r="EX2420" s="35" t="s">
        <v>3597</v>
      </c>
      <c r="EY2420" s="35" t="s">
        <v>1254</v>
      </c>
      <c r="EZ2420" s="36" t="s">
        <v>1255</v>
      </c>
      <c r="FA2420" s="36" t="s">
        <v>1192</v>
      </c>
      <c r="FB2420" s="36" t="s">
        <v>344</v>
      </c>
      <c r="FC2420" s="36" t="s">
        <v>1192</v>
      </c>
      <c r="FD2420" s="36" t="s">
        <v>344</v>
      </c>
      <c r="FE2420" s="36">
        <v>2026</v>
      </c>
      <c r="FF2420" s="36" t="s">
        <v>59</v>
      </c>
      <c r="FG2420" s="36" t="s">
        <v>1241</v>
      </c>
      <c r="FJ2420" t="s">
        <v>59</v>
      </c>
    </row>
    <row r="2421" spans="153:166" x14ac:dyDescent="0.35">
      <c r="EW2421" t="s">
        <v>3124</v>
      </c>
      <c r="EX2421" s="35" t="s">
        <v>3598</v>
      </c>
      <c r="EY2421" s="35" t="s">
        <v>1258</v>
      </c>
      <c r="EZ2421" s="36" t="s">
        <v>1259</v>
      </c>
      <c r="FA2421" s="36" t="s">
        <v>1192</v>
      </c>
      <c r="FB2421" s="36" t="s">
        <v>344</v>
      </c>
      <c r="FC2421" s="36" t="s">
        <v>1192</v>
      </c>
      <c r="FD2421" s="36" t="s">
        <v>344</v>
      </c>
      <c r="FE2421" s="36">
        <v>2026</v>
      </c>
      <c r="FF2421" s="36" t="s">
        <v>59</v>
      </c>
      <c r="FG2421" s="36" t="s">
        <v>1241</v>
      </c>
      <c r="FJ2421" t="s">
        <v>59</v>
      </c>
    </row>
    <row r="2422" spans="153:166" x14ac:dyDescent="0.35">
      <c r="EW2422" t="s">
        <v>3124</v>
      </c>
      <c r="EX2422" s="35" t="s">
        <v>3599</v>
      </c>
      <c r="EY2422" s="35" t="s">
        <v>1262</v>
      </c>
      <c r="EZ2422" s="36" t="s">
        <v>1263</v>
      </c>
      <c r="FA2422" s="36" t="s">
        <v>1192</v>
      </c>
      <c r="FB2422" s="36" t="s">
        <v>344</v>
      </c>
      <c r="FC2422" s="36" t="s">
        <v>1192</v>
      </c>
      <c r="FD2422" s="36" t="s">
        <v>344</v>
      </c>
      <c r="FE2422" s="36">
        <v>2026</v>
      </c>
      <c r="FF2422" s="36" t="s">
        <v>59</v>
      </c>
      <c r="FG2422" s="36" t="s">
        <v>1241</v>
      </c>
      <c r="FJ2422" t="s">
        <v>59</v>
      </c>
    </row>
    <row r="2423" spans="153:166" x14ac:dyDescent="0.35">
      <c r="EW2423" t="s">
        <v>3124</v>
      </c>
      <c r="EX2423" s="35" t="s">
        <v>3600</v>
      </c>
      <c r="EY2423" s="35" t="s">
        <v>1266</v>
      </c>
      <c r="EZ2423" s="36" t="s">
        <v>1267</v>
      </c>
      <c r="FA2423" s="36" t="s">
        <v>1192</v>
      </c>
      <c r="FB2423" s="36" t="s">
        <v>344</v>
      </c>
      <c r="FC2423" s="36" t="s">
        <v>1192</v>
      </c>
      <c r="FD2423" s="36" t="s">
        <v>344</v>
      </c>
      <c r="FE2423" s="36">
        <v>2026</v>
      </c>
      <c r="FF2423" s="36" t="s">
        <v>59</v>
      </c>
      <c r="FG2423" s="36" t="s">
        <v>1193</v>
      </c>
      <c r="FJ2423" t="s">
        <v>59</v>
      </c>
    </row>
    <row r="2424" spans="153:166" x14ac:dyDescent="0.35">
      <c r="EW2424" t="s">
        <v>3124</v>
      </c>
      <c r="EX2424" s="35" t="s">
        <v>3601</v>
      </c>
      <c r="EY2424" s="35" t="s">
        <v>1269</v>
      </c>
      <c r="EZ2424" s="36" t="s">
        <v>1270</v>
      </c>
      <c r="FA2424" s="36" t="s">
        <v>1192</v>
      </c>
      <c r="FB2424" s="36" t="s">
        <v>344</v>
      </c>
      <c r="FC2424" s="36" t="s">
        <v>1192</v>
      </c>
      <c r="FD2424" s="36" t="s">
        <v>344</v>
      </c>
      <c r="FE2424" s="36">
        <v>2026</v>
      </c>
      <c r="FF2424" s="36" t="s">
        <v>59</v>
      </c>
      <c r="FG2424" s="36" t="s">
        <v>1210</v>
      </c>
      <c r="FJ2424" t="s">
        <v>59</v>
      </c>
    </row>
    <row r="2425" spans="153:166" x14ac:dyDescent="0.35">
      <c r="EW2425" t="s">
        <v>3124</v>
      </c>
      <c r="EX2425" s="35" t="s">
        <v>3602</v>
      </c>
      <c r="EY2425" s="35" t="s">
        <v>1271</v>
      </c>
      <c r="EZ2425" s="36" t="s">
        <v>1272</v>
      </c>
      <c r="FA2425" s="36" t="s">
        <v>1192</v>
      </c>
      <c r="FB2425" s="36" t="s">
        <v>344</v>
      </c>
      <c r="FC2425" s="36" t="s">
        <v>1192</v>
      </c>
      <c r="FD2425" s="36" t="s">
        <v>344</v>
      </c>
      <c r="FE2425" s="36">
        <v>2026</v>
      </c>
      <c r="FF2425" s="36" t="s">
        <v>59</v>
      </c>
      <c r="FG2425" s="36" t="s">
        <v>1210</v>
      </c>
      <c r="FJ2425" t="s">
        <v>59</v>
      </c>
    </row>
    <row r="2426" spans="153:166" x14ac:dyDescent="0.35">
      <c r="EW2426" t="s">
        <v>3124</v>
      </c>
      <c r="EX2426" s="41" t="s">
        <v>3603</v>
      </c>
      <c r="EY2426" s="35" t="s">
        <v>1274</v>
      </c>
      <c r="EZ2426" s="36" t="s">
        <v>1275</v>
      </c>
      <c r="FA2426" s="36" t="s">
        <v>1192</v>
      </c>
      <c r="FB2426" s="36" t="s">
        <v>344</v>
      </c>
      <c r="FC2426" s="36" t="s">
        <v>1192</v>
      </c>
      <c r="FD2426" s="36" t="s">
        <v>344</v>
      </c>
      <c r="FE2426" s="36">
        <v>2026</v>
      </c>
      <c r="FF2426" s="36" t="s">
        <v>59</v>
      </c>
      <c r="FG2426" s="36" t="s">
        <v>1210</v>
      </c>
      <c r="FJ2426" t="s">
        <v>59</v>
      </c>
    </row>
    <row r="2427" spans="153:166" x14ac:dyDescent="0.35">
      <c r="EW2427" t="s">
        <v>3124</v>
      </c>
      <c r="EX2427" s="35" t="s">
        <v>3604</v>
      </c>
      <c r="EY2427" s="35" t="s">
        <v>1276</v>
      </c>
      <c r="EZ2427" s="36" t="s">
        <v>1277</v>
      </c>
      <c r="FA2427" s="36" t="s">
        <v>1192</v>
      </c>
      <c r="FB2427" s="36" t="s">
        <v>344</v>
      </c>
      <c r="FC2427" s="36" t="s">
        <v>1192</v>
      </c>
      <c r="FD2427" s="36" t="s">
        <v>344</v>
      </c>
      <c r="FE2427" s="36">
        <v>2026</v>
      </c>
      <c r="FF2427" s="36" t="s">
        <v>59</v>
      </c>
      <c r="FG2427" s="36" t="s">
        <v>1210</v>
      </c>
      <c r="FJ2427" t="s">
        <v>59</v>
      </c>
    </row>
    <row r="2428" spans="153:166" x14ac:dyDescent="0.35">
      <c r="EW2428" t="s">
        <v>3124</v>
      </c>
      <c r="EX2428" s="35" t="s">
        <v>3605</v>
      </c>
      <c r="EY2428" s="35" t="s">
        <v>1279</v>
      </c>
      <c r="EZ2428" s="36" t="s">
        <v>1280</v>
      </c>
      <c r="FA2428" s="36" t="s">
        <v>1192</v>
      </c>
      <c r="FB2428" s="36" t="s">
        <v>344</v>
      </c>
      <c r="FC2428" s="36" t="s">
        <v>1192</v>
      </c>
      <c r="FD2428" s="36" t="s">
        <v>344</v>
      </c>
      <c r="FE2428" s="36">
        <v>2026</v>
      </c>
      <c r="FF2428" s="36" t="s">
        <v>59</v>
      </c>
      <c r="FG2428" s="36" t="s">
        <v>1210</v>
      </c>
      <c r="FJ2428" t="s">
        <v>59</v>
      </c>
    </row>
    <row r="2429" spans="153:166" x14ac:dyDescent="0.35">
      <c r="EW2429" t="s">
        <v>3124</v>
      </c>
      <c r="EX2429" s="35" t="s">
        <v>3606</v>
      </c>
      <c r="EY2429" s="35" t="s">
        <v>1281</v>
      </c>
      <c r="EZ2429" s="36" t="s">
        <v>1282</v>
      </c>
      <c r="FA2429" s="36" t="s">
        <v>1192</v>
      </c>
      <c r="FB2429" s="36" t="s">
        <v>344</v>
      </c>
      <c r="FC2429" s="36" t="s">
        <v>1192</v>
      </c>
      <c r="FD2429" s="36" t="s">
        <v>344</v>
      </c>
      <c r="FE2429" s="36">
        <v>2026</v>
      </c>
      <c r="FF2429" s="36" t="s">
        <v>59</v>
      </c>
      <c r="FG2429" s="36" t="s">
        <v>1210</v>
      </c>
      <c r="FJ2429" t="s">
        <v>59</v>
      </c>
    </row>
    <row r="2430" spans="153:166" x14ac:dyDescent="0.35">
      <c r="EW2430" t="s">
        <v>3124</v>
      </c>
      <c r="EX2430" s="35" t="s">
        <v>3607</v>
      </c>
      <c r="EY2430" s="35" t="s">
        <v>1284</v>
      </c>
      <c r="EZ2430" s="36" t="s">
        <v>1285</v>
      </c>
      <c r="FA2430" s="36" t="s">
        <v>1192</v>
      </c>
      <c r="FB2430" s="36" t="s">
        <v>344</v>
      </c>
      <c r="FC2430" s="36" t="s">
        <v>1192</v>
      </c>
      <c r="FD2430" s="36" t="s">
        <v>344</v>
      </c>
      <c r="FE2430" s="36">
        <v>2026</v>
      </c>
      <c r="FF2430" s="36" t="s">
        <v>59</v>
      </c>
      <c r="FG2430" s="36" t="s">
        <v>1210</v>
      </c>
      <c r="FJ2430" t="s">
        <v>59</v>
      </c>
    </row>
    <row r="2431" spans="153:166" x14ac:dyDescent="0.35">
      <c r="EW2431" t="s">
        <v>3124</v>
      </c>
      <c r="EX2431" s="35" t="s">
        <v>3608</v>
      </c>
      <c r="EY2431" s="35" t="s">
        <v>1287</v>
      </c>
      <c r="EZ2431" s="36" t="s">
        <v>1288</v>
      </c>
      <c r="FA2431" s="36" t="s">
        <v>1192</v>
      </c>
      <c r="FB2431" s="36" t="s">
        <v>344</v>
      </c>
      <c r="FC2431" s="36" t="s">
        <v>1192</v>
      </c>
      <c r="FD2431" s="36" t="s">
        <v>344</v>
      </c>
      <c r="FE2431" s="36">
        <v>2026</v>
      </c>
      <c r="FF2431" s="36" t="s">
        <v>59</v>
      </c>
      <c r="FG2431" s="36" t="s">
        <v>1210</v>
      </c>
      <c r="FJ2431" t="s">
        <v>59</v>
      </c>
    </row>
    <row r="2432" spans="153:166" x14ac:dyDescent="0.35">
      <c r="EW2432" t="s">
        <v>3124</v>
      </c>
      <c r="EX2432" s="35" t="s">
        <v>3609</v>
      </c>
      <c r="EY2432" s="35" t="s">
        <v>1290</v>
      </c>
      <c r="EZ2432" s="36" t="s">
        <v>1291</v>
      </c>
      <c r="FA2432" s="36" t="s">
        <v>1192</v>
      </c>
      <c r="FB2432" s="36" t="s">
        <v>344</v>
      </c>
      <c r="FC2432" s="36" t="s">
        <v>1192</v>
      </c>
      <c r="FD2432" s="36" t="s">
        <v>344</v>
      </c>
      <c r="FE2432" s="36">
        <v>2026</v>
      </c>
      <c r="FF2432" s="36" t="s">
        <v>59</v>
      </c>
      <c r="FG2432" s="36" t="s">
        <v>1210</v>
      </c>
      <c r="FJ2432" t="s">
        <v>59</v>
      </c>
    </row>
    <row r="2433" spans="153:166" x14ac:dyDescent="0.35">
      <c r="EW2433" t="s">
        <v>3124</v>
      </c>
      <c r="EX2433" s="35" t="s">
        <v>3610</v>
      </c>
      <c r="EY2433" s="35" t="s">
        <v>1294</v>
      </c>
      <c r="EZ2433" s="36" t="s">
        <v>1295</v>
      </c>
      <c r="FA2433" s="36" t="s">
        <v>1192</v>
      </c>
      <c r="FB2433" s="36" t="s">
        <v>344</v>
      </c>
      <c r="FC2433" s="36" t="s">
        <v>1192</v>
      </c>
      <c r="FD2433" s="36" t="s">
        <v>344</v>
      </c>
      <c r="FE2433" s="36">
        <v>2026</v>
      </c>
      <c r="FF2433" s="36" t="s">
        <v>59</v>
      </c>
      <c r="FG2433" s="36" t="s">
        <v>1210</v>
      </c>
      <c r="FJ2433" t="s">
        <v>59</v>
      </c>
    </row>
    <row r="2434" spans="153:166" x14ac:dyDescent="0.35">
      <c r="EW2434" t="s">
        <v>3124</v>
      </c>
      <c r="EX2434" s="35" t="s">
        <v>3611</v>
      </c>
      <c r="EY2434" s="35" t="s">
        <v>1296</v>
      </c>
      <c r="EZ2434" s="36" t="s">
        <v>1297</v>
      </c>
      <c r="FA2434" s="36" t="s">
        <v>1192</v>
      </c>
      <c r="FB2434" s="36" t="s">
        <v>344</v>
      </c>
      <c r="FC2434" s="36" t="s">
        <v>1192</v>
      </c>
      <c r="FD2434" s="36" t="s">
        <v>344</v>
      </c>
      <c r="FE2434" s="36">
        <v>2026</v>
      </c>
      <c r="FF2434" s="36" t="s">
        <v>59</v>
      </c>
      <c r="FG2434" s="36" t="s">
        <v>1210</v>
      </c>
      <c r="FJ2434" t="s">
        <v>59</v>
      </c>
    </row>
    <row r="2435" spans="153:166" x14ac:dyDescent="0.35">
      <c r="EW2435" t="s">
        <v>3124</v>
      </c>
      <c r="EX2435" s="35" t="s">
        <v>3612</v>
      </c>
      <c r="EY2435" s="35" t="s">
        <v>1300</v>
      </c>
      <c r="EZ2435" s="36" t="s">
        <v>1301</v>
      </c>
      <c r="FA2435" s="36" t="s">
        <v>1192</v>
      </c>
      <c r="FB2435" s="36" t="s">
        <v>344</v>
      </c>
      <c r="FC2435" s="36" t="s">
        <v>1192</v>
      </c>
      <c r="FD2435" s="36" t="s">
        <v>344</v>
      </c>
      <c r="FE2435" s="36">
        <v>2026</v>
      </c>
      <c r="FF2435" s="36" t="s">
        <v>59</v>
      </c>
      <c r="FG2435" s="36" t="s">
        <v>1210</v>
      </c>
      <c r="FJ2435" t="s">
        <v>59</v>
      </c>
    </row>
    <row r="2436" spans="153:166" x14ac:dyDescent="0.35">
      <c r="EW2436" t="s">
        <v>3124</v>
      </c>
      <c r="EX2436" s="35" t="s">
        <v>3613</v>
      </c>
      <c r="EY2436" s="35" t="s">
        <v>1302</v>
      </c>
      <c r="EZ2436" s="36" t="s">
        <v>1303</v>
      </c>
      <c r="FA2436" s="36" t="s">
        <v>1192</v>
      </c>
      <c r="FB2436" s="36" t="s">
        <v>344</v>
      </c>
      <c r="FC2436" s="36" t="s">
        <v>1192</v>
      </c>
      <c r="FD2436" s="36" t="s">
        <v>344</v>
      </c>
      <c r="FE2436" s="36">
        <v>2026</v>
      </c>
      <c r="FF2436" s="36" t="s">
        <v>59</v>
      </c>
      <c r="FG2436" s="36" t="s">
        <v>1210</v>
      </c>
      <c r="FJ2436" t="s">
        <v>59</v>
      </c>
    </row>
    <row r="2437" spans="153:166" x14ac:dyDescent="0.35">
      <c r="EW2437" t="s">
        <v>3124</v>
      </c>
      <c r="EX2437" s="35" t="s">
        <v>3614</v>
      </c>
      <c r="EY2437" s="35" t="s">
        <v>1304</v>
      </c>
      <c r="EZ2437" s="36" t="s">
        <v>1305</v>
      </c>
      <c r="FA2437" s="36" t="s">
        <v>1192</v>
      </c>
      <c r="FB2437" s="36" t="s">
        <v>344</v>
      </c>
      <c r="FC2437" s="36" t="s">
        <v>1192</v>
      </c>
      <c r="FD2437" s="36" t="s">
        <v>344</v>
      </c>
      <c r="FE2437" s="36">
        <v>2026</v>
      </c>
      <c r="FF2437" s="36" t="s">
        <v>59</v>
      </c>
      <c r="FG2437" s="36" t="s">
        <v>1241</v>
      </c>
      <c r="FJ2437" t="s">
        <v>59</v>
      </c>
    </row>
    <row r="2438" spans="153:166" x14ac:dyDescent="0.35">
      <c r="EW2438" t="s">
        <v>3124</v>
      </c>
      <c r="EX2438" s="35" t="s">
        <v>3615</v>
      </c>
      <c r="EY2438" s="35" t="s">
        <v>1308</v>
      </c>
      <c r="EZ2438" s="36" t="s">
        <v>1309</v>
      </c>
      <c r="FA2438" s="36" t="s">
        <v>1192</v>
      </c>
      <c r="FB2438" s="36" t="s">
        <v>344</v>
      </c>
      <c r="FC2438" s="36" t="s">
        <v>1192</v>
      </c>
      <c r="FD2438" s="36" t="s">
        <v>344</v>
      </c>
      <c r="FE2438" s="36">
        <v>2026</v>
      </c>
      <c r="FF2438" s="36" t="s">
        <v>59</v>
      </c>
      <c r="FG2438" s="36" t="s">
        <v>1241</v>
      </c>
      <c r="FJ2438" t="s">
        <v>59</v>
      </c>
    </row>
    <row r="2439" spans="153:166" x14ac:dyDescent="0.35">
      <c r="EW2439" t="s">
        <v>3124</v>
      </c>
      <c r="EX2439" s="35" t="s">
        <v>3616</v>
      </c>
      <c r="EY2439" s="35" t="s">
        <v>1310</v>
      </c>
      <c r="EZ2439" s="36" t="s">
        <v>1311</v>
      </c>
      <c r="FA2439" s="36" t="s">
        <v>1192</v>
      </c>
      <c r="FB2439" s="36" t="s">
        <v>344</v>
      </c>
      <c r="FC2439" s="36" t="s">
        <v>1192</v>
      </c>
      <c r="FD2439" s="36" t="s">
        <v>344</v>
      </c>
      <c r="FE2439" s="36">
        <v>2026</v>
      </c>
      <c r="FF2439" s="36" t="s">
        <v>59</v>
      </c>
      <c r="FG2439" s="36" t="s">
        <v>1241</v>
      </c>
      <c r="FJ2439" t="s">
        <v>59</v>
      </c>
    </row>
    <row r="2440" spans="153:166" x14ac:dyDescent="0.35">
      <c r="EW2440" t="s">
        <v>3124</v>
      </c>
      <c r="EX2440" s="35" t="s">
        <v>3617</v>
      </c>
      <c r="EY2440" s="35" t="s">
        <v>1312</v>
      </c>
      <c r="EZ2440" s="36" t="s">
        <v>1313</v>
      </c>
      <c r="FA2440" s="36" t="s">
        <v>1192</v>
      </c>
      <c r="FB2440" s="36" t="s">
        <v>344</v>
      </c>
      <c r="FC2440" s="36" t="s">
        <v>1192</v>
      </c>
      <c r="FD2440" s="36" t="s">
        <v>344</v>
      </c>
      <c r="FE2440" s="36">
        <v>2026</v>
      </c>
      <c r="FF2440" s="36" t="s">
        <v>59</v>
      </c>
      <c r="FG2440" s="36" t="s">
        <v>1210</v>
      </c>
      <c r="FJ2440" t="s">
        <v>59</v>
      </c>
    </row>
    <row r="2441" spans="153:166" x14ac:dyDescent="0.35">
      <c r="EW2441" t="s">
        <v>3124</v>
      </c>
      <c r="EX2441" s="35" t="s">
        <v>3618</v>
      </c>
      <c r="EY2441" s="35" t="s">
        <v>1314</v>
      </c>
      <c r="EZ2441" s="36" t="s">
        <v>1315</v>
      </c>
      <c r="FA2441" s="36" t="s">
        <v>1192</v>
      </c>
      <c r="FB2441" s="36" t="s">
        <v>344</v>
      </c>
      <c r="FC2441" s="36" t="s">
        <v>1192</v>
      </c>
      <c r="FD2441" s="36" t="s">
        <v>344</v>
      </c>
      <c r="FE2441" s="36">
        <v>2026</v>
      </c>
      <c r="FF2441" s="36" t="s">
        <v>59</v>
      </c>
      <c r="FG2441" s="36" t="s">
        <v>1210</v>
      </c>
      <c r="FJ2441" t="s">
        <v>59</v>
      </c>
    </row>
    <row r="2442" spans="153:166" x14ac:dyDescent="0.35">
      <c r="EW2442" t="s">
        <v>3124</v>
      </c>
      <c r="EX2442" s="35" t="s">
        <v>3619</v>
      </c>
      <c r="EY2442" s="35" t="s">
        <v>1316</v>
      </c>
      <c r="EZ2442" s="36" t="s">
        <v>1317</v>
      </c>
      <c r="FA2442" s="36" t="s">
        <v>1192</v>
      </c>
      <c r="FB2442" s="36" t="s">
        <v>344</v>
      </c>
      <c r="FC2442" s="36" t="s">
        <v>1192</v>
      </c>
      <c r="FD2442" s="36" t="s">
        <v>344</v>
      </c>
      <c r="FE2442" s="36">
        <v>2026</v>
      </c>
      <c r="FF2442" s="36" t="s">
        <v>59</v>
      </c>
      <c r="FG2442" s="36" t="s">
        <v>1210</v>
      </c>
      <c r="FJ2442" t="s">
        <v>59</v>
      </c>
    </row>
    <row r="2443" spans="153:166" x14ac:dyDescent="0.35">
      <c r="EW2443" t="s">
        <v>3124</v>
      </c>
      <c r="EX2443" s="35" t="s">
        <v>3620</v>
      </c>
      <c r="EY2443" s="35" t="s">
        <v>1318</v>
      </c>
      <c r="EZ2443" s="36" t="s">
        <v>1319</v>
      </c>
      <c r="FA2443" s="36" t="s">
        <v>1192</v>
      </c>
      <c r="FB2443" s="36" t="s">
        <v>344</v>
      </c>
      <c r="FC2443" s="36" t="s">
        <v>1192</v>
      </c>
      <c r="FD2443" s="36" t="s">
        <v>344</v>
      </c>
      <c r="FE2443" s="36">
        <v>2026</v>
      </c>
      <c r="FF2443" s="36" t="s">
        <v>59</v>
      </c>
      <c r="FG2443" s="36" t="s">
        <v>1210</v>
      </c>
      <c r="FJ2443" t="s">
        <v>59</v>
      </c>
    </row>
    <row r="2444" spans="153:166" x14ac:dyDescent="0.35">
      <c r="EW2444" t="s">
        <v>3124</v>
      </c>
      <c r="EX2444" s="35" t="s">
        <v>3621</v>
      </c>
      <c r="EY2444" s="35" t="s">
        <v>1320</v>
      </c>
      <c r="EZ2444" s="36" t="s">
        <v>1321</v>
      </c>
      <c r="FA2444" s="36" t="s">
        <v>1192</v>
      </c>
      <c r="FB2444" s="36" t="s">
        <v>344</v>
      </c>
      <c r="FC2444" s="36" t="s">
        <v>1192</v>
      </c>
      <c r="FD2444" s="36" t="s">
        <v>344</v>
      </c>
      <c r="FE2444" s="36">
        <v>2026</v>
      </c>
      <c r="FF2444" s="36" t="s">
        <v>59</v>
      </c>
      <c r="FG2444" s="36" t="s">
        <v>1210</v>
      </c>
      <c r="FJ2444" t="s">
        <v>59</v>
      </c>
    </row>
    <row r="2445" spans="153:166" x14ac:dyDescent="0.35">
      <c r="EW2445" t="s">
        <v>3124</v>
      </c>
      <c r="EX2445" s="35" t="s">
        <v>3622</v>
      </c>
      <c r="EY2445" s="35" t="s">
        <v>1322</v>
      </c>
      <c r="EZ2445" s="36" t="s">
        <v>1323</v>
      </c>
      <c r="FA2445" s="36" t="s">
        <v>1192</v>
      </c>
      <c r="FB2445" s="36" t="s">
        <v>344</v>
      </c>
      <c r="FC2445" s="36" t="s">
        <v>1192</v>
      </c>
      <c r="FD2445" s="36" t="s">
        <v>344</v>
      </c>
      <c r="FE2445" s="36">
        <v>2026</v>
      </c>
      <c r="FF2445" s="36" t="s">
        <v>59</v>
      </c>
      <c r="FG2445" s="36" t="s">
        <v>1210</v>
      </c>
      <c r="FJ2445" t="s">
        <v>59</v>
      </c>
    </row>
    <row r="2446" spans="153:166" x14ac:dyDescent="0.35">
      <c r="EW2446" t="s">
        <v>3124</v>
      </c>
      <c r="EX2446" s="35" t="s">
        <v>3623</v>
      </c>
      <c r="EY2446" s="35" t="s">
        <v>1324</v>
      </c>
      <c r="EZ2446" s="36" t="s">
        <v>1325</v>
      </c>
      <c r="FA2446" s="36" t="s">
        <v>1192</v>
      </c>
      <c r="FB2446" s="36" t="s">
        <v>344</v>
      </c>
      <c r="FC2446" s="36" t="s">
        <v>1192</v>
      </c>
      <c r="FD2446" s="36" t="s">
        <v>344</v>
      </c>
      <c r="FE2446" s="36">
        <v>2026</v>
      </c>
      <c r="FF2446" s="36" t="s">
        <v>59</v>
      </c>
      <c r="FG2446" s="36" t="s">
        <v>1210</v>
      </c>
      <c r="FJ2446" t="s">
        <v>59</v>
      </c>
    </row>
    <row r="2447" spans="153:166" x14ac:dyDescent="0.35">
      <c r="EW2447" t="s">
        <v>3124</v>
      </c>
      <c r="EX2447" s="35" t="s">
        <v>3624</v>
      </c>
      <c r="EY2447" s="35" t="s">
        <v>1326</v>
      </c>
      <c r="EZ2447" s="36" t="s">
        <v>1327</v>
      </c>
      <c r="FA2447" s="36" t="s">
        <v>1192</v>
      </c>
      <c r="FB2447" s="36" t="s">
        <v>344</v>
      </c>
      <c r="FC2447" s="36" t="s">
        <v>1192</v>
      </c>
      <c r="FD2447" s="36" t="s">
        <v>344</v>
      </c>
      <c r="FE2447" s="36">
        <v>2026</v>
      </c>
      <c r="FF2447" s="36" t="s">
        <v>59</v>
      </c>
      <c r="FG2447" s="36" t="s">
        <v>1210</v>
      </c>
      <c r="FJ2447" t="s">
        <v>59</v>
      </c>
    </row>
    <row r="2448" spans="153:166" x14ac:dyDescent="0.35">
      <c r="EW2448" t="s">
        <v>3124</v>
      </c>
      <c r="EX2448" s="35" t="s">
        <v>3625</v>
      </c>
      <c r="EY2448" s="35" t="s">
        <v>1330</v>
      </c>
      <c r="EZ2448" s="36" t="s">
        <v>1331</v>
      </c>
      <c r="FA2448" s="36" t="s">
        <v>1192</v>
      </c>
      <c r="FB2448" s="36" t="s">
        <v>344</v>
      </c>
      <c r="FC2448" s="36" t="s">
        <v>1192</v>
      </c>
      <c r="FD2448" s="36" t="s">
        <v>344</v>
      </c>
      <c r="FE2448" s="36">
        <v>2026</v>
      </c>
      <c r="FF2448" s="36" t="s">
        <v>59</v>
      </c>
      <c r="FG2448" s="36" t="s">
        <v>1210</v>
      </c>
      <c r="FJ2448" t="s">
        <v>59</v>
      </c>
    </row>
    <row r="2449" spans="153:166" x14ac:dyDescent="0.35">
      <c r="EW2449" t="s">
        <v>3124</v>
      </c>
      <c r="EX2449" s="35" t="s">
        <v>3626</v>
      </c>
      <c r="EY2449" s="35" t="s">
        <v>1334</v>
      </c>
      <c r="EZ2449" s="36" t="s">
        <v>1335</v>
      </c>
      <c r="FA2449" s="36" t="s">
        <v>1192</v>
      </c>
      <c r="FB2449" s="36" t="s">
        <v>344</v>
      </c>
      <c r="FC2449" s="36" t="s">
        <v>1192</v>
      </c>
      <c r="FD2449" s="36" t="s">
        <v>344</v>
      </c>
      <c r="FE2449" s="36">
        <v>2026</v>
      </c>
      <c r="FF2449" s="36" t="s">
        <v>59</v>
      </c>
      <c r="FG2449" s="36" t="s">
        <v>1210</v>
      </c>
      <c r="FJ2449" t="s">
        <v>59</v>
      </c>
    </row>
    <row r="2450" spans="153:166" x14ac:dyDescent="0.35">
      <c r="EW2450" t="s">
        <v>3124</v>
      </c>
      <c r="EX2450" s="35" t="s">
        <v>3627</v>
      </c>
      <c r="EY2450" s="35" t="s">
        <v>1336</v>
      </c>
      <c r="EZ2450" s="36" t="s">
        <v>1337</v>
      </c>
      <c r="FA2450" s="36" t="s">
        <v>1192</v>
      </c>
      <c r="FB2450" s="36" t="s">
        <v>344</v>
      </c>
      <c r="FC2450" s="36" t="s">
        <v>1192</v>
      </c>
      <c r="FD2450" s="36" t="s">
        <v>344</v>
      </c>
      <c r="FE2450" s="36">
        <v>2026</v>
      </c>
      <c r="FF2450" s="36" t="s">
        <v>59</v>
      </c>
      <c r="FG2450" s="36" t="s">
        <v>1241</v>
      </c>
      <c r="FJ2450" t="s">
        <v>59</v>
      </c>
    </row>
    <row r="2451" spans="153:166" x14ac:dyDescent="0.35">
      <c r="EW2451" t="s">
        <v>3124</v>
      </c>
      <c r="EX2451" s="35" t="s">
        <v>3628</v>
      </c>
      <c r="EY2451" s="35" t="s">
        <v>1338</v>
      </c>
      <c r="EZ2451" s="36" t="s">
        <v>1339</v>
      </c>
      <c r="FA2451" s="36" t="s">
        <v>1192</v>
      </c>
      <c r="FB2451" s="36" t="s">
        <v>344</v>
      </c>
      <c r="FC2451" s="36" t="s">
        <v>1192</v>
      </c>
      <c r="FD2451" s="36" t="s">
        <v>344</v>
      </c>
      <c r="FE2451" s="36">
        <v>2026</v>
      </c>
      <c r="FF2451" s="36" t="s">
        <v>59</v>
      </c>
      <c r="FG2451" s="36" t="s">
        <v>1241</v>
      </c>
      <c r="FJ2451" t="s">
        <v>59</v>
      </c>
    </row>
    <row r="2452" spans="153:166" x14ac:dyDescent="0.35">
      <c r="EW2452" t="s">
        <v>3124</v>
      </c>
      <c r="EX2452" s="35" t="s">
        <v>3629</v>
      </c>
      <c r="EY2452" s="35" t="s">
        <v>1341</v>
      </c>
      <c r="EZ2452" s="36" t="s">
        <v>1342</v>
      </c>
      <c r="FA2452" s="36" t="s">
        <v>1192</v>
      </c>
      <c r="FB2452" s="36" t="s">
        <v>344</v>
      </c>
      <c r="FC2452" s="36" t="s">
        <v>1192</v>
      </c>
      <c r="FD2452" s="36" t="s">
        <v>344</v>
      </c>
      <c r="FE2452" s="36">
        <v>2026</v>
      </c>
      <c r="FF2452" s="36" t="s">
        <v>59</v>
      </c>
      <c r="FG2452" s="36" t="s">
        <v>1241</v>
      </c>
      <c r="FJ2452" t="s">
        <v>59</v>
      </c>
    </row>
    <row r="2453" spans="153:166" x14ac:dyDescent="0.35">
      <c r="EW2453" t="s">
        <v>3124</v>
      </c>
      <c r="EX2453" s="35" t="s">
        <v>3630</v>
      </c>
      <c r="EY2453" s="35" t="s">
        <v>1344</v>
      </c>
      <c r="EZ2453" s="36" t="s">
        <v>1345</v>
      </c>
      <c r="FA2453" s="36" t="s">
        <v>1192</v>
      </c>
      <c r="FB2453" s="36" t="s">
        <v>344</v>
      </c>
      <c r="FC2453" s="36" t="s">
        <v>1192</v>
      </c>
      <c r="FD2453" s="36" t="s">
        <v>344</v>
      </c>
      <c r="FE2453" s="36">
        <v>2026</v>
      </c>
      <c r="FF2453" s="36" t="s">
        <v>59</v>
      </c>
      <c r="FG2453" s="36" t="s">
        <v>1241</v>
      </c>
      <c r="FJ2453" t="s">
        <v>59</v>
      </c>
    </row>
    <row r="2454" spans="153:166" x14ac:dyDescent="0.35">
      <c r="EW2454" t="s">
        <v>3124</v>
      </c>
      <c r="EX2454" s="35" t="s">
        <v>3631</v>
      </c>
      <c r="EY2454" s="35" t="s">
        <v>1348</v>
      </c>
      <c r="EZ2454" s="36" t="s">
        <v>1349</v>
      </c>
      <c r="FA2454" s="36" t="s">
        <v>1192</v>
      </c>
      <c r="FB2454" s="36" t="s">
        <v>344</v>
      </c>
      <c r="FC2454" s="36" t="s">
        <v>1192</v>
      </c>
      <c r="FD2454" s="36" t="s">
        <v>344</v>
      </c>
      <c r="FE2454" s="36">
        <v>2026</v>
      </c>
      <c r="FF2454" s="36" t="s">
        <v>59</v>
      </c>
      <c r="FG2454" s="36" t="s">
        <v>1241</v>
      </c>
      <c r="FJ2454" t="s">
        <v>59</v>
      </c>
    </row>
    <row r="2455" spans="153:166" x14ac:dyDescent="0.35">
      <c r="EW2455" t="s">
        <v>3124</v>
      </c>
      <c r="EX2455" s="35" t="s">
        <v>3632</v>
      </c>
      <c r="EY2455" s="35" t="s">
        <v>1352</v>
      </c>
      <c r="EZ2455" s="36" t="s">
        <v>1353</v>
      </c>
      <c r="FA2455" s="36" t="s">
        <v>1192</v>
      </c>
      <c r="FB2455" s="36" t="s">
        <v>344</v>
      </c>
      <c r="FC2455" s="36" t="s">
        <v>1192</v>
      </c>
      <c r="FD2455" s="36" t="s">
        <v>344</v>
      </c>
      <c r="FE2455" s="36">
        <v>2026</v>
      </c>
      <c r="FF2455" s="36" t="s">
        <v>59</v>
      </c>
      <c r="FG2455" s="36" t="s">
        <v>1241</v>
      </c>
      <c r="FJ2455" t="s">
        <v>59</v>
      </c>
    </row>
    <row r="2456" spans="153:166" x14ac:dyDescent="0.35">
      <c r="EW2456" t="s">
        <v>3124</v>
      </c>
      <c r="EX2456" s="35" t="s">
        <v>3633</v>
      </c>
      <c r="EY2456" s="35" t="s">
        <v>1356</v>
      </c>
      <c r="EZ2456" s="36" t="s">
        <v>1357</v>
      </c>
      <c r="FA2456" s="36" t="s">
        <v>1192</v>
      </c>
      <c r="FB2456" s="36" t="s">
        <v>344</v>
      </c>
      <c r="FC2456" s="36" t="s">
        <v>1192</v>
      </c>
      <c r="FD2456" s="36" t="s">
        <v>344</v>
      </c>
      <c r="FE2456" s="36">
        <v>2026</v>
      </c>
      <c r="FF2456" s="36" t="s">
        <v>59</v>
      </c>
      <c r="FG2456" s="36" t="s">
        <v>1241</v>
      </c>
      <c r="FJ2456" t="s">
        <v>59</v>
      </c>
    </row>
    <row r="2457" spans="153:166" x14ac:dyDescent="0.35">
      <c r="EW2457" t="s">
        <v>3124</v>
      </c>
      <c r="EX2457" s="35" t="s">
        <v>3634</v>
      </c>
      <c r="EY2457" s="35" t="s">
        <v>1360</v>
      </c>
      <c r="EZ2457" s="36" t="s">
        <v>1361</v>
      </c>
      <c r="FA2457" s="36" t="s">
        <v>1192</v>
      </c>
      <c r="FB2457" s="36" t="s">
        <v>344</v>
      </c>
      <c r="FC2457" s="36" t="s">
        <v>1192</v>
      </c>
      <c r="FD2457" s="36" t="s">
        <v>344</v>
      </c>
      <c r="FE2457" s="36">
        <v>2026</v>
      </c>
      <c r="FF2457" s="36" t="s">
        <v>59</v>
      </c>
      <c r="FG2457" s="36" t="s">
        <v>1241</v>
      </c>
      <c r="FJ2457" t="s">
        <v>59</v>
      </c>
    </row>
    <row r="2458" spans="153:166" x14ac:dyDescent="0.35">
      <c r="EW2458" t="s">
        <v>3124</v>
      </c>
      <c r="EX2458" s="35" t="s">
        <v>3635</v>
      </c>
      <c r="EY2458" s="35" t="s">
        <v>1364</v>
      </c>
      <c r="EZ2458" s="36" t="s">
        <v>1365</v>
      </c>
      <c r="FA2458" s="36" t="s">
        <v>1192</v>
      </c>
      <c r="FB2458" s="36" t="s">
        <v>344</v>
      </c>
      <c r="FC2458" s="36" t="s">
        <v>1192</v>
      </c>
      <c r="FD2458" s="36" t="s">
        <v>344</v>
      </c>
      <c r="FE2458" s="36">
        <v>2026</v>
      </c>
      <c r="FF2458" s="36" t="s">
        <v>59</v>
      </c>
      <c r="FG2458" s="36" t="s">
        <v>1241</v>
      </c>
      <c r="FJ2458" t="s">
        <v>59</v>
      </c>
    </row>
    <row r="2459" spans="153:166" x14ac:dyDescent="0.35">
      <c r="EW2459" t="s">
        <v>3124</v>
      </c>
      <c r="EX2459" s="35" t="s">
        <v>3636</v>
      </c>
      <c r="EY2459" s="35" t="s">
        <v>1368</v>
      </c>
      <c r="EZ2459" s="36" t="s">
        <v>1369</v>
      </c>
      <c r="FA2459" s="36" t="s">
        <v>1192</v>
      </c>
      <c r="FB2459" s="36" t="s">
        <v>344</v>
      </c>
      <c r="FC2459" s="36" t="s">
        <v>1192</v>
      </c>
      <c r="FD2459" s="36" t="s">
        <v>344</v>
      </c>
      <c r="FE2459" s="36">
        <v>2026</v>
      </c>
      <c r="FF2459" s="36" t="s">
        <v>59</v>
      </c>
      <c r="FG2459" s="36" t="s">
        <v>1241</v>
      </c>
      <c r="FJ2459" t="s">
        <v>59</v>
      </c>
    </row>
    <row r="2460" spans="153:166" x14ac:dyDescent="0.35">
      <c r="EW2460" t="s">
        <v>3124</v>
      </c>
      <c r="EX2460" s="35" t="s">
        <v>3637</v>
      </c>
      <c r="EY2460" s="35" t="s">
        <v>1372</v>
      </c>
      <c r="EZ2460" s="36" t="s">
        <v>1373</v>
      </c>
      <c r="FA2460" s="36" t="s">
        <v>1192</v>
      </c>
      <c r="FB2460" s="36" t="s">
        <v>344</v>
      </c>
      <c r="FC2460" s="36" t="s">
        <v>1192</v>
      </c>
      <c r="FD2460" s="36" t="s">
        <v>344</v>
      </c>
      <c r="FE2460" s="36">
        <v>2026</v>
      </c>
      <c r="FF2460" s="36" t="s">
        <v>59</v>
      </c>
      <c r="FG2460" s="36" t="s">
        <v>1210</v>
      </c>
      <c r="FJ2460" t="s">
        <v>59</v>
      </c>
    </row>
    <row r="2461" spans="153:166" x14ac:dyDescent="0.35">
      <c r="EW2461" t="s">
        <v>3124</v>
      </c>
      <c r="EX2461" s="35" t="s">
        <v>3638</v>
      </c>
      <c r="EY2461" s="35" t="s">
        <v>1376</v>
      </c>
      <c r="EZ2461" s="36" t="s">
        <v>1377</v>
      </c>
      <c r="FA2461" s="36" t="s">
        <v>1192</v>
      </c>
      <c r="FB2461" s="36" t="s">
        <v>344</v>
      </c>
      <c r="FC2461" s="36" t="s">
        <v>1192</v>
      </c>
      <c r="FD2461" s="36" t="s">
        <v>344</v>
      </c>
      <c r="FE2461" s="36">
        <v>2026</v>
      </c>
      <c r="FF2461" s="36" t="s">
        <v>59</v>
      </c>
      <c r="FG2461" s="36" t="s">
        <v>1210</v>
      </c>
      <c r="FJ2461" t="s">
        <v>59</v>
      </c>
    </row>
    <row r="2462" spans="153:166" x14ac:dyDescent="0.35">
      <c r="EW2462" t="s">
        <v>3124</v>
      </c>
      <c r="EX2462" s="35" t="s">
        <v>3639</v>
      </c>
      <c r="EY2462" s="35" t="s">
        <v>1380</v>
      </c>
      <c r="EZ2462" s="36" t="s">
        <v>1381</v>
      </c>
      <c r="FA2462" s="36" t="s">
        <v>1192</v>
      </c>
      <c r="FB2462" s="36" t="s">
        <v>344</v>
      </c>
      <c r="FC2462" s="36" t="s">
        <v>1192</v>
      </c>
      <c r="FD2462" s="36" t="s">
        <v>344</v>
      </c>
      <c r="FE2462" s="36">
        <v>2026</v>
      </c>
      <c r="FF2462" s="36" t="s">
        <v>59</v>
      </c>
      <c r="FG2462" s="36" t="s">
        <v>1241</v>
      </c>
      <c r="FJ2462" t="s">
        <v>59</v>
      </c>
    </row>
    <row r="2463" spans="153:166" x14ac:dyDescent="0.35">
      <c r="EW2463" t="s">
        <v>3124</v>
      </c>
      <c r="EX2463" s="35" t="s">
        <v>3640</v>
      </c>
      <c r="EY2463" s="35" t="s">
        <v>1382</v>
      </c>
      <c r="EZ2463" s="36" t="s">
        <v>1383</v>
      </c>
      <c r="FA2463" s="36" t="s">
        <v>1192</v>
      </c>
      <c r="FB2463" s="36" t="s">
        <v>344</v>
      </c>
      <c r="FC2463" s="36" t="s">
        <v>1192</v>
      </c>
      <c r="FD2463" s="36" t="s">
        <v>344</v>
      </c>
      <c r="FE2463" s="36">
        <v>2026</v>
      </c>
      <c r="FF2463" s="36" t="s">
        <v>59</v>
      </c>
      <c r="FG2463" s="36" t="s">
        <v>1210</v>
      </c>
      <c r="FJ2463" t="s">
        <v>59</v>
      </c>
    </row>
    <row r="2464" spans="153:166" x14ac:dyDescent="0.35">
      <c r="EW2464" t="s">
        <v>3124</v>
      </c>
      <c r="EX2464" s="35" t="s">
        <v>3641</v>
      </c>
      <c r="EY2464" s="35" t="s">
        <v>1386</v>
      </c>
      <c r="EZ2464" s="36" t="s">
        <v>1387</v>
      </c>
      <c r="FA2464" s="36" t="s">
        <v>1192</v>
      </c>
      <c r="FB2464" s="36" t="s">
        <v>344</v>
      </c>
      <c r="FC2464" s="36" t="s">
        <v>1192</v>
      </c>
      <c r="FD2464" s="36" t="s">
        <v>344</v>
      </c>
      <c r="FE2464" s="36">
        <v>2026</v>
      </c>
      <c r="FF2464" s="36" t="s">
        <v>59</v>
      </c>
      <c r="FG2464" s="36" t="s">
        <v>1241</v>
      </c>
      <c r="FJ2464" t="s">
        <v>59</v>
      </c>
    </row>
    <row r="2465" spans="153:166" x14ac:dyDescent="0.35">
      <c r="EW2465" t="s">
        <v>3124</v>
      </c>
      <c r="EX2465" s="35" t="s">
        <v>3642</v>
      </c>
      <c r="EY2465" s="35" t="s">
        <v>1390</v>
      </c>
      <c r="EZ2465" s="36" t="s">
        <v>1391</v>
      </c>
      <c r="FA2465" s="36" t="s">
        <v>1192</v>
      </c>
      <c r="FB2465" s="36" t="s">
        <v>344</v>
      </c>
      <c r="FC2465" s="36" t="s">
        <v>1192</v>
      </c>
      <c r="FD2465" s="36" t="s">
        <v>344</v>
      </c>
      <c r="FE2465" s="36">
        <v>2026</v>
      </c>
      <c r="FF2465" s="36" t="s">
        <v>59</v>
      </c>
      <c r="FG2465" s="36" t="s">
        <v>1241</v>
      </c>
      <c r="FJ2465" t="s">
        <v>59</v>
      </c>
    </row>
    <row r="2466" spans="153:166" x14ac:dyDescent="0.35">
      <c r="EW2466" t="s">
        <v>3124</v>
      </c>
      <c r="EX2466" s="35" t="s">
        <v>3643</v>
      </c>
      <c r="EY2466" s="35" t="s">
        <v>1394</v>
      </c>
      <c r="EZ2466" s="36" t="s">
        <v>1395</v>
      </c>
      <c r="FA2466" s="36" t="s">
        <v>1192</v>
      </c>
      <c r="FB2466" s="36" t="s">
        <v>344</v>
      </c>
      <c r="FC2466" s="36" t="s">
        <v>1192</v>
      </c>
      <c r="FD2466" s="36" t="s">
        <v>344</v>
      </c>
      <c r="FE2466" s="36">
        <v>2026</v>
      </c>
      <c r="FF2466" s="36" t="s">
        <v>59</v>
      </c>
      <c r="FG2466" s="36" t="s">
        <v>1241</v>
      </c>
      <c r="FJ2466" t="s">
        <v>59</v>
      </c>
    </row>
    <row r="2467" spans="153:166" x14ac:dyDescent="0.35">
      <c r="EW2467" t="s">
        <v>3124</v>
      </c>
      <c r="EX2467" s="35" t="s">
        <v>3644</v>
      </c>
      <c r="EY2467" s="35" t="s">
        <v>1396</v>
      </c>
      <c r="EZ2467" s="36" t="s">
        <v>1397</v>
      </c>
      <c r="FA2467" s="36" t="s">
        <v>1192</v>
      </c>
      <c r="FB2467" s="36" t="s">
        <v>344</v>
      </c>
      <c r="FC2467" s="36" t="s">
        <v>1192</v>
      </c>
      <c r="FD2467" s="36" t="s">
        <v>344</v>
      </c>
      <c r="FE2467" s="36">
        <v>2026</v>
      </c>
      <c r="FF2467" s="36" t="s">
        <v>59</v>
      </c>
      <c r="FG2467" s="36" t="s">
        <v>1241</v>
      </c>
      <c r="FJ2467" t="s">
        <v>59</v>
      </c>
    </row>
    <row r="2468" spans="153:166" x14ac:dyDescent="0.35">
      <c r="EW2468" t="s">
        <v>3124</v>
      </c>
      <c r="EX2468" s="35" t="s">
        <v>3645</v>
      </c>
      <c r="EY2468" s="35" t="s">
        <v>1398</v>
      </c>
      <c r="EZ2468" s="36" t="s">
        <v>1399</v>
      </c>
      <c r="FA2468" s="36" t="s">
        <v>1192</v>
      </c>
      <c r="FB2468" s="36" t="s">
        <v>344</v>
      </c>
      <c r="FC2468" s="36" t="s">
        <v>1192</v>
      </c>
      <c r="FD2468" s="36" t="s">
        <v>344</v>
      </c>
      <c r="FE2468" s="36">
        <v>2026</v>
      </c>
      <c r="FF2468" s="36" t="s">
        <v>59</v>
      </c>
      <c r="FG2468" s="36" t="s">
        <v>1241</v>
      </c>
      <c r="FJ2468" t="s">
        <v>59</v>
      </c>
    </row>
    <row r="2469" spans="153:166" x14ac:dyDescent="0.35">
      <c r="EW2469" t="s">
        <v>3124</v>
      </c>
      <c r="EX2469" s="35" t="s">
        <v>3646</v>
      </c>
      <c r="EY2469" s="35" t="s">
        <v>1400</v>
      </c>
      <c r="EZ2469" s="36" t="s">
        <v>1401</v>
      </c>
      <c r="FA2469" s="36" t="s">
        <v>1192</v>
      </c>
      <c r="FB2469" s="36" t="s">
        <v>344</v>
      </c>
      <c r="FC2469" s="36" t="s">
        <v>1192</v>
      </c>
      <c r="FD2469" s="36" t="s">
        <v>344</v>
      </c>
      <c r="FE2469" s="36">
        <v>2026</v>
      </c>
      <c r="FF2469" s="36" t="s">
        <v>59</v>
      </c>
      <c r="FG2469" s="36" t="s">
        <v>1241</v>
      </c>
      <c r="FJ2469" t="s">
        <v>59</v>
      </c>
    </row>
    <row r="2470" spans="153:166" x14ac:dyDescent="0.35">
      <c r="EW2470" t="s">
        <v>3124</v>
      </c>
      <c r="EX2470" s="35" t="s">
        <v>3647</v>
      </c>
      <c r="EY2470" s="35" t="s">
        <v>1402</v>
      </c>
      <c r="EZ2470" s="36" t="s">
        <v>1403</v>
      </c>
      <c r="FA2470" s="36" t="s">
        <v>1192</v>
      </c>
      <c r="FB2470" s="36" t="s">
        <v>344</v>
      </c>
      <c r="FC2470" s="36" t="s">
        <v>1192</v>
      </c>
      <c r="FD2470" s="36" t="s">
        <v>344</v>
      </c>
      <c r="FE2470" s="36">
        <v>2026</v>
      </c>
      <c r="FF2470" s="36" t="s">
        <v>59</v>
      </c>
      <c r="FG2470" s="36" t="s">
        <v>1241</v>
      </c>
      <c r="FJ2470" t="s">
        <v>59</v>
      </c>
    </row>
    <row r="2471" spans="153:166" x14ac:dyDescent="0.35">
      <c r="EW2471" t="s">
        <v>3124</v>
      </c>
      <c r="EX2471" s="35" t="s">
        <v>3648</v>
      </c>
      <c r="EY2471" s="35" t="s">
        <v>1406</v>
      </c>
      <c r="EZ2471" s="36" t="s">
        <v>1407</v>
      </c>
      <c r="FA2471" s="36" t="s">
        <v>1192</v>
      </c>
      <c r="FB2471" s="36" t="s">
        <v>344</v>
      </c>
      <c r="FC2471" s="36" t="s">
        <v>1192</v>
      </c>
      <c r="FD2471" s="36" t="s">
        <v>344</v>
      </c>
      <c r="FE2471" s="36">
        <v>2026</v>
      </c>
      <c r="FF2471" s="36" t="s">
        <v>59</v>
      </c>
      <c r="FG2471" s="36" t="s">
        <v>1241</v>
      </c>
      <c r="FJ2471" t="s">
        <v>59</v>
      </c>
    </row>
    <row r="2472" spans="153:166" x14ac:dyDescent="0.35">
      <c r="EW2472" t="s">
        <v>3124</v>
      </c>
      <c r="EX2472" s="35" t="s">
        <v>3649</v>
      </c>
      <c r="EY2472" s="35" t="s">
        <v>1410</v>
      </c>
      <c r="EZ2472" s="36" t="s">
        <v>1411</v>
      </c>
      <c r="FA2472" s="36" t="s">
        <v>1192</v>
      </c>
      <c r="FB2472" s="36" t="s">
        <v>344</v>
      </c>
      <c r="FC2472" s="36" t="s">
        <v>1192</v>
      </c>
      <c r="FD2472" s="36" t="s">
        <v>344</v>
      </c>
      <c r="FE2472" s="36">
        <v>2026</v>
      </c>
      <c r="FF2472" s="36" t="s">
        <v>59</v>
      </c>
      <c r="FG2472" s="36" t="s">
        <v>1241</v>
      </c>
      <c r="FJ2472" t="s">
        <v>59</v>
      </c>
    </row>
    <row r="2473" spans="153:166" x14ac:dyDescent="0.35">
      <c r="EW2473" t="s">
        <v>3124</v>
      </c>
      <c r="EX2473" s="35" t="s">
        <v>3650</v>
      </c>
      <c r="EY2473" s="35" t="s">
        <v>1412</v>
      </c>
      <c r="EZ2473" s="36" t="s">
        <v>1413</v>
      </c>
      <c r="FA2473" s="36" t="s">
        <v>1192</v>
      </c>
      <c r="FB2473" s="36" t="s">
        <v>344</v>
      </c>
      <c r="FC2473" s="36" t="s">
        <v>1192</v>
      </c>
      <c r="FD2473" s="36" t="s">
        <v>344</v>
      </c>
      <c r="FE2473" s="36">
        <v>2026</v>
      </c>
      <c r="FF2473" s="36" t="s">
        <v>59</v>
      </c>
      <c r="FG2473" s="36" t="s">
        <v>1241</v>
      </c>
      <c r="FJ2473" t="s">
        <v>59</v>
      </c>
    </row>
    <row r="2474" spans="153:166" x14ac:dyDescent="0.35">
      <c r="EW2474" t="s">
        <v>3124</v>
      </c>
      <c r="EX2474" s="35" t="s">
        <v>3651</v>
      </c>
      <c r="EY2474" s="35" t="s">
        <v>1414</v>
      </c>
      <c r="EZ2474" s="36" t="s">
        <v>1415</v>
      </c>
      <c r="FA2474" s="36" t="s">
        <v>1192</v>
      </c>
      <c r="FB2474" s="36" t="s">
        <v>344</v>
      </c>
      <c r="FC2474" s="36" t="s">
        <v>1192</v>
      </c>
      <c r="FD2474" s="36" t="s">
        <v>344</v>
      </c>
      <c r="FE2474" s="36">
        <v>2026</v>
      </c>
      <c r="FF2474" s="36" t="s">
        <v>59</v>
      </c>
      <c r="FG2474" s="36" t="s">
        <v>1241</v>
      </c>
      <c r="FJ2474" t="s">
        <v>59</v>
      </c>
    </row>
    <row r="2475" spans="153:166" x14ac:dyDescent="0.35">
      <c r="EW2475" t="s">
        <v>3124</v>
      </c>
      <c r="EX2475" s="35" t="s">
        <v>3652</v>
      </c>
      <c r="EY2475" s="35" t="s">
        <v>1416</v>
      </c>
      <c r="EZ2475" s="36" t="s">
        <v>1417</v>
      </c>
      <c r="FA2475" s="36" t="s">
        <v>1192</v>
      </c>
      <c r="FB2475" s="36" t="s">
        <v>344</v>
      </c>
      <c r="FC2475" s="36" t="s">
        <v>1192</v>
      </c>
      <c r="FD2475" s="36" t="s">
        <v>344</v>
      </c>
      <c r="FE2475" s="36">
        <v>2026</v>
      </c>
      <c r="FF2475" s="36" t="s">
        <v>59</v>
      </c>
      <c r="FG2475" s="36" t="s">
        <v>1241</v>
      </c>
      <c r="FJ2475" t="s">
        <v>59</v>
      </c>
    </row>
    <row r="2476" spans="153:166" x14ac:dyDescent="0.35">
      <c r="EW2476" t="s">
        <v>3124</v>
      </c>
      <c r="EX2476" s="35" t="s">
        <v>3653</v>
      </c>
      <c r="EY2476" s="35" t="s">
        <v>1420</v>
      </c>
      <c r="EZ2476" s="36" t="s">
        <v>1421</v>
      </c>
      <c r="FA2476" s="36" t="s">
        <v>1192</v>
      </c>
      <c r="FB2476" s="36" t="s">
        <v>344</v>
      </c>
      <c r="FC2476" s="36" t="s">
        <v>1192</v>
      </c>
      <c r="FD2476" s="36" t="s">
        <v>344</v>
      </c>
      <c r="FE2476" s="36">
        <v>2026</v>
      </c>
      <c r="FF2476" s="36" t="s">
        <v>59</v>
      </c>
      <c r="FG2476" s="36" t="s">
        <v>1241</v>
      </c>
      <c r="FJ2476" t="s">
        <v>59</v>
      </c>
    </row>
    <row r="2477" spans="153:166" x14ac:dyDescent="0.35">
      <c r="EW2477" t="s">
        <v>3124</v>
      </c>
      <c r="EX2477" s="35" t="s">
        <v>3654</v>
      </c>
      <c r="EY2477" s="35" t="s">
        <v>1422</v>
      </c>
      <c r="EZ2477" s="36" t="s">
        <v>1423</v>
      </c>
      <c r="FA2477" s="36" t="s">
        <v>1192</v>
      </c>
      <c r="FB2477" s="36" t="s">
        <v>344</v>
      </c>
      <c r="FC2477" s="36" t="s">
        <v>1192</v>
      </c>
      <c r="FD2477" s="36" t="s">
        <v>344</v>
      </c>
      <c r="FE2477" s="36">
        <v>2026</v>
      </c>
      <c r="FF2477" s="36" t="s">
        <v>59</v>
      </c>
      <c r="FG2477" s="36" t="s">
        <v>1241</v>
      </c>
      <c r="FJ2477" t="s">
        <v>59</v>
      </c>
    </row>
    <row r="2478" spans="153:166" x14ac:dyDescent="0.35">
      <c r="EW2478" t="s">
        <v>3124</v>
      </c>
      <c r="EX2478" s="35" t="s">
        <v>3655</v>
      </c>
      <c r="EY2478" s="35" t="s">
        <v>1424</v>
      </c>
      <c r="EZ2478" s="36" t="s">
        <v>1425</v>
      </c>
      <c r="FA2478" s="36" t="s">
        <v>1192</v>
      </c>
      <c r="FB2478" s="36" t="s">
        <v>344</v>
      </c>
      <c r="FC2478" s="36" t="s">
        <v>1192</v>
      </c>
      <c r="FD2478" s="36" t="s">
        <v>344</v>
      </c>
      <c r="FE2478" s="36">
        <v>2026</v>
      </c>
      <c r="FF2478" s="36" t="s">
        <v>59</v>
      </c>
      <c r="FG2478" s="36" t="s">
        <v>1241</v>
      </c>
      <c r="FJ2478" t="s">
        <v>59</v>
      </c>
    </row>
    <row r="2479" spans="153:166" x14ac:dyDescent="0.35">
      <c r="EW2479" t="s">
        <v>3124</v>
      </c>
      <c r="EX2479" s="35" t="s">
        <v>3656</v>
      </c>
      <c r="EY2479" s="35" t="s">
        <v>1428</v>
      </c>
      <c r="EZ2479" s="36" t="s">
        <v>1429</v>
      </c>
      <c r="FA2479" s="36" t="s">
        <v>1192</v>
      </c>
      <c r="FB2479" s="36" t="s">
        <v>344</v>
      </c>
      <c r="FC2479" s="36" t="s">
        <v>1192</v>
      </c>
      <c r="FD2479" s="36" t="s">
        <v>344</v>
      </c>
      <c r="FE2479" s="36">
        <v>2026</v>
      </c>
      <c r="FF2479" s="36" t="s">
        <v>59</v>
      </c>
      <c r="FG2479" s="36" t="s">
        <v>1241</v>
      </c>
      <c r="FJ2479" t="s">
        <v>59</v>
      </c>
    </row>
    <row r="2480" spans="153:166" x14ac:dyDescent="0.35">
      <c r="EW2480" t="s">
        <v>3124</v>
      </c>
      <c r="EX2480" s="35" t="s">
        <v>3657</v>
      </c>
      <c r="EY2480" s="35" t="s">
        <v>1430</v>
      </c>
      <c r="EZ2480" s="36" t="s">
        <v>1431</v>
      </c>
      <c r="FA2480" s="36" t="s">
        <v>1192</v>
      </c>
      <c r="FB2480" s="36" t="s">
        <v>344</v>
      </c>
      <c r="FC2480" s="36" t="s">
        <v>1192</v>
      </c>
      <c r="FD2480" s="36" t="s">
        <v>344</v>
      </c>
      <c r="FE2480" s="36">
        <v>2026</v>
      </c>
      <c r="FF2480" s="36" t="s">
        <v>59</v>
      </c>
      <c r="FG2480" s="36" t="s">
        <v>1241</v>
      </c>
      <c r="FJ2480" t="s">
        <v>59</v>
      </c>
    </row>
    <row r="2481" spans="153:166" x14ac:dyDescent="0.35">
      <c r="EW2481" t="s">
        <v>3124</v>
      </c>
      <c r="EX2481" s="35" t="s">
        <v>3658</v>
      </c>
      <c r="EY2481" s="35" t="s">
        <v>1432</v>
      </c>
      <c r="EZ2481" s="36" t="s">
        <v>1433</v>
      </c>
      <c r="FA2481" s="36" t="s">
        <v>1192</v>
      </c>
      <c r="FB2481" s="36" t="s">
        <v>344</v>
      </c>
      <c r="FC2481" s="36" t="s">
        <v>1192</v>
      </c>
      <c r="FD2481" s="36" t="s">
        <v>344</v>
      </c>
      <c r="FE2481" s="36">
        <v>2026</v>
      </c>
      <c r="FF2481" s="36" t="s">
        <v>59</v>
      </c>
      <c r="FG2481" s="36" t="s">
        <v>1210</v>
      </c>
      <c r="FJ2481" t="s">
        <v>59</v>
      </c>
    </row>
    <row r="2482" spans="153:166" x14ac:dyDescent="0.35">
      <c r="EW2482" t="s">
        <v>3124</v>
      </c>
      <c r="EX2482" s="35" t="s">
        <v>3659</v>
      </c>
      <c r="EY2482" s="35" t="s">
        <v>1434</v>
      </c>
      <c r="EZ2482" s="36" t="s">
        <v>1435</v>
      </c>
      <c r="FA2482" s="36" t="s">
        <v>1192</v>
      </c>
      <c r="FB2482" s="36" t="s">
        <v>344</v>
      </c>
      <c r="FC2482" s="36" t="s">
        <v>1192</v>
      </c>
      <c r="FD2482" s="36" t="s">
        <v>344</v>
      </c>
      <c r="FE2482" s="36">
        <v>2026</v>
      </c>
      <c r="FF2482" s="36" t="s">
        <v>59</v>
      </c>
      <c r="FG2482" s="36" t="s">
        <v>1210</v>
      </c>
      <c r="FJ2482" t="s">
        <v>59</v>
      </c>
    </row>
    <row r="2483" spans="153:166" x14ac:dyDescent="0.35">
      <c r="EW2483" t="s">
        <v>3124</v>
      </c>
      <c r="EX2483" s="35" t="s">
        <v>3660</v>
      </c>
      <c r="EY2483" s="35" t="s">
        <v>1436</v>
      </c>
      <c r="EZ2483" s="36" t="s">
        <v>1437</v>
      </c>
      <c r="FA2483" s="36" t="s">
        <v>1192</v>
      </c>
      <c r="FB2483" s="36" t="s">
        <v>344</v>
      </c>
      <c r="FC2483" s="36" t="s">
        <v>1192</v>
      </c>
      <c r="FD2483" s="36" t="s">
        <v>344</v>
      </c>
      <c r="FE2483" s="36">
        <v>2026</v>
      </c>
      <c r="FF2483" s="36" t="s">
        <v>59</v>
      </c>
      <c r="FG2483" s="36" t="s">
        <v>1210</v>
      </c>
      <c r="FJ2483" t="s">
        <v>59</v>
      </c>
    </row>
    <row r="2484" spans="153:166" x14ac:dyDescent="0.35">
      <c r="EW2484" t="s">
        <v>3124</v>
      </c>
      <c r="EX2484" s="35" t="s">
        <v>3661</v>
      </c>
      <c r="EY2484" s="35" t="s">
        <v>1438</v>
      </c>
      <c r="EZ2484" s="36" t="s">
        <v>1439</v>
      </c>
      <c r="FA2484" s="36" t="s">
        <v>1192</v>
      </c>
      <c r="FB2484" s="36" t="s">
        <v>344</v>
      </c>
      <c r="FC2484" s="36" t="s">
        <v>1192</v>
      </c>
      <c r="FD2484" s="36" t="s">
        <v>344</v>
      </c>
      <c r="FE2484" s="36">
        <v>2026</v>
      </c>
      <c r="FF2484" s="36" t="s">
        <v>59</v>
      </c>
      <c r="FG2484" s="36" t="s">
        <v>1210</v>
      </c>
      <c r="FJ2484" t="s">
        <v>59</v>
      </c>
    </row>
    <row r="2485" spans="153:166" x14ac:dyDescent="0.35">
      <c r="EW2485" t="s">
        <v>3124</v>
      </c>
      <c r="EX2485" s="35" t="s">
        <v>3662</v>
      </c>
      <c r="EY2485" s="35" t="s">
        <v>1440</v>
      </c>
      <c r="EZ2485" s="36" t="s">
        <v>1441</v>
      </c>
      <c r="FA2485" s="36" t="s">
        <v>1192</v>
      </c>
      <c r="FB2485" s="36" t="s">
        <v>344</v>
      </c>
      <c r="FC2485" s="36" t="s">
        <v>1192</v>
      </c>
      <c r="FD2485" s="36" t="s">
        <v>344</v>
      </c>
      <c r="FE2485" s="36">
        <v>2026</v>
      </c>
      <c r="FF2485" s="36" t="s">
        <v>59</v>
      </c>
      <c r="FG2485" s="36" t="s">
        <v>1210</v>
      </c>
      <c r="FJ2485" t="s">
        <v>59</v>
      </c>
    </row>
    <row r="2486" spans="153:166" x14ac:dyDescent="0.35">
      <c r="EW2486" t="s">
        <v>3124</v>
      </c>
      <c r="EX2486" s="35" t="s">
        <v>3663</v>
      </c>
      <c r="EY2486" s="35" t="s">
        <v>1442</v>
      </c>
      <c r="EZ2486" s="36" t="s">
        <v>1443</v>
      </c>
      <c r="FA2486" s="36" t="s">
        <v>1192</v>
      </c>
      <c r="FB2486" s="36" t="s">
        <v>344</v>
      </c>
      <c r="FC2486" s="36" t="s">
        <v>1192</v>
      </c>
      <c r="FD2486" s="36" t="s">
        <v>344</v>
      </c>
      <c r="FE2486" s="36">
        <v>2026</v>
      </c>
      <c r="FF2486" s="36" t="s">
        <v>59</v>
      </c>
      <c r="FG2486" s="36" t="s">
        <v>1241</v>
      </c>
      <c r="FJ2486" t="s">
        <v>59</v>
      </c>
    </row>
    <row r="2487" spans="153:166" x14ac:dyDescent="0.35">
      <c r="EW2487" t="s">
        <v>3124</v>
      </c>
      <c r="EX2487" s="35" t="s">
        <v>3664</v>
      </c>
      <c r="EY2487" s="35" t="s">
        <v>1444</v>
      </c>
      <c r="EZ2487" s="36" t="s">
        <v>1445</v>
      </c>
      <c r="FA2487" s="36" t="s">
        <v>1192</v>
      </c>
      <c r="FB2487" s="36" t="s">
        <v>344</v>
      </c>
      <c r="FC2487" s="36" t="s">
        <v>1192</v>
      </c>
      <c r="FD2487" s="36" t="s">
        <v>344</v>
      </c>
      <c r="FE2487" s="36">
        <v>2026</v>
      </c>
      <c r="FF2487" s="36" t="s">
        <v>59</v>
      </c>
      <c r="FG2487" s="36" t="s">
        <v>1241</v>
      </c>
      <c r="FJ2487" t="s">
        <v>59</v>
      </c>
    </row>
    <row r="2488" spans="153:166" x14ac:dyDescent="0.35">
      <c r="EW2488" t="s">
        <v>3124</v>
      </c>
      <c r="EX2488" s="35" t="s">
        <v>3665</v>
      </c>
      <c r="EY2488" s="35" t="s">
        <v>1446</v>
      </c>
      <c r="EZ2488" s="36" t="s">
        <v>1447</v>
      </c>
      <c r="FA2488" s="36" t="s">
        <v>1192</v>
      </c>
      <c r="FB2488" s="36" t="s">
        <v>344</v>
      </c>
      <c r="FC2488" s="36" t="s">
        <v>1192</v>
      </c>
      <c r="FD2488" s="36" t="s">
        <v>344</v>
      </c>
      <c r="FE2488" s="36">
        <v>2026</v>
      </c>
      <c r="FF2488" s="36" t="s">
        <v>59</v>
      </c>
      <c r="FG2488" s="36" t="s">
        <v>1241</v>
      </c>
      <c r="FJ2488" t="s">
        <v>59</v>
      </c>
    </row>
    <row r="2489" spans="153:166" x14ac:dyDescent="0.35">
      <c r="EW2489" t="s">
        <v>3124</v>
      </c>
      <c r="EX2489" s="35" t="s">
        <v>3666</v>
      </c>
      <c r="EY2489" s="35" t="s">
        <v>1448</v>
      </c>
      <c r="EZ2489" s="36" t="s">
        <v>1449</v>
      </c>
      <c r="FA2489" s="36" t="s">
        <v>1192</v>
      </c>
      <c r="FB2489" s="36" t="s">
        <v>344</v>
      </c>
      <c r="FC2489" s="36" t="s">
        <v>1192</v>
      </c>
      <c r="FD2489" s="36" t="s">
        <v>344</v>
      </c>
      <c r="FE2489" s="36">
        <v>2026</v>
      </c>
      <c r="FF2489" s="36" t="s">
        <v>59</v>
      </c>
      <c r="FG2489" s="36" t="s">
        <v>1241</v>
      </c>
      <c r="FJ2489" t="s">
        <v>59</v>
      </c>
    </row>
    <row r="2490" spans="153:166" x14ac:dyDescent="0.35">
      <c r="EW2490" t="s">
        <v>3124</v>
      </c>
      <c r="EX2490" s="35" t="s">
        <v>3667</v>
      </c>
      <c r="EY2490" s="35" t="s">
        <v>1451</v>
      </c>
      <c r="EZ2490" s="36" t="s">
        <v>1452</v>
      </c>
      <c r="FA2490" s="36" t="s">
        <v>1192</v>
      </c>
      <c r="FB2490" s="36" t="s">
        <v>344</v>
      </c>
      <c r="FC2490" s="36" t="s">
        <v>1192</v>
      </c>
      <c r="FD2490" s="36" t="s">
        <v>344</v>
      </c>
      <c r="FE2490" s="36">
        <v>2026</v>
      </c>
      <c r="FF2490" s="36" t="s">
        <v>59</v>
      </c>
      <c r="FG2490" s="36" t="s">
        <v>1241</v>
      </c>
      <c r="FJ2490" t="s">
        <v>59</v>
      </c>
    </row>
    <row r="2491" spans="153:166" x14ac:dyDescent="0.35">
      <c r="EW2491" t="s">
        <v>3124</v>
      </c>
      <c r="EX2491" s="35" t="s">
        <v>3668</v>
      </c>
      <c r="EY2491" s="35" t="s">
        <v>1453</v>
      </c>
      <c r="EZ2491" s="36" t="s">
        <v>1454</v>
      </c>
      <c r="FA2491" s="36" t="s">
        <v>1192</v>
      </c>
      <c r="FB2491" s="36" t="s">
        <v>344</v>
      </c>
      <c r="FC2491" s="36" t="s">
        <v>1192</v>
      </c>
      <c r="FD2491" s="36" t="s">
        <v>344</v>
      </c>
      <c r="FE2491" s="36">
        <v>2026</v>
      </c>
      <c r="FF2491" s="36" t="s">
        <v>59</v>
      </c>
      <c r="FG2491" s="36" t="s">
        <v>1241</v>
      </c>
      <c r="FJ2491" t="s">
        <v>59</v>
      </c>
    </row>
    <row r="2492" spans="153:166" x14ac:dyDescent="0.35">
      <c r="EW2492" t="s">
        <v>3124</v>
      </c>
      <c r="EX2492" s="35" t="s">
        <v>3669</v>
      </c>
      <c r="EY2492" s="35" t="s">
        <v>1455</v>
      </c>
      <c r="EZ2492" s="36" t="s">
        <v>1456</v>
      </c>
      <c r="FA2492" s="36" t="s">
        <v>1192</v>
      </c>
      <c r="FB2492" s="36" t="s">
        <v>344</v>
      </c>
      <c r="FC2492" s="36" t="s">
        <v>1192</v>
      </c>
      <c r="FD2492" s="36" t="s">
        <v>344</v>
      </c>
      <c r="FE2492" s="36">
        <v>2026</v>
      </c>
      <c r="FF2492" s="36" t="s">
        <v>59</v>
      </c>
      <c r="FG2492" s="36" t="s">
        <v>1241</v>
      </c>
      <c r="FJ2492" t="s">
        <v>59</v>
      </c>
    </row>
    <row r="2493" spans="153:166" x14ac:dyDescent="0.35">
      <c r="EW2493" t="s">
        <v>3124</v>
      </c>
      <c r="EX2493" s="35" t="s">
        <v>3670</v>
      </c>
      <c r="EY2493" s="35" t="s">
        <v>1457</v>
      </c>
      <c r="EZ2493" s="36" t="s">
        <v>1458</v>
      </c>
      <c r="FA2493" s="36" t="s">
        <v>1192</v>
      </c>
      <c r="FB2493" s="36" t="s">
        <v>344</v>
      </c>
      <c r="FC2493" s="36" t="s">
        <v>1192</v>
      </c>
      <c r="FD2493" s="36" t="s">
        <v>344</v>
      </c>
      <c r="FE2493" s="36">
        <v>2026</v>
      </c>
      <c r="FF2493" s="36" t="s">
        <v>59</v>
      </c>
      <c r="FG2493" s="36" t="s">
        <v>1241</v>
      </c>
      <c r="FJ2493" t="s">
        <v>59</v>
      </c>
    </row>
    <row r="2494" spans="153:166" x14ac:dyDescent="0.35">
      <c r="EW2494" t="s">
        <v>3124</v>
      </c>
      <c r="EX2494" s="35" t="s">
        <v>3671</v>
      </c>
      <c r="EY2494" s="35" t="s">
        <v>1459</v>
      </c>
      <c r="EZ2494" s="36" t="s">
        <v>1460</v>
      </c>
      <c r="FA2494" s="36" t="s">
        <v>1192</v>
      </c>
      <c r="FB2494" s="36" t="s">
        <v>344</v>
      </c>
      <c r="FC2494" s="36" t="s">
        <v>1192</v>
      </c>
      <c r="FD2494" s="36" t="s">
        <v>344</v>
      </c>
      <c r="FE2494" s="36">
        <v>2026</v>
      </c>
      <c r="FF2494" s="36" t="s">
        <v>59</v>
      </c>
      <c r="FG2494" s="36" t="s">
        <v>1241</v>
      </c>
      <c r="FJ2494" t="s">
        <v>59</v>
      </c>
    </row>
    <row r="2495" spans="153:166" x14ac:dyDescent="0.35">
      <c r="EW2495" t="s">
        <v>3124</v>
      </c>
      <c r="EX2495" s="35" t="s">
        <v>3672</v>
      </c>
      <c r="EY2495" s="35" t="s">
        <v>1461</v>
      </c>
      <c r="EZ2495" s="36" t="s">
        <v>1462</v>
      </c>
      <c r="FA2495" s="36" t="s">
        <v>1192</v>
      </c>
      <c r="FB2495" s="36" t="s">
        <v>344</v>
      </c>
      <c r="FC2495" s="36" t="s">
        <v>1192</v>
      </c>
      <c r="FD2495" s="36" t="s">
        <v>344</v>
      </c>
      <c r="FE2495" s="36">
        <v>2026</v>
      </c>
      <c r="FF2495" s="36" t="s">
        <v>59</v>
      </c>
      <c r="FG2495" s="36" t="s">
        <v>1241</v>
      </c>
      <c r="FJ2495" t="s">
        <v>59</v>
      </c>
    </row>
    <row r="2496" spans="153:166" x14ac:dyDescent="0.35">
      <c r="EW2496" t="s">
        <v>3124</v>
      </c>
      <c r="EX2496" s="35" t="s">
        <v>3673</v>
      </c>
      <c r="EY2496" s="35" t="s">
        <v>1463</v>
      </c>
      <c r="EZ2496" s="36" t="s">
        <v>1464</v>
      </c>
      <c r="FA2496" s="36" t="s">
        <v>1192</v>
      </c>
      <c r="FB2496" s="36" t="s">
        <v>344</v>
      </c>
      <c r="FC2496" s="36" t="s">
        <v>1192</v>
      </c>
      <c r="FD2496" s="36" t="s">
        <v>344</v>
      </c>
      <c r="FE2496" s="36">
        <v>2026</v>
      </c>
      <c r="FF2496" s="36" t="s">
        <v>59</v>
      </c>
      <c r="FG2496" s="36" t="s">
        <v>1241</v>
      </c>
      <c r="FJ2496" t="s">
        <v>59</v>
      </c>
    </row>
    <row r="2497" spans="153:166" x14ac:dyDescent="0.35">
      <c r="EW2497" t="s">
        <v>3124</v>
      </c>
      <c r="EX2497" s="35" t="s">
        <v>3674</v>
      </c>
      <c r="EY2497" s="35" t="s">
        <v>1465</v>
      </c>
      <c r="EZ2497" s="36" t="s">
        <v>1466</v>
      </c>
      <c r="FA2497" s="36" t="s">
        <v>1192</v>
      </c>
      <c r="FB2497" s="36" t="s">
        <v>344</v>
      </c>
      <c r="FC2497" s="36" t="s">
        <v>1192</v>
      </c>
      <c r="FD2497" s="36" t="s">
        <v>344</v>
      </c>
      <c r="FE2497" s="36">
        <v>2026</v>
      </c>
      <c r="FF2497" s="36" t="s">
        <v>59</v>
      </c>
      <c r="FG2497" s="36" t="s">
        <v>1241</v>
      </c>
      <c r="FJ2497" t="s">
        <v>59</v>
      </c>
    </row>
    <row r="2498" spans="153:166" x14ac:dyDescent="0.35">
      <c r="EW2498" t="s">
        <v>3124</v>
      </c>
      <c r="EX2498" s="35" t="s">
        <v>3675</v>
      </c>
      <c r="EY2498" s="35" t="s">
        <v>1467</v>
      </c>
      <c r="EZ2498" s="36" t="s">
        <v>1468</v>
      </c>
      <c r="FA2498" s="36" t="s">
        <v>1192</v>
      </c>
      <c r="FB2498" s="36" t="s">
        <v>344</v>
      </c>
      <c r="FC2498" s="36" t="s">
        <v>1192</v>
      </c>
      <c r="FD2498" s="36" t="s">
        <v>344</v>
      </c>
      <c r="FE2498" s="36">
        <v>2026</v>
      </c>
      <c r="FF2498" s="36" t="s">
        <v>59</v>
      </c>
      <c r="FG2498" s="36" t="s">
        <v>1241</v>
      </c>
      <c r="FJ2498" t="s">
        <v>59</v>
      </c>
    </row>
    <row r="2499" spans="153:166" x14ac:dyDescent="0.35">
      <c r="EW2499" t="s">
        <v>3124</v>
      </c>
      <c r="EX2499" s="35" t="s">
        <v>3676</v>
      </c>
      <c r="EY2499" s="35" t="s">
        <v>1469</v>
      </c>
      <c r="EZ2499" s="36" t="s">
        <v>1470</v>
      </c>
      <c r="FA2499" s="36" t="s">
        <v>1192</v>
      </c>
      <c r="FB2499" s="36" t="s">
        <v>344</v>
      </c>
      <c r="FC2499" s="36" t="s">
        <v>1192</v>
      </c>
      <c r="FD2499" s="36" t="s">
        <v>344</v>
      </c>
      <c r="FE2499" s="36">
        <v>2026</v>
      </c>
      <c r="FF2499" s="36" t="s">
        <v>59</v>
      </c>
      <c r="FG2499" s="36" t="s">
        <v>1241</v>
      </c>
      <c r="FJ2499" t="s">
        <v>59</v>
      </c>
    </row>
    <row r="2500" spans="153:166" x14ac:dyDescent="0.35">
      <c r="EW2500" t="s">
        <v>3124</v>
      </c>
      <c r="EX2500" s="35" t="s">
        <v>3677</v>
      </c>
      <c r="EY2500" s="35" t="s">
        <v>1471</v>
      </c>
      <c r="EZ2500" s="36" t="s">
        <v>1472</v>
      </c>
      <c r="FA2500" s="36" t="s">
        <v>1192</v>
      </c>
      <c r="FB2500" s="36" t="s">
        <v>344</v>
      </c>
      <c r="FC2500" s="36" t="s">
        <v>1192</v>
      </c>
      <c r="FD2500" s="36" t="s">
        <v>344</v>
      </c>
      <c r="FE2500" s="36">
        <v>2026</v>
      </c>
      <c r="FF2500" s="36" t="s">
        <v>59</v>
      </c>
      <c r="FG2500" s="36" t="s">
        <v>1241</v>
      </c>
      <c r="FJ2500" t="s">
        <v>59</v>
      </c>
    </row>
    <row r="2501" spans="153:166" x14ac:dyDescent="0.35">
      <c r="EW2501" t="s">
        <v>3124</v>
      </c>
      <c r="EX2501" s="35" t="s">
        <v>3678</v>
      </c>
      <c r="EY2501" s="35" t="s">
        <v>1473</v>
      </c>
      <c r="EZ2501" s="36" t="s">
        <v>1474</v>
      </c>
      <c r="FA2501" s="36" t="s">
        <v>1192</v>
      </c>
      <c r="FB2501" s="36" t="s">
        <v>344</v>
      </c>
      <c r="FC2501" s="36" t="s">
        <v>1192</v>
      </c>
      <c r="FD2501" s="36" t="s">
        <v>344</v>
      </c>
      <c r="FE2501" s="36">
        <v>2026</v>
      </c>
      <c r="FF2501" s="36" t="s">
        <v>59</v>
      </c>
      <c r="FG2501" s="36" t="s">
        <v>1241</v>
      </c>
      <c r="FJ2501" t="s">
        <v>59</v>
      </c>
    </row>
    <row r="2502" spans="153:166" x14ac:dyDescent="0.35">
      <c r="EW2502" t="s">
        <v>3124</v>
      </c>
      <c r="EX2502" s="35" t="s">
        <v>3679</v>
      </c>
      <c r="EY2502" s="35" t="s">
        <v>1475</v>
      </c>
      <c r="EZ2502" s="36" t="s">
        <v>1476</v>
      </c>
      <c r="FA2502" s="36" t="s">
        <v>1192</v>
      </c>
      <c r="FB2502" s="36" t="s">
        <v>344</v>
      </c>
      <c r="FC2502" s="36" t="s">
        <v>1192</v>
      </c>
      <c r="FD2502" s="36" t="s">
        <v>344</v>
      </c>
      <c r="FE2502" s="36">
        <v>2026</v>
      </c>
      <c r="FF2502" s="36" t="s">
        <v>59</v>
      </c>
      <c r="FG2502" s="36" t="s">
        <v>1241</v>
      </c>
      <c r="FJ2502" t="s">
        <v>59</v>
      </c>
    </row>
    <row r="2503" spans="153:166" x14ac:dyDescent="0.35">
      <c r="EW2503" t="s">
        <v>3124</v>
      </c>
      <c r="EX2503" s="35" t="s">
        <v>3680</v>
      </c>
      <c r="EY2503" s="35" t="s">
        <v>1477</v>
      </c>
      <c r="EZ2503" s="36" t="s">
        <v>1478</v>
      </c>
      <c r="FA2503" s="36" t="s">
        <v>1192</v>
      </c>
      <c r="FB2503" s="36" t="s">
        <v>344</v>
      </c>
      <c r="FC2503" s="36" t="s">
        <v>1192</v>
      </c>
      <c r="FD2503" s="36" t="s">
        <v>344</v>
      </c>
      <c r="FE2503" s="36">
        <v>2026</v>
      </c>
      <c r="FF2503" s="36" t="s">
        <v>59</v>
      </c>
      <c r="FG2503" s="36" t="s">
        <v>1241</v>
      </c>
      <c r="FJ2503" t="s">
        <v>59</v>
      </c>
    </row>
    <row r="2504" spans="153:166" x14ac:dyDescent="0.35">
      <c r="EW2504" t="s">
        <v>3124</v>
      </c>
      <c r="EX2504" s="35" t="s">
        <v>3681</v>
      </c>
      <c r="EY2504" s="35" t="s">
        <v>1479</v>
      </c>
      <c r="EZ2504" s="36" t="s">
        <v>1480</v>
      </c>
      <c r="FA2504" s="36" t="s">
        <v>1192</v>
      </c>
      <c r="FB2504" s="36" t="s">
        <v>344</v>
      </c>
      <c r="FC2504" s="36" t="s">
        <v>1192</v>
      </c>
      <c r="FD2504" s="36" t="s">
        <v>344</v>
      </c>
      <c r="FE2504" s="36">
        <v>2026</v>
      </c>
      <c r="FF2504" s="36" t="s">
        <v>59</v>
      </c>
      <c r="FG2504" s="36" t="s">
        <v>1241</v>
      </c>
      <c r="FJ2504" t="s">
        <v>59</v>
      </c>
    </row>
    <row r="2505" spans="153:166" x14ac:dyDescent="0.35">
      <c r="EW2505" t="s">
        <v>3124</v>
      </c>
      <c r="EX2505" s="35" t="s">
        <v>3682</v>
      </c>
      <c r="EY2505" s="35" t="s">
        <v>1481</v>
      </c>
      <c r="EZ2505" s="36" t="s">
        <v>1482</v>
      </c>
      <c r="FA2505" s="36" t="s">
        <v>1192</v>
      </c>
      <c r="FB2505" s="36" t="s">
        <v>344</v>
      </c>
      <c r="FC2505" s="36" t="s">
        <v>1192</v>
      </c>
      <c r="FD2505" s="36" t="s">
        <v>344</v>
      </c>
      <c r="FE2505" s="36">
        <v>2026</v>
      </c>
      <c r="FF2505" s="36" t="s">
        <v>59</v>
      </c>
      <c r="FG2505" s="36" t="s">
        <v>1241</v>
      </c>
      <c r="FJ2505" t="s">
        <v>59</v>
      </c>
    </row>
    <row r="2506" spans="153:166" x14ac:dyDescent="0.35">
      <c r="EW2506" t="s">
        <v>3124</v>
      </c>
      <c r="EX2506" s="35" t="s">
        <v>3683</v>
      </c>
      <c r="EY2506" s="35" t="s">
        <v>1485</v>
      </c>
      <c r="EZ2506" s="36" t="s">
        <v>1486</v>
      </c>
      <c r="FA2506" s="36" t="s">
        <v>1192</v>
      </c>
      <c r="FB2506" s="36" t="s">
        <v>344</v>
      </c>
      <c r="FC2506" s="36" t="s">
        <v>1192</v>
      </c>
      <c r="FD2506" s="36" t="s">
        <v>344</v>
      </c>
      <c r="FE2506" s="36">
        <v>2026</v>
      </c>
      <c r="FF2506" s="36" t="s">
        <v>59</v>
      </c>
      <c r="FG2506" s="36" t="s">
        <v>1241</v>
      </c>
      <c r="FJ2506" t="s">
        <v>59</v>
      </c>
    </row>
    <row r="2507" spans="153:166" x14ac:dyDescent="0.35">
      <c r="EW2507" t="s">
        <v>3124</v>
      </c>
      <c r="EX2507" s="35" t="s">
        <v>3684</v>
      </c>
      <c r="EY2507" s="35" t="s">
        <v>1487</v>
      </c>
      <c r="EZ2507" s="36" t="s">
        <v>1488</v>
      </c>
      <c r="FA2507" s="36" t="s">
        <v>1192</v>
      </c>
      <c r="FB2507" s="36" t="s">
        <v>344</v>
      </c>
      <c r="FC2507" s="36" t="s">
        <v>1192</v>
      </c>
      <c r="FD2507" s="36" t="s">
        <v>344</v>
      </c>
      <c r="FE2507" s="36">
        <v>2026</v>
      </c>
      <c r="FF2507" s="36" t="s">
        <v>59</v>
      </c>
      <c r="FG2507" s="36" t="s">
        <v>1241</v>
      </c>
      <c r="FJ2507" t="s">
        <v>59</v>
      </c>
    </row>
    <row r="2508" spans="153:166" x14ac:dyDescent="0.35">
      <c r="EW2508" t="s">
        <v>3124</v>
      </c>
      <c r="EX2508" s="35" t="s">
        <v>3685</v>
      </c>
      <c r="EY2508" s="35" t="s">
        <v>1489</v>
      </c>
      <c r="EZ2508" s="36" t="s">
        <v>1490</v>
      </c>
      <c r="FA2508" s="36" t="s">
        <v>1192</v>
      </c>
      <c r="FB2508" s="36" t="s">
        <v>344</v>
      </c>
      <c r="FC2508" s="36" t="s">
        <v>1192</v>
      </c>
      <c r="FD2508" s="36" t="s">
        <v>344</v>
      </c>
      <c r="FE2508" s="36">
        <v>2026</v>
      </c>
      <c r="FF2508" s="36" t="s">
        <v>59</v>
      </c>
      <c r="FG2508" s="36" t="s">
        <v>1241</v>
      </c>
      <c r="FJ2508" t="s">
        <v>59</v>
      </c>
    </row>
    <row r="2509" spans="153:166" x14ac:dyDescent="0.35">
      <c r="EW2509" t="s">
        <v>3124</v>
      </c>
      <c r="EX2509" s="35" t="s">
        <v>3686</v>
      </c>
      <c r="EY2509" s="35" t="s">
        <v>1493</v>
      </c>
      <c r="EZ2509" s="36" t="s">
        <v>1494</v>
      </c>
      <c r="FA2509" s="36" t="s">
        <v>1192</v>
      </c>
      <c r="FB2509" s="36" t="s">
        <v>344</v>
      </c>
      <c r="FC2509" s="36" t="s">
        <v>1192</v>
      </c>
      <c r="FD2509" s="36" t="s">
        <v>344</v>
      </c>
      <c r="FE2509" s="36">
        <v>2026</v>
      </c>
      <c r="FF2509" s="36" t="s">
        <v>59</v>
      </c>
      <c r="FG2509" s="36" t="s">
        <v>1241</v>
      </c>
      <c r="FJ2509" t="s">
        <v>59</v>
      </c>
    </row>
    <row r="2510" spans="153:166" x14ac:dyDescent="0.35">
      <c r="EW2510" t="s">
        <v>3124</v>
      </c>
      <c r="EX2510" s="35" t="s">
        <v>3687</v>
      </c>
      <c r="EY2510" s="35" t="s">
        <v>1495</v>
      </c>
      <c r="EZ2510" s="36" t="s">
        <v>1496</v>
      </c>
      <c r="FA2510" s="36" t="s">
        <v>1192</v>
      </c>
      <c r="FB2510" s="36" t="s">
        <v>344</v>
      </c>
      <c r="FC2510" s="36" t="s">
        <v>1192</v>
      </c>
      <c r="FD2510" s="36" t="s">
        <v>344</v>
      </c>
      <c r="FE2510" s="36">
        <v>2026</v>
      </c>
      <c r="FF2510" s="36" t="s">
        <v>59</v>
      </c>
      <c r="FG2510" s="36" t="s">
        <v>1241</v>
      </c>
      <c r="FJ2510" t="s">
        <v>59</v>
      </c>
    </row>
    <row r="2511" spans="153:166" x14ac:dyDescent="0.35">
      <c r="EW2511" t="s">
        <v>3124</v>
      </c>
      <c r="EX2511" s="35" t="s">
        <v>3688</v>
      </c>
      <c r="EY2511" s="35" t="s">
        <v>1499</v>
      </c>
      <c r="EZ2511" s="36" t="s">
        <v>1500</v>
      </c>
      <c r="FA2511" s="36" t="s">
        <v>1192</v>
      </c>
      <c r="FB2511" s="36" t="s">
        <v>344</v>
      </c>
      <c r="FC2511" s="36" t="s">
        <v>1192</v>
      </c>
      <c r="FD2511" s="36" t="s">
        <v>344</v>
      </c>
      <c r="FE2511" s="36">
        <v>2026</v>
      </c>
      <c r="FF2511" s="36" t="s">
        <v>59</v>
      </c>
      <c r="FG2511" s="36" t="s">
        <v>1241</v>
      </c>
      <c r="FJ2511" t="s">
        <v>59</v>
      </c>
    </row>
    <row r="2512" spans="153:166" x14ac:dyDescent="0.35">
      <c r="EW2512" t="s">
        <v>3124</v>
      </c>
      <c r="EX2512" s="35" t="s">
        <v>3689</v>
      </c>
      <c r="EY2512" s="35" t="s">
        <v>1501</v>
      </c>
      <c r="EZ2512" s="36" t="s">
        <v>1502</v>
      </c>
      <c r="FA2512" s="36" t="s">
        <v>1192</v>
      </c>
      <c r="FB2512" s="36" t="s">
        <v>344</v>
      </c>
      <c r="FC2512" s="36" t="s">
        <v>1192</v>
      </c>
      <c r="FD2512" s="36" t="s">
        <v>344</v>
      </c>
      <c r="FE2512" s="36">
        <v>2026</v>
      </c>
      <c r="FF2512" s="36" t="s">
        <v>59</v>
      </c>
      <c r="FG2512" s="36" t="s">
        <v>1241</v>
      </c>
      <c r="FJ2512" t="s">
        <v>59</v>
      </c>
    </row>
    <row r="2513" spans="153:166" x14ac:dyDescent="0.35">
      <c r="EW2513" t="s">
        <v>3124</v>
      </c>
      <c r="EX2513" s="35" t="s">
        <v>3690</v>
      </c>
      <c r="EY2513" s="35" t="s">
        <v>1503</v>
      </c>
      <c r="EZ2513" s="36" t="s">
        <v>1504</v>
      </c>
      <c r="FA2513" s="36" t="s">
        <v>1192</v>
      </c>
      <c r="FB2513" s="36" t="s">
        <v>344</v>
      </c>
      <c r="FC2513" s="36" t="s">
        <v>1192</v>
      </c>
      <c r="FD2513" s="36" t="s">
        <v>344</v>
      </c>
      <c r="FE2513" s="36">
        <v>2026</v>
      </c>
      <c r="FF2513" s="36" t="s">
        <v>59</v>
      </c>
      <c r="FG2513" s="36" t="s">
        <v>1241</v>
      </c>
      <c r="FJ2513" t="s">
        <v>59</v>
      </c>
    </row>
    <row r="2514" spans="153:166" x14ac:dyDescent="0.35">
      <c r="EW2514" t="s">
        <v>3124</v>
      </c>
      <c r="EX2514" s="35" t="s">
        <v>3691</v>
      </c>
      <c r="EY2514" s="35" t="s">
        <v>1505</v>
      </c>
      <c r="EZ2514" s="36" t="s">
        <v>1506</v>
      </c>
      <c r="FA2514" s="36" t="s">
        <v>1192</v>
      </c>
      <c r="FB2514" s="36" t="s">
        <v>344</v>
      </c>
      <c r="FC2514" s="36" t="s">
        <v>1192</v>
      </c>
      <c r="FD2514" s="36" t="s">
        <v>344</v>
      </c>
      <c r="FE2514" s="36">
        <v>2026</v>
      </c>
      <c r="FF2514" s="36" t="s">
        <v>59</v>
      </c>
      <c r="FG2514" s="36" t="s">
        <v>1241</v>
      </c>
      <c r="FJ2514" t="s">
        <v>59</v>
      </c>
    </row>
    <row r="2515" spans="153:166" x14ac:dyDescent="0.35">
      <c r="EW2515" t="s">
        <v>3124</v>
      </c>
      <c r="EX2515" s="35" t="s">
        <v>3692</v>
      </c>
      <c r="EY2515" s="35" t="s">
        <v>1507</v>
      </c>
      <c r="EZ2515" s="36" t="s">
        <v>1508</v>
      </c>
      <c r="FA2515" s="36" t="s">
        <v>1192</v>
      </c>
      <c r="FB2515" s="36" t="s">
        <v>344</v>
      </c>
      <c r="FC2515" s="36" t="s">
        <v>1192</v>
      </c>
      <c r="FD2515" s="36" t="s">
        <v>344</v>
      </c>
      <c r="FE2515" s="36">
        <v>2026</v>
      </c>
      <c r="FF2515" s="36" t="s">
        <v>59</v>
      </c>
      <c r="FG2515" s="36" t="s">
        <v>1241</v>
      </c>
      <c r="FJ2515" t="s">
        <v>59</v>
      </c>
    </row>
    <row r="2516" spans="153:166" x14ac:dyDescent="0.35">
      <c r="EW2516" t="s">
        <v>3124</v>
      </c>
      <c r="EX2516" s="35" t="s">
        <v>3693</v>
      </c>
      <c r="EY2516" s="35" t="s">
        <v>1509</v>
      </c>
      <c r="EZ2516" s="36" t="s">
        <v>1510</v>
      </c>
      <c r="FA2516" s="36" t="s">
        <v>1192</v>
      </c>
      <c r="FB2516" s="36" t="s">
        <v>344</v>
      </c>
      <c r="FC2516" s="36" t="s">
        <v>1192</v>
      </c>
      <c r="FD2516" s="36" t="s">
        <v>344</v>
      </c>
      <c r="FE2516" s="36">
        <v>2026</v>
      </c>
      <c r="FF2516" s="36" t="s">
        <v>59</v>
      </c>
      <c r="FG2516" s="36" t="s">
        <v>1241</v>
      </c>
      <c r="FJ2516" t="s">
        <v>59</v>
      </c>
    </row>
    <row r="2517" spans="153:166" x14ac:dyDescent="0.35">
      <c r="EW2517" t="s">
        <v>3124</v>
      </c>
      <c r="EX2517" s="35" t="s">
        <v>3694</v>
      </c>
      <c r="EY2517" s="35" t="s">
        <v>1513</v>
      </c>
      <c r="EZ2517" s="36" t="s">
        <v>1514</v>
      </c>
      <c r="FA2517" s="36" t="s">
        <v>1192</v>
      </c>
      <c r="FB2517" s="36" t="s">
        <v>344</v>
      </c>
      <c r="FC2517" s="36" t="s">
        <v>1192</v>
      </c>
      <c r="FD2517" s="36" t="s">
        <v>344</v>
      </c>
      <c r="FE2517" s="36">
        <v>2026</v>
      </c>
      <c r="FF2517" s="36" t="s">
        <v>59</v>
      </c>
      <c r="FG2517" s="36" t="s">
        <v>1241</v>
      </c>
      <c r="FJ2517" t="s">
        <v>59</v>
      </c>
    </row>
    <row r="2518" spans="153:166" x14ac:dyDescent="0.35">
      <c r="EW2518" t="s">
        <v>3124</v>
      </c>
      <c r="EX2518" s="35" t="s">
        <v>3695</v>
      </c>
      <c r="EY2518" s="35" t="s">
        <v>1515</v>
      </c>
      <c r="EZ2518" s="36" t="s">
        <v>1516</v>
      </c>
      <c r="FA2518" s="36" t="s">
        <v>1192</v>
      </c>
      <c r="FB2518" s="36" t="s">
        <v>344</v>
      </c>
      <c r="FC2518" s="36" t="s">
        <v>1192</v>
      </c>
      <c r="FD2518" s="36" t="s">
        <v>344</v>
      </c>
      <c r="FE2518" s="36">
        <v>2026</v>
      </c>
      <c r="FF2518" s="36" t="s">
        <v>59</v>
      </c>
      <c r="FG2518" s="36" t="s">
        <v>1241</v>
      </c>
      <c r="FJ2518" t="s">
        <v>59</v>
      </c>
    </row>
    <row r="2519" spans="153:166" x14ac:dyDescent="0.35">
      <c r="EW2519" t="s">
        <v>3124</v>
      </c>
      <c r="EX2519" s="35" t="s">
        <v>3696</v>
      </c>
      <c r="EY2519" s="35" t="s">
        <v>1517</v>
      </c>
      <c r="EZ2519" s="36" t="s">
        <v>1518</v>
      </c>
      <c r="FA2519" s="36" t="s">
        <v>1192</v>
      </c>
      <c r="FB2519" s="36" t="s">
        <v>344</v>
      </c>
      <c r="FC2519" s="36" t="s">
        <v>1192</v>
      </c>
      <c r="FD2519" s="36" t="s">
        <v>344</v>
      </c>
      <c r="FE2519" s="36">
        <v>2026</v>
      </c>
      <c r="FF2519" s="36" t="s">
        <v>59</v>
      </c>
      <c r="FG2519" s="36" t="s">
        <v>1241</v>
      </c>
      <c r="FJ2519" t="s">
        <v>59</v>
      </c>
    </row>
    <row r="2520" spans="153:166" x14ac:dyDescent="0.35">
      <c r="EW2520" t="s">
        <v>3124</v>
      </c>
      <c r="EX2520" s="35" t="s">
        <v>3697</v>
      </c>
      <c r="EY2520" s="35" t="s">
        <v>1519</v>
      </c>
      <c r="EZ2520" s="36" t="s">
        <v>1520</v>
      </c>
      <c r="FA2520" s="36" t="s">
        <v>1192</v>
      </c>
      <c r="FB2520" s="36" t="s">
        <v>344</v>
      </c>
      <c r="FC2520" s="36" t="s">
        <v>1192</v>
      </c>
      <c r="FD2520" s="36" t="s">
        <v>344</v>
      </c>
      <c r="FE2520" s="36">
        <v>2026</v>
      </c>
      <c r="FF2520" s="36" t="s">
        <v>59</v>
      </c>
      <c r="FG2520" s="36" t="s">
        <v>1241</v>
      </c>
      <c r="FJ2520" t="s">
        <v>59</v>
      </c>
    </row>
    <row r="2521" spans="153:166" x14ac:dyDescent="0.35">
      <c r="EW2521" t="s">
        <v>3124</v>
      </c>
      <c r="EX2521" s="35" t="s">
        <v>3698</v>
      </c>
      <c r="EY2521" s="35" t="s">
        <v>1521</v>
      </c>
      <c r="EZ2521" s="36" t="s">
        <v>1522</v>
      </c>
      <c r="FA2521" s="36" t="s">
        <v>1192</v>
      </c>
      <c r="FB2521" s="36" t="s">
        <v>344</v>
      </c>
      <c r="FC2521" s="36" t="s">
        <v>1192</v>
      </c>
      <c r="FD2521" s="36" t="s">
        <v>344</v>
      </c>
      <c r="FE2521" s="36">
        <v>2026</v>
      </c>
      <c r="FF2521" s="36" t="s">
        <v>59</v>
      </c>
      <c r="FG2521" s="36" t="s">
        <v>1241</v>
      </c>
      <c r="FJ2521" t="s">
        <v>59</v>
      </c>
    </row>
    <row r="2522" spans="153:166" x14ac:dyDescent="0.35">
      <c r="EW2522" t="s">
        <v>3124</v>
      </c>
      <c r="EX2522" s="35" t="s">
        <v>3699</v>
      </c>
      <c r="EY2522" s="35" t="s">
        <v>1523</v>
      </c>
      <c r="EZ2522" s="36" t="s">
        <v>1524</v>
      </c>
      <c r="FA2522" s="36" t="s">
        <v>1192</v>
      </c>
      <c r="FB2522" s="36" t="s">
        <v>344</v>
      </c>
      <c r="FC2522" s="36" t="s">
        <v>1192</v>
      </c>
      <c r="FD2522" s="36" t="s">
        <v>344</v>
      </c>
      <c r="FE2522" s="36">
        <v>2026</v>
      </c>
      <c r="FF2522" s="36" t="s">
        <v>59</v>
      </c>
      <c r="FG2522" s="36" t="s">
        <v>1241</v>
      </c>
      <c r="FJ2522" t="s">
        <v>59</v>
      </c>
    </row>
    <row r="2523" spans="153:166" x14ac:dyDescent="0.35">
      <c r="EW2523" t="s">
        <v>3124</v>
      </c>
      <c r="EX2523" s="35" t="s">
        <v>3700</v>
      </c>
      <c r="EY2523" s="35" t="s">
        <v>1527</v>
      </c>
      <c r="EZ2523" s="36" t="s">
        <v>1528</v>
      </c>
      <c r="FA2523" s="36" t="s">
        <v>1192</v>
      </c>
      <c r="FB2523" s="36" t="s">
        <v>344</v>
      </c>
      <c r="FC2523" s="36" t="s">
        <v>1192</v>
      </c>
      <c r="FD2523" s="36" t="s">
        <v>344</v>
      </c>
      <c r="FE2523" s="36">
        <v>2026</v>
      </c>
      <c r="FF2523" s="36" t="s">
        <v>59</v>
      </c>
      <c r="FG2523" s="36" t="s">
        <v>1241</v>
      </c>
      <c r="FJ2523" t="s">
        <v>59</v>
      </c>
    </row>
    <row r="2524" spans="153:166" x14ac:dyDescent="0.35">
      <c r="EW2524" t="s">
        <v>3124</v>
      </c>
      <c r="EX2524" s="35" t="s">
        <v>3701</v>
      </c>
      <c r="EY2524" s="35" t="s">
        <v>1531</v>
      </c>
      <c r="EZ2524" s="36" t="s">
        <v>1532</v>
      </c>
      <c r="FA2524" s="36" t="s">
        <v>1192</v>
      </c>
      <c r="FB2524" s="36" t="s">
        <v>344</v>
      </c>
      <c r="FC2524" s="36" t="s">
        <v>1192</v>
      </c>
      <c r="FD2524" s="36" t="s">
        <v>344</v>
      </c>
      <c r="FE2524" s="36">
        <v>2026</v>
      </c>
      <c r="FF2524" s="36" t="s">
        <v>59</v>
      </c>
      <c r="FG2524" s="36" t="s">
        <v>1241</v>
      </c>
      <c r="FJ2524" t="s">
        <v>59</v>
      </c>
    </row>
    <row r="2525" spans="153:166" x14ac:dyDescent="0.35">
      <c r="EW2525" t="s">
        <v>3124</v>
      </c>
      <c r="EX2525" s="35" t="s">
        <v>3702</v>
      </c>
      <c r="EY2525" s="35" t="s">
        <v>1533</v>
      </c>
      <c r="EZ2525" s="36" t="s">
        <v>1534</v>
      </c>
      <c r="FA2525" s="36" t="s">
        <v>1192</v>
      </c>
      <c r="FB2525" s="36" t="s">
        <v>344</v>
      </c>
      <c r="FC2525" s="36" t="s">
        <v>1192</v>
      </c>
      <c r="FD2525" s="36" t="s">
        <v>344</v>
      </c>
      <c r="FE2525" s="36">
        <v>2026</v>
      </c>
      <c r="FF2525" s="36" t="s">
        <v>59</v>
      </c>
      <c r="FG2525" s="36" t="s">
        <v>1241</v>
      </c>
      <c r="FJ2525" t="s">
        <v>59</v>
      </c>
    </row>
    <row r="2526" spans="153:166" x14ac:dyDescent="0.35">
      <c r="EW2526" t="s">
        <v>3124</v>
      </c>
      <c r="EX2526" s="35" t="s">
        <v>3703</v>
      </c>
      <c r="EY2526" s="35" t="s">
        <v>1535</v>
      </c>
      <c r="EZ2526" s="36" t="s">
        <v>1536</v>
      </c>
      <c r="FA2526" s="36" t="s">
        <v>1192</v>
      </c>
      <c r="FB2526" s="36" t="s">
        <v>344</v>
      </c>
      <c r="FC2526" s="36" t="s">
        <v>1192</v>
      </c>
      <c r="FD2526" s="36" t="s">
        <v>344</v>
      </c>
      <c r="FE2526" s="36">
        <v>2026</v>
      </c>
      <c r="FF2526" s="36" t="s">
        <v>59</v>
      </c>
      <c r="FG2526" s="36" t="s">
        <v>1241</v>
      </c>
      <c r="FJ2526" t="s">
        <v>59</v>
      </c>
    </row>
    <row r="2527" spans="153:166" x14ac:dyDescent="0.35">
      <c r="EW2527" t="s">
        <v>3124</v>
      </c>
      <c r="EX2527" s="35" t="s">
        <v>3704</v>
      </c>
      <c r="EY2527" s="35" t="s">
        <v>1537</v>
      </c>
      <c r="EZ2527" s="36" t="s">
        <v>1538</v>
      </c>
      <c r="FA2527" s="36" t="s">
        <v>1192</v>
      </c>
      <c r="FB2527" s="36" t="s">
        <v>344</v>
      </c>
      <c r="FC2527" s="36" t="s">
        <v>1192</v>
      </c>
      <c r="FD2527" s="36" t="s">
        <v>344</v>
      </c>
      <c r="FE2527" s="36">
        <v>2026</v>
      </c>
      <c r="FF2527" s="36" t="s">
        <v>59</v>
      </c>
      <c r="FG2527" s="36" t="s">
        <v>1241</v>
      </c>
      <c r="FJ2527" t="s">
        <v>59</v>
      </c>
    </row>
    <row r="2528" spans="153:166" x14ac:dyDescent="0.35">
      <c r="EW2528" t="s">
        <v>3124</v>
      </c>
      <c r="EX2528" s="35" t="s">
        <v>3705</v>
      </c>
      <c r="EY2528" s="35" t="s">
        <v>1539</v>
      </c>
      <c r="EZ2528" s="36" t="s">
        <v>1540</v>
      </c>
      <c r="FA2528" s="36" t="s">
        <v>1192</v>
      </c>
      <c r="FB2528" s="36" t="s">
        <v>344</v>
      </c>
      <c r="FC2528" s="36" t="s">
        <v>1192</v>
      </c>
      <c r="FD2528" s="36" t="s">
        <v>344</v>
      </c>
      <c r="FE2528" s="36">
        <v>2026</v>
      </c>
      <c r="FF2528" s="36" t="s">
        <v>59</v>
      </c>
      <c r="FG2528" s="36" t="s">
        <v>1241</v>
      </c>
      <c r="FJ2528" t="s">
        <v>59</v>
      </c>
    </row>
    <row r="2529" spans="153:166" x14ac:dyDescent="0.35">
      <c r="EW2529" t="s">
        <v>3124</v>
      </c>
      <c r="EX2529" s="35" t="s">
        <v>3706</v>
      </c>
      <c r="EY2529" s="35" t="s">
        <v>1541</v>
      </c>
      <c r="EZ2529" s="36" t="s">
        <v>1542</v>
      </c>
      <c r="FA2529" s="36" t="s">
        <v>1192</v>
      </c>
      <c r="FB2529" s="36" t="s">
        <v>344</v>
      </c>
      <c r="FC2529" s="36" t="s">
        <v>1192</v>
      </c>
      <c r="FD2529" s="36" t="s">
        <v>344</v>
      </c>
      <c r="FE2529" s="36">
        <v>2026</v>
      </c>
      <c r="FF2529" s="36" t="s">
        <v>59</v>
      </c>
      <c r="FG2529" s="36" t="s">
        <v>1241</v>
      </c>
      <c r="FJ2529" t="s">
        <v>59</v>
      </c>
    </row>
    <row r="2530" spans="153:166" x14ac:dyDescent="0.35">
      <c r="EW2530" t="s">
        <v>3124</v>
      </c>
      <c r="EX2530" s="35" t="s">
        <v>3707</v>
      </c>
      <c r="EY2530" s="35" t="s">
        <v>1543</v>
      </c>
      <c r="EZ2530" s="36" t="s">
        <v>1544</v>
      </c>
      <c r="FA2530" s="36" t="s">
        <v>1192</v>
      </c>
      <c r="FB2530" s="36" t="s">
        <v>344</v>
      </c>
      <c r="FC2530" s="36" t="s">
        <v>1192</v>
      </c>
      <c r="FD2530" s="36" t="s">
        <v>344</v>
      </c>
      <c r="FE2530" s="36">
        <v>2026</v>
      </c>
      <c r="FF2530" s="36" t="s">
        <v>59</v>
      </c>
      <c r="FG2530" s="36" t="s">
        <v>1241</v>
      </c>
      <c r="FJ2530" t="s">
        <v>59</v>
      </c>
    </row>
    <row r="2531" spans="153:166" x14ac:dyDescent="0.35">
      <c r="EW2531" t="s">
        <v>3124</v>
      </c>
      <c r="EX2531" s="35" t="s">
        <v>3708</v>
      </c>
      <c r="EY2531" s="35" t="s">
        <v>1545</v>
      </c>
      <c r="EZ2531" s="36" t="s">
        <v>1546</v>
      </c>
      <c r="FA2531" s="36" t="s">
        <v>1192</v>
      </c>
      <c r="FB2531" s="36" t="s">
        <v>344</v>
      </c>
      <c r="FC2531" s="36" t="s">
        <v>1192</v>
      </c>
      <c r="FD2531" s="36" t="s">
        <v>344</v>
      </c>
      <c r="FE2531" s="36">
        <v>2026</v>
      </c>
      <c r="FF2531" s="36" t="s">
        <v>59</v>
      </c>
      <c r="FG2531" s="36" t="s">
        <v>1241</v>
      </c>
      <c r="FJ2531" t="s">
        <v>59</v>
      </c>
    </row>
    <row r="2532" spans="153:166" x14ac:dyDescent="0.35">
      <c r="EW2532" t="s">
        <v>3124</v>
      </c>
      <c r="EX2532" s="35" t="s">
        <v>3709</v>
      </c>
      <c r="EY2532" s="35" t="s">
        <v>1549</v>
      </c>
      <c r="EZ2532" s="36" t="s">
        <v>1550</v>
      </c>
      <c r="FA2532" s="36" t="s">
        <v>1192</v>
      </c>
      <c r="FB2532" s="36" t="s">
        <v>344</v>
      </c>
      <c r="FC2532" s="36" t="s">
        <v>1192</v>
      </c>
      <c r="FD2532" s="36" t="s">
        <v>344</v>
      </c>
      <c r="FE2532" s="36">
        <v>2026</v>
      </c>
      <c r="FF2532" s="36" t="s">
        <v>59</v>
      </c>
      <c r="FG2532" s="36" t="s">
        <v>1241</v>
      </c>
      <c r="FJ2532" t="s">
        <v>59</v>
      </c>
    </row>
    <row r="2533" spans="153:166" x14ac:dyDescent="0.35">
      <c r="EW2533" t="s">
        <v>3124</v>
      </c>
      <c r="EX2533" s="35" t="s">
        <v>3710</v>
      </c>
      <c r="EY2533" s="35" t="s">
        <v>1552</v>
      </c>
      <c r="EZ2533" s="36" t="s">
        <v>1553</v>
      </c>
      <c r="FA2533" s="36" t="s">
        <v>1192</v>
      </c>
      <c r="FB2533" s="36" t="s">
        <v>344</v>
      </c>
      <c r="FC2533" s="36" t="s">
        <v>1192</v>
      </c>
      <c r="FD2533" s="36" t="s">
        <v>344</v>
      </c>
      <c r="FE2533" s="36">
        <v>2026</v>
      </c>
      <c r="FF2533" s="36" t="s">
        <v>59</v>
      </c>
      <c r="FG2533" s="36" t="s">
        <v>1241</v>
      </c>
      <c r="FJ2533" t="s">
        <v>59</v>
      </c>
    </row>
    <row r="2534" spans="153:166" x14ac:dyDescent="0.35">
      <c r="EW2534" t="s">
        <v>3124</v>
      </c>
      <c r="EX2534" s="35" t="s">
        <v>3711</v>
      </c>
      <c r="EY2534" s="35" t="s">
        <v>1555</v>
      </c>
      <c r="EZ2534" s="36" t="s">
        <v>1556</v>
      </c>
      <c r="FA2534" s="36" t="s">
        <v>1192</v>
      </c>
      <c r="FB2534" s="36" t="s">
        <v>344</v>
      </c>
      <c r="FC2534" s="36" t="s">
        <v>1192</v>
      </c>
      <c r="FD2534" s="36" t="s">
        <v>344</v>
      </c>
      <c r="FE2534" s="36">
        <v>2026</v>
      </c>
      <c r="FF2534" s="36" t="s">
        <v>59</v>
      </c>
      <c r="FG2534" s="36" t="s">
        <v>1241</v>
      </c>
      <c r="FJ2534" t="s">
        <v>59</v>
      </c>
    </row>
    <row r="2535" spans="153:166" x14ac:dyDescent="0.35">
      <c r="EW2535" t="s">
        <v>3124</v>
      </c>
      <c r="EX2535" s="35" t="s">
        <v>3712</v>
      </c>
      <c r="EY2535" s="35" t="s">
        <v>1557</v>
      </c>
      <c r="EZ2535" s="36" t="s">
        <v>1558</v>
      </c>
      <c r="FA2535" s="36" t="s">
        <v>1192</v>
      </c>
      <c r="FB2535" s="36" t="s">
        <v>344</v>
      </c>
      <c r="FC2535" s="36" t="s">
        <v>1192</v>
      </c>
      <c r="FD2535" s="36" t="s">
        <v>344</v>
      </c>
      <c r="FE2535" s="36">
        <v>2026</v>
      </c>
      <c r="FF2535" s="36" t="s">
        <v>59</v>
      </c>
      <c r="FG2535" s="36" t="s">
        <v>1241</v>
      </c>
      <c r="FJ2535" t="s">
        <v>59</v>
      </c>
    </row>
    <row r="2536" spans="153:166" x14ac:dyDescent="0.35">
      <c r="EW2536" t="s">
        <v>3124</v>
      </c>
      <c r="EX2536" s="35" t="s">
        <v>3713</v>
      </c>
      <c r="EY2536" s="35" t="s">
        <v>1559</v>
      </c>
      <c r="EZ2536" s="36" t="s">
        <v>1560</v>
      </c>
      <c r="FA2536" s="36" t="s">
        <v>1192</v>
      </c>
      <c r="FB2536" s="36" t="s">
        <v>344</v>
      </c>
      <c r="FC2536" s="36" t="s">
        <v>1192</v>
      </c>
      <c r="FD2536" s="36" t="s">
        <v>344</v>
      </c>
      <c r="FE2536" s="36">
        <v>2026</v>
      </c>
      <c r="FF2536" s="36" t="s">
        <v>59</v>
      </c>
      <c r="FG2536" s="36" t="s">
        <v>1241</v>
      </c>
      <c r="FJ2536" t="s">
        <v>59</v>
      </c>
    </row>
    <row r="2537" spans="153:166" x14ac:dyDescent="0.35">
      <c r="EW2537" t="s">
        <v>3124</v>
      </c>
      <c r="EX2537" s="35" t="s">
        <v>3714</v>
      </c>
      <c r="EY2537" s="35" t="s">
        <v>1561</v>
      </c>
      <c r="EZ2537" s="36" t="s">
        <v>1562</v>
      </c>
      <c r="FA2537" s="36" t="s">
        <v>1192</v>
      </c>
      <c r="FB2537" s="36" t="s">
        <v>344</v>
      </c>
      <c r="FC2537" s="36" t="s">
        <v>1192</v>
      </c>
      <c r="FD2537" s="36" t="s">
        <v>344</v>
      </c>
      <c r="FE2537" s="36">
        <v>2026</v>
      </c>
      <c r="FF2537" s="36" t="s">
        <v>59</v>
      </c>
      <c r="FG2537" s="36" t="s">
        <v>1241</v>
      </c>
      <c r="FJ2537" t="s">
        <v>59</v>
      </c>
    </row>
    <row r="2538" spans="153:166" x14ac:dyDescent="0.35">
      <c r="EW2538" t="s">
        <v>3124</v>
      </c>
      <c r="EX2538" s="35" t="s">
        <v>3715</v>
      </c>
      <c r="EY2538" s="35" t="s">
        <v>1563</v>
      </c>
      <c r="EZ2538" s="36" t="s">
        <v>1564</v>
      </c>
      <c r="FA2538" s="36" t="s">
        <v>1192</v>
      </c>
      <c r="FB2538" s="36" t="s">
        <v>344</v>
      </c>
      <c r="FC2538" s="36" t="s">
        <v>1192</v>
      </c>
      <c r="FD2538" s="36" t="s">
        <v>344</v>
      </c>
      <c r="FE2538" s="36">
        <v>2026</v>
      </c>
      <c r="FF2538" s="36" t="s">
        <v>59</v>
      </c>
      <c r="FG2538" s="36" t="s">
        <v>1241</v>
      </c>
      <c r="FJ2538" t="s">
        <v>59</v>
      </c>
    </row>
    <row r="2539" spans="153:166" x14ac:dyDescent="0.35">
      <c r="EW2539" t="s">
        <v>3124</v>
      </c>
      <c r="EX2539" s="35" t="s">
        <v>3716</v>
      </c>
      <c r="EY2539" s="35" t="s">
        <v>1565</v>
      </c>
      <c r="EZ2539" s="36" t="s">
        <v>1566</v>
      </c>
      <c r="FA2539" s="36" t="s">
        <v>1192</v>
      </c>
      <c r="FB2539" s="36" t="s">
        <v>344</v>
      </c>
      <c r="FC2539" s="36" t="s">
        <v>1192</v>
      </c>
      <c r="FD2539" s="36" t="s">
        <v>344</v>
      </c>
      <c r="FE2539" s="36">
        <v>2026</v>
      </c>
      <c r="FF2539" s="36" t="s">
        <v>59</v>
      </c>
      <c r="FG2539" s="36" t="s">
        <v>1241</v>
      </c>
      <c r="FJ2539" t="s">
        <v>59</v>
      </c>
    </row>
    <row r="2540" spans="153:166" x14ac:dyDescent="0.35">
      <c r="EW2540" t="s">
        <v>3124</v>
      </c>
      <c r="EX2540" s="35" t="s">
        <v>3717</v>
      </c>
      <c r="EY2540" s="35" t="s">
        <v>1567</v>
      </c>
      <c r="EZ2540" s="36" t="s">
        <v>1568</v>
      </c>
      <c r="FA2540" s="36" t="s">
        <v>1192</v>
      </c>
      <c r="FB2540" s="36" t="s">
        <v>344</v>
      </c>
      <c r="FC2540" s="36" t="s">
        <v>1192</v>
      </c>
      <c r="FD2540" s="36" t="s">
        <v>344</v>
      </c>
      <c r="FE2540" s="36">
        <v>2026</v>
      </c>
      <c r="FF2540" s="36" t="s">
        <v>59</v>
      </c>
      <c r="FG2540" s="36" t="s">
        <v>1241</v>
      </c>
      <c r="FJ2540" t="s">
        <v>59</v>
      </c>
    </row>
    <row r="2541" spans="153:166" x14ac:dyDescent="0.35">
      <c r="EW2541" t="s">
        <v>3124</v>
      </c>
      <c r="EX2541" s="35" t="s">
        <v>3718</v>
      </c>
      <c r="EY2541" s="35" t="s">
        <v>1569</v>
      </c>
      <c r="EZ2541" s="36" t="s">
        <v>1570</v>
      </c>
      <c r="FA2541" s="36" t="s">
        <v>1192</v>
      </c>
      <c r="FB2541" s="36" t="s">
        <v>344</v>
      </c>
      <c r="FC2541" s="36" t="s">
        <v>1192</v>
      </c>
      <c r="FD2541" s="36" t="s">
        <v>344</v>
      </c>
      <c r="FE2541" s="36">
        <v>2026</v>
      </c>
      <c r="FF2541" s="36" t="s">
        <v>59</v>
      </c>
      <c r="FG2541" s="36" t="s">
        <v>1241</v>
      </c>
      <c r="FJ2541" t="s">
        <v>59</v>
      </c>
    </row>
    <row r="2542" spans="153:166" x14ac:dyDescent="0.35">
      <c r="EW2542" t="s">
        <v>3124</v>
      </c>
      <c r="EX2542" s="35" t="s">
        <v>3719</v>
      </c>
      <c r="EY2542" s="35" t="s">
        <v>1571</v>
      </c>
      <c r="EZ2542" s="36" t="s">
        <v>1572</v>
      </c>
      <c r="FA2542" s="36" t="s">
        <v>1192</v>
      </c>
      <c r="FB2542" s="36" t="s">
        <v>344</v>
      </c>
      <c r="FC2542" s="36" t="s">
        <v>1192</v>
      </c>
      <c r="FD2542" s="36" t="s">
        <v>344</v>
      </c>
      <c r="FE2542" s="36">
        <v>2026</v>
      </c>
      <c r="FF2542" s="36" t="s">
        <v>59</v>
      </c>
      <c r="FG2542" s="36" t="s">
        <v>1241</v>
      </c>
      <c r="FJ2542" t="s">
        <v>59</v>
      </c>
    </row>
    <row r="2543" spans="153:166" x14ac:dyDescent="0.35">
      <c r="EW2543" t="s">
        <v>3124</v>
      </c>
      <c r="EX2543" s="35" t="s">
        <v>3720</v>
      </c>
      <c r="EY2543" s="35" t="s">
        <v>1573</v>
      </c>
      <c r="EZ2543" s="36" t="s">
        <v>1574</v>
      </c>
      <c r="FA2543" s="36" t="s">
        <v>1192</v>
      </c>
      <c r="FB2543" s="36" t="s">
        <v>344</v>
      </c>
      <c r="FC2543" s="36" t="s">
        <v>1192</v>
      </c>
      <c r="FD2543" s="36" t="s">
        <v>344</v>
      </c>
      <c r="FE2543" s="36">
        <v>2026</v>
      </c>
      <c r="FF2543" s="36" t="s">
        <v>59</v>
      </c>
      <c r="FG2543" s="36" t="s">
        <v>1241</v>
      </c>
      <c r="FJ2543" t="s">
        <v>59</v>
      </c>
    </row>
    <row r="2544" spans="153:166" x14ac:dyDescent="0.35">
      <c r="EW2544" t="s">
        <v>3124</v>
      </c>
      <c r="EX2544" s="35" t="s">
        <v>3721</v>
      </c>
      <c r="EY2544" s="35" t="s">
        <v>1577</v>
      </c>
      <c r="EZ2544" s="36" t="s">
        <v>1578</v>
      </c>
      <c r="FA2544" s="36" t="s">
        <v>1192</v>
      </c>
      <c r="FB2544" s="36" t="s">
        <v>344</v>
      </c>
      <c r="FC2544" s="36" t="s">
        <v>1192</v>
      </c>
      <c r="FD2544" s="36" t="s">
        <v>344</v>
      </c>
      <c r="FE2544" s="36">
        <v>2026</v>
      </c>
      <c r="FF2544" s="36" t="s">
        <v>59</v>
      </c>
      <c r="FG2544" s="36" t="s">
        <v>1241</v>
      </c>
      <c r="FJ2544" t="s">
        <v>59</v>
      </c>
    </row>
    <row r="2545" spans="153:166" x14ac:dyDescent="0.35">
      <c r="EW2545" t="s">
        <v>3124</v>
      </c>
      <c r="EX2545" s="35" t="s">
        <v>3722</v>
      </c>
      <c r="EY2545" s="35" t="s">
        <v>1579</v>
      </c>
      <c r="EZ2545" s="36" t="s">
        <v>1580</v>
      </c>
      <c r="FA2545" s="36" t="s">
        <v>1192</v>
      </c>
      <c r="FB2545" s="36" t="s">
        <v>344</v>
      </c>
      <c r="FC2545" s="36" t="s">
        <v>1192</v>
      </c>
      <c r="FD2545" s="36" t="s">
        <v>344</v>
      </c>
      <c r="FE2545" s="36">
        <v>2026</v>
      </c>
      <c r="FF2545" s="36" t="s">
        <v>59</v>
      </c>
      <c r="FG2545" s="36" t="s">
        <v>1241</v>
      </c>
      <c r="FJ2545" t="s">
        <v>59</v>
      </c>
    </row>
    <row r="2546" spans="153:166" x14ac:dyDescent="0.35">
      <c r="EW2546" t="s">
        <v>3124</v>
      </c>
      <c r="EX2546" s="35" t="s">
        <v>3723</v>
      </c>
      <c r="EY2546" s="35" t="s">
        <v>1582</v>
      </c>
      <c r="EZ2546" s="36" t="s">
        <v>1583</v>
      </c>
      <c r="FA2546" s="36" t="s">
        <v>1192</v>
      </c>
      <c r="FB2546" s="36" t="s">
        <v>344</v>
      </c>
      <c r="FC2546" s="36" t="s">
        <v>1192</v>
      </c>
      <c r="FD2546" s="36" t="s">
        <v>344</v>
      </c>
      <c r="FE2546" s="36">
        <v>2026</v>
      </c>
      <c r="FF2546" s="36" t="s">
        <v>59</v>
      </c>
      <c r="FG2546" s="36" t="s">
        <v>1584</v>
      </c>
      <c r="FJ2546" t="s">
        <v>59</v>
      </c>
    </row>
    <row r="2547" spans="153:166" x14ac:dyDescent="0.35">
      <c r="EW2547" t="s">
        <v>3124</v>
      </c>
      <c r="EX2547" s="35" t="s">
        <v>3724</v>
      </c>
      <c r="EY2547" s="35" t="s">
        <v>1585</v>
      </c>
      <c r="EZ2547" s="36" t="s">
        <v>1586</v>
      </c>
      <c r="FA2547" s="36" t="s">
        <v>1192</v>
      </c>
      <c r="FB2547" s="36" t="s">
        <v>344</v>
      </c>
      <c r="FC2547" s="36" t="s">
        <v>1192</v>
      </c>
      <c r="FD2547" s="36" t="s">
        <v>344</v>
      </c>
      <c r="FE2547" s="36">
        <v>2026</v>
      </c>
      <c r="FF2547" s="36" t="s">
        <v>59</v>
      </c>
      <c r="FG2547" s="36" t="s">
        <v>1584</v>
      </c>
      <c r="FJ2547" t="s">
        <v>59</v>
      </c>
    </row>
    <row r="2548" spans="153:166" x14ac:dyDescent="0.35">
      <c r="EW2548" t="s">
        <v>3124</v>
      </c>
      <c r="EX2548" s="35" t="s">
        <v>3725</v>
      </c>
      <c r="EY2548" s="35" t="s">
        <v>1587</v>
      </c>
      <c r="EZ2548" s="36" t="s">
        <v>1588</v>
      </c>
      <c r="FA2548" s="36" t="s">
        <v>1192</v>
      </c>
      <c r="FB2548" s="36" t="s">
        <v>344</v>
      </c>
      <c r="FC2548" s="36" t="s">
        <v>1192</v>
      </c>
      <c r="FD2548" s="36" t="s">
        <v>344</v>
      </c>
      <c r="FE2548" s="36">
        <v>2026</v>
      </c>
      <c r="FF2548" s="36" t="s">
        <v>59</v>
      </c>
      <c r="FG2548" s="36" t="s">
        <v>1584</v>
      </c>
      <c r="FJ2548" t="s">
        <v>59</v>
      </c>
    </row>
    <row r="2549" spans="153:166" x14ac:dyDescent="0.35">
      <c r="EW2549" t="s">
        <v>3124</v>
      </c>
      <c r="EX2549" s="35" t="s">
        <v>3726</v>
      </c>
      <c r="EY2549" s="35" t="s">
        <v>1590</v>
      </c>
      <c r="EZ2549" s="36" t="s">
        <v>1591</v>
      </c>
      <c r="FA2549" s="36" t="s">
        <v>1192</v>
      </c>
      <c r="FB2549" s="36" t="s">
        <v>344</v>
      </c>
      <c r="FC2549" s="36" t="s">
        <v>1192</v>
      </c>
      <c r="FD2549" s="36" t="s">
        <v>344</v>
      </c>
      <c r="FE2549" s="36">
        <v>2026</v>
      </c>
      <c r="FF2549" s="36" t="s">
        <v>59</v>
      </c>
      <c r="FG2549" s="36" t="s">
        <v>1584</v>
      </c>
      <c r="FJ2549" t="s">
        <v>59</v>
      </c>
    </row>
    <row r="2550" spans="153:166" x14ac:dyDescent="0.35">
      <c r="EW2550" t="s">
        <v>3124</v>
      </c>
      <c r="EX2550" s="35" t="s">
        <v>3727</v>
      </c>
      <c r="EY2550" s="35" t="s">
        <v>1593</v>
      </c>
      <c r="EZ2550" s="36" t="s">
        <v>1594</v>
      </c>
      <c r="FA2550" s="36" t="s">
        <v>1192</v>
      </c>
      <c r="FB2550" s="36" t="s">
        <v>344</v>
      </c>
      <c r="FC2550" s="36" t="s">
        <v>1192</v>
      </c>
      <c r="FD2550" s="36" t="s">
        <v>344</v>
      </c>
      <c r="FE2550" s="36">
        <v>2026</v>
      </c>
      <c r="FF2550" s="36" t="s">
        <v>59</v>
      </c>
      <c r="FG2550" s="36" t="s">
        <v>1584</v>
      </c>
      <c r="FJ2550" t="s">
        <v>59</v>
      </c>
    </row>
    <row r="2551" spans="153:166" x14ac:dyDescent="0.35">
      <c r="EW2551" t="s">
        <v>3124</v>
      </c>
      <c r="EX2551" s="35" t="s">
        <v>3728</v>
      </c>
      <c r="EY2551" s="35" t="s">
        <v>1595</v>
      </c>
      <c r="EZ2551" s="36" t="s">
        <v>1596</v>
      </c>
      <c r="FA2551" s="36" t="s">
        <v>1192</v>
      </c>
      <c r="FB2551" s="36" t="s">
        <v>344</v>
      </c>
      <c r="FC2551" s="36" t="s">
        <v>1192</v>
      </c>
      <c r="FD2551" s="36" t="s">
        <v>344</v>
      </c>
      <c r="FE2551" s="36">
        <v>2026</v>
      </c>
      <c r="FF2551" s="36" t="s">
        <v>59</v>
      </c>
      <c r="FG2551" s="36" t="s">
        <v>1584</v>
      </c>
      <c r="FJ2551" t="s">
        <v>59</v>
      </c>
    </row>
    <row r="2552" spans="153:166" x14ac:dyDescent="0.35">
      <c r="EW2552" t="s">
        <v>3124</v>
      </c>
      <c r="EX2552" s="35" t="s">
        <v>3729</v>
      </c>
      <c r="EY2552" s="35" t="s">
        <v>1598</v>
      </c>
      <c r="EZ2552" s="36" t="s">
        <v>1599</v>
      </c>
      <c r="FA2552" s="36" t="s">
        <v>1192</v>
      </c>
      <c r="FB2552" s="36" t="s">
        <v>344</v>
      </c>
      <c r="FC2552" s="36" t="s">
        <v>1192</v>
      </c>
      <c r="FD2552" s="36" t="s">
        <v>344</v>
      </c>
      <c r="FE2552" s="36">
        <v>2026</v>
      </c>
      <c r="FF2552" s="36" t="s">
        <v>59</v>
      </c>
      <c r="FG2552" s="36" t="s">
        <v>1584</v>
      </c>
      <c r="FJ2552" t="s">
        <v>59</v>
      </c>
    </row>
    <row r="2553" spans="153:166" x14ac:dyDescent="0.35">
      <c r="EW2553" t="s">
        <v>3124</v>
      </c>
      <c r="EX2553" s="35" t="s">
        <v>3730</v>
      </c>
      <c r="EY2553" s="35" t="s">
        <v>1600</v>
      </c>
      <c r="EZ2553" s="36" t="s">
        <v>1601</v>
      </c>
      <c r="FA2553" s="36" t="s">
        <v>1192</v>
      </c>
      <c r="FB2553" s="36" t="s">
        <v>344</v>
      </c>
      <c r="FC2553" s="36" t="s">
        <v>1192</v>
      </c>
      <c r="FD2553" s="36" t="s">
        <v>344</v>
      </c>
      <c r="FE2553" s="36">
        <v>2026</v>
      </c>
      <c r="FF2553" s="36" t="s">
        <v>59</v>
      </c>
      <c r="FG2553" s="36" t="s">
        <v>1584</v>
      </c>
      <c r="FJ2553" t="s">
        <v>59</v>
      </c>
    </row>
    <row r="2554" spans="153:166" x14ac:dyDescent="0.35">
      <c r="EW2554" t="s">
        <v>3124</v>
      </c>
      <c r="EX2554" s="42" t="s">
        <v>3731</v>
      </c>
      <c r="EY2554" s="35" t="s">
        <v>1602</v>
      </c>
      <c r="EZ2554" s="36" t="s">
        <v>1603</v>
      </c>
      <c r="FA2554" s="36" t="s">
        <v>1192</v>
      </c>
      <c r="FB2554" s="36" t="s">
        <v>344</v>
      </c>
      <c r="FC2554" s="36" t="s">
        <v>1192</v>
      </c>
      <c r="FD2554" s="36" t="s">
        <v>344</v>
      </c>
      <c r="FE2554" s="36">
        <v>2026</v>
      </c>
      <c r="FF2554" s="36" t="s">
        <v>59</v>
      </c>
      <c r="FG2554" s="36" t="s">
        <v>1584</v>
      </c>
      <c r="FJ2554" t="s">
        <v>59</v>
      </c>
    </row>
    <row r="2555" spans="153:166" x14ac:dyDescent="0.35">
      <c r="EW2555" t="s">
        <v>3124</v>
      </c>
      <c r="EX2555" s="35" t="s">
        <v>3732</v>
      </c>
      <c r="EY2555" s="35" t="s">
        <v>1604</v>
      </c>
      <c r="EZ2555" s="36" t="s">
        <v>1605</v>
      </c>
      <c r="FA2555" s="36" t="s">
        <v>1192</v>
      </c>
      <c r="FB2555" s="36" t="s">
        <v>344</v>
      </c>
      <c r="FC2555" s="36" t="s">
        <v>1192</v>
      </c>
      <c r="FD2555" s="36" t="s">
        <v>344</v>
      </c>
      <c r="FE2555" s="36">
        <v>2026</v>
      </c>
      <c r="FF2555" s="36" t="s">
        <v>59</v>
      </c>
      <c r="FG2555" s="36" t="s">
        <v>1584</v>
      </c>
      <c r="FJ2555" t="s">
        <v>59</v>
      </c>
    </row>
    <row r="2556" spans="153:166" x14ac:dyDescent="0.35">
      <c r="EW2556" t="s">
        <v>3124</v>
      </c>
      <c r="EX2556" s="35" t="s">
        <v>3733</v>
      </c>
      <c r="EY2556" s="35" t="s">
        <v>1606</v>
      </c>
      <c r="EZ2556" s="36" t="s">
        <v>1607</v>
      </c>
      <c r="FA2556" s="36" t="s">
        <v>1192</v>
      </c>
      <c r="FB2556" s="36" t="s">
        <v>344</v>
      </c>
      <c r="FC2556" s="36" t="s">
        <v>1192</v>
      </c>
      <c r="FD2556" s="36" t="s">
        <v>344</v>
      </c>
      <c r="FE2556" s="36">
        <v>2026</v>
      </c>
      <c r="FF2556" s="36" t="s">
        <v>59</v>
      </c>
      <c r="FG2556" s="36" t="s">
        <v>1584</v>
      </c>
      <c r="FJ2556" t="s">
        <v>59</v>
      </c>
    </row>
    <row r="2557" spans="153:166" x14ac:dyDescent="0.35">
      <c r="EW2557" t="s">
        <v>3124</v>
      </c>
      <c r="EX2557" s="35" t="s">
        <v>3734</v>
      </c>
      <c r="EY2557" s="35" t="s">
        <v>1609</v>
      </c>
      <c r="EZ2557" s="36" t="s">
        <v>1610</v>
      </c>
      <c r="FA2557" s="36" t="s">
        <v>1192</v>
      </c>
      <c r="FB2557" s="36" t="s">
        <v>1611</v>
      </c>
      <c r="FC2557" s="36" t="s">
        <v>1192</v>
      </c>
      <c r="FD2557" s="36" t="s">
        <v>1611</v>
      </c>
      <c r="FE2557" s="36">
        <v>2026</v>
      </c>
      <c r="FF2557" s="36" t="s">
        <v>1109</v>
      </c>
      <c r="FG2557" s="36" t="s">
        <v>1584</v>
      </c>
      <c r="FJ2557" t="s">
        <v>1109</v>
      </c>
    </row>
    <row r="2558" spans="153:166" x14ac:dyDescent="0.35">
      <c r="EW2558" t="s">
        <v>3124</v>
      </c>
      <c r="EX2558" s="35" t="s">
        <v>3735</v>
      </c>
      <c r="EY2558" s="35" t="s">
        <v>1612</v>
      </c>
      <c r="EZ2558" s="36" t="s">
        <v>1613</v>
      </c>
      <c r="FA2558" s="36" t="s">
        <v>1192</v>
      </c>
      <c r="FB2558" s="36" t="s">
        <v>1611</v>
      </c>
      <c r="FC2558" s="36" t="s">
        <v>1192</v>
      </c>
      <c r="FD2558" s="36" t="s">
        <v>1611</v>
      </c>
      <c r="FE2558" s="36">
        <v>2026</v>
      </c>
      <c r="FF2558" s="36" t="s">
        <v>1109</v>
      </c>
      <c r="FG2558" s="36" t="s">
        <v>1584</v>
      </c>
      <c r="FJ2558" t="s">
        <v>1109</v>
      </c>
    </row>
    <row r="2559" spans="153:166" x14ac:dyDescent="0.35">
      <c r="EW2559" t="s">
        <v>3124</v>
      </c>
      <c r="EX2559" s="35" t="s">
        <v>3736</v>
      </c>
      <c r="EY2559" s="35" t="s">
        <v>1614</v>
      </c>
      <c r="EZ2559" s="36" t="s">
        <v>1615</v>
      </c>
      <c r="FA2559" s="36" t="s">
        <v>1192</v>
      </c>
      <c r="FB2559" s="36" t="s">
        <v>1611</v>
      </c>
      <c r="FC2559" s="36" t="s">
        <v>1192</v>
      </c>
      <c r="FD2559" s="36" t="s">
        <v>1611</v>
      </c>
      <c r="FE2559" s="36">
        <v>2026</v>
      </c>
      <c r="FF2559" s="36" t="s">
        <v>1109</v>
      </c>
      <c r="FG2559" s="36" t="s">
        <v>1584</v>
      </c>
      <c r="FJ2559" t="s">
        <v>1109</v>
      </c>
    </row>
    <row r="2560" spans="153:166" x14ac:dyDescent="0.35">
      <c r="EW2560" t="s">
        <v>3124</v>
      </c>
      <c r="EX2560" s="35" t="s">
        <v>3737</v>
      </c>
      <c r="EY2560" s="35" t="s">
        <v>1617</v>
      </c>
      <c r="EZ2560" s="36" t="s">
        <v>1618</v>
      </c>
      <c r="FA2560" s="36" t="s">
        <v>1192</v>
      </c>
      <c r="FB2560" s="36" t="s">
        <v>1611</v>
      </c>
      <c r="FC2560" s="36" t="s">
        <v>1192</v>
      </c>
      <c r="FD2560" s="36" t="s">
        <v>1611</v>
      </c>
      <c r="FE2560" s="36">
        <v>2026</v>
      </c>
      <c r="FF2560" s="36" t="s">
        <v>1109</v>
      </c>
      <c r="FG2560" s="36" t="s">
        <v>1584</v>
      </c>
      <c r="FJ2560" t="s">
        <v>1109</v>
      </c>
    </row>
    <row r="2561" spans="153:166" x14ac:dyDescent="0.35">
      <c r="EW2561" t="s">
        <v>3124</v>
      </c>
      <c r="EX2561" s="35" t="s">
        <v>3738</v>
      </c>
      <c r="EY2561" s="35" t="s">
        <v>1619</v>
      </c>
      <c r="EZ2561" s="36" t="s">
        <v>1620</v>
      </c>
      <c r="FA2561" s="36" t="s">
        <v>1192</v>
      </c>
      <c r="FB2561" s="36" t="s">
        <v>1611</v>
      </c>
      <c r="FC2561" s="36" t="s">
        <v>1192</v>
      </c>
      <c r="FD2561" s="36" t="s">
        <v>1611</v>
      </c>
      <c r="FE2561" s="36">
        <v>2026</v>
      </c>
      <c r="FF2561" s="36" t="s">
        <v>1109</v>
      </c>
      <c r="FG2561" s="36" t="s">
        <v>1584</v>
      </c>
      <c r="FJ2561" t="s">
        <v>1109</v>
      </c>
    </row>
    <row r="2562" spans="153:166" x14ac:dyDescent="0.35">
      <c r="EW2562" t="s">
        <v>3124</v>
      </c>
      <c r="EX2562" s="35" t="s">
        <v>3739</v>
      </c>
      <c r="EY2562" s="35" t="s">
        <v>1622</v>
      </c>
      <c r="EZ2562" s="36" t="s">
        <v>1623</v>
      </c>
      <c r="FA2562" s="36" t="s">
        <v>1192</v>
      </c>
      <c r="FB2562" s="36" t="s">
        <v>1611</v>
      </c>
      <c r="FC2562" s="36" t="s">
        <v>1192</v>
      </c>
      <c r="FD2562" s="36" t="s">
        <v>1611</v>
      </c>
      <c r="FE2562" s="36">
        <v>2026</v>
      </c>
      <c r="FF2562" s="36" t="s">
        <v>1109</v>
      </c>
      <c r="FG2562" s="36" t="s">
        <v>1584</v>
      </c>
      <c r="FJ2562" t="s">
        <v>1109</v>
      </c>
    </row>
    <row r="2563" spans="153:166" x14ac:dyDescent="0.35">
      <c r="EW2563" t="s">
        <v>3124</v>
      </c>
      <c r="EX2563" s="35" t="s">
        <v>3740</v>
      </c>
      <c r="EY2563" s="35" t="s">
        <v>1625</v>
      </c>
      <c r="EZ2563" s="36" t="s">
        <v>1626</v>
      </c>
      <c r="FA2563" s="36" t="s">
        <v>1192</v>
      </c>
      <c r="FB2563" s="36" t="s">
        <v>1611</v>
      </c>
      <c r="FC2563" s="36" t="s">
        <v>1192</v>
      </c>
      <c r="FD2563" s="36" t="s">
        <v>1611</v>
      </c>
      <c r="FE2563" s="36">
        <v>2026</v>
      </c>
      <c r="FF2563" s="36" t="s">
        <v>1109</v>
      </c>
      <c r="FG2563" s="36" t="s">
        <v>1584</v>
      </c>
      <c r="FJ2563" t="s">
        <v>1109</v>
      </c>
    </row>
    <row r="2564" spans="153:166" x14ac:dyDescent="0.35">
      <c r="EW2564" t="s">
        <v>3124</v>
      </c>
      <c r="EX2564" s="35" t="s">
        <v>3741</v>
      </c>
      <c r="EY2564" s="35" t="s">
        <v>1629</v>
      </c>
      <c r="EZ2564" s="36" t="s">
        <v>1630</v>
      </c>
      <c r="FA2564" s="36" t="s">
        <v>1192</v>
      </c>
      <c r="FB2564" s="36" t="s">
        <v>1611</v>
      </c>
      <c r="FC2564" s="36" t="s">
        <v>1192</v>
      </c>
      <c r="FD2564" s="36" t="s">
        <v>1611</v>
      </c>
      <c r="FE2564" s="36">
        <v>2026</v>
      </c>
      <c r="FF2564" s="36" t="s">
        <v>1109</v>
      </c>
      <c r="FG2564" s="36" t="s">
        <v>1584</v>
      </c>
      <c r="FJ2564" t="s">
        <v>1109</v>
      </c>
    </row>
    <row r="2565" spans="153:166" x14ac:dyDescent="0.35">
      <c r="EW2565" t="s">
        <v>3124</v>
      </c>
      <c r="EX2565" s="35" t="s">
        <v>3742</v>
      </c>
      <c r="EY2565" s="35" t="s">
        <v>1632</v>
      </c>
      <c r="EZ2565" s="36" t="s">
        <v>1633</v>
      </c>
      <c r="FA2565" s="36" t="s">
        <v>1192</v>
      </c>
      <c r="FB2565" s="36" t="s">
        <v>1611</v>
      </c>
      <c r="FC2565" s="36" t="s">
        <v>1192</v>
      </c>
      <c r="FD2565" s="36" t="s">
        <v>1611</v>
      </c>
      <c r="FE2565" s="36">
        <v>2026</v>
      </c>
      <c r="FF2565" s="36" t="s">
        <v>1109</v>
      </c>
      <c r="FG2565" s="36" t="s">
        <v>1584</v>
      </c>
      <c r="FJ2565" t="s">
        <v>1109</v>
      </c>
    </row>
    <row r="2566" spans="153:166" x14ac:dyDescent="0.35">
      <c r="EW2566" t="s">
        <v>3124</v>
      </c>
      <c r="EX2566" s="35" t="s">
        <v>3743</v>
      </c>
      <c r="EY2566" s="35" t="s">
        <v>1634</v>
      </c>
      <c r="EZ2566" s="36" t="s">
        <v>1635</v>
      </c>
      <c r="FA2566" s="36" t="s">
        <v>1192</v>
      </c>
      <c r="FB2566" s="36" t="s">
        <v>344</v>
      </c>
      <c r="FC2566" s="36" t="s">
        <v>1192</v>
      </c>
      <c r="FD2566" s="36" t="s">
        <v>344</v>
      </c>
      <c r="FE2566" s="36">
        <v>2026</v>
      </c>
      <c r="FF2566" s="36" t="s">
        <v>59</v>
      </c>
      <c r="FG2566" s="36" t="s">
        <v>1584</v>
      </c>
      <c r="FJ2566" t="s">
        <v>59</v>
      </c>
    </row>
    <row r="2567" spans="153:166" x14ac:dyDescent="0.35">
      <c r="EW2567" t="s">
        <v>3124</v>
      </c>
      <c r="EX2567" s="35" t="s">
        <v>3744</v>
      </c>
      <c r="EY2567" s="35" t="s">
        <v>1637</v>
      </c>
      <c r="EZ2567" s="36" t="s">
        <v>1638</v>
      </c>
      <c r="FA2567" s="36" t="s">
        <v>1192</v>
      </c>
      <c r="FB2567" s="36" t="s">
        <v>344</v>
      </c>
      <c r="FC2567" s="36" t="s">
        <v>1192</v>
      </c>
      <c r="FD2567" s="36" t="s">
        <v>344</v>
      </c>
      <c r="FE2567" s="36">
        <v>2026</v>
      </c>
      <c r="FF2567" s="36" t="s">
        <v>59</v>
      </c>
      <c r="FG2567" s="36" t="s">
        <v>1584</v>
      </c>
      <c r="FJ2567" t="s">
        <v>59</v>
      </c>
    </row>
    <row r="2568" spans="153:166" x14ac:dyDescent="0.35">
      <c r="EW2568" t="s">
        <v>3124</v>
      </c>
      <c r="EX2568" s="35" t="s">
        <v>3745</v>
      </c>
      <c r="EY2568" s="35" t="s">
        <v>1639</v>
      </c>
      <c r="EZ2568" s="36" t="s">
        <v>1640</v>
      </c>
      <c r="FA2568" s="36" t="s">
        <v>1192</v>
      </c>
      <c r="FB2568" s="36" t="s">
        <v>344</v>
      </c>
      <c r="FC2568" s="36" t="s">
        <v>1192</v>
      </c>
      <c r="FD2568" s="36" t="s">
        <v>344</v>
      </c>
      <c r="FE2568" s="36">
        <v>2026</v>
      </c>
      <c r="FF2568" s="36" t="s">
        <v>59</v>
      </c>
      <c r="FG2568" s="36" t="s">
        <v>1584</v>
      </c>
      <c r="FJ2568" t="s">
        <v>59</v>
      </c>
    </row>
    <row r="2569" spans="153:166" x14ac:dyDescent="0.35">
      <c r="EW2569" t="s">
        <v>3124</v>
      </c>
      <c r="EX2569" s="35" t="s">
        <v>3746</v>
      </c>
      <c r="EY2569" s="35" t="s">
        <v>1641</v>
      </c>
      <c r="EZ2569" s="36" t="s">
        <v>1642</v>
      </c>
      <c r="FA2569" s="36" t="s">
        <v>1192</v>
      </c>
      <c r="FB2569" s="36" t="s">
        <v>344</v>
      </c>
      <c r="FC2569" s="36" t="s">
        <v>1192</v>
      </c>
      <c r="FD2569" s="36" t="s">
        <v>344</v>
      </c>
      <c r="FE2569" s="36">
        <v>2026</v>
      </c>
      <c r="FF2569" s="36" t="s">
        <v>59</v>
      </c>
      <c r="FG2569" s="36" t="s">
        <v>1584</v>
      </c>
      <c r="FJ2569" t="s">
        <v>59</v>
      </c>
    </row>
    <row r="2570" spans="153:166" x14ac:dyDescent="0.35">
      <c r="EW2570" t="s">
        <v>3124</v>
      </c>
      <c r="EX2570" s="35" t="s">
        <v>3747</v>
      </c>
      <c r="EY2570" s="35" t="s">
        <v>1643</v>
      </c>
      <c r="EZ2570" s="36" t="s">
        <v>1644</v>
      </c>
      <c r="FA2570" s="36" t="s">
        <v>1192</v>
      </c>
      <c r="FB2570" s="36" t="s">
        <v>344</v>
      </c>
      <c r="FC2570" s="36" t="s">
        <v>1192</v>
      </c>
      <c r="FD2570" s="36" t="s">
        <v>344</v>
      </c>
      <c r="FE2570" s="36">
        <v>2026</v>
      </c>
      <c r="FF2570" s="36" t="s">
        <v>59</v>
      </c>
      <c r="FG2570" s="36" t="s">
        <v>1584</v>
      </c>
      <c r="FJ2570" t="s">
        <v>59</v>
      </c>
    </row>
    <row r="2571" spans="153:166" x14ac:dyDescent="0.35">
      <c r="EW2571" t="s">
        <v>3124</v>
      </c>
      <c r="EX2571" s="35" t="s">
        <v>3748</v>
      </c>
      <c r="EY2571" s="35" t="s">
        <v>1645</v>
      </c>
      <c r="EZ2571" s="36" t="s">
        <v>1646</v>
      </c>
      <c r="FA2571" s="36" t="s">
        <v>1192</v>
      </c>
      <c r="FB2571" s="36" t="s">
        <v>344</v>
      </c>
      <c r="FC2571" s="36" t="s">
        <v>1192</v>
      </c>
      <c r="FD2571" s="36" t="s">
        <v>344</v>
      </c>
      <c r="FE2571" s="36">
        <v>2026</v>
      </c>
      <c r="FF2571" s="36" t="s">
        <v>59</v>
      </c>
      <c r="FG2571" s="36" t="s">
        <v>1584</v>
      </c>
      <c r="FJ2571" t="s">
        <v>59</v>
      </c>
    </row>
    <row r="2572" spans="153:166" x14ac:dyDescent="0.35">
      <c r="EW2572" t="s">
        <v>3124</v>
      </c>
      <c r="EX2572" s="35" t="s">
        <v>3749</v>
      </c>
      <c r="EY2572" s="35" t="s">
        <v>1648</v>
      </c>
      <c r="EZ2572" s="36" t="s">
        <v>1649</v>
      </c>
      <c r="FA2572" s="36" t="s">
        <v>1192</v>
      </c>
      <c r="FB2572" s="36" t="s">
        <v>344</v>
      </c>
      <c r="FC2572" s="36" t="s">
        <v>1192</v>
      </c>
      <c r="FD2572" s="36" t="s">
        <v>344</v>
      </c>
      <c r="FE2572" s="36">
        <v>2026</v>
      </c>
      <c r="FF2572" s="36" t="s">
        <v>59</v>
      </c>
      <c r="FG2572" s="36" t="s">
        <v>1584</v>
      </c>
      <c r="FJ2572" t="s">
        <v>59</v>
      </c>
    </row>
    <row r="2573" spans="153:166" x14ac:dyDescent="0.35">
      <c r="EW2573" t="s">
        <v>3124</v>
      </c>
      <c r="EX2573" s="35" t="s">
        <v>3750</v>
      </c>
      <c r="EY2573" s="35" t="s">
        <v>1650</v>
      </c>
      <c r="EZ2573" s="36" t="s">
        <v>1651</v>
      </c>
      <c r="FA2573" s="36" t="s">
        <v>1192</v>
      </c>
      <c r="FB2573" s="36" t="s">
        <v>344</v>
      </c>
      <c r="FC2573" s="36" t="s">
        <v>1192</v>
      </c>
      <c r="FD2573" s="36" t="s">
        <v>344</v>
      </c>
      <c r="FE2573" s="36">
        <v>2026</v>
      </c>
      <c r="FF2573" s="36" t="s">
        <v>59</v>
      </c>
      <c r="FG2573" s="36" t="s">
        <v>1584</v>
      </c>
      <c r="FJ2573" t="s">
        <v>59</v>
      </c>
    </row>
    <row r="2574" spans="153:166" x14ac:dyDescent="0.35">
      <c r="EW2574" t="s">
        <v>3124</v>
      </c>
      <c r="EX2574" s="35" t="s">
        <v>3751</v>
      </c>
      <c r="EY2574" s="35" t="s">
        <v>1652</v>
      </c>
      <c r="EZ2574" s="36" t="s">
        <v>1653</v>
      </c>
      <c r="FA2574" s="36" t="s">
        <v>1192</v>
      </c>
      <c r="FB2574" s="36" t="s">
        <v>344</v>
      </c>
      <c r="FC2574" s="36" t="s">
        <v>1192</v>
      </c>
      <c r="FD2574" s="36" t="s">
        <v>344</v>
      </c>
      <c r="FE2574" s="36">
        <v>2026</v>
      </c>
      <c r="FF2574" s="36" t="s">
        <v>59</v>
      </c>
      <c r="FG2574" s="36" t="s">
        <v>1584</v>
      </c>
      <c r="FJ2574" t="s">
        <v>59</v>
      </c>
    </row>
    <row r="2575" spans="153:166" x14ac:dyDescent="0.35">
      <c r="EW2575" t="s">
        <v>3124</v>
      </c>
      <c r="EX2575" s="35" t="s">
        <v>3752</v>
      </c>
      <c r="EY2575" s="35" t="s">
        <v>1654</v>
      </c>
      <c r="EZ2575" s="36" t="s">
        <v>1655</v>
      </c>
      <c r="FA2575" s="36" t="s">
        <v>1192</v>
      </c>
      <c r="FB2575" s="36" t="s">
        <v>344</v>
      </c>
      <c r="FC2575" s="36" t="s">
        <v>1192</v>
      </c>
      <c r="FD2575" s="36" t="s">
        <v>344</v>
      </c>
      <c r="FE2575" s="36">
        <v>2026</v>
      </c>
      <c r="FF2575" s="36" t="s">
        <v>59</v>
      </c>
      <c r="FG2575" s="36" t="s">
        <v>1584</v>
      </c>
      <c r="FJ2575" t="s">
        <v>59</v>
      </c>
    </row>
    <row r="2576" spans="153:166" x14ac:dyDescent="0.35">
      <c r="EW2576" t="s">
        <v>3124</v>
      </c>
      <c r="EX2576" s="35" t="s">
        <v>3753</v>
      </c>
      <c r="EY2576" s="35" t="s">
        <v>1657</v>
      </c>
      <c r="EZ2576" s="36" t="s">
        <v>1658</v>
      </c>
      <c r="FA2576" s="36" t="s">
        <v>1192</v>
      </c>
      <c r="FB2576" s="36" t="s">
        <v>344</v>
      </c>
      <c r="FC2576" s="36" t="s">
        <v>1192</v>
      </c>
      <c r="FD2576" s="36" t="s">
        <v>344</v>
      </c>
      <c r="FE2576" s="36">
        <v>2026</v>
      </c>
      <c r="FF2576" s="36" t="s">
        <v>59</v>
      </c>
      <c r="FG2576" s="36" t="s">
        <v>1584</v>
      </c>
      <c r="FJ2576" t="s">
        <v>59</v>
      </c>
    </row>
    <row r="2577" spans="153:166" x14ac:dyDescent="0.35">
      <c r="EW2577" t="s">
        <v>3124</v>
      </c>
      <c r="EX2577" s="35" t="s">
        <v>3754</v>
      </c>
      <c r="EY2577" s="35" t="s">
        <v>1659</v>
      </c>
      <c r="EZ2577" s="36" t="s">
        <v>1660</v>
      </c>
      <c r="FA2577" s="36" t="s">
        <v>1192</v>
      </c>
      <c r="FB2577" s="36" t="s">
        <v>344</v>
      </c>
      <c r="FC2577" s="36" t="s">
        <v>1192</v>
      </c>
      <c r="FD2577" s="36" t="s">
        <v>344</v>
      </c>
      <c r="FE2577" s="36">
        <v>2026</v>
      </c>
      <c r="FF2577" s="36" t="s">
        <v>59</v>
      </c>
      <c r="FG2577" s="36" t="s">
        <v>1584</v>
      </c>
      <c r="FJ2577" t="s">
        <v>59</v>
      </c>
    </row>
    <row r="2578" spans="153:166" x14ac:dyDescent="0.35">
      <c r="EW2578" t="s">
        <v>3124</v>
      </c>
      <c r="EX2578" s="35" t="s">
        <v>3755</v>
      </c>
      <c r="EY2578" s="35" t="s">
        <v>1661</v>
      </c>
      <c r="EZ2578" s="36" t="s">
        <v>1662</v>
      </c>
      <c r="FA2578" s="36" t="s">
        <v>1192</v>
      </c>
      <c r="FB2578" s="36" t="s">
        <v>344</v>
      </c>
      <c r="FC2578" s="36" t="s">
        <v>1192</v>
      </c>
      <c r="FD2578" s="36" t="s">
        <v>344</v>
      </c>
      <c r="FE2578" s="36">
        <v>2026</v>
      </c>
      <c r="FF2578" s="36" t="s">
        <v>59</v>
      </c>
      <c r="FG2578" s="36" t="s">
        <v>1584</v>
      </c>
      <c r="FJ2578" t="s">
        <v>59</v>
      </c>
    </row>
    <row r="2579" spans="153:166" x14ac:dyDescent="0.35">
      <c r="EW2579" t="s">
        <v>3124</v>
      </c>
      <c r="EX2579" s="35" t="s">
        <v>3756</v>
      </c>
      <c r="EY2579" s="35" t="s">
        <v>1663</v>
      </c>
      <c r="EZ2579" s="36" t="s">
        <v>1664</v>
      </c>
      <c r="FA2579" s="36" t="s">
        <v>1192</v>
      </c>
      <c r="FB2579" s="36" t="s">
        <v>344</v>
      </c>
      <c r="FC2579" s="36" t="s">
        <v>1192</v>
      </c>
      <c r="FD2579" s="36" t="s">
        <v>344</v>
      </c>
      <c r="FE2579" s="36">
        <v>2026</v>
      </c>
      <c r="FF2579" s="36" t="s">
        <v>59</v>
      </c>
      <c r="FG2579" s="36" t="s">
        <v>1584</v>
      </c>
      <c r="FJ2579" t="s">
        <v>59</v>
      </c>
    </row>
    <row r="2580" spans="153:166" x14ac:dyDescent="0.35">
      <c r="EW2580" t="s">
        <v>3124</v>
      </c>
      <c r="EX2580" s="35" t="s">
        <v>3757</v>
      </c>
      <c r="EY2580" s="35" t="s">
        <v>1665</v>
      </c>
      <c r="EZ2580" s="36" t="s">
        <v>1666</v>
      </c>
      <c r="FA2580" s="36" t="s">
        <v>1192</v>
      </c>
      <c r="FB2580" s="36" t="s">
        <v>344</v>
      </c>
      <c r="FC2580" s="36" t="s">
        <v>1192</v>
      </c>
      <c r="FD2580" s="36" t="s">
        <v>344</v>
      </c>
      <c r="FE2580" s="36">
        <v>2026</v>
      </c>
      <c r="FF2580" s="36" t="s">
        <v>59</v>
      </c>
      <c r="FG2580" s="36" t="s">
        <v>1584</v>
      </c>
      <c r="FJ2580" t="s">
        <v>59</v>
      </c>
    </row>
    <row r="2581" spans="153:166" x14ac:dyDescent="0.35">
      <c r="EW2581" t="s">
        <v>3124</v>
      </c>
      <c r="EX2581" s="35" t="s">
        <v>3758</v>
      </c>
      <c r="EY2581" s="35" t="s">
        <v>1667</v>
      </c>
      <c r="EZ2581" s="36" t="s">
        <v>1668</v>
      </c>
      <c r="FA2581" s="36" t="s">
        <v>1192</v>
      </c>
      <c r="FB2581" s="36" t="s">
        <v>344</v>
      </c>
      <c r="FC2581" s="36" t="s">
        <v>1192</v>
      </c>
      <c r="FD2581" s="36" t="s">
        <v>344</v>
      </c>
      <c r="FE2581" s="36">
        <v>2026</v>
      </c>
      <c r="FF2581" s="36" t="s">
        <v>59</v>
      </c>
      <c r="FG2581" s="36" t="s">
        <v>1584</v>
      </c>
      <c r="FJ2581" t="s">
        <v>59</v>
      </c>
    </row>
    <row r="2582" spans="153:166" x14ac:dyDescent="0.35">
      <c r="EW2582" t="s">
        <v>3124</v>
      </c>
      <c r="EX2582" s="35" t="s">
        <v>3759</v>
      </c>
      <c r="EY2582" s="35" t="s">
        <v>1669</v>
      </c>
      <c r="EZ2582" s="36" t="s">
        <v>1670</v>
      </c>
      <c r="FA2582" s="36" t="s">
        <v>1192</v>
      </c>
      <c r="FB2582" s="36" t="s">
        <v>344</v>
      </c>
      <c r="FC2582" s="36" t="s">
        <v>1192</v>
      </c>
      <c r="FD2582" s="36" t="s">
        <v>344</v>
      </c>
      <c r="FE2582" s="36">
        <v>2026</v>
      </c>
      <c r="FF2582" s="36" t="s">
        <v>59</v>
      </c>
      <c r="FG2582" s="36" t="s">
        <v>1584</v>
      </c>
      <c r="FJ2582" t="s">
        <v>59</v>
      </c>
    </row>
    <row r="2583" spans="153:166" x14ac:dyDescent="0.35">
      <c r="EW2583" t="s">
        <v>3124</v>
      </c>
      <c r="EX2583" s="35" t="s">
        <v>3760</v>
      </c>
      <c r="EY2583" s="35" t="s">
        <v>1671</v>
      </c>
      <c r="EZ2583" s="36" t="s">
        <v>1672</v>
      </c>
      <c r="FA2583" s="36" t="s">
        <v>1192</v>
      </c>
      <c r="FB2583" s="36" t="s">
        <v>344</v>
      </c>
      <c r="FC2583" s="36" t="s">
        <v>1192</v>
      </c>
      <c r="FD2583" s="36" t="s">
        <v>344</v>
      </c>
      <c r="FE2583" s="36">
        <v>2026</v>
      </c>
      <c r="FF2583" s="36" t="s">
        <v>59</v>
      </c>
      <c r="FG2583" s="36" t="s">
        <v>1584</v>
      </c>
      <c r="FJ2583" t="s">
        <v>59</v>
      </c>
    </row>
    <row r="2584" spans="153:166" x14ac:dyDescent="0.35">
      <c r="EW2584" t="s">
        <v>3124</v>
      </c>
      <c r="EX2584" s="35" t="s">
        <v>3761</v>
      </c>
      <c r="EY2584" s="35" t="s">
        <v>1673</v>
      </c>
      <c r="EZ2584" s="36" t="s">
        <v>1674</v>
      </c>
      <c r="FA2584" s="36" t="s">
        <v>1192</v>
      </c>
      <c r="FB2584" s="36" t="s">
        <v>344</v>
      </c>
      <c r="FC2584" s="36" t="s">
        <v>1192</v>
      </c>
      <c r="FD2584" s="36" t="s">
        <v>344</v>
      </c>
      <c r="FE2584" s="36">
        <v>2026</v>
      </c>
      <c r="FF2584" s="36" t="s">
        <v>59</v>
      </c>
      <c r="FG2584" s="36" t="s">
        <v>1584</v>
      </c>
      <c r="FJ2584" t="s">
        <v>59</v>
      </c>
    </row>
    <row r="2585" spans="153:166" x14ac:dyDescent="0.35">
      <c r="EW2585" t="s">
        <v>3124</v>
      </c>
      <c r="EX2585" s="35" t="s">
        <v>3762</v>
      </c>
      <c r="EY2585" s="35" t="s">
        <v>1676</v>
      </c>
      <c r="EZ2585" s="36" t="s">
        <v>1677</v>
      </c>
      <c r="FA2585" s="36" t="s">
        <v>1192</v>
      </c>
      <c r="FB2585" s="36" t="s">
        <v>344</v>
      </c>
      <c r="FC2585" s="36" t="s">
        <v>1192</v>
      </c>
      <c r="FD2585" s="36" t="s">
        <v>344</v>
      </c>
      <c r="FE2585" s="36">
        <v>2026</v>
      </c>
      <c r="FF2585" s="36" t="s">
        <v>59</v>
      </c>
      <c r="FG2585" s="36" t="s">
        <v>1584</v>
      </c>
      <c r="FJ2585" t="s">
        <v>59</v>
      </c>
    </row>
    <row r="2586" spans="153:166" x14ac:dyDescent="0.35">
      <c r="EW2586" t="s">
        <v>3124</v>
      </c>
      <c r="EX2586" s="35" t="s">
        <v>3763</v>
      </c>
      <c r="EY2586" s="35" t="s">
        <v>1678</v>
      </c>
      <c r="EZ2586" s="36" t="s">
        <v>1679</v>
      </c>
      <c r="FA2586" s="36" t="s">
        <v>1192</v>
      </c>
      <c r="FB2586" s="36" t="s">
        <v>344</v>
      </c>
      <c r="FC2586" s="36" t="s">
        <v>1192</v>
      </c>
      <c r="FD2586" s="36" t="s">
        <v>344</v>
      </c>
      <c r="FE2586" s="36">
        <v>2026</v>
      </c>
      <c r="FF2586" s="36" t="s">
        <v>59</v>
      </c>
      <c r="FG2586" s="36" t="s">
        <v>1584</v>
      </c>
      <c r="FJ2586" t="s">
        <v>59</v>
      </c>
    </row>
    <row r="2587" spans="153:166" x14ac:dyDescent="0.35">
      <c r="EW2587" t="s">
        <v>3124</v>
      </c>
      <c r="EX2587" s="35" t="s">
        <v>3764</v>
      </c>
      <c r="EY2587" s="35" t="s">
        <v>1680</v>
      </c>
      <c r="EZ2587" s="36" t="s">
        <v>1681</v>
      </c>
      <c r="FA2587" s="36" t="s">
        <v>1192</v>
      </c>
      <c r="FB2587" s="36" t="s">
        <v>344</v>
      </c>
      <c r="FC2587" s="36" t="s">
        <v>1192</v>
      </c>
      <c r="FD2587" s="36" t="s">
        <v>344</v>
      </c>
      <c r="FE2587" s="36">
        <v>2026</v>
      </c>
      <c r="FF2587" s="36" t="s">
        <v>59</v>
      </c>
      <c r="FG2587" s="36" t="s">
        <v>1584</v>
      </c>
      <c r="FJ2587" t="s">
        <v>59</v>
      </c>
    </row>
    <row r="2588" spans="153:166" x14ac:dyDescent="0.35">
      <c r="EW2588" t="s">
        <v>3124</v>
      </c>
      <c r="EX2588" s="35" t="s">
        <v>3765</v>
      </c>
      <c r="EY2588" s="35" t="s">
        <v>1682</v>
      </c>
      <c r="EZ2588" s="36" t="s">
        <v>1683</v>
      </c>
      <c r="FA2588" s="36" t="s">
        <v>1192</v>
      </c>
      <c r="FB2588" s="36" t="s">
        <v>344</v>
      </c>
      <c r="FC2588" s="36" t="s">
        <v>1192</v>
      </c>
      <c r="FD2588" s="36" t="s">
        <v>344</v>
      </c>
      <c r="FE2588" s="36">
        <v>2026</v>
      </c>
      <c r="FF2588" s="36" t="s">
        <v>59</v>
      </c>
      <c r="FG2588" s="36" t="s">
        <v>1584</v>
      </c>
      <c r="FJ2588" t="s">
        <v>59</v>
      </c>
    </row>
    <row r="2589" spans="153:166" x14ac:dyDescent="0.35">
      <c r="EW2589" t="s">
        <v>3124</v>
      </c>
      <c r="EX2589" s="35" t="s">
        <v>3766</v>
      </c>
      <c r="EY2589" s="35" t="s">
        <v>1684</v>
      </c>
      <c r="EZ2589" s="36" t="s">
        <v>1685</v>
      </c>
      <c r="FA2589" s="36" t="s">
        <v>1192</v>
      </c>
      <c r="FB2589" s="36" t="s">
        <v>344</v>
      </c>
      <c r="FC2589" s="36" t="s">
        <v>1192</v>
      </c>
      <c r="FD2589" s="36" t="s">
        <v>344</v>
      </c>
      <c r="FE2589" s="36">
        <v>2026</v>
      </c>
      <c r="FF2589" s="36" t="s">
        <v>59</v>
      </c>
      <c r="FG2589" s="36" t="s">
        <v>1584</v>
      </c>
      <c r="FJ2589" t="s">
        <v>59</v>
      </c>
    </row>
    <row r="2590" spans="153:166" x14ac:dyDescent="0.35">
      <c r="EW2590" t="s">
        <v>3124</v>
      </c>
      <c r="EX2590" s="35" t="s">
        <v>3767</v>
      </c>
      <c r="EY2590" s="35" t="s">
        <v>1686</v>
      </c>
      <c r="EZ2590" s="36" t="s">
        <v>1687</v>
      </c>
      <c r="FA2590" s="36" t="s">
        <v>1192</v>
      </c>
      <c r="FB2590" s="36" t="s">
        <v>344</v>
      </c>
      <c r="FC2590" s="36" t="s">
        <v>1192</v>
      </c>
      <c r="FD2590" s="36" t="s">
        <v>344</v>
      </c>
      <c r="FE2590" s="36">
        <v>2026</v>
      </c>
      <c r="FF2590" s="36" t="s">
        <v>59</v>
      </c>
      <c r="FG2590" s="36" t="s">
        <v>1584</v>
      </c>
      <c r="FJ2590" t="s">
        <v>59</v>
      </c>
    </row>
    <row r="2591" spans="153:166" x14ac:dyDescent="0.35">
      <c r="EW2591" t="s">
        <v>3124</v>
      </c>
      <c r="EX2591" s="35" t="s">
        <v>3768</v>
      </c>
      <c r="EY2591" s="35" t="s">
        <v>1688</v>
      </c>
      <c r="EZ2591" s="36" t="s">
        <v>1689</v>
      </c>
      <c r="FA2591" s="36" t="s">
        <v>1192</v>
      </c>
      <c r="FB2591" s="36" t="s">
        <v>344</v>
      </c>
      <c r="FC2591" s="36" t="s">
        <v>1192</v>
      </c>
      <c r="FD2591" s="36" t="s">
        <v>344</v>
      </c>
      <c r="FE2591" s="36">
        <v>2026</v>
      </c>
      <c r="FF2591" s="36" t="s">
        <v>59</v>
      </c>
      <c r="FG2591" s="36" t="s">
        <v>1584</v>
      </c>
      <c r="FJ2591" t="s">
        <v>59</v>
      </c>
    </row>
    <row r="2592" spans="153:166" x14ac:dyDescent="0.35">
      <c r="EW2592" t="s">
        <v>3124</v>
      </c>
      <c r="EX2592" s="35" t="s">
        <v>3769</v>
      </c>
      <c r="EY2592" s="35" t="s">
        <v>1690</v>
      </c>
      <c r="EZ2592" s="36" t="s">
        <v>1691</v>
      </c>
      <c r="FA2592" s="36" t="s">
        <v>1192</v>
      </c>
      <c r="FB2592" s="36" t="s">
        <v>344</v>
      </c>
      <c r="FC2592" s="36" t="s">
        <v>1192</v>
      </c>
      <c r="FD2592" s="36" t="s">
        <v>344</v>
      </c>
      <c r="FE2592" s="36">
        <v>2026</v>
      </c>
      <c r="FF2592" s="36" t="s">
        <v>59</v>
      </c>
      <c r="FG2592" s="36" t="s">
        <v>1584</v>
      </c>
      <c r="FJ2592" t="s">
        <v>59</v>
      </c>
    </row>
    <row r="2593" spans="153:166" x14ac:dyDescent="0.35">
      <c r="EW2593" t="s">
        <v>3124</v>
      </c>
      <c r="EX2593" s="35" t="s">
        <v>3770</v>
      </c>
      <c r="EY2593" s="35" t="s">
        <v>1692</v>
      </c>
      <c r="EZ2593" s="36" t="s">
        <v>1693</v>
      </c>
      <c r="FA2593" s="36" t="s">
        <v>1192</v>
      </c>
      <c r="FB2593" s="36" t="s">
        <v>344</v>
      </c>
      <c r="FC2593" s="36" t="s">
        <v>1192</v>
      </c>
      <c r="FD2593" s="36" t="s">
        <v>344</v>
      </c>
      <c r="FE2593" s="36">
        <v>2026</v>
      </c>
      <c r="FF2593" s="36" t="s">
        <v>59</v>
      </c>
      <c r="FG2593" s="36" t="s">
        <v>1584</v>
      </c>
      <c r="FJ2593" t="s">
        <v>59</v>
      </c>
    </row>
    <row r="2594" spans="153:166" x14ac:dyDescent="0.35">
      <c r="EW2594" t="s">
        <v>3124</v>
      </c>
      <c r="EX2594" s="35" t="s">
        <v>3771</v>
      </c>
      <c r="EY2594" s="35" t="s">
        <v>1694</v>
      </c>
      <c r="EZ2594" s="36" t="s">
        <v>1695</v>
      </c>
      <c r="FA2594" s="36" t="s">
        <v>1192</v>
      </c>
      <c r="FB2594" s="36" t="s">
        <v>344</v>
      </c>
      <c r="FC2594" s="36" t="s">
        <v>1192</v>
      </c>
      <c r="FD2594" s="36" t="s">
        <v>344</v>
      </c>
      <c r="FE2594" s="36">
        <v>2026</v>
      </c>
      <c r="FF2594" s="36" t="s">
        <v>59</v>
      </c>
      <c r="FG2594" s="36" t="s">
        <v>1584</v>
      </c>
      <c r="FJ2594" t="s">
        <v>59</v>
      </c>
    </row>
    <row r="2595" spans="153:166" x14ac:dyDescent="0.35">
      <c r="EW2595" t="s">
        <v>3124</v>
      </c>
      <c r="EX2595" s="35" t="s">
        <v>3772</v>
      </c>
      <c r="EY2595" s="35" t="s">
        <v>1696</v>
      </c>
      <c r="EZ2595" s="36" t="s">
        <v>1697</v>
      </c>
      <c r="FA2595" s="36" t="s">
        <v>1192</v>
      </c>
      <c r="FB2595" s="36" t="s">
        <v>344</v>
      </c>
      <c r="FC2595" s="36" t="s">
        <v>1192</v>
      </c>
      <c r="FD2595" s="36" t="s">
        <v>344</v>
      </c>
      <c r="FE2595" s="36">
        <v>2026</v>
      </c>
      <c r="FF2595" s="36" t="s">
        <v>59</v>
      </c>
      <c r="FG2595" s="36" t="s">
        <v>1584</v>
      </c>
      <c r="FJ2595" t="s">
        <v>59</v>
      </c>
    </row>
    <row r="2596" spans="153:166" x14ac:dyDescent="0.35">
      <c r="EW2596" t="s">
        <v>3124</v>
      </c>
      <c r="EX2596" s="35" t="s">
        <v>3773</v>
      </c>
      <c r="EY2596" s="35" t="s">
        <v>1698</v>
      </c>
      <c r="EZ2596" s="36" t="s">
        <v>1699</v>
      </c>
      <c r="FA2596" s="36" t="s">
        <v>1192</v>
      </c>
      <c r="FB2596" s="36" t="s">
        <v>344</v>
      </c>
      <c r="FC2596" s="36" t="s">
        <v>1192</v>
      </c>
      <c r="FD2596" s="36" t="s">
        <v>344</v>
      </c>
      <c r="FE2596" s="36">
        <v>2026</v>
      </c>
      <c r="FF2596" s="36" t="s">
        <v>59</v>
      </c>
      <c r="FG2596" s="36" t="s">
        <v>1584</v>
      </c>
      <c r="FJ2596" t="s">
        <v>59</v>
      </c>
    </row>
    <row r="2597" spans="153:166" x14ac:dyDescent="0.35">
      <c r="EW2597" t="s">
        <v>3124</v>
      </c>
      <c r="EX2597" s="35" t="s">
        <v>3774</v>
      </c>
      <c r="EY2597" s="35" t="s">
        <v>1700</v>
      </c>
      <c r="EZ2597" s="36" t="s">
        <v>1701</v>
      </c>
      <c r="FA2597" s="36" t="s">
        <v>1192</v>
      </c>
      <c r="FB2597" s="36" t="s">
        <v>344</v>
      </c>
      <c r="FC2597" s="36" t="s">
        <v>1192</v>
      </c>
      <c r="FD2597" s="36" t="s">
        <v>344</v>
      </c>
      <c r="FE2597" s="36">
        <v>2026</v>
      </c>
      <c r="FF2597" s="36" t="s">
        <v>59</v>
      </c>
      <c r="FG2597" s="36" t="s">
        <v>1584</v>
      </c>
      <c r="FJ2597" t="s">
        <v>59</v>
      </c>
    </row>
    <row r="2598" spans="153:166" x14ac:dyDescent="0.35">
      <c r="EW2598" t="s">
        <v>3124</v>
      </c>
      <c r="EX2598" s="35" t="s">
        <v>3775</v>
      </c>
      <c r="EY2598" s="35" t="s">
        <v>1702</v>
      </c>
      <c r="EZ2598" s="36" t="s">
        <v>1703</v>
      </c>
      <c r="FA2598" s="36" t="s">
        <v>1192</v>
      </c>
      <c r="FB2598" s="36" t="s">
        <v>344</v>
      </c>
      <c r="FC2598" s="36" t="s">
        <v>1192</v>
      </c>
      <c r="FD2598" s="36" t="s">
        <v>344</v>
      </c>
      <c r="FE2598" s="36">
        <v>2026</v>
      </c>
      <c r="FF2598" s="36" t="s">
        <v>59</v>
      </c>
      <c r="FG2598" s="36" t="s">
        <v>1584</v>
      </c>
      <c r="FJ2598" t="s">
        <v>59</v>
      </c>
    </row>
    <row r="2599" spans="153:166" x14ac:dyDescent="0.35">
      <c r="EW2599" t="s">
        <v>3124</v>
      </c>
      <c r="EX2599" s="35" t="s">
        <v>3776</v>
      </c>
      <c r="EY2599" s="35" t="s">
        <v>1704</v>
      </c>
      <c r="EZ2599" s="36" t="s">
        <v>1705</v>
      </c>
      <c r="FA2599" s="36" t="s">
        <v>1192</v>
      </c>
      <c r="FB2599" s="36" t="s">
        <v>344</v>
      </c>
      <c r="FC2599" s="36" t="s">
        <v>1192</v>
      </c>
      <c r="FD2599" s="36" t="s">
        <v>344</v>
      </c>
      <c r="FE2599" s="36">
        <v>2026</v>
      </c>
      <c r="FF2599" s="36" t="s">
        <v>59</v>
      </c>
      <c r="FG2599" s="36" t="s">
        <v>1584</v>
      </c>
      <c r="FJ2599" t="s">
        <v>59</v>
      </c>
    </row>
    <row r="2600" spans="153:166" x14ac:dyDescent="0.35">
      <c r="EW2600" t="s">
        <v>3124</v>
      </c>
      <c r="EX2600" s="35" t="s">
        <v>3777</v>
      </c>
      <c r="EY2600" s="35" t="s">
        <v>1708</v>
      </c>
      <c r="EZ2600" s="36" t="s">
        <v>1709</v>
      </c>
      <c r="FA2600" s="36" t="s">
        <v>1192</v>
      </c>
      <c r="FB2600" s="36" t="s">
        <v>344</v>
      </c>
      <c r="FC2600" s="36" t="s">
        <v>1192</v>
      </c>
      <c r="FD2600" s="36" t="s">
        <v>344</v>
      </c>
      <c r="FE2600" s="36">
        <v>2026</v>
      </c>
      <c r="FF2600" s="36" t="s">
        <v>59</v>
      </c>
      <c r="FG2600" s="36" t="s">
        <v>1584</v>
      </c>
      <c r="FJ2600" t="s">
        <v>59</v>
      </c>
    </row>
    <row r="2601" spans="153:166" x14ac:dyDescent="0.35">
      <c r="EW2601" t="s">
        <v>3124</v>
      </c>
      <c r="EX2601" s="35" t="s">
        <v>3778</v>
      </c>
      <c r="EY2601" s="35" t="s">
        <v>1710</v>
      </c>
      <c r="EZ2601" s="36" t="s">
        <v>1711</v>
      </c>
      <c r="FA2601" s="36" t="s">
        <v>1192</v>
      </c>
      <c r="FB2601" s="36" t="s">
        <v>344</v>
      </c>
      <c r="FC2601" s="36" t="s">
        <v>1192</v>
      </c>
      <c r="FD2601" s="36" t="s">
        <v>344</v>
      </c>
      <c r="FE2601" s="36">
        <v>2026</v>
      </c>
      <c r="FF2601" s="36" t="s">
        <v>59</v>
      </c>
      <c r="FG2601" s="36" t="s">
        <v>1584</v>
      </c>
      <c r="FJ2601" t="s">
        <v>59</v>
      </c>
    </row>
    <row r="2602" spans="153:166" x14ac:dyDescent="0.35">
      <c r="EW2602" t="s">
        <v>3124</v>
      </c>
      <c r="EX2602" s="35" t="s">
        <v>3779</v>
      </c>
      <c r="EY2602" s="35" t="s">
        <v>1712</v>
      </c>
      <c r="EZ2602" s="36" t="s">
        <v>1713</v>
      </c>
      <c r="FA2602" s="36" t="s">
        <v>1192</v>
      </c>
      <c r="FB2602" s="36" t="s">
        <v>344</v>
      </c>
      <c r="FC2602" s="36" t="s">
        <v>1192</v>
      </c>
      <c r="FD2602" s="36" t="s">
        <v>344</v>
      </c>
      <c r="FE2602" s="36">
        <v>2026</v>
      </c>
      <c r="FF2602" s="36" t="s">
        <v>59</v>
      </c>
      <c r="FG2602" s="36" t="s">
        <v>1584</v>
      </c>
      <c r="FJ2602" t="s">
        <v>59</v>
      </c>
    </row>
    <row r="2603" spans="153:166" x14ac:dyDescent="0.35">
      <c r="EW2603" t="s">
        <v>3124</v>
      </c>
      <c r="EX2603" s="35" t="s">
        <v>3780</v>
      </c>
      <c r="EY2603" s="35" t="s">
        <v>1714</v>
      </c>
      <c r="EZ2603" s="36" t="s">
        <v>1715</v>
      </c>
      <c r="FA2603" s="36" t="s">
        <v>1192</v>
      </c>
      <c r="FB2603" s="36" t="s">
        <v>344</v>
      </c>
      <c r="FC2603" s="36" t="s">
        <v>1192</v>
      </c>
      <c r="FD2603" s="36" t="s">
        <v>344</v>
      </c>
      <c r="FE2603" s="36">
        <v>2026</v>
      </c>
      <c r="FF2603" s="36" t="s">
        <v>59</v>
      </c>
      <c r="FG2603" s="36" t="s">
        <v>1584</v>
      </c>
      <c r="FJ2603" t="s">
        <v>59</v>
      </c>
    </row>
    <row r="2604" spans="153:166" x14ac:dyDescent="0.35">
      <c r="EW2604" t="s">
        <v>3124</v>
      </c>
      <c r="EX2604" s="35" t="s">
        <v>3781</v>
      </c>
      <c r="EY2604" s="35" t="s">
        <v>1716</v>
      </c>
      <c r="EZ2604" s="36" t="s">
        <v>1717</v>
      </c>
      <c r="FA2604" s="36" t="s">
        <v>1192</v>
      </c>
      <c r="FB2604" s="36" t="s">
        <v>344</v>
      </c>
      <c r="FC2604" s="36" t="s">
        <v>1192</v>
      </c>
      <c r="FD2604" s="36" t="s">
        <v>344</v>
      </c>
      <c r="FE2604" s="36">
        <v>2026</v>
      </c>
      <c r="FF2604" s="36" t="s">
        <v>59</v>
      </c>
      <c r="FG2604" s="36" t="s">
        <v>1584</v>
      </c>
      <c r="FJ2604" t="s">
        <v>59</v>
      </c>
    </row>
    <row r="2605" spans="153:166" x14ac:dyDescent="0.35">
      <c r="EW2605" t="s">
        <v>3124</v>
      </c>
      <c r="EX2605" s="35" t="s">
        <v>3782</v>
      </c>
      <c r="EY2605" s="35" t="s">
        <v>1720</v>
      </c>
      <c r="EZ2605" s="36" t="s">
        <v>1721</v>
      </c>
      <c r="FA2605" s="36" t="s">
        <v>1722</v>
      </c>
      <c r="FB2605" s="36" t="s">
        <v>1723</v>
      </c>
      <c r="FC2605" s="36" t="s">
        <v>1722</v>
      </c>
      <c r="FD2605" s="36" t="s">
        <v>1724</v>
      </c>
      <c r="FE2605" s="36">
        <v>2019</v>
      </c>
      <c r="FF2605" s="36" t="s">
        <v>59</v>
      </c>
      <c r="FG2605" s="36" t="s">
        <v>1193</v>
      </c>
      <c r="FJ2605" t="s">
        <v>59</v>
      </c>
    </row>
    <row r="2606" spans="153:166" x14ac:dyDescent="0.35">
      <c r="EW2606" t="s">
        <v>3124</v>
      </c>
      <c r="EX2606" s="35" t="s">
        <v>3783</v>
      </c>
      <c r="EY2606" s="35" t="s">
        <v>1725</v>
      </c>
      <c r="EZ2606" s="36">
        <v>482342</v>
      </c>
      <c r="FA2606" s="36" t="s">
        <v>1726</v>
      </c>
      <c r="FB2606" s="36" t="s">
        <v>52</v>
      </c>
      <c r="FC2606" s="36" t="s">
        <v>53</v>
      </c>
      <c r="FD2606" s="36" t="s">
        <v>54</v>
      </c>
      <c r="FE2606" s="36">
        <v>2019</v>
      </c>
      <c r="FF2606" s="36" t="s">
        <v>1727</v>
      </c>
      <c r="FG2606" s="36" t="s">
        <v>1728</v>
      </c>
      <c r="FJ2606" t="s">
        <v>59</v>
      </c>
    </row>
    <row r="2607" spans="153:166" x14ac:dyDescent="0.35">
      <c r="EW2607" t="s">
        <v>3124</v>
      </c>
      <c r="EX2607" s="35" t="s">
        <v>3784</v>
      </c>
      <c r="EY2607" s="35" t="s">
        <v>1729</v>
      </c>
      <c r="EZ2607" s="36">
        <v>483878</v>
      </c>
      <c r="FA2607" s="36" t="s">
        <v>1726</v>
      </c>
      <c r="FB2607" s="36" t="s">
        <v>52</v>
      </c>
      <c r="FC2607" s="36" t="s">
        <v>53</v>
      </c>
      <c r="FD2607" s="36" t="s">
        <v>54</v>
      </c>
      <c r="FE2607" s="36">
        <v>2019</v>
      </c>
      <c r="FF2607" s="36" t="s">
        <v>1727</v>
      </c>
      <c r="FG2607" s="36" t="s">
        <v>1193</v>
      </c>
      <c r="FJ2607" t="s">
        <v>59</v>
      </c>
    </row>
    <row r="2608" spans="153:166" x14ac:dyDescent="0.35">
      <c r="EW2608" t="s">
        <v>3124</v>
      </c>
      <c r="EX2608" s="35" t="s">
        <v>3785</v>
      </c>
      <c r="EY2608" s="35" t="s">
        <v>1732</v>
      </c>
      <c r="EZ2608" s="36">
        <v>479849</v>
      </c>
      <c r="FA2608" s="36" t="s">
        <v>1726</v>
      </c>
      <c r="FB2608" s="36" t="s">
        <v>52</v>
      </c>
      <c r="FC2608" s="36" t="s">
        <v>53</v>
      </c>
      <c r="FD2608" s="36" t="s">
        <v>54</v>
      </c>
      <c r="FE2608" s="36">
        <v>2019</v>
      </c>
      <c r="FF2608" s="36" t="s">
        <v>1727</v>
      </c>
      <c r="FG2608" s="36" t="s">
        <v>1193</v>
      </c>
      <c r="FJ2608" t="s">
        <v>59</v>
      </c>
    </row>
    <row r="2609" spans="153:166" x14ac:dyDescent="0.35">
      <c r="EW2609" t="s">
        <v>3124</v>
      </c>
      <c r="EX2609" s="35" t="s">
        <v>3786</v>
      </c>
      <c r="EY2609" s="35" t="s">
        <v>1733</v>
      </c>
      <c r="EZ2609" s="36">
        <v>484541</v>
      </c>
      <c r="FA2609" s="36" t="s">
        <v>1726</v>
      </c>
      <c r="FB2609" s="36" t="s">
        <v>52</v>
      </c>
      <c r="FC2609" s="36" t="s">
        <v>53</v>
      </c>
      <c r="FD2609" s="36" t="s">
        <v>54</v>
      </c>
      <c r="FE2609" s="36">
        <v>2019</v>
      </c>
      <c r="FF2609" s="36" t="s">
        <v>1727</v>
      </c>
      <c r="FG2609" s="36" t="s">
        <v>1193</v>
      </c>
      <c r="FJ2609" t="s">
        <v>59</v>
      </c>
    </row>
    <row r="2610" spans="153:166" x14ac:dyDescent="0.35">
      <c r="EW2610" t="s">
        <v>3124</v>
      </c>
      <c r="EX2610" s="35" t="s">
        <v>3787</v>
      </c>
      <c r="EY2610" s="35" t="s">
        <v>1734</v>
      </c>
      <c r="EZ2610" s="36">
        <v>481662</v>
      </c>
      <c r="FA2610" s="36" t="s">
        <v>1726</v>
      </c>
      <c r="FB2610" s="36" t="s">
        <v>52</v>
      </c>
      <c r="FC2610" s="36" t="s">
        <v>53</v>
      </c>
      <c r="FD2610" s="36" t="s">
        <v>54</v>
      </c>
      <c r="FE2610" s="36">
        <v>2019</v>
      </c>
      <c r="FF2610" s="36" t="s">
        <v>1727</v>
      </c>
      <c r="FG2610" s="36" t="s">
        <v>1728</v>
      </c>
      <c r="FJ2610" t="s">
        <v>59</v>
      </c>
    </row>
    <row r="2611" spans="153:166" x14ac:dyDescent="0.35">
      <c r="EW2611" t="s">
        <v>3124</v>
      </c>
      <c r="EX2611" s="35" t="s">
        <v>3788</v>
      </c>
      <c r="EY2611" s="35" t="s">
        <v>1737</v>
      </c>
      <c r="EZ2611" s="36">
        <v>478253</v>
      </c>
      <c r="FA2611" s="36" t="s">
        <v>1726</v>
      </c>
      <c r="FB2611" s="36" t="s">
        <v>52</v>
      </c>
      <c r="FC2611" s="36" t="s">
        <v>53</v>
      </c>
      <c r="FD2611" s="36" t="s">
        <v>54</v>
      </c>
      <c r="FE2611" s="36">
        <v>2019</v>
      </c>
      <c r="FF2611" s="36" t="s">
        <v>1727</v>
      </c>
      <c r="FG2611" s="36" t="s">
        <v>1728</v>
      </c>
      <c r="FJ2611" t="s">
        <v>59</v>
      </c>
    </row>
    <row r="2612" spans="153:166" x14ac:dyDescent="0.35">
      <c r="EW2612" t="s">
        <v>3124</v>
      </c>
      <c r="EX2612" s="35" t="s">
        <v>3789</v>
      </c>
      <c r="EY2612" s="35" t="s">
        <v>1740</v>
      </c>
      <c r="EZ2612" s="36">
        <v>482584</v>
      </c>
      <c r="FA2612" s="36" t="s">
        <v>1726</v>
      </c>
      <c r="FB2612" s="36" t="s">
        <v>52</v>
      </c>
      <c r="FC2612" s="36" t="s">
        <v>53</v>
      </c>
      <c r="FD2612" s="36" t="s">
        <v>54</v>
      </c>
      <c r="FE2612" s="36">
        <v>2019</v>
      </c>
      <c r="FF2612" s="36" t="s">
        <v>1727</v>
      </c>
      <c r="FG2612" s="36" t="s">
        <v>1728</v>
      </c>
      <c r="FJ2612" t="s">
        <v>59</v>
      </c>
    </row>
    <row r="2613" spans="153:166" x14ac:dyDescent="0.35">
      <c r="EW2613" t="s">
        <v>3124</v>
      </c>
      <c r="EX2613" s="35" t="s">
        <v>3790</v>
      </c>
      <c r="EY2613" s="35" t="s">
        <v>1743</v>
      </c>
      <c r="EZ2613" s="36">
        <v>482487</v>
      </c>
      <c r="FA2613" s="36" t="s">
        <v>1726</v>
      </c>
      <c r="FB2613" s="36" t="s">
        <v>52</v>
      </c>
      <c r="FC2613" s="36" t="s">
        <v>53</v>
      </c>
      <c r="FD2613" s="36" t="s">
        <v>54</v>
      </c>
      <c r="FE2613" s="36">
        <v>2019</v>
      </c>
      <c r="FF2613" s="36" t="s">
        <v>1727</v>
      </c>
      <c r="FG2613" s="36" t="s">
        <v>1728</v>
      </c>
      <c r="FJ2613" t="s">
        <v>59</v>
      </c>
    </row>
    <row r="2614" spans="153:166" x14ac:dyDescent="0.35">
      <c r="EW2614" t="s">
        <v>3124</v>
      </c>
      <c r="EX2614" s="35" t="s">
        <v>3154</v>
      </c>
      <c r="EY2614" s="35" t="s">
        <v>1746</v>
      </c>
      <c r="EZ2614" s="36">
        <v>483422</v>
      </c>
      <c r="FA2614" s="36" t="s">
        <v>1726</v>
      </c>
      <c r="FB2614" s="36" t="s">
        <v>52</v>
      </c>
      <c r="FC2614" s="36" t="s">
        <v>53</v>
      </c>
      <c r="FD2614" s="36" t="s">
        <v>54</v>
      </c>
      <c r="FE2614" s="36">
        <v>2019</v>
      </c>
      <c r="FF2614" s="36" t="s">
        <v>1727</v>
      </c>
      <c r="FG2614" s="36" t="s">
        <v>1193</v>
      </c>
      <c r="FJ2614" t="s">
        <v>59</v>
      </c>
    </row>
    <row r="2615" spans="153:166" x14ac:dyDescent="0.35">
      <c r="EW2615" t="s">
        <v>3124</v>
      </c>
      <c r="EX2615" s="35" t="s">
        <v>3791</v>
      </c>
      <c r="EY2615" s="35" t="s">
        <v>1747</v>
      </c>
      <c r="EZ2615" s="36">
        <v>484639</v>
      </c>
      <c r="FA2615" s="36" t="s">
        <v>1726</v>
      </c>
      <c r="FB2615" s="36" t="s">
        <v>52</v>
      </c>
      <c r="FC2615" s="36" t="s">
        <v>53</v>
      </c>
      <c r="FD2615" s="36" t="s">
        <v>54</v>
      </c>
      <c r="FE2615" s="36">
        <v>2019</v>
      </c>
      <c r="FF2615" s="36" t="s">
        <v>1727</v>
      </c>
      <c r="FG2615" s="36" t="s">
        <v>1193</v>
      </c>
      <c r="FJ2615" t="s">
        <v>59</v>
      </c>
    </row>
    <row r="2616" spans="153:166" x14ac:dyDescent="0.35">
      <c r="EW2616" t="s">
        <v>3124</v>
      </c>
      <c r="EX2616" s="35" t="s">
        <v>3792</v>
      </c>
      <c r="EY2616" s="35" t="s">
        <v>1748</v>
      </c>
      <c r="EZ2616" s="36">
        <v>484547</v>
      </c>
      <c r="FA2616" s="36" t="s">
        <v>1726</v>
      </c>
      <c r="FB2616" s="36" t="s">
        <v>52</v>
      </c>
      <c r="FC2616" s="36" t="s">
        <v>53</v>
      </c>
      <c r="FD2616" s="36" t="s">
        <v>54</v>
      </c>
      <c r="FE2616" s="36">
        <v>2019</v>
      </c>
      <c r="FF2616" s="36" t="s">
        <v>1727</v>
      </c>
      <c r="FG2616" s="36" t="s">
        <v>1193</v>
      </c>
      <c r="FJ2616" t="s">
        <v>59</v>
      </c>
    </row>
    <row r="2617" spans="153:166" x14ac:dyDescent="0.35">
      <c r="EW2617" t="s">
        <v>3124</v>
      </c>
      <c r="EX2617" s="35" t="s">
        <v>3793</v>
      </c>
      <c r="EY2617" s="35" t="s">
        <v>1749</v>
      </c>
      <c r="EZ2617" s="36">
        <v>506294</v>
      </c>
      <c r="FA2617" s="36" t="s">
        <v>1726</v>
      </c>
      <c r="FB2617" s="36" t="s">
        <v>473</v>
      </c>
      <c r="FC2617" s="36" t="s">
        <v>53</v>
      </c>
      <c r="FD2617" s="36" t="s">
        <v>476</v>
      </c>
      <c r="FE2617" s="36">
        <v>2020</v>
      </c>
      <c r="FF2617" s="36" t="s">
        <v>474</v>
      </c>
      <c r="FG2617" s="36" t="s">
        <v>1193</v>
      </c>
      <c r="FJ2617" t="s">
        <v>474</v>
      </c>
    </row>
    <row r="2618" spans="153:166" x14ac:dyDescent="0.35">
      <c r="EW2618" t="s">
        <v>3124</v>
      </c>
      <c r="EX2618" s="35" t="s">
        <v>3794</v>
      </c>
      <c r="EY2618" s="35" t="s">
        <v>1752</v>
      </c>
      <c r="EZ2618" s="36">
        <v>505924</v>
      </c>
      <c r="FA2618" s="36" t="s">
        <v>1726</v>
      </c>
      <c r="FB2618" s="36" t="s">
        <v>473</v>
      </c>
      <c r="FC2618" s="36" t="s">
        <v>53</v>
      </c>
      <c r="FD2618" s="36" t="s">
        <v>476</v>
      </c>
      <c r="FE2618" s="36">
        <v>2020</v>
      </c>
      <c r="FF2618" s="36" t="s">
        <v>474</v>
      </c>
      <c r="FG2618" s="36" t="s">
        <v>1193</v>
      </c>
      <c r="FJ2618" t="s">
        <v>474</v>
      </c>
    </row>
    <row r="2619" spans="153:166" x14ac:dyDescent="0.35">
      <c r="EW2619" t="s">
        <v>3124</v>
      </c>
      <c r="EX2619" s="35" t="s">
        <v>3795</v>
      </c>
      <c r="EY2619" s="35" t="s">
        <v>1755</v>
      </c>
      <c r="EZ2619" s="36">
        <v>505881</v>
      </c>
      <c r="FA2619" s="36" t="s">
        <v>1726</v>
      </c>
      <c r="FB2619" s="36" t="s">
        <v>473</v>
      </c>
      <c r="FC2619" s="36" t="s">
        <v>53</v>
      </c>
      <c r="FD2619" s="36" t="s">
        <v>476</v>
      </c>
      <c r="FE2619" s="36">
        <v>2020</v>
      </c>
      <c r="FF2619" s="36" t="s">
        <v>474</v>
      </c>
      <c r="FG2619" s="36" t="s">
        <v>1210</v>
      </c>
      <c r="FJ2619" t="s">
        <v>474</v>
      </c>
    </row>
    <row r="2620" spans="153:166" x14ac:dyDescent="0.35">
      <c r="EW2620" t="s">
        <v>3124</v>
      </c>
      <c r="EX2620" s="35" t="s">
        <v>3796</v>
      </c>
      <c r="EY2620" s="35" t="s">
        <v>1758</v>
      </c>
      <c r="EZ2620" s="36">
        <v>505895</v>
      </c>
      <c r="FA2620" s="36" t="s">
        <v>1726</v>
      </c>
      <c r="FB2620" s="36" t="s">
        <v>473</v>
      </c>
      <c r="FC2620" s="36" t="s">
        <v>53</v>
      </c>
      <c r="FD2620" s="36" t="s">
        <v>476</v>
      </c>
      <c r="FE2620" s="36">
        <v>2020</v>
      </c>
      <c r="FF2620" s="36" t="s">
        <v>474</v>
      </c>
      <c r="FG2620" s="36" t="s">
        <v>1193</v>
      </c>
      <c r="FJ2620" t="s">
        <v>474</v>
      </c>
    </row>
    <row r="2621" spans="153:166" x14ac:dyDescent="0.35">
      <c r="EW2621" t="s">
        <v>3124</v>
      </c>
      <c r="EX2621" s="35" t="s">
        <v>3797</v>
      </c>
      <c r="EY2621" s="35" t="s">
        <v>1761</v>
      </c>
      <c r="EZ2621" s="36">
        <v>506176</v>
      </c>
      <c r="FA2621" s="36" t="s">
        <v>1726</v>
      </c>
      <c r="FB2621" s="36" t="s">
        <v>473</v>
      </c>
      <c r="FC2621" s="36" t="s">
        <v>53</v>
      </c>
      <c r="FD2621" s="36" t="s">
        <v>476</v>
      </c>
      <c r="FE2621" s="36">
        <v>2020</v>
      </c>
      <c r="FF2621" s="36" t="s">
        <v>474</v>
      </c>
      <c r="FG2621" s="36" t="s">
        <v>1193</v>
      </c>
      <c r="FJ2621" t="s">
        <v>474</v>
      </c>
    </row>
    <row r="2622" spans="153:166" x14ac:dyDescent="0.35">
      <c r="EW2622" t="s">
        <v>3124</v>
      </c>
      <c r="EX2622" s="35" t="s">
        <v>3798</v>
      </c>
      <c r="EY2622" s="35" t="s">
        <v>1764</v>
      </c>
      <c r="EZ2622" s="36">
        <v>506197</v>
      </c>
      <c r="FA2622" s="36" t="s">
        <v>1726</v>
      </c>
      <c r="FB2622" s="36" t="s">
        <v>473</v>
      </c>
      <c r="FC2622" s="36" t="s">
        <v>53</v>
      </c>
      <c r="FD2622" s="36" t="s">
        <v>476</v>
      </c>
      <c r="FE2622" s="36">
        <v>2020</v>
      </c>
      <c r="FF2622" s="36" t="s">
        <v>474</v>
      </c>
      <c r="FG2622" s="36" t="s">
        <v>1193</v>
      </c>
      <c r="FJ2622" t="s">
        <v>474</v>
      </c>
    </row>
    <row r="2623" spans="153:166" x14ac:dyDescent="0.35">
      <c r="EW2623" t="s">
        <v>3124</v>
      </c>
      <c r="EX2623" s="35" t="s">
        <v>3799</v>
      </c>
      <c r="EY2623" s="35" t="s">
        <v>1767</v>
      </c>
      <c r="EZ2623" s="36">
        <v>506187</v>
      </c>
      <c r="FA2623" s="36" t="s">
        <v>1726</v>
      </c>
      <c r="FB2623" s="36" t="s">
        <v>473</v>
      </c>
      <c r="FC2623" s="36" t="s">
        <v>53</v>
      </c>
      <c r="FD2623" s="36" t="s">
        <v>476</v>
      </c>
      <c r="FE2623" s="36">
        <v>2020</v>
      </c>
      <c r="FF2623" s="36" t="s">
        <v>474</v>
      </c>
      <c r="FG2623" s="36" t="s">
        <v>1193</v>
      </c>
      <c r="FJ2623" t="s">
        <v>474</v>
      </c>
    </row>
    <row r="2624" spans="153:166" x14ac:dyDescent="0.35">
      <c r="EW2624" t="s">
        <v>3124</v>
      </c>
      <c r="EX2624" s="35" t="s">
        <v>3800</v>
      </c>
      <c r="EY2624" s="35" t="s">
        <v>1770</v>
      </c>
      <c r="EZ2624" s="36">
        <v>506345</v>
      </c>
      <c r="FA2624" s="36" t="s">
        <v>1726</v>
      </c>
      <c r="FB2624" s="36" t="s">
        <v>473</v>
      </c>
      <c r="FC2624" s="36" t="s">
        <v>53</v>
      </c>
      <c r="FD2624" s="36" t="s">
        <v>476</v>
      </c>
      <c r="FE2624" s="36">
        <v>2020</v>
      </c>
      <c r="FF2624" s="36" t="s">
        <v>474</v>
      </c>
      <c r="FG2624" s="36" t="s">
        <v>1193</v>
      </c>
      <c r="FJ2624" t="s">
        <v>474</v>
      </c>
    </row>
    <row r="2625" spans="153:166" x14ac:dyDescent="0.35">
      <c r="EW2625" t="s">
        <v>3124</v>
      </c>
      <c r="EX2625" s="35" t="s">
        <v>3801</v>
      </c>
      <c r="EY2625" s="35" t="s">
        <v>1773</v>
      </c>
      <c r="EZ2625" s="36">
        <v>506403</v>
      </c>
      <c r="FA2625" s="36" t="s">
        <v>1726</v>
      </c>
      <c r="FB2625" s="36" t="s">
        <v>473</v>
      </c>
      <c r="FC2625" s="36" t="s">
        <v>53</v>
      </c>
      <c r="FD2625" s="36" t="s">
        <v>476</v>
      </c>
      <c r="FE2625" s="36">
        <v>2020</v>
      </c>
      <c r="FF2625" s="36" t="s">
        <v>474</v>
      </c>
      <c r="FG2625" s="36" t="s">
        <v>1193</v>
      </c>
      <c r="FJ2625" t="s">
        <v>474</v>
      </c>
    </row>
    <row r="2626" spans="153:166" x14ac:dyDescent="0.35">
      <c r="EW2626" t="s">
        <v>3124</v>
      </c>
      <c r="EX2626" s="35" t="s">
        <v>3802</v>
      </c>
      <c r="EY2626" s="35" t="s">
        <v>1776</v>
      </c>
      <c r="EZ2626" s="36">
        <v>506358</v>
      </c>
      <c r="FA2626" s="36" t="s">
        <v>1726</v>
      </c>
      <c r="FB2626" s="36" t="s">
        <v>473</v>
      </c>
      <c r="FC2626" s="36" t="s">
        <v>53</v>
      </c>
      <c r="FD2626" s="36" t="s">
        <v>476</v>
      </c>
      <c r="FE2626" s="36">
        <v>2020</v>
      </c>
      <c r="FF2626" s="36" t="s">
        <v>474</v>
      </c>
      <c r="FG2626" s="36" t="s">
        <v>1193</v>
      </c>
      <c r="FJ2626" t="s">
        <v>474</v>
      </c>
    </row>
    <row r="2627" spans="153:166" x14ac:dyDescent="0.35">
      <c r="EW2627" t="s">
        <v>3124</v>
      </c>
      <c r="EX2627" s="35" t="s">
        <v>1592</v>
      </c>
      <c r="EY2627" s="35" t="s">
        <v>1779</v>
      </c>
      <c r="EZ2627" s="36">
        <v>506311</v>
      </c>
      <c r="FA2627" s="36" t="s">
        <v>1726</v>
      </c>
      <c r="FB2627" s="36" t="s">
        <v>473</v>
      </c>
      <c r="FC2627" s="36" t="s">
        <v>53</v>
      </c>
      <c r="FD2627" s="36" t="s">
        <v>476</v>
      </c>
      <c r="FE2627" s="36">
        <v>2020</v>
      </c>
      <c r="FF2627" s="36" t="s">
        <v>474</v>
      </c>
      <c r="FG2627" s="36" t="s">
        <v>1193</v>
      </c>
      <c r="FJ2627" t="s">
        <v>474</v>
      </c>
    </row>
    <row r="2628" spans="153:166" x14ac:dyDescent="0.35">
      <c r="EW2628" t="s">
        <v>3124</v>
      </c>
      <c r="EX2628" s="35" t="s">
        <v>3803</v>
      </c>
      <c r="EY2628" s="35" t="s">
        <v>1780</v>
      </c>
      <c r="EZ2628" s="36">
        <v>506179</v>
      </c>
      <c r="FA2628" s="36" t="s">
        <v>1726</v>
      </c>
      <c r="FB2628" s="36" t="s">
        <v>473</v>
      </c>
      <c r="FC2628" s="36" t="s">
        <v>53</v>
      </c>
      <c r="FD2628" s="36" t="s">
        <v>476</v>
      </c>
      <c r="FE2628" s="36">
        <v>2020</v>
      </c>
      <c r="FF2628" s="36" t="s">
        <v>474</v>
      </c>
      <c r="FG2628" s="36" t="s">
        <v>1193</v>
      </c>
      <c r="FJ2628" t="s">
        <v>474</v>
      </c>
    </row>
    <row r="2629" spans="153:166" x14ac:dyDescent="0.35">
      <c r="EW2629" t="s">
        <v>3124</v>
      </c>
      <c r="EX2629" s="35" t="s">
        <v>3804</v>
      </c>
      <c r="EY2629" s="35" t="s">
        <v>1783</v>
      </c>
      <c r="EZ2629" s="36">
        <v>505882</v>
      </c>
      <c r="FA2629" s="36" t="s">
        <v>1726</v>
      </c>
      <c r="FB2629" s="36" t="s">
        <v>473</v>
      </c>
      <c r="FC2629" s="36" t="s">
        <v>53</v>
      </c>
      <c r="FD2629" s="36" t="s">
        <v>476</v>
      </c>
      <c r="FE2629" s="36">
        <v>2020</v>
      </c>
      <c r="FF2629" s="36" t="s">
        <v>474</v>
      </c>
      <c r="FG2629" s="36" t="s">
        <v>1193</v>
      </c>
      <c r="FJ2629" t="s">
        <v>474</v>
      </c>
    </row>
    <row r="2630" spans="153:166" x14ac:dyDescent="0.35">
      <c r="EW2630" t="s">
        <v>3124</v>
      </c>
      <c r="EX2630" s="35" t="s">
        <v>3805</v>
      </c>
      <c r="EY2630" s="35" t="s">
        <v>1786</v>
      </c>
      <c r="EZ2630" s="36">
        <v>500916</v>
      </c>
      <c r="FA2630" s="36" t="s">
        <v>1726</v>
      </c>
      <c r="FB2630" s="36" t="s">
        <v>473</v>
      </c>
      <c r="FC2630" s="36" t="s">
        <v>53</v>
      </c>
      <c r="FD2630" s="36" t="s">
        <v>476</v>
      </c>
      <c r="FE2630" s="36">
        <v>2020</v>
      </c>
      <c r="FF2630" s="36" t="s">
        <v>474</v>
      </c>
      <c r="FG2630" s="36" t="s">
        <v>1210</v>
      </c>
      <c r="FJ2630" t="s">
        <v>474</v>
      </c>
    </row>
    <row r="2631" spans="153:166" x14ac:dyDescent="0.35">
      <c r="EW2631" t="s">
        <v>3124</v>
      </c>
      <c r="EX2631" s="35" t="s">
        <v>3806</v>
      </c>
      <c r="EY2631" s="35" t="s">
        <v>1789</v>
      </c>
      <c r="EZ2631" s="36">
        <v>505962</v>
      </c>
      <c r="FA2631" s="36" t="s">
        <v>1726</v>
      </c>
      <c r="FB2631" s="36" t="s">
        <v>473</v>
      </c>
      <c r="FC2631" s="36" t="s">
        <v>53</v>
      </c>
      <c r="FD2631" s="36" t="s">
        <v>476</v>
      </c>
      <c r="FE2631" s="36">
        <v>2020</v>
      </c>
      <c r="FF2631" s="36" t="s">
        <v>474</v>
      </c>
      <c r="FG2631" s="36" t="s">
        <v>1193</v>
      </c>
      <c r="FJ2631" t="s">
        <v>474</v>
      </c>
    </row>
    <row r="2632" spans="153:166" x14ac:dyDescent="0.35">
      <c r="EW2632" t="s">
        <v>3124</v>
      </c>
      <c r="EX2632" s="35" t="s">
        <v>3807</v>
      </c>
      <c r="EY2632" s="35" t="s">
        <v>1792</v>
      </c>
      <c r="EZ2632" s="36">
        <v>505947</v>
      </c>
      <c r="FA2632" s="36" t="s">
        <v>1726</v>
      </c>
      <c r="FB2632" s="36" t="s">
        <v>473</v>
      </c>
      <c r="FC2632" s="36" t="s">
        <v>53</v>
      </c>
      <c r="FD2632" s="36" t="s">
        <v>476</v>
      </c>
      <c r="FE2632" s="36">
        <v>2020</v>
      </c>
      <c r="FF2632" s="36" t="s">
        <v>474</v>
      </c>
      <c r="FG2632" s="36" t="s">
        <v>1193</v>
      </c>
      <c r="FJ2632" t="s">
        <v>474</v>
      </c>
    </row>
    <row r="2633" spans="153:166" x14ac:dyDescent="0.35">
      <c r="EW2633" t="s">
        <v>3124</v>
      </c>
      <c r="EX2633" s="35" t="s">
        <v>3808</v>
      </c>
      <c r="EY2633" s="35" t="s">
        <v>1793</v>
      </c>
      <c r="EZ2633" s="36">
        <v>505956</v>
      </c>
      <c r="FA2633" s="36" t="s">
        <v>1726</v>
      </c>
      <c r="FB2633" s="36" t="s">
        <v>473</v>
      </c>
      <c r="FC2633" s="36" t="s">
        <v>53</v>
      </c>
      <c r="FD2633" s="36" t="s">
        <v>476</v>
      </c>
      <c r="FE2633" s="36">
        <v>2020</v>
      </c>
      <c r="FF2633" s="36" t="s">
        <v>474</v>
      </c>
      <c r="FG2633" s="36" t="s">
        <v>1193</v>
      </c>
      <c r="FJ2633" t="s">
        <v>474</v>
      </c>
    </row>
    <row r="2634" spans="153:166" x14ac:dyDescent="0.35">
      <c r="EW2634" t="s">
        <v>3124</v>
      </c>
      <c r="EX2634" s="35" t="s">
        <v>3809</v>
      </c>
      <c r="EY2634" s="35" t="s">
        <v>1796</v>
      </c>
      <c r="EZ2634" s="36">
        <v>505976</v>
      </c>
      <c r="FA2634" s="36" t="s">
        <v>1726</v>
      </c>
      <c r="FB2634" s="36" t="s">
        <v>473</v>
      </c>
      <c r="FC2634" s="36" t="s">
        <v>53</v>
      </c>
      <c r="FD2634" s="36" t="s">
        <v>476</v>
      </c>
      <c r="FE2634" s="36">
        <v>2020</v>
      </c>
      <c r="FF2634" s="36" t="s">
        <v>474</v>
      </c>
      <c r="FG2634" s="36" t="s">
        <v>1193</v>
      </c>
      <c r="FJ2634" t="s">
        <v>474</v>
      </c>
    </row>
    <row r="2635" spans="153:166" x14ac:dyDescent="0.35">
      <c r="EW2635" t="s">
        <v>3124</v>
      </c>
      <c r="EX2635" s="35" t="s">
        <v>3810</v>
      </c>
      <c r="EY2635" s="35" t="s">
        <v>1799</v>
      </c>
      <c r="EZ2635" s="36">
        <v>507683</v>
      </c>
      <c r="FA2635" s="36" t="s">
        <v>1726</v>
      </c>
      <c r="FB2635" s="36" t="s">
        <v>473</v>
      </c>
      <c r="FC2635" s="36" t="s">
        <v>53</v>
      </c>
      <c r="FD2635" s="36" t="s">
        <v>476</v>
      </c>
      <c r="FE2635" s="36">
        <v>2020</v>
      </c>
      <c r="FF2635" s="36" t="s">
        <v>474</v>
      </c>
      <c r="FG2635" s="36" t="s">
        <v>1210</v>
      </c>
      <c r="FJ2635" t="s">
        <v>474</v>
      </c>
    </row>
    <row r="2636" spans="153:166" x14ac:dyDescent="0.35">
      <c r="EW2636" t="s">
        <v>3124</v>
      </c>
      <c r="EX2636" s="35" t="s">
        <v>3811</v>
      </c>
      <c r="EY2636" s="35" t="s">
        <v>1802</v>
      </c>
      <c r="EZ2636" s="36">
        <v>507344</v>
      </c>
      <c r="FA2636" s="36" t="s">
        <v>1726</v>
      </c>
      <c r="FB2636" s="36" t="s">
        <v>473</v>
      </c>
      <c r="FC2636" s="36" t="s">
        <v>53</v>
      </c>
      <c r="FD2636" s="36" t="s">
        <v>476</v>
      </c>
      <c r="FE2636" s="36">
        <v>2020</v>
      </c>
      <c r="FF2636" s="36" t="s">
        <v>474</v>
      </c>
      <c r="FG2636" s="36" t="s">
        <v>1210</v>
      </c>
      <c r="FJ2636" t="s">
        <v>474</v>
      </c>
    </row>
    <row r="2637" spans="153:166" x14ac:dyDescent="0.35">
      <c r="EW2637" t="s">
        <v>3124</v>
      </c>
      <c r="EX2637" s="35" t="s">
        <v>3812</v>
      </c>
      <c r="EY2637" s="35" t="s">
        <v>1803</v>
      </c>
      <c r="EZ2637" s="36">
        <v>506177</v>
      </c>
      <c r="FA2637" s="36" t="s">
        <v>1726</v>
      </c>
      <c r="FB2637" s="36" t="s">
        <v>473</v>
      </c>
      <c r="FC2637" s="36" t="s">
        <v>53</v>
      </c>
      <c r="FD2637" s="36" t="s">
        <v>476</v>
      </c>
      <c r="FE2637" s="36">
        <v>2020</v>
      </c>
      <c r="FF2637" s="36" t="s">
        <v>474</v>
      </c>
      <c r="FG2637" s="36" t="s">
        <v>1193</v>
      </c>
      <c r="FJ2637" t="s">
        <v>474</v>
      </c>
    </row>
    <row r="2638" spans="153:166" x14ac:dyDescent="0.35">
      <c r="EW2638" t="s">
        <v>3124</v>
      </c>
      <c r="EX2638" s="35" t="s">
        <v>3813</v>
      </c>
      <c r="EY2638" s="35" t="s">
        <v>1806</v>
      </c>
      <c r="EZ2638" s="36">
        <v>506195</v>
      </c>
      <c r="FA2638" s="36" t="s">
        <v>1726</v>
      </c>
      <c r="FB2638" s="36" t="s">
        <v>473</v>
      </c>
      <c r="FC2638" s="36" t="s">
        <v>53</v>
      </c>
      <c r="FD2638" s="36" t="s">
        <v>476</v>
      </c>
      <c r="FE2638" s="36">
        <v>2020</v>
      </c>
      <c r="FF2638" s="36" t="s">
        <v>474</v>
      </c>
      <c r="FG2638" s="36" t="s">
        <v>1210</v>
      </c>
      <c r="FJ2638" t="s">
        <v>474</v>
      </c>
    </row>
    <row r="2639" spans="153:166" x14ac:dyDescent="0.35">
      <c r="EW2639" t="s">
        <v>3124</v>
      </c>
      <c r="EX2639" s="35" t="s">
        <v>3814</v>
      </c>
      <c r="EY2639" s="35" t="s">
        <v>1809</v>
      </c>
      <c r="EZ2639" s="36">
        <v>507350</v>
      </c>
      <c r="FA2639" s="36" t="s">
        <v>1726</v>
      </c>
      <c r="FB2639" s="36" t="s">
        <v>473</v>
      </c>
      <c r="FC2639" s="36" t="s">
        <v>53</v>
      </c>
      <c r="FD2639" s="36" t="s">
        <v>476</v>
      </c>
      <c r="FE2639" s="36">
        <v>2020</v>
      </c>
      <c r="FF2639" s="36" t="s">
        <v>474</v>
      </c>
      <c r="FG2639" s="36" t="s">
        <v>1210</v>
      </c>
      <c r="FJ2639" t="s">
        <v>474</v>
      </c>
    </row>
    <row r="2640" spans="153:166" x14ac:dyDescent="0.35">
      <c r="EW2640" t="s">
        <v>3124</v>
      </c>
      <c r="EX2640" s="35" t="s">
        <v>3815</v>
      </c>
      <c r="EY2640" s="35" t="s">
        <v>1810</v>
      </c>
      <c r="EZ2640" s="36">
        <v>507672</v>
      </c>
      <c r="FA2640" s="36" t="s">
        <v>1726</v>
      </c>
      <c r="FB2640" s="36" t="s">
        <v>473</v>
      </c>
      <c r="FC2640" s="36" t="s">
        <v>53</v>
      </c>
      <c r="FD2640" s="36" t="s">
        <v>476</v>
      </c>
      <c r="FE2640" s="36">
        <v>2020</v>
      </c>
      <c r="FF2640" s="36" t="s">
        <v>474</v>
      </c>
      <c r="FG2640" s="36" t="s">
        <v>1210</v>
      </c>
      <c r="FJ2640" t="s">
        <v>474</v>
      </c>
    </row>
    <row r="2641" spans="153:166" x14ac:dyDescent="0.35">
      <c r="EW2641" t="s">
        <v>3124</v>
      </c>
      <c r="EX2641" s="35" t="s">
        <v>3816</v>
      </c>
      <c r="EY2641" s="35" t="s">
        <v>1813</v>
      </c>
      <c r="EZ2641" s="36">
        <v>507437</v>
      </c>
      <c r="FA2641" s="36" t="s">
        <v>1726</v>
      </c>
      <c r="FB2641" s="36" t="s">
        <v>473</v>
      </c>
      <c r="FC2641" s="36" t="s">
        <v>53</v>
      </c>
      <c r="FD2641" s="36" t="s">
        <v>476</v>
      </c>
      <c r="FE2641" s="36">
        <v>2020</v>
      </c>
      <c r="FF2641" s="36" t="s">
        <v>474</v>
      </c>
      <c r="FG2641" s="36" t="s">
        <v>1210</v>
      </c>
      <c r="FJ2641" t="s">
        <v>474</v>
      </c>
    </row>
    <row r="2642" spans="153:166" x14ac:dyDescent="0.35">
      <c r="EW2642" t="s">
        <v>3124</v>
      </c>
      <c r="EX2642" s="35" t="s">
        <v>3817</v>
      </c>
      <c r="EY2642" s="35" t="s">
        <v>1816</v>
      </c>
      <c r="EZ2642" s="36">
        <v>506904</v>
      </c>
      <c r="FA2642" s="36" t="s">
        <v>1726</v>
      </c>
      <c r="FB2642" s="36" t="s">
        <v>473</v>
      </c>
      <c r="FC2642" s="36" t="s">
        <v>53</v>
      </c>
      <c r="FD2642" s="36" t="s">
        <v>476</v>
      </c>
      <c r="FE2642" s="36">
        <v>2020</v>
      </c>
      <c r="FF2642" s="36" t="s">
        <v>474</v>
      </c>
      <c r="FG2642" s="36" t="s">
        <v>1210</v>
      </c>
      <c r="FJ2642" t="s">
        <v>474</v>
      </c>
    </row>
    <row r="2643" spans="153:166" x14ac:dyDescent="0.35">
      <c r="EW2643" t="s">
        <v>3124</v>
      </c>
      <c r="EX2643" s="35" t="s">
        <v>3818</v>
      </c>
      <c r="EY2643" s="35" t="s">
        <v>1819</v>
      </c>
      <c r="EZ2643" s="36">
        <v>507372</v>
      </c>
      <c r="FA2643" s="36" t="s">
        <v>1726</v>
      </c>
      <c r="FB2643" s="36" t="s">
        <v>473</v>
      </c>
      <c r="FC2643" s="36" t="s">
        <v>53</v>
      </c>
      <c r="FD2643" s="36" t="s">
        <v>476</v>
      </c>
      <c r="FE2643" s="36">
        <v>2020</v>
      </c>
      <c r="FF2643" s="36" t="s">
        <v>474</v>
      </c>
      <c r="FG2643" s="36" t="s">
        <v>1210</v>
      </c>
      <c r="FJ2643" t="s">
        <v>474</v>
      </c>
    </row>
    <row r="2644" spans="153:166" x14ac:dyDescent="0.35">
      <c r="EW2644" t="s">
        <v>3124</v>
      </c>
      <c r="EX2644" s="35" t="s">
        <v>3819</v>
      </c>
      <c r="EY2644" s="35" t="s">
        <v>1820</v>
      </c>
      <c r="EZ2644" s="36">
        <v>506843</v>
      </c>
      <c r="FA2644" s="36" t="s">
        <v>1726</v>
      </c>
      <c r="FB2644" s="36" t="s">
        <v>473</v>
      </c>
      <c r="FC2644" s="36" t="s">
        <v>53</v>
      </c>
      <c r="FD2644" s="36" t="s">
        <v>476</v>
      </c>
      <c r="FE2644" s="36">
        <v>2020</v>
      </c>
      <c r="FF2644" s="36" t="s">
        <v>474</v>
      </c>
      <c r="FG2644" s="36" t="s">
        <v>1210</v>
      </c>
      <c r="FJ2644" t="s">
        <v>474</v>
      </c>
    </row>
    <row r="2645" spans="153:166" x14ac:dyDescent="0.35">
      <c r="EW2645" t="s">
        <v>3124</v>
      </c>
      <c r="EX2645" s="35" t="s">
        <v>3820</v>
      </c>
      <c r="EY2645" s="35" t="s">
        <v>1823</v>
      </c>
      <c r="EZ2645" s="36">
        <v>507397</v>
      </c>
      <c r="FA2645" s="36" t="s">
        <v>1726</v>
      </c>
      <c r="FB2645" s="36" t="s">
        <v>473</v>
      </c>
      <c r="FC2645" s="36" t="s">
        <v>53</v>
      </c>
      <c r="FD2645" s="36" t="s">
        <v>476</v>
      </c>
      <c r="FE2645" s="36">
        <v>2020</v>
      </c>
      <c r="FF2645" s="36" t="s">
        <v>474</v>
      </c>
      <c r="FG2645" s="36" t="s">
        <v>1210</v>
      </c>
      <c r="FJ2645" t="s">
        <v>474</v>
      </c>
    </row>
    <row r="2646" spans="153:166" x14ac:dyDescent="0.35">
      <c r="EW2646" t="s">
        <v>3124</v>
      </c>
      <c r="EX2646" s="35" t="s">
        <v>3821</v>
      </c>
      <c r="EY2646" s="35" t="s">
        <v>1824</v>
      </c>
      <c r="EZ2646" s="36">
        <v>507451</v>
      </c>
      <c r="FA2646" s="36" t="s">
        <v>1726</v>
      </c>
      <c r="FB2646" s="36" t="s">
        <v>473</v>
      </c>
      <c r="FC2646" s="36" t="s">
        <v>53</v>
      </c>
      <c r="FD2646" s="36" t="s">
        <v>476</v>
      </c>
      <c r="FE2646" s="36">
        <v>2020</v>
      </c>
      <c r="FF2646" s="36" t="s">
        <v>474</v>
      </c>
      <c r="FG2646" s="36" t="s">
        <v>1210</v>
      </c>
      <c r="FJ2646" t="s">
        <v>474</v>
      </c>
    </row>
    <row r="2647" spans="153:166" x14ac:dyDescent="0.35">
      <c r="EW2647" t="s">
        <v>3124</v>
      </c>
      <c r="EX2647" s="35" t="s">
        <v>3822</v>
      </c>
      <c r="EY2647" s="35" t="s">
        <v>1827</v>
      </c>
      <c r="EZ2647" s="36">
        <v>507423</v>
      </c>
      <c r="FA2647" s="36" t="s">
        <v>1726</v>
      </c>
      <c r="FB2647" s="36" t="s">
        <v>473</v>
      </c>
      <c r="FC2647" s="36" t="s">
        <v>53</v>
      </c>
      <c r="FD2647" s="36" t="s">
        <v>476</v>
      </c>
      <c r="FE2647" s="36">
        <v>2020</v>
      </c>
      <c r="FF2647" s="36" t="s">
        <v>474</v>
      </c>
      <c r="FG2647" s="36" t="s">
        <v>1210</v>
      </c>
      <c r="FJ2647" t="s">
        <v>474</v>
      </c>
    </row>
    <row r="2648" spans="153:166" x14ac:dyDescent="0.35">
      <c r="EW2648" t="s">
        <v>3124</v>
      </c>
      <c r="EX2648" s="35" t="s">
        <v>3823</v>
      </c>
      <c r="EY2648" s="35" t="s">
        <v>1828</v>
      </c>
      <c r="EZ2648" s="36">
        <v>507427</v>
      </c>
      <c r="FA2648" s="36" t="s">
        <v>1726</v>
      </c>
      <c r="FB2648" s="36" t="s">
        <v>473</v>
      </c>
      <c r="FC2648" s="36" t="s">
        <v>53</v>
      </c>
      <c r="FD2648" s="36" t="s">
        <v>476</v>
      </c>
      <c r="FE2648" s="36">
        <v>2020</v>
      </c>
      <c r="FF2648" s="36" t="s">
        <v>474</v>
      </c>
      <c r="FG2648" s="36" t="s">
        <v>1210</v>
      </c>
      <c r="FJ2648" t="s">
        <v>474</v>
      </c>
    </row>
    <row r="2649" spans="153:166" x14ac:dyDescent="0.35">
      <c r="EW2649" t="s">
        <v>3124</v>
      </c>
      <c r="EX2649" s="35" t="s">
        <v>3824</v>
      </c>
      <c r="EY2649" s="35" t="s">
        <v>1829</v>
      </c>
      <c r="EZ2649" s="36">
        <v>499868</v>
      </c>
      <c r="FA2649" s="36" t="s">
        <v>1726</v>
      </c>
      <c r="FB2649" s="36" t="s">
        <v>473</v>
      </c>
      <c r="FC2649" s="36" t="s">
        <v>53</v>
      </c>
      <c r="FD2649" s="36" t="s">
        <v>476</v>
      </c>
      <c r="FE2649" s="36">
        <v>2020</v>
      </c>
      <c r="FF2649" s="36" t="s">
        <v>474</v>
      </c>
      <c r="FG2649" s="36" t="s">
        <v>1210</v>
      </c>
      <c r="FJ2649" t="s">
        <v>474</v>
      </c>
    </row>
    <row r="2650" spans="153:166" x14ac:dyDescent="0.35">
      <c r="EW2650" t="s">
        <v>3124</v>
      </c>
      <c r="EX2650" s="35" t="s">
        <v>3825</v>
      </c>
      <c r="EY2650" s="35" t="s">
        <v>1830</v>
      </c>
      <c r="EZ2650" s="36">
        <v>499801</v>
      </c>
      <c r="FA2650" s="36" t="s">
        <v>1726</v>
      </c>
      <c r="FB2650" s="36" t="s">
        <v>473</v>
      </c>
      <c r="FC2650" s="36" t="s">
        <v>53</v>
      </c>
      <c r="FD2650" s="36" t="s">
        <v>476</v>
      </c>
      <c r="FE2650" s="36">
        <v>2020</v>
      </c>
      <c r="FF2650" s="36" t="s">
        <v>474</v>
      </c>
      <c r="FG2650" s="36" t="s">
        <v>1210</v>
      </c>
      <c r="FJ2650" t="s">
        <v>474</v>
      </c>
    </row>
    <row r="2651" spans="153:166" x14ac:dyDescent="0.35">
      <c r="EW2651" t="s">
        <v>3124</v>
      </c>
      <c r="EX2651" s="35" t="s">
        <v>3826</v>
      </c>
      <c r="EY2651" s="35" t="s">
        <v>1831</v>
      </c>
      <c r="EZ2651" s="36">
        <v>506525</v>
      </c>
      <c r="FA2651" s="36" t="s">
        <v>1726</v>
      </c>
      <c r="FB2651" s="36" t="s">
        <v>473</v>
      </c>
      <c r="FC2651" s="36" t="s">
        <v>53</v>
      </c>
      <c r="FD2651" s="36" t="s">
        <v>476</v>
      </c>
      <c r="FE2651" s="36">
        <v>2020</v>
      </c>
      <c r="FF2651" s="36" t="s">
        <v>474</v>
      </c>
      <c r="FG2651" s="36" t="s">
        <v>1193</v>
      </c>
      <c r="FJ2651" t="s">
        <v>474</v>
      </c>
    </row>
    <row r="2652" spans="153:166" x14ac:dyDescent="0.35">
      <c r="EW2652" t="s">
        <v>3124</v>
      </c>
      <c r="EX2652" s="35" t="s">
        <v>3827</v>
      </c>
      <c r="EY2652" s="35" t="s">
        <v>1832</v>
      </c>
      <c r="EZ2652" s="36">
        <v>501057</v>
      </c>
      <c r="FA2652" s="36" t="s">
        <v>1726</v>
      </c>
      <c r="FB2652" s="36" t="s">
        <v>473</v>
      </c>
      <c r="FC2652" s="36" t="s">
        <v>53</v>
      </c>
      <c r="FD2652" s="36" t="s">
        <v>476</v>
      </c>
      <c r="FE2652" s="36">
        <v>2020</v>
      </c>
      <c r="FF2652" s="36" t="s">
        <v>474</v>
      </c>
      <c r="FG2652" s="36" t="s">
        <v>1193</v>
      </c>
      <c r="FJ2652" t="s">
        <v>474</v>
      </c>
    </row>
    <row r="2653" spans="153:166" x14ac:dyDescent="0.35">
      <c r="EW2653" t="s">
        <v>3124</v>
      </c>
      <c r="EX2653" s="35" t="s">
        <v>3828</v>
      </c>
      <c r="EY2653" s="35" t="s">
        <v>1835</v>
      </c>
      <c r="EZ2653" s="36">
        <v>500912</v>
      </c>
      <c r="FA2653" s="36" t="s">
        <v>1726</v>
      </c>
      <c r="FB2653" s="36" t="s">
        <v>473</v>
      </c>
      <c r="FC2653" s="36" t="s">
        <v>53</v>
      </c>
      <c r="FD2653" s="36" t="s">
        <v>476</v>
      </c>
      <c r="FE2653" s="36">
        <v>2020</v>
      </c>
      <c r="FF2653" s="36" t="s">
        <v>474</v>
      </c>
      <c r="FG2653" s="36" t="s">
        <v>1210</v>
      </c>
      <c r="FJ2653" t="s">
        <v>474</v>
      </c>
    </row>
    <row r="2654" spans="153:166" x14ac:dyDescent="0.35">
      <c r="EW2654" t="s">
        <v>3124</v>
      </c>
      <c r="EX2654" s="35" t="s">
        <v>3829</v>
      </c>
      <c r="EY2654" s="35" t="s">
        <v>1838</v>
      </c>
      <c r="EZ2654" s="36">
        <v>507442</v>
      </c>
      <c r="FA2654" s="36" t="s">
        <v>1726</v>
      </c>
      <c r="FB2654" s="36" t="s">
        <v>473</v>
      </c>
      <c r="FC2654" s="36" t="s">
        <v>53</v>
      </c>
      <c r="FD2654" s="36" t="s">
        <v>476</v>
      </c>
      <c r="FE2654" s="36">
        <v>2020</v>
      </c>
      <c r="FF2654" s="36" t="s">
        <v>474</v>
      </c>
      <c r="FG2654" s="36" t="s">
        <v>1210</v>
      </c>
      <c r="FJ2654" t="s">
        <v>474</v>
      </c>
    </row>
    <row r="2655" spans="153:166" x14ac:dyDescent="0.35">
      <c r="EW2655" t="s">
        <v>3124</v>
      </c>
      <c r="EX2655" s="35" t="s">
        <v>3830</v>
      </c>
      <c r="EY2655" s="35" t="s">
        <v>1841</v>
      </c>
      <c r="EZ2655" s="36">
        <v>506479</v>
      </c>
      <c r="FA2655" s="36" t="s">
        <v>1726</v>
      </c>
      <c r="FB2655" s="36" t="s">
        <v>473</v>
      </c>
      <c r="FC2655" s="36" t="s">
        <v>53</v>
      </c>
      <c r="FD2655" s="36" t="s">
        <v>476</v>
      </c>
      <c r="FE2655" s="36">
        <v>2020</v>
      </c>
      <c r="FF2655" s="36" t="s">
        <v>474</v>
      </c>
      <c r="FG2655" s="36" t="s">
        <v>1210</v>
      </c>
      <c r="FJ2655" t="s">
        <v>474</v>
      </c>
    </row>
    <row r="2656" spans="153:166" x14ac:dyDescent="0.35">
      <c r="EW2656" t="s">
        <v>3124</v>
      </c>
      <c r="EX2656" s="35" t="s">
        <v>3831</v>
      </c>
      <c r="EY2656" s="35" t="s">
        <v>1842</v>
      </c>
      <c r="EZ2656" s="36">
        <v>506651</v>
      </c>
      <c r="FA2656" s="36" t="s">
        <v>1726</v>
      </c>
      <c r="FB2656" s="36" t="s">
        <v>473</v>
      </c>
      <c r="FC2656" s="36" t="s">
        <v>53</v>
      </c>
      <c r="FD2656" s="36" t="s">
        <v>476</v>
      </c>
      <c r="FE2656" s="36">
        <v>2020</v>
      </c>
      <c r="FF2656" s="36" t="s">
        <v>474</v>
      </c>
      <c r="FG2656" s="36" t="s">
        <v>1210</v>
      </c>
      <c r="FJ2656" t="s">
        <v>474</v>
      </c>
    </row>
    <row r="2657" spans="153:166" x14ac:dyDescent="0.35">
      <c r="EW2657" t="s">
        <v>3124</v>
      </c>
      <c r="EX2657" s="35" t="s">
        <v>3832</v>
      </c>
      <c r="EY2657" s="35" t="s">
        <v>1844</v>
      </c>
      <c r="EZ2657" s="36">
        <v>507458</v>
      </c>
      <c r="FA2657" s="36" t="s">
        <v>1726</v>
      </c>
      <c r="FB2657" s="36" t="s">
        <v>473</v>
      </c>
      <c r="FC2657" s="36" t="s">
        <v>53</v>
      </c>
      <c r="FD2657" s="36" t="s">
        <v>476</v>
      </c>
      <c r="FE2657" s="36">
        <v>2020</v>
      </c>
      <c r="FF2657" s="36" t="s">
        <v>474</v>
      </c>
      <c r="FG2657" s="36" t="s">
        <v>1210</v>
      </c>
      <c r="FJ2657" t="s">
        <v>474</v>
      </c>
    </row>
    <row r="2658" spans="153:166" x14ac:dyDescent="0.35">
      <c r="EW2658" t="s">
        <v>3124</v>
      </c>
      <c r="EX2658" s="35" t="s">
        <v>3833</v>
      </c>
      <c r="EY2658" s="35" t="s">
        <v>1847</v>
      </c>
      <c r="EZ2658" s="36">
        <v>507661</v>
      </c>
      <c r="FA2658" s="36" t="s">
        <v>1726</v>
      </c>
      <c r="FB2658" s="36" t="s">
        <v>473</v>
      </c>
      <c r="FC2658" s="36" t="s">
        <v>53</v>
      </c>
      <c r="FD2658" s="36" t="s">
        <v>476</v>
      </c>
      <c r="FE2658" s="36">
        <v>2020</v>
      </c>
      <c r="FF2658" s="36" t="s">
        <v>474</v>
      </c>
      <c r="FG2658" s="36" t="s">
        <v>1210</v>
      </c>
      <c r="FJ2658" t="s">
        <v>474</v>
      </c>
    </row>
    <row r="2659" spans="153:166" x14ac:dyDescent="0.35">
      <c r="EW2659" t="s">
        <v>3124</v>
      </c>
      <c r="EX2659" s="35" t="s">
        <v>3834</v>
      </c>
      <c r="EY2659" s="35" t="s">
        <v>1850</v>
      </c>
      <c r="EZ2659" s="36">
        <v>506530</v>
      </c>
      <c r="FA2659" s="36" t="s">
        <v>1726</v>
      </c>
      <c r="FB2659" s="36" t="s">
        <v>473</v>
      </c>
      <c r="FC2659" s="36" t="s">
        <v>53</v>
      </c>
      <c r="FD2659" s="36" t="s">
        <v>476</v>
      </c>
      <c r="FE2659" s="36">
        <v>2020</v>
      </c>
      <c r="FF2659" s="36" t="s">
        <v>474</v>
      </c>
      <c r="FG2659" s="36" t="s">
        <v>1193</v>
      </c>
      <c r="FJ2659" t="s">
        <v>474</v>
      </c>
    </row>
    <row r="2660" spans="153:166" x14ac:dyDescent="0.35">
      <c r="EW2660" t="s">
        <v>3124</v>
      </c>
      <c r="EX2660" s="35" t="s">
        <v>3835</v>
      </c>
      <c r="EY2660" s="35" t="s">
        <v>1853</v>
      </c>
      <c r="EZ2660" s="36">
        <v>506543</v>
      </c>
      <c r="FA2660" s="36" t="s">
        <v>1726</v>
      </c>
      <c r="FB2660" s="36" t="s">
        <v>473</v>
      </c>
      <c r="FC2660" s="36" t="s">
        <v>53</v>
      </c>
      <c r="FD2660" s="36" t="s">
        <v>476</v>
      </c>
      <c r="FE2660" s="36">
        <v>2020</v>
      </c>
      <c r="FF2660" s="36" t="s">
        <v>474</v>
      </c>
      <c r="FG2660" s="36" t="s">
        <v>1210</v>
      </c>
      <c r="FJ2660" t="s">
        <v>474</v>
      </c>
    </row>
    <row r="2661" spans="153:166" x14ac:dyDescent="0.35">
      <c r="EW2661" t="s">
        <v>3124</v>
      </c>
      <c r="EX2661" s="35" t="s">
        <v>3836</v>
      </c>
      <c r="EY2661" s="35" t="s">
        <v>1854</v>
      </c>
      <c r="EZ2661" s="36">
        <v>507419</v>
      </c>
      <c r="FA2661" s="36" t="s">
        <v>1726</v>
      </c>
      <c r="FB2661" s="36" t="s">
        <v>473</v>
      </c>
      <c r="FC2661" s="36" t="s">
        <v>53</v>
      </c>
      <c r="FD2661" s="36" t="s">
        <v>476</v>
      </c>
      <c r="FE2661" s="36">
        <v>2020</v>
      </c>
      <c r="FF2661" s="36" t="s">
        <v>474</v>
      </c>
      <c r="FG2661" s="36" t="s">
        <v>1210</v>
      </c>
      <c r="FJ2661" t="s">
        <v>474</v>
      </c>
    </row>
    <row r="2662" spans="153:166" x14ac:dyDescent="0.35">
      <c r="EW2662" t="s">
        <v>3124</v>
      </c>
      <c r="EX2662" s="35" t="s">
        <v>3837</v>
      </c>
      <c r="EY2662" s="35" t="s">
        <v>1857</v>
      </c>
      <c r="EZ2662" s="36">
        <v>507446</v>
      </c>
      <c r="FA2662" s="36" t="s">
        <v>1726</v>
      </c>
      <c r="FB2662" s="36" t="s">
        <v>473</v>
      </c>
      <c r="FC2662" s="36" t="s">
        <v>53</v>
      </c>
      <c r="FD2662" s="36" t="s">
        <v>476</v>
      </c>
      <c r="FE2662" s="36">
        <v>2020</v>
      </c>
      <c r="FF2662" s="36" t="s">
        <v>474</v>
      </c>
      <c r="FG2662" s="36" t="s">
        <v>1210</v>
      </c>
      <c r="FJ2662" t="s">
        <v>474</v>
      </c>
    </row>
    <row r="2663" spans="153:166" x14ac:dyDescent="0.35">
      <c r="EW2663" t="s">
        <v>3124</v>
      </c>
      <c r="EX2663" s="35" t="s">
        <v>3838</v>
      </c>
      <c r="EY2663" s="35" t="s">
        <v>1858</v>
      </c>
      <c r="EZ2663" s="36">
        <v>506223</v>
      </c>
      <c r="FA2663" s="36" t="s">
        <v>1726</v>
      </c>
      <c r="FB2663" s="36" t="s">
        <v>473</v>
      </c>
      <c r="FC2663" s="36" t="s">
        <v>53</v>
      </c>
      <c r="FD2663" s="36" t="s">
        <v>476</v>
      </c>
      <c r="FE2663" s="36">
        <v>2020</v>
      </c>
      <c r="FF2663" s="36" t="s">
        <v>474</v>
      </c>
      <c r="FG2663" s="36" t="s">
        <v>1210</v>
      </c>
      <c r="FJ2663" t="s">
        <v>474</v>
      </c>
    </row>
    <row r="2664" spans="153:166" x14ac:dyDescent="0.35">
      <c r="EW2664" t="s">
        <v>3124</v>
      </c>
      <c r="EX2664" s="35" t="s">
        <v>3839</v>
      </c>
      <c r="EY2664" s="35" t="s">
        <v>1859</v>
      </c>
      <c r="EZ2664" s="36">
        <v>507455</v>
      </c>
      <c r="FA2664" s="36" t="s">
        <v>1726</v>
      </c>
      <c r="FB2664" s="36" t="s">
        <v>473</v>
      </c>
      <c r="FC2664" s="36" t="s">
        <v>53</v>
      </c>
      <c r="FD2664" s="36" t="s">
        <v>476</v>
      </c>
      <c r="FE2664" s="36">
        <v>2020</v>
      </c>
      <c r="FF2664" s="36" t="s">
        <v>474</v>
      </c>
      <c r="FG2664" s="36" t="s">
        <v>1193</v>
      </c>
      <c r="FJ2664" t="s">
        <v>474</v>
      </c>
    </row>
    <row r="2665" spans="153:166" x14ac:dyDescent="0.35">
      <c r="EW2665" t="s">
        <v>3124</v>
      </c>
      <c r="EX2665" s="35" t="s">
        <v>3840</v>
      </c>
      <c r="EY2665" s="35" t="s">
        <v>1862</v>
      </c>
      <c r="EZ2665" s="36">
        <v>506662</v>
      </c>
      <c r="FA2665" s="36" t="s">
        <v>1726</v>
      </c>
      <c r="FB2665" s="36" t="s">
        <v>473</v>
      </c>
      <c r="FC2665" s="36" t="s">
        <v>53</v>
      </c>
      <c r="FD2665" s="36" t="s">
        <v>476</v>
      </c>
      <c r="FE2665" s="36">
        <v>2020</v>
      </c>
      <c r="FF2665" s="36" t="s">
        <v>474</v>
      </c>
      <c r="FG2665" s="36" t="s">
        <v>1193</v>
      </c>
      <c r="FJ2665" t="s">
        <v>474</v>
      </c>
    </row>
    <row r="2666" spans="153:166" x14ac:dyDescent="0.35">
      <c r="EW2666" t="s">
        <v>3124</v>
      </c>
      <c r="EX2666" s="35" t="s">
        <v>3841</v>
      </c>
      <c r="EY2666" s="35" t="s">
        <v>1863</v>
      </c>
      <c r="EZ2666" s="36">
        <v>507173</v>
      </c>
      <c r="FA2666" s="36" t="s">
        <v>1726</v>
      </c>
      <c r="FB2666" s="36" t="s">
        <v>473</v>
      </c>
      <c r="FC2666" s="36" t="s">
        <v>53</v>
      </c>
      <c r="FD2666" s="36" t="s">
        <v>476</v>
      </c>
      <c r="FE2666" s="36">
        <v>2020</v>
      </c>
      <c r="FF2666" s="36" t="s">
        <v>474</v>
      </c>
      <c r="FG2666" s="36" t="s">
        <v>1193</v>
      </c>
      <c r="FJ2666" t="s">
        <v>474</v>
      </c>
    </row>
    <row r="2667" spans="153:166" x14ac:dyDescent="0.35">
      <c r="EW2667" t="s">
        <v>3124</v>
      </c>
      <c r="EX2667" s="35" t="s">
        <v>3842</v>
      </c>
      <c r="EY2667" s="35" t="s">
        <v>1865</v>
      </c>
      <c r="EZ2667" s="36">
        <v>507153</v>
      </c>
      <c r="FA2667" s="36" t="s">
        <v>1726</v>
      </c>
      <c r="FB2667" s="36" t="s">
        <v>473</v>
      </c>
      <c r="FC2667" s="36" t="s">
        <v>53</v>
      </c>
      <c r="FD2667" s="36" t="s">
        <v>476</v>
      </c>
      <c r="FE2667" s="36">
        <v>2020</v>
      </c>
      <c r="FF2667" s="36" t="s">
        <v>474</v>
      </c>
      <c r="FG2667" s="36" t="s">
        <v>1193</v>
      </c>
      <c r="FJ2667" t="s">
        <v>474</v>
      </c>
    </row>
    <row r="2668" spans="153:166" x14ac:dyDescent="0.35">
      <c r="EW2668" t="s">
        <v>3124</v>
      </c>
      <c r="EX2668" s="35" t="s">
        <v>3843</v>
      </c>
      <c r="EY2668" s="35" t="s">
        <v>1866</v>
      </c>
      <c r="EZ2668" s="36">
        <v>507167</v>
      </c>
      <c r="FA2668" s="36" t="s">
        <v>1726</v>
      </c>
      <c r="FB2668" s="36" t="s">
        <v>473</v>
      </c>
      <c r="FC2668" s="36" t="s">
        <v>53</v>
      </c>
      <c r="FD2668" s="36" t="s">
        <v>476</v>
      </c>
      <c r="FE2668" s="36">
        <v>2020</v>
      </c>
      <c r="FF2668" s="36" t="s">
        <v>474</v>
      </c>
      <c r="FG2668" s="36" t="s">
        <v>1193</v>
      </c>
      <c r="FJ2668" t="s">
        <v>474</v>
      </c>
    </row>
    <row r="2669" spans="153:166" x14ac:dyDescent="0.35">
      <c r="EW2669" t="s">
        <v>3124</v>
      </c>
      <c r="EX2669" s="35" t="s">
        <v>3844</v>
      </c>
      <c r="EY2669" s="35" t="s">
        <v>1868</v>
      </c>
      <c r="EZ2669" s="36">
        <v>507082</v>
      </c>
      <c r="FA2669" s="36" t="s">
        <v>1726</v>
      </c>
      <c r="FB2669" s="36" t="s">
        <v>473</v>
      </c>
      <c r="FC2669" s="36" t="s">
        <v>53</v>
      </c>
      <c r="FD2669" s="36" t="s">
        <v>476</v>
      </c>
      <c r="FE2669" s="36">
        <v>2020</v>
      </c>
      <c r="FF2669" s="36" t="s">
        <v>474</v>
      </c>
      <c r="FG2669" s="36" t="s">
        <v>1193</v>
      </c>
      <c r="FJ2669" t="s">
        <v>474</v>
      </c>
    </row>
    <row r="2670" spans="153:166" x14ac:dyDescent="0.35">
      <c r="EW2670" t="s">
        <v>3124</v>
      </c>
      <c r="EX2670" s="35" t="s">
        <v>3845</v>
      </c>
      <c r="EY2670" s="35" t="s">
        <v>1869</v>
      </c>
      <c r="EZ2670" s="36">
        <v>506645</v>
      </c>
      <c r="FA2670" s="36" t="s">
        <v>1726</v>
      </c>
      <c r="FB2670" s="36" t="s">
        <v>473</v>
      </c>
      <c r="FC2670" s="36" t="s">
        <v>53</v>
      </c>
      <c r="FD2670" s="36" t="s">
        <v>476</v>
      </c>
      <c r="FE2670" s="36">
        <v>2020</v>
      </c>
      <c r="FF2670" s="36" t="s">
        <v>474</v>
      </c>
      <c r="FG2670" s="36" t="s">
        <v>1193</v>
      </c>
      <c r="FJ2670" t="s">
        <v>474</v>
      </c>
    </row>
    <row r="2671" spans="153:166" x14ac:dyDescent="0.35">
      <c r="EW2671" t="s">
        <v>3124</v>
      </c>
      <c r="EX2671" s="35" t="s">
        <v>3846</v>
      </c>
      <c r="EY2671" s="35" t="s">
        <v>1870</v>
      </c>
      <c r="EZ2671" s="36">
        <v>507402</v>
      </c>
      <c r="FA2671" s="36" t="s">
        <v>1726</v>
      </c>
      <c r="FB2671" s="36" t="s">
        <v>473</v>
      </c>
      <c r="FC2671" s="36" t="s">
        <v>53</v>
      </c>
      <c r="FD2671" s="36" t="s">
        <v>476</v>
      </c>
      <c r="FE2671" s="36">
        <v>2020</v>
      </c>
      <c r="FF2671" s="36" t="s">
        <v>474</v>
      </c>
      <c r="FG2671" s="36" t="s">
        <v>1193</v>
      </c>
      <c r="FJ2671" t="s">
        <v>474</v>
      </c>
    </row>
    <row r="2672" spans="153:166" x14ac:dyDescent="0.35">
      <c r="EW2672" t="s">
        <v>3124</v>
      </c>
      <c r="EX2672" s="35" t="s">
        <v>3847</v>
      </c>
      <c r="EY2672" s="35" t="s">
        <v>1871</v>
      </c>
      <c r="EZ2672" s="36">
        <v>507277</v>
      </c>
      <c r="FA2672" s="36" t="s">
        <v>1726</v>
      </c>
      <c r="FB2672" s="36" t="s">
        <v>473</v>
      </c>
      <c r="FC2672" s="36" t="s">
        <v>53</v>
      </c>
      <c r="FD2672" s="36" t="s">
        <v>476</v>
      </c>
      <c r="FE2672" s="36">
        <v>2020</v>
      </c>
      <c r="FF2672" s="36" t="s">
        <v>474</v>
      </c>
      <c r="FG2672" s="36" t="s">
        <v>1193</v>
      </c>
      <c r="FJ2672" t="s">
        <v>474</v>
      </c>
    </row>
    <row r="2673" spans="153:166" x14ac:dyDescent="0.35">
      <c r="EW2673" t="s">
        <v>3124</v>
      </c>
      <c r="EX2673" s="35" t="s">
        <v>3848</v>
      </c>
      <c r="EY2673" s="35" t="s">
        <v>1872</v>
      </c>
      <c r="EZ2673" s="36">
        <v>506865</v>
      </c>
      <c r="FA2673" s="36" t="s">
        <v>1726</v>
      </c>
      <c r="FB2673" s="36" t="s">
        <v>473</v>
      </c>
      <c r="FC2673" s="36" t="s">
        <v>53</v>
      </c>
      <c r="FD2673" s="36" t="s">
        <v>476</v>
      </c>
      <c r="FE2673" s="36">
        <v>2020</v>
      </c>
      <c r="FF2673" s="36" t="s">
        <v>474</v>
      </c>
      <c r="FG2673" s="36" t="s">
        <v>1193</v>
      </c>
      <c r="FJ2673" t="s">
        <v>474</v>
      </c>
    </row>
    <row r="2674" spans="153:166" x14ac:dyDescent="0.35">
      <c r="EW2674" t="s">
        <v>3124</v>
      </c>
      <c r="EX2674" s="35" t="s">
        <v>3849</v>
      </c>
      <c r="EY2674" s="35" t="s">
        <v>1873</v>
      </c>
      <c r="EZ2674" s="36">
        <v>506732</v>
      </c>
      <c r="FA2674" s="36" t="s">
        <v>1726</v>
      </c>
      <c r="FB2674" s="36" t="s">
        <v>473</v>
      </c>
      <c r="FC2674" s="36" t="s">
        <v>53</v>
      </c>
      <c r="FD2674" s="36" t="s">
        <v>476</v>
      </c>
      <c r="FE2674" s="36">
        <v>2020</v>
      </c>
      <c r="FF2674" s="36" t="s">
        <v>474</v>
      </c>
      <c r="FG2674" s="36" t="s">
        <v>1193</v>
      </c>
      <c r="FJ2674" t="s">
        <v>474</v>
      </c>
    </row>
    <row r="2675" spans="153:166" x14ac:dyDescent="0.35">
      <c r="EW2675" t="s">
        <v>3124</v>
      </c>
      <c r="EX2675" s="35" t="s">
        <v>3850</v>
      </c>
      <c r="EY2675" s="35" t="s">
        <v>1875</v>
      </c>
      <c r="EZ2675" s="36">
        <v>506661</v>
      </c>
      <c r="FA2675" s="36" t="s">
        <v>1726</v>
      </c>
      <c r="FB2675" s="36" t="s">
        <v>473</v>
      </c>
      <c r="FC2675" s="36" t="s">
        <v>53</v>
      </c>
      <c r="FD2675" s="36" t="s">
        <v>476</v>
      </c>
      <c r="FE2675" s="36">
        <v>2020</v>
      </c>
      <c r="FF2675" s="36" t="s">
        <v>474</v>
      </c>
      <c r="FG2675" s="36" t="s">
        <v>1193</v>
      </c>
      <c r="FJ2675" t="s">
        <v>474</v>
      </c>
    </row>
    <row r="2676" spans="153:166" x14ac:dyDescent="0.35">
      <c r="EW2676" t="s">
        <v>3124</v>
      </c>
      <c r="EX2676" s="35" t="s">
        <v>3851</v>
      </c>
      <c r="EY2676" s="35" t="s">
        <v>1876</v>
      </c>
      <c r="EZ2676" s="36">
        <v>506598</v>
      </c>
      <c r="FA2676" s="36" t="s">
        <v>1726</v>
      </c>
      <c r="FB2676" s="36" t="s">
        <v>473</v>
      </c>
      <c r="FC2676" s="36" t="s">
        <v>53</v>
      </c>
      <c r="FD2676" s="36" t="s">
        <v>476</v>
      </c>
      <c r="FE2676" s="36">
        <v>2020</v>
      </c>
      <c r="FF2676" s="36" t="s">
        <v>474</v>
      </c>
      <c r="FG2676" s="36" t="s">
        <v>1193</v>
      </c>
      <c r="FJ2676" t="s">
        <v>474</v>
      </c>
    </row>
    <row r="2677" spans="153:166" x14ac:dyDescent="0.35">
      <c r="EW2677" t="s">
        <v>3124</v>
      </c>
      <c r="EX2677" s="35" t="s">
        <v>3852</v>
      </c>
      <c r="EY2677" s="35" t="s">
        <v>1879</v>
      </c>
      <c r="EZ2677" s="36">
        <v>506305</v>
      </c>
      <c r="FA2677" s="36" t="s">
        <v>1726</v>
      </c>
      <c r="FB2677" s="36" t="s">
        <v>473</v>
      </c>
      <c r="FC2677" s="36" t="s">
        <v>53</v>
      </c>
      <c r="FD2677" s="36" t="s">
        <v>476</v>
      </c>
      <c r="FE2677" s="36">
        <v>2020</v>
      </c>
      <c r="FF2677" s="36" t="s">
        <v>474</v>
      </c>
      <c r="FG2677" s="36" t="s">
        <v>1193</v>
      </c>
      <c r="FJ2677" t="s">
        <v>474</v>
      </c>
    </row>
    <row r="2678" spans="153:166" x14ac:dyDescent="0.35">
      <c r="EW2678" t="s">
        <v>3124</v>
      </c>
      <c r="EX2678" s="35" t="s">
        <v>3853</v>
      </c>
      <c r="EY2678" s="35" t="s">
        <v>1880</v>
      </c>
      <c r="EZ2678" s="36">
        <v>506647</v>
      </c>
      <c r="FA2678" s="36" t="s">
        <v>1726</v>
      </c>
      <c r="FB2678" s="36" t="s">
        <v>473</v>
      </c>
      <c r="FC2678" s="36" t="s">
        <v>53</v>
      </c>
      <c r="FD2678" s="36" t="s">
        <v>476</v>
      </c>
      <c r="FE2678" s="36">
        <v>2020</v>
      </c>
      <c r="FF2678" s="36" t="s">
        <v>474</v>
      </c>
      <c r="FG2678" s="36" t="s">
        <v>1193</v>
      </c>
      <c r="FJ2678" t="s">
        <v>474</v>
      </c>
    </row>
    <row r="2679" spans="153:166" x14ac:dyDescent="0.35">
      <c r="EW2679" t="s">
        <v>3124</v>
      </c>
      <c r="EX2679" s="35" t="s">
        <v>3854</v>
      </c>
      <c r="EY2679" s="35" t="s">
        <v>1881</v>
      </c>
      <c r="EZ2679" s="36">
        <v>507078</v>
      </c>
      <c r="FA2679" s="36" t="s">
        <v>1726</v>
      </c>
      <c r="FB2679" s="36" t="s">
        <v>473</v>
      </c>
      <c r="FC2679" s="36" t="s">
        <v>53</v>
      </c>
      <c r="FD2679" s="36" t="s">
        <v>476</v>
      </c>
      <c r="FE2679" s="36">
        <v>2020</v>
      </c>
      <c r="FF2679" s="36" t="s">
        <v>474</v>
      </c>
      <c r="FG2679" s="36" t="s">
        <v>1193</v>
      </c>
      <c r="FJ2679" t="s">
        <v>474</v>
      </c>
    </row>
    <row r="2680" spans="153:166" x14ac:dyDescent="0.35">
      <c r="EW2680" t="s">
        <v>3124</v>
      </c>
      <c r="EX2680" s="35" t="s">
        <v>3855</v>
      </c>
      <c r="EY2680" s="35" t="s">
        <v>1884</v>
      </c>
      <c r="EZ2680" s="36">
        <v>506749</v>
      </c>
      <c r="FA2680" s="36" t="s">
        <v>1726</v>
      </c>
      <c r="FB2680" s="36" t="s">
        <v>473</v>
      </c>
      <c r="FC2680" s="36" t="s">
        <v>53</v>
      </c>
      <c r="FD2680" s="36" t="s">
        <v>476</v>
      </c>
      <c r="FE2680" s="36">
        <v>2020</v>
      </c>
      <c r="FF2680" s="36" t="s">
        <v>474</v>
      </c>
      <c r="FG2680" s="36" t="s">
        <v>1193</v>
      </c>
      <c r="FJ2680" t="s">
        <v>474</v>
      </c>
    </row>
    <row r="2681" spans="153:166" x14ac:dyDescent="0.35">
      <c r="EW2681" t="s">
        <v>3124</v>
      </c>
      <c r="EX2681" s="35" t="s">
        <v>3856</v>
      </c>
      <c r="EY2681" s="35" t="s">
        <v>1885</v>
      </c>
      <c r="EZ2681" s="36">
        <v>507040</v>
      </c>
      <c r="FA2681" s="36" t="s">
        <v>1726</v>
      </c>
      <c r="FB2681" s="36" t="s">
        <v>473</v>
      </c>
      <c r="FC2681" s="36" t="s">
        <v>53</v>
      </c>
      <c r="FD2681" s="36" t="s">
        <v>476</v>
      </c>
      <c r="FE2681" s="36">
        <v>2020</v>
      </c>
      <c r="FF2681" s="36" t="s">
        <v>474</v>
      </c>
      <c r="FG2681" s="36" t="s">
        <v>1193</v>
      </c>
      <c r="FJ2681" t="s">
        <v>474</v>
      </c>
    </row>
    <row r="2682" spans="153:166" x14ac:dyDescent="0.35">
      <c r="EW2682" t="s">
        <v>3124</v>
      </c>
      <c r="EX2682" s="35" t="s">
        <v>3857</v>
      </c>
      <c r="EY2682" s="35" t="s">
        <v>1888</v>
      </c>
      <c r="EZ2682" s="36">
        <v>506999</v>
      </c>
      <c r="FA2682" s="36" t="s">
        <v>1726</v>
      </c>
      <c r="FB2682" s="36" t="s">
        <v>473</v>
      </c>
      <c r="FC2682" s="36" t="s">
        <v>53</v>
      </c>
      <c r="FD2682" s="36" t="s">
        <v>476</v>
      </c>
      <c r="FE2682" s="36">
        <v>2020</v>
      </c>
      <c r="FF2682" s="36" t="s">
        <v>474</v>
      </c>
      <c r="FG2682" s="36" t="s">
        <v>1193</v>
      </c>
      <c r="FJ2682" t="s">
        <v>474</v>
      </c>
    </row>
    <row r="2683" spans="153:166" x14ac:dyDescent="0.35">
      <c r="EW2683" t="s">
        <v>3124</v>
      </c>
      <c r="EX2683" s="35" t="s">
        <v>3858</v>
      </c>
      <c r="EY2683" s="35" t="s">
        <v>1889</v>
      </c>
      <c r="EZ2683" s="36">
        <v>506686</v>
      </c>
      <c r="FA2683" s="36" t="s">
        <v>1726</v>
      </c>
      <c r="FB2683" s="36" t="s">
        <v>473</v>
      </c>
      <c r="FC2683" s="36" t="s">
        <v>53</v>
      </c>
      <c r="FD2683" s="36" t="s">
        <v>476</v>
      </c>
      <c r="FE2683" s="36">
        <v>2020</v>
      </c>
      <c r="FF2683" s="36" t="s">
        <v>474</v>
      </c>
      <c r="FG2683" s="36" t="s">
        <v>1193</v>
      </c>
      <c r="FJ2683" t="s">
        <v>474</v>
      </c>
    </row>
    <row r="2684" spans="153:166" x14ac:dyDescent="0.35">
      <c r="EW2684" t="s">
        <v>3124</v>
      </c>
      <c r="EX2684" s="35" t="s">
        <v>3859</v>
      </c>
      <c r="EY2684" s="35" t="s">
        <v>1890</v>
      </c>
      <c r="EZ2684" s="36">
        <v>507117</v>
      </c>
      <c r="FA2684" s="36" t="s">
        <v>1726</v>
      </c>
      <c r="FB2684" s="36" t="s">
        <v>473</v>
      </c>
      <c r="FC2684" s="36" t="s">
        <v>53</v>
      </c>
      <c r="FD2684" s="36" t="s">
        <v>476</v>
      </c>
      <c r="FE2684" s="36">
        <v>2020</v>
      </c>
      <c r="FF2684" s="36" t="s">
        <v>474</v>
      </c>
      <c r="FG2684" s="36" t="s">
        <v>1193</v>
      </c>
      <c r="FJ2684" t="s">
        <v>474</v>
      </c>
    </row>
    <row r="2685" spans="153:166" x14ac:dyDescent="0.35">
      <c r="EW2685" t="s">
        <v>3124</v>
      </c>
      <c r="EX2685" s="35" t="s">
        <v>3860</v>
      </c>
      <c r="EY2685" s="35" t="s">
        <v>1891</v>
      </c>
      <c r="EZ2685" s="36">
        <v>507055</v>
      </c>
      <c r="FA2685" s="36" t="s">
        <v>1726</v>
      </c>
      <c r="FB2685" s="36" t="s">
        <v>473</v>
      </c>
      <c r="FC2685" s="36" t="s">
        <v>53</v>
      </c>
      <c r="FD2685" s="36" t="s">
        <v>476</v>
      </c>
      <c r="FE2685" s="36">
        <v>2020</v>
      </c>
      <c r="FF2685" s="36" t="s">
        <v>474</v>
      </c>
      <c r="FG2685" s="36" t="s">
        <v>1193</v>
      </c>
      <c r="FJ2685" t="s">
        <v>474</v>
      </c>
    </row>
    <row r="2686" spans="153:166" x14ac:dyDescent="0.35">
      <c r="EW2686" t="s">
        <v>3124</v>
      </c>
      <c r="EX2686" s="35" t="s">
        <v>3861</v>
      </c>
      <c r="EY2686" s="35" t="s">
        <v>1892</v>
      </c>
      <c r="EZ2686" s="36">
        <v>507102</v>
      </c>
      <c r="FA2686" s="36" t="s">
        <v>1726</v>
      </c>
      <c r="FB2686" s="36" t="s">
        <v>473</v>
      </c>
      <c r="FC2686" s="36" t="s">
        <v>53</v>
      </c>
      <c r="FD2686" s="36" t="s">
        <v>476</v>
      </c>
      <c r="FE2686" s="36">
        <v>2020</v>
      </c>
      <c r="FF2686" s="36" t="s">
        <v>474</v>
      </c>
      <c r="FG2686" s="36" t="s">
        <v>1193</v>
      </c>
      <c r="FJ2686" t="s">
        <v>474</v>
      </c>
    </row>
    <row r="2687" spans="153:166" x14ac:dyDescent="0.35">
      <c r="EW2687" t="s">
        <v>3124</v>
      </c>
      <c r="EX2687" s="35" t="s">
        <v>3862</v>
      </c>
      <c r="EY2687" s="35" t="s">
        <v>1893</v>
      </c>
      <c r="EZ2687" s="36">
        <v>507075</v>
      </c>
      <c r="FA2687" s="36" t="s">
        <v>1726</v>
      </c>
      <c r="FB2687" s="36" t="s">
        <v>473</v>
      </c>
      <c r="FC2687" s="36" t="s">
        <v>53</v>
      </c>
      <c r="FD2687" s="36" t="s">
        <v>476</v>
      </c>
      <c r="FE2687" s="36">
        <v>2020</v>
      </c>
      <c r="FF2687" s="36" t="s">
        <v>474</v>
      </c>
      <c r="FG2687" s="36" t="s">
        <v>1193</v>
      </c>
      <c r="FJ2687" t="s">
        <v>474</v>
      </c>
    </row>
    <row r="2688" spans="153:166" x14ac:dyDescent="0.35">
      <c r="EW2688" t="s">
        <v>3124</v>
      </c>
      <c r="EX2688" s="35" t="s">
        <v>3863</v>
      </c>
      <c r="EY2688" s="35" t="s">
        <v>1896</v>
      </c>
      <c r="EZ2688" s="36">
        <v>507106</v>
      </c>
      <c r="FA2688" s="36" t="s">
        <v>1726</v>
      </c>
      <c r="FB2688" s="36" t="s">
        <v>473</v>
      </c>
      <c r="FC2688" s="36" t="s">
        <v>53</v>
      </c>
      <c r="FD2688" s="36" t="s">
        <v>476</v>
      </c>
      <c r="FE2688" s="36">
        <v>2020</v>
      </c>
      <c r="FF2688" s="36" t="s">
        <v>474</v>
      </c>
      <c r="FG2688" s="36" t="s">
        <v>1193</v>
      </c>
      <c r="FJ2688" t="s">
        <v>474</v>
      </c>
    </row>
    <row r="2689" spans="153:166" x14ac:dyDescent="0.35">
      <c r="EW2689" t="s">
        <v>3124</v>
      </c>
      <c r="EX2689" s="35" t="s">
        <v>3864</v>
      </c>
      <c r="EY2689" s="35" t="s">
        <v>1899</v>
      </c>
      <c r="EZ2689" s="36">
        <v>506644</v>
      </c>
      <c r="FA2689" s="36" t="s">
        <v>1726</v>
      </c>
      <c r="FB2689" s="36" t="s">
        <v>473</v>
      </c>
      <c r="FC2689" s="36" t="s">
        <v>53</v>
      </c>
      <c r="FD2689" s="36" t="s">
        <v>476</v>
      </c>
      <c r="FE2689" s="36">
        <v>2020</v>
      </c>
      <c r="FF2689" s="36" t="s">
        <v>474</v>
      </c>
      <c r="FG2689" s="36" t="s">
        <v>1193</v>
      </c>
      <c r="FJ2689" t="s">
        <v>474</v>
      </c>
    </row>
    <row r="2690" spans="153:166" x14ac:dyDescent="0.35">
      <c r="EW2690" t="s">
        <v>3124</v>
      </c>
      <c r="EX2690" s="35" t="s">
        <v>3865</v>
      </c>
      <c r="EY2690" s="35" t="s">
        <v>1902</v>
      </c>
      <c r="EZ2690" s="36">
        <v>506671</v>
      </c>
      <c r="FA2690" s="36" t="s">
        <v>1726</v>
      </c>
      <c r="FB2690" s="36" t="s">
        <v>473</v>
      </c>
      <c r="FC2690" s="36" t="s">
        <v>53</v>
      </c>
      <c r="FD2690" s="36" t="s">
        <v>476</v>
      </c>
      <c r="FE2690" s="36">
        <v>2020</v>
      </c>
      <c r="FF2690" s="36" t="s">
        <v>474</v>
      </c>
      <c r="FG2690" s="36" t="s">
        <v>1193</v>
      </c>
      <c r="FJ2690" t="s">
        <v>474</v>
      </c>
    </row>
    <row r="2691" spans="153:166" x14ac:dyDescent="0.35">
      <c r="EW2691" t="s">
        <v>3124</v>
      </c>
      <c r="EX2691" s="35" t="s">
        <v>3866</v>
      </c>
      <c r="EY2691" s="35" t="s">
        <v>1903</v>
      </c>
      <c r="EZ2691" s="36">
        <v>507033</v>
      </c>
      <c r="FA2691" s="36" t="s">
        <v>1726</v>
      </c>
      <c r="FB2691" s="36" t="s">
        <v>473</v>
      </c>
      <c r="FC2691" s="36" t="s">
        <v>53</v>
      </c>
      <c r="FD2691" s="36" t="s">
        <v>476</v>
      </c>
      <c r="FE2691" s="36">
        <v>2020</v>
      </c>
      <c r="FF2691" s="36" t="s">
        <v>474</v>
      </c>
      <c r="FG2691" s="36" t="s">
        <v>1193</v>
      </c>
      <c r="FJ2691" t="s">
        <v>474</v>
      </c>
    </row>
    <row r="2692" spans="153:166" x14ac:dyDescent="0.35">
      <c r="EW2692" t="s">
        <v>3124</v>
      </c>
      <c r="EX2692" s="35" t="s">
        <v>3867</v>
      </c>
      <c r="EY2692" s="35" t="s">
        <v>1904</v>
      </c>
      <c r="EZ2692" s="36">
        <v>506988</v>
      </c>
      <c r="FA2692" s="36" t="s">
        <v>1726</v>
      </c>
      <c r="FB2692" s="36" t="s">
        <v>473</v>
      </c>
      <c r="FC2692" s="36" t="s">
        <v>53</v>
      </c>
      <c r="FD2692" s="36" t="s">
        <v>476</v>
      </c>
      <c r="FE2692" s="36">
        <v>2020</v>
      </c>
      <c r="FF2692" s="36" t="s">
        <v>474</v>
      </c>
      <c r="FG2692" s="36" t="s">
        <v>1193</v>
      </c>
      <c r="FJ2692" t="s">
        <v>474</v>
      </c>
    </row>
    <row r="2693" spans="153:166" x14ac:dyDescent="0.35">
      <c r="EW2693" t="s">
        <v>3124</v>
      </c>
      <c r="EX2693" s="35" t="s">
        <v>3868</v>
      </c>
      <c r="EY2693" s="35" t="s">
        <v>1905</v>
      </c>
      <c r="EZ2693" s="36">
        <v>506841</v>
      </c>
      <c r="FA2693" s="36" t="s">
        <v>1726</v>
      </c>
      <c r="FB2693" s="36" t="s">
        <v>473</v>
      </c>
      <c r="FC2693" s="36" t="s">
        <v>53</v>
      </c>
      <c r="FD2693" s="36" t="s">
        <v>476</v>
      </c>
      <c r="FE2693" s="36">
        <v>2020</v>
      </c>
      <c r="FF2693" s="36" t="s">
        <v>474</v>
      </c>
      <c r="FG2693" s="36" t="s">
        <v>1728</v>
      </c>
      <c r="FJ2693" t="s">
        <v>474</v>
      </c>
    </row>
    <row r="2694" spans="153:166" x14ac:dyDescent="0.35">
      <c r="EW2694" t="s">
        <v>3124</v>
      </c>
      <c r="EX2694" s="35" t="s">
        <v>3869</v>
      </c>
      <c r="EY2694" s="35" t="s">
        <v>1908</v>
      </c>
      <c r="EZ2694" s="36">
        <v>507058</v>
      </c>
      <c r="FA2694" s="36" t="s">
        <v>1726</v>
      </c>
      <c r="FB2694" s="36" t="s">
        <v>473</v>
      </c>
      <c r="FC2694" s="36" t="s">
        <v>53</v>
      </c>
      <c r="FD2694" s="36" t="s">
        <v>476</v>
      </c>
      <c r="FE2694" s="36">
        <v>2020</v>
      </c>
      <c r="FF2694" s="36" t="s">
        <v>474</v>
      </c>
      <c r="FG2694" s="36" t="s">
        <v>1193</v>
      </c>
      <c r="FJ2694" t="s">
        <v>474</v>
      </c>
    </row>
    <row r="2695" spans="153:166" x14ac:dyDescent="0.35">
      <c r="EW2695" t="s">
        <v>3124</v>
      </c>
      <c r="EX2695" s="35" t="s">
        <v>3870</v>
      </c>
      <c r="EY2695" s="35" t="s">
        <v>1910</v>
      </c>
      <c r="EZ2695" s="36">
        <v>506731</v>
      </c>
      <c r="FA2695" s="36" t="s">
        <v>1726</v>
      </c>
      <c r="FB2695" s="36" t="s">
        <v>473</v>
      </c>
      <c r="FC2695" s="36" t="s">
        <v>53</v>
      </c>
      <c r="FD2695" s="36" t="s">
        <v>476</v>
      </c>
      <c r="FE2695" s="36">
        <v>2020</v>
      </c>
      <c r="FF2695" s="36" t="s">
        <v>474</v>
      </c>
      <c r="FG2695" s="36" t="s">
        <v>1728</v>
      </c>
      <c r="FJ2695" t="s">
        <v>474</v>
      </c>
    </row>
    <row r="2696" spans="153:166" x14ac:dyDescent="0.35">
      <c r="EW2696" t="s">
        <v>3124</v>
      </c>
      <c r="EX2696" s="35" t="s">
        <v>3871</v>
      </c>
      <c r="EY2696" s="35" t="s">
        <v>1913</v>
      </c>
      <c r="EZ2696" s="36">
        <v>507121</v>
      </c>
      <c r="FA2696" s="36" t="s">
        <v>1726</v>
      </c>
      <c r="FB2696" s="36" t="s">
        <v>473</v>
      </c>
      <c r="FC2696" s="36" t="s">
        <v>53</v>
      </c>
      <c r="FD2696" s="36" t="s">
        <v>476</v>
      </c>
      <c r="FE2696" s="36">
        <v>2020</v>
      </c>
      <c r="FF2696" s="36" t="s">
        <v>474</v>
      </c>
      <c r="FG2696" s="36" t="s">
        <v>1193</v>
      </c>
      <c r="FJ2696" t="s">
        <v>474</v>
      </c>
    </row>
    <row r="2697" spans="153:166" x14ac:dyDescent="0.35">
      <c r="EW2697" t="s">
        <v>3124</v>
      </c>
      <c r="EX2697" s="35" t="s">
        <v>3872</v>
      </c>
      <c r="EY2697" s="35" t="s">
        <v>1916</v>
      </c>
      <c r="EZ2697" s="36">
        <v>507144</v>
      </c>
      <c r="FA2697" s="36" t="s">
        <v>1726</v>
      </c>
      <c r="FB2697" s="36" t="s">
        <v>473</v>
      </c>
      <c r="FC2697" s="36" t="s">
        <v>53</v>
      </c>
      <c r="FD2697" s="36" t="s">
        <v>476</v>
      </c>
      <c r="FE2697" s="36">
        <v>2020</v>
      </c>
      <c r="FF2697" s="36" t="s">
        <v>474</v>
      </c>
      <c r="FG2697" s="36" t="s">
        <v>1728</v>
      </c>
      <c r="FJ2697" t="s">
        <v>474</v>
      </c>
    </row>
    <row r="2698" spans="153:166" x14ac:dyDescent="0.35">
      <c r="EW2698" t="s">
        <v>3124</v>
      </c>
      <c r="EX2698" s="35" t="s">
        <v>3873</v>
      </c>
      <c r="EY2698" s="35" t="s">
        <v>1917</v>
      </c>
      <c r="EZ2698" s="36">
        <v>507047</v>
      </c>
      <c r="FA2698" s="36" t="s">
        <v>1726</v>
      </c>
      <c r="FB2698" s="36" t="s">
        <v>473</v>
      </c>
      <c r="FC2698" s="36" t="s">
        <v>53</v>
      </c>
      <c r="FD2698" s="36" t="s">
        <v>476</v>
      </c>
      <c r="FE2698" s="36">
        <v>2020</v>
      </c>
      <c r="FF2698" s="36" t="s">
        <v>474</v>
      </c>
      <c r="FG2698" s="36" t="s">
        <v>1193</v>
      </c>
      <c r="FJ2698" t="s">
        <v>474</v>
      </c>
    </row>
    <row r="2699" spans="153:166" x14ac:dyDescent="0.35">
      <c r="EW2699" t="s">
        <v>3124</v>
      </c>
      <c r="EX2699" s="35" t="s">
        <v>3874</v>
      </c>
      <c r="EY2699" s="35" t="s">
        <v>1918</v>
      </c>
      <c r="EZ2699" s="36">
        <v>507680</v>
      </c>
      <c r="FA2699" s="36" t="s">
        <v>1726</v>
      </c>
      <c r="FB2699" s="36" t="s">
        <v>473</v>
      </c>
      <c r="FC2699" s="36" t="s">
        <v>53</v>
      </c>
      <c r="FD2699" s="36" t="s">
        <v>476</v>
      </c>
      <c r="FE2699" s="36">
        <v>2020</v>
      </c>
      <c r="FF2699" s="36" t="s">
        <v>474</v>
      </c>
      <c r="FG2699" s="36" t="s">
        <v>1728</v>
      </c>
      <c r="FJ2699" t="s">
        <v>474</v>
      </c>
    </row>
    <row r="2700" spans="153:166" x14ac:dyDescent="0.35">
      <c r="EW2700" t="s">
        <v>3124</v>
      </c>
      <c r="EX2700" s="35" t="s">
        <v>3875</v>
      </c>
      <c r="EY2700" s="35" t="s">
        <v>1919</v>
      </c>
      <c r="EZ2700" s="36">
        <v>506696</v>
      </c>
      <c r="FA2700" s="36" t="s">
        <v>1726</v>
      </c>
      <c r="FB2700" s="36" t="s">
        <v>473</v>
      </c>
      <c r="FC2700" s="36" t="s">
        <v>53</v>
      </c>
      <c r="FD2700" s="36" t="s">
        <v>476</v>
      </c>
      <c r="FE2700" s="36">
        <v>2020</v>
      </c>
      <c r="FF2700" s="36" t="s">
        <v>474</v>
      </c>
      <c r="FG2700" s="36" t="s">
        <v>1193</v>
      </c>
      <c r="FJ2700" t="s">
        <v>474</v>
      </c>
    </row>
    <row r="2701" spans="153:166" x14ac:dyDescent="0.35">
      <c r="EW2701" t="s">
        <v>3124</v>
      </c>
      <c r="EX2701" s="35" t="s">
        <v>3876</v>
      </c>
      <c r="EY2701" s="35" t="s">
        <v>1922</v>
      </c>
      <c r="EZ2701" s="36">
        <v>506823</v>
      </c>
      <c r="FA2701" s="36" t="s">
        <v>1726</v>
      </c>
      <c r="FB2701" s="36" t="s">
        <v>473</v>
      </c>
      <c r="FC2701" s="36" t="s">
        <v>53</v>
      </c>
      <c r="FD2701" s="36" t="s">
        <v>476</v>
      </c>
      <c r="FE2701" s="36">
        <v>2020</v>
      </c>
      <c r="FF2701" s="36" t="s">
        <v>474</v>
      </c>
      <c r="FG2701" s="36" t="s">
        <v>1728</v>
      </c>
      <c r="FJ2701" t="s">
        <v>474</v>
      </c>
    </row>
    <row r="2702" spans="153:166" x14ac:dyDescent="0.35">
      <c r="EW2702" t="s">
        <v>3124</v>
      </c>
      <c r="EX2702" s="35" t="s">
        <v>3877</v>
      </c>
      <c r="EY2702" s="35" t="s">
        <v>1923</v>
      </c>
      <c r="EZ2702" s="36">
        <v>506866</v>
      </c>
      <c r="FA2702" s="36" t="s">
        <v>1726</v>
      </c>
      <c r="FB2702" s="36" t="s">
        <v>473</v>
      </c>
      <c r="FC2702" s="36" t="s">
        <v>53</v>
      </c>
      <c r="FD2702" s="36" t="s">
        <v>476</v>
      </c>
      <c r="FE2702" s="36">
        <v>2020</v>
      </c>
      <c r="FF2702" s="36" t="s">
        <v>474</v>
      </c>
      <c r="FG2702" s="36" t="s">
        <v>1728</v>
      </c>
      <c r="FJ2702" t="s">
        <v>474</v>
      </c>
    </row>
    <row r="2703" spans="153:166" x14ac:dyDescent="0.35">
      <c r="EW2703" t="s">
        <v>3124</v>
      </c>
      <c r="EX2703" s="35" t="s">
        <v>3878</v>
      </c>
      <c r="EY2703" s="35" t="s">
        <v>1924</v>
      </c>
      <c r="EZ2703" s="36">
        <v>507134</v>
      </c>
      <c r="FA2703" s="36" t="s">
        <v>1726</v>
      </c>
      <c r="FB2703" s="36" t="s">
        <v>473</v>
      </c>
      <c r="FC2703" s="36" t="s">
        <v>53</v>
      </c>
      <c r="FD2703" s="36" t="s">
        <v>476</v>
      </c>
      <c r="FE2703" s="36">
        <v>2020</v>
      </c>
      <c r="FF2703" s="36" t="s">
        <v>474</v>
      </c>
      <c r="FG2703" s="36" t="s">
        <v>1728</v>
      </c>
      <c r="FJ2703" t="s">
        <v>474</v>
      </c>
    </row>
    <row r="2704" spans="153:166" x14ac:dyDescent="0.35">
      <c r="EW2704" t="s">
        <v>3124</v>
      </c>
      <c r="EX2704" s="35" t="s">
        <v>3879</v>
      </c>
      <c r="EY2704" s="35" t="s">
        <v>1925</v>
      </c>
      <c r="EZ2704" s="36">
        <v>507160</v>
      </c>
      <c r="FA2704" s="36" t="s">
        <v>1726</v>
      </c>
      <c r="FB2704" s="36" t="s">
        <v>473</v>
      </c>
      <c r="FC2704" s="36" t="s">
        <v>53</v>
      </c>
      <c r="FD2704" s="36" t="s">
        <v>476</v>
      </c>
      <c r="FE2704" s="36">
        <v>2020</v>
      </c>
      <c r="FF2704" s="36" t="s">
        <v>474</v>
      </c>
      <c r="FG2704" s="36" t="s">
        <v>1728</v>
      </c>
      <c r="FJ2704" t="s">
        <v>474</v>
      </c>
    </row>
    <row r="2705" spans="153:166" x14ac:dyDescent="0.35">
      <c r="EW2705" t="s">
        <v>3124</v>
      </c>
      <c r="EX2705" s="35" t="s">
        <v>3880</v>
      </c>
      <c r="EY2705" s="35" t="s">
        <v>1928</v>
      </c>
      <c r="EZ2705" s="36">
        <v>507108</v>
      </c>
      <c r="FA2705" s="36" t="s">
        <v>1726</v>
      </c>
      <c r="FB2705" s="36" t="s">
        <v>473</v>
      </c>
      <c r="FC2705" s="36" t="s">
        <v>53</v>
      </c>
      <c r="FD2705" s="36" t="s">
        <v>476</v>
      </c>
      <c r="FE2705" s="36">
        <v>2020</v>
      </c>
      <c r="FF2705" s="36" t="s">
        <v>474</v>
      </c>
      <c r="FG2705" s="36" t="s">
        <v>1728</v>
      </c>
      <c r="FJ2705" t="s">
        <v>474</v>
      </c>
    </row>
    <row r="2706" spans="153:166" x14ac:dyDescent="0.35">
      <c r="EW2706" t="s">
        <v>3124</v>
      </c>
      <c r="EX2706" s="35" t="s">
        <v>3881</v>
      </c>
      <c r="EY2706" s="35" t="s">
        <v>1930</v>
      </c>
      <c r="EZ2706" s="36">
        <v>507057</v>
      </c>
      <c r="FA2706" s="36" t="s">
        <v>1726</v>
      </c>
      <c r="FB2706" s="36" t="s">
        <v>473</v>
      </c>
      <c r="FC2706" s="36" t="s">
        <v>53</v>
      </c>
      <c r="FD2706" s="36" t="s">
        <v>476</v>
      </c>
      <c r="FE2706" s="36">
        <v>2020</v>
      </c>
      <c r="FF2706" s="36" t="s">
        <v>474</v>
      </c>
      <c r="FG2706" s="36" t="s">
        <v>1193</v>
      </c>
      <c r="FJ2706" t="s">
        <v>474</v>
      </c>
    </row>
    <row r="2707" spans="153:166" x14ac:dyDescent="0.35">
      <c r="EW2707" t="s">
        <v>3124</v>
      </c>
      <c r="EX2707" s="35" t="s">
        <v>3882</v>
      </c>
      <c r="EY2707" s="35" t="s">
        <v>1932</v>
      </c>
      <c r="EZ2707" s="36">
        <v>507062</v>
      </c>
      <c r="FA2707" s="36" t="s">
        <v>1726</v>
      </c>
      <c r="FB2707" s="36" t="s">
        <v>473</v>
      </c>
      <c r="FC2707" s="36" t="s">
        <v>53</v>
      </c>
      <c r="FD2707" s="36" t="s">
        <v>476</v>
      </c>
      <c r="FE2707" s="36">
        <v>2020</v>
      </c>
      <c r="FF2707" s="36" t="s">
        <v>474</v>
      </c>
      <c r="FG2707" s="36" t="s">
        <v>1193</v>
      </c>
      <c r="FJ2707" t="s">
        <v>474</v>
      </c>
    </row>
    <row r="2708" spans="153:166" x14ac:dyDescent="0.35">
      <c r="EW2708" t="s">
        <v>3124</v>
      </c>
      <c r="EX2708" s="35" t="s">
        <v>3883</v>
      </c>
      <c r="EY2708" s="35" t="s">
        <v>1935</v>
      </c>
      <c r="EZ2708" s="36">
        <v>507971</v>
      </c>
      <c r="FA2708" s="36" t="s">
        <v>1726</v>
      </c>
      <c r="FB2708" s="36" t="s">
        <v>473</v>
      </c>
      <c r="FC2708" s="36" t="s">
        <v>53</v>
      </c>
      <c r="FD2708" s="36" t="s">
        <v>476</v>
      </c>
      <c r="FE2708" s="36">
        <v>2020</v>
      </c>
      <c r="FF2708" s="36" t="s">
        <v>474</v>
      </c>
      <c r="FG2708" s="36" t="s">
        <v>1728</v>
      </c>
      <c r="FJ2708" t="s">
        <v>474</v>
      </c>
    </row>
    <row r="2709" spans="153:166" x14ac:dyDescent="0.35">
      <c r="EW2709" t="s">
        <v>3124</v>
      </c>
      <c r="EX2709" s="35" t="s">
        <v>3884</v>
      </c>
      <c r="EY2709" s="35" t="s">
        <v>1936</v>
      </c>
      <c r="EZ2709" s="36">
        <v>508481</v>
      </c>
      <c r="FA2709" s="36" t="s">
        <v>1726</v>
      </c>
      <c r="FB2709" s="36" t="s">
        <v>473</v>
      </c>
      <c r="FC2709" s="36" t="s">
        <v>53</v>
      </c>
      <c r="FD2709" s="36" t="s">
        <v>476</v>
      </c>
      <c r="FE2709" s="36">
        <v>2020</v>
      </c>
      <c r="FF2709" s="36" t="s">
        <v>474</v>
      </c>
      <c r="FG2709" s="36" t="s">
        <v>1193</v>
      </c>
      <c r="FJ2709" t="s">
        <v>474</v>
      </c>
    </row>
    <row r="2710" spans="153:166" x14ac:dyDescent="0.35">
      <c r="EW2710" t="s">
        <v>3124</v>
      </c>
      <c r="EX2710" s="35" t="s">
        <v>3885</v>
      </c>
      <c r="EY2710" s="35" t="s">
        <v>1939</v>
      </c>
      <c r="EZ2710" s="36">
        <v>509156</v>
      </c>
      <c r="FA2710" s="36" t="s">
        <v>1726</v>
      </c>
      <c r="FB2710" s="36" t="s">
        <v>473</v>
      </c>
      <c r="FC2710" s="36" t="s">
        <v>53</v>
      </c>
      <c r="FD2710" s="36" t="s">
        <v>476</v>
      </c>
      <c r="FE2710" s="36">
        <v>2020</v>
      </c>
      <c r="FF2710" s="36" t="s">
        <v>474</v>
      </c>
      <c r="FG2710" s="36" t="s">
        <v>1193</v>
      </c>
      <c r="FJ2710" t="s">
        <v>474</v>
      </c>
    </row>
    <row r="2711" spans="153:166" x14ac:dyDescent="0.35">
      <c r="EW2711" t="s">
        <v>3124</v>
      </c>
      <c r="EX2711" s="35" t="s">
        <v>3886</v>
      </c>
      <c r="EY2711" s="35" t="s">
        <v>1940</v>
      </c>
      <c r="EZ2711" s="36">
        <v>509224</v>
      </c>
      <c r="FA2711" s="36" t="s">
        <v>1726</v>
      </c>
      <c r="FB2711" s="36" t="s">
        <v>473</v>
      </c>
      <c r="FC2711" s="36" t="s">
        <v>53</v>
      </c>
      <c r="FD2711" s="36" t="s">
        <v>476</v>
      </c>
      <c r="FE2711" s="36">
        <v>2020</v>
      </c>
      <c r="FF2711" s="36" t="s">
        <v>474</v>
      </c>
      <c r="FG2711" s="36" t="s">
        <v>1193</v>
      </c>
      <c r="FJ2711" t="s">
        <v>474</v>
      </c>
    </row>
    <row r="2712" spans="153:166" x14ac:dyDescent="0.35">
      <c r="EW2712" t="s">
        <v>3124</v>
      </c>
      <c r="EX2712" s="35" t="s">
        <v>3887</v>
      </c>
      <c r="EY2712" s="35" t="s">
        <v>1941</v>
      </c>
      <c r="EZ2712" s="36">
        <v>509231</v>
      </c>
      <c r="FA2712" s="36" t="s">
        <v>1726</v>
      </c>
      <c r="FB2712" s="36" t="s">
        <v>473</v>
      </c>
      <c r="FC2712" s="36" t="s">
        <v>53</v>
      </c>
      <c r="FD2712" s="36" t="s">
        <v>476</v>
      </c>
      <c r="FE2712" s="36">
        <v>2020</v>
      </c>
      <c r="FF2712" s="36" t="s">
        <v>474</v>
      </c>
      <c r="FG2712" s="36" t="s">
        <v>1728</v>
      </c>
      <c r="FJ2712" t="s">
        <v>474</v>
      </c>
    </row>
    <row r="2713" spans="153:166" x14ac:dyDescent="0.35">
      <c r="EW2713" t="s">
        <v>3124</v>
      </c>
      <c r="EX2713" s="35" t="s">
        <v>3888</v>
      </c>
      <c r="EY2713" s="35" t="s">
        <v>1944</v>
      </c>
      <c r="EZ2713" s="36">
        <v>509235</v>
      </c>
      <c r="FA2713" s="36" t="s">
        <v>1726</v>
      </c>
      <c r="FB2713" s="36" t="s">
        <v>473</v>
      </c>
      <c r="FC2713" s="36" t="s">
        <v>53</v>
      </c>
      <c r="FD2713" s="36" t="s">
        <v>476</v>
      </c>
      <c r="FE2713" s="36">
        <v>2020</v>
      </c>
      <c r="FF2713" s="36" t="s">
        <v>474</v>
      </c>
      <c r="FG2713" s="36" t="s">
        <v>1193</v>
      </c>
      <c r="FJ2713" t="s">
        <v>474</v>
      </c>
    </row>
    <row r="2714" spans="153:166" x14ac:dyDescent="0.35">
      <c r="EW2714" t="s">
        <v>3124</v>
      </c>
      <c r="EX2714" s="35" t="s">
        <v>3889</v>
      </c>
      <c r="EY2714" s="35" t="s">
        <v>1947</v>
      </c>
      <c r="EZ2714" s="36">
        <v>507983</v>
      </c>
      <c r="FA2714" s="36" t="s">
        <v>1726</v>
      </c>
      <c r="FB2714" s="36" t="s">
        <v>473</v>
      </c>
      <c r="FC2714" s="36" t="s">
        <v>53</v>
      </c>
      <c r="FD2714" s="36" t="s">
        <v>476</v>
      </c>
      <c r="FE2714" s="36">
        <v>2020</v>
      </c>
      <c r="FF2714" s="36" t="s">
        <v>474</v>
      </c>
      <c r="FG2714" s="36" t="s">
        <v>1728</v>
      </c>
      <c r="FJ2714" t="s">
        <v>474</v>
      </c>
    </row>
    <row r="2715" spans="153:166" x14ac:dyDescent="0.35">
      <c r="EW2715" t="s">
        <v>3124</v>
      </c>
      <c r="EX2715" s="35" t="s">
        <v>3890</v>
      </c>
      <c r="EY2715" s="35" t="s">
        <v>1948</v>
      </c>
      <c r="EZ2715" s="36">
        <v>509204</v>
      </c>
      <c r="FA2715" s="36" t="s">
        <v>1726</v>
      </c>
      <c r="FB2715" s="36" t="s">
        <v>473</v>
      </c>
      <c r="FC2715" s="36" t="s">
        <v>53</v>
      </c>
      <c r="FD2715" s="36" t="s">
        <v>476</v>
      </c>
      <c r="FE2715" s="36">
        <v>2020</v>
      </c>
      <c r="FF2715" s="36" t="s">
        <v>474</v>
      </c>
      <c r="FG2715" s="36" t="s">
        <v>1193</v>
      </c>
      <c r="FJ2715" t="s">
        <v>474</v>
      </c>
    </row>
    <row r="2716" spans="153:166" x14ac:dyDescent="0.35">
      <c r="EW2716" t="s">
        <v>3124</v>
      </c>
      <c r="EX2716" s="35" t="s">
        <v>3891</v>
      </c>
      <c r="EY2716" s="35" t="s">
        <v>1949</v>
      </c>
      <c r="EZ2716" s="36">
        <v>507876</v>
      </c>
      <c r="FA2716" s="36" t="s">
        <v>1726</v>
      </c>
      <c r="FB2716" s="36" t="s">
        <v>473</v>
      </c>
      <c r="FC2716" s="36" t="s">
        <v>53</v>
      </c>
      <c r="FD2716" s="36" t="s">
        <v>476</v>
      </c>
      <c r="FE2716" s="36">
        <v>2020</v>
      </c>
      <c r="FF2716" s="36" t="s">
        <v>474</v>
      </c>
      <c r="FG2716" s="36" t="s">
        <v>1728</v>
      </c>
      <c r="FJ2716" t="s">
        <v>474</v>
      </c>
    </row>
    <row r="2717" spans="153:166" x14ac:dyDescent="0.35">
      <c r="EW2717" t="s">
        <v>3124</v>
      </c>
      <c r="EX2717" s="35" t="s">
        <v>3892</v>
      </c>
      <c r="EY2717" s="35" t="s">
        <v>1950</v>
      </c>
      <c r="EZ2717" s="36">
        <v>507532</v>
      </c>
      <c r="FA2717" s="36" t="s">
        <v>1726</v>
      </c>
      <c r="FB2717" s="36" t="s">
        <v>473</v>
      </c>
      <c r="FC2717" s="36" t="s">
        <v>53</v>
      </c>
      <c r="FD2717" s="36" t="s">
        <v>476</v>
      </c>
      <c r="FE2717" s="36">
        <v>2020</v>
      </c>
      <c r="FF2717" s="36" t="s">
        <v>474</v>
      </c>
      <c r="FG2717" s="36" t="s">
        <v>1728</v>
      </c>
      <c r="FJ2717" t="s">
        <v>474</v>
      </c>
    </row>
    <row r="2718" spans="153:166" x14ac:dyDescent="0.35">
      <c r="EW2718" t="s">
        <v>3124</v>
      </c>
      <c r="EX2718" s="35" t="s">
        <v>3893</v>
      </c>
      <c r="EY2718" s="35" t="s">
        <v>1953</v>
      </c>
      <c r="EZ2718" s="36">
        <v>508062</v>
      </c>
      <c r="FA2718" s="36" t="s">
        <v>1726</v>
      </c>
      <c r="FB2718" s="36" t="s">
        <v>473</v>
      </c>
      <c r="FC2718" s="36" t="s">
        <v>53</v>
      </c>
      <c r="FD2718" s="36" t="s">
        <v>476</v>
      </c>
      <c r="FE2718" s="36">
        <v>2020</v>
      </c>
      <c r="FF2718" s="36" t="s">
        <v>474</v>
      </c>
      <c r="FG2718" s="36" t="s">
        <v>1728</v>
      </c>
      <c r="FJ2718" t="s">
        <v>474</v>
      </c>
    </row>
    <row r="2719" spans="153:166" x14ac:dyDescent="0.35">
      <c r="EW2719" t="s">
        <v>3124</v>
      </c>
      <c r="EX2719" s="35" t="s">
        <v>3894</v>
      </c>
      <c r="EY2719" s="35" t="s">
        <v>1954</v>
      </c>
      <c r="EZ2719" s="36">
        <v>507705</v>
      </c>
      <c r="FA2719" s="36" t="s">
        <v>1726</v>
      </c>
      <c r="FB2719" s="36" t="s">
        <v>473</v>
      </c>
      <c r="FC2719" s="36" t="s">
        <v>53</v>
      </c>
      <c r="FD2719" s="36" t="s">
        <v>476</v>
      </c>
      <c r="FE2719" s="36">
        <v>2020</v>
      </c>
      <c r="FF2719" s="36" t="s">
        <v>474</v>
      </c>
      <c r="FG2719" s="36" t="s">
        <v>1728</v>
      </c>
      <c r="FJ2719" t="s">
        <v>474</v>
      </c>
    </row>
    <row r="2720" spans="153:166" x14ac:dyDescent="0.35">
      <c r="EW2720" t="s">
        <v>3124</v>
      </c>
      <c r="EX2720" s="35" t="s">
        <v>3895</v>
      </c>
      <c r="EY2720" s="35" t="s">
        <v>1957</v>
      </c>
      <c r="EZ2720" s="36">
        <v>507636</v>
      </c>
      <c r="FA2720" s="36" t="s">
        <v>1726</v>
      </c>
      <c r="FB2720" s="36" t="s">
        <v>473</v>
      </c>
      <c r="FC2720" s="36" t="s">
        <v>53</v>
      </c>
      <c r="FD2720" s="36" t="s">
        <v>476</v>
      </c>
      <c r="FE2720" s="36">
        <v>2020</v>
      </c>
      <c r="FF2720" s="36" t="s">
        <v>474</v>
      </c>
      <c r="FG2720" s="36" t="s">
        <v>1728</v>
      </c>
      <c r="FJ2720" t="s">
        <v>474</v>
      </c>
    </row>
    <row r="2721" spans="153:166" x14ac:dyDescent="0.35">
      <c r="EW2721" t="s">
        <v>3124</v>
      </c>
      <c r="EX2721" s="35" t="s">
        <v>3896</v>
      </c>
      <c r="EY2721" s="35" t="s">
        <v>1958</v>
      </c>
      <c r="EZ2721" s="36">
        <v>508054</v>
      </c>
      <c r="FA2721" s="36" t="s">
        <v>1726</v>
      </c>
      <c r="FB2721" s="36" t="s">
        <v>473</v>
      </c>
      <c r="FC2721" s="36" t="s">
        <v>53</v>
      </c>
      <c r="FD2721" s="36" t="s">
        <v>476</v>
      </c>
      <c r="FE2721" s="36">
        <v>2020</v>
      </c>
      <c r="FF2721" s="36" t="s">
        <v>474</v>
      </c>
      <c r="FG2721" s="36" t="s">
        <v>1728</v>
      </c>
      <c r="FJ2721" t="s">
        <v>474</v>
      </c>
    </row>
    <row r="2722" spans="153:166" x14ac:dyDescent="0.35">
      <c r="EW2722" t="s">
        <v>3124</v>
      </c>
      <c r="EX2722" s="35" t="s">
        <v>3897</v>
      </c>
      <c r="EY2722" s="35" t="s">
        <v>1959</v>
      </c>
      <c r="EZ2722" s="36">
        <v>508070</v>
      </c>
      <c r="FA2722" s="36" t="s">
        <v>1726</v>
      </c>
      <c r="FB2722" s="36" t="s">
        <v>473</v>
      </c>
      <c r="FC2722" s="36" t="s">
        <v>53</v>
      </c>
      <c r="FD2722" s="36" t="s">
        <v>476</v>
      </c>
      <c r="FE2722" s="36">
        <v>2020</v>
      </c>
      <c r="FF2722" s="36" t="s">
        <v>474</v>
      </c>
      <c r="FG2722" s="36" t="s">
        <v>1728</v>
      </c>
      <c r="FJ2722" t="s">
        <v>474</v>
      </c>
    </row>
    <row r="2723" spans="153:166" x14ac:dyDescent="0.35">
      <c r="EW2723" t="s">
        <v>3124</v>
      </c>
      <c r="EX2723" s="35" t="s">
        <v>3898</v>
      </c>
      <c r="EY2723" s="35" t="s">
        <v>1960</v>
      </c>
      <c r="EZ2723" s="36">
        <v>507800</v>
      </c>
      <c r="FA2723" s="36" t="s">
        <v>1726</v>
      </c>
      <c r="FB2723" s="36" t="s">
        <v>473</v>
      </c>
      <c r="FC2723" s="36" t="s">
        <v>53</v>
      </c>
      <c r="FD2723" s="36" t="s">
        <v>476</v>
      </c>
      <c r="FE2723" s="36">
        <v>2020</v>
      </c>
      <c r="FF2723" s="36" t="s">
        <v>474</v>
      </c>
      <c r="FG2723" s="36" t="s">
        <v>1728</v>
      </c>
      <c r="FJ2723" t="s">
        <v>474</v>
      </c>
    </row>
    <row r="2724" spans="153:166" x14ac:dyDescent="0.35">
      <c r="EW2724" t="s">
        <v>3124</v>
      </c>
      <c r="EX2724" s="35" t="s">
        <v>3899</v>
      </c>
      <c r="EY2724" s="35" t="s">
        <v>1961</v>
      </c>
      <c r="EZ2724" s="36">
        <v>508092</v>
      </c>
      <c r="FA2724" s="36" t="s">
        <v>1726</v>
      </c>
      <c r="FB2724" s="36" t="s">
        <v>473</v>
      </c>
      <c r="FC2724" s="36" t="s">
        <v>53</v>
      </c>
      <c r="FD2724" s="36" t="s">
        <v>476</v>
      </c>
      <c r="FE2724" s="36">
        <v>2020</v>
      </c>
      <c r="FF2724" s="36" t="s">
        <v>474</v>
      </c>
      <c r="FG2724" s="36" t="s">
        <v>1728</v>
      </c>
      <c r="FJ2724" t="s">
        <v>474</v>
      </c>
    </row>
    <row r="2725" spans="153:166" x14ac:dyDescent="0.35">
      <c r="EW2725" t="s">
        <v>3124</v>
      </c>
      <c r="EX2725" s="35" t="s">
        <v>3900</v>
      </c>
      <c r="EY2725" s="35" t="s">
        <v>1962</v>
      </c>
      <c r="EZ2725" s="36">
        <v>507827</v>
      </c>
      <c r="FA2725" s="36" t="s">
        <v>1726</v>
      </c>
      <c r="FB2725" s="36" t="s">
        <v>473</v>
      </c>
      <c r="FC2725" s="36" t="s">
        <v>53</v>
      </c>
      <c r="FD2725" s="36" t="s">
        <v>476</v>
      </c>
      <c r="FE2725" s="36">
        <v>2020</v>
      </c>
      <c r="FF2725" s="36" t="s">
        <v>474</v>
      </c>
      <c r="FG2725" s="36" t="s">
        <v>1728</v>
      </c>
      <c r="FJ2725" t="s">
        <v>474</v>
      </c>
    </row>
    <row r="2726" spans="153:166" x14ac:dyDescent="0.35">
      <c r="EW2726" t="s">
        <v>3124</v>
      </c>
      <c r="EX2726" s="35" t="s">
        <v>3901</v>
      </c>
      <c r="EY2726" s="35" t="s">
        <v>1963</v>
      </c>
      <c r="EZ2726" s="36">
        <v>508067</v>
      </c>
      <c r="FA2726" s="36" t="s">
        <v>1726</v>
      </c>
      <c r="FB2726" s="36" t="s">
        <v>473</v>
      </c>
      <c r="FC2726" s="36" t="s">
        <v>53</v>
      </c>
      <c r="FD2726" s="36" t="s">
        <v>476</v>
      </c>
      <c r="FE2726" s="36">
        <v>2020</v>
      </c>
      <c r="FF2726" s="36" t="s">
        <v>474</v>
      </c>
      <c r="FG2726" s="36" t="s">
        <v>1728</v>
      </c>
      <c r="FJ2726" t="s">
        <v>474</v>
      </c>
    </row>
    <row r="2727" spans="153:166" x14ac:dyDescent="0.35">
      <c r="EW2727" t="s">
        <v>3124</v>
      </c>
      <c r="EX2727" s="35" t="s">
        <v>3902</v>
      </c>
      <c r="EY2727" s="35" t="s">
        <v>1964</v>
      </c>
      <c r="EZ2727" s="36">
        <v>507830</v>
      </c>
      <c r="FA2727" s="36" t="s">
        <v>1726</v>
      </c>
      <c r="FB2727" s="36" t="s">
        <v>473</v>
      </c>
      <c r="FC2727" s="36" t="s">
        <v>53</v>
      </c>
      <c r="FD2727" s="36" t="s">
        <v>476</v>
      </c>
      <c r="FE2727" s="36">
        <v>2020</v>
      </c>
      <c r="FF2727" s="36" t="s">
        <v>474</v>
      </c>
      <c r="FG2727" s="36" t="s">
        <v>1728</v>
      </c>
      <c r="FJ2727" t="s">
        <v>474</v>
      </c>
    </row>
    <row r="2728" spans="153:166" x14ac:dyDescent="0.35">
      <c r="EW2728" t="s">
        <v>3124</v>
      </c>
      <c r="EX2728" s="35" t="s">
        <v>3903</v>
      </c>
      <c r="EY2728" s="35" t="s">
        <v>1965</v>
      </c>
      <c r="EZ2728" s="36">
        <v>507813</v>
      </c>
      <c r="FA2728" s="36" t="s">
        <v>1726</v>
      </c>
      <c r="FB2728" s="36" t="s">
        <v>473</v>
      </c>
      <c r="FC2728" s="36" t="s">
        <v>53</v>
      </c>
      <c r="FD2728" s="36" t="s">
        <v>476</v>
      </c>
      <c r="FE2728" s="36">
        <v>2020</v>
      </c>
      <c r="FF2728" s="36" t="s">
        <v>474</v>
      </c>
      <c r="FG2728" s="36" t="s">
        <v>1728</v>
      </c>
      <c r="FJ2728" t="s">
        <v>474</v>
      </c>
    </row>
    <row r="2729" spans="153:166" x14ac:dyDescent="0.35">
      <c r="EW2729" t="s">
        <v>3124</v>
      </c>
      <c r="EX2729" s="35" t="s">
        <v>3904</v>
      </c>
      <c r="EY2729" s="35" t="s">
        <v>1966</v>
      </c>
      <c r="EZ2729" s="36">
        <v>507862</v>
      </c>
      <c r="FA2729" s="36" t="s">
        <v>1726</v>
      </c>
      <c r="FB2729" s="36" t="s">
        <v>473</v>
      </c>
      <c r="FC2729" s="36" t="s">
        <v>53</v>
      </c>
      <c r="FD2729" s="36" t="s">
        <v>476</v>
      </c>
      <c r="FE2729" s="36">
        <v>2020</v>
      </c>
      <c r="FF2729" s="36" t="s">
        <v>474</v>
      </c>
      <c r="FG2729" s="36" t="s">
        <v>1728</v>
      </c>
      <c r="FJ2729" t="s">
        <v>474</v>
      </c>
    </row>
    <row r="2730" spans="153:166" x14ac:dyDescent="0.35">
      <c r="EW2730" t="s">
        <v>3124</v>
      </c>
      <c r="EX2730" s="35" t="s">
        <v>3905</v>
      </c>
      <c r="EY2730" s="35" t="s">
        <v>1967</v>
      </c>
      <c r="EZ2730" s="36">
        <v>507688</v>
      </c>
      <c r="FA2730" s="36" t="s">
        <v>1726</v>
      </c>
      <c r="FB2730" s="36" t="s">
        <v>473</v>
      </c>
      <c r="FC2730" s="36" t="s">
        <v>53</v>
      </c>
      <c r="FD2730" s="36" t="s">
        <v>476</v>
      </c>
      <c r="FE2730" s="36">
        <v>2020</v>
      </c>
      <c r="FF2730" s="36" t="s">
        <v>474</v>
      </c>
      <c r="FG2730" s="36" t="s">
        <v>1728</v>
      </c>
      <c r="FJ2730" t="s">
        <v>474</v>
      </c>
    </row>
    <row r="2731" spans="153:166" x14ac:dyDescent="0.35">
      <c r="EW2731" t="s">
        <v>3124</v>
      </c>
      <c r="EX2731" s="35" t="s">
        <v>3906</v>
      </c>
      <c r="EY2731" s="35" t="s">
        <v>1968</v>
      </c>
      <c r="EZ2731" s="36">
        <v>507514</v>
      </c>
      <c r="FA2731" s="36" t="s">
        <v>1726</v>
      </c>
      <c r="FB2731" s="36" t="s">
        <v>473</v>
      </c>
      <c r="FC2731" s="36" t="s">
        <v>53</v>
      </c>
      <c r="FD2731" s="36" t="s">
        <v>476</v>
      </c>
      <c r="FE2731" s="36">
        <v>2020</v>
      </c>
      <c r="FF2731" s="36" t="s">
        <v>474</v>
      </c>
      <c r="FG2731" s="36" t="s">
        <v>1728</v>
      </c>
      <c r="FJ2731" t="s">
        <v>474</v>
      </c>
    </row>
    <row r="2732" spans="153:166" x14ac:dyDescent="0.35">
      <c r="EW2732" t="s">
        <v>3124</v>
      </c>
      <c r="EX2732" s="35" t="s">
        <v>3907</v>
      </c>
      <c r="EY2732" s="35" t="s">
        <v>1969</v>
      </c>
      <c r="EZ2732" s="36">
        <v>508059</v>
      </c>
      <c r="FA2732" s="36" t="s">
        <v>1726</v>
      </c>
      <c r="FB2732" s="36" t="s">
        <v>473</v>
      </c>
      <c r="FC2732" s="36" t="s">
        <v>53</v>
      </c>
      <c r="FD2732" s="36" t="s">
        <v>476</v>
      </c>
      <c r="FE2732" s="36">
        <v>2020</v>
      </c>
      <c r="FF2732" s="36" t="s">
        <v>474</v>
      </c>
      <c r="FG2732" s="36" t="s">
        <v>1728</v>
      </c>
      <c r="FJ2732" t="s">
        <v>474</v>
      </c>
    </row>
    <row r="2733" spans="153:166" x14ac:dyDescent="0.35">
      <c r="EW2733" t="s">
        <v>3124</v>
      </c>
      <c r="EX2733" s="35" t="s">
        <v>3908</v>
      </c>
      <c r="EY2733" s="35" t="s">
        <v>1970</v>
      </c>
      <c r="EZ2733" s="36">
        <v>507493</v>
      </c>
      <c r="FA2733" s="36" t="s">
        <v>1726</v>
      </c>
      <c r="FB2733" s="36" t="s">
        <v>473</v>
      </c>
      <c r="FC2733" s="36" t="s">
        <v>53</v>
      </c>
      <c r="FD2733" s="36" t="s">
        <v>476</v>
      </c>
      <c r="FE2733" s="36">
        <v>2020</v>
      </c>
      <c r="FF2733" s="36" t="s">
        <v>474</v>
      </c>
      <c r="FG2733" s="36" t="s">
        <v>1728</v>
      </c>
      <c r="FJ2733" t="s">
        <v>474</v>
      </c>
    </row>
    <row r="2734" spans="153:166" x14ac:dyDescent="0.35">
      <c r="EW2734" t="s">
        <v>3124</v>
      </c>
      <c r="EX2734" s="35" t="s">
        <v>3909</v>
      </c>
      <c r="EY2734" s="35" t="s">
        <v>1971</v>
      </c>
      <c r="EZ2734" s="36">
        <v>508050</v>
      </c>
      <c r="FA2734" s="36" t="s">
        <v>1726</v>
      </c>
      <c r="FB2734" s="36" t="s">
        <v>473</v>
      </c>
      <c r="FC2734" s="36" t="s">
        <v>53</v>
      </c>
      <c r="FD2734" s="36" t="s">
        <v>476</v>
      </c>
      <c r="FE2734" s="36">
        <v>2020</v>
      </c>
      <c r="FF2734" s="36" t="s">
        <v>474</v>
      </c>
      <c r="FG2734" s="36" t="s">
        <v>1728</v>
      </c>
      <c r="FJ2734" t="s">
        <v>474</v>
      </c>
    </row>
    <row r="2735" spans="153:166" x14ac:dyDescent="0.35">
      <c r="EW2735" t="s">
        <v>3124</v>
      </c>
      <c r="EX2735" s="35" t="s">
        <v>3910</v>
      </c>
      <c r="EY2735" s="35" t="s">
        <v>1972</v>
      </c>
      <c r="EZ2735" s="36">
        <v>507531</v>
      </c>
      <c r="FA2735" s="36" t="s">
        <v>1726</v>
      </c>
      <c r="FB2735" s="36" t="s">
        <v>473</v>
      </c>
      <c r="FC2735" s="36" t="s">
        <v>53</v>
      </c>
      <c r="FD2735" s="36" t="s">
        <v>476</v>
      </c>
      <c r="FE2735" s="36">
        <v>2020</v>
      </c>
      <c r="FF2735" s="36" t="s">
        <v>474</v>
      </c>
      <c r="FG2735" s="36" t="s">
        <v>1728</v>
      </c>
      <c r="FJ2735" t="s">
        <v>474</v>
      </c>
    </row>
    <row r="2736" spans="153:166" x14ac:dyDescent="0.35">
      <c r="EW2736" t="s">
        <v>3124</v>
      </c>
      <c r="EX2736" s="35" t="s">
        <v>3911</v>
      </c>
      <c r="EY2736" s="35" t="s">
        <v>1973</v>
      </c>
      <c r="EZ2736" s="36">
        <v>507748</v>
      </c>
      <c r="FA2736" s="36" t="s">
        <v>1726</v>
      </c>
      <c r="FB2736" s="36" t="s">
        <v>473</v>
      </c>
      <c r="FC2736" s="36" t="s">
        <v>53</v>
      </c>
      <c r="FD2736" s="36" t="s">
        <v>476</v>
      </c>
      <c r="FE2736" s="36">
        <v>2020</v>
      </c>
      <c r="FF2736" s="36" t="s">
        <v>474</v>
      </c>
      <c r="FG2736" s="36" t="s">
        <v>1728</v>
      </c>
      <c r="FJ2736" t="s">
        <v>474</v>
      </c>
    </row>
    <row r="2737" spans="153:166" x14ac:dyDescent="0.35">
      <c r="EW2737" t="s">
        <v>3124</v>
      </c>
      <c r="EX2737" s="35" t="s">
        <v>3912</v>
      </c>
      <c r="EY2737" s="35" t="s">
        <v>1974</v>
      </c>
      <c r="EZ2737" s="36">
        <v>508084</v>
      </c>
      <c r="FA2737" s="36" t="s">
        <v>1726</v>
      </c>
      <c r="FB2737" s="36" t="s">
        <v>473</v>
      </c>
      <c r="FC2737" s="36" t="s">
        <v>53</v>
      </c>
      <c r="FD2737" s="36" t="s">
        <v>476</v>
      </c>
      <c r="FE2737" s="36">
        <v>2020</v>
      </c>
      <c r="FF2737" s="36" t="s">
        <v>474</v>
      </c>
      <c r="FG2737" s="36" t="s">
        <v>1728</v>
      </c>
      <c r="FJ2737" t="s">
        <v>474</v>
      </c>
    </row>
    <row r="2738" spans="153:166" x14ac:dyDescent="0.35">
      <c r="EW2738" t="s">
        <v>3124</v>
      </c>
      <c r="EX2738" s="35" t="s">
        <v>3913</v>
      </c>
      <c r="EY2738" s="35" t="s">
        <v>1975</v>
      </c>
      <c r="EZ2738" s="36">
        <v>507795</v>
      </c>
      <c r="FA2738" s="36" t="s">
        <v>1726</v>
      </c>
      <c r="FB2738" s="36" t="s">
        <v>473</v>
      </c>
      <c r="FC2738" s="36" t="s">
        <v>53</v>
      </c>
      <c r="FD2738" s="36" t="s">
        <v>476</v>
      </c>
      <c r="FE2738" s="36">
        <v>2020</v>
      </c>
      <c r="FF2738" s="36" t="s">
        <v>474</v>
      </c>
      <c r="FG2738" s="36" t="s">
        <v>1728</v>
      </c>
      <c r="FJ2738" t="s">
        <v>474</v>
      </c>
    </row>
    <row r="2739" spans="153:166" x14ac:dyDescent="0.35">
      <c r="EW2739" t="s">
        <v>3124</v>
      </c>
      <c r="EX2739" s="35" t="s">
        <v>3914</v>
      </c>
      <c r="EY2739" s="35" t="s">
        <v>1976</v>
      </c>
      <c r="EZ2739" s="36">
        <v>507522</v>
      </c>
      <c r="FA2739" s="36" t="s">
        <v>1726</v>
      </c>
      <c r="FB2739" s="36" t="s">
        <v>473</v>
      </c>
      <c r="FC2739" s="36" t="s">
        <v>53</v>
      </c>
      <c r="FD2739" s="36" t="s">
        <v>476</v>
      </c>
      <c r="FE2739" s="36">
        <v>2020</v>
      </c>
      <c r="FF2739" s="36" t="s">
        <v>474</v>
      </c>
      <c r="FG2739" s="36" t="s">
        <v>1728</v>
      </c>
      <c r="FJ2739" t="s">
        <v>474</v>
      </c>
    </row>
    <row r="2740" spans="153:166" x14ac:dyDescent="0.35">
      <c r="EW2740" t="s">
        <v>3124</v>
      </c>
      <c r="EX2740" s="35" t="s">
        <v>3915</v>
      </c>
      <c r="EY2740" s="35" t="s">
        <v>1979</v>
      </c>
      <c r="EZ2740" s="36">
        <v>506628</v>
      </c>
      <c r="FA2740" s="36" t="s">
        <v>1726</v>
      </c>
      <c r="FB2740" s="36" t="s">
        <v>473</v>
      </c>
      <c r="FC2740" s="36" t="s">
        <v>53</v>
      </c>
      <c r="FD2740" s="36" t="s">
        <v>476</v>
      </c>
      <c r="FE2740" s="36">
        <v>2020</v>
      </c>
      <c r="FF2740" s="36" t="s">
        <v>474</v>
      </c>
      <c r="FG2740" s="36" t="s">
        <v>1193</v>
      </c>
      <c r="FJ2740" t="s">
        <v>474</v>
      </c>
    </row>
    <row r="2741" spans="153:166" x14ac:dyDescent="0.35">
      <c r="EW2741" t="s">
        <v>3124</v>
      </c>
      <c r="EX2741" s="35" t="s">
        <v>3916</v>
      </c>
      <c r="EY2741" s="35" t="s">
        <v>1980</v>
      </c>
      <c r="EZ2741" s="36">
        <v>507710</v>
      </c>
      <c r="FA2741" s="36" t="s">
        <v>1726</v>
      </c>
      <c r="FB2741" s="36" t="s">
        <v>473</v>
      </c>
      <c r="FC2741" s="36" t="s">
        <v>53</v>
      </c>
      <c r="FD2741" s="36" t="s">
        <v>476</v>
      </c>
      <c r="FE2741" s="36">
        <v>2020</v>
      </c>
      <c r="FF2741" s="36" t="s">
        <v>474</v>
      </c>
      <c r="FG2741" s="36" t="s">
        <v>1728</v>
      </c>
      <c r="FJ2741" t="s">
        <v>474</v>
      </c>
    </row>
    <row r="2742" spans="153:166" x14ac:dyDescent="0.35">
      <c r="EW2742" t="s">
        <v>3124</v>
      </c>
      <c r="EX2742" s="35" t="s">
        <v>3917</v>
      </c>
      <c r="EY2742" s="35" t="s">
        <v>1981</v>
      </c>
      <c r="EZ2742" s="36">
        <v>507489</v>
      </c>
      <c r="FA2742" s="36" t="s">
        <v>1726</v>
      </c>
      <c r="FB2742" s="36" t="s">
        <v>473</v>
      </c>
      <c r="FC2742" s="36" t="s">
        <v>53</v>
      </c>
      <c r="FD2742" s="36" t="s">
        <v>476</v>
      </c>
      <c r="FE2742" s="36">
        <v>2020</v>
      </c>
      <c r="FF2742" s="36" t="s">
        <v>474</v>
      </c>
      <c r="FG2742" s="36" t="s">
        <v>1728</v>
      </c>
      <c r="FJ2742" t="s">
        <v>474</v>
      </c>
    </row>
    <row r="2743" spans="153:166" x14ac:dyDescent="0.35">
      <c r="EW2743" t="s">
        <v>3124</v>
      </c>
      <c r="EX2743" s="35" t="s">
        <v>3918</v>
      </c>
      <c r="EY2743" s="35" t="s">
        <v>1982</v>
      </c>
      <c r="EZ2743" s="36">
        <v>507762</v>
      </c>
      <c r="FA2743" s="36" t="s">
        <v>1726</v>
      </c>
      <c r="FB2743" s="36" t="s">
        <v>473</v>
      </c>
      <c r="FC2743" s="36" t="s">
        <v>53</v>
      </c>
      <c r="FD2743" s="36" t="s">
        <v>476</v>
      </c>
      <c r="FE2743" s="36">
        <v>2020</v>
      </c>
      <c r="FF2743" s="36" t="s">
        <v>474</v>
      </c>
      <c r="FG2743" s="36" t="s">
        <v>1728</v>
      </c>
      <c r="FJ2743" t="s">
        <v>474</v>
      </c>
    </row>
    <row r="2744" spans="153:166" x14ac:dyDescent="0.35">
      <c r="EW2744" t="s">
        <v>3124</v>
      </c>
      <c r="EX2744" s="35" t="s">
        <v>3919</v>
      </c>
      <c r="EY2744" s="35" t="s">
        <v>1983</v>
      </c>
      <c r="EZ2744" s="36">
        <v>507817</v>
      </c>
      <c r="FA2744" s="36" t="s">
        <v>1726</v>
      </c>
      <c r="FB2744" s="36" t="s">
        <v>473</v>
      </c>
      <c r="FC2744" s="36" t="s">
        <v>53</v>
      </c>
      <c r="FD2744" s="36" t="s">
        <v>476</v>
      </c>
      <c r="FE2744" s="36">
        <v>2020</v>
      </c>
      <c r="FF2744" s="36" t="s">
        <v>474</v>
      </c>
      <c r="FG2744" s="36" t="s">
        <v>1728</v>
      </c>
      <c r="FJ2744" t="s">
        <v>474</v>
      </c>
    </row>
    <row r="2745" spans="153:166" x14ac:dyDescent="0.35">
      <c r="EW2745" t="s">
        <v>3124</v>
      </c>
      <c r="EX2745" s="35" t="s">
        <v>3920</v>
      </c>
      <c r="EY2745" s="35" t="s">
        <v>1984</v>
      </c>
      <c r="EZ2745" s="36">
        <v>509236</v>
      </c>
      <c r="FA2745" s="36" t="s">
        <v>1726</v>
      </c>
      <c r="FB2745" s="36" t="s">
        <v>473</v>
      </c>
      <c r="FC2745" s="36" t="s">
        <v>53</v>
      </c>
      <c r="FD2745" s="36" t="s">
        <v>476</v>
      </c>
      <c r="FE2745" s="36">
        <v>2020</v>
      </c>
      <c r="FF2745" s="36" t="s">
        <v>474</v>
      </c>
      <c r="FG2745" s="36" t="s">
        <v>1728</v>
      </c>
      <c r="FJ2745" t="s">
        <v>474</v>
      </c>
    </row>
    <row r="2746" spans="153:166" x14ac:dyDescent="0.35">
      <c r="EW2746" t="s">
        <v>3124</v>
      </c>
      <c r="EX2746" s="35" t="s">
        <v>3921</v>
      </c>
      <c r="EY2746" s="35" t="s">
        <v>1985</v>
      </c>
      <c r="EZ2746" s="36">
        <v>507070</v>
      </c>
      <c r="FA2746" s="36" t="s">
        <v>1726</v>
      </c>
      <c r="FB2746" s="36" t="s">
        <v>473</v>
      </c>
      <c r="FC2746" s="36" t="s">
        <v>53</v>
      </c>
      <c r="FD2746" s="36" t="s">
        <v>476</v>
      </c>
      <c r="FE2746" s="36">
        <v>2020</v>
      </c>
      <c r="FF2746" s="36" t="s">
        <v>474</v>
      </c>
      <c r="FG2746" s="36" t="s">
        <v>1193</v>
      </c>
      <c r="FJ2746" t="s">
        <v>474</v>
      </c>
    </row>
    <row r="2747" spans="153:166" x14ac:dyDescent="0.35">
      <c r="EW2747" t="s">
        <v>3124</v>
      </c>
      <c r="EX2747" s="35" t="s">
        <v>3922</v>
      </c>
      <c r="EY2747" s="35" t="s">
        <v>1986</v>
      </c>
      <c r="EZ2747" s="36">
        <v>507658</v>
      </c>
      <c r="FA2747" s="36" t="s">
        <v>1726</v>
      </c>
      <c r="FB2747" s="36" t="s">
        <v>473</v>
      </c>
      <c r="FC2747" s="36" t="s">
        <v>53</v>
      </c>
      <c r="FD2747" s="36" t="s">
        <v>476</v>
      </c>
      <c r="FE2747" s="36">
        <v>2020</v>
      </c>
      <c r="FF2747" s="36" t="s">
        <v>474</v>
      </c>
      <c r="FG2747" s="36" t="s">
        <v>1728</v>
      </c>
      <c r="FJ2747" t="s">
        <v>474</v>
      </c>
    </row>
    <row r="2748" spans="153:166" x14ac:dyDescent="0.35">
      <c r="EW2748" t="s">
        <v>3124</v>
      </c>
      <c r="EX2748" s="35" t="s">
        <v>3923</v>
      </c>
      <c r="EY2748" s="35" t="s">
        <v>1987</v>
      </c>
      <c r="EZ2748" s="36">
        <v>507679</v>
      </c>
      <c r="FA2748" s="36" t="s">
        <v>1726</v>
      </c>
      <c r="FB2748" s="36" t="s">
        <v>473</v>
      </c>
      <c r="FC2748" s="36" t="s">
        <v>53</v>
      </c>
      <c r="FD2748" s="36" t="s">
        <v>476</v>
      </c>
      <c r="FE2748" s="36">
        <v>2020</v>
      </c>
      <c r="FF2748" s="36" t="s">
        <v>474</v>
      </c>
      <c r="FG2748" s="36" t="s">
        <v>1728</v>
      </c>
      <c r="FJ2748" t="s">
        <v>474</v>
      </c>
    </row>
    <row r="2749" spans="153:166" x14ac:dyDescent="0.35">
      <c r="EW2749" t="s">
        <v>3124</v>
      </c>
      <c r="EX2749" s="35" t="s">
        <v>3924</v>
      </c>
      <c r="EY2749" s="35" t="s">
        <v>1988</v>
      </c>
      <c r="EZ2749" s="36">
        <v>507655</v>
      </c>
      <c r="FA2749" s="36" t="s">
        <v>1726</v>
      </c>
      <c r="FB2749" s="36" t="s">
        <v>473</v>
      </c>
      <c r="FC2749" s="36" t="s">
        <v>53</v>
      </c>
      <c r="FD2749" s="36" t="s">
        <v>476</v>
      </c>
      <c r="FE2749" s="36">
        <v>2020</v>
      </c>
      <c r="FF2749" s="36" t="s">
        <v>474</v>
      </c>
      <c r="FG2749" s="36" t="s">
        <v>1728</v>
      </c>
      <c r="FJ2749" t="s">
        <v>474</v>
      </c>
    </row>
    <row r="2750" spans="153:166" x14ac:dyDescent="0.35">
      <c r="EW2750" t="s">
        <v>3124</v>
      </c>
      <c r="EX2750" s="35" t="s">
        <v>3925</v>
      </c>
      <c r="EY2750" s="35" t="s">
        <v>1989</v>
      </c>
      <c r="EZ2750" s="36">
        <v>507719</v>
      </c>
      <c r="FA2750" s="36" t="s">
        <v>1726</v>
      </c>
      <c r="FB2750" s="36" t="s">
        <v>473</v>
      </c>
      <c r="FC2750" s="36" t="s">
        <v>53</v>
      </c>
      <c r="FD2750" s="36" t="s">
        <v>476</v>
      </c>
      <c r="FE2750" s="36">
        <v>2020</v>
      </c>
      <c r="FF2750" s="36" t="s">
        <v>474</v>
      </c>
      <c r="FG2750" s="36" t="s">
        <v>1728</v>
      </c>
      <c r="FJ2750" t="s">
        <v>474</v>
      </c>
    </row>
    <row r="2751" spans="153:166" x14ac:dyDescent="0.35">
      <c r="EW2751" t="s">
        <v>3124</v>
      </c>
      <c r="EX2751" s="35" t="s">
        <v>3926</v>
      </c>
      <c r="EY2751" s="35" t="s">
        <v>1990</v>
      </c>
      <c r="EZ2751" s="36">
        <v>507775</v>
      </c>
      <c r="FA2751" s="36" t="s">
        <v>1726</v>
      </c>
      <c r="FB2751" s="36" t="s">
        <v>473</v>
      </c>
      <c r="FC2751" s="36" t="s">
        <v>53</v>
      </c>
      <c r="FD2751" s="36" t="s">
        <v>476</v>
      </c>
      <c r="FE2751" s="36">
        <v>2020</v>
      </c>
      <c r="FF2751" s="36" t="s">
        <v>474</v>
      </c>
      <c r="FG2751" s="36" t="s">
        <v>1728</v>
      </c>
      <c r="FJ2751" t="s">
        <v>474</v>
      </c>
    </row>
    <row r="2752" spans="153:166" x14ac:dyDescent="0.35">
      <c r="EW2752" t="s">
        <v>3124</v>
      </c>
      <c r="EX2752" s="35" t="s">
        <v>3927</v>
      </c>
      <c r="EY2752" s="35" t="s">
        <v>1991</v>
      </c>
      <c r="EZ2752" s="36">
        <v>508214</v>
      </c>
      <c r="FA2752" s="36" t="s">
        <v>1726</v>
      </c>
      <c r="FB2752" s="36" t="s">
        <v>473</v>
      </c>
      <c r="FC2752" s="36" t="s">
        <v>53</v>
      </c>
      <c r="FD2752" s="36" t="s">
        <v>476</v>
      </c>
      <c r="FE2752" s="36">
        <v>2020</v>
      </c>
      <c r="FF2752" s="36" t="s">
        <v>474</v>
      </c>
      <c r="FG2752" s="36" t="s">
        <v>1728</v>
      </c>
      <c r="FJ2752" t="s">
        <v>474</v>
      </c>
    </row>
    <row r="2753" spans="153:166" x14ac:dyDescent="0.35">
      <c r="EW2753" t="s">
        <v>3124</v>
      </c>
      <c r="EX2753" s="35" t="s">
        <v>3928</v>
      </c>
      <c r="EY2753" s="35" t="s">
        <v>1992</v>
      </c>
      <c r="EZ2753" s="36">
        <v>508621</v>
      </c>
      <c r="FA2753" s="36" t="s">
        <v>1726</v>
      </c>
      <c r="FB2753" s="36" t="s">
        <v>473</v>
      </c>
      <c r="FC2753" s="36" t="s">
        <v>53</v>
      </c>
      <c r="FD2753" s="36" t="s">
        <v>476</v>
      </c>
      <c r="FE2753" s="36">
        <v>2020</v>
      </c>
      <c r="FF2753" s="36" t="s">
        <v>474</v>
      </c>
      <c r="FG2753" s="36" t="s">
        <v>1728</v>
      </c>
      <c r="FJ2753" t="s">
        <v>474</v>
      </c>
    </row>
    <row r="2754" spans="153:166" x14ac:dyDescent="0.35">
      <c r="EW2754" t="s">
        <v>3124</v>
      </c>
      <c r="EX2754" s="35" t="s">
        <v>3929</v>
      </c>
      <c r="EY2754" s="35" t="s">
        <v>1993</v>
      </c>
      <c r="EZ2754" s="36">
        <v>507509</v>
      </c>
      <c r="FA2754" s="36" t="s">
        <v>1726</v>
      </c>
      <c r="FB2754" s="36" t="s">
        <v>473</v>
      </c>
      <c r="FC2754" s="36" t="s">
        <v>53</v>
      </c>
      <c r="FD2754" s="36" t="s">
        <v>476</v>
      </c>
      <c r="FE2754" s="36">
        <v>2020</v>
      </c>
      <c r="FF2754" s="36" t="s">
        <v>474</v>
      </c>
      <c r="FG2754" s="36" t="s">
        <v>1728</v>
      </c>
      <c r="FJ2754" t="s">
        <v>474</v>
      </c>
    </row>
    <row r="2755" spans="153:166" x14ac:dyDescent="0.35">
      <c r="EW2755" t="s">
        <v>3124</v>
      </c>
      <c r="EX2755" s="35" t="s">
        <v>3930</v>
      </c>
      <c r="EY2755" s="35" t="s">
        <v>1994</v>
      </c>
      <c r="EZ2755" s="36">
        <v>507017</v>
      </c>
      <c r="FA2755" s="36" t="s">
        <v>1726</v>
      </c>
      <c r="FB2755" s="36" t="s">
        <v>473</v>
      </c>
      <c r="FC2755" s="36" t="s">
        <v>53</v>
      </c>
      <c r="FD2755" s="36" t="s">
        <v>476</v>
      </c>
      <c r="FE2755" s="36">
        <v>2020</v>
      </c>
      <c r="FF2755" s="36" t="s">
        <v>474</v>
      </c>
      <c r="FG2755" s="36" t="s">
        <v>1193</v>
      </c>
      <c r="FJ2755" t="s">
        <v>474</v>
      </c>
    </row>
    <row r="2756" spans="153:166" x14ac:dyDescent="0.35">
      <c r="EW2756" t="s">
        <v>3124</v>
      </c>
      <c r="EX2756" s="35" t="s">
        <v>3931</v>
      </c>
      <c r="EY2756" s="35" t="s">
        <v>1995</v>
      </c>
      <c r="EZ2756" s="36">
        <v>507871</v>
      </c>
      <c r="FA2756" s="36" t="s">
        <v>1726</v>
      </c>
      <c r="FB2756" s="36" t="s">
        <v>473</v>
      </c>
      <c r="FC2756" s="36" t="s">
        <v>53</v>
      </c>
      <c r="FD2756" s="36" t="s">
        <v>476</v>
      </c>
      <c r="FE2756" s="36">
        <v>2020</v>
      </c>
      <c r="FF2756" s="36" t="s">
        <v>474</v>
      </c>
      <c r="FG2756" s="36" t="s">
        <v>1728</v>
      </c>
      <c r="FJ2756" t="s">
        <v>474</v>
      </c>
    </row>
    <row r="2757" spans="153:166" x14ac:dyDescent="0.35">
      <c r="EW2757" t="s">
        <v>3124</v>
      </c>
      <c r="EX2757" s="35" t="s">
        <v>3932</v>
      </c>
      <c r="EY2757" s="35" t="s">
        <v>1996</v>
      </c>
      <c r="EZ2757" s="36">
        <v>509217</v>
      </c>
      <c r="FA2757" s="36" t="s">
        <v>1726</v>
      </c>
      <c r="FB2757" s="36" t="s">
        <v>473</v>
      </c>
      <c r="FC2757" s="36" t="s">
        <v>53</v>
      </c>
      <c r="FD2757" s="36" t="s">
        <v>476</v>
      </c>
      <c r="FE2757" s="36">
        <v>2020</v>
      </c>
      <c r="FF2757" s="36" t="s">
        <v>474</v>
      </c>
      <c r="FG2757" s="36" t="s">
        <v>1728</v>
      </c>
      <c r="FJ2757" t="s">
        <v>474</v>
      </c>
    </row>
    <row r="2758" spans="153:166" x14ac:dyDescent="0.35">
      <c r="EW2758" t="s">
        <v>3124</v>
      </c>
      <c r="EX2758" s="35" t="s">
        <v>3933</v>
      </c>
      <c r="EY2758" s="35" t="s">
        <v>1997</v>
      </c>
      <c r="EZ2758" s="36">
        <v>508593</v>
      </c>
      <c r="FA2758" s="36" t="s">
        <v>1726</v>
      </c>
      <c r="FB2758" s="36" t="s">
        <v>473</v>
      </c>
      <c r="FC2758" s="36" t="s">
        <v>53</v>
      </c>
      <c r="FD2758" s="36" t="s">
        <v>476</v>
      </c>
      <c r="FE2758" s="36">
        <v>2020</v>
      </c>
      <c r="FF2758" s="36" t="s">
        <v>474</v>
      </c>
      <c r="FG2758" s="36" t="s">
        <v>1728</v>
      </c>
      <c r="FJ2758" t="s">
        <v>474</v>
      </c>
    </row>
    <row r="2759" spans="153:166" x14ac:dyDescent="0.35">
      <c r="EW2759" t="s">
        <v>3124</v>
      </c>
      <c r="EX2759" s="35" t="s">
        <v>3934</v>
      </c>
      <c r="EY2759" s="35" t="s">
        <v>1998</v>
      </c>
      <c r="EZ2759" s="36">
        <v>509325</v>
      </c>
      <c r="FA2759" s="36" t="s">
        <v>1726</v>
      </c>
      <c r="FB2759" s="36" t="s">
        <v>473</v>
      </c>
      <c r="FC2759" s="36" t="s">
        <v>53</v>
      </c>
      <c r="FD2759" s="36" t="s">
        <v>476</v>
      </c>
      <c r="FE2759" s="36">
        <v>2020</v>
      </c>
      <c r="FF2759" s="36" t="s">
        <v>474</v>
      </c>
      <c r="FG2759" s="36" t="s">
        <v>1728</v>
      </c>
      <c r="FJ2759" t="s">
        <v>474</v>
      </c>
    </row>
    <row r="2760" spans="153:166" x14ac:dyDescent="0.35">
      <c r="EW2760" t="s">
        <v>3124</v>
      </c>
      <c r="EX2760" s="35" t="s">
        <v>3935</v>
      </c>
      <c r="EY2760" s="35" t="s">
        <v>1999</v>
      </c>
      <c r="EZ2760" s="36">
        <v>509608</v>
      </c>
      <c r="FA2760" s="36" t="s">
        <v>1726</v>
      </c>
      <c r="FB2760" s="36" t="s">
        <v>473</v>
      </c>
      <c r="FC2760" s="36" t="s">
        <v>53</v>
      </c>
      <c r="FD2760" s="36" t="s">
        <v>476</v>
      </c>
      <c r="FE2760" s="36">
        <v>2020</v>
      </c>
      <c r="FF2760" s="36" t="s">
        <v>474</v>
      </c>
      <c r="FG2760" s="36" t="s">
        <v>1728</v>
      </c>
      <c r="FJ2760" t="s">
        <v>474</v>
      </c>
    </row>
    <row r="2761" spans="153:166" x14ac:dyDescent="0.35">
      <c r="EW2761" t="s">
        <v>3124</v>
      </c>
      <c r="EX2761" s="35" t="s">
        <v>3936</v>
      </c>
      <c r="EY2761" s="35" t="s">
        <v>2000</v>
      </c>
      <c r="EZ2761" s="36">
        <v>509543</v>
      </c>
      <c r="FA2761" s="36" t="s">
        <v>1726</v>
      </c>
      <c r="FB2761" s="36" t="s">
        <v>473</v>
      </c>
      <c r="FC2761" s="36" t="s">
        <v>53</v>
      </c>
      <c r="FD2761" s="36" t="s">
        <v>476</v>
      </c>
      <c r="FE2761" s="36">
        <v>2020</v>
      </c>
      <c r="FF2761" s="36" t="s">
        <v>474</v>
      </c>
      <c r="FG2761" s="36" t="s">
        <v>1728</v>
      </c>
      <c r="FJ2761" t="s">
        <v>474</v>
      </c>
    </row>
    <row r="2762" spans="153:166" x14ac:dyDescent="0.35">
      <c r="EW2762" t="s">
        <v>3124</v>
      </c>
      <c r="EX2762" s="35" t="s">
        <v>3937</v>
      </c>
      <c r="EY2762" s="35" t="s">
        <v>2001</v>
      </c>
      <c r="EZ2762" s="36" t="s">
        <v>2002</v>
      </c>
      <c r="FA2762" s="36" t="s">
        <v>2003</v>
      </c>
      <c r="FB2762" s="36" t="s">
        <v>2004</v>
      </c>
      <c r="FC2762" s="36" t="s">
        <v>2003</v>
      </c>
      <c r="FD2762" s="36" t="s">
        <v>2004</v>
      </c>
      <c r="FE2762" s="36">
        <v>2022</v>
      </c>
      <c r="FF2762" s="36" t="s">
        <v>59</v>
      </c>
      <c r="FG2762" s="36" t="s">
        <v>1241</v>
      </c>
      <c r="FJ2762" t="s">
        <v>59</v>
      </c>
    </row>
    <row r="2763" spans="153:166" x14ac:dyDescent="0.35">
      <c r="EW2763" t="s">
        <v>3124</v>
      </c>
      <c r="EX2763" s="35" t="s">
        <v>3938</v>
      </c>
      <c r="EY2763" s="35" t="s">
        <v>2005</v>
      </c>
      <c r="EZ2763" s="36" t="s">
        <v>2006</v>
      </c>
      <c r="FA2763" s="36" t="s">
        <v>2003</v>
      </c>
      <c r="FB2763" s="36" t="s">
        <v>2004</v>
      </c>
      <c r="FC2763" s="36" t="s">
        <v>2003</v>
      </c>
      <c r="FD2763" s="36" t="s">
        <v>2004</v>
      </c>
      <c r="FE2763" s="36">
        <v>2022</v>
      </c>
      <c r="FF2763" s="36" t="s">
        <v>59</v>
      </c>
      <c r="FG2763" s="36" t="s">
        <v>1241</v>
      </c>
      <c r="FJ2763" t="s">
        <v>59</v>
      </c>
    </row>
    <row r="2764" spans="153:166" x14ac:dyDescent="0.35">
      <c r="EW2764" t="s">
        <v>3124</v>
      </c>
      <c r="EX2764" s="35" t="s">
        <v>3939</v>
      </c>
      <c r="EY2764" s="35" t="s">
        <v>2007</v>
      </c>
      <c r="EZ2764" s="36" t="s">
        <v>2008</v>
      </c>
      <c r="FA2764" s="36" t="s">
        <v>2003</v>
      </c>
      <c r="FB2764" s="36" t="s">
        <v>2004</v>
      </c>
      <c r="FC2764" s="36" t="s">
        <v>2003</v>
      </c>
      <c r="FD2764" s="36" t="s">
        <v>2004</v>
      </c>
      <c r="FE2764" s="36">
        <v>2022</v>
      </c>
      <c r="FF2764" s="36" t="s">
        <v>59</v>
      </c>
      <c r="FG2764" s="36" t="s">
        <v>1728</v>
      </c>
      <c r="FJ2764" t="s">
        <v>59</v>
      </c>
    </row>
    <row r="2765" spans="153:166" x14ac:dyDescent="0.35">
      <c r="EW2765" t="s">
        <v>3124</v>
      </c>
      <c r="EX2765" s="35" t="s">
        <v>3940</v>
      </c>
      <c r="EY2765" s="35" t="s">
        <v>2009</v>
      </c>
      <c r="EZ2765" s="36" t="s">
        <v>2010</v>
      </c>
      <c r="FA2765" s="36" t="s">
        <v>2003</v>
      </c>
      <c r="FB2765" s="36" t="s">
        <v>2004</v>
      </c>
      <c r="FC2765" s="36" t="s">
        <v>2003</v>
      </c>
      <c r="FD2765" s="36" t="s">
        <v>2004</v>
      </c>
      <c r="FE2765" s="36">
        <v>2022</v>
      </c>
      <c r="FF2765" s="36" t="s">
        <v>59</v>
      </c>
      <c r="FG2765" s="36" t="s">
        <v>1728</v>
      </c>
      <c r="FJ2765" t="s">
        <v>59</v>
      </c>
    </row>
    <row r="2766" spans="153:166" x14ac:dyDescent="0.35">
      <c r="EW2766" t="s">
        <v>3124</v>
      </c>
      <c r="EX2766" s="35" t="s">
        <v>3941</v>
      </c>
      <c r="EY2766" s="35" t="s">
        <v>2011</v>
      </c>
      <c r="EZ2766" s="36" t="s">
        <v>2012</v>
      </c>
      <c r="FA2766" s="36" t="s">
        <v>2003</v>
      </c>
      <c r="FB2766" s="36" t="s">
        <v>2004</v>
      </c>
      <c r="FC2766" s="36" t="s">
        <v>2003</v>
      </c>
      <c r="FD2766" s="36" t="s">
        <v>2004</v>
      </c>
      <c r="FE2766" s="36">
        <v>2022</v>
      </c>
      <c r="FF2766" s="36" t="s">
        <v>59</v>
      </c>
      <c r="FG2766" s="36" t="s">
        <v>1728</v>
      </c>
      <c r="FJ2766" t="s">
        <v>59</v>
      </c>
    </row>
    <row r="2767" spans="153:166" x14ac:dyDescent="0.35">
      <c r="EW2767" t="s">
        <v>3124</v>
      </c>
      <c r="EX2767" s="35" t="s">
        <v>3942</v>
      </c>
      <c r="EY2767" s="35" t="s">
        <v>2013</v>
      </c>
      <c r="EZ2767" s="36" t="s">
        <v>2014</v>
      </c>
      <c r="FA2767" s="36" t="s">
        <v>2003</v>
      </c>
      <c r="FB2767" s="36" t="s">
        <v>2004</v>
      </c>
      <c r="FC2767" s="36" t="s">
        <v>2003</v>
      </c>
      <c r="FD2767" s="36" t="s">
        <v>2004</v>
      </c>
      <c r="FE2767" s="36">
        <v>2022</v>
      </c>
      <c r="FF2767" s="36" t="s">
        <v>59</v>
      </c>
      <c r="FG2767" s="36" t="s">
        <v>1728</v>
      </c>
      <c r="FJ2767" t="s">
        <v>59</v>
      </c>
    </row>
    <row r="2768" spans="153:166" x14ac:dyDescent="0.35">
      <c r="EW2768" t="s">
        <v>3124</v>
      </c>
      <c r="EX2768" s="35" t="s">
        <v>3943</v>
      </c>
      <c r="EY2768" s="35" t="s">
        <v>2015</v>
      </c>
      <c r="EZ2768" s="36" t="s">
        <v>2016</v>
      </c>
      <c r="FA2768" s="36" t="s">
        <v>2003</v>
      </c>
      <c r="FB2768" s="36" t="s">
        <v>2004</v>
      </c>
      <c r="FC2768" s="36" t="s">
        <v>2003</v>
      </c>
      <c r="FD2768" s="36" t="s">
        <v>2004</v>
      </c>
      <c r="FE2768" s="36">
        <v>2022</v>
      </c>
      <c r="FF2768" s="36" t="s">
        <v>59</v>
      </c>
      <c r="FG2768" s="36" t="s">
        <v>1210</v>
      </c>
      <c r="FJ2768" t="s">
        <v>59</v>
      </c>
    </row>
    <row r="2769" spans="153:166" x14ac:dyDescent="0.35">
      <c r="EW2769" t="s">
        <v>3124</v>
      </c>
      <c r="EX2769" s="35" t="s">
        <v>3944</v>
      </c>
      <c r="EY2769" s="35" t="s">
        <v>2017</v>
      </c>
      <c r="EZ2769" s="36" t="s">
        <v>2018</v>
      </c>
      <c r="FA2769" s="36" t="s">
        <v>2003</v>
      </c>
      <c r="FB2769" s="36" t="s">
        <v>2004</v>
      </c>
      <c r="FC2769" s="36" t="s">
        <v>2003</v>
      </c>
      <c r="FD2769" s="36" t="s">
        <v>2004</v>
      </c>
      <c r="FE2769" s="36">
        <v>2022</v>
      </c>
      <c r="FF2769" s="36" t="s">
        <v>59</v>
      </c>
      <c r="FG2769" s="36" t="s">
        <v>1728</v>
      </c>
      <c r="FJ2769" t="s">
        <v>59</v>
      </c>
    </row>
    <row r="2770" spans="153:166" x14ac:dyDescent="0.35">
      <c r="EW2770" t="s">
        <v>3124</v>
      </c>
      <c r="EX2770" s="35" t="s">
        <v>3945</v>
      </c>
      <c r="EY2770" s="35" t="s">
        <v>2019</v>
      </c>
      <c r="EZ2770" s="36" t="s">
        <v>2020</v>
      </c>
      <c r="FA2770" s="36" t="s">
        <v>2003</v>
      </c>
      <c r="FB2770" s="36" t="s">
        <v>2004</v>
      </c>
      <c r="FC2770" s="36" t="s">
        <v>2003</v>
      </c>
      <c r="FD2770" s="36" t="s">
        <v>2004</v>
      </c>
      <c r="FE2770" s="36">
        <v>2022</v>
      </c>
      <c r="FF2770" s="36" t="s">
        <v>59</v>
      </c>
      <c r="FG2770" s="36" t="s">
        <v>1728</v>
      </c>
      <c r="FJ2770" t="s">
        <v>59</v>
      </c>
    </row>
    <row r="2771" spans="153:166" x14ac:dyDescent="0.35">
      <c r="EW2771" t="s">
        <v>3124</v>
      </c>
      <c r="EX2771" s="35" t="s">
        <v>3946</v>
      </c>
      <c r="EY2771" s="35" t="s">
        <v>2023</v>
      </c>
      <c r="EZ2771" s="36" t="s">
        <v>2024</v>
      </c>
      <c r="FA2771" s="36" t="s">
        <v>2003</v>
      </c>
      <c r="FB2771" s="36" t="s">
        <v>2004</v>
      </c>
      <c r="FC2771" s="36" t="s">
        <v>2003</v>
      </c>
      <c r="FD2771" s="36" t="s">
        <v>2004</v>
      </c>
      <c r="FE2771" s="36">
        <v>2022</v>
      </c>
      <c r="FF2771" s="36" t="s">
        <v>59</v>
      </c>
      <c r="FG2771" s="36" t="s">
        <v>1728</v>
      </c>
      <c r="FJ2771" t="s">
        <v>59</v>
      </c>
    </row>
    <row r="2772" spans="153:166" x14ac:dyDescent="0.35">
      <c r="EW2772" t="s">
        <v>3124</v>
      </c>
      <c r="EX2772" s="35" t="s">
        <v>3947</v>
      </c>
      <c r="EY2772" s="35" t="s">
        <v>2025</v>
      </c>
      <c r="EZ2772" s="36" t="s">
        <v>2026</v>
      </c>
      <c r="FA2772" s="36" t="s">
        <v>2003</v>
      </c>
      <c r="FB2772" s="36" t="s">
        <v>2004</v>
      </c>
      <c r="FC2772" s="36" t="s">
        <v>2003</v>
      </c>
      <c r="FD2772" s="36" t="s">
        <v>2004</v>
      </c>
      <c r="FE2772" s="36">
        <v>2022</v>
      </c>
      <c r="FF2772" s="36" t="s">
        <v>59</v>
      </c>
      <c r="FG2772" s="36" t="s">
        <v>1728</v>
      </c>
      <c r="FJ2772" t="s">
        <v>59</v>
      </c>
    </row>
    <row r="2773" spans="153:166" x14ac:dyDescent="0.35">
      <c r="EW2773" t="s">
        <v>3124</v>
      </c>
      <c r="EX2773" s="35" t="s">
        <v>3948</v>
      </c>
      <c r="EY2773" s="35" t="s">
        <v>2027</v>
      </c>
      <c r="EZ2773" s="36" t="s">
        <v>2028</v>
      </c>
      <c r="FA2773" s="36" t="s">
        <v>2003</v>
      </c>
      <c r="FB2773" s="36" t="s">
        <v>2004</v>
      </c>
      <c r="FC2773" s="36" t="s">
        <v>2003</v>
      </c>
      <c r="FD2773" s="36" t="s">
        <v>2004</v>
      </c>
      <c r="FE2773" s="36">
        <v>2022</v>
      </c>
      <c r="FF2773" s="36" t="s">
        <v>59</v>
      </c>
      <c r="FG2773" s="36" t="s">
        <v>1728</v>
      </c>
      <c r="FJ2773" t="s">
        <v>59</v>
      </c>
    </row>
    <row r="2774" spans="153:166" x14ac:dyDescent="0.35">
      <c r="EW2774" t="s">
        <v>3124</v>
      </c>
      <c r="EX2774" s="35" t="s">
        <v>3949</v>
      </c>
      <c r="EY2774" s="35" t="s">
        <v>2029</v>
      </c>
      <c r="EZ2774" s="36" t="s">
        <v>2030</v>
      </c>
      <c r="FA2774" s="36" t="s">
        <v>2003</v>
      </c>
      <c r="FB2774" s="36" t="s">
        <v>2004</v>
      </c>
      <c r="FC2774" s="36" t="s">
        <v>2003</v>
      </c>
      <c r="FD2774" s="36" t="s">
        <v>2004</v>
      </c>
      <c r="FE2774" s="36">
        <v>2022</v>
      </c>
      <c r="FF2774" s="36" t="s">
        <v>59</v>
      </c>
      <c r="FG2774" s="36" t="s">
        <v>1728</v>
      </c>
      <c r="FJ2774" t="s">
        <v>59</v>
      </c>
    </row>
    <row r="2775" spans="153:166" x14ac:dyDescent="0.35">
      <c r="EW2775" t="s">
        <v>3124</v>
      </c>
      <c r="EX2775" s="35" t="s">
        <v>3950</v>
      </c>
      <c r="EY2775" s="35" t="s">
        <v>2031</v>
      </c>
      <c r="EZ2775" s="36" t="s">
        <v>2032</v>
      </c>
      <c r="FA2775" s="36" t="s">
        <v>2003</v>
      </c>
      <c r="FB2775" s="36" t="s">
        <v>2004</v>
      </c>
      <c r="FC2775" s="36" t="s">
        <v>2003</v>
      </c>
      <c r="FD2775" s="36" t="s">
        <v>2004</v>
      </c>
      <c r="FE2775" s="36">
        <v>2022</v>
      </c>
      <c r="FF2775" s="36" t="s">
        <v>59</v>
      </c>
      <c r="FG2775" s="36" t="s">
        <v>1728</v>
      </c>
      <c r="FJ2775" t="s">
        <v>59</v>
      </c>
    </row>
    <row r="2776" spans="153:166" x14ac:dyDescent="0.35">
      <c r="EW2776" t="s">
        <v>3124</v>
      </c>
      <c r="EX2776" s="35" t="s">
        <v>3951</v>
      </c>
      <c r="EY2776" s="35" t="s">
        <v>2033</v>
      </c>
      <c r="EZ2776" s="36" t="s">
        <v>2034</v>
      </c>
      <c r="FA2776" s="36" t="s">
        <v>2003</v>
      </c>
      <c r="FB2776" s="36" t="s">
        <v>2004</v>
      </c>
      <c r="FC2776" s="36" t="s">
        <v>2003</v>
      </c>
      <c r="FD2776" s="36" t="s">
        <v>2004</v>
      </c>
      <c r="FE2776" s="36">
        <v>2022</v>
      </c>
      <c r="FF2776" s="36" t="s">
        <v>59</v>
      </c>
      <c r="FG2776" s="36" t="s">
        <v>1210</v>
      </c>
      <c r="FJ2776" t="s">
        <v>59</v>
      </c>
    </row>
    <row r="2777" spans="153:166" x14ac:dyDescent="0.35">
      <c r="EW2777" t="s">
        <v>3124</v>
      </c>
      <c r="EX2777" s="35" t="s">
        <v>3952</v>
      </c>
      <c r="EY2777" s="35" t="s">
        <v>2035</v>
      </c>
      <c r="EZ2777" s="36" t="s">
        <v>2036</v>
      </c>
      <c r="FA2777" s="36" t="s">
        <v>2003</v>
      </c>
      <c r="FB2777" s="36" t="s">
        <v>2004</v>
      </c>
      <c r="FC2777" s="36" t="s">
        <v>2003</v>
      </c>
      <c r="FD2777" s="36" t="s">
        <v>2004</v>
      </c>
      <c r="FE2777" s="36">
        <v>2022</v>
      </c>
      <c r="FF2777" s="36" t="s">
        <v>59</v>
      </c>
      <c r="FG2777" s="36" t="s">
        <v>1193</v>
      </c>
      <c r="FJ2777" t="s">
        <v>59</v>
      </c>
    </row>
    <row r="2778" spans="153:166" x14ac:dyDescent="0.35">
      <c r="EW2778" t="s">
        <v>3124</v>
      </c>
      <c r="EX2778" s="35" t="s">
        <v>3953</v>
      </c>
      <c r="EY2778" s="35" t="s">
        <v>2037</v>
      </c>
      <c r="EZ2778" s="36" t="s">
        <v>2038</v>
      </c>
      <c r="FA2778" s="36" t="s">
        <v>2003</v>
      </c>
      <c r="FB2778" s="36" t="s">
        <v>2004</v>
      </c>
      <c r="FC2778" s="36" t="s">
        <v>2003</v>
      </c>
      <c r="FD2778" s="36" t="s">
        <v>2004</v>
      </c>
      <c r="FE2778" s="36">
        <v>2022</v>
      </c>
      <c r="FF2778" s="36" t="s">
        <v>59</v>
      </c>
      <c r="FG2778" s="36" t="s">
        <v>1728</v>
      </c>
      <c r="FJ2778" t="s">
        <v>59</v>
      </c>
    </row>
    <row r="2779" spans="153:166" x14ac:dyDescent="0.35">
      <c r="EW2779" t="s">
        <v>3124</v>
      </c>
      <c r="EX2779" s="35" t="s">
        <v>3954</v>
      </c>
      <c r="EY2779" s="35" t="s">
        <v>2039</v>
      </c>
      <c r="EZ2779" s="36" t="s">
        <v>2040</v>
      </c>
      <c r="FA2779" s="36" t="s">
        <v>2003</v>
      </c>
      <c r="FB2779" s="36" t="s">
        <v>2004</v>
      </c>
      <c r="FC2779" s="36" t="s">
        <v>2003</v>
      </c>
      <c r="FD2779" s="36" t="s">
        <v>2004</v>
      </c>
      <c r="FE2779" s="36">
        <v>2022</v>
      </c>
      <c r="FF2779" s="36" t="s">
        <v>59</v>
      </c>
      <c r="FG2779" s="36" t="s">
        <v>1193</v>
      </c>
      <c r="FJ2779" t="s">
        <v>59</v>
      </c>
    </row>
    <row r="2780" spans="153:166" x14ac:dyDescent="0.35">
      <c r="EW2780" t="s">
        <v>3124</v>
      </c>
      <c r="EX2780" s="35" t="s">
        <v>3955</v>
      </c>
      <c r="EY2780" s="35" t="s">
        <v>2041</v>
      </c>
      <c r="EZ2780" s="36" t="s">
        <v>2042</v>
      </c>
      <c r="FA2780" s="36" t="s">
        <v>2003</v>
      </c>
      <c r="FB2780" s="36" t="s">
        <v>2004</v>
      </c>
      <c r="FC2780" s="36" t="s">
        <v>2003</v>
      </c>
      <c r="FD2780" s="36" t="s">
        <v>2004</v>
      </c>
      <c r="FE2780" s="36">
        <v>2022</v>
      </c>
      <c r="FF2780" s="36" t="s">
        <v>59</v>
      </c>
      <c r="FG2780" s="36" t="s">
        <v>1728</v>
      </c>
      <c r="FJ2780" t="s">
        <v>59</v>
      </c>
    </row>
    <row r="2781" spans="153:166" x14ac:dyDescent="0.35">
      <c r="EW2781" t="s">
        <v>3124</v>
      </c>
      <c r="EX2781" s="35" t="s">
        <v>3956</v>
      </c>
      <c r="EY2781" s="35" t="s">
        <v>2043</v>
      </c>
      <c r="EZ2781" s="36" t="s">
        <v>2044</v>
      </c>
      <c r="FA2781" s="36" t="s">
        <v>2003</v>
      </c>
      <c r="FB2781" s="36" t="s">
        <v>2004</v>
      </c>
      <c r="FC2781" s="36" t="s">
        <v>2003</v>
      </c>
      <c r="FD2781" s="36" t="s">
        <v>2004</v>
      </c>
      <c r="FE2781" s="36">
        <v>2022</v>
      </c>
      <c r="FF2781" s="36" t="s">
        <v>59</v>
      </c>
      <c r="FG2781" s="36" t="s">
        <v>1193</v>
      </c>
      <c r="FJ2781" t="s">
        <v>59</v>
      </c>
    </row>
    <row r="2782" spans="153:166" x14ac:dyDescent="0.35">
      <c r="EW2782" t="s">
        <v>3124</v>
      </c>
      <c r="EX2782" s="35" t="s">
        <v>3957</v>
      </c>
      <c r="EY2782" s="35" t="s">
        <v>2045</v>
      </c>
      <c r="EZ2782" s="36" t="s">
        <v>2046</v>
      </c>
      <c r="FA2782" s="36" t="s">
        <v>2003</v>
      </c>
      <c r="FB2782" s="36" t="s">
        <v>2004</v>
      </c>
      <c r="FC2782" s="36" t="s">
        <v>2003</v>
      </c>
      <c r="FD2782" s="36" t="s">
        <v>2004</v>
      </c>
      <c r="FE2782" s="36">
        <v>2022</v>
      </c>
      <c r="FF2782" s="36" t="s">
        <v>59</v>
      </c>
      <c r="FG2782" s="36" t="s">
        <v>1728</v>
      </c>
      <c r="FJ2782" t="s">
        <v>59</v>
      </c>
    </row>
    <row r="2783" spans="153:166" x14ac:dyDescent="0.35">
      <c r="EW2783" t="s">
        <v>3124</v>
      </c>
      <c r="EX2783" s="35" t="s">
        <v>3958</v>
      </c>
      <c r="EY2783" s="35" t="s">
        <v>2047</v>
      </c>
      <c r="EZ2783" s="36" t="s">
        <v>2048</v>
      </c>
      <c r="FA2783" s="36" t="s">
        <v>2003</v>
      </c>
      <c r="FB2783" s="36" t="s">
        <v>2004</v>
      </c>
      <c r="FC2783" s="36" t="s">
        <v>2003</v>
      </c>
      <c r="FD2783" s="36" t="s">
        <v>2004</v>
      </c>
      <c r="FE2783" s="36">
        <v>2022</v>
      </c>
      <c r="FF2783" s="36" t="s">
        <v>59</v>
      </c>
      <c r="FG2783" s="36" t="s">
        <v>1728</v>
      </c>
      <c r="FJ2783" t="s">
        <v>59</v>
      </c>
    </row>
    <row r="2784" spans="153:166" x14ac:dyDescent="0.35">
      <c r="EW2784" t="s">
        <v>3124</v>
      </c>
      <c r="EX2784" s="35" t="s">
        <v>3959</v>
      </c>
      <c r="EY2784" s="35" t="s">
        <v>2049</v>
      </c>
      <c r="EZ2784" s="36" t="s">
        <v>2050</v>
      </c>
      <c r="FA2784" s="36" t="s">
        <v>2003</v>
      </c>
      <c r="FB2784" s="36" t="s">
        <v>2004</v>
      </c>
      <c r="FC2784" s="36" t="s">
        <v>2003</v>
      </c>
      <c r="FD2784" s="36" t="s">
        <v>2004</v>
      </c>
      <c r="FE2784" s="36">
        <v>2022</v>
      </c>
      <c r="FF2784" s="36" t="s">
        <v>59</v>
      </c>
      <c r="FG2784" s="36" t="s">
        <v>1728</v>
      </c>
      <c r="FJ2784" t="s">
        <v>59</v>
      </c>
    </row>
    <row r="2785" spans="153:166" x14ac:dyDescent="0.35">
      <c r="EW2785" t="s">
        <v>3124</v>
      </c>
      <c r="EX2785" s="35" t="s">
        <v>3960</v>
      </c>
      <c r="EY2785" s="35" t="s">
        <v>2051</v>
      </c>
      <c r="EZ2785" s="36" t="s">
        <v>2052</v>
      </c>
      <c r="FA2785" s="36" t="s">
        <v>2003</v>
      </c>
      <c r="FB2785" s="36" t="s">
        <v>2004</v>
      </c>
      <c r="FC2785" s="36" t="s">
        <v>2003</v>
      </c>
      <c r="FD2785" s="36" t="s">
        <v>2004</v>
      </c>
      <c r="FE2785" s="36">
        <v>2022</v>
      </c>
      <c r="FF2785" s="36" t="s">
        <v>59</v>
      </c>
      <c r="FG2785" s="36" t="s">
        <v>1728</v>
      </c>
      <c r="FJ2785" t="s">
        <v>59</v>
      </c>
    </row>
    <row r="2786" spans="153:166" x14ac:dyDescent="0.35">
      <c r="EW2786" t="s">
        <v>3124</v>
      </c>
      <c r="EX2786" s="35" t="s">
        <v>3961</v>
      </c>
      <c r="EY2786" s="35" t="s">
        <v>2053</v>
      </c>
      <c r="EZ2786" s="36" t="s">
        <v>2054</v>
      </c>
      <c r="FA2786" s="36" t="s">
        <v>2003</v>
      </c>
      <c r="FB2786" s="36" t="s">
        <v>2004</v>
      </c>
      <c r="FC2786" s="36" t="s">
        <v>2003</v>
      </c>
      <c r="FD2786" s="36" t="s">
        <v>2004</v>
      </c>
      <c r="FE2786" s="36">
        <v>2022</v>
      </c>
      <c r="FF2786" s="36" t="s">
        <v>59</v>
      </c>
      <c r="FG2786" s="36" t="s">
        <v>1193</v>
      </c>
      <c r="FJ2786" t="s">
        <v>59</v>
      </c>
    </row>
    <row r="2787" spans="153:166" x14ac:dyDescent="0.35">
      <c r="EW2787" t="s">
        <v>3124</v>
      </c>
      <c r="EX2787" s="35" t="s">
        <v>3962</v>
      </c>
      <c r="EY2787" s="35" t="s">
        <v>2055</v>
      </c>
      <c r="EZ2787" s="36" t="s">
        <v>2056</v>
      </c>
      <c r="FA2787" s="36" t="s">
        <v>2003</v>
      </c>
      <c r="FB2787" s="36" t="s">
        <v>2004</v>
      </c>
      <c r="FC2787" s="36" t="s">
        <v>2003</v>
      </c>
      <c r="FD2787" s="36" t="s">
        <v>2004</v>
      </c>
      <c r="FE2787" s="36">
        <v>2022</v>
      </c>
      <c r="FF2787" s="36" t="s">
        <v>59</v>
      </c>
      <c r="FG2787" s="36" t="s">
        <v>1728</v>
      </c>
      <c r="FJ2787" t="s">
        <v>59</v>
      </c>
    </row>
    <row r="2788" spans="153:166" x14ac:dyDescent="0.35">
      <c r="EW2788" t="s">
        <v>3124</v>
      </c>
      <c r="EX2788" s="35" t="s">
        <v>3963</v>
      </c>
      <c r="EY2788" s="35" t="s">
        <v>2057</v>
      </c>
      <c r="EZ2788" s="36" t="s">
        <v>2058</v>
      </c>
      <c r="FA2788" s="36" t="s">
        <v>2003</v>
      </c>
      <c r="FB2788" s="36" t="s">
        <v>2004</v>
      </c>
      <c r="FC2788" s="36" t="s">
        <v>2003</v>
      </c>
      <c r="FD2788" s="36" t="s">
        <v>2004</v>
      </c>
      <c r="FE2788" s="36">
        <v>2022</v>
      </c>
      <c r="FF2788" s="36" t="s">
        <v>59</v>
      </c>
      <c r="FG2788" s="36" t="s">
        <v>1193</v>
      </c>
      <c r="FJ2788" t="s">
        <v>59</v>
      </c>
    </row>
    <row r="2789" spans="153:166" x14ac:dyDescent="0.35">
      <c r="EW2789" t="s">
        <v>3124</v>
      </c>
      <c r="EX2789" s="35" t="s">
        <v>3964</v>
      </c>
      <c r="EY2789" s="35" t="s">
        <v>2059</v>
      </c>
      <c r="EZ2789" s="36" t="s">
        <v>2060</v>
      </c>
      <c r="FA2789" s="36" t="s">
        <v>2003</v>
      </c>
      <c r="FB2789" s="36" t="s">
        <v>2004</v>
      </c>
      <c r="FC2789" s="36" t="s">
        <v>2003</v>
      </c>
      <c r="FD2789" s="36" t="s">
        <v>2004</v>
      </c>
      <c r="FE2789" s="36">
        <v>2022</v>
      </c>
      <c r="FF2789" s="36" t="s">
        <v>59</v>
      </c>
      <c r="FG2789" s="36" t="s">
        <v>1728</v>
      </c>
      <c r="FJ2789" t="s">
        <v>59</v>
      </c>
    </row>
    <row r="2790" spans="153:166" x14ac:dyDescent="0.35">
      <c r="EW2790" t="s">
        <v>3124</v>
      </c>
      <c r="EX2790" s="35" t="s">
        <v>3965</v>
      </c>
      <c r="EY2790" s="35" t="s">
        <v>2061</v>
      </c>
      <c r="EZ2790" s="36" t="s">
        <v>2062</v>
      </c>
      <c r="FA2790" s="36" t="s">
        <v>2003</v>
      </c>
      <c r="FB2790" s="36" t="s">
        <v>2004</v>
      </c>
      <c r="FC2790" s="36" t="s">
        <v>2003</v>
      </c>
      <c r="FD2790" s="36" t="s">
        <v>2004</v>
      </c>
      <c r="FE2790" s="36">
        <v>2022</v>
      </c>
      <c r="FF2790" s="36" t="s">
        <v>59</v>
      </c>
      <c r="FG2790" s="36" t="s">
        <v>1728</v>
      </c>
      <c r="FJ2790" t="s">
        <v>59</v>
      </c>
    </row>
    <row r="2791" spans="153:166" x14ac:dyDescent="0.35">
      <c r="EW2791" t="s">
        <v>3124</v>
      </c>
      <c r="EX2791" s="35" t="s">
        <v>3966</v>
      </c>
      <c r="EY2791" s="35" t="s">
        <v>2063</v>
      </c>
      <c r="EZ2791" s="36" t="s">
        <v>2064</v>
      </c>
      <c r="FA2791" s="36" t="s">
        <v>2003</v>
      </c>
      <c r="FB2791" s="36" t="s">
        <v>2004</v>
      </c>
      <c r="FC2791" s="36" t="s">
        <v>2003</v>
      </c>
      <c r="FD2791" s="36" t="s">
        <v>2004</v>
      </c>
      <c r="FE2791" s="36">
        <v>2022</v>
      </c>
      <c r="FF2791" s="36" t="s">
        <v>59</v>
      </c>
      <c r="FG2791" s="36" t="s">
        <v>1728</v>
      </c>
      <c r="FJ2791" t="s">
        <v>59</v>
      </c>
    </row>
    <row r="2792" spans="153:166" x14ac:dyDescent="0.35">
      <c r="EW2792" t="s">
        <v>3124</v>
      </c>
      <c r="EX2792" s="35" t="s">
        <v>3967</v>
      </c>
      <c r="EY2792" s="35" t="s">
        <v>2065</v>
      </c>
      <c r="EZ2792" s="36" t="s">
        <v>2066</v>
      </c>
      <c r="FA2792" s="36" t="s">
        <v>2003</v>
      </c>
      <c r="FB2792" s="36" t="s">
        <v>2004</v>
      </c>
      <c r="FC2792" s="36" t="s">
        <v>2003</v>
      </c>
      <c r="FD2792" s="36" t="s">
        <v>2004</v>
      </c>
      <c r="FE2792" s="36">
        <v>2022</v>
      </c>
      <c r="FF2792" s="36" t="s">
        <v>59</v>
      </c>
      <c r="FG2792" s="36" t="s">
        <v>1728</v>
      </c>
      <c r="FJ2792" t="s">
        <v>59</v>
      </c>
    </row>
    <row r="2793" spans="153:166" x14ac:dyDescent="0.35">
      <c r="EW2793" t="s">
        <v>3124</v>
      </c>
      <c r="EX2793" s="35" t="s">
        <v>3968</v>
      </c>
      <c r="EY2793" s="35" t="s">
        <v>2067</v>
      </c>
      <c r="EZ2793" s="36" t="s">
        <v>2068</v>
      </c>
      <c r="FA2793" s="36" t="s">
        <v>2003</v>
      </c>
      <c r="FB2793" s="36" t="s">
        <v>2004</v>
      </c>
      <c r="FC2793" s="36" t="s">
        <v>2003</v>
      </c>
      <c r="FD2793" s="36" t="s">
        <v>2004</v>
      </c>
      <c r="FE2793" s="36">
        <v>2022</v>
      </c>
      <c r="FF2793" s="36" t="s">
        <v>59</v>
      </c>
      <c r="FG2793" s="36" t="s">
        <v>1193</v>
      </c>
      <c r="FJ2793" t="s">
        <v>59</v>
      </c>
    </row>
    <row r="2794" spans="153:166" x14ac:dyDescent="0.35">
      <c r="EW2794" t="s">
        <v>3124</v>
      </c>
      <c r="EX2794" s="35" t="s">
        <v>3969</v>
      </c>
      <c r="EY2794" s="35" t="s">
        <v>2069</v>
      </c>
      <c r="EZ2794" s="36" t="s">
        <v>2070</v>
      </c>
      <c r="FA2794" s="36" t="s">
        <v>2003</v>
      </c>
      <c r="FB2794" s="36" t="s">
        <v>2004</v>
      </c>
      <c r="FC2794" s="36" t="s">
        <v>2003</v>
      </c>
      <c r="FD2794" s="36" t="s">
        <v>2004</v>
      </c>
      <c r="FE2794" s="36">
        <v>2022</v>
      </c>
      <c r="FF2794" s="36" t="s">
        <v>59</v>
      </c>
      <c r="FG2794" s="36" t="s">
        <v>1728</v>
      </c>
      <c r="FJ2794" t="s">
        <v>59</v>
      </c>
    </row>
    <row r="2795" spans="153:166" x14ac:dyDescent="0.35">
      <c r="EW2795" t="s">
        <v>3124</v>
      </c>
      <c r="EX2795" s="35" t="s">
        <v>3970</v>
      </c>
      <c r="EY2795" s="35" t="s">
        <v>2072</v>
      </c>
      <c r="EZ2795" s="36" t="s">
        <v>2073</v>
      </c>
      <c r="FA2795" s="36" t="s">
        <v>2003</v>
      </c>
      <c r="FB2795" s="36" t="s">
        <v>2004</v>
      </c>
      <c r="FC2795" s="36" t="s">
        <v>2003</v>
      </c>
      <c r="FD2795" s="36" t="s">
        <v>2004</v>
      </c>
      <c r="FE2795" s="36">
        <v>2022</v>
      </c>
      <c r="FF2795" s="36" t="s">
        <v>59</v>
      </c>
      <c r="FG2795" s="36" t="s">
        <v>1193</v>
      </c>
      <c r="FJ2795" t="s">
        <v>59</v>
      </c>
    </row>
    <row r="2796" spans="153:166" x14ac:dyDescent="0.35">
      <c r="EW2796" t="s">
        <v>3124</v>
      </c>
      <c r="EX2796" s="35" t="s">
        <v>3971</v>
      </c>
      <c r="EY2796" s="35" t="s">
        <v>2074</v>
      </c>
      <c r="EZ2796" s="36" t="s">
        <v>2075</v>
      </c>
      <c r="FA2796" s="36" t="s">
        <v>2003</v>
      </c>
      <c r="FB2796" s="36" t="s">
        <v>2004</v>
      </c>
      <c r="FC2796" s="36" t="s">
        <v>2003</v>
      </c>
      <c r="FD2796" s="36" t="s">
        <v>2004</v>
      </c>
      <c r="FE2796" s="36">
        <v>2022</v>
      </c>
      <c r="FF2796" s="36" t="s">
        <v>59</v>
      </c>
      <c r="FG2796" s="36" t="s">
        <v>1728</v>
      </c>
      <c r="FJ2796" t="s">
        <v>59</v>
      </c>
    </row>
    <row r="2797" spans="153:166" x14ac:dyDescent="0.35">
      <c r="EW2797" t="s">
        <v>3124</v>
      </c>
      <c r="EX2797" s="35" t="s">
        <v>3972</v>
      </c>
      <c r="EY2797" s="35" t="s">
        <v>2076</v>
      </c>
      <c r="EZ2797" s="36" t="s">
        <v>2077</v>
      </c>
      <c r="FA2797" s="36" t="s">
        <v>2003</v>
      </c>
      <c r="FB2797" s="36" t="s">
        <v>2004</v>
      </c>
      <c r="FC2797" s="36" t="s">
        <v>2003</v>
      </c>
      <c r="FD2797" s="36" t="s">
        <v>2004</v>
      </c>
      <c r="FE2797" s="36">
        <v>2022</v>
      </c>
      <c r="FF2797" s="36" t="s">
        <v>59</v>
      </c>
      <c r="FG2797" s="36" t="s">
        <v>1728</v>
      </c>
      <c r="FJ2797" t="s">
        <v>59</v>
      </c>
    </row>
    <row r="2798" spans="153:166" x14ac:dyDescent="0.35">
      <c r="EW2798" t="s">
        <v>3124</v>
      </c>
      <c r="EX2798" s="35" t="s">
        <v>3973</v>
      </c>
      <c r="EY2798" s="35" t="s">
        <v>2078</v>
      </c>
      <c r="EZ2798" s="36" t="s">
        <v>2079</v>
      </c>
      <c r="FA2798" s="36" t="s">
        <v>2003</v>
      </c>
      <c r="FB2798" s="36" t="s">
        <v>2004</v>
      </c>
      <c r="FC2798" s="36" t="s">
        <v>2003</v>
      </c>
      <c r="FD2798" s="36" t="s">
        <v>2004</v>
      </c>
      <c r="FE2798" s="36">
        <v>2022</v>
      </c>
      <c r="FF2798" s="36" t="s">
        <v>59</v>
      </c>
      <c r="FG2798" s="36" t="s">
        <v>1193</v>
      </c>
      <c r="FJ2798" t="s">
        <v>59</v>
      </c>
    </row>
    <row r="2799" spans="153:166" x14ac:dyDescent="0.35">
      <c r="EW2799" t="s">
        <v>3124</v>
      </c>
      <c r="EX2799" s="35" t="s">
        <v>3974</v>
      </c>
      <c r="EY2799" s="35" t="s">
        <v>2080</v>
      </c>
      <c r="EZ2799" s="36" t="s">
        <v>2081</v>
      </c>
      <c r="FA2799" s="36" t="s">
        <v>2003</v>
      </c>
      <c r="FB2799" s="36" t="s">
        <v>2004</v>
      </c>
      <c r="FC2799" s="36" t="s">
        <v>2003</v>
      </c>
      <c r="FD2799" s="36" t="s">
        <v>2004</v>
      </c>
      <c r="FE2799" s="36">
        <v>2022</v>
      </c>
      <c r="FF2799" s="36" t="s">
        <v>59</v>
      </c>
      <c r="FG2799" s="36" t="s">
        <v>1728</v>
      </c>
      <c r="FJ2799" t="s">
        <v>59</v>
      </c>
    </row>
    <row r="2800" spans="153:166" x14ac:dyDescent="0.35">
      <c r="EW2800" t="s">
        <v>3124</v>
      </c>
      <c r="EX2800" s="35" t="s">
        <v>3975</v>
      </c>
      <c r="EY2800" s="35" t="s">
        <v>2084</v>
      </c>
      <c r="EZ2800" s="36" t="s">
        <v>2085</v>
      </c>
      <c r="FA2800" s="36" t="s">
        <v>2003</v>
      </c>
      <c r="FB2800" s="36" t="s">
        <v>2004</v>
      </c>
      <c r="FC2800" s="36" t="s">
        <v>2003</v>
      </c>
      <c r="FD2800" s="36" t="s">
        <v>2004</v>
      </c>
      <c r="FE2800" s="36">
        <v>2022</v>
      </c>
      <c r="FF2800" s="36" t="s">
        <v>59</v>
      </c>
      <c r="FG2800" s="36" t="s">
        <v>1728</v>
      </c>
      <c r="FJ2800" t="s">
        <v>59</v>
      </c>
    </row>
    <row r="2801" spans="153:166" x14ac:dyDescent="0.35">
      <c r="EW2801" t="s">
        <v>3124</v>
      </c>
      <c r="EX2801" s="35" t="s">
        <v>3976</v>
      </c>
      <c r="EY2801" s="35" t="s">
        <v>2086</v>
      </c>
      <c r="EZ2801" s="36" t="s">
        <v>2087</v>
      </c>
      <c r="FA2801" s="36" t="s">
        <v>2003</v>
      </c>
      <c r="FB2801" s="36" t="s">
        <v>2004</v>
      </c>
      <c r="FC2801" s="36" t="s">
        <v>2003</v>
      </c>
      <c r="FD2801" s="36" t="s">
        <v>2004</v>
      </c>
      <c r="FE2801" s="36">
        <v>2022</v>
      </c>
      <c r="FF2801" s="36" t="s">
        <v>59</v>
      </c>
      <c r="FG2801" s="36" t="s">
        <v>1728</v>
      </c>
      <c r="FJ2801" t="s">
        <v>59</v>
      </c>
    </row>
    <row r="2802" spans="153:166" x14ac:dyDescent="0.35">
      <c r="EW2802" t="s">
        <v>3124</v>
      </c>
      <c r="EX2802" s="35" t="s">
        <v>3977</v>
      </c>
      <c r="EY2802" s="35" t="s">
        <v>2088</v>
      </c>
      <c r="EZ2802" s="36" t="s">
        <v>2089</v>
      </c>
      <c r="FA2802" s="36" t="s">
        <v>2003</v>
      </c>
      <c r="FB2802" s="36" t="s">
        <v>2004</v>
      </c>
      <c r="FC2802" s="36" t="s">
        <v>2003</v>
      </c>
      <c r="FD2802" s="36" t="s">
        <v>2004</v>
      </c>
      <c r="FE2802" s="36">
        <v>2022</v>
      </c>
      <c r="FF2802" s="36" t="s">
        <v>59</v>
      </c>
      <c r="FG2802" s="36" t="s">
        <v>1728</v>
      </c>
      <c r="FJ2802" t="s">
        <v>59</v>
      </c>
    </row>
    <row r="2803" spans="153:166" x14ac:dyDescent="0.35">
      <c r="EW2803" t="s">
        <v>3124</v>
      </c>
      <c r="EX2803" s="35" t="s">
        <v>3978</v>
      </c>
      <c r="EY2803" s="35" t="s">
        <v>2090</v>
      </c>
      <c r="EZ2803" s="36" t="s">
        <v>2091</v>
      </c>
      <c r="FA2803" s="36" t="s">
        <v>2003</v>
      </c>
      <c r="FB2803" s="36" t="s">
        <v>2004</v>
      </c>
      <c r="FC2803" s="36" t="s">
        <v>2003</v>
      </c>
      <c r="FD2803" s="36" t="s">
        <v>2004</v>
      </c>
      <c r="FE2803" s="36">
        <v>2022</v>
      </c>
      <c r="FF2803" s="36" t="s">
        <v>59</v>
      </c>
      <c r="FG2803" s="36" t="s">
        <v>1728</v>
      </c>
      <c r="FJ2803" t="s">
        <v>59</v>
      </c>
    </row>
    <row r="2804" spans="153:166" x14ac:dyDescent="0.35">
      <c r="EW2804" t="s">
        <v>3124</v>
      </c>
      <c r="EX2804" s="35" t="s">
        <v>3979</v>
      </c>
      <c r="EY2804" s="35" t="s">
        <v>2092</v>
      </c>
      <c r="EZ2804" s="36" t="s">
        <v>2093</v>
      </c>
      <c r="FA2804" s="36" t="s">
        <v>2003</v>
      </c>
      <c r="FB2804" s="36" t="s">
        <v>2004</v>
      </c>
      <c r="FC2804" s="36" t="s">
        <v>2003</v>
      </c>
      <c r="FD2804" s="36" t="s">
        <v>2004</v>
      </c>
      <c r="FE2804" s="36">
        <v>2022</v>
      </c>
      <c r="FF2804" s="36" t="s">
        <v>59</v>
      </c>
      <c r="FG2804" s="36" t="s">
        <v>1728</v>
      </c>
      <c r="FJ2804" t="s">
        <v>59</v>
      </c>
    </row>
    <row r="2805" spans="153:166" x14ac:dyDescent="0.35">
      <c r="EW2805" t="s">
        <v>3124</v>
      </c>
      <c r="EX2805" s="35" t="s">
        <v>3980</v>
      </c>
      <c r="EY2805" s="35" t="s">
        <v>2095</v>
      </c>
      <c r="EZ2805" s="36" t="s">
        <v>2096</v>
      </c>
      <c r="FA2805" s="36" t="s">
        <v>2003</v>
      </c>
      <c r="FB2805" s="36" t="s">
        <v>2004</v>
      </c>
      <c r="FC2805" s="36" t="s">
        <v>2003</v>
      </c>
      <c r="FD2805" s="36" t="s">
        <v>2004</v>
      </c>
      <c r="FE2805" s="36">
        <v>2022</v>
      </c>
      <c r="FF2805" s="36" t="s">
        <v>59</v>
      </c>
      <c r="FG2805" s="36" t="s">
        <v>1193</v>
      </c>
      <c r="FJ2805" t="s">
        <v>59</v>
      </c>
    </row>
    <row r="2806" spans="153:166" x14ac:dyDescent="0.35">
      <c r="EW2806" t="s">
        <v>3124</v>
      </c>
      <c r="EX2806" s="35" t="s">
        <v>3981</v>
      </c>
      <c r="EY2806" s="35" t="s">
        <v>2097</v>
      </c>
      <c r="EZ2806" s="36" t="s">
        <v>2098</v>
      </c>
      <c r="FA2806" s="36" t="s">
        <v>2003</v>
      </c>
      <c r="FB2806" s="36" t="s">
        <v>2004</v>
      </c>
      <c r="FC2806" s="36" t="s">
        <v>2003</v>
      </c>
      <c r="FD2806" s="36" t="s">
        <v>2004</v>
      </c>
      <c r="FE2806" s="36">
        <v>2022</v>
      </c>
      <c r="FF2806" s="36" t="s">
        <v>59</v>
      </c>
      <c r="FG2806" s="36" t="s">
        <v>1728</v>
      </c>
      <c r="FJ2806" t="s">
        <v>59</v>
      </c>
    </row>
    <row r="2807" spans="153:166" x14ac:dyDescent="0.35">
      <c r="EW2807" t="s">
        <v>3124</v>
      </c>
      <c r="EX2807" s="35" t="s">
        <v>3982</v>
      </c>
      <c r="EY2807" s="35" t="s">
        <v>2099</v>
      </c>
      <c r="EZ2807" s="36" t="s">
        <v>2100</v>
      </c>
      <c r="FA2807" s="36" t="s">
        <v>2003</v>
      </c>
      <c r="FB2807" s="36" t="s">
        <v>2004</v>
      </c>
      <c r="FC2807" s="36" t="s">
        <v>2003</v>
      </c>
      <c r="FD2807" s="36" t="s">
        <v>2004</v>
      </c>
      <c r="FE2807" s="36">
        <v>2022</v>
      </c>
      <c r="FF2807" s="36" t="s">
        <v>59</v>
      </c>
      <c r="FG2807" s="36" t="s">
        <v>1728</v>
      </c>
      <c r="FJ2807" t="s">
        <v>59</v>
      </c>
    </row>
    <row r="2808" spans="153:166" x14ac:dyDescent="0.35">
      <c r="EW2808" t="s">
        <v>3124</v>
      </c>
      <c r="EX2808" s="35" t="s">
        <v>3983</v>
      </c>
      <c r="EY2808" s="35" t="s">
        <v>2101</v>
      </c>
      <c r="EZ2808" s="36" t="s">
        <v>2102</v>
      </c>
      <c r="FA2808" s="36" t="s">
        <v>2003</v>
      </c>
      <c r="FB2808" s="36" t="s">
        <v>2004</v>
      </c>
      <c r="FC2808" s="36" t="s">
        <v>2003</v>
      </c>
      <c r="FD2808" s="36" t="s">
        <v>2004</v>
      </c>
      <c r="FE2808" s="36">
        <v>2022</v>
      </c>
      <c r="FF2808" s="36" t="s">
        <v>59</v>
      </c>
      <c r="FG2808" s="36" t="s">
        <v>1193</v>
      </c>
      <c r="FJ2808" t="s">
        <v>59</v>
      </c>
    </row>
    <row r="2809" spans="153:166" x14ac:dyDescent="0.35">
      <c r="EW2809" t="s">
        <v>3124</v>
      </c>
      <c r="EX2809" s="35" t="s">
        <v>3984</v>
      </c>
      <c r="EY2809" s="35" t="s">
        <v>2103</v>
      </c>
      <c r="EZ2809" s="36" t="s">
        <v>2104</v>
      </c>
      <c r="FA2809" s="36" t="s">
        <v>2003</v>
      </c>
      <c r="FB2809" s="36" t="s">
        <v>2004</v>
      </c>
      <c r="FC2809" s="36" t="s">
        <v>2003</v>
      </c>
      <c r="FD2809" s="36" t="s">
        <v>2004</v>
      </c>
      <c r="FE2809" s="36">
        <v>2022</v>
      </c>
      <c r="FF2809" s="36" t="s">
        <v>59</v>
      </c>
      <c r="FG2809" s="36" t="s">
        <v>1728</v>
      </c>
      <c r="FJ2809" t="s">
        <v>59</v>
      </c>
    </row>
    <row r="2810" spans="153:166" x14ac:dyDescent="0.35">
      <c r="EW2810" t="s">
        <v>3124</v>
      </c>
      <c r="EX2810" s="35" t="s">
        <v>3985</v>
      </c>
      <c r="EY2810" s="35" t="s">
        <v>2105</v>
      </c>
      <c r="EZ2810" s="36" t="s">
        <v>2106</v>
      </c>
      <c r="FA2810" s="36" t="s">
        <v>2003</v>
      </c>
      <c r="FB2810" s="36" t="s">
        <v>2004</v>
      </c>
      <c r="FC2810" s="36" t="s">
        <v>2003</v>
      </c>
      <c r="FD2810" s="36" t="s">
        <v>2004</v>
      </c>
      <c r="FE2810" s="36">
        <v>2022</v>
      </c>
      <c r="FF2810" s="36" t="s">
        <v>59</v>
      </c>
      <c r="FG2810" s="36" t="s">
        <v>1728</v>
      </c>
      <c r="FJ2810" t="s">
        <v>59</v>
      </c>
    </row>
    <row r="2811" spans="153:166" x14ac:dyDescent="0.35">
      <c r="EW2811" t="s">
        <v>3124</v>
      </c>
      <c r="EX2811" s="35" t="s">
        <v>3986</v>
      </c>
      <c r="EY2811" s="35" t="s">
        <v>2107</v>
      </c>
      <c r="EZ2811" s="36" t="s">
        <v>2108</v>
      </c>
      <c r="FA2811" s="36" t="s">
        <v>2003</v>
      </c>
      <c r="FB2811" s="36" t="s">
        <v>2004</v>
      </c>
      <c r="FC2811" s="36" t="s">
        <v>2003</v>
      </c>
      <c r="FD2811" s="36" t="s">
        <v>2004</v>
      </c>
      <c r="FE2811" s="36">
        <v>2022</v>
      </c>
      <c r="FF2811" s="36" t="s">
        <v>59</v>
      </c>
      <c r="FG2811" s="36" t="s">
        <v>1728</v>
      </c>
      <c r="FJ2811" t="s">
        <v>59</v>
      </c>
    </row>
    <row r="2812" spans="153:166" x14ac:dyDescent="0.35">
      <c r="EW2812" t="s">
        <v>3124</v>
      </c>
      <c r="EX2812" s="35" t="s">
        <v>3987</v>
      </c>
      <c r="EY2812" s="35" t="s">
        <v>2109</v>
      </c>
      <c r="EZ2812" s="36" t="s">
        <v>2110</v>
      </c>
      <c r="FA2812" s="36" t="s">
        <v>2003</v>
      </c>
      <c r="FB2812" s="36" t="s">
        <v>2004</v>
      </c>
      <c r="FC2812" s="36" t="s">
        <v>2003</v>
      </c>
      <c r="FD2812" s="36" t="s">
        <v>2004</v>
      </c>
      <c r="FE2812" s="36">
        <v>2022</v>
      </c>
      <c r="FF2812" s="36" t="s">
        <v>59</v>
      </c>
      <c r="FG2812" s="36" t="s">
        <v>1728</v>
      </c>
      <c r="FJ2812" t="s">
        <v>59</v>
      </c>
    </row>
    <row r="2813" spans="153:166" x14ac:dyDescent="0.35">
      <c r="EW2813" t="s">
        <v>3124</v>
      </c>
      <c r="EX2813" s="35" t="s">
        <v>3988</v>
      </c>
      <c r="EY2813" s="35" t="s">
        <v>2111</v>
      </c>
      <c r="EZ2813" s="36" t="s">
        <v>2112</v>
      </c>
      <c r="FA2813" s="36" t="s">
        <v>2003</v>
      </c>
      <c r="FB2813" s="36" t="s">
        <v>2004</v>
      </c>
      <c r="FC2813" s="36" t="s">
        <v>2003</v>
      </c>
      <c r="FD2813" s="36" t="s">
        <v>2004</v>
      </c>
      <c r="FE2813" s="36">
        <v>2022</v>
      </c>
      <c r="FF2813" s="36" t="s">
        <v>59</v>
      </c>
      <c r="FG2813" s="36" t="s">
        <v>1728</v>
      </c>
      <c r="FJ2813" t="s">
        <v>59</v>
      </c>
    </row>
    <row r="2814" spans="153:166" x14ac:dyDescent="0.35">
      <c r="EW2814" t="s">
        <v>3124</v>
      </c>
      <c r="EX2814" s="35" t="s">
        <v>3989</v>
      </c>
      <c r="EY2814" s="35" t="s">
        <v>2113</v>
      </c>
      <c r="EZ2814" s="36" t="s">
        <v>2114</v>
      </c>
      <c r="FA2814" s="36" t="s">
        <v>2003</v>
      </c>
      <c r="FB2814" s="36" t="s">
        <v>2004</v>
      </c>
      <c r="FC2814" s="36" t="s">
        <v>2003</v>
      </c>
      <c r="FD2814" s="36" t="s">
        <v>2004</v>
      </c>
      <c r="FE2814" s="36">
        <v>2022</v>
      </c>
      <c r="FF2814" s="36" t="s">
        <v>59</v>
      </c>
      <c r="FG2814" s="36" t="s">
        <v>1728</v>
      </c>
      <c r="FJ2814" t="s">
        <v>59</v>
      </c>
    </row>
    <row r="2815" spans="153:166" x14ac:dyDescent="0.35">
      <c r="EW2815" t="s">
        <v>3124</v>
      </c>
      <c r="EX2815" s="35" t="s">
        <v>3990</v>
      </c>
      <c r="EY2815" s="35" t="s">
        <v>2115</v>
      </c>
      <c r="EZ2815" s="36" t="s">
        <v>2116</v>
      </c>
      <c r="FA2815" s="36" t="s">
        <v>2003</v>
      </c>
      <c r="FB2815" s="36" t="s">
        <v>2004</v>
      </c>
      <c r="FC2815" s="36" t="s">
        <v>2003</v>
      </c>
      <c r="FD2815" s="36" t="s">
        <v>2004</v>
      </c>
      <c r="FE2815" s="36">
        <v>2022</v>
      </c>
      <c r="FF2815" s="36" t="s">
        <v>59</v>
      </c>
      <c r="FG2815" s="36" t="s">
        <v>1728</v>
      </c>
      <c r="FJ2815" t="s">
        <v>59</v>
      </c>
    </row>
    <row r="2816" spans="153:166" x14ac:dyDescent="0.35">
      <c r="EW2816" t="s">
        <v>3124</v>
      </c>
      <c r="EX2816" s="35" t="s">
        <v>3991</v>
      </c>
      <c r="EY2816" s="35" t="s">
        <v>2117</v>
      </c>
      <c r="EZ2816" s="36" t="s">
        <v>2118</v>
      </c>
      <c r="FA2816" s="36" t="s">
        <v>2003</v>
      </c>
      <c r="FB2816" s="36" t="s">
        <v>2004</v>
      </c>
      <c r="FC2816" s="36" t="s">
        <v>2003</v>
      </c>
      <c r="FD2816" s="36" t="s">
        <v>2004</v>
      </c>
      <c r="FE2816" s="36">
        <v>2022</v>
      </c>
      <c r="FF2816" s="36" t="s">
        <v>59</v>
      </c>
      <c r="FG2816" s="36" t="s">
        <v>1193</v>
      </c>
      <c r="FJ2816" t="s">
        <v>59</v>
      </c>
    </row>
    <row r="2817" spans="153:166" x14ac:dyDescent="0.35">
      <c r="EW2817" t="s">
        <v>3124</v>
      </c>
      <c r="EX2817" s="35" t="s">
        <v>3992</v>
      </c>
      <c r="EY2817" s="35" t="s">
        <v>2119</v>
      </c>
      <c r="EZ2817" s="36" t="s">
        <v>2120</v>
      </c>
      <c r="FA2817" s="36" t="s">
        <v>2003</v>
      </c>
      <c r="FB2817" s="36" t="s">
        <v>2004</v>
      </c>
      <c r="FC2817" s="36" t="s">
        <v>2003</v>
      </c>
      <c r="FD2817" s="36" t="s">
        <v>2004</v>
      </c>
      <c r="FE2817" s="36">
        <v>2022</v>
      </c>
      <c r="FF2817" s="36" t="s">
        <v>59</v>
      </c>
      <c r="FG2817" s="36" t="s">
        <v>1193</v>
      </c>
      <c r="FJ2817" t="s">
        <v>59</v>
      </c>
    </row>
    <row r="2818" spans="153:166" x14ac:dyDescent="0.35">
      <c r="EW2818" t="s">
        <v>3124</v>
      </c>
      <c r="EX2818" s="35" t="s">
        <v>3993</v>
      </c>
      <c r="EY2818" s="35" t="s">
        <v>2121</v>
      </c>
      <c r="EZ2818" s="36" t="s">
        <v>2122</v>
      </c>
      <c r="FA2818" s="36" t="s">
        <v>2003</v>
      </c>
      <c r="FB2818" s="36" t="s">
        <v>2004</v>
      </c>
      <c r="FC2818" s="36" t="s">
        <v>2003</v>
      </c>
      <c r="FD2818" s="36" t="s">
        <v>2004</v>
      </c>
      <c r="FE2818" s="36">
        <v>2022</v>
      </c>
      <c r="FF2818" s="36" t="s">
        <v>59</v>
      </c>
      <c r="FG2818" s="36" t="s">
        <v>1728</v>
      </c>
      <c r="FJ2818" t="s">
        <v>59</v>
      </c>
    </row>
    <row r="2819" spans="153:166" x14ac:dyDescent="0.35">
      <c r="EW2819" t="s">
        <v>3124</v>
      </c>
      <c r="EX2819" s="35" t="s">
        <v>3994</v>
      </c>
      <c r="EY2819" s="35" t="s">
        <v>2123</v>
      </c>
      <c r="EZ2819" s="36" t="s">
        <v>2124</v>
      </c>
      <c r="FA2819" s="36" t="s">
        <v>2003</v>
      </c>
      <c r="FB2819" s="36" t="s">
        <v>2004</v>
      </c>
      <c r="FC2819" s="36" t="s">
        <v>2003</v>
      </c>
      <c r="FD2819" s="36" t="s">
        <v>2004</v>
      </c>
      <c r="FE2819" s="36">
        <v>2022</v>
      </c>
      <c r="FF2819" s="36" t="s">
        <v>59</v>
      </c>
      <c r="FG2819" s="36" t="s">
        <v>1728</v>
      </c>
      <c r="FJ2819" t="s">
        <v>59</v>
      </c>
    </row>
    <row r="2820" spans="153:166" x14ac:dyDescent="0.35">
      <c r="EW2820" t="s">
        <v>3124</v>
      </c>
      <c r="EX2820" s="35" t="s">
        <v>3995</v>
      </c>
      <c r="EY2820" s="35" t="s">
        <v>2125</v>
      </c>
      <c r="EZ2820" s="36" t="s">
        <v>2126</v>
      </c>
      <c r="FA2820" s="36" t="s">
        <v>2003</v>
      </c>
      <c r="FB2820" s="36" t="s">
        <v>2004</v>
      </c>
      <c r="FC2820" s="36" t="s">
        <v>2003</v>
      </c>
      <c r="FD2820" s="36" t="s">
        <v>2004</v>
      </c>
      <c r="FE2820" s="36">
        <v>2022</v>
      </c>
      <c r="FF2820" s="36" t="s">
        <v>59</v>
      </c>
      <c r="FG2820" s="36" t="s">
        <v>1728</v>
      </c>
      <c r="FJ2820" t="s">
        <v>59</v>
      </c>
    </row>
    <row r="2821" spans="153:166" x14ac:dyDescent="0.35">
      <c r="EW2821" t="s">
        <v>3124</v>
      </c>
      <c r="EX2821" s="35" t="s">
        <v>3996</v>
      </c>
      <c r="EY2821" s="35" t="s">
        <v>2127</v>
      </c>
      <c r="EZ2821" s="36" t="s">
        <v>2128</v>
      </c>
      <c r="FA2821" s="36" t="s">
        <v>2003</v>
      </c>
      <c r="FB2821" s="36" t="s">
        <v>2004</v>
      </c>
      <c r="FC2821" s="36" t="s">
        <v>2003</v>
      </c>
      <c r="FD2821" s="36" t="s">
        <v>2004</v>
      </c>
      <c r="FE2821" s="36">
        <v>2022</v>
      </c>
      <c r="FF2821" s="36" t="s">
        <v>59</v>
      </c>
      <c r="FG2821" s="36" t="s">
        <v>1728</v>
      </c>
      <c r="FJ2821" t="s">
        <v>59</v>
      </c>
    </row>
    <row r="2822" spans="153:166" x14ac:dyDescent="0.35">
      <c r="EW2822" t="s">
        <v>3124</v>
      </c>
      <c r="EX2822" s="35" t="s">
        <v>3997</v>
      </c>
      <c r="EY2822" s="35" t="s">
        <v>2129</v>
      </c>
      <c r="EZ2822" s="36" t="s">
        <v>2130</v>
      </c>
      <c r="FA2822" s="36" t="s">
        <v>2003</v>
      </c>
      <c r="FB2822" s="36" t="s">
        <v>2004</v>
      </c>
      <c r="FC2822" s="36" t="s">
        <v>2003</v>
      </c>
      <c r="FD2822" s="36" t="s">
        <v>2004</v>
      </c>
      <c r="FE2822" s="36">
        <v>2022</v>
      </c>
      <c r="FF2822" s="36" t="s">
        <v>59</v>
      </c>
      <c r="FG2822" s="36" t="s">
        <v>1728</v>
      </c>
      <c r="FJ2822" t="s">
        <v>59</v>
      </c>
    </row>
    <row r="2823" spans="153:166" x14ac:dyDescent="0.35">
      <c r="EW2823" t="s">
        <v>3124</v>
      </c>
      <c r="EX2823" s="35" t="s">
        <v>3998</v>
      </c>
      <c r="EY2823" s="35" t="s">
        <v>2131</v>
      </c>
      <c r="EZ2823" s="36" t="s">
        <v>2132</v>
      </c>
      <c r="FA2823" s="36" t="s">
        <v>2003</v>
      </c>
      <c r="FB2823" s="36" t="s">
        <v>2004</v>
      </c>
      <c r="FC2823" s="36" t="s">
        <v>2003</v>
      </c>
      <c r="FD2823" s="36" t="s">
        <v>2004</v>
      </c>
      <c r="FE2823" s="36">
        <v>2022</v>
      </c>
      <c r="FF2823" s="36" t="s">
        <v>59</v>
      </c>
      <c r="FG2823" s="36" t="s">
        <v>1728</v>
      </c>
      <c r="FJ2823" t="s">
        <v>59</v>
      </c>
    </row>
    <row r="2824" spans="153:166" x14ac:dyDescent="0.35">
      <c r="EW2824" t="s">
        <v>3124</v>
      </c>
      <c r="EX2824" s="35" t="s">
        <v>3999</v>
      </c>
      <c r="EY2824" s="35" t="s">
        <v>2133</v>
      </c>
      <c r="EZ2824" s="36" t="s">
        <v>2134</v>
      </c>
      <c r="FA2824" s="36" t="s">
        <v>2003</v>
      </c>
      <c r="FB2824" s="36" t="s">
        <v>2004</v>
      </c>
      <c r="FC2824" s="36" t="s">
        <v>2003</v>
      </c>
      <c r="FD2824" s="36" t="s">
        <v>2004</v>
      </c>
      <c r="FE2824" s="36">
        <v>2022</v>
      </c>
      <c r="FF2824" s="36" t="s">
        <v>59</v>
      </c>
      <c r="FG2824" s="36" t="s">
        <v>1193</v>
      </c>
      <c r="FJ2824" t="s">
        <v>59</v>
      </c>
    </row>
    <row r="2825" spans="153:166" x14ac:dyDescent="0.35">
      <c r="EW2825" t="s">
        <v>3124</v>
      </c>
      <c r="EX2825" s="35" t="s">
        <v>4000</v>
      </c>
      <c r="EY2825" s="35" t="s">
        <v>2135</v>
      </c>
      <c r="EZ2825" s="36" t="s">
        <v>2136</v>
      </c>
      <c r="FA2825" s="36" t="s">
        <v>2003</v>
      </c>
      <c r="FB2825" s="36" t="s">
        <v>2004</v>
      </c>
      <c r="FC2825" s="36" t="s">
        <v>2003</v>
      </c>
      <c r="FD2825" s="36" t="s">
        <v>2004</v>
      </c>
      <c r="FE2825" s="36">
        <v>2022</v>
      </c>
      <c r="FF2825" s="36" t="s">
        <v>59</v>
      </c>
      <c r="FG2825" s="36" t="s">
        <v>1193</v>
      </c>
      <c r="FJ2825" t="s">
        <v>59</v>
      </c>
    </row>
    <row r="2826" spans="153:166" x14ac:dyDescent="0.35">
      <c r="EW2826" t="s">
        <v>3124</v>
      </c>
      <c r="EX2826" s="35" t="s">
        <v>4001</v>
      </c>
      <c r="EY2826" s="35" t="s">
        <v>2137</v>
      </c>
      <c r="EZ2826" s="36" t="s">
        <v>2138</v>
      </c>
      <c r="FA2826" s="36" t="s">
        <v>2003</v>
      </c>
      <c r="FB2826" s="36" t="s">
        <v>2004</v>
      </c>
      <c r="FC2826" s="36" t="s">
        <v>2003</v>
      </c>
      <c r="FD2826" s="36" t="s">
        <v>2004</v>
      </c>
      <c r="FE2826" s="36">
        <v>2022</v>
      </c>
      <c r="FF2826" s="36" t="s">
        <v>59</v>
      </c>
      <c r="FG2826" s="36" t="s">
        <v>1193</v>
      </c>
      <c r="FJ2826" t="s">
        <v>59</v>
      </c>
    </row>
    <row r="2827" spans="153:166" x14ac:dyDescent="0.35">
      <c r="EW2827" t="s">
        <v>3124</v>
      </c>
      <c r="EX2827" s="35" t="s">
        <v>4002</v>
      </c>
      <c r="EY2827" s="35" t="s">
        <v>2141</v>
      </c>
      <c r="EZ2827" s="36" t="s">
        <v>2142</v>
      </c>
      <c r="FA2827" s="36" t="s">
        <v>2003</v>
      </c>
      <c r="FB2827" s="36" t="s">
        <v>2004</v>
      </c>
      <c r="FC2827" s="36" t="s">
        <v>2003</v>
      </c>
      <c r="FD2827" s="36" t="s">
        <v>2004</v>
      </c>
      <c r="FE2827" s="36">
        <v>2022</v>
      </c>
      <c r="FF2827" s="36" t="s">
        <v>59</v>
      </c>
      <c r="FG2827" s="36" t="s">
        <v>1728</v>
      </c>
      <c r="FJ2827" t="s">
        <v>59</v>
      </c>
    </row>
    <row r="2828" spans="153:166" x14ac:dyDescent="0.35">
      <c r="EW2828" t="s">
        <v>3124</v>
      </c>
      <c r="EX2828" s="35" t="s">
        <v>4003</v>
      </c>
      <c r="EY2828" s="35" t="s">
        <v>2143</v>
      </c>
      <c r="EZ2828" s="36" t="s">
        <v>2144</v>
      </c>
      <c r="FA2828" s="36" t="s">
        <v>2003</v>
      </c>
      <c r="FB2828" s="36" t="s">
        <v>2004</v>
      </c>
      <c r="FC2828" s="36" t="s">
        <v>2003</v>
      </c>
      <c r="FD2828" s="36" t="s">
        <v>2004</v>
      </c>
      <c r="FE2828" s="36">
        <v>2022</v>
      </c>
      <c r="FF2828" s="36" t="s">
        <v>59</v>
      </c>
      <c r="FG2828" s="36" t="s">
        <v>1193</v>
      </c>
      <c r="FJ2828" t="s">
        <v>59</v>
      </c>
    </row>
    <row r="2829" spans="153:166" x14ac:dyDescent="0.35">
      <c r="EW2829" t="s">
        <v>3124</v>
      </c>
      <c r="EX2829" s="35" t="s">
        <v>4004</v>
      </c>
      <c r="EY2829" s="35" t="s">
        <v>2145</v>
      </c>
      <c r="EZ2829" s="36" t="s">
        <v>2146</v>
      </c>
      <c r="FA2829" s="36" t="s">
        <v>2003</v>
      </c>
      <c r="FB2829" s="36" t="s">
        <v>2004</v>
      </c>
      <c r="FC2829" s="36" t="s">
        <v>2003</v>
      </c>
      <c r="FD2829" s="36" t="s">
        <v>2004</v>
      </c>
      <c r="FE2829" s="36">
        <v>2022</v>
      </c>
      <c r="FF2829" s="36" t="s">
        <v>59</v>
      </c>
      <c r="FG2829" s="36" t="s">
        <v>1728</v>
      </c>
      <c r="FJ2829" t="s">
        <v>59</v>
      </c>
    </row>
    <row r="2830" spans="153:166" x14ac:dyDescent="0.35">
      <c r="EW2830" t="s">
        <v>3124</v>
      </c>
      <c r="EX2830" s="35" t="s">
        <v>4005</v>
      </c>
      <c r="EY2830" s="35" t="s">
        <v>2147</v>
      </c>
      <c r="EZ2830" s="36" t="s">
        <v>2148</v>
      </c>
      <c r="FA2830" s="36" t="s">
        <v>2003</v>
      </c>
      <c r="FB2830" s="36" t="s">
        <v>2004</v>
      </c>
      <c r="FC2830" s="36" t="s">
        <v>2003</v>
      </c>
      <c r="FD2830" s="36" t="s">
        <v>2004</v>
      </c>
      <c r="FE2830" s="36">
        <v>2022</v>
      </c>
      <c r="FF2830" s="36" t="s">
        <v>59</v>
      </c>
      <c r="FG2830" s="36" t="s">
        <v>1728</v>
      </c>
      <c r="FJ2830" t="s">
        <v>59</v>
      </c>
    </row>
    <row r="2831" spans="153:166" x14ac:dyDescent="0.35">
      <c r="EW2831" t="s">
        <v>3124</v>
      </c>
      <c r="EX2831" s="35" t="s">
        <v>4006</v>
      </c>
      <c r="EY2831" s="35" t="s">
        <v>2149</v>
      </c>
      <c r="EZ2831" s="36" t="s">
        <v>2150</v>
      </c>
      <c r="FA2831" s="36" t="s">
        <v>2003</v>
      </c>
      <c r="FB2831" s="36" t="s">
        <v>2004</v>
      </c>
      <c r="FC2831" s="36" t="s">
        <v>2003</v>
      </c>
      <c r="FD2831" s="36" t="s">
        <v>2004</v>
      </c>
      <c r="FE2831" s="36">
        <v>2022</v>
      </c>
      <c r="FF2831" s="36" t="s">
        <v>59</v>
      </c>
      <c r="FG2831" s="36" t="s">
        <v>1193</v>
      </c>
      <c r="FJ2831" t="s">
        <v>59</v>
      </c>
    </row>
    <row r="2832" spans="153:166" x14ac:dyDescent="0.35">
      <c r="EW2832" t="s">
        <v>3124</v>
      </c>
      <c r="EX2832" s="35" t="s">
        <v>4007</v>
      </c>
      <c r="EY2832" s="35" t="s">
        <v>2151</v>
      </c>
      <c r="EZ2832" s="36" t="s">
        <v>2152</v>
      </c>
      <c r="FA2832" s="36" t="s">
        <v>2003</v>
      </c>
      <c r="FB2832" s="36" t="s">
        <v>2004</v>
      </c>
      <c r="FC2832" s="36" t="s">
        <v>2003</v>
      </c>
      <c r="FD2832" s="36" t="s">
        <v>2004</v>
      </c>
      <c r="FE2832" s="36">
        <v>2022</v>
      </c>
      <c r="FF2832" s="36" t="s">
        <v>59</v>
      </c>
      <c r="FG2832" s="36" t="s">
        <v>1728</v>
      </c>
      <c r="FJ2832" t="s">
        <v>59</v>
      </c>
    </row>
    <row r="2833" spans="153:166" x14ac:dyDescent="0.35">
      <c r="EW2833" t="s">
        <v>3124</v>
      </c>
      <c r="EX2833" s="35" t="s">
        <v>4008</v>
      </c>
      <c r="EY2833" s="35" t="s">
        <v>2153</v>
      </c>
      <c r="EZ2833" s="36" t="s">
        <v>2154</v>
      </c>
      <c r="FA2833" s="36" t="s">
        <v>2003</v>
      </c>
      <c r="FB2833" s="36" t="s">
        <v>2004</v>
      </c>
      <c r="FC2833" s="36" t="s">
        <v>2003</v>
      </c>
      <c r="FD2833" s="36" t="s">
        <v>2004</v>
      </c>
      <c r="FE2833" s="36">
        <v>2022</v>
      </c>
      <c r="FF2833" s="36" t="s">
        <v>59</v>
      </c>
      <c r="FG2833" s="36" t="s">
        <v>1193</v>
      </c>
      <c r="FJ2833" t="s">
        <v>59</v>
      </c>
    </row>
    <row r="2834" spans="153:166" x14ac:dyDescent="0.35">
      <c r="EW2834" t="s">
        <v>3124</v>
      </c>
      <c r="EX2834" s="43" t="s">
        <v>4009</v>
      </c>
      <c r="EY2834" s="35" t="s">
        <v>2155</v>
      </c>
      <c r="EZ2834" s="36" t="s">
        <v>2156</v>
      </c>
      <c r="FA2834" s="36" t="s">
        <v>2003</v>
      </c>
      <c r="FB2834" s="36" t="s">
        <v>2004</v>
      </c>
      <c r="FC2834" s="36" t="s">
        <v>2003</v>
      </c>
      <c r="FD2834" s="36" t="s">
        <v>2004</v>
      </c>
      <c r="FE2834" s="36">
        <v>2022</v>
      </c>
      <c r="FF2834" s="36" t="s">
        <v>59</v>
      </c>
      <c r="FG2834" s="36" t="s">
        <v>1728</v>
      </c>
      <c r="FJ2834" t="s">
        <v>59</v>
      </c>
    </row>
    <row r="2835" spans="153:166" x14ac:dyDescent="0.35">
      <c r="EW2835" t="s">
        <v>3124</v>
      </c>
      <c r="EX2835" s="43" t="s">
        <v>4010</v>
      </c>
      <c r="EY2835" s="35" t="s">
        <v>2157</v>
      </c>
      <c r="EZ2835" s="36" t="s">
        <v>2158</v>
      </c>
      <c r="FA2835" s="36" t="s">
        <v>2003</v>
      </c>
      <c r="FB2835" s="36" t="s">
        <v>2004</v>
      </c>
      <c r="FC2835" s="36" t="s">
        <v>2003</v>
      </c>
      <c r="FD2835" s="36" t="s">
        <v>2004</v>
      </c>
      <c r="FE2835" s="36">
        <v>2022</v>
      </c>
      <c r="FF2835" s="36" t="s">
        <v>59</v>
      </c>
      <c r="FG2835" s="36" t="s">
        <v>1193</v>
      </c>
      <c r="FJ2835" t="s">
        <v>59</v>
      </c>
    </row>
    <row r="2836" spans="153:166" x14ac:dyDescent="0.35">
      <c r="EW2836" t="s">
        <v>3124</v>
      </c>
      <c r="EX2836" s="43" t="s">
        <v>4011</v>
      </c>
      <c r="EY2836" s="35" t="s">
        <v>2159</v>
      </c>
      <c r="EZ2836" s="36" t="s">
        <v>2160</v>
      </c>
      <c r="FA2836" s="36" t="s">
        <v>2003</v>
      </c>
      <c r="FB2836" s="36" t="s">
        <v>2004</v>
      </c>
      <c r="FC2836" s="36" t="s">
        <v>2003</v>
      </c>
      <c r="FD2836" s="36" t="s">
        <v>2004</v>
      </c>
      <c r="FE2836" s="36">
        <v>2022</v>
      </c>
      <c r="FF2836" s="36" t="s">
        <v>59</v>
      </c>
      <c r="FG2836" s="36" t="s">
        <v>1728</v>
      </c>
      <c r="FJ2836" t="s">
        <v>59</v>
      </c>
    </row>
    <row r="2837" spans="153:166" x14ac:dyDescent="0.35">
      <c r="EW2837" t="s">
        <v>3124</v>
      </c>
      <c r="EX2837" s="43" t="s">
        <v>4012</v>
      </c>
      <c r="EY2837" s="35" t="s">
        <v>2161</v>
      </c>
      <c r="EZ2837" s="36" t="s">
        <v>2162</v>
      </c>
      <c r="FA2837" s="36" t="s">
        <v>2003</v>
      </c>
      <c r="FB2837" s="36" t="s">
        <v>2004</v>
      </c>
      <c r="FC2837" s="36" t="s">
        <v>2003</v>
      </c>
      <c r="FD2837" s="36" t="s">
        <v>2004</v>
      </c>
      <c r="FE2837" s="36">
        <v>2022</v>
      </c>
      <c r="FF2837" s="36" t="s">
        <v>59</v>
      </c>
      <c r="FG2837" s="36" t="s">
        <v>1193</v>
      </c>
      <c r="FJ2837" t="s">
        <v>59</v>
      </c>
    </row>
    <row r="2838" spans="153:166" x14ac:dyDescent="0.35">
      <c r="EW2838" t="s">
        <v>3124</v>
      </c>
      <c r="EX2838" s="43" t="s">
        <v>4013</v>
      </c>
      <c r="EY2838" s="35" t="s">
        <v>2163</v>
      </c>
      <c r="EZ2838" s="36" t="s">
        <v>2164</v>
      </c>
      <c r="FA2838" s="36" t="s">
        <v>2003</v>
      </c>
      <c r="FB2838" s="36" t="s">
        <v>2004</v>
      </c>
      <c r="FC2838" s="36" t="s">
        <v>2003</v>
      </c>
      <c r="FD2838" s="36" t="s">
        <v>2004</v>
      </c>
      <c r="FE2838" s="36">
        <v>2022</v>
      </c>
      <c r="FF2838" s="36" t="s">
        <v>59</v>
      </c>
      <c r="FG2838" s="36" t="s">
        <v>1193</v>
      </c>
      <c r="FJ2838" t="s">
        <v>59</v>
      </c>
    </row>
    <row r="2839" spans="153:166" x14ac:dyDescent="0.35">
      <c r="EW2839" t="s">
        <v>3124</v>
      </c>
      <c r="EX2839" s="43" t="s">
        <v>4014</v>
      </c>
      <c r="EY2839" s="35" t="s">
        <v>2165</v>
      </c>
      <c r="EZ2839" s="36" t="s">
        <v>2166</v>
      </c>
      <c r="FA2839" s="36" t="s">
        <v>2003</v>
      </c>
      <c r="FB2839" s="36" t="s">
        <v>2004</v>
      </c>
      <c r="FC2839" s="36" t="s">
        <v>2003</v>
      </c>
      <c r="FD2839" s="36" t="s">
        <v>2004</v>
      </c>
      <c r="FE2839" s="36">
        <v>2022</v>
      </c>
      <c r="FF2839" s="36" t="s">
        <v>59</v>
      </c>
      <c r="FG2839" s="36" t="s">
        <v>1193</v>
      </c>
      <c r="FJ2839" t="s">
        <v>59</v>
      </c>
    </row>
    <row r="2840" spans="153:166" x14ac:dyDescent="0.35">
      <c r="EW2840" t="s">
        <v>3124</v>
      </c>
      <c r="EX2840" s="43" t="s">
        <v>4015</v>
      </c>
      <c r="EY2840" s="35" t="s">
        <v>2167</v>
      </c>
      <c r="EZ2840" s="36" t="s">
        <v>2168</v>
      </c>
      <c r="FA2840" s="36" t="s">
        <v>2003</v>
      </c>
      <c r="FB2840" s="36" t="s">
        <v>2004</v>
      </c>
      <c r="FC2840" s="36" t="s">
        <v>2003</v>
      </c>
      <c r="FD2840" s="36" t="s">
        <v>2004</v>
      </c>
      <c r="FE2840" s="36">
        <v>2022</v>
      </c>
      <c r="FF2840" s="36" t="s">
        <v>59</v>
      </c>
      <c r="FG2840" s="36" t="s">
        <v>1193</v>
      </c>
      <c r="FJ2840" t="s">
        <v>59</v>
      </c>
    </row>
    <row r="2841" spans="153:166" x14ac:dyDescent="0.35">
      <c r="EW2841" t="s">
        <v>3124</v>
      </c>
      <c r="EX2841" s="43" t="s">
        <v>4016</v>
      </c>
      <c r="EY2841" s="35" t="s">
        <v>2169</v>
      </c>
      <c r="EZ2841" s="36" t="s">
        <v>2170</v>
      </c>
      <c r="FA2841" s="36" t="s">
        <v>2003</v>
      </c>
      <c r="FB2841" s="36" t="s">
        <v>2004</v>
      </c>
      <c r="FC2841" s="36" t="s">
        <v>2003</v>
      </c>
      <c r="FD2841" s="36" t="s">
        <v>2004</v>
      </c>
      <c r="FE2841" s="36">
        <v>2022</v>
      </c>
      <c r="FF2841" s="36" t="s">
        <v>59</v>
      </c>
      <c r="FG2841" s="36" t="s">
        <v>1193</v>
      </c>
      <c r="FJ2841" t="s">
        <v>59</v>
      </c>
    </row>
    <row r="2842" spans="153:166" x14ac:dyDescent="0.35">
      <c r="EW2842" t="s">
        <v>3124</v>
      </c>
      <c r="EX2842" s="43" t="s">
        <v>4017</v>
      </c>
      <c r="EY2842" s="35" t="s">
        <v>2171</v>
      </c>
      <c r="EZ2842" s="36" t="s">
        <v>2172</v>
      </c>
      <c r="FA2842" s="36" t="s">
        <v>2003</v>
      </c>
      <c r="FB2842" s="36" t="s">
        <v>2004</v>
      </c>
      <c r="FC2842" s="36" t="s">
        <v>2003</v>
      </c>
      <c r="FD2842" s="36" t="s">
        <v>2004</v>
      </c>
      <c r="FE2842" s="36">
        <v>2022</v>
      </c>
      <c r="FF2842" s="36" t="s">
        <v>59</v>
      </c>
      <c r="FG2842" s="36" t="s">
        <v>1193</v>
      </c>
      <c r="FJ2842" t="s">
        <v>59</v>
      </c>
    </row>
    <row r="2843" spans="153:166" x14ac:dyDescent="0.35">
      <c r="EW2843" t="s">
        <v>3124</v>
      </c>
      <c r="EX2843" s="43" t="s">
        <v>4018</v>
      </c>
      <c r="EY2843" s="35" t="s">
        <v>2173</v>
      </c>
      <c r="EZ2843" s="36" t="s">
        <v>2174</v>
      </c>
      <c r="FA2843" s="36" t="s">
        <v>2003</v>
      </c>
      <c r="FB2843" s="36" t="s">
        <v>2004</v>
      </c>
      <c r="FC2843" s="36" t="s">
        <v>2003</v>
      </c>
      <c r="FD2843" s="36" t="s">
        <v>2004</v>
      </c>
      <c r="FE2843" s="36">
        <v>2022</v>
      </c>
      <c r="FF2843" s="36" t="s">
        <v>59</v>
      </c>
      <c r="FG2843" s="36" t="s">
        <v>1193</v>
      </c>
      <c r="FJ2843" t="s">
        <v>59</v>
      </c>
    </row>
    <row r="2844" spans="153:166" x14ac:dyDescent="0.35">
      <c r="EW2844" t="s">
        <v>3124</v>
      </c>
      <c r="EX2844" s="43" t="s">
        <v>4019</v>
      </c>
      <c r="EY2844" s="35" t="s">
        <v>2175</v>
      </c>
      <c r="EZ2844" s="36" t="s">
        <v>2176</v>
      </c>
      <c r="FA2844" s="36" t="s">
        <v>2003</v>
      </c>
      <c r="FB2844" s="36" t="s">
        <v>2004</v>
      </c>
      <c r="FC2844" s="36" t="s">
        <v>2003</v>
      </c>
      <c r="FD2844" s="36" t="s">
        <v>2004</v>
      </c>
      <c r="FE2844" s="36">
        <v>2022</v>
      </c>
      <c r="FF2844" s="36" t="s">
        <v>59</v>
      </c>
      <c r="FG2844" s="36" t="s">
        <v>1193</v>
      </c>
      <c r="FJ2844" t="s">
        <v>59</v>
      </c>
    </row>
    <row r="2845" spans="153:166" x14ac:dyDescent="0.35">
      <c r="EW2845" t="s">
        <v>3124</v>
      </c>
      <c r="EX2845" s="43" t="s">
        <v>4020</v>
      </c>
      <c r="EY2845" s="35" t="s">
        <v>2177</v>
      </c>
      <c r="EZ2845" s="36" t="s">
        <v>2178</v>
      </c>
      <c r="FA2845" s="36" t="s">
        <v>2003</v>
      </c>
      <c r="FB2845" s="36" t="s">
        <v>2004</v>
      </c>
      <c r="FC2845" s="36" t="s">
        <v>2003</v>
      </c>
      <c r="FD2845" s="36" t="s">
        <v>2004</v>
      </c>
      <c r="FE2845" s="36">
        <v>2022</v>
      </c>
      <c r="FF2845" s="36" t="s">
        <v>59</v>
      </c>
      <c r="FG2845" s="36" t="s">
        <v>1728</v>
      </c>
      <c r="FJ2845" t="s">
        <v>59</v>
      </c>
    </row>
    <row r="2846" spans="153:166" x14ac:dyDescent="0.35">
      <c r="EW2846" t="s">
        <v>3124</v>
      </c>
      <c r="EX2846" s="43" t="s">
        <v>4021</v>
      </c>
      <c r="EY2846" s="35" t="s">
        <v>2179</v>
      </c>
      <c r="EZ2846" s="36" t="s">
        <v>2180</v>
      </c>
      <c r="FA2846" s="36" t="s">
        <v>2003</v>
      </c>
      <c r="FB2846" s="36" t="s">
        <v>2004</v>
      </c>
      <c r="FC2846" s="36" t="s">
        <v>2003</v>
      </c>
      <c r="FD2846" s="36" t="s">
        <v>2004</v>
      </c>
      <c r="FE2846" s="36">
        <v>2022</v>
      </c>
      <c r="FF2846" s="36" t="s">
        <v>59</v>
      </c>
      <c r="FG2846" s="36" t="s">
        <v>1193</v>
      </c>
      <c r="FJ2846" t="s">
        <v>59</v>
      </c>
    </row>
    <row r="2847" spans="153:166" x14ac:dyDescent="0.35">
      <c r="EW2847" t="s">
        <v>3124</v>
      </c>
      <c r="EX2847" s="43" t="s">
        <v>4022</v>
      </c>
      <c r="EY2847" s="35" t="s">
        <v>2181</v>
      </c>
      <c r="EZ2847" s="36" t="s">
        <v>2182</v>
      </c>
      <c r="FA2847" s="36" t="s">
        <v>2003</v>
      </c>
      <c r="FB2847" s="36" t="s">
        <v>2004</v>
      </c>
      <c r="FC2847" s="36" t="s">
        <v>2003</v>
      </c>
      <c r="FD2847" s="36" t="s">
        <v>2004</v>
      </c>
      <c r="FE2847" s="36">
        <v>2022</v>
      </c>
      <c r="FF2847" s="36" t="s">
        <v>59</v>
      </c>
      <c r="FG2847" s="36" t="s">
        <v>1193</v>
      </c>
      <c r="FJ2847" t="s">
        <v>59</v>
      </c>
    </row>
    <row r="2848" spans="153:166" x14ac:dyDescent="0.35">
      <c r="EW2848" t="s">
        <v>3124</v>
      </c>
      <c r="EX2848" s="43" t="s">
        <v>4023</v>
      </c>
      <c r="EY2848" s="35" t="s">
        <v>2183</v>
      </c>
      <c r="EZ2848" s="36" t="s">
        <v>2184</v>
      </c>
      <c r="FA2848" s="36" t="s">
        <v>2003</v>
      </c>
      <c r="FB2848" s="36" t="s">
        <v>2004</v>
      </c>
      <c r="FC2848" s="36" t="s">
        <v>2003</v>
      </c>
      <c r="FD2848" s="36" t="s">
        <v>2004</v>
      </c>
      <c r="FE2848" s="36">
        <v>2022</v>
      </c>
      <c r="FF2848" s="36" t="s">
        <v>59</v>
      </c>
      <c r="FG2848" s="36" t="s">
        <v>1193</v>
      </c>
      <c r="FJ2848" t="s">
        <v>59</v>
      </c>
    </row>
    <row r="2849" spans="153:166" x14ac:dyDescent="0.35">
      <c r="EW2849" t="s">
        <v>3124</v>
      </c>
      <c r="EX2849" s="35" t="s">
        <v>4024</v>
      </c>
      <c r="EY2849" s="35" t="s">
        <v>2185</v>
      </c>
      <c r="EZ2849" s="36" t="s">
        <v>2186</v>
      </c>
      <c r="FA2849" s="36" t="s">
        <v>2003</v>
      </c>
      <c r="FB2849" s="36" t="s">
        <v>2004</v>
      </c>
      <c r="FC2849" s="36" t="s">
        <v>2003</v>
      </c>
      <c r="FD2849" s="36" t="s">
        <v>2004</v>
      </c>
      <c r="FE2849" s="36">
        <v>2022</v>
      </c>
      <c r="FF2849" s="36" t="s">
        <v>59</v>
      </c>
      <c r="FG2849" s="36" t="s">
        <v>1728</v>
      </c>
      <c r="FJ2849" t="s">
        <v>59</v>
      </c>
    </row>
    <row r="2850" spans="153:166" x14ac:dyDescent="0.35">
      <c r="EW2850" t="s">
        <v>3124</v>
      </c>
      <c r="EX2850" s="35" t="s">
        <v>4025</v>
      </c>
      <c r="EY2850" s="35" t="s">
        <v>2187</v>
      </c>
      <c r="EZ2850" s="36" t="s">
        <v>2188</v>
      </c>
      <c r="FA2850" s="36" t="s">
        <v>2003</v>
      </c>
      <c r="FB2850" s="36" t="s">
        <v>2004</v>
      </c>
      <c r="FC2850" s="36" t="s">
        <v>2003</v>
      </c>
      <c r="FD2850" s="36" t="s">
        <v>2004</v>
      </c>
      <c r="FE2850" s="36">
        <v>2022</v>
      </c>
      <c r="FF2850" s="36" t="s">
        <v>59</v>
      </c>
      <c r="FG2850" s="36" t="s">
        <v>1193</v>
      </c>
      <c r="FJ2850" t="s">
        <v>59</v>
      </c>
    </row>
    <row r="2851" spans="153:166" x14ac:dyDescent="0.35">
      <c r="EW2851" t="s">
        <v>3124</v>
      </c>
      <c r="EX2851" s="35" t="s">
        <v>4026</v>
      </c>
      <c r="EY2851" s="35" t="s">
        <v>2189</v>
      </c>
      <c r="EZ2851" s="36" t="s">
        <v>2190</v>
      </c>
      <c r="FA2851" s="36" t="s">
        <v>2003</v>
      </c>
      <c r="FB2851" s="36" t="s">
        <v>2004</v>
      </c>
      <c r="FC2851" s="36" t="s">
        <v>2003</v>
      </c>
      <c r="FD2851" s="36" t="s">
        <v>2004</v>
      </c>
      <c r="FE2851" s="36">
        <v>2022</v>
      </c>
      <c r="FF2851" s="36" t="s">
        <v>59</v>
      </c>
      <c r="FG2851" s="36" t="s">
        <v>1193</v>
      </c>
      <c r="FJ2851" t="s">
        <v>59</v>
      </c>
    </row>
    <row r="2852" spans="153:166" x14ac:dyDescent="0.35">
      <c r="EW2852" t="s">
        <v>3124</v>
      </c>
      <c r="EX2852" s="35" t="s">
        <v>4027</v>
      </c>
      <c r="EY2852" s="35" t="s">
        <v>2191</v>
      </c>
      <c r="EZ2852" s="36" t="s">
        <v>2192</v>
      </c>
      <c r="FA2852" s="36" t="s">
        <v>2003</v>
      </c>
      <c r="FB2852" s="36" t="s">
        <v>2004</v>
      </c>
      <c r="FC2852" s="36" t="s">
        <v>2003</v>
      </c>
      <c r="FD2852" s="36" t="s">
        <v>2004</v>
      </c>
      <c r="FE2852" s="36">
        <v>2022</v>
      </c>
      <c r="FF2852" s="36" t="s">
        <v>59</v>
      </c>
      <c r="FG2852" s="36" t="s">
        <v>1193</v>
      </c>
      <c r="FJ2852" t="s">
        <v>59</v>
      </c>
    </row>
    <row r="2853" spans="153:166" x14ac:dyDescent="0.35">
      <c r="EW2853" t="s">
        <v>3124</v>
      </c>
      <c r="EX2853" s="35" t="s">
        <v>4028</v>
      </c>
      <c r="EY2853" s="35" t="s">
        <v>2193</v>
      </c>
      <c r="EZ2853" s="36" t="s">
        <v>2194</v>
      </c>
      <c r="FA2853" s="36" t="s">
        <v>2003</v>
      </c>
      <c r="FB2853" s="36" t="s">
        <v>2004</v>
      </c>
      <c r="FC2853" s="36" t="s">
        <v>2003</v>
      </c>
      <c r="FD2853" s="36" t="s">
        <v>2004</v>
      </c>
      <c r="FE2853" s="36">
        <v>2022</v>
      </c>
      <c r="FF2853" s="36" t="s">
        <v>59</v>
      </c>
      <c r="FG2853" s="36" t="s">
        <v>1728</v>
      </c>
      <c r="FJ2853" t="s">
        <v>59</v>
      </c>
    </row>
    <row r="2854" spans="153:166" x14ac:dyDescent="0.35">
      <c r="EW2854" t="s">
        <v>3124</v>
      </c>
      <c r="EX2854" s="35" t="s">
        <v>4029</v>
      </c>
      <c r="EY2854" s="35" t="s">
        <v>2195</v>
      </c>
      <c r="EZ2854" s="36" t="s">
        <v>2196</v>
      </c>
      <c r="FA2854" s="36" t="s">
        <v>2003</v>
      </c>
      <c r="FB2854" s="36" t="s">
        <v>2004</v>
      </c>
      <c r="FC2854" s="36" t="s">
        <v>2003</v>
      </c>
      <c r="FD2854" s="36" t="s">
        <v>2004</v>
      </c>
      <c r="FE2854" s="36">
        <v>2022</v>
      </c>
      <c r="FF2854" s="36" t="s">
        <v>59</v>
      </c>
      <c r="FG2854" s="36" t="s">
        <v>1728</v>
      </c>
      <c r="FJ2854" t="s">
        <v>59</v>
      </c>
    </row>
    <row r="2855" spans="153:166" x14ac:dyDescent="0.35">
      <c r="EW2855" t="s">
        <v>3124</v>
      </c>
      <c r="EX2855" s="35" t="s">
        <v>4030</v>
      </c>
      <c r="EY2855" s="35" t="s">
        <v>2197</v>
      </c>
      <c r="EZ2855" s="36" t="s">
        <v>2198</v>
      </c>
      <c r="FA2855" s="36" t="s">
        <v>2003</v>
      </c>
      <c r="FB2855" s="36" t="s">
        <v>2004</v>
      </c>
      <c r="FC2855" s="36" t="s">
        <v>2003</v>
      </c>
      <c r="FD2855" s="36" t="s">
        <v>2004</v>
      </c>
      <c r="FE2855" s="36">
        <v>2022</v>
      </c>
      <c r="FF2855" s="36" t="s">
        <v>59</v>
      </c>
      <c r="FG2855" s="36" t="s">
        <v>1193</v>
      </c>
      <c r="FJ2855" t="s">
        <v>59</v>
      </c>
    </row>
    <row r="2856" spans="153:166" x14ac:dyDescent="0.35">
      <c r="EW2856" t="s">
        <v>3124</v>
      </c>
      <c r="EX2856" s="35" t="s">
        <v>4031</v>
      </c>
      <c r="EY2856" s="35" t="s">
        <v>2199</v>
      </c>
      <c r="EZ2856" s="36" t="s">
        <v>2200</v>
      </c>
      <c r="FA2856" s="36" t="s">
        <v>2003</v>
      </c>
      <c r="FB2856" s="36" t="s">
        <v>2004</v>
      </c>
      <c r="FC2856" s="36" t="s">
        <v>2003</v>
      </c>
      <c r="FD2856" s="36" t="s">
        <v>2004</v>
      </c>
      <c r="FE2856" s="36">
        <v>2022</v>
      </c>
      <c r="FF2856" s="36" t="s">
        <v>59</v>
      </c>
      <c r="FG2856" s="36" t="s">
        <v>1728</v>
      </c>
      <c r="FJ2856" t="s">
        <v>59</v>
      </c>
    </row>
    <row r="2857" spans="153:166" x14ac:dyDescent="0.35">
      <c r="EW2857" t="s">
        <v>3124</v>
      </c>
      <c r="EX2857" s="35" t="s">
        <v>4032</v>
      </c>
      <c r="EY2857" s="35" t="s">
        <v>2201</v>
      </c>
      <c r="EZ2857" s="36" t="s">
        <v>2202</v>
      </c>
      <c r="FA2857" s="36" t="s">
        <v>2003</v>
      </c>
      <c r="FB2857" s="36" t="s">
        <v>2004</v>
      </c>
      <c r="FC2857" s="36" t="s">
        <v>2003</v>
      </c>
      <c r="FD2857" s="36" t="s">
        <v>2004</v>
      </c>
      <c r="FE2857" s="36">
        <v>2022</v>
      </c>
      <c r="FF2857" s="36" t="s">
        <v>59</v>
      </c>
      <c r="FG2857" s="36" t="s">
        <v>1193</v>
      </c>
      <c r="FJ2857" t="s">
        <v>59</v>
      </c>
    </row>
    <row r="2858" spans="153:166" x14ac:dyDescent="0.35">
      <c r="EW2858" t="s">
        <v>3124</v>
      </c>
      <c r="EX2858" s="35" t="s">
        <v>4033</v>
      </c>
      <c r="EY2858" s="35" t="s">
        <v>2203</v>
      </c>
      <c r="EZ2858" s="36" t="s">
        <v>2204</v>
      </c>
      <c r="FA2858" s="36" t="s">
        <v>2003</v>
      </c>
      <c r="FB2858" s="36" t="s">
        <v>2004</v>
      </c>
      <c r="FC2858" s="36" t="s">
        <v>2003</v>
      </c>
      <c r="FD2858" s="36" t="s">
        <v>2004</v>
      </c>
      <c r="FE2858" s="36">
        <v>2022</v>
      </c>
      <c r="FF2858" s="36" t="s">
        <v>59</v>
      </c>
      <c r="FG2858" s="36" t="s">
        <v>1728</v>
      </c>
      <c r="FJ2858" t="s">
        <v>59</v>
      </c>
    </row>
    <row r="2859" spans="153:166" x14ac:dyDescent="0.35">
      <c r="EW2859" t="s">
        <v>3124</v>
      </c>
      <c r="EX2859" s="35" t="s">
        <v>4034</v>
      </c>
      <c r="EY2859" s="35" t="s">
        <v>2205</v>
      </c>
      <c r="EZ2859" s="36" t="s">
        <v>2206</v>
      </c>
      <c r="FA2859" s="36" t="s">
        <v>2003</v>
      </c>
      <c r="FB2859" s="36" t="s">
        <v>2004</v>
      </c>
      <c r="FC2859" s="36" t="s">
        <v>2003</v>
      </c>
      <c r="FD2859" s="36" t="s">
        <v>2004</v>
      </c>
      <c r="FE2859" s="36">
        <v>2022</v>
      </c>
      <c r="FF2859" s="36" t="s">
        <v>59</v>
      </c>
      <c r="FG2859" s="36" t="s">
        <v>1728</v>
      </c>
      <c r="FJ2859" t="s">
        <v>59</v>
      </c>
    </row>
    <row r="2860" spans="153:166" x14ac:dyDescent="0.35">
      <c r="EW2860" t="s">
        <v>3124</v>
      </c>
      <c r="EX2860" s="35" t="s">
        <v>4035</v>
      </c>
      <c r="EY2860" s="35" t="s">
        <v>2209</v>
      </c>
      <c r="EZ2860" s="36" t="s">
        <v>2210</v>
      </c>
      <c r="FA2860" s="36" t="s">
        <v>2003</v>
      </c>
      <c r="FB2860" s="36" t="s">
        <v>2004</v>
      </c>
      <c r="FC2860" s="36" t="s">
        <v>2003</v>
      </c>
      <c r="FD2860" s="36" t="s">
        <v>2004</v>
      </c>
      <c r="FE2860" s="36">
        <v>2022</v>
      </c>
      <c r="FF2860" s="36" t="s">
        <v>59</v>
      </c>
      <c r="FG2860" s="36" t="s">
        <v>1728</v>
      </c>
      <c r="FJ2860" t="s">
        <v>59</v>
      </c>
    </row>
    <row r="2861" spans="153:166" x14ac:dyDescent="0.35">
      <c r="EW2861" t="s">
        <v>3124</v>
      </c>
      <c r="EX2861" s="35" t="s">
        <v>4036</v>
      </c>
      <c r="EY2861" s="35" t="s">
        <v>2211</v>
      </c>
      <c r="EZ2861" s="36" t="s">
        <v>2212</v>
      </c>
      <c r="FA2861" s="36" t="s">
        <v>2003</v>
      </c>
      <c r="FB2861" s="36" t="s">
        <v>2004</v>
      </c>
      <c r="FC2861" s="36" t="s">
        <v>2003</v>
      </c>
      <c r="FD2861" s="36" t="s">
        <v>2004</v>
      </c>
      <c r="FE2861" s="36">
        <v>2022</v>
      </c>
      <c r="FF2861" s="36" t="s">
        <v>59</v>
      </c>
      <c r="FG2861" s="36" t="s">
        <v>1728</v>
      </c>
      <c r="FJ2861" t="s">
        <v>59</v>
      </c>
    </row>
    <row r="2862" spans="153:166" x14ac:dyDescent="0.35">
      <c r="EW2862" t="s">
        <v>3124</v>
      </c>
      <c r="EX2862" s="35" t="s">
        <v>4037</v>
      </c>
      <c r="EY2862" s="35" t="s">
        <v>2213</v>
      </c>
      <c r="EZ2862" s="36" t="s">
        <v>2214</v>
      </c>
      <c r="FA2862" s="36" t="s">
        <v>2003</v>
      </c>
      <c r="FB2862" s="36" t="s">
        <v>2004</v>
      </c>
      <c r="FC2862" s="36" t="s">
        <v>2003</v>
      </c>
      <c r="FD2862" s="36" t="s">
        <v>2004</v>
      </c>
      <c r="FE2862" s="36">
        <v>2022</v>
      </c>
      <c r="FF2862" s="36" t="s">
        <v>59</v>
      </c>
      <c r="FG2862" s="36" t="s">
        <v>1728</v>
      </c>
      <c r="FJ2862" t="s">
        <v>59</v>
      </c>
    </row>
    <row r="2863" spans="153:166" x14ac:dyDescent="0.35">
      <c r="EW2863" t="s">
        <v>3124</v>
      </c>
      <c r="EX2863" s="35" t="s">
        <v>4038</v>
      </c>
      <c r="EY2863" s="35" t="s">
        <v>2215</v>
      </c>
      <c r="EZ2863" s="36" t="s">
        <v>2216</v>
      </c>
      <c r="FA2863" s="36" t="s">
        <v>2003</v>
      </c>
      <c r="FB2863" s="36" t="s">
        <v>2004</v>
      </c>
      <c r="FC2863" s="36" t="s">
        <v>2003</v>
      </c>
      <c r="FD2863" s="36" t="s">
        <v>2004</v>
      </c>
      <c r="FE2863" s="36">
        <v>2022</v>
      </c>
      <c r="FF2863" s="36" t="s">
        <v>59</v>
      </c>
      <c r="FG2863" s="36" t="s">
        <v>1193</v>
      </c>
      <c r="FJ2863" t="s">
        <v>59</v>
      </c>
    </row>
    <row r="2864" spans="153:166" x14ac:dyDescent="0.35">
      <c r="EW2864" t="s">
        <v>3124</v>
      </c>
      <c r="EX2864" s="35" t="s">
        <v>4039</v>
      </c>
      <c r="EY2864" s="35" t="s">
        <v>2217</v>
      </c>
      <c r="EZ2864" s="36" t="s">
        <v>2218</v>
      </c>
      <c r="FA2864" s="36" t="s">
        <v>2003</v>
      </c>
      <c r="FB2864" s="36" t="s">
        <v>2004</v>
      </c>
      <c r="FC2864" s="36" t="s">
        <v>2003</v>
      </c>
      <c r="FD2864" s="36" t="s">
        <v>2004</v>
      </c>
      <c r="FE2864" s="36">
        <v>2022</v>
      </c>
      <c r="FF2864" s="36" t="s">
        <v>59</v>
      </c>
      <c r="FG2864" s="36" t="s">
        <v>1193</v>
      </c>
      <c r="FJ2864" t="s">
        <v>59</v>
      </c>
    </row>
    <row r="2865" spans="153:166" x14ac:dyDescent="0.35">
      <c r="EW2865" t="s">
        <v>3124</v>
      </c>
      <c r="EX2865" s="35" t="s">
        <v>4040</v>
      </c>
      <c r="EY2865" s="35" t="s">
        <v>2219</v>
      </c>
      <c r="EZ2865" s="36" t="s">
        <v>2220</v>
      </c>
      <c r="FA2865" s="36" t="s">
        <v>2003</v>
      </c>
      <c r="FB2865" s="36" t="s">
        <v>2004</v>
      </c>
      <c r="FC2865" s="36" t="s">
        <v>2003</v>
      </c>
      <c r="FD2865" s="36" t="s">
        <v>2004</v>
      </c>
      <c r="FE2865" s="36">
        <v>2022</v>
      </c>
      <c r="FF2865" s="36" t="s">
        <v>59</v>
      </c>
      <c r="FG2865" s="36" t="s">
        <v>1193</v>
      </c>
      <c r="FJ2865" t="s">
        <v>59</v>
      </c>
    </row>
    <row r="2866" spans="153:166" x14ac:dyDescent="0.35">
      <c r="EW2866" t="s">
        <v>3124</v>
      </c>
      <c r="EX2866" s="35" t="s">
        <v>4041</v>
      </c>
      <c r="EY2866" s="35" t="s">
        <v>2221</v>
      </c>
      <c r="EZ2866" s="36" t="s">
        <v>2222</v>
      </c>
      <c r="FA2866" s="36" t="s">
        <v>2003</v>
      </c>
      <c r="FB2866" s="36" t="s">
        <v>2004</v>
      </c>
      <c r="FC2866" s="36" t="s">
        <v>2003</v>
      </c>
      <c r="FD2866" s="36" t="s">
        <v>2004</v>
      </c>
      <c r="FE2866" s="36">
        <v>2022</v>
      </c>
      <c r="FF2866" s="36" t="s">
        <v>59</v>
      </c>
      <c r="FG2866" s="36" t="s">
        <v>1193</v>
      </c>
      <c r="FJ2866" t="s">
        <v>59</v>
      </c>
    </row>
    <row r="2867" spans="153:166" x14ac:dyDescent="0.35">
      <c r="EW2867" t="s">
        <v>3124</v>
      </c>
      <c r="EX2867" s="35" t="s">
        <v>4042</v>
      </c>
      <c r="EY2867" s="35" t="s">
        <v>2223</v>
      </c>
      <c r="EZ2867" s="36" t="s">
        <v>2224</v>
      </c>
      <c r="FA2867" s="36" t="s">
        <v>2003</v>
      </c>
      <c r="FB2867" s="36" t="s">
        <v>2004</v>
      </c>
      <c r="FC2867" s="36" t="s">
        <v>2003</v>
      </c>
      <c r="FD2867" s="36" t="s">
        <v>2004</v>
      </c>
      <c r="FE2867" s="36">
        <v>2022</v>
      </c>
      <c r="FF2867" s="36" t="s">
        <v>59</v>
      </c>
      <c r="FG2867" s="36" t="s">
        <v>1728</v>
      </c>
      <c r="FJ2867" t="s">
        <v>59</v>
      </c>
    </row>
    <row r="2868" spans="153:166" x14ac:dyDescent="0.35">
      <c r="EW2868" t="s">
        <v>3124</v>
      </c>
      <c r="EX2868" s="35" t="s">
        <v>4043</v>
      </c>
      <c r="EY2868" s="35" t="s">
        <v>2225</v>
      </c>
      <c r="EZ2868" s="36">
        <v>593521</v>
      </c>
      <c r="FA2868" s="36" t="s">
        <v>1726</v>
      </c>
      <c r="FB2868" s="36" t="s">
        <v>473</v>
      </c>
      <c r="FC2868" s="36" t="s">
        <v>53</v>
      </c>
      <c r="FD2868" s="36" t="s">
        <v>476</v>
      </c>
      <c r="FE2868" s="36">
        <v>2023</v>
      </c>
      <c r="FF2868" s="36" t="s">
        <v>474</v>
      </c>
      <c r="FG2868" s="36" t="s">
        <v>1728</v>
      </c>
      <c r="FJ2868" t="s">
        <v>474</v>
      </c>
    </row>
    <row r="2869" spans="153:166" x14ac:dyDescent="0.35">
      <c r="EW2869" t="s">
        <v>3124</v>
      </c>
      <c r="EX2869" s="35" t="s">
        <v>4044</v>
      </c>
      <c r="EY2869" s="35" t="s">
        <v>2226</v>
      </c>
      <c r="EZ2869" s="36">
        <v>593751</v>
      </c>
      <c r="FA2869" s="36" t="s">
        <v>1726</v>
      </c>
      <c r="FB2869" s="36" t="s">
        <v>473</v>
      </c>
      <c r="FC2869" s="36" t="s">
        <v>53</v>
      </c>
      <c r="FD2869" s="36" t="s">
        <v>476</v>
      </c>
      <c r="FE2869" s="36">
        <v>2023</v>
      </c>
      <c r="FF2869" s="36" t="s">
        <v>474</v>
      </c>
      <c r="FG2869" s="36" t="s">
        <v>1728</v>
      </c>
      <c r="FJ2869" t="s">
        <v>474</v>
      </c>
    </row>
    <row r="2870" spans="153:166" x14ac:dyDescent="0.35">
      <c r="EW2870" t="s">
        <v>3124</v>
      </c>
      <c r="EX2870" s="35" t="s">
        <v>4045</v>
      </c>
      <c r="EY2870" s="35" t="s">
        <v>2227</v>
      </c>
      <c r="EZ2870" s="36">
        <v>595002</v>
      </c>
      <c r="FA2870" s="36" t="s">
        <v>1726</v>
      </c>
      <c r="FB2870" s="36" t="s">
        <v>473</v>
      </c>
      <c r="FC2870" s="36" t="s">
        <v>53</v>
      </c>
      <c r="FD2870" s="36" t="s">
        <v>476</v>
      </c>
      <c r="FE2870" s="36">
        <v>2023</v>
      </c>
      <c r="FF2870" s="36" t="s">
        <v>474</v>
      </c>
      <c r="FG2870" s="36" t="s">
        <v>1728</v>
      </c>
      <c r="FJ2870" t="s">
        <v>474</v>
      </c>
    </row>
    <row r="2871" spans="153:166" x14ac:dyDescent="0.35">
      <c r="EW2871" t="s">
        <v>3124</v>
      </c>
      <c r="EX2871" s="35" t="s">
        <v>4046</v>
      </c>
      <c r="EY2871" s="35" t="s">
        <v>2228</v>
      </c>
      <c r="EZ2871" s="36">
        <v>598537</v>
      </c>
      <c r="FA2871" s="36" t="s">
        <v>1726</v>
      </c>
      <c r="FB2871" s="36" t="s">
        <v>473</v>
      </c>
      <c r="FC2871" s="36" t="s">
        <v>53</v>
      </c>
      <c r="FD2871" s="36" t="s">
        <v>476</v>
      </c>
      <c r="FE2871" s="36">
        <v>2023</v>
      </c>
      <c r="FF2871" s="36" t="s">
        <v>474</v>
      </c>
      <c r="FG2871" s="36" t="s">
        <v>1728</v>
      </c>
      <c r="FJ2871" t="s">
        <v>474</v>
      </c>
    </row>
    <row r="2872" spans="153:166" x14ac:dyDescent="0.35">
      <c r="EW2872" t="s">
        <v>3124</v>
      </c>
      <c r="EX2872" s="35" t="s">
        <v>4047</v>
      </c>
      <c r="EY2872" s="35" t="s">
        <v>2229</v>
      </c>
      <c r="EZ2872" s="36" t="s">
        <v>2230</v>
      </c>
      <c r="FA2872" s="36" t="s">
        <v>1192</v>
      </c>
      <c r="FB2872" s="36" t="s">
        <v>344</v>
      </c>
      <c r="FC2872" s="36" t="s">
        <v>1192</v>
      </c>
      <c r="FD2872" s="36" t="s">
        <v>344</v>
      </c>
      <c r="FE2872" s="36">
        <v>2026</v>
      </c>
      <c r="FF2872" s="36" t="s">
        <v>59</v>
      </c>
      <c r="FG2872" s="36" t="s">
        <v>1584</v>
      </c>
      <c r="FJ2872" t="s">
        <v>59</v>
      </c>
    </row>
    <row r="2873" spans="153:166" x14ac:dyDescent="0.35">
      <c r="EW2873" t="s">
        <v>3124</v>
      </c>
      <c r="EX2873" s="35" t="s">
        <v>4048</v>
      </c>
      <c r="EY2873" s="35" t="s">
        <v>2231</v>
      </c>
      <c r="EZ2873" s="36" t="s">
        <v>2232</v>
      </c>
      <c r="FA2873" s="36" t="s">
        <v>1192</v>
      </c>
      <c r="FB2873" s="36" t="s">
        <v>344</v>
      </c>
      <c r="FC2873" s="36" t="s">
        <v>1192</v>
      </c>
      <c r="FD2873" s="36" t="s">
        <v>344</v>
      </c>
      <c r="FE2873" s="36">
        <v>2026</v>
      </c>
      <c r="FF2873" s="36" t="s">
        <v>59</v>
      </c>
      <c r="FG2873" s="36" t="s">
        <v>1584</v>
      </c>
      <c r="FJ2873" t="s">
        <v>59</v>
      </c>
    </row>
    <row r="2874" spans="153:166" x14ac:dyDescent="0.35">
      <c r="EW2874" t="s">
        <v>3124</v>
      </c>
      <c r="EX2874" s="35" t="s">
        <v>4049</v>
      </c>
      <c r="EY2874" s="35" t="s">
        <v>2233</v>
      </c>
      <c r="EZ2874" s="36" t="s">
        <v>2234</v>
      </c>
      <c r="FA2874" s="36" t="s">
        <v>1192</v>
      </c>
      <c r="FB2874" s="36" t="s">
        <v>344</v>
      </c>
      <c r="FC2874" s="36" t="s">
        <v>1192</v>
      </c>
      <c r="FD2874" s="36" t="s">
        <v>344</v>
      </c>
      <c r="FE2874" s="36">
        <v>2026</v>
      </c>
      <c r="FF2874" s="36" t="s">
        <v>59</v>
      </c>
      <c r="FG2874" s="36" t="s">
        <v>1584</v>
      </c>
      <c r="FJ2874" t="s">
        <v>59</v>
      </c>
    </row>
    <row r="2875" spans="153:166" x14ac:dyDescent="0.35">
      <c r="EW2875" t="s">
        <v>3124</v>
      </c>
      <c r="EX2875" s="35" t="s">
        <v>4050</v>
      </c>
      <c r="EY2875" s="35" t="s">
        <v>2235</v>
      </c>
      <c r="EZ2875" s="36" t="s">
        <v>2236</v>
      </c>
      <c r="FA2875" s="36" t="s">
        <v>1192</v>
      </c>
      <c r="FB2875" s="36" t="s">
        <v>344</v>
      </c>
      <c r="FC2875" s="36" t="s">
        <v>1192</v>
      </c>
      <c r="FD2875" s="36" t="s">
        <v>344</v>
      </c>
      <c r="FE2875" s="36">
        <v>2026</v>
      </c>
      <c r="FF2875" s="36" t="s">
        <v>59</v>
      </c>
      <c r="FG2875" s="36" t="s">
        <v>1584</v>
      </c>
      <c r="FJ2875" t="s">
        <v>59</v>
      </c>
    </row>
    <row r="2876" spans="153:166" x14ac:dyDescent="0.35">
      <c r="EW2876" t="s">
        <v>3124</v>
      </c>
      <c r="EX2876" s="35" t="s">
        <v>4051</v>
      </c>
      <c r="EY2876" s="35" t="s">
        <v>2237</v>
      </c>
      <c r="EZ2876" s="36" t="s">
        <v>2238</v>
      </c>
      <c r="FA2876" s="36" t="s">
        <v>1192</v>
      </c>
      <c r="FB2876" s="36" t="s">
        <v>344</v>
      </c>
      <c r="FC2876" s="36" t="s">
        <v>1192</v>
      </c>
      <c r="FD2876" s="36" t="s">
        <v>344</v>
      </c>
      <c r="FE2876" s="36">
        <v>2026</v>
      </c>
      <c r="FF2876" s="36" t="s">
        <v>59</v>
      </c>
      <c r="FG2876" s="36" t="s">
        <v>1584</v>
      </c>
      <c r="FJ2876" t="s">
        <v>59</v>
      </c>
    </row>
    <row r="2877" spans="153:166" x14ac:dyDescent="0.35">
      <c r="EW2877" t="s">
        <v>3124</v>
      </c>
      <c r="EX2877" s="35" t="s">
        <v>4052</v>
      </c>
      <c r="EY2877" s="35" t="s">
        <v>2239</v>
      </c>
      <c r="EZ2877" s="36" t="s">
        <v>2240</v>
      </c>
      <c r="FA2877" s="36" t="s">
        <v>1192</v>
      </c>
      <c r="FB2877" s="36" t="s">
        <v>344</v>
      </c>
      <c r="FC2877" s="36" t="s">
        <v>1192</v>
      </c>
      <c r="FD2877" s="36" t="s">
        <v>344</v>
      </c>
      <c r="FE2877" s="36">
        <v>2026</v>
      </c>
      <c r="FF2877" s="36" t="s">
        <v>59</v>
      </c>
      <c r="FG2877" s="36" t="s">
        <v>1584</v>
      </c>
      <c r="FJ2877" t="s">
        <v>59</v>
      </c>
    </row>
    <row r="2878" spans="153:166" x14ac:dyDescent="0.35">
      <c r="EW2878" t="s">
        <v>3124</v>
      </c>
      <c r="EX2878" s="35" t="s">
        <v>4053</v>
      </c>
      <c r="EY2878" s="35" t="s">
        <v>2241</v>
      </c>
      <c r="EZ2878" s="36" t="s">
        <v>2242</v>
      </c>
      <c r="FA2878" s="36" t="s">
        <v>1192</v>
      </c>
      <c r="FB2878" s="36" t="s">
        <v>344</v>
      </c>
      <c r="FC2878" s="36" t="s">
        <v>1192</v>
      </c>
      <c r="FD2878" s="36" t="s">
        <v>344</v>
      </c>
      <c r="FE2878" s="36">
        <v>2026</v>
      </c>
      <c r="FF2878" s="36" t="s">
        <v>59</v>
      </c>
      <c r="FG2878" s="36" t="s">
        <v>1584</v>
      </c>
      <c r="FJ2878" t="s">
        <v>59</v>
      </c>
    </row>
    <row r="2879" spans="153:166" x14ac:dyDescent="0.35">
      <c r="EW2879" t="s">
        <v>3124</v>
      </c>
      <c r="EX2879" s="35" t="s">
        <v>4054</v>
      </c>
      <c r="EY2879" s="35" t="s">
        <v>2243</v>
      </c>
      <c r="EZ2879" s="36" t="s">
        <v>2244</v>
      </c>
      <c r="FA2879" s="36" t="s">
        <v>1192</v>
      </c>
      <c r="FB2879" s="36" t="s">
        <v>344</v>
      </c>
      <c r="FC2879" s="36" t="s">
        <v>1192</v>
      </c>
      <c r="FD2879" s="36" t="s">
        <v>344</v>
      </c>
      <c r="FE2879" s="36">
        <v>2026</v>
      </c>
      <c r="FF2879" s="36" t="s">
        <v>59</v>
      </c>
      <c r="FG2879" s="36" t="s">
        <v>1584</v>
      </c>
      <c r="FJ2879" t="s">
        <v>59</v>
      </c>
    </row>
    <row r="2880" spans="153:166" x14ac:dyDescent="0.35">
      <c r="EW2880" t="s">
        <v>3124</v>
      </c>
      <c r="EX2880" s="35" t="s">
        <v>4055</v>
      </c>
      <c r="EY2880" s="35" t="s">
        <v>2247</v>
      </c>
      <c r="EZ2880" s="36" t="s">
        <v>2248</v>
      </c>
      <c r="FA2880" s="36" t="s">
        <v>1192</v>
      </c>
      <c r="FB2880" s="36" t="s">
        <v>344</v>
      </c>
      <c r="FC2880" s="36" t="s">
        <v>1192</v>
      </c>
      <c r="FD2880" s="36" t="s">
        <v>344</v>
      </c>
      <c r="FE2880" s="36">
        <v>2026</v>
      </c>
      <c r="FF2880" s="36" t="s">
        <v>59</v>
      </c>
      <c r="FG2880" s="36" t="s">
        <v>1584</v>
      </c>
      <c r="FJ2880" t="s">
        <v>59</v>
      </c>
    </row>
    <row r="2881" spans="153:166" x14ac:dyDescent="0.35">
      <c r="EW2881" t="s">
        <v>3124</v>
      </c>
      <c r="EX2881" s="35" t="s">
        <v>4056</v>
      </c>
      <c r="EY2881" s="35" t="s">
        <v>2249</v>
      </c>
      <c r="EZ2881" s="36" t="s">
        <v>2250</v>
      </c>
      <c r="FA2881" s="36" t="s">
        <v>1192</v>
      </c>
      <c r="FB2881" s="36" t="s">
        <v>344</v>
      </c>
      <c r="FC2881" s="36" t="s">
        <v>1192</v>
      </c>
      <c r="FD2881" s="36" t="s">
        <v>344</v>
      </c>
      <c r="FE2881" s="36">
        <v>2026</v>
      </c>
      <c r="FF2881" s="36" t="s">
        <v>59</v>
      </c>
      <c r="FG2881" s="36" t="s">
        <v>1584</v>
      </c>
      <c r="FJ2881" t="s">
        <v>59</v>
      </c>
    </row>
    <row r="2882" spans="153:166" x14ac:dyDescent="0.35">
      <c r="EW2882" t="s">
        <v>3124</v>
      </c>
      <c r="EX2882" s="35" t="s">
        <v>4057</v>
      </c>
      <c r="EY2882" s="35" t="s">
        <v>2253</v>
      </c>
      <c r="EZ2882" s="36" t="s">
        <v>2254</v>
      </c>
      <c r="FA2882" s="36" t="s">
        <v>1192</v>
      </c>
      <c r="FB2882" s="36" t="s">
        <v>344</v>
      </c>
      <c r="FC2882" s="36" t="s">
        <v>1192</v>
      </c>
      <c r="FD2882" s="36" t="s">
        <v>344</v>
      </c>
      <c r="FE2882" s="36">
        <v>2026</v>
      </c>
      <c r="FF2882" s="36" t="s">
        <v>59</v>
      </c>
      <c r="FG2882" s="36" t="s">
        <v>1584</v>
      </c>
      <c r="FJ2882" t="s">
        <v>59</v>
      </c>
    </row>
    <row r="2883" spans="153:166" x14ac:dyDescent="0.35">
      <c r="EW2883" t="s">
        <v>3124</v>
      </c>
      <c r="EX2883" s="35" t="s">
        <v>4058</v>
      </c>
      <c r="EY2883" s="35" t="s">
        <v>2255</v>
      </c>
      <c r="EZ2883" s="36" t="s">
        <v>2256</v>
      </c>
      <c r="FA2883" s="36" t="s">
        <v>1192</v>
      </c>
      <c r="FB2883" s="36" t="s">
        <v>344</v>
      </c>
      <c r="FC2883" s="36" t="s">
        <v>1192</v>
      </c>
      <c r="FD2883" s="36" t="s">
        <v>344</v>
      </c>
      <c r="FE2883" s="36">
        <v>2026</v>
      </c>
      <c r="FF2883" s="36" t="s">
        <v>59</v>
      </c>
      <c r="FG2883" s="36" t="s">
        <v>1584</v>
      </c>
      <c r="FJ2883" t="s">
        <v>59</v>
      </c>
    </row>
    <row r="2884" spans="153:166" x14ac:dyDescent="0.35">
      <c r="EW2884" t="s">
        <v>3124</v>
      </c>
      <c r="EX2884" s="35" t="s">
        <v>4059</v>
      </c>
      <c r="EY2884" s="35" t="s">
        <v>2257</v>
      </c>
      <c r="EZ2884" s="36" t="s">
        <v>2258</v>
      </c>
      <c r="FA2884" s="36" t="s">
        <v>1192</v>
      </c>
      <c r="FB2884" s="36" t="s">
        <v>344</v>
      </c>
      <c r="FC2884" s="36" t="s">
        <v>1192</v>
      </c>
      <c r="FD2884" s="36" t="s">
        <v>344</v>
      </c>
      <c r="FE2884" s="36">
        <v>2026</v>
      </c>
      <c r="FF2884" s="36" t="s">
        <v>59</v>
      </c>
      <c r="FG2884" s="36" t="s">
        <v>1584</v>
      </c>
      <c r="FJ2884" t="s">
        <v>59</v>
      </c>
    </row>
    <row r="2885" spans="153:166" x14ac:dyDescent="0.35">
      <c r="EW2885" t="s">
        <v>3124</v>
      </c>
      <c r="EX2885" s="35" t="s">
        <v>4060</v>
      </c>
      <c r="EY2885" s="35" t="s">
        <v>2261</v>
      </c>
      <c r="EZ2885" s="36" t="s">
        <v>2262</v>
      </c>
      <c r="FA2885" s="36" t="s">
        <v>1192</v>
      </c>
      <c r="FB2885" s="36" t="s">
        <v>344</v>
      </c>
      <c r="FC2885" s="36" t="s">
        <v>1192</v>
      </c>
      <c r="FD2885" s="36" t="s">
        <v>344</v>
      </c>
      <c r="FE2885" s="36">
        <v>2026</v>
      </c>
      <c r="FF2885" s="36" t="s">
        <v>59</v>
      </c>
      <c r="FG2885" s="36" t="s">
        <v>1584</v>
      </c>
      <c r="FJ2885" t="s">
        <v>59</v>
      </c>
    </row>
    <row r="2886" spans="153:166" x14ac:dyDescent="0.35">
      <c r="EW2886" t="s">
        <v>3124</v>
      </c>
      <c r="EX2886" s="35" t="s">
        <v>4061</v>
      </c>
      <c r="EY2886" s="35" t="s">
        <v>2263</v>
      </c>
      <c r="EZ2886" s="36" t="s">
        <v>2264</v>
      </c>
      <c r="FA2886" s="36" t="s">
        <v>1192</v>
      </c>
      <c r="FB2886" s="36" t="s">
        <v>344</v>
      </c>
      <c r="FC2886" s="36" t="s">
        <v>1192</v>
      </c>
      <c r="FD2886" s="36" t="s">
        <v>344</v>
      </c>
      <c r="FE2886" s="36">
        <v>2026</v>
      </c>
      <c r="FF2886" s="36" t="s">
        <v>59</v>
      </c>
      <c r="FG2886" s="36" t="s">
        <v>1584</v>
      </c>
      <c r="FJ2886" t="s">
        <v>59</v>
      </c>
    </row>
    <row r="2887" spans="153:166" x14ac:dyDescent="0.35">
      <c r="EW2887" t="s">
        <v>3124</v>
      </c>
      <c r="EX2887" s="35" t="s">
        <v>4062</v>
      </c>
      <c r="EY2887" s="35" t="s">
        <v>2265</v>
      </c>
      <c r="EZ2887" s="36" t="s">
        <v>2266</v>
      </c>
      <c r="FA2887" s="36" t="s">
        <v>1192</v>
      </c>
      <c r="FB2887" s="36" t="s">
        <v>344</v>
      </c>
      <c r="FC2887" s="36" t="s">
        <v>1192</v>
      </c>
      <c r="FD2887" s="36" t="s">
        <v>344</v>
      </c>
      <c r="FE2887" s="36">
        <v>2026</v>
      </c>
      <c r="FF2887" s="36" t="s">
        <v>59</v>
      </c>
      <c r="FG2887" s="36" t="s">
        <v>1584</v>
      </c>
      <c r="FJ2887" t="s">
        <v>59</v>
      </c>
    </row>
    <row r="2888" spans="153:166" x14ac:dyDescent="0.35">
      <c r="EW2888" t="s">
        <v>3124</v>
      </c>
      <c r="EX2888" s="35" t="s">
        <v>4063</v>
      </c>
      <c r="EY2888" s="35" t="s">
        <v>2267</v>
      </c>
      <c r="EZ2888" s="36" t="s">
        <v>2268</v>
      </c>
      <c r="FA2888" s="36" t="s">
        <v>1192</v>
      </c>
      <c r="FB2888" s="36" t="s">
        <v>344</v>
      </c>
      <c r="FC2888" s="36" t="s">
        <v>1192</v>
      </c>
      <c r="FD2888" s="36" t="s">
        <v>344</v>
      </c>
      <c r="FE2888" s="36">
        <v>2026</v>
      </c>
      <c r="FF2888" s="36" t="s">
        <v>59</v>
      </c>
      <c r="FG2888" s="36" t="s">
        <v>1584</v>
      </c>
      <c r="FJ2888" t="s">
        <v>59</v>
      </c>
    </row>
    <row r="2889" spans="153:166" x14ac:dyDescent="0.35">
      <c r="EW2889" t="s">
        <v>3124</v>
      </c>
      <c r="EX2889" s="35" t="s">
        <v>4064</v>
      </c>
      <c r="EY2889" s="35" t="s">
        <v>2269</v>
      </c>
      <c r="EZ2889" s="36" t="s">
        <v>2270</v>
      </c>
      <c r="FA2889" s="36" t="s">
        <v>1192</v>
      </c>
      <c r="FB2889" s="36" t="s">
        <v>344</v>
      </c>
      <c r="FC2889" s="36" t="s">
        <v>1192</v>
      </c>
      <c r="FD2889" s="36" t="s">
        <v>344</v>
      </c>
      <c r="FE2889" s="36">
        <v>2026</v>
      </c>
      <c r="FF2889" s="36" t="s">
        <v>59</v>
      </c>
      <c r="FG2889" s="36" t="s">
        <v>1584</v>
      </c>
      <c r="FJ2889" t="s">
        <v>59</v>
      </c>
    </row>
    <row r="2890" spans="153:166" x14ac:dyDescent="0.35">
      <c r="EW2890" t="s">
        <v>3124</v>
      </c>
      <c r="EX2890" s="35" t="s">
        <v>4065</v>
      </c>
      <c r="EY2890" s="35" t="s">
        <v>2273</v>
      </c>
      <c r="EZ2890" s="36" t="s">
        <v>2274</v>
      </c>
      <c r="FA2890" s="36" t="s">
        <v>1192</v>
      </c>
      <c r="FB2890" s="36" t="s">
        <v>344</v>
      </c>
      <c r="FC2890" s="36" t="s">
        <v>1192</v>
      </c>
      <c r="FD2890" s="36" t="s">
        <v>344</v>
      </c>
      <c r="FE2890" s="36">
        <v>2026</v>
      </c>
      <c r="FF2890" s="36" t="s">
        <v>59</v>
      </c>
      <c r="FG2890" s="36" t="s">
        <v>1584</v>
      </c>
      <c r="FJ2890" t="s">
        <v>59</v>
      </c>
    </row>
    <row r="2891" spans="153:166" x14ac:dyDescent="0.35">
      <c r="EW2891" t="s">
        <v>3124</v>
      </c>
      <c r="EX2891" s="35" t="s">
        <v>4066</v>
      </c>
      <c r="EY2891" s="35" t="s">
        <v>2275</v>
      </c>
      <c r="EZ2891" s="36" t="s">
        <v>2276</v>
      </c>
      <c r="FA2891" s="36" t="s">
        <v>1192</v>
      </c>
      <c r="FB2891" s="36" t="s">
        <v>344</v>
      </c>
      <c r="FC2891" s="36" t="s">
        <v>1192</v>
      </c>
      <c r="FD2891" s="36" t="s">
        <v>344</v>
      </c>
      <c r="FE2891" s="36">
        <v>2026</v>
      </c>
      <c r="FF2891" s="36" t="s">
        <v>59</v>
      </c>
      <c r="FG2891" s="36" t="s">
        <v>1584</v>
      </c>
      <c r="FJ2891" t="s">
        <v>59</v>
      </c>
    </row>
    <row r="2892" spans="153:166" x14ac:dyDescent="0.35">
      <c r="EW2892" t="s">
        <v>3124</v>
      </c>
      <c r="EX2892" s="35" t="s">
        <v>4067</v>
      </c>
      <c r="EY2892" s="35" t="s">
        <v>2277</v>
      </c>
      <c r="EZ2892" s="36" t="s">
        <v>2278</v>
      </c>
      <c r="FA2892" s="36" t="s">
        <v>1192</v>
      </c>
      <c r="FB2892" s="36" t="s">
        <v>344</v>
      </c>
      <c r="FC2892" s="36" t="s">
        <v>1192</v>
      </c>
      <c r="FD2892" s="36" t="s">
        <v>344</v>
      </c>
      <c r="FE2892" s="36">
        <v>2026</v>
      </c>
      <c r="FF2892" s="36" t="s">
        <v>59</v>
      </c>
      <c r="FG2892" s="36" t="s">
        <v>1584</v>
      </c>
      <c r="FJ2892" t="s">
        <v>59</v>
      </c>
    </row>
    <row r="2893" spans="153:166" x14ac:dyDescent="0.35">
      <c r="EW2893" t="s">
        <v>3124</v>
      </c>
      <c r="EX2893" s="35" t="s">
        <v>4068</v>
      </c>
      <c r="EY2893" s="35" t="s">
        <v>2279</v>
      </c>
      <c r="EZ2893" s="36" t="s">
        <v>2280</v>
      </c>
      <c r="FA2893" s="36" t="s">
        <v>1192</v>
      </c>
      <c r="FB2893" s="36" t="s">
        <v>344</v>
      </c>
      <c r="FC2893" s="36" t="s">
        <v>1192</v>
      </c>
      <c r="FD2893" s="36" t="s">
        <v>344</v>
      </c>
      <c r="FE2893" s="36">
        <v>2026</v>
      </c>
      <c r="FF2893" s="36" t="s">
        <v>59</v>
      </c>
      <c r="FG2893" s="36" t="s">
        <v>1584</v>
      </c>
      <c r="FJ2893" t="s">
        <v>59</v>
      </c>
    </row>
    <row r="2894" spans="153:166" x14ac:dyDescent="0.35">
      <c r="EW2894" t="s">
        <v>3124</v>
      </c>
      <c r="EX2894" s="35" t="s">
        <v>4069</v>
      </c>
      <c r="EY2894" s="35" t="s">
        <v>2281</v>
      </c>
      <c r="EZ2894" s="36" t="s">
        <v>2282</v>
      </c>
      <c r="FA2894" s="36" t="s">
        <v>1192</v>
      </c>
      <c r="FB2894" s="36" t="s">
        <v>344</v>
      </c>
      <c r="FC2894" s="36" t="s">
        <v>1192</v>
      </c>
      <c r="FD2894" s="36" t="s">
        <v>344</v>
      </c>
      <c r="FE2894" s="36">
        <v>2026</v>
      </c>
      <c r="FF2894" s="36" t="s">
        <v>59</v>
      </c>
      <c r="FG2894" s="36" t="s">
        <v>1584</v>
      </c>
      <c r="FJ2894" t="s">
        <v>59</v>
      </c>
    </row>
    <row r="2895" spans="153:166" x14ac:dyDescent="0.35">
      <c r="EW2895" t="s">
        <v>3124</v>
      </c>
      <c r="EX2895" s="35" t="s">
        <v>4070</v>
      </c>
      <c r="EY2895" s="35" t="s">
        <v>2283</v>
      </c>
      <c r="EZ2895" s="36" t="s">
        <v>2284</v>
      </c>
      <c r="FA2895" s="36" t="s">
        <v>1192</v>
      </c>
      <c r="FB2895" s="36" t="s">
        <v>344</v>
      </c>
      <c r="FC2895" s="36" t="s">
        <v>1192</v>
      </c>
      <c r="FD2895" s="36" t="s">
        <v>344</v>
      </c>
      <c r="FE2895" s="36">
        <v>2026</v>
      </c>
      <c r="FF2895" s="36" t="s">
        <v>59</v>
      </c>
      <c r="FG2895" s="36" t="s">
        <v>1584</v>
      </c>
      <c r="FJ2895" t="s">
        <v>59</v>
      </c>
    </row>
    <row r="2896" spans="153:166" x14ac:dyDescent="0.35">
      <c r="EW2896" t="s">
        <v>3124</v>
      </c>
      <c r="EX2896" s="35" t="s">
        <v>4071</v>
      </c>
      <c r="EY2896" s="35" t="s">
        <v>2285</v>
      </c>
      <c r="EZ2896" s="36" t="s">
        <v>2286</v>
      </c>
      <c r="FA2896" s="36" t="s">
        <v>1192</v>
      </c>
      <c r="FB2896" s="36" t="s">
        <v>344</v>
      </c>
      <c r="FC2896" s="36" t="s">
        <v>1192</v>
      </c>
      <c r="FD2896" s="36" t="s">
        <v>344</v>
      </c>
      <c r="FE2896" s="36">
        <v>2026</v>
      </c>
      <c r="FF2896" s="36" t="s">
        <v>59</v>
      </c>
      <c r="FG2896" s="36" t="s">
        <v>1584</v>
      </c>
      <c r="FJ2896" t="s">
        <v>59</v>
      </c>
    </row>
    <row r="2897" spans="153:166" x14ac:dyDescent="0.35">
      <c r="EW2897" t="s">
        <v>3124</v>
      </c>
      <c r="EX2897" s="35" t="s">
        <v>4072</v>
      </c>
      <c r="EY2897" s="35" t="s">
        <v>2287</v>
      </c>
      <c r="EZ2897" s="36" t="s">
        <v>2288</v>
      </c>
      <c r="FA2897" s="36" t="s">
        <v>1192</v>
      </c>
      <c r="FB2897" s="36" t="s">
        <v>344</v>
      </c>
      <c r="FC2897" s="36" t="s">
        <v>1192</v>
      </c>
      <c r="FD2897" s="36" t="s">
        <v>344</v>
      </c>
      <c r="FE2897" s="36">
        <v>2026</v>
      </c>
      <c r="FF2897" s="36" t="s">
        <v>59</v>
      </c>
      <c r="FG2897" s="36" t="s">
        <v>1584</v>
      </c>
      <c r="FJ2897" t="s">
        <v>59</v>
      </c>
    </row>
    <row r="2898" spans="153:166" x14ac:dyDescent="0.35">
      <c r="EW2898" t="s">
        <v>3124</v>
      </c>
      <c r="EX2898" s="35" t="s">
        <v>4073</v>
      </c>
      <c r="EY2898" s="35" t="s">
        <v>2289</v>
      </c>
      <c r="EZ2898" s="36" t="s">
        <v>2290</v>
      </c>
      <c r="FA2898" s="36" t="s">
        <v>1192</v>
      </c>
      <c r="FB2898" s="36" t="s">
        <v>344</v>
      </c>
      <c r="FC2898" s="36" t="s">
        <v>1192</v>
      </c>
      <c r="FD2898" s="36" t="s">
        <v>344</v>
      </c>
      <c r="FE2898" s="36">
        <v>2026</v>
      </c>
      <c r="FF2898" s="36" t="s">
        <v>59</v>
      </c>
      <c r="FG2898" s="36" t="s">
        <v>1584</v>
      </c>
      <c r="FJ2898" t="s">
        <v>59</v>
      </c>
    </row>
    <row r="2899" spans="153:166" x14ac:dyDescent="0.35">
      <c r="EW2899" t="s">
        <v>3124</v>
      </c>
      <c r="EX2899" s="35" t="s">
        <v>4074</v>
      </c>
      <c r="EY2899" s="35" t="s">
        <v>2291</v>
      </c>
      <c r="EZ2899" s="36" t="s">
        <v>2292</v>
      </c>
      <c r="FA2899" s="36" t="s">
        <v>1192</v>
      </c>
      <c r="FB2899" s="36" t="s">
        <v>344</v>
      </c>
      <c r="FC2899" s="36" t="s">
        <v>1192</v>
      </c>
      <c r="FD2899" s="36" t="s">
        <v>344</v>
      </c>
      <c r="FE2899" s="36">
        <v>2026</v>
      </c>
      <c r="FF2899" s="36" t="s">
        <v>59</v>
      </c>
      <c r="FG2899" s="36" t="s">
        <v>1584</v>
      </c>
      <c r="FJ2899" t="s">
        <v>59</v>
      </c>
    </row>
    <row r="2900" spans="153:166" x14ac:dyDescent="0.35">
      <c r="EW2900" t="s">
        <v>3124</v>
      </c>
      <c r="EX2900" s="35" t="s">
        <v>4075</v>
      </c>
      <c r="EY2900" s="35" t="s">
        <v>2293</v>
      </c>
      <c r="EZ2900" s="36" t="s">
        <v>2294</v>
      </c>
      <c r="FA2900" s="36" t="s">
        <v>1192</v>
      </c>
      <c r="FB2900" s="36" t="s">
        <v>344</v>
      </c>
      <c r="FC2900" s="36" t="s">
        <v>1192</v>
      </c>
      <c r="FD2900" s="36" t="s">
        <v>344</v>
      </c>
      <c r="FE2900" s="36">
        <v>2026</v>
      </c>
      <c r="FF2900" s="36" t="s">
        <v>59</v>
      </c>
      <c r="FG2900" s="36" t="s">
        <v>1584</v>
      </c>
      <c r="FJ2900" t="s">
        <v>59</v>
      </c>
    </row>
    <row r="2901" spans="153:166" x14ac:dyDescent="0.35">
      <c r="EW2901" t="s">
        <v>3124</v>
      </c>
      <c r="EX2901" s="35" t="s">
        <v>4076</v>
      </c>
      <c r="EY2901" s="35" t="s">
        <v>2295</v>
      </c>
      <c r="EZ2901" s="36" t="s">
        <v>2296</v>
      </c>
      <c r="FA2901" s="36" t="s">
        <v>1192</v>
      </c>
      <c r="FB2901" s="36" t="s">
        <v>344</v>
      </c>
      <c r="FC2901" s="36" t="s">
        <v>1192</v>
      </c>
      <c r="FD2901" s="36" t="s">
        <v>344</v>
      </c>
      <c r="FE2901" s="36">
        <v>2026</v>
      </c>
      <c r="FF2901" s="36" t="s">
        <v>59</v>
      </c>
      <c r="FG2901" s="36" t="s">
        <v>1584</v>
      </c>
      <c r="FJ2901" t="s">
        <v>59</v>
      </c>
    </row>
    <row r="2902" spans="153:166" x14ac:dyDescent="0.35">
      <c r="EW2902" t="s">
        <v>3124</v>
      </c>
      <c r="EX2902" s="35" t="s">
        <v>4077</v>
      </c>
      <c r="EY2902" s="35" t="s">
        <v>2297</v>
      </c>
      <c r="EZ2902" s="36" t="s">
        <v>2298</v>
      </c>
      <c r="FA2902" s="36" t="s">
        <v>1192</v>
      </c>
      <c r="FB2902" s="36" t="s">
        <v>344</v>
      </c>
      <c r="FC2902" s="36" t="s">
        <v>1192</v>
      </c>
      <c r="FD2902" s="36" t="s">
        <v>344</v>
      </c>
      <c r="FE2902" s="36">
        <v>2026</v>
      </c>
      <c r="FF2902" s="36" t="s">
        <v>59</v>
      </c>
      <c r="FG2902" s="36" t="s">
        <v>1584</v>
      </c>
      <c r="FJ2902" t="s">
        <v>59</v>
      </c>
    </row>
    <row r="2903" spans="153:166" x14ac:dyDescent="0.35">
      <c r="EW2903" t="s">
        <v>3124</v>
      </c>
      <c r="EX2903" s="35" t="s">
        <v>4078</v>
      </c>
      <c r="EY2903" s="35" t="s">
        <v>2299</v>
      </c>
      <c r="EZ2903" s="36" t="s">
        <v>2300</v>
      </c>
      <c r="FA2903" s="36" t="s">
        <v>1192</v>
      </c>
      <c r="FB2903" s="36" t="s">
        <v>344</v>
      </c>
      <c r="FC2903" s="36" t="s">
        <v>1192</v>
      </c>
      <c r="FD2903" s="36" t="s">
        <v>344</v>
      </c>
      <c r="FE2903" s="36">
        <v>2026</v>
      </c>
      <c r="FF2903" s="36" t="s">
        <v>59</v>
      </c>
      <c r="FG2903" s="36" t="s">
        <v>1584</v>
      </c>
      <c r="FJ2903" t="s">
        <v>59</v>
      </c>
    </row>
    <row r="2904" spans="153:166" x14ac:dyDescent="0.35">
      <c r="EW2904" t="s">
        <v>3124</v>
      </c>
      <c r="EX2904" s="35" t="s">
        <v>4079</v>
      </c>
      <c r="EY2904" s="35" t="s">
        <v>2303</v>
      </c>
      <c r="EZ2904" s="36" t="s">
        <v>2304</v>
      </c>
      <c r="FA2904" s="36" t="s">
        <v>1192</v>
      </c>
      <c r="FB2904" s="36" t="s">
        <v>344</v>
      </c>
      <c r="FC2904" s="36" t="s">
        <v>1192</v>
      </c>
      <c r="FD2904" s="36" t="s">
        <v>344</v>
      </c>
      <c r="FE2904" s="36">
        <v>2026</v>
      </c>
      <c r="FF2904" s="36" t="s">
        <v>59</v>
      </c>
      <c r="FG2904" s="36" t="s">
        <v>1584</v>
      </c>
      <c r="FJ2904" t="s">
        <v>59</v>
      </c>
    </row>
    <row r="2905" spans="153:166" x14ac:dyDescent="0.35">
      <c r="EW2905" t="s">
        <v>3124</v>
      </c>
      <c r="EX2905" s="35" t="s">
        <v>4080</v>
      </c>
      <c r="EY2905" s="35" t="s">
        <v>2305</v>
      </c>
      <c r="EZ2905" s="36" t="s">
        <v>2306</v>
      </c>
      <c r="FA2905" s="36" t="s">
        <v>1192</v>
      </c>
      <c r="FB2905" s="36" t="s">
        <v>344</v>
      </c>
      <c r="FC2905" s="36" t="s">
        <v>1192</v>
      </c>
      <c r="FD2905" s="36" t="s">
        <v>344</v>
      </c>
      <c r="FE2905" s="36">
        <v>2026</v>
      </c>
      <c r="FF2905" s="36" t="s">
        <v>59</v>
      </c>
      <c r="FG2905" s="36" t="s">
        <v>1584</v>
      </c>
      <c r="FJ2905" t="s">
        <v>59</v>
      </c>
    </row>
    <row r="2906" spans="153:166" x14ac:dyDescent="0.35">
      <c r="EW2906" t="s">
        <v>3124</v>
      </c>
      <c r="EX2906" s="35" t="s">
        <v>4081</v>
      </c>
      <c r="EY2906" s="35" t="s">
        <v>2309</v>
      </c>
      <c r="EZ2906" s="36" t="s">
        <v>2310</v>
      </c>
      <c r="FA2906" s="36" t="s">
        <v>1192</v>
      </c>
      <c r="FB2906" s="36" t="s">
        <v>344</v>
      </c>
      <c r="FC2906" s="36" t="s">
        <v>1192</v>
      </c>
      <c r="FD2906" s="36" t="s">
        <v>344</v>
      </c>
      <c r="FE2906" s="36">
        <v>2026</v>
      </c>
      <c r="FF2906" s="36" t="s">
        <v>59</v>
      </c>
      <c r="FG2906" s="36" t="s">
        <v>1584</v>
      </c>
      <c r="FJ2906" t="s">
        <v>59</v>
      </c>
    </row>
    <row r="2907" spans="153:166" x14ac:dyDescent="0.35">
      <c r="EW2907" t="s">
        <v>3124</v>
      </c>
      <c r="EX2907" s="35" t="s">
        <v>4082</v>
      </c>
      <c r="EY2907" s="35" t="s">
        <v>2311</v>
      </c>
      <c r="EZ2907" s="36" t="s">
        <v>2312</v>
      </c>
      <c r="FA2907" s="36" t="s">
        <v>1192</v>
      </c>
      <c r="FB2907" s="36" t="s">
        <v>344</v>
      </c>
      <c r="FC2907" s="36" t="s">
        <v>1192</v>
      </c>
      <c r="FD2907" s="36" t="s">
        <v>344</v>
      </c>
      <c r="FE2907" s="36">
        <v>2026</v>
      </c>
      <c r="FF2907" s="36" t="s">
        <v>59</v>
      </c>
      <c r="FG2907" s="36" t="s">
        <v>1584</v>
      </c>
      <c r="FJ2907" t="s">
        <v>59</v>
      </c>
    </row>
    <row r="2908" spans="153:166" x14ac:dyDescent="0.35">
      <c r="EW2908" t="s">
        <v>3124</v>
      </c>
      <c r="EX2908" s="35" t="s">
        <v>4083</v>
      </c>
      <c r="EY2908" s="35" t="s">
        <v>2313</v>
      </c>
      <c r="EZ2908" s="36" t="s">
        <v>2314</v>
      </c>
      <c r="FA2908" s="36" t="s">
        <v>1192</v>
      </c>
      <c r="FB2908" s="36" t="s">
        <v>344</v>
      </c>
      <c r="FC2908" s="36" t="s">
        <v>1192</v>
      </c>
      <c r="FD2908" s="36" t="s">
        <v>344</v>
      </c>
      <c r="FE2908" s="36">
        <v>2026</v>
      </c>
      <c r="FF2908" s="36" t="s">
        <v>59</v>
      </c>
      <c r="FG2908" s="36" t="s">
        <v>1584</v>
      </c>
      <c r="FJ2908" t="s">
        <v>59</v>
      </c>
    </row>
    <row r="2909" spans="153:166" x14ac:dyDescent="0.35">
      <c r="EW2909" t="s">
        <v>3124</v>
      </c>
      <c r="EX2909" s="35" t="s">
        <v>4084</v>
      </c>
      <c r="EY2909" s="35" t="s">
        <v>2317</v>
      </c>
      <c r="EZ2909" s="36" t="s">
        <v>2318</v>
      </c>
      <c r="FA2909" s="36" t="s">
        <v>1192</v>
      </c>
      <c r="FB2909" s="36" t="s">
        <v>344</v>
      </c>
      <c r="FC2909" s="36" t="s">
        <v>1192</v>
      </c>
      <c r="FD2909" s="36" t="s">
        <v>344</v>
      </c>
      <c r="FE2909" s="36">
        <v>2026</v>
      </c>
      <c r="FF2909" s="36" t="s">
        <v>59</v>
      </c>
      <c r="FG2909" s="36" t="s">
        <v>1584</v>
      </c>
      <c r="FJ2909" t="s">
        <v>59</v>
      </c>
    </row>
    <row r="2910" spans="153:166" x14ac:dyDescent="0.35">
      <c r="EW2910" t="s">
        <v>3124</v>
      </c>
      <c r="EX2910" s="35" t="s">
        <v>4085</v>
      </c>
      <c r="EY2910" s="35" t="s">
        <v>2319</v>
      </c>
      <c r="EZ2910" s="36" t="s">
        <v>2320</v>
      </c>
      <c r="FA2910" s="36" t="s">
        <v>1192</v>
      </c>
      <c r="FB2910" s="36" t="s">
        <v>344</v>
      </c>
      <c r="FC2910" s="36" t="s">
        <v>1192</v>
      </c>
      <c r="FD2910" s="36" t="s">
        <v>344</v>
      </c>
      <c r="FE2910" s="36">
        <v>2026</v>
      </c>
      <c r="FF2910" s="36" t="s">
        <v>59</v>
      </c>
      <c r="FG2910" s="36" t="s">
        <v>1584</v>
      </c>
      <c r="FJ2910" t="s">
        <v>59</v>
      </c>
    </row>
    <row r="2911" spans="153:166" x14ac:dyDescent="0.35">
      <c r="EW2911" t="s">
        <v>3124</v>
      </c>
      <c r="EX2911" s="35" t="s">
        <v>4086</v>
      </c>
      <c r="EY2911" s="35" t="s">
        <v>2323</v>
      </c>
      <c r="EZ2911" s="36" t="s">
        <v>2324</v>
      </c>
      <c r="FA2911" s="36" t="s">
        <v>1192</v>
      </c>
      <c r="FB2911" s="36" t="s">
        <v>344</v>
      </c>
      <c r="FC2911" s="36" t="s">
        <v>1192</v>
      </c>
      <c r="FD2911" s="36" t="s">
        <v>344</v>
      </c>
      <c r="FE2911" s="36">
        <v>2026</v>
      </c>
      <c r="FF2911" s="36" t="s">
        <v>59</v>
      </c>
      <c r="FG2911" s="36" t="s">
        <v>1584</v>
      </c>
      <c r="FJ2911" t="s">
        <v>59</v>
      </c>
    </row>
    <row r="2912" spans="153:166" x14ac:dyDescent="0.35">
      <c r="EW2912" t="s">
        <v>3124</v>
      </c>
      <c r="EX2912" s="35" t="s">
        <v>4087</v>
      </c>
      <c r="EY2912" s="35" t="s">
        <v>2325</v>
      </c>
      <c r="EZ2912" s="36" t="s">
        <v>2326</v>
      </c>
      <c r="FA2912" s="36" t="s">
        <v>1192</v>
      </c>
      <c r="FB2912" s="36" t="s">
        <v>344</v>
      </c>
      <c r="FC2912" s="36" t="s">
        <v>1192</v>
      </c>
      <c r="FD2912" s="36" t="s">
        <v>344</v>
      </c>
      <c r="FE2912" s="36">
        <v>2026</v>
      </c>
      <c r="FF2912" s="36" t="s">
        <v>59</v>
      </c>
      <c r="FG2912" s="36" t="s">
        <v>1584</v>
      </c>
      <c r="FJ2912" t="s">
        <v>59</v>
      </c>
    </row>
    <row r="2913" spans="153:166" x14ac:dyDescent="0.35">
      <c r="EW2913" t="s">
        <v>3124</v>
      </c>
      <c r="EX2913" s="35" t="s">
        <v>4088</v>
      </c>
      <c r="EY2913" s="35" t="s">
        <v>2327</v>
      </c>
      <c r="EZ2913" s="36" t="s">
        <v>2328</v>
      </c>
      <c r="FA2913" s="36" t="s">
        <v>1192</v>
      </c>
      <c r="FB2913" s="36" t="s">
        <v>344</v>
      </c>
      <c r="FC2913" s="36" t="s">
        <v>1192</v>
      </c>
      <c r="FD2913" s="36" t="s">
        <v>344</v>
      </c>
      <c r="FE2913" s="36">
        <v>2026</v>
      </c>
      <c r="FF2913" s="36" t="s">
        <v>59</v>
      </c>
      <c r="FG2913" s="36" t="s">
        <v>1584</v>
      </c>
      <c r="FJ2913" t="s">
        <v>59</v>
      </c>
    </row>
    <row r="2914" spans="153:166" x14ac:dyDescent="0.35">
      <c r="EW2914" t="s">
        <v>3124</v>
      </c>
      <c r="EX2914" s="35" t="s">
        <v>4089</v>
      </c>
      <c r="EY2914" s="35" t="s">
        <v>2329</v>
      </c>
      <c r="EZ2914" s="36" t="s">
        <v>2330</v>
      </c>
      <c r="FA2914" s="36" t="s">
        <v>1192</v>
      </c>
      <c r="FB2914" s="36" t="s">
        <v>344</v>
      </c>
      <c r="FC2914" s="36" t="s">
        <v>1192</v>
      </c>
      <c r="FD2914" s="36" t="s">
        <v>344</v>
      </c>
      <c r="FE2914" s="36">
        <v>2026</v>
      </c>
      <c r="FF2914" s="36" t="s">
        <v>59</v>
      </c>
      <c r="FG2914" s="36" t="s">
        <v>1584</v>
      </c>
      <c r="FJ2914" t="s">
        <v>59</v>
      </c>
    </row>
    <row r="2915" spans="153:166" x14ac:dyDescent="0.35">
      <c r="EW2915" t="s">
        <v>3124</v>
      </c>
      <c r="EX2915" s="35" t="s">
        <v>4090</v>
      </c>
      <c r="EY2915" s="35" t="s">
        <v>2331</v>
      </c>
      <c r="EZ2915" s="36" t="s">
        <v>2332</v>
      </c>
      <c r="FA2915" s="36" t="s">
        <v>1192</v>
      </c>
      <c r="FB2915" s="36" t="s">
        <v>344</v>
      </c>
      <c r="FC2915" s="36" t="s">
        <v>1192</v>
      </c>
      <c r="FD2915" s="36" t="s">
        <v>344</v>
      </c>
      <c r="FE2915" s="36">
        <v>2026</v>
      </c>
      <c r="FF2915" s="36" t="s">
        <v>59</v>
      </c>
      <c r="FG2915" s="36" t="s">
        <v>1584</v>
      </c>
      <c r="FJ2915" t="s">
        <v>59</v>
      </c>
    </row>
    <row r="2916" spans="153:166" x14ac:dyDescent="0.35">
      <c r="EW2916" t="s">
        <v>3124</v>
      </c>
      <c r="EX2916" s="35" t="s">
        <v>4091</v>
      </c>
      <c r="EY2916" s="35" t="s">
        <v>2333</v>
      </c>
      <c r="EZ2916" s="36" t="s">
        <v>2334</v>
      </c>
      <c r="FA2916" s="36" t="s">
        <v>1192</v>
      </c>
      <c r="FB2916" s="36" t="s">
        <v>344</v>
      </c>
      <c r="FC2916" s="36" t="s">
        <v>1192</v>
      </c>
      <c r="FD2916" s="36" t="s">
        <v>344</v>
      </c>
      <c r="FE2916" s="36">
        <v>2026</v>
      </c>
      <c r="FF2916" s="36" t="s">
        <v>59</v>
      </c>
      <c r="FG2916" s="36" t="s">
        <v>1584</v>
      </c>
      <c r="FJ2916" t="s">
        <v>59</v>
      </c>
    </row>
    <row r="2917" spans="153:166" x14ac:dyDescent="0.35">
      <c r="EW2917" t="s">
        <v>2337</v>
      </c>
      <c r="EX2917" s="31" t="s">
        <v>4092</v>
      </c>
      <c r="EY2917" s="31" t="s">
        <v>31</v>
      </c>
      <c r="EZ2917" s="31" t="s">
        <v>32</v>
      </c>
      <c r="FA2917" s="31" t="s">
        <v>33</v>
      </c>
      <c r="FB2917" s="31" t="s">
        <v>34</v>
      </c>
      <c r="FC2917" s="31" t="s">
        <v>35</v>
      </c>
      <c r="FD2917" s="31" t="s">
        <v>36</v>
      </c>
      <c r="FE2917" s="31" t="s">
        <v>37</v>
      </c>
      <c r="FF2917" s="31" t="s">
        <v>38</v>
      </c>
      <c r="FG2917" s="31" t="s">
        <v>39</v>
      </c>
      <c r="FH2917" s="31" t="s">
        <v>40</v>
      </c>
      <c r="FI2917" s="31" t="s">
        <v>41</v>
      </c>
    </row>
    <row r="2918" spans="153:166" x14ac:dyDescent="0.35">
      <c r="EW2918" t="s">
        <v>4093</v>
      </c>
      <c r="EX2918" s="33" t="s">
        <v>4094</v>
      </c>
      <c r="EY2918" s="33" t="s">
        <v>48</v>
      </c>
      <c r="EZ2918" s="33" t="s">
        <v>48</v>
      </c>
      <c r="FA2918" s="33" t="s">
        <v>48</v>
      </c>
      <c r="FB2918" s="33" t="s">
        <v>48</v>
      </c>
      <c r="FC2918" s="33" t="s">
        <v>48</v>
      </c>
      <c r="FD2918" s="33" t="s">
        <v>48</v>
      </c>
      <c r="FE2918" s="33" t="s">
        <v>48</v>
      </c>
      <c r="FF2918" s="33" t="s">
        <v>48</v>
      </c>
      <c r="FG2918" s="33" t="s">
        <v>48</v>
      </c>
      <c r="FH2918" s="33" t="s">
        <v>48</v>
      </c>
      <c r="FI2918" s="33" t="s">
        <v>48</v>
      </c>
    </row>
    <row r="2919" spans="153:166" x14ac:dyDescent="0.35">
      <c r="EW2919" t="s">
        <v>4093</v>
      </c>
      <c r="EX2919" s="33" t="s">
        <v>4095</v>
      </c>
      <c r="EY2919" s="33" t="s">
        <v>49</v>
      </c>
      <c r="EZ2919" s="33" t="s">
        <v>50</v>
      </c>
      <c r="FA2919" s="33" t="s">
        <v>51</v>
      </c>
      <c r="FB2919" s="33" t="s">
        <v>52</v>
      </c>
      <c r="FC2919" s="33" t="s">
        <v>53</v>
      </c>
      <c r="FD2919" s="33" t="s">
        <v>54</v>
      </c>
      <c r="FE2919" s="33">
        <v>2019</v>
      </c>
      <c r="FF2919" s="33" t="s">
        <v>55</v>
      </c>
      <c r="FG2919" s="33" t="s">
        <v>56</v>
      </c>
      <c r="FH2919" s="33" t="s">
        <v>57</v>
      </c>
      <c r="FI2919" s="33" t="s">
        <v>58</v>
      </c>
      <c r="FJ2919" t="s">
        <v>59</v>
      </c>
    </row>
    <row r="2920" spans="153:166" x14ac:dyDescent="0.35">
      <c r="EW2920" t="s">
        <v>4093</v>
      </c>
      <c r="EX2920" s="33" t="s">
        <v>4096</v>
      </c>
      <c r="EY2920" s="33" t="s">
        <v>60</v>
      </c>
      <c r="EZ2920" s="33" t="s">
        <v>61</v>
      </c>
      <c r="FA2920" s="33" t="s">
        <v>51</v>
      </c>
      <c r="FB2920" s="33" t="s">
        <v>52</v>
      </c>
      <c r="FC2920" s="33" t="s">
        <v>53</v>
      </c>
      <c r="FD2920" s="33" t="s">
        <v>54</v>
      </c>
      <c r="FE2920" s="33">
        <v>2019</v>
      </c>
      <c r="FF2920" s="33" t="s">
        <v>55</v>
      </c>
      <c r="FG2920" s="33" t="s">
        <v>56</v>
      </c>
      <c r="FH2920" s="33" t="s">
        <v>57</v>
      </c>
      <c r="FI2920" s="33" t="s">
        <v>58</v>
      </c>
      <c r="FJ2920" t="s">
        <v>59</v>
      </c>
    </row>
    <row r="2921" spans="153:166" x14ac:dyDescent="0.35">
      <c r="EW2921" t="s">
        <v>4093</v>
      </c>
      <c r="EX2921" s="33" t="s">
        <v>4097</v>
      </c>
      <c r="EY2921" s="33" t="s">
        <v>62</v>
      </c>
      <c r="EZ2921" s="33" t="s">
        <v>63</v>
      </c>
      <c r="FA2921" s="33" t="s">
        <v>51</v>
      </c>
      <c r="FB2921" s="33" t="s">
        <v>52</v>
      </c>
      <c r="FC2921" s="33" t="s">
        <v>53</v>
      </c>
      <c r="FD2921" s="33" t="s">
        <v>54</v>
      </c>
      <c r="FE2921" s="33">
        <v>2019</v>
      </c>
      <c r="FF2921" s="33" t="s">
        <v>55</v>
      </c>
      <c r="FG2921" s="33" t="s">
        <v>56</v>
      </c>
      <c r="FH2921" s="33" t="s">
        <v>57</v>
      </c>
      <c r="FI2921" s="33" t="s">
        <v>58</v>
      </c>
      <c r="FJ2921" t="s">
        <v>59</v>
      </c>
    </row>
    <row r="2922" spans="153:166" x14ac:dyDescent="0.35">
      <c r="EW2922" t="s">
        <v>4093</v>
      </c>
      <c r="EX2922" s="33" t="s">
        <v>4098</v>
      </c>
      <c r="EY2922" s="33" t="s">
        <v>64</v>
      </c>
      <c r="EZ2922" s="33" t="s">
        <v>65</v>
      </c>
      <c r="FA2922" s="33" t="s">
        <v>51</v>
      </c>
      <c r="FB2922" s="33" t="s">
        <v>52</v>
      </c>
      <c r="FC2922" s="33" t="s">
        <v>53</v>
      </c>
      <c r="FD2922" s="33" t="s">
        <v>54</v>
      </c>
      <c r="FE2922" s="33">
        <v>2019</v>
      </c>
      <c r="FF2922" s="33" t="s">
        <v>55</v>
      </c>
      <c r="FG2922" s="33" t="s">
        <v>56</v>
      </c>
      <c r="FH2922" s="33" t="s">
        <v>57</v>
      </c>
      <c r="FI2922" s="33" t="s">
        <v>58</v>
      </c>
      <c r="FJ2922" t="s">
        <v>59</v>
      </c>
    </row>
    <row r="2923" spans="153:166" x14ac:dyDescent="0.35">
      <c r="EW2923" t="s">
        <v>4093</v>
      </c>
      <c r="EX2923" s="33" t="s">
        <v>4099</v>
      </c>
      <c r="EY2923" s="33" t="s">
        <v>69</v>
      </c>
      <c r="EZ2923" s="33" t="s">
        <v>70</v>
      </c>
      <c r="FA2923" s="33" t="s">
        <v>51</v>
      </c>
      <c r="FB2923" s="33" t="s">
        <v>52</v>
      </c>
      <c r="FC2923" s="33" t="s">
        <v>53</v>
      </c>
      <c r="FD2923" s="33" t="s">
        <v>54</v>
      </c>
      <c r="FE2923" s="33">
        <v>2019</v>
      </c>
      <c r="FF2923" s="33" t="s">
        <v>55</v>
      </c>
      <c r="FG2923" s="33" t="s">
        <v>71</v>
      </c>
      <c r="FH2923" s="33" t="s">
        <v>72</v>
      </c>
      <c r="FI2923" s="33" t="s">
        <v>73</v>
      </c>
      <c r="FJ2923" t="s">
        <v>59</v>
      </c>
    </row>
    <row r="2924" spans="153:166" x14ac:dyDescent="0.35">
      <c r="EW2924" t="s">
        <v>4093</v>
      </c>
      <c r="EX2924" s="33" t="s">
        <v>4100</v>
      </c>
      <c r="EY2924" s="33" t="s">
        <v>74</v>
      </c>
      <c r="EZ2924" s="33" t="s">
        <v>75</v>
      </c>
      <c r="FA2924" s="33" t="s">
        <v>51</v>
      </c>
      <c r="FB2924" s="33" t="s">
        <v>52</v>
      </c>
      <c r="FC2924" s="33" t="s">
        <v>53</v>
      </c>
      <c r="FD2924" s="33" t="s">
        <v>54</v>
      </c>
      <c r="FE2924" s="33">
        <v>2019</v>
      </c>
      <c r="FF2924" s="33" t="s">
        <v>55</v>
      </c>
      <c r="FG2924" s="33" t="s">
        <v>71</v>
      </c>
      <c r="FH2924" s="33" t="s">
        <v>72</v>
      </c>
      <c r="FI2924" s="33" t="s">
        <v>73</v>
      </c>
      <c r="FJ2924" t="s">
        <v>59</v>
      </c>
    </row>
    <row r="2925" spans="153:166" x14ac:dyDescent="0.35">
      <c r="EW2925" t="s">
        <v>4093</v>
      </c>
      <c r="EX2925" s="33" t="s">
        <v>4101</v>
      </c>
      <c r="EY2925" s="33" t="s">
        <v>76</v>
      </c>
      <c r="EZ2925" s="33" t="s">
        <v>77</v>
      </c>
      <c r="FA2925" s="33" t="s">
        <v>51</v>
      </c>
      <c r="FB2925" s="33" t="s">
        <v>52</v>
      </c>
      <c r="FC2925" s="33" t="s">
        <v>53</v>
      </c>
      <c r="FD2925" s="33" t="s">
        <v>54</v>
      </c>
      <c r="FE2925" s="33">
        <v>2019</v>
      </c>
      <c r="FF2925" s="33" t="s">
        <v>55</v>
      </c>
      <c r="FG2925" s="33" t="s">
        <v>71</v>
      </c>
      <c r="FH2925" s="33" t="s">
        <v>72</v>
      </c>
      <c r="FI2925" s="33" t="s">
        <v>73</v>
      </c>
      <c r="FJ2925" t="s">
        <v>59</v>
      </c>
    </row>
    <row r="2926" spans="153:166" x14ac:dyDescent="0.35">
      <c r="EW2926" t="s">
        <v>4093</v>
      </c>
      <c r="EX2926" s="33" t="s">
        <v>4102</v>
      </c>
      <c r="EY2926" s="33" t="s">
        <v>78</v>
      </c>
      <c r="EZ2926" s="33" t="s">
        <v>79</v>
      </c>
      <c r="FA2926" s="33" t="s">
        <v>51</v>
      </c>
      <c r="FB2926" s="33" t="s">
        <v>52</v>
      </c>
      <c r="FC2926" s="33" t="s">
        <v>53</v>
      </c>
      <c r="FD2926" s="33" t="s">
        <v>54</v>
      </c>
      <c r="FE2926" s="33">
        <v>2019</v>
      </c>
      <c r="FF2926" s="33" t="s">
        <v>55</v>
      </c>
      <c r="FG2926" s="33" t="s">
        <v>56</v>
      </c>
      <c r="FH2926" s="33" t="s">
        <v>57</v>
      </c>
      <c r="FI2926" s="33" t="s">
        <v>58</v>
      </c>
      <c r="FJ2926" t="s">
        <v>59</v>
      </c>
    </row>
    <row r="2927" spans="153:166" x14ac:dyDescent="0.35">
      <c r="EW2927" t="s">
        <v>4093</v>
      </c>
      <c r="EX2927" s="33" t="s">
        <v>4103</v>
      </c>
      <c r="EY2927" s="33" t="s">
        <v>80</v>
      </c>
      <c r="EZ2927" s="33" t="s">
        <v>81</v>
      </c>
      <c r="FA2927" s="33" t="s">
        <v>51</v>
      </c>
      <c r="FB2927" s="33" t="s">
        <v>52</v>
      </c>
      <c r="FC2927" s="33" t="s">
        <v>53</v>
      </c>
      <c r="FD2927" s="33" t="s">
        <v>54</v>
      </c>
      <c r="FE2927" s="33">
        <v>2019</v>
      </c>
      <c r="FF2927" s="33" t="s">
        <v>55</v>
      </c>
      <c r="FG2927" s="33" t="s">
        <v>56</v>
      </c>
      <c r="FH2927" s="33" t="s">
        <v>57</v>
      </c>
      <c r="FI2927" s="33" t="s">
        <v>58</v>
      </c>
      <c r="FJ2927" t="s">
        <v>59</v>
      </c>
    </row>
    <row r="2928" spans="153:166" x14ac:dyDescent="0.35">
      <c r="EW2928" t="s">
        <v>4093</v>
      </c>
      <c r="EX2928" s="33" t="s">
        <v>4104</v>
      </c>
      <c r="EY2928" s="33" t="s">
        <v>82</v>
      </c>
      <c r="EZ2928" s="33" t="s">
        <v>83</v>
      </c>
      <c r="FA2928" s="33" t="s">
        <v>51</v>
      </c>
      <c r="FB2928" s="33" t="s">
        <v>52</v>
      </c>
      <c r="FC2928" s="33" t="s">
        <v>53</v>
      </c>
      <c r="FD2928" s="33" t="s">
        <v>54</v>
      </c>
      <c r="FE2928" s="33">
        <v>2019</v>
      </c>
      <c r="FF2928" s="33" t="s">
        <v>55</v>
      </c>
      <c r="FG2928" s="33" t="s">
        <v>56</v>
      </c>
      <c r="FH2928" s="33" t="s">
        <v>57</v>
      </c>
      <c r="FI2928" s="33" t="s">
        <v>58</v>
      </c>
      <c r="FJ2928" t="s">
        <v>59</v>
      </c>
    </row>
    <row r="2929" spans="153:166" x14ac:dyDescent="0.35">
      <c r="EW2929" t="s">
        <v>4093</v>
      </c>
      <c r="EX2929" s="33" t="s">
        <v>4105</v>
      </c>
      <c r="EY2929" s="33" t="s">
        <v>84</v>
      </c>
      <c r="EZ2929" s="33" t="s">
        <v>85</v>
      </c>
      <c r="FA2929" s="33" t="s">
        <v>51</v>
      </c>
      <c r="FB2929" s="33" t="s">
        <v>52</v>
      </c>
      <c r="FC2929" s="33" t="s">
        <v>53</v>
      </c>
      <c r="FD2929" s="33" t="s">
        <v>54</v>
      </c>
      <c r="FE2929" s="33">
        <v>2019</v>
      </c>
      <c r="FF2929" s="33" t="s">
        <v>55</v>
      </c>
      <c r="FG2929" s="33" t="s">
        <v>56</v>
      </c>
      <c r="FH2929" s="33" t="s">
        <v>57</v>
      </c>
      <c r="FI2929" s="33" t="s">
        <v>58</v>
      </c>
      <c r="FJ2929" t="s">
        <v>59</v>
      </c>
    </row>
    <row r="2930" spans="153:166" x14ac:dyDescent="0.35">
      <c r="EW2930" t="s">
        <v>4093</v>
      </c>
      <c r="EX2930" s="33" t="s">
        <v>4106</v>
      </c>
      <c r="EY2930" s="33" t="s">
        <v>86</v>
      </c>
      <c r="EZ2930" s="33" t="s">
        <v>87</v>
      </c>
      <c r="FA2930" s="33" t="s">
        <v>51</v>
      </c>
      <c r="FB2930" s="33" t="s">
        <v>52</v>
      </c>
      <c r="FC2930" s="33" t="s">
        <v>53</v>
      </c>
      <c r="FD2930" s="33" t="s">
        <v>54</v>
      </c>
      <c r="FE2930" s="33">
        <v>2019</v>
      </c>
      <c r="FF2930" s="33" t="s">
        <v>55</v>
      </c>
      <c r="FG2930" s="33" t="s">
        <v>56</v>
      </c>
      <c r="FH2930" s="33" t="s">
        <v>57</v>
      </c>
      <c r="FI2930" s="33" t="s">
        <v>58</v>
      </c>
      <c r="FJ2930" t="s">
        <v>59</v>
      </c>
    </row>
    <row r="2931" spans="153:166" x14ac:dyDescent="0.35">
      <c r="EW2931" t="s">
        <v>4093</v>
      </c>
      <c r="EX2931" s="33" t="s">
        <v>4107</v>
      </c>
      <c r="EY2931" s="33" t="s">
        <v>91</v>
      </c>
      <c r="EZ2931" s="33" t="s">
        <v>92</v>
      </c>
      <c r="FA2931" s="33" t="s">
        <v>51</v>
      </c>
      <c r="FB2931" s="33" t="s">
        <v>52</v>
      </c>
      <c r="FC2931" s="33" t="s">
        <v>53</v>
      </c>
      <c r="FD2931" s="33" t="s">
        <v>54</v>
      </c>
      <c r="FE2931" s="33">
        <v>2019</v>
      </c>
      <c r="FF2931" s="33" t="s">
        <v>55</v>
      </c>
      <c r="FG2931" s="33" t="s">
        <v>71</v>
      </c>
      <c r="FH2931" s="33" t="s">
        <v>72</v>
      </c>
      <c r="FI2931" s="33" t="s">
        <v>73</v>
      </c>
      <c r="FJ2931" t="s">
        <v>59</v>
      </c>
    </row>
    <row r="2932" spans="153:166" x14ac:dyDescent="0.35">
      <c r="EW2932" t="s">
        <v>4093</v>
      </c>
      <c r="EX2932" s="33" t="s">
        <v>4108</v>
      </c>
      <c r="EY2932" s="33" t="s">
        <v>93</v>
      </c>
      <c r="EZ2932" s="33" t="s">
        <v>94</v>
      </c>
      <c r="FA2932" s="33" t="s">
        <v>51</v>
      </c>
      <c r="FB2932" s="33" t="s">
        <v>52</v>
      </c>
      <c r="FC2932" s="33" t="s">
        <v>53</v>
      </c>
      <c r="FD2932" s="33" t="s">
        <v>54</v>
      </c>
      <c r="FE2932" s="33">
        <v>2019</v>
      </c>
      <c r="FF2932" s="33" t="s">
        <v>55</v>
      </c>
      <c r="FG2932" s="33" t="s">
        <v>56</v>
      </c>
      <c r="FH2932" s="33" t="s">
        <v>57</v>
      </c>
      <c r="FI2932" s="33" t="s">
        <v>58</v>
      </c>
      <c r="FJ2932" t="s">
        <v>59</v>
      </c>
    </row>
    <row r="2933" spans="153:166" x14ac:dyDescent="0.35">
      <c r="EW2933" t="s">
        <v>4093</v>
      </c>
      <c r="EX2933" s="33" t="s">
        <v>4109</v>
      </c>
      <c r="EY2933" s="33" t="s">
        <v>95</v>
      </c>
      <c r="EZ2933" s="33" t="s">
        <v>96</v>
      </c>
      <c r="FA2933" s="33" t="s">
        <v>51</v>
      </c>
      <c r="FB2933" s="33" t="s">
        <v>52</v>
      </c>
      <c r="FC2933" s="33" t="s">
        <v>53</v>
      </c>
      <c r="FD2933" s="33" t="s">
        <v>54</v>
      </c>
      <c r="FE2933" s="33">
        <v>2019</v>
      </c>
      <c r="FF2933" s="33" t="s">
        <v>55</v>
      </c>
      <c r="FG2933" s="33" t="s">
        <v>56</v>
      </c>
      <c r="FH2933" s="33" t="s">
        <v>57</v>
      </c>
      <c r="FI2933" s="33" t="s">
        <v>58</v>
      </c>
      <c r="FJ2933" t="s">
        <v>59</v>
      </c>
    </row>
    <row r="2934" spans="153:166" x14ac:dyDescent="0.35">
      <c r="EW2934" t="s">
        <v>4093</v>
      </c>
      <c r="EX2934" s="33" t="s">
        <v>4110</v>
      </c>
      <c r="EY2934" s="33" t="s">
        <v>97</v>
      </c>
      <c r="EZ2934" s="33" t="s">
        <v>98</v>
      </c>
      <c r="FA2934" s="33" t="s">
        <v>51</v>
      </c>
      <c r="FB2934" s="33" t="s">
        <v>52</v>
      </c>
      <c r="FC2934" s="33" t="s">
        <v>53</v>
      </c>
      <c r="FD2934" s="33" t="s">
        <v>54</v>
      </c>
      <c r="FE2934" s="33">
        <v>2019</v>
      </c>
      <c r="FF2934" s="33" t="s">
        <v>55</v>
      </c>
      <c r="FG2934" s="33" t="s">
        <v>56</v>
      </c>
      <c r="FH2934" s="33" t="s">
        <v>57</v>
      </c>
      <c r="FI2934" s="33" t="s">
        <v>58</v>
      </c>
      <c r="FJ2934" t="s">
        <v>59</v>
      </c>
    </row>
    <row r="2935" spans="153:166" x14ac:dyDescent="0.35">
      <c r="EW2935" t="s">
        <v>4093</v>
      </c>
      <c r="EX2935" s="33" t="s">
        <v>4111</v>
      </c>
      <c r="EY2935" s="33" t="s">
        <v>99</v>
      </c>
      <c r="EZ2935" s="33" t="s">
        <v>100</v>
      </c>
      <c r="FA2935" s="33" t="s">
        <v>51</v>
      </c>
      <c r="FB2935" s="33" t="s">
        <v>52</v>
      </c>
      <c r="FC2935" s="33" t="s">
        <v>53</v>
      </c>
      <c r="FD2935" s="33" t="s">
        <v>54</v>
      </c>
      <c r="FE2935" s="33">
        <v>2019</v>
      </c>
      <c r="FF2935" s="33" t="s">
        <v>55</v>
      </c>
      <c r="FG2935" s="33" t="s">
        <v>56</v>
      </c>
      <c r="FH2935" s="33" t="s">
        <v>57</v>
      </c>
      <c r="FI2935" s="33" t="s">
        <v>58</v>
      </c>
      <c r="FJ2935" t="s">
        <v>59</v>
      </c>
    </row>
    <row r="2936" spans="153:166" x14ac:dyDescent="0.35">
      <c r="EW2936" t="s">
        <v>4093</v>
      </c>
      <c r="EX2936" s="33" t="s">
        <v>4112</v>
      </c>
      <c r="EY2936" s="33" t="s">
        <v>101</v>
      </c>
      <c r="EZ2936" s="33" t="s">
        <v>102</v>
      </c>
      <c r="FA2936" s="33" t="s">
        <v>51</v>
      </c>
      <c r="FB2936" s="33" t="s">
        <v>52</v>
      </c>
      <c r="FC2936" s="33" t="s">
        <v>53</v>
      </c>
      <c r="FD2936" s="33" t="s">
        <v>54</v>
      </c>
      <c r="FE2936" s="33">
        <v>2019</v>
      </c>
      <c r="FF2936" s="33" t="s">
        <v>55</v>
      </c>
      <c r="FG2936" s="33" t="s">
        <v>56</v>
      </c>
      <c r="FH2936" s="33" t="s">
        <v>57</v>
      </c>
      <c r="FI2936" s="33" t="s">
        <v>58</v>
      </c>
      <c r="FJ2936" t="s">
        <v>59</v>
      </c>
    </row>
    <row r="2937" spans="153:166" x14ac:dyDescent="0.35">
      <c r="EW2937" t="s">
        <v>4093</v>
      </c>
      <c r="EX2937" s="33" t="s">
        <v>4113</v>
      </c>
      <c r="EY2937" s="33" t="s">
        <v>103</v>
      </c>
      <c r="EZ2937" s="33" t="s">
        <v>104</v>
      </c>
      <c r="FA2937" s="33" t="s">
        <v>51</v>
      </c>
      <c r="FB2937" s="33" t="s">
        <v>52</v>
      </c>
      <c r="FC2937" s="33" t="s">
        <v>53</v>
      </c>
      <c r="FD2937" s="33" t="s">
        <v>54</v>
      </c>
      <c r="FE2937" s="33">
        <v>2019</v>
      </c>
      <c r="FF2937" s="33" t="s">
        <v>55</v>
      </c>
      <c r="FG2937" s="33" t="s">
        <v>56</v>
      </c>
      <c r="FH2937" s="33" t="s">
        <v>57</v>
      </c>
      <c r="FI2937" s="33" t="s">
        <v>58</v>
      </c>
      <c r="FJ2937" t="s">
        <v>59</v>
      </c>
    </row>
    <row r="2938" spans="153:166" x14ac:dyDescent="0.35">
      <c r="EW2938" t="s">
        <v>4093</v>
      </c>
      <c r="EX2938" s="33" t="s">
        <v>4114</v>
      </c>
      <c r="EY2938" s="33" t="s">
        <v>105</v>
      </c>
      <c r="EZ2938" s="33" t="s">
        <v>106</v>
      </c>
      <c r="FA2938" s="33" t="s">
        <v>51</v>
      </c>
      <c r="FB2938" s="33" t="s">
        <v>52</v>
      </c>
      <c r="FC2938" s="33" t="s">
        <v>53</v>
      </c>
      <c r="FD2938" s="33" t="s">
        <v>54</v>
      </c>
      <c r="FE2938" s="33">
        <v>2019</v>
      </c>
      <c r="FF2938" s="33" t="s">
        <v>55</v>
      </c>
      <c r="FG2938" s="33" t="s">
        <v>56</v>
      </c>
      <c r="FH2938" s="33" t="s">
        <v>57</v>
      </c>
      <c r="FI2938" s="33" t="s">
        <v>58</v>
      </c>
      <c r="FJ2938" t="s">
        <v>59</v>
      </c>
    </row>
    <row r="2939" spans="153:166" x14ac:dyDescent="0.35">
      <c r="EW2939" t="s">
        <v>4093</v>
      </c>
      <c r="EX2939" s="33" t="s">
        <v>4115</v>
      </c>
      <c r="EY2939" s="33" t="s">
        <v>110</v>
      </c>
      <c r="EZ2939" s="33" t="s">
        <v>111</v>
      </c>
      <c r="FA2939" s="33" t="s">
        <v>51</v>
      </c>
      <c r="FB2939" s="33" t="s">
        <v>52</v>
      </c>
      <c r="FC2939" s="33" t="s">
        <v>53</v>
      </c>
      <c r="FD2939" s="33" t="s">
        <v>54</v>
      </c>
      <c r="FE2939" s="33">
        <v>2019</v>
      </c>
      <c r="FF2939" s="33" t="s">
        <v>55</v>
      </c>
      <c r="FG2939" s="33" t="s">
        <v>56</v>
      </c>
      <c r="FH2939" s="33" t="s">
        <v>57</v>
      </c>
      <c r="FI2939" s="33" t="s">
        <v>58</v>
      </c>
      <c r="FJ2939" t="s">
        <v>59</v>
      </c>
    </row>
    <row r="2940" spans="153:166" x14ac:dyDescent="0.35">
      <c r="EW2940" t="s">
        <v>4093</v>
      </c>
      <c r="EX2940" s="33" t="s">
        <v>4116</v>
      </c>
      <c r="EY2940" s="33" t="s">
        <v>112</v>
      </c>
      <c r="EZ2940" s="33" t="s">
        <v>113</v>
      </c>
      <c r="FA2940" s="33" t="s">
        <v>51</v>
      </c>
      <c r="FB2940" s="33" t="s">
        <v>52</v>
      </c>
      <c r="FC2940" s="33" t="s">
        <v>53</v>
      </c>
      <c r="FD2940" s="33" t="s">
        <v>54</v>
      </c>
      <c r="FE2940" s="33">
        <v>2019</v>
      </c>
      <c r="FF2940" s="33" t="s">
        <v>55</v>
      </c>
      <c r="FG2940" s="33" t="s">
        <v>56</v>
      </c>
      <c r="FH2940" s="33" t="s">
        <v>57</v>
      </c>
      <c r="FI2940" s="33" t="s">
        <v>58</v>
      </c>
      <c r="FJ2940" t="s">
        <v>59</v>
      </c>
    </row>
    <row r="2941" spans="153:166" x14ac:dyDescent="0.35">
      <c r="EW2941" t="s">
        <v>4093</v>
      </c>
      <c r="EX2941" s="33" t="s">
        <v>4117</v>
      </c>
      <c r="EY2941" s="33" t="s">
        <v>114</v>
      </c>
      <c r="EZ2941" s="33" t="s">
        <v>115</v>
      </c>
      <c r="FA2941" s="33" t="s">
        <v>51</v>
      </c>
      <c r="FB2941" s="33" t="s">
        <v>52</v>
      </c>
      <c r="FC2941" s="33" t="s">
        <v>53</v>
      </c>
      <c r="FD2941" s="33" t="s">
        <v>54</v>
      </c>
      <c r="FE2941" s="33">
        <v>2019</v>
      </c>
      <c r="FF2941" s="33" t="s">
        <v>55</v>
      </c>
      <c r="FG2941" s="33" t="s">
        <v>56</v>
      </c>
      <c r="FH2941" s="33" t="s">
        <v>57</v>
      </c>
      <c r="FI2941" s="33" t="s">
        <v>58</v>
      </c>
      <c r="FJ2941" t="s">
        <v>59</v>
      </c>
    </row>
    <row r="2942" spans="153:166" x14ac:dyDescent="0.35">
      <c r="EW2942" t="s">
        <v>4093</v>
      </c>
      <c r="EX2942" s="33" t="s">
        <v>4118</v>
      </c>
      <c r="EY2942" s="33" t="s">
        <v>116</v>
      </c>
      <c r="EZ2942" s="33" t="s">
        <v>117</v>
      </c>
      <c r="FA2942" s="33" t="s">
        <v>51</v>
      </c>
      <c r="FB2942" s="33" t="s">
        <v>52</v>
      </c>
      <c r="FC2942" s="33" t="s">
        <v>53</v>
      </c>
      <c r="FD2942" s="33" t="s">
        <v>54</v>
      </c>
      <c r="FE2942" s="33">
        <v>2019</v>
      </c>
      <c r="FF2942" s="33" t="s">
        <v>55</v>
      </c>
      <c r="FG2942" s="33" t="s">
        <v>56</v>
      </c>
      <c r="FH2942" s="33" t="s">
        <v>57</v>
      </c>
      <c r="FI2942" s="33" t="s">
        <v>58</v>
      </c>
      <c r="FJ2942" t="s">
        <v>59</v>
      </c>
    </row>
    <row r="2943" spans="153:166" x14ac:dyDescent="0.35">
      <c r="EW2943" t="s">
        <v>4093</v>
      </c>
      <c r="EX2943" s="33" t="s">
        <v>4119</v>
      </c>
      <c r="EY2943" s="33" t="s">
        <v>118</v>
      </c>
      <c r="EZ2943" s="33" t="s">
        <v>119</v>
      </c>
      <c r="FA2943" s="33" t="s">
        <v>51</v>
      </c>
      <c r="FB2943" s="33" t="s">
        <v>52</v>
      </c>
      <c r="FC2943" s="33" t="s">
        <v>53</v>
      </c>
      <c r="FD2943" s="33" t="s">
        <v>54</v>
      </c>
      <c r="FE2943" s="33">
        <v>2019</v>
      </c>
      <c r="FF2943" s="33" t="s">
        <v>55</v>
      </c>
      <c r="FG2943" s="33" t="s">
        <v>56</v>
      </c>
      <c r="FH2943" s="33" t="s">
        <v>57</v>
      </c>
      <c r="FI2943" s="33" t="s">
        <v>58</v>
      </c>
      <c r="FJ2943" t="s">
        <v>59</v>
      </c>
    </row>
    <row r="2944" spans="153:166" x14ac:dyDescent="0.35">
      <c r="EW2944" t="s">
        <v>4093</v>
      </c>
      <c r="EX2944" s="33" t="s">
        <v>4120</v>
      </c>
      <c r="EY2944" s="33" t="s">
        <v>123</v>
      </c>
      <c r="EZ2944" s="33" t="s">
        <v>124</v>
      </c>
      <c r="FA2944" s="33" t="s">
        <v>51</v>
      </c>
      <c r="FB2944" s="33" t="s">
        <v>52</v>
      </c>
      <c r="FC2944" s="33" t="s">
        <v>53</v>
      </c>
      <c r="FD2944" s="33" t="s">
        <v>54</v>
      </c>
      <c r="FE2944" s="33">
        <v>2019</v>
      </c>
      <c r="FF2944" s="33" t="s">
        <v>55</v>
      </c>
      <c r="FG2944" s="33" t="s">
        <v>56</v>
      </c>
      <c r="FH2944" s="33" t="s">
        <v>57</v>
      </c>
      <c r="FI2944" s="33" t="s">
        <v>58</v>
      </c>
      <c r="FJ2944" t="s">
        <v>59</v>
      </c>
    </row>
    <row r="2945" spans="153:166" x14ac:dyDescent="0.35">
      <c r="EW2945" t="s">
        <v>4093</v>
      </c>
      <c r="EX2945" s="33" t="s">
        <v>4121</v>
      </c>
      <c r="EY2945" s="33" t="s">
        <v>125</v>
      </c>
      <c r="EZ2945" s="33" t="s">
        <v>126</v>
      </c>
      <c r="FA2945" s="33" t="s">
        <v>51</v>
      </c>
      <c r="FB2945" s="33" t="s">
        <v>52</v>
      </c>
      <c r="FC2945" s="33" t="s">
        <v>53</v>
      </c>
      <c r="FD2945" s="33" t="s">
        <v>54</v>
      </c>
      <c r="FE2945" s="33">
        <v>2019</v>
      </c>
      <c r="FF2945" s="33" t="s">
        <v>55</v>
      </c>
      <c r="FG2945" s="33" t="s">
        <v>56</v>
      </c>
      <c r="FH2945" s="33" t="s">
        <v>57</v>
      </c>
      <c r="FI2945" s="33" t="s">
        <v>58</v>
      </c>
      <c r="FJ2945" t="s">
        <v>59</v>
      </c>
    </row>
    <row r="2946" spans="153:166" x14ac:dyDescent="0.35">
      <c r="EW2946" t="s">
        <v>4093</v>
      </c>
      <c r="EX2946" s="33" t="s">
        <v>4122</v>
      </c>
      <c r="EY2946" s="33" t="s">
        <v>127</v>
      </c>
      <c r="EZ2946" s="33" t="s">
        <v>128</v>
      </c>
      <c r="FA2946" s="33" t="s">
        <v>51</v>
      </c>
      <c r="FB2946" s="33" t="s">
        <v>52</v>
      </c>
      <c r="FC2946" s="33" t="s">
        <v>53</v>
      </c>
      <c r="FD2946" s="33" t="s">
        <v>54</v>
      </c>
      <c r="FE2946" s="33">
        <v>2019</v>
      </c>
      <c r="FF2946" s="33" t="s">
        <v>55</v>
      </c>
      <c r="FG2946" s="33" t="s">
        <v>56</v>
      </c>
      <c r="FH2946" s="33" t="s">
        <v>57</v>
      </c>
      <c r="FI2946" s="33" t="s">
        <v>58</v>
      </c>
      <c r="FJ2946" t="s">
        <v>59</v>
      </c>
    </row>
    <row r="2947" spans="153:166" x14ac:dyDescent="0.35">
      <c r="EW2947" t="s">
        <v>4093</v>
      </c>
      <c r="EX2947" s="33" t="s">
        <v>4123</v>
      </c>
      <c r="EY2947" s="33" t="s">
        <v>129</v>
      </c>
      <c r="EZ2947" s="33" t="s">
        <v>130</v>
      </c>
      <c r="FA2947" s="33" t="s">
        <v>51</v>
      </c>
      <c r="FB2947" s="33" t="s">
        <v>52</v>
      </c>
      <c r="FC2947" s="33" t="s">
        <v>53</v>
      </c>
      <c r="FD2947" s="33" t="s">
        <v>54</v>
      </c>
      <c r="FE2947" s="33">
        <v>2019</v>
      </c>
      <c r="FF2947" s="33" t="s">
        <v>55</v>
      </c>
      <c r="FG2947" s="33" t="s">
        <v>56</v>
      </c>
      <c r="FH2947" s="33" t="s">
        <v>57</v>
      </c>
      <c r="FI2947" s="33" t="s">
        <v>58</v>
      </c>
      <c r="FJ2947" t="s">
        <v>59</v>
      </c>
    </row>
    <row r="2948" spans="153:166" x14ac:dyDescent="0.35">
      <c r="EW2948" t="s">
        <v>4093</v>
      </c>
      <c r="EX2948" s="33" t="s">
        <v>4124</v>
      </c>
      <c r="EY2948" s="33" t="s">
        <v>131</v>
      </c>
      <c r="EZ2948" s="33" t="s">
        <v>132</v>
      </c>
      <c r="FA2948" s="33" t="s">
        <v>51</v>
      </c>
      <c r="FB2948" s="33" t="s">
        <v>52</v>
      </c>
      <c r="FC2948" s="33" t="s">
        <v>53</v>
      </c>
      <c r="FD2948" s="33" t="s">
        <v>54</v>
      </c>
      <c r="FE2948" s="33">
        <v>2019</v>
      </c>
      <c r="FF2948" s="33" t="s">
        <v>55</v>
      </c>
      <c r="FG2948" s="33" t="s">
        <v>56</v>
      </c>
      <c r="FH2948" s="33" t="s">
        <v>57</v>
      </c>
      <c r="FI2948" s="33" t="s">
        <v>58</v>
      </c>
      <c r="FJ2948" t="s">
        <v>59</v>
      </c>
    </row>
    <row r="2949" spans="153:166" x14ac:dyDescent="0.35">
      <c r="EW2949" t="s">
        <v>4093</v>
      </c>
      <c r="EX2949" s="33" t="s">
        <v>4125</v>
      </c>
      <c r="EY2949" s="33" t="s">
        <v>136</v>
      </c>
      <c r="EZ2949" s="33" t="s">
        <v>137</v>
      </c>
      <c r="FA2949" s="33" t="s">
        <v>51</v>
      </c>
      <c r="FB2949" s="33" t="s">
        <v>52</v>
      </c>
      <c r="FC2949" s="33" t="s">
        <v>53</v>
      </c>
      <c r="FD2949" s="33" t="s">
        <v>54</v>
      </c>
      <c r="FE2949" s="33">
        <v>2019</v>
      </c>
      <c r="FF2949" s="33" t="s">
        <v>55</v>
      </c>
      <c r="FG2949" s="33" t="s">
        <v>56</v>
      </c>
      <c r="FH2949" s="33" t="s">
        <v>57</v>
      </c>
      <c r="FI2949" s="33" t="s">
        <v>58</v>
      </c>
      <c r="FJ2949" t="s">
        <v>59</v>
      </c>
    </row>
    <row r="2950" spans="153:166" x14ac:dyDescent="0.35">
      <c r="EW2950" t="s">
        <v>4093</v>
      </c>
      <c r="EX2950" s="33" t="s">
        <v>4126</v>
      </c>
      <c r="EY2950" s="33" t="s">
        <v>138</v>
      </c>
      <c r="EZ2950" s="33" t="s">
        <v>139</v>
      </c>
      <c r="FA2950" s="33" t="s">
        <v>51</v>
      </c>
      <c r="FB2950" s="33" t="s">
        <v>52</v>
      </c>
      <c r="FC2950" s="33" t="s">
        <v>53</v>
      </c>
      <c r="FD2950" s="33" t="s">
        <v>54</v>
      </c>
      <c r="FE2950" s="33">
        <v>2019</v>
      </c>
      <c r="FF2950" s="33" t="s">
        <v>55</v>
      </c>
      <c r="FG2950" s="33" t="s">
        <v>56</v>
      </c>
      <c r="FH2950" s="33" t="s">
        <v>57</v>
      </c>
      <c r="FI2950" s="33" t="s">
        <v>58</v>
      </c>
      <c r="FJ2950" t="s">
        <v>59</v>
      </c>
    </row>
    <row r="2951" spans="153:166" x14ac:dyDescent="0.35">
      <c r="EW2951" t="s">
        <v>4093</v>
      </c>
      <c r="EX2951" s="33" t="s">
        <v>4127</v>
      </c>
      <c r="EY2951" s="33" t="s">
        <v>143</v>
      </c>
      <c r="EZ2951" s="33" t="s">
        <v>144</v>
      </c>
      <c r="FA2951" s="33" t="s">
        <v>51</v>
      </c>
      <c r="FB2951" s="33" t="s">
        <v>52</v>
      </c>
      <c r="FC2951" s="33" t="s">
        <v>53</v>
      </c>
      <c r="FD2951" s="33" t="s">
        <v>54</v>
      </c>
      <c r="FE2951" s="33">
        <v>2019</v>
      </c>
      <c r="FF2951" s="33" t="s">
        <v>55</v>
      </c>
      <c r="FG2951" s="33" t="s">
        <v>56</v>
      </c>
      <c r="FH2951" s="33" t="s">
        <v>57</v>
      </c>
      <c r="FI2951" s="33" t="s">
        <v>58</v>
      </c>
      <c r="FJ2951" t="s">
        <v>59</v>
      </c>
    </row>
    <row r="2952" spans="153:166" x14ac:dyDescent="0.35">
      <c r="EW2952" t="s">
        <v>4093</v>
      </c>
      <c r="EX2952" s="33" t="s">
        <v>4128</v>
      </c>
      <c r="EY2952" s="33" t="s">
        <v>145</v>
      </c>
      <c r="EZ2952" s="33" t="s">
        <v>146</v>
      </c>
      <c r="FA2952" s="33" t="s">
        <v>51</v>
      </c>
      <c r="FB2952" s="33" t="s">
        <v>52</v>
      </c>
      <c r="FC2952" s="33" t="s">
        <v>53</v>
      </c>
      <c r="FD2952" s="33" t="s">
        <v>54</v>
      </c>
      <c r="FE2952" s="33">
        <v>2019</v>
      </c>
      <c r="FF2952" s="33" t="s">
        <v>55</v>
      </c>
      <c r="FG2952" s="33" t="s">
        <v>56</v>
      </c>
      <c r="FH2952" s="33" t="s">
        <v>57</v>
      </c>
      <c r="FI2952" s="33" t="s">
        <v>58</v>
      </c>
      <c r="FJ2952" t="s">
        <v>59</v>
      </c>
    </row>
    <row r="2953" spans="153:166" x14ac:dyDescent="0.35">
      <c r="EW2953" t="s">
        <v>4093</v>
      </c>
      <c r="EX2953" s="33" t="s">
        <v>4129</v>
      </c>
      <c r="EY2953" s="33" t="s">
        <v>147</v>
      </c>
      <c r="EZ2953" s="33" t="s">
        <v>148</v>
      </c>
      <c r="FA2953" s="33" t="s">
        <v>51</v>
      </c>
      <c r="FB2953" s="33" t="s">
        <v>52</v>
      </c>
      <c r="FC2953" s="33" t="s">
        <v>53</v>
      </c>
      <c r="FD2953" s="33" t="s">
        <v>54</v>
      </c>
      <c r="FE2953" s="33">
        <v>2019</v>
      </c>
      <c r="FF2953" s="33" t="s">
        <v>55</v>
      </c>
      <c r="FG2953" s="33" t="s">
        <v>56</v>
      </c>
      <c r="FH2953" s="33" t="s">
        <v>57</v>
      </c>
      <c r="FI2953" s="33" t="s">
        <v>58</v>
      </c>
      <c r="FJ2953" t="s">
        <v>59</v>
      </c>
    </row>
    <row r="2954" spans="153:166" x14ac:dyDescent="0.35">
      <c r="EW2954" t="s">
        <v>4093</v>
      </c>
      <c r="EX2954" s="33" t="s">
        <v>4130</v>
      </c>
      <c r="EY2954" s="33" t="s">
        <v>149</v>
      </c>
      <c r="EZ2954" s="33" t="s">
        <v>150</v>
      </c>
      <c r="FA2954" s="33" t="s">
        <v>51</v>
      </c>
      <c r="FB2954" s="33" t="s">
        <v>52</v>
      </c>
      <c r="FC2954" s="33" t="s">
        <v>53</v>
      </c>
      <c r="FD2954" s="33" t="s">
        <v>54</v>
      </c>
      <c r="FE2954" s="33">
        <v>2019</v>
      </c>
      <c r="FF2954" s="33" t="s">
        <v>55</v>
      </c>
      <c r="FG2954" s="33" t="s">
        <v>56</v>
      </c>
      <c r="FH2954" s="33" t="s">
        <v>57</v>
      </c>
      <c r="FI2954" s="33" t="s">
        <v>58</v>
      </c>
      <c r="FJ2954" t="s">
        <v>59</v>
      </c>
    </row>
    <row r="2955" spans="153:166" x14ac:dyDescent="0.35">
      <c r="EW2955" t="s">
        <v>4093</v>
      </c>
      <c r="EX2955" s="33" t="s">
        <v>4131</v>
      </c>
      <c r="EY2955" s="33" t="s">
        <v>154</v>
      </c>
      <c r="EZ2955" s="33" t="s">
        <v>155</v>
      </c>
      <c r="FA2955" s="33" t="s">
        <v>51</v>
      </c>
      <c r="FB2955" s="33" t="s">
        <v>52</v>
      </c>
      <c r="FC2955" s="33" t="s">
        <v>53</v>
      </c>
      <c r="FD2955" s="33" t="s">
        <v>54</v>
      </c>
      <c r="FE2955" s="33">
        <v>2019</v>
      </c>
      <c r="FF2955" s="33" t="s">
        <v>55</v>
      </c>
      <c r="FG2955" s="33" t="s">
        <v>56</v>
      </c>
      <c r="FH2955" s="33" t="s">
        <v>57</v>
      </c>
      <c r="FI2955" s="33" t="s">
        <v>58</v>
      </c>
      <c r="FJ2955" t="s">
        <v>59</v>
      </c>
    </row>
    <row r="2956" spans="153:166" x14ac:dyDescent="0.35">
      <c r="EW2956" t="s">
        <v>4093</v>
      </c>
      <c r="EX2956" s="33" t="s">
        <v>4132</v>
      </c>
      <c r="EY2956" s="33" t="s">
        <v>156</v>
      </c>
      <c r="EZ2956" s="33" t="s">
        <v>157</v>
      </c>
      <c r="FA2956" s="33" t="s">
        <v>51</v>
      </c>
      <c r="FB2956" s="33" t="s">
        <v>52</v>
      </c>
      <c r="FC2956" s="33" t="s">
        <v>53</v>
      </c>
      <c r="FD2956" s="33" t="s">
        <v>54</v>
      </c>
      <c r="FE2956" s="33">
        <v>2019</v>
      </c>
      <c r="FF2956" s="33" t="s">
        <v>55</v>
      </c>
      <c r="FG2956" s="33" t="s">
        <v>56</v>
      </c>
      <c r="FH2956" s="33" t="s">
        <v>57</v>
      </c>
      <c r="FI2956" s="33" t="s">
        <v>58</v>
      </c>
      <c r="FJ2956" t="s">
        <v>59</v>
      </c>
    </row>
    <row r="2957" spans="153:166" x14ac:dyDescent="0.35">
      <c r="EW2957" t="s">
        <v>4093</v>
      </c>
      <c r="EX2957" s="33" t="s">
        <v>4133</v>
      </c>
      <c r="EY2957" s="33" t="s">
        <v>158</v>
      </c>
      <c r="EZ2957" s="33" t="s">
        <v>159</v>
      </c>
      <c r="FA2957" s="33" t="s">
        <v>51</v>
      </c>
      <c r="FB2957" s="33" t="s">
        <v>52</v>
      </c>
      <c r="FC2957" s="33" t="s">
        <v>53</v>
      </c>
      <c r="FD2957" s="33" t="s">
        <v>54</v>
      </c>
      <c r="FE2957" s="33">
        <v>2019</v>
      </c>
      <c r="FF2957" s="33" t="s">
        <v>55</v>
      </c>
      <c r="FG2957" s="33" t="s">
        <v>56</v>
      </c>
      <c r="FH2957" s="33" t="s">
        <v>57</v>
      </c>
      <c r="FI2957" s="33" t="s">
        <v>58</v>
      </c>
      <c r="FJ2957" t="s">
        <v>59</v>
      </c>
    </row>
    <row r="2958" spans="153:166" x14ac:dyDescent="0.35">
      <c r="EW2958" t="s">
        <v>4093</v>
      </c>
      <c r="EX2958" s="33" t="s">
        <v>4134</v>
      </c>
      <c r="EY2958" s="33" t="s">
        <v>160</v>
      </c>
      <c r="EZ2958" s="33" t="s">
        <v>161</v>
      </c>
      <c r="FA2958" s="33" t="s">
        <v>51</v>
      </c>
      <c r="FB2958" s="33" t="s">
        <v>52</v>
      </c>
      <c r="FC2958" s="33" t="s">
        <v>53</v>
      </c>
      <c r="FD2958" s="33" t="s">
        <v>54</v>
      </c>
      <c r="FE2958" s="33">
        <v>2019</v>
      </c>
      <c r="FF2958" s="33" t="s">
        <v>55</v>
      </c>
      <c r="FG2958" s="33" t="s">
        <v>56</v>
      </c>
      <c r="FH2958" s="33" t="s">
        <v>57</v>
      </c>
      <c r="FI2958" s="33" t="s">
        <v>58</v>
      </c>
      <c r="FJ2958" t="s">
        <v>59</v>
      </c>
    </row>
    <row r="2959" spans="153:166" x14ac:dyDescent="0.35">
      <c r="EW2959" t="s">
        <v>4093</v>
      </c>
      <c r="EX2959" s="33" t="s">
        <v>4135</v>
      </c>
      <c r="EY2959" s="33" t="s">
        <v>165</v>
      </c>
      <c r="EZ2959" s="33" t="s">
        <v>166</v>
      </c>
      <c r="FA2959" s="33" t="s">
        <v>51</v>
      </c>
      <c r="FB2959" s="33" t="s">
        <v>52</v>
      </c>
      <c r="FC2959" s="33" t="s">
        <v>53</v>
      </c>
      <c r="FD2959" s="33" t="s">
        <v>54</v>
      </c>
      <c r="FE2959" s="33">
        <v>2019</v>
      </c>
      <c r="FF2959" s="33" t="s">
        <v>55</v>
      </c>
      <c r="FG2959" s="33" t="s">
        <v>56</v>
      </c>
      <c r="FH2959" s="33" t="s">
        <v>57</v>
      </c>
      <c r="FI2959" s="33" t="s">
        <v>58</v>
      </c>
      <c r="FJ2959" t="s">
        <v>59</v>
      </c>
    </row>
    <row r="2960" spans="153:166" x14ac:dyDescent="0.35">
      <c r="EW2960" t="s">
        <v>4093</v>
      </c>
      <c r="EX2960" s="33" t="s">
        <v>4136</v>
      </c>
      <c r="EY2960" s="33" t="s">
        <v>167</v>
      </c>
      <c r="EZ2960" s="33" t="s">
        <v>168</v>
      </c>
      <c r="FA2960" s="33" t="s">
        <v>51</v>
      </c>
      <c r="FB2960" s="33" t="s">
        <v>52</v>
      </c>
      <c r="FC2960" s="33" t="s">
        <v>53</v>
      </c>
      <c r="FD2960" s="33" t="s">
        <v>54</v>
      </c>
      <c r="FE2960" s="33">
        <v>2019</v>
      </c>
      <c r="FF2960" s="33" t="s">
        <v>55</v>
      </c>
      <c r="FG2960" s="33" t="s">
        <v>56</v>
      </c>
      <c r="FH2960" s="33" t="s">
        <v>57</v>
      </c>
      <c r="FI2960" s="33" t="s">
        <v>58</v>
      </c>
      <c r="FJ2960" t="s">
        <v>59</v>
      </c>
    </row>
    <row r="2961" spans="153:166" x14ac:dyDescent="0.35">
      <c r="EW2961" t="s">
        <v>4093</v>
      </c>
      <c r="EX2961" s="33" t="s">
        <v>4137</v>
      </c>
      <c r="EY2961" s="33" t="s">
        <v>169</v>
      </c>
      <c r="EZ2961" s="33" t="s">
        <v>170</v>
      </c>
      <c r="FA2961" s="33" t="s">
        <v>51</v>
      </c>
      <c r="FB2961" s="33" t="s">
        <v>52</v>
      </c>
      <c r="FC2961" s="33" t="s">
        <v>53</v>
      </c>
      <c r="FD2961" s="33" t="s">
        <v>54</v>
      </c>
      <c r="FE2961" s="33">
        <v>2019</v>
      </c>
      <c r="FF2961" s="33" t="s">
        <v>55</v>
      </c>
      <c r="FG2961" s="33" t="s">
        <v>56</v>
      </c>
      <c r="FH2961" s="33" t="s">
        <v>57</v>
      </c>
      <c r="FI2961" s="33" t="s">
        <v>58</v>
      </c>
      <c r="FJ2961" t="s">
        <v>59</v>
      </c>
    </row>
    <row r="2962" spans="153:166" x14ac:dyDescent="0.35">
      <c r="EW2962" t="s">
        <v>4093</v>
      </c>
      <c r="EX2962" s="33" t="s">
        <v>4138</v>
      </c>
      <c r="EY2962" s="33" t="s">
        <v>171</v>
      </c>
      <c r="EZ2962" s="33" t="s">
        <v>172</v>
      </c>
      <c r="FA2962" s="33" t="s">
        <v>51</v>
      </c>
      <c r="FB2962" s="33" t="s">
        <v>52</v>
      </c>
      <c r="FC2962" s="33" t="s">
        <v>53</v>
      </c>
      <c r="FD2962" s="33" t="s">
        <v>54</v>
      </c>
      <c r="FE2962" s="33">
        <v>2019</v>
      </c>
      <c r="FF2962" s="33" t="s">
        <v>55</v>
      </c>
      <c r="FG2962" s="33" t="s">
        <v>56</v>
      </c>
      <c r="FH2962" s="33" t="s">
        <v>57</v>
      </c>
      <c r="FI2962" s="33" t="s">
        <v>58</v>
      </c>
      <c r="FJ2962" t="s">
        <v>59</v>
      </c>
    </row>
    <row r="2963" spans="153:166" x14ac:dyDescent="0.35">
      <c r="EW2963" t="s">
        <v>4093</v>
      </c>
      <c r="EX2963" s="33" t="s">
        <v>4139</v>
      </c>
      <c r="EY2963" s="33" t="s">
        <v>173</v>
      </c>
      <c r="EZ2963" s="33" t="s">
        <v>174</v>
      </c>
      <c r="FA2963" s="33" t="s">
        <v>51</v>
      </c>
      <c r="FB2963" s="33" t="s">
        <v>52</v>
      </c>
      <c r="FC2963" s="33" t="s">
        <v>53</v>
      </c>
      <c r="FD2963" s="33" t="s">
        <v>54</v>
      </c>
      <c r="FE2963" s="33">
        <v>2019</v>
      </c>
      <c r="FF2963" s="33" t="s">
        <v>55</v>
      </c>
      <c r="FG2963" s="33" t="s">
        <v>56</v>
      </c>
      <c r="FH2963" s="33" t="s">
        <v>57</v>
      </c>
      <c r="FI2963" s="33" t="s">
        <v>58</v>
      </c>
      <c r="FJ2963" t="s">
        <v>59</v>
      </c>
    </row>
    <row r="2964" spans="153:166" x14ac:dyDescent="0.35">
      <c r="EW2964" t="s">
        <v>4093</v>
      </c>
      <c r="EX2964" s="33" t="s">
        <v>4140</v>
      </c>
      <c r="EY2964" s="33" t="s">
        <v>175</v>
      </c>
      <c r="EZ2964" s="33" t="s">
        <v>176</v>
      </c>
      <c r="FA2964" s="33" t="s">
        <v>51</v>
      </c>
      <c r="FB2964" s="33" t="s">
        <v>52</v>
      </c>
      <c r="FC2964" s="33" t="s">
        <v>53</v>
      </c>
      <c r="FD2964" s="33" t="s">
        <v>54</v>
      </c>
      <c r="FE2964" s="33">
        <v>2019</v>
      </c>
      <c r="FF2964" s="33" t="s">
        <v>55</v>
      </c>
      <c r="FG2964" s="33" t="s">
        <v>56</v>
      </c>
      <c r="FH2964" s="33" t="s">
        <v>57</v>
      </c>
      <c r="FI2964" s="33" t="s">
        <v>58</v>
      </c>
      <c r="FJ2964" t="s">
        <v>59</v>
      </c>
    </row>
    <row r="2965" spans="153:166" x14ac:dyDescent="0.35">
      <c r="EW2965" t="s">
        <v>4093</v>
      </c>
      <c r="EX2965" s="33" t="s">
        <v>4141</v>
      </c>
      <c r="EY2965" s="33" t="s">
        <v>180</v>
      </c>
      <c r="EZ2965" s="33" t="s">
        <v>181</v>
      </c>
      <c r="FA2965" s="33" t="s">
        <v>51</v>
      </c>
      <c r="FB2965" s="33" t="s">
        <v>52</v>
      </c>
      <c r="FC2965" s="33" t="s">
        <v>53</v>
      </c>
      <c r="FD2965" s="33" t="s">
        <v>54</v>
      </c>
      <c r="FE2965" s="33">
        <v>2019</v>
      </c>
      <c r="FF2965" s="33" t="s">
        <v>55</v>
      </c>
      <c r="FG2965" s="33" t="s">
        <v>56</v>
      </c>
      <c r="FH2965" s="33" t="s">
        <v>57</v>
      </c>
      <c r="FI2965" s="33" t="s">
        <v>58</v>
      </c>
      <c r="FJ2965" t="s">
        <v>59</v>
      </c>
    </row>
    <row r="2966" spans="153:166" x14ac:dyDescent="0.35">
      <c r="EW2966" t="s">
        <v>4093</v>
      </c>
      <c r="EX2966" s="33" t="s">
        <v>4142</v>
      </c>
      <c r="EY2966" s="33" t="s">
        <v>182</v>
      </c>
      <c r="EZ2966" s="33" t="s">
        <v>183</v>
      </c>
      <c r="FA2966" s="33" t="s">
        <v>51</v>
      </c>
      <c r="FB2966" s="33" t="s">
        <v>52</v>
      </c>
      <c r="FC2966" s="33" t="s">
        <v>53</v>
      </c>
      <c r="FD2966" s="33" t="s">
        <v>54</v>
      </c>
      <c r="FE2966" s="33">
        <v>2019</v>
      </c>
      <c r="FF2966" s="33" t="s">
        <v>55</v>
      </c>
      <c r="FG2966" s="33" t="s">
        <v>56</v>
      </c>
      <c r="FH2966" s="33" t="s">
        <v>57</v>
      </c>
      <c r="FI2966" s="33" t="s">
        <v>58</v>
      </c>
      <c r="FJ2966" t="s">
        <v>59</v>
      </c>
    </row>
    <row r="2967" spans="153:166" x14ac:dyDescent="0.35">
      <c r="EW2967" t="s">
        <v>4093</v>
      </c>
      <c r="EX2967" s="33" t="s">
        <v>4143</v>
      </c>
      <c r="EY2967" s="33" t="s">
        <v>184</v>
      </c>
      <c r="EZ2967" s="33" t="s">
        <v>185</v>
      </c>
      <c r="FA2967" s="33" t="s">
        <v>51</v>
      </c>
      <c r="FB2967" s="33" t="s">
        <v>52</v>
      </c>
      <c r="FC2967" s="33" t="s">
        <v>53</v>
      </c>
      <c r="FD2967" s="33" t="s">
        <v>54</v>
      </c>
      <c r="FE2967" s="33">
        <v>2019</v>
      </c>
      <c r="FF2967" s="33" t="s">
        <v>55</v>
      </c>
      <c r="FG2967" s="33" t="s">
        <v>56</v>
      </c>
      <c r="FH2967" s="33" t="s">
        <v>57</v>
      </c>
      <c r="FI2967" s="33" t="s">
        <v>58</v>
      </c>
      <c r="FJ2967" t="s">
        <v>59</v>
      </c>
    </row>
    <row r="2968" spans="153:166" x14ac:dyDescent="0.35">
      <c r="EW2968" t="s">
        <v>4093</v>
      </c>
      <c r="EX2968" s="33" t="s">
        <v>4144</v>
      </c>
      <c r="EY2968" s="33" t="s">
        <v>189</v>
      </c>
      <c r="EZ2968" s="33" t="s">
        <v>190</v>
      </c>
      <c r="FA2968" s="33" t="s">
        <v>51</v>
      </c>
      <c r="FB2968" s="33" t="s">
        <v>52</v>
      </c>
      <c r="FC2968" s="33" t="s">
        <v>53</v>
      </c>
      <c r="FD2968" s="33" t="s">
        <v>54</v>
      </c>
      <c r="FE2968" s="33">
        <v>2019</v>
      </c>
      <c r="FF2968" s="33" t="s">
        <v>55</v>
      </c>
      <c r="FG2968" s="33" t="s">
        <v>56</v>
      </c>
      <c r="FH2968" s="33" t="s">
        <v>57</v>
      </c>
      <c r="FI2968" s="33" t="s">
        <v>58</v>
      </c>
      <c r="FJ2968" t="s">
        <v>59</v>
      </c>
    </row>
    <row r="2969" spans="153:166" x14ac:dyDescent="0.35">
      <c r="EW2969" t="s">
        <v>4093</v>
      </c>
      <c r="EX2969" s="33" t="s">
        <v>4145</v>
      </c>
      <c r="EY2969" s="33" t="s">
        <v>191</v>
      </c>
      <c r="EZ2969" s="33" t="s">
        <v>192</v>
      </c>
      <c r="FA2969" s="33" t="s">
        <v>51</v>
      </c>
      <c r="FB2969" s="33" t="s">
        <v>52</v>
      </c>
      <c r="FC2969" s="33" t="s">
        <v>53</v>
      </c>
      <c r="FD2969" s="33" t="s">
        <v>54</v>
      </c>
      <c r="FE2969" s="33">
        <v>2019</v>
      </c>
      <c r="FF2969" s="33" t="s">
        <v>55</v>
      </c>
      <c r="FG2969" s="33" t="s">
        <v>56</v>
      </c>
      <c r="FH2969" s="33" t="s">
        <v>57</v>
      </c>
      <c r="FI2969" s="33" t="s">
        <v>58</v>
      </c>
      <c r="FJ2969" t="s">
        <v>59</v>
      </c>
    </row>
    <row r="2970" spans="153:166" x14ac:dyDescent="0.35">
      <c r="EW2970" t="s">
        <v>4093</v>
      </c>
      <c r="EX2970" s="33" t="s">
        <v>4146</v>
      </c>
      <c r="EY2970" s="33" t="s">
        <v>193</v>
      </c>
      <c r="EZ2970" s="33" t="s">
        <v>194</v>
      </c>
      <c r="FA2970" s="33" t="s">
        <v>51</v>
      </c>
      <c r="FB2970" s="33" t="s">
        <v>52</v>
      </c>
      <c r="FC2970" s="33" t="s">
        <v>53</v>
      </c>
      <c r="FD2970" s="33" t="s">
        <v>54</v>
      </c>
      <c r="FE2970" s="33">
        <v>2019</v>
      </c>
      <c r="FF2970" s="33" t="s">
        <v>55</v>
      </c>
      <c r="FG2970" s="33" t="s">
        <v>56</v>
      </c>
      <c r="FH2970" s="33" t="s">
        <v>57</v>
      </c>
      <c r="FI2970" s="33" t="s">
        <v>58</v>
      </c>
      <c r="FJ2970" t="s">
        <v>59</v>
      </c>
    </row>
    <row r="2971" spans="153:166" x14ac:dyDescent="0.35">
      <c r="EW2971" t="s">
        <v>4093</v>
      </c>
      <c r="EX2971" s="33" t="s">
        <v>4147</v>
      </c>
      <c r="EY2971" s="33" t="s">
        <v>195</v>
      </c>
      <c r="EZ2971" s="33" t="s">
        <v>196</v>
      </c>
      <c r="FA2971" s="33" t="s">
        <v>51</v>
      </c>
      <c r="FB2971" s="33" t="s">
        <v>52</v>
      </c>
      <c r="FC2971" s="33" t="s">
        <v>53</v>
      </c>
      <c r="FD2971" s="33" t="s">
        <v>54</v>
      </c>
      <c r="FE2971" s="33">
        <v>2019</v>
      </c>
      <c r="FF2971" s="33" t="s">
        <v>55</v>
      </c>
      <c r="FG2971" s="33" t="s">
        <v>56</v>
      </c>
      <c r="FH2971" s="33" t="s">
        <v>57</v>
      </c>
      <c r="FI2971" s="33" t="s">
        <v>58</v>
      </c>
      <c r="FJ2971" t="s">
        <v>59</v>
      </c>
    </row>
    <row r="2972" spans="153:166" x14ac:dyDescent="0.35">
      <c r="EW2972" t="s">
        <v>4093</v>
      </c>
      <c r="EX2972" s="33" t="s">
        <v>4148</v>
      </c>
      <c r="EY2972" s="33" t="s">
        <v>200</v>
      </c>
      <c r="EZ2972" s="33" t="s">
        <v>201</v>
      </c>
      <c r="FA2972" s="33" t="s">
        <v>51</v>
      </c>
      <c r="FB2972" s="33" t="s">
        <v>52</v>
      </c>
      <c r="FC2972" s="33" t="s">
        <v>53</v>
      </c>
      <c r="FD2972" s="33" t="s">
        <v>54</v>
      </c>
      <c r="FE2972" s="33">
        <v>2019</v>
      </c>
      <c r="FF2972" s="33" t="s">
        <v>55</v>
      </c>
      <c r="FG2972" s="33" t="s">
        <v>56</v>
      </c>
      <c r="FH2972" s="33" t="s">
        <v>57</v>
      </c>
      <c r="FI2972" s="33" t="s">
        <v>58</v>
      </c>
      <c r="FJ2972" t="s">
        <v>59</v>
      </c>
    </row>
    <row r="2973" spans="153:166" x14ac:dyDescent="0.35">
      <c r="EW2973" t="s">
        <v>4093</v>
      </c>
      <c r="EX2973" s="33" t="s">
        <v>4149</v>
      </c>
      <c r="EY2973" s="33" t="s">
        <v>202</v>
      </c>
      <c r="EZ2973" s="33" t="s">
        <v>203</v>
      </c>
      <c r="FA2973" s="33" t="s">
        <v>51</v>
      </c>
      <c r="FB2973" s="33" t="s">
        <v>52</v>
      </c>
      <c r="FC2973" s="33" t="s">
        <v>53</v>
      </c>
      <c r="FD2973" s="33" t="s">
        <v>54</v>
      </c>
      <c r="FE2973" s="33">
        <v>2019</v>
      </c>
      <c r="FF2973" s="33" t="s">
        <v>55</v>
      </c>
      <c r="FG2973" s="33" t="s">
        <v>56</v>
      </c>
      <c r="FH2973" s="33" t="s">
        <v>57</v>
      </c>
      <c r="FI2973" s="33" t="s">
        <v>58</v>
      </c>
      <c r="FJ2973" t="s">
        <v>59</v>
      </c>
    </row>
    <row r="2974" spans="153:166" x14ac:dyDescent="0.35">
      <c r="EW2974" t="s">
        <v>4093</v>
      </c>
      <c r="EX2974" s="33" t="s">
        <v>4150</v>
      </c>
      <c r="EY2974" s="33" t="s">
        <v>204</v>
      </c>
      <c r="EZ2974" s="33" t="s">
        <v>205</v>
      </c>
      <c r="FA2974" s="33" t="s">
        <v>51</v>
      </c>
      <c r="FB2974" s="33" t="s">
        <v>52</v>
      </c>
      <c r="FC2974" s="33" t="s">
        <v>53</v>
      </c>
      <c r="FD2974" s="33" t="s">
        <v>54</v>
      </c>
      <c r="FE2974" s="33">
        <v>2019</v>
      </c>
      <c r="FF2974" s="33" t="s">
        <v>55</v>
      </c>
      <c r="FG2974" s="33" t="s">
        <v>56</v>
      </c>
      <c r="FH2974" s="33" t="s">
        <v>57</v>
      </c>
      <c r="FI2974" s="33" t="s">
        <v>58</v>
      </c>
      <c r="FJ2974" t="s">
        <v>59</v>
      </c>
    </row>
    <row r="2975" spans="153:166" x14ac:dyDescent="0.35">
      <c r="EW2975" t="s">
        <v>4093</v>
      </c>
      <c r="EX2975" s="33" t="s">
        <v>4151</v>
      </c>
      <c r="EY2975" s="33" t="s">
        <v>209</v>
      </c>
      <c r="EZ2975" s="33" t="s">
        <v>210</v>
      </c>
      <c r="FA2975" s="33" t="s">
        <v>51</v>
      </c>
      <c r="FB2975" s="33" t="s">
        <v>52</v>
      </c>
      <c r="FC2975" s="33" t="s">
        <v>53</v>
      </c>
      <c r="FD2975" s="33" t="s">
        <v>54</v>
      </c>
      <c r="FE2975" s="33">
        <v>2019</v>
      </c>
      <c r="FF2975" s="33" t="s">
        <v>55</v>
      </c>
      <c r="FG2975" s="33" t="s">
        <v>56</v>
      </c>
      <c r="FH2975" s="33" t="s">
        <v>57</v>
      </c>
      <c r="FI2975" s="33" t="s">
        <v>58</v>
      </c>
      <c r="FJ2975" t="s">
        <v>59</v>
      </c>
    </row>
    <row r="2976" spans="153:166" x14ac:dyDescent="0.35">
      <c r="EW2976" t="s">
        <v>4093</v>
      </c>
      <c r="EX2976" s="33" t="s">
        <v>4152</v>
      </c>
      <c r="EY2976" s="33" t="s">
        <v>211</v>
      </c>
      <c r="EZ2976" s="33" t="s">
        <v>212</v>
      </c>
      <c r="FA2976" s="33" t="s">
        <v>51</v>
      </c>
      <c r="FB2976" s="33" t="s">
        <v>52</v>
      </c>
      <c r="FC2976" s="33" t="s">
        <v>53</v>
      </c>
      <c r="FD2976" s="33" t="s">
        <v>54</v>
      </c>
      <c r="FE2976" s="33">
        <v>2019</v>
      </c>
      <c r="FF2976" s="33" t="s">
        <v>55</v>
      </c>
      <c r="FG2976" s="33" t="s">
        <v>56</v>
      </c>
      <c r="FH2976" s="33" t="s">
        <v>57</v>
      </c>
      <c r="FI2976" s="33" t="s">
        <v>58</v>
      </c>
      <c r="FJ2976" t="s">
        <v>59</v>
      </c>
    </row>
    <row r="2977" spans="153:166" x14ac:dyDescent="0.35">
      <c r="EW2977" t="s">
        <v>4093</v>
      </c>
      <c r="EX2977" s="33" t="s">
        <v>4153</v>
      </c>
      <c r="EY2977" s="33" t="s">
        <v>213</v>
      </c>
      <c r="EZ2977" s="33" t="s">
        <v>214</v>
      </c>
      <c r="FA2977" s="33" t="s">
        <v>51</v>
      </c>
      <c r="FB2977" s="33" t="s">
        <v>52</v>
      </c>
      <c r="FC2977" s="33" t="s">
        <v>53</v>
      </c>
      <c r="FD2977" s="33" t="s">
        <v>54</v>
      </c>
      <c r="FE2977" s="33">
        <v>2019</v>
      </c>
      <c r="FF2977" s="33" t="s">
        <v>55</v>
      </c>
      <c r="FG2977" s="33" t="s">
        <v>56</v>
      </c>
      <c r="FH2977" s="33" t="s">
        <v>57</v>
      </c>
      <c r="FI2977" s="33" t="s">
        <v>58</v>
      </c>
      <c r="FJ2977" t="s">
        <v>59</v>
      </c>
    </row>
    <row r="2978" spans="153:166" x14ac:dyDescent="0.35">
      <c r="EW2978" t="s">
        <v>4093</v>
      </c>
      <c r="EX2978" s="33" t="s">
        <v>4154</v>
      </c>
      <c r="EY2978" s="33" t="s">
        <v>215</v>
      </c>
      <c r="EZ2978" s="33" t="s">
        <v>216</v>
      </c>
      <c r="FA2978" s="33" t="s">
        <v>51</v>
      </c>
      <c r="FB2978" s="33" t="s">
        <v>52</v>
      </c>
      <c r="FC2978" s="33" t="s">
        <v>53</v>
      </c>
      <c r="FD2978" s="33" t="s">
        <v>54</v>
      </c>
      <c r="FE2978" s="33">
        <v>2019</v>
      </c>
      <c r="FF2978" s="33" t="s">
        <v>55</v>
      </c>
      <c r="FG2978" s="33" t="s">
        <v>56</v>
      </c>
      <c r="FH2978" s="33" t="s">
        <v>57</v>
      </c>
      <c r="FI2978" s="33" t="s">
        <v>58</v>
      </c>
      <c r="FJ2978" t="s">
        <v>59</v>
      </c>
    </row>
    <row r="2979" spans="153:166" x14ac:dyDescent="0.35">
      <c r="EW2979" t="s">
        <v>4093</v>
      </c>
      <c r="EX2979" s="33" t="s">
        <v>4155</v>
      </c>
      <c r="EY2979" s="33" t="s">
        <v>220</v>
      </c>
      <c r="EZ2979" s="33" t="s">
        <v>221</v>
      </c>
      <c r="FA2979" s="33" t="s">
        <v>51</v>
      </c>
      <c r="FB2979" s="33" t="s">
        <v>52</v>
      </c>
      <c r="FC2979" s="33" t="s">
        <v>53</v>
      </c>
      <c r="FD2979" s="33" t="s">
        <v>54</v>
      </c>
      <c r="FE2979" s="33">
        <v>2019</v>
      </c>
      <c r="FF2979" s="33" t="s">
        <v>55</v>
      </c>
      <c r="FG2979" s="33" t="s">
        <v>56</v>
      </c>
      <c r="FH2979" s="33" t="s">
        <v>57</v>
      </c>
      <c r="FI2979" s="33" t="s">
        <v>58</v>
      </c>
      <c r="FJ2979" t="s">
        <v>59</v>
      </c>
    </row>
    <row r="2980" spans="153:166" x14ac:dyDescent="0.35">
      <c r="EW2980" t="s">
        <v>4093</v>
      </c>
      <c r="EX2980" s="33" t="s">
        <v>4156</v>
      </c>
      <c r="EY2980" s="33" t="s">
        <v>222</v>
      </c>
      <c r="EZ2980" s="33" t="s">
        <v>223</v>
      </c>
      <c r="FA2980" s="33" t="s">
        <v>51</v>
      </c>
      <c r="FB2980" s="33" t="s">
        <v>52</v>
      </c>
      <c r="FC2980" s="33" t="s">
        <v>53</v>
      </c>
      <c r="FD2980" s="33" t="s">
        <v>54</v>
      </c>
      <c r="FE2980" s="33">
        <v>2019</v>
      </c>
      <c r="FF2980" s="33" t="s">
        <v>55</v>
      </c>
      <c r="FG2980" s="33" t="s">
        <v>56</v>
      </c>
      <c r="FH2980" s="33" t="s">
        <v>57</v>
      </c>
      <c r="FI2980" s="33" t="s">
        <v>58</v>
      </c>
      <c r="FJ2980" t="s">
        <v>59</v>
      </c>
    </row>
    <row r="2981" spans="153:166" x14ac:dyDescent="0.35">
      <c r="EW2981" t="s">
        <v>4093</v>
      </c>
      <c r="EX2981" s="33" t="s">
        <v>4157</v>
      </c>
      <c r="EY2981" s="33" t="s">
        <v>224</v>
      </c>
      <c r="EZ2981" s="33" t="s">
        <v>225</v>
      </c>
      <c r="FA2981" s="33" t="s">
        <v>51</v>
      </c>
      <c r="FB2981" s="33" t="s">
        <v>52</v>
      </c>
      <c r="FC2981" s="33" t="s">
        <v>53</v>
      </c>
      <c r="FD2981" s="33" t="s">
        <v>54</v>
      </c>
      <c r="FE2981" s="33">
        <v>2019</v>
      </c>
      <c r="FF2981" s="33" t="s">
        <v>55</v>
      </c>
      <c r="FG2981" s="33" t="s">
        <v>56</v>
      </c>
      <c r="FH2981" s="33" t="s">
        <v>57</v>
      </c>
      <c r="FI2981" s="33" t="s">
        <v>58</v>
      </c>
      <c r="FJ2981" t="s">
        <v>59</v>
      </c>
    </row>
    <row r="2982" spans="153:166" x14ac:dyDescent="0.35">
      <c r="EW2982" t="s">
        <v>4093</v>
      </c>
      <c r="EX2982" s="33" t="s">
        <v>4158</v>
      </c>
      <c r="EY2982" s="33" t="s">
        <v>229</v>
      </c>
      <c r="EZ2982" s="33" t="s">
        <v>230</v>
      </c>
      <c r="FA2982" s="33" t="s">
        <v>51</v>
      </c>
      <c r="FB2982" s="33" t="s">
        <v>52</v>
      </c>
      <c r="FC2982" s="33" t="s">
        <v>53</v>
      </c>
      <c r="FD2982" s="33" t="s">
        <v>54</v>
      </c>
      <c r="FE2982" s="33">
        <v>2019</v>
      </c>
      <c r="FF2982" s="33" t="s">
        <v>55</v>
      </c>
      <c r="FG2982" s="33" t="s">
        <v>56</v>
      </c>
      <c r="FH2982" s="33" t="s">
        <v>57</v>
      </c>
      <c r="FI2982" s="33" t="s">
        <v>58</v>
      </c>
      <c r="FJ2982" t="s">
        <v>59</v>
      </c>
    </row>
    <row r="2983" spans="153:166" x14ac:dyDescent="0.35">
      <c r="EW2983" t="s">
        <v>4093</v>
      </c>
      <c r="EX2983" s="33" t="s">
        <v>4159</v>
      </c>
      <c r="EY2983" s="33" t="s">
        <v>231</v>
      </c>
      <c r="EZ2983" s="33" t="s">
        <v>232</v>
      </c>
      <c r="FA2983" s="33" t="s">
        <v>51</v>
      </c>
      <c r="FB2983" s="33" t="s">
        <v>52</v>
      </c>
      <c r="FC2983" s="33" t="s">
        <v>53</v>
      </c>
      <c r="FD2983" s="33" t="s">
        <v>54</v>
      </c>
      <c r="FE2983" s="33">
        <v>2019</v>
      </c>
      <c r="FF2983" s="33" t="s">
        <v>55</v>
      </c>
      <c r="FG2983" s="33" t="s">
        <v>56</v>
      </c>
      <c r="FH2983" s="33" t="s">
        <v>57</v>
      </c>
      <c r="FI2983" s="33" t="s">
        <v>58</v>
      </c>
      <c r="FJ2983" t="s">
        <v>59</v>
      </c>
    </row>
    <row r="2984" spans="153:166" x14ac:dyDescent="0.35">
      <c r="EW2984" t="s">
        <v>4093</v>
      </c>
      <c r="EX2984" s="33" t="s">
        <v>4160</v>
      </c>
      <c r="EY2984" s="33" t="s">
        <v>233</v>
      </c>
      <c r="EZ2984" s="33" t="s">
        <v>234</v>
      </c>
      <c r="FA2984" s="33" t="s">
        <v>51</v>
      </c>
      <c r="FB2984" s="33" t="s">
        <v>52</v>
      </c>
      <c r="FC2984" s="33" t="s">
        <v>53</v>
      </c>
      <c r="FD2984" s="33" t="s">
        <v>54</v>
      </c>
      <c r="FE2984" s="33">
        <v>2019</v>
      </c>
      <c r="FF2984" s="33" t="s">
        <v>55</v>
      </c>
      <c r="FG2984" s="33" t="s">
        <v>56</v>
      </c>
      <c r="FH2984" s="33" t="s">
        <v>57</v>
      </c>
      <c r="FI2984" s="33" t="s">
        <v>58</v>
      </c>
      <c r="FJ2984" t="s">
        <v>59</v>
      </c>
    </row>
    <row r="2985" spans="153:166" x14ac:dyDescent="0.35">
      <c r="EW2985" t="s">
        <v>4093</v>
      </c>
      <c r="EX2985" s="33" t="s">
        <v>4161</v>
      </c>
      <c r="EY2985" s="33" t="s">
        <v>235</v>
      </c>
      <c r="EZ2985" s="33" t="s">
        <v>236</v>
      </c>
      <c r="FA2985" s="33" t="s">
        <v>51</v>
      </c>
      <c r="FB2985" s="33" t="s">
        <v>52</v>
      </c>
      <c r="FC2985" s="33" t="s">
        <v>53</v>
      </c>
      <c r="FD2985" s="33" t="s">
        <v>54</v>
      </c>
      <c r="FE2985" s="33">
        <v>2019</v>
      </c>
      <c r="FF2985" s="33" t="s">
        <v>55</v>
      </c>
      <c r="FG2985" s="33" t="s">
        <v>56</v>
      </c>
      <c r="FH2985" s="33" t="s">
        <v>57</v>
      </c>
      <c r="FI2985" s="33" t="s">
        <v>58</v>
      </c>
      <c r="FJ2985" t="s">
        <v>59</v>
      </c>
    </row>
    <row r="2986" spans="153:166" x14ac:dyDescent="0.35">
      <c r="EW2986" t="s">
        <v>4093</v>
      </c>
      <c r="EX2986" s="33" t="s">
        <v>4162</v>
      </c>
      <c r="EY2986" s="33" t="s">
        <v>237</v>
      </c>
      <c r="EZ2986" s="33" t="s">
        <v>238</v>
      </c>
      <c r="FA2986" s="33" t="s">
        <v>51</v>
      </c>
      <c r="FB2986" s="33" t="s">
        <v>52</v>
      </c>
      <c r="FC2986" s="33" t="s">
        <v>53</v>
      </c>
      <c r="FD2986" s="33" t="s">
        <v>54</v>
      </c>
      <c r="FE2986" s="33">
        <v>2019</v>
      </c>
      <c r="FF2986" s="33" t="s">
        <v>55</v>
      </c>
      <c r="FG2986" s="33" t="s">
        <v>71</v>
      </c>
      <c r="FH2986" s="33" t="s">
        <v>72</v>
      </c>
      <c r="FI2986" s="33" t="s">
        <v>73</v>
      </c>
      <c r="FJ2986" t="s">
        <v>59</v>
      </c>
    </row>
    <row r="2987" spans="153:166" x14ac:dyDescent="0.35">
      <c r="EW2987" t="s">
        <v>4093</v>
      </c>
      <c r="EX2987" s="33" t="s">
        <v>4163</v>
      </c>
      <c r="EY2987" s="33" t="s">
        <v>239</v>
      </c>
      <c r="EZ2987" s="33" t="s">
        <v>240</v>
      </c>
      <c r="FA2987" s="33" t="s">
        <v>51</v>
      </c>
      <c r="FB2987" s="33" t="s">
        <v>52</v>
      </c>
      <c r="FC2987" s="33" t="s">
        <v>53</v>
      </c>
      <c r="FD2987" s="33" t="s">
        <v>54</v>
      </c>
      <c r="FE2987" s="33">
        <v>2019</v>
      </c>
      <c r="FF2987" s="33" t="s">
        <v>55</v>
      </c>
      <c r="FG2987" s="33" t="s">
        <v>56</v>
      </c>
      <c r="FH2987" s="33" t="s">
        <v>57</v>
      </c>
      <c r="FI2987" s="33" t="s">
        <v>58</v>
      </c>
      <c r="FJ2987" t="s">
        <v>59</v>
      </c>
    </row>
    <row r="2988" spans="153:166" x14ac:dyDescent="0.35">
      <c r="EW2988" t="s">
        <v>4093</v>
      </c>
      <c r="EX2988" s="33" t="s">
        <v>4164</v>
      </c>
      <c r="EY2988" s="33" t="s">
        <v>241</v>
      </c>
      <c r="EZ2988" s="33" t="s">
        <v>242</v>
      </c>
      <c r="FA2988" s="33" t="s">
        <v>51</v>
      </c>
      <c r="FB2988" s="33" t="s">
        <v>52</v>
      </c>
      <c r="FC2988" s="33" t="s">
        <v>53</v>
      </c>
      <c r="FD2988" s="33" t="s">
        <v>54</v>
      </c>
      <c r="FE2988" s="33">
        <v>2019</v>
      </c>
      <c r="FF2988" s="33" t="s">
        <v>55</v>
      </c>
      <c r="FG2988" s="33" t="s">
        <v>56</v>
      </c>
      <c r="FH2988" s="33" t="s">
        <v>57</v>
      </c>
      <c r="FI2988" s="33" t="s">
        <v>58</v>
      </c>
      <c r="FJ2988" t="s">
        <v>59</v>
      </c>
    </row>
    <row r="2989" spans="153:166" x14ac:dyDescent="0.35">
      <c r="EW2989" t="s">
        <v>4093</v>
      </c>
      <c r="EX2989" s="33" t="s">
        <v>4165</v>
      </c>
      <c r="EY2989" s="33" t="s">
        <v>243</v>
      </c>
      <c r="EZ2989" s="33" t="s">
        <v>244</v>
      </c>
      <c r="FA2989" s="33" t="s">
        <v>51</v>
      </c>
      <c r="FB2989" s="33" t="s">
        <v>52</v>
      </c>
      <c r="FC2989" s="33" t="s">
        <v>53</v>
      </c>
      <c r="FD2989" s="33" t="s">
        <v>54</v>
      </c>
      <c r="FE2989" s="33">
        <v>2019</v>
      </c>
      <c r="FF2989" s="33" t="s">
        <v>55</v>
      </c>
      <c r="FG2989" s="33" t="s">
        <v>56</v>
      </c>
      <c r="FH2989" s="33" t="s">
        <v>57</v>
      </c>
      <c r="FI2989" s="33" t="s">
        <v>58</v>
      </c>
      <c r="FJ2989" t="s">
        <v>59</v>
      </c>
    </row>
    <row r="2990" spans="153:166" x14ac:dyDescent="0.35">
      <c r="EW2990" t="s">
        <v>4093</v>
      </c>
      <c r="EX2990" s="33" t="s">
        <v>4166</v>
      </c>
      <c r="EY2990" s="33" t="s">
        <v>248</v>
      </c>
      <c r="EZ2990" s="33" t="s">
        <v>249</v>
      </c>
      <c r="FA2990" s="33" t="s">
        <v>51</v>
      </c>
      <c r="FB2990" s="33" t="s">
        <v>52</v>
      </c>
      <c r="FC2990" s="33" t="s">
        <v>53</v>
      </c>
      <c r="FD2990" s="33" t="s">
        <v>54</v>
      </c>
      <c r="FE2990" s="33">
        <v>2019</v>
      </c>
      <c r="FF2990" s="33" t="s">
        <v>55</v>
      </c>
      <c r="FG2990" s="33" t="s">
        <v>56</v>
      </c>
      <c r="FH2990" s="33" t="s">
        <v>57</v>
      </c>
      <c r="FI2990" s="33" t="s">
        <v>58</v>
      </c>
      <c r="FJ2990" t="s">
        <v>59</v>
      </c>
    </row>
    <row r="2991" spans="153:166" x14ac:dyDescent="0.35">
      <c r="EW2991" t="s">
        <v>4093</v>
      </c>
      <c r="EX2991" s="33" t="s">
        <v>4167</v>
      </c>
      <c r="EY2991" s="33" t="s">
        <v>250</v>
      </c>
      <c r="EZ2991" s="33" t="s">
        <v>251</v>
      </c>
      <c r="FA2991" s="33" t="s">
        <v>51</v>
      </c>
      <c r="FB2991" s="33" t="s">
        <v>52</v>
      </c>
      <c r="FC2991" s="33" t="s">
        <v>53</v>
      </c>
      <c r="FD2991" s="33" t="s">
        <v>54</v>
      </c>
      <c r="FE2991" s="33">
        <v>2019</v>
      </c>
      <c r="FF2991" s="33" t="s">
        <v>55</v>
      </c>
      <c r="FG2991" s="33" t="s">
        <v>71</v>
      </c>
      <c r="FH2991" s="33" t="s">
        <v>72</v>
      </c>
      <c r="FI2991" s="33" t="s">
        <v>73</v>
      </c>
      <c r="FJ2991" t="s">
        <v>59</v>
      </c>
    </row>
    <row r="2992" spans="153:166" x14ac:dyDescent="0.35">
      <c r="EW2992" t="s">
        <v>4093</v>
      </c>
      <c r="EX2992" s="33" t="s">
        <v>4168</v>
      </c>
      <c r="EY2992" s="33" t="s">
        <v>252</v>
      </c>
      <c r="EZ2992" s="33" t="s">
        <v>253</v>
      </c>
      <c r="FA2992" s="33" t="s">
        <v>51</v>
      </c>
      <c r="FB2992" s="33" t="s">
        <v>52</v>
      </c>
      <c r="FC2992" s="33" t="s">
        <v>53</v>
      </c>
      <c r="FD2992" s="33" t="s">
        <v>54</v>
      </c>
      <c r="FE2992" s="33">
        <v>2019</v>
      </c>
      <c r="FF2992" s="33" t="s">
        <v>55</v>
      </c>
      <c r="FG2992" s="33" t="s">
        <v>56</v>
      </c>
      <c r="FH2992" s="33" t="s">
        <v>57</v>
      </c>
      <c r="FI2992" s="33" t="s">
        <v>58</v>
      </c>
      <c r="FJ2992" t="s">
        <v>59</v>
      </c>
    </row>
    <row r="2993" spans="153:166" x14ac:dyDescent="0.35">
      <c r="EW2993" t="s">
        <v>4093</v>
      </c>
      <c r="EX2993" s="33" t="s">
        <v>4169</v>
      </c>
      <c r="EY2993" s="33" t="s">
        <v>254</v>
      </c>
      <c r="EZ2993" s="33" t="s">
        <v>255</v>
      </c>
      <c r="FA2993" s="33" t="s">
        <v>51</v>
      </c>
      <c r="FB2993" s="33" t="s">
        <v>52</v>
      </c>
      <c r="FC2993" s="33" t="s">
        <v>53</v>
      </c>
      <c r="FD2993" s="33" t="s">
        <v>54</v>
      </c>
      <c r="FE2993" s="33">
        <v>2019</v>
      </c>
      <c r="FF2993" s="33" t="s">
        <v>55</v>
      </c>
      <c r="FG2993" s="33" t="s">
        <v>56</v>
      </c>
      <c r="FH2993" s="33" t="s">
        <v>57</v>
      </c>
      <c r="FI2993" s="33" t="s">
        <v>58</v>
      </c>
      <c r="FJ2993" t="s">
        <v>59</v>
      </c>
    </row>
    <row r="2994" spans="153:166" x14ac:dyDescent="0.35">
      <c r="EW2994" t="s">
        <v>4093</v>
      </c>
      <c r="EX2994" s="33" t="s">
        <v>4170</v>
      </c>
      <c r="EY2994" s="33" t="s">
        <v>256</v>
      </c>
      <c r="EZ2994" s="33" t="s">
        <v>257</v>
      </c>
      <c r="FA2994" s="33" t="s">
        <v>51</v>
      </c>
      <c r="FB2994" s="33" t="s">
        <v>52</v>
      </c>
      <c r="FC2994" s="33" t="s">
        <v>53</v>
      </c>
      <c r="FD2994" s="33" t="s">
        <v>54</v>
      </c>
      <c r="FE2994" s="33">
        <v>2019</v>
      </c>
      <c r="FF2994" s="33" t="s">
        <v>55</v>
      </c>
      <c r="FG2994" s="33" t="s">
        <v>56</v>
      </c>
      <c r="FH2994" s="33" t="s">
        <v>57</v>
      </c>
      <c r="FI2994" s="33" t="s">
        <v>58</v>
      </c>
      <c r="FJ2994" t="s">
        <v>59</v>
      </c>
    </row>
    <row r="2995" spans="153:166" x14ac:dyDescent="0.35">
      <c r="EW2995" t="s">
        <v>4093</v>
      </c>
      <c r="EX2995" s="33" t="s">
        <v>4171</v>
      </c>
      <c r="EY2995" s="33" t="s">
        <v>261</v>
      </c>
      <c r="EZ2995" s="33" t="s">
        <v>262</v>
      </c>
      <c r="FA2995" s="33" t="s">
        <v>51</v>
      </c>
      <c r="FB2995" s="33" t="s">
        <v>52</v>
      </c>
      <c r="FC2995" s="33" t="s">
        <v>53</v>
      </c>
      <c r="FD2995" s="33" t="s">
        <v>54</v>
      </c>
      <c r="FE2995" s="33">
        <v>2019</v>
      </c>
      <c r="FF2995" s="33" t="s">
        <v>55</v>
      </c>
      <c r="FG2995" s="33" t="s">
        <v>71</v>
      </c>
      <c r="FH2995" s="33" t="s">
        <v>72</v>
      </c>
      <c r="FI2995" s="33" t="s">
        <v>73</v>
      </c>
      <c r="FJ2995" t="s">
        <v>59</v>
      </c>
    </row>
    <row r="2996" spans="153:166" x14ac:dyDescent="0.35">
      <c r="EW2996" t="s">
        <v>4093</v>
      </c>
      <c r="EX2996" s="33" t="s">
        <v>4172</v>
      </c>
      <c r="EY2996" s="33" t="s">
        <v>263</v>
      </c>
      <c r="EZ2996" s="33" t="s">
        <v>264</v>
      </c>
      <c r="FA2996" s="33" t="s">
        <v>51</v>
      </c>
      <c r="FB2996" s="33" t="s">
        <v>52</v>
      </c>
      <c r="FC2996" s="33" t="s">
        <v>53</v>
      </c>
      <c r="FD2996" s="33" t="s">
        <v>54</v>
      </c>
      <c r="FE2996" s="33">
        <v>2019</v>
      </c>
      <c r="FF2996" s="33" t="s">
        <v>55</v>
      </c>
      <c r="FG2996" s="33" t="s">
        <v>56</v>
      </c>
      <c r="FH2996" s="33" t="s">
        <v>57</v>
      </c>
      <c r="FI2996" s="33" t="s">
        <v>58</v>
      </c>
      <c r="FJ2996" t="s">
        <v>59</v>
      </c>
    </row>
    <row r="2997" spans="153:166" x14ac:dyDescent="0.35">
      <c r="EW2997" t="s">
        <v>4093</v>
      </c>
      <c r="EX2997" s="33" t="s">
        <v>4173</v>
      </c>
      <c r="EY2997" s="33" t="s">
        <v>265</v>
      </c>
      <c r="EZ2997" s="33" t="s">
        <v>266</v>
      </c>
      <c r="FA2997" s="33" t="s">
        <v>51</v>
      </c>
      <c r="FB2997" s="33" t="s">
        <v>52</v>
      </c>
      <c r="FC2997" s="33" t="s">
        <v>53</v>
      </c>
      <c r="FD2997" s="33" t="s">
        <v>54</v>
      </c>
      <c r="FE2997" s="33">
        <v>2019</v>
      </c>
      <c r="FF2997" s="33" t="s">
        <v>55</v>
      </c>
      <c r="FG2997" s="33" t="s">
        <v>56</v>
      </c>
      <c r="FH2997" s="33" t="s">
        <v>57</v>
      </c>
      <c r="FI2997" s="33" t="s">
        <v>58</v>
      </c>
      <c r="FJ2997" t="s">
        <v>59</v>
      </c>
    </row>
    <row r="2998" spans="153:166" x14ac:dyDescent="0.35">
      <c r="EW2998" t="s">
        <v>4093</v>
      </c>
      <c r="EX2998" s="33" t="s">
        <v>4174</v>
      </c>
      <c r="EY2998" s="33" t="s">
        <v>267</v>
      </c>
      <c r="EZ2998" s="33" t="s">
        <v>268</v>
      </c>
      <c r="FA2998" s="33" t="s">
        <v>51</v>
      </c>
      <c r="FB2998" s="33" t="s">
        <v>52</v>
      </c>
      <c r="FC2998" s="33" t="s">
        <v>53</v>
      </c>
      <c r="FD2998" s="33" t="s">
        <v>54</v>
      </c>
      <c r="FE2998" s="33">
        <v>2019</v>
      </c>
      <c r="FF2998" s="33" t="s">
        <v>55</v>
      </c>
      <c r="FG2998" s="33" t="s">
        <v>71</v>
      </c>
      <c r="FH2998" s="33" t="s">
        <v>72</v>
      </c>
      <c r="FI2998" s="33" t="s">
        <v>73</v>
      </c>
      <c r="FJ2998" t="s">
        <v>59</v>
      </c>
    </row>
    <row r="2999" spans="153:166" x14ac:dyDescent="0.35">
      <c r="EW2999" t="s">
        <v>4093</v>
      </c>
      <c r="EX2999" s="33" t="s">
        <v>4175</v>
      </c>
      <c r="EY2999" s="33" t="s">
        <v>269</v>
      </c>
      <c r="EZ2999" s="33" t="s">
        <v>270</v>
      </c>
      <c r="FA2999" s="33" t="s">
        <v>51</v>
      </c>
      <c r="FB2999" s="33" t="s">
        <v>52</v>
      </c>
      <c r="FC2999" s="33" t="s">
        <v>53</v>
      </c>
      <c r="FD2999" s="33" t="s">
        <v>54</v>
      </c>
      <c r="FE2999" s="33">
        <v>2019</v>
      </c>
      <c r="FF2999" s="33" t="s">
        <v>55</v>
      </c>
      <c r="FG2999" s="33" t="s">
        <v>71</v>
      </c>
      <c r="FH2999" s="33" t="s">
        <v>72</v>
      </c>
      <c r="FI2999" s="33" t="s">
        <v>73</v>
      </c>
      <c r="FJ2999" t="s">
        <v>59</v>
      </c>
    </row>
    <row r="3000" spans="153:166" x14ac:dyDescent="0.35">
      <c r="EW3000" t="s">
        <v>4093</v>
      </c>
      <c r="EX3000" s="33" t="s">
        <v>4176</v>
      </c>
      <c r="EY3000" s="33" t="s">
        <v>274</v>
      </c>
      <c r="EZ3000" s="33" t="s">
        <v>275</v>
      </c>
      <c r="FA3000" s="33" t="s">
        <v>51</v>
      </c>
      <c r="FB3000" s="33" t="s">
        <v>52</v>
      </c>
      <c r="FC3000" s="33" t="s">
        <v>53</v>
      </c>
      <c r="FD3000" s="33" t="s">
        <v>54</v>
      </c>
      <c r="FE3000" s="33">
        <v>2019</v>
      </c>
      <c r="FF3000" s="33" t="s">
        <v>55</v>
      </c>
      <c r="FG3000" s="33" t="s">
        <v>71</v>
      </c>
      <c r="FH3000" s="33" t="s">
        <v>72</v>
      </c>
      <c r="FI3000" s="33" t="s">
        <v>73</v>
      </c>
      <c r="FJ3000" t="s">
        <v>59</v>
      </c>
    </row>
    <row r="3001" spans="153:166" x14ac:dyDescent="0.35">
      <c r="EW3001" t="s">
        <v>4093</v>
      </c>
      <c r="EX3001" s="33" t="s">
        <v>4177</v>
      </c>
      <c r="EY3001" s="33" t="s">
        <v>276</v>
      </c>
      <c r="EZ3001" s="33" t="s">
        <v>277</v>
      </c>
      <c r="FA3001" s="33" t="s">
        <v>51</v>
      </c>
      <c r="FB3001" s="33" t="s">
        <v>52</v>
      </c>
      <c r="FC3001" s="33" t="s">
        <v>53</v>
      </c>
      <c r="FD3001" s="33" t="s">
        <v>54</v>
      </c>
      <c r="FE3001" s="33">
        <v>2019</v>
      </c>
      <c r="FF3001" s="33" t="s">
        <v>55</v>
      </c>
      <c r="FG3001" s="33" t="s">
        <v>71</v>
      </c>
      <c r="FH3001" s="33" t="s">
        <v>72</v>
      </c>
      <c r="FI3001" s="33" t="s">
        <v>73</v>
      </c>
      <c r="FJ3001" t="s">
        <v>59</v>
      </c>
    </row>
    <row r="3002" spans="153:166" x14ac:dyDescent="0.35">
      <c r="EW3002" t="s">
        <v>4093</v>
      </c>
      <c r="EX3002" s="33" t="s">
        <v>4178</v>
      </c>
      <c r="EY3002" s="33" t="s">
        <v>281</v>
      </c>
      <c r="EZ3002" s="33" t="s">
        <v>282</v>
      </c>
      <c r="FA3002" s="33" t="s">
        <v>51</v>
      </c>
      <c r="FB3002" s="33" t="s">
        <v>52</v>
      </c>
      <c r="FC3002" s="33" t="s">
        <v>53</v>
      </c>
      <c r="FD3002" s="33" t="s">
        <v>54</v>
      </c>
      <c r="FE3002" s="33">
        <v>2019</v>
      </c>
      <c r="FF3002" s="33" t="s">
        <v>55</v>
      </c>
      <c r="FG3002" s="33" t="s">
        <v>56</v>
      </c>
      <c r="FH3002" s="33" t="s">
        <v>57</v>
      </c>
      <c r="FI3002" s="33" t="s">
        <v>58</v>
      </c>
      <c r="FJ3002" t="s">
        <v>59</v>
      </c>
    </row>
    <row r="3003" spans="153:166" x14ac:dyDescent="0.35">
      <c r="EW3003" t="s">
        <v>4093</v>
      </c>
      <c r="EX3003" s="33" t="s">
        <v>4179</v>
      </c>
      <c r="EY3003" s="33" t="s">
        <v>283</v>
      </c>
      <c r="EZ3003" s="33" t="s">
        <v>284</v>
      </c>
      <c r="FA3003" s="33" t="s">
        <v>51</v>
      </c>
      <c r="FB3003" s="33" t="s">
        <v>52</v>
      </c>
      <c r="FC3003" s="33" t="s">
        <v>53</v>
      </c>
      <c r="FD3003" s="33" t="s">
        <v>54</v>
      </c>
      <c r="FE3003" s="33">
        <v>2019</v>
      </c>
      <c r="FF3003" s="33" t="s">
        <v>55</v>
      </c>
      <c r="FG3003" s="33" t="s">
        <v>71</v>
      </c>
      <c r="FH3003" s="33" t="s">
        <v>72</v>
      </c>
      <c r="FI3003" s="33" t="s">
        <v>73</v>
      </c>
      <c r="FJ3003" t="s">
        <v>59</v>
      </c>
    </row>
    <row r="3004" spans="153:166" x14ac:dyDescent="0.35">
      <c r="EW3004" t="s">
        <v>4093</v>
      </c>
      <c r="EX3004" s="33" t="s">
        <v>4180</v>
      </c>
      <c r="EY3004" s="33" t="s">
        <v>285</v>
      </c>
      <c r="EZ3004" s="33" t="s">
        <v>286</v>
      </c>
      <c r="FA3004" s="33" t="s">
        <v>51</v>
      </c>
      <c r="FB3004" s="33" t="s">
        <v>52</v>
      </c>
      <c r="FC3004" s="33" t="s">
        <v>53</v>
      </c>
      <c r="FD3004" s="33" t="s">
        <v>54</v>
      </c>
      <c r="FE3004" s="33">
        <v>2019</v>
      </c>
      <c r="FF3004" s="33" t="s">
        <v>55</v>
      </c>
      <c r="FG3004" s="33" t="s">
        <v>56</v>
      </c>
      <c r="FH3004" s="33" t="s">
        <v>57</v>
      </c>
      <c r="FI3004" s="33" t="s">
        <v>58</v>
      </c>
      <c r="FJ3004" t="s">
        <v>59</v>
      </c>
    </row>
    <row r="3005" spans="153:166" x14ac:dyDescent="0.35">
      <c r="EW3005" t="s">
        <v>4093</v>
      </c>
      <c r="EX3005" s="33" t="s">
        <v>4181</v>
      </c>
      <c r="EY3005" s="33" t="s">
        <v>287</v>
      </c>
      <c r="EZ3005" s="33" t="s">
        <v>288</v>
      </c>
      <c r="FA3005" s="33" t="s">
        <v>51</v>
      </c>
      <c r="FB3005" s="33" t="s">
        <v>52</v>
      </c>
      <c r="FC3005" s="33" t="s">
        <v>53</v>
      </c>
      <c r="FD3005" s="33" t="s">
        <v>54</v>
      </c>
      <c r="FE3005" s="33">
        <v>2019</v>
      </c>
      <c r="FF3005" s="33" t="s">
        <v>55</v>
      </c>
      <c r="FG3005" s="33" t="s">
        <v>56</v>
      </c>
      <c r="FH3005" s="33" t="s">
        <v>57</v>
      </c>
      <c r="FI3005" s="33" t="s">
        <v>58</v>
      </c>
      <c r="FJ3005" t="s">
        <v>59</v>
      </c>
    </row>
    <row r="3006" spans="153:166" x14ac:dyDescent="0.35">
      <c r="EW3006" t="s">
        <v>4093</v>
      </c>
      <c r="EX3006" s="33" t="s">
        <v>4182</v>
      </c>
      <c r="EY3006" s="33" t="s">
        <v>289</v>
      </c>
      <c r="EZ3006" s="33" t="s">
        <v>290</v>
      </c>
      <c r="FA3006" s="33" t="s">
        <v>51</v>
      </c>
      <c r="FB3006" s="33" t="s">
        <v>52</v>
      </c>
      <c r="FC3006" s="33" t="s">
        <v>53</v>
      </c>
      <c r="FD3006" s="33" t="s">
        <v>54</v>
      </c>
      <c r="FE3006" s="33">
        <v>2019</v>
      </c>
      <c r="FF3006" s="33" t="s">
        <v>55</v>
      </c>
      <c r="FG3006" s="33" t="s">
        <v>71</v>
      </c>
      <c r="FH3006" s="33" t="s">
        <v>72</v>
      </c>
      <c r="FI3006" s="33" t="s">
        <v>73</v>
      </c>
      <c r="FJ3006" t="s">
        <v>59</v>
      </c>
    </row>
    <row r="3007" spans="153:166" x14ac:dyDescent="0.35">
      <c r="EW3007" t="s">
        <v>4093</v>
      </c>
      <c r="EX3007" s="33" t="s">
        <v>4183</v>
      </c>
      <c r="EY3007" s="33" t="s">
        <v>291</v>
      </c>
      <c r="EZ3007" s="33" t="s">
        <v>292</v>
      </c>
      <c r="FA3007" s="33" t="s">
        <v>51</v>
      </c>
      <c r="FB3007" s="33" t="s">
        <v>52</v>
      </c>
      <c r="FC3007" s="33" t="s">
        <v>53</v>
      </c>
      <c r="FD3007" s="33" t="s">
        <v>54</v>
      </c>
      <c r="FE3007" s="33">
        <v>2019</v>
      </c>
      <c r="FF3007" s="33" t="s">
        <v>55</v>
      </c>
      <c r="FG3007" s="33" t="s">
        <v>71</v>
      </c>
      <c r="FH3007" s="33" t="s">
        <v>72</v>
      </c>
      <c r="FI3007" s="33" t="s">
        <v>73</v>
      </c>
      <c r="FJ3007" t="s">
        <v>59</v>
      </c>
    </row>
    <row r="3008" spans="153:166" x14ac:dyDescent="0.35">
      <c r="EW3008" t="s">
        <v>4093</v>
      </c>
      <c r="EX3008" s="33" t="s">
        <v>4184</v>
      </c>
      <c r="EY3008" s="33" t="s">
        <v>293</v>
      </c>
      <c r="EZ3008" s="33" t="s">
        <v>294</v>
      </c>
      <c r="FA3008" s="33" t="s">
        <v>51</v>
      </c>
      <c r="FB3008" s="33" t="s">
        <v>52</v>
      </c>
      <c r="FC3008" s="33" t="s">
        <v>53</v>
      </c>
      <c r="FD3008" s="33" t="s">
        <v>54</v>
      </c>
      <c r="FE3008" s="33">
        <v>2019</v>
      </c>
      <c r="FF3008" s="33" t="s">
        <v>55</v>
      </c>
      <c r="FG3008" s="33" t="s">
        <v>71</v>
      </c>
      <c r="FH3008" s="33" t="s">
        <v>72</v>
      </c>
      <c r="FI3008" s="33" t="s">
        <v>73</v>
      </c>
      <c r="FJ3008" t="s">
        <v>59</v>
      </c>
    </row>
    <row r="3009" spans="153:166" x14ac:dyDescent="0.35">
      <c r="EW3009" t="s">
        <v>4093</v>
      </c>
      <c r="EX3009" s="33" t="s">
        <v>4185</v>
      </c>
      <c r="EY3009" s="33" t="s">
        <v>298</v>
      </c>
      <c r="EZ3009" s="33" t="s">
        <v>299</v>
      </c>
      <c r="FA3009" s="33" t="s">
        <v>51</v>
      </c>
      <c r="FB3009" s="33" t="s">
        <v>52</v>
      </c>
      <c r="FC3009" s="33" t="s">
        <v>53</v>
      </c>
      <c r="FD3009" s="33" t="s">
        <v>54</v>
      </c>
      <c r="FE3009" s="33">
        <v>2019</v>
      </c>
      <c r="FF3009" s="33" t="s">
        <v>55</v>
      </c>
      <c r="FG3009" s="33" t="s">
        <v>71</v>
      </c>
      <c r="FH3009" s="33" t="s">
        <v>72</v>
      </c>
      <c r="FI3009" s="33" t="s">
        <v>73</v>
      </c>
      <c r="FJ3009" t="s">
        <v>59</v>
      </c>
    </row>
    <row r="3010" spans="153:166" x14ac:dyDescent="0.35">
      <c r="EW3010" t="s">
        <v>4093</v>
      </c>
      <c r="EX3010" s="33" t="s">
        <v>4186</v>
      </c>
      <c r="EY3010" s="33" t="s">
        <v>300</v>
      </c>
      <c r="EZ3010" s="33" t="s">
        <v>301</v>
      </c>
      <c r="FA3010" s="33" t="s">
        <v>51</v>
      </c>
      <c r="FB3010" s="33" t="s">
        <v>52</v>
      </c>
      <c r="FC3010" s="33" t="s">
        <v>53</v>
      </c>
      <c r="FD3010" s="33" t="s">
        <v>54</v>
      </c>
      <c r="FE3010" s="33">
        <v>2019</v>
      </c>
      <c r="FF3010" s="33" t="s">
        <v>55</v>
      </c>
      <c r="FG3010" s="33" t="s">
        <v>56</v>
      </c>
      <c r="FH3010" s="33" t="s">
        <v>57</v>
      </c>
      <c r="FI3010" s="33" t="s">
        <v>58</v>
      </c>
      <c r="FJ3010" t="s">
        <v>59</v>
      </c>
    </row>
    <row r="3011" spans="153:166" x14ac:dyDescent="0.35">
      <c r="EW3011" t="s">
        <v>4093</v>
      </c>
      <c r="EX3011" s="33" t="s">
        <v>4187</v>
      </c>
      <c r="EY3011" s="33" t="s">
        <v>302</v>
      </c>
      <c r="EZ3011" s="33" t="s">
        <v>303</v>
      </c>
      <c r="FA3011" s="33" t="s">
        <v>51</v>
      </c>
      <c r="FB3011" s="33" t="s">
        <v>52</v>
      </c>
      <c r="FC3011" s="33" t="s">
        <v>53</v>
      </c>
      <c r="FD3011" s="33" t="s">
        <v>54</v>
      </c>
      <c r="FE3011" s="33">
        <v>2019</v>
      </c>
      <c r="FF3011" s="33" t="s">
        <v>55</v>
      </c>
      <c r="FG3011" s="33" t="s">
        <v>71</v>
      </c>
      <c r="FH3011" s="33" t="s">
        <v>72</v>
      </c>
      <c r="FI3011" s="33" t="s">
        <v>73</v>
      </c>
      <c r="FJ3011" t="s">
        <v>59</v>
      </c>
    </row>
    <row r="3012" spans="153:166" x14ac:dyDescent="0.35">
      <c r="EW3012" t="s">
        <v>4093</v>
      </c>
      <c r="EX3012" s="33" t="s">
        <v>4188</v>
      </c>
      <c r="EY3012" s="33" t="s">
        <v>304</v>
      </c>
      <c r="EZ3012" s="33" t="s">
        <v>305</v>
      </c>
      <c r="FA3012" s="33" t="s">
        <v>51</v>
      </c>
      <c r="FB3012" s="33" t="s">
        <v>52</v>
      </c>
      <c r="FC3012" s="33" t="s">
        <v>53</v>
      </c>
      <c r="FD3012" s="33" t="s">
        <v>54</v>
      </c>
      <c r="FE3012" s="33">
        <v>2019</v>
      </c>
      <c r="FF3012" s="33" t="s">
        <v>55</v>
      </c>
      <c r="FG3012" s="33" t="s">
        <v>71</v>
      </c>
      <c r="FH3012" s="33" t="s">
        <v>72</v>
      </c>
      <c r="FI3012" s="33" t="s">
        <v>73</v>
      </c>
      <c r="FJ3012" t="s">
        <v>59</v>
      </c>
    </row>
    <row r="3013" spans="153:166" x14ac:dyDescent="0.35">
      <c r="EW3013" t="s">
        <v>4093</v>
      </c>
      <c r="EX3013" s="33" t="s">
        <v>4189</v>
      </c>
      <c r="EY3013" s="33" t="s">
        <v>306</v>
      </c>
      <c r="EZ3013" s="33" t="s">
        <v>307</v>
      </c>
      <c r="FA3013" s="33" t="s">
        <v>51</v>
      </c>
      <c r="FB3013" s="33" t="s">
        <v>52</v>
      </c>
      <c r="FC3013" s="33" t="s">
        <v>53</v>
      </c>
      <c r="FD3013" s="33" t="s">
        <v>54</v>
      </c>
      <c r="FE3013" s="33">
        <v>2019</v>
      </c>
      <c r="FF3013" s="33" t="s">
        <v>55</v>
      </c>
      <c r="FG3013" s="33" t="s">
        <v>56</v>
      </c>
      <c r="FH3013" s="33" t="s">
        <v>57</v>
      </c>
      <c r="FI3013" s="33" t="s">
        <v>58</v>
      </c>
      <c r="FJ3013" t="s">
        <v>59</v>
      </c>
    </row>
    <row r="3014" spans="153:166" x14ac:dyDescent="0.35">
      <c r="EW3014" t="s">
        <v>4093</v>
      </c>
      <c r="EX3014" s="33" t="s">
        <v>4190</v>
      </c>
      <c r="EY3014" s="33" t="s">
        <v>311</v>
      </c>
      <c r="EZ3014" s="33" t="s">
        <v>312</v>
      </c>
      <c r="FA3014" s="33" t="s">
        <v>51</v>
      </c>
      <c r="FB3014" s="33" t="s">
        <v>52</v>
      </c>
      <c r="FC3014" s="33" t="s">
        <v>53</v>
      </c>
      <c r="FD3014" s="33" t="s">
        <v>54</v>
      </c>
      <c r="FE3014" s="33">
        <v>2019</v>
      </c>
      <c r="FF3014" s="33" t="s">
        <v>55</v>
      </c>
      <c r="FG3014" s="33" t="s">
        <v>71</v>
      </c>
      <c r="FH3014" s="33" t="s">
        <v>72</v>
      </c>
      <c r="FI3014" s="33" t="s">
        <v>73</v>
      </c>
      <c r="FJ3014" t="s">
        <v>59</v>
      </c>
    </row>
    <row r="3015" spans="153:166" x14ac:dyDescent="0.35">
      <c r="EW3015" t="s">
        <v>4093</v>
      </c>
      <c r="EX3015" s="33" t="s">
        <v>4096</v>
      </c>
      <c r="EY3015" s="33" t="s">
        <v>313</v>
      </c>
      <c r="EZ3015" s="33" t="s">
        <v>314</v>
      </c>
      <c r="FA3015" s="33" t="s">
        <v>51</v>
      </c>
      <c r="FB3015" s="33" t="s">
        <v>52</v>
      </c>
      <c r="FC3015" s="33" t="s">
        <v>53</v>
      </c>
      <c r="FD3015" s="33" t="s">
        <v>54</v>
      </c>
      <c r="FE3015" s="33">
        <v>2019</v>
      </c>
      <c r="FF3015" s="33" t="s">
        <v>55</v>
      </c>
      <c r="FG3015" s="33" t="s">
        <v>56</v>
      </c>
      <c r="FH3015" s="33" t="s">
        <v>57</v>
      </c>
      <c r="FI3015" s="33" t="s">
        <v>58</v>
      </c>
      <c r="FJ3015" t="s">
        <v>59</v>
      </c>
    </row>
    <row r="3016" spans="153:166" x14ac:dyDescent="0.35">
      <c r="EW3016" t="s">
        <v>4093</v>
      </c>
      <c r="EX3016" s="33" t="s">
        <v>4191</v>
      </c>
      <c r="EY3016" s="33" t="s">
        <v>315</v>
      </c>
      <c r="EZ3016" s="33" t="s">
        <v>316</v>
      </c>
      <c r="FA3016" s="33" t="s">
        <v>51</v>
      </c>
      <c r="FB3016" s="33" t="s">
        <v>52</v>
      </c>
      <c r="FC3016" s="33" t="s">
        <v>53</v>
      </c>
      <c r="FD3016" s="33" t="s">
        <v>54</v>
      </c>
      <c r="FE3016" s="33">
        <v>2019</v>
      </c>
      <c r="FF3016" s="33" t="s">
        <v>55</v>
      </c>
      <c r="FG3016" s="33" t="s">
        <v>71</v>
      </c>
      <c r="FH3016" s="33" t="s">
        <v>72</v>
      </c>
      <c r="FI3016" s="33" t="s">
        <v>73</v>
      </c>
      <c r="FJ3016" t="s">
        <v>59</v>
      </c>
    </row>
    <row r="3017" spans="153:166" x14ac:dyDescent="0.35">
      <c r="EW3017" t="s">
        <v>4093</v>
      </c>
      <c r="EX3017" s="33" t="s">
        <v>4192</v>
      </c>
      <c r="EY3017" s="33" t="s">
        <v>317</v>
      </c>
      <c r="EZ3017" s="33" t="s">
        <v>318</v>
      </c>
      <c r="FA3017" s="33" t="s">
        <v>51</v>
      </c>
      <c r="FB3017" s="33" t="s">
        <v>52</v>
      </c>
      <c r="FC3017" s="33" t="s">
        <v>53</v>
      </c>
      <c r="FD3017" s="33" t="s">
        <v>54</v>
      </c>
      <c r="FE3017" s="33">
        <v>2019</v>
      </c>
      <c r="FF3017" s="33" t="s">
        <v>55</v>
      </c>
      <c r="FG3017" s="33" t="s">
        <v>71</v>
      </c>
      <c r="FH3017" s="33" t="s">
        <v>72</v>
      </c>
      <c r="FI3017" s="33" t="s">
        <v>73</v>
      </c>
      <c r="FJ3017" t="s">
        <v>59</v>
      </c>
    </row>
    <row r="3018" spans="153:166" x14ac:dyDescent="0.35">
      <c r="EW3018" t="s">
        <v>4093</v>
      </c>
      <c r="EX3018" s="33" t="s">
        <v>4193</v>
      </c>
      <c r="EY3018" s="33" t="s">
        <v>322</v>
      </c>
      <c r="EZ3018" s="33" t="s">
        <v>323</v>
      </c>
      <c r="FA3018" s="33" t="s">
        <v>51</v>
      </c>
      <c r="FB3018" s="33" t="s">
        <v>52</v>
      </c>
      <c r="FC3018" s="33" t="s">
        <v>53</v>
      </c>
      <c r="FD3018" s="33" t="s">
        <v>54</v>
      </c>
      <c r="FE3018" s="33">
        <v>2019</v>
      </c>
      <c r="FF3018" s="33" t="s">
        <v>55</v>
      </c>
      <c r="FG3018" s="33" t="s">
        <v>71</v>
      </c>
      <c r="FH3018" s="33" t="s">
        <v>72</v>
      </c>
      <c r="FI3018" s="33" t="s">
        <v>73</v>
      </c>
      <c r="FJ3018" t="s">
        <v>59</v>
      </c>
    </row>
    <row r="3019" spans="153:166" x14ac:dyDescent="0.35">
      <c r="EW3019" t="s">
        <v>4093</v>
      </c>
      <c r="EX3019" s="33" t="s">
        <v>4194</v>
      </c>
      <c r="EY3019" s="33" t="s">
        <v>324</v>
      </c>
      <c r="EZ3019" s="33" t="s">
        <v>325</v>
      </c>
      <c r="FA3019" s="33" t="s">
        <v>51</v>
      </c>
      <c r="FB3019" s="33" t="s">
        <v>52</v>
      </c>
      <c r="FC3019" s="33" t="s">
        <v>53</v>
      </c>
      <c r="FD3019" s="33" t="s">
        <v>54</v>
      </c>
      <c r="FE3019" s="33">
        <v>2019</v>
      </c>
      <c r="FF3019" s="33" t="s">
        <v>55</v>
      </c>
      <c r="FG3019" s="33" t="s">
        <v>71</v>
      </c>
      <c r="FH3019" s="33" t="s">
        <v>72</v>
      </c>
      <c r="FI3019" s="33" t="s">
        <v>73</v>
      </c>
      <c r="FJ3019" t="s">
        <v>59</v>
      </c>
    </row>
    <row r="3020" spans="153:166" x14ac:dyDescent="0.35">
      <c r="EW3020" t="s">
        <v>4093</v>
      </c>
      <c r="EX3020" s="33" t="s">
        <v>4195</v>
      </c>
      <c r="EY3020" s="33" t="s">
        <v>326</v>
      </c>
      <c r="EZ3020" s="33" t="s">
        <v>327</v>
      </c>
      <c r="FA3020" s="33" t="s">
        <v>51</v>
      </c>
      <c r="FB3020" s="33" t="s">
        <v>52</v>
      </c>
      <c r="FC3020" s="33" t="s">
        <v>53</v>
      </c>
      <c r="FD3020" s="33" t="s">
        <v>54</v>
      </c>
      <c r="FE3020" s="33">
        <v>2019</v>
      </c>
      <c r="FF3020" s="33" t="s">
        <v>55</v>
      </c>
      <c r="FG3020" s="33" t="s">
        <v>71</v>
      </c>
      <c r="FH3020" s="33" t="s">
        <v>72</v>
      </c>
      <c r="FI3020" s="33" t="s">
        <v>73</v>
      </c>
      <c r="FJ3020" t="s">
        <v>59</v>
      </c>
    </row>
    <row r="3021" spans="153:166" x14ac:dyDescent="0.35">
      <c r="EW3021" t="s">
        <v>4093</v>
      </c>
      <c r="EX3021" s="33" t="s">
        <v>4196</v>
      </c>
      <c r="EY3021" s="33" t="s">
        <v>328</v>
      </c>
      <c r="EZ3021" s="33" t="s">
        <v>329</v>
      </c>
      <c r="FA3021" s="33" t="s">
        <v>51</v>
      </c>
      <c r="FB3021" s="33" t="s">
        <v>52</v>
      </c>
      <c r="FC3021" s="33" t="s">
        <v>53</v>
      </c>
      <c r="FD3021" s="33" t="s">
        <v>54</v>
      </c>
      <c r="FE3021" s="33">
        <v>2019</v>
      </c>
      <c r="FF3021" s="33" t="s">
        <v>55</v>
      </c>
      <c r="FG3021" s="33" t="s">
        <v>71</v>
      </c>
      <c r="FH3021" s="33" t="s">
        <v>72</v>
      </c>
      <c r="FI3021" s="33" t="s">
        <v>73</v>
      </c>
      <c r="FJ3021" t="s">
        <v>59</v>
      </c>
    </row>
    <row r="3022" spans="153:166" x14ac:dyDescent="0.35">
      <c r="EW3022" t="s">
        <v>4093</v>
      </c>
      <c r="EX3022" s="33" t="s">
        <v>4197</v>
      </c>
      <c r="EY3022" s="33" t="s">
        <v>330</v>
      </c>
      <c r="EZ3022" s="33" t="s">
        <v>331</v>
      </c>
      <c r="FA3022" s="33" t="s">
        <v>51</v>
      </c>
      <c r="FB3022" s="33" t="s">
        <v>52</v>
      </c>
      <c r="FC3022" s="33" t="s">
        <v>53</v>
      </c>
      <c r="FD3022" s="33" t="s">
        <v>54</v>
      </c>
      <c r="FE3022" s="33">
        <v>2019</v>
      </c>
      <c r="FF3022" s="33" t="s">
        <v>55</v>
      </c>
      <c r="FG3022" s="33" t="s">
        <v>71</v>
      </c>
      <c r="FH3022" s="33" t="s">
        <v>72</v>
      </c>
      <c r="FI3022" s="33" t="s">
        <v>73</v>
      </c>
      <c r="FJ3022" t="s">
        <v>59</v>
      </c>
    </row>
    <row r="3023" spans="153:166" x14ac:dyDescent="0.35">
      <c r="EW3023" t="s">
        <v>4093</v>
      </c>
      <c r="EX3023" s="33" t="s">
        <v>4198</v>
      </c>
      <c r="EY3023" s="33" t="s">
        <v>332</v>
      </c>
      <c r="EZ3023" s="33" t="s">
        <v>333</v>
      </c>
      <c r="FA3023" s="33" t="s">
        <v>51</v>
      </c>
      <c r="FB3023" s="33" t="s">
        <v>52</v>
      </c>
      <c r="FC3023" s="33" t="s">
        <v>53</v>
      </c>
      <c r="FD3023" s="33" t="s">
        <v>54</v>
      </c>
      <c r="FE3023" s="33">
        <v>2019</v>
      </c>
      <c r="FF3023" s="33" t="s">
        <v>55</v>
      </c>
      <c r="FG3023" s="33" t="s">
        <v>71</v>
      </c>
      <c r="FH3023" s="33" t="s">
        <v>72</v>
      </c>
      <c r="FI3023" s="33" t="s">
        <v>73</v>
      </c>
      <c r="FJ3023" t="s">
        <v>59</v>
      </c>
    </row>
    <row r="3024" spans="153:166" x14ac:dyDescent="0.35">
      <c r="EW3024" t="s">
        <v>4093</v>
      </c>
      <c r="EX3024" s="33" t="s">
        <v>4199</v>
      </c>
      <c r="EY3024" s="33" t="s">
        <v>334</v>
      </c>
      <c r="EZ3024" s="33" t="s">
        <v>335</v>
      </c>
      <c r="FA3024" s="33" t="s">
        <v>51</v>
      </c>
      <c r="FB3024" s="33" t="s">
        <v>52</v>
      </c>
      <c r="FC3024" s="33" t="s">
        <v>53</v>
      </c>
      <c r="FD3024" s="33" t="s">
        <v>54</v>
      </c>
      <c r="FE3024" s="33">
        <v>2019</v>
      </c>
      <c r="FF3024" s="33" t="s">
        <v>55</v>
      </c>
      <c r="FG3024" s="33" t="s">
        <v>71</v>
      </c>
      <c r="FH3024" s="33" t="s">
        <v>72</v>
      </c>
      <c r="FI3024" s="33" t="s">
        <v>73</v>
      </c>
      <c r="FJ3024" t="s">
        <v>59</v>
      </c>
    </row>
    <row r="3025" spans="153:166" x14ac:dyDescent="0.35">
      <c r="EW3025" t="s">
        <v>4093</v>
      </c>
      <c r="EX3025" s="33" t="s">
        <v>4200</v>
      </c>
      <c r="EY3025" s="33" t="s">
        <v>336</v>
      </c>
      <c r="EZ3025" s="33" t="s">
        <v>337</v>
      </c>
      <c r="FA3025" s="33" t="s">
        <v>51</v>
      </c>
      <c r="FB3025" s="33" t="s">
        <v>52</v>
      </c>
      <c r="FC3025" s="33" t="s">
        <v>53</v>
      </c>
      <c r="FD3025" s="33" t="s">
        <v>54</v>
      </c>
      <c r="FE3025" s="33">
        <v>2019</v>
      </c>
      <c r="FF3025" s="33" t="s">
        <v>55</v>
      </c>
      <c r="FG3025" s="33" t="s">
        <v>71</v>
      </c>
      <c r="FH3025" s="33" t="s">
        <v>72</v>
      </c>
      <c r="FI3025" s="33" t="s">
        <v>73</v>
      </c>
      <c r="FJ3025" t="s">
        <v>59</v>
      </c>
    </row>
    <row r="3026" spans="153:166" x14ac:dyDescent="0.35">
      <c r="EW3026" t="s">
        <v>4093</v>
      </c>
      <c r="EX3026" s="33" t="s">
        <v>4201</v>
      </c>
      <c r="EY3026" s="33" t="s">
        <v>341</v>
      </c>
      <c r="EZ3026" s="33" t="s">
        <v>342</v>
      </c>
      <c r="FA3026" s="33" t="s">
        <v>343</v>
      </c>
      <c r="FB3026" s="33" t="s">
        <v>344</v>
      </c>
      <c r="FC3026" s="33" t="s">
        <v>345</v>
      </c>
      <c r="FD3026" s="33" t="s">
        <v>346</v>
      </c>
      <c r="FE3026" s="33">
        <v>2025</v>
      </c>
      <c r="FF3026" s="33" t="s">
        <v>59</v>
      </c>
      <c r="FG3026" s="33" t="s">
        <v>71</v>
      </c>
      <c r="FH3026" s="33" t="s">
        <v>72</v>
      </c>
      <c r="FI3026" s="33" t="s">
        <v>73</v>
      </c>
      <c r="FJ3026" t="s">
        <v>59</v>
      </c>
    </row>
    <row r="3027" spans="153:166" x14ac:dyDescent="0.35">
      <c r="EW3027" t="s">
        <v>4093</v>
      </c>
      <c r="EX3027" s="33" t="s">
        <v>4202</v>
      </c>
      <c r="EY3027" s="33" t="s">
        <v>350</v>
      </c>
      <c r="EZ3027" s="33" t="s">
        <v>351</v>
      </c>
      <c r="FA3027" s="33" t="s">
        <v>343</v>
      </c>
      <c r="FB3027" s="33" t="s">
        <v>344</v>
      </c>
      <c r="FC3027" s="33" t="s">
        <v>345</v>
      </c>
      <c r="FD3027" s="33" t="s">
        <v>346</v>
      </c>
      <c r="FE3027" s="33">
        <v>2025</v>
      </c>
      <c r="FF3027" s="33" t="s">
        <v>59</v>
      </c>
      <c r="FG3027" s="33" t="s">
        <v>71</v>
      </c>
      <c r="FH3027" s="33" t="s">
        <v>72</v>
      </c>
      <c r="FI3027" s="33" t="s">
        <v>73</v>
      </c>
      <c r="FJ3027" t="s">
        <v>59</v>
      </c>
    </row>
    <row r="3028" spans="153:166" x14ac:dyDescent="0.35">
      <c r="EW3028" t="s">
        <v>4093</v>
      </c>
      <c r="EX3028" s="33" t="s">
        <v>4203</v>
      </c>
      <c r="EY3028" s="33" t="s">
        <v>352</v>
      </c>
      <c r="EZ3028" s="33" t="s">
        <v>353</v>
      </c>
      <c r="FA3028" s="33" t="s">
        <v>343</v>
      </c>
      <c r="FB3028" s="33" t="s">
        <v>344</v>
      </c>
      <c r="FC3028" s="33" t="s">
        <v>345</v>
      </c>
      <c r="FD3028" s="33" t="s">
        <v>346</v>
      </c>
      <c r="FE3028" s="33">
        <v>2025</v>
      </c>
      <c r="FF3028" s="33" t="s">
        <v>59</v>
      </c>
      <c r="FG3028" s="33" t="s">
        <v>71</v>
      </c>
      <c r="FH3028" s="33" t="s">
        <v>72</v>
      </c>
      <c r="FI3028" s="33" t="s">
        <v>73</v>
      </c>
      <c r="FJ3028" t="s">
        <v>59</v>
      </c>
    </row>
    <row r="3029" spans="153:166" x14ac:dyDescent="0.35">
      <c r="EW3029" t="s">
        <v>4093</v>
      </c>
      <c r="EX3029" s="33" t="s">
        <v>4204</v>
      </c>
      <c r="EY3029" s="33" t="s">
        <v>354</v>
      </c>
      <c r="EZ3029" s="33" t="s">
        <v>355</v>
      </c>
      <c r="FA3029" s="33" t="s">
        <v>343</v>
      </c>
      <c r="FB3029" s="33" t="s">
        <v>344</v>
      </c>
      <c r="FC3029" s="33" t="s">
        <v>345</v>
      </c>
      <c r="FD3029" s="33" t="s">
        <v>346</v>
      </c>
      <c r="FE3029" s="33">
        <v>2025</v>
      </c>
      <c r="FF3029" s="33" t="s">
        <v>59</v>
      </c>
      <c r="FG3029" s="33" t="s">
        <v>71</v>
      </c>
      <c r="FH3029" s="33" t="s">
        <v>72</v>
      </c>
      <c r="FI3029" s="33" t="s">
        <v>73</v>
      </c>
      <c r="FJ3029" t="s">
        <v>59</v>
      </c>
    </row>
    <row r="3030" spans="153:166" x14ac:dyDescent="0.35">
      <c r="EW3030" t="s">
        <v>4093</v>
      </c>
      <c r="EX3030" s="33" t="s">
        <v>4205</v>
      </c>
      <c r="EY3030" s="33" t="s">
        <v>356</v>
      </c>
      <c r="EZ3030" s="33" t="s">
        <v>357</v>
      </c>
      <c r="FA3030" s="33" t="s">
        <v>343</v>
      </c>
      <c r="FB3030" s="33" t="s">
        <v>344</v>
      </c>
      <c r="FC3030" s="33" t="s">
        <v>345</v>
      </c>
      <c r="FD3030" s="33" t="s">
        <v>346</v>
      </c>
      <c r="FE3030" s="33">
        <v>2025</v>
      </c>
      <c r="FF3030" s="33" t="s">
        <v>59</v>
      </c>
      <c r="FG3030" s="33" t="s">
        <v>71</v>
      </c>
      <c r="FH3030" s="33" t="s">
        <v>72</v>
      </c>
      <c r="FI3030" s="33" t="s">
        <v>73</v>
      </c>
      <c r="FJ3030" t="s">
        <v>59</v>
      </c>
    </row>
    <row r="3031" spans="153:166" x14ac:dyDescent="0.35">
      <c r="EW3031" t="s">
        <v>4093</v>
      </c>
      <c r="EX3031" s="33" t="s">
        <v>4206</v>
      </c>
      <c r="EY3031" s="33" t="s">
        <v>358</v>
      </c>
      <c r="EZ3031" s="33" t="s">
        <v>359</v>
      </c>
      <c r="FA3031" s="33" t="s">
        <v>343</v>
      </c>
      <c r="FB3031" s="33" t="s">
        <v>344</v>
      </c>
      <c r="FC3031" s="33" t="s">
        <v>345</v>
      </c>
      <c r="FD3031" s="33" t="s">
        <v>346</v>
      </c>
      <c r="FE3031" s="33">
        <v>2025</v>
      </c>
      <c r="FF3031" s="33" t="s">
        <v>59</v>
      </c>
      <c r="FG3031" s="33" t="s">
        <v>71</v>
      </c>
      <c r="FH3031" s="33" t="s">
        <v>72</v>
      </c>
      <c r="FI3031" s="33" t="s">
        <v>73</v>
      </c>
      <c r="FJ3031" t="s">
        <v>59</v>
      </c>
    </row>
    <row r="3032" spans="153:166" x14ac:dyDescent="0.35">
      <c r="EW3032" t="s">
        <v>4093</v>
      </c>
      <c r="EX3032" s="33" t="s">
        <v>4207</v>
      </c>
      <c r="EY3032" s="33" t="s">
        <v>363</v>
      </c>
      <c r="EZ3032" s="33" t="s">
        <v>364</v>
      </c>
      <c r="FA3032" s="33" t="s">
        <v>343</v>
      </c>
      <c r="FB3032" s="33" t="s">
        <v>344</v>
      </c>
      <c r="FC3032" s="33" t="s">
        <v>345</v>
      </c>
      <c r="FD3032" s="33" t="s">
        <v>346</v>
      </c>
      <c r="FE3032" s="33">
        <v>2025</v>
      </c>
      <c r="FF3032" s="33" t="s">
        <v>59</v>
      </c>
      <c r="FG3032" s="33" t="s">
        <v>71</v>
      </c>
      <c r="FH3032" s="33" t="s">
        <v>72</v>
      </c>
      <c r="FI3032" s="33" t="s">
        <v>73</v>
      </c>
      <c r="FJ3032" t="s">
        <v>59</v>
      </c>
    </row>
    <row r="3033" spans="153:166" x14ac:dyDescent="0.35">
      <c r="EW3033" t="s">
        <v>4093</v>
      </c>
      <c r="EX3033" s="33" t="s">
        <v>4208</v>
      </c>
      <c r="EY3033" s="33" t="s">
        <v>365</v>
      </c>
      <c r="EZ3033" s="33" t="s">
        <v>366</v>
      </c>
      <c r="FA3033" s="33" t="s">
        <v>343</v>
      </c>
      <c r="FB3033" s="33" t="s">
        <v>344</v>
      </c>
      <c r="FC3033" s="33" t="s">
        <v>345</v>
      </c>
      <c r="FD3033" s="33" t="s">
        <v>346</v>
      </c>
      <c r="FE3033" s="33">
        <v>2025</v>
      </c>
      <c r="FF3033" s="33" t="s">
        <v>59</v>
      </c>
      <c r="FG3033" s="33" t="s">
        <v>71</v>
      </c>
      <c r="FH3033" s="33" t="s">
        <v>72</v>
      </c>
      <c r="FI3033" s="33" t="s">
        <v>73</v>
      </c>
      <c r="FJ3033" t="s">
        <v>59</v>
      </c>
    </row>
    <row r="3034" spans="153:166" x14ac:dyDescent="0.35">
      <c r="EW3034" t="s">
        <v>4093</v>
      </c>
      <c r="EX3034" s="33" t="s">
        <v>4209</v>
      </c>
      <c r="EY3034" s="33" t="s">
        <v>367</v>
      </c>
      <c r="EZ3034" s="33" t="s">
        <v>368</v>
      </c>
      <c r="FA3034" s="33" t="s">
        <v>343</v>
      </c>
      <c r="FB3034" s="33" t="s">
        <v>344</v>
      </c>
      <c r="FC3034" s="33" t="s">
        <v>345</v>
      </c>
      <c r="FD3034" s="33" t="s">
        <v>346</v>
      </c>
      <c r="FE3034" s="33">
        <v>2025</v>
      </c>
      <c r="FF3034" s="33" t="s">
        <v>59</v>
      </c>
      <c r="FG3034" s="33" t="s">
        <v>71</v>
      </c>
      <c r="FH3034" s="33" t="s">
        <v>72</v>
      </c>
      <c r="FI3034" s="33" t="s">
        <v>73</v>
      </c>
      <c r="FJ3034" t="s">
        <v>59</v>
      </c>
    </row>
    <row r="3035" spans="153:166" x14ac:dyDescent="0.35">
      <c r="EW3035" t="s">
        <v>4093</v>
      </c>
      <c r="EX3035" s="33" t="s">
        <v>4210</v>
      </c>
      <c r="EY3035" s="33" t="s">
        <v>369</v>
      </c>
      <c r="EZ3035" s="33" t="s">
        <v>370</v>
      </c>
      <c r="FA3035" s="33" t="s">
        <v>343</v>
      </c>
      <c r="FB3035" s="33" t="s">
        <v>344</v>
      </c>
      <c r="FC3035" s="33" t="s">
        <v>345</v>
      </c>
      <c r="FD3035" s="33" t="s">
        <v>346</v>
      </c>
      <c r="FE3035" s="33">
        <v>2025</v>
      </c>
      <c r="FF3035" s="33" t="s">
        <v>59</v>
      </c>
      <c r="FG3035" s="33" t="s">
        <v>71</v>
      </c>
      <c r="FH3035" s="33" t="s">
        <v>72</v>
      </c>
      <c r="FI3035" s="33" t="s">
        <v>73</v>
      </c>
      <c r="FJ3035" t="s">
        <v>59</v>
      </c>
    </row>
    <row r="3036" spans="153:166" x14ac:dyDescent="0.35">
      <c r="EW3036" t="s">
        <v>4093</v>
      </c>
      <c r="EX3036" s="33" t="s">
        <v>4211</v>
      </c>
      <c r="EY3036" s="33" t="s">
        <v>371</v>
      </c>
      <c r="EZ3036" s="33" t="s">
        <v>372</v>
      </c>
      <c r="FA3036" s="33" t="s">
        <v>343</v>
      </c>
      <c r="FB3036" s="33" t="s">
        <v>344</v>
      </c>
      <c r="FC3036" s="33" t="s">
        <v>345</v>
      </c>
      <c r="FD3036" s="33" t="s">
        <v>346</v>
      </c>
      <c r="FE3036" s="33">
        <v>2025</v>
      </c>
      <c r="FF3036" s="33" t="s">
        <v>59</v>
      </c>
      <c r="FG3036" s="33" t="s">
        <v>71</v>
      </c>
      <c r="FH3036" s="33" t="s">
        <v>72</v>
      </c>
      <c r="FI3036" s="33" t="s">
        <v>73</v>
      </c>
      <c r="FJ3036" t="s">
        <v>59</v>
      </c>
    </row>
    <row r="3037" spans="153:166" x14ac:dyDescent="0.35">
      <c r="EW3037" t="s">
        <v>4093</v>
      </c>
      <c r="EX3037" s="33" t="s">
        <v>4212</v>
      </c>
      <c r="EY3037" s="33" t="s">
        <v>373</v>
      </c>
      <c r="EZ3037" s="33" t="s">
        <v>374</v>
      </c>
      <c r="FA3037" s="33" t="s">
        <v>343</v>
      </c>
      <c r="FB3037" s="33" t="s">
        <v>344</v>
      </c>
      <c r="FC3037" s="33" t="s">
        <v>345</v>
      </c>
      <c r="FD3037" s="33" t="s">
        <v>346</v>
      </c>
      <c r="FE3037" s="33">
        <v>2025</v>
      </c>
      <c r="FF3037" s="33" t="s">
        <v>59</v>
      </c>
      <c r="FG3037" s="33" t="s">
        <v>71</v>
      </c>
      <c r="FH3037" s="33" t="s">
        <v>72</v>
      </c>
      <c r="FI3037" s="33" t="s">
        <v>73</v>
      </c>
      <c r="FJ3037" t="s">
        <v>59</v>
      </c>
    </row>
    <row r="3038" spans="153:166" x14ac:dyDescent="0.35">
      <c r="EW3038" t="s">
        <v>4093</v>
      </c>
      <c r="EX3038" s="33" t="s">
        <v>4213</v>
      </c>
      <c r="EY3038" s="33" t="s">
        <v>378</v>
      </c>
      <c r="EZ3038" s="33" t="s">
        <v>379</v>
      </c>
      <c r="FA3038" s="33" t="s">
        <v>343</v>
      </c>
      <c r="FB3038" s="33" t="s">
        <v>344</v>
      </c>
      <c r="FC3038" s="33" t="s">
        <v>345</v>
      </c>
      <c r="FD3038" s="33" t="s">
        <v>346</v>
      </c>
      <c r="FE3038" s="33">
        <v>2025</v>
      </c>
      <c r="FF3038" s="33" t="s">
        <v>59</v>
      </c>
      <c r="FG3038" s="33" t="s">
        <v>71</v>
      </c>
      <c r="FH3038" s="33" t="s">
        <v>72</v>
      </c>
      <c r="FI3038" s="33" t="s">
        <v>73</v>
      </c>
      <c r="FJ3038" t="s">
        <v>59</v>
      </c>
    </row>
    <row r="3039" spans="153:166" x14ac:dyDescent="0.35">
      <c r="EW3039" t="s">
        <v>4093</v>
      </c>
      <c r="EX3039" s="33" t="s">
        <v>4214</v>
      </c>
      <c r="EY3039" s="33" t="s">
        <v>380</v>
      </c>
      <c r="EZ3039" s="33" t="s">
        <v>381</v>
      </c>
      <c r="FA3039" s="33" t="s">
        <v>343</v>
      </c>
      <c r="FB3039" s="33" t="s">
        <v>344</v>
      </c>
      <c r="FC3039" s="33" t="s">
        <v>345</v>
      </c>
      <c r="FD3039" s="33" t="s">
        <v>346</v>
      </c>
      <c r="FE3039" s="33">
        <v>2025</v>
      </c>
      <c r="FF3039" s="33" t="s">
        <v>59</v>
      </c>
      <c r="FG3039" s="33" t="s">
        <v>71</v>
      </c>
      <c r="FH3039" s="33" t="s">
        <v>72</v>
      </c>
      <c r="FI3039" s="33" t="s">
        <v>73</v>
      </c>
      <c r="FJ3039" t="s">
        <v>59</v>
      </c>
    </row>
    <row r="3040" spans="153:166" x14ac:dyDescent="0.35">
      <c r="EW3040" t="s">
        <v>4093</v>
      </c>
      <c r="EX3040" s="33" t="s">
        <v>4215</v>
      </c>
      <c r="EY3040" s="33" t="s">
        <v>382</v>
      </c>
      <c r="EZ3040" s="33" t="s">
        <v>383</v>
      </c>
      <c r="FA3040" s="33" t="s">
        <v>343</v>
      </c>
      <c r="FB3040" s="33" t="s">
        <v>344</v>
      </c>
      <c r="FC3040" s="33" t="s">
        <v>345</v>
      </c>
      <c r="FD3040" s="33" t="s">
        <v>346</v>
      </c>
      <c r="FE3040" s="33">
        <v>2025</v>
      </c>
      <c r="FF3040" s="33" t="s">
        <v>59</v>
      </c>
      <c r="FG3040" s="33" t="s">
        <v>71</v>
      </c>
      <c r="FH3040" s="33" t="s">
        <v>72</v>
      </c>
      <c r="FI3040" s="33" t="s">
        <v>73</v>
      </c>
      <c r="FJ3040" t="s">
        <v>59</v>
      </c>
    </row>
    <row r="3041" spans="153:166" x14ac:dyDescent="0.35">
      <c r="EW3041" t="s">
        <v>4093</v>
      </c>
      <c r="EX3041" s="33" t="s">
        <v>4216</v>
      </c>
      <c r="EY3041" s="33" t="s">
        <v>384</v>
      </c>
      <c r="EZ3041" s="33" t="s">
        <v>385</v>
      </c>
      <c r="FA3041" s="33" t="s">
        <v>343</v>
      </c>
      <c r="FB3041" s="33" t="s">
        <v>344</v>
      </c>
      <c r="FC3041" s="33" t="s">
        <v>345</v>
      </c>
      <c r="FD3041" s="33" t="s">
        <v>346</v>
      </c>
      <c r="FE3041" s="33">
        <v>2025</v>
      </c>
      <c r="FF3041" s="33" t="s">
        <v>59</v>
      </c>
      <c r="FG3041" s="33" t="s">
        <v>386</v>
      </c>
      <c r="FH3041" s="33" t="s">
        <v>387</v>
      </c>
      <c r="FI3041" s="33" t="s">
        <v>58</v>
      </c>
      <c r="FJ3041" t="s">
        <v>59</v>
      </c>
    </row>
    <row r="3042" spans="153:166" x14ac:dyDescent="0.35">
      <c r="EW3042" t="s">
        <v>4093</v>
      </c>
      <c r="EX3042" s="33" t="s">
        <v>4217</v>
      </c>
      <c r="EY3042" s="33" t="s">
        <v>388</v>
      </c>
      <c r="EZ3042" s="33" t="s">
        <v>389</v>
      </c>
      <c r="FA3042" s="33" t="s">
        <v>343</v>
      </c>
      <c r="FB3042" s="33" t="s">
        <v>344</v>
      </c>
      <c r="FC3042" s="33" t="s">
        <v>345</v>
      </c>
      <c r="FD3042" s="33" t="s">
        <v>346</v>
      </c>
      <c r="FE3042" s="33">
        <v>2025</v>
      </c>
      <c r="FF3042" s="33" t="s">
        <v>59</v>
      </c>
      <c r="FG3042" s="33" t="s">
        <v>56</v>
      </c>
      <c r="FH3042" s="33" t="s">
        <v>57</v>
      </c>
      <c r="FI3042" s="33" t="s">
        <v>58</v>
      </c>
      <c r="FJ3042" t="s">
        <v>59</v>
      </c>
    </row>
    <row r="3043" spans="153:166" x14ac:dyDescent="0.35">
      <c r="EW3043" t="s">
        <v>4093</v>
      </c>
      <c r="EX3043" s="33" t="s">
        <v>4218</v>
      </c>
      <c r="EY3043" s="33" t="s">
        <v>390</v>
      </c>
      <c r="EZ3043" s="33" t="s">
        <v>391</v>
      </c>
      <c r="FA3043" s="33" t="s">
        <v>343</v>
      </c>
      <c r="FB3043" s="33" t="s">
        <v>344</v>
      </c>
      <c r="FC3043" s="33" t="s">
        <v>345</v>
      </c>
      <c r="FD3043" s="33" t="s">
        <v>346</v>
      </c>
      <c r="FE3043" s="33">
        <v>2025</v>
      </c>
      <c r="FF3043" s="33" t="s">
        <v>59</v>
      </c>
      <c r="FG3043" s="33" t="s">
        <v>56</v>
      </c>
      <c r="FH3043" s="33" t="s">
        <v>57</v>
      </c>
      <c r="FI3043" s="33" t="s">
        <v>58</v>
      </c>
      <c r="FJ3043" t="s">
        <v>59</v>
      </c>
    </row>
    <row r="3044" spans="153:166" x14ac:dyDescent="0.35">
      <c r="EW3044" t="s">
        <v>4093</v>
      </c>
      <c r="EX3044" s="33" t="s">
        <v>4219</v>
      </c>
      <c r="EY3044" s="33" t="s">
        <v>392</v>
      </c>
      <c r="EZ3044" s="33" t="s">
        <v>393</v>
      </c>
      <c r="FA3044" s="33" t="s">
        <v>343</v>
      </c>
      <c r="FB3044" s="33" t="s">
        <v>344</v>
      </c>
      <c r="FC3044" s="33" t="s">
        <v>345</v>
      </c>
      <c r="FD3044" s="33" t="s">
        <v>346</v>
      </c>
      <c r="FE3044" s="33">
        <v>2025</v>
      </c>
      <c r="FF3044" s="33" t="s">
        <v>59</v>
      </c>
      <c r="FG3044" s="33" t="s">
        <v>56</v>
      </c>
      <c r="FH3044" s="33" t="s">
        <v>57</v>
      </c>
      <c r="FI3044" s="33" t="s">
        <v>58</v>
      </c>
      <c r="FJ3044" t="s">
        <v>59</v>
      </c>
    </row>
    <row r="3045" spans="153:166" x14ac:dyDescent="0.35">
      <c r="EW3045" t="s">
        <v>4093</v>
      </c>
      <c r="EX3045" s="33" t="s">
        <v>4220</v>
      </c>
      <c r="EY3045" s="33" t="s">
        <v>394</v>
      </c>
      <c r="EZ3045" s="33" t="s">
        <v>395</v>
      </c>
      <c r="FA3045" s="33" t="s">
        <v>343</v>
      </c>
      <c r="FB3045" s="33" t="s">
        <v>344</v>
      </c>
      <c r="FC3045" s="33" t="s">
        <v>345</v>
      </c>
      <c r="FD3045" s="33" t="s">
        <v>346</v>
      </c>
      <c r="FE3045" s="33">
        <v>2025</v>
      </c>
      <c r="FF3045" s="33" t="s">
        <v>59</v>
      </c>
      <c r="FG3045" s="33" t="s">
        <v>71</v>
      </c>
      <c r="FH3045" s="33" t="s">
        <v>72</v>
      </c>
      <c r="FI3045" s="33" t="s">
        <v>73</v>
      </c>
      <c r="FJ3045" t="s">
        <v>59</v>
      </c>
    </row>
    <row r="3046" spans="153:166" x14ac:dyDescent="0.35">
      <c r="EW3046" t="s">
        <v>4093</v>
      </c>
      <c r="EX3046" s="33" t="s">
        <v>4221</v>
      </c>
      <c r="EY3046" s="33" t="s">
        <v>399</v>
      </c>
      <c r="EZ3046" s="33" t="s">
        <v>400</v>
      </c>
      <c r="FA3046" s="33" t="s">
        <v>343</v>
      </c>
      <c r="FB3046" s="33" t="s">
        <v>344</v>
      </c>
      <c r="FC3046" s="33" t="s">
        <v>345</v>
      </c>
      <c r="FD3046" s="33" t="s">
        <v>346</v>
      </c>
      <c r="FE3046" s="33">
        <v>2025</v>
      </c>
      <c r="FF3046" s="33" t="s">
        <v>59</v>
      </c>
      <c r="FG3046" s="33" t="s">
        <v>71</v>
      </c>
      <c r="FH3046" s="33" t="s">
        <v>72</v>
      </c>
      <c r="FI3046" s="33" t="s">
        <v>73</v>
      </c>
      <c r="FJ3046" t="s">
        <v>59</v>
      </c>
    </row>
    <row r="3047" spans="153:166" x14ac:dyDescent="0.35">
      <c r="EW3047" t="s">
        <v>4093</v>
      </c>
      <c r="EX3047" s="33" t="s">
        <v>4222</v>
      </c>
      <c r="EY3047" s="33" t="s">
        <v>401</v>
      </c>
      <c r="EZ3047" s="33" t="s">
        <v>402</v>
      </c>
      <c r="FA3047" s="33" t="s">
        <v>343</v>
      </c>
      <c r="FB3047" s="33" t="s">
        <v>344</v>
      </c>
      <c r="FC3047" s="33" t="s">
        <v>345</v>
      </c>
      <c r="FD3047" s="33" t="s">
        <v>346</v>
      </c>
      <c r="FE3047" s="33">
        <v>2025</v>
      </c>
      <c r="FF3047" s="33" t="s">
        <v>59</v>
      </c>
      <c r="FG3047" s="33" t="s">
        <v>71</v>
      </c>
      <c r="FH3047" s="33" t="s">
        <v>72</v>
      </c>
      <c r="FI3047" s="33" t="s">
        <v>73</v>
      </c>
      <c r="FJ3047" t="s">
        <v>59</v>
      </c>
    </row>
    <row r="3048" spans="153:166" x14ac:dyDescent="0.35">
      <c r="EW3048" t="s">
        <v>4093</v>
      </c>
      <c r="EX3048" s="33" t="s">
        <v>4223</v>
      </c>
      <c r="EY3048" s="33" t="s">
        <v>403</v>
      </c>
      <c r="EZ3048" s="33" t="s">
        <v>404</v>
      </c>
      <c r="FA3048" s="33" t="s">
        <v>343</v>
      </c>
      <c r="FB3048" s="33" t="s">
        <v>344</v>
      </c>
      <c r="FC3048" s="33" t="s">
        <v>345</v>
      </c>
      <c r="FD3048" s="33" t="s">
        <v>346</v>
      </c>
      <c r="FE3048" s="33">
        <v>2025</v>
      </c>
      <c r="FF3048" s="33" t="s">
        <v>59</v>
      </c>
      <c r="FG3048" s="33" t="s">
        <v>71</v>
      </c>
      <c r="FH3048" s="33" t="s">
        <v>72</v>
      </c>
      <c r="FI3048" s="33" t="s">
        <v>73</v>
      </c>
      <c r="FJ3048" t="s">
        <v>59</v>
      </c>
    </row>
    <row r="3049" spans="153:166" x14ac:dyDescent="0.35">
      <c r="EW3049" t="s">
        <v>4093</v>
      </c>
      <c r="EX3049" s="33" t="s">
        <v>4224</v>
      </c>
      <c r="EY3049" s="33" t="s">
        <v>405</v>
      </c>
      <c r="EZ3049" s="33" t="s">
        <v>406</v>
      </c>
      <c r="FA3049" s="33" t="s">
        <v>343</v>
      </c>
      <c r="FB3049" s="33" t="s">
        <v>344</v>
      </c>
      <c r="FC3049" s="33" t="s">
        <v>345</v>
      </c>
      <c r="FD3049" s="33" t="s">
        <v>346</v>
      </c>
      <c r="FE3049" s="33">
        <v>2025</v>
      </c>
      <c r="FF3049" s="33" t="s">
        <v>59</v>
      </c>
      <c r="FG3049" s="33" t="s">
        <v>386</v>
      </c>
      <c r="FH3049" s="33" t="s">
        <v>387</v>
      </c>
      <c r="FI3049" s="33" t="s">
        <v>407</v>
      </c>
      <c r="FJ3049" t="s">
        <v>59</v>
      </c>
    </row>
    <row r="3050" spans="153:166" x14ac:dyDescent="0.35">
      <c r="EW3050" t="s">
        <v>4093</v>
      </c>
      <c r="EX3050" s="33" t="s">
        <v>4225</v>
      </c>
      <c r="EY3050" s="33" t="s">
        <v>408</v>
      </c>
      <c r="EZ3050" s="33" t="s">
        <v>409</v>
      </c>
      <c r="FA3050" s="33" t="s">
        <v>343</v>
      </c>
      <c r="FB3050" s="33" t="s">
        <v>344</v>
      </c>
      <c r="FC3050" s="33" t="s">
        <v>345</v>
      </c>
      <c r="FD3050" s="33" t="s">
        <v>346</v>
      </c>
      <c r="FE3050" s="33">
        <v>2025</v>
      </c>
      <c r="FF3050" s="33" t="s">
        <v>59</v>
      </c>
      <c r="FG3050" s="33" t="s">
        <v>56</v>
      </c>
      <c r="FH3050" s="33" t="s">
        <v>57</v>
      </c>
      <c r="FI3050" s="33" t="s">
        <v>58</v>
      </c>
      <c r="FJ3050" t="s">
        <v>59</v>
      </c>
    </row>
    <row r="3051" spans="153:166" x14ac:dyDescent="0.35">
      <c r="EW3051" t="s">
        <v>4093</v>
      </c>
      <c r="EX3051" s="33" t="s">
        <v>4226</v>
      </c>
      <c r="EY3051" s="33" t="s">
        <v>410</v>
      </c>
      <c r="EZ3051" s="33" t="s">
        <v>411</v>
      </c>
      <c r="FA3051" s="33" t="s">
        <v>343</v>
      </c>
      <c r="FB3051" s="33" t="s">
        <v>344</v>
      </c>
      <c r="FC3051" s="33" t="s">
        <v>345</v>
      </c>
      <c r="FD3051" s="33" t="s">
        <v>346</v>
      </c>
      <c r="FE3051" s="33">
        <v>2025</v>
      </c>
      <c r="FF3051" s="33" t="s">
        <v>59</v>
      </c>
      <c r="FG3051" s="33" t="s">
        <v>56</v>
      </c>
      <c r="FH3051" s="33" t="s">
        <v>57</v>
      </c>
      <c r="FI3051" s="33" t="s">
        <v>58</v>
      </c>
      <c r="FJ3051" t="s">
        <v>59</v>
      </c>
    </row>
    <row r="3052" spans="153:166" x14ac:dyDescent="0.35">
      <c r="EW3052" t="s">
        <v>4093</v>
      </c>
      <c r="EX3052" s="33" t="s">
        <v>4227</v>
      </c>
      <c r="EY3052" s="33" t="s">
        <v>415</v>
      </c>
      <c r="EZ3052" s="33" t="s">
        <v>416</v>
      </c>
      <c r="FA3052" s="33" t="s">
        <v>343</v>
      </c>
      <c r="FB3052" s="33" t="s">
        <v>344</v>
      </c>
      <c r="FC3052" s="33" t="s">
        <v>345</v>
      </c>
      <c r="FD3052" s="33" t="s">
        <v>346</v>
      </c>
      <c r="FE3052" s="33">
        <v>2025</v>
      </c>
      <c r="FF3052" s="33" t="s">
        <v>59</v>
      </c>
      <c r="FG3052" s="33" t="s">
        <v>56</v>
      </c>
      <c r="FH3052" s="33" t="s">
        <v>57</v>
      </c>
      <c r="FI3052" s="33" t="s">
        <v>58</v>
      </c>
      <c r="FJ3052" t="s">
        <v>59</v>
      </c>
    </row>
    <row r="3053" spans="153:166" x14ac:dyDescent="0.35">
      <c r="EW3053" t="s">
        <v>4093</v>
      </c>
      <c r="EX3053" s="33" t="s">
        <v>4228</v>
      </c>
      <c r="EY3053" s="33" t="s">
        <v>417</v>
      </c>
      <c r="EZ3053" s="33" t="s">
        <v>418</v>
      </c>
      <c r="FA3053" s="33" t="s">
        <v>343</v>
      </c>
      <c r="FB3053" s="33" t="s">
        <v>344</v>
      </c>
      <c r="FC3053" s="33" t="s">
        <v>345</v>
      </c>
      <c r="FD3053" s="33" t="s">
        <v>346</v>
      </c>
      <c r="FE3053" s="33">
        <v>2025</v>
      </c>
      <c r="FF3053" s="33" t="s">
        <v>59</v>
      </c>
      <c r="FG3053" s="33" t="s">
        <v>56</v>
      </c>
      <c r="FH3053" s="33" t="s">
        <v>57</v>
      </c>
      <c r="FI3053" s="33" t="s">
        <v>58</v>
      </c>
      <c r="FJ3053" t="s">
        <v>59</v>
      </c>
    </row>
    <row r="3054" spans="153:166" x14ac:dyDescent="0.35">
      <c r="EW3054" t="s">
        <v>4093</v>
      </c>
      <c r="EX3054" s="33" t="s">
        <v>4229</v>
      </c>
      <c r="EY3054" s="33" t="s">
        <v>419</v>
      </c>
      <c r="EZ3054" s="33" t="s">
        <v>420</v>
      </c>
      <c r="FA3054" s="33" t="s">
        <v>343</v>
      </c>
      <c r="FB3054" s="33" t="s">
        <v>344</v>
      </c>
      <c r="FC3054" s="33" t="s">
        <v>345</v>
      </c>
      <c r="FD3054" s="33" t="s">
        <v>346</v>
      </c>
      <c r="FE3054" s="33">
        <v>2025</v>
      </c>
      <c r="FF3054" s="33" t="s">
        <v>59</v>
      </c>
      <c r="FG3054" s="33" t="s">
        <v>56</v>
      </c>
      <c r="FH3054" s="33" t="s">
        <v>57</v>
      </c>
      <c r="FI3054" s="33" t="s">
        <v>58</v>
      </c>
      <c r="FJ3054" t="s">
        <v>59</v>
      </c>
    </row>
    <row r="3055" spans="153:166" x14ac:dyDescent="0.35">
      <c r="EW3055" t="s">
        <v>4093</v>
      </c>
      <c r="EX3055" s="33" t="s">
        <v>4230</v>
      </c>
      <c r="EY3055" s="33" t="s">
        <v>421</v>
      </c>
      <c r="EZ3055" s="33" t="s">
        <v>422</v>
      </c>
      <c r="FA3055" s="33" t="s">
        <v>343</v>
      </c>
      <c r="FB3055" s="33" t="s">
        <v>344</v>
      </c>
      <c r="FC3055" s="33" t="s">
        <v>345</v>
      </c>
      <c r="FD3055" s="33" t="s">
        <v>346</v>
      </c>
      <c r="FE3055" s="33">
        <v>2025</v>
      </c>
      <c r="FF3055" s="33" t="s">
        <v>59</v>
      </c>
      <c r="FG3055" s="33" t="s">
        <v>56</v>
      </c>
      <c r="FH3055" s="33" t="s">
        <v>57</v>
      </c>
      <c r="FI3055" s="33" t="s">
        <v>58</v>
      </c>
      <c r="FJ3055" t="s">
        <v>59</v>
      </c>
    </row>
    <row r="3056" spans="153:166" x14ac:dyDescent="0.35">
      <c r="EW3056" t="s">
        <v>4093</v>
      </c>
      <c r="EX3056" s="33" t="s">
        <v>4231</v>
      </c>
      <c r="EY3056" s="33" t="s">
        <v>423</v>
      </c>
      <c r="EZ3056" s="33" t="s">
        <v>424</v>
      </c>
      <c r="FA3056" s="33" t="s">
        <v>343</v>
      </c>
      <c r="FB3056" s="33" t="s">
        <v>344</v>
      </c>
      <c r="FC3056" s="33" t="s">
        <v>345</v>
      </c>
      <c r="FD3056" s="33" t="s">
        <v>346</v>
      </c>
      <c r="FE3056" s="33">
        <v>2025</v>
      </c>
      <c r="FF3056" s="33" t="s">
        <v>59</v>
      </c>
      <c r="FG3056" s="33" t="s">
        <v>56</v>
      </c>
      <c r="FH3056" s="33" t="s">
        <v>57</v>
      </c>
      <c r="FI3056" s="33" t="s">
        <v>58</v>
      </c>
      <c r="FJ3056" t="s">
        <v>59</v>
      </c>
    </row>
    <row r="3057" spans="153:166" x14ac:dyDescent="0.35">
      <c r="EW3057" t="s">
        <v>4093</v>
      </c>
      <c r="EX3057" s="33" t="s">
        <v>4232</v>
      </c>
      <c r="EY3057" s="33" t="s">
        <v>428</v>
      </c>
      <c r="EZ3057" s="33" t="s">
        <v>429</v>
      </c>
      <c r="FA3057" s="33" t="s">
        <v>343</v>
      </c>
      <c r="FB3057" s="33" t="s">
        <v>344</v>
      </c>
      <c r="FC3057" s="33" t="s">
        <v>345</v>
      </c>
      <c r="FD3057" s="33" t="s">
        <v>346</v>
      </c>
      <c r="FE3057" s="33">
        <v>2025</v>
      </c>
      <c r="FF3057" s="33" t="s">
        <v>59</v>
      </c>
      <c r="FG3057" s="33" t="s">
        <v>56</v>
      </c>
      <c r="FH3057" s="33" t="s">
        <v>57</v>
      </c>
      <c r="FI3057" s="33" t="s">
        <v>58</v>
      </c>
      <c r="FJ3057" t="s">
        <v>59</v>
      </c>
    </row>
    <row r="3058" spans="153:166" x14ac:dyDescent="0.35">
      <c r="EW3058" t="s">
        <v>4093</v>
      </c>
      <c r="EX3058" s="33" t="s">
        <v>4233</v>
      </c>
      <c r="EY3058" s="33" t="s">
        <v>430</v>
      </c>
      <c r="EZ3058" s="33" t="s">
        <v>431</v>
      </c>
      <c r="FA3058" s="33" t="s">
        <v>343</v>
      </c>
      <c r="FB3058" s="33" t="s">
        <v>344</v>
      </c>
      <c r="FC3058" s="33" t="s">
        <v>345</v>
      </c>
      <c r="FD3058" s="33" t="s">
        <v>346</v>
      </c>
      <c r="FE3058" s="33">
        <v>2025</v>
      </c>
      <c r="FF3058" s="33" t="s">
        <v>59</v>
      </c>
      <c r="FG3058" s="33" t="s">
        <v>56</v>
      </c>
      <c r="FH3058" s="33" t="s">
        <v>57</v>
      </c>
      <c r="FI3058" s="33" t="s">
        <v>58</v>
      </c>
      <c r="FJ3058" t="s">
        <v>59</v>
      </c>
    </row>
    <row r="3059" spans="153:166" x14ac:dyDescent="0.35">
      <c r="EW3059" t="s">
        <v>4093</v>
      </c>
      <c r="EX3059" s="33" t="s">
        <v>4234</v>
      </c>
      <c r="EY3059" s="33" t="s">
        <v>432</v>
      </c>
      <c r="EZ3059" s="33" t="s">
        <v>433</v>
      </c>
      <c r="FA3059" s="33" t="s">
        <v>343</v>
      </c>
      <c r="FB3059" s="33" t="s">
        <v>344</v>
      </c>
      <c r="FC3059" s="33" t="s">
        <v>345</v>
      </c>
      <c r="FD3059" s="33" t="s">
        <v>346</v>
      </c>
      <c r="FE3059" s="33">
        <v>2025</v>
      </c>
      <c r="FF3059" s="33" t="s">
        <v>59</v>
      </c>
      <c r="FG3059" s="33" t="s">
        <v>71</v>
      </c>
      <c r="FH3059" s="33" t="s">
        <v>72</v>
      </c>
      <c r="FI3059" s="33" t="s">
        <v>73</v>
      </c>
      <c r="FJ3059" t="s">
        <v>59</v>
      </c>
    </row>
    <row r="3060" spans="153:166" x14ac:dyDescent="0.35">
      <c r="EW3060" t="s">
        <v>4093</v>
      </c>
      <c r="EX3060" s="33" t="s">
        <v>4235</v>
      </c>
      <c r="EY3060" s="33" t="s">
        <v>434</v>
      </c>
      <c r="EZ3060" s="33" t="s">
        <v>435</v>
      </c>
      <c r="FA3060" s="33" t="s">
        <v>343</v>
      </c>
      <c r="FB3060" s="33" t="s">
        <v>344</v>
      </c>
      <c r="FC3060" s="33" t="s">
        <v>345</v>
      </c>
      <c r="FD3060" s="33" t="s">
        <v>346</v>
      </c>
      <c r="FE3060" s="33">
        <v>2025</v>
      </c>
      <c r="FF3060" s="33" t="s">
        <v>59</v>
      </c>
      <c r="FG3060" s="33" t="s">
        <v>56</v>
      </c>
      <c r="FH3060" s="33" t="s">
        <v>57</v>
      </c>
      <c r="FI3060" s="33" t="s">
        <v>58</v>
      </c>
      <c r="FJ3060" t="s">
        <v>59</v>
      </c>
    </row>
    <row r="3061" spans="153:166" x14ac:dyDescent="0.35">
      <c r="EW3061" t="s">
        <v>4093</v>
      </c>
      <c r="EX3061" s="33" t="s">
        <v>4236</v>
      </c>
      <c r="EY3061" s="33" t="s">
        <v>439</v>
      </c>
      <c r="EZ3061" s="33" t="s">
        <v>440</v>
      </c>
      <c r="FA3061" s="33" t="s">
        <v>343</v>
      </c>
      <c r="FB3061" s="33" t="s">
        <v>344</v>
      </c>
      <c r="FC3061" s="33" t="s">
        <v>345</v>
      </c>
      <c r="FD3061" s="33" t="s">
        <v>346</v>
      </c>
      <c r="FE3061" s="33">
        <v>2025</v>
      </c>
      <c r="FF3061" s="33" t="s">
        <v>59</v>
      </c>
      <c r="FG3061" s="33" t="s">
        <v>56</v>
      </c>
      <c r="FH3061" s="33" t="s">
        <v>57</v>
      </c>
      <c r="FI3061" s="33" t="s">
        <v>58</v>
      </c>
      <c r="FJ3061" t="s">
        <v>59</v>
      </c>
    </row>
    <row r="3062" spans="153:166" x14ac:dyDescent="0.35">
      <c r="EW3062" t="s">
        <v>4093</v>
      </c>
      <c r="EX3062" s="33" t="s">
        <v>4237</v>
      </c>
      <c r="EY3062" s="33" t="s">
        <v>441</v>
      </c>
      <c r="EZ3062" s="33" t="s">
        <v>442</v>
      </c>
      <c r="FA3062" s="33" t="s">
        <v>343</v>
      </c>
      <c r="FB3062" s="33" t="s">
        <v>344</v>
      </c>
      <c r="FC3062" s="33" t="s">
        <v>345</v>
      </c>
      <c r="FD3062" s="33" t="s">
        <v>346</v>
      </c>
      <c r="FE3062" s="33">
        <v>2025</v>
      </c>
      <c r="FF3062" s="33" t="s">
        <v>59</v>
      </c>
      <c r="FG3062" s="33" t="s">
        <v>56</v>
      </c>
      <c r="FH3062" s="33" t="s">
        <v>57</v>
      </c>
      <c r="FI3062" s="33" t="s">
        <v>58</v>
      </c>
      <c r="FJ3062" t="s">
        <v>59</v>
      </c>
    </row>
    <row r="3063" spans="153:166" x14ac:dyDescent="0.35">
      <c r="EW3063" t="s">
        <v>4093</v>
      </c>
      <c r="EX3063" s="33" t="s">
        <v>4238</v>
      </c>
      <c r="EY3063" s="33" t="s">
        <v>443</v>
      </c>
      <c r="EZ3063" s="33" t="s">
        <v>444</v>
      </c>
      <c r="FA3063" s="33" t="s">
        <v>343</v>
      </c>
      <c r="FB3063" s="33" t="s">
        <v>344</v>
      </c>
      <c r="FC3063" s="33" t="s">
        <v>345</v>
      </c>
      <c r="FD3063" s="33" t="s">
        <v>346</v>
      </c>
      <c r="FE3063" s="33">
        <v>2025</v>
      </c>
      <c r="FF3063" s="33" t="s">
        <v>59</v>
      </c>
      <c r="FG3063" s="33" t="s">
        <v>56</v>
      </c>
      <c r="FH3063" s="33" t="s">
        <v>57</v>
      </c>
      <c r="FI3063" s="33" t="s">
        <v>58</v>
      </c>
      <c r="FJ3063" t="s">
        <v>59</v>
      </c>
    </row>
    <row r="3064" spans="153:166" x14ac:dyDescent="0.35">
      <c r="EW3064" t="s">
        <v>4093</v>
      </c>
      <c r="EX3064" s="33" t="s">
        <v>4239</v>
      </c>
      <c r="EY3064" s="33" t="s">
        <v>445</v>
      </c>
      <c r="EZ3064" s="33" t="s">
        <v>446</v>
      </c>
      <c r="FA3064" s="33" t="s">
        <v>343</v>
      </c>
      <c r="FB3064" s="33" t="s">
        <v>344</v>
      </c>
      <c r="FC3064" s="33" t="s">
        <v>345</v>
      </c>
      <c r="FD3064" s="33" t="s">
        <v>346</v>
      </c>
      <c r="FE3064" s="33">
        <v>2025</v>
      </c>
      <c r="FF3064" s="33" t="s">
        <v>59</v>
      </c>
      <c r="FG3064" s="33" t="s">
        <v>56</v>
      </c>
      <c r="FH3064" s="33" t="s">
        <v>57</v>
      </c>
      <c r="FI3064" s="33" t="s">
        <v>58</v>
      </c>
      <c r="FJ3064" t="s">
        <v>59</v>
      </c>
    </row>
    <row r="3065" spans="153:166" x14ac:dyDescent="0.35">
      <c r="EW3065" t="s">
        <v>4093</v>
      </c>
      <c r="EX3065" s="33" t="s">
        <v>4240</v>
      </c>
      <c r="EY3065" s="33" t="s">
        <v>447</v>
      </c>
      <c r="EZ3065" s="33" t="s">
        <v>448</v>
      </c>
      <c r="FA3065" s="33" t="s">
        <v>343</v>
      </c>
      <c r="FB3065" s="33" t="s">
        <v>344</v>
      </c>
      <c r="FC3065" s="33" t="s">
        <v>345</v>
      </c>
      <c r="FD3065" s="33" t="s">
        <v>346</v>
      </c>
      <c r="FE3065" s="33">
        <v>2025</v>
      </c>
      <c r="FF3065" s="33" t="s">
        <v>59</v>
      </c>
      <c r="FG3065" s="33" t="s">
        <v>56</v>
      </c>
      <c r="FH3065" s="33" t="s">
        <v>57</v>
      </c>
      <c r="FI3065" s="33" t="s">
        <v>58</v>
      </c>
      <c r="FJ3065" t="s">
        <v>59</v>
      </c>
    </row>
    <row r="3066" spans="153:166" x14ac:dyDescent="0.35">
      <c r="EW3066" t="s">
        <v>4093</v>
      </c>
      <c r="EX3066" s="33" t="s">
        <v>4241</v>
      </c>
      <c r="EY3066" s="33" t="s">
        <v>449</v>
      </c>
      <c r="EZ3066" s="33" t="s">
        <v>450</v>
      </c>
      <c r="FA3066" s="33" t="s">
        <v>343</v>
      </c>
      <c r="FB3066" s="33" t="s">
        <v>344</v>
      </c>
      <c r="FC3066" s="33" t="s">
        <v>345</v>
      </c>
      <c r="FD3066" s="33" t="s">
        <v>346</v>
      </c>
      <c r="FE3066" s="33">
        <v>2025</v>
      </c>
      <c r="FF3066" s="33" t="s">
        <v>59</v>
      </c>
      <c r="FG3066" s="33" t="s">
        <v>56</v>
      </c>
      <c r="FH3066" s="33" t="s">
        <v>57</v>
      </c>
      <c r="FI3066" s="33" t="s">
        <v>58</v>
      </c>
      <c r="FJ3066" t="s">
        <v>59</v>
      </c>
    </row>
    <row r="3067" spans="153:166" x14ac:dyDescent="0.35">
      <c r="EW3067" t="s">
        <v>4093</v>
      </c>
      <c r="EX3067" s="33" t="s">
        <v>4242</v>
      </c>
      <c r="EY3067" s="33" t="s">
        <v>454</v>
      </c>
      <c r="EZ3067" s="33" t="s">
        <v>455</v>
      </c>
      <c r="FA3067" s="33" t="s">
        <v>343</v>
      </c>
      <c r="FB3067" s="33" t="s">
        <v>344</v>
      </c>
      <c r="FC3067" s="33" t="s">
        <v>345</v>
      </c>
      <c r="FD3067" s="33" t="s">
        <v>346</v>
      </c>
      <c r="FE3067" s="33">
        <v>2025</v>
      </c>
      <c r="FF3067" s="33" t="s">
        <v>59</v>
      </c>
      <c r="FG3067" s="33" t="s">
        <v>56</v>
      </c>
      <c r="FH3067" s="33" t="s">
        <v>57</v>
      </c>
      <c r="FI3067" s="33" t="s">
        <v>58</v>
      </c>
      <c r="FJ3067" t="s">
        <v>59</v>
      </c>
    </row>
    <row r="3068" spans="153:166" x14ac:dyDescent="0.35">
      <c r="EW3068" t="s">
        <v>4093</v>
      </c>
      <c r="EX3068" s="33" t="s">
        <v>4243</v>
      </c>
      <c r="EY3068" s="33" t="s">
        <v>456</v>
      </c>
      <c r="EZ3068" s="33" t="s">
        <v>457</v>
      </c>
      <c r="FA3068" s="33" t="s">
        <v>343</v>
      </c>
      <c r="FB3068" s="33" t="s">
        <v>344</v>
      </c>
      <c r="FC3068" s="33" t="s">
        <v>345</v>
      </c>
      <c r="FD3068" s="33" t="s">
        <v>346</v>
      </c>
      <c r="FE3068" s="33">
        <v>2025</v>
      </c>
      <c r="FF3068" s="33" t="s">
        <v>59</v>
      </c>
      <c r="FG3068" s="33" t="s">
        <v>71</v>
      </c>
      <c r="FH3068" s="33" t="s">
        <v>72</v>
      </c>
      <c r="FI3068" s="33" t="s">
        <v>73</v>
      </c>
      <c r="FJ3068" t="s">
        <v>59</v>
      </c>
    </row>
    <row r="3069" spans="153:166" x14ac:dyDescent="0.35">
      <c r="EW3069" t="s">
        <v>4093</v>
      </c>
      <c r="EX3069" s="33" t="s">
        <v>4244</v>
      </c>
      <c r="EY3069" s="33" t="s">
        <v>458</v>
      </c>
      <c r="EZ3069" s="33" t="s">
        <v>459</v>
      </c>
      <c r="FA3069" s="33" t="s">
        <v>343</v>
      </c>
      <c r="FB3069" s="33" t="s">
        <v>344</v>
      </c>
      <c r="FC3069" s="33" t="s">
        <v>345</v>
      </c>
      <c r="FD3069" s="33" t="s">
        <v>346</v>
      </c>
      <c r="FE3069" s="33">
        <v>2025</v>
      </c>
      <c r="FF3069" s="33" t="s">
        <v>59</v>
      </c>
      <c r="FG3069" s="33" t="s">
        <v>71</v>
      </c>
      <c r="FH3069" s="33" t="s">
        <v>72</v>
      </c>
      <c r="FI3069" s="33" t="s">
        <v>73</v>
      </c>
      <c r="FJ3069" t="s">
        <v>59</v>
      </c>
    </row>
    <row r="3070" spans="153:166" x14ac:dyDescent="0.35">
      <c r="EW3070" t="s">
        <v>4093</v>
      </c>
      <c r="EX3070" s="33" t="s">
        <v>4245</v>
      </c>
      <c r="EY3070" s="33" t="s">
        <v>460</v>
      </c>
      <c r="EZ3070" s="33" t="s">
        <v>461</v>
      </c>
      <c r="FA3070" s="33" t="s">
        <v>343</v>
      </c>
      <c r="FB3070" s="33" t="s">
        <v>344</v>
      </c>
      <c r="FC3070" s="33" t="s">
        <v>345</v>
      </c>
      <c r="FD3070" s="33" t="s">
        <v>346</v>
      </c>
      <c r="FE3070" s="33">
        <v>2025</v>
      </c>
      <c r="FF3070" s="33" t="s">
        <v>59</v>
      </c>
      <c r="FG3070" s="33" t="s">
        <v>71</v>
      </c>
      <c r="FH3070" s="33" t="s">
        <v>72</v>
      </c>
      <c r="FI3070" s="33" t="s">
        <v>73</v>
      </c>
      <c r="FJ3070" t="s">
        <v>59</v>
      </c>
    </row>
    <row r="3071" spans="153:166" x14ac:dyDescent="0.35">
      <c r="EW3071" t="s">
        <v>4093</v>
      </c>
      <c r="EX3071" s="33" t="s">
        <v>4246</v>
      </c>
      <c r="EY3071" s="33" t="s">
        <v>465</v>
      </c>
      <c r="EZ3071" s="33" t="s">
        <v>466</v>
      </c>
      <c r="FA3071" s="33" t="s">
        <v>343</v>
      </c>
      <c r="FB3071" s="33" t="s">
        <v>344</v>
      </c>
      <c r="FC3071" s="33" t="s">
        <v>345</v>
      </c>
      <c r="FD3071" s="33" t="s">
        <v>346</v>
      </c>
      <c r="FE3071" s="33">
        <v>2025</v>
      </c>
      <c r="FF3071" s="33" t="s">
        <v>59</v>
      </c>
      <c r="FG3071" s="33" t="s">
        <v>386</v>
      </c>
      <c r="FH3071" s="33" t="s">
        <v>387</v>
      </c>
      <c r="FI3071" s="33" t="s">
        <v>467</v>
      </c>
      <c r="FJ3071" t="s">
        <v>59</v>
      </c>
    </row>
    <row r="3072" spans="153:166" x14ac:dyDescent="0.35">
      <c r="EW3072" t="s">
        <v>4093</v>
      </c>
      <c r="EX3072" s="33" t="s">
        <v>4247</v>
      </c>
      <c r="EY3072" s="33" t="s">
        <v>468</v>
      </c>
      <c r="EZ3072" s="33" t="s">
        <v>469</v>
      </c>
      <c r="FA3072" s="33" t="s">
        <v>343</v>
      </c>
      <c r="FB3072" s="33" t="s">
        <v>344</v>
      </c>
      <c r="FC3072" s="33" t="s">
        <v>345</v>
      </c>
      <c r="FD3072" s="33" t="s">
        <v>346</v>
      </c>
      <c r="FE3072" s="33">
        <v>2025</v>
      </c>
      <c r="FF3072" s="33" t="s">
        <v>59</v>
      </c>
      <c r="FG3072" s="33" t="s">
        <v>470</v>
      </c>
      <c r="FH3072" s="33" t="s">
        <v>471</v>
      </c>
      <c r="FI3072" s="33" t="s">
        <v>467</v>
      </c>
      <c r="FJ3072" t="s">
        <v>59</v>
      </c>
    </row>
    <row r="3073" spans="153:166" x14ac:dyDescent="0.35">
      <c r="EW3073" t="s">
        <v>4093</v>
      </c>
      <c r="EX3073" s="33" t="s">
        <v>4248</v>
      </c>
      <c r="EY3073" s="33" t="s">
        <v>472</v>
      </c>
      <c r="EZ3073" s="33">
        <v>451887</v>
      </c>
      <c r="FA3073" s="33" t="s">
        <v>51</v>
      </c>
      <c r="FB3073" s="33" t="s">
        <v>473</v>
      </c>
      <c r="FC3073" s="33" t="s">
        <v>53</v>
      </c>
      <c r="FD3073" s="33" t="s">
        <v>54</v>
      </c>
      <c r="FE3073" s="33">
        <v>2020</v>
      </c>
      <c r="FF3073" s="33" t="s">
        <v>474</v>
      </c>
      <c r="FG3073" s="33" t="s">
        <v>470</v>
      </c>
      <c r="FH3073" s="33" t="s">
        <v>471</v>
      </c>
      <c r="FI3073" s="33" t="s">
        <v>467</v>
      </c>
      <c r="FJ3073" t="s">
        <v>474</v>
      </c>
    </row>
    <row r="3074" spans="153:166" x14ac:dyDescent="0.35">
      <c r="EW3074" t="s">
        <v>4093</v>
      </c>
      <c r="EX3074" s="33" t="s">
        <v>4249</v>
      </c>
      <c r="EY3074" s="33" t="s">
        <v>475</v>
      </c>
      <c r="EZ3074" s="33">
        <v>508408</v>
      </c>
      <c r="FA3074" s="33" t="s">
        <v>51</v>
      </c>
      <c r="FB3074" s="33" t="s">
        <v>473</v>
      </c>
      <c r="FC3074" s="33" t="s">
        <v>53</v>
      </c>
      <c r="FD3074" s="33" t="s">
        <v>476</v>
      </c>
      <c r="FE3074" s="33">
        <v>2020</v>
      </c>
      <c r="FF3074" s="33" t="s">
        <v>474</v>
      </c>
      <c r="FG3074" s="33" t="s">
        <v>477</v>
      </c>
      <c r="FH3074" s="33" t="s">
        <v>478</v>
      </c>
      <c r="FI3074" s="33" t="s">
        <v>479</v>
      </c>
      <c r="FJ3074" t="s">
        <v>474</v>
      </c>
    </row>
    <row r="3075" spans="153:166" x14ac:dyDescent="0.35">
      <c r="EW3075" t="s">
        <v>4093</v>
      </c>
      <c r="EX3075" s="33" t="s">
        <v>4250</v>
      </c>
      <c r="EY3075" s="33" t="s">
        <v>483</v>
      </c>
      <c r="EZ3075" s="33">
        <v>509327</v>
      </c>
      <c r="FA3075" s="33" t="s">
        <v>51</v>
      </c>
      <c r="FB3075" s="33" t="s">
        <v>473</v>
      </c>
      <c r="FC3075" s="33" t="s">
        <v>53</v>
      </c>
      <c r="FD3075" s="33" t="s">
        <v>476</v>
      </c>
      <c r="FE3075" s="33">
        <v>2020</v>
      </c>
      <c r="FF3075" s="33" t="s">
        <v>474</v>
      </c>
      <c r="FG3075" s="33" t="s">
        <v>477</v>
      </c>
      <c r="FH3075" s="33" t="s">
        <v>478</v>
      </c>
      <c r="FI3075" s="33" t="s">
        <v>479</v>
      </c>
      <c r="FJ3075" t="s">
        <v>474</v>
      </c>
    </row>
    <row r="3076" spans="153:166" x14ac:dyDescent="0.35">
      <c r="EW3076" t="s">
        <v>4093</v>
      </c>
      <c r="EX3076" s="33" t="s">
        <v>4251</v>
      </c>
      <c r="EY3076" s="33" t="s">
        <v>487</v>
      </c>
      <c r="EZ3076" s="33">
        <v>508437</v>
      </c>
      <c r="FA3076" s="33" t="s">
        <v>51</v>
      </c>
      <c r="FB3076" s="33" t="s">
        <v>473</v>
      </c>
      <c r="FC3076" s="33" t="s">
        <v>53</v>
      </c>
      <c r="FD3076" s="33" t="s">
        <v>476</v>
      </c>
      <c r="FE3076" s="33">
        <v>2020</v>
      </c>
      <c r="FF3076" s="33" t="s">
        <v>474</v>
      </c>
      <c r="FG3076" s="33" t="s">
        <v>477</v>
      </c>
      <c r="FH3076" s="33" t="s">
        <v>478</v>
      </c>
      <c r="FI3076" s="33" t="s">
        <v>479</v>
      </c>
      <c r="FJ3076" t="s">
        <v>474</v>
      </c>
    </row>
    <row r="3077" spans="153:166" x14ac:dyDescent="0.35">
      <c r="EW3077" t="s">
        <v>4093</v>
      </c>
      <c r="EX3077" s="33" t="s">
        <v>4252</v>
      </c>
      <c r="EY3077" s="33" t="s">
        <v>488</v>
      </c>
      <c r="EZ3077" s="33">
        <v>508572</v>
      </c>
      <c r="FA3077" s="33" t="s">
        <v>51</v>
      </c>
      <c r="FB3077" s="33" t="s">
        <v>473</v>
      </c>
      <c r="FC3077" s="33" t="s">
        <v>53</v>
      </c>
      <c r="FD3077" s="33" t="s">
        <v>476</v>
      </c>
      <c r="FE3077" s="33">
        <v>2020</v>
      </c>
      <c r="FF3077" s="33" t="s">
        <v>474</v>
      </c>
      <c r="FG3077" s="33" t="s">
        <v>477</v>
      </c>
      <c r="FH3077" s="33" t="s">
        <v>478</v>
      </c>
      <c r="FI3077" s="33" t="s">
        <v>479</v>
      </c>
      <c r="FJ3077" t="s">
        <v>474</v>
      </c>
    </row>
    <row r="3078" spans="153:166" x14ac:dyDescent="0.35">
      <c r="EW3078" t="s">
        <v>4093</v>
      </c>
      <c r="EX3078" s="33" t="s">
        <v>4253</v>
      </c>
      <c r="EY3078" s="33" t="s">
        <v>489</v>
      </c>
      <c r="EZ3078" s="33">
        <v>508361</v>
      </c>
      <c r="FA3078" s="33" t="s">
        <v>51</v>
      </c>
      <c r="FB3078" s="33" t="s">
        <v>473</v>
      </c>
      <c r="FC3078" s="33" t="s">
        <v>53</v>
      </c>
      <c r="FD3078" s="33" t="s">
        <v>476</v>
      </c>
      <c r="FE3078" s="33">
        <v>2020</v>
      </c>
      <c r="FF3078" s="33" t="s">
        <v>474</v>
      </c>
      <c r="FG3078" s="33" t="s">
        <v>477</v>
      </c>
      <c r="FH3078" s="33" t="s">
        <v>478</v>
      </c>
      <c r="FI3078" s="33" t="s">
        <v>479</v>
      </c>
      <c r="FJ3078" t="s">
        <v>474</v>
      </c>
    </row>
    <row r="3079" spans="153:166" x14ac:dyDescent="0.35">
      <c r="EW3079" t="s">
        <v>4093</v>
      </c>
      <c r="EX3079" s="33" t="s">
        <v>4254</v>
      </c>
      <c r="EY3079" s="33" t="s">
        <v>490</v>
      </c>
      <c r="EZ3079" s="33">
        <v>508380</v>
      </c>
      <c r="FA3079" s="33" t="s">
        <v>51</v>
      </c>
      <c r="FB3079" s="33" t="s">
        <v>473</v>
      </c>
      <c r="FC3079" s="33" t="s">
        <v>53</v>
      </c>
      <c r="FD3079" s="33" t="s">
        <v>476</v>
      </c>
      <c r="FE3079" s="33">
        <v>2020</v>
      </c>
      <c r="FF3079" s="33" t="s">
        <v>474</v>
      </c>
      <c r="FG3079" s="33" t="s">
        <v>477</v>
      </c>
      <c r="FH3079" s="33" t="s">
        <v>478</v>
      </c>
      <c r="FI3079" s="33" t="s">
        <v>479</v>
      </c>
      <c r="FJ3079" t="s">
        <v>474</v>
      </c>
    </row>
    <row r="3080" spans="153:166" x14ac:dyDescent="0.35">
      <c r="EW3080" t="s">
        <v>4093</v>
      </c>
      <c r="EX3080" s="33" t="s">
        <v>4255</v>
      </c>
      <c r="EY3080" s="33" t="s">
        <v>491</v>
      </c>
      <c r="EZ3080" s="33">
        <v>508444</v>
      </c>
      <c r="FA3080" s="33" t="s">
        <v>51</v>
      </c>
      <c r="FB3080" s="33" t="s">
        <v>473</v>
      </c>
      <c r="FC3080" s="33" t="s">
        <v>53</v>
      </c>
      <c r="FD3080" s="33" t="s">
        <v>476</v>
      </c>
      <c r="FE3080" s="33">
        <v>2020</v>
      </c>
      <c r="FF3080" s="33" t="s">
        <v>474</v>
      </c>
      <c r="FG3080" s="33" t="s">
        <v>477</v>
      </c>
      <c r="FH3080" s="33" t="s">
        <v>478</v>
      </c>
      <c r="FI3080" s="33" t="s">
        <v>479</v>
      </c>
      <c r="FJ3080" t="s">
        <v>474</v>
      </c>
    </row>
    <row r="3081" spans="153:166" x14ac:dyDescent="0.35">
      <c r="EW3081" t="s">
        <v>4093</v>
      </c>
      <c r="EX3081" s="33" t="s">
        <v>4256</v>
      </c>
      <c r="EY3081" s="33" t="s">
        <v>492</v>
      </c>
      <c r="EZ3081" s="33">
        <v>508467</v>
      </c>
      <c r="FA3081" s="33" t="s">
        <v>51</v>
      </c>
      <c r="FB3081" s="33" t="s">
        <v>473</v>
      </c>
      <c r="FC3081" s="33" t="s">
        <v>53</v>
      </c>
      <c r="FD3081" s="33" t="s">
        <v>476</v>
      </c>
      <c r="FE3081" s="33">
        <v>2020</v>
      </c>
      <c r="FF3081" s="33" t="s">
        <v>474</v>
      </c>
      <c r="FG3081" s="33" t="s">
        <v>477</v>
      </c>
      <c r="FH3081" s="33" t="s">
        <v>478</v>
      </c>
      <c r="FI3081" s="33" t="s">
        <v>479</v>
      </c>
      <c r="FJ3081" t="s">
        <v>474</v>
      </c>
    </row>
    <row r="3082" spans="153:166" x14ac:dyDescent="0.35">
      <c r="EW3082" t="s">
        <v>4093</v>
      </c>
      <c r="EX3082" s="33" t="s">
        <v>4257</v>
      </c>
      <c r="EY3082" s="33" t="s">
        <v>493</v>
      </c>
      <c r="EZ3082" s="33">
        <v>508196</v>
      </c>
      <c r="FA3082" s="33" t="s">
        <v>51</v>
      </c>
      <c r="FB3082" s="33" t="s">
        <v>473</v>
      </c>
      <c r="FC3082" s="33" t="s">
        <v>53</v>
      </c>
      <c r="FD3082" s="33" t="s">
        <v>476</v>
      </c>
      <c r="FE3082" s="33">
        <v>2020</v>
      </c>
      <c r="FF3082" s="33" t="s">
        <v>474</v>
      </c>
      <c r="FG3082" s="33" t="s">
        <v>477</v>
      </c>
      <c r="FH3082" s="33" t="s">
        <v>478</v>
      </c>
      <c r="FI3082" s="33" t="s">
        <v>479</v>
      </c>
      <c r="FJ3082" t="s">
        <v>474</v>
      </c>
    </row>
    <row r="3083" spans="153:166" x14ac:dyDescent="0.35">
      <c r="EW3083" t="s">
        <v>4093</v>
      </c>
      <c r="EX3083" s="33" t="s">
        <v>4258</v>
      </c>
      <c r="EY3083" s="33" t="s">
        <v>494</v>
      </c>
      <c r="EZ3083" s="33">
        <v>508277</v>
      </c>
      <c r="FA3083" s="33" t="s">
        <v>51</v>
      </c>
      <c r="FB3083" s="33" t="s">
        <v>473</v>
      </c>
      <c r="FC3083" s="33" t="s">
        <v>53</v>
      </c>
      <c r="FD3083" s="33" t="s">
        <v>476</v>
      </c>
      <c r="FE3083" s="33">
        <v>2020</v>
      </c>
      <c r="FF3083" s="33" t="s">
        <v>474</v>
      </c>
      <c r="FG3083" s="33" t="s">
        <v>477</v>
      </c>
      <c r="FH3083" s="33" t="s">
        <v>478</v>
      </c>
      <c r="FI3083" s="33" t="s">
        <v>479</v>
      </c>
      <c r="FJ3083" t="s">
        <v>474</v>
      </c>
    </row>
    <row r="3084" spans="153:166" x14ac:dyDescent="0.35">
      <c r="EW3084" t="s">
        <v>4093</v>
      </c>
      <c r="EX3084" s="33" t="s">
        <v>4259</v>
      </c>
      <c r="EY3084" s="33" t="s">
        <v>495</v>
      </c>
      <c r="EZ3084" s="33">
        <v>508208</v>
      </c>
      <c r="FA3084" s="33" t="s">
        <v>51</v>
      </c>
      <c r="FB3084" s="33" t="s">
        <v>473</v>
      </c>
      <c r="FC3084" s="33" t="s">
        <v>53</v>
      </c>
      <c r="FD3084" s="33" t="s">
        <v>476</v>
      </c>
      <c r="FE3084" s="33">
        <v>2020</v>
      </c>
      <c r="FF3084" s="33" t="s">
        <v>474</v>
      </c>
      <c r="FG3084" s="33" t="s">
        <v>477</v>
      </c>
      <c r="FH3084" s="33" t="s">
        <v>478</v>
      </c>
      <c r="FI3084" s="33" t="s">
        <v>479</v>
      </c>
      <c r="FJ3084" t="s">
        <v>474</v>
      </c>
    </row>
    <row r="3085" spans="153:166" x14ac:dyDescent="0.35">
      <c r="EW3085" t="s">
        <v>4093</v>
      </c>
      <c r="EX3085" s="33" t="s">
        <v>4260</v>
      </c>
      <c r="EY3085" s="33" t="s">
        <v>496</v>
      </c>
      <c r="EZ3085" s="33">
        <v>508167</v>
      </c>
      <c r="FA3085" s="33" t="s">
        <v>51</v>
      </c>
      <c r="FB3085" s="33" t="s">
        <v>473</v>
      </c>
      <c r="FC3085" s="33" t="s">
        <v>53</v>
      </c>
      <c r="FD3085" s="33" t="s">
        <v>476</v>
      </c>
      <c r="FE3085" s="33">
        <v>2020</v>
      </c>
      <c r="FF3085" s="33" t="s">
        <v>474</v>
      </c>
      <c r="FG3085" s="33" t="s">
        <v>477</v>
      </c>
      <c r="FH3085" s="33" t="s">
        <v>478</v>
      </c>
      <c r="FI3085" s="33" t="s">
        <v>479</v>
      </c>
      <c r="FJ3085" t="s">
        <v>474</v>
      </c>
    </row>
    <row r="3086" spans="153:166" x14ac:dyDescent="0.35">
      <c r="EW3086" t="s">
        <v>4093</v>
      </c>
      <c r="EX3086" s="33" t="s">
        <v>4261</v>
      </c>
      <c r="EY3086" s="33" t="s">
        <v>500</v>
      </c>
      <c r="EZ3086" s="33">
        <v>507859</v>
      </c>
      <c r="FA3086" s="33" t="s">
        <v>51</v>
      </c>
      <c r="FB3086" s="33" t="s">
        <v>473</v>
      </c>
      <c r="FC3086" s="33" t="s">
        <v>53</v>
      </c>
      <c r="FD3086" s="33" t="s">
        <v>476</v>
      </c>
      <c r="FE3086" s="33">
        <v>2020</v>
      </c>
      <c r="FF3086" s="33" t="s">
        <v>474</v>
      </c>
      <c r="FG3086" s="33" t="s">
        <v>477</v>
      </c>
      <c r="FH3086" s="33" t="s">
        <v>478</v>
      </c>
      <c r="FI3086" s="33" t="s">
        <v>479</v>
      </c>
      <c r="FJ3086" t="s">
        <v>474</v>
      </c>
    </row>
    <row r="3087" spans="153:166" x14ac:dyDescent="0.35">
      <c r="EW3087" t="s">
        <v>4093</v>
      </c>
      <c r="EX3087" s="33" t="s">
        <v>4262</v>
      </c>
      <c r="EY3087" s="33" t="s">
        <v>501</v>
      </c>
      <c r="EZ3087" s="33">
        <v>508172</v>
      </c>
      <c r="FA3087" s="33" t="s">
        <v>51</v>
      </c>
      <c r="FB3087" s="33" t="s">
        <v>473</v>
      </c>
      <c r="FC3087" s="33" t="s">
        <v>53</v>
      </c>
      <c r="FD3087" s="33" t="s">
        <v>476</v>
      </c>
      <c r="FE3087" s="33">
        <v>2020</v>
      </c>
      <c r="FF3087" s="33" t="s">
        <v>474</v>
      </c>
      <c r="FG3087" s="33" t="s">
        <v>477</v>
      </c>
      <c r="FH3087" s="33" t="s">
        <v>478</v>
      </c>
      <c r="FI3087" s="33" t="s">
        <v>479</v>
      </c>
      <c r="FJ3087" t="s">
        <v>474</v>
      </c>
    </row>
    <row r="3088" spans="153:166" x14ac:dyDescent="0.35">
      <c r="EW3088" t="s">
        <v>4093</v>
      </c>
      <c r="EX3088" s="33" t="s">
        <v>4263</v>
      </c>
      <c r="EY3088" s="33" t="s">
        <v>505</v>
      </c>
      <c r="EZ3088" s="33">
        <v>508690</v>
      </c>
      <c r="FA3088" s="33" t="s">
        <v>51</v>
      </c>
      <c r="FB3088" s="33" t="s">
        <v>473</v>
      </c>
      <c r="FC3088" s="33" t="s">
        <v>53</v>
      </c>
      <c r="FD3088" s="33" t="s">
        <v>476</v>
      </c>
      <c r="FE3088" s="33">
        <v>2020</v>
      </c>
      <c r="FF3088" s="33" t="s">
        <v>474</v>
      </c>
      <c r="FG3088" s="33" t="s">
        <v>470</v>
      </c>
      <c r="FH3088" s="33" t="s">
        <v>471</v>
      </c>
      <c r="FI3088" s="33" t="s">
        <v>467</v>
      </c>
      <c r="FJ3088" t="s">
        <v>474</v>
      </c>
    </row>
    <row r="3089" spans="153:166" x14ac:dyDescent="0.35">
      <c r="EW3089" t="s">
        <v>4093</v>
      </c>
      <c r="EX3089" s="33" t="s">
        <v>4264</v>
      </c>
      <c r="EY3089" s="33" t="s">
        <v>506</v>
      </c>
      <c r="EZ3089" s="33">
        <v>508223</v>
      </c>
      <c r="FA3089" s="33" t="s">
        <v>51</v>
      </c>
      <c r="FB3089" s="33" t="s">
        <v>473</v>
      </c>
      <c r="FC3089" s="33" t="s">
        <v>53</v>
      </c>
      <c r="FD3089" s="33" t="s">
        <v>476</v>
      </c>
      <c r="FE3089" s="33">
        <v>2020</v>
      </c>
      <c r="FF3089" s="33" t="s">
        <v>474</v>
      </c>
      <c r="FG3089" s="33" t="s">
        <v>477</v>
      </c>
      <c r="FH3089" s="33" t="s">
        <v>478</v>
      </c>
      <c r="FI3089" s="33" t="s">
        <v>479</v>
      </c>
      <c r="FJ3089" t="s">
        <v>474</v>
      </c>
    </row>
    <row r="3090" spans="153:166" x14ac:dyDescent="0.35">
      <c r="EW3090" t="s">
        <v>4093</v>
      </c>
      <c r="EX3090" s="33" t="s">
        <v>4265</v>
      </c>
      <c r="EY3090" s="33" t="s">
        <v>507</v>
      </c>
      <c r="EZ3090" s="33">
        <v>508144</v>
      </c>
      <c r="FA3090" s="33" t="s">
        <v>51</v>
      </c>
      <c r="FB3090" s="33" t="s">
        <v>473</v>
      </c>
      <c r="FC3090" s="33" t="s">
        <v>53</v>
      </c>
      <c r="FD3090" s="33" t="s">
        <v>476</v>
      </c>
      <c r="FE3090" s="33">
        <v>2020</v>
      </c>
      <c r="FF3090" s="33" t="s">
        <v>474</v>
      </c>
      <c r="FG3090" s="33" t="s">
        <v>477</v>
      </c>
      <c r="FH3090" s="33" t="s">
        <v>478</v>
      </c>
      <c r="FI3090" s="33" t="s">
        <v>479</v>
      </c>
      <c r="FJ3090" t="s">
        <v>474</v>
      </c>
    </row>
    <row r="3091" spans="153:166" x14ac:dyDescent="0.35">
      <c r="EW3091" t="s">
        <v>4093</v>
      </c>
      <c r="EX3091" s="33" t="s">
        <v>4266</v>
      </c>
      <c r="EY3091" s="33" t="s">
        <v>508</v>
      </c>
      <c r="EZ3091" s="33">
        <v>508132</v>
      </c>
      <c r="FA3091" s="33" t="s">
        <v>51</v>
      </c>
      <c r="FB3091" s="33" t="s">
        <v>473</v>
      </c>
      <c r="FC3091" s="33" t="s">
        <v>53</v>
      </c>
      <c r="FD3091" s="33" t="s">
        <v>476</v>
      </c>
      <c r="FE3091" s="33">
        <v>2020</v>
      </c>
      <c r="FF3091" s="33" t="s">
        <v>474</v>
      </c>
      <c r="FG3091" s="33" t="s">
        <v>477</v>
      </c>
      <c r="FH3091" s="33" t="s">
        <v>478</v>
      </c>
      <c r="FI3091" s="33" t="s">
        <v>479</v>
      </c>
      <c r="FJ3091" t="s">
        <v>474</v>
      </c>
    </row>
    <row r="3092" spans="153:166" x14ac:dyDescent="0.35">
      <c r="EW3092" t="s">
        <v>4093</v>
      </c>
      <c r="EX3092" s="33" t="s">
        <v>4267</v>
      </c>
      <c r="EY3092" s="33" t="s">
        <v>509</v>
      </c>
      <c r="EZ3092" s="33">
        <v>508345</v>
      </c>
      <c r="FA3092" s="33" t="s">
        <v>51</v>
      </c>
      <c r="FB3092" s="33" t="s">
        <v>473</v>
      </c>
      <c r="FC3092" s="33" t="s">
        <v>53</v>
      </c>
      <c r="FD3092" s="33" t="s">
        <v>476</v>
      </c>
      <c r="FE3092" s="33">
        <v>2020</v>
      </c>
      <c r="FF3092" s="33" t="s">
        <v>474</v>
      </c>
      <c r="FG3092" s="33" t="s">
        <v>477</v>
      </c>
      <c r="FH3092" s="33" t="s">
        <v>478</v>
      </c>
      <c r="FI3092" s="33" t="s">
        <v>479</v>
      </c>
      <c r="FJ3092" t="s">
        <v>474</v>
      </c>
    </row>
    <row r="3093" spans="153:166" x14ac:dyDescent="0.35">
      <c r="EW3093" t="s">
        <v>4093</v>
      </c>
      <c r="EX3093" s="33" t="s">
        <v>4268</v>
      </c>
      <c r="EY3093" s="33" t="s">
        <v>513</v>
      </c>
      <c r="EZ3093" s="33">
        <v>508201</v>
      </c>
      <c r="FA3093" s="33" t="s">
        <v>51</v>
      </c>
      <c r="FB3093" s="33" t="s">
        <v>473</v>
      </c>
      <c r="FC3093" s="33" t="s">
        <v>53</v>
      </c>
      <c r="FD3093" s="33" t="s">
        <v>476</v>
      </c>
      <c r="FE3093" s="33">
        <v>2020</v>
      </c>
      <c r="FF3093" s="33" t="s">
        <v>474</v>
      </c>
      <c r="FG3093" s="33" t="s">
        <v>477</v>
      </c>
      <c r="FH3093" s="33" t="s">
        <v>478</v>
      </c>
      <c r="FI3093" s="33" t="s">
        <v>479</v>
      </c>
      <c r="FJ3093" t="s">
        <v>474</v>
      </c>
    </row>
    <row r="3094" spans="153:166" x14ac:dyDescent="0.35">
      <c r="EW3094" t="s">
        <v>4093</v>
      </c>
      <c r="EX3094" s="33" t="s">
        <v>4269</v>
      </c>
      <c r="EY3094" s="33" t="s">
        <v>514</v>
      </c>
      <c r="EZ3094" s="33">
        <v>508119</v>
      </c>
      <c r="FA3094" s="33" t="s">
        <v>51</v>
      </c>
      <c r="FB3094" s="33" t="s">
        <v>473</v>
      </c>
      <c r="FC3094" s="33" t="s">
        <v>53</v>
      </c>
      <c r="FD3094" s="33" t="s">
        <v>476</v>
      </c>
      <c r="FE3094" s="33">
        <v>2020</v>
      </c>
      <c r="FF3094" s="33" t="s">
        <v>474</v>
      </c>
      <c r="FG3094" s="33" t="s">
        <v>477</v>
      </c>
      <c r="FH3094" s="33" t="s">
        <v>478</v>
      </c>
      <c r="FI3094" s="33" t="s">
        <v>479</v>
      </c>
      <c r="FJ3094" t="s">
        <v>474</v>
      </c>
    </row>
    <row r="3095" spans="153:166" x14ac:dyDescent="0.35">
      <c r="EW3095" t="s">
        <v>4093</v>
      </c>
      <c r="EX3095" s="33" t="s">
        <v>4270</v>
      </c>
      <c r="EY3095" s="33" t="s">
        <v>515</v>
      </c>
      <c r="EZ3095" s="33">
        <v>508282</v>
      </c>
      <c r="FA3095" s="33" t="s">
        <v>51</v>
      </c>
      <c r="FB3095" s="33" t="s">
        <v>473</v>
      </c>
      <c r="FC3095" s="33" t="s">
        <v>53</v>
      </c>
      <c r="FD3095" s="33" t="s">
        <v>476</v>
      </c>
      <c r="FE3095" s="33">
        <v>2020</v>
      </c>
      <c r="FF3095" s="33" t="s">
        <v>474</v>
      </c>
      <c r="FG3095" s="33" t="s">
        <v>477</v>
      </c>
      <c r="FH3095" s="33" t="s">
        <v>478</v>
      </c>
      <c r="FI3095" s="33" t="s">
        <v>479</v>
      </c>
      <c r="FJ3095" t="s">
        <v>474</v>
      </c>
    </row>
    <row r="3096" spans="153:166" x14ac:dyDescent="0.35">
      <c r="EW3096" t="s">
        <v>4093</v>
      </c>
      <c r="EX3096" s="33" t="s">
        <v>4271</v>
      </c>
      <c r="EY3096" s="33" t="s">
        <v>516</v>
      </c>
      <c r="EZ3096" s="33">
        <v>508121</v>
      </c>
      <c r="FA3096" s="33" t="s">
        <v>51</v>
      </c>
      <c r="FB3096" s="33" t="s">
        <v>473</v>
      </c>
      <c r="FC3096" s="33" t="s">
        <v>53</v>
      </c>
      <c r="FD3096" s="33" t="s">
        <v>476</v>
      </c>
      <c r="FE3096" s="33">
        <v>2020</v>
      </c>
      <c r="FF3096" s="33" t="s">
        <v>474</v>
      </c>
      <c r="FG3096" s="33" t="s">
        <v>470</v>
      </c>
      <c r="FH3096" s="33" t="s">
        <v>471</v>
      </c>
      <c r="FI3096" s="33" t="s">
        <v>467</v>
      </c>
      <c r="FJ3096" t="s">
        <v>474</v>
      </c>
    </row>
    <row r="3097" spans="153:166" x14ac:dyDescent="0.35">
      <c r="EW3097" t="s">
        <v>4093</v>
      </c>
      <c r="EX3097" s="33" t="s">
        <v>4272</v>
      </c>
      <c r="EY3097" s="33" t="s">
        <v>517</v>
      </c>
      <c r="EZ3097" s="33">
        <v>508224</v>
      </c>
      <c r="FA3097" s="33" t="s">
        <v>51</v>
      </c>
      <c r="FB3097" s="33" t="s">
        <v>473</v>
      </c>
      <c r="FC3097" s="33" t="s">
        <v>53</v>
      </c>
      <c r="FD3097" s="33" t="s">
        <v>476</v>
      </c>
      <c r="FE3097" s="33">
        <v>2020</v>
      </c>
      <c r="FF3097" s="33" t="s">
        <v>474</v>
      </c>
      <c r="FG3097" s="33" t="s">
        <v>470</v>
      </c>
      <c r="FH3097" s="33" t="s">
        <v>471</v>
      </c>
      <c r="FI3097" s="33" t="s">
        <v>467</v>
      </c>
      <c r="FJ3097" t="s">
        <v>474</v>
      </c>
    </row>
    <row r="3098" spans="153:166" x14ac:dyDescent="0.35">
      <c r="EW3098" t="s">
        <v>4093</v>
      </c>
      <c r="EX3098" s="33" t="s">
        <v>4273</v>
      </c>
      <c r="EY3098" s="33" t="s">
        <v>518</v>
      </c>
      <c r="EZ3098" s="33">
        <v>508615</v>
      </c>
      <c r="FA3098" s="33" t="s">
        <v>51</v>
      </c>
      <c r="FB3098" s="33" t="s">
        <v>473</v>
      </c>
      <c r="FC3098" s="33" t="s">
        <v>53</v>
      </c>
      <c r="FD3098" s="33" t="s">
        <v>476</v>
      </c>
      <c r="FE3098" s="33">
        <v>2020</v>
      </c>
      <c r="FF3098" s="33" t="s">
        <v>474</v>
      </c>
      <c r="FG3098" s="33" t="s">
        <v>477</v>
      </c>
      <c r="FH3098" s="33" t="s">
        <v>478</v>
      </c>
      <c r="FI3098" s="33" t="s">
        <v>479</v>
      </c>
      <c r="FJ3098" t="s">
        <v>474</v>
      </c>
    </row>
    <row r="3099" spans="153:166" x14ac:dyDescent="0.35">
      <c r="EW3099" t="s">
        <v>4093</v>
      </c>
      <c r="EX3099" s="33" t="s">
        <v>4274</v>
      </c>
      <c r="EY3099" s="33" t="s">
        <v>522</v>
      </c>
      <c r="EZ3099" s="33">
        <v>508569</v>
      </c>
      <c r="FA3099" s="33" t="s">
        <v>51</v>
      </c>
      <c r="FB3099" s="33" t="s">
        <v>473</v>
      </c>
      <c r="FC3099" s="33" t="s">
        <v>53</v>
      </c>
      <c r="FD3099" s="33" t="s">
        <v>476</v>
      </c>
      <c r="FE3099" s="33">
        <v>2020</v>
      </c>
      <c r="FF3099" s="33" t="s">
        <v>474</v>
      </c>
      <c r="FG3099" s="33" t="s">
        <v>470</v>
      </c>
      <c r="FH3099" s="33" t="s">
        <v>471</v>
      </c>
      <c r="FI3099" s="33" t="s">
        <v>467</v>
      </c>
      <c r="FJ3099" t="s">
        <v>474</v>
      </c>
    </row>
    <row r="3100" spans="153:166" x14ac:dyDescent="0.35">
      <c r="EW3100" t="s">
        <v>4093</v>
      </c>
      <c r="EX3100" s="33" t="s">
        <v>4275</v>
      </c>
      <c r="EY3100" s="33" t="s">
        <v>523</v>
      </c>
      <c r="EZ3100" s="33">
        <v>508297</v>
      </c>
      <c r="FA3100" s="33" t="s">
        <v>51</v>
      </c>
      <c r="FB3100" s="33" t="s">
        <v>473</v>
      </c>
      <c r="FC3100" s="33" t="s">
        <v>53</v>
      </c>
      <c r="FD3100" s="33" t="s">
        <v>476</v>
      </c>
      <c r="FE3100" s="33">
        <v>2020</v>
      </c>
      <c r="FF3100" s="33" t="s">
        <v>474</v>
      </c>
      <c r="FG3100" s="33" t="s">
        <v>477</v>
      </c>
      <c r="FH3100" s="33" t="s">
        <v>478</v>
      </c>
      <c r="FI3100" s="33" t="s">
        <v>479</v>
      </c>
      <c r="FJ3100" t="s">
        <v>474</v>
      </c>
    </row>
    <row r="3101" spans="153:166" x14ac:dyDescent="0.35">
      <c r="EW3101" t="s">
        <v>4093</v>
      </c>
      <c r="EX3101" s="33" t="s">
        <v>4276</v>
      </c>
      <c r="EY3101" s="33" t="s">
        <v>524</v>
      </c>
      <c r="EZ3101" s="33">
        <v>508303</v>
      </c>
      <c r="FA3101" s="33" t="s">
        <v>51</v>
      </c>
      <c r="FB3101" s="33" t="s">
        <v>473</v>
      </c>
      <c r="FC3101" s="33" t="s">
        <v>53</v>
      </c>
      <c r="FD3101" s="33" t="s">
        <v>476</v>
      </c>
      <c r="FE3101" s="33">
        <v>2020</v>
      </c>
      <c r="FF3101" s="33" t="s">
        <v>474</v>
      </c>
      <c r="FG3101" s="33" t="s">
        <v>477</v>
      </c>
      <c r="FH3101" s="33" t="s">
        <v>478</v>
      </c>
      <c r="FI3101" s="33" t="s">
        <v>479</v>
      </c>
      <c r="FJ3101" t="s">
        <v>474</v>
      </c>
    </row>
    <row r="3102" spans="153:166" x14ac:dyDescent="0.35">
      <c r="EW3102" t="s">
        <v>4093</v>
      </c>
      <c r="EX3102" s="33" t="s">
        <v>4277</v>
      </c>
      <c r="EY3102" s="33" t="s">
        <v>525</v>
      </c>
      <c r="EZ3102" s="33">
        <v>508235</v>
      </c>
      <c r="FA3102" s="33" t="s">
        <v>51</v>
      </c>
      <c r="FB3102" s="33" t="s">
        <v>473</v>
      </c>
      <c r="FC3102" s="33" t="s">
        <v>53</v>
      </c>
      <c r="FD3102" s="33" t="s">
        <v>476</v>
      </c>
      <c r="FE3102" s="33">
        <v>2020</v>
      </c>
      <c r="FF3102" s="33" t="s">
        <v>474</v>
      </c>
      <c r="FG3102" s="33" t="s">
        <v>477</v>
      </c>
      <c r="FH3102" s="33" t="s">
        <v>478</v>
      </c>
      <c r="FI3102" s="33" t="s">
        <v>479</v>
      </c>
      <c r="FJ3102" t="s">
        <v>474</v>
      </c>
    </row>
    <row r="3103" spans="153:166" x14ac:dyDescent="0.35">
      <c r="EW3103" t="s">
        <v>4093</v>
      </c>
      <c r="EX3103" s="33" t="s">
        <v>4278</v>
      </c>
      <c r="EY3103" s="33" t="s">
        <v>526</v>
      </c>
      <c r="EZ3103" s="33">
        <v>507854</v>
      </c>
      <c r="FA3103" s="33" t="s">
        <v>51</v>
      </c>
      <c r="FB3103" s="33" t="s">
        <v>473</v>
      </c>
      <c r="FC3103" s="33" t="s">
        <v>53</v>
      </c>
      <c r="FD3103" s="33" t="s">
        <v>476</v>
      </c>
      <c r="FE3103" s="33">
        <v>2020</v>
      </c>
      <c r="FF3103" s="33" t="s">
        <v>474</v>
      </c>
      <c r="FG3103" s="33" t="s">
        <v>477</v>
      </c>
      <c r="FH3103" s="33" t="s">
        <v>478</v>
      </c>
      <c r="FI3103" s="33" t="s">
        <v>479</v>
      </c>
      <c r="FJ3103" t="s">
        <v>474</v>
      </c>
    </row>
    <row r="3104" spans="153:166" x14ac:dyDescent="0.35">
      <c r="EW3104" t="s">
        <v>4093</v>
      </c>
      <c r="EX3104" s="33" t="s">
        <v>4279</v>
      </c>
      <c r="EY3104" s="33" t="s">
        <v>527</v>
      </c>
      <c r="EZ3104" s="33">
        <v>507955</v>
      </c>
      <c r="FA3104" s="33" t="s">
        <v>51</v>
      </c>
      <c r="FB3104" s="33" t="s">
        <v>473</v>
      </c>
      <c r="FC3104" s="33" t="s">
        <v>53</v>
      </c>
      <c r="FD3104" s="33" t="s">
        <v>476</v>
      </c>
      <c r="FE3104" s="33">
        <v>2020</v>
      </c>
      <c r="FF3104" s="33" t="s">
        <v>474</v>
      </c>
      <c r="FG3104" s="33" t="s">
        <v>470</v>
      </c>
      <c r="FH3104" s="33" t="s">
        <v>471</v>
      </c>
      <c r="FI3104" s="33" t="s">
        <v>467</v>
      </c>
      <c r="FJ3104" t="s">
        <v>474</v>
      </c>
    </row>
    <row r="3105" spans="153:166" x14ac:dyDescent="0.35">
      <c r="EW3105" t="s">
        <v>4093</v>
      </c>
      <c r="EX3105" s="33" t="s">
        <v>4280</v>
      </c>
      <c r="EY3105" s="33" t="s">
        <v>531</v>
      </c>
      <c r="EZ3105" s="33">
        <v>508633</v>
      </c>
      <c r="FA3105" s="33" t="s">
        <v>51</v>
      </c>
      <c r="FB3105" s="33" t="s">
        <v>473</v>
      </c>
      <c r="FC3105" s="33" t="s">
        <v>53</v>
      </c>
      <c r="FD3105" s="33" t="s">
        <v>476</v>
      </c>
      <c r="FE3105" s="33">
        <v>2020</v>
      </c>
      <c r="FF3105" s="33" t="s">
        <v>474</v>
      </c>
      <c r="FG3105" s="33" t="s">
        <v>477</v>
      </c>
      <c r="FH3105" s="33" t="s">
        <v>478</v>
      </c>
      <c r="FI3105" s="33" t="s">
        <v>479</v>
      </c>
      <c r="FJ3105" t="s">
        <v>474</v>
      </c>
    </row>
    <row r="3106" spans="153:166" x14ac:dyDescent="0.35">
      <c r="EW3106" t="s">
        <v>4093</v>
      </c>
      <c r="EX3106" s="33" t="s">
        <v>4281</v>
      </c>
      <c r="EY3106" s="33" t="s">
        <v>532</v>
      </c>
      <c r="EZ3106" s="33">
        <v>508651</v>
      </c>
      <c r="FA3106" s="33" t="s">
        <v>51</v>
      </c>
      <c r="FB3106" s="33" t="s">
        <v>473</v>
      </c>
      <c r="FC3106" s="33" t="s">
        <v>53</v>
      </c>
      <c r="FD3106" s="33" t="s">
        <v>476</v>
      </c>
      <c r="FE3106" s="33">
        <v>2020</v>
      </c>
      <c r="FF3106" s="33" t="s">
        <v>474</v>
      </c>
      <c r="FG3106" s="33" t="s">
        <v>477</v>
      </c>
      <c r="FH3106" s="33" t="s">
        <v>478</v>
      </c>
      <c r="FI3106" s="33" t="s">
        <v>479</v>
      </c>
      <c r="FJ3106" t="s">
        <v>474</v>
      </c>
    </row>
    <row r="3107" spans="153:166" x14ac:dyDescent="0.35">
      <c r="EW3107" t="s">
        <v>4093</v>
      </c>
      <c r="EX3107" s="33" t="s">
        <v>4282</v>
      </c>
      <c r="EY3107" s="33" t="s">
        <v>533</v>
      </c>
      <c r="EZ3107" s="33">
        <v>508236</v>
      </c>
      <c r="FA3107" s="33" t="s">
        <v>51</v>
      </c>
      <c r="FB3107" s="33" t="s">
        <v>473</v>
      </c>
      <c r="FC3107" s="33" t="s">
        <v>53</v>
      </c>
      <c r="FD3107" s="33" t="s">
        <v>476</v>
      </c>
      <c r="FE3107" s="33">
        <v>2020</v>
      </c>
      <c r="FF3107" s="33" t="s">
        <v>474</v>
      </c>
      <c r="FG3107" s="33" t="s">
        <v>477</v>
      </c>
      <c r="FH3107" s="33" t="s">
        <v>478</v>
      </c>
      <c r="FI3107" s="33" t="s">
        <v>479</v>
      </c>
      <c r="FJ3107" t="s">
        <v>474</v>
      </c>
    </row>
    <row r="3108" spans="153:166" x14ac:dyDescent="0.35">
      <c r="EW3108" t="s">
        <v>4093</v>
      </c>
      <c r="EX3108" s="33" t="s">
        <v>4283</v>
      </c>
      <c r="EY3108" s="33" t="s">
        <v>534</v>
      </c>
      <c r="EZ3108" s="33">
        <v>508307</v>
      </c>
      <c r="FA3108" s="33" t="s">
        <v>51</v>
      </c>
      <c r="FB3108" s="33" t="s">
        <v>473</v>
      </c>
      <c r="FC3108" s="33" t="s">
        <v>53</v>
      </c>
      <c r="FD3108" s="33" t="s">
        <v>476</v>
      </c>
      <c r="FE3108" s="33">
        <v>2020</v>
      </c>
      <c r="FF3108" s="33" t="s">
        <v>474</v>
      </c>
      <c r="FG3108" s="33" t="s">
        <v>477</v>
      </c>
      <c r="FH3108" s="33" t="s">
        <v>478</v>
      </c>
      <c r="FI3108" s="33" t="s">
        <v>479</v>
      </c>
      <c r="FJ3108" t="s">
        <v>474</v>
      </c>
    </row>
    <row r="3109" spans="153:166" x14ac:dyDescent="0.35">
      <c r="EW3109" t="s">
        <v>4093</v>
      </c>
      <c r="EX3109" s="33" t="s">
        <v>4284</v>
      </c>
      <c r="EY3109" s="33" t="s">
        <v>535</v>
      </c>
      <c r="EZ3109" s="33">
        <v>508215</v>
      </c>
      <c r="FA3109" s="33" t="s">
        <v>51</v>
      </c>
      <c r="FB3109" s="33" t="s">
        <v>473</v>
      </c>
      <c r="FC3109" s="33" t="s">
        <v>53</v>
      </c>
      <c r="FD3109" s="33" t="s">
        <v>476</v>
      </c>
      <c r="FE3109" s="33">
        <v>2020</v>
      </c>
      <c r="FF3109" s="33" t="s">
        <v>474</v>
      </c>
      <c r="FG3109" s="33" t="s">
        <v>470</v>
      </c>
      <c r="FH3109" s="33" t="s">
        <v>471</v>
      </c>
      <c r="FI3109" s="33" t="s">
        <v>467</v>
      </c>
      <c r="FJ3109" t="s">
        <v>474</v>
      </c>
    </row>
    <row r="3110" spans="153:166" x14ac:dyDescent="0.35">
      <c r="EW3110" t="s">
        <v>4093</v>
      </c>
      <c r="EX3110" s="33" t="s">
        <v>4285</v>
      </c>
      <c r="EY3110" s="33" t="s">
        <v>536</v>
      </c>
      <c r="EZ3110" s="33">
        <v>508655</v>
      </c>
      <c r="FA3110" s="33" t="s">
        <v>51</v>
      </c>
      <c r="FB3110" s="33" t="s">
        <v>473</v>
      </c>
      <c r="FC3110" s="33" t="s">
        <v>53</v>
      </c>
      <c r="FD3110" s="33" t="s">
        <v>476</v>
      </c>
      <c r="FE3110" s="33">
        <v>2020</v>
      </c>
      <c r="FF3110" s="33" t="s">
        <v>474</v>
      </c>
      <c r="FG3110" s="33" t="s">
        <v>477</v>
      </c>
      <c r="FH3110" s="33" t="s">
        <v>478</v>
      </c>
      <c r="FI3110" s="33" t="s">
        <v>479</v>
      </c>
      <c r="FJ3110" t="s">
        <v>474</v>
      </c>
    </row>
    <row r="3111" spans="153:166" x14ac:dyDescent="0.35">
      <c r="EW3111" t="s">
        <v>4093</v>
      </c>
      <c r="EX3111" s="33" t="s">
        <v>4286</v>
      </c>
      <c r="EY3111" s="33" t="s">
        <v>540</v>
      </c>
      <c r="EZ3111" s="33">
        <v>508198</v>
      </c>
      <c r="FA3111" s="33" t="s">
        <v>51</v>
      </c>
      <c r="FB3111" s="33" t="s">
        <v>473</v>
      </c>
      <c r="FC3111" s="33" t="s">
        <v>53</v>
      </c>
      <c r="FD3111" s="33" t="s">
        <v>476</v>
      </c>
      <c r="FE3111" s="33">
        <v>2020</v>
      </c>
      <c r="FF3111" s="33" t="s">
        <v>474</v>
      </c>
      <c r="FG3111" s="33" t="s">
        <v>477</v>
      </c>
      <c r="FH3111" s="33" t="s">
        <v>478</v>
      </c>
      <c r="FI3111" s="33" t="s">
        <v>479</v>
      </c>
      <c r="FJ3111" t="s">
        <v>474</v>
      </c>
    </row>
    <row r="3112" spans="153:166" x14ac:dyDescent="0.35">
      <c r="EW3112" t="s">
        <v>4093</v>
      </c>
      <c r="EX3112" s="33" t="s">
        <v>4287</v>
      </c>
      <c r="EY3112" s="33" t="s">
        <v>541</v>
      </c>
      <c r="EZ3112" s="33">
        <v>509348</v>
      </c>
      <c r="FA3112" s="33" t="s">
        <v>51</v>
      </c>
      <c r="FB3112" s="33" t="s">
        <v>473</v>
      </c>
      <c r="FC3112" s="33" t="s">
        <v>53</v>
      </c>
      <c r="FD3112" s="33" t="s">
        <v>476</v>
      </c>
      <c r="FE3112" s="33">
        <v>2020</v>
      </c>
      <c r="FF3112" s="33" t="s">
        <v>474</v>
      </c>
      <c r="FG3112" s="33" t="s">
        <v>470</v>
      </c>
      <c r="FH3112" s="33" t="s">
        <v>471</v>
      </c>
      <c r="FI3112" s="33" t="s">
        <v>467</v>
      </c>
      <c r="FJ3112" t="s">
        <v>474</v>
      </c>
    </row>
    <row r="3113" spans="153:166" x14ac:dyDescent="0.35">
      <c r="EW3113" t="s">
        <v>4093</v>
      </c>
      <c r="EX3113" s="33" t="s">
        <v>4288</v>
      </c>
      <c r="EY3113" s="33" t="s">
        <v>542</v>
      </c>
      <c r="EZ3113" s="33">
        <v>509467</v>
      </c>
      <c r="FA3113" s="33" t="s">
        <v>51</v>
      </c>
      <c r="FB3113" s="33" t="s">
        <v>473</v>
      </c>
      <c r="FC3113" s="33" t="s">
        <v>53</v>
      </c>
      <c r="FD3113" s="33" t="s">
        <v>476</v>
      </c>
      <c r="FE3113" s="33">
        <v>2020</v>
      </c>
      <c r="FF3113" s="33" t="s">
        <v>474</v>
      </c>
      <c r="FG3113" s="33" t="s">
        <v>470</v>
      </c>
      <c r="FH3113" s="33" t="s">
        <v>471</v>
      </c>
      <c r="FI3113" s="33" t="s">
        <v>467</v>
      </c>
      <c r="FJ3113" t="s">
        <v>474</v>
      </c>
    </row>
    <row r="3114" spans="153:166" x14ac:dyDescent="0.35">
      <c r="EW3114" t="s">
        <v>4093</v>
      </c>
      <c r="EX3114" s="33" t="s">
        <v>4257</v>
      </c>
      <c r="EY3114" s="33" t="s">
        <v>543</v>
      </c>
      <c r="EZ3114" s="33">
        <v>507981</v>
      </c>
      <c r="FA3114" s="33" t="s">
        <v>51</v>
      </c>
      <c r="FB3114" s="33" t="s">
        <v>473</v>
      </c>
      <c r="FC3114" s="33" t="s">
        <v>53</v>
      </c>
      <c r="FD3114" s="33" t="s">
        <v>476</v>
      </c>
      <c r="FE3114" s="33">
        <v>2020</v>
      </c>
      <c r="FF3114" s="33" t="s">
        <v>474</v>
      </c>
      <c r="FG3114" s="33" t="s">
        <v>477</v>
      </c>
      <c r="FH3114" s="33" t="s">
        <v>478</v>
      </c>
      <c r="FI3114" s="33" t="s">
        <v>479</v>
      </c>
      <c r="FJ3114" t="s">
        <v>474</v>
      </c>
    </row>
    <row r="3115" spans="153:166" x14ac:dyDescent="0.35">
      <c r="EW3115" t="s">
        <v>4093</v>
      </c>
      <c r="EX3115" s="33" t="s">
        <v>4289</v>
      </c>
      <c r="EY3115" s="33" t="s">
        <v>544</v>
      </c>
      <c r="EZ3115" s="33">
        <v>508404</v>
      </c>
      <c r="FA3115" s="33" t="s">
        <v>51</v>
      </c>
      <c r="FB3115" s="33" t="s">
        <v>473</v>
      </c>
      <c r="FC3115" s="33" t="s">
        <v>53</v>
      </c>
      <c r="FD3115" s="33" t="s">
        <v>476</v>
      </c>
      <c r="FE3115" s="33">
        <v>2020</v>
      </c>
      <c r="FF3115" s="33" t="s">
        <v>474</v>
      </c>
      <c r="FG3115" s="33" t="s">
        <v>477</v>
      </c>
      <c r="FH3115" s="33" t="s">
        <v>478</v>
      </c>
      <c r="FI3115" s="33" t="s">
        <v>479</v>
      </c>
      <c r="FJ3115" t="s">
        <v>474</v>
      </c>
    </row>
    <row r="3116" spans="153:166" x14ac:dyDescent="0.35">
      <c r="EW3116" t="s">
        <v>4093</v>
      </c>
      <c r="EX3116" s="33" t="s">
        <v>4290</v>
      </c>
      <c r="EY3116" s="33" t="s">
        <v>545</v>
      </c>
      <c r="EZ3116" s="33">
        <v>509585</v>
      </c>
      <c r="FA3116" s="33" t="s">
        <v>51</v>
      </c>
      <c r="FB3116" s="33" t="s">
        <v>473</v>
      </c>
      <c r="FC3116" s="33" t="s">
        <v>53</v>
      </c>
      <c r="FD3116" s="33" t="s">
        <v>476</v>
      </c>
      <c r="FE3116" s="33">
        <v>2020</v>
      </c>
      <c r="FF3116" s="33" t="s">
        <v>474</v>
      </c>
      <c r="FG3116" s="33" t="s">
        <v>477</v>
      </c>
      <c r="FH3116" s="33" t="s">
        <v>478</v>
      </c>
      <c r="FI3116" s="33" t="s">
        <v>479</v>
      </c>
      <c r="FJ3116" t="s">
        <v>474</v>
      </c>
    </row>
    <row r="3117" spans="153:166" x14ac:dyDescent="0.35">
      <c r="EW3117" t="s">
        <v>4093</v>
      </c>
      <c r="EX3117" s="33" t="s">
        <v>4291</v>
      </c>
      <c r="EY3117" s="33" t="s">
        <v>546</v>
      </c>
      <c r="EZ3117" s="33">
        <v>509583</v>
      </c>
      <c r="FA3117" s="33" t="s">
        <v>51</v>
      </c>
      <c r="FB3117" s="33" t="s">
        <v>473</v>
      </c>
      <c r="FC3117" s="33" t="s">
        <v>53</v>
      </c>
      <c r="FD3117" s="33" t="s">
        <v>476</v>
      </c>
      <c r="FE3117" s="33">
        <v>2020</v>
      </c>
      <c r="FF3117" s="33" t="s">
        <v>474</v>
      </c>
      <c r="FG3117" s="33" t="s">
        <v>477</v>
      </c>
      <c r="FH3117" s="33" t="s">
        <v>478</v>
      </c>
      <c r="FI3117" s="33" t="s">
        <v>479</v>
      </c>
      <c r="FJ3117" t="s">
        <v>474</v>
      </c>
    </row>
    <row r="3118" spans="153:166" x14ac:dyDescent="0.35">
      <c r="EW3118" t="s">
        <v>4093</v>
      </c>
      <c r="EX3118" s="33" t="s">
        <v>4292</v>
      </c>
      <c r="EY3118" s="33" t="s">
        <v>550</v>
      </c>
      <c r="EZ3118" s="33">
        <v>509444</v>
      </c>
      <c r="FA3118" s="33" t="s">
        <v>51</v>
      </c>
      <c r="FB3118" s="33" t="s">
        <v>473</v>
      </c>
      <c r="FC3118" s="33" t="s">
        <v>53</v>
      </c>
      <c r="FD3118" s="33" t="s">
        <v>476</v>
      </c>
      <c r="FE3118" s="33">
        <v>2020</v>
      </c>
      <c r="FF3118" s="33" t="s">
        <v>474</v>
      </c>
      <c r="FG3118" s="33" t="s">
        <v>477</v>
      </c>
      <c r="FH3118" s="33" t="s">
        <v>478</v>
      </c>
      <c r="FI3118" s="33" t="s">
        <v>479</v>
      </c>
      <c r="FJ3118" t="s">
        <v>474</v>
      </c>
    </row>
    <row r="3119" spans="153:166" x14ac:dyDescent="0.35">
      <c r="EW3119" t="s">
        <v>4093</v>
      </c>
      <c r="EX3119" s="33" t="s">
        <v>4293</v>
      </c>
      <c r="EY3119" s="33" t="s">
        <v>551</v>
      </c>
      <c r="EZ3119" s="33">
        <v>509171</v>
      </c>
      <c r="FA3119" s="33" t="s">
        <v>51</v>
      </c>
      <c r="FB3119" s="33" t="s">
        <v>473</v>
      </c>
      <c r="FC3119" s="33" t="s">
        <v>53</v>
      </c>
      <c r="FD3119" s="33" t="s">
        <v>476</v>
      </c>
      <c r="FE3119" s="33">
        <v>2020</v>
      </c>
      <c r="FF3119" s="33" t="s">
        <v>474</v>
      </c>
      <c r="FG3119" s="33" t="s">
        <v>477</v>
      </c>
      <c r="FH3119" s="33" t="s">
        <v>478</v>
      </c>
      <c r="FI3119" s="33" t="s">
        <v>479</v>
      </c>
      <c r="FJ3119" t="s">
        <v>474</v>
      </c>
    </row>
    <row r="3120" spans="153:166" x14ac:dyDescent="0.35">
      <c r="EW3120" t="s">
        <v>4093</v>
      </c>
      <c r="EX3120" s="33" t="s">
        <v>4294</v>
      </c>
      <c r="EY3120" s="33" t="s">
        <v>552</v>
      </c>
      <c r="EZ3120" s="33">
        <v>509572</v>
      </c>
      <c r="FA3120" s="33" t="s">
        <v>51</v>
      </c>
      <c r="FB3120" s="33" t="s">
        <v>473</v>
      </c>
      <c r="FC3120" s="33" t="s">
        <v>53</v>
      </c>
      <c r="FD3120" s="33" t="s">
        <v>476</v>
      </c>
      <c r="FE3120" s="33">
        <v>2020</v>
      </c>
      <c r="FF3120" s="33" t="s">
        <v>474</v>
      </c>
      <c r="FG3120" s="33" t="s">
        <v>477</v>
      </c>
      <c r="FH3120" s="33" t="s">
        <v>478</v>
      </c>
      <c r="FI3120" s="33" t="s">
        <v>479</v>
      </c>
      <c r="FJ3120" t="s">
        <v>474</v>
      </c>
    </row>
    <row r="3121" spans="153:166" x14ac:dyDescent="0.35">
      <c r="EW3121" t="s">
        <v>4093</v>
      </c>
      <c r="EX3121" s="33" t="s">
        <v>4295</v>
      </c>
      <c r="EY3121" s="33" t="s">
        <v>553</v>
      </c>
      <c r="EZ3121" s="33">
        <v>508475</v>
      </c>
      <c r="FA3121" s="33" t="s">
        <v>51</v>
      </c>
      <c r="FB3121" s="33" t="s">
        <v>473</v>
      </c>
      <c r="FC3121" s="33" t="s">
        <v>53</v>
      </c>
      <c r="FD3121" s="33" t="s">
        <v>476</v>
      </c>
      <c r="FE3121" s="33">
        <v>2020</v>
      </c>
      <c r="FF3121" s="33" t="s">
        <v>474</v>
      </c>
      <c r="FG3121" s="33" t="s">
        <v>477</v>
      </c>
      <c r="FH3121" s="33" t="s">
        <v>478</v>
      </c>
      <c r="FI3121" s="33" t="s">
        <v>479</v>
      </c>
      <c r="FJ3121" t="s">
        <v>474</v>
      </c>
    </row>
    <row r="3122" spans="153:166" x14ac:dyDescent="0.35">
      <c r="EW3122" t="s">
        <v>4093</v>
      </c>
      <c r="EX3122" s="33" t="s">
        <v>4296</v>
      </c>
      <c r="EY3122" s="33" t="s">
        <v>557</v>
      </c>
      <c r="EZ3122" s="33">
        <v>507974</v>
      </c>
      <c r="FA3122" s="33" t="s">
        <v>51</v>
      </c>
      <c r="FB3122" s="33" t="s">
        <v>473</v>
      </c>
      <c r="FC3122" s="33" t="s">
        <v>53</v>
      </c>
      <c r="FD3122" s="33" t="s">
        <v>476</v>
      </c>
      <c r="FE3122" s="33">
        <v>2020</v>
      </c>
      <c r="FF3122" s="33" t="s">
        <v>474</v>
      </c>
      <c r="FG3122" s="33" t="s">
        <v>477</v>
      </c>
      <c r="FH3122" s="33" t="s">
        <v>478</v>
      </c>
      <c r="FI3122" s="33" t="s">
        <v>479</v>
      </c>
      <c r="FJ3122" t="s">
        <v>474</v>
      </c>
    </row>
    <row r="3123" spans="153:166" x14ac:dyDescent="0.35">
      <c r="EW3123" t="s">
        <v>4093</v>
      </c>
      <c r="EX3123" s="33" t="s">
        <v>4297</v>
      </c>
      <c r="EY3123" s="33" t="s">
        <v>558</v>
      </c>
      <c r="EZ3123" s="33">
        <v>508008</v>
      </c>
      <c r="FA3123" s="33" t="s">
        <v>51</v>
      </c>
      <c r="FB3123" s="33" t="s">
        <v>473</v>
      </c>
      <c r="FC3123" s="33" t="s">
        <v>53</v>
      </c>
      <c r="FD3123" s="33" t="s">
        <v>476</v>
      </c>
      <c r="FE3123" s="33">
        <v>2020</v>
      </c>
      <c r="FF3123" s="33" t="s">
        <v>474</v>
      </c>
      <c r="FG3123" s="33" t="s">
        <v>477</v>
      </c>
      <c r="FH3123" s="33" t="s">
        <v>478</v>
      </c>
      <c r="FI3123" s="33" t="s">
        <v>479</v>
      </c>
      <c r="FJ3123" t="s">
        <v>474</v>
      </c>
    </row>
    <row r="3124" spans="153:166" x14ac:dyDescent="0.35">
      <c r="EW3124" t="s">
        <v>4093</v>
      </c>
      <c r="EX3124" s="33" t="s">
        <v>4298</v>
      </c>
      <c r="EY3124" s="33" t="s">
        <v>562</v>
      </c>
      <c r="EZ3124" s="33">
        <v>507878</v>
      </c>
      <c r="FA3124" s="33" t="s">
        <v>51</v>
      </c>
      <c r="FB3124" s="33" t="s">
        <v>473</v>
      </c>
      <c r="FC3124" s="33" t="s">
        <v>53</v>
      </c>
      <c r="FD3124" s="33" t="s">
        <v>476</v>
      </c>
      <c r="FE3124" s="33">
        <v>2020</v>
      </c>
      <c r="FF3124" s="33" t="s">
        <v>474</v>
      </c>
      <c r="FG3124" s="33" t="s">
        <v>477</v>
      </c>
      <c r="FH3124" s="33" t="s">
        <v>478</v>
      </c>
      <c r="FI3124" s="33" t="s">
        <v>479</v>
      </c>
      <c r="FJ3124" t="s">
        <v>474</v>
      </c>
    </row>
    <row r="3125" spans="153:166" x14ac:dyDescent="0.35">
      <c r="EW3125" t="s">
        <v>4093</v>
      </c>
      <c r="EX3125" s="33" t="s">
        <v>4299</v>
      </c>
      <c r="EY3125" s="33" t="s">
        <v>566</v>
      </c>
      <c r="EZ3125" s="33">
        <v>507933</v>
      </c>
      <c r="FA3125" s="33" t="s">
        <v>51</v>
      </c>
      <c r="FB3125" s="33" t="s">
        <v>473</v>
      </c>
      <c r="FC3125" s="33" t="s">
        <v>53</v>
      </c>
      <c r="FD3125" s="33" t="s">
        <v>476</v>
      </c>
      <c r="FE3125" s="33">
        <v>2020</v>
      </c>
      <c r="FF3125" s="33" t="s">
        <v>474</v>
      </c>
      <c r="FG3125" s="33" t="s">
        <v>477</v>
      </c>
      <c r="FH3125" s="33" t="s">
        <v>478</v>
      </c>
      <c r="FI3125" s="33" t="s">
        <v>479</v>
      </c>
      <c r="FJ3125" t="s">
        <v>474</v>
      </c>
    </row>
    <row r="3126" spans="153:166" x14ac:dyDescent="0.35">
      <c r="EW3126" t="s">
        <v>4093</v>
      </c>
      <c r="EX3126" s="33" t="s">
        <v>4300</v>
      </c>
      <c r="EY3126" s="33" t="s">
        <v>567</v>
      </c>
      <c r="EZ3126" s="33">
        <v>508173</v>
      </c>
      <c r="FA3126" s="33" t="s">
        <v>51</v>
      </c>
      <c r="FB3126" s="33" t="s">
        <v>473</v>
      </c>
      <c r="FC3126" s="33" t="s">
        <v>53</v>
      </c>
      <c r="FD3126" s="33" t="s">
        <v>476</v>
      </c>
      <c r="FE3126" s="33">
        <v>2020</v>
      </c>
      <c r="FF3126" s="33" t="s">
        <v>474</v>
      </c>
      <c r="FG3126" s="33" t="s">
        <v>477</v>
      </c>
      <c r="FH3126" s="33" t="s">
        <v>478</v>
      </c>
      <c r="FI3126" s="33" t="s">
        <v>479</v>
      </c>
      <c r="FJ3126" t="s">
        <v>474</v>
      </c>
    </row>
    <row r="3127" spans="153:166" x14ac:dyDescent="0.35">
      <c r="EW3127" t="s">
        <v>4093</v>
      </c>
      <c r="EX3127" s="33" t="s">
        <v>4301</v>
      </c>
      <c r="EY3127" s="33" t="s">
        <v>568</v>
      </c>
      <c r="EZ3127" s="33">
        <v>480074</v>
      </c>
      <c r="FA3127" s="33" t="s">
        <v>51</v>
      </c>
      <c r="FB3127" s="33" t="s">
        <v>473</v>
      </c>
      <c r="FC3127" s="33" t="s">
        <v>53</v>
      </c>
      <c r="FD3127" s="33" t="s">
        <v>569</v>
      </c>
      <c r="FE3127" s="33">
        <v>2021</v>
      </c>
      <c r="FF3127" s="33" t="s">
        <v>474</v>
      </c>
      <c r="FG3127" s="33" t="s">
        <v>477</v>
      </c>
      <c r="FH3127" s="33" t="s">
        <v>478</v>
      </c>
      <c r="FI3127" s="33" t="s">
        <v>479</v>
      </c>
      <c r="FJ3127" t="s">
        <v>474</v>
      </c>
    </row>
    <row r="3128" spans="153:166" x14ac:dyDescent="0.35">
      <c r="EW3128" t="s">
        <v>4093</v>
      </c>
      <c r="EX3128" s="33" t="s">
        <v>4302</v>
      </c>
      <c r="EY3128" s="33" t="s">
        <v>570</v>
      </c>
      <c r="EZ3128" s="33">
        <v>552632</v>
      </c>
      <c r="FA3128" s="33" t="s">
        <v>51</v>
      </c>
      <c r="FB3128" s="33" t="s">
        <v>473</v>
      </c>
      <c r="FC3128" s="33" t="s">
        <v>53</v>
      </c>
      <c r="FD3128" s="33" t="s">
        <v>476</v>
      </c>
      <c r="FE3128" s="33">
        <v>2022</v>
      </c>
      <c r="FF3128" s="33" t="s">
        <v>474</v>
      </c>
      <c r="FG3128" s="33" t="s">
        <v>477</v>
      </c>
      <c r="FH3128" s="33" t="s">
        <v>478</v>
      </c>
      <c r="FI3128" s="33" t="s">
        <v>479</v>
      </c>
      <c r="FJ3128" t="s">
        <v>474</v>
      </c>
    </row>
    <row r="3129" spans="153:166" x14ac:dyDescent="0.35">
      <c r="EW3129" t="s">
        <v>4093</v>
      </c>
      <c r="EX3129" s="33" t="s">
        <v>4303</v>
      </c>
      <c r="EY3129" s="33" t="s">
        <v>571</v>
      </c>
      <c r="EZ3129" s="33">
        <v>552649</v>
      </c>
      <c r="FA3129" s="33" t="s">
        <v>51</v>
      </c>
      <c r="FB3129" s="33" t="s">
        <v>473</v>
      </c>
      <c r="FC3129" s="33" t="s">
        <v>53</v>
      </c>
      <c r="FD3129" s="33" t="s">
        <v>476</v>
      </c>
      <c r="FE3129" s="33">
        <v>2022</v>
      </c>
      <c r="FF3129" s="33" t="s">
        <v>474</v>
      </c>
      <c r="FG3129" s="33" t="s">
        <v>470</v>
      </c>
      <c r="FH3129" s="33" t="s">
        <v>471</v>
      </c>
      <c r="FI3129" s="33" t="s">
        <v>467</v>
      </c>
      <c r="FJ3129" t="s">
        <v>474</v>
      </c>
    </row>
    <row r="3130" spans="153:166" x14ac:dyDescent="0.35">
      <c r="EW3130" t="s">
        <v>4093</v>
      </c>
      <c r="EX3130" s="33" t="s">
        <v>4304</v>
      </c>
      <c r="EY3130" s="33" t="s">
        <v>572</v>
      </c>
      <c r="EZ3130" s="33">
        <v>552624</v>
      </c>
      <c r="FA3130" s="33" t="s">
        <v>51</v>
      </c>
      <c r="FB3130" s="33" t="s">
        <v>473</v>
      </c>
      <c r="FC3130" s="33" t="s">
        <v>53</v>
      </c>
      <c r="FD3130" s="33" t="s">
        <v>476</v>
      </c>
      <c r="FE3130" s="33">
        <v>2022</v>
      </c>
      <c r="FF3130" s="33" t="s">
        <v>474</v>
      </c>
      <c r="FG3130" s="33" t="s">
        <v>470</v>
      </c>
      <c r="FH3130" s="33" t="s">
        <v>471</v>
      </c>
      <c r="FI3130" s="33" t="s">
        <v>467</v>
      </c>
      <c r="FJ3130" t="s">
        <v>474</v>
      </c>
    </row>
    <row r="3131" spans="153:166" x14ac:dyDescent="0.35">
      <c r="EW3131" t="s">
        <v>4093</v>
      </c>
      <c r="EX3131" s="33" t="s">
        <v>4305</v>
      </c>
      <c r="EY3131" s="33" t="s">
        <v>576</v>
      </c>
      <c r="EZ3131" s="33">
        <v>552338</v>
      </c>
      <c r="FA3131" s="33" t="s">
        <v>51</v>
      </c>
      <c r="FB3131" s="33" t="s">
        <v>473</v>
      </c>
      <c r="FC3131" s="33" t="s">
        <v>53</v>
      </c>
      <c r="FD3131" s="33" t="s">
        <v>476</v>
      </c>
      <c r="FE3131" s="33">
        <v>2022</v>
      </c>
      <c r="FF3131" s="33" t="s">
        <v>474</v>
      </c>
      <c r="FG3131" s="33" t="s">
        <v>470</v>
      </c>
      <c r="FH3131" s="33" t="s">
        <v>471</v>
      </c>
      <c r="FI3131" s="33" t="s">
        <v>467</v>
      </c>
      <c r="FJ3131" t="s">
        <v>474</v>
      </c>
    </row>
    <row r="3132" spans="153:166" x14ac:dyDescent="0.35">
      <c r="EW3132" t="s">
        <v>4093</v>
      </c>
      <c r="EX3132" s="33" t="s">
        <v>4306</v>
      </c>
      <c r="EY3132" s="33" t="s">
        <v>577</v>
      </c>
      <c r="EZ3132" s="33">
        <v>552333</v>
      </c>
      <c r="FA3132" s="33" t="s">
        <v>51</v>
      </c>
      <c r="FB3132" s="33" t="s">
        <v>473</v>
      </c>
      <c r="FC3132" s="33" t="s">
        <v>53</v>
      </c>
      <c r="FD3132" s="33" t="s">
        <v>476</v>
      </c>
      <c r="FE3132" s="33">
        <v>2022</v>
      </c>
      <c r="FF3132" s="33" t="s">
        <v>474</v>
      </c>
      <c r="FG3132" s="33" t="s">
        <v>470</v>
      </c>
      <c r="FH3132" s="33" t="s">
        <v>471</v>
      </c>
      <c r="FI3132" s="33" t="s">
        <v>467</v>
      </c>
      <c r="FJ3132" t="s">
        <v>474</v>
      </c>
    </row>
    <row r="3133" spans="153:166" x14ac:dyDescent="0.35">
      <c r="EW3133" t="s">
        <v>4093</v>
      </c>
      <c r="EX3133" s="33" t="s">
        <v>4307</v>
      </c>
      <c r="EY3133" s="33" t="s">
        <v>581</v>
      </c>
      <c r="EZ3133" s="33">
        <v>552881</v>
      </c>
      <c r="FA3133" s="33" t="s">
        <v>51</v>
      </c>
      <c r="FB3133" s="33" t="s">
        <v>473</v>
      </c>
      <c r="FC3133" s="33" t="s">
        <v>53</v>
      </c>
      <c r="FD3133" s="33" t="s">
        <v>476</v>
      </c>
      <c r="FE3133" s="33">
        <v>2022</v>
      </c>
      <c r="FF3133" s="33" t="s">
        <v>474</v>
      </c>
      <c r="FG3133" s="33" t="s">
        <v>477</v>
      </c>
      <c r="FH3133" s="33" t="s">
        <v>478</v>
      </c>
      <c r="FI3133" s="33" t="s">
        <v>479</v>
      </c>
      <c r="FJ3133" t="s">
        <v>474</v>
      </c>
    </row>
    <row r="3134" spans="153:166" x14ac:dyDescent="0.35">
      <c r="EW3134" t="s">
        <v>4093</v>
      </c>
      <c r="EX3134" s="33" t="s">
        <v>4308</v>
      </c>
      <c r="EY3134" s="33" t="s">
        <v>582</v>
      </c>
      <c r="EZ3134" s="33">
        <v>550630</v>
      </c>
      <c r="FA3134" s="33" t="s">
        <v>51</v>
      </c>
      <c r="FB3134" s="33" t="s">
        <v>473</v>
      </c>
      <c r="FC3134" s="33" t="s">
        <v>53</v>
      </c>
      <c r="FD3134" s="33" t="s">
        <v>476</v>
      </c>
      <c r="FE3134" s="33">
        <v>2022</v>
      </c>
      <c r="FF3134" s="33" t="s">
        <v>474</v>
      </c>
      <c r="FG3134" s="33" t="s">
        <v>470</v>
      </c>
      <c r="FH3134" s="33" t="s">
        <v>471</v>
      </c>
      <c r="FI3134" s="33" t="s">
        <v>467</v>
      </c>
      <c r="FJ3134" t="s">
        <v>474</v>
      </c>
    </row>
    <row r="3135" spans="153:166" x14ac:dyDescent="0.35">
      <c r="EW3135" t="s">
        <v>4093</v>
      </c>
      <c r="EX3135" s="33" t="s">
        <v>4309</v>
      </c>
      <c r="EY3135" s="33" t="s">
        <v>583</v>
      </c>
      <c r="EZ3135" s="33">
        <v>552303</v>
      </c>
      <c r="FA3135" s="33" t="s">
        <v>51</v>
      </c>
      <c r="FB3135" s="33" t="s">
        <v>473</v>
      </c>
      <c r="FC3135" s="33" t="s">
        <v>53</v>
      </c>
      <c r="FD3135" s="33" t="s">
        <v>476</v>
      </c>
      <c r="FE3135" s="33">
        <v>2022</v>
      </c>
      <c r="FF3135" s="33" t="s">
        <v>474</v>
      </c>
      <c r="FG3135" s="33" t="s">
        <v>477</v>
      </c>
      <c r="FH3135" s="33" t="s">
        <v>478</v>
      </c>
      <c r="FI3135" s="33" t="s">
        <v>479</v>
      </c>
      <c r="FJ3135" t="s">
        <v>474</v>
      </c>
    </row>
    <row r="3136" spans="153:166" x14ac:dyDescent="0.35">
      <c r="EW3136" t="s">
        <v>4093</v>
      </c>
      <c r="EX3136" s="33" t="s">
        <v>4310</v>
      </c>
      <c r="EY3136" s="33" t="s">
        <v>584</v>
      </c>
      <c r="EZ3136" s="33">
        <v>551701</v>
      </c>
      <c r="FA3136" s="33" t="s">
        <v>51</v>
      </c>
      <c r="FB3136" s="33" t="s">
        <v>473</v>
      </c>
      <c r="FC3136" s="33" t="s">
        <v>53</v>
      </c>
      <c r="FD3136" s="33" t="s">
        <v>476</v>
      </c>
      <c r="FE3136" s="33">
        <v>2022</v>
      </c>
      <c r="FF3136" s="33" t="s">
        <v>474</v>
      </c>
      <c r="FG3136" s="33" t="s">
        <v>477</v>
      </c>
      <c r="FH3136" s="33" t="s">
        <v>478</v>
      </c>
      <c r="FI3136" s="33" t="s">
        <v>479</v>
      </c>
      <c r="FJ3136" t="s">
        <v>474</v>
      </c>
    </row>
    <row r="3137" spans="153:166" x14ac:dyDescent="0.35">
      <c r="EW3137" t="s">
        <v>4093</v>
      </c>
      <c r="EX3137" s="33" t="s">
        <v>4311</v>
      </c>
      <c r="EY3137" s="33" t="s">
        <v>585</v>
      </c>
      <c r="EZ3137" s="33">
        <v>552373</v>
      </c>
      <c r="FA3137" s="33" t="s">
        <v>51</v>
      </c>
      <c r="FB3137" s="33" t="s">
        <v>473</v>
      </c>
      <c r="FC3137" s="33" t="s">
        <v>53</v>
      </c>
      <c r="FD3137" s="33" t="s">
        <v>476</v>
      </c>
      <c r="FE3137" s="33">
        <v>2022</v>
      </c>
      <c r="FF3137" s="33" t="s">
        <v>474</v>
      </c>
      <c r="FG3137" s="33" t="s">
        <v>470</v>
      </c>
      <c r="FH3137" s="33" t="s">
        <v>471</v>
      </c>
      <c r="FI3137" s="33" t="s">
        <v>467</v>
      </c>
      <c r="FJ3137" t="s">
        <v>474</v>
      </c>
    </row>
    <row r="3138" spans="153:166" x14ac:dyDescent="0.35">
      <c r="EW3138" t="s">
        <v>4093</v>
      </c>
      <c r="EX3138" s="33" t="s">
        <v>4312</v>
      </c>
      <c r="EY3138" s="33" t="s">
        <v>589</v>
      </c>
      <c r="EZ3138" s="33">
        <v>552573</v>
      </c>
      <c r="FA3138" s="33" t="s">
        <v>51</v>
      </c>
      <c r="FB3138" s="33" t="s">
        <v>473</v>
      </c>
      <c r="FC3138" s="33" t="s">
        <v>53</v>
      </c>
      <c r="FD3138" s="33" t="s">
        <v>476</v>
      </c>
      <c r="FE3138" s="33">
        <v>2022</v>
      </c>
      <c r="FF3138" s="33" t="s">
        <v>474</v>
      </c>
      <c r="FG3138" s="33" t="s">
        <v>470</v>
      </c>
      <c r="FH3138" s="33" t="s">
        <v>471</v>
      </c>
      <c r="FI3138" s="33" t="s">
        <v>467</v>
      </c>
      <c r="FJ3138" t="s">
        <v>474</v>
      </c>
    </row>
    <row r="3139" spans="153:166" x14ac:dyDescent="0.35">
      <c r="EW3139" t="s">
        <v>4093</v>
      </c>
      <c r="EX3139" s="33" t="s">
        <v>4313</v>
      </c>
      <c r="EY3139" s="33" t="s">
        <v>590</v>
      </c>
      <c r="EZ3139" s="33">
        <v>550568</v>
      </c>
      <c r="FA3139" s="33" t="s">
        <v>51</v>
      </c>
      <c r="FB3139" s="33" t="s">
        <v>473</v>
      </c>
      <c r="FC3139" s="33" t="s">
        <v>53</v>
      </c>
      <c r="FD3139" s="33" t="s">
        <v>476</v>
      </c>
      <c r="FE3139" s="33">
        <v>2022</v>
      </c>
      <c r="FF3139" s="33" t="s">
        <v>474</v>
      </c>
      <c r="FG3139" s="33" t="s">
        <v>470</v>
      </c>
      <c r="FH3139" s="33" t="s">
        <v>471</v>
      </c>
      <c r="FI3139" s="33" t="s">
        <v>467</v>
      </c>
      <c r="FJ3139" t="s">
        <v>474</v>
      </c>
    </row>
    <row r="3140" spans="153:166" x14ac:dyDescent="0.35">
      <c r="EW3140" t="s">
        <v>4093</v>
      </c>
      <c r="EX3140" s="33" t="s">
        <v>4314</v>
      </c>
      <c r="EY3140" s="33" t="s">
        <v>591</v>
      </c>
      <c r="EZ3140" s="33">
        <v>551734</v>
      </c>
      <c r="FA3140" s="33" t="s">
        <v>51</v>
      </c>
      <c r="FB3140" s="33" t="s">
        <v>473</v>
      </c>
      <c r="FC3140" s="33" t="s">
        <v>53</v>
      </c>
      <c r="FD3140" s="33" t="s">
        <v>476</v>
      </c>
      <c r="FE3140" s="33">
        <v>2022</v>
      </c>
      <c r="FF3140" s="33" t="s">
        <v>474</v>
      </c>
      <c r="FG3140" s="33" t="s">
        <v>477</v>
      </c>
      <c r="FH3140" s="33" t="s">
        <v>478</v>
      </c>
      <c r="FI3140" s="33" t="s">
        <v>479</v>
      </c>
      <c r="FJ3140" t="s">
        <v>474</v>
      </c>
    </row>
    <row r="3141" spans="153:166" x14ac:dyDescent="0.35">
      <c r="EW3141" t="s">
        <v>4093</v>
      </c>
      <c r="EX3141" s="33" t="s">
        <v>4315</v>
      </c>
      <c r="EY3141" s="33" t="s">
        <v>592</v>
      </c>
      <c r="EZ3141" s="33">
        <v>552393</v>
      </c>
      <c r="FA3141" s="33" t="s">
        <v>51</v>
      </c>
      <c r="FB3141" s="33" t="s">
        <v>473</v>
      </c>
      <c r="FC3141" s="33" t="s">
        <v>53</v>
      </c>
      <c r="FD3141" s="33" t="s">
        <v>476</v>
      </c>
      <c r="FE3141" s="33">
        <v>2022</v>
      </c>
      <c r="FF3141" s="33" t="s">
        <v>474</v>
      </c>
      <c r="FG3141" s="33" t="s">
        <v>470</v>
      </c>
      <c r="FH3141" s="33" t="s">
        <v>471</v>
      </c>
      <c r="FI3141" s="33" t="s">
        <v>467</v>
      </c>
      <c r="FJ3141" t="s">
        <v>474</v>
      </c>
    </row>
    <row r="3142" spans="153:166" x14ac:dyDescent="0.35">
      <c r="EW3142" t="s">
        <v>4093</v>
      </c>
      <c r="EX3142" s="33" t="s">
        <v>4316</v>
      </c>
      <c r="EY3142" s="33" t="s">
        <v>596</v>
      </c>
      <c r="EZ3142" s="33">
        <v>550593</v>
      </c>
      <c r="FA3142" s="33" t="s">
        <v>51</v>
      </c>
      <c r="FB3142" s="33" t="s">
        <v>473</v>
      </c>
      <c r="FC3142" s="33" t="s">
        <v>53</v>
      </c>
      <c r="FD3142" s="33" t="s">
        <v>476</v>
      </c>
      <c r="FE3142" s="33">
        <v>2022</v>
      </c>
      <c r="FF3142" s="33" t="s">
        <v>474</v>
      </c>
      <c r="FG3142" s="33" t="s">
        <v>470</v>
      </c>
      <c r="FH3142" s="33" t="s">
        <v>471</v>
      </c>
      <c r="FI3142" s="33" t="s">
        <v>467</v>
      </c>
      <c r="FJ3142" t="s">
        <v>474</v>
      </c>
    </row>
    <row r="3143" spans="153:166" x14ac:dyDescent="0.35">
      <c r="EW3143" t="s">
        <v>4093</v>
      </c>
      <c r="EX3143" s="33" t="s">
        <v>4317</v>
      </c>
      <c r="EY3143" s="33" t="s">
        <v>597</v>
      </c>
      <c r="EZ3143" s="33">
        <v>550451</v>
      </c>
      <c r="FA3143" s="33" t="s">
        <v>51</v>
      </c>
      <c r="FB3143" s="33" t="s">
        <v>473</v>
      </c>
      <c r="FC3143" s="33" t="s">
        <v>53</v>
      </c>
      <c r="FD3143" s="33" t="s">
        <v>476</v>
      </c>
      <c r="FE3143" s="33">
        <v>2022</v>
      </c>
      <c r="FF3143" s="33" t="s">
        <v>474</v>
      </c>
      <c r="FG3143" s="33" t="s">
        <v>470</v>
      </c>
      <c r="FH3143" s="33" t="s">
        <v>471</v>
      </c>
      <c r="FI3143" s="33" t="s">
        <v>467</v>
      </c>
      <c r="FJ3143" t="s">
        <v>474</v>
      </c>
    </row>
    <row r="3144" spans="153:166" x14ac:dyDescent="0.35">
      <c r="EW3144" t="s">
        <v>4093</v>
      </c>
      <c r="EX3144" s="33" t="s">
        <v>4318</v>
      </c>
      <c r="EY3144" s="33" t="s">
        <v>601</v>
      </c>
      <c r="EZ3144" s="33">
        <v>551900</v>
      </c>
      <c r="FA3144" s="33" t="s">
        <v>51</v>
      </c>
      <c r="FB3144" s="33" t="s">
        <v>473</v>
      </c>
      <c r="FC3144" s="33" t="s">
        <v>53</v>
      </c>
      <c r="FD3144" s="33" t="s">
        <v>476</v>
      </c>
      <c r="FE3144" s="33">
        <v>2022</v>
      </c>
      <c r="FF3144" s="33" t="s">
        <v>474</v>
      </c>
      <c r="FG3144" s="33" t="s">
        <v>477</v>
      </c>
      <c r="FH3144" s="33" t="s">
        <v>478</v>
      </c>
      <c r="FI3144" s="33" t="s">
        <v>479</v>
      </c>
      <c r="FJ3144" t="s">
        <v>474</v>
      </c>
    </row>
    <row r="3145" spans="153:166" x14ac:dyDescent="0.35">
      <c r="EW3145" t="s">
        <v>4093</v>
      </c>
      <c r="EX3145" s="33" t="s">
        <v>4319</v>
      </c>
      <c r="EY3145" s="33" t="s">
        <v>602</v>
      </c>
      <c r="EZ3145" s="33">
        <v>553953</v>
      </c>
      <c r="FA3145" s="33" t="s">
        <v>51</v>
      </c>
      <c r="FB3145" s="33" t="s">
        <v>473</v>
      </c>
      <c r="FC3145" s="33" t="s">
        <v>53</v>
      </c>
      <c r="FD3145" s="33" t="s">
        <v>476</v>
      </c>
      <c r="FE3145" s="33">
        <v>2022</v>
      </c>
      <c r="FF3145" s="33" t="s">
        <v>474</v>
      </c>
      <c r="FG3145" s="33" t="s">
        <v>477</v>
      </c>
      <c r="FH3145" s="33" t="s">
        <v>478</v>
      </c>
      <c r="FI3145" s="33" t="s">
        <v>479</v>
      </c>
      <c r="FJ3145" t="s">
        <v>474</v>
      </c>
    </row>
    <row r="3146" spans="153:166" x14ac:dyDescent="0.35">
      <c r="EW3146" t="s">
        <v>4093</v>
      </c>
      <c r="EX3146" s="33" t="s">
        <v>4320</v>
      </c>
      <c r="EY3146" s="33" t="s">
        <v>603</v>
      </c>
      <c r="EZ3146" s="33">
        <v>551716</v>
      </c>
      <c r="FA3146" s="33" t="s">
        <v>51</v>
      </c>
      <c r="FB3146" s="33" t="s">
        <v>473</v>
      </c>
      <c r="FC3146" s="33" t="s">
        <v>53</v>
      </c>
      <c r="FD3146" s="33" t="s">
        <v>476</v>
      </c>
      <c r="FE3146" s="33">
        <v>2022</v>
      </c>
      <c r="FF3146" s="33" t="s">
        <v>474</v>
      </c>
      <c r="FG3146" s="33" t="s">
        <v>477</v>
      </c>
      <c r="FH3146" s="33" t="s">
        <v>478</v>
      </c>
      <c r="FI3146" s="33" t="s">
        <v>479</v>
      </c>
      <c r="FJ3146" t="s">
        <v>474</v>
      </c>
    </row>
    <row r="3147" spans="153:166" x14ac:dyDescent="0.35">
      <c r="EW3147" t="s">
        <v>4093</v>
      </c>
      <c r="EX3147" s="33" t="s">
        <v>4321</v>
      </c>
      <c r="EY3147" s="33" t="s">
        <v>607</v>
      </c>
      <c r="EZ3147" s="33">
        <v>551695</v>
      </c>
      <c r="FA3147" s="33" t="s">
        <v>51</v>
      </c>
      <c r="FB3147" s="33" t="s">
        <v>473</v>
      </c>
      <c r="FC3147" s="33" t="s">
        <v>53</v>
      </c>
      <c r="FD3147" s="33" t="s">
        <v>476</v>
      </c>
      <c r="FE3147" s="33">
        <v>2022</v>
      </c>
      <c r="FF3147" s="33" t="s">
        <v>474</v>
      </c>
      <c r="FG3147" s="33" t="s">
        <v>477</v>
      </c>
      <c r="FH3147" s="33" t="s">
        <v>478</v>
      </c>
      <c r="FI3147" s="33" t="s">
        <v>479</v>
      </c>
      <c r="FJ3147" t="s">
        <v>474</v>
      </c>
    </row>
    <row r="3148" spans="153:166" x14ac:dyDescent="0.35">
      <c r="EW3148" t="s">
        <v>4093</v>
      </c>
      <c r="EX3148" s="33" t="s">
        <v>4322</v>
      </c>
      <c r="EY3148" s="33" t="s">
        <v>608</v>
      </c>
      <c r="EZ3148" s="33">
        <v>551682</v>
      </c>
      <c r="FA3148" s="33" t="s">
        <v>51</v>
      </c>
      <c r="FB3148" s="33" t="s">
        <v>473</v>
      </c>
      <c r="FC3148" s="33" t="s">
        <v>53</v>
      </c>
      <c r="FD3148" s="33" t="s">
        <v>476</v>
      </c>
      <c r="FE3148" s="33">
        <v>2022</v>
      </c>
      <c r="FF3148" s="33" t="s">
        <v>474</v>
      </c>
      <c r="FG3148" s="33" t="s">
        <v>477</v>
      </c>
      <c r="FH3148" s="33" t="s">
        <v>478</v>
      </c>
      <c r="FI3148" s="33" t="s">
        <v>479</v>
      </c>
      <c r="FJ3148" t="s">
        <v>474</v>
      </c>
    </row>
    <row r="3149" spans="153:166" x14ac:dyDescent="0.35">
      <c r="EW3149" t="s">
        <v>4093</v>
      </c>
      <c r="EX3149" s="33" t="s">
        <v>4323</v>
      </c>
      <c r="EY3149" s="33" t="s">
        <v>609</v>
      </c>
      <c r="EZ3149" s="33">
        <v>551698</v>
      </c>
      <c r="FA3149" s="33" t="s">
        <v>51</v>
      </c>
      <c r="FB3149" s="33" t="s">
        <v>473</v>
      </c>
      <c r="FC3149" s="33" t="s">
        <v>53</v>
      </c>
      <c r="FD3149" s="33" t="s">
        <v>476</v>
      </c>
      <c r="FE3149" s="33">
        <v>2022</v>
      </c>
      <c r="FF3149" s="33" t="s">
        <v>474</v>
      </c>
      <c r="FG3149" s="33" t="s">
        <v>477</v>
      </c>
      <c r="FH3149" s="33" t="s">
        <v>478</v>
      </c>
      <c r="FI3149" s="33" t="s">
        <v>479</v>
      </c>
      <c r="FJ3149" t="s">
        <v>474</v>
      </c>
    </row>
    <row r="3150" spans="153:166" x14ac:dyDescent="0.35">
      <c r="EW3150" t="s">
        <v>4093</v>
      </c>
      <c r="EX3150" s="33" t="s">
        <v>4324</v>
      </c>
      <c r="EY3150" s="33" t="s">
        <v>613</v>
      </c>
      <c r="EZ3150" s="33">
        <v>551645</v>
      </c>
      <c r="FA3150" s="33" t="s">
        <v>51</v>
      </c>
      <c r="FB3150" s="33" t="s">
        <v>473</v>
      </c>
      <c r="FC3150" s="33" t="s">
        <v>53</v>
      </c>
      <c r="FD3150" s="33" t="s">
        <v>476</v>
      </c>
      <c r="FE3150" s="33">
        <v>2022</v>
      </c>
      <c r="FF3150" s="33" t="s">
        <v>474</v>
      </c>
      <c r="FG3150" s="33" t="s">
        <v>470</v>
      </c>
      <c r="FH3150" s="33" t="s">
        <v>471</v>
      </c>
      <c r="FI3150" s="33" t="s">
        <v>467</v>
      </c>
      <c r="FJ3150" t="s">
        <v>474</v>
      </c>
    </row>
    <row r="3151" spans="153:166" x14ac:dyDescent="0.35">
      <c r="EW3151" t="s">
        <v>4093</v>
      </c>
      <c r="EX3151" s="33" t="s">
        <v>4325</v>
      </c>
      <c r="EY3151" s="33" t="s">
        <v>614</v>
      </c>
      <c r="EZ3151" s="33">
        <v>551661</v>
      </c>
      <c r="FA3151" s="33" t="s">
        <v>51</v>
      </c>
      <c r="FB3151" s="33" t="s">
        <v>473</v>
      </c>
      <c r="FC3151" s="33" t="s">
        <v>53</v>
      </c>
      <c r="FD3151" s="33" t="s">
        <v>476</v>
      </c>
      <c r="FE3151" s="33">
        <v>2022</v>
      </c>
      <c r="FF3151" s="33" t="s">
        <v>474</v>
      </c>
      <c r="FG3151" s="33" t="s">
        <v>470</v>
      </c>
      <c r="FH3151" s="33" t="s">
        <v>471</v>
      </c>
      <c r="FI3151" s="33" t="s">
        <v>467</v>
      </c>
      <c r="FJ3151" t="s">
        <v>474</v>
      </c>
    </row>
    <row r="3152" spans="153:166" x14ac:dyDescent="0.35">
      <c r="EW3152" t="s">
        <v>4093</v>
      </c>
      <c r="EX3152" s="33" t="s">
        <v>4326</v>
      </c>
      <c r="EY3152" s="33" t="s">
        <v>618</v>
      </c>
      <c r="EZ3152" s="33">
        <v>554610</v>
      </c>
      <c r="FA3152" s="33" t="s">
        <v>51</v>
      </c>
      <c r="FB3152" s="33" t="s">
        <v>473</v>
      </c>
      <c r="FC3152" s="33" t="s">
        <v>53</v>
      </c>
      <c r="FD3152" s="33" t="s">
        <v>476</v>
      </c>
      <c r="FE3152" s="33">
        <v>2022</v>
      </c>
      <c r="FF3152" s="33" t="s">
        <v>474</v>
      </c>
      <c r="FG3152" s="33" t="s">
        <v>477</v>
      </c>
      <c r="FH3152" s="33" t="s">
        <v>478</v>
      </c>
      <c r="FI3152" s="33" t="s">
        <v>479</v>
      </c>
      <c r="FJ3152" t="s">
        <v>474</v>
      </c>
    </row>
    <row r="3153" spans="153:166" x14ac:dyDescent="0.35">
      <c r="EW3153" t="s">
        <v>4093</v>
      </c>
      <c r="EX3153" s="33" t="s">
        <v>4327</v>
      </c>
      <c r="EY3153" s="33" t="s">
        <v>619</v>
      </c>
      <c r="EZ3153" s="33">
        <v>554682</v>
      </c>
      <c r="FA3153" s="33" t="s">
        <v>51</v>
      </c>
      <c r="FB3153" s="33" t="s">
        <v>473</v>
      </c>
      <c r="FC3153" s="33" t="s">
        <v>53</v>
      </c>
      <c r="FD3153" s="33" t="s">
        <v>476</v>
      </c>
      <c r="FE3153" s="33">
        <v>2022</v>
      </c>
      <c r="FF3153" s="33" t="s">
        <v>474</v>
      </c>
      <c r="FG3153" s="33" t="s">
        <v>477</v>
      </c>
      <c r="FH3153" s="33" t="s">
        <v>478</v>
      </c>
      <c r="FI3153" s="33" t="s">
        <v>479</v>
      </c>
      <c r="FJ3153" t="s">
        <v>474</v>
      </c>
    </row>
    <row r="3154" spans="153:166" x14ac:dyDescent="0.35">
      <c r="EW3154" t="s">
        <v>4093</v>
      </c>
      <c r="EX3154" s="33" t="s">
        <v>4328</v>
      </c>
      <c r="EY3154" s="33" t="s">
        <v>620</v>
      </c>
      <c r="EZ3154" s="33">
        <v>554694</v>
      </c>
      <c r="FA3154" s="33" t="s">
        <v>51</v>
      </c>
      <c r="FB3154" s="33" t="s">
        <v>473</v>
      </c>
      <c r="FC3154" s="33" t="s">
        <v>53</v>
      </c>
      <c r="FD3154" s="33" t="s">
        <v>476</v>
      </c>
      <c r="FE3154" s="33">
        <v>2022</v>
      </c>
      <c r="FF3154" s="33" t="s">
        <v>474</v>
      </c>
      <c r="FG3154" s="33" t="s">
        <v>470</v>
      </c>
      <c r="FH3154" s="33" t="s">
        <v>471</v>
      </c>
      <c r="FI3154" s="33" t="s">
        <v>467</v>
      </c>
      <c r="FJ3154" t="s">
        <v>474</v>
      </c>
    </row>
    <row r="3155" spans="153:166" x14ac:dyDescent="0.35">
      <c r="EW3155" t="s">
        <v>4093</v>
      </c>
      <c r="EX3155" s="33" t="s">
        <v>4329</v>
      </c>
      <c r="EY3155" s="33" t="s">
        <v>621</v>
      </c>
      <c r="EZ3155" s="33">
        <v>555374</v>
      </c>
      <c r="FA3155" s="33" t="s">
        <v>51</v>
      </c>
      <c r="FB3155" s="33" t="s">
        <v>473</v>
      </c>
      <c r="FC3155" s="33" t="s">
        <v>53</v>
      </c>
      <c r="FD3155" s="33" t="s">
        <v>476</v>
      </c>
      <c r="FE3155" s="33">
        <v>2022</v>
      </c>
      <c r="FF3155" s="33" t="s">
        <v>474</v>
      </c>
      <c r="FG3155" s="33" t="s">
        <v>470</v>
      </c>
      <c r="FH3155" s="33" t="s">
        <v>471</v>
      </c>
      <c r="FI3155" s="33" t="s">
        <v>467</v>
      </c>
      <c r="FJ3155" t="s">
        <v>474</v>
      </c>
    </row>
    <row r="3156" spans="153:166" x14ac:dyDescent="0.35">
      <c r="EW3156" t="s">
        <v>4093</v>
      </c>
      <c r="EX3156" s="33" t="s">
        <v>4330</v>
      </c>
      <c r="EY3156" s="33" t="s">
        <v>622</v>
      </c>
      <c r="EZ3156" s="33">
        <v>555138</v>
      </c>
      <c r="FA3156" s="33" t="s">
        <v>51</v>
      </c>
      <c r="FB3156" s="33" t="s">
        <v>473</v>
      </c>
      <c r="FC3156" s="33" t="s">
        <v>53</v>
      </c>
      <c r="FD3156" s="33" t="s">
        <v>476</v>
      </c>
      <c r="FE3156" s="33">
        <v>2022</v>
      </c>
      <c r="FF3156" s="33" t="s">
        <v>474</v>
      </c>
      <c r="FG3156" s="33" t="s">
        <v>470</v>
      </c>
      <c r="FH3156" s="33" t="s">
        <v>471</v>
      </c>
      <c r="FI3156" s="33" t="s">
        <v>467</v>
      </c>
      <c r="FJ3156" t="s">
        <v>474</v>
      </c>
    </row>
    <row r="3157" spans="153:166" x14ac:dyDescent="0.35">
      <c r="EW3157" t="s">
        <v>4093</v>
      </c>
      <c r="EX3157" s="33" t="s">
        <v>4331</v>
      </c>
      <c r="EY3157" s="33" t="s">
        <v>623</v>
      </c>
      <c r="EZ3157" s="33">
        <v>555050</v>
      </c>
      <c r="FA3157" s="33" t="s">
        <v>51</v>
      </c>
      <c r="FB3157" s="33" t="s">
        <v>473</v>
      </c>
      <c r="FC3157" s="33" t="s">
        <v>53</v>
      </c>
      <c r="FD3157" s="33" t="s">
        <v>476</v>
      </c>
      <c r="FE3157" s="33">
        <v>2022</v>
      </c>
      <c r="FF3157" s="33" t="s">
        <v>474</v>
      </c>
      <c r="FG3157" s="33" t="s">
        <v>470</v>
      </c>
      <c r="FH3157" s="33" t="s">
        <v>471</v>
      </c>
      <c r="FI3157" s="33" t="s">
        <v>467</v>
      </c>
      <c r="FJ3157" t="s">
        <v>474</v>
      </c>
    </row>
    <row r="3158" spans="153:166" x14ac:dyDescent="0.35">
      <c r="EW3158" t="s">
        <v>4093</v>
      </c>
      <c r="EX3158" s="33" t="s">
        <v>4332</v>
      </c>
      <c r="EY3158" s="33" t="s">
        <v>627</v>
      </c>
      <c r="EZ3158" s="33">
        <v>593684</v>
      </c>
      <c r="FA3158" s="33" t="s">
        <v>51</v>
      </c>
      <c r="FB3158" s="33" t="s">
        <v>473</v>
      </c>
      <c r="FC3158" s="33" t="s">
        <v>53</v>
      </c>
      <c r="FD3158" s="33" t="s">
        <v>476</v>
      </c>
      <c r="FE3158" s="33">
        <v>2023</v>
      </c>
      <c r="FF3158" s="33" t="s">
        <v>474</v>
      </c>
      <c r="FG3158" s="33" t="s">
        <v>470</v>
      </c>
      <c r="FH3158" s="33" t="s">
        <v>471</v>
      </c>
      <c r="FI3158" s="33" t="s">
        <v>467</v>
      </c>
      <c r="FJ3158" t="s">
        <v>474</v>
      </c>
    </row>
    <row r="3159" spans="153:166" x14ac:dyDescent="0.35">
      <c r="EW3159" t="s">
        <v>4093</v>
      </c>
      <c r="EX3159" s="33" t="s">
        <v>4333</v>
      </c>
      <c r="EY3159" s="33" t="s">
        <v>628</v>
      </c>
      <c r="EZ3159" s="33">
        <v>593717</v>
      </c>
      <c r="FA3159" s="33" t="s">
        <v>51</v>
      </c>
      <c r="FB3159" s="33" t="s">
        <v>473</v>
      </c>
      <c r="FC3159" s="33" t="s">
        <v>53</v>
      </c>
      <c r="FD3159" s="33" t="s">
        <v>476</v>
      </c>
      <c r="FE3159" s="33">
        <v>2023</v>
      </c>
      <c r="FF3159" s="33" t="s">
        <v>474</v>
      </c>
      <c r="FG3159" s="33" t="s">
        <v>470</v>
      </c>
      <c r="FH3159" s="33" t="s">
        <v>471</v>
      </c>
      <c r="FI3159" s="33" t="s">
        <v>467</v>
      </c>
      <c r="FJ3159" t="s">
        <v>474</v>
      </c>
    </row>
    <row r="3160" spans="153:166" x14ac:dyDescent="0.35">
      <c r="EW3160" t="s">
        <v>4093</v>
      </c>
      <c r="EX3160" s="33" t="s">
        <v>4334</v>
      </c>
      <c r="EY3160" s="33" t="s">
        <v>629</v>
      </c>
      <c r="EZ3160" s="33">
        <v>592427</v>
      </c>
      <c r="FA3160" s="33" t="s">
        <v>51</v>
      </c>
      <c r="FB3160" s="33" t="s">
        <v>473</v>
      </c>
      <c r="FC3160" s="33" t="s">
        <v>53</v>
      </c>
      <c r="FD3160" s="33" t="s">
        <v>476</v>
      </c>
      <c r="FE3160" s="33">
        <v>2023</v>
      </c>
      <c r="FF3160" s="33" t="s">
        <v>474</v>
      </c>
      <c r="FG3160" s="33" t="s">
        <v>470</v>
      </c>
      <c r="FH3160" s="33" t="s">
        <v>471</v>
      </c>
      <c r="FI3160" s="33" t="s">
        <v>467</v>
      </c>
      <c r="FJ3160" t="s">
        <v>474</v>
      </c>
    </row>
    <row r="3161" spans="153:166" x14ac:dyDescent="0.35">
      <c r="EW3161" t="s">
        <v>4093</v>
      </c>
      <c r="EX3161" s="33" t="s">
        <v>4335</v>
      </c>
      <c r="EY3161" s="33" t="s">
        <v>630</v>
      </c>
      <c r="EZ3161" s="33">
        <v>593907</v>
      </c>
      <c r="FA3161" s="33" t="s">
        <v>51</v>
      </c>
      <c r="FB3161" s="33" t="s">
        <v>473</v>
      </c>
      <c r="FC3161" s="33" t="s">
        <v>53</v>
      </c>
      <c r="FD3161" s="33" t="s">
        <v>476</v>
      </c>
      <c r="FE3161" s="33">
        <v>2023</v>
      </c>
      <c r="FF3161" s="33" t="s">
        <v>474</v>
      </c>
      <c r="FG3161" s="33" t="s">
        <v>470</v>
      </c>
      <c r="FH3161" s="33" t="s">
        <v>471</v>
      </c>
      <c r="FI3161" s="33" t="s">
        <v>467</v>
      </c>
      <c r="FJ3161" t="s">
        <v>474</v>
      </c>
    </row>
    <row r="3162" spans="153:166" x14ac:dyDescent="0.35">
      <c r="EW3162" t="s">
        <v>4093</v>
      </c>
      <c r="EX3162" s="33" t="s">
        <v>4336</v>
      </c>
      <c r="EY3162" s="33" t="s">
        <v>631</v>
      </c>
      <c r="EZ3162" s="33">
        <v>593887</v>
      </c>
      <c r="FA3162" s="33" t="s">
        <v>51</v>
      </c>
      <c r="FB3162" s="33" t="s">
        <v>473</v>
      </c>
      <c r="FC3162" s="33" t="s">
        <v>53</v>
      </c>
      <c r="FD3162" s="33" t="s">
        <v>476</v>
      </c>
      <c r="FE3162" s="33">
        <v>2023</v>
      </c>
      <c r="FF3162" s="33" t="s">
        <v>474</v>
      </c>
      <c r="FG3162" s="33" t="s">
        <v>470</v>
      </c>
      <c r="FH3162" s="33" t="s">
        <v>471</v>
      </c>
      <c r="FI3162" s="33" t="s">
        <v>467</v>
      </c>
      <c r="FJ3162" t="s">
        <v>474</v>
      </c>
    </row>
    <row r="3163" spans="153:166" x14ac:dyDescent="0.35">
      <c r="EW3163" t="s">
        <v>4093</v>
      </c>
      <c r="EX3163" s="33" t="s">
        <v>4337</v>
      </c>
      <c r="EY3163" s="33" t="s">
        <v>632</v>
      </c>
      <c r="EZ3163" s="33">
        <v>593899</v>
      </c>
      <c r="FA3163" s="33" t="s">
        <v>51</v>
      </c>
      <c r="FB3163" s="33" t="s">
        <v>473</v>
      </c>
      <c r="FC3163" s="33" t="s">
        <v>53</v>
      </c>
      <c r="FD3163" s="33" t="s">
        <v>476</v>
      </c>
      <c r="FE3163" s="33">
        <v>2023</v>
      </c>
      <c r="FF3163" s="33" t="s">
        <v>474</v>
      </c>
      <c r="FG3163" s="33" t="s">
        <v>470</v>
      </c>
      <c r="FH3163" s="33" t="s">
        <v>471</v>
      </c>
      <c r="FI3163" s="33" t="s">
        <v>467</v>
      </c>
      <c r="FJ3163" t="s">
        <v>474</v>
      </c>
    </row>
    <row r="3164" spans="153:166" x14ac:dyDescent="0.35">
      <c r="EW3164" t="s">
        <v>4093</v>
      </c>
      <c r="EX3164" s="33" t="s">
        <v>4338</v>
      </c>
      <c r="EY3164" s="33" t="s">
        <v>633</v>
      </c>
      <c r="EZ3164" s="33">
        <v>593420</v>
      </c>
      <c r="FA3164" s="33" t="s">
        <v>51</v>
      </c>
      <c r="FB3164" s="33" t="s">
        <v>473</v>
      </c>
      <c r="FC3164" s="33" t="s">
        <v>53</v>
      </c>
      <c r="FD3164" s="33" t="s">
        <v>476</v>
      </c>
      <c r="FE3164" s="33">
        <v>2023</v>
      </c>
      <c r="FF3164" s="33" t="s">
        <v>474</v>
      </c>
      <c r="FG3164" s="33" t="s">
        <v>470</v>
      </c>
      <c r="FH3164" s="33" t="s">
        <v>471</v>
      </c>
      <c r="FI3164" s="33" t="s">
        <v>467</v>
      </c>
      <c r="FJ3164" t="s">
        <v>474</v>
      </c>
    </row>
    <row r="3165" spans="153:166" x14ac:dyDescent="0.35">
      <c r="EW3165" t="s">
        <v>4093</v>
      </c>
      <c r="EX3165" s="33" t="s">
        <v>4339</v>
      </c>
      <c r="EY3165" s="33" t="s">
        <v>634</v>
      </c>
      <c r="EZ3165" s="33">
        <v>593506</v>
      </c>
      <c r="FA3165" s="33" t="s">
        <v>51</v>
      </c>
      <c r="FB3165" s="33" t="s">
        <v>473</v>
      </c>
      <c r="FC3165" s="33" t="s">
        <v>53</v>
      </c>
      <c r="FD3165" s="33" t="s">
        <v>476</v>
      </c>
      <c r="FE3165" s="33">
        <v>2023</v>
      </c>
      <c r="FF3165" s="33" t="s">
        <v>474</v>
      </c>
      <c r="FG3165" s="33" t="s">
        <v>470</v>
      </c>
      <c r="FH3165" s="33" t="s">
        <v>471</v>
      </c>
      <c r="FI3165" s="33" t="s">
        <v>467</v>
      </c>
      <c r="FJ3165" t="s">
        <v>474</v>
      </c>
    </row>
    <row r="3166" spans="153:166" x14ac:dyDescent="0.35">
      <c r="EW3166" t="s">
        <v>4093</v>
      </c>
      <c r="EX3166" s="33" t="s">
        <v>4340</v>
      </c>
      <c r="EY3166" s="33" t="s">
        <v>635</v>
      </c>
      <c r="EZ3166" s="33">
        <v>593418</v>
      </c>
      <c r="FA3166" s="33" t="s">
        <v>51</v>
      </c>
      <c r="FB3166" s="33" t="s">
        <v>473</v>
      </c>
      <c r="FC3166" s="33" t="s">
        <v>53</v>
      </c>
      <c r="FD3166" s="33" t="s">
        <v>476</v>
      </c>
      <c r="FE3166" s="33">
        <v>2023</v>
      </c>
      <c r="FF3166" s="33" t="s">
        <v>474</v>
      </c>
      <c r="FG3166" s="33" t="s">
        <v>470</v>
      </c>
      <c r="FH3166" s="33" t="s">
        <v>471</v>
      </c>
      <c r="FI3166" s="33" t="s">
        <v>467</v>
      </c>
      <c r="FJ3166" t="s">
        <v>474</v>
      </c>
    </row>
    <row r="3167" spans="153:166" x14ac:dyDescent="0.35">
      <c r="EW3167" t="s">
        <v>4093</v>
      </c>
      <c r="EX3167" s="33" t="s">
        <v>4341</v>
      </c>
      <c r="EY3167" s="33" t="s">
        <v>639</v>
      </c>
      <c r="EZ3167" s="33">
        <v>593145</v>
      </c>
      <c r="FA3167" s="33" t="s">
        <v>51</v>
      </c>
      <c r="FB3167" s="33" t="s">
        <v>473</v>
      </c>
      <c r="FC3167" s="33" t="s">
        <v>53</v>
      </c>
      <c r="FD3167" s="33" t="s">
        <v>476</v>
      </c>
      <c r="FE3167" s="33">
        <v>2023</v>
      </c>
      <c r="FF3167" s="33" t="s">
        <v>474</v>
      </c>
      <c r="FG3167" s="33" t="s">
        <v>470</v>
      </c>
      <c r="FH3167" s="33" t="s">
        <v>471</v>
      </c>
      <c r="FI3167" s="33" t="s">
        <v>467</v>
      </c>
      <c r="FJ3167" t="s">
        <v>474</v>
      </c>
    </row>
    <row r="3168" spans="153:166" x14ac:dyDescent="0.35">
      <c r="EW3168" t="s">
        <v>4093</v>
      </c>
      <c r="EX3168" s="33" t="s">
        <v>4342</v>
      </c>
      <c r="EY3168" s="33" t="s">
        <v>640</v>
      </c>
      <c r="EZ3168" s="33" t="s">
        <v>641</v>
      </c>
      <c r="FA3168" s="33" t="s">
        <v>343</v>
      </c>
      <c r="FB3168" s="33" t="s">
        <v>344</v>
      </c>
      <c r="FC3168" s="33" t="s">
        <v>345</v>
      </c>
      <c r="FD3168" s="33" t="s">
        <v>346</v>
      </c>
      <c r="FE3168" s="33">
        <v>2025</v>
      </c>
      <c r="FF3168" s="33" t="s">
        <v>59</v>
      </c>
      <c r="FG3168" s="33" t="s">
        <v>386</v>
      </c>
      <c r="FH3168" s="33" t="s">
        <v>387</v>
      </c>
      <c r="FI3168" s="33" t="s">
        <v>407</v>
      </c>
      <c r="FJ3168" t="s">
        <v>59</v>
      </c>
    </row>
    <row r="3169" spans="153:166" x14ac:dyDescent="0.35">
      <c r="EW3169" t="s">
        <v>4093</v>
      </c>
      <c r="EX3169" s="33" t="s">
        <v>4343</v>
      </c>
      <c r="EY3169" s="33" t="s">
        <v>642</v>
      </c>
      <c r="EZ3169" s="33" t="s">
        <v>643</v>
      </c>
      <c r="FA3169" s="33" t="s">
        <v>343</v>
      </c>
      <c r="FB3169" s="33" t="s">
        <v>344</v>
      </c>
      <c r="FC3169" s="33" t="s">
        <v>345</v>
      </c>
      <c r="FD3169" s="33" t="s">
        <v>346</v>
      </c>
      <c r="FE3169" s="33">
        <v>2025</v>
      </c>
      <c r="FF3169" s="33" t="s">
        <v>59</v>
      </c>
      <c r="FG3169" s="33" t="s">
        <v>477</v>
      </c>
      <c r="FH3169" s="33" t="s">
        <v>478</v>
      </c>
      <c r="FI3169" s="33" t="s">
        <v>479</v>
      </c>
      <c r="FJ3169" t="s">
        <v>59</v>
      </c>
    </row>
    <row r="3170" spans="153:166" x14ac:dyDescent="0.35">
      <c r="EW3170" t="s">
        <v>4093</v>
      </c>
      <c r="EX3170" s="33" t="s">
        <v>4344</v>
      </c>
      <c r="EY3170" s="33" t="s">
        <v>644</v>
      </c>
      <c r="EZ3170" s="33" t="s">
        <v>645</v>
      </c>
      <c r="FA3170" s="33" t="s">
        <v>343</v>
      </c>
      <c r="FB3170" s="33" t="s">
        <v>344</v>
      </c>
      <c r="FC3170" s="33" t="s">
        <v>345</v>
      </c>
      <c r="FD3170" s="33" t="s">
        <v>346</v>
      </c>
      <c r="FE3170" s="33">
        <v>2025</v>
      </c>
      <c r="FF3170" s="33" t="s">
        <v>59</v>
      </c>
      <c r="FG3170" s="33" t="s">
        <v>470</v>
      </c>
      <c r="FH3170" s="33" t="s">
        <v>471</v>
      </c>
      <c r="FI3170" s="33" t="s">
        <v>467</v>
      </c>
      <c r="FJ3170" t="s">
        <v>59</v>
      </c>
    </row>
    <row r="3171" spans="153:166" x14ac:dyDescent="0.35">
      <c r="EW3171" t="s">
        <v>4093</v>
      </c>
      <c r="EX3171" s="33" t="s">
        <v>4345</v>
      </c>
      <c r="EY3171" s="33" t="s">
        <v>646</v>
      </c>
      <c r="EZ3171" s="33" t="s">
        <v>647</v>
      </c>
      <c r="FA3171" s="33" t="s">
        <v>343</v>
      </c>
      <c r="FB3171" s="33" t="s">
        <v>344</v>
      </c>
      <c r="FC3171" s="33" t="s">
        <v>345</v>
      </c>
      <c r="FD3171" s="33" t="s">
        <v>346</v>
      </c>
      <c r="FE3171" s="33">
        <v>2025</v>
      </c>
      <c r="FF3171" s="33" t="s">
        <v>59</v>
      </c>
      <c r="FG3171" s="33" t="s">
        <v>470</v>
      </c>
      <c r="FH3171" s="33" t="s">
        <v>471</v>
      </c>
      <c r="FI3171" s="33" t="s">
        <v>467</v>
      </c>
      <c r="FJ3171" t="s">
        <v>59</v>
      </c>
    </row>
    <row r="3172" spans="153:166" x14ac:dyDescent="0.35">
      <c r="EW3172" t="s">
        <v>4093</v>
      </c>
      <c r="EX3172" s="33" t="s">
        <v>4346</v>
      </c>
      <c r="EY3172" s="33" t="s">
        <v>648</v>
      </c>
      <c r="EZ3172" s="33" t="s">
        <v>649</v>
      </c>
      <c r="FA3172" s="33" t="s">
        <v>343</v>
      </c>
      <c r="FB3172" s="33" t="s">
        <v>344</v>
      </c>
      <c r="FC3172" s="33" t="s">
        <v>345</v>
      </c>
      <c r="FD3172" s="33" t="s">
        <v>346</v>
      </c>
      <c r="FE3172" s="33">
        <v>2025</v>
      </c>
      <c r="FF3172" s="33" t="s">
        <v>59</v>
      </c>
      <c r="FG3172" s="33" t="s">
        <v>477</v>
      </c>
      <c r="FH3172" s="33" t="s">
        <v>478</v>
      </c>
      <c r="FI3172" s="33" t="s">
        <v>479</v>
      </c>
      <c r="FJ3172" t="s">
        <v>59</v>
      </c>
    </row>
    <row r="3173" spans="153:166" x14ac:dyDescent="0.35">
      <c r="EW3173" t="s">
        <v>4093</v>
      </c>
      <c r="EX3173" s="33" t="s">
        <v>4347</v>
      </c>
      <c r="EY3173" s="33" t="s">
        <v>650</v>
      </c>
      <c r="EZ3173" s="33" t="s">
        <v>651</v>
      </c>
      <c r="FA3173" s="33" t="s">
        <v>343</v>
      </c>
      <c r="FB3173" s="33" t="s">
        <v>344</v>
      </c>
      <c r="FC3173" s="33" t="s">
        <v>345</v>
      </c>
      <c r="FD3173" s="33" t="s">
        <v>346</v>
      </c>
      <c r="FE3173" s="33">
        <v>2025</v>
      </c>
      <c r="FF3173" s="33" t="s">
        <v>59</v>
      </c>
      <c r="FG3173" s="33" t="s">
        <v>386</v>
      </c>
      <c r="FH3173" s="33" t="s">
        <v>387</v>
      </c>
      <c r="FI3173" s="33" t="s">
        <v>407</v>
      </c>
      <c r="FJ3173" t="s">
        <v>59</v>
      </c>
    </row>
    <row r="3174" spans="153:166" x14ac:dyDescent="0.35">
      <c r="EW3174" t="s">
        <v>4093</v>
      </c>
      <c r="EX3174" s="33" t="s">
        <v>4348</v>
      </c>
      <c r="EY3174" s="33" t="s">
        <v>655</v>
      </c>
      <c r="EZ3174" s="33" t="s">
        <v>656</v>
      </c>
      <c r="FA3174" s="33" t="s">
        <v>343</v>
      </c>
      <c r="FB3174" s="33" t="s">
        <v>344</v>
      </c>
      <c r="FC3174" s="33" t="s">
        <v>345</v>
      </c>
      <c r="FD3174" s="33" t="s">
        <v>346</v>
      </c>
      <c r="FE3174" s="33">
        <v>2025</v>
      </c>
      <c r="FF3174" s="33" t="s">
        <v>59</v>
      </c>
      <c r="FG3174" s="33" t="s">
        <v>477</v>
      </c>
      <c r="FH3174" s="33" t="s">
        <v>478</v>
      </c>
      <c r="FI3174" s="33" t="s">
        <v>479</v>
      </c>
      <c r="FJ3174" t="s">
        <v>59</v>
      </c>
    </row>
    <row r="3175" spans="153:166" x14ac:dyDescent="0.35">
      <c r="EW3175" t="s">
        <v>4093</v>
      </c>
      <c r="EX3175" s="33" t="s">
        <v>4349</v>
      </c>
      <c r="EY3175" s="33" t="s">
        <v>657</v>
      </c>
      <c r="EZ3175" s="33" t="s">
        <v>658</v>
      </c>
      <c r="FA3175" s="33" t="s">
        <v>343</v>
      </c>
      <c r="FB3175" s="33" t="s">
        <v>344</v>
      </c>
      <c r="FC3175" s="33" t="s">
        <v>345</v>
      </c>
      <c r="FD3175" s="33" t="s">
        <v>346</v>
      </c>
      <c r="FE3175" s="33">
        <v>2025</v>
      </c>
      <c r="FF3175" s="33" t="s">
        <v>59</v>
      </c>
      <c r="FG3175" s="33" t="s">
        <v>386</v>
      </c>
      <c r="FH3175" s="33" t="s">
        <v>387</v>
      </c>
      <c r="FI3175" s="33" t="s">
        <v>407</v>
      </c>
      <c r="FJ3175" t="s">
        <v>59</v>
      </c>
    </row>
    <row r="3176" spans="153:166" x14ac:dyDescent="0.35">
      <c r="EW3176" t="s">
        <v>4093</v>
      </c>
      <c r="EX3176" s="33" t="s">
        <v>4350</v>
      </c>
      <c r="EY3176" s="33" t="s">
        <v>659</v>
      </c>
      <c r="EZ3176" s="33" t="s">
        <v>660</v>
      </c>
      <c r="FA3176" s="33" t="s">
        <v>343</v>
      </c>
      <c r="FB3176" s="33" t="s">
        <v>344</v>
      </c>
      <c r="FC3176" s="33" t="s">
        <v>345</v>
      </c>
      <c r="FD3176" s="33" t="s">
        <v>346</v>
      </c>
      <c r="FE3176" s="33">
        <v>2025</v>
      </c>
      <c r="FF3176" s="33" t="s">
        <v>59</v>
      </c>
      <c r="FG3176" s="33" t="s">
        <v>386</v>
      </c>
      <c r="FH3176" s="33" t="s">
        <v>387</v>
      </c>
      <c r="FI3176" s="33" t="s">
        <v>407</v>
      </c>
      <c r="FJ3176" t="s">
        <v>59</v>
      </c>
    </row>
    <row r="3177" spans="153:166" x14ac:dyDescent="0.35">
      <c r="EW3177" t="s">
        <v>4093</v>
      </c>
      <c r="EX3177" s="33" t="s">
        <v>4351</v>
      </c>
      <c r="EY3177" s="33" t="s">
        <v>661</v>
      </c>
      <c r="EZ3177" s="33" t="s">
        <v>662</v>
      </c>
      <c r="FA3177" s="33" t="s">
        <v>343</v>
      </c>
      <c r="FB3177" s="33" t="s">
        <v>344</v>
      </c>
      <c r="FC3177" s="33" t="s">
        <v>345</v>
      </c>
      <c r="FD3177" s="33" t="s">
        <v>346</v>
      </c>
      <c r="FE3177" s="33">
        <v>2025</v>
      </c>
      <c r="FF3177" s="33" t="s">
        <v>59</v>
      </c>
      <c r="FG3177" s="33" t="s">
        <v>386</v>
      </c>
      <c r="FH3177" s="33" t="s">
        <v>387</v>
      </c>
      <c r="FI3177" s="33" t="s">
        <v>407</v>
      </c>
      <c r="FJ3177" t="s">
        <v>59</v>
      </c>
    </row>
    <row r="3178" spans="153:166" x14ac:dyDescent="0.35">
      <c r="EW3178" t="s">
        <v>4093</v>
      </c>
      <c r="EX3178" s="33" t="s">
        <v>4352</v>
      </c>
      <c r="EY3178" s="33" t="s">
        <v>663</v>
      </c>
      <c r="EZ3178" s="33" t="s">
        <v>664</v>
      </c>
      <c r="FA3178" s="33" t="s">
        <v>343</v>
      </c>
      <c r="FB3178" s="33" t="s">
        <v>344</v>
      </c>
      <c r="FC3178" s="33" t="s">
        <v>345</v>
      </c>
      <c r="FD3178" s="33" t="s">
        <v>346</v>
      </c>
      <c r="FE3178" s="33">
        <v>2025</v>
      </c>
      <c r="FF3178" s="33" t="s">
        <v>59</v>
      </c>
      <c r="FG3178" s="33" t="s">
        <v>386</v>
      </c>
      <c r="FH3178" s="33" t="s">
        <v>387</v>
      </c>
      <c r="FI3178" s="33" t="s">
        <v>407</v>
      </c>
      <c r="FJ3178" t="s">
        <v>59</v>
      </c>
    </row>
    <row r="3179" spans="153:166" x14ac:dyDescent="0.35">
      <c r="EW3179" t="s">
        <v>4093</v>
      </c>
      <c r="EX3179" s="33" t="s">
        <v>4353</v>
      </c>
      <c r="EY3179" s="33" t="s">
        <v>668</v>
      </c>
      <c r="EZ3179" s="33" t="s">
        <v>669</v>
      </c>
      <c r="FA3179" s="33" t="s">
        <v>343</v>
      </c>
      <c r="FB3179" s="33" t="s">
        <v>344</v>
      </c>
      <c r="FC3179" s="33" t="s">
        <v>345</v>
      </c>
      <c r="FD3179" s="33" t="s">
        <v>346</v>
      </c>
      <c r="FE3179" s="33">
        <v>2025</v>
      </c>
      <c r="FF3179" s="33" t="s">
        <v>59</v>
      </c>
      <c r="FG3179" s="33" t="s">
        <v>477</v>
      </c>
      <c r="FH3179" s="33" t="s">
        <v>478</v>
      </c>
      <c r="FI3179" s="33" t="s">
        <v>479</v>
      </c>
      <c r="FJ3179" t="s">
        <v>59</v>
      </c>
    </row>
    <row r="3180" spans="153:166" x14ac:dyDescent="0.35">
      <c r="EW3180" t="s">
        <v>4093</v>
      </c>
      <c r="EX3180" s="33" t="s">
        <v>4354</v>
      </c>
      <c r="EY3180" s="33" t="s">
        <v>673</v>
      </c>
      <c r="EZ3180" s="33" t="s">
        <v>674</v>
      </c>
      <c r="FA3180" s="33" t="s">
        <v>343</v>
      </c>
      <c r="FB3180" s="33" t="s">
        <v>344</v>
      </c>
      <c r="FC3180" s="33" t="s">
        <v>345</v>
      </c>
      <c r="FD3180" s="33" t="s">
        <v>346</v>
      </c>
      <c r="FE3180" s="33">
        <v>2025</v>
      </c>
      <c r="FF3180" s="33" t="s">
        <v>59</v>
      </c>
      <c r="FG3180" s="33" t="s">
        <v>386</v>
      </c>
      <c r="FH3180" s="33" t="s">
        <v>387</v>
      </c>
      <c r="FI3180" s="33" t="s">
        <v>407</v>
      </c>
      <c r="FJ3180" t="s">
        <v>59</v>
      </c>
    </row>
    <row r="3181" spans="153:166" x14ac:dyDescent="0.35">
      <c r="EW3181" t="s">
        <v>4093</v>
      </c>
      <c r="EX3181" s="33" t="s">
        <v>4355</v>
      </c>
      <c r="EY3181" s="33" t="s">
        <v>675</v>
      </c>
      <c r="EZ3181" s="33" t="s">
        <v>676</v>
      </c>
      <c r="FA3181" s="33" t="s">
        <v>343</v>
      </c>
      <c r="FB3181" s="33" t="s">
        <v>344</v>
      </c>
      <c r="FC3181" s="33" t="s">
        <v>345</v>
      </c>
      <c r="FD3181" s="33" t="s">
        <v>346</v>
      </c>
      <c r="FE3181" s="33">
        <v>2025</v>
      </c>
      <c r="FF3181" s="33" t="s">
        <v>59</v>
      </c>
      <c r="FG3181" s="33" t="s">
        <v>386</v>
      </c>
      <c r="FH3181" s="33" t="s">
        <v>387</v>
      </c>
      <c r="FI3181" s="33" t="s">
        <v>407</v>
      </c>
      <c r="FJ3181" t="s">
        <v>59</v>
      </c>
    </row>
    <row r="3182" spans="153:166" x14ac:dyDescent="0.35">
      <c r="EW3182" t="s">
        <v>4093</v>
      </c>
      <c r="EX3182" s="33" t="s">
        <v>4356</v>
      </c>
      <c r="EY3182" s="33" t="s">
        <v>677</v>
      </c>
      <c r="EZ3182" s="33" t="s">
        <v>678</v>
      </c>
      <c r="FA3182" s="33" t="s">
        <v>343</v>
      </c>
      <c r="FB3182" s="33" t="s">
        <v>344</v>
      </c>
      <c r="FC3182" s="33" t="s">
        <v>345</v>
      </c>
      <c r="FD3182" s="33" t="s">
        <v>346</v>
      </c>
      <c r="FE3182" s="33">
        <v>2025</v>
      </c>
      <c r="FF3182" s="33" t="s">
        <v>59</v>
      </c>
      <c r="FG3182" s="33" t="s">
        <v>477</v>
      </c>
      <c r="FH3182" s="33" t="s">
        <v>478</v>
      </c>
      <c r="FI3182" s="33" t="s">
        <v>479</v>
      </c>
      <c r="FJ3182" t="s">
        <v>59</v>
      </c>
    </row>
    <row r="3183" spans="153:166" x14ac:dyDescent="0.35">
      <c r="EW3183" t="s">
        <v>4093</v>
      </c>
      <c r="EX3183" s="33" t="s">
        <v>4357</v>
      </c>
      <c r="EY3183" s="33" t="s">
        <v>679</v>
      </c>
      <c r="EZ3183" s="33" t="s">
        <v>680</v>
      </c>
      <c r="FA3183" s="33" t="s">
        <v>343</v>
      </c>
      <c r="FB3183" s="33" t="s">
        <v>344</v>
      </c>
      <c r="FC3183" s="33" t="s">
        <v>345</v>
      </c>
      <c r="FD3183" s="33" t="s">
        <v>346</v>
      </c>
      <c r="FE3183" s="33">
        <v>2025</v>
      </c>
      <c r="FF3183" s="33" t="s">
        <v>59</v>
      </c>
      <c r="FG3183" s="33" t="s">
        <v>470</v>
      </c>
      <c r="FH3183" s="33" t="s">
        <v>471</v>
      </c>
      <c r="FI3183" s="33" t="s">
        <v>467</v>
      </c>
      <c r="FJ3183" t="s">
        <v>59</v>
      </c>
    </row>
    <row r="3184" spans="153:166" x14ac:dyDescent="0.35">
      <c r="EW3184" t="s">
        <v>4093</v>
      </c>
      <c r="EX3184" s="33" t="s">
        <v>4358</v>
      </c>
      <c r="EY3184" s="33" t="s">
        <v>681</v>
      </c>
      <c r="EZ3184" s="33" t="s">
        <v>682</v>
      </c>
      <c r="FA3184" s="33" t="s">
        <v>343</v>
      </c>
      <c r="FB3184" s="33" t="s">
        <v>344</v>
      </c>
      <c r="FC3184" s="33" t="s">
        <v>345</v>
      </c>
      <c r="FD3184" s="33" t="s">
        <v>346</v>
      </c>
      <c r="FE3184" s="33">
        <v>2025</v>
      </c>
      <c r="FF3184" s="33" t="s">
        <v>59</v>
      </c>
      <c r="FG3184" s="33" t="s">
        <v>386</v>
      </c>
      <c r="FH3184" s="33" t="s">
        <v>387</v>
      </c>
      <c r="FI3184" s="33" t="s">
        <v>407</v>
      </c>
      <c r="FJ3184" t="s">
        <v>59</v>
      </c>
    </row>
    <row r="3185" spans="153:166" x14ac:dyDescent="0.35">
      <c r="EW3185" t="s">
        <v>4093</v>
      </c>
      <c r="EX3185" s="33" t="s">
        <v>4359</v>
      </c>
      <c r="EY3185" s="33" t="s">
        <v>683</v>
      </c>
      <c r="EZ3185" s="33" t="s">
        <v>684</v>
      </c>
      <c r="FA3185" s="33" t="s">
        <v>343</v>
      </c>
      <c r="FB3185" s="33" t="s">
        <v>344</v>
      </c>
      <c r="FC3185" s="33" t="s">
        <v>345</v>
      </c>
      <c r="FD3185" s="33" t="s">
        <v>346</v>
      </c>
      <c r="FE3185" s="33">
        <v>2025</v>
      </c>
      <c r="FF3185" s="33" t="s">
        <v>59</v>
      </c>
      <c r="FG3185" s="33" t="s">
        <v>386</v>
      </c>
      <c r="FH3185" s="33" t="s">
        <v>387</v>
      </c>
      <c r="FI3185" s="33" t="s">
        <v>407</v>
      </c>
      <c r="FJ3185" t="s">
        <v>59</v>
      </c>
    </row>
    <row r="3186" spans="153:166" x14ac:dyDescent="0.35">
      <c r="EW3186" t="s">
        <v>4093</v>
      </c>
      <c r="EX3186" s="33" t="s">
        <v>4360</v>
      </c>
      <c r="EY3186" s="33" t="s">
        <v>688</v>
      </c>
      <c r="EZ3186" s="33" t="s">
        <v>689</v>
      </c>
      <c r="FA3186" s="33" t="s">
        <v>343</v>
      </c>
      <c r="FB3186" s="33" t="s">
        <v>344</v>
      </c>
      <c r="FC3186" s="33" t="s">
        <v>345</v>
      </c>
      <c r="FD3186" s="33" t="s">
        <v>346</v>
      </c>
      <c r="FE3186" s="33">
        <v>2025</v>
      </c>
      <c r="FF3186" s="33" t="s">
        <v>59</v>
      </c>
      <c r="FG3186" s="33" t="s">
        <v>477</v>
      </c>
      <c r="FH3186" s="33" t="s">
        <v>478</v>
      </c>
      <c r="FI3186" s="33" t="s">
        <v>479</v>
      </c>
      <c r="FJ3186" t="s">
        <v>59</v>
      </c>
    </row>
    <row r="3187" spans="153:166" x14ac:dyDescent="0.35">
      <c r="EW3187" t="s">
        <v>4093</v>
      </c>
      <c r="EX3187" s="33" t="s">
        <v>4361</v>
      </c>
      <c r="EY3187" s="33" t="s">
        <v>690</v>
      </c>
      <c r="EZ3187" s="33" t="s">
        <v>691</v>
      </c>
      <c r="FA3187" s="33" t="s">
        <v>343</v>
      </c>
      <c r="FB3187" s="33" t="s">
        <v>344</v>
      </c>
      <c r="FC3187" s="33" t="s">
        <v>345</v>
      </c>
      <c r="FD3187" s="33" t="s">
        <v>346</v>
      </c>
      <c r="FE3187" s="33">
        <v>2025</v>
      </c>
      <c r="FF3187" s="33" t="s">
        <v>59</v>
      </c>
      <c r="FG3187" s="33" t="s">
        <v>477</v>
      </c>
      <c r="FH3187" s="33" t="s">
        <v>478</v>
      </c>
      <c r="FI3187" s="33" t="s">
        <v>479</v>
      </c>
      <c r="FJ3187" t="s">
        <v>59</v>
      </c>
    </row>
    <row r="3188" spans="153:166" x14ac:dyDescent="0.35">
      <c r="EW3188" t="s">
        <v>4093</v>
      </c>
      <c r="EX3188" s="33" t="s">
        <v>4362</v>
      </c>
      <c r="EY3188" s="33" t="s">
        <v>692</v>
      </c>
      <c r="EZ3188" s="33" t="s">
        <v>693</v>
      </c>
      <c r="FA3188" s="33" t="s">
        <v>343</v>
      </c>
      <c r="FB3188" s="33" t="s">
        <v>344</v>
      </c>
      <c r="FC3188" s="33" t="s">
        <v>345</v>
      </c>
      <c r="FD3188" s="33" t="s">
        <v>346</v>
      </c>
      <c r="FE3188" s="33">
        <v>2025</v>
      </c>
      <c r="FF3188" s="33" t="s">
        <v>59</v>
      </c>
      <c r="FG3188" s="33" t="s">
        <v>386</v>
      </c>
      <c r="FH3188" s="33" t="s">
        <v>387</v>
      </c>
      <c r="FI3188" s="33" t="s">
        <v>407</v>
      </c>
      <c r="FJ3188" t="s">
        <v>59</v>
      </c>
    </row>
    <row r="3189" spans="153:166" x14ac:dyDescent="0.35">
      <c r="EW3189" t="s">
        <v>4093</v>
      </c>
      <c r="EX3189" s="33" t="s">
        <v>4363</v>
      </c>
      <c r="EY3189" s="33" t="s">
        <v>694</v>
      </c>
      <c r="EZ3189" s="33" t="s">
        <v>695</v>
      </c>
      <c r="FA3189" s="33" t="s">
        <v>343</v>
      </c>
      <c r="FB3189" s="33" t="s">
        <v>344</v>
      </c>
      <c r="FC3189" s="33" t="s">
        <v>345</v>
      </c>
      <c r="FD3189" s="33" t="s">
        <v>346</v>
      </c>
      <c r="FE3189" s="33">
        <v>2025</v>
      </c>
      <c r="FF3189" s="33" t="s">
        <v>59</v>
      </c>
      <c r="FG3189" s="33" t="s">
        <v>477</v>
      </c>
      <c r="FH3189" s="33" t="s">
        <v>478</v>
      </c>
      <c r="FI3189" s="33" t="s">
        <v>479</v>
      </c>
      <c r="FJ3189" t="s">
        <v>59</v>
      </c>
    </row>
    <row r="3190" spans="153:166" x14ac:dyDescent="0.35">
      <c r="EW3190" t="s">
        <v>4093</v>
      </c>
      <c r="EX3190" s="33" t="s">
        <v>4364</v>
      </c>
      <c r="EY3190" s="33" t="s">
        <v>696</v>
      </c>
      <c r="EZ3190" s="33" t="s">
        <v>697</v>
      </c>
      <c r="FA3190" s="33" t="s">
        <v>343</v>
      </c>
      <c r="FB3190" s="33" t="s">
        <v>344</v>
      </c>
      <c r="FC3190" s="33" t="s">
        <v>345</v>
      </c>
      <c r="FD3190" s="33" t="s">
        <v>346</v>
      </c>
      <c r="FE3190" s="33">
        <v>2025</v>
      </c>
      <c r="FF3190" s="33" t="s">
        <v>59</v>
      </c>
      <c r="FG3190" s="33" t="s">
        <v>386</v>
      </c>
      <c r="FH3190" s="33" t="s">
        <v>387</v>
      </c>
      <c r="FI3190" s="33" t="s">
        <v>407</v>
      </c>
      <c r="FJ3190" t="s">
        <v>59</v>
      </c>
    </row>
    <row r="3191" spans="153:166" x14ac:dyDescent="0.35">
      <c r="EW3191" t="s">
        <v>4093</v>
      </c>
      <c r="EX3191" s="33" t="s">
        <v>4365</v>
      </c>
      <c r="EY3191" s="33" t="s">
        <v>701</v>
      </c>
      <c r="EZ3191" s="33" t="s">
        <v>702</v>
      </c>
      <c r="FA3191" s="33" t="s">
        <v>343</v>
      </c>
      <c r="FB3191" s="33" t="s">
        <v>344</v>
      </c>
      <c r="FC3191" s="33" t="s">
        <v>345</v>
      </c>
      <c r="FD3191" s="33" t="s">
        <v>346</v>
      </c>
      <c r="FE3191" s="33">
        <v>2025</v>
      </c>
      <c r="FF3191" s="33" t="s">
        <v>59</v>
      </c>
      <c r="FG3191" s="33" t="s">
        <v>477</v>
      </c>
      <c r="FH3191" s="33" t="s">
        <v>478</v>
      </c>
      <c r="FI3191" s="33" t="s">
        <v>479</v>
      </c>
      <c r="FJ3191" t="s">
        <v>59</v>
      </c>
    </row>
    <row r="3192" spans="153:166" x14ac:dyDescent="0.35">
      <c r="EW3192" t="s">
        <v>4093</v>
      </c>
      <c r="EX3192" s="33" t="s">
        <v>4366</v>
      </c>
      <c r="EY3192" s="33" t="s">
        <v>703</v>
      </c>
      <c r="EZ3192" s="33" t="s">
        <v>704</v>
      </c>
      <c r="FA3192" s="33" t="s">
        <v>343</v>
      </c>
      <c r="FB3192" s="33" t="s">
        <v>344</v>
      </c>
      <c r="FC3192" s="33" t="s">
        <v>345</v>
      </c>
      <c r="FD3192" s="33" t="s">
        <v>346</v>
      </c>
      <c r="FE3192" s="33">
        <v>2025</v>
      </c>
      <c r="FF3192" s="33" t="s">
        <v>59</v>
      </c>
      <c r="FG3192" s="33" t="s">
        <v>477</v>
      </c>
      <c r="FH3192" s="33" t="s">
        <v>478</v>
      </c>
      <c r="FI3192" s="33" t="s">
        <v>479</v>
      </c>
      <c r="FJ3192" t="s">
        <v>59</v>
      </c>
    </row>
    <row r="3193" spans="153:166" x14ac:dyDescent="0.35">
      <c r="EW3193" t="s">
        <v>4093</v>
      </c>
      <c r="EX3193" s="33" t="s">
        <v>4367</v>
      </c>
      <c r="EY3193" s="33" t="s">
        <v>708</v>
      </c>
      <c r="EZ3193" s="33" t="s">
        <v>709</v>
      </c>
      <c r="FA3193" s="33" t="s">
        <v>343</v>
      </c>
      <c r="FB3193" s="33" t="s">
        <v>344</v>
      </c>
      <c r="FC3193" s="33" t="s">
        <v>345</v>
      </c>
      <c r="FD3193" s="33" t="s">
        <v>346</v>
      </c>
      <c r="FE3193" s="33">
        <v>2025</v>
      </c>
      <c r="FF3193" s="33" t="s">
        <v>59</v>
      </c>
      <c r="FG3193" s="33" t="s">
        <v>477</v>
      </c>
      <c r="FH3193" s="33" t="s">
        <v>478</v>
      </c>
      <c r="FI3193" s="33" t="s">
        <v>479</v>
      </c>
      <c r="FJ3193" t="s">
        <v>59</v>
      </c>
    </row>
    <row r="3194" spans="153:166" x14ac:dyDescent="0.35">
      <c r="EW3194" t="s">
        <v>4093</v>
      </c>
      <c r="EX3194" s="33" t="s">
        <v>4368</v>
      </c>
      <c r="EY3194" s="33" t="s">
        <v>713</v>
      </c>
      <c r="EZ3194" s="33" t="s">
        <v>714</v>
      </c>
      <c r="FA3194" s="33" t="s">
        <v>343</v>
      </c>
      <c r="FB3194" s="33" t="s">
        <v>344</v>
      </c>
      <c r="FC3194" s="33" t="s">
        <v>345</v>
      </c>
      <c r="FD3194" s="33" t="s">
        <v>346</v>
      </c>
      <c r="FE3194" s="33">
        <v>2025</v>
      </c>
      <c r="FF3194" s="33" t="s">
        <v>59</v>
      </c>
      <c r="FG3194" s="33" t="s">
        <v>470</v>
      </c>
      <c r="FH3194" s="33" t="s">
        <v>471</v>
      </c>
      <c r="FI3194" s="33" t="s">
        <v>467</v>
      </c>
      <c r="FJ3194" t="s">
        <v>59</v>
      </c>
    </row>
    <row r="3195" spans="153:166" x14ac:dyDescent="0.35">
      <c r="EW3195" t="s">
        <v>4093</v>
      </c>
      <c r="EX3195" s="33" t="s">
        <v>4369</v>
      </c>
      <c r="EY3195" s="33" t="s">
        <v>715</v>
      </c>
      <c r="EZ3195" s="33" t="s">
        <v>716</v>
      </c>
      <c r="FA3195" s="33" t="s">
        <v>343</v>
      </c>
      <c r="FB3195" s="33" t="s">
        <v>344</v>
      </c>
      <c r="FC3195" s="33" t="s">
        <v>345</v>
      </c>
      <c r="FD3195" s="33" t="s">
        <v>346</v>
      </c>
      <c r="FE3195" s="33">
        <v>2025</v>
      </c>
      <c r="FF3195" s="33" t="s">
        <v>59</v>
      </c>
      <c r="FG3195" s="33" t="s">
        <v>386</v>
      </c>
      <c r="FH3195" s="33" t="s">
        <v>387</v>
      </c>
      <c r="FI3195" s="33" t="s">
        <v>407</v>
      </c>
      <c r="FJ3195" t="s">
        <v>59</v>
      </c>
    </row>
    <row r="3196" spans="153:166" x14ac:dyDescent="0.35">
      <c r="EW3196" t="s">
        <v>4093</v>
      </c>
      <c r="EX3196" s="33" t="s">
        <v>4370</v>
      </c>
      <c r="EY3196" s="33" t="s">
        <v>717</v>
      </c>
      <c r="EZ3196" s="33" t="s">
        <v>718</v>
      </c>
      <c r="FA3196" s="33" t="s">
        <v>343</v>
      </c>
      <c r="FB3196" s="33" t="s">
        <v>344</v>
      </c>
      <c r="FC3196" s="33" t="s">
        <v>345</v>
      </c>
      <c r="FD3196" s="33" t="s">
        <v>346</v>
      </c>
      <c r="FE3196" s="33">
        <v>2025</v>
      </c>
      <c r="FF3196" s="33" t="s">
        <v>59</v>
      </c>
      <c r="FG3196" s="33" t="s">
        <v>477</v>
      </c>
      <c r="FH3196" s="33" t="s">
        <v>478</v>
      </c>
      <c r="FI3196" s="33" t="s">
        <v>479</v>
      </c>
      <c r="FJ3196" t="s">
        <v>59</v>
      </c>
    </row>
    <row r="3197" spans="153:166" x14ac:dyDescent="0.35">
      <c r="EW3197" t="s">
        <v>4093</v>
      </c>
      <c r="EX3197" s="33" t="s">
        <v>4371</v>
      </c>
      <c r="EY3197" s="33" t="s">
        <v>719</v>
      </c>
      <c r="EZ3197" s="33" t="s">
        <v>720</v>
      </c>
      <c r="FA3197" s="33" t="s">
        <v>343</v>
      </c>
      <c r="FB3197" s="33" t="s">
        <v>344</v>
      </c>
      <c r="FC3197" s="33" t="s">
        <v>345</v>
      </c>
      <c r="FD3197" s="33" t="s">
        <v>346</v>
      </c>
      <c r="FE3197" s="33">
        <v>2025</v>
      </c>
      <c r="FF3197" s="33" t="s">
        <v>59</v>
      </c>
      <c r="FG3197" s="33" t="s">
        <v>477</v>
      </c>
      <c r="FH3197" s="33" t="s">
        <v>478</v>
      </c>
      <c r="FI3197" s="33" t="s">
        <v>479</v>
      </c>
      <c r="FJ3197" t="s">
        <v>59</v>
      </c>
    </row>
    <row r="3198" spans="153:166" x14ac:dyDescent="0.35">
      <c r="EW3198" t="s">
        <v>4093</v>
      </c>
      <c r="EX3198" s="33" t="s">
        <v>4372</v>
      </c>
      <c r="EY3198" s="33" t="s">
        <v>721</v>
      </c>
      <c r="EZ3198" s="33" t="s">
        <v>722</v>
      </c>
      <c r="FA3198" s="33" t="s">
        <v>343</v>
      </c>
      <c r="FB3198" s="33" t="s">
        <v>344</v>
      </c>
      <c r="FC3198" s="33" t="s">
        <v>345</v>
      </c>
      <c r="FD3198" s="33" t="s">
        <v>346</v>
      </c>
      <c r="FE3198" s="33">
        <v>2025</v>
      </c>
      <c r="FF3198" s="33" t="s">
        <v>59</v>
      </c>
      <c r="FG3198" s="33" t="s">
        <v>386</v>
      </c>
      <c r="FH3198" s="33" t="s">
        <v>387</v>
      </c>
      <c r="FI3198" s="33" t="s">
        <v>407</v>
      </c>
      <c r="FJ3198" t="s">
        <v>59</v>
      </c>
    </row>
    <row r="3199" spans="153:166" x14ac:dyDescent="0.35">
      <c r="EW3199" t="s">
        <v>4093</v>
      </c>
      <c r="EX3199" s="33" t="s">
        <v>4373</v>
      </c>
      <c r="EY3199" s="33" t="s">
        <v>726</v>
      </c>
      <c r="EZ3199" s="33" t="s">
        <v>727</v>
      </c>
      <c r="FA3199" s="33" t="s">
        <v>343</v>
      </c>
      <c r="FB3199" s="33" t="s">
        <v>344</v>
      </c>
      <c r="FC3199" s="33" t="s">
        <v>345</v>
      </c>
      <c r="FD3199" s="33" t="s">
        <v>346</v>
      </c>
      <c r="FE3199" s="33">
        <v>2025</v>
      </c>
      <c r="FF3199" s="33" t="s">
        <v>59</v>
      </c>
      <c r="FG3199" s="33" t="s">
        <v>477</v>
      </c>
      <c r="FH3199" s="33" t="s">
        <v>478</v>
      </c>
      <c r="FI3199" s="33" t="s">
        <v>479</v>
      </c>
      <c r="FJ3199" t="s">
        <v>59</v>
      </c>
    </row>
    <row r="3200" spans="153:166" x14ac:dyDescent="0.35">
      <c r="EW3200" t="s">
        <v>4093</v>
      </c>
      <c r="EX3200" s="33" t="s">
        <v>4374</v>
      </c>
      <c r="EY3200" s="33" t="s">
        <v>731</v>
      </c>
      <c r="EZ3200" s="33" t="s">
        <v>732</v>
      </c>
      <c r="FA3200" s="33" t="s">
        <v>343</v>
      </c>
      <c r="FB3200" s="33" t="s">
        <v>344</v>
      </c>
      <c r="FC3200" s="33" t="s">
        <v>345</v>
      </c>
      <c r="FD3200" s="33" t="s">
        <v>346</v>
      </c>
      <c r="FE3200" s="33">
        <v>2025</v>
      </c>
      <c r="FF3200" s="33" t="s">
        <v>59</v>
      </c>
      <c r="FG3200" s="33" t="s">
        <v>386</v>
      </c>
      <c r="FH3200" s="33" t="s">
        <v>387</v>
      </c>
      <c r="FI3200" s="33" t="s">
        <v>407</v>
      </c>
      <c r="FJ3200" t="s">
        <v>59</v>
      </c>
    </row>
    <row r="3201" spans="153:166" x14ac:dyDescent="0.35">
      <c r="EW3201" t="s">
        <v>4093</v>
      </c>
      <c r="EX3201" s="33" t="s">
        <v>4375</v>
      </c>
      <c r="EY3201" s="33" t="s">
        <v>733</v>
      </c>
      <c r="EZ3201" s="33" t="s">
        <v>734</v>
      </c>
      <c r="FA3201" s="33" t="s">
        <v>343</v>
      </c>
      <c r="FB3201" s="33" t="s">
        <v>344</v>
      </c>
      <c r="FC3201" s="33" t="s">
        <v>345</v>
      </c>
      <c r="FD3201" s="33" t="s">
        <v>346</v>
      </c>
      <c r="FE3201" s="33">
        <v>2025</v>
      </c>
      <c r="FF3201" s="33" t="s">
        <v>59</v>
      </c>
      <c r="FG3201" s="33" t="s">
        <v>477</v>
      </c>
      <c r="FH3201" s="33" t="s">
        <v>478</v>
      </c>
      <c r="FI3201" s="33" t="s">
        <v>479</v>
      </c>
      <c r="FJ3201" t="s">
        <v>59</v>
      </c>
    </row>
    <row r="3202" spans="153:166" x14ac:dyDescent="0.35">
      <c r="EW3202" t="s">
        <v>4093</v>
      </c>
      <c r="EX3202" s="33" t="s">
        <v>4376</v>
      </c>
      <c r="EY3202" s="33" t="s">
        <v>738</v>
      </c>
      <c r="EZ3202" s="33" t="s">
        <v>739</v>
      </c>
      <c r="FA3202" s="33" t="s">
        <v>343</v>
      </c>
      <c r="FB3202" s="33" t="s">
        <v>344</v>
      </c>
      <c r="FC3202" s="33" t="s">
        <v>345</v>
      </c>
      <c r="FD3202" s="33" t="s">
        <v>346</v>
      </c>
      <c r="FE3202" s="33">
        <v>2025</v>
      </c>
      <c r="FF3202" s="33" t="s">
        <v>59</v>
      </c>
      <c r="FG3202" s="33" t="s">
        <v>386</v>
      </c>
      <c r="FH3202" s="33" t="s">
        <v>387</v>
      </c>
      <c r="FI3202" s="33" t="s">
        <v>407</v>
      </c>
      <c r="FJ3202" t="s">
        <v>59</v>
      </c>
    </row>
    <row r="3203" spans="153:166" x14ac:dyDescent="0.35">
      <c r="EW3203" t="s">
        <v>4093</v>
      </c>
      <c r="EX3203" s="33" t="s">
        <v>4377</v>
      </c>
      <c r="EY3203" s="33" t="s">
        <v>740</v>
      </c>
      <c r="EZ3203" s="33" t="s">
        <v>741</v>
      </c>
      <c r="FA3203" s="33" t="s">
        <v>343</v>
      </c>
      <c r="FB3203" s="33" t="s">
        <v>344</v>
      </c>
      <c r="FC3203" s="33" t="s">
        <v>345</v>
      </c>
      <c r="FD3203" s="33" t="s">
        <v>346</v>
      </c>
      <c r="FE3203" s="33">
        <v>2025</v>
      </c>
      <c r="FF3203" s="33" t="s">
        <v>59</v>
      </c>
      <c r="FG3203" s="33" t="s">
        <v>477</v>
      </c>
      <c r="FH3203" s="33" t="s">
        <v>478</v>
      </c>
      <c r="FI3203" s="33" t="s">
        <v>479</v>
      </c>
      <c r="FJ3203" t="s">
        <v>59</v>
      </c>
    </row>
    <row r="3204" spans="153:166" x14ac:dyDescent="0.35">
      <c r="EW3204" t="s">
        <v>4093</v>
      </c>
      <c r="EX3204" s="33" t="s">
        <v>4378</v>
      </c>
      <c r="EY3204" s="33" t="s">
        <v>742</v>
      </c>
      <c r="EZ3204" s="33" t="s">
        <v>743</v>
      </c>
      <c r="FA3204" s="33" t="s">
        <v>343</v>
      </c>
      <c r="FB3204" s="33" t="s">
        <v>344</v>
      </c>
      <c r="FC3204" s="33" t="s">
        <v>345</v>
      </c>
      <c r="FD3204" s="33" t="s">
        <v>346</v>
      </c>
      <c r="FE3204" s="33">
        <v>2025</v>
      </c>
      <c r="FF3204" s="33" t="s">
        <v>59</v>
      </c>
      <c r="FG3204" s="33" t="s">
        <v>386</v>
      </c>
      <c r="FH3204" s="33" t="s">
        <v>387</v>
      </c>
      <c r="FI3204" s="33" t="s">
        <v>407</v>
      </c>
      <c r="FJ3204" t="s">
        <v>59</v>
      </c>
    </row>
    <row r="3205" spans="153:166" x14ac:dyDescent="0.35">
      <c r="EW3205" t="s">
        <v>4093</v>
      </c>
      <c r="EX3205" s="33" t="s">
        <v>4379</v>
      </c>
      <c r="EY3205" s="33" t="s">
        <v>747</v>
      </c>
      <c r="EZ3205" s="33" t="s">
        <v>748</v>
      </c>
      <c r="FA3205" s="33" t="s">
        <v>343</v>
      </c>
      <c r="FB3205" s="33" t="s">
        <v>344</v>
      </c>
      <c r="FC3205" s="33" t="s">
        <v>345</v>
      </c>
      <c r="FD3205" s="33" t="s">
        <v>346</v>
      </c>
      <c r="FE3205" s="33">
        <v>2025</v>
      </c>
      <c r="FF3205" s="33" t="s">
        <v>59</v>
      </c>
      <c r="FG3205" s="33" t="s">
        <v>477</v>
      </c>
      <c r="FH3205" s="33" t="s">
        <v>478</v>
      </c>
      <c r="FI3205" s="33" t="s">
        <v>479</v>
      </c>
      <c r="FJ3205" t="s">
        <v>59</v>
      </c>
    </row>
    <row r="3206" spans="153:166" x14ac:dyDescent="0.35">
      <c r="EW3206" t="s">
        <v>4093</v>
      </c>
      <c r="EX3206" s="33" t="s">
        <v>4380</v>
      </c>
      <c r="EY3206" s="33" t="s">
        <v>752</v>
      </c>
      <c r="EZ3206" s="33" t="s">
        <v>753</v>
      </c>
      <c r="FA3206" s="33" t="s">
        <v>343</v>
      </c>
      <c r="FB3206" s="33" t="s">
        <v>344</v>
      </c>
      <c r="FC3206" s="33" t="s">
        <v>345</v>
      </c>
      <c r="FD3206" s="33" t="s">
        <v>346</v>
      </c>
      <c r="FE3206" s="33">
        <v>2025</v>
      </c>
      <c r="FF3206" s="33" t="s">
        <v>59</v>
      </c>
      <c r="FG3206" s="33" t="s">
        <v>386</v>
      </c>
      <c r="FH3206" s="33" t="s">
        <v>387</v>
      </c>
      <c r="FI3206" s="33" t="s">
        <v>407</v>
      </c>
      <c r="FJ3206" t="s">
        <v>59</v>
      </c>
    </row>
    <row r="3207" spans="153:166" x14ac:dyDescent="0.35">
      <c r="EW3207" t="s">
        <v>4093</v>
      </c>
      <c r="EX3207" s="33" t="s">
        <v>4381</v>
      </c>
      <c r="EY3207" s="33" t="s">
        <v>754</v>
      </c>
      <c r="EZ3207" s="33" t="s">
        <v>755</v>
      </c>
      <c r="FA3207" s="33" t="s">
        <v>343</v>
      </c>
      <c r="FB3207" s="33" t="s">
        <v>344</v>
      </c>
      <c r="FC3207" s="33" t="s">
        <v>345</v>
      </c>
      <c r="FD3207" s="33" t="s">
        <v>346</v>
      </c>
      <c r="FE3207" s="33">
        <v>2025</v>
      </c>
      <c r="FF3207" s="33" t="s">
        <v>59</v>
      </c>
      <c r="FG3207" s="33" t="s">
        <v>477</v>
      </c>
      <c r="FH3207" s="33" t="s">
        <v>478</v>
      </c>
      <c r="FI3207" s="33" t="s">
        <v>479</v>
      </c>
      <c r="FJ3207" t="s">
        <v>59</v>
      </c>
    </row>
    <row r="3208" spans="153:166" x14ac:dyDescent="0.35">
      <c r="EW3208" t="s">
        <v>4093</v>
      </c>
      <c r="EX3208" s="33" t="s">
        <v>4382</v>
      </c>
      <c r="EY3208" s="33" t="s">
        <v>756</v>
      </c>
      <c r="EZ3208" s="33" t="s">
        <v>757</v>
      </c>
      <c r="FA3208" s="33" t="s">
        <v>343</v>
      </c>
      <c r="FB3208" s="33" t="s">
        <v>344</v>
      </c>
      <c r="FC3208" s="33" t="s">
        <v>345</v>
      </c>
      <c r="FD3208" s="33" t="s">
        <v>346</v>
      </c>
      <c r="FE3208" s="33">
        <v>2025</v>
      </c>
      <c r="FF3208" s="33" t="s">
        <v>59</v>
      </c>
      <c r="FG3208" s="33" t="s">
        <v>477</v>
      </c>
      <c r="FH3208" s="33" t="s">
        <v>478</v>
      </c>
      <c r="FI3208" s="33" t="s">
        <v>479</v>
      </c>
      <c r="FJ3208" t="s">
        <v>59</v>
      </c>
    </row>
    <row r="3209" spans="153:166" x14ac:dyDescent="0.35">
      <c r="EW3209" t="s">
        <v>4093</v>
      </c>
      <c r="EX3209" s="33" t="s">
        <v>4383</v>
      </c>
      <c r="EY3209" s="33" t="s">
        <v>758</v>
      </c>
      <c r="EZ3209" s="33" t="s">
        <v>759</v>
      </c>
      <c r="FA3209" s="33" t="s">
        <v>343</v>
      </c>
      <c r="FB3209" s="33" t="s">
        <v>344</v>
      </c>
      <c r="FC3209" s="33" t="s">
        <v>345</v>
      </c>
      <c r="FD3209" s="33" t="s">
        <v>346</v>
      </c>
      <c r="FE3209" s="33">
        <v>2025</v>
      </c>
      <c r="FF3209" s="33" t="s">
        <v>59</v>
      </c>
      <c r="FG3209" s="33" t="s">
        <v>477</v>
      </c>
      <c r="FH3209" s="33" t="s">
        <v>478</v>
      </c>
      <c r="FI3209" s="33" t="s">
        <v>479</v>
      </c>
      <c r="FJ3209" t="s">
        <v>59</v>
      </c>
    </row>
    <row r="3210" spans="153:166" x14ac:dyDescent="0.35">
      <c r="EW3210" t="s">
        <v>4093</v>
      </c>
      <c r="EX3210" s="33" t="s">
        <v>4384</v>
      </c>
      <c r="EY3210" s="33" t="s">
        <v>760</v>
      </c>
      <c r="EZ3210" s="33" t="s">
        <v>761</v>
      </c>
      <c r="FA3210" s="33" t="s">
        <v>343</v>
      </c>
      <c r="FB3210" s="33" t="s">
        <v>344</v>
      </c>
      <c r="FC3210" s="33" t="s">
        <v>345</v>
      </c>
      <c r="FD3210" s="33" t="s">
        <v>346</v>
      </c>
      <c r="FE3210" s="33">
        <v>2025</v>
      </c>
      <c r="FF3210" s="33" t="s">
        <v>59</v>
      </c>
      <c r="FG3210" s="33" t="s">
        <v>477</v>
      </c>
      <c r="FH3210" s="33" t="s">
        <v>478</v>
      </c>
      <c r="FI3210" s="33" t="s">
        <v>479</v>
      </c>
      <c r="FJ3210" t="s">
        <v>59</v>
      </c>
    </row>
    <row r="3211" spans="153:166" x14ac:dyDescent="0.35">
      <c r="EW3211" t="s">
        <v>4093</v>
      </c>
      <c r="EX3211" s="33" t="s">
        <v>4385</v>
      </c>
      <c r="EY3211" s="33" t="s">
        <v>762</v>
      </c>
      <c r="EZ3211" s="33" t="s">
        <v>763</v>
      </c>
      <c r="FA3211" s="33" t="s">
        <v>343</v>
      </c>
      <c r="FB3211" s="33" t="s">
        <v>344</v>
      </c>
      <c r="FC3211" s="33" t="s">
        <v>345</v>
      </c>
      <c r="FD3211" s="33" t="s">
        <v>346</v>
      </c>
      <c r="FE3211" s="33">
        <v>2025</v>
      </c>
      <c r="FF3211" s="33" t="s">
        <v>59</v>
      </c>
      <c r="FG3211" s="33" t="s">
        <v>477</v>
      </c>
      <c r="FH3211" s="33" t="s">
        <v>478</v>
      </c>
      <c r="FI3211" s="33" t="s">
        <v>479</v>
      </c>
      <c r="FJ3211" t="s">
        <v>59</v>
      </c>
    </row>
    <row r="3212" spans="153:166" x14ac:dyDescent="0.35">
      <c r="EW3212" t="s">
        <v>4093</v>
      </c>
      <c r="EX3212" s="33" t="s">
        <v>4386</v>
      </c>
      <c r="EY3212" s="33" t="s">
        <v>764</v>
      </c>
      <c r="EZ3212" s="33" t="s">
        <v>765</v>
      </c>
      <c r="FA3212" s="33" t="s">
        <v>343</v>
      </c>
      <c r="FB3212" s="33" t="s">
        <v>344</v>
      </c>
      <c r="FC3212" s="33" t="s">
        <v>345</v>
      </c>
      <c r="FD3212" s="33" t="s">
        <v>346</v>
      </c>
      <c r="FE3212" s="33">
        <v>2025</v>
      </c>
      <c r="FF3212" s="33" t="s">
        <v>59</v>
      </c>
      <c r="FG3212" s="33" t="s">
        <v>477</v>
      </c>
      <c r="FH3212" s="33" t="s">
        <v>478</v>
      </c>
      <c r="FI3212" s="33" t="s">
        <v>479</v>
      </c>
      <c r="FJ3212" t="s">
        <v>59</v>
      </c>
    </row>
    <row r="3213" spans="153:166" x14ac:dyDescent="0.35">
      <c r="EW3213" t="s">
        <v>4093</v>
      </c>
      <c r="EX3213" s="33" t="s">
        <v>4387</v>
      </c>
      <c r="EY3213" s="33" t="s">
        <v>766</v>
      </c>
      <c r="EZ3213" s="33" t="s">
        <v>767</v>
      </c>
      <c r="FA3213" s="33" t="s">
        <v>343</v>
      </c>
      <c r="FB3213" s="33" t="s">
        <v>344</v>
      </c>
      <c r="FC3213" s="33" t="s">
        <v>345</v>
      </c>
      <c r="FD3213" s="33" t="s">
        <v>346</v>
      </c>
      <c r="FE3213" s="33">
        <v>2025</v>
      </c>
      <c r="FF3213" s="33" t="s">
        <v>59</v>
      </c>
      <c r="FG3213" s="33" t="s">
        <v>477</v>
      </c>
      <c r="FH3213" s="33" t="s">
        <v>478</v>
      </c>
      <c r="FI3213" s="33" t="s">
        <v>479</v>
      </c>
      <c r="FJ3213" t="s">
        <v>59</v>
      </c>
    </row>
    <row r="3214" spans="153:166" x14ac:dyDescent="0.35">
      <c r="EW3214" t="s">
        <v>4093</v>
      </c>
      <c r="EX3214" s="33" t="s">
        <v>4388</v>
      </c>
      <c r="EY3214" s="33" t="s">
        <v>768</v>
      </c>
      <c r="EZ3214" s="33" t="s">
        <v>769</v>
      </c>
      <c r="FA3214" s="33" t="s">
        <v>343</v>
      </c>
      <c r="FB3214" s="33" t="s">
        <v>344</v>
      </c>
      <c r="FC3214" s="33" t="s">
        <v>345</v>
      </c>
      <c r="FD3214" s="33" t="s">
        <v>346</v>
      </c>
      <c r="FE3214" s="33">
        <v>2025</v>
      </c>
      <c r="FF3214" s="33" t="s">
        <v>59</v>
      </c>
      <c r="FG3214" s="33" t="s">
        <v>470</v>
      </c>
      <c r="FH3214" s="33" t="s">
        <v>471</v>
      </c>
      <c r="FI3214" s="33" t="s">
        <v>467</v>
      </c>
      <c r="FJ3214" t="s">
        <v>59</v>
      </c>
    </row>
    <row r="3215" spans="153:166" x14ac:dyDescent="0.35">
      <c r="EW3215" t="s">
        <v>4093</v>
      </c>
      <c r="EX3215" s="33" t="s">
        <v>4389</v>
      </c>
      <c r="EY3215" s="33" t="s">
        <v>773</v>
      </c>
      <c r="EZ3215" s="33" t="s">
        <v>774</v>
      </c>
      <c r="FA3215" s="33" t="s">
        <v>343</v>
      </c>
      <c r="FB3215" s="33" t="s">
        <v>344</v>
      </c>
      <c r="FC3215" s="33" t="s">
        <v>345</v>
      </c>
      <c r="FD3215" s="33" t="s">
        <v>346</v>
      </c>
      <c r="FE3215" s="33">
        <v>2025</v>
      </c>
      <c r="FF3215" s="33" t="s">
        <v>59</v>
      </c>
      <c r="FG3215" s="33" t="s">
        <v>470</v>
      </c>
      <c r="FH3215" s="33" t="s">
        <v>471</v>
      </c>
      <c r="FI3215" s="33" t="s">
        <v>467</v>
      </c>
      <c r="FJ3215" t="s">
        <v>59</v>
      </c>
    </row>
    <row r="3216" spans="153:166" x14ac:dyDescent="0.35">
      <c r="EW3216" t="s">
        <v>4093</v>
      </c>
      <c r="EX3216" s="33" t="s">
        <v>4390</v>
      </c>
      <c r="EY3216" s="33" t="s">
        <v>778</v>
      </c>
      <c r="EZ3216" s="33" t="s">
        <v>779</v>
      </c>
      <c r="FA3216" s="33" t="s">
        <v>343</v>
      </c>
      <c r="FB3216" s="33" t="s">
        <v>344</v>
      </c>
      <c r="FC3216" s="33" t="s">
        <v>345</v>
      </c>
      <c r="FD3216" s="33" t="s">
        <v>346</v>
      </c>
      <c r="FE3216" s="33">
        <v>2025</v>
      </c>
      <c r="FF3216" s="33" t="s">
        <v>59</v>
      </c>
      <c r="FG3216" s="33" t="s">
        <v>386</v>
      </c>
      <c r="FH3216" s="33" t="s">
        <v>387</v>
      </c>
      <c r="FI3216" s="33" t="s">
        <v>407</v>
      </c>
      <c r="FJ3216" t="s">
        <v>59</v>
      </c>
    </row>
    <row r="3217" spans="153:166" x14ac:dyDescent="0.35">
      <c r="EW3217" t="s">
        <v>4093</v>
      </c>
      <c r="EX3217" s="33" t="s">
        <v>4391</v>
      </c>
      <c r="EY3217" s="33" t="s">
        <v>780</v>
      </c>
      <c r="EZ3217" s="33" t="s">
        <v>781</v>
      </c>
      <c r="FA3217" s="33" t="s">
        <v>343</v>
      </c>
      <c r="FB3217" s="33" t="s">
        <v>344</v>
      </c>
      <c r="FC3217" s="33" t="s">
        <v>345</v>
      </c>
      <c r="FD3217" s="33" t="s">
        <v>346</v>
      </c>
      <c r="FE3217" s="33">
        <v>2025</v>
      </c>
      <c r="FF3217" s="33" t="s">
        <v>59</v>
      </c>
      <c r="FG3217" s="33" t="s">
        <v>386</v>
      </c>
      <c r="FH3217" s="33" t="s">
        <v>387</v>
      </c>
      <c r="FI3217" s="33" t="s">
        <v>407</v>
      </c>
      <c r="FJ3217" t="s">
        <v>59</v>
      </c>
    </row>
    <row r="3218" spans="153:166" x14ac:dyDescent="0.35">
      <c r="EW3218" t="s">
        <v>4093</v>
      </c>
      <c r="EX3218" s="33" t="s">
        <v>4392</v>
      </c>
      <c r="EY3218" s="33" t="s">
        <v>782</v>
      </c>
      <c r="EZ3218" s="33" t="s">
        <v>783</v>
      </c>
      <c r="FA3218" s="33" t="s">
        <v>343</v>
      </c>
      <c r="FB3218" s="33" t="s">
        <v>344</v>
      </c>
      <c r="FC3218" s="33" t="s">
        <v>345</v>
      </c>
      <c r="FD3218" s="33" t="s">
        <v>346</v>
      </c>
      <c r="FE3218" s="33">
        <v>2025</v>
      </c>
      <c r="FF3218" s="33" t="s">
        <v>59</v>
      </c>
      <c r="FG3218" s="33" t="s">
        <v>386</v>
      </c>
      <c r="FH3218" s="33" t="s">
        <v>387</v>
      </c>
      <c r="FI3218" s="33" t="s">
        <v>407</v>
      </c>
      <c r="FJ3218" t="s">
        <v>59</v>
      </c>
    </row>
    <row r="3219" spans="153:166" x14ac:dyDescent="0.35">
      <c r="EW3219" t="s">
        <v>4093</v>
      </c>
      <c r="EX3219" s="33" t="s">
        <v>4393</v>
      </c>
      <c r="EY3219" s="33" t="s">
        <v>787</v>
      </c>
      <c r="EZ3219" s="33" t="s">
        <v>788</v>
      </c>
      <c r="FA3219" s="33" t="s">
        <v>343</v>
      </c>
      <c r="FB3219" s="33" t="s">
        <v>344</v>
      </c>
      <c r="FC3219" s="33" t="s">
        <v>345</v>
      </c>
      <c r="FD3219" s="33" t="s">
        <v>346</v>
      </c>
      <c r="FE3219" s="33">
        <v>2025</v>
      </c>
      <c r="FF3219" s="33" t="s">
        <v>59</v>
      </c>
      <c r="FG3219" s="33" t="s">
        <v>386</v>
      </c>
      <c r="FH3219" s="33" t="s">
        <v>387</v>
      </c>
      <c r="FI3219" s="33" t="s">
        <v>407</v>
      </c>
      <c r="FJ3219" t="s">
        <v>59</v>
      </c>
    </row>
    <row r="3220" spans="153:166" x14ac:dyDescent="0.35">
      <c r="EW3220" t="s">
        <v>4093</v>
      </c>
      <c r="EX3220" s="33" t="s">
        <v>4394</v>
      </c>
      <c r="EY3220" s="33" t="s">
        <v>789</v>
      </c>
      <c r="EZ3220" s="33" t="s">
        <v>790</v>
      </c>
      <c r="FA3220" s="33" t="s">
        <v>343</v>
      </c>
      <c r="FB3220" s="33" t="s">
        <v>344</v>
      </c>
      <c r="FC3220" s="33" t="s">
        <v>345</v>
      </c>
      <c r="FD3220" s="33" t="s">
        <v>346</v>
      </c>
      <c r="FE3220" s="33">
        <v>2025</v>
      </c>
      <c r="FF3220" s="33" t="s">
        <v>59</v>
      </c>
      <c r="FG3220" s="33" t="s">
        <v>477</v>
      </c>
      <c r="FH3220" s="33" t="s">
        <v>478</v>
      </c>
      <c r="FI3220" s="33" t="s">
        <v>479</v>
      </c>
      <c r="FJ3220" t="s">
        <v>59</v>
      </c>
    </row>
    <row r="3221" spans="153:166" x14ac:dyDescent="0.35">
      <c r="EW3221" t="s">
        <v>4093</v>
      </c>
      <c r="EX3221" s="33" t="s">
        <v>4395</v>
      </c>
      <c r="EY3221" s="33" t="s">
        <v>791</v>
      </c>
      <c r="EZ3221" s="33" t="s">
        <v>792</v>
      </c>
      <c r="FA3221" s="33" t="s">
        <v>343</v>
      </c>
      <c r="FB3221" s="33" t="s">
        <v>344</v>
      </c>
      <c r="FC3221" s="33" t="s">
        <v>345</v>
      </c>
      <c r="FD3221" s="33" t="s">
        <v>346</v>
      </c>
      <c r="FE3221" s="33">
        <v>2025</v>
      </c>
      <c r="FF3221" s="33" t="s">
        <v>59</v>
      </c>
      <c r="FG3221" s="33" t="s">
        <v>386</v>
      </c>
      <c r="FH3221" s="33" t="s">
        <v>387</v>
      </c>
      <c r="FI3221" s="33" t="s">
        <v>407</v>
      </c>
      <c r="FJ3221" t="s">
        <v>59</v>
      </c>
    </row>
    <row r="3222" spans="153:166" x14ac:dyDescent="0.35">
      <c r="EW3222" t="s">
        <v>4093</v>
      </c>
      <c r="EX3222" s="33" t="s">
        <v>4396</v>
      </c>
      <c r="EY3222" s="33" t="s">
        <v>793</v>
      </c>
      <c r="EZ3222" s="33" t="s">
        <v>794</v>
      </c>
      <c r="FA3222" s="33" t="s">
        <v>343</v>
      </c>
      <c r="FB3222" s="33" t="s">
        <v>344</v>
      </c>
      <c r="FC3222" s="33" t="s">
        <v>345</v>
      </c>
      <c r="FD3222" s="33" t="s">
        <v>346</v>
      </c>
      <c r="FE3222" s="33">
        <v>2025</v>
      </c>
      <c r="FF3222" s="33" t="s">
        <v>59</v>
      </c>
      <c r="FG3222" s="33" t="s">
        <v>386</v>
      </c>
      <c r="FH3222" s="33" t="s">
        <v>387</v>
      </c>
      <c r="FI3222" s="33" t="s">
        <v>407</v>
      </c>
      <c r="FJ3222" t="s">
        <v>59</v>
      </c>
    </row>
    <row r="3223" spans="153:166" x14ac:dyDescent="0.35">
      <c r="EW3223" t="s">
        <v>4093</v>
      </c>
      <c r="EX3223" s="33" t="s">
        <v>4397</v>
      </c>
      <c r="EY3223" s="33" t="s">
        <v>798</v>
      </c>
      <c r="EZ3223" s="33" t="s">
        <v>799</v>
      </c>
      <c r="FA3223" s="33" t="s">
        <v>343</v>
      </c>
      <c r="FB3223" s="33" t="s">
        <v>344</v>
      </c>
      <c r="FC3223" s="33" t="s">
        <v>345</v>
      </c>
      <c r="FD3223" s="33" t="s">
        <v>346</v>
      </c>
      <c r="FE3223" s="33">
        <v>2025</v>
      </c>
      <c r="FF3223" s="33" t="s">
        <v>59</v>
      </c>
      <c r="FG3223" s="33" t="s">
        <v>386</v>
      </c>
      <c r="FH3223" s="33" t="s">
        <v>387</v>
      </c>
      <c r="FI3223" s="33" t="s">
        <v>407</v>
      </c>
      <c r="FJ3223" t="s">
        <v>59</v>
      </c>
    </row>
    <row r="3224" spans="153:166" x14ac:dyDescent="0.35">
      <c r="EW3224" t="s">
        <v>4093</v>
      </c>
      <c r="EX3224" s="33" t="s">
        <v>4398</v>
      </c>
      <c r="EY3224" s="33" t="s">
        <v>800</v>
      </c>
      <c r="EZ3224" s="33" t="s">
        <v>801</v>
      </c>
      <c r="FA3224" s="33" t="s">
        <v>343</v>
      </c>
      <c r="FB3224" s="33" t="s">
        <v>344</v>
      </c>
      <c r="FC3224" s="33" t="s">
        <v>345</v>
      </c>
      <c r="FD3224" s="33" t="s">
        <v>346</v>
      </c>
      <c r="FE3224" s="33">
        <v>2025</v>
      </c>
      <c r="FF3224" s="33" t="s">
        <v>59</v>
      </c>
      <c r="FG3224" s="33" t="s">
        <v>477</v>
      </c>
      <c r="FH3224" s="33" t="s">
        <v>478</v>
      </c>
      <c r="FI3224" s="33" t="s">
        <v>479</v>
      </c>
      <c r="FJ3224" t="s">
        <v>59</v>
      </c>
    </row>
    <row r="3225" spans="153:166" x14ac:dyDescent="0.35">
      <c r="EW3225" t="s">
        <v>4093</v>
      </c>
      <c r="EX3225" s="33" t="s">
        <v>4399</v>
      </c>
      <c r="EY3225" s="33" t="s">
        <v>802</v>
      </c>
      <c r="EZ3225" s="33" t="s">
        <v>803</v>
      </c>
      <c r="FA3225" s="33" t="s">
        <v>343</v>
      </c>
      <c r="FB3225" s="33" t="s">
        <v>344</v>
      </c>
      <c r="FC3225" s="33" t="s">
        <v>345</v>
      </c>
      <c r="FD3225" s="33" t="s">
        <v>346</v>
      </c>
      <c r="FE3225" s="33">
        <v>2025</v>
      </c>
      <c r="FF3225" s="33" t="s">
        <v>59</v>
      </c>
      <c r="FG3225" s="33" t="s">
        <v>477</v>
      </c>
      <c r="FH3225" s="33" t="s">
        <v>478</v>
      </c>
      <c r="FI3225" s="33" t="s">
        <v>479</v>
      </c>
      <c r="FJ3225" t="s">
        <v>59</v>
      </c>
    </row>
    <row r="3226" spans="153:166" x14ac:dyDescent="0.35">
      <c r="EW3226" t="s">
        <v>4093</v>
      </c>
      <c r="EX3226" s="33" t="s">
        <v>4400</v>
      </c>
      <c r="EY3226" s="33" t="s">
        <v>804</v>
      </c>
      <c r="EZ3226" s="33" t="s">
        <v>805</v>
      </c>
      <c r="FA3226" s="33" t="s">
        <v>343</v>
      </c>
      <c r="FB3226" s="33" t="s">
        <v>344</v>
      </c>
      <c r="FC3226" s="33" t="s">
        <v>345</v>
      </c>
      <c r="FD3226" s="33" t="s">
        <v>346</v>
      </c>
      <c r="FE3226" s="33">
        <v>2025</v>
      </c>
      <c r="FF3226" s="33" t="s">
        <v>59</v>
      </c>
      <c r="FG3226" s="33" t="s">
        <v>477</v>
      </c>
      <c r="FH3226" s="33" t="s">
        <v>478</v>
      </c>
      <c r="FI3226" s="33" t="s">
        <v>479</v>
      </c>
      <c r="FJ3226" t="s">
        <v>59</v>
      </c>
    </row>
    <row r="3227" spans="153:166" x14ac:dyDescent="0.35">
      <c r="EW3227" t="s">
        <v>4093</v>
      </c>
      <c r="EX3227" s="33" t="s">
        <v>4401</v>
      </c>
      <c r="EY3227" s="33" t="s">
        <v>806</v>
      </c>
      <c r="EZ3227" s="33" t="s">
        <v>807</v>
      </c>
      <c r="FA3227" s="33" t="s">
        <v>343</v>
      </c>
      <c r="FB3227" s="33" t="s">
        <v>344</v>
      </c>
      <c r="FC3227" s="33" t="s">
        <v>345</v>
      </c>
      <c r="FD3227" s="33" t="s">
        <v>346</v>
      </c>
      <c r="FE3227" s="33">
        <v>2025</v>
      </c>
      <c r="FF3227" s="33" t="s">
        <v>59</v>
      </c>
      <c r="FG3227" s="33" t="s">
        <v>386</v>
      </c>
      <c r="FH3227" s="33" t="s">
        <v>387</v>
      </c>
      <c r="FI3227" s="33" t="s">
        <v>407</v>
      </c>
      <c r="FJ3227" t="s">
        <v>59</v>
      </c>
    </row>
    <row r="3228" spans="153:166" x14ac:dyDescent="0.35">
      <c r="EW3228" t="s">
        <v>4093</v>
      </c>
      <c r="EX3228" s="33" t="s">
        <v>4402</v>
      </c>
      <c r="EY3228" s="33" t="s">
        <v>811</v>
      </c>
      <c r="EZ3228" s="33" t="s">
        <v>812</v>
      </c>
      <c r="FA3228" s="33" t="s">
        <v>343</v>
      </c>
      <c r="FB3228" s="33" t="s">
        <v>344</v>
      </c>
      <c r="FC3228" s="33" t="s">
        <v>345</v>
      </c>
      <c r="FD3228" s="33" t="s">
        <v>346</v>
      </c>
      <c r="FE3228" s="33">
        <v>2025</v>
      </c>
      <c r="FF3228" s="33" t="s">
        <v>59</v>
      </c>
      <c r="FG3228" s="33" t="s">
        <v>386</v>
      </c>
      <c r="FH3228" s="33" t="s">
        <v>387</v>
      </c>
      <c r="FI3228" s="33" t="s">
        <v>407</v>
      </c>
      <c r="FJ3228" t="s">
        <v>59</v>
      </c>
    </row>
    <row r="3229" spans="153:166" x14ac:dyDescent="0.35">
      <c r="EW3229" t="s">
        <v>4093</v>
      </c>
      <c r="EX3229" s="33" t="s">
        <v>4403</v>
      </c>
      <c r="EY3229" s="33" t="s">
        <v>813</v>
      </c>
      <c r="EZ3229" s="33" t="s">
        <v>814</v>
      </c>
      <c r="FA3229" s="33" t="s">
        <v>343</v>
      </c>
      <c r="FB3229" s="33" t="s">
        <v>344</v>
      </c>
      <c r="FC3229" s="33" t="s">
        <v>345</v>
      </c>
      <c r="FD3229" s="33" t="s">
        <v>346</v>
      </c>
      <c r="FE3229" s="33">
        <v>2025</v>
      </c>
      <c r="FF3229" s="33" t="s">
        <v>59</v>
      </c>
      <c r="FG3229" s="33" t="s">
        <v>477</v>
      </c>
      <c r="FH3229" s="33" t="s">
        <v>478</v>
      </c>
      <c r="FI3229" s="33" t="s">
        <v>479</v>
      </c>
      <c r="FJ3229" t="s">
        <v>59</v>
      </c>
    </row>
    <row r="3230" spans="153:166" x14ac:dyDescent="0.35">
      <c r="EW3230" t="s">
        <v>4093</v>
      </c>
      <c r="EX3230" s="33" t="s">
        <v>4404</v>
      </c>
      <c r="EY3230" s="33" t="s">
        <v>815</v>
      </c>
      <c r="EZ3230" s="33" t="s">
        <v>816</v>
      </c>
      <c r="FA3230" s="33" t="s">
        <v>343</v>
      </c>
      <c r="FB3230" s="33" t="s">
        <v>344</v>
      </c>
      <c r="FC3230" s="33" t="s">
        <v>345</v>
      </c>
      <c r="FD3230" s="33" t="s">
        <v>346</v>
      </c>
      <c r="FE3230" s="33">
        <v>2025</v>
      </c>
      <c r="FF3230" s="33" t="s">
        <v>59</v>
      </c>
      <c r="FG3230" s="33" t="s">
        <v>477</v>
      </c>
      <c r="FH3230" s="33" t="s">
        <v>478</v>
      </c>
      <c r="FI3230" s="33" t="s">
        <v>479</v>
      </c>
      <c r="FJ3230" t="s">
        <v>59</v>
      </c>
    </row>
    <row r="3231" spans="153:166" x14ac:dyDescent="0.35">
      <c r="EW3231" t="s">
        <v>4093</v>
      </c>
      <c r="EX3231" s="33" t="s">
        <v>4405</v>
      </c>
      <c r="EY3231" s="33" t="s">
        <v>820</v>
      </c>
      <c r="EZ3231" s="33" t="s">
        <v>821</v>
      </c>
      <c r="FA3231" s="33" t="s">
        <v>343</v>
      </c>
      <c r="FB3231" s="33" t="s">
        <v>344</v>
      </c>
      <c r="FC3231" s="33" t="s">
        <v>345</v>
      </c>
      <c r="FD3231" s="33" t="s">
        <v>346</v>
      </c>
      <c r="FE3231" s="33">
        <v>2025</v>
      </c>
      <c r="FF3231" s="33" t="s">
        <v>59</v>
      </c>
      <c r="FG3231" s="33" t="s">
        <v>386</v>
      </c>
      <c r="FH3231" s="33" t="s">
        <v>387</v>
      </c>
      <c r="FI3231" s="33" t="s">
        <v>407</v>
      </c>
      <c r="FJ3231" t="s">
        <v>59</v>
      </c>
    </row>
    <row r="3232" spans="153:166" x14ac:dyDescent="0.35">
      <c r="EW3232" t="s">
        <v>4093</v>
      </c>
      <c r="EX3232" s="33" t="s">
        <v>4406</v>
      </c>
      <c r="EY3232" s="33" t="s">
        <v>822</v>
      </c>
      <c r="EZ3232" s="33" t="s">
        <v>823</v>
      </c>
      <c r="FA3232" s="33" t="s">
        <v>343</v>
      </c>
      <c r="FB3232" s="33" t="s">
        <v>344</v>
      </c>
      <c r="FC3232" s="33" t="s">
        <v>345</v>
      </c>
      <c r="FD3232" s="33" t="s">
        <v>346</v>
      </c>
      <c r="FE3232" s="33">
        <v>2025</v>
      </c>
      <c r="FF3232" s="33" t="s">
        <v>59</v>
      </c>
      <c r="FG3232" s="33" t="s">
        <v>386</v>
      </c>
      <c r="FH3232" s="33" t="s">
        <v>387</v>
      </c>
      <c r="FI3232" s="33" t="s">
        <v>407</v>
      </c>
      <c r="FJ3232" t="s">
        <v>59</v>
      </c>
    </row>
    <row r="3233" spans="153:167" x14ac:dyDescent="0.35">
      <c r="EW3233" t="s">
        <v>4093</v>
      </c>
      <c r="EX3233" s="33" t="s">
        <v>4407</v>
      </c>
      <c r="EY3233" s="33" t="s">
        <v>824</v>
      </c>
      <c r="EZ3233" s="33" t="s">
        <v>825</v>
      </c>
      <c r="FA3233" s="33" t="s">
        <v>343</v>
      </c>
      <c r="FB3233" s="33" t="s">
        <v>344</v>
      </c>
      <c r="FC3233" s="33" t="s">
        <v>345</v>
      </c>
      <c r="FD3233" s="33" t="s">
        <v>346</v>
      </c>
      <c r="FE3233" s="33">
        <v>2025</v>
      </c>
      <c r="FF3233" s="33" t="s">
        <v>59</v>
      </c>
      <c r="FG3233" s="33" t="s">
        <v>477</v>
      </c>
      <c r="FH3233" s="33" t="s">
        <v>478</v>
      </c>
      <c r="FI3233" s="33" t="s">
        <v>479</v>
      </c>
      <c r="FJ3233" t="s">
        <v>59</v>
      </c>
    </row>
    <row r="3234" spans="153:167" x14ac:dyDescent="0.35">
      <c r="EW3234" t="s">
        <v>4093</v>
      </c>
      <c r="EX3234" s="33" t="s">
        <v>4408</v>
      </c>
      <c r="EY3234" s="33" t="s">
        <v>826</v>
      </c>
      <c r="EZ3234" s="33" t="s">
        <v>827</v>
      </c>
      <c r="FA3234" s="33" t="s">
        <v>343</v>
      </c>
      <c r="FB3234" s="33" t="s">
        <v>344</v>
      </c>
      <c r="FC3234" s="33" t="s">
        <v>345</v>
      </c>
      <c r="FD3234" s="33" t="s">
        <v>346</v>
      </c>
      <c r="FE3234" s="33">
        <v>2025</v>
      </c>
      <c r="FF3234" s="33" t="s">
        <v>59</v>
      </c>
      <c r="FG3234" s="33" t="s">
        <v>477</v>
      </c>
      <c r="FH3234" s="33" t="s">
        <v>478</v>
      </c>
      <c r="FI3234" s="33" t="s">
        <v>479</v>
      </c>
      <c r="FJ3234" t="s">
        <v>59</v>
      </c>
    </row>
    <row r="3235" spans="153:167" x14ac:dyDescent="0.35">
      <c r="EW3235" t="s">
        <v>4093</v>
      </c>
      <c r="EX3235" s="33" t="s">
        <v>4409</v>
      </c>
      <c r="EY3235" s="33" t="s">
        <v>828</v>
      </c>
      <c r="EZ3235" s="33" t="s">
        <v>829</v>
      </c>
      <c r="FA3235" s="33" t="s">
        <v>343</v>
      </c>
      <c r="FB3235" s="33" t="s">
        <v>344</v>
      </c>
      <c r="FC3235" s="33" t="s">
        <v>345</v>
      </c>
      <c r="FD3235" s="33" t="s">
        <v>346</v>
      </c>
      <c r="FE3235" s="33">
        <v>2025</v>
      </c>
      <c r="FF3235" s="33" t="s">
        <v>59</v>
      </c>
      <c r="FG3235" s="33" t="s">
        <v>477</v>
      </c>
      <c r="FH3235" s="33" t="s">
        <v>478</v>
      </c>
      <c r="FI3235" s="33" t="s">
        <v>479</v>
      </c>
      <c r="FJ3235" t="s">
        <v>59</v>
      </c>
    </row>
    <row r="3236" spans="153:167" x14ac:dyDescent="0.35">
      <c r="EW3236" t="s">
        <v>4093</v>
      </c>
      <c r="EX3236" s="33" t="s">
        <v>4410</v>
      </c>
      <c r="EY3236" s="33" t="s">
        <v>830</v>
      </c>
      <c r="EZ3236" s="33" t="s">
        <v>831</v>
      </c>
      <c r="FA3236" s="33" t="s">
        <v>343</v>
      </c>
      <c r="FB3236" s="33" t="s">
        <v>344</v>
      </c>
      <c r="FC3236" s="33" t="s">
        <v>345</v>
      </c>
      <c r="FD3236" s="33" t="s">
        <v>346</v>
      </c>
      <c r="FE3236" s="33">
        <v>2025</v>
      </c>
      <c r="FF3236" s="33" t="s">
        <v>59</v>
      </c>
      <c r="FG3236" s="33" t="s">
        <v>477</v>
      </c>
      <c r="FH3236" s="33" t="s">
        <v>478</v>
      </c>
      <c r="FI3236" s="33" t="s">
        <v>479</v>
      </c>
      <c r="FJ3236" t="s">
        <v>59</v>
      </c>
    </row>
    <row r="3237" spans="153:167" x14ac:dyDescent="0.35">
      <c r="EW3237" t="s">
        <v>4093</v>
      </c>
      <c r="EX3237" s="33" t="s">
        <v>4411</v>
      </c>
      <c r="EY3237" s="33" t="s">
        <v>832</v>
      </c>
      <c r="EZ3237" s="33" t="s">
        <v>833</v>
      </c>
      <c r="FA3237" s="33" t="s">
        <v>343</v>
      </c>
      <c r="FB3237" s="33" t="s">
        <v>344</v>
      </c>
      <c r="FC3237" s="33" t="s">
        <v>345</v>
      </c>
      <c r="FD3237" s="33" t="s">
        <v>346</v>
      </c>
      <c r="FE3237" s="33">
        <v>2025</v>
      </c>
      <c r="FF3237" s="33" t="s">
        <v>59</v>
      </c>
      <c r="FG3237" s="33" t="s">
        <v>386</v>
      </c>
      <c r="FH3237" s="33" t="s">
        <v>387</v>
      </c>
      <c r="FI3237" s="33" t="s">
        <v>407</v>
      </c>
      <c r="FJ3237" t="s">
        <v>59</v>
      </c>
    </row>
    <row r="3238" spans="153:167" x14ac:dyDescent="0.35">
      <c r="EW3238" t="s">
        <v>4093</v>
      </c>
      <c r="EX3238" s="33" t="s">
        <v>4412</v>
      </c>
      <c r="EY3238" s="33" t="s">
        <v>837</v>
      </c>
      <c r="EZ3238" s="33" t="s">
        <v>838</v>
      </c>
      <c r="FA3238" s="33" t="s">
        <v>343</v>
      </c>
      <c r="FB3238" s="33" t="s">
        <v>344</v>
      </c>
      <c r="FC3238" s="33" t="s">
        <v>345</v>
      </c>
      <c r="FD3238" s="33" t="s">
        <v>346</v>
      </c>
      <c r="FE3238" s="33">
        <v>2025</v>
      </c>
      <c r="FF3238" s="33" t="s">
        <v>59</v>
      </c>
      <c r="FG3238" s="33" t="s">
        <v>477</v>
      </c>
      <c r="FH3238" s="33" t="s">
        <v>478</v>
      </c>
      <c r="FI3238" s="33" t="s">
        <v>479</v>
      </c>
      <c r="FJ3238" t="s">
        <v>59</v>
      </c>
    </row>
    <row r="3239" spans="153:167" x14ac:dyDescent="0.35">
      <c r="EW3239" t="s">
        <v>4093</v>
      </c>
      <c r="EX3239" s="33" t="s">
        <v>4413</v>
      </c>
      <c r="EY3239" s="33" t="s">
        <v>839</v>
      </c>
      <c r="EZ3239" s="33" t="s">
        <v>840</v>
      </c>
      <c r="FA3239" s="33" t="s">
        <v>343</v>
      </c>
      <c r="FB3239" s="33" t="s">
        <v>344</v>
      </c>
      <c r="FC3239" s="33" t="s">
        <v>345</v>
      </c>
      <c r="FD3239" s="33" t="s">
        <v>346</v>
      </c>
      <c r="FE3239" s="33">
        <v>2025</v>
      </c>
      <c r="FF3239" s="33" t="s">
        <v>59</v>
      </c>
      <c r="FG3239" s="33" t="s">
        <v>477</v>
      </c>
      <c r="FH3239" s="33" t="s">
        <v>478</v>
      </c>
      <c r="FI3239" s="33" t="s">
        <v>479</v>
      </c>
      <c r="FJ3239" t="s">
        <v>59</v>
      </c>
    </row>
    <row r="3240" spans="153:167" x14ac:dyDescent="0.35">
      <c r="EW3240" t="s">
        <v>4093</v>
      </c>
      <c r="EX3240" s="33" t="s">
        <v>4414</v>
      </c>
      <c r="EY3240" s="33" t="s">
        <v>844</v>
      </c>
      <c r="EZ3240" s="33" t="s">
        <v>845</v>
      </c>
      <c r="FA3240" s="33" t="s">
        <v>343</v>
      </c>
      <c r="FB3240" s="33" t="s">
        <v>344</v>
      </c>
      <c r="FC3240" s="33" t="s">
        <v>345</v>
      </c>
      <c r="FD3240" s="33" t="s">
        <v>346</v>
      </c>
      <c r="FE3240" s="33">
        <v>2025</v>
      </c>
      <c r="FF3240" s="33" t="s">
        <v>59</v>
      </c>
      <c r="FG3240" s="33" t="s">
        <v>477</v>
      </c>
      <c r="FH3240" s="33" t="s">
        <v>478</v>
      </c>
      <c r="FI3240" s="33" t="s">
        <v>479</v>
      </c>
      <c r="FJ3240" t="s">
        <v>59</v>
      </c>
      <c r="FK3240" t="s">
        <v>889</v>
      </c>
    </row>
    <row r="3241" spans="153:167" x14ac:dyDescent="0.35">
      <c r="EW3241" t="s">
        <v>4093</v>
      </c>
      <c r="EX3241" s="33" t="s">
        <v>4415</v>
      </c>
      <c r="EY3241" s="33" t="s">
        <v>849</v>
      </c>
      <c r="EZ3241" s="33" t="s">
        <v>850</v>
      </c>
      <c r="FA3241" s="33" t="s">
        <v>343</v>
      </c>
      <c r="FB3241" s="33" t="s">
        <v>344</v>
      </c>
      <c r="FC3241" s="33" t="s">
        <v>345</v>
      </c>
      <c r="FD3241" s="33" t="s">
        <v>346</v>
      </c>
      <c r="FE3241" s="33">
        <v>2025</v>
      </c>
      <c r="FF3241" s="33" t="s">
        <v>59</v>
      </c>
      <c r="FG3241" s="33" t="s">
        <v>470</v>
      </c>
      <c r="FH3241" s="33" t="s">
        <v>471</v>
      </c>
      <c r="FI3241" s="33" t="s">
        <v>467</v>
      </c>
      <c r="FJ3241" t="s">
        <v>59</v>
      </c>
    </row>
    <row r="3242" spans="153:167" x14ac:dyDescent="0.35">
      <c r="EW3242" t="s">
        <v>4093</v>
      </c>
      <c r="EX3242" s="33" t="s">
        <v>4416</v>
      </c>
      <c r="EY3242" s="33" t="s">
        <v>851</v>
      </c>
      <c r="EZ3242" s="33" t="s">
        <v>852</v>
      </c>
      <c r="FA3242" s="33" t="s">
        <v>343</v>
      </c>
      <c r="FB3242" s="33" t="s">
        <v>344</v>
      </c>
      <c r="FC3242" s="33" t="s">
        <v>345</v>
      </c>
      <c r="FD3242" s="33" t="s">
        <v>346</v>
      </c>
      <c r="FE3242" s="33">
        <v>2025</v>
      </c>
      <c r="FF3242" s="33" t="s">
        <v>59</v>
      </c>
      <c r="FG3242" s="33" t="s">
        <v>470</v>
      </c>
      <c r="FH3242" s="33" t="s">
        <v>471</v>
      </c>
      <c r="FI3242" s="33" t="s">
        <v>467</v>
      </c>
      <c r="FJ3242" t="s">
        <v>59</v>
      </c>
    </row>
    <row r="3243" spans="153:167" x14ac:dyDescent="0.35">
      <c r="EW3243" t="s">
        <v>4093</v>
      </c>
      <c r="EX3243" s="33" t="s">
        <v>4417</v>
      </c>
      <c r="EY3243" s="33" t="s">
        <v>853</v>
      </c>
      <c r="EZ3243" s="33" t="s">
        <v>854</v>
      </c>
      <c r="FA3243" s="33" t="s">
        <v>343</v>
      </c>
      <c r="FB3243" s="33" t="s">
        <v>344</v>
      </c>
      <c r="FC3243" s="33" t="s">
        <v>345</v>
      </c>
      <c r="FD3243" s="33" t="s">
        <v>346</v>
      </c>
      <c r="FE3243" s="33">
        <v>2025</v>
      </c>
      <c r="FF3243" s="33" t="s">
        <v>59</v>
      </c>
      <c r="FG3243" s="33" t="s">
        <v>477</v>
      </c>
      <c r="FH3243" s="33" t="s">
        <v>478</v>
      </c>
      <c r="FI3243" s="33" t="s">
        <v>479</v>
      </c>
      <c r="FJ3243" t="s">
        <v>59</v>
      </c>
    </row>
    <row r="3244" spans="153:167" x14ac:dyDescent="0.35">
      <c r="EW3244" t="s">
        <v>4093</v>
      </c>
      <c r="EX3244" s="33" t="s">
        <v>4418</v>
      </c>
      <c r="EY3244" s="33" t="s">
        <v>858</v>
      </c>
      <c r="EZ3244" s="33" t="s">
        <v>859</v>
      </c>
      <c r="FA3244" s="33" t="s">
        <v>343</v>
      </c>
      <c r="FB3244" s="33" t="s">
        <v>344</v>
      </c>
      <c r="FC3244" s="33" t="s">
        <v>345</v>
      </c>
      <c r="FD3244" s="33" t="s">
        <v>346</v>
      </c>
      <c r="FE3244" s="33">
        <v>2025</v>
      </c>
      <c r="FF3244" s="33" t="s">
        <v>59</v>
      </c>
      <c r="FG3244" s="33" t="s">
        <v>477</v>
      </c>
      <c r="FH3244" s="33" t="s">
        <v>478</v>
      </c>
      <c r="FI3244" s="33" t="s">
        <v>479</v>
      </c>
      <c r="FJ3244" t="s">
        <v>59</v>
      </c>
    </row>
    <row r="3245" spans="153:167" x14ac:dyDescent="0.35">
      <c r="EW3245" t="s">
        <v>4093</v>
      </c>
      <c r="EX3245" s="33" t="s">
        <v>4419</v>
      </c>
      <c r="EY3245" s="33" t="s">
        <v>860</v>
      </c>
      <c r="EZ3245" s="33" t="s">
        <v>861</v>
      </c>
      <c r="FA3245" s="33" t="s">
        <v>343</v>
      </c>
      <c r="FB3245" s="33" t="s">
        <v>344</v>
      </c>
      <c r="FC3245" s="33" t="s">
        <v>345</v>
      </c>
      <c r="FD3245" s="33" t="s">
        <v>346</v>
      </c>
      <c r="FE3245" s="33">
        <v>2025</v>
      </c>
      <c r="FF3245" s="33" t="s">
        <v>59</v>
      </c>
      <c r="FG3245" s="33" t="s">
        <v>477</v>
      </c>
      <c r="FH3245" s="33" t="s">
        <v>478</v>
      </c>
      <c r="FI3245" s="33" t="s">
        <v>479</v>
      </c>
      <c r="FJ3245" t="s">
        <v>59</v>
      </c>
    </row>
    <row r="3246" spans="153:167" x14ac:dyDescent="0.35">
      <c r="EW3246" t="s">
        <v>4093</v>
      </c>
      <c r="EX3246" s="33" t="s">
        <v>4420</v>
      </c>
      <c r="EY3246" s="33" t="s">
        <v>862</v>
      </c>
      <c r="EZ3246" s="33" t="s">
        <v>863</v>
      </c>
      <c r="FA3246" s="33" t="s">
        <v>343</v>
      </c>
      <c r="FB3246" s="33" t="s">
        <v>344</v>
      </c>
      <c r="FC3246" s="33" t="s">
        <v>345</v>
      </c>
      <c r="FD3246" s="33" t="s">
        <v>346</v>
      </c>
      <c r="FE3246" s="33">
        <v>2025</v>
      </c>
      <c r="FF3246" s="33" t="s">
        <v>59</v>
      </c>
      <c r="FG3246" s="33" t="s">
        <v>477</v>
      </c>
      <c r="FH3246" s="33" t="s">
        <v>478</v>
      </c>
      <c r="FI3246" s="33" t="s">
        <v>479</v>
      </c>
      <c r="FJ3246" t="s">
        <v>59</v>
      </c>
    </row>
    <row r="3247" spans="153:167" x14ac:dyDescent="0.35">
      <c r="EW3247" t="s">
        <v>4093</v>
      </c>
      <c r="EX3247" s="33" t="s">
        <v>4421</v>
      </c>
      <c r="EY3247" s="33" t="s">
        <v>864</v>
      </c>
      <c r="EZ3247" s="33" t="s">
        <v>865</v>
      </c>
      <c r="FA3247" s="33" t="s">
        <v>343</v>
      </c>
      <c r="FB3247" s="33" t="s">
        <v>344</v>
      </c>
      <c r="FC3247" s="33" t="s">
        <v>345</v>
      </c>
      <c r="FD3247" s="33" t="s">
        <v>346</v>
      </c>
      <c r="FE3247" s="33">
        <v>2025</v>
      </c>
      <c r="FF3247" s="33" t="s">
        <v>59</v>
      </c>
      <c r="FG3247" s="33" t="s">
        <v>477</v>
      </c>
      <c r="FH3247" s="33" t="s">
        <v>478</v>
      </c>
      <c r="FI3247" s="33" t="s">
        <v>479</v>
      </c>
      <c r="FJ3247" t="s">
        <v>59</v>
      </c>
    </row>
    <row r="3248" spans="153:167" x14ac:dyDescent="0.35">
      <c r="EW3248" t="s">
        <v>4093</v>
      </c>
      <c r="EX3248" s="33" t="s">
        <v>4422</v>
      </c>
      <c r="EY3248" s="33" t="s">
        <v>866</v>
      </c>
      <c r="EZ3248" s="33" t="s">
        <v>867</v>
      </c>
      <c r="FA3248" s="33" t="s">
        <v>343</v>
      </c>
      <c r="FB3248" s="33" t="s">
        <v>344</v>
      </c>
      <c r="FC3248" s="33" t="s">
        <v>345</v>
      </c>
      <c r="FD3248" s="33" t="s">
        <v>346</v>
      </c>
      <c r="FE3248" s="33">
        <v>2025</v>
      </c>
      <c r="FF3248" s="33" t="s">
        <v>59</v>
      </c>
      <c r="FG3248" s="33" t="s">
        <v>470</v>
      </c>
      <c r="FH3248" s="33" t="s">
        <v>471</v>
      </c>
      <c r="FI3248" s="33" t="s">
        <v>467</v>
      </c>
      <c r="FJ3248" t="s">
        <v>59</v>
      </c>
    </row>
    <row r="3249" spans="153:166" x14ac:dyDescent="0.35">
      <c r="EW3249" t="s">
        <v>4093</v>
      </c>
      <c r="EX3249" s="33" t="s">
        <v>4423</v>
      </c>
      <c r="EY3249" s="33" t="s">
        <v>871</v>
      </c>
      <c r="EZ3249" s="33" t="s">
        <v>872</v>
      </c>
      <c r="FA3249" s="33" t="s">
        <v>343</v>
      </c>
      <c r="FB3249" s="33" t="s">
        <v>344</v>
      </c>
      <c r="FC3249" s="33" t="s">
        <v>345</v>
      </c>
      <c r="FD3249" s="33" t="s">
        <v>346</v>
      </c>
      <c r="FE3249" s="33">
        <v>2025</v>
      </c>
      <c r="FF3249" s="33" t="s">
        <v>59</v>
      </c>
      <c r="FG3249" s="33" t="s">
        <v>470</v>
      </c>
      <c r="FH3249" s="33" t="s">
        <v>471</v>
      </c>
      <c r="FI3249" s="33" t="s">
        <v>467</v>
      </c>
      <c r="FJ3249" t="s">
        <v>59</v>
      </c>
    </row>
    <row r="3250" spans="153:166" x14ac:dyDescent="0.35">
      <c r="EW3250" t="s">
        <v>4093</v>
      </c>
      <c r="EX3250" s="33" t="s">
        <v>4424</v>
      </c>
      <c r="EY3250" s="33" t="s">
        <v>873</v>
      </c>
      <c r="EZ3250" s="33" t="s">
        <v>874</v>
      </c>
      <c r="FA3250" s="33" t="s">
        <v>343</v>
      </c>
      <c r="FB3250" s="33" t="s">
        <v>344</v>
      </c>
      <c r="FC3250" s="33" t="s">
        <v>345</v>
      </c>
      <c r="FD3250" s="33" t="s">
        <v>346</v>
      </c>
      <c r="FE3250" s="33">
        <v>2025</v>
      </c>
      <c r="FF3250" s="33" t="s">
        <v>59</v>
      </c>
      <c r="FG3250" s="33" t="s">
        <v>477</v>
      </c>
      <c r="FH3250" s="33" t="s">
        <v>478</v>
      </c>
      <c r="FI3250" s="33" t="s">
        <v>479</v>
      </c>
      <c r="FJ3250" t="s">
        <v>59</v>
      </c>
    </row>
    <row r="3251" spans="153:166" x14ac:dyDescent="0.35">
      <c r="EW3251" t="s">
        <v>4093</v>
      </c>
      <c r="EX3251" s="33" t="s">
        <v>4425</v>
      </c>
      <c r="EY3251" s="33" t="s">
        <v>875</v>
      </c>
      <c r="EZ3251" s="33" t="s">
        <v>876</v>
      </c>
      <c r="FA3251" s="33" t="s">
        <v>343</v>
      </c>
      <c r="FB3251" s="33" t="s">
        <v>344</v>
      </c>
      <c r="FC3251" s="33" t="s">
        <v>345</v>
      </c>
      <c r="FD3251" s="33" t="s">
        <v>346</v>
      </c>
      <c r="FE3251" s="33">
        <v>2025</v>
      </c>
      <c r="FF3251" s="33" t="s">
        <v>59</v>
      </c>
      <c r="FG3251" s="33" t="s">
        <v>477</v>
      </c>
      <c r="FH3251" s="33" t="s">
        <v>478</v>
      </c>
      <c r="FI3251" s="33" t="s">
        <v>479</v>
      </c>
      <c r="FJ3251" t="s">
        <v>59</v>
      </c>
    </row>
    <row r="3252" spans="153:166" x14ac:dyDescent="0.35">
      <c r="EW3252" t="s">
        <v>4093</v>
      </c>
      <c r="EX3252" s="33" t="s">
        <v>4426</v>
      </c>
      <c r="EY3252" s="33" t="s">
        <v>877</v>
      </c>
      <c r="EZ3252" s="33" t="s">
        <v>878</v>
      </c>
      <c r="FA3252" s="33" t="s">
        <v>343</v>
      </c>
      <c r="FB3252" s="33" t="s">
        <v>344</v>
      </c>
      <c r="FC3252" s="33" t="s">
        <v>345</v>
      </c>
      <c r="FD3252" s="33" t="s">
        <v>346</v>
      </c>
      <c r="FE3252" s="33">
        <v>2025</v>
      </c>
      <c r="FF3252" s="33" t="s">
        <v>59</v>
      </c>
      <c r="FG3252" s="33" t="s">
        <v>470</v>
      </c>
      <c r="FH3252" s="33" t="s">
        <v>471</v>
      </c>
      <c r="FI3252" s="33" t="s">
        <v>467</v>
      </c>
      <c r="FJ3252" t="s">
        <v>59</v>
      </c>
    </row>
    <row r="3253" spans="153:166" x14ac:dyDescent="0.35">
      <c r="EW3253" t="s">
        <v>4093</v>
      </c>
      <c r="EX3253" s="33" t="s">
        <v>4427</v>
      </c>
      <c r="EY3253" s="33" t="s">
        <v>879</v>
      </c>
      <c r="EZ3253" s="33" t="s">
        <v>880</v>
      </c>
      <c r="FA3253" s="33" t="s">
        <v>343</v>
      </c>
      <c r="FB3253" s="33" t="s">
        <v>344</v>
      </c>
      <c r="FC3253" s="33" t="s">
        <v>345</v>
      </c>
      <c r="FD3253" s="33" t="s">
        <v>346</v>
      </c>
      <c r="FE3253" s="33">
        <v>2025</v>
      </c>
      <c r="FF3253" s="33" t="s">
        <v>59</v>
      </c>
      <c r="FG3253" s="33" t="s">
        <v>470</v>
      </c>
      <c r="FH3253" s="33" t="s">
        <v>471</v>
      </c>
      <c r="FI3253" s="33" t="s">
        <v>467</v>
      </c>
      <c r="FJ3253" t="s">
        <v>59</v>
      </c>
    </row>
    <row r="3254" spans="153:166" x14ac:dyDescent="0.35">
      <c r="EW3254" t="s">
        <v>4093</v>
      </c>
      <c r="EX3254" s="33" t="s">
        <v>4428</v>
      </c>
      <c r="EY3254" s="33" t="s">
        <v>881</v>
      </c>
      <c r="EZ3254" s="33" t="s">
        <v>882</v>
      </c>
      <c r="FA3254" s="33" t="s">
        <v>343</v>
      </c>
      <c r="FB3254" s="33" t="s">
        <v>344</v>
      </c>
      <c r="FC3254" s="33" t="s">
        <v>345</v>
      </c>
      <c r="FD3254" s="33" t="s">
        <v>346</v>
      </c>
      <c r="FE3254" s="33">
        <v>2025</v>
      </c>
      <c r="FF3254" s="33" t="s">
        <v>59</v>
      </c>
      <c r="FG3254" s="33" t="s">
        <v>470</v>
      </c>
      <c r="FH3254" s="33" t="s">
        <v>471</v>
      </c>
      <c r="FI3254" s="33" t="s">
        <v>467</v>
      </c>
      <c r="FJ3254" t="s">
        <v>59</v>
      </c>
    </row>
    <row r="3255" spans="153:166" x14ac:dyDescent="0.35">
      <c r="EW3255" t="s">
        <v>4093</v>
      </c>
      <c r="EX3255" s="33" t="s">
        <v>4429</v>
      </c>
      <c r="EY3255" s="33" t="s">
        <v>883</v>
      </c>
      <c r="EZ3255" s="33" t="s">
        <v>884</v>
      </c>
      <c r="FA3255" s="33" t="s">
        <v>343</v>
      </c>
      <c r="FB3255" s="33" t="s">
        <v>344</v>
      </c>
      <c r="FC3255" s="33" t="s">
        <v>345</v>
      </c>
      <c r="FD3255" s="33" t="s">
        <v>346</v>
      </c>
      <c r="FE3255" s="33">
        <v>2025</v>
      </c>
      <c r="FF3255" s="33" t="s">
        <v>59</v>
      </c>
      <c r="FG3255" s="33" t="s">
        <v>477</v>
      </c>
      <c r="FH3255" s="33" t="s">
        <v>478</v>
      </c>
      <c r="FI3255" s="33" t="s">
        <v>479</v>
      </c>
      <c r="FJ3255" t="s">
        <v>59</v>
      </c>
    </row>
    <row r="3256" spans="153:166" x14ac:dyDescent="0.35">
      <c r="EW3256" t="s">
        <v>4093</v>
      </c>
      <c r="EX3256" s="33" t="s">
        <v>4430</v>
      </c>
      <c r="EY3256" s="33" t="s">
        <v>885</v>
      </c>
      <c r="EZ3256" s="33" t="s">
        <v>886</v>
      </c>
      <c r="FA3256" s="33" t="s">
        <v>343</v>
      </c>
      <c r="FB3256" s="33" t="s">
        <v>344</v>
      </c>
      <c r="FC3256" s="33" t="s">
        <v>345</v>
      </c>
      <c r="FD3256" s="33" t="s">
        <v>346</v>
      </c>
      <c r="FE3256" s="33">
        <v>2025</v>
      </c>
      <c r="FF3256" s="33" t="s">
        <v>59</v>
      </c>
      <c r="FG3256" s="33" t="s">
        <v>470</v>
      </c>
      <c r="FH3256" s="33" t="s">
        <v>471</v>
      </c>
      <c r="FI3256" s="33" t="s">
        <v>467</v>
      </c>
      <c r="FJ3256" t="s">
        <v>59</v>
      </c>
    </row>
    <row r="3257" spans="153:166" x14ac:dyDescent="0.35">
      <c r="EW3257" t="s">
        <v>4093</v>
      </c>
      <c r="EX3257" s="33" t="s">
        <v>4431</v>
      </c>
      <c r="EY3257" s="33" t="s">
        <v>890</v>
      </c>
      <c r="EZ3257" s="33" t="s">
        <v>891</v>
      </c>
      <c r="FA3257" s="33" t="s">
        <v>343</v>
      </c>
      <c r="FB3257" s="33" t="s">
        <v>344</v>
      </c>
      <c r="FC3257" s="33" t="s">
        <v>345</v>
      </c>
      <c r="FD3257" s="33" t="s">
        <v>346</v>
      </c>
      <c r="FE3257" s="33">
        <v>2025</v>
      </c>
      <c r="FF3257" s="33" t="s">
        <v>59</v>
      </c>
      <c r="FG3257" s="33" t="s">
        <v>470</v>
      </c>
      <c r="FH3257" s="33" t="s">
        <v>471</v>
      </c>
      <c r="FI3257" s="33" t="s">
        <v>467</v>
      </c>
      <c r="FJ3257" t="s">
        <v>59</v>
      </c>
    </row>
    <row r="3258" spans="153:166" x14ac:dyDescent="0.35">
      <c r="EW3258" t="s">
        <v>4093</v>
      </c>
      <c r="EX3258" s="33" t="s">
        <v>4432</v>
      </c>
      <c r="EY3258" s="33" t="s">
        <v>892</v>
      </c>
      <c r="EZ3258" s="33" t="s">
        <v>893</v>
      </c>
      <c r="FA3258" s="33" t="s">
        <v>343</v>
      </c>
      <c r="FB3258" s="33" t="s">
        <v>344</v>
      </c>
      <c r="FC3258" s="33" t="s">
        <v>345</v>
      </c>
      <c r="FD3258" s="33" t="s">
        <v>346</v>
      </c>
      <c r="FE3258" s="33">
        <v>2025</v>
      </c>
      <c r="FF3258" s="33" t="s">
        <v>59</v>
      </c>
      <c r="FG3258" s="33" t="s">
        <v>470</v>
      </c>
      <c r="FH3258" s="33" t="s">
        <v>471</v>
      </c>
      <c r="FI3258" s="33" t="s">
        <v>467</v>
      </c>
      <c r="FJ3258" t="s">
        <v>59</v>
      </c>
    </row>
    <row r="3259" spans="153:166" x14ac:dyDescent="0.35">
      <c r="EW3259" t="s">
        <v>4093</v>
      </c>
      <c r="EX3259" s="33" t="s">
        <v>4433</v>
      </c>
      <c r="EY3259" s="33" t="s">
        <v>894</v>
      </c>
      <c r="EZ3259" s="33" t="s">
        <v>895</v>
      </c>
      <c r="FA3259" s="33" t="s">
        <v>343</v>
      </c>
      <c r="FB3259" s="33" t="s">
        <v>344</v>
      </c>
      <c r="FC3259" s="33" t="s">
        <v>345</v>
      </c>
      <c r="FD3259" s="33" t="s">
        <v>346</v>
      </c>
      <c r="FE3259" s="33">
        <v>2025</v>
      </c>
      <c r="FF3259" s="33" t="s">
        <v>59</v>
      </c>
      <c r="FG3259" s="33" t="s">
        <v>477</v>
      </c>
      <c r="FH3259" s="33" t="s">
        <v>478</v>
      </c>
      <c r="FI3259" s="33" t="s">
        <v>479</v>
      </c>
      <c r="FJ3259" t="s">
        <v>59</v>
      </c>
    </row>
    <row r="3260" spans="153:166" x14ac:dyDescent="0.35">
      <c r="EW3260" t="s">
        <v>4093</v>
      </c>
      <c r="EX3260" s="33" t="s">
        <v>4434</v>
      </c>
      <c r="EY3260" s="33" t="s">
        <v>896</v>
      </c>
      <c r="EZ3260" s="33" t="s">
        <v>897</v>
      </c>
      <c r="FA3260" s="33" t="s">
        <v>343</v>
      </c>
      <c r="FB3260" s="33" t="s">
        <v>344</v>
      </c>
      <c r="FC3260" s="33" t="s">
        <v>345</v>
      </c>
      <c r="FD3260" s="33" t="s">
        <v>346</v>
      </c>
      <c r="FE3260" s="33">
        <v>2025</v>
      </c>
      <c r="FF3260" s="33" t="s">
        <v>59</v>
      </c>
      <c r="FG3260" s="33" t="s">
        <v>477</v>
      </c>
      <c r="FH3260" s="33" t="s">
        <v>478</v>
      </c>
      <c r="FI3260" s="33" t="s">
        <v>479</v>
      </c>
      <c r="FJ3260" t="s">
        <v>59</v>
      </c>
    </row>
    <row r="3261" spans="153:166" x14ac:dyDescent="0.35">
      <c r="EW3261" t="s">
        <v>4093</v>
      </c>
      <c r="EX3261" s="33" t="s">
        <v>4435</v>
      </c>
      <c r="EY3261" s="33" t="s">
        <v>901</v>
      </c>
      <c r="EZ3261" s="33" t="s">
        <v>902</v>
      </c>
      <c r="FA3261" s="33" t="s">
        <v>343</v>
      </c>
      <c r="FB3261" s="33" t="s">
        <v>344</v>
      </c>
      <c r="FC3261" s="33" t="s">
        <v>345</v>
      </c>
      <c r="FD3261" s="33" t="s">
        <v>346</v>
      </c>
      <c r="FE3261" s="33">
        <v>2025</v>
      </c>
      <c r="FF3261" s="33" t="s">
        <v>59</v>
      </c>
      <c r="FG3261" s="33" t="s">
        <v>477</v>
      </c>
      <c r="FH3261" s="33" t="s">
        <v>478</v>
      </c>
      <c r="FI3261" s="33" t="s">
        <v>479</v>
      </c>
      <c r="FJ3261" t="s">
        <v>59</v>
      </c>
    </row>
    <row r="3262" spans="153:166" x14ac:dyDescent="0.35">
      <c r="EW3262" t="s">
        <v>4093</v>
      </c>
      <c r="EX3262" s="33" t="s">
        <v>4436</v>
      </c>
      <c r="EY3262" s="33" t="s">
        <v>903</v>
      </c>
      <c r="EZ3262" s="33" t="s">
        <v>904</v>
      </c>
      <c r="FA3262" s="33" t="s">
        <v>343</v>
      </c>
      <c r="FB3262" s="33" t="s">
        <v>344</v>
      </c>
      <c r="FC3262" s="33" t="s">
        <v>345</v>
      </c>
      <c r="FD3262" s="33" t="s">
        <v>346</v>
      </c>
      <c r="FE3262" s="33">
        <v>2025</v>
      </c>
      <c r="FF3262" s="33" t="s">
        <v>59</v>
      </c>
      <c r="FG3262" s="33" t="s">
        <v>477</v>
      </c>
      <c r="FH3262" s="33" t="s">
        <v>478</v>
      </c>
      <c r="FI3262" s="33" t="s">
        <v>479</v>
      </c>
      <c r="FJ3262" t="s">
        <v>59</v>
      </c>
    </row>
    <row r="3263" spans="153:166" x14ac:dyDescent="0.35">
      <c r="EW3263" t="s">
        <v>4093</v>
      </c>
      <c r="EX3263" s="33" t="s">
        <v>4437</v>
      </c>
      <c r="EY3263" s="33" t="s">
        <v>905</v>
      </c>
      <c r="EZ3263" s="33" t="s">
        <v>906</v>
      </c>
      <c r="FA3263" s="33" t="s">
        <v>343</v>
      </c>
      <c r="FB3263" s="33" t="s">
        <v>344</v>
      </c>
      <c r="FC3263" s="33" t="s">
        <v>345</v>
      </c>
      <c r="FD3263" s="33" t="s">
        <v>346</v>
      </c>
      <c r="FE3263" s="33">
        <v>2025</v>
      </c>
      <c r="FF3263" s="33" t="s">
        <v>59</v>
      </c>
      <c r="FG3263" s="33" t="s">
        <v>470</v>
      </c>
      <c r="FH3263" s="33" t="s">
        <v>471</v>
      </c>
      <c r="FI3263" s="33" t="s">
        <v>467</v>
      </c>
      <c r="FJ3263" t="s">
        <v>59</v>
      </c>
    </row>
    <row r="3264" spans="153:166" x14ac:dyDescent="0.35">
      <c r="EW3264" t="s">
        <v>4093</v>
      </c>
      <c r="EX3264" s="33" t="s">
        <v>4438</v>
      </c>
      <c r="EY3264" s="33" t="s">
        <v>907</v>
      </c>
      <c r="EZ3264" s="33" t="s">
        <v>908</v>
      </c>
      <c r="FA3264" s="33" t="s">
        <v>343</v>
      </c>
      <c r="FB3264" s="33" t="s">
        <v>344</v>
      </c>
      <c r="FC3264" s="33" t="s">
        <v>345</v>
      </c>
      <c r="FD3264" s="33" t="s">
        <v>346</v>
      </c>
      <c r="FE3264" s="33">
        <v>2025</v>
      </c>
      <c r="FF3264" s="33" t="s">
        <v>59</v>
      </c>
      <c r="FG3264" s="33" t="s">
        <v>477</v>
      </c>
      <c r="FH3264" s="33" t="s">
        <v>478</v>
      </c>
      <c r="FI3264" s="33" t="s">
        <v>479</v>
      </c>
      <c r="FJ3264" t="s">
        <v>59</v>
      </c>
    </row>
    <row r="3265" spans="153:166" x14ac:dyDescent="0.35">
      <c r="EW3265" t="s">
        <v>4093</v>
      </c>
      <c r="EX3265" s="33" t="s">
        <v>4439</v>
      </c>
      <c r="EY3265" s="33" t="s">
        <v>909</v>
      </c>
      <c r="EZ3265" s="33" t="s">
        <v>910</v>
      </c>
      <c r="FA3265" s="33" t="s">
        <v>343</v>
      </c>
      <c r="FB3265" s="33" t="s">
        <v>344</v>
      </c>
      <c r="FC3265" s="33" t="s">
        <v>345</v>
      </c>
      <c r="FD3265" s="33" t="s">
        <v>346</v>
      </c>
      <c r="FE3265" s="33">
        <v>2025</v>
      </c>
      <c r="FF3265" s="33" t="s">
        <v>59</v>
      </c>
      <c r="FG3265" s="33" t="s">
        <v>477</v>
      </c>
      <c r="FH3265" s="33" t="s">
        <v>478</v>
      </c>
      <c r="FI3265" s="33" t="s">
        <v>479</v>
      </c>
      <c r="FJ3265" t="s">
        <v>59</v>
      </c>
    </row>
    <row r="3266" spans="153:166" x14ac:dyDescent="0.35">
      <c r="EW3266" t="s">
        <v>4093</v>
      </c>
      <c r="EX3266" s="33" t="s">
        <v>4440</v>
      </c>
      <c r="EY3266" s="33" t="s">
        <v>914</v>
      </c>
      <c r="EZ3266" s="33" t="s">
        <v>915</v>
      </c>
      <c r="FA3266" s="33" t="s">
        <v>343</v>
      </c>
      <c r="FB3266" s="33" t="s">
        <v>344</v>
      </c>
      <c r="FC3266" s="33" t="s">
        <v>345</v>
      </c>
      <c r="FD3266" s="33" t="s">
        <v>346</v>
      </c>
      <c r="FE3266" s="33">
        <v>2025</v>
      </c>
      <c r="FF3266" s="33" t="s">
        <v>59</v>
      </c>
      <c r="FG3266" s="33" t="s">
        <v>470</v>
      </c>
      <c r="FH3266" s="33" t="s">
        <v>471</v>
      </c>
      <c r="FI3266" s="33" t="s">
        <v>467</v>
      </c>
      <c r="FJ3266" t="s">
        <v>59</v>
      </c>
    </row>
    <row r="3267" spans="153:166" x14ac:dyDescent="0.35">
      <c r="EW3267" t="s">
        <v>4093</v>
      </c>
      <c r="EX3267" s="33" t="s">
        <v>4441</v>
      </c>
      <c r="EY3267" s="33" t="s">
        <v>916</v>
      </c>
      <c r="EZ3267" s="33" t="s">
        <v>917</v>
      </c>
      <c r="FA3267" s="33" t="s">
        <v>343</v>
      </c>
      <c r="FB3267" s="33" t="s">
        <v>344</v>
      </c>
      <c r="FC3267" s="33" t="s">
        <v>345</v>
      </c>
      <c r="FD3267" s="33" t="s">
        <v>346</v>
      </c>
      <c r="FE3267" s="33">
        <v>2025</v>
      </c>
      <c r="FF3267" s="33" t="s">
        <v>59</v>
      </c>
      <c r="FG3267" s="33" t="s">
        <v>470</v>
      </c>
      <c r="FH3267" s="33" t="s">
        <v>471</v>
      </c>
      <c r="FI3267" s="33" t="s">
        <v>467</v>
      </c>
      <c r="FJ3267" t="s">
        <v>59</v>
      </c>
    </row>
    <row r="3268" spans="153:166" x14ac:dyDescent="0.35">
      <c r="EW3268" t="s">
        <v>4093</v>
      </c>
      <c r="EX3268" s="33" t="s">
        <v>4442</v>
      </c>
      <c r="EY3268" s="33" t="s">
        <v>918</v>
      </c>
      <c r="EZ3268" s="33" t="s">
        <v>919</v>
      </c>
      <c r="FA3268" s="33" t="s">
        <v>343</v>
      </c>
      <c r="FB3268" s="33" t="s">
        <v>344</v>
      </c>
      <c r="FC3268" s="33" t="s">
        <v>345</v>
      </c>
      <c r="FD3268" s="33" t="s">
        <v>346</v>
      </c>
      <c r="FE3268" s="33">
        <v>2025</v>
      </c>
      <c r="FF3268" s="33" t="s">
        <v>59</v>
      </c>
      <c r="FG3268" s="33" t="s">
        <v>470</v>
      </c>
      <c r="FH3268" s="33" t="s">
        <v>471</v>
      </c>
      <c r="FI3268" s="33" t="s">
        <v>467</v>
      </c>
      <c r="FJ3268" t="s">
        <v>59</v>
      </c>
    </row>
    <row r="3269" spans="153:166" x14ac:dyDescent="0.35">
      <c r="EW3269" t="s">
        <v>4093</v>
      </c>
      <c r="EX3269" s="33" t="s">
        <v>4443</v>
      </c>
      <c r="EY3269" s="33" t="s">
        <v>920</v>
      </c>
      <c r="EZ3269" s="33" t="s">
        <v>921</v>
      </c>
      <c r="FA3269" s="33" t="s">
        <v>343</v>
      </c>
      <c r="FB3269" s="33" t="s">
        <v>344</v>
      </c>
      <c r="FC3269" s="33" t="s">
        <v>345</v>
      </c>
      <c r="FD3269" s="33" t="s">
        <v>346</v>
      </c>
      <c r="FE3269" s="33">
        <v>2025</v>
      </c>
      <c r="FF3269" s="33" t="s">
        <v>59</v>
      </c>
      <c r="FG3269" s="33" t="s">
        <v>470</v>
      </c>
      <c r="FH3269" s="33" t="s">
        <v>471</v>
      </c>
      <c r="FI3269" s="33" t="s">
        <v>467</v>
      </c>
      <c r="FJ3269" t="s">
        <v>59</v>
      </c>
    </row>
    <row r="3270" spans="153:166" x14ac:dyDescent="0.35">
      <c r="EW3270" t="s">
        <v>4093</v>
      </c>
      <c r="EX3270" s="33" t="s">
        <v>4444</v>
      </c>
      <c r="EY3270" s="33" t="s">
        <v>925</v>
      </c>
      <c r="EZ3270" s="33" t="s">
        <v>926</v>
      </c>
      <c r="FA3270" s="33" t="s">
        <v>343</v>
      </c>
      <c r="FB3270" s="33" t="s">
        <v>344</v>
      </c>
      <c r="FC3270" s="33" t="s">
        <v>345</v>
      </c>
      <c r="FD3270" s="33" t="s">
        <v>346</v>
      </c>
      <c r="FE3270" s="33">
        <v>2025</v>
      </c>
      <c r="FF3270" s="33" t="s">
        <v>59</v>
      </c>
      <c r="FG3270" s="33" t="s">
        <v>470</v>
      </c>
      <c r="FH3270" s="33" t="s">
        <v>471</v>
      </c>
      <c r="FI3270" s="33" t="s">
        <v>467</v>
      </c>
      <c r="FJ3270" t="s">
        <v>59</v>
      </c>
    </row>
    <row r="3271" spans="153:166" x14ac:dyDescent="0.35">
      <c r="EW3271" t="s">
        <v>4093</v>
      </c>
      <c r="EX3271" s="33" t="s">
        <v>4445</v>
      </c>
      <c r="EY3271" s="33" t="s">
        <v>927</v>
      </c>
      <c r="EZ3271" s="33" t="s">
        <v>928</v>
      </c>
      <c r="FA3271" s="33" t="s">
        <v>343</v>
      </c>
      <c r="FB3271" s="33" t="s">
        <v>344</v>
      </c>
      <c r="FC3271" s="33" t="s">
        <v>345</v>
      </c>
      <c r="FD3271" s="33" t="s">
        <v>346</v>
      </c>
      <c r="FE3271" s="33">
        <v>2025</v>
      </c>
      <c r="FF3271" s="33" t="s">
        <v>59</v>
      </c>
      <c r="FG3271" s="33" t="s">
        <v>477</v>
      </c>
      <c r="FH3271" s="33" t="s">
        <v>478</v>
      </c>
      <c r="FI3271" s="33" t="s">
        <v>479</v>
      </c>
      <c r="FJ3271" t="s">
        <v>59</v>
      </c>
    </row>
    <row r="3272" spans="153:166" x14ac:dyDescent="0.35">
      <c r="EW3272" t="s">
        <v>4093</v>
      </c>
      <c r="EX3272" s="33" t="s">
        <v>4446</v>
      </c>
      <c r="EY3272" s="33" t="s">
        <v>929</v>
      </c>
      <c r="EZ3272" s="33" t="s">
        <v>930</v>
      </c>
      <c r="FA3272" s="33" t="s">
        <v>343</v>
      </c>
      <c r="FB3272" s="33" t="s">
        <v>344</v>
      </c>
      <c r="FC3272" s="33" t="s">
        <v>345</v>
      </c>
      <c r="FD3272" s="33" t="s">
        <v>346</v>
      </c>
      <c r="FE3272" s="33">
        <v>2025</v>
      </c>
      <c r="FF3272" s="33" t="s">
        <v>59</v>
      </c>
      <c r="FG3272" s="33" t="s">
        <v>477</v>
      </c>
      <c r="FH3272" s="33" t="s">
        <v>478</v>
      </c>
      <c r="FI3272" s="33" t="s">
        <v>479</v>
      </c>
      <c r="FJ3272" t="s">
        <v>59</v>
      </c>
    </row>
    <row r="3273" spans="153:166" x14ac:dyDescent="0.35">
      <c r="EW3273" t="s">
        <v>4093</v>
      </c>
      <c r="EX3273" s="33" t="s">
        <v>4447</v>
      </c>
      <c r="EY3273" s="33" t="s">
        <v>931</v>
      </c>
      <c r="EZ3273" s="33" t="s">
        <v>932</v>
      </c>
      <c r="FA3273" s="33" t="s">
        <v>343</v>
      </c>
      <c r="FB3273" s="33" t="s">
        <v>344</v>
      </c>
      <c r="FC3273" s="33" t="s">
        <v>345</v>
      </c>
      <c r="FD3273" s="33" t="s">
        <v>346</v>
      </c>
      <c r="FE3273" s="33">
        <v>2025</v>
      </c>
      <c r="FF3273" s="33" t="s">
        <v>59</v>
      </c>
      <c r="FG3273" s="33" t="s">
        <v>477</v>
      </c>
      <c r="FH3273" s="33" t="s">
        <v>478</v>
      </c>
      <c r="FI3273" s="33" t="s">
        <v>479</v>
      </c>
      <c r="FJ3273" t="s">
        <v>59</v>
      </c>
    </row>
    <row r="3274" spans="153:166" x14ac:dyDescent="0.35">
      <c r="EW3274" t="s">
        <v>4093</v>
      </c>
      <c r="EX3274" s="33" t="s">
        <v>4448</v>
      </c>
      <c r="EY3274" s="33" t="s">
        <v>933</v>
      </c>
      <c r="EZ3274" s="33" t="s">
        <v>934</v>
      </c>
      <c r="FA3274" s="33" t="s">
        <v>343</v>
      </c>
      <c r="FB3274" s="33" t="s">
        <v>344</v>
      </c>
      <c r="FC3274" s="33" t="s">
        <v>345</v>
      </c>
      <c r="FD3274" s="33" t="s">
        <v>346</v>
      </c>
      <c r="FE3274" s="33">
        <v>2025</v>
      </c>
      <c r="FF3274" s="33" t="s">
        <v>59</v>
      </c>
      <c r="FG3274" s="33" t="s">
        <v>470</v>
      </c>
      <c r="FH3274" s="33" t="s">
        <v>471</v>
      </c>
      <c r="FI3274" s="33" t="s">
        <v>467</v>
      </c>
      <c r="FJ3274" t="s">
        <v>59</v>
      </c>
    </row>
    <row r="3275" spans="153:166" x14ac:dyDescent="0.35">
      <c r="EW3275" t="s">
        <v>4093</v>
      </c>
      <c r="EX3275" s="33" t="s">
        <v>4449</v>
      </c>
      <c r="EY3275" s="33" t="s">
        <v>935</v>
      </c>
      <c r="EZ3275" s="33" t="s">
        <v>936</v>
      </c>
      <c r="FA3275" s="33" t="s">
        <v>343</v>
      </c>
      <c r="FB3275" s="33" t="s">
        <v>344</v>
      </c>
      <c r="FC3275" s="33" t="s">
        <v>345</v>
      </c>
      <c r="FD3275" s="33" t="s">
        <v>346</v>
      </c>
      <c r="FE3275" s="33">
        <v>2025</v>
      </c>
      <c r="FF3275" s="33" t="s">
        <v>59</v>
      </c>
      <c r="FG3275" s="33" t="s">
        <v>470</v>
      </c>
      <c r="FH3275" s="33" t="s">
        <v>471</v>
      </c>
      <c r="FI3275" s="33" t="s">
        <v>467</v>
      </c>
      <c r="FJ3275" t="s">
        <v>59</v>
      </c>
    </row>
    <row r="3276" spans="153:166" x14ac:dyDescent="0.35">
      <c r="EW3276" t="s">
        <v>4093</v>
      </c>
      <c r="EX3276" s="33" t="s">
        <v>4450</v>
      </c>
      <c r="EY3276" s="33" t="s">
        <v>937</v>
      </c>
      <c r="EZ3276" s="33" t="s">
        <v>938</v>
      </c>
      <c r="FA3276" s="33" t="s">
        <v>343</v>
      </c>
      <c r="FB3276" s="33" t="s">
        <v>344</v>
      </c>
      <c r="FC3276" s="33" t="s">
        <v>345</v>
      </c>
      <c r="FD3276" s="33" t="s">
        <v>346</v>
      </c>
      <c r="FE3276" s="33">
        <v>2025</v>
      </c>
      <c r="FF3276" s="33" t="s">
        <v>59</v>
      </c>
      <c r="FG3276" s="33" t="s">
        <v>470</v>
      </c>
      <c r="FH3276" s="33" t="s">
        <v>471</v>
      </c>
      <c r="FI3276" s="33" t="s">
        <v>467</v>
      </c>
      <c r="FJ3276" t="s">
        <v>59</v>
      </c>
    </row>
    <row r="3277" spans="153:166" x14ac:dyDescent="0.35">
      <c r="EW3277" t="s">
        <v>4093</v>
      </c>
      <c r="EX3277" s="33" t="s">
        <v>4451</v>
      </c>
      <c r="EY3277" s="33" t="s">
        <v>939</v>
      </c>
      <c r="EZ3277" s="33" t="s">
        <v>940</v>
      </c>
      <c r="FA3277" s="33" t="s">
        <v>343</v>
      </c>
      <c r="FB3277" s="33" t="s">
        <v>344</v>
      </c>
      <c r="FC3277" s="33" t="s">
        <v>345</v>
      </c>
      <c r="FD3277" s="33" t="s">
        <v>346</v>
      </c>
      <c r="FE3277" s="33">
        <v>2025</v>
      </c>
      <c r="FF3277" s="33" t="s">
        <v>59</v>
      </c>
      <c r="FG3277" s="33" t="s">
        <v>470</v>
      </c>
      <c r="FH3277" s="33" t="s">
        <v>471</v>
      </c>
      <c r="FI3277" s="33" t="s">
        <v>467</v>
      </c>
      <c r="FJ3277" t="s">
        <v>59</v>
      </c>
    </row>
    <row r="3278" spans="153:166" x14ac:dyDescent="0.35">
      <c r="EW3278" t="s">
        <v>4093</v>
      </c>
      <c r="EX3278" s="33" t="s">
        <v>4452</v>
      </c>
      <c r="EY3278" s="33" t="s">
        <v>944</v>
      </c>
      <c r="EZ3278" s="33" t="s">
        <v>945</v>
      </c>
      <c r="FA3278" s="33" t="s">
        <v>343</v>
      </c>
      <c r="FB3278" s="33" t="s">
        <v>344</v>
      </c>
      <c r="FC3278" s="33" t="s">
        <v>345</v>
      </c>
      <c r="FD3278" s="33" t="s">
        <v>346</v>
      </c>
      <c r="FE3278" s="33">
        <v>2025</v>
      </c>
      <c r="FF3278" s="33" t="s">
        <v>59</v>
      </c>
      <c r="FG3278" s="33" t="s">
        <v>470</v>
      </c>
      <c r="FH3278" s="33" t="s">
        <v>471</v>
      </c>
      <c r="FI3278" s="33" t="s">
        <v>467</v>
      </c>
      <c r="FJ3278" t="s">
        <v>59</v>
      </c>
    </row>
    <row r="3279" spans="153:166" x14ac:dyDescent="0.35">
      <c r="EW3279" t="s">
        <v>4093</v>
      </c>
      <c r="EX3279" s="33" t="s">
        <v>4453</v>
      </c>
      <c r="EY3279" s="33" t="s">
        <v>946</v>
      </c>
      <c r="EZ3279" s="33" t="s">
        <v>947</v>
      </c>
      <c r="FA3279" s="33" t="s">
        <v>343</v>
      </c>
      <c r="FB3279" s="33" t="s">
        <v>344</v>
      </c>
      <c r="FC3279" s="33" t="s">
        <v>345</v>
      </c>
      <c r="FD3279" s="33" t="s">
        <v>346</v>
      </c>
      <c r="FE3279" s="33">
        <v>2025</v>
      </c>
      <c r="FF3279" s="33" t="s">
        <v>59</v>
      </c>
      <c r="FG3279" s="33" t="s">
        <v>477</v>
      </c>
      <c r="FH3279" s="33" t="s">
        <v>478</v>
      </c>
      <c r="FI3279" s="33" t="s">
        <v>479</v>
      </c>
      <c r="FJ3279" t="s">
        <v>59</v>
      </c>
    </row>
    <row r="3280" spans="153:166" x14ac:dyDescent="0.35">
      <c r="EW3280" t="s">
        <v>4093</v>
      </c>
      <c r="EX3280" s="33" t="s">
        <v>4454</v>
      </c>
      <c r="EY3280" s="33" t="s">
        <v>948</v>
      </c>
      <c r="EZ3280" s="33" t="s">
        <v>949</v>
      </c>
      <c r="FA3280" s="33" t="s">
        <v>343</v>
      </c>
      <c r="FB3280" s="33" t="s">
        <v>344</v>
      </c>
      <c r="FC3280" s="33" t="s">
        <v>345</v>
      </c>
      <c r="FD3280" s="33" t="s">
        <v>346</v>
      </c>
      <c r="FE3280" s="33">
        <v>2025</v>
      </c>
      <c r="FF3280" s="33" t="s">
        <v>59</v>
      </c>
      <c r="FG3280" s="33" t="s">
        <v>470</v>
      </c>
      <c r="FH3280" s="33" t="s">
        <v>471</v>
      </c>
      <c r="FI3280" s="33" t="s">
        <v>467</v>
      </c>
      <c r="FJ3280" t="s">
        <v>59</v>
      </c>
    </row>
    <row r="3281" spans="153:166" x14ac:dyDescent="0.35">
      <c r="EW3281" t="s">
        <v>4093</v>
      </c>
      <c r="EX3281" s="33" t="s">
        <v>4455</v>
      </c>
      <c r="EY3281" s="33" t="s">
        <v>953</v>
      </c>
      <c r="EZ3281" s="33" t="s">
        <v>954</v>
      </c>
      <c r="FA3281" s="33" t="s">
        <v>343</v>
      </c>
      <c r="FB3281" s="33" t="s">
        <v>344</v>
      </c>
      <c r="FC3281" s="33" t="s">
        <v>345</v>
      </c>
      <c r="FD3281" s="33" t="s">
        <v>346</v>
      </c>
      <c r="FE3281" s="33">
        <v>2025</v>
      </c>
      <c r="FF3281" s="33" t="s">
        <v>59</v>
      </c>
      <c r="FG3281" s="33" t="s">
        <v>470</v>
      </c>
      <c r="FH3281" s="33" t="s">
        <v>471</v>
      </c>
      <c r="FI3281" s="33" t="s">
        <v>467</v>
      </c>
      <c r="FJ3281" t="s">
        <v>59</v>
      </c>
    </row>
    <row r="3282" spans="153:166" x14ac:dyDescent="0.35">
      <c r="EW3282" t="s">
        <v>4093</v>
      </c>
      <c r="EX3282" s="33" t="s">
        <v>4456</v>
      </c>
      <c r="EY3282" s="33" t="s">
        <v>955</v>
      </c>
      <c r="EZ3282" s="33" t="s">
        <v>956</v>
      </c>
      <c r="FA3282" s="33" t="s">
        <v>343</v>
      </c>
      <c r="FB3282" s="33" t="s">
        <v>344</v>
      </c>
      <c r="FC3282" s="33" t="s">
        <v>345</v>
      </c>
      <c r="FD3282" s="33" t="s">
        <v>346</v>
      </c>
      <c r="FE3282" s="33">
        <v>2025</v>
      </c>
      <c r="FF3282" s="33" t="s">
        <v>59</v>
      </c>
      <c r="FG3282" s="33" t="s">
        <v>477</v>
      </c>
      <c r="FH3282" s="33" t="s">
        <v>478</v>
      </c>
      <c r="FI3282" s="33" t="s">
        <v>479</v>
      </c>
      <c r="FJ3282" t="s">
        <v>59</v>
      </c>
    </row>
    <row r="3283" spans="153:166" x14ac:dyDescent="0.35">
      <c r="EW3283" t="s">
        <v>4093</v>
      </c>
      <c r="EX3283" s="33" t="s">
        <v>4457</v>
      </c>
      <c r="EY3283" s="33" t="s">
        <v>957</v>
      </c>
      <c r="EZ3283" s="33" t="s">
        <v>958</v>
      </c>
      <c r="FA3283" s="33" t="s">
        <v>343</v>
      </c>
      <c r="FB3283" s="33" t="s">
        <v>344</v>
      </c>
      <c r="FC3283" s="33" t="s">
        <v>345</v>
      </c>
      <c r="FD3283" s="33" t="s">
        <v>346</v>
      </c>
      <c r="FE3283" s="33">
        <v>2025</v>
      </c>
      <c r="FF3283" s="33" t="s">
        <v>59</v>
      </c>
      <c r="FG3283" s="33" t="s">
        <v>470</v>
      </c>
      <c r="FH3283" s="33" t="s">
        <v>471</v>
      </c>
      <c r="FI3283" s="33" t="s">
        <v>467</v>
      </c>
      <c r="FJ3283" t="s">
        <v>59</v>
      </c>
    </row>
    <row r="3284" spans="153:166" x14ac:dyDescent="0.35">
      <c r="EW3284" t="s">
        <v>4093</v>
      </c>
      <c r="EX3284" s="33" t="s">
        <v>4458</v>
      </c>
      <c r="EY3284" s="33" t="s">
        <v>959</v>
      </c>
      <c r="EZ3284" s="33" t="s">
        <v>960</v>
      </c>
      <c r="FA3284" s="33" t="s">
        <v>343</v>
      </c>
      <c r="FB3284" s="33" t="s">
        <v>344</v>
      </c>
      <c r="FC3284" s="33" t="s">
        <v>345</v>
      </c>
      <c r="FD3284" s="33" t="s">
        <v>346</v>
      </c>
      <c r="FE3284" s="33">
        <v>2025</v>
      </c>
      <c r="FF3284" s="33" t="s">
        <v>59</v>
      </c>
      <c r="FG3284" s="33" t="s">
        <v>470</v>
      </c>
      <c r="FH3284" s="33" t="s">
        <v>471</v>
      </c>
      <c r="FI3284" s="33" t="s">
        <v>467</v>
      </c>
      <c r="FJ3284" t="s">
        <v>59</v>
      </c>
    </row>
    <row r="3285" spans="153:166" x14ac:dyDescent="0.35">
      <c r="EW3285" t="s">
        <v>4093</v>
      </c>
      <c r="EX3285" s="33" t="s">
        <v>4459</v>
      </c>
      <c r="EY3285" s="33" t="s">
        <v>964</v>
      </c>
      <c r="EZ3285" s="33" t="s">
        <v>965</v>
      </c>
      <c r="FA3285" s="33" t="s">
        <v>343</v>
      </c>
      <c r="FB3285" s="33" t="s">
        <v>344</v>
      </c>
      <c r="FC3285" s="33" t="s">
        <v>345</v>
      </c>
      <c r="FD3285" s="33" t="s">
        <v>346</v>
      </c>
      <c r="FE3285" s="33">
        <v>2025</v>
      </c>
      <c r="FF3285" s="33" t="s">
        <v>59</v>
      </c>
      <c r="FG3285" s="33" t="s">
        <v>477</v>
      </c>
      <c r="FH3285" s="33" t="s">
        <v>478</v>
      </c>
      <c r="FI3285" s="33" t="s">
        <v>479</v>
      </c>
      <c r="FJ3285" t="s">
        <v>59</v>
      </c>
    </row>
    <row r="3286" spans="153:166" x14ac:dyDescent="0.35">
      <c r="EW3286" t="s">
        <v>4093</v>
      </c>
      <c r="EX3286" s="33" t="s">
        <v>4460</v>
      </c>
      <c r="EY3286" s="33" t="s">
        <v>966</v>
      </c>
      <c r="EZ3286" s="33" t="s">
        <v>967</v>
      </c>
      <c r="FA3286" s="33" t="s">
        <v>343</v>
      </c>
      <c r="FB3286" s="33" t="s">
        <v>344</v>
      </c>
      <c r="FC3286" s="33" t="s">
        <v>345</v>
      </c>
      <c r="FD3286" s="33" t="s">
        <v>346</v>
      </c>
      <c r="FE3286" s="33">
        <v>2025</v>
      </c>
      <c r="FF3286" s="33" t="s">
        <v>59</v>
      </c>
      <c r="FG3286" s="33" t="s">
        <v>470</v>
      </c>
      <c r="FH3286" s="33" t="s">
        <v>471</v>
      </c>
      <c r="FI3286" s="33" t="s">
        <v>467</v>
      </c>
      <c r="FJ3286" t="s">
        <v>59</v>
      </c>
    </row>
    <row r="3287" spans="153:166" x14ac:dyDescent="0.35">
      <c r="EW3287" t="s">
        <v>4093</v>
      </c>
      <c r="EX3287" s="33" t="s">
        <v>4461</v>
      </c>
      <c r="EY3287" s="33" t="s">
        <v>968</v>
      </c>
      <c r="EZ3287" s="33" t="s">
        <v>969</v>
      </c>
      <c r="FA3287" s="33" t="s">
        <v>343</v>
      </c>
      <c r="FB3287" s="33" t="s">
        <v>344</v>
      </c>
      <c r="FC3287" s="33" t="s">
        <v>345</v>
      </c>
      <c r="FD3287" s="33" t="s">
        <v>346</v>
      </c>
      <c r="FE3287" s="33">
        <v>2025</v>
      </c>
      <c r="FF3287" s="33" t="s">
        <v>59</v>
      </c>
      <c r="FG3287" s="33" t="s">
        <v>470</v>
      </c>
      <c r="FH3287" s="33" t="s">
        <v>471</v>
      </c>
      <c r="FI3287" s="33" t="s">
        <v>467</v>
      </c>
      <c r="FJ3287" t="s">
        <v>59</v>
      </c>
    </row>
    <row r="3288" spans="153:166" x14ac:dyDescent="0.35">
      <c r="EW3288" t="s">
        <v>4093</v>
      </c>
      <c r="EX3288" s="33" t="s">
        <v>4462</v>
      </c>
      <c r="EY3288" s="33" t="s">
        <v>970</v>
      </c>
      <c r="EZ3288" s="33" t="s">
        <v>971</v>
      </c>
      <c r="FA3288" s="33" t="s">
        <v>343</v>
      </c>
      <c r="FB3288" s="33" t="s">
        <v>344</v>
      </c>
      <c r="FC3288" s="33" t="s">
        <v>345</v>
      </c>
      <c r="FD3288" s="33" t="s">
        <v>346</v>
      </c>
      <c r="FE3288" s="33">
        <v>2025</v>
      </c>
      <c r="FF3288" s="33" t="s">
        <v>59</v>
      </c>
      <c r="FG3288" s="33" t="s">
        <v>477</v>
      </c>
      <c r="FH3288" s="33" t="s">
        <v>478</v>
      </c>
      <c r="FI3288" s="33" t="s">
        <v>479</v>
      </c>
      <c r="FJ3288" t="s">
        <v>59</v>
      </c>
    </row>
    <row r="3289" spans="153:166" x14ac:dyDescent="0.35">
      <c r="EW3289" t="s">
        <v>4093</v>
      </c>
      <c r="EX3289" s="33" t="s">
        <v>4463</v>
      </c>
      <c r="EY3289" s="33" t="s">
        <v>972</v>
      </c>
      <c r="EZ3289" s="33" t="s">
        <v>973</v>
      </c>
      <c r="FA3289" s="33" t="s">
        <v>343</v>
      </c>
      <c r="FB3289" s="33" t="s">
        <v>344</v>
      </c>
      <c r="FC3289" s="33" t="s">
        <v>345</v>
      </c>
      <c r="FD3289" s="33" t="s">
        <v>346</v>
      </c>
      <c r="FE3289" s="33">
        <v>2025</v>
      </c>
      <c r="FF3289" s="33" t="s">
        <v>59</v>
      </c>
      <c r="FG3289" s="33" t="s">
        <v>470</v>
      </c>
      <c r="FH3289" s="33" t="s">
        <v>471</v>
      </c>
      <c r="FI3289" s="33" t="s">
        <v>467</v>
      </c>
      <c r="FJ3289" t="s">
        <v>59</v>
      </c>
    </row>
    <row r="3290" spans="153:166" x14ac:dyDescent="0.35">
      <c r="EW3290" t="s">
        <v>4093</v>
      </c>
      <c r="EX3290" s="33" t="s">
        <v>4464</v>
      </c>
      <c r="EY3290" s="33" t="s">
        <v>974</v>
      </c>
      <c r="EZ3290" s="33" t="s">
        <v>975</v>
      </c>
      <c r="FA3290" s="33" t="s">
        <v>343</v>
      </c>
      <c r="FB3290" s="33" t="s">
        <v>344</v>
      </c>
      <c r="FC3290" s="33" t="s">
        <v>345</v>
      </c>
      <c r="FD3290" s="33" t="s">
        <v>346</v>
      </c>
      <c r="FE3290" s="33">
        <v>2025</v>
      </c>
      <c r="FF3290" s="33" t="s">
        <v>59</v>
      </c>
      <c r="FG3290" s="33" t="s">
        <v>477</v>
      </c>
      <c r="FH3290" s="33" t="s">
        <v>478</v>
      </c>
      <c r="FI3290" s="33" t="s">
        <v>479</v>
      </c>
      <c r="FJ3290" t="s">
        <v>59</v>
      </c>
    </row>
    <row r="3291" spans="153:166" x14ac:dyDescent="0.35">
      <c r="EW3291" t="s">
        <v>4093</v>
      </c>
      <c r="EX3291" s="33" t="s">
        <v>4465</v>
      </c>
      <c r="EY3291" s="33" t="s">
        <v>976</v>
      </c>
      <c r="EZ3291" s="33" t="s">
        <v>977</v>
      </c>
      <c r="FA3291" s="33" t="s">
        <v>343</v>
      </c>
      <c r="FB3291" s="33" t="s">
        <v>344</v>
      </c>
      <c r="FC3291" s="33" t="s">
        <v>345</v>
      </c>
      <c r="FD3291" s="33" t="s">
        <v>346</v>
      </c>
      <c r="FE3291" s="33">
        <v>2025</v>
      </c>
      <c r="FF3291" s="33" t="s">
        <v>59</v>
      </c>
      <c r="FG3291" s="33" t="s">
        <v>477</v>
      </c>
      <c r="FH3291" s="33" t="s">
        <v>478</v>
      </c>
      <c r="FI3291" s="33" t="s">
        <v>479</v>
      </c>
      <c r="FJ3291" t="s">
        <v>59</v>
      </c>
    </row>
    <row r="3292" spans="153:166" x14ac:dyDescent="0.35">
      <c r="EW3292" t="s">
        <v>4093</v>
      </c>
      <c r="EX3292" s="33" t="s">
        <v>4466</v>
      </c>
      <c r="EY3292" s="33" t="s">
        <v>978</v>
      </c>
      <c r="EZ3292" s="33" t="s">
        <v>979</v>
      </c>
      <c r="FA3292" s="33" t="s">
        <v>343</v>
      </c>
      <c r="FB3292" s="33" t="s">
        <v>344</v>
      </c>
      <c r="FC3292" s="33" t="s">
        <v>345</v>
      </c>
      <c r="FD3292" s="33" t="s">
        <v>346</v>
      </c>
      <c r="FE3292" s="33">
        <v>2025</v>
      </c>
      <c r="FF3292" s="33" t="s">
        <v>59</v>
      </c>
      <c r="FG3292" s="33" t="s">
        <v>470</v>
      </c>
      <c r="FH3292" s="33" t="s">
        <v>471</v>
      </c>
      <c r="FI3292" s="33" t="s">
        <v>467</v>
      </c>
      <c r="FJ3292" t="s">
        <v>59</v>
      </c>
    </row>
    <row r="3293" spans="153:166" x14ac:dyDescent="0.35">
      <c r="EW3293" t="s">
        <v>4093</v>
      </c>
      <c r="EX3293" s="33" t="s">
        <v>4467</v>
      </c>
      <c r="EY3293" s="33" t="s">
        <v>980</v>
      </c>
      <c r="EZ3293" s="33" t="s">
        <v>981</v>
      </c>
      <c r="FA3293" s="33" t="s">
        <v>343</v>
      </c>
      <c r="FB3293" s="33" t="s">
        <v>344</v>
      </c>
      <c r="FC3293" s="33" t="s">
        <v>345</v>
      </c>
      <c r="FD3293" s="33" t="s">
        <v>346</v>
      </c>
      <c r="FE3293" s="33">
        <v>2025</v>
      </c>
      <c r="FF3293" s="33" t="s">
        <v>59</v>
      </c>
      <c r="FG3293" s="33" t="s">
        <v>477</v>
      </c>
      <c r="FH3293" s="33" t="s">
        <v>478</v>
      </c>
      <c r="FI3293" s="33" t="s">
        <v>479</v>
      </c>
      <c r="FJ3293" t="s">
        <v>59</v>
      </c>
    </row>
    <row r="3294" spans="153:166" x14ac:dyDescent="0.35">
      <c r="EW3294" t="s">
        <v>4093</v>
      </c>
      <c r="EX3294" s="33" t="s">
        <v>4468</v>
      </c>
      <c r="EY3294" s="33" t="s">
        <v>985</v>
      </c>
      <c r="EZ3294" s="33" t="s">
        <v>986</v>
      </c>
      <c r="FA3294" s="33" t="s">
        <v>343</v>
      </c>
      <c r="FB3294" s="33" t="s">
        <v>344</v>
      </c>
      <c r="FC3294" s="33" t="s">
        <v>345</v>
      </c>
      <c r="FD3294" s="33" t="s">
        <v>346</v>
      </c>
      <c r="FE3294" s="33">
        <v>2025</v>
      </c>
      <c r="FF3294" s="33" t="s">
        <v>59</v>
      </c>
      <c r="FG3294" s="33" t="s">
        <v>477</v>
      </c>
      <c r="FH3294" s="33" t="s">
        <v>478</v>
      </c>
      <c r="FI3294" s="33" t="s">
        <v>479</v>
      </c>
      <c r="FJ3294" t="s">
        <v>59</v>
      </c>
    </row>
    <row r="3295" spans="153:166" x14ac:dyDescent="0.35">
      <c r="EW3295" t="s">
        <v>4093</v>
      </c>
      <c r="EX3295" s="33" t="s">
        <v>4469</v>
      </c>
      <c r="EY3295" s="33" t="s">
        <v>987</v>
      </c>
      <c r="EZ3295" s="33" t="s">
        <v>988</v>
      </c>
      <c r="FA3295" s="33" t="s">
        <v>343</v>
      </c>
      <c r="FB3295" s="33" t="s">
        <v>344</v>
      </c>
      <c r="FC3295" s="33" t="s">
        <v>345</v>
      </c>
      <c r="FD3295" s="33" t="s">
        <v>346</v>
      </c>
      <c r="FE3295" s="33">
        <v>2025</v>
      </c>
      <c r="FF3295" s="33" t="s">
        <v>59</v>
      </c>
      <c r="FG3295" s="33" t="s">
        <v>386</v>
      </c>
      <c r="FH3295" s="33" t="s">
        <v>387</v>
      </c>
      <c r="FI3295" s="33" t="s">
        <v>407</v>
      </c>
      <c r="FJ3295" t="s">
        <v>59</v>
      </c>
    </row>
    <row r="3296" spans="153:166" x14ac:dyDescent="0.35">
      <c r="EW3296" t="s">
        <v>4093</v>
      </c>
      <c r="EX3296" s="33" t="s">
        <v>4470</v>
      </c>
      <c r="EY3296" s="33" t="s">
        <v>989</v>
      </c>
      <c r="EZ3296" s="33" t="s">
        <v>990</v>
      </c>
      <c r="FA3296" s="33" t="s">
        <v>343</v>
      </c>
      <c r="FB3296" s="33" t="s">
        <v>344</v>
      </c>
      <c r="FC3296" s="33" t="s">
        <v>345</v>
      </c>
      <c r="FD3296" s="33" t="s">
        <v>346</v>
      </c>
      <c r="FE3296" s="33">
        <v>2025</v>
      </c>
      <c r="FF3296" s="33" t="s">
        <v>59</v>
      </c>
      <c r="FG3296" s="33" t="s">
        <v>477</v>
      </c>
      <c r="FH3296" s="33" t="s">
        <v>478</v>
      </c>
      <c r="FI3296" s="33" t="s">
        <v>479</v>
      </c>
      <c r="FJ3296" t="s">
        <v>59</v>
      </c>
    </row>
    <row r="3297" spans="153:166" x14ac:dyDescent="0.35">
      <c r="EW3297" t="s">
        <v>4093</v>
      </c>
      <c r="EX3297" s="33" t="s">
        <v>4471</v>
      </c>
      <c r="EY3297" s="33" t="s">
        <v>991</v>
      </c>
      <c r="EZ3297" s="33" t="s">
        <v>992</v>
      </c>
      <c r="FA3297" s="33" t="s">
        <v>343</v>
      </c>
      <c r="FB3297" s="33" t="s">
        <v>344</v>
      </c>
      <c r="FC3297" s="33" t="s">
        <v>345</v>
      </c>
      <c r="FD3297" s="33" t="s">
        <v>346</v>
      </c>
      <c r="FE3297" s="33">
        <v>2025</v>
      </c>
      <c r="FF3297" s="33" t="s">
        <v>59</v>
      </c>
      <c r="FG3297" s="33" t="s">
        <v>386</v>
      </c>
      <c r="FH3297" s="33" t="s">
        <v>387</v>
      </c>
      <c r="FI3297" s="33" t="s">
        <v>407</v>
      </c>
      <c r="FJ3297" t="s">
        <v>59</v>
      </c>
    </row>
    <row r="3298" spans="153:166" x14ac:dyDescent="0.35">
      <c r="EW3298" t="s">
        <v>4093</v>
      </c>
      <c r="EX3298" s="33" t="s">
        <v>4472</v>
      </c>
      <c r="EY3298" s="33" t="s">
        <v>993</v>
      </c>
      <c r="EZ3298" s="33" t="s">
        <v>994</v>
      </c>
      <c r="FA3298" s="33" t="s">
        <v>343</v>
      </c>
      <c r="FB3298" s="33" t="s">
        <v>344</v>
      </c>
      <c r="FC3298" s="33" t="s">
        <v>345</v>
      </c>
      <c r="FD3298" s="33" t="s">
        <v>346</v>
      </c>
      <c r="FE3298" s="33">
        <v>2025</v>
      </c>
      <c r="FF3298" s="33" t="s">
        <v>59</v>
      </c>
      <c r="FG3298" s="33" t="s">
        <v>477</v>
      </c>
      <c r="FH3298" s="33" t="s">
        <v>478</v>
      </c>
      <c r="FI3298" s="33" t="s">
        <v>479</v>
      </c>
      <c r="FJ3298" t="s">
        <v>59</v>
      </c>
    </row>
    <row r="3299" spans="153:166" x14ac:dyDescent="0.35">
      <c r="EW3299" t="s">
        <v>4093</v>
      </c>
      <c r="EX3299" s="33" t="s">
        <v>4473</v>
      </c>
      <c r="EY3299" s="33" t="s">
        <v>998</v>
      </c>
      <c r="EZ3299" s="33" t="s">
        <v>999</v>
      </c>
      <c r="FA3299" s="33" t="s">
        <v>343</v>
      </c>
      <c r="FB3299" s="33" t="s">
        <v>344</v>
      </c>
      <c r="FC3299" s="33" t="s">
        <v>345</v>
      </c>
      <c r="FD3299" s="33" t="s">
        <v>346</v>
      </c>
      <c r="FE3299" s="33">
        <v>2025</v>
      </c>
      <c r="FF3299" s="33" t="s">
        <v>59</v>
      </c>
      <c r="FG3299" s="33" t="s">
        <v>477</v>
      </c>
      <c r="FH3299" s="33" t="s">
        <v>478</v>
      </c>
      <c r="FI3299" s="33" t="s">
        <v>479</v>
      </c>
      <c r="FJ3299" t="s">
        <v>59</v>
      </c>
    </row>
    <row r="3300" spans="153:166" x14ac:dyDescent="0.35">
      <c r="EW3300" t="s">
        <v>4093</v>
      </c>
      <c r="EX3300" s="33" t="s">
        <v>4474</v>
      </c>
      <c r="EY3300" s="33" t="s">
        <v>1000</v>
      </c>
      <c r="EZ3300" s="33" t="s">
        <v>1001</v>
      </c>
      <c r="FA3300" s="33" t="s">
        <v>343</v>
      </c>
      <c r="FB3300" s="33" t="s">
        <v>344</v>
      </c>
      <c r="FC3300" s="33" t="s">
        <v>345</v>
      </c>
      <c r="FD3300" s="33" t="s">
        <v>346</v>
      </c>
      <c r="FE3300" s="33">
        <v>2025</v>
      </c>
      <c r="FF3300" s="33" t="s">
        <v>59</v>
      </c>
      <c r="FG3300" s="33" t="s">
        <v>477</v>
      </c>
      <c r="FH3300" s="33" t="s">
        <v>478</v>
      </c>
      <c r="FI3300" s="33" t="s">
        <v>479</v>
      </c>
      <c r="FJ3300" t="s">
        <v>59</v>
      </c>
    </row>
    <row r="3301" spans="153:166" x14ac:dyDescent="0.35">
      <c r="EW3301" t="s">
        <v>4093</v>
      </c>
      <c r="EX3301" s="33" t="s">
        <v>4475</v>
      </c>
      <c r="EY3301" s="33" t="s">
        <v>1002</v>
      </c>
      <c r="EZ3301" s="33" t="s">
        <v>1003</v>
      </c>
      <c r="FA3301" s="33" t="s">
        <v>343</v>
      </c>
      <c r="FB3301" s="33" t="s">
        <v>344</v>
      </c>
      <c r="FC3301" s="33" t="s">
        <v>345</v>
      </c>
      <c r="FD3301" s="33" t="s">
        <v>346</v>
      </c>
      <c r="FE3301" s="33">
        <v>2025</v>
      </c>
      <c r="FF3301" s="33" t="s">
        <v>59</v>
      </c>
      <c r="FG3301" s="33" t="s">
        <v>477</v>
      </c>
      <c r="FH3301" s="33" t="s">
        <v>478</v>
      </c>
      <c r="FI3301" s="33" t="s">
        <v>479</v>
      </c>
      <c r="FJ3301" t="s">
        <v>59</v>
      </c>
    </row>
    <row r="3302" spans="153:166" x14ac:dyDescent="0.35">
      <c r="EW3302" t="s">
        <v>4093</v>
      </c>
      <c r="EX3302" s="33" t="s">
        <v>4476</v>
      </c>
      <c r="EY3302" s="33" t="s">
        <v>1004</v>
      </c>
      <c r="EZ3302" s="33" t="s">
        <v>1005</v>
      </c>
      <c r="FA3302" s="33" t="s">
        <v>343</v>
      </c>
      <c r="FB3302" s="33" t="s">
        <v>344</v>
      </c>
      <c r="FC3302" s="33" t="s">
        <v>345</v>
      </c>
      <c r="FD3302" s="33" t="s">
        <v>346</v>
      </c>
      <c r="FE3302" s="33">
        <v>2025</v>
      </c>
      <c r="FF3302" s="33" t="s">
        <v>59</v>
      </c>
      <c r="FG3302" s="33" t="s">
        <v>386</v>
      </c>
      <c r="FH3302" s="33" t="s">
        <v>387</v>
      </c>
      <c r="FI3302" s="33" t="s">
        <v>407</v>
      </c>
      <c r="FJ3302" t="s">
        <v>59</v>
      </c>
    </row>
    <row r="3303" spans="153:166" x14ac:dyDescent="0.35">
      <c r="EW3303" t="s">
        <v>4093</v>
      </c>
      <c r="EX3303" s="33" t="s">
        <v>4477</v>
      </c>
      <c r="EY3303" s="33" t="s">
        <v>1006</v>
      </c>
      <c r="EZ3303" s="33" t="s">
        <v>1007</v>
      </c>
      <c r="FA3303" s="33" t="s">
        <v>343</v>
      </c>
      <c r="FB3303" s="33" t="s">
        <v>344</v>
      </c>
      <c r="FC3303" s="33" t="s">
        <v>345</v>
      </c>
      <c r="FD3303" s="33" t="s">
        <v>346</v>
      </c>
      <c r="FE3303" s="33">
        <v>2025</v>
      </c>
      <c r="FF3303" s="33" t="s">
        <v>59</v>
      </c>
      <c r="FG3303" s="33" t="s">
        <v>477</v>
      </c>
      <c r="FH3303" s="33" t="s">
        <v>478</v>
      </c>
      <c r="FI3303" s="33" t="s">
        <v>479</v>
      </c>
      <c r="FJ3303" t="s">
        <v>59</v>
      </c>
    </row>
    <row r="3304" spans="153:166" x14ac:dyDescent="0.35">
      <c r="EW3304" t="s">
        <v>4093</v>
      </c>
      <c r="EX3304" s="33" t="s">
        <v>4478</v>
      </c>
      <c r="EY3304" s="33" t="s">
        <v>1011</v>
      </c>
      <c r="EZ3304" s="33" t="s">
        <v>1012</v>
      </c>
      <c r="FA3304" s="33" t="s">
        <v>343</v>
      </c>
      <c r="FB3304" s="33" t="s">
        <v>344</v>
      </c>
      <c r="FC3304" s="33" t="s">
        <v>345</v>
      </c>
      <c r="FD3304" s="33" t="s">
        <v>346</v>
      </c>
      <c r="FE3304" s="33">
        <v>2025</v>
      </c>
      <c r="FF3304" s="33" t="s">
        <v>59</v>
      </c>
      <c r="FG3304" s="33" t="s">
        <v>477</v>
      </c>
      <c r="FH3304" s="33" t="s">
        <v>478</v>
      </c>
      <c r="FI3304" s="33" t="s">
        <v>479</v>
      </c>
      <c r="FJ3304" t="s">
        <v>59</v>
      </c>
    </row>
    <row r="3305" spans="153:166" x14ac:dyDescent="0.35">
      <c r="EW3305" t="s">
        <v>4093</v>
      </c>
      <c r="EX3305" s="33" t="s">
        <v>4479</v>
      </c>
      <c r="EY3305" s="33" t="s">
        <v>1013</v>
      </c>
      <c r="EZ3305" s="33" t="s">
        <v>1014</v>
      </c>
      <c r="FA3305" s="33" t="s">
        <v>343</v>
      </c>
      <c r="FB3305" s="33" t="s">
        <v>344</v>
      </c>
      <c r="FC3305" s="33" t="s">
        <v>345</v>
      </c>
      <c r="FD3305" s="33" t="s">
        <v>346</v>
      </c>
      <c r="FE3305" s="33">
        <v>2025</v>
      </c>
      <c r="FF3305" s="33" t="s">
        <v>59</v>
      </c>
      <c r="FG3305" s="33" t="s">
        <v>477</v>
      </c>
      <c r="FH3305" s="33" t="s">
        <v>478</v>
      </c>
      <c r="FI3305" s="33" t="s">
        <v>479</v>
      </c>
      <c r="FJ3305" t="s">
        <v>59</v>
      </c>
    </row>
    <row r="3306" spans="153:166" x14ac:dyDescent="0.35">
      <c r="EW3306" t="s">
        <v>4093</v>
      </c>
      <c r="EX3306" s="33" t="s">
        <v>4480</v>
      </c>
      <c r="EY3306" s="33" t="s">
        <v>1015</v>
      </c>
      <c r="EZ3306" s="33" t="s">
        <v>1016</v>
      </c>
      <c r="FA3306" s="33" t="s">
        <v>343</v>
      </c>
      <c r="FB3306" s="33" t="s">
        <v>344</v>
      </c>
      <c r="FC3306" s="33" t="s">
        <v>345</v>
      </c>
      <c r="FD3306" s="33" t="s">
        <v>346</v>
      </c>
      <c r="FE3306" s="33">
        <v>2025</v>
      </c>
      <c r="FF3306" s="33" t="s">
        <v>59</v>
      </c>
      <c r="FG3306" s="33" t="s">
        <v>470</v>
      </c>
      <c r="FH3306" s="33" t="s">
        <v>471</v>
      </c>
      <c r="FI3306" s="33" t="s">
        <v>467</v>
      </c>
      <c r="FJ3306" t="s">
        <v>59</v>
      </c>
    </row>
    <row r="3307" spans="153:166" x14ac:dyDescent="0.35">
      <c r="EW3307" t="s">
        <v>4093</v>
      </c>
      <c r="EX3307" s="33" t="s">
        <v>4481</v>
      </c>
      <c r="EY3307" s="33" t="s">
        <v>1020</v>
      </c>
      <c r="EZ3307" s="33" t="s">
        <v>1021</v>
      </c>
      <c r="FA3307" s="33" t="s">
        <v>343</v>
      </c>
      <c r="FB3307" s="33" t="s">
        <v>344</v>
      </c>
      <c r="FC3307" s="33" t="s">
        <v>345</v>
      </c>
      <c r="FD3307" s="33" t="s">
        <v>346</v>
      </c>
      <c r="FE3307" s="33">
        <v>2025</v>
      </c>
      <c r="FF3307" s="33" t="s">
        <v>59</v>
      </c>
      <c r="FG3307" s="33" t="s">
        <v>470</v>
      </c>
      <c r="FH3307" s="33" t="s">
        <v>471</v>
      </c>
      <c r="FI3307" s="33" t="s">
        <v>467</v>
      </c>
      <c r="FJ3307" t="s">
        <v>59</v>
      </c>
    </row>
    <row r="3308" spans="153:166" x14ac:dyDescent="0.35">
      <c r="EW3308" t="s">
        <v>4093</v>
      </c>
      <c r="EX3308" s="33" t="s">
        <v>4482</v>
      </c>
      <c r="EY3308" s="33" t="s">
        <v>1022</v>
      </c>
      <c r="EZ3308" s="33" t="s">
        <v>1023</v>
      </c>
      <c r="FA3308" s="33" t="s">
        <v>343</v>
      </c>
      <c r="FB3308" s="33" t="s">
        <v>344</v>
      </c>
      <c r="FC3308" s="33" t="s">
        <v>345</v>
      </c>
      <c r="FD3308" s="33" t="s">
        <v>346</v>
      </c>
      <c r="FE3308" s="33">
        <v>2025</v>
      </c>
      <c r="FF3308" s="33" t="s">
        <v>59</v>
      </c>
      <c r="FG3308" s="33" t="s">
        <v>470</v>
      </c>
      <c r="FH3308" s="33" t="s">
        <v>471</v>
      </c>
      <c r="FI3308" s="33" t="s">
        <v>467</v>
      </c>
      <c r="FJ3308" t="s">
        <v>59</v>
      </c>
    </row>
    <row r="3309" spans="153:166" x14ac:dyDescent="0.35">
      <c r="EW3309" t="s">
        <v>4093</v>
      </c>
      <c r="EX3309" s="33" t="s">
        <v>4483</v>
      </c>
      <c r="EY3309" s="33" t="s">
        <v>1024</v>
      </c>
      <c r="EZ3309" s="33" t="s">
        <v>1025</v>
      </c>
      <c r="FA3309" s="33" t="s">
        <v>343</v>
      </c>
      <c r="FB3309" s="33" t="s">
        <v>344</v>
      </c>
      <c r="FC3309" s="33" t="s">
        <v>345</v>
      </c>
      <c r="FD3309" s="33" t="s">
        <v>346</v>
      </c>
      <c r="FE3309" s="33">
        <v>2025</v>
      </c>
      <c r="FF3309" s="33" t="s">
        <v>59</v>
      </c>
      <c r="FG3309" s="33" t="s">
        <v>477</v>
      </c>
      <c r="FH3309" s="33" t="s">
        <v>478</v>
      </c>
      <c r="FI3309" s="33" t="s">
        <v>479</v>
      </c>
      <c r="FJ3309" t="s">
        <v>59</v>
      </c>
    </row>
    <row r="3310" spans="153:166" x14ac:dyDescent="0.35">
      <c r="EW3310" t="s">
        <v>4093</v>
      </c>
      <c r="EX3310" s="33" t="s">
        <v>4484</v>
      </c>
      <c r="EY3310" s="33" t="s">
        <v>1026</v>
      </c>
      <c r="EZ3310" s="33" t="s">
        <v>1027</v>
      </c>
      <c r="FA3310" s="33" t="s">
        <v>343</v>
      </c>
      <c r="FB3310" s="33" t="s">
        <v>344</v>
      </c>
      <c r="FC3310" s="33" t="s">
        <v>345</v>
      </c>
      <c r="FD3310" s="33" t="s">
        <v>346</v>
      </c>
      <c r="FE3310" s="33">
        <v>2025</v>
      </c>
      <c r="FF3310" s="33" t="s">
        <v>59</v>
      </c>
      <c r="FG3310" s="33" t="s">
        <v>386</v>
      </c>
      <c r="FH3310" s="33" t="s">
        <v>387</v>
      </c>
      <c r="FI3310" s="33" t="s">
        <v>407</v>
      </c>
      <c r="FJ3310" t="s">
        <v>59</v>
      </c>
    </row>
    <row r="3311" spans="153:166" x14ac:dyDescent="0.35">
      <c r="EW3311" t="s">
        <v>4093</v>
      </c>
      <c r="EX3311" s="33" t="s">
        <v>4485</v>
      </c>
      <c r="EY3311" s="33" t="s">
        <v>1028</v>
      </c>
      <c r="EZ3311" s="33" t="s">
        <v>1029</v>
      </c>
      <c r="FA3311" s="33" t="s">
        <v>343</v>
      </c>
      <c r="FB3311" s="33" t="s">
        <v>344</v>
      </c>
      <c r="FC3311" s="33" t="s">
        <v>345</v>
      </c>
      <c r="FD3311" s="33" t="s">
        <v>346</v>
      </c>
      <c r="FE3311" s="33">
        <v>2025</v>
      </c>
      <c r="FF3311" s="33" t="s">
        <v>59</v>
      </c>
      <c r="FG3311" s="33" t="s">
        <v>470</v>
      </c>
      <c r="FH3311" s="33" t="s">
        <v>471</v>
      </c>
      <c r="FI3311" s="33" t="s">
        <v>467</v>
      </c>
      <c r="FJ3311" t="s">
        <v>59</v>
      </c>
    </row>
    <row r="3312" spans="153:166" x14ac:dyDescent="0.35">
      <c r="EW3312" t="s">
        <v>4093</v>
      </c>
      <c r="EX3312" s="33" t="s">
        <v>4486</v>
      </c>
      <c r="EY3312" s="33" t="s">
        <v>1030</v>
      </c>
      <c r="EZ3312" s="33" t="s">
        <v>1031</v>
      </c>
      <c r="FA3312" s="33" t="s">
        <v>343</v>
      </c>
      <c r="FB3312" s="33" t="s">
        <v>344</v>
      </c>
      <c r="FC3312" s="33" t="s">
        <v>345</v>
      </c>
      <c r="FD3312" s="33" t="s">
        <v>346</v>
      </c>
      <c r="FE3312" s="33">
        <v>2025</v>
      </c>
      <c r="FF3312" s="33" t="s">
        <v>59</v>
      </c>
      <c r="FG3312" s="33" t="s">
        <v>477</v>
      </c>
      <c r="FH3312" s="33" t="s">
        <v>478</v>
      </c>
      <c r="FI3312" s="33" t="s">
        <v>479</v>
      </c>
      <c r="FJ3312" t="s">
        <v>59</v>
      </c>
    </row>
    <row r="3313" spans="153:166" x14ac:dyDescent="0.35">
      <c r="EW3313" t="s">
        <v>4093</v>
      </c>
      <c r="EX3313" s="33" t="s">
        <v>4487</v>
      </c>
      <c r="EY3313" s="33" t="s">
        <v>1032</v>
      </c>
      <c r="EZ3313" s="33" t="s">
        <v>1033</v>
      </c>
      <c r="FA3313" s="33" t="s">
        <v>343</v>
      </c>
      <c r="FB3313" s="33" t="s">
        <v>344</v>
      </c>
      <c r="FC3313" s="33" t="s">
        <v>345</v>
      </c>
      <c r="FD3313" s="33" t="s">
        <v>346</v>
      </c>
      <c r="FE3313" s="33">
        <v>2025</v>
      </c>
      <c r="FF3313" s="33" t="s">
        <v>59</v>
      </c>
      <c r="FG3313" s="33" t="s">
        <v>470</v>
      </c>
      <c r="FH3313" s="33" t="s">
        <v>471</v>
      </c>
      <c r="FI3313" s="33" t="s">
        <v>467</v>
      </c>
      <c r="FJ3313" t="s">
        <v>59</v>
      </c>
    </row>
    <row r="3314" spans="153:166" x14ac:dyDescent="0.35">
      <c r="EW3314" t="s">
        <v>4093</v>
      </c>
      <c r="EX3314" s="33" t="s">
        <v>4488</v>
      </c>
      <c r="EY3314" s="33" t="s">
        <v>1037</v>
      </c>
      <c r="EZ3314" s="33" t="s">
        <v>1038</v>
      </c>
      <c r="FA3314" s="33" t="s">
        <v>343</v>
      </c>
      <c r="FB3314" s="33" t="s">
        <v>344</v>
      </c>
      <c r="FC3314" s="33" t="s">
        <v>345</v>
      </c>
      <c r="FD3314" s="33" t="s">
        <v>346</v>
      </c>
      <c r="FE3314" s="33">
        <v>2025</v>
      </c>
      <c r="FF3314" s="33" t="s">
        <v>59</v>
      </c>
      <c r="FG3314" s="33" t="s">
        <v>470</v>
      </c>
      <c r="FH3314" s="33" t="s">
        <v>471</v>
      </c>
      <c r="FI3314" s="33" t="s">
        <v>467</v>
      </c>
      <c r="FJ3314" t="s">
        <v>59</v>
      </c>
    </row>
    <row r="3315" spans="153:166" x14ac:dyDescent="0.35">
      <c r="EW3315" t="s">
        <v>4093</v>
      </c>
      <c r="EX3315" s="33" t="s">
        <v>4489</v>
      </c>
      <c r="EY3315" s="33" t="s">
        <v>1039</v>
      </c>
      <c r="EZ3315" s="33" t="s">
        <v>1040</v>
      </c>
      <c r="FA3315" s="33" t="s">
        <v>343</v>
      </c>
      <c r="FB3315" s="33" t="s">
        <v>344</v>
      </c>
      <c r="FC3315" s="33" t="s">
        <v>345</v>
      </c>
      <c r="FD3315" s="33" t="s">
        <v>346</v>
      </c>
      <c r="FE3315" s="33">
        <v>2025</v>
      </c>
      <c r="FF3315" s="33" t="s">
        <v>59</v>
      </c>
      <c r="FG3315" s="33" t="s">
        <v>477</v>
      </c>
      <c r="FH3315" s="33" t="s">
        <v>478</v>
      </c>
      <c r="FI3315" s="33" t="s">
        <v>479</v>
      </c>
      <c r="FJ3315" t="s">
        <v>59</v>
      </c>
    </row>
    <row r="3316" spans="153:166" x14ac:dyDescent="0.35">
      <c r="EW3316" t="s">
        <v>4093</v>
      </c>
      <c r="EX3316" s="33" t="s">
        <v>4490</v>
      </c>
      <c r="EY3316" s="33" t="s">
        <v>1041</v>
      </c>
      <c r="EZ3316" s="33" t="s">
        <v>1042</v>
      </c>
      <c r="FA3316" s="33" t="s">
        <v>343</v>
      </c>
      <c r="FB3316" s="33" t="s">
        <v>344</v>
      </c>
      <c r="FC3316" s="33" t="s">
        <v>345</v>
      </c>
      <c r="FD3316" s="33" t="s">
        <v>346</v>
      </c>
      <c r="FE3316" s="33">
        <v>2025</v>
      </c>
      <c r="FF3316" s="33" t="s">
        <v>59</v>
      </c>
      <c r="FG3316" s="33" t="s">
        <v>477</v>
      </c>
      <c r="FH3316" s="33" t="s">
        <v>478</v>
      </c>
      <c r="FI3316" s="33" t="s">
        <v>479</v>
      </c>
      <c r="FJ3316" t="s">
        <v>59</v>
      </c>
    </row>
    <row r="3317" spans="153:166" x14ac:dyDescent="0.35">
      <c r="EW3317" t="s">
        <v>4093</v>
      </c>
      <c r="EX3317" s="33" t="s">
        <v>4491</v>
      </c>
      <c r="EY3317" s="33" t="s">
        <v>1043</v>
      </c>
      <c r="EZ3317" s="33" t="s">
        <v>1044</v>
      </c>
      <c r="FA3317" s="33" t="s">
        <v>343</v>
      </c>
      <c r="FB3317" s="33" t="s">
        <v>344</v>
      </c>
      <c r="FC3317" s="33" t="s">
        <v>345</v>
      </c>
      <c r="FD3317" s="33" t="s">
        <v>346</v>
      </c>
      <c r="FE3317" s="33">
        <v>2025</v>
      </c>
      <c r="FF3317" s="33" t="s">
        <v>59</v>
      </c>
      <c r="FG3317" s="33" t="s">
        <v>477</v>
      </c>
      <c r="FH3317" s="33" t="s">
        <v>478</v>
      </c>
      <c r="FI3317" s="33" t="s">
        <v>479</v>
      </c>
      <c r="FJ3317" t="s">
        <v>59</v>
      </c>
    </row>
    <row r="3318" spans="153:166" x14ac:dyDescent="0.35">
      <c r="EW3318" t="s">
        <v>4093</v>
      </c>
      <c r="EX3318" s="33" t="s">
        <v>4492</v>
      </c>
      <c r="EY3318" s="33" t="s">
        <v>1045</v>
      </c>
      <c r="EZ3318" s="33" t="s">
        <v>1046</v>
      </c>
      <c r="FA3318" s="33" t="s">
        <v>343</v>
      </c>
      <c r="FB3318" s="33" t="s">
        <v>344</v>
      </c>
      <c r="FC3318" s="33" t="s">
        <v>345</v>
      </c>
      <c r="FD3318" s="33" t="s">
        <v>346</v>
      </c>
      <c r="FE3318" s="33">
        <v>2025</v>
      </c>
      <c r="FF3318" s="33" t="s">
        <v>59</v>
      </c>
      <c r="FG3318" s="33" t="s">
        <v>470</v>
      </c>
      <c r="FH3318" s="33" t="s">
        <v>471</v>
      </c>
      <c r="FI3318" s="33" t="s">
        <v>467</v>
      </c>
      <c r="FJ3318" t="s">
        <v>59</v>
      </c>
    </row>
    <row r="3319" spans="153:166" x14ac:dyDescent="0.35">
      <c r="EW3319" t="s">
        <v>4093</v>
      </c>
      <c r="EX3319" s="33" t="s">
        <v>4493</v>
      </c>
      <c r="EY3319" s="33" t="s">
        <v>1047</v>
      </c>
      <c r="EZ3319" s="33" t="s">
        <v>1048</v>
      </c>
      <c r="FA3319" s="33" t="s">
        <v>343</v>
      </c>
      <c r="FB3319" s="33" t="s">
        <v>344</v>
      </c>
      <c r="FC3319" s="33" t="s">
        <v>345</v>
      </c>
      <c r="FD3319" s="33" t="s">
        <v>346</v>
      </c>
      <c r="FE3319" s="33">
        <v>2025</v>
      </c>
      <c r="FF3319" s="33" t="s">
        <v>59</v>
      </c>
      <c r="FG3319" s="33" t="s">
        <v>477</v>
      </c>
      <c r="FH3319" s="33" t="s">
        <v>478</v>
      </c>
      <c r="FI3319" s="33" t="s">
        <v>479</v>
      </c>
      <c r="FJ3319" t="s">
        <v>59</v>
      </c>
    </row>
    <row r="3320" spans="153:166" x14ac:dyDescent="0.35">
      <c r="EW3320" t="s">
        <v>4093</v>
      </c>
      <c r="EX3320" s="33" t="s">
        <v>4494</v>
      </c>
      <c r="EY3320" s="33" t="s">
        <v>1049</v>
      </c>
      <c r="EZ3320" s="33" t="s">
        <v>1050</v>
      </c>
      <c r="FA3320" s="33" t="s">
        <v>343</v>
      </c>
      <c r="FB3320" s="33" t="s">
        <v>344</v>
      </c>
      <c r="FC3320" s="33" t="s">
        <v>345</v>
      </c>
      <c r="FD3320" s="33" t="s">
        <v>346</v>
      </c>
      <c r="FE3320" s="33">
        <v>2025</v>
      </c>
      <c r="FF3320" s="33" t="s">
        <v>59</v>
      </c>
      <c r="FG3320" s="33" t="s">
        <v>477</v>
      </c>
      <c r="FH3320" s="33" t="s">
        <v>478</v>
      </c>
      <c r="FI3320" s="33" t="s">
        <v>479</v>
      </c>
      <c r="FJ3320" t="s">
        <v>59</v>
      </c>
    </row>
    <row r="3321" spans="153:166" x14ac:dyDescent="0.35">
      <c r="EW3321" t="s">
        <v>4093</v>
      </c>
      <c r="EX3321" s="33" t="s">
        <v>4495</v>
      </c>
      <c r="EY3321" s="33" t="s">
        <v>1051</v>
      </c>
      <c r="EZ3321" s="33" t="s">
        <v>1052</v>
      </c>
      <c r="FA3321" s="33" t="s">
        <v>343</v>
      </c>
      <c r="FB3321" s="33" t="s">
        <v>344</v>
      </c>
      <c r="FC3321" s="33" t="s">
        <v>345</v>
      </c>
      <c r="FD3321" s="33" t="s">
        <v>346</v>
      </c>
      <c r="FE3321" s="33">
        <v>2025</v>
      </c>
      <c r="FF3321" s="33" t="s">
        <v>59</v>
      </c>
      <c r="FG3321" s="33" t="s">
        <v>386</v>
      </c>
      <c r="FH3321" s="33" t="s">
        <v>387</v>
      </c>
      <c r="FI3321" s="33" t="s">
        <v>407</v>
      </c>
      <c r="FJ3321" t="s">
        <v>59</v>
      </c>
    </row>
    <row r="3322" spans="153:166" x14ac:dyDescent="0.35">
      <c r="EW3322" t="s">
        <v>4093</v>
      </c>
      <c r="EX3322" s="33" t="s">
        <v>4496</v>
      </c>
      <c r="EY3322" s="33" t="s">
        <v>1053</v>
      </c>
      <c r="EZ3322" s="33" t="s">
        <v>1054</v>
      </c>
      <c r="FA3322" s="33" t="s">
        <v>343</v>
      </c>
      <c r="FB3322" s="33" t="s">
        <v>344</v>
      </c>
      <c r="FC3322" s="33" t="s">
        <v>345</v>
      </c>
      <c r="FD3322" s="33" t="s">
        <v>346</v>
      </c>
      <c r="FE3322" s="33">
        <v>2025</v>
      </c>
      <c r="FF3322" s="33" t="s">
        <v>59</v>
      </c>
      <c r="FG3322" s="33" t="s">
        <v>470</v>
      </c>
      <c r="FH3322" s="33" t="s">
        <v>471</v>
      </c>
      <c r="FI3322" s="33" t="s">
        <v>467</v>
      </c>
      <c r="FJ3322" t="s">
        <v>59</v>
      </c>
    </row>
    <row r="3323" spans="153:166" x14ac:dyDescent="0.35">
      <c r="EW3323" t="s">
        <v>4093</v>
      </c>
      <c r="EX3323" s="33" t="s">
        <v>4497</v>
      </c>
      <c r="EY3323" s="33" t="s">
        <v>1055</v>
      </c>
      <c r="EZ3323" s="33" t="s">
        <v>1056</v>
      </c>
      <c r="FA3323" s="33" t="s">
        <v>343</v>
      </c>
      <c r="FB3323" s="33" t="s">
        <v>344</v>
      </c>
      <c r="FC3323" s="33" t="s">
        <v>345</v>
      </c>
      <c r="FD3323" s="33" t="s">
        <v>346</v>
      </c>
      <c r="FE3323" s="33">
        <v>2025</v>
      </c>
      <c r="FF3323" s="33" t="s">
        <v>59</v>
      </c>
      <c r="FG3323" s="33" t="s">
        <v>470</v>
      </c>
      <c r="FH3323" s="33" t="s">
        <v>471</v>
      </c>
      <c r="FI3323" s="33" t="s">
        <v>467</v>
      </c>
      <c r="FJ3323" t="s">
        <v>59</v>
      </c>
    </row>
    <row r="3324" spans="153:166" x14ac:dyDescent="0.35">
      <c r="EW3324" t="s">
        <v>4093</v>
      </c>
      <c r="EX3324" s="33" t="s">
        <v>4498</v>
      </c>
      <c r="EY3324" s="33" t="s">
        <v>1057</v>
      </c>
      <c r="EZ3324" s="33" t="s">
        <v>1058</v>
      </c>
      <c r="FA3324" s="33" t="s">
        <v>343</v>
      </c>
      <c r="FB3324" s="33" t="s">
        <v>344</v>
      </c>
      <c r="FC3324" s="33" t="s">
        <v>345</v>
      </c>
      <c r="FD3324" s="33" t="s">
        <v>346</v>
      </c>
      <c r="FE3324" s="33">
        <v>2025</v>
      </c>
      <c r="FF3324" s="33" t="s">
        <v>59</v>
      </c>
      <c r="FG3324" s="33" t="s">
        <v>477</v>
      </c>
      <c r="FH3324" s="33" t="s">
        <v>478</v>
      </c>
      <c r="FI3324" s="33" t="s">
        <v>479</v>
      </c>
      <c r="FJ3324" t="s">
        <v>59</v>
      </c>
    </row>
    <row r="3325" spans="153:166" x14ac:dyDescent="0.35">
      <c r="EW3325" t="s">
        <v>4093</v>
      </c>
      <c r="EX3325" s="33" t="s">
        <v>4499</v>
      </c>
      <c r="EY3325" s="33" t="s">
        <v>1062</v>
      </c>
      <c r="EZ3325" s="33" t="s">
        <v>1063</v>
      </c>
      <c r="FA3325" s="33" t="s">
        <v>343</v>
      </c>
      <c r="FB3325" s="33" t="s">
        <v>344</v>
      </c>
      <c r="FC3325" s="33" t="s">
        <v>345</v>
      </c>
      <c r="FD3325" s="33" t="s">
        <v>346</v>
      </c>
      <c r="FE3325" s="33">
        <v>2025</v>
      </c>
      <c r="FF3325" s="33" t="s">
        <v>59</v>
      </c>
      <c r="FG3325" s="33" t="s">
        <v>477</v>
      </c>
      <c r="FH3325" s="33" t="s">
        <v>478</v>
      </c>
      <c r="FI3325" s="33" t="s">
        <v>479</v>
      </c>
      <c r="FJ3325" t="s">
        <v>59</v>
      </c>
    </row>
    <row r="3326" spans="153:166" x14ac:dyDescent="0.35">
      <c r="EW3326" t="s">
        <v>4093</v>
      </c>
      <c r="EX3326" s="33" t="s">
        <v>4500</v>
      </c>
      <c r="EY3326" s="33" t="s">
        <v>1064</v>
      </c>
      <c r="EZ3326" s="33" t="s">
        <v>1065</v>
      </c>
      <c r="FA3326" s="33" t="s">
        <v>343</v>
      </c>
      <c r="FB3326" s="33" t="s">
        <v>344</v>
      </c>
      <c r="FC3326" s="33" t="s">
        <v>345</v>
      </c>
      <c r="FD3326" s="33" t="s">
        <v>346</v>
      </c>
      <c r="FE3326" s="33">
        <v>2025</v>
      </c>
      <c r="FF3326" s="33" t="s">
        <v>59</v>
      </c>
      <c r="FG3326" s="33" t="s">
        <v>477</v>
      </c>
      <c r="FH3326" s="33" t="s">
        <v>478</v>
      </c>
      <c r="FI3326" s="33" t="s">
        <v>479</v>
      </c>
      <c r="FJ3326" t="s">
        <v>59</v>
      </c>
    </row>
    <row r="3327" spans="153:166" x14ac:dyDescent="0.35">
      <c r="EW3327" t="s">
        <v>4093</v>
      </c>
      <c r="EX3327" s="33" t="s">
        <v>4501</v>
      </c>
      <c r="EY3327" s="33" t="s">
        <v>1066</v>
      </c>
      <c r="EZ3327" s="33" t="s">
        <v>1067</v>
      </c>
      <c r="FA3327" s="33" t="s">
        <v>343</v>
      </c>
      <c r="FB3327" s="33" t="s">
        <v>344</v>
      </c>
      <c r="FC3327" s="33" t="s">
        <v>345</v>
      </c>
      <c r="FD3327" s="33" t="s">
        <v>346</v>
      </c>
      <c r="FE3327" s="33">
        <v>2025</v>
      </c>
      <c r="FF3327" s="33" t="s">
        <v>59</v>
      </c>
      <c r="FG3327" s="33" t="s">
        <v>477</v>
      </c>
      <c r="FH3327" s="33" t="s">
        <v>478</v>
      </c>
      <c r="FI3327" s="33" t="s">
        <v>479</v>
      </c>
      <c r="FJ3327" t="s">
        <v>59</v>
      </c>
    </row>
    <row r="3328" spans="153:166" x14ac:dyDescent="0.35">
      <c r="EW3328" t="s">
        <v>4093</v>
      </c>
      <c r="EX3328" s="33" t="s">
        <v>4502</v>
      </c>
      <c r="EY3328" s="33" t="s">
        <v>1068</v>
      </c>
      <c r="EZ3328" s="33" t="s">
        <v>1069</v>
      </c>
      <c r="FA3328" s="33" t="s">
        <v>343</v>
      </c>
      <c r="FB3328" s="33" t="s">
        <v>344</v>
      </c>
      <c r="FC3328" s="33" t="s">
        <v>345</v>
      </c>
      <c r="FD3328" s="33" t="s">
        <v>346</v>
      </c>
      <c r="FE3328" s="33">
        <v>2025</v>
      </c>
      <c r="FF3328" s="33" t="s">
        <v>59</v>
      </c>
      <c r="FG3328" s="33" t="s">
        <v>56</v>
      </c>
      <c r="FH3328" s="33" t="s">
        <v>57</v>
      </c>
      <c r="FI3328" s="33" t="s">
        <v>58</v>
      </c>
      <c r="FJ3328" t="s">
        <v>59</v>
      </c>
    </row>
    <row r="3329" spans="153:166" x14ac:dyDescent="0.35">
      <c r="EW3329" t="s">
        <v>4093</v>
      </c>
      <c r="EX3329" s="33" t="s">
        <v>4503</v>
      </c>
      <c r="EY3329" s="33" t="s">
        <v>1070</v>
      </c>
      <c r="EZ3329" s="33" t="s">
        <v>1071</v>
      </c>
      <c r="FA3329" s="33" t="s">
        <v>343</v>
      </c>
      <c r="FB3329" s="33" t="s">
        <v>344</v>
      </c>
      <c r="FC3329" s="33" t="s">
        <v>345</v>
      </c>
      <c r="FD3329" s="33" t="s">
        <v>346</v>
      </c>
      <c r="FE3329" s="33">
        <v>2025</v>
      </c>
      <c r="FF3329" s="33" t="s">
        <v>59</v>
      </c>
      <c r="FG3329" s="33" t="s">
        <v>56</v>
      </c>
      <c r="FH3329" s="33" t="s">
        <v>57</v>
      </c>
      <c r="FI3329" s="33" t="s">
        <v>58</v>
      </c>
      <c r="FJ3329" t="s">
        <v>59</v>
      </c>
    </row>
    <row r="3330" spans="153:166" x14ac:dyDescent="0.35">
      <c r="EW3330" t="s">
        <v>4093</v>
      </c>
      <c r="EX3330" s="33" t="s">
        <v>4504</v>
      </c>
      <c r="EY3330" s="33" t="s">
        <v>1072</v>
      </c>
      <c r="EZ3330" s="33" t="s">
        <v>1073</v>
      </c>
      <c r="FA3330" s="33" t="s">
        <v>343</v>
      </c>
      <c r="FB3330" s="33" t="s">
        <v>344</v>
      </c>
      <c r="FC3330" s="33" t="s">
        <v>345</v>
      </c>
      <c r="FD3330" s="33" t="s">
        <v>346</v>
      </c>
      <c r="FE3330" s="33">
        <v>2025</v>
      </c>
      <c r="FF3330" s="33" t="s">
        <v>59</v>
      </c>
      <c r="FG3330" s="33" t="s">
        <v>56</v>
      </c>
      <c r="FH3330" s="33" t="s">
        <v>57</v>
      </c>
      <c r="FI3330" s="33" t="s">
        <v>58</v>
      </c>
      <c r="FJ3330" t="s">
        <v>59</v>
      </c>
    </row>
    <row r="3331" spans="153:166" x14ac:dyDescent="0.35">
      <c r="EW3331" t="s">
        <v>4093</v>
      </c>
      <c r="EX3331" s="33" t="s">
        <v>4505</v>
      </c>
      <c r="EY3331" s="33" t="s">
        <v>1074</v>
      </c>
      <c r="EZ3331" s="33" t="s">
        <v>1075</v>
      </c>
      <c r="FA3331" s="33" t="s">
        <v>343</v>
      </c>
      <c r="FB3331" s="33" t="s">
        <v>344</v>
      </c>
      <c r="FC3331" s="33" t="s">
        <v>345</v>
      </c>
      <c r="FD3331" s="33" t="s">
        <v>346</v>
      </c>
      <c r="FE3331" s="33">
        <v>2025</v>
      </c>
      <c r="FF3331" s="33" t="s">
        <v>59</v>
      </c>
      <c r="FG3331" s="33" t="s">
        <v>386</v>
      </c>
      <c r="FH3331" s="33" t="s">
        <v>387</v>
      </c>
      <c r="FI3331" s="33" t="s">
        <v>407</v>
      </c>
      <c r="FJ3331" t="s">
        <v>59</v>
      </c>
    </row>
    <row r="3332" spans="153:166" x14ac:dyDescent="0.35">
      <c r="EW3332" t="s">
        <v>4093</v>
      </c>
      <c r="EX3332" s="33" t="s">
        <v>4506</v>
      </c>
      <c r="EY3332" s="33" t="s">
        <v>1076</v>
      </c>
      <c r="EZ3332" s="33" t="s">
        <v>1077</v>
      </c>
      <c r="FA3332" s="33" t="s">
        <v>343</v>
      </c>
      <c r="FB3332" s="33" t="s">
        <v>344</v>
      </c>
      <c r="FC3332" s="33" t="s">
        <v>345</v>
      </c>
      <c r="FD3332" s="33" t="s">
        <v>346</v>
      </c>
      <c r="FE3332" s="33">
        <v>2025</v>
      </c>
      <c r="FF3332" s="33" t="s">
        <v>59</v>
      </c>
      <c r="FG3332" s="33" t="s">
        <v>477</v>
      </c>
      <c r="FH3332" s="33" t="s">
        <v>478</v>
      </c>
      <c r="FI3332" s="33" t="s">
        <v>479</v>
      </c>
      <c r="FJ3332" t="s">
        <v>59</v>
      </c>
    </row>
    <row r="3333" spans="153:166" x14ac:dyDescent="0.35">
      <c r="EW3333" t="s">
        <v>4093</v>
      </c>
      <c r="EX3333" s="33" t="s">
        <v>4507</v>
      </c>
      <c r="EY3333" s="33" t="s">
        <v>1078</v>
      </c>
      <c r="EZ3333" s="33" t="s">
        <v>1079</v>
      </c>
      <c r="FA3333" s="33" t="s">
        <v>343</v>
      </c>
      <c r="FB3333" s="33" t="s">
        <v>344</v>
      </c>
      <c r="FC3333" s="33" t="s">
        <v>345</v>
      </c>
      <c r="FD3333" s="33" t="s">
        <v>346</v>
      </c>
      <c r="FE3333" s="33">
        <v>2025</v>
      </c>
      <c r="FF3333" s="33" t="s">
        <v>59</v>
      </c>
      <c r="FG3333" s="33" t="s">
        <v>470</v>
      </c>
      <c r="FH3333" s="33" t="s">
        <v>471</v>
      </c>
      <c r="FI3333" s="33" t="s">
        <v>467</v>
      </c>
      <c r="FJ3333" t="s">
        <v>59</v>
      </c>
    </row>
    <row r="3334" spans="153:166" x14ac:dyDescent="0.35">
      <c r="EW3334" t="s">
        <v>4093</v>
      </c>
      <c r="EX3334" s="33" t="s">
        <v>4508</v>
      </c>
      <c r="EY3334" s="33" t="s">
        <v>1080</v>
      </c>
      <c r="EZ3334" s="33" t="s">
        <v>1081</v>
      </c>
      <c r="FA3334" s="33" t="s">
        <v>343</v>
      </c>
      <c r="FB3334" s="33" t="s">
        <v>344</v>
      </c>
      <c r="FC3334" s="33" t="s">
        <v>345</v>
      </c>
      <c r="FD3334" s="33" t="s">
        <v>346</v>
      </c>
      <c r="FE3334" s="33">
        <v>2025</v>
      </c>
      <c r="FF3334" s="33" t="s">
        <v>59</v>
      </c>
      <c r="FG3334" s="33" t="s">
        <v>386</v>
      </c>
      <c r="FH3334" s="33" t="s">
        <v>387</v>
      </c>
      <c r="FI3334" s="33" t="s">
        <v>407</v>
      </c>
      <c r="FJ3334" t="s">
        <v>59</v>
      </c>
    </row>
    <row r="3335" spans="153:166" x14ac:dyDescent="0.35">
      <c r="EW3335" t="s">
        <v>4093</v>
      </c>
      <c r="EX3335" s="33" t="s">
        <v>4509</v>
      </c>
      <c r="EY3335" s="33" t="s">
        <v>1085</v>
      </c>
      <c r="EZ3335" s="33" t="s">
        <v>1086</v>
      </c>
      <c r="FA3335" s="33" t="s">
        <v>343</v>
      </c>
      <c r="FB3335" s="33" t="s">
        <v>344</v>
      </c>
      <c r="FC3335" s="33" t="s">
        <v>345</v>
      </c>
      <c r="FD3335" s="33" t="s">
        <v>346</v>
      </c>
      <c r="FE3335" s="33">
        <v>2025</v>
      </c>
      <c r="FF3335" s="33" t="s">
        <v>59</v>
      </c>
      <c r="FG3335" s="33" t="s">
        <v>477</v>
      </c>
      <c r="FH3335" s="33" t="s">
        <v>478</v>
      </c>
      <c r="FI3335" s="33" t="s">
        <v>479</v>
      </c>
      <c r="FJ3335" t="s">
        <v>59</v>
      </c>
    </row>
    <row r="3336" spans="153:166" x14ac:dyDescent="0.35">
      <c r="EW3336" t="s">
        <v>4093</v>
      </c>
      <c r="EX3336" s="33" t="s">
        <v>4510</v>
      </c>
      <c r="EY3336" s="33" t="s">
        <v>1087</v>
      </c>
      <c r="EZ3336" s="33" t="s">
        <v>1088</v>
      </c>
      <c r="FA3336" s="33" t="s">
        <v>343</v>
      </c>
      <c r="FB3336" s="33" t="s">
        <v>344</v>
      </c>
      <c r="FC3336" s="33" t="s">
        <v>345</v>
      </c>
      <c r="FD3336" s="33" t="s">
        <v>346</v>
      </c>
      <c r="FE3336" s="33">
        <v>2025</v>
      </c>
      <c r="FF3336" s="33" t="s">
        <v>59</v>
      </c>
      <c r="FG3336" s="33" t="s">
        <v>386</v>
      </c>
      <c r="FH3336" s="33" t="s">
        <v>387</v>
      </c>
      <c r="FI3336" s="33" t="s">
        <v>407</v>
      </c>
      <c r="FJ3336" t="s">
        <v>59</v>
      </c>
    </row>
    <row r="3337" spans="153:166" x14ac:dyDescent="0.35">
      <c r="EW3337" t="s">
        <v>4093</v>
      </c>
      <c r="EX3337" s="33" t="s">
        <v>4511</v>
      </c>
      <c r="EY3337" s="33" t="s">
        <v>1089</v>
      </c>
      <c r="EZ3337" s="33" t="s">
        <v>1090</v>
      </c>
      <c r="FA3337" s="33" t="s">
        <v>343</v>
      </c>
      <c r="FB3337" s="33" t="s">
        <v>344</v>
      </c>
      <c r="FC3337" s="33" t="s">
        <v>345</v>
      </c>
      <c r="FD3337" s="33" t="s">
        <v>346</v>
      </c>
      <c r="FE3337" s="33">
        <v>2025</v>
      </c>
      <c r="FF3337" s="33" t="s">
        <v>59</v>
      </c>
      <c r="FG3337" s="33" t="s">
        <v>477</v>
      </c>
      <c r="FH3337" s="33" t="s">
        <v>478</v>
      </c>
      <c r="FI3337" s="33" t="s">
        <v>479</v>
      </c>
      <c r="FJ3337" t="s">
        <v>59</v>
      </c>
    </row>
    <row r="3338" spans="153:166" x14ac:dyDescent="0.35">
      <c r="EW3338" t="s">
        <v>4093</v>
      </c>
      <c r="EX3338" s="33" t="s">
        <v>4512</v>
      </c>
      <c r="EY3338" s="33" t="s">
        <v>1091</v>
      </c>
      <c r="EZ3338" s="33" t="s">
        <v>1092</v>
      </c>
      <c r="FA3338" s="33" t="s">
        <v>343</v>
      </c>
      <c r="FB3338" s="33" t="s">
        <v>344</v>
      </c>
      <c r="FC3338" s="33" t="s">
        <v>345</v>
      </c>
      <c r="FD3338" s="33" t="s">
        <v>346</v>
      </c>
      <c r="FE3338" s="33">
        <v>2025</v>
      </c>
      <c r="FF3338" s="33" t="s">
        <v>59</v>
      </c>
      <c r="FG3338" s="33" t="s">
        <v>477</v>
      </c>
      <c r="FH3338" s="33" t="s">
        <v>478</v>
      </c>
      <c r="FI3338" s="33" t="s">
        <v>479</v>
      </c>
      <c r="FJ3338" t="s">
        <v>59</v>
      </c>
    </row>
    <row r="3339" spans="153:166" x14ac:dyDescent="0.35">
      <c r="EW3339" t="s">
        <v>4093</v>
      </c>
      <c r="EX3339" s="33" t="s">
        <v>4513</v>
      </c>
      <c r="EY3339" s="33" t="s">
        <v>1093</v>
      </c>
      <c r="EZ3339" s="33" t="s">
        <v>1094</v>
      </c>
      <c r="FA3339" s="33" t="s">
        <v>343</v>
      </c>
      <c r="FB3339" s="33" t="s">
        <v>344</v>
      </c>
      <c r="FC3339" s="33" t="s">
        <v>345</v>
      </c>
      <c r="FD3339" s="33" t="s">
        <v>346</v>
      </c>
      <c r="FE3339" s="33">
        <v>2025</v>
      </c>
      <c r="FF3339" s="33" t="s">
        <v>59</v>
      </c>
      <c r="FG3339" s="33" t="s">
        <v>477</v>
      </c>
      <c r="FH3339" s="33" t="s">
        <v>478</v>
      </c>
      <c r="FI3339" s="33" t="s">
        <v>479</v>
      </c>
      <c r="FJ3339" t="s">
        <v>59</v>
      </c>
    </row>
    <row r="3340" spans="153:166" x14ac:dyDescent="0.35">
      <c r="EW3340" t="s">
        <v>4093</v>
      </c>
      <c r="EX3340" s="33" t="s">
        <v>4514</v>
      </c>
      <c r="EY3340" s="33" t="s">
        <v>1095</v>
      </c>
      <c r="EZ3340" s="33" t="s">
        <v>1096</v>
      </c>
      <c r="FA3340" s="33" t="s">
        <v>343</v>
      </c>
      <c r="FB3340" s="33" t="s">
        <v>344</v>
      </c>
      <c r="FC3340" s="33" t="s">
        <v>345</v>
      </c>
      <c r="FD3340" s="33" t="s">
        <v>346</v>
      </c>
      <c r="FE3340" s="33">
        <v>2025</v>
      </c>
      <c r="FF3340" s="33" t="s">
        <v>59</v>
      </c>
      <c r="FG3340" s="33" t="s">
        <v>477</v>
      </c>
      <c r="FH3340" s="33" t="s">
        <v>478</v>
      </c>
      <c r="FI3340" s="33" t="s">
        <v>479</v>
      </c>
      <c r="FJ3340" t="s">
        <v>59</v>
      </c>
    </row>
    <row r="3341" spans="153:166" x14ac:dyDescent="0.35">
      <c r="EW3341" t="s">
        <v>4093</v>
      </c>
      <c r="EX3341" s="33" t="s">
        <v>4515</v>
      </c>
      <c r="EY3341" s="33" t="s">
        <v>1097</v>
      </c>
      <c r="EZ3341" s="33" t="s">
        <v>1098</v>
      </c>
      <c r="FA3341" s="33" t="s">
        <v>343</v>
      </c>
      <c r="FB3341" s="33" t="s">
        <v>344</v>
      </c>
      <c r="FC3341" s="33" t="s">
        <v>345</v>
      </c>
      <c r="FD3341" s="33" t="s">
        <v>346</v>
      </c>
      <c r="FE3341" s="33">
        <v>2025</v>
      </c>
      <c r="FF3341" s="33" t="s">
        <v>59</v>
      </c>
      <c r="FG3341" s="33" t="s">
        <v>477</v>
      </c>
      <c r="FH3341" s="33" t="s">
        <v>478</v>
      </c>
      <c r="FI3341" s="33" t="s">
        <v>479</v>
      </c>
      <c r="FJ3341" t="s">
        <v>59</v>
      </c>
    </row>
    <row r="3342" spans="153:166" x14ac:dyDescent="0.35">
      <c r="EW3342" t="s">
        <v>4093</v>
      </c>
      <c r="EX3342" s="33" t="s">
        <v>4516</v>
      </c>
      <c r="EY3342" s="33" t="s">
        <v>1102</v>
      </c>
      <c r="EZ3342" s="33" t="s">
        <v>1103</v>
      </c>
      <c r="FA3342" s="33" t="s">
        <v>343</v>
      </c>
      <c r="FB3342" s="33" t="s">
        <v>344</v>
      </c>
      <c r="FC3342" s="33" t="s">
        <v>345</v>
      </c>
      <c r="FD3342" s="33" t="s">
        <v>346</v>
      </c>
      <c r="FE3342" s="33">
        <v>2025</v>
      </c>
      <c r="FF3342" s="33" t="s">
        <v>59</v>
      </c>
      <c r="FG3342" s="33" t="s">
        <v>477</v>
      </c>
      <c r="FH3342" s="33" t="s">
        <v>478</v>
      </c>
      <c r="FI3342" s="33" t="s">
        <v>479</v>
      </c>
      <c r="FJ3342" t="s">
        <v>59</v>
      </c>
    </row>
    <row r="3343" spans="153:166" x14ac:dyDescent="0.35">
      <c r="EW3343" t="s">
        <v>4093</v>
      </c>
      <c r="EX3343" s="33" t="s">
        <v>4517</v>
      </c>
      <c r="EY3343" s="33" t="s">
        <v>1104</v>
      </c>
      <c r="EZ3343" s="33" t="s">
        <v>1105</v>
      </c>
      <c r="FA3343" s="33" t="s">
        <v>343</v>
      </c>
      <c r="FB3343" s="33" t="s">
        <v>344</v>
      </c>
      <c r="FC3343" s="33" t="s">
        <v>345</v>
      </c>
      <c r="FD3343" s="33" t="s">
        <v>346</v>
      </c>
      <c r="FE3343" s="33">
        <v>2025</v>
      </c>
      <c r="FF3343" s="33" t="s">
        <v>59</v>
      </c>
      <c r="FG3343" s="33" t="s">
        <v>477</v>
      </c>
      <c r="FH3343" s="33" t="s">
        <v>478</v>
      </c>
      <c r="FI3343" s="33" t="s">
        <v>479</v>
      </c>
      <c r="FJ3343" t="s">
        <v>59</v>
      </c>
    </row>
    <row r="3344" spans="153:166" x14ac:dyDescent="0.35">
      <c r="EW3344" t="s">
        <v>4093</v>
      </c>
      <c r="EX3344" s="33" t="s">
        <v>4518</v>
      </c>
      <c r="EY3344" s="33" t="s">
        <v>1106</v>
      </c>
      <c r="EZ3344" s="33" t="s">
        <v>1107</v>
      </c>
      <c r="FA3344" s="33" t="s">
        <v>343</v>
      </c>
      <c r="FB3344" s="33" t="s">
        <v>1108</v>
      </c>
      <c r="FC3344" s="33" t="s">
        <v>345</v>
      </c>
      <c r="FD3344" s="33" t="s">
        <v>1108</v>
      </c>
      <c r="FE3344" s="33">
        <v>2025</v>
      </c>
      <c r="FF3344" s="33" t="s">
        <v>1109</v>
      </c>
      <c r="FG3344" s="33" t="s">
        <v>386</v>
      </c>
      <c r="FH3344" s="33" t="s">
        <v>387</v>
      </c>
      <c r="FI3344" s="33" t="s">
        <v>407</v>
      </c>
      <c r="FJ3344" t="s">
        <v>1109</v>
      </c>
    </row>
    <row r="3345" spans="153:166" x14ac:dyDescent="0.35">
      <c r="EW3345" t="s">
        <v>4093</v>
      </c>
      <c r="EX3345" s="33" t="s">
        <v>4519</v>
      </c>
      <c r="EY3345" s="33" t="s">
        <v>1110</v>
      </c>
      <c r="EZ3345" s="33" t="s">
        <v>1111</v>
      </c>
      <c r="FA3345" s="33" t="s">
        <v>343</v>
      </c>
      <c r="FB3345" s="33" t="s">
        <v>1108</v>
      </c>
      <c r="FC3345" s="33" t="s">
        <v>345</v>
      </c>
      <c r="FD3345" s="33" t="s">
        <v>1108</v>
      </c>
      <c r="FE3345" s="33">
        <v>2025</v>
      </c>
      <c r="FF3345" s="33" t="s">
        <v>1109</v>
      </c>
      <c r="FG3345" s="33" t="s">
        <v>386</v>
      </c>
      <c r="FH3345" s="33" t="s">
        <v>387</v>
      </c>
      <c r="FI3345" s="33" t="s">
        <v>407</v>
      </c>
      <c r="FJ3345" t="s">
        <v>1109</v>
      </c>
    </row>
    <row r="3346" spans="153:166" x14ac:dyDescent="0.35">
      <c r="EW3346" t="s">
        <v>4093</v>
      </c>
      <c r="EX3346" s="33" t="s">
        <v>4520</v>
      </c>
      <c r="EY3346" s="33" t="s">
        <v>1112</v>
      </c>
      <c r="EZ3346" s="33" t="s">
        <v>1113</v>
      </c>
      <c r="FA3346" s="33" t="s">
        <v>343</v>
      </c>
      <c r="FB3346" s="33" t="s">
        <v>1108</v>
      </c>
      <c r="FC3346" s="33" t="s">
        <v>345</v>
      </c>
      <c r="FD3346" s="33" t="s">
        <v>1108</v>
      </c>
      <c r="FE3346" s="33">
        <v>2025</v>
      </c>
      <c r="FF3346" s="33" t="s">
        <v>1109</v>
      </c>
      <c r="FG3346" s="33" t="s">
        <v>386</v>
      </c>
      <c r="FH3346" s="33" t="s">
        <v>387</v>
      </c>
      <c r="FI3346" s="33" t="s">
        <v>407</v>
      </c>
      <c r="FJ3346" t="s">
        <v>1109</v>
      </c>
    </row>
    <row r="3347" spans="153:166" x14ac:dyDescent="0.35">
      <c r="EW3347" t="s">
        <v>4093</v>
      </c>
      <c r="EX3347" s="33" t="s">
        <v>4521</v>
      </c>
      <c r="EY3347" s="33" t="s">
        <v>1114</v>
      </c>
      <c r="EZ3347" s="33" t="s">
        <v>1115</v>
      </c>
      <c r="FA3347" s="33" t="s">
        <v>343</v>
      </c>
      <c r="FB3347" s="33" t="s">
        <v>1108</v>
      </c>
      <c r="FC3347" s="33" t="s">
        <v>345</v>
      </c>
      <c r="FD3347" s="33" t="s">
        <v>1108</v>
      </c>
      <c r="FE3347" s="33">
        <v>2025</v>
      </c>
      <c r="FF3347" s="33" t="s">
        <v>1109</v>
      </c>
      <c r="FG3347" s="33" t="s">
        <v>386</v>
      </c>
      <c r="FH3347" s="33" t="s">
        <v>387</v>
      </c>
      <c r="FI3347" s="33" t="s">
        <v>407</v>
      </c>
      <c r="FJ3347" t="s">
        <v>1109</v>
      </c>
    </row>
    <row r="3348" spans="153:166" x14ac:dyDescent="0.35">
      <c r="EW3348" t="s">
        <v>4093</v>
      </c>
      <c r="EX3348" s="33" t="s">
        <v>4522</v>
      </c>
      <c r="EY3348" s="33" t="s">
        <v>1116</v>
      </c>
      <c r="EZ3348" s="33" t="s">
        <v>1117</v>
      </c>
      <c r="FA3348" s="33" t="s">
        <v>343</v>
      </c>
      <c r="FB3348" s="33" t="s">
        <v>1108</v>
      </c>
      <c r="FC3348" s="33" t="s">
        <v>345</v>
      </c>
      <c r="FD3348" s="33" t="s">
        <v>1108</v>
      </c>
      <c r="FE3348" s="33">
        <v>2025</v>
      </c>
      <c r="FF3348" s="33" t="s">
        <v>1109</v>
      </c>
      <c r="FG3348" s="33" t="s">
        <v>386</v>
      </c>
      <c r="FH3348" s="33" t="s">
        <v>387</v>
      </c>
      <c r="FI3348" s="33" t="s">
        <v>407</v>
      </c>
      <c r="FJ3348" t="s">
        <v>1109</v>
      </c>
    </row>
    <row r="3349" spans="153:166" x14ac:dyDescent="0.35">
      <c r="EW3349" t="s">
        <v>4093</v>
      </c>
      <c r="EX3349" s="33" t="s">
        <v>4523</v>
      </c>
      <c r="EY3349" s="33" t="s">
        <v>1118</v>
      </c>
      <c r="EZ3349" s="33" t="s">
        <v>1119</v>
      </c>
      <c r="FA3349" s="33" t="s">
        <v>343</v>
      </c>
      <c r="FB3349" s="33" t="s">
        <v>1108</v>
      </c>
      <c r="FC3349" s="33" t="s">
        <v>345</v>
      </c>
      <c r="FD3349" s="33" t="s">
        <v>1108</v>
      </c>
      <c r="FE3349" s="33">
        <v>2025</v>
      </c>
      <c r="FF3349" s="33" t="s">
        <v>1109</v>
      </c>
      <c r="FG3349" s="33" t="s">
        <v>386</v>
      </c>
      <c r="FH3349" s="33" t="s">
        <v>387</v>
      </c>
      <c r="FI3349" s="33" t="s">
        <v>407</v>
      </c>
      <c r="FJ3349" t="s">
        <v>1109</v>
      </c>
    </row>
    <row r="3350" spans="153:166" x14ac:dyDescent="0.35">
      <c r="EW3350" t="s">
        <v>4093</v>
      </c>
      <c r="EX3350" s="33" t="s">
        <v>4524</v>
      </c>
      <c r="EY3350" s="33" t="s">
        <v>1123</v>
      </c>
      <c r="EZ3350" s="33" t="s">
        <v>1124</v>
      </c>
      <c r="FA3350" s="33" t="s">
        <v>343</v>
      </c>
      <c r="FB3350" s="33" t="s">
        <v>1108</v>
      </c>
      <c r="FC3350" s="33" t="s">
        <v>345</v>
      </c>
      <c r="FD3350" s="33" t="s">
        <v>1108</v>
      </c>
      <c r="FE3350" s="33">
        <v>2025</v>
      </c>
      <c r="FF3350" s="33" t="s">
        <v>1109</v>
      </c>
      <c r="FG3350" s="33" t="s">
        <v>386</v>
      </c>
      <c r="FH3350" s="33" t="s">
        <v>387</v>
      </c>
      <c r="FI3350" s="33" t="s">
        <v>407</v>
      </c>
      <c r="FJ3350" t="s">
        <v>1109</v>
      </c>
    </row>
    <row r="3351" spans="153:166" x14ac:dyDescent="0.35">
      <c r="EW3351" t="s">
        <v>4093</v>
      </c>
      <c r="EX3351" s="33" t="s">
        <v>4525</v>
      </c>
      <c r="EY3351" s="33" t="s">
        <v>1128</v>
      </c>
      <c r="EZ3351" s="33" t="s">
        <v>1129</v>
      </c>
      <c r="FA3351" s="33" t="s">
        <v>343</v>
      </c>
      <c r="FB3351" s="33" t="s">
        <v>1108</v>
      </c>
      <c r="FC3351" s="33" t="s">
        <v>345</v>
      </c>
      <c r="FD3351" s="33" t="s">
        <v>1108</v>
      </c>
      <c r="FE3351" s="33">
        <v>2025</v>
      </c>
      <c r="FF3351" s="33" t="s">
        <v>1109</v>
      </c>
      <c r="FG3351" s="33" t="s">
        <v>386</v>
      </c>
      <c r="FH3351" s="33" t="s">
        <v>387</v>
      </c>
      <c r="FI3351" s="33" t="s">
        <v>407</v>
      </c>
      <c r="FJ3351" t="s">
        <v>1109</v>
      </c>
    </row>
    <row r="3352" spans="153:166" x14ac:dyDescent="0.35">
      <c r="EW3352" t="s">
        <v>4093</v>
      </c>
      <c r="EX3352" s="33" t="s">
        <v>4526</v>
      </c>
      <c r="EY3352" s="33" t="s">
        <v>1130</v>
      </c>
      <c r="EZ3352" s="33" t="s">
        <v>1131</v>
      </c>
      <c r="FA3352" s="33" t="s">
        <v>343</v>
      </c>
      <c r="FB3352" s="33" t="s">
        <v>1108</v>
      </c>
      <c r="FC3352" s="33" t="s">
        <v>345</v>
      </c>
      <c r="FD3352" s="33" t="s">
        <v>1108</v>
      </c>
      <c r="FE3352" s="33">
        <v>2025</v>
      </c>
      <c r="FF3352" s="33" t="s">
        <v>1109</v>
      </c>
      <c r="FG3352" s="33" t="s">
        <v>386</v>
      </c>
      <c r="FH3352" s="33" t="s">
        <v>387</v>
      </c>
      <c r="FI3352" s="33" t="s">
        <v>407</v>
      </c>
      <c r="FJ3352" t="s">
        <v>1109</v>
      </c>
    </row>
    <row r="3353" spans="153:166" x14ac:dyDescent="0.35">
      <c r="EW3353" t="s">
        <v>4093</v>
      </c>
      <c r="EX3353" s="33" t="s">
        <v>4527</v>
      </c>
      <c r="EY3353" s="33" t="s">
        <v>1135</v>
      </c>
      <c r="EZ3353" s="33" t="s">
        <v>1136</v>
      </c>
      <c r="FA3353" s="33" t="s">
        <v>343</v>
      </c>
      <c r="FB3353" s="33" t="s">
        <v>1108</v>
      </c>
      <c r="FC3353" s="33" t="s">
        <v>345</v>
      </c>
      <c r="FD3353" s="33" t="s">
        <v>1108</v>
      </c>
      <c r="FE3353" s="33">
        <v>2025</v>
      </c>
      <c r="FF3353" s="33" t="s">
        <v>1109</v>
      </c>
      <c r="FG3353" s="33" t="s">
        <v>386</v>
      </c>
      <c r="FH3353" s="33" t="s">
        <v>387</v>
      </c>
      <c r="FI3353" s="33" t="s">
        <v>407</v>
      </c>
      <c r="FJ3353" t="s">
        <v>1109</v>
      </c>
    </row>
    <row r="3354" spans="153:166" x14ac:dyDescent="0.35">
      <c r="EW3354" t="s">
        <v>4093</v>
      </c>
      <c r="EX3354" s="33" t="s">
        <v>4528</v>
      </c>
      <c r="EY3354" s="33" t="s">
        <v>1137</v>
      </c>
      <c r="EZ3354" s="33" t="s">
        <v>1138</v>
      </c>
      <c r="FA3354" s="33" t="s">
        <v>343</v>
      </c>
      <c r="FB3354" s="33" t="s">
        <v>1108</v>
      </c>
      <c r="FC3354" s="33" t="s">
        <v>345</v>
      </c>
      <c r="FD3354" s="33" t="s">
        <v>1108</v>
      </c>
      <c r="FE3354" s="33">
        <v>2025</v>
      </c>
      <c r="FF3354" s="33" t="s">
        <v>1109</v>
      </c>
      <c r="FG3354" s="33" t="s">
        <v>386</v>
      </c>
      <c r="FH3354" s="33" t="s">
        <v>387</v>
      </c>
      <c r="FI3354" s="33" t="s">
        <v>407</v>
      </c>
      <c r="FJ3354" t="s">
        <v>1109</v>
      </c>
    </row>
    <row r="3355" spans="153:166" x14ac:dyDescent="0.35">
      <c r="EW3355" t="s">
        <v>4093</v>
      </c>
      <c r="EX3355" s="33" t="s">
        <v>4529</v>
      </c>
      <c r="EY3355" s="33" t="s">
        <v>1139</v>
      </c>
      <c r="EZ3355" s="33" t="s">
        <v>1140</v>
      </c>
      <c r="FA3355" s="33" t="s">
        <v>343</v>
      </c>
      <c r="FB3355" s="33" t="s">
        <v>1108</v>
      </c>
      <c r="FC3355" s="33" t="s">
        <v>345</v>
      </c>
      <c r="FD3355" s="33" t="s">
        <v>1108</v>
      </c>
      <c r="FE3355" s="33">
        <v>2025</v>
      </c>
      <c r="FF3355" s="33" t="s">
        <v>1109</v>
      </c>
      <c r="FG3355" s="33" t="s">
        <v>386</v>
      </c>
      <c r="FH3355" s="33" t="s">
        <v>387</v>
      </c>
      <c r="FI3355" s="33" t="s">
        <v>407</v>
      </c>
      <c r="FJ3355" t="s">
        <v>1109</v>
      </c>
    </row>
    <row r="3356" spans="153:166" x14ac:dyDescent="0.35">
      <c r="EW3356" t="s">
        <v>4093</v>
      </c>
      <c r="EX3356" s="33" t="s">
        <v>4530</v>
      </c>
      <c r="EY3356" s="33" t="s">
        <v>1141</v>
      </c>
      <c r="EZ3356" s="33" t="s">
        <v>1142</v>
      </c>
      <c r="FA3356" s="33" t="s">
        <v>343</v>
      </c>
      <c r="FB3356" s="33" t="s">
        <v>1108</v>
      </c>
      <c r="FC3356" s="33" t="s">
        <v>345</v>
      </c>
      <c r="FD3356" s="33" t="s">
        <v>1108</v>
      </c>
      <c r="FE3356" s="33">
        <v>2025</v>
      </c>
      <c r="FF3356" s="33" t="s">
        <v>1109</v>
      </c>
      <c r="FG3356" s="33" t="s">
        <v>386</v>
      </c>
      <c r="FH3356" s="33" t="s">
        <v>387</v>
      </c>
      <c r="FI3356" s="33" t="s">
        <v>407</v>
      </c>
      <c r="FJ3356" t="s">
        <v>1109</v>
      </c>
    </row>
    <row r="3357" spans="153:166" x14ac:dyDescent="0.35">
      <c r="EW3357" t="s">
        <v>4093</v>
      </c>
      <c r="EX3357" s="33" t="s">
        <v>4531</v>
      </c>
      <c r="EY3357" s="33" t="s">
        <v>1143</v>
      </c>
      <c r="EZ3357" s="33" t="s">
        <v>1144</v>
      </c>
      <c r="FA3357" s="33" t="s">
        <v>343</v>
      </c>
      <c r="FB3357" s="33" t="s">
        <v>1108</v>
      </c>
      <c r="FC3357" s="33" t="s">
        <v>345</v>
      </c>
      <c r="FD3357" s="33" t="s">
        <v>1108</v>
      </c>
      <c r="FE3357" s="33">
        <v>2025</v>
      </c>
      <c r="FF3357" s="33" t="s">
        <v>1109</v>
      </c>
      <c r="FG3357" s="33" t="s">
        <v>386</v>
      </c>
      <c r="FH3357" s="33" t="s">
        <v>387</v>
      </c>
      <c r="FI3357" s="33" t="s">
        <v>407</v>
      </c>
      <c r="FJ3357" t="s">
        <v>1109</v>
      </c>
    </row>
    <row r="3358" spans="153:166" x14ac:dyDescent="0.35">
      <c r="EW3358" t="s">
        <v>4093</v>
      </c>
      <c r="EX3358" s="33" t="s">
        <v>4532</v>
      </c>
      <c r="EY3358" s="33" t="s">
        <v>1145</v>
      </c>
      <c r="EZ3358" s="33" t="s">
        <v>1146</v>
      </c>
      <c r="FA3358" s="33" t="s">
        <v>343</v>
      </c>
      <c r="FB3358" s="33" t="s">
        <v>1108</v>
      </c>
      <c r="FC3358" s="33" t="s">
        <v>345</v>
      </c>
      <c r="FD3358" s="33" t="s">
        <v>1108</v>
      </c>
      <c r="FE3358" s="33">
        <v>2025</v>
      </c>
      <c r="FF3358" s="33" t="s">
        <v>1109</v>
      </c>
      <c r="FG3358" s="33" t="s">
        <v>386</v>
      </c>
      <c r="FH3358" s="33" t="s">
        <v>387</v>
      </c>
      <c r="FI3358" s="33" t="s">
        <v>407</v>
      </c>
      <c r="FJ3358" t="s">
        <v>1109</v>
      </c>
    </row>
    <row r="3359" spans="153:166" x14ac:dyDescent="0.35">
      <c r="EW3359" t="s">
        <v>4093</v>
      </c>
      <c r="EX3359" s="33" t="s">
        <v>4533</v>
      </c>
      <c r="EY3359" s="33" t="s">
        <v>1147</v>
      </c>
      <c r="EZ3359" s="33" t="s">
        <v>1148</v>
      </c>
      <c r="FA3359" s="33" t="s">
        <v>343</v>
      </c>
      <c r="FB3359" s="33" t="s">
        <v>1108</v>
      </c>
      <c r="FC3359" s="33" t="s">
        <v>345</v>
      </c>
      <c r="FD3359" s="33" t="s">
        <v>1108</v>
      </c>
      <c r="FE3359" s="33">
        <v>2025</v>
      </c>
      <c r="FF3359" s="33" t="s">
        <v>1109</v>
      </c>
      <c r="FG3359" s="33" t="s">
        <v>386</v>
      </c>
      <c r="FH3359" s="33" t="s">
        <v>387</v>
      </c>
      <c r="FI3359" s="33" t="s">
        <v>407</v>
      </c>
      <c r="FJ3359" t="s">
        <v>1109</v>
      </c>
    </row>
    <row r="3360" spans="153:166" x14ac:dyDescent="0.35">
      <c r="EW3360" t="s">
        <v>4093</v>
      </c>
      <c r="EX3360" s="33" t="s">
        <v>4534</v>
      </c>
      <c r="EY3360" s="33" t="s">
        <v>1149</v>
      </c>
      <c r="EZ3360" s="33" t="s">
        <v>1150</v>
      </c>
      <c r="FA3360" s="33" t="s">
        <v>343</v>
      </c>
      <c r="FB3360" s="33" t="s">
        <v>1108</v>
      </c>
      <c r="FC3360" s="33" t="s">
        <v>345</v>
      </c>
      <c r="FD3360" s="33" t="s">
        <v>1108</v>
      </c>
      <c r="FE3360" s="33">
        <v>2025</v>
      </c>
      <c r="FF3360" s="33" t="s">
        <v>1109</v>
      </c>
      <c r="FG3360" s="33" t="s">
        <v>386</v>
      </c>
      <c r="FH3360" s="33" t="s">
        <v>387</v>
      </c>
      <c r="FI3360" s="33" t="s">
        <v>407</v>
      </c>
      <c r="FJ3360" t="s">
        <v>1109</v>
      </c>
    </row>
    <row r="3361" spans="153:166" x14ac:dyDescent="0.35">
      <c r="EW3361" t="s">
        <v>4093</v>
      </c>
      <c r="EX3361" s="33" t="s">
        <v>4535</v>
      </c>
      <c r="EY3361" s="33" t="s">
        <v>1151</v>
      </c>
      <c r="EZ3361" s="33" t="s">
        <v>1152</v>
      </c>
      <c r="FA3361" s="33" t="s">
        <v>343</v>
      </c>
      <c r="FB3361" s="33" t="s">
        <v>1108</v>
      </c>
      <c r="FC3361" s="33" t="s">
        <v>345</v>
      </c>
      <c r="FD3361" s="33" t="s">
        <v>1108</v>
      </c>
      <c r="FE3361" s="33">
        <v>2025</v>
      </c>
      <c r="FF3361" s="33" t="s">
        <v>1109</v>
      </c>
      <c r="FG3361" s="33" t="s">
        <v>386</v>
      </c>
      <c r="FH3361" s="33" t="s">
        <v>387</v>
      </c>
      <c r="FI3361" s="33" t="s">
        <v>407</v>
      </c>
      <c r="FJ3361" t="s">
        <v>1109</v>
      </c>
    </row>
    <row r="3362" spans="153:166" x14ac:dyDescent="0.35">
      <c r="EW3362" t="s">
        <v>4093</v>
      </c>
      <c r="EX3362" s="33" t="s">
        <v>4536</v>
      </c>
      <c r="EY3362" s="33" t="s">
        <v>1156</v>
      </c>
      <c r="EZ3362" s="33" t="s">
        <v>1157</v>
      </c>
      <c r="FA3362" s="33" t="s">
        <v>343</v>
      </c>
      <c r="FB3362" s="33" t="s">
        <v>1108</v>
      </c>
      <c r="FC3362" s="33" t="s">
        <v>345</v>
      </c>
      <c r="FD3362" s="33" t="s">
        <v>1108</v>
      </c>
      <c r="FE3362" s="33">
        <v>2025</v>
      </c>
      <c r="FF3362" s="33" t="s">
        <v>1109</v>
      </c>
      <c r="FG3362" s="33" t="s">
        <v>386</v>
      </c>
      <c r="FH3362" s="33" t="s">
        <v>387</v>
      </c>
      <c r="FI3362" s="33" t="s">
        <v>407</v>
      </c>
      <c r="FJ3362" t="s">
        <v>1109</v>
      </c>
    </row>
    <row r="3363" spans="153:166" x14ac:dyDescent="0.35">
      <c r="EW3363" t="s">
        <v>4093</v>
      </c>
      <c r="EX3363" s="33" t="s">
        <v>4537</v>
      </c>
      <c r="EY3363" s="33" t="s">
        <v>1158</v>
      </c>
      <c r="EZ3363" s="33" t="s">
        <v>1159</v>
      </c>
      <c r="FA3363" s="33" t="s">
        <v>343</v>
      </c>
      <c r="FB3363" s="33" t="s">
        <v>1108</v>
      </c>
      <c r="FC3363" s="33" t="s">
        <v>345</v>
      </c>
      <c r="FD3363" s="33" t="s">
        <v>1108</v>
      </c>
      <c r="FE3363" s="33">
        <v>2025</v>
      </c>
      <c r="FF3363" s="33" t="s">
        <v>1109</v>
      </c>
      <c r="FG3363" s="33" t="s">
        <v>386</v>
      </c>
      <c r="FH3363" s="33" t="s">
        <v>387</v>
      </c>
      <c r="FI3363" s="33" t="s">
        <v>407</v>
      </c>
      <c r="FJ3363" t="s">
        <v>1109</v>
      </c>
    </row>
    <row r="3364" spans="153:166" x14ac:dyDescent="0.35">
      <c r="EW3364" t="s">
        <v>4093</v>
      </c>
      <c r="EX3364" s="33" t="s">
        <v>4538</v>
      </c>
      <c r="EY3364" s="33" t="s">
        <v>1160</v>
      </c>
      <c r="EZ3364" s="33" t="s">
        <v>1161</v>
      </c>
      <c r="FA3364" s="33" t="s">
        <v>343</v>
      </c>
      <c r="FB3364" s="33" t="s">
        <v>1108</v>
      </c>
      <c r="FC3364" s="33" t="s">
        <v>345</v>
      </c>
      <c r="FD3364" s="33" t="s">
        <v>1108</v>
      </c>
      <c r="FE3364" s="33">
        <v>2025</v>
      </c>
      <c r="FF3364" s="33" t="s">
        <v>1109</v>
      </c>
      <c r="FG3364" s="33" t="s">
        <v>386</v>
      </c>
      <c r="FH3364" s="33" t="s">
        <v>387</v>
      </c>
      <c r="FI3364" s="33" t="s">
        <v>407</v>
      </c>
      <c r="FJ3364" t="s">
        <v>1109</v>
      </c>
    </row>
    <row r="3365" spans="153:166" x14ac:dyDescent="0.35">
      <c r="EW3365" t="s">
        <v>4093</v>
      </c>
      <c r="EX3365" s="33" t="s">
        <v>4539</v>
      </c>
      <c r="EY3365" s="33" t="s">
        <v>1165</v>
      </c>
      <c r="EZ3365" s="33" t="s">
        <v>1166</v>
      </c>
      <c r="FA3365" s="33" t="s">
        <v>343</v>
      </c>
      <c r="FB3365" s="33" t="s">
        <v>1108</v>
      </c>
      <c r="FC3365" s="33" t="s">
        <v>345</v>
      </c>
      <c r="FD3365" s="33" t="s">
        <v>1108</v>
      </c>
      <c r="FE3365" s="33">
        <v>2025</v>
      </c>
      <c r="FF3365" s="33" t="s">
        <v>1109</v>
      </c>
      <c r="FG3365" s="33" t="s">
        <v>386</v>
      </c>
      <c r="FH3365" s="33" t="s">
        <v>387</v>
      </c>
      <c r="FI3365" s="33" t="s">
        <v>407</v>
      </c>
      <c r="FJ3365" t="s">
        <v>1109</v>
      </c>
    </row>
    <row r="3366" spans="153:166" x14ac:dyDescent="0.35">
      <c r="EW3366" t="s">
        <v>4093</v>
      </c>
      <c r="EX3366" s="33" t="s">
        <v>4540</v>
      </c>
      <c r="EY3366" s="33" t="s">
        <v>1167</v>
      </c>
      <c r="EZ3366" s="33" t="s">
        <v>1168</v>
      </c>
      <c r="FA3366" s="33" t="s">
        <v>343</v>
      </c>
      <c r="FB3366" s="33" t="s">
        <v>1108</v>
      </c>
      <c r="FC3366" s="33" t="s">
        <v>345</v>
      </c>
      <c r="FD3366" s="33" t="s">
        <v>1108</v>
      </c>
      <c r="FE3366" s="33">
        <v>2025</v>
      </c>
      <c r="FF3366" s="33" t="s">
        <v>1109</v>
      </c>
      <c r="FG3366" s="33" t="s">
        <v>386</v>
      </c>
      <c r="FH3366" s="33" t="s">
        <v>387</v>
      </c>
      <c r="FI3366" s="33" t="s">
        <v>407</v>
      </c>
      <c r="FJ3366" t="s">
        <v>1109</v>
      </c>
    </row>
    <row r="3367" spans="153:166" x14ac:dyDescent="0.35">
      <c r="EW3367" t="s">
        <v>4093</v>
      </c>
      <c r="EX3367" s="33" t="s">
        <v>4541</v>
      </c>
      <c r="EY3367" s="33" t="s">
        <v>1169</v>
      </c>
      <c r="EZ3367" s="33" t="s">
        <v>1170</v>
      </c>
      <c r="FA3367" s="33" t="s">
        <v>343</v>
      </c>
      <c r="FB3367" s="33" t="s">
        <v>1108</v>
      </c>
      <c r="FC3367" s="33" t="s">
        <v>345</v>
      </c>
      <c r="FD3367" s="33" t="s">
        <v>1108</v>
      </c>
      <c r="FE3367" s="33">
        <v>2025</v>
      </c>
      <c r="FF3367" s="33" t="s">
        <v>1109</v>
      </c>
      <c r="FG3367" s="33" t="s">
        <v>386</v>
      </c>
      <c r="FH3367" s="33" t="s">
        <v>387</v>
      </c>
      <c r="FI3367" s="33" t="s">
        <v>407</v>
      </c>
      <c r="FJ3367" t="s">
        <v>1109</v>
      </c>
    </row>
    <row r="3368" spans="153:166" x14ac:dyDescent="0.35">
      <c r="EW3368" t="s">
        <v>4093</v>
      </c>
      <c r="EX3368" s="33" t="s">
        <v>4542</v>
      </c>
      <c r="EY3368" s="33" t="s">
        <v>1171</v>
      </c>
      <c r="EZ3368" s="33" t="s">
        <v>1172</v>
      </c>
      <c r="FA3368" s="33" t="s">
        <v>343</v>
      </c>
      <c r="FB3368" s="33" t="s">
        <v>1108</v>
      </c>
      <c r="FC3368" s="33" t="s">
        <v>345</v>
      </c>
      <c r="FD3368" s="33" t="s">
        <v>1108</v>
      </c>
      <c r="FE3368" s="33">
        <v>2025</v>
      </c>
      <c r="FF3368" s="33" t="s">
        <v>1109</v>
      </c>
      <c r="FG3368" s="33" t="s">
        <v>386</v>
      </c>
      <c r="FH3368" s="33" t="s">
        <v>387</v>
      </c>
      <c r="FI3368" s="33" t="s">
        <v>407</v>
      </c>
      <c r="FJ3368" t="s">
        <v>1109</v>
      </c>
    </row>
    <row r="3369" spans="153:166" x14ac:dyDescent="0.35">
      <c r="EW3369" t="s">
        <v>4093</v>
      </c>
      <c r="EX3369" s="33" t="s">
        <v>4543</v>
      </c>
      <c r="EY3369" s="33" t="s">
        <v>1176</v>
      </c>
      <c r="EZ3369" s="33" t="s">
        <v>1177</v>
      </c>
      <c r="FA3369" s="33" t="s">
        <v>343</v>
      </c>
      <c r="FB3369" s="33" t="s">
        <v>1108</v>
      </c>
      <c r="FC3369" s="33" t="s">
        <v>345</v>
      </c>
      <c r="FD3369" s="33" t="s">
        <v>1108</v>
      </c>
      <c r="FE3369" s="33">
        <v>2025</v>
      </c>
      <c r="FF3369" s="33" t="s">
        <v>1109</v>
      </c>
      <c r="FG3369" s="33" t="s">
        <v>386</v>
      </c>
      <c r="FH3369" s="33" t="s">
        <v>387</v>
      </c>
      <c r="FI3369" s="33" t="s">
        <v>407</v>
      </c>
      <c r="FJ3369" t="s">
        <v>1109</v>
      </c>
    </row>
    <row r="3370" spans="153:166" x14ac:dyDescent="0.35">
      <c r="EW3370" t="s">
        <v>4093</v>
      </c>
      <c r="EX3370" s="33" t="s">
        <v>4544</v>
      </c>
      <c r="EY3370" s="33" t="s">
        <v>1178</v>
      </c>
      <c r="EZ3370" s="33" t="s">
        <v>1179</v>
      </c>
      <c r="FA3370" s="33" t="s">
        <v>343</v>
      </c>
      <c r="FB3370" s="33" t="s">
        <v>1108</v>
      </c>
      <c r="FC3370" s="33" t="s">
        <v>345</v>
      </c>
      <c r="FD3370" s="33" t="s">
        <v>1108</v>
      </c>
      <c r="FE3370" s="33">
        <v>2025</v>
      </c>
      <c r="FF3370" s="33" t="s">
        <v>1109</v>
      </c>
      <c r="FG3370" s="33" t="s">
        <v>386</v>
      </c>
      <c r="FH3370" s="33" t="s">
        <v>387</v>
      </c>
      <c r="FI3370" s="33" t="s">
        <v>407</v>
      </c>
      <c r="FJ3370" t="s">
        <v>1109</v>
      </c>
    </row>
    <row r="3371" spans="153:166" x14ac:dyDescent="0.35">
      <c r="EW3371" t="s">
        <v>4093</v>
      </c>
      <c r="EX3371" s="33" t="s">
        <v>4545</v>
      </c>
      <c r="EY3371" s="33" t="s">
        <v>1180</v>
      </c>
      <c r="EZ3371" s="33" t="s">
        <v>1181</v>
      </c>
      <c r="FA3371" s="33" t="s">
        <v>343</v>
      </c>
      <c r="FB3371" s="33" t="s">
        <v>1108</v>
      </c>
      <c r="FC3371" s="33" t="s">
        <v>345</v>
      </c>
      <c r="FD3371" s="33" t="s">
        <v>1108</v>
      </c>
      <c r="FE3371" s="33">
        <v>2025</v>
      </c>
      <c r="FF3371" s="33" t="s">
        <v>1109</v>
      </c>
      <c r="FG3371" s="33" t="s">
        <v>386</v>
      </c>
      <c r="FH3371" s="33" t="s">
        <v>387</v>
      </c>
      <c r="FI3371" s="33" t="s">
        <v>407</v>
      </c>
      <c r="FJ3371" t="s">
        <v>1109</v>
      </c>
    </row>
    <row r="3372" spans="153:166" x14ac:dyDescent="0.35">
      <c r="EW3372" t="s">
        <v>4093</v>
      </c>
      <c r="EX3372" s="33" t="s">
        <v>4546</v>
      </c>
      <c r="EY3372" s="33" t="s">
        <v>1182</v>
      </c>
      <c r="EZ3372" s="33" t="s">
        <v>1183</v>
      </c>
      <c r="FA3372" s="33" t="s">
        <v>343</v>
      </c>
      <c r="FB3372" s="33" t="s">
        <v>1108</v>
      </c>
      <c r="FC3372" s="33" t="s">
        <v>345</v>
      </c>
      <c r="FD3372" s="33" t="s">
        <v>1108</v>
      </c>
      <c r="FE3372" s="33">
        <v>2025</v>
      </c>
      <c r="FF3372" s="33" t="s">
        <v>1109</v>
      </c>
      <c r="FG3372" s="33" t="s">
        <v>386</v>
      </c>
      <c r="FH3372" s="33" t="s">
        <v>387</v>
      </c>
      <c r="FI3372" s="33" t="s">
        <v>407</v>
      </c>
      <c r="FJ3372" t="s">
        <v>1109</v>
      </c>
    </row>
    <row r="3373" spans="153:166" x14ac:dyDescent="0.35">
      <c r="EW3373" t="s">
        <v>4093</v>
      </c>
      <c r="EX3373" s="33" t="s">
        <v>4547</v>
      </c>
      <c r="EY3373" s="33" t="s">
        <v>1184</v>
      </c>
      <c r="EZ3373" s="33" t="s">
        <v>1185</v>
      </c>
      <c r="FA3373" s="33" t="s">
        <v>343</v>
      </c>
      <c r="FB3373" s="33" t="s">
        <v>1108</v>
      </c>
      <c r="FC3373" s="33" t="s">
        <v>345</v>
      </c>
      <c r="FD3373" s="33" t="s">
        <v>1108</v>
      </c>
      <c r="FE3373" s="33">
        <v>2025</v>
      </c>
      <c r="FF3373" s="33" t="s">
        <v>1109</v>
      </c>
      <c r="FG3373" s="33" t="s">
        <v>386</v>
      </c>
      <c r="FH3373" s="33" t="s">
        <v>387</v>
      </c>
      <c r="FI3373" s="33" t="s">
        <v>407</v>
      </c>
      <c r="FJ3373" t="s">
        <v>1109</v>
      </c>
    </row>
    <row r="3374" spans="153:166" x14ac:dyDescent="0.35">
      <c r="EW3374" t="s">
        <v>4093</v>
      </c>
      <c r="EX3374" s="33" t="s">
        <v>4548</v>
      </c>
      <c r="EY3374" s="33" t="s">
        <v>1186</v>
      </c>
      <c r="EZ3374" s="33" t="s">
        <v>1187</v>
      </c>
      <c r="FA3374" s="33" t="s">
        <v>343</v>
      </c>
      <c r="FB3374" s="33" t="s">
        <v>1108</v>
      </c>
      <c r="FC3374" s="33" t="s">
        <v>345</v>
      </c>
      <c r="FD3374" s="33" t="s">
        <v>1108</v>
      </c>
      <c r="FE3374" s="33">
        <v>2025</v>
      </c>
      <c r="FF3374" s="33" t="s">
        <v>1109</v>
      </c>
      <c r="FG3374" s="33" t="s">
        <v>386</v>
      </c>
      <c r="FH3374" s="33" t="s">
        <v>387</v>
      </c>
      <c r="FI3374" s="33" t="s">
        <v>407</v>
      </c>
      <c r="FJ3374" t="s">
        <v>1109</v>
      </c>
    </row>
    <row r="3375" spans="153:166" x14ac:dyDescent="0.35">
      <c r="EW3375" t="s">
        <v>4093</v>
      </c>
      <c r="EX3375" s="33" t="s">
        <v>4549</v>
      </c>
      <c r="EY3375" s="33" t="s">
        <v>1188</v>
      </c>
      <c r="EZ3375" s="33" t="s">
        <v>1189</v>
      </c>
      <c r="FA3375" s="33" t="s">
        <v>343</v>
      </c>
      <c r="FB3375" s="33" t="s">
        <v>1108</v>
      </c>
      <c r="FC3375" s="33" t="s">
        <v>345</v>
      </c>
      <c r="FD3375" s="33" t="s">
        <v>1108</v>
      </c>
      <c r="FE3375" s="33">
        <v>2025</v>
      </c>
      <c r="FF3375" s="33" t="s">
        <v>1109</v>
      </c>
      <c r="FG3375" s="33" t="s">
        <v>386</v>
      </c>
      <c r="FH3375" s="33" t="s">
        <v>387</v>
      </c>
      <c r="FI3375" s="33" t="s">
        <v>407</v>
      </c>
      <c r="FJ3375" t="s">
        <v>1109</v>
      </c>
    </row>
    <row r="3376" spans="153:166" x14ac:dyDescent="0.35">
      <c r="EW3376" t="s">
        <v>4093</v>
      </c>
      <c r="EX3376" s="33" t="s">
        <v>2498</v>
      </c>
      <c r="EY3376" s="35" t="s">
        <v>1190</v>
      </c>
      <c r="EZ3376" s="36" t="s">
        <v>1191</v>
      </c>
      <c r="FA3376" s="36" t="s">
        <v>1192</v>
      </c>
      <c r="FB3376" s="36" t="s">
        <v>344</v>
      </c>
      <c r="FC3376" s="36" t="s">
        <v>1192</v>
      </c>
      <c r="FD3376" s="36" t="s">
        <v>344</v>
      </c>
      <c r="FE3376" s="36">
        <v>2026</v>
      </c>
      <c r="FF3376" s="36" t="s">
        <v>59</v>
      </c>
      <c r="FG3376" s="36" t="s">
        <v>1193</v>
      </c>
      <c r="FJ3376" t="s">
        <v>59</v>
      </c>
    </row>
    <row r="3377" spans="153:166" x14ac:dyDescent="0.35">
      <c r="EW3377" t="s">
        <v>4093</v>
      </c>
      <c r="EX3377" s="33" t="s">
        <v>2759</v>
      </c>
      <c r="EY3377" s="35" t="s">
        <v>1196</v>
      </c>
      <c r="EZ3377" s="36" t="s">
        <v>1197</v>
      </c>
      <c r="FA3377" s="36" t="s">
        <v>1192</v>
      </c>
      <c r="FB3377" s="36" t="s">
        <v>344</v>
      </c>
      <c r="FC3377" s="36" t="s">
        <v>1192</v>
      </c>
      <c r="FD3377" s="36" t="s">
        <v>344</v>
      </c>
      <c r="FE3377" s="36">
        <v>2026</v>
      </c>
      <c r="FF3377" s="36" t="s">
        <v>59</v>
      </c>
      <c r="FG3377" s="36" t="s">
        <v>1193</v>
      </c>
      <c r="FJ3377" t="s">
        <v>59</v>
      </c>
    </row>
    <row r="3378" spans="153:166" x14ac:dyDescent="0.35">
      <c r="EW3378" t="s">
        <v>4093</v>
      </c>
      <c r="EX3378" s="33" t="s">
        <v>4550</v>
      </c>
      <c r="EY3378" s="35" t="s">
        <v>1200</v>
      </c>
      <c r="EZ3378" s="36" t="s">
        <v>1201</v>
      </c>
      <c r="FA3378" s="36" t="s">
        <v>1192</v>
      </c>
      <c r="FB3378" s="36" t="s">
        <v>344</v>
      </c>
      <c r="FC3378" s="36" t="s">
        <v>1192</v>
      </c>
      <c r="FD3378" s="36" t="s">
        <v>344</v>
      </c>
      <c r="FE3378" s="36">
        <v>2026</v>
      </c>
      <c r="FF3378" s="36" t="s">
        <v>59</v>
      </c>
      <c r="FG3378" s="36" t="s">
        <v>1193</v>
      </c>
      <c r="FJ3378" t="s">
        <v>59</v>
      </c>
    </row>
    <row r="3379" spans="153:166" x14ac:dyDescent="0.35">
      <c r="EW3379" t="s">
        <v>4093</v>
      </c>
      <c r="EX3379" s="33" t="s">
        <v>2744</v>
      </c>
      <c r="EY3379" s="35" t="s">
        <v>1204</v>
      </c>
      <c r="EZ3379" s="36" t="s">
        <v>1205</v>
      </c>
      <c r="FA3379" s="36" t="s">
        <v>1192</v>
      </c>
      <c r="FB3379" s="36" t="s">
        <v>344</v>
      </c>
      <c r="FC3379" s="36" t="s">
        <v>1192</v>
      </c>
      <c r="FD3379" s="36" t="s">
        <v>344</v>
      </c>
      <c r="FE3379" s="36">
        <v>2026</v>
      </c>
      <c r="FF3379" s="36" t="s">
        <v>59</v>
      </c>
      <c r="FG3379" s="36" t="s">
        <v>1193</v>
      </c>
      <c r="FJ3379" t="s">
        <v>59</v>
      </c>
    </row>
    <row r="3380" spans="153:166" x14ac:dyDescent="0.35">
      <c r="EW3380" t="s">
        <v>4093</v>
      </c>
      <c r="EX3380" s="33" t="s">
        <v>3016</v>
      </c>
      <c r="EY3380" s="35" t="s">
        <v>1208</v>
      </c>
      <c r="EZ3380" s="36" t="s">
        <v>1209</v>
      </c>
      <c r="FA3380" s="36" t="s">
        <v>1192</v>
      </c>
      <c r="FB3380" s="36" t="s">
        <v>344</v>
      </c>
      <c r="FC3380" s="36" t="s">
        <v>1192</v>
      </c>
      <c r="FD3380" s="36" t="s">
        <v>344</v>
      </c>
      <c r="FE3380" s="36">
        <v>2026</v>
      </c>
      <c r="FF3380" s="36" t="s">
        <v>59</v>
      </c>
      <c r="FG3380" s="36" t="s">
        <v>1210</v>
      </c>
      <c r="FJ3380" t="s">
        <v>59</v>
      </c>
    </row>
    <row r="3381" spans="153:166" x14ac:dyDescent="0.35">
      <c r="EW3381" t="s">
        <v>4093</v>
      </c>
      <c r="EX3381" s="33" t="s">
        <v>2980</v>
      </c>
      <c r="EY3381" s="35" t="s">
        <v>1213</v>
      </c>
      <c r="EZ3381" s="36" t="s">
        <v>1214</v>
      </c>
      <c r="FA3381" s="36" t="s">
        <v>1192</v>
      </c>
      <c r="FB3381" s="36" t="s">
        <v>344</v>
      </c>
      <c r="FC3381" s="36" t="s">
        <v>1192</v>
      </c>
      <c r="FD3381" s="36" t="s">
        <v>344</v>
      </c>
      <c r="FE3381" s="36">
        <v>2026</v>
      </c>
      <c r="FF3381" s="36" t="s">
        <v>59</v>
      </c>
      <c r="FG3381" s="36" t="s">
        <v>1193</v>
      </c>
      <c r="FJ3381" t="s">
        <v>59</v>
      </c>
    </row>
    <row r="3382" spans="153:166" x14ac:dyDescent="0.35">
      <c r="EW3382" t="s">
        <v>4093</v>
      </c>
      <c r="EX3382" s="33" t="s">
        <v>4551</v>
      </c>
      <c r="EY3382" s="35" t="s">
        <v>1217</v>
      </c>
      <c r="EZ3382" s="36" t="s">
        <v>1218</v>
      </c>
      <c r="FA3382" s="36" t="s">
        <v>1192</v>
      </c>
      <c r="FB3382" s="36" t="s">
        <v>344</v>
      </c>
      <c r="FC3382" s="36" t="s">
        <v>1192</v>
      </c>
      <c r="FD3382" s="36" t="s">
        <v>344</v>
      </c>
      <c r="FE3382" s="36">
        <v>2026</v>
      </c>
      <c r="FF3382" s="36" t="s">
        <v>59</v>
      </c>
      <c r="FG3382" s="36" t="s">
        <v>1193</v>
      </c>
      <c r="FJ3382" t="s">
        <v>59</v>
      </c>
    </row>
    <row r="3383" spans="153:166" x14ac:dyDescent="0.35">
      <c r="EW3383" t="s">
        <v>4093</v>
      </c>
      <c r="EX3383" s="33" t="s">
        <v>2908</v>
      </c>
      <c r="EY3383" s="35" t="s">
        <v>1219</v>
      </c>
      <c r="EZ3383" s="36" t="s">
        <v>1220</v>
      </c>
      <c r="FA3383" s="36" t="s">
        <v>1192</v>
      </c>
      <c r="FB3383" s="36" t="s">
        <v>344</v>
      </c>
      <c r="FC3383" s="36" t="s">
        <v>1192</v>
      </c>
      <c r="FD3383" s="36" t="s">
        <v>344</v>
      </c>
      <c r="FE3383" s="36">
        <v>2026</v>
      </c>
      <c r="FF3383" s="36" t="s">
        <v>59</v>
      </c>
      <c r="FG3383" s="36" t="s">
        <v>1193</v>
      </c>
      <c r="FJ3383" t="s">
        <v>59</v>
      </c>
    </row>
    <row r="3384" spans="153:166" x14ac:dyDescent="0.35">
      <c r="EW3384" t="s">
        <v>4093</v>
      </c>
      <c r="EX3384" s="33" t="s">
        <v>2799</v>
      </c>
      <c r="EY3384" s="35" t="s">
        <v>1223</v>
      </c>
      <c r="EZ3384" s="36" t="s">
        <v>1224</v>
      </c>
      <c r="FA3384" s="36" t="s">
        <v>1192</v>
      </c>
      <c r="FB3384" s="36" t="s">
        <v>344</v>
      </c>
      <c r="FC3384" s="36" t="s">
        <v>1192</v>
      </c>
      <c r="FD3384" s="36" t="s">
        <v>344</v>
      </c>
      <c r="FE3384" s="36">
        <v>2026</v>
      </c>
      <c r="FF3384" s="36" t="s">
        <v>59</v>
      </c>
      <c r="FG3384" s="36" t="s">
        <v>1193</v>
      </c>
      <c r="FJ3384" t="s">
        <v>59</v>
      </c>
    </row>
    <row r="3385" spans="153:166" x14ac:dyDescent="0.35">
      <c r="EW3385" t="s">
        <v>4093</v>
      </c>
      <c r="EX3385" s="33" t="s">
        <v>2508</v>
      </c>
      <c r="EY3385" s="35" t="s">
        <v>1227</v>
      </c>
      <c r="EZ3385" s="36" t="s">
        <v>1228</v>
      </c>
      <c r="FA3385" s="36" t="s">
        <v>1192</v>
      </c>
      <c r="FB3385" s="36" t="s">
        <v>344</v>
      </c>
      <c r="FC3385" s="36" t="s">
        <v>1192</v>
      </c>
      <c r="FD3385" s="36" t="s">
        <v>344</v>
      </c>
      <c r="FE3385" s="36">
        <v>2026</v>
      </c>
      <c r="FF3385" s="36" t="s">
        <v>59</v>
      </c>
      <c r="FG3385" s="36" t="s">
        <v>1193</v>
      </c>
      <c r="FJ3385" t="s">
        <v>59</v>
      </c>
    </row>
    <row r="3386" spans="153:166" x14ac:dyDescent="0.35">
      <c r="EW3386" t="s">
        <v>4093</v>
      </c>
      <c r="EX3386" s="33" t="s">
        <v>2822</v>
      </c>
      <c r="EY3386" s="35" t="s">
        <v>1231</v>
      </c>
      <c r="EZ3386" s="36" t="s">
        <v>1232</v>
      </c>
      <c r="FA3386" s="36" t="s">
        <v>1192</v>
      </c>
      <c r="FB3386" s="36" t="s">
        <v>344</v>
      </c>
      <c r="FC3386" s="36" t="s">
        <v>1192</v>
      </c>
      <c r="FD3386" s="36" t="s">
        <v>344</v>
      </c>
      <c r="FE3386" s="36">
        <v>2026</v>
      </c>
      <c r="FF3386" s="36" t="s">
        <v>59</v>
      </c>
      <c r="FG3386" s="36" t="s">
        <v>1193</v>
      </c>
      <c r="FJ3386" t="s">
        <v>59</v>
      </c>
    </row>
    <row r="3387" spans="153:166" x14ac:dyDescent="0.35">
      <c r="EW3387" t="s">
        <v>4093</v>
      </c>
      <c r="EX3387" s="33" t="s">
        <v>2718</v>
      </c>
      <c r="EY3387" s="35" t="s">
        <v>1235</v>
      </c>
      <c r="EZ3387" s="36" t="s">
        <v>1236</v>
      </c>
      <c r="FA3387" s="36" t="s">
        <v>1192</v>
      </c>
      <c r="FB3387" s="36" t="s">
        <v>344</v>
      </c>
      <c r="FC3387" s="36" t="s">
        <v>1192</v>
      </c>
      <c r="FD3387" s="36" t="s">
        <v>344</v>
      </c>
      <c r="FE3387" s="36">
        <v>2026</v>
      </c>
      <c r="FF3387" s="36" t="s">
        <v>59</v>
      </c>
      <c r="FG3387" s="36" t="s">
        <v>1193</v>
      </c>
      <c r="FJ3387" t="s">
        <v>59</v>
      </c>
    </row>
    <row r="3388" spans="153:166" x14ac:dyDescent="0.35">
      <c r="EW3388" t="s">
        <v>4093</v>
      </c>
      <c r="EX3388" s="33" t="s">
        <v>2804</v>
      </c>
      <c r="EY3388" s="35" t="s">
        <v>1239</v>
      </c>
      <c r="EZ3388" s="36" t="s">
        <v>1240</v>
      </c>
      <c r="FA3388" s="36" t="s">
        <v>1192</v>
      </c>
      <c r="FB3388" s="36" t="s">
        <v>344</v>
      </c>
      <c r="FC3388" s="36" t="s">
        <v>1192</v>
      </c>
      <c r="FD3388" s="36" t="s">
        <v>344</v>
      </c>
      <c r="FE3388" s="36">
        <v>2026</v>
      </c>
      <c r="FF3388" s="36" t="s">
        <v>59</v>
      </c>
      <c r="FG3388" s="36" t="s">
        <v>1241</v>
      </c>
      <c r="FJ3388" t="s">
        <v>59</v>
      </c>
    </row>
    <row r="3389" spans="153:166" x14ac:dyDescent="0.35">
      <c r="EW3389" t="s">
        <v>4093</v>
      </c>
      <c r="EX3389" s="33" t="s">
        <v>4552</v>
      </c>
      <c r="EY3389" s="35" t="s">
        <v>1244</v>
      </c>
      <c r="EZ3389" s="36" t="s">
        <v>1245</v>
      </c>
      <c r="FA3389" s="36" t="s">
        <v>1192</v>
      </c>
      <c r="FB3389" s="36" t="s">
        <v>344</v>
      </c>
      <c r="FC3389" s="36" t="s">
        <v>1192</v>
      </c>
      <c r="FD3389" s="36" t="s">
        <v>344</v>
      </c>
      <c r="FE3389" s="36">
        <v>2026</v>
      </c>
      <c r="FF3389" s="36" t="s">
        <v>59</v>
      </c>
      <c r="FG3389" s="36" t="s">
        <v>1241</v>
      </c>
      <c r="FJ3389" t="s">
        <v>59</v>
      </c>
    </row>
    <row r="3390" spans="153:166" x14ac:dyDescent="0.35">
      <c r="EW3390" t="s">
        <v>4093</v>
      </c>
      <c r="EX3390" s="33" t="s">
        <v>2739</v>
      </c>
      <c r="EY3390" s="35" t="s">
        <v>1246</v>
      </c>
      <c r="EZ3390" s="36" t="s">
        <v>1247</v>
      </c>
      <c r="FA3390" s="36" t="s">
        <v>1192</v>
      </c>
      <c r="FB3390" s="36" t="s">
        <v>344</v>
      </c>
      <c r="FC3390" s="36" t="s">
        <v>1192</v>
      </c>
      <c r="FD3390" s="36" t="s">
        <v>344</v>
      </c>
      <c r="FE3390" s="36">
        <v>2026</v>
      </c>
      <c r="FF3390" s="36" t="s">
        <v>59</v>
      </c>
      <c r="FG3390" s="36" t="s">
        <v>1241</v>
      </c>
      <c r="FJ3390" t="s">
        <v>59</v>
      </c>
    </row>
    <row r="3391" spans="153:166" x14ac:dyDescent="0.35">
      <c r="EW3391" t="s">
        <v>4093</v>
      </c>
      <c r="EX3391" s="33" t="s">
        <v>4553</v>
      </c>
      <c r="EY3391" s="35" t="s">
        <v>1250</v>
      </c>
      <c r="EZ3391" s="36" t="s">
        <v>1251</v>
      </c>
      <c r="FA3391" s="36" t="s">
        <v>1192</v>
      </c>
      <c r="FB3391" s="36" t="s">
        <v>344</v>
      </c>
      <c r="FC3391" s="36" t="s">
        <v>1192</v>
      </c>
      <c r="FD3391" s="36" t="s">
        <v>344</v>
      </c>
      <c r="FE3391" s="36">
        <v>2026</v>
      </c>
      <c r="FF3391" s="36" t="s">
        <v>59</v>
      </c>
      <c r="FG3391" s="36" t="s">
        <v>1241</v>
      </c>
      <c r="FJ3391" t="s">
        <v>59</v>
      </c>
    </row>
    <row r="3392" spans="153:166" x14ac:dyDescent="0.35">
      <c r="EW3392" t="s">
        <v>4093</v>
      </c>
      <c r="EX3392" s="33" t="s">
        <v>4554</v>
      </c>
      <c r="EY3392" s="35" t="s">
        <v>1254</v>
      </c>
      <c r="EZ3392" s="36" t="s">
        <v>1255</v>
      </c>
      <c r="FA3392" s="36" t="s">
        <v>1192</v>
      </c>
      <c r="FB3392" s="36" t="s">
        <v>344</v>
      </c>
      <c r="FC3392" s="36" t="s">
        <v>1192</v>
      </c>
      <c r="FD3392" s="36" t="s">
        <v>344</v>
      </c>
      <c r="FE3392" s="36">
        <v>2026</v>
      </c>
      <c r="FF3392" s="36" t="s">
        <v>59</v>
      </c>
      <c r="FG3392" s="36" t="s">
        <v>1241</v>
      </c>
      <c r="FJ3392" t="s">
        <v>59</v>
      </c>
    </row>
    <row r="3393" spans="153:166" x14ac:dyDescent="0.35">
      <c r="EW3393" t="s">
        <v>4093</v>
      </c>
      <c r="EX3393" s="33" t="s">
        <v>4555</v>
      </c>
      <c r="EY3393" s="35" t="s">
        <v>1258</v>
      </c>
      <c r="EZ3393" s="36" t="s">
        <v>1259</v>
      </c>
      <c r="FA3393" s="36" t="s">
        <v>1192</v>
      </c>
      <c r="FB3393" s="36" t="s">
        <v>344</v>
      </c>
      <c r="FC3393" s="36" t="s">
        <v>1192</v>
      </c>
      <c r="FD3393" s="36" t="s">
        <v>344</v>
      </c>
      <c r="FE3393" s="36">
        <v>2026</v>
      </c>
      <c r="FF3393" s="36" t="s">
        <v>59</v>
      </c>
      <c r="FG3393" s="36" t="s">
        <v>1241</v>
      </c>
      <c r="FJ3393" t="s">
        <v>59</v>
      </c>
    </row>
    <row r="3394" spans="153:166" x14ac:dyDescent="0.35">
      <c r="EW3394" t="s">
        <v>4093</v>
      </c>
      <c r="EX3394" s="33" t="s">
        <v>1483</v>
      </c>
      <c r="EY3394" s="35" t="s">
        <v>1262</v>
      </c>
      <c r="EZ3394" s="36" t="s">
        <v>1263</v>
      </c>
      <c r="FA3394" s="36" t="s">
        <v>1192</v>
      </c>
      <c r="FB3394" s="36" t="s">
        <v>344</v>
      </c>
      <c r="FC3394" s="36" t="s">
        <v>1192</v>
      </c>
      <c r="FD3394" s="36" t="s">
        <v>344</v>
      </c>
      <c r="FE3394" s="36">
        <v>2026</v>
      </c>
      <c r="FF3394" s="36" t="s">
        <v>59</v>
      </c>
      <c r="FG3394" s="36" t="s">
        <v>1241</v>
      </c>
      <c r="FJ3394" t="s">
        <v>59</v>
      </c>
    </row>
    <row r="3395" spans="153:166" x14ac:dyDescent="0.35">
      <c r="EW3395" t="s">
        <v>4093</v>
      </c>
      <c r="EX3395" s="33" t="s">
        <v>4556</v>
      </c>
      <c r="EY3395" s="35" t="s">
        <v>1266</v>
      </c>
      <c r="EZ3395" s="36" t="s">
        <v>1267</v>
      </c>
      <c r="FA3395" s="36" t="s">
        <v>1192</v>
      </c>
      <c r="FB3395" s="36" t="s">
        <v>344</v>
      </c>
      <c r="FC3395" s="36" t="s">
        <v>1192</v>
      </c>
      <c r="FD3395" s="36" t="s">
        <v>344</v>
      </c>
      <c r="FE3395" s="36">
        <v>2026</v>
      </c>
      <c r="FF3395" s="36" t="s">
        <v>59</v>
      </c>
      <c r="FG3395" s="36" t="s">
        <v>1193</v>
      </c>
      <c r="FJ3395" t="s">
        <v>59</v>
      </c>
    </row>
    <row r="3396" spans="153:166" x14ac:dyDescent="0.35">
      <c r="EW3396" t="s">
        <v>4093</v>
      </c>
      <c r="EX3396" s="33" t="s">
        <v>2677</v>
      </c>
      <c r="EY3396" s="35" t="s">
        <v>1269</v>
      </c>
      <c r="EZ3396" s="36" t="s">
        <v>1270</v>
      </c>
      <c r="FA3396" s="36" t="s">
        <v>1192</v>
      </c>
      <c r="FB3396" s="36" t="s">
        <v>344</v>
      </c>
      <c r="FC3396" s="36" t="s">
        <v>1192</v>
      </c>
      <c r="FD3396" s="36" t="s">
        <v>344</v>
      </c>
      <c r="FE3396" s="36">
        <v>2026</v>
      </c>
      <c r="FF3396" s="36" t="s">
        <v>59</v>
      </c>
      <c r="FG3396" s="36" t="s">
        <v>1210</v>
      </c>
      <c r="FJ3396" t="s">
        <v>59</v>
      </c>
    </row>
    <row r="3397" spans="153:166" x14ac:dyDescent="0.35">
      <c r="EW3397" t="s">
        <v>4093</v>
      </c>
      <c r="EX3397" s="33" t="s">
        <v>1206</v>
      </c>
      <c r="EY3397" s="35" t="s">
        <v>1271</v>
      </c>
      <c r="EZ3397" s="36" t="s">
        <v>1272</v>
      </c>
      <c r="FA3397" s="36" t="s">
        <v>1192</v>
      </c>
      <c r="FB3397" s="36" t="s">
        <v>344</v>
      </c>
      <c r="FC3397" s="36" t="s">
        <v>1192</v>
      </c>
      <c r="FD3397" s="36" t="s">
        <v>344</v>
      </c>
      <c r="FE3397" s="36">
        <v>2026</v>
      </c>
      <c r="FF3397" s="36" t="s">
        <v>59</v>
      </c>
      <c r="FG3397" s="36" t="s">
        <v>1210</v>
      </c>
      <c r="FJ3397" t="s">
        <v>59</v>
      </c>
    </row>
    <row r="3398" spans="153:166" x14ac:dyDescent="0.35">
      <c r="EW3398" t="s">
        <v>4093</v>
      </c>
      <c r="EX3398" s="33" t="s">
        <v>2790</v>
      </c>
      <c r="EY3398" s="35" t="s">
        <v>1274</v>
      </c>
      <c r="EZ3398" s="36" t="s">
        <v>1275</v>
      </c>
      <c r="FA3398" s="36" t="s">
        <v>1192</v>
      </c>
      <c r="FB3398" s="36" t="s">
        <v>344</v>
      </c>
      <c r="FC3398" s="36" t="s">
        <v>1192</v>
      </c>
      <c r="FD3398" s="36" t="s">
        <v>344</v>
      </c>
      <c r="FE3398" s="36">
        <v>2026</v>
      </c>
      <c r="FF3398" s="36" t="s">
        <v>59</v>
      </c>
      <c r="FG3398" s="36" t="s">
        <v>1210</v>
      </c>
      <c r="FJ3398" t="s">
        <v>59</v>
      </c>
    </row>
    <row r="3399" spans="153:166" x14ac:dyDescent="0.35">
      <c r="EW3399" t="s">
        <v>4093</v>
      </c>
      <c r="EX3399" s="33" t="s">
        <v>4557</v>
      </c>
      <c r="EY3399" s="35" t="s">
        <v>1276</v>
      </c>
      <c r="EZ3399" s="36" t="s">
        <v>1277</v>
      </c>
      <c r="FA3399" s="36" t="s">
        <v>1192</v>
      </c>
      <c r="FB3399" s="36" t="s">
        <v>344</v>
      </c>
      <c r="FC3399" s="36" t="s">
        <v>1192</v>
      </c>
      <c r="FD3399" s="36" t="s">
        <v>344</v>
      </c>
      <c r="FE3399" s="36">
        <v>2026</v>
      </c>
      <c r="FF3399" s="36" t="s">
        <v>59</v>
      </c>
      <c r="FG3399" s="36" t="s">
        <v>1210</v>
      </c>
      <c r="FJ3399" t="s">
        <v>59</v>
      </c>
    </row>
    <row r="3400" spans="153:166" x14ac:dyDescent="0.35">
      <c r="EW3400" t="s">
        <v>4093</v>
      </c>
      <c r="EX3400" s="33" t="s">
        <v>1225</v>
      </c>
      <c r="EY3400" s="35" t="s">
        <v>1279</v>
      </c>
      <c r="EZ3400" s="36" t="s">
        <v>1280</v>
      </c>
      <c r="FA3400" s="36" t="s">
        <v>1192</v>
      </c>
      <c r="FB3400" s="36" t="s">
        <v>344</v>
      </c>
      <c r="FC3400" s="36" t="s">
        <v>1192</v>
      </c>
      <c r="FD3400" s="36" t="s">
        <v>344</v>
      </c>
      <c r="FE3400" s="36">
        <v>2026</v>
      </c>
      <c r="FF3400" s="36" t="s">
        <v>59</v>
      </c>
      <c r="FG3400" s="36" t="s">
        <v>1210</v>
      </c>
      <c r="FJ3400" t="s">
        <v>59</v>
      </c>
    </row>
    <row r="3401" spans="153:166" x14ac:dyDescent="0.35">
      <c r="EW3401" t="s">
        <v>4093</v>
      </c>
      <c r="EX3401" s="33" t="s">
        <v>2840</v>
      </c>
      <c r="EY3401" s="35" t="s">
        <v>1281</v>
      </c>
      <c r="EZ3401" s="36" t="s">
        <v>1282</v>
      </c>
      <c r="FA3401" s="36" t="s">
        <v>1192</v>
      </c>
      <c r="FB3401" s="36" t="s">
        <v>344</v>
      </c>
      <c r="FC3401" s="36" t="s">
        <v>1192</v>
      </c>
      <c r="FD3401" s="36" t="s">
        <v>344</v>
      </c>
      <c r="FE3401" s="36">
        <v>2026</v>
      </c>
      <c r="FF3401" s="36" t="s">
        <v>59</v>
      </c>
      <c r="FG3401" s="36" t="s">
        <v>1210</v>
      </c>
      <c r="FJ3401" t="s">
        <v>59</v>
      </c>
    </row>
    <row r="3402" spans="153:166" x14ac:dyDescent="0.35">
      <c r="EW3402" t="s">
        <v>4093</v>
      </c>
      <c r="EX3402" s="33" t="s">
        <v>4558</v>
      </c>
      <c r="EY3402" s="35" t="s">
        <v>1284</v>
      </c>
      <c r="EZ3402" s="36" t="s">
        <v>1285</v>
      </c>
      <c r="FA3402" s="36" t="s">
        <v>1192</v>
      </c>
      <c r="FB3402" s="36" t="s">
        <v>344</v>
      </c>
      <c r="FC3402" s="36" t="s">
        <v>1192</v>
      </c>
      <c r="FD3402" s="36" t="s">
        <v>344</v>
      </c>
      <c r="FE3402" s="36">
        <v>2026</v>
      </c>
      <c r="FF3402" s="36" t="s">
        <v>59</v>
      </c>
      <c r="FG3402" s="36" t="s">
        <v>1210</v>
      </c>
      <c r="FJ3402" t="s">
        <v>59</v>
      </c>
    </row>
    <row r="3403" spans="153:166" x14ac:dyDescent="0.35">
      <c r="EW3403" t="s">
        <v>4093</v>
      </c>
      <c r="EX3403" s="33" t="s">
        <v>2711</v>
      </c>
      <c r="EY3403" s="35" t="s">
        <v>1287</v>
      </c>
      <c r="EZ3403" s="36" t="s">
        <v>1288</v>
      </c>
      <c r="FA3403" s="36" t="s">
        <v>1192</v>
      </c>
      <c r="FB3403" s="36" t="s">
        <v>344</v>
      </c>
      <c r="FC3403" s="36" t="s">
        <v>1192</v>
      </c>
      <c r="FD3403" s="36" t="s">
        <v>344</v>
      </c>
      <c r="FE3403" s="36">
        <v>2026</v>
      </c>
      <c r="FF3403" s="36" t="s">
        <v>59</v>
      </c>
      <c r="FG3403" s="36" t="s">
        <v>1210</v>
      </c>
      <c r="FJ3403" t="s">
        <v>59</v>
      </c>
    </row>
    <row r="3404" spans="153:166" x14ac:dyDescent="0.35">
      <c r="EW3404" t="s">
        <v>4093</v>
      </c>
      <c r="EX3404" s="33" t="s">
        <v>2781</v>
      </c>
      <c r="EY3404" s="35" t="s">
        <v>1290</v>
      </c>
      <c r="EZ3404" s="36" t="s">
        <v>1291</v>
      </c>
      <c r="FA3404" s="36" t="s">
        <v>1192</v>
      </c>
      <c r="FB3404" s="36" t="s">
        <v>344</v>
      </c>
      <c r="FC3404" s="36" t="s">
        <v>1192</v>
      </c>
      <c r="FD3404" s="36" t="s">
        <v>344</v>
      </c>
      <c r="FE3404" s="36">
        <v>2026</v>
      </c>
      <c r="FF3404" s="36" t="s">
        <v>59</v>
      </c>
      <c r="FG3404" s="36" t="s">
        <v>1210</v>
      </c>
      <c r="FJ3404" t="s">
        <v>59</v>
      </c>
    </row>
    <row r="3405" spans="153:166" x14ac:dyDescent="0.35">
      <c r="EW3405" t="s">
        <v>4093</v>
      </c>
      <c r="EX3405" s="33" t="s">
        <v>2811</v>
      </c>
      <c r="EY3405" s="35" t="s">
        <v>1294</v>
      </c>
      <c r="EZ3405" s="36" t="s">
        <v>1295</v>
      </c>
      <c r="FA3405" s="36" t="s">
        <v>1192</v>
      </c>
      <c r="FB3405" s="36" t="s">
        <v>344</v>
      </c>
      <c r="FC3405" s="36" t="s">
        <v>1192</v>
      </c>
      <c r="FD3405" s="36" t="s">
        <v>344</v>
      </c>
      <c r="FE3405" s="36">
        <v>2026</v>
      </c>
      <c r="FF3405" s="36" t="s">
        <v>59</v>
      </c>
      <c r="FG3405" s="36" t="s">
        <v>1210</v>
      </c>
      <c r="FJ3405" t="s">
        <v>59</v>
      </c>
    </row>
    <row r="3406" spans="153:166" x14ac:dyDescent="0.35">
      <c r="EW3406" t="s">
        <v>4093</v>
      </c>
      <c r="EX3406" s="33" t="s">
        <v>2766</v>
      </c>
      <c r="EY3406" s="35" t="s">
        <v>1296</v>
      </c>
      <c r="EZ3406" s="36" t="s">
        <v>1297</v>
      </c>
      <c r="FA3406" s="36" t="s">
        <v>1192</v>
      </c>
      <c r="FB3406" s="36" t="s">
        <v>344</v>
      </c>
      <c r="FC3406" s="36" t="s">
        <v>1192</v>
      </c>
      <c r="FD3406" s="36" t="s">
        <v>344</v>
      </c>
      <c r="FE3406" s="36">
        <v>2026</v>
      </c>
      <c r="FF3406" s="36" t="s">
        <v>59</v>
      </c>
      <c r="FG3406" s="36" t="s">
        <v>1210</v>
      </c>
      <c r="FJ3406" t="s">
        <v>59</v>
      </c>
    </row>
    <row r="3407" spans="153:166" x14ac:dyDescent="0.35">
      <c r="EW3407" t="s">
        <v>4093</v>
      </c>
      <c r="EX3407" s="33" t="s">
        <v>2795</v>
      </c>
      <c r="EY3407" s="35" t="s">
        <v>1300</v>
      </c>
      <c r="EZ3407" s="36" t="s">
        <v>1301</v>
      </c>
      <c r="FA3407" s="36" t="s">
        <v>1192</v>
      </c>
      <c r="FB3407" s="36" t="s">
        <v>344</v>
      </c>
      <c r="FC3407" s="36" t="s">
        <v>1192</v>
      </c>
      <c r="FD3407" s="36" t="s">
        <v>344</v>
      </c>
      <c r="FE3407" s="36">
        <v>2026</v>
      </c>
      <c r="FF3407" s="36" t="s">
        <v>59</v>
      </c>
      <c r="FG3407" s="36" t="s">
        <v>1210</v>
      </c>
      <c r="FJ3407" t="s">
        <v>59</v>
      </c>
    </row>
    <row r="3408" spans="153:166" x14ac:dyDescent="0.35">
      <c r="EW3408" t="s">
        <v>4093</v>
      </c>
      <c r="EX3408" s="33" t="s">
        <v>2888</v>
      </c>
      <c r="EY3408" s="35" t="s">
        <v>1302</v>
      </c>
      <c r="EZ3408" s="36" t="s">
        <v>1303</v>
      </c>
      <c r="FA3408" s="36" t="s">
        <v>1192</v>
      </c>
      <c r="FB3408" s="36" t="s">
        <v>344</v>
      </c>
      <c r="FC3408" s="36" t="s">
        <v>1192</v>
      </c>
      <c r="FD3408" s="36" t="s">
        <v>344</v>
      </c>
      <c r="FE3408" s="36">
        <v>2026</v>
      </c>
      <c r="FF3408" s="36" t="s">
        <v>59</v>
      </c>
      <c r="FG3408" s="36" t="s">
        <v>1210</v>
      </c>
      <c r="FJ3408" t="s">
        <v>59</v>
      </c>
    </row>
    <row r="3409" spans="153:166" x14ac:dyDescent="0.35">
      <c r="EW3409" t="s">
        <v>4093</v>
      </c>
      <c r="EX3409" s="33" t="s">
        <v>4559</v>
      </c>
      <c r="EY3409" s="35" t="s">
        <v>1304</v>
      </c>
      <c r="EZ3409" s="36" t="s">
        <v>1305</v>
      </c>
      <c r="FA3409" s="36" t="s">
        <v>1192</v>
      </c>
      <c r="FB3409" s="36" t="s">
        <v>344</v>
      </c>
      <c r="FC3409" s="36" t="s">
        <v>1192</v>
      </c>
      <c r="FD3409" s="36" t="s">
        <v>344</v>
      </c>
      <c r="FE3409" s="36">
        <v>2026</v>
      </c>
      <c r="FF3409" s="36" t="s">
        <v>59</v>
      </c>
      <c r="FG3409" s="36" t="s">
        <v>1241</v>
      </c>
      <c r="FJ3409" t="s">
        <v>59</v>
      </c>
    </row>
    <row r="3410" spans="153:166" x14ac:dyDescent="0.35">
      <c r="EW3410" t="s">
        <v>4093</v>
      </c>
      <c r="EX3410" s="33" t="s">
        <v>4560</v>
      </c>
      <c r="EY3410" s="35" t="s">
        <v>1308</v>
      </c>
      <c r="EZ3410" s="36" t="s">
        <v>1309</v>
      </c>
      <c r="FA3410" s="36" t="s">
        <v>1192</v>
      </c>
      <c r="FB3410" s="36" t="s">
        <v>344</v>
      </c>
      <c r="FC3410" s="36" t="s">
        <v>1192</v>
      </c>
      <c r="FD3410" s="36" t="s">
        <v>344</v>
      </c>
      <c r="FE3410" s="36">
        <v>2026</v>
      </c>
      <c r="FF3410" s="36" t="s">
        <v>59</v>
      </c>
      <c r="FG3410" s="36" t="s">
        <v>1241</v>
      </c>
      <c r="FJ3410" t="s">
        <v>59</v>
      </c>
    </row>
    <row r="3411" spans="153:166" x14ac:dyDescent="0.35">
      <c r="EW3411" t="s">
        <v>4093</v>
      </c>
      <c r="EX3411" s="33" t="s">
        <v>4561</v>
      </c>
      <c r="EY3411" s="35" t="s">
        <v>1310</v>
      </c>
      <c r="EZ3411" s="36" t="s">
        <v>1311</v>
      </c>
      <c r="FA3411" s="36" t="s">
        <v>1192</v>
      </c>
      <c r="FB3411" s="36" t="s">
        <v>344</v>
      </c>
      <c r="FC3411" s="36" t="s">
        <v>1192</v>
      </c>
      <c r="FD3411" s="36" t="s">
        <v>344</v>
      </c>
      <c r="FE3411" s="36">
        <v>2026</v>
      </c>
      <c r="FF3411" s="36" t="s">
        <v>59</v>
      </c>
      <c r="FG3411" s="36" t="s">
        <v>1241</v>
      </c>
      <c r="FJ3411" t="s">
        <v>59</v>
      </c>
    </row>
    <row r="3412" spans="153:166" x14ac:dyDescent="0.35">
      <c r="EW3412" t="s">
        <v>4093</v>
      </c>
      <c r="EX3412" s="33" t="s">
        <v>2756</v>
      </c>
      <c r="EY3412" s="35" t="s">
        <v>1312</v>
      </c>
      <c r="EZ3412" s="36" t="s">
        <v>1313</v>
      </c>
      <c r="FA3412" s="36" t="s">
        <v>1192</v>
      </c>
      <c r="FB3412" s="36" t="s">
        <v>344</v>
      </c>
      <c r="FC3412" s="36" t="s">
        <v>1192</v>
      </c>
      <c r="FD3412" s="36" t="s">
        <v>344</v>
      </c>
      <c r="FE3412" s="36">
        <v>2026</v>
      </c>
      <c r="FF3412" s="36" t="s">
        <v>59</v>
      </c>
      <c r="FG3412" s="36" t="s">
        <v>1210</v>
      </c>
      <c r="FJ3412" t="s">
        <v>59</v>
      </c>
    </row>
    <row r="3413" spans="153:166" x14ac:dyDescent="0.35">
      <c r="EW3413" t="s">
        <v>4093</v>
      </c>
      <c r="EX3413" s="33" t="s">
        <v>4562</v>
      </c>
      <c r="EY3413" s="35" t="s">
        <v>1314</v>
      </c>
      <c r="EZ3413" s="36" t="s">
        <v>1315</v>
      </c>
      <c r="FA3413" s="36" t="s">
        <v>1192</v>
      </c>
      <c r="FB3413" s="36" t="s">
        <v>344</v>
      </c>
      <c r="FC3413" s="36" t="s">
        <v>1192</v>
      </c>
      <c r="FD3413" s="36" t="s">
        <v>344</v>
      </c>
      <c r="FE3413" s="36">
        <v>2026</v>
      </c>
      <c r="FF3413" s="36" t="s">
        <v>59</v>
      </c>
      <c r="FG3413" s="36" t="s">
        <v>1210</v>
      </c>
      <c r="FJ3413" t="s">
        <v>59</v>
      </c>
    </row>
    <row r="3414" spans="153:166" x14ac:dyDescent="0.35">
      <c r="EW3414" t="s">
        <v>4093</v>
      </c>
      <c r="EX3414" s="33" t="s">
        <v>2729</v>
      </c>
      <c r="EY3414" s="35" t="s">
        <v>1316</v>
      </c>
      <c r="EZ3414" s="36" t="s">
        <v>1317</v>
      </c>
      <c r="FA3414" s="36" t="s">
        <v>1192</v>
      </c>
      <c r="FB3414" s="36" t="s">
        <v>344</v>
      </c>
      <c r="FC3414" s="36" t="s">
        <v>1192</v>
      </c>
      <c r="FD3414" s="36" t="s">
        <v>344</v>
      </c>
      <c r="FE3414" s="36">
        <v>2026</v>
      </c>
      <c r="FF3414" s="36" t="s">
        <v>59</v>
      </c>
      <c r="FG3414" s="36" t="s">
        <v>1210</v>
      </c>
      <c r="FJ3414" t="s">
        <v>59</v>
      </c>
    </row>
    <row r="3415" spans="153:166" x14ac:dyDescent="0.35">
      <c r="EW3415" t="s">
        <v>4093</v>
      </c>
      <c r="EX3415" s="33" t="s">
        <v>2826</v>
      </c>
      <c r="EY3415" s="35" t="s">
        <v>1318</v>
      </c>
      <c r="EZ3415" s="36" t="s">
        <v>1319</v>
      </c>
      <c r="FA3415" s="36" t="s">
        <v>1192</v>
      </c>
      <c r="FB3415" s="36" t="s">
        <v>344</v>
      </c>
      <c r="FC3415" s="36" t="s">
        <v>1192</v>
      </c>
      <c r="FD3415" s="36" t="s">
        <v>344</v>
      </c>
      <c r="FE3415" s="36">
        <v>2026</v>
      </c>
      <c r="FF3415" s="36" t="s">
        <v>59</v>
      </c>
      <c r="FG3415" s="36" t="s">
        <v>1210</v>
      </c>
      <c r="FJ3415" t="s">
        <v>59</v>
      </c>
    </row>
    <row r="3416" spans="153:166" x14ac:dyDescent="0.35">
      <c r="EW3416" t="s">
        <v>4093</v>
      </c>
      <c r="EX3416" s="33" t="s">
        <v>2808</v>
      </c>
      <c r="EY3416" s="35" t="s">
        <v>1320</v>
      </c>
      <c r="EZ3416" s="36" t="s">
        <v>1321</v>
      </c>
      <c r="FA3416" s="36" t="s">
        <v>1192</v>
      </c>
      <c r="FB3416" s="36" t="s">
        <v>344</v>
      </c>
      <c r="FC3416" s="36" t="s">
        <v>1192</v>
      </c>
      <c r="FD3416" s="36" t="s">
        <v>344</v>
      </c>
      <c r="FE3416" s="36">
        <v>2026</v>
      </c>
      <c r="FF3416" s="36" t="s">
        <v>59</v>
      </c>
      <c r="FG3416" s="36" t="s">
        <v>1210</v>
      </c>
      <c r="FJ3416" t="s">
        <v>59</v>
      </c>
    </row>
    <row r="3417" spans="153:166" x14ac:dyDescent="0.35">
      <c r="EW3417" t="s">
        <v>4093</v>
      </c>
      <c r="EX3417" s="33" t="s">
        <v>2784</v>
      </c>
      <c r="EY3417" s="35" t="s">
        <v>1322</v>
      </c>
      <c r="EZ3417" s="36" t="s">
        <v>1323</v>
      </c>
      <c r="FA3417" s="36" t="s">
        <v>1192</v>
      </c>
      <c r="FB3417" s="36" t="s">
        <v>344</v>
      </c>
      <c r="FC3417" s="36" t="s">
        <v>1192</v>
      </c>
      <c r="FD3417" s="36" t="s">
        <v>344</v>
      </c>
      <c r="FE3417" s="36">
        <v>2026</v>
      </c>
      <c r="FF3417" s="36" t="s">
        <v>59</v>
      </c>
      <c r="FG3417" s="36" t="s">
        <v>1210</v>
      </c>
      <c r="FJ3417" t="s">
        <v>59</v>
      </c>
    </row>
    <row r="3418" spans="153:166" x14ac:dyDescent="0.35">
      <c r="EW3418" t="s">
        <v>4093</v>
      </c>
      <c r="EX3418" s="33" t="s">
        <v>1920</v>
      </c>
      <c r="EY3418" s="35" t="s">
        <v>1324</v>
      </c>
      <c r="EZ3418" s="36" t="s">
        <v>1325</v>
      </c>
      <c r="FA3418" s="36" t="s">
        <v>1192</v>
      </c>
      <c r="FB3418" s="36" t="s">
        <v>344</v>
      </c>
      <c r="FC3418" s="36" t="s">
        <v>1192</v>
      </c>
      <c r="FD3418" s="36" t="s">
        <v>344</v>
      </c>
      <c r="FE3418" s="36">
        <v>2026</v>
      </c>
      <c r="FF3418" s="36" t="s">
        <v>59</v>
      </c>
      <c r="FG3418" s="36" t="s">
        <v>1210</v>
      </c>
      <c r="FJ3418" t="s">
        <v>59</v>
      </c>
    </row>
    <row r="3419" spans="153:166" x14ac:dyDescent="0.35">
      <c r="EW3419" t="s">
        <v>4093</v>
      </c>
      <c r="EX3419" s="33" t="s">
        <v>4563</v>
      </c>
      <c r="EY3419" s="35" t="s">
        <v>1326</v>
      </c>
      <c r="EZ3419" s="36" t="s">
        <v>1327</v>
      </c>
      <c r="FA3419" s="36" t="s">
        <v>1192</v>
      </c>
      <c r="FB3419" s="36" t="s">
        <v>344</v>
      </c>
      <c r="FC3419" s="36" t="s">
        <v>1192</v>
      </c>
      <c r="FD3419" s="36" t="s">
        <v>344</v>
      </c>
      <c r="FE3419" s="36">
        <v>2026</v>
      </c>
      <c r="FF3419" s="36" t="s">
        <v>59</v>
      </c>
      <c r="FG3419" s="36" t="s">
        <v>1210</v>
      </c>
      <c r="FJ3419" t="s">
        <v>59</v>
      </c>
    </row>
    <row r="3420" spans="153:166" x14ac:dyDescent="0.35">
      <c r="EW3420" t="s">
        <v>4093</v>
      </c>
      <c r="EX3420" s="33" t="s">
        <v>1346</v>
      </c>
      <c r="EY3420" s="35" t="s">
        <v>1330</v>
      </c>
      <c r="EZ3420" s="36" t="s">
        <v>1331</v>
      </c>
      <c r="FA3420" s="36" t="s">
        <v>1192</v>
      </c>
      <c r="FB3420" s="36" t="s">
        <v>344</v>
      </c>
      <c r="FC3420" s="36" t="s">
        <v>1192</v>
      </c>
      <c r="FD3420" s="36" t="s">
        <v>344</v>
      </c>
      <c r="FE3420" s="36">
        <v>2026</v>
      </c>
      <c r="FF3420" s="36" t="s">
        <v>59</v>
      </c>
      <c r="FG3420" s="36" t="s">
        <v>1210</v>
      </c>
      <c r="FJ3420" t="s">
        <v>59</v>
      </c>
    </row>
    <row r="3421" spans="153:166" x14ac:dyDescent="0.35">
      <c r="EW3421" t="s">
        <v>4093</v>
      </c>
      <c r="EX3421" s="33" t="s">
        <v>2905</v>
      </c>
      <c r="EY3421" s="35" t="s">
        <v>1334</v>
      </c>
      <c r="EZ3421" s="36" t="s">
        <v>1335</v>
      </c>
      <c r="FA3421" s="36" t="s">
        <v>1192</v>
      </c>
      <c r="FB3421" s="36" t="s">
        <v>344</v>
      </c>
      <c r="FC3421" s="36" t="s">
        <v>1192</v>
      </c>
      <c r="FD3421" s="36" t="s">
        <v>344</v>
      </c>
      <c r="FE3421" s="36">
        <v>2026</v>
      </c>
      <c r="FF3421" s="36" t="s">
        <v>59</v>
      </c>
      <c r="FG3421" s="36" t="s">
        <v>1210</v>
      </c>
      <c r="FJ3421" t="s">
        <v>59</v>
      </c>
    </row>
    <row r="3422" spans="153:166" x14ac:dyDescent="0.35">
      <c r="EW3422" t="s">
        <v>4093</v>
      </c>
      <c r="EX3422" s="33" t="s">
        <v>4564</v>
      </c>
      <c r="EY3422" s="35" t="s">
        <v>1336</v>
      </c>
      <c r="EZ3422" s="36" t="s">
        <v>1337</v>
      </c>
      <c r="FA3422" s="36" t="s">
        <v>1192</v>
      </c>
      <c r="FB3422" s="36" t="s">
        <v>344</v>
      </c>
      <c r="FC3422" s="36" t="s">
        <v>1192</v>
      </c>
      <c r="FD3422" s="36" t="s">
        <v>344</v>
      </c>
      <c r="FE3422" s="36">
        <v>2026</v>
      </c>
      <c r="FF3422" s="36" t="s">
        <v>59</v>
      </c>
      <c r="FG3422" s="36" t="s">
        <v>1241</v>
      </c>
      <c r="FJ3422" t="s">
        <v>59</v>
      </c>
    </row>
    <row r="3423" spans="153:166" x14ac:dyDescent="0.35">
      <c r="EW3423" t="s">
        <v>4093</v>
      </c>
      <c r="EX3423" s="33" t="s">
        <v>4565</v>
      </c>
      <c r="EY3423" s="35" t="s">
        <v>1338</v>
      </c>
      <c r="EZ3423" s="36" t="s">
        <v>1339</v>
      </c>
      <c r="FA3423" s="36" t="s">
        <v>1192</v>
      </c>
      <c r="FB3423" s="36" t="s">
        <v>344</v>
      </c>
      <c r="FC3423" s="36" t="s">
        <v>1192</v>
      </c>
      <c r="FD3423" s="36" t="s">
        <v>344</v>
      </c>
      <c r="FE3423" s="36">
        <v>2026</v>
      </c>
      <c r="FF3423" s="36" t="s">
        <v>59</v>
      </c>
      <c r="FG3423" s="36" t="s">
        <v>1241</v>
      </c>
      <c r="FJ3423" t="s">
        <v>59</v>
      </c>
    </row>
    <row r="3424" spans="153:166" x14ac:dyDescent="0.35">
      <c r="EW3424" t="s">
        <v>4093</v>
      </c>
      <c r="EX3424" s="33" t="s">
        <v>4566</v>
      </c>
      <c r="EY3424" s="35" t="s">
        <v>1341</v>
      </c>
      <c r="EZ3424" s="36" t="s">
        <v>1342</v>
      </c>
      <c r="FA3424" s="36" t="s">
        <v>1192</v>
      </c>
      <c r="FB3424" s="36" t="s">
        <v>344</v>
      </c>
      <c r="FC3424" s="36" t="s">
        <v>1192</v>
      </c>
      <c r="FD3424" s="36" t="s">
        <v>344</v>
      </c>
      <c r="FE3424" s="36">
        <v>2026</v>
      </c>
      <c r="FF3424" s="36" t="s">
        <v>59</v>
      </c>
      <c r="FG3424" s="36" t="s">
        <v>1241</v>
      </c>
      <c r="FJ3424" t="s">
        <v>59</v>
      </c>
    </row>
    <row r="3425" spans="153:166" x14ac:dyDescent="0.35">
      <c r="EW3425" t="s">
        <v>4093</v>
      </c>
      <c r="EX3425" s="33" t="s">
        <v>4567</v>
      </c>
      <c r="EY3425" s="35" t="s">
        <v>1344</v>
      </c>
      <c r="EZ3425" s="36" t="s">
        <v>1345</v>
      </c>
      <c r="FA3425" s="36" t="s">
        <v>1192</v>
      </c>
      <c r="FB3425" s="36" t="s">
        <v>344</v>
      </c>
      <c r="FC3425" s="36" t="s">
        <v>1192</v>
      </c>
      <c r="FD3425" s="36" t="s">
        <v>344</v>
      </c>
      <c r="FE3425" s="36">
        <v>2026</v>
      </c>
      <c r="FF3425" s="36" t="s">
        <v>59</v>
      </c>
      <c r="FG3425" s="36" t="s">
        <v>1241</v>
      </c>
      <c r="FJ3425" t="s">
        <v>59</v>
      </c>
    </row>
    <row r="3426" spans="153:166" x14ac:dyDescent="0.35">
      <c r="EW3426" t="s">
        <v>4093</v>
      </c>
      <c r="EX3426" s="33" t="s">
        <v>4568</v>
      </c>
      <c r="EY3426" s="35" t="s">
        <v>1348</v>
      </c>
      <c r="EZ3426" s="36" t="s">
        <v>1349</v>
      </c>
      <c r="FA3426" s="36" t="s">
        <v>1192</v>
      </c>
      <c r="FB3426" s="36" t="s">
        <v>344</v>
      </c>
      <c r="FC3426" s="36" t="s">
        <v>1192</v>
      </c>
      <c r="FD3426" s="36" t="s">
        <v>344</v>
      </c>
      <c r="FE3426" s="36">
        <v>2026</v>
      </c>
      <c r="FF3426" s="36" t="s">
        <v>59</v>
      </c>
      <c r="FG3426" s="36" t="s">
        <v>1241</v>
      </c>
      <c r="FJ3426" t="s">
        <v>59</v>
      </c>
    </row>
    <row r="3427" spans="153:166" x14ac:dyDescent="0.35">
      <c r="EW3427" t="s">
        <v>4093</v>
      </c>
      <c r="EX3427" s="33" t="s">
        <v>4569</v>
      </c>
      <c r="EY3427" s="35" t="s">
        <v>1352</v>
      </c>
      <c r="EZ3427" s="36" t="s">
        <v>1353</v>
      </c>
      <c r="FA3427" s="36" t="s">
        <v>1192</v>
      </c>
      <c r="FB3427" s="36" t="s">
        <v>344</v>
      </c>
      <c r="FC3427" s="36" t="s">
        <v>1192</v>
      </c>
      <c r="FD3427" s="36" t="s">
        <v>344</v>
      </c>
      <c r="FE3427" s="36">
        <v>2026</v>
      </c>
      <c r="FF3427" s="36" t="s">
        <v>59</v>
      </c>
      <c r="FG3427" s="36" t="s">
        <v>1241</v>
      </c>
      <c r="FJ3427" t="s">
        <v>59</v>
      </c>
    </row>
    <row r="3428" spans="153:166" x14ac:dyDescent="0.35">
      <c r="EW3428" t="s">
        <v>4093</v>
      </c>
      <c r="EX3428" s="33" t="s">
        <v>4570</v>
      </c>
      <c r="EY3428" s="35" t="s">
        <v>1356</v>
      </c>
      <c r="EZ3428" s="36" t="s">
        <v>1357</v>
      </c>
      <c r="FA3428" s="36" t="s">
        <v>1192</v>
      </c>
      <c r="FB3428" s="36" t="s">
        <v>344</v>
      </c>
      <c r="FC3428" s="36" t="s">
        <v>1192</v>
      </c>
      <c r="FD3428" s="36" t="s">
        <v>344</v>
      </c>
      <c r="FE3428" s="36">
        <v>2026</v>
      </c>
      <c r="FF3428" s="36" t="s">
        <v>59</v>
      </c>
      <c r="FG3428" s="36" t="s">
        <v>1241</v>
      </c>
      <c r="FJ3428" t="s">
        <v>59</v>
      </c>
    </row>
    <row r="3429" spans="153:166" x14ac:dyDescent="0.35">
      <c r="EW3429" t="s">
        <v>4093</v>
      </c>
      <c r="EX3429" s="33" t="s">
        <v>4571</v>
      </c>
      <c r="EY3429" s="35" t="s">
        <v>1360</v>
      </c>
      <c r="EZ3429" s="36" t="s">
        <v>1361</v>
      </c>
      <c r="FA3429" s="36" t="s">
        <v>1192</v>
      </c>
      <c r="FB3429" s="36" t="s">
        <v>344</v>
      </c>
      <c r="FC3429" s="36" t="s">
        <v>1192</v>
      </c>
      <c r="FD3429" s="36" t="s">
        <v>344</v>
      </c>
      <c r="FE3429" s="36">
        <v>2026</v>
      </c>
      <c r="FF3429" s="36" t="s">
        <v>59</v>
      </c>
      <c r="FG3429" s="36" t="s">
        <v>1241</v>
      </c>
      <c r="FJ3429" t="s">
        <v>59</v>
      </c>
    </row>
    <row r="3430" spans="153:166" x14ac:dyDescent="0.35">
      <c r="EW3430" t="s">
        <v>4093</v>
      </c>
      <c r="EX3430" s="33" t="s">
        <v>4572</v>
      </c>
      <c r="EY3430" s="35" t="s">
        <v>1364</v>
      </c>
      <c r="EZ3430" s="36" t="s">
        <v>1365</v>
      </c>
      <c r="FA3430" s="36" t="s">
        <v>1192</v>
      </c>
      <c r="FB3430" s="36" t="s">
        <v>344</v>
      </c>
      <c r="FC3430" s="36" t="s">
        <v>1192</v>
      </c>
      <c r="FD3430" s="36" t="s">
        <v>344</v>
      </c>
      <c r="FE3430" s="36">
        <v>2026</v>
      </c>
      <c r="FF3430" s="36" t="s">
        <v>59</v>
      </c>
      <c r="FG3430" s="36" t="s">
        <v>1241</v>
      </c>
      <c r="FJ3430" t="s">
        <v>59</v>
      </c>
    </row>
    <row r="3431" spans="153:166" x14ac:dyDescent="0.35">
      <c r="EW3431" t="s">
        <v>4093</v>
      </c>
      <c r="EX3431" s="33" t="s">
        <v>4573</v>
      </c>
      <c r="EY3431" s="35" t="s">
        <v>1368</v>
      </c>
      <c r="EZ3431" s="36" t="s">
        <v>1369</v>
      </c>
      <c r="FA3431" s="36" t="s">
        <v>1192</v>
      </c>
      <c r="FB3431" s="36" t="s">
        <v>344</v>
      </c>
      <c r="FC3431" s="36" t="s">
        <v>1192</v>
      </c>
      <c r="FD3431" s="36" t="s">
        <v>344</v>
      </c>
      <c r="FE3431" s="36">
        <v>2026</v>
      </c>
      <c r="FF3431" s="36" t="s">
        <v>59</v>
      </c>
      <c r="FG3431" s="36" t="s">
        <v>1241</v>
      </c>
      <c r="FJ3431" t="s">
        <v>59</v>
      </c>
    </row>
    <row r="3432" spans="153:166" x14ac:dyDescent="0.35">
      <c r="EW3432" t="s">
        <v>4093</v>
      </c>
      <c r="EX3432" s="33" t="s">
        <v>2722</v>
      </c>
      <c r="EY3432" s="35" t="s">
        <v>1372</v>
      </c>
      <c r="EZ3432" s="36" t="s">
        <v>1373</v>
      </c>
      <c r="FA3432" s="36" t="s">
        <v>1192</v>
      </c>
      <c r="FB3432" s="36" t="s">
        <v>344</v>
      </c>
      <c r="FC3432" s="36" t="s">
        <v>1192</v>
      </c>
      <c r="FD3432" s="36" t="s">
        <v>344</v>
      </c>
      <c r="FE3432" s="36">
        <v>2026</v>
      </c>
      <c r="FF3432" s="36" t="s">
        <v>59</v>
      </c>
      <c r="FG3432" s="36" t="s">
        <v>1210</v>
      </c>
      <c r="FJ3432" t="s">
        <v>59</v>
      </c>
    </row>
    <row r="3433" spans="153:166" x14ac:dyDescent="0.35">
      <c r="EW3433" t="s">
        <v>4093</v>
      </c>
      <c r="EX3433" s="33" t="s">
        <v>1332</v>
      </c>
      <c r="EY3433" s="35" t="s">
        <v>1376</v>
      </c>
      <c r="EZ3433" s="36" t="s">
        <v>1377</v>
      </c>
      <c r="FA3433" s="36" t="s">
        <v>1192</v>
      </c>
      <c r="FB3433" s="36" t="s">
        <v>344</v>
      </c>
      <c r="FC3433" s="36" t="s">
        <v>1192</v>
      </c>
      <c r="FD3433" s="36" t="s">
        <v>344</v>
      </c>
      <c r="FE3433" s="36">
        <v>2026</v>
      </c>
      <c r="FF3433" s="36" t="s">
        <v>59</v>
      </c>
      <c r="FG3433" s="36" t="s">
        <v>1210</v>
      </c>
      <c r="FJ3433" t="s">
        <v>59</v>
      </c>
    </row>
    <row r="3434" spans="153:166" x14ac:dyDescent="0.35">
      <c r="EW3434" t="s">
        <v>4093</v>
      </c>
      <c r="EX3434" s="33" t="s">
        <v>4574</v>
      </c>
      <c r="EY3434" s="35" t="s">
        <v>1380</v>
      </c>
      <c r="EZ3434" s="36" t="s">
        <v>1381</v>
      </c>
      <c r="FA3434" s="36" t="s">
        <v>1192</v>
      </c>
      <c r="FB3434" s="36" t="s">
        <v>344</v>
      </c>
      <c r="FC3434" s="36" t="s">
        <v>1192</v>
      </c>
      <c r="FD3434" s="36" t="s">
        <v>344</v>
      </c>
      <c r="FE3434" s="36">
        <v>2026</v>
      </c>
      <c r="FF3434" s="36" t="s">
        <v>59</v>
      </c>
      <c r="FG3434" s="36" t="s">
        <v>1241</v>
      </c>
      <c r="FJ3434" t="s">
        <v>59</v>
      </c>
    </row>
    <row r="3435" spans="153:166" x14ac:dyDescent="0.35">
      <c r="EW3435" t="s">
        <v>4093</v>
      </c>
      <c r="EX3435" s="33" t="s">
        <v>2962</v>
      </c>
      <c r="EY3435" s="35" t="s">
        <v>1382</v>
      </c>
      <c r="EZ3435" s="36" t="s">
        <v>1383</v>
      </c>
      <c r="FA3435" s="36" t="s">
        <v>1192</v>
      </c>
      <c r="FB3435" s="36" t="s">
        <v>344</v>
      </c>
      <c r="FC3435" s="36" t="s">
        <v>1192</v>
      </c>
      <c r="FD3435" s="36" t="s">
        <v>344</v>
      </c>
      <c r="FE3435" s="36">
        <v>2026</v>
      </c>
      <c r="FF3435" s="36" t="s">
        <v>59</v>
      </c>
      <c r="FG3435" s="36" t="s">
        <v>1210</v>
      </c>
      <c r="FJ3435" t="s">
        <v>59</v>
      </c>
    </row>
    <row r="3436" spans="153:166" x14ac:dyDescent="0.35">
      <c r="EW3436" t="s">
        <v>4093</v>
      </c>
      <c r="EX3436" s="33" t="s">
        <v>4575</v>
      </c>
      <c r="EY3436" s="35" t="s">
        <v>1386</v>
      </c>
      <c r="EZ3436" s="36" t="s">
        <v>1387</v>
      </c>
      <c r="FA3436" s="36" t="s">
        <v>1192</v>
      </c>
      <c r="FB3436" s="36" t="s">
        <v>344</v>
      </c>
      <c r="FC3436" s="36" t="s">
        <v>1192</v>
      </c>
      <c r="FD3436" s="36" t="s">
        <v>344</v>
      </c>
      <c r="FE3436" s="36">
        <v>2026</v>
      </c>
      <c r="FF3436" s="36" t="s">
        <v>59</v>
      </c>
      <c r="FG3436" s="36" t="s">
        <v>1241</v>
      </c>
      <c r="FJ3436" t="s">
        <v>59</v>
      </c>
    </row>
    <row r="3437" spans="153:166" x14ac:dyDescent="0.35">
      <c r="EW3437" t="s">
        <v>4093</v>
      </c>
      <c r="EX3437" s="33" t="s">
        <v>4576</v>
      </c>
      <c r="EY3437" s="35" t="s">
        <v>1390</v>
      </c>
      <c r="EZ3437" s="36" t="s">
        <v>1391</v>
      </c>
      <c r="FA3437" s="36" t="s">
        <v>1192</v>
      </c>
      <c r="FB3437" s="36" t="s">
        <v>344</v>
      </c>
      <c r="FC3437" s="36" t="s">
        <v>1192</v>
      </c>
      <c r="FD3437" s="36" t="s">
        <v>344</v>
      </c>
      <c r="FE3437" s="36">
        <v>2026</v>
      </c>
      <c r="FF3437" s="36" t="s">
        <v>59</v>
      </c>
      <c r="FG3437" s="36" t="s">
        <v>1241</v>
      </c>
      <c r="FJ3437" t="s">
        <v>59</v>
      </c>
    </row>
    <row r="3438" spans="153:166" x14ac:dyDescent="0.35">
      <c r="EW3438" t="s">
        <v>4093</v>
      </c>
      <c r="EX3438" s="33" t="s">
        <v>4577</v>
      </c>
      <c r="EY3438" s="35" t="s">
        <v>1394</v>
      </c>
      <c r="EZ3438" s="36" t="s">
        <v>1395</v>
      </c>
      <c r="FA3438" s="36" t="s">
        <v>1192</v>
      </c>
      <c r="FB3438" s="36" t="s">
        <v>344</v>
      </c>
      <c r="FC3438" s="36" t="s">
        <v>1192</v>
      </c>
      <c r="FD3438" s="36" t="s">
        <v>344</v>
      </c>
      <c r="FE3438" s="36">
        <v>2026</v>
      </c>
      <c r="FF3438" s="36" t="s">
        <v>59</v>
      </c>
      <c r="FG3438" s="36" t="s">
        <v>1241</v>
      </c>
      <c r="FJ3438" t="s">
        <v>59</v>
      </c>
    </row>
    <row r="3439" spans="153:166" x14ac:dyDescent="0.35">
      <c r="EW3439" t="s">
        <v>4093</v>
      </c>
      <c r="EX3439" s="33" t="s">
        <v>4578</v>
      </c>
      <c r="EY3439" s="35" t="s">
        <v>1396</v>
      </c>
      <c r="EZ3439" s="36" t="s">
        <v>1397</v>
      </c>
      <c r="FA3439" s="36" t="s">
        <v>1192</v>
      </c>
      <c r="FB3439" s="36" t="s">
        <v>344</v>
      </c>
      <c r="FC3439" s="36" t="s">
        <v>1192</v>
      </c>
      <c r="FD3439" s="36" t="s">
        <v>344</v>
      </c>
      <c r="FE3439" s="36">
        <v>2026</v>
      </c>
      <c r="FF3439" s="36" t="s">
        <v>59</v>
      </c>
      <c r="FG3439" s="36" t="s">
        <v>1241</v>
      </c>
      <c r="FJ3439" t="s">
        <v>59</v>
      </c>
    </row>
    <row r="3440" spans="153:166" x14ac:dyDescent="0.35">
      <c r="EW3440" t="s">
        <v>4093</v>
      </c>
      <c r="EX3440" s="33" t="s">
        <v>4579</v>
      </c>
      <c r="EY3440" s="35" t="s">
        <v>1398</v>
      </c>
      <c r="EZ3440" s="36" t="s">
        <v>1399</v>
      </c>
      <c r="FA3440" s="36" t="s">
        <v>1192</v>
      </c>
      <c r="FB3440" s="36" t="s">
        <v>344</v>
      </c>
      <c r="FC3440" s="36" t="s">
        <v>1192</v>
      </c>
      <c r="FD3440" s="36" t="s">
        <v>344</v>
      </c>
      <c r="FE3440" s="36">
        <v>2026</v>
      </c>
      <c r="FF3440" s="36" t="s">
        <v>59</v>
      </c>
      <c r="FG3440" s="36" t="s">
        <v>1241</v>
      </c>
      <c r="FJ3440" t="s">
        <v>59</v>
      </c>
    </row>
    <row r="3441" spans="153:166" x14ac:dyDescent="0.35">
      <c r="EW3441" t="s">
        <v>4093</v>
      </c>
      <c r="EX3441" s="33" t="s">
        <v>4580</v>
      </c>
      <c r="EY3441" s="35" t="s">
        <v>1400</v>
      </c>
      <c r="EZ3441" s="36" t="s">
        <v>1401</v>
      </c>
      <c r="FA3441" s="36" t="s">
        <v>1192</v>
      </c>
      <c r="FB3441" s="36" t="s">
        <v>344</v>
      </c>
      <c r="FC3441" s="36" t="s">
        <v>1192</v>
      </c>
      <c r="FD3441" s="36" t="s">
        <v>344</v>
      </c>
      <c r="FE3441" s="36">
        <v>2026</v>
      </c>
      <c r="FF3441" s="36" t="s">
        <v>59</v>
      </c>
      <c r="FG3441" s="36" t="s">
        <v>1241</v>
      </c>
      <c r="FJ3441" t="s">
        <v>59</v>
      </c>
    </row>
    <row r="3442" spans="153:166" x14ac:dyDescent="0.35">
      <c r="EW3442" t="s">
        <v>4093</v>
      </c>
      <c r="EX3442" s="33" t="s">
        <v>4581</v>
      </c>
      <c r="EY3442" s="35" t="s">
        <v>1402</v>
      </c>
      <c r="EZ3442" s="36" t="s">
        <v>1403</v>
      </c>
      <c r="FA3442" s="36" t="s">
        <v>1192</v>
      </c>
      <c r="FB3442" s="36" t="s">
        <v>344</v>
      </c>
      <c r="FC3442" s="36" t="s">
        <v>1192</v>
      </c>
      <c r="FD3442" s="36" t="s">
        <v>344</v>
      </c>
      <c r="FE3442" s="36">
        <v>2026</v>
      </c>
      <c r="FF3442" s="36" t="s">
        <v>59</v>
      </c>
      <c r="FG3442" s="36" t="s">
        <v>1241</v>
      </c>
      <c r="FJ3442" t="s">
        <v>59</v>
      </c>
    </row>
    <row r="3443" spans="153:166" x14ac:dyDescent="0.35">
      <c r="EW3443" t="s">
        <v>4093</v>
      </c>
      <c r="EX3443" s="33" t="s">
        <v>4582</v>
      </c>
      <c r="EY3443" s="35" t="s">
        <v>1406</v>
      </c>
      <c r="EZ3443" s="36" t="s">
        <v>1407</v>
      </c>
      <c r="FA3443" s="36" t="s">
        <v>1192</v>
      </c>
      <c r="FB3443" s="36" t="s">
        <v>344</v>
      </c>
      <c r="FC3443" s="36" t="s">
        <v>1192</v>
      </c>
      <c r="FD3443" s="36" t="s">
        <v>344</v>
      </c>
      <c r="FE3443" s="36">
        <v>2026</v>
      </c>
      <c r="FF3443" s="36" t="s">
        <v>59</v>
      </c>
      <c r="FG3443" s="36" t="s">
        <v>1241</v>
      </c>
      <c r="FJ3443" t="s">
        <v>59</v>
      </c>
    </row>
    <row r="3444" spans="153:166" x14ac:dyDescent="0.35">
      <c r="EW3444" t="s">
        <v>4093</v>
      </c>
      <c r="EX3444" s="33" t="s">
        <v>4583</v>
      </c>
      <c r="EY3444" s="35" t="s">
        <v>1410</v>
      </c>
      <c r="EZ3444" s="36" t="s">
        <v>1411</v>
      </c>
      <c r="FA3444" s="36" t="s">
        <v>1192</v>
      </c>
      <c r="FB3444" s="36" t="s">
        <v>344</v>
      </c>
      <c r="FC3444" s="36" t="s">
        <v>1192</v>
      </c>
      <c r="FD3444" s="36" t="s">
        <v>344</v>
      </c>
      <c r="FE3444" s="36">
        <v>2026</v>
      </c>
      <c r="FF3444" s="36" t="s">
        <v>59</v>
      </c>
      <c r="FG3444" s="36" t="s">
        <v>1241</v>
      </c>
      <c r="FJ3444" t="s">
        <v>59</v>
      </c>
    </row>
    <row r="3445" spans="153:166" x14ac:dyDescent="0.35">
      <c r="EW3445" t="s">
        <v>4093</v>
      </c>
      <c r="EX3445" s="33" t="s">
        <v>4584</v>
      </c>
      <c r="EY3445" s="35" t="s">
        <v>1412</v>
      </c>
      <c r="EZ3445" s="36" t="s">
        <v>1413</v>
      </c>
      <c r="FA3445" s="36" t="s">
        <v>1192</v>
      </c>
      <c r="FB3445" s="36" t="s">
        <v>344</v>
      </c>
      <c r="FC3445" s="36" t="s">
        <v>1192</v>
      </c>
      <c r="FD3445" s="36" t="s">
        <v>344</v>
      </c>
      <c r="FE3445" s="36">
        <v>2026</v>
      </c>
      <c r="FF3445" s="36" t="s">
        <v>59</v>
      </c>
      <c r="FG3445" s="36" t="s">
        <v>1241</v>
      </c>
      <c r="FJ3445" t="s">
        <v>59</v>
      </c>
    </row>
    <row r="3446" spans="153:166" x14ac:dyDescent="0.35">
      <c r="EW3446" t="s">
        <v>4093</v>
      </c>
      <c r="EX3446" s="33" t="s">
        <v>4585</v>
      </c>
      <c r="EY3446" s="35" t="s">
        <v>1414</v>
      </c>
      <c r="EZ3446" s="36" t="s">
        <v>1415</v>
      </c>
      <c r="FA3446" s="36" t="s">
        <v>1192</v>
      </c>
      <c r="FB3446" s="36" t="s">
        <v>344</v>
      </c>
      <c r="FC3446" s="36" t="s">
        <v>1192</v>
      </c>
      <c r="FD3446" s="36" t="s">
        <v>344</v>
      </c>
      <c r="FE3446" s="36">
        <v>2026</v>
      </c>
      <c r="FF3446" s="36" t="s">
        <v>59</v>
      </c>
      <c r="FG3446" s="36" t="s">
        <v>1241</v>
      </c>
      <c r="FJ3446" t="s">
        <v>59</v>
      </c>
    </row>
    <row r="3447" spans="153:166" x14ac:dyDescent="0.35">
      <c r="EW3447" t="s">
        <v>4093</v>
      </c>
      <c r="EX3447" s="33" t="s">
        <v>4586</v>
      </c>
      <c r="EY3447" s="35" t="s">
        <v>1416</v>
      </c>
      <c r="EZ3447" s="36" t="s">
        <v>1417</v>
      </c>
      <c r="FA3447" s="36" t="s">
        <v>1192</v>
      </c>
      <c r="FB3447" s="36" t="s">
        <v>344</v>
      </c>
      <c r="FC3447" s="36" t="s">
        <v>1192</v>
      </c>
      <c r="FD3447" s="36" t="s">
        <v>344</v>
      </c>
      <c r="FE3447" s="36">
        <v>2026</v>
      </c>
      <c r="FF3447" s="36" t="s">
        <v>59</v>
      </c>
      <c r="FG3447" s="36" t="s">
        <v>1241</v>
      </c>
      <c r="FJ3447" t="s">
        <v>59</v>
      </c>
    </row>
    <row r="3448" spans="153:166" x14ac:dyDescent="0.35">
      <c r="EW3448" t="s">
        <v>4093</v>
      </c>
      <c r="EX3448" s="33" t="s">
        <v>4587</v>
      </c>
      <c r="EY3448" s="35" t="s">
        <v>1420</v>
      </c>
      <c r="EZ3448" s="36" t="s">
        <v>1421</v>
      </c>
      <c r="FA3448" s="36" t="s">
        <v>1192</v>
      </c>
      <c r="FB3448" s="36" t="s">
        <v>344</v>
      </c>
      <c r="FC3448" s="36" t="s">
        <v>1192</v>
      </c>
      <c r="FD3448" s="36" t="s">
        <v>344</v>
      </c>
      <c r="FE3448" s="36">
        <v>2026</v>
      </c>
      <c r="FF3448" s="36" t="s">
        <v>59</v>
      </c>
      <c r="FG3448" s="36" t="s">
        <v>1241</v>
      </c>
      <c r="FJ3448" t="s">
        <v>59</v>
      </c>
    </row>
    <row r="3449" spans="153:166" x14ac:dyDescent="0.35">
      <c r="EW3449" t="s">
        <v>4093</v>
      </c>
      <c r="EX3449" s="33" t="s">
        <v>4588</v>
      </c>
      <c r="EY3449" s="35" t="s">
        <v>1422</v>
      </c>
      <c r="EZ3449" s="36" t="s">
        <v>1423</v>
      </c>
      <c r="FA3449" s="36" t="s">
        <v>1192</v>
      </c>
      <c r="FB3449" s="36" t="s">
        <v>344</v>
      </c>
      <c r="FC3449" s="36" t="s">
        <v>1192</v>
      </c>
      <c r="FD3449" s="36" t="s">
        <v>344</v>
      </c>
      <c r="FE3449" s="36">
        <v>2026</v>
      </c>
      <c r="FF3449" s="36" t="s">
        <v>59</v>
      </c>
      <c r="FG3449" s="36" t="s">
        <v>1241</v>
      </c>
      <c r="FJ3449" t="s">
        <v>59</v>
      </c>
    </row>
    <row r="3450" spans="153:166" x14ac:dyDescent="0.35">
      <c r="EW3450" t="s">
        <v>4093</v>
      </c>
      <c r="EX3450" s="33" t="s">
        <v>4589</v>
      </c>
      <c r="EY3450" s="35" t="s">
        <v>1424</v>
      </c>
      <c r="EZ3450" s="36" t="s">
        <v>1425</v>
      </c>
      <c r="FA3450" s="36" t="s">
        <v>1192</v>
      </c>
      <c r="FB3450" s="36" t="s">
        <v>344</v>
      </c>
      <c r="FC3450" s="36" t="s">
        <v>1192</v>
      </c>
      <c r="FD3450" s="36" t="s">
        <v>344</v>
      </c>
      <c r="FE3450" s="36">
        <v>2026</v>
      </c>
      <c r="FF3450" s="36" t="s">
        <v>59</v>
      </c>
      <c r="FG3450" s="36" t="s">
        <v>1241</v>
      </c>
      <c r="FJ3450" t="s">
        <v>59</v>
      </c>
    </row>
    <row r="3451" spans="153:166" x14ac:dyDescent="0.35">
      <c r="EW3451" t="s">
        <v>4093</v>
      </c>
      <c r="EX3451" s="33" t="s">
        <v>4590</v>
      </c>
      <c r="EY3451" s="35" t="s">
        <v>1428</v>
      </c>
      <c r="EZ3451" s="36" t="s">
        <v>1429</v>
      </c>
      <c r="FA3451" s="36" t="s">
        <v>1192</v>
      </c>
      <c r="FB3451" s="36" t="s">
        <v>344</v>
      </c>
      <c r="FC3451" s="36" t="s">
        <v>1192</v>
      </c>
      <c r="FD3451" s="36" t="s">
        <v>344</v>
      </c>
      <c r="FE3451" s="36">
        <v>2026</v>
      </c>
      <c r="FF3451" s="36" t="s">
        <v>59</v>
      </c>
      <c r="FG3451" s="36" t="s">
        <v>1241</v>
      </c>
      <c r="FJ3451" t="s">
        <v>59</v>
      </c>
    </row>
    <row r="3452" spans="153:166" x14ac:dyDescent="0.35">
      <c r="EW3452" t="s">
        <v>4093</v>
      </c>
      <c r="EX3452" s="33" t="s">
        <v>4591</v>
      </c>
      <c r="EY3452" s="35" t="s">
        <v>1430</v>
      </c>
      <c r="EZ3452" s="36" t="s">
        <v>1431</v>
      </c>
      <c r="FA3452" s="36" t="s">
        <v>1192</v>
      </c>
      <c r="FB3452" s="36" t="s">
        <v>344</v>
      </c>
      <c r="FC3452" s="36" t="s">
        <v>1192</v>
      </c>
      <c r="FD3452" s="36" t="s">
        <v>344</v>
      </c>
      <c r="FE3452" s="36">
        <v>2026</v>
      </c>
      <c r="FF3452" s="36" t="s">
        <v>59</v>
      </c>
      <c r="FG3452" s="36" t="s">
        <v>1241</v>
      </c>
      <c r="FJ3452" t="s">
        <v>59</v>
      </c>
    </row>
    <row r="3453" spans="153:166" x14ac:dyDescent="0.35">
      <c r="EW3453" t="s">
        <v>4093</v>
      </c>
      <c r="EX3453" s="33" t="s">
        <v>2672</v>
      </c>
      <c r="EY3453" s="35" t="s">
        <v>1432</v>
      </c>
      <c r="EZ3453" s="36" t="s">
        <v>1433</v>
      </c>
      <c r="FA3453" s="36" t="s">
        <v>1192</v>
      </c>
      <c r="FB3453" s="36" t="s">
        <v>344</v>
      </c>
      <c r="FC3453" s="36" t="s">
        <v>1192</v>
      </c>
      <c r="FD3453" s="36" t="s">
        <v>344</v>
      </c>
      <c r="FE3453" s="36">
        <v>2026</v>
      </c>
      <c r="FF3453" s="36" t="s">
        <v>59</v>
      </c>
      <c r="FG3453" s="36" t="s">
        <v>1210</v>
      </c>
      <c r="FJ3453" t="s">
        <v>59</v>
      </c>
    </row>
    <row r="3454" spans="153:166" x14ac:dyDescent="0.35">
      <c r="EW3454" t="s">
        <v>4093</v>
      </c>
      <c r="EX3454" s="33" t="s">
        <v>2894</v>
      </c>
      <c r="EY3454" s="35" t="s">
        <v>1434</v>
      </c>
      <c r="EZ3454" s="36" t="s">
        <v>1435</v>
      </c>
      <c r="FA3454" s="36" t="s">
        <v>1192</v>
      </c>
      <c r="FB3454" s="36" t="s">
        <v>344</v>
      </c>
      <c r="FC3454" s="36" t="s">
        <v>1192</v>
      </c>
      <c r="FD3454" s="36" t="s">
        <v>344</v>
      </c>
      <c r="FE3454" s="36">
        <v>2026</v>
      </c>
      <c r="FF3454" s="36" t="s">
        <v>59</v>
      </c>
      <c r="FG3454" s="36" t="s">
        <v>1210</v>
      </c>
      <c r="FJ3454" t="s">
        <v>59</v>
      </c>
    </row>
    <row r="3455" spans="153:166" x14ac:dyDescent="0.35">
      <c r="EW3455" t="s">
        <v>4093</v>
      </c>
      <c r="EX3455" s="33" t="s">
        <v>1202</v>
      </c>
      <c r="EY3455" s="35" t="s">
        <v>1436</v>
      </c>
      <c r="EZ3455" s="36" t="s">
        <v>1437</v>
      </c>
      <c r="FA3455" s="36" t="s">
        <v>1192</v>
      </c>
      <c r="FB3455" s="36" t="s">
        <v>344</v>
      </c>
      <c r="FC3455" s="36" t="s">
        <v>1192</v>
      </c>
      <c r="FD3455" s="36" t="s">
        <v>344</v>
      </c>
      <c r="FE3455" s="36">
        <v>2026</v>
      </c>
      <c r="FF3455" s="36" t="s">
        <v>59</v>
      </c>
      <c r="FG3455" s="36" t="s">
        <v>1210</v>
      </c>
      <c r="FJ3455" t="s">
        <v>59</v>
      </c>
    </row>
    <row r="3456" spans="153:166" x14ac:dyDescent="0.35">
      <c r="EW3456" t="s">
        <v>4093</v>
      </c>
      <c r="EX3456" s="33" t="s">
        <v>2706</v>
      </c>
      <c r="EY3456" s="35" t="s">
        <v>1438</v>
      </c>
      <c r="EZ3456" s="36" t="s">
        <v>1439</v>
      </c>
      <c r="FA3456" s="36" t="s">
        <v>1192</v>
      </c>
      <c r="FB3456" s="36" t="s">
        <v>344</v>
      </c>
      <c r="FC3456" s="36" t="s">
        <v>1192</v>
      </c>
      <c r="FD3456" s="36" t="s">
        <v>344</v>
      </c>
      <c r="FE3456" s="36">
        <v>2026</v>
      </c>
      <c r="FF3456" s="36" t="s">
        <v>59</v>
      </c>
      <c r="FG3456" s="36" t="s">
        <v>1210</v>
      </c>
      <c r="FJ3456" t="s">
        <v>59</v>
      </c>
    </row>
    <row r="3457" spans="153:166" x14ac:dyDescent="0.35">
      <c r="EW3457" t="s">
        <v>4093</v>
      </c>
      <c r="EX3457" s="33" t="s">
        <v>2749</v>
      </c>
      <c r="EY3457" s="35" t="s">
        <v>1440</v>
      </c>
      <c r="EZ3457" s="36" t="s">
        <v>1441</v>
      </c>
      <c r="FA3457" s="36" t="s">
        <v>1192</v>
      </c>
      <c r="FB3457" s="36" t="s">
        <v>344</v>
      </c>
      <c r="FC3457" s="36" t="s">
        <v>1192</v>
      </c>
      <c r="FD3457" s="36" t="s">
        <v>344</v>
      </c>
      <c r="FE3457" s="36">
        <v>2026</v>
      </c>
      <c r="FF3457" s="36" t="s">
        <v>59</v>
      </c>
      <c r="FG3457" s="36" t="s">
        <v>1210</v>
      </c>
      <c r="FJ3457" t="s">
        <v>59</v>
      </c>
    </row>
    <row r="3458" spans="153:166" x14ac:dyDescent="0.35">
      <c r="EW3458" t="s">
        <v>4093</v>
      </c>
      <c r="EX3458" s="33" t="s">
        <v>4592</v>
      </c>
      <c r="EY3458" s="35" t="s">
        <v>1442</v>
      </c>
      <c r="EZ3458" s="36" t="s">
        <v>1443</v>
      </c>
      <c r="FA3458" s="36" t="s">
        <v>1192</v>
      </c>
      <c r="FB3458" s="36" t="s">
        <v>344</v>
      </c>
      <c r="FC3458" s="36" t="s">
        <v>1192</v>
      </c>
      <c r="FD3458" s="36" t="s">
        <v>344</v>
      </c>
      <c r="FE3458" s="36">
        <v>2026</v>
      </c>
      <c r="FF3458" s="36" t="s">
        <v>59</v>
      </c>
      <c r="FG3458" s="36" t="s">
        <v>1241</v>
      </c>
      <c r="FJ3458" t="s">
        <v>59</v>
      </c>
    </row>
    <row r="3459" spans="153:166" x14ac:dyDescent="0.35">
      <c r="EW3459" t="s">
        <v>4093</v>
      </c>
      <c r="EX3459" s="33" t="s">
        <v>4593</v>
      </c>
      <c r="EY3459" s="35" t="s">
        <v>1444</v>
      </c>
      <c r="EZ3459" s="36" t="s">
        <v>1445</v>
      </c>
      <c r="FA3459" s="36" t="s">
        <v>1192</v>
      </c>
      <c r="FB3459" s="36" t="s">
        <v>344</v>
      </c>
      <c r="FC3459" s="36" t="s">
        <v>1192</v>
      </c>
      <c r="FD3459" s="36" t="s">
        <v>344</v>
      </c>
      <c r="FE3459" s="36">
        <v>2026</v>
      </c>
      <c r="FF3459" s="36" t="s">
        <v>59</v>
      </c>
      <c r="FG3459" s="36" t="s">
        <v>1241</v>
      </c>
      <c r="FJ3459" t="s">
        <v>59</v>
      </c>
    </row>
    <row r="3460" spans="153:166" x14ac:dyDescent="0.35">
      <c r="EW3460" t="s">
        <v>4093</v>
      </c>
      <c r="EX3460" s="33" t="s">
        <v>4594</v>
      </c>
      <c r="EY3460" s="35" t="s">
        <v>1446</v>
      </c>
      <c r="EZ3460" s="36" t="s">
        <v>1447</v>
      </c>
      <c r="FA3460" s="36" t="s">
        <v>1192</v>
      </c>
      <c r="FB3460" s="36" t="s">
        <v>344</v>
      </c>
      <c r="FC3460" s="36" t="s">
        <v>1192</v>
      </c>
      <c r="FD3460" s="36" t="s">
        <v>344</v>
      </c>
      <c r="FE3460" s="36">
        <v>2026</v>
      </c>
      <c r="FF3460" s="36" t="s">
        <v>59</v>
      </c>
      <c r="FG3460" s="36" t="s">
        <v>1241</v>
      </c>
      <c r="FJ3460" t="s">
        <v>59</v>
      </c>
    </row>
    <row r="3461" spans="153:166" x14ac:dyDescent="0.35">
      <c r="EW3461" t="s">
        <v>4093</v>
      </c>
      <c r="EX3461" s="33" t="s">
        <v>4595</v>
      </c>
      <c r="EY3461" s="35" t="s">
        <v>1448</v>
      </c>
      <c r="EZ3461" s="36" t="s">
        <v>1449</v>
      </c>
      <c r="FA3461" s="36" t="s">
        <v>1192</v>
      </c>
      <c r="FB3461" s="36" t="s">
        <v>344</v>
      </c>
      <c r="FC3461" s="36" t="s">
        <v>1192</v>
      </c>
      <c r="FD3461" s="36" t="s">
        <v>344</v>
      </c>
      <c r="FE3461" s="36">
        <v>2026</v>
      </c>
      <c r="FF3461" s="36" t="s">
        <v>59</v>
      </c>
      <c r="FG3461" s="36" t="s">
        <v>1241</v>
      </c>
      <c r="FJ3461" t="s">
        <v>59</v>
      </c>
    </row>
    <row r="3462" spans="153:166" x14ac:dyDescent="0.35">
      <c r="EW3462" t="s">
        <v>4093</v>
      </c>
      <c r="EX3462" s="33" t="s">
        <v>4596</v>
      </c>
      <c r="EY3462" s="35" t="s">
        <v>1451</v>
      </c>
      <c r="EZ3462" s="36" t="s">
        <v>1452</v>
      </c>
      <c r="FA3462" s="36" t="s">
        <v>1192</v>
      </c>
      <c r="FB3462" s="36" t="s">
        <v>344</v>
      </c>
      <c r="FC3462" s="36" t="s">
        <v>1192</v>
      </c>
      <c r="FD3462" s="36" t="s">
        <v>344</v>
      </c>
      <c r="FE3462" s="36">
        <v>2026</v>
      </c>
      <c r="FF3462" s="36" t="s">
        <v>59</v>
      </c>
      <c r="FG3462" s="36" t="s">
        <v>1241</v>
      </c>
      <c r="FJ3462" t="s">
        <v>59</v>
      </c>
    </row>
    <row r="3463" spans="153:166" x14ac:dyDescent="0.35">
      <c r="EW3463" t="s">
        <v>4093</v>
      </c>
      <c r="EX3463" s="33" t="s">
        <v>4597</v>
      </c>
      <c r="EY3463" s="35" t="s">
        <v>1453</v>
      </c>
      <c r="EZ3463" s="36" t="s">
        <v>1454</v>
      </c>
      <c r="FA3463" s="36" t="s">
        <v>1192</v>
      </c>
      <c r="FB3463" s="36" t="s">
        <v>344</v>
      </c>
      <c r="FC3463" s="36" t="s">
        <v>1192</v>
      </c>
      <c r="FD3463" s="36" t="s">
        <v>344</v>
      </c>
      <c r="FE3463" s="36">
        <v>2026</v>
      </c>
      <c r="FF3463" s="36" t="s">
        <v>59</v>
      </c>
      <c r="FG3463" s="36" t="s">
        <v>1241</v>
      </c>
      <c r="FJ3463" t="s">
        <v>59</v>
      </c>
    </row>
    <row r="3464" spans="153:166" x14ac:dyDescent="0.35">
      <c r="EW3464" t="s">
        <v>4093</v>
      </c>
      <c r="EX3464" s="33" t="s">
        <v>4598</v>
      </c>
      <c r="EY3464" s="35" t="s">
        <v>1455</v>
      </c>
      <c r="EZ3464" s="36" t="s">
        <v>1456</v>
      </c>
      <c r="FA3464" s="36" t="s">
        <v>1192</v>
      </c>
      <c r="FB3464" s="36" t="s">
        <v>344</v>
      </c>
      <c r="FC3464" s="36" t="s">
        <v>1192</v>
      </c>
      <c r="FD3464" s="36" t="s">
        <v>344</v>
      </c>
      <c r="FE3464" s="36">
        <v>2026</v>
      </c>
      <c r="FF3464" s="36" t="s">
        <v>59</v>
      </c>
      <c r="FG3464" s="36" t="s">
        <v>1241</v>
      </c>
      <c r="FJ3464" t="s">
        <v>59</v>
      </c>
    </row>
    <row r="3465" spans="153:166" x14ac:dyDescent="0.35">
      <c r="EW3465" t="s">
        <v>4093</v>
      </c>
      <c r="EX3465" s="33" t="s">
        <v>4599</v>
      </c>
      <c r="EY3465" s="35" t="s">
        <v>1457</v>
      </c>
      <c r="EZ3465" s="36" t="s">
        <v>1458</v>
      </c>
      <c r="FA3465" s="36" t="s">
        <v>1192</v>
      </c>
      <c r="FB3465" s="36" t="s">
        <v>344</v>
      </c>
      <c r="FC3465" s="36" t="s">
        <v>1192</v>
      </c>
      <c r="FD3465" s="36" t="s">
        <v>344</v>
      </c>
      <c r="FE3465" s="36">
        <v>2026</v>
      </c>
      <c r="FF3465" s="36" t="s">
        <v>59</v>
      </c>
      <c r="FG3465" s="36" t="s">
        <v>1241</v>
      </c>
      <c r="FJ3465" t="s">
        <v>59</v>
      </c>
    </row>
    <row r="3466" spans="153:166" x14ac:dyDescent="0.35">
      <c r="EW3466" t="s">
        <v>4093</v>
      </c>
      <c r="EX3466" s="33" t="s">
        <v>4600</v>
      </c>
      <c r="EY3466" s="35" t="s">
        <v>1459</v>
      </c>
      <c r="EZ3466" s="36" t="s">
        <v>1460</v>
      </c>
      <c r="FA3466" s="36" t="s">
        <v>1192</v>
      </c>
      <c r="FB3466" s="36" t="s">
        <v>344</v>
      </c>
      <c r="FC3466" s="36" t="s">
        <v>1192</v>
      </c>
      <c r="FD3466" s="36" t="s">
        <v>344</v>
      </c>
      <c r="FE3466" s="36">
        <v>2026</v>
      </c>
      <c r="FF3466" s="36" t="s">
        <v>59</v>
      </c>
      <c r="FG3466" s="36" t="s">
        <v>1241</v>
      </c>
      <c r="FJ3466" t="s">
        <v>59</v>
      </c>
    </row>
    <row r="3467" spans="153:166" x14ac:dyDescent="0.35">
      <c r="EW3467" t="s">
        <v>4093</v>
      </c>
      <c r="EX3467" s="33" t="s">
        <v>4601</v>
      </c>
      <c r="EY3467" s="35" t="s">
        <v>1461</v>
      </c>
      <c r="EZ3467" s="36" t="s">
        <v>1462</v>
      </c>
      <c r="FA3467" s="36" t="s">
        <v>1192</v>
      </c>
      <c r="FB3467" s="36" t="s">
        <v>344</v>
      </c>
      <c r="FC3467" s="36" t="s">
        <v>1192</v>
      </c>
      <c r="FD3467" s="36" t="s">
        <v>344</v>
      </c>
      <c r="FE3467" s="36">
        <v>2026</v>
      </c>
      <c r="FF3467" s="36" t="s">
        <v>59</v>
      </c>
      <c r="FG3467" s="36" t="s">
        <v>1241</v>
      </c>
      <c r="FJ3467" t="s">
        <v>59</v>
      </c>
    </row>
    <row r="3468" spans="153:166" x14ac:dyDescent="0.35">
      <c r="EW3468" t="s">
        <v>4093</v>
      </c>
      <c r="EX3468" s="33" t="s">
        <v>4602</v>
      </c>
      <c r="EY3468" s="35" t="s">
        <v>1463</v>
      </c>
      <c r="EZ3468" s="36" t="s">
        <v>1464</v>
      </c>
      <c r="FA3468" s="36" t="s">
        <v>1192</v>
      </c>
      <c r="FB3468" s="36" t="s">
        <v>344</v>
      </c>
      <c r="FC3468" s="36" t="s">
        <v>1192</v>
      </c>
      <c r="FD3468" s="36" t="s">
        <v>344</v>
      </c>
      <c r="FE3468" s="36">
        <v>2026</v>
      </c>
      <c r="FF3468" s="36" t="s">
        <v>59</v>
      </c>
      <c r="FG3468" s="36" t="s">
        <v>1241</v>
      </c>
      <c r="FJ3468" t="s">
        <v>59</v>
      </c>
    </row>
    <row r="3469" spans="153:166" x14ac:dyDescent="0.35">
      <c r="EW3469" t="s">
        <v>4093</v>
      </c>
      <c r="EX3469" s="33" t="s">
        <v>4603</v>
      </c>
      <c r="EY3469" s="35" t="s">
        <v>1465</v>
      </c>
      <c r="EZ3469" s="36" t="s">
        <v>1466</v>
      </c>
      <c r="FA3469" s="36" t="s">
        <v>1192</v>
      </c>
      <c r="FB3469" s="36" t="s">
        <v>344</v>
      </c>
      <c r="FC3469" s="36" t="s">
        <v>1192</v>
      </c>
      <c r="FD3469" s="36" t="s">
        <v>344</v>
      </c>
      <c r="FE3469" s="36">
        <v>2026</v>
      </c>
      <c r="FF3469" s="36" t="s">
        <v>59</v>
      </c>
      <c r="FG3469" s="36" t="s">
        <v>1241</v>
      </c>
      <c r="FJ3469" t="s">
        <v>59</v>
      </c>
    </row>
    <row r="3470" spans="153:166" x14ac:dyDescent="0.35">
      <c r="EW3470" t="s">
        <v>4093</v>
      </c>
      <c r="EX3470" s="33" t="s">
        <v>4604</v>
      </c>
      <c r="EY3470" s="35" t="s">
        <v>1467</v>
      </c>
      <c r="EZ3470" s="36" t="s">
        <v>1468</v>
      </c>
      <c r="FA3470" s="36" t="s">
        <v>1192</v>
      </c>
      <c r="FB3470" s="36" t="s">
        <v>344</v>
      </c>
      <c r="FC3470" s="36" t="s">
        <v>1192</v>
      </c>
      <c r="FD3470" s="36" t="s">
        <v>344</v>
      </c>
      <c r="FE3470" s="36">
        <v>2026</v>
      </c>
      <c r="FF3470" s="36" t="s">
        <v>59</v>
      </c>
      <c r="FG3470" s="36" t="s">
        <v>1241</v>
      </c>
      <c r="FJ3470" t="s">
        <v>59</v>
      </c>
    </row>
    <row r="3471" spans="153:166" x14ac:dyDescent="0.35">
      <c r="EW3471" t="s">
        <v>4093</v>
      </c>
      <c r="EX3471" s="33" t="s">
        <v>4605</v>
      </c>
      <c r="EY3471" s="35" t="s">
        <v>1469</v>
      </c>
      <c r="EZ3471" s="36" t="s">
        <v>1470</v>
      </c>
      <c r="FA3471" s="36" t="s">
        <v>1192</v>
      </c>
      <c r="FB3471" s="36" t="s">
        <v>344</v>
      </c>
      <c r="FC3471" s="36" t="s">
        <v>1192</v>
      </c>
      <c r="FD3471" s="36" t="s">
        <v>344</v>
      </c>
      <c r="FE3471" s="36">
        <v>2026</v>
      </c>
      <c r="FF3471" s="36" t="s">
        <v>59</v>
      </c>
      <c r="FG3471" s="36" t="s">
        <v>1241</v>
      </c>
      <c r="FJ3471" t="s">
        <v>59</v>
      </c>
    </row>
    <row r="3472" spans="153:166" x14ac:dyDescent="0.35">
      <c r="EW3472" t="s">
        <v>4093</v>
      </c>
      <c r="EX3472" s="33" t="s">
        <v>4606</v>
      </c>
      <c r="EY3472" s="35" t="s">
        <v>1471</v>
      </c>
      <c r="EZ3472" s="36" t="s">
        <v>1472</v>
      </c>
      <c r="FA3472" s="36" t="s">
        <v>1192</v>
      </c>
      <c r="FB3472" s="36" t="s">
        <v>344</v>
      </c>
      <c r="FC3472" s="36" t="s">
        <v>1192</v>
      </c>
      <c r="FD3472" s="36" t="s">
        <v>344</v>
      </c>
      <c r="FE3472" s="36">
        <v>2026</v>
      </c>
      <c r="FF3472" s="36" t="s">
        <v>59</v>
      </c>
      <c r="FG3472" s="36" t="s">
        <v>1241</v>
      </c>
      <c r="FJ3472" t="s">
        <v>59</v>
      </c>
    </row>
    <row r="3473" spans="153:166" x14ac:dyDescent="0.35">
      <c r="EW3473" t="s">
        <v>4093</v>
      </c>
      <c r="EX3473" s="33" t="s">
        <v>4607</v>
      </c>
      <c r="EY3473" s="35" t="s">
        <v>1473</v>
      </c>
      <c r="EZ3473" s="36" t="s">
        <v>1474</v>
      </c>
      <c r="FA3473" s="36" t="s">
        <v>1192</v>
      </c>
      <c r="FB3473" s="36" t="s">
        <v>344</v>
      </c>
      <c r="FC3473" s="36" t="s">
        <v>1192</v>
      </c>
      <c r="FD3473" s="36" t="s">
        <v>344</v>
      </c>
      <c r="FE3473" s="36">
        <v>2026</v>
      </c>
      <c r="FF3473" s="36" t="s">
        <v>59</v>
      </c>
      <c r="FG3473" s="36" t="s">
        <v>1241</v>
      </c>
      <c r="FJ3473" t="s">
        <v>59</v>
      </c>
    </row>
    <row r="3474" spans="153:166" x14ac:dyDescent="0.35">
      <c r="EW3474" t="s">
        <v>4093</v>
      </c>
      <c r="EX3474" s="33" t="s">
        <v>4608</v>
      </c>
      <c r="EY3474" s="35" t="s">
        <v>1475</v>
      </c>
      <c r="EZ3474" s="36" t="s">
        <v>1476</v>
      </c>
      <c r="FA3474" s="36" t="s">
        <v>1192</v>
      </c>
      <c r="FB3474" s="36" t="s">
        <v>344</v>
      </c>
      <c r="FC3474" s="36" t="s">
        <v>1192</v>
      </c>
      <c r="FD3474" s="36" t="s">
        <v>344</v>
      </c>
      <c r="FE3474" s="36">
        <v>2026</v>
      </c>
      <c r="FF3474" s="36" t="s">
        <v>59</v>
      </c>
      <c r="FG3474" s="36" t="s">
        <v>1241</v>
      </c>
      <c r="FJ3474" t="s">
        <v>59</v>
      </c>
    </row>
    <row r="3475" spans="153:166" x14ac:dyDescent="0.35">
      <c r="EW3475" t="s">
        <v>4093</v>
      </c>
      <c r="EX3475" s="33" t="s">
        <v>4609</v>
      </c>
      <c r="EY3475" s="35" t="s">
        <v>1477</v>
      </c>
      <c r="EZ3475" s="36" t="s">
        <v>1478</v>
      </c>
      <c r="FA3475" s="36" t="s">
        <v>1192</v>
      </c>
      <c r="FB3475" s="36" t="s">
        <v>344</v>
      </c>
      <c r="FC3475" s="36" t="s">
        <v>1192</v>
      </c>
      <c r="FD3475" s="36" t="s">
        <v>344</v>
      </c>
      <c r="FE3475" s="36">
        <v>2026</v>
      </c>
      <c r="FF3475" s="36" t="s">
        <v>59</v>
      </c>
      <c r="FG3475" s="36" t="s">
        <v>1241</v>
      </c>
      <c r="FJ3475" t="s">
        <v>59</v>
      </c>
    </row>
    <row r="3476" spans="153:166" x14ac:dyDescent="0.35">
      <c r="EW3476" t="s">
        <v>4093</v>
      </c>
      <c r="EX3476" s="33" t="s">
        <v>4610</v>
      </c>
      <c r="EY3476" s="35" t="s">
        <v>1479</v>
      </c>
      <c r="EZ3476" s="36" t="s">
        <v>1480</v>
      </c>
      <c r="FA3476" s="36" t="s">
        <v>1192</v>
      </c>
      <c r="FB3476" s="36" t="s">
        <v>344</v>
      </c>
      <c r="FC3476" s="36" t="s">
        <v>1192</v>
      </c>
      <c r="FD3476" s="36" t="s">
        <v>344</v>
      </c>
      <c r="FE3476" s="36">
        <v>2026</v>
      </c>
      <c r="FF3476" s="36" t="s">
        <v>59</v>
      </c>
      <c r="FG3476" s="36" t="s">
        <v>1241</v>
      </c>
      <c r="FJ3476" t="s">
        <v>59</v>
      </c>
    </row>
    <row r="3477" spans="153:166" x14ac:dyDescent="0.35">
      <c r="EW3477" t="s">
        <v>4093</v>
      </c>
      <c r="EX3477" s="33" t="s">
        <v>4611</v>
      </c>
      <c r="EY3477" s="35" t="s">
        <v>1481</v>
      </c>
      <c r="EZ3477" s="36" t="s">
        <v>1482</v>
      </c>
      <c r="FA3477" s="36" t="s">
        <v>1192</v>
      </c>
      <c r="FB3477" s="36" t="s">
        <v>344</v>
      </c>
      <c r="FC3477" s="36" t="s">
        <v>1192</v>
      </c>
      <c r="FD3477" s="36" t="s">
        <v>344</v>
      </c>
      <c r="FE3477" s="36">
        <v>2026</v>
      </c>
      <c r="FF3477" s="36" t="s">
        <v>59</v>
      </c>
      <c r="FG3477" s="36" t="s">
        <v>1241</v>
      </c>
      <c r="FJ3477" t="s">
        <v>59</v>
      </c>
    </row>
    <row r="3478" spans="153:166" x14ac:dyDescent="0.35">
      <c r="EW3478" t="s">
        <v>4093</v>
      </c>
      <c r="EX3478" s="33" t="s">
        <v>4612</v>
      </c>
      <c r="EY3478" s="35" t="s">
        <v>1485</v>
      </c>
      <c r="EZ3478" s="36" t="s">
        <v>1486</v>
      </c>
      <c r="FA3478" s="36" t="s">
        <v>1192</v>
      </c>
      <c r="FB3478" s="36" t="s">
        <v>344</v>
      </c>
      <c r="FC3478" s="36" t="s">
        <v>1192</v>
      </c>
      <c r="FD3478" s="36" t="s">
        <v>344</v>
      </c>
      <c r="FE3478" s="36">
        <v>2026</v>
      </c>
      <c r="FF3478" s="36" t="s">
        <v>59</v>
      </c>
      <c r="FG3478" s="36" t="s">
        <v>1241</v>
      </c>
      <c r="FJ3478" t="s">
        <v>59</v>
      </c>
    </row>
    <row r="3479" spans="153:166" x14ac:dyDescent="0.35">
      <c r="EW3479" t="s">
        <v>4093</v>
      </c>
      <c r="EX3479" s="33" t="s">
        <v>4613</v>
      </c>
      <c r="EY3479" s="35" t="s">
        <v>1487</v>
      </c>
      <c r="EZ3479" s="36" t="s">
        <v>1488</v>
      </c>
      <c r="FA3479" s="36" t="s">
        <v>1192</v>
      </c>
      <c r="FB3479" s="36" t="s">
        <v>344</v>
      </c>
      <c r="FC3479" s="36" t="s">
        <v>1192</v>
      </c>
      <c r="FD3479" s="36" t="s">
        <v>344</v>
      </c>
      <c r="FE3479" s="36">
        <v>2026</v>
      </c>
      <c r="FF3479" s="36" t="s">
        <v>59</v>
      </c>
      <c r="FG3479" s="36" t="s">
        <v>1241</v>
      </c>
      <c r="FJ3479" t="s">
        <v>59</v>
      </c>
    </row>
    <row r="3480" spans="153:166" x14ac:dyDescent="0.35">
      <c r="EW3480" t="s">
        <v>4093</v>
      </c>
      <c r="EX3480" s="33" t="s">
        <v>4614</v>
      </c>
      <c r="EY3480" s="35" t="s">
        <v>1489</v>
      </c>
      <c r="EZ3480" s="36" t="s">
        <v>1490</v>
      </c>
      <c r="FA3480" s="36" t="s">
        <v>1192</v>
      </c>
      <c r="FB3480" s="36" t="s">
        <v>344</v>
      </c>
      <c r="FC3480" s="36" t="s">
        <v>1192</v>
      </c>
      <c r="FD3480" s="36" t="s">
        <v>344</v>
      </c>
      <c r="FE3480" s="36">
        <v>2026</v>
      </c>
      <c r="FF3480" s="36" t="s">
        <v>59</v>
      </c>
      <c r="FG3480" s="36" t="s">
        <v>1241</v>
      </c>
      <c r="FJ3480" t="s">
        <v>59</v>
      </c>
    </row>
    <row r="3481" spans="153:166" x14ac:dyDescent="0.35">
      <c r="EW3481" t="s">
        <v>4093</v>
      </c>
      <c r="EX3481" s="33" t="s">
        <v>4615</v>
      </c>
      <c r="EY3481" s="35" t="s">
        <v>1493</v>
      </c>
      <c r="EZ3481" s="36" t="s">
        <v>1494</v>
      </c>
      <c r="FA3481" s="36" t="s">
        <v>1192</v>
      </c>
      <c r="FB3481" s="36" t="s">
        <v>344</v>
      </c>
      <c r="FC3481" s="36" t="s">
        <v>1192</v>
      </c>
      <c r="FD3481" s="36" t="s">
        <v>344</v>
      </c>
      <c r="FE3481" s="36">
        <v>2026</v>
      </c>
      <c r="FF3481" s="36" t="s">
        <v>59</v>
      </c>
      <c r="FG3481" s="36" t="s">
        <v>1241</v>
      </c>
      <c r="FJ3481" t="s">
        <v>59</v>
      </c>
    </row>
    <row r="3482" spans="153:166" x14ac:dyDescent="0.35">
      <c r="EW3482" t="s">
        <v>4093</v>
      </c>
      <c r="EX3482" s="33" t="s">
        <v>4616</v>
      </c>
      <c r="EY3482" s="35" t="s">
        <v>1495</v>
      </c>
      <c r="EZ3482" s="36" t="s">
        <v>1496</v>
      </c>
      <c r="FA3482" s="36" t="s">
        <v>1192</v>
      </c>
      <c r="FB3482" s="36" t="s">
        <v>344</v>
      </c>
      <c r="FC3482" s="36" t="s">
        <v>1192</v>
      </c>
      <c r="FD3482" s="36" t="s">
        <v>344</v>
      </c>
      <c r="FE3482" s="36">
        <v>2026</v>
      </c>
      <c r="FF3482" s="36" t="s">
        <v>59</v>
      </c>
      <c r="FG3482" s="36" t="s">
        <v>1241</v>
      </c>
      <c r="FJ3482" t="s">
        <v>59</v>
      </c>
    </row>
    <row r="3483" spans="153:166" x14ac:dyDescent="0.35">
      <c r="EW3483" t="s">
        <v>4093</v>
      </c>
      <c r="EX3483" s="33" t="s">
        <v>4617</v>
      </c>
      <c r="EY3483" s="35" t="s">
        <v>1499</v>
      </c>
      <c r="EZ3483" s="36" t="s">
        <v>1500</v>
      </c>
      <c r="FA3483" s="36" t="s">
        <v>1192</v>
      </c>
      <c r="FB3483" s="36" t="s">
        <v>344</v>
      </c>
      <c r="FC3483" s="36" t="s">
        <v>1192</v>
      </c>
      <c r="FD3483" s="36" t="s">
        <v>344</v>
      </c>
      <c r="FE3483" s="36">
        <v>2026</v>
      </c>
      <c r="FF3483" s="36" t="s">
        <v>59</v>
      </c>
      <c r="FG3483" s="36" t="s">
        <v>1241</v>
      </c>
      <c r="FJ3483" t="s">
        <v>59</v>
      </c>
    </row>
    <row r="3484" spans="153:166" x14ac:dyDescent="0.35">
      <c r="EW3484" t="s">
        <v>4093</v>
      </c>
      <c r="EX3484" s="33" t="s">
        <v>4618</v>
      </c>
      <c r="EY3484" s="35" t="s">
        <v>1501</v>
      </c>
      <c r="EZ3484" s="36" t="s">
        <v>1502</v>
      </c>
      <c r="FA3484" s="36" t="s">
        <v>1192</v>
      </c>
      <c r="FB3484" s="36" t="s">
        <v>344</v>
      </c>
      <c r="FC3484" s="36" t="s">
        <v>1192</v>
      </c>
      <c r="FD3484" s="36" t="s">
        <v>344</v>
      </c>
      <c r="FE3484" s="36">
        <v>2026</v>
      </c>
      <c r="FF3484" s="36" t="s">
        <v>59</v>
      </c>
      <c r="FG3484" s="36" t="s">
        <v>1241</v>
      </c>
      <c r="FJ3484" t="s">
        <v>59</v>
      </c>
    </row>
    <row r="3485" spans="153:166" x14ac:dyDescent="0.35">
      <c r="EW3485" t="s">
        <v>4093</v>
      </c>
      <c r="EX3485" s="33" t="s">
        <v>4619</v>
      </c>
      <c r="EY3485" s="35" t="s">
        <v>1503</v>
      </c>
      <c r="EZ3485" s="36" t="s">
        <v>1504</v>
      </c>
      <c r="FA3485" s="36" t="s">
        <v>1192</v>
      </c>
      <c r="FB3485" s="36" t="s">
        <v>344</v>
      </c>
      <c r="FC3485" s="36" t="s">
        <v>1192</v>
      </c>
      <c r="FD3485" s="36" t="s">
        <v>344</v>
      </c>
      <c r="FE3485" s="36">
        <v>2026</v>
      </c>
      <c r="FF3485" s="36" t="s">
        <v>59</v>
      </c>
      <c r="FG3485" s="36" t="s">
        <v>1241</v>
      </c>
      <c r="FJ3485" t="s">
        <v>59</v>
      </c>
    </row>
    <row r="3486" spans="153:166" x14ac:dyDescent="0.35">
      <c r="EW3486" t="s">
        <v>4093</v>
      </c>
      <c r="EX3486" s="33" t="s">
        <v>4620</v>
      </c>
      <c r="EY3486" s="35" t="s">
        <v>1505</v>
      </c>
      <c r="EZ3486" s="36" t="s">
        <v>1506</v>
      </c>
      <c r="FA3486" s="36" t="s">
        <v>1192</v>
      </c>
      <c r="FB3486" s="36" t="s">
        <v>344</v>
      </c>
      <c r="FC3486" s="36" t="s">
        <v>1192</v>
      </c>
      <c r="FD3486" s="36" t="s">
        <v>344</v>
      </c>
      <c r="FE3486" s="36">
        <v>2026</v>
      </c>
      <c r="FF3486" s="36" t="s">
        <v>59</v>
      </c>
      <c r="FG3486" s="36" t="s">
        <v>1241</v>
      </c>
      <c r="FJ3486" t="s">
        <v>59</v>
      </c>
    </row>
    <row r="3487" spans="153:166" x14ac:dyDescent="0.35">
      <c r="EW3487" t="s">
        <v>4093</v>
      </c>
      <c r="EX3487" s="33" t="s">
        <v>4621</v>
      </c>
      <c r="EY3487" s="35" t="s">
        <v>1507</v>
      </c>
      <c r="EZ3487" s="36" t="s">
        <v>1508</v>
      </c>
      <c r="FA3487" s="36" t="s">
        <v>1192</v>
      </c>
      <c r="FB3487" s="36" t="s">
        <v>344</v>
      </c>
      <c r="FC3487" s="36" t="s">
        <v>1192</v>
      </c>
      <c r="FD3487" s="36" t="s">
        <v>344</v>
      </c>
      <c r="FE3487" s="36">
        <v>2026</v>
      </c>
      <c r="FF3487" s="36" t="s">
        <v>59</v>
      </c>
      <c r="FG3487" s="36" t="s">
        <v>1241</v>
      </c>
      <c r="FJ3487" t="s">
        <v>59</v>
      </c>
    </row>
    <row r="3488" spans="153:166" x14ac:dyDescent="0.35">
      <c r="EW3488" t="s">
        <v>4093</v>
      </c>
      <c r="EX3488" s="33" t="s">
        <v>4622</v>
      </c>
      <c r="EY3488" s="35" t="s">
        <v>1509</v>
      </c>
      <c r="EZ3488" s="36" t="s">
        <v>1510</v>
      </c>
      <c r="FA3488" s="36" t="s">
        <v>1192</v>
      </c>
      <c r="FB3488" s="36" t="s">
        <v>344</v>
      </c>
      <c r="FC3488" s="36" t="s">
        <v>1192</v>
      </c>
      <c r="FD3488" s="36" t="s">
        <v>344</v>
      </c>
      <c r="FE3488" s="36">
        <v>2026</v>
      </c>
      <c r="FF3488" s="36" t="s">
        <v>59</v>
      </c>
      <c r="FG3488" s="36" t="s">
        <v>1241</v>
      </c>
      <c r="FJ3488" t="s">
        <v>59</v>
      </c>
    </row>
    <row r="3489" spans="153:166" x14ac:dyDescent="0.35">
      <c r="EW3489" t="s">
        <v>4093</v>
      </c>
      <c r="EX3489" s="33" t="s">
        <v>4623</v>
      </c>
      <c r="EY3489" s="35" t="s">
        <v>1513</v>
      </c>
      <c r="EZ3489" s="36" t="s">
        <v>1514</v>
      </c>
      <c r="FA3489" s="36" t="s">
        <v>1192</v>
      </c>
      <c r="FB3489" s="36" t="s">
        <v>344</v>
      </c>
      <c r="FC3489" s="36" t="s">
        <v>1192</v>
      </c>
      <c r="FD3489" s="36" t="s">
        <v>344</v>
      </c>
      <c r="FE3489" s="36">
        <v>2026</v>
      </c>
      <c r="FF3489" s="36" t="s">
        <v>59</v>
      </c>
      <c r="FG3489" s="36" t="s">
        <v>1241</v>
      </c>
      <c r="FJ3489" t="s">
        <v>59</v>
      </c>
    </row>
    <row r="3490" spans="153:166" x14ac:dyDescent="0.35">
      <c r="EW3490" t="s">
        <v>4093</v>
      </c>
      <c r="EX3490" s="33" t="s">
        <v>4624</v>
      </c>
      <c r="EY3490" s="35" t="s">
        <v>1515</v>
      </c>
      <c r="EZ3490" s="36" t="s">
        <v>1516</v>
      </c>
      <c r="FA3490" s="36" t="s">
        <v>1192</v>
      </c>
      <c r="FB3490" s="36" t="s">
        <v>344</v>
      </c>
      <c r="FC3490" s="36" t="s">
        <v>1192</v>
      </c>
      <c r="FD3490" s="36" t="s">
        <v>344</v>
      </c>
      <c r="FE3490" s="36">
        <v>2026</v>
      </c>
      <c r="FF3490" s="36" t="s">
        <v>59</v>
      </c>
      <c r="FG3490" s="36" t="s">
        <v>1241</v>
      </c>
      <c r="FJ3490" t="s">
        <v>59</v>
      </c>
    </row>
    <row r="3491" spans="153:166" x14ac:dyDescent="0.35">
      <c r="EW3491" t="s">
        <v>4093</v>
      </c>
      <c r="EX3491" s="33" t="s">
        <v>4625</v>
      </c>
      <c r="EY3491" s="35" t="s">
        <v>1517</v>
      </c>
      <c r="EZ3491" s="36" t="s">
        <v>1518</v>
      </c>
      <c r="FA3491" s="36" t="s">
        <v>1192</v>
      </c>
      <c r="FB3491" s="36" t="s">
        <v>344</v>
      </c>
      <c r="FC3491" s="36" t="s">
        <v>1192</v>
      </c>
      <c r="FD3491" s="36" t="s">
        <v>344</v>
      </c>
      <c r="FE3491" s="36">
        <v>2026</v>
      </c>
      <c r="FF3491" s="36" t="s">
        <v>59</v>
      </c>
      <c r="FG3491" s="36" t="s">
        <v>1241</v>
      </c>
      <c r="FJ3491" t="s">
        <v>59</v>
      </c>
    </row>
    <row r="3492" spans="153:166" x14ac:dyDescent="0.35">
      <c r="EW3492" t="s">
        <v>4093</v>
      </c>
      <c r="EX3492" s="33" t="s">
        <v>4626</v>
      </c>
      <c r="EY3492" s="35" t="s">
        <v>1519</v>
      </c>
      <c r="EZ3492" s="36" t="s">
        <v>1520</v>
      </c>
      <c r="FA3492" s="36" t="s">
        <v>1192</v>
      </c>
      <c r="FB3492" s="36" t="s">
        <v>344</v>
      </c>
      <c r="FC3492" s="36" t="s">
        <v>1192</v>
      </c>
      <c r="FD3492" s="36" t="s">
        <v>344</v>
      </c>
      <c r="FE3492" s="36">
        <v>2026</v>
      </c>
      <c r="FF3492" s="36" t="s">
        <v>59</v>
      </c>
      <c r="FG3492" s="36" t="s">
        <v>1241</v>
      </c>
      <c r="FJ3492" t="s">
        <v>59</v>
      </c>
    </row>
    <row r="3493" spans="153:166" x14ac:dyDescent="0.35">
      <c r="EW3493" t="s">
        <v>4093</v>
      </c>
      <c r="EX3493" s="33" t="s">
        <v>4627</v>
      </c>
      <c r="EY3493" s="35" t="s">
        <v>1521</v>
      </c>
      <c r="EZ3493" s="36" t="s">
        <v>1522</v>
      </c>
      <c r="FA3493" s="36" t="s">
        <v>1192</v>
      </c>
      <c r="FB3493" s="36" t="s">
        <v>344</v>
      </c>
      <c r="FC3493" s="36" t="s">
        <v>1192</v>
      </c>
      <c r="FD3493" s="36" t="s">
        <v>344</v>
      </c>
      <c r="FE3493" s="36">
        <v>2026</v>
      </c>
      <c r="FF3493" s="36" t="s">
        <v>59</v>
      </c>
      <c r="FG3493" s="36" t="s">
        <v>1241</v>
      </c>
      <c r="FJ3493" t="s">
        <v>59</v>
      </c>
    </row>
    <row r="3494" spans="153:166" x14ac:dyDescent="0.35">
      <c r="EW3494" t="s">
        <v>4093</v>
      </c>
      <c r="EX3494" s="33" t="s">
        <v>4628</v>
      </c>
      <c r="EY3494" s="35" t="s">
        <v>1523</v>
      </c>
      <c r="EZ3494" s="36" t="s">
        <v>1524</v>
      </c>
      <c r="FA3494" s="36" t="s">
        <v>1192</v>
      </c>
      <c r="FB3494" s="36" t="s">
        <v>344</v>
      </c>
      <c r="FC3494" s="36" t="s">
        <v>1192</v>
      </c>
      <c r="FD3494" s="36" t="s">
        <v>344</v>
      </c>
      <c r="FE3494" s="36">
        <v>2026</v>
      </c>
      <c r="FF3494" s="36" t="s">
        <v>59</v>
      </c>
      <c r="FG3494" s="36" t="s">
        <v>1241</v>
      </c>
      <c r="FJ3494" t="s">
        <v>59</v>
      </c>
    </row>
    <row r="3495" spans="153:166" x14ac:dyDescent="0.35">
      <c r="EW3495" t="s">
        <v>4093</v>
      </c>
      <c r="EX3495" s="33" t="s">
        <v>4629</v>
      </c>
      <c r="EY3495" s="35" t="s">
        <v>1527</v>
      </c>
      <c r="EZ3495" s="36" t="s">
        <v>1528</v>
      </c>
      <c r="FA3495" s="36" t="s">
        <v>1192</v>
      </c>
      <c r="FB3495" s="36" t="s">
        <v>344</v>
      </c>
      <c r="FC3495" s="36" t="s">
        <v>1192</v>
      </c>
      <c r="FD3495" s="36" t="s">
        <v>344</v>
      </c>
      <c r="FE3495" s="36">
        <v>2026</v>
      </c>
      <c r="FF3495" s="36" t="s">
        <v>59</v>
      </c>
      <c r="FG3495" s="36" t="s">
        <v>1241</v>
      </c>
      <c r="FJ3495" t="s">
        <v>59</v>
      </c>
    </row>
    <row r="3496" spans="153:166" x14ac:dyDescent="0.35">
      <c r="EW3496" t="s">
        <v>4093</v>
      </c>
      <c r="EX3496" s="33" t="s">
        <v>4630</v>
      </c>
      <c r="EY3496" s="35" t="s">
        <v>1531</v>
      </c>
      <c r="EZ3496" s="36" t="s">
        <v>1532</v>
      </c>
      <c r="FA3496" s="36" t="s">
        <v>1192</v>
      </c>
      <c r="FB3496" s="36" t="s">
        <v>344</v>
      </c>
      <c r="FC3496" s="36" t="s">
        <v>1192</v>
      </c>
      <c r="FD3496" s="36" t="s">
        <v>344</v>
      </c>
      <c r="FE3496" s="36">
        <v>2026</v>
      </c>
      <c r="FF3496" s="36" t="s">
        <v>59</v>
      </c>
      <c r="FG3496" s="36" t="s">
        <v>1241</v>
      </c>
      <c r="FJ3496" t="s">
        <v>59</v>
      </c>
    </row>
    <row r="3497" spans="153:166" x14ac:dyDescent="0.35">
      <c r="EW3497" t="s">
        <v>4093</v>
      </c>
      <c r="EX3497" s="33" t="s">
        <v>4631</v>
      </c>
      <c r="EY3497" s="35" t="s">
        <v>1533</v>
      </c>
      <c r="EZ3497" s="36" t="s">
        <v>1534</v>
      </c>
      <c r="FA3497" s="36" t="s">
        <v>1192</v>
      </c>
      <c r="FB3497" s="36" t="s">
        <v>344</v>
      </c>
      <c r="FC3497" s="36" t="s">
        <v>1192</v>
      </c>
      <c r="FD3497" s="36" t="s">
        <v>344</v>
      </c>
      <c r="FE3497" s="36">
        <v>2026</v>
      </c>
      <c r="FF3497" s="36" t="s">
        <v>59</v>
      </c>
      <c r="FG3497" s="36" t="s">
        <v>1241</v>
      </c>
      <c r="FJ3497" t="s">
        <v>59</v>
      </c>
    </row>
    <row r="3498" spans="153:166" x14ac:dyDescent="0.35">
      <c r="EW3498" t="s">
        <v>4093</v>
      </c>
      <c r="EX3498" s="33" t="s">
        <v>4632</v>
      </c>
      <c r="EY3498" s="35" t="s">
        <v>1535</v>
      </c>
      <c r="EZ3498" s="36" t="s">
        <v>1536</v>
      </c>
      <c r="FA3498" s="36" t="s">
        <v>1192</v>
      </c>
      <c r="FB3498" s="36" t="s">
        <v>344</v>
      </c>
      <c r="FC3498" s="36" t="s">
        <v>1192</v>
      </c>
      <c r="FD3498" s="36" t="s">
        <v>344</v>
      </c>
      <c r="FE3498" s="36">
        <v>2026</v>
      </c>
      <c r="FF3498" s="36" t="s">
        <v>59</v>
      </c>
      <c r="FG3498" s="36" t="s">
        <v>1241</v>
      </c>
      <c r="FJ3498" t="s">
        <v>59</v>
      </c>
    </row>
    <row r="3499" spans="153:166" x14ac:dyDescent="0.35">
      <c r="EW3499" t="s">
        <v>4093</v>
      </c>
      <c r="EX3499" s="33" t="s">
        <v>4633</v>
      </c>
      <c r="EY3499" s="35" t="s">
        <v>1537</v>
      </c>
      <c r="EZ3499" s="36" t="s">
        <v>1538</v>
      </c>
      <c r="FA3499" s="36" t="s">
        <v>1192</v>
      </c>
      <c r="FB3499" s="36" t="s">
        <v>344</v>
      </c>
      <c r="FC3499" s="36" t="s">
        <v>1192</v>
      </c>
      <c r="FD3499" s="36" t="s">
        <v>344</v>
      </c>
      <c r="FE3499" s="36">
        <v>2026</v>
      </c>
      <c r="FF3499" s="36" t="s">
        <v>59</v>
      </c>
      <c r="FG3499" s="36" t="s">
        <v>1241</v>
      </c>
      <c r="FJ3499" t="s">
        <v>59</v>
      </c>
    </row>
    <row r="3500" spans="153:166" x14ac:dyDescent="0.35">
      <c r="EW3500" t="s">
        <v>4093</v>
      </c>
      <c r="EX3500" s="33" t="s">
        <v>4634</v>
      </c>
      <c r="EY3500" s="35" t="s">
        <v>1539</v>
      </c>
      <c r="EZ3500" s="36" t="s">
        <v>1540</v>
      </c>
      <c r="FA3500" s="36" t="s">
        <v>1192</v>
      </c>
      <c r="FB3500" s="36" t="s">
        <v>344</v>
      </c>
      <c r="FC3500" s="36" t="s">
        <v>1192</v>
      </c>
      <c r="FD3500" s="36" t="s">
        <v>344</v>
      </c>
      <c r="FE3500" s="36">
        <v>2026</v>
      </c>
      <c r="FF3500" s="36" t="s">
        <v>59</v>
      </c>
      <c r="FG3500" s="36" t="s">
        <v>1241</v>
      </c>
      <c r="FJ3500" t="s">
        <v>59</v>
      </c>
    </row>
    <row r="3501" spans="153:166" x14ac:dyDescent="0.35">
      <c r="EW3501" t="s">
        <v>4093</v>
      </c>
      <c r="EX3501" s="33" t="s">
        <v>4635</v>
      </c>
      <c r="EY3501" s="35" t="s">
        <v>1541</v>
      </c>
      <c r="EZ3501" s="36" t="s">
        <v>1542</v>
      </c>
      <c r="FA3501" s="36" t="s">
        <v>1192</v>
      </c>
      <c r="FB3501" s="36" t="s">
        <v>344</v>
      </c>
      <c r="FC3501" s="36" t="s">
        <v>1192</v>
      </c>
      <c r="FD3501" s="36" t="s">
        <v>344</v>
      </c>
      <c r="FE3501" s="36">
        <v>2026</v>
      </c>
      <c r="FF3501" s="36" t="s">
        <v>59</v>
      </c>
      <c r="FG3501" s="36" t="s">
        <v>1241</v>
      </c>
      <c r="FJ3501" t="s">
        <v>59</v>
      </c>
    </row>
    <row r="3502" spans="153:166" x14ac:dyDescent="0.35">
      <c r="EW3502" t="s">
        <v>4093</v>
      </c>
      <c r="EX3502" s="33" t="s">
        <v>4636</v>
      </c>
      <c r="EY3502" s="35" t="s">
        <v>1543</v>
      </c>
      <c r="EZ3502" s="36" t="s">
        <v>1544</v>
      </c>
      <c r="FA3502" s="36" t="s">
        <v>1192</v>
      </c>
      <c r="FB3502" s="36" t="s">
        <v>344</v>
      </c>
      <c r="FC3502" s="36" t="s">
        <v>1192</v>
      </c>
      <c r="FD3502" s="36" t="s">
        <v>344</v>
      </c>
      <c r="FE3502" s="36">
        <v>2026</v>
      </c>
      <c r="FF3502" s="36" t="s">
        <v>59</v>
      </c>
      <c r="FG3502" s="36" t="s">
        <v>1241</v>
      </c>
      <c r="FJ3502" t="s">
        <v>59</v>
      </c>
    </row>
    <row r="3503" spans="153:166" x14ac:dyDescent="0.35">
      <c r="EW3503" t="s">
        <v>4093</v>
      </c>
      <c r="EX3503" s="33" t="s">
        <v>4637</v>
      </c>
      <c r="EY3503" s="35" t="s">
        <v>1545</v>
      </c>
      <c r="EZ3503" s="36" t="s">
        <v>1546</v>
      </c>
      <c r="FA3503" s="36" t="s">
        <v>1192</v>
      </c>
      <c r="FB3503" s="36" t="s">
        <v>344</v>
      </c>
      <c r="FC3503" s="36" t="s">
        <v>1192</v>
      </c>
      <c r="FD3503" s="36" t="s">
        <v>344</v>
      </c>
      <c r="FE3503" s="36">
        <v>2026</v>
      </c>
      <c r="FF3503" s="36" t="s">
        <v>59</v>
      </c>
      <c r="FG3503" s="36" t="s">
        <v>1241</v>
      </c>
      <c r="FJ3503" t="s">
        <v>59</v>
      </c>
    </row>
    <row r="3504" spans="153:166" x14ac:dyDescent="0.35">
      <c r="EW3504" t="s">
        <v>4093</v>
      </c>
      <c r="EX3504" s="33" t="s">
        <v>4638</v>
      </c>
      <c r="EY3504" s="35" t="s">
        <v>1549</v>
      </c>
      <c r="EZ3504" s="36" t="s">
        <v>1550</v>
      </c>
      <c r="FA3504" s="36" t="s">
        <v>1192</v>
      </c>
      <c r="FB3504" s="36" t="s">
        <v>344</v>
      </c>
      <c r="FC3504" s="36" t="s">
        <v>1192</v>
      </c>
      <c r="FD3504" s="36" t="s">
        <v>344</v>
      </c>
      <c r="FE3504" s="36">
        <v>2026</v>
      </c>
      <c r="FF3504" s="36" t="s">
        <v>59</v>
      </c>
      <c r="FG3504" s="36" t="s">
        <v>1241</v>
      </c>
      <c r="FJ3504" t="s">
        <v>59</v>
      </c>
    </row>
    <row r="3505" spans="153:166" x14ac:dyDescent="0.35">
      <c r="EW3505" t="s">
        <v>4093</v>
      </c>
      <c r="EX3505" s="33" t="s">
        <v>4639</v>
      </c>
      <c r="EY3505" s="35" t="s">
        <v>1552</v>
      </c>
      <c r="EZ3505" s="36" t="s">
        <v>1553</v>
      </c>
      <c r="FA3505" s="36" t="s">
        <v>1192</v>
      </c>
      <c r="FB3505" s="36" t="s">
        <v>344</v>
      </c>
      <c r="FC3505" s="36" t="s">
        <v>1192</v>
      </c>
      <c r="FD3505" s="36" t="s">
        <v>344</v>
      </c>
      <c r="FE3505" s="36">
        <v>2026</v>
      </c>
      <c r="FF3505" s="36" t="s">
        <v>59</v>
      </c>
      <c r="FG3505" s="36" t="s">
        <v>1241</v>
      </c>
      <c r="FJ3505" t="s">
        <v>59</v>
      </c>
    </row>
    <row r="3506" spans="153:166" x14ac:dyDescent="0.35">
      <c r="EW3506" t="s">
        <v>4093</v>
      </c>
      <c r="EX3506" s="33" t="s">
        <v>4640</v>
      </c>
      <c r="EY3506" s="35" t="s">
        <v>1555</v>
      </c>
      <c r="EZ3506" s="36" t="s">
        <v>1556</v>
      </c>
      <c r="FA3506" s="36" t="s">
        <v>1192</v>
      </c>
      <c r="FB3506" s="36" t="s">
        <v>344</v>
      </c>
      <c r="FC3506" s="36" t="s">
        <v>1192</v>
      </c>
      <c r="FD3506" s="36" t="s">
        <v>344</v>
      </c>
      <c r="FE3506" s="36">
        <v>2026</v>
      </c>
      <c r="FF3506" s="36" t="s">
        <v>59</v>
      </c>
      <c r="FG3506" s="36" t="s">
        <v>1241</v>
      </c>
      <c r="FJ3506" t="s">
        <v>59</v>
      </c>
    </row>
    <row r="3507" spans="153:166" x14ac:dyDescent="0.35">
      <c r="EW3507" t="s">
        <v>4093</v>
      </c>
      <c r="EX3507" s="33" t="s">
        <v>4641</v>
      </c>
      <c r="EY3507" s="35" t="s">
        <v>1557</v>
      </c>
      <c r="EZ3507" s="36" t="s">
        <v>1558</v>
      </c>
      <c r="FA3507" s="36" t="s">
        <v>1192</v>
      </c>
      <c r="FB3507" s="36" t="s">
        <v>344</v>
      </c>
      <c r="FC3507" s="36" t="s">
        <v>1192</v>
      </c>
      <c r="FD3507" s="36" t="s">
        <v>344</v>
      </c>
      <c r="FE3507" s="36">
        <v>2026</v>
      </c>
      <c r="FF3507" s="36" t="s">
        <v>59</v>
      </c>
      <c r="FG3507" s="36" t="s">
        <v>1241</v>
      </c>
      <c r="FJ3507" t="s">
        <v>59</v>
      </c>
    </row>
    <row r="3508" spans="153:166" x14ac:dyDescent="0.35">
      <c r="EW3508" t="s">
        <v>4093</v>
      </c>
      <c r="EX3508" s="33" t="s">
        <v>4642</v>
      </c>
      <c r="EY3508" s="35" t="s">
        <v>1559</v>
      </c>
      <c r="EZ3508" s="36" t="s">
        <v>1560</v>
      </c>
      <c r="FA3508" s="36" t="s">
        <v>1192</v>
      </c>
      <c r="FB3508" s="36" t="s">
        <v>344</v>
      </c>
      <c r="FC3508" s="36" t="s">
        <v>1192</v>
      </c>
      <c r="FD3508" s="36" t="s">
        <v>344</v>
      </c>
      <c r="FE3508" s="36">
        <v>2026</v>
      </c>
      <c r="FF3508" s="36" t="s">
        <v>59</v>
      </c>
      <c r="FG3508" s="36" t="s">
        <v>1241</v>
      </c>
      <c r="FJ3508" t="s">
        <v>59</v>
      </c>
    </row>
    <row r="3509" spans="153:166" x14ac:dyDescent="0.35">
      <c r="EW3509" t="s">
        <v>4093</v>
      </c>
      <c r="EX3509" s="33" t="s">
        <v>4643</v>
      </c>
      <c r="EY3509" s="35" t="s">
        <v>1561</v>
      </c>
      <c r="EZ3509" s="36" t="s">
        <v>1562</v>
      </c>
      <c r="FA3509" s="36" t="s">
        <v>1192</v>
      </c>
      <c r="FB3509" s="36" t="s">
        <v>344</v>
      </c>
      <c r="FC3509" s="36" t="s">
        <v>1192</v>
      </c>
      <c r="FD3509" s="36" t="s">
        <v>344</v>
      </c>
      <c r="FE3509" s="36">
        <v>2026</v>
      </c>
      <c r="FF3509" s="36" t="s">
        <v>59</v>
      </c>
      <c r="FG3509" s="36" t="s">
        <v>1241</v>
      </c>
      <c r="FJ3509" t="s">
        <v>59</v>
      </c>
    </row>
    <row r="3510" spans="153:166" x14ac:dyDescent="0.35">
      <c r="EW3510" t="s">
        <v>4093</v>
      </c>
      <c r="EX3510" s="33" t="s">
        <v>4644</v>
      </c>
      <c r="EY3510" s="35" t="s">
        <v>1563</v>
      </c>
      <c r="EZ3510" s="36" t="s">
        <v>1564</v>
      </c>
      <c r="FA3510" s="36" t="s">
        <v>1192</v>
      </c>
      <c r="FB3510" s="36" t="s">
        <v>344</v>
      </c>
      <c r="FC3510" s="36" t="s">
        <v>1192</v>
      </c>
      <c r="FD3510" s="36" t="s">
        <v>344</v>
      </c>
      <c r="FE3510" s="36">
        <v>2026</v>
      </c>
      <c r="FF3510" s="36" t="s">
        <v>59</v>
      </c>
      <c r="FG3510" s="36" t="s">
        <v>1241</v>
      </c>
      <c r="FJ3510" t="s">
        <v>59</v>
      </c>
    </row>
    <row r="3511" spans="153:166" x14ac:dyDescent="0.35">
      <c r="EW3511" t="s">
        <v>4093</v>
      </c>
      <c r="EX3511" s="33" t="s">
        <v>4645</v>
      </c>
      <c r="EY3511" s="35" t="s">
        <v>1565</v>
      </c>
      <c r="EZ3511" s="36" t="s">
        <v>1566</v>
      </c>
      <c r="FA3511" s="36" t="s">
        <v>1192</v>
      </c>
      <c r="FB3511" s="36" t="s">
        <v>344</v>
      </c>
      <c r="FC3511" s="36" t="s">
        <v>1192</v>
      </c>
      <c r="FD3511" s="36" t="s">
        <v>344</v>
      </c>
      <c r="FE3511" s="36">
        <v>2026</v>
      </c>
      <c r="FF3511" s="36" t="s">
        <v>59</v>
      </c>
      <c r="FG3511" s="36" t="s">
        <v>1241</v>
      </c>
      <c r="FJ3511" t="s">
        <v>59</v>
      </c>
    </row>
    <row r="3512" spans="153:166" x14ac:dyDescent="0.35">
      <c r="EW3512" t="s">
        <v>4093</v>
      </c>
      <c r="EX3512" s="33" t="s">
        <v>4646</v>
      </c>
      <c r="EY3512" s="35" t="s">
        <v>1567</v>
      </c>
      <c r="EZ3512" s="36" t="s">
        <v>1568</v>
      </c>
      <c r="FA3512" s="36" t="s">
        <v>1192</v>
      </c>
      <c r="FB3512" s="36" t="s">
        <v>344</v>
      </c>
      <c r="FC3512" s="36" t="s">
        <v>1192</v>
      </c>
      <c r="FD3512" s="36" t="s">
        <v>344</v>
      </c>
      <c r="FE3512" s="36">
        <v>2026</v>
      </c>
      <c r="FF3512" s="36" t="s">
        <v>59</v>
      </c>
      <c r="FG3512" s="36" t="s">
        <v>1241</v>
      </c>
      <c r="FJ3512" t="s">
        <v>59</v>
      </c>
    </row>
    <row r="3513" spans="153:166" x14ac:dyDescent="0.35">
      <c r="EW3513" t="s">
        <v>4093</v>
      </c>
      <c r="EX3513" s="33" t="s">
        <v>4647</v>
      </c>
      <c r="EY3513" s="35" t="s">
        <v>1569</v>
      </c>
      <c r="EZ3513" s="36" t="s">
        <v>1570</v>
      </c>
      <c r="FA3513" s="36" t="s">
        <v>1192</v>
      </c>
      <c r="FB3513" s="36" t="s">
        <v>344</v>
      </c>
      <c r="FC3513" s="36" t="s">
        <v>1192</v>
      </c>
      <c r="FD3513" s="36" t="s">
        <v>344</v>
      </c>
      <c r="FE3513" s="36">
        <v>2026</v>
      </c>
      <c r="FF3513" s="36" t="s">
        <v>59</v>
      </c>
      <c r="FG3513" s="36" t="s">
        <v>1241</v>
      </c>
      <c r="FJ3513" t="s">
        <v>59</v>
      </c>
    </row>
    <row r="3514" spans="153:166" x14ac:dyDescent="0.35">
      <c r="EW3514" t="s">
        <v>4093</v>
      </c>
      <c r="EX3514" s="33" t="s">
        <v>4648</v>
      </c>
      <c r="EY3514" s="35" t="s">
        <v>1571</v>
      </c>
      <c r="EZ3514" s="36" t="s">
        <v>1572</v>
      </c>
      <c r="FA3514" s="36" t="s">
        <v>1192</v>
      </c>
      <c r="FB3514" s="36" t="s">
        <v>344</v>
      </c>
      <c r="FC3514" s="36" t="s">
        <v>1192</v>
      </c>
      <c r="FD3514" s="36" t="s">
        <v>344</v>
      </c>
      <c r="FE3514" s="36">
        <v>2026</v>
      </c>
      <c r="FF3514" s="36" t="s">
        <v>59</v>
      </c>
      <c r="FG3514" s="36" t="s">
        <v>1241</v>
      </c>
      <c r="FJ3514" t="s">
        <v>59</v>
      </c>
    </row>
    <row r="3515" spans="153:166" x14ac:dyDescent="0.35">
      <c r="EW3515" t="s">
        <v>4093</v>
      </c>
      <c r="EX3515" s="33" t="s">
        <v>4649</v>
      </c>
      <c r="EY3515" s="35" t="s">
        <v>1573</v>
      </c>
      <c r="EZ3515" s="36" t="s">
        <v>1574</v>
      </c>
      <c r="FA3515" s="36" t="s">
        <v>1192</v>
      </c>
      <c r="FB3515" s="36" t="s">
        <v>344</v>
      </c>
      <c r="FC3515" s="36" t="s">
        <v>1192</v>
      </c>
      <c r="FD3515" s="36" t="s">
        <v>344</v>
      </c>
      <c r="FE3515" s="36">
        <v>2026</v>
      </c>
      <c r="FF3515" s="36" t="s">
        <v>59</v>
      </c>
      <c r="FG3515" s="36" t="s">
        <v>1241</v>
      </c>
      <c r="FJ3515" t="s">
        <v>59</v>
      </c>
    </row>
    <row r="3516" spans="153:166" x14ac:dyDescent="0.35">
      <c r="EW3516" t="s">
        <v>4093</v>
      </c>
      <c r="EX3516" s="33" t="s">
        <v>4650</v>
      </c>
      <c r="EY3516" s="35" t="s">
        <v>1577</v>
      </c>
      <c r="EZ3516" s="36" t="s">
        <v>1578</v>
      </c>
      <c r="FA3516" s="36" t="s">
        <v>1192</v>
      </c>
      <c r="FB3516" s="36" t="s">
        <v>344</v>
      </c>
      <c r="FC3516" s="36" t="s">
        <v>1192</v>
      </c>
      <c r="FD3516" s="36" t="s">
        <v>344</v>
      </c>
      <c r="FE3516" s="36">
        <v>2026</v>
      </c>
      <c r="FF3516" s="36" t="s">
        <v>59</v>
      </c>
      <c r="FG3516" s="36" t="s">
        <v>1241</v>
      </c>
      <c r="FJ3516" t="s">
        <v>59</v>
      </c>
    </row>
    <row r="3517" spans="153:166" x14ac:dyDescent="0.35">
      <c r="EW3517" t="s">
        <v>4093</v>
      </c>
      <c r="EX3517" s="33" t="s">
        <v>4651</v>
      </c>
      <c r="EY3517" s="35" t="s">
        <v>1579</v>
      </c>
      <c r="EZ3517" s="36" t="s">
        <v>1580</v>
      </c>
      <c r="FA3517" s="36" t="s">
        <v>1192</v>
      </c>
      <c r="FB3517" s="36" t="s">
        <v>344</v>
      </c>
      <c r="FC3517" s="36" t="s">
        <v>1192</v>
      </c>
      <c r="FD3517" s="36" t="s">
        <v>344</v>
      </c>
      <c r="FE3517" s="36">
        <v>2026</v>
      </c>
      <c r="FF3517" s="36" t="s">
        <v>59</v>
      </c>
      <c r="FG3517" s="36" t="s">
        <v>1241</v>
      </c>
      <c r="FJ3517" t="s">
        <v>59</v>
      </c>
    </row>
    <row r="3518" spans="153:166" x14ac:dyDescent="0.35">
      <c r="EW3518" t="s">
        <v>4093</v>
      </c>
      <c r="EX3518" s="33" t="s">
        <v>4652</v>
      </c>
      <c r="EY3518" s="35" t="s">
        <v>1582</v>
      </c>
      <c r="EZ3518" s="36" t="s">
        <v>1583</v>
      </c>
      <c r="FA3518" s="36" t="s">
        <v>1192</v>
      </c>
      <c r="FB3518" s="36" t="s">
        <v>344</v>
      </c>
      <c r="FC3518" s="36" t="s">
        <v>1192</v>
      </c>
      <c r="FD3518" s="36" t="s">
        <v>344</v>
      </c>
      <c r="FE3518" s="36">
        <v>2026</v>
      </c>
      <c r="FF3518" s="36" t="s">
        <v>59</v>
      </c>
      <c r="FG3518" s="36" t="s">
        <v>1584</v>
      </c>
      <c r="FJ3518" t="s">
        <v>59</v>
      </c>
    </row>
    <row r="3519" spans="153:166" x14ac:dyDescent="0.35">
      <c r="EW3519" t="s">
        <v>4093</v>
      </c>
      <c r="EX3519" s="33" t="s">
        <v>4653</v>
      </c>
      <c r="EY3519" s="35" t="s">
        <v>1585</v>
      </c>
      <c r="EZ3519" s="36" t="s">
        <v>1586</v>
      </c>
      <c r="FA3519" s="36" t="s">
        <v>1192</v>
      </c>
      <c r="FB3519" s="36" t="s">
        <v>344</v>
      </c>
      <c r="FC3519" s="36" t="s">
        <v>1192</v>
      </c>
      <c r="FD3519" s="36" t="s">
        <v>344</v>
      </c>
      <c r="FE3519" s="36">
        <v>2026</v>
      </c>
      <c r="FF3519" s="36" t="s">
        <v>59</v>
      </c>
      <c r="FG3519" s="36" t="s">
        <v>1584</v>
      </c>
      <c r="FJ3519" t="s">
        <v>59</v>
      </c>
    </row>
    <row r="3520" spans="153:166" x14ac:dyDescent="0.35">
      <c r="EW3520" t="s">
        <v>4093</v>
      </c>
      <c r="EX3520" s="33" t="s">
        <v>4654</v>
      </c>
      <c r="EY3520" s="35" t="s">
        <v>1587</v>
      </c>
      <c r="EZ3520" s="36" t="s">
        <v>1588</v>
      </c>
      <c r="FA3520" s="36" t="s">
        <v>1192</v>
      </c>
      <c r="FB3520" s="36" t="s">
        <v>344</v>
      </c>
      <c r="FC3520" s="36" t="s">
        <v>1192</v>
      </c>
      <c r="FD3520" s="36" t="s">
        <v>344</v>
      </c>
      <c r="FE3520" s="36">
        <v>2026</v>
      </c>
      <c r="FF3520" s="36" t="s">
        <v>59</v>
      </c>
      <c r="FG3520" s="36" t="s">
        <v>1584</v>
      </c>
      <c r="FJ3520" t="s">
        <v>59</v>
      </c>
    </row>
    <row r="3521" spans="153:166" x14ac:dyDescent="0.35">
      <c r="EW3521" t="s">
        <v>4093</v>
      </c>
      <c r="EX3521" s="33" t="s">
        <v>4655</v>
      </c>
      <c r="EY3521" s="35" t="s">
        <v>1590</v>
      </c>
      <c r="EZ3521" s="36" t="s">
        <v>1591</v>
      </c>
      <c r="FA3521" s="36" t="s">
        <v>1192</v>
      </c>
      <c r="FB3521" s="36" t="s">
        <v>344</v>
      </c>
      <c r="FC3521" s="36" t="s">
        <v>1192</v>
      </c>
      <c r="FD3521" s="36" t="s">
        <v>344</v>
      </c>
      <c r="FE3521" s="36">
        <v>2026</v>
      </c>
      <c r="FF3521" s="36" t="s">
        <v>59</v>
      </c>
      <c r="FG3521" s="36" t="s">
        <v>1584</v>
      </c>
      <c r="FJ3521" t="s">
        <v>59</v>
      </c>
    </row>
    <row r="3522" spans="153:166" x14ac:dyDescent="0.35">
      <c r="EW3522" t="s">
        <v>4093</v>
      </c>
      <c r="EX3522" s="33" t="s">
        <v>4656</v>
      </c>
      <c r="EY3522" s="35" t="s">
        <v>1593</v>
      </c>
      <c r="EZ3522" s="36" t="s">
        <v>1594</v>
      </c>
      <c r="FA3522" s="36" t="s">
        <v>1192</v>
      </c>
      <c r="FB3522" s="36" t="s">
        <v>344</v>
      </c>
      <c r="FC3522" s="36" t="s">
        <v>1192</v>
      </c>
      <c r="FD3522" s="36" t="s">
        <v>344</v>
      </c>
      <c r="FE3522" s="36">
        <v>2026</v>
      </c>
      <c r="FF3522" s="36" t="s">
        <v>59</v>
      </c>
      <c r="FG3522" s="36" t="s">
        <v>1584</v>
      </c>
      <c r="FJ3522" t="s">
        <v>59</v>
      </c>
    </row>
    <row r="3523" spans="153:166" x14ac:dyDescent="0.35">
      <c r="EW3523" t="s">
        <v>4093</v>
      </c>
      <c r="EX3523" s="33" t="s">
        <v>4657</v>
      </c>
      <c r="EY3523" s="35" t="s">
        <v>1595</v>
      </c>
      <c r="EZ3523" s="36" t="s">
        <v>1596</v>
      </c>
      <c r="FA3523" s="36" t="s">
        <v>1192</v>
      </c>
      <c r="FB3523" s="36" t="s">
        <v>344</v>
      </c>
      <c r="FC3523" s="36" t="s">
        <v>1192</v>
      </c>
      <c r="FD3523" s="36" t="s">
        <v>344</v>
      </c>
      <c r="FE3523" s="36">
        <v>2026</v>
      </c>
      <c r="FF3523" s="36" t="s">
        <v>59</v>
      </c>
      <c r="FG3523" s="36" t="s">
        <v>1584</v>
      </c>
      <c r="FJ3523" t="s">
        <v>59</v>
      </c>
    </row>
    <row r="3524" spans="153:166" x14ac:dyDescent="0.35">
      <c r="EW3524" t="s">
        <v>4093</v>
      </c>
      <c r="EX3524" s="33" t="s">
        <v>4658</v>
      </c>
      <c r="EY3524" s="35" t="s">
        <v>1598</v>
      </c>
      <c r="EZ3524" s="36" t="s">
        <v>1599</v>
      </c>
      <c r="FA3524" s="36" t="s">
        <v>1192</v>
      </c>
      <c r="FB3524" s="36" t="s">
        <v>344</v>
      </c>
      <c r="FC3524" s="36" t="s">
        <v>1192</v>
      </c>
      <c r="FD3524" s="36" t="s">
        <v>344</v>
      </c>
      <c r="FE3524" s="36">
        <v>2026</v>
      </c>
      <c r="FF3524" s="36" t="s">
        <v>59</v>
      </c>
      <c r="FG3524" s="36" t="s">
        <v>1584</v>
      </c>
      <c r="FJ3524" t="s">
        <v>59</v>
      </c>
    </row>
    <row r="3525" spans="153:166" x14ac:dyDescent="0.35">
      <c r="EW3525" t="s">
        <v>4093</v>
      </c>
      <c r="EX3525" s="33" t="s">
        <v>4659</v>
      </c>
      <c r="EY3525" s="35" t="s">
        <v>1600</v>
      </c>
      <c r="EZ3525" s="36" t="s">
        <v>1601</v>
      </c>
      <c r="FA3525" s="36" t="s">
        <v>1192</v>
      </c>
      <c r="FB3525" s="36" t="s">
        <v>344</v>
      </c>
      <c r="FC3525" s="36" t="s">
        <v>1192</v>
      </c>
      <c r="FD3525" s="36" t="s">
        <v>344</v>
      </c>
      <c r="FE3525" s="36">
        <v>2026</v>
      </c>
      <c r="FF3525" s="36" t="s">
        <v>59</v>
      </c>
      <c r="FG3525" s="36" t="s">
        <v>1584</v>
      </c>
      <c r="FJ3525" t="s">
        <v>59</v>
      </c>
    </row>
    <row r="3526" spans="153:166" x14ac:dyDescent="0.35">
      <c r="EW3526" t="s">
        <v>4093</v>
      </c>
      <c r="EX3526" s="33" t="s">
        <v>4660</v>
      </c>
      <c r="EY3526" s="35" t="s">
        <v>1602</v>
      </c>
      <c r="EZ3526" s="36" t="s">
        <v>1603</v>
      </c>
      <c r="FA3526" s="36" t="s">
        <v>1192</v>
      </c>
      <c r="FB3526" s="36" t="s">
        <v>344</v>
      </c>
      <c r="FC3526" s="36" t="s">
        <v>1192</v>
      </c>
      <c r="FD3526" s="36" t="s">
        <v>344</v>
      </c>
      <c r="FE3526" s="36">
        <v>2026</v>
      </c>
      <c r="FF3526" s="36" t="s">
        <v>59</v>
      </c>
      <c r="FG3526" s="36" t="s">
        <v>1584</v>
      </c>
      <c r="FJ3526" t="s">
        <v>59</v>
      </c>
    </row>
    <row r="3527" spans="153:166" x14ac:dyDescent="0.35">
      <c r="EW3527" t="s">
        <v>4093</v>
      </c>
      <c r="EX3527" s="33" t="s">
        <v>4661</v>
      </c>
      <c r="EY3527" s="35" t="s">
        <v>1604</v>
      </c>
      <c r="EZ3527" s="36" t="s">
        <v>1605</v>
      </c>
      <c r="FA3527" s="36" t="s">
        <v>1192</v>
      </c>
      <c r="FB3527" s="36" t="s">
        <v>344</v>
      </c>
      <c r="FC3527" s="36" t="s">
        <v>1192</v>
      </c>
      <c r="FD3527" s="36" t="s">
        <v>344</v>
      </c>
      <c r="FE3527" s="36">
        <v>2026</v>
      </c>
      <c r="FF3527" s="36" t="s">
        <v>59</v>
      </c>
      <c r="FG3527" s="36" t="s">
        <v>1584</v>
      </c>
      <c r="FJ3527" t="s">
        <v>59</v>
      </c>
    </row>
    <row r="3528" spans="153:166" x14ac:dyDescent="0.35">
      <c r="EW3528" t="s">
        <v>4093</v>
      </c>
      <c r="EX3528" s="33" t="s">
        <v>4662</v>
      </c>
      <c r="EY3528" s="35" t="s">
        <v>1606</v>
      </c>
      <c r="EZ3528" s="36" t="s">
        <v>1607</v>
      </c>
      <c r="FA3528" s="36" t="s">
        <v>1192</v>
      </c>
      <c r="FB3528" s="36" t="s">
        <v>344</v>
      </c>
      <c r="FC3528" s="36" t="s">
        <v>1192</v>
      </c>
      <c r="FD3528" s="36" t="s">
        <v>344</v>
      </c>
      <c r="FE3528" s="36">
        <v>2026</v>
      </c>
      <c r="FF3528" s="36" t="s">
        <v>59</v>
      </c>
      <c r="FG3528" s="36" t="s">
        <v>1584</v>
      </c>
      <c r="FJ3528" t="s">
        <v>59</v>
      </c>
    </row>
    <row r="3529" spans="153:166" x14ac:dyDescent="0.35">
      <c r="EW3529" t="s">
        <v>4093</v>
      </c>
      <c r="EX3529" s="33" t="s">
        <v>4663</v>
      </c>
      <c r="EY3529" s="35" t="s">
        <v>1609</v>
      </c>
      <c r="EZ3529" s="36" t="s">
        <v>1610</v>
      </c>
      <c r="FA3529" s="36" t="s">
        <v>1192</v>
      </c>
      <c r="FB3529" s="36" t="s">
        <v>1611</v>
      </c>
      <c r="FC3529" s="36" t="s">
        <v>1192</v>
      </c>
      <c r="FD3529" s="36" t="s">
        <v>1611</v>
      </c>
      <c r="FE3529" s="36">
        <v>2026</v>
      </c>
      <c r="FF3529" s="36" t="s">
        <v>1109</v>
      </c>
      <c r="FG3529" s="36" t="s">
        <v>1584</v>
      </c>
      <c r="FJ3529" t="s">
        <v>1109</v>
      </c>
    </row>
    <row r="3530" spans="153:166" x14ac:dyDescent="0.35">
      <c r="EW3530" t="s">
        <v>4093</v>
      </c>
      <c r="EX3530" s="33" t="s">
        <v>4664</v>
      </c>
      <c r="EY3530" s="35" t="s">
        <v>1612</v>
      </c>
      <c r="EZ3530" s="36" t="s">
        <v>1613</v>
      </c>
      <c r="FA3530" s="36" t="s">
        <v>1192</v>
      </c>
      <c r="FB3530" s="36" t="s">
        <v>1611</v>
      </c>
      <c r="FC3530" s="36" t="s">
        <v>1192</v>
      </c>
      <c r="FD3530" s="36" t="s">
        <v>1611</v>
      </c>
      <c r="FE3530" s="36">
        <v>2026</v>
      </c>
      <c r="FF3530" s="36" t="s">
        <v>1109</v>
      </c>
      <c r="FG3530" s="36" t="s">
        <v>1584</v>
      </c>
      <c r="FJ3530" t="s">
        <v>1109</v>
      </c>
    </row>
    <row r="3531" spans="153:166" x14ac:dyDescent="0.35">
      <c r="EW3531" t="s">
        <v>4093</v>
      </c>
      <c r="EX3531" s="33" t="s">
        <v>4665</v>
      </c>
      <c r="EY3531" s="35" t="s">
        <v>1614</v>
      </c>
      <c r="EZ3531" s="36" t="s">
        <v>1615</v>
      </c>
      <c r="FA3531" s="36" t="s">
        <v>1192</v>
      </c>
      <c r="FB3531" s="36" t="s">
        <v>1611</v>
      </c>
      <c r="FC3531" s="36" t="s">
        <v>1192</v>
      </c>
      <c r="FD3531" s="36" t="s">
        <v>1611</v>
      </c>
      <c r="FE3531" s="36">
        <v>2026</v>
      </c>
      <c r="FF3531" s="36" t="s">
        <v>1109</v>
      </c>
      <c r="FG3531" s="36" t="s">
        <v>1584</v>
      </c>
      <c r="FJ3531" t="s">
        <v>1109</v>
      </c>
    </row>
    <row r="3532" spans="153:166" x14ac:dyDescent="0.35">
      <c r="EW3532" t="s">
        <v>4093</v>
      </c>
      <c r="EX3532" s="33" t="s">
        <v>4666</v>
      </c>
      <c r="EY3532" s="35" t="s">
        <v>1617</v>
      </c>
      <c r="EZ3532" s="36" t="s">
        <v>1618</v>
      </c>
      <c r="FA3532" s="36" t="s">
        <v>1192</v>
      </c>
      <c r="FB3532" s="36" t="s">
        <v>1611</v>
      </c>
      <c r="FC3532" s="36" t="s">
        <v>1192</v>
      </c>
      <c r="FD3532" s="36" t="s">
        <v>1611</v>
      </c>
      <c r="FE3532" s="36">
        <v>2026</v>
      </c>
      <c r="FF3532" s="36" t="s">
        <v>1109</v>
      </c>
      <c r="FG3532" s="36" t="s">
        <v>1584</v>
      </c>
      <c r="FJ3532" t="s">
        <v>1109</v>
      </c>
    </row>
    <row r="3533" spans="153:166" x14ac:dyDescent="0.35">
      <c r="EW3533" t="s">
        <v>4093</v>
      </c>
      <c r="EX3533" s="33" t="s">
        <v>4667</v>
      </c>
      <c r="EY3533" s="35" t="s">
        <v>1619</v>
      </c>
      <c r="EZ3533" s="36" t="s">
        <v>1620</v>
      </c>
      <c r="FA3533" s="36" t="s">
        <v>1192</v>
      </c>
      <c r="FB3533" s="36" t="s">
        <v>1611</v>
      </c>
      <c r="FC3533" s="36" t="s">
        <v>1192</v>
      </c>
      <c r="FD3533" s="36" t="s">
        <v>1611</v>
      </c>
      <c r="FE3533" s="36">
        <v>2026</v>
      </c>
      <c r="FF3533" s="36" t="s">
        <v>1109</v>
      </c>
      <c r="FG3533" s="36" t="s">
        <v>1584</v>
      </c>
      <c r="FJ3533" t="s">
        <v>1109</v>
      </c>
    </row>
    <row r="3534" spans="153:166" x14ac:dyDescent="0.35">
      <c r="EW3534" t="s">
        <v>4093</v>
      </c>
      <c r="EX3534" s="33" t="s">
        <v>4668</v>
      </c>
      <c r="EY3534" s="35" t="s">
        <v>1622</v>
      </c>
      <c r="EZ3534" s="36" t="s">
        <v>1623</v>
      </c>
      <c r="FA3534" s="36" t="s">
        <v>1192</v>
      </c>
      <c r="FB3534" s="36" t="s">
        <v>1611</v>
      </c>
      <c r="FC3534" s="36" t="s">
        <v>1192</v>
      </c>
      <c r="FD3534" s="36" t="s">
        <v>1611</v>
      </c>
      <c r="FE3534" s="36">
        <v>2026</v>
      </c>
      <c r="FF3534" s="36" t="s">
        <v>1109</v>
      </c>
      <c r="FG3534" s="36" t="s">
        <v>1584</v>
      </c>
      <c r="FJ3534" t="s">
        <v>1109</v>
      </c>
    </row>
    <row r="3535" spans="153:166" x14ac:dyDescent="0.35">
      <c r="EW3535" t="s">
        <v>4093</v>
      </c>
      <c r="EX3535" s="33" t="s">
        <v>4669</v>
      </c>
      <c r="EY3535" s="35" t="s">
        <v>1625</v>
      </c>
      <c r="EZ3535" s="36" t="s">
        <v>1626</v>
      </c>
      <c r="FA3535" s="36" t="s">
        <v>1192</v>
      </c>
      <c r="FB3535" s="36" t="s">
        <v>1611</v>
      </c>
      <c r="FC3535" s="36" t="s">
        <v>1192</v>
      </c>
      <c r="FD3535" s="36" t="s">
        <v>1611</v>
      </c>
      <c r="FE3535" s="36">
        <v>2026</v>
      </c>
      <c r="FF3535" s="36" t="s">
        <v>1109</v>
      </c>
      <c r="FG3535" s="36" t="s">
        <v>1584</v>
      </c>
      <c r="FJ3535" t="s">
        <v>1109</v>
      </c>
    </row>
    <row r="3536" spans="153:166" x14ac:dyDescent="0.35">
      <c r="EW3536" t="s">
        <v>4093</v>
      </c>
      <c r="EX3536" s="33" t="s">
        <v>4670</v>
      </c>
      <c r="EY3536" s="35" t="s">
        <v>1629</v>
      </c>
      <c r="EZ3536" s="36" t="s">
        <v>1630</v>
      </c>
      <c r="FA3536" s="36" t="s">
        <v>1192</v>
      </c>
      <c r="FB3536" s="36" t="s">
        <v>1611</v>
      </c>
      <c r="FC3536" s="36" t="s">
        <v>1192</v>
      </c>
      <c r="FD3536" s="36" t="s">
        <v>1611</v>
      </c>
      <c r="FE3536" s="36">
        <v>2026</v>
      </c>
      <c r="FF3536" s="36" t="s">
        <v>1109</v>
      </c>
      <c r="FG3536" s="36" t="s">
        <v>1584</v>
      </c>
      <c r="FJ3536" t="s">
        <v>1109</v>
      </c>
    </row>
    <row r="3537" spans="153:166" x14ac:dyDescent="0.35">
      <c r="EW3537" t="s">
        <v>4093</v>
      </c>
      <c r="EX3537" s="33" t="s">
        <v>4671</v>
      </c>
      <c r="EY3537" s="35" t="s">
        <v>1632</v>
      </c>
      <c r="EZ3537" s="36" t="s">
        <v>1633</v>
      </c>
      <c r="FA3537" s="36" t="s">
        <v>1192</v>
      </c>
      <c r="FB3537" s="36" t="s">
        <v>1611</v>
      </c>
      <c r="FC3537" s="36" t="s">
        <v>1192</v>
      </c>
      <c r="FD3537" s="36" t="s">
        <v>1611</v>
      </c>
      <c r="FE3537" s="36">
        <v>2026</v>
      </c>
      <c r="FF3537" s="36" t="s">
        <v>1109</v>
      </c>
      <c r="FG3537" s="36" t="s">
        <v>1584</v>
      </c>
      <c r="FJ3537" t="s">
        <v>1109</v>
      </c>
    </row>
    <row r="3538" spans="153:166" x14ac:dyDescent="0.35">
      <c r="EW3538" t="s">
        <v>4093</v>
      </c>
      <c r="EX3538" s="33" t="s">
        <v>4672</v>
      </c>
      <c r="EY3538" s="35" t="s">
        <v>1634</v>
      </c>
      <c r="EZ3538" s="36" t="s">
        <v>1635</v>
      </c>
      <c r="FA3538" s="36" t="s">
        <v>1192</v>
      </c>
      <c r="FB3538" s="36" t="s">
        <v>344</v>
      </c>
      <c r="FC3538" s="36" t="s">
        <v>1192</v>
      </c>
      <c r="FD3538" s="36" t="s">
        <v>344</v>
      </c>
      <c r="FE3538" s="36">
        <v>2026</v>
      </c>
      <c r="FF3538" s="36" t="s">
        <v>59</v>
      </c>
      <c r="FG3538" s="36" t="s">
        <v>1584</v>
      </c>
      <c r="FJ3538" t="s">
        <v>59</v>
      </c>
    </row>
    <row r="3539" spans="153:166" x14ac:dyDescent="0.35">
      <c r="EW3539" t="s">
        <v>4093</v>
      </c>
      <c r="EX3539" s="33" t="s">
        <v>4673</v>
      </c>
      <c r="EY3539" s="35" t="s">
        <v>1637</v>
      </c>
      <c r="EZ3539" s="36" t="s">
        <v>1638</v>
      </c>
      <c r="FA3539" s="36" t="s">
        <v>1192</v>
      </c>
      <c r="FB3539" s="36" t="s">
        <v>344</v>
      </c>
      <c r="FC3539" s="36" t="s">
        <v>1192</v>
      </c>
      <c r="FD3539" s="36" t="s">
        <v>344</v>
      </c>
      <c r="FE3539" s="36">
        <v>2026</v>
      </c>
      <c r="FF3539" s="36" t="s">
        <v>59</v>
      </c>
      <c r="FG3539" s="36" t="s">
        <v>1584</v>
      </c>
      <c r="FJ3539" t="s">
        <v>59</v>
      </c>
    </row>
    <row r="3540" spans="153:166" x14ac:dyDescent="0.35">
      <c r="EW3540" t="s">
        <v>4093</v>
      </c>
      <c r="EX3540" s="33" t="s">
        <v>4674</v>
      </c>
      <c r="EY3540" s="35" t="s">
        <v>1639</v>
      </c>
      <c r="EZ3540" s="36" t="s">
        <v>1640</v>
      </c>
      <c r="FA3540" s="36" t="s">
        <v>1192</v>
      </c>
      <c r="FB3540" s="36" t="s">
        <v>344</v>
      </c>
      <c r="FC3540" s="36" t="s">
        <v>1192</v>
      </c>
      <c r="FD3540" s="36" t="s">
        <v>344</v>
      </c>
      <c r="FE3540" s="36">
        <v>2026</v>
      </c>
      <c r="FF3540" s="36" t="s">
        <v>59</v>
      </c>
      <c r="FG3540" s="36" t="s">
        <v>1584</v>
      </c>
      <c r="FJ3540" t="s">
        <v>59</v>
      </c>
    </row>
    <row r="3541" spans="153:166" x14ac:dyDescent="0.35">
      <c r="EW3541" t="s">
        <v>4093</v>
      </c>
      <c r="EX3541" s="33" t="s">
        <v>4675</v>
      </c>
      <c r="EY3541" s="35" t="s">
        <v>1641</v>
      </c>
      <c r="EZ3541" s="36" t="s">
        <v>1642</v>
      </c>
      <c r="FA3541" s="36" t="s">
        <v>1192</v>
      </c>
      <c r="FB3541" s="36" t="s">
        <v>344</v>
      </c>
      <c r="FC3541" s="36" t="s">
        <v>1192</v>
      </c>
      <c r="FD3541" s="36" t="s">
        <v>344</v>
      </c>
      <c r="FE3541" s="36">
        <v>2026</v>
      </c>
      <c r="FF3541" s="36" t="s">
        <v>59</v>
      </c>
      <c r="FG3541" s="36" t="s">
        <v>1584</v>
      </c>
      <c r="FJ3541" t="s">
        <v>59</v>
      </c>
    </row>
    <row r="3542" spans="153:166" x14ac:dyDescent="0.35">
      <c r="EW3542" t="s">
        <v>4093</v>
      </c>
      <c r="EX3542" s="33" t="s">
        <v>4676</v>
      </c>
      <c r="EY3542" s="35" t="s">
        <v>1643</v>
      </c>
      <c r="EZ3542" s="36" t="s">
        <v>1644</v>
      </c>
      <c r="FA3542" s="36" t="s">
        <v>1192</v>
      </c>
      <c r="FB3542" s="36" t="s">
        <v>344</v>
      </c>
      <c r="FC3542" s="36" t="s">
        <v>1192</v>
      </c>
      <c r="FD3542" s="36" t="s">
        <v>344</v>
      </c>
      <c r="FE3542" s="36">
        <v>2026</v>
      </c>
      <c r="FF3542" s="36" t="s">
        <v>59</v>
      </c>
      <c r="FG3542" s="36" t="s">
        <v>1584</v>
      </c>
      <c r="FJ3542" t="s">
        <v>59</v>
      </c>
    </row>
    <row r="3543" spans="153:166" x14ac:dyDescent="0.35">
      <c r="EW3543" t="s">
        <v>4093</v>
      </c>
      <c r="EX3543" s="33" t="s">
        <v>4677</v>
      </c>
      <c r="EY3543" s="35" t="s">
        <v>1645</v>
      </c>
      <c r="EZ3543" s="36" t="s">
        <v>1646</v>
      </c>
      <c r="FA3543" s="36" t="s">
        <v>1192</v>
      </c>
      <c r="FB3543" s="36" t="s">
        <v>344</v>
      </c>
      <c r="FC3543" s="36" t="s">
        <v>1192</v>
      </c>
      <c r="FD3543" s="36" t="s">
        <v>344</v>
      </c>
      <c r="FE3543" s="36">
        <v>2026</v>
      </c>
      <c r="FF3543" s="36" t="s">
        <v>59</v>
      </c>
      <c r="FG3543" s="36" t="s">
        <v>1584</v>
      </c>
      <c r="FJ3543" t="s">
        <v>59</v>
      </c>
    </row>
    <row r="3544" spans="153:166" x14ac:dyDescent="0.35">
      <c r="EW3544" t="s">
        <v>4093</v>
      </c>
      <c r="EX3544" s="33" t="s">
        <v>4678</v>
      </c>
      <c r="EY3544" s="35" t="s">
        <v>1648</v>
      </c>
      <c r="EZ3544" s="36" t="s">
        <v>1649</v>
      </c>
      <c r="FA3544" s="36" t="s">
        <v>1192</v>
      </c>
      <c r="FB3544" s="36" t="s">
        <v>344</v>
      </c>
      <c r="FC3544" s="36" t="s">
        <v>1192</v>
      </c>
      <c r="FD3544" s="36" t="s">
        <v>344</v>
      </c>
      <c r="FE3544" s="36">
        <v>2026</v>
      </c>
      <c r="FF3544" s="36" t="s">
        <v>59</v>
      </c>
      <c r="FG3544" s="36" t="s">
        <v>1584</v>
      </c>
      <c r="FJ3544" t="s">
        <v>59</v>
      </c>
    </row>
    <row r="3545" spans="153:166" x14ac:dyDescent="0.35">
      <c r="EW3545" t="s">
        <v>4093</v>
      </c>
      <c r="EX3545" s="33" t="s">
        <v>4679</v>
      </c>
      <c r="EY3545" s="35" t="s">
        <v>1650</v>
      </c>
      <c r="EZ3545" s="36" t="s">
        <v>1651</v>
      </c>
      <c r="FA3545" s="36" t="s">
        <v>1192</v>
      </c>
      <c r="FB3545" s="36" t="s">
        <v>344</v>
      </c>
      <c r="FC3545" s="36" t="s">
        <v>1192</v>
      </c>
      <c r="FD3545" s="36" t="s">
        <v>344</v>
      </c>
      <c r="FE3545" s="36">
        <v>2026</v>
      </c>
      <c r="FF3545" s="36" t="s">
        <v>59</v>
      </c>
      <c r="FG3545" s="36" t="s">
        <v>1584</v>
      </c>
      <c r="FJ3545" t="s">
        <v>59</v>
      </c>
    </row>
    <row r="3546" spans="153:166" x14ac:dyDescent="0.35">
      <c r="EW3546" t="s">
        <v>4093</v>
      </c>
      <c r="EX3546" s="33" t="s">
        <v>4680</v>
      </c>
      <c r="EY3546" s="35" t="s">
        <v>1652</v>
      </c>
      <c r="EZ3546" s="36" t="s">
        <v>1653</v>
      </c>
      <c r="FA3546" s="36" t="s">
        <v>1192</v>
      </c>
      <c r="FB3546" s="36" t="s">
        <v>344</v>
      </c>
      <c r="FC3546" s="36" t="s">
        <v>1192</v>
      </c>
      <c r="FD3546" s="36" t="s">
        <v>344</v>
      </c>
      <c r="FE3546" s="36">
        <v>2026</v>
      </c>
      <c r="FF3546" s="36" t="s">
        <v>59</v>
      </c>
      <c r="FG3546" s="36" t="s">
        <v>1584</v>
      </c>
      <c r="FJ3546" t="s">
        <v>59</v>
      </c>
    </row>
    <row r="3547" spans="153:166" x14ac:dyDescent="0.35">
      <c r="EW3547" t="s">
        <v>4093</v>
      </c>
      <c r="EX3547" s="33" t="s">
        <v>4681</v>
      </c>
      <c r="EY3547" s="35" t="s">
        <v>1654</v>
      </c>
      <c r="EZ3547" s="36" t="s">
        <v>1655</v>
      </c>
      <c r="FA3547" s="36" t="s">
        <v>1192</v>
      </c>
      <c r="FB3547" s="36" t="s">
        <v>344</v>
      </c>
      <c r="FC3547" s="36" t="s">
        <v>1192</v>
      </c>
      <c r="FD3547" s="36" t="s">
        <v>344</v>
      </c>
      <c r="FE3547" s="36">
        <v>2026</v>
      </c>
      <c r="FF3547" s="36" t="s">
        <v>59</v>
      </c>
      <c r="FG3547" s="36" t="s">
        <v>1584</v>
      </c>
      <c r="FJ3547" t="s">
        <v>59</v>
      </c>
    </row>
    <row r="3548" spans="153:166" x14ac:dyDescent="0.35">
      <c r="EW3548" t="s">
        <v>4093</v>
      </c>
      <c r="EX3548" s="33" t="s">
        <v>4682</v>
      </c>
      <c r="EY3548" s="35" t="s">
        <v>1657</v>
      </c>
      <c r="EZ3548" s="36" t="s">
        <v>1658</v>
      </c>
      <c r="FA3548" s="36" t="s">
        <v>1192</v>
      </c>
      <c r="FB3548" s="36" t="s">
        <v>344</v>
      </c>
      <c r="FC3548" s="36" t="s">
        <v>1192</v>
      </c>
      <c r="FD3548" s="36" t="s">
        <v>344</v>
      </c>
      <c r="FE3548" s="36">
        <v>2026</v>
      </c>
      <c r="FF3548" s="36" t="s">
        <v>59</v>
      </c>
      <c r="FG3548" s="36" t="s">
        <v>1584</v>
      </c>
      <c r="FJ3548" t="s">
        <v>59</v>
      </c>
    </row>
    <row r="3549" spans="153:166" x14ac:dyDescent="0.35">
      <c r="EW3549" t="s">
        <v>4093</v>
      </c>
      <c r="EX3549" s="33" t="s">
        <v>4683</v>
      </c>
      <c r="EY3549" s="35" t="s">
        <v>1659</v>
      </c>
      <c r="EZ3549" s="36" t="s">
        <v>1660</v>
      </c>
      <c r="FA3549" s="36" t="s">
        <v>1192</v>
      </c>
      <c r="FB3549" s="36" t="s">
        <v>344</v>
      </c>
      <c r="FC3549" s="36" t="s">
        <v>1192</v>
      </c>
      <c r="FD3549" s="36" t="s">
        <v>344</v>
      </c>
      <c r="FE3549" s="36">
        <v>2026</v>
      </c>
      <c r="FF3549" s="36" t="s">
        <v>59</v>
      </c>
      <c r="FG3549" s="36" t="s">
        <v>1584</v>
      </c>
      <c r="FJ3549" t="s">
        <v>59</v>
      </c>
    </row>
    <row r="3550" spans="153:166" x14ac:dyDescent="0.35">
      <c r="EW3550" t="s">
        <v>4093</v>
      </c>
      <c r="EX3550" s="33" t="s">
        <v>4684</v>
      </c>
      <c r="EY3550" s="35" t="s">
        <v>1661</v>
      </c>
      <c r="EZ3550" s="36" t="s">
        <v>1662</v>
      </c>
      <c r="FA3550" s="36" t="s">
        <v>1192</v>
      </c>
      <c r="FB3550" s="36" t="s">
        <v>344</v>
      </c>
      <c r="FC3550" s="36" t="s">
        <v>1192</v>
      </c>
      <c r="FD3550" s="36" t="s">
        <v>344</v>
      </c>
      <c r="FE3550" s="36">
        <v>2026</v>
      </c>
      <c r="FF3550" s="36" t="s">
        <v>59</v>
      </c>
      <c r="FG3550" s="36" t="s">
        <v>1584</v>
      </c>
      <c r="FJ3550" t="s">
        <v>59</v>
      </c>
    </row>
    <row r="3551" spans="153:166" x14ac:dyDescent="0.35">
      <c r="EW3551" t="s">
        <v>4093</v>
      </c>
      <c r="EX3551" s="33" t="s">
        <v>4685</v>
      </c>
      <c r="EY3551" s="35" t="s">
        <v>1663</v>
      </c>
      <c r="EZ3551" s="36" t="s">
        <v>1664</v>
      </c>
      <c r="FA3551" s="36" t="s">
        <v>1192</v>
      </c>
      <c r="FB3551" s="36" t="s">
        <v>344</v>
      </c>
      <c r="FC3551" s="36" t="s">
        <v>1192</v>
      </c>
      <c r="FD3551" s="36" t="s">
        <v>344</v>
      </c>
      <c r="FE3551" s="36">
        <v>2026</v>
      </c>
      <c r="FF3551" s="36" t="s">
        <v>59</v>
      </c>
      <c r="FG3551" s="36" t="s">
        <v>1584</v>
      </c>
      <c r="FJ3551" t="s">
        <v>59</v>
      </c>
    </row>
    <row r="3552" spans="153:166" x14ac:dyDescent="0.35">
      <c r="EW3552" t="s">
        <v>4093</v>
      </c>
      <c r="EX3552" s="33" t="s">
        <v>4686</v>
      </c>
      <c r="EY3552" s="35" t="s">
        <v>1665</v>
      </c>
      <c r="EZ3552" s="36" t="s">
        <v>1666</v>
      </c>
      <c r="FA3552" s="36" t="s">
        <v>1192</v>
      </c>
      <c r="FB3552" s="36" t="s">
        <v>344</v>
      </c>
      <c r="FC3552" s="36" t="s">
        <v>1192</v>
      </c>
      <c r="FD3552" s="36" t="s">
        <v>344</v>
      </c>
      <c r="FE3552" s="36">
        <v>2026</v>
      </c>
      <c r="FF3552" s="36" t="s">
        <v>59</v>
      </c>
      <c r="FG3552" s="36" t="s">
        <v>1584</v>
      </c>
      <c r="FJ3552" t="s">
        <v>59</v>
      </c>
    </row>
    <row r="3553" spans="153:166" x14ac:dyDescent="0.35">
      <c r="EW3553" t="s">
        <v>4093</v>
      </c>
      <c r="EX3553" s="33" t="s">
        <v>4687</v>
      </c>
      <c r="EY3553" s="35" t="s">
        <v>1667</v>
      </c>
      <c r="EZ3553" s="36" t="s">
        <v>1668</v>
      </c>
      <c r="FA3553" s="36" t="s">
        <v>1192</v>
      </c>
      <c r="FB3553" s="36" t="s">
        <v>344</v>
      </c>
      <c r="FC3553" s="36" t="s">
        <v>1192</v>
      </c>
      <c r="FD3553" s="36" t="s">
        <v>344</v>
      </c>
      <c r="FE3553" s="36">
        <v>2026</v>
      </c>
      <c r="FF3553" s="36" t="s">
        <v>59</v>
      </c>
      <c r="FG3553" s="36" t="s">
        <v>1584</v>
      </c>
      <c r="FJ3553" t="s">
        <v>59</v>
      </c>
    </row>
    <row r="3554" spans="153:166" x14ac:dyDescent="0.35">
      <c r="EW3554" t="s">
        <v>4093</v>
      </c>
      <c r="EX3554" s="33" t="s">
        <v>4688</v>
      </c>
      <c r="EY3554" s="35" t="s">
        <v>1669</v>
      </c>
      <c r="EZ3554" s="36" t="s">
        <v>1670</v>
      </c>
      <c r="FA3554" s="36" t="s">
        <v>1192</v>
      </c>
      <c r="FB3554" s="36" t="s">
        <v>344</v>
      </c>
      <c r="FC3554" s="36" t="s">
        <v>1192</v>
      </c>
      <c r="FD3554" s="36" t="s">
        <v>344</v>
      </c>
      <c r="FE3554" s="36">
        <v>2026</v>
      </c>
      <c r="FF3554" s="36" t="s">
        <v>59</v>
      </c>
      <c r="FG3554" s="36" t="s">
        <v>1584</v>
      </c>
      <c r="FJ3554" t="s">
        <v>59</v>
      </c>
    </row>
    <row r="3555" spans="153:166" x14ac:dyDescent="0.35">
      <c r="EW3555" t="s">
        <v>4093</v>
      </c>
      <c r="EX3555" s="33" t="s">
        <v>4689</v>
      </c>
      <c r="EY3555" s="35" t="s">
        <v>1671</v>
      </c>
      <c r="EZ3555" s="36" t="s">
        <v>1672</v>
      </c>
      <c r="FA3555" s="36" t="s">
        <v>1192</v>
      </c>
      <c r="FB3555" s="36" t="s">
        <v>344</v>
      </c>
      <c r="FC3555" s="36" t="s">
        <v>1192</v>
      </c>
      <c r="FD3555" s="36" t="s">
        <v>344</v>
      </c>
      <c r="FE3555" s="36">
        <v>2026</v>
      </c>
      <c r="FF3555" s="36" t="s">
        <v>59</v>
      </c>
      <c r="FG3555" s="36" t="s">
        <v>1584</v>
      </c>
      <c r="FJ3555" t="s">
        <v>59</v>
      </c>
    </row>
    <row r="3556" spans="153:166" x14ac:dyDescent="0.35">
      <c r="EW3556" t="s">
        <v>4093</v>
      </c>
      <c r="EX3556" s="33" t="s">
        <v>4690</v>
      </c>
      <c r="EY3556" s="35" t="s">
        <v>1673</v>
      </c>
      <c r="EZ3556" s="36" t="s">
        <v>1674</v>
      </c>
      <c r="FA3556" s="36" t="s">
        <v>1192</v>
      </c>
      <c r="FB3556" s="36" t="s">
        <v>344</v>
      </c>
      <c r="FC3556" s="36" t="s">
        <v>1192</v>
      </c>
      <c r="FD3556" s="36" t="s">
        <v>344</v>
      </c>
      <c r="FE3556" s="36">
        <v>2026</v>
      </c>
      <c r="FF3556" s="36" t="s">
        <v>59</v>
      </c>
      <c r="FG3556" s="36" t="s">
        <v>1584</v>
      </c>
      <c r="FJ3556" t="s">
        <v>59</v>
      </c>
    </row>
    <row r="3557" spans="153:166" x14ac:dyDescent="0.35">
      <c r="EW3557" t="s">
        <v>4093</v>
      </c>
      <c r="EX3557" s="33" t="s">
        <v>4691</v>
      </c>
      <c r="EY3557" s="35" t="s">
        <v>1676</v>
      </c>
      <c r="EZ3557" s="36" t="s">
        <v>1677</v>
      </c>
      <c r="FA3557" s="36" t="s">
        <v>1192</v>
      </c>
      <c r="FB3557" s="36" t="s">
        <v>344</v>
      </c>
      <c r="FC3557" s="36" t="s">
        <v>1192</v>
      </c>
      <c r="FD3557" s="36" t="s">
        <v>344</v>
      </c>
      <c r="FE3557" s="36">
        <v>2026</v>
      </c>
      <c r="FF3557" s="36" t="s">
        <v>59</v>
      </c>
      <c r="FG3557" s="36" t="s">
        <v>1584</v>
      </c>
      <c r="FJ3557" t="s">
        <v>59</v>
      </c>
    </row>
    <row r="3558" spans="153:166" x14ac:dyDescent="0.35">
      <c r="EW3558" t="s">
        <v>4093</v>
      </c>
      <c r="EX3558" s="33" t="s">
        <v>4692</v>
      </c>
      <c r="EY3558" s="35" t="s">
        <v>1678</v>
      </c>
      <c r="EZ3558" s="36" t="s">
        <v>1679</v>
      </c>
      <c r="FA3558" s="36" t="s">
        <v>1192</v>
      </c>
      <c r="FB3558" s="36" t="s">
        <v>344</v>
      </c>
      <c r="FC3558" s="36" t="s">
        <v>1192</v>
      </c>
      <c r="FD3558" s="36" t="s">
        <v>344</v>
      </c>
      <c r="FE3558" s="36">
        <v>2026</v>
      </c>
      <c r="FF3558" s="36" t="s">
        <v>59</v>
      </c>
      <c r="FG3558" s="36" t="s">
        <v>1584</v>
      </c>
      <c r="FJ3558" t="s">
        <v>59</v>
      </c>
    </row>
    <row r="3559" spans="153:166" x14ac:dyDescent="0.35">
      <c r="EW3559" t="s">
        <v>4093</v>
      </c>
      <c r="EX3559" s="33" t="s">
        <v>4693</v>
      </c>
      <c r="EY3559" s="35" t="s">
        <v>1680</v>
      </c>
      <c r="EZ3559" s="36" t="s">
        <v>1681</v>
      </c>
      <c r="FA3559" s="36" t="s">
        <v>1192</v>
      </c>
      <c r="FB3559" s="36" t="s">
        <v>344</v>
      </c>
      <c r="FC3559" s="36" t="s">
        <v>1192</v>
      </c>
      <c r="FD3559" s="36" t="s">
        <v>344</v>
      </c>
      <c r="FE3559" s="36">
        <v>2026</v>
      </c>
      <c r="FF3559" s="36" t="s">
        <v>59</v>
      </c>
      <c r="FG3559" s="36" t="s">
        <v>1584</v>
      </c>
      <c r="FJ3559" t="s">
        <v>59</v>
      </c>
    </row>
    <row r="3560" spans="153:166" x14ac:dyDescent="0.35">
      <c r="EW3560" t="s">
        <v>4093</v>
      </c>
      <c r="EX3560" s="33" t="s">
        <v>4694</v>
      </c>
      <c r="EY3560" s="35" t="s">
        <v>1682</v>
      </c>
      <c r="EZ3560" s="36" t="s">
        <v>1683</v>
      </c>
      <c r="FA3560" s="36" t="s">
        <v>1192</v>
      </c>
      <c r="FB3560" s="36" t="s">
        <v>344</v>
      </c>
      <c r="FC3560" s="36" t="s">
        <v>1192</v>
      </c>
      <c r="FD3560" s="36" t="s">
        <v>344</v>
      </c>
      <c r="FE3560" s="36">
        <v>2026</v>
      </c>
      <c r="FF3560" s="36" t="s">
        <v>59</v>
      </c>
      <c r="FG3560" s="36" t="s">
        <v>1584</v>
      </c>
      <c r="FJ3560" t="s">
        <v>59</v>
      </c>
    </row>
    <row r="3561" spans="153:166" x14ac:dyDescent="0.35">
      <c r="EW3561" t="s">
        <v>4093</v>
      </c>
      <c r="EX3561" s="33" t="s">
        <v>4695</v>
      </c>
      <c r="EY3561" s="35" t="s">
        <v>1684</v>
      </c>
      <c r="EZ3561" s="36" t="s">
        <v>1685</v>
      </c>
      <c r="FA3561" s="36" t="s">
        <v>1192</v>
      </c>
      <c r="FB3561" s="36" t="s">
        <v>344</v>
      </c>
      <c r="FC3561" s="36" t="s">
        <v>1192</v>
      </c>
      <c r="FD3561" s="36" t="s">
        <v>344</v>
      </c>
      <c r="FE3561" s="36">
        <v>2026</v>
      </c>
      <c r="FF3561" s="36" t="s">
        <v>59</v>
      </c>
      <c r="FG3561" s="36" t="s">
        <v>1584</v>
      </c>
      <c r="FJ3561" t="s">
        <v>59</v>
      </c>
    </row>
    <row r="3562" spans="153:166" x14ac:dyDescent="0.35">
      <c r="EW3562" t="s">
        <v>4093</v>
      </c>
      <c r="EX3562" s="33" t="s">
        <v>4696</v>
      </c>
      <c r="EY3562" s="35" t="s">
        <v>1686</v>
      </c>
      <c r="EZ3562" s="36" t="s">
        <v>1687</v>
      </c>
      <c r="FA3562" s="36" t="s">
        <v>1192</v>
      </c>
      <c r="FB3562" s="36" t="s">
        <v>344</v>
      </c>
      <c r="FC3562" s="36" t="s">
        <v>1192</v>
      </c>
      <c r="FD3562" s="36" t="s">
        <v>344</v>
      </c>
      <c r="FE3562" s="36">
        <v>2026</v>
      </c>
      <c r="FF3562" s="36" t="s">
        <v>59</v>
      </c>
      <c r="FG3562" s="36" t="s">
        <v>1584</v>
      </c>
      <c r="FJ3562" t="s">
        <v>59</v>
      </c>
    </row>
    <row r="3563" spans="153:166" x14ac:dyDescent="0.35">
      <c r="EW3563" t="s">
        <v>4093</v>
      </c>
      <c r="EX3563" s="33" t="s">
        <v>4697</v>
      </c>
      <c r="EY3563" s="35" t="s">
        <v>1688</v>
      </c>
      <c r="EZ3563" s="36" t="s">
        <v>1689</v>
      </c>
      <c r="FA3563" s="36" t="s">
        <v>1192</v>
      </c>
      <c r="FB3563" s="36" t="s">
        <v>344</v>
      </c>
      <c r="FC3563" s="36" t="s">
        <v>1192</v>
      </c>
      <c r="FD3563" s="36" t="s">
        <v>344</v>
      </c>
      <c r="FE3563" s="36">
        <v>2026</v>
      </c>
      <c r="FF3563" s="36" t="s">
        <v>59</v>
      </c>
      <c r="FG3563" s="36" t="s">
        <v>1584</v>
      </c>
      <c r="FJ3563" t="s">
        <v>59</v>
      </c>
    </row>
    <row r="3564" spans="153:166" x14ac:dyDescent="0.35">
      <c r="EW3564" t="s">
        <v>4093</v>
      </c>
      <c r="EX3564" s="33" t="s">
        <v>4698</v>
      </c>
      <c r="EY3564" s="35" t="s">
        <v>1690</v>
      </c>
      <c r="EZ3564" s="36" t="s">
        <v>1691</v>
      </c>
      <c r="FA3564" s="36" t="s">
        <v>1192</v>
      </c>
      <c r="FB3564" s="36" t="s">
        <v>344</v>
      </c>
      <c r="FC3564" s="36" t="s">
        <v>1192</v>
      </c>
      <c r="FD3564" s="36" t="s">
        <v>344</v>
      </c>
      <c r="FE3564" s="36">
        <v>2026</v>
      </c>
      <c r="FF3564" s="36" t="s">
        <v>59</v>
      </c>
      <c r="FG3564" s="36" t="s">
        <v>1584</v>
      </c>
      <c r="FJ3564" t="s">
        <v>59</v>
      </c>
    </row>
    <row r="3565" spans="153:166" x14ac:dyDescent="0.35">
      <c r="EW3565" t="s">
        <v>4093</v>
      </c>
      <c r="EX3565" s="33" t="s">
        <v>4699</v>
      </c>
      <c r="EY3565" s="35" t="s">
        <v>1692</v>
      </c>
      <c r="EZ3565" s="36" t="s">
        <v>1693</v>
      </c>
      <c r="FA3565" s="36" t="s">
        <v>1192</v>
      </c>
      <c r="FB3565" s="36" t="s">
        <v>344</v>
      </c>
      <c r="FC3565" s="36" t="s">
        <v>1192</v>
      </c>
      <c r="FD3565" s="36" t="s">
        <v>344</v>
      </c>
      <c r="FE3565" s="36">
        <v>2026</v>
      </c>
      <c r="FF3565" s="36" t="s">
        <v>59</v>
      </c>
      <c r="FG3565" s="36" t="s">
        <v>1584</v>
      </c>
      <c r="FJ3565" t="s">
        <v>59</v>
      </c>
    </row>
    <row r="3566" spans="153:166" x14ac:dyDescent="0.35">
      <c r="EW3566" t="s">
        <v>4093</v>
      </c>
      <c r="EX3566" s="33" t="s">
        <v>4700</v>
      </c>
      <c r="EY3566" s="35" t="s">
        <v>1694</v>
      </c>
      <c r="EZ3566" s="36" t="s">
        <v>1695</v>
      </c>
      <c r="FA3566" s="36" t="s">
        <v>1192</v>
      </c>
      <c r="FB3566" s="36" t="s">
        <v>344</v>
      </c>
      <c r="FC3566" s="36" t="s">
        <v>1192</v>
      </c>
      <c r="FD3566" s="36" t="s">
        <v>344</v>
      </c>
      <c r="FE3566" s="36">
        <v>2026</v>
      </c>
      <c r="FF3566" s="36" t="s">
        <v>59</v>
      </c>
      <c r="FG3566" s="36" t="s">
        <v>1584</v>
      </c>
      <c r="FJ3566" t="s">
        <v>59</v>
      </c>
    </row>
    <row r="3567" spans="153:166" x14ac:dyDescent="0.35">
      <c r="EW3567" t="s">
        <v>4093</v>
      </c>
      <c r="EX3567" s="33" t="s">
        <v>4701</v>
      </c>
      <c r="EY3567" s="35" t="s">
        <v>1696</v>
      </c>
      <c r="EZ3567" s="36" t="s">
        <v>1697</v>
      </c>
      <c r="FA3567" s="36" t="s">
        <v>1192</v>
      </c>
      <c r="FB3567" s="36" t="s">
        <v>344</v>
      </c>
      <c r="FC3567" s="36" t="s">
        <v>1192</v>
      </c>
      <c r="FD3567" s="36" t="s">
        <v>344</v>
      </c>
      <c r="FE3567" s="36">
        <v>2026</v>
      </c>
      <c r="FF3567" s="36" t="s">
        <v>59</v>
      </c>
      <c r="FG3567" s="36" t="s">
        <v>1584</v>
      </c>
      <c r="FJ3567" t="s">
        <v>59</v>
      </c>
    </row>
    <row r="3568" spans="153:166" x14ac:dyDescent="0.35">
      <c r="EW3568" t="s">
        <v>4093</v>
      </c>
      <c r="EX3568" s="33" t="s">
        <v>4702</v>
      </c>
      <c r="EY3568" s="35" t="s">
        <v>1698</v>
      </c>
      <c r="EZ3568" s="36" t="s">
        <v>1699</v>
      </c>
      <c r="FA3568" s="36" t="s">
        <v>1192</v>
      </c>
      <c r="FB3568" s="36" t="s">
        <v>344</v>
      </c>
      <c r="FC3568" s="36" t="s">
        <v>1192</v>
      </c>
      <c r="FD3568" s="36" t="s">
        <v>344</v>
      </c>
      <c r="FE3568" s="36">
        <v>2026</v>
      </c>
      <c r="FF3568" s="36" t="s">
        <v>59</v>
      </c>
      <c r="FG3568" s="36" t="s">
        <v>1584</v>
      </c>
      <c r="FJ3568" t="s">
        <v>59</v>
      </c>
    </row>
    <row r="3569" spans="153:166" x14ac:dyDescent="0.35">
      <c r="EW3569" t="s">
        <v>4093</v>
      </c>
      <c r="EX3569" s="33" t="s">
        <v>4703</v>
      </c>
      <c r="EY3569" s="35" t="s">
        <v>1700</v>
      </c>
      <c r="EZ3569" s="36" t="s">
        <v>1701</v>
      </c>
      <c r="FA3569" s="36" t="s">
        <v>1192</v>
      </c>
      <c r="FB3569" s="36" t="s">
        <v>344</v>
      </c>
      <c r="FC3569" s="36" t="s">
        <v>1192</v>
      </c>
      <c r="FD3569" s="36" t="s">
        <v>344</v>
      </c>
      <c r="FE3569" s="36">
        <v>2026</v>
      </c>
      <c r="FF3569" s="36" t="s">
        <v>59</v>
      </c>
      <c r="FG3569" s="36" t="s">
        <v>1584</v>
      </c>
      <c r="FJ3569" t="s">
        <v>59</v>
      </c>
    </row>
    <row r="3570" spans="153:166" x14ac:dyDescent="0.35">
      <c r="EW3570" t="s">
        <v>4093</v>
      </c>
      <c r="EX3570" s="33" t="s">
        <v>4704</v>
      </c>
      <c r="EY3570" s="35" t="s">
        <v>1702</v>
      </c>
      <c r="EZ3570" s="36" t="s">
        <v>1703</v>
      </c>
      <c r="FA3570" s="36" t="s">
        <v>1192</v>
      </c>
      <c r="FB3570" s="36" t="s">
        <v>344</v>
      </c>
      <c r="FC3570" s="36" t="s">
        <v>1192</v>
      </c>
      <c r="FD3570" s="36" t="s">
        <v>344</v>
      </c>
      <c r="FE3570" s="36">
        <v>2026</v>
      </c>
      <c r="FF3570" s="36" t="s">
        <v>59</v>
      </c>
      <c r="FG3570" s="36" t="s">
        <v>1584</v>
      </c>
      <c r="FJ3570" t="s">
        <v>59</v>
      </c>
    </row>
    <row r="3571" spans="153:166" x14ac:dyDescent="0.35">
      <c r="EW3571" t="s">
        <v>4093</v>
      </c>
      <c r="EX3571" s="33" t="s">
        <v>4705</v>
      </c>
      <c r="EY3571" s="35" t="s">
        <v>1704</v>
      </c>
      <c r="EZ3571" s="36" t="s">
        <v>1705</v>
      </c>
      <c r="FA3571" s="36" t="s">
        <v>1192</v>
      </c>
      <c r="FB3571" s="36" t="s">
        <v>344</v>
      </c>
      <c r="FC3571" s="36" t="s">
        <v>1192</v>
      </c>
      <c r="FD3571" s="36" t="s">
        <v>344</v>
      </c>
      <c r="FE3571" s="36">
        <v>2026</v>
      </c>
      <c r="FF3571" s="36" t="s">
        <v>59</v>
      </c>
      <c r="FG3571" s="36" t="s">
        <v>1584</v>
      </c>
      <c r="FJ3571" t="s">
        <v>59</v>
      </c>
    </row>
    <row r="3572" spans="153:166" x14ac:dyDescent="0.35">
      <c r="EW3572" t="s">
        <v>4093</v>
      </c>
      <c r="EX3572" s="33" t="s">
        <v>4706</v>
      </c>
      <c r="EY3572" s="35" t="s">
        <v>1708</v>
      </c>
      <c r="EZ3572" s="36" t="s">
        <v>1709</v>
      </c>
      <c r="FA3572" s="36" t="s">
        <v>1192</v>
      </c>
      <c r="FB3572" s="36" t="s">
        <v>344</v>
      </c>
      <c r="FC3572" s="36" t="s">
        <v>1192</v>
      </c>
      <c r="FD3572" s="36" t="s">
        <v>344</v>
      </c>
      <c r="FE3572" s="36">
        <v>2026</v>
      </c>
      <c r="FF3572" s="36" t="s">
        <v>59</v>
      </c>
      <c r="FG3572" s="36" t="s">
        <v>1584</v>
      </c>
      <c r="FJ3572" t="s">
        <v>59</v>
      </c>
    </row>
    <row r="3573" spans="153:166" x14ac:dyDescent="0.35">
      <c r="EW3573" t="s">
        <v>4093</v>
      </c>
      <c r="EX3573" s="33" t="s">
        <v>4707</v>
      </c>
      <c r="EY3573" s="35" t="s">
        <v>1710</v>
      </c>
      <c r="EZ3573" s="36" t="s">
        <v>1711</v>
      </c>
      <c r="FA3573" s="36" t="s">
        <v>1192</v>
      </c>
      <c r="FB3573" s="36" t="s">
        <v>344</v>
      </c>
      <c r="FC3573" s="36" t="s">
        <v>1192</v>
      </c>
      <c r="FD3573" s="36" t="s">
        <v>344</v>
      </c>
      <c r="FE3573" s="36">
        <v>2026</v>
      </c>
      <c r="FF3573" s="36" t="s">
        <v>59</v>
      </c>
      <c r="FG3573" s="36" t="s">
        <v>1584</v>
      </c>
      <c r="FJ3573" t="s">
        <v>59</v>
      </c>
    </row>
    <row r="3574" spans="153:166" x14ac:dyDescent="0.35">
      <c r="EW3574" t="s">
        <v>4093</v>
      </c>
      <c r="EX3574" s="33" t="s">
        <v>4708</v>
      </c>
      <c r="EY3574" s="35" t="s">
        <v>1712</v>
      </c>
      <c r="EZ3574" s="36" t="s">
        <v>1713</v>
      </c>
      <c r="FA3574" s="36" t="s">
        <v>1192</v>
      </c>
      <c r="FB3574" s="36" t="s">
        <v>344</v>
      </c>
      <c r="FC3574" s="36" t="s">
        <v>1192</v>
      </c>
      <c r="FD3574" s="36" t="s">
        <v>344</v>
      </c>
      <c r="FE3574" s="36">
        <v>2026</v>
      </c>
      <c r="FF3574" s="36" t="s">
        <v>59</v>
      </c>
      <c r="FG3574" s="36" t="s">
        <v>1584</v>
      </c>
      <c r="FJ3574" t="s">
        <v>59</v>
      </c>
    </row>
    <row r="3575" spans="153:166" x14ac:dyDescent="0.35">
      <c r="EW3575" t="s">
        <v>4093</v>
      </c>
      <c r="EX3575" s="33" t="s">
        <v>4709</v>
      </c>
      <c r="EY3575" s="35" t="s">
        <v>1714</v>
      </c>
      <c r="EZ3575" s="36" t="s">
        <v>1715</v>
      </c>
      <c r="FA3575" s="36" t="s">
        <v>1192</v>
      </c>
      <c r="FB3575" s="36" t="s">
        <v>344</v>
      </c>
      <c r="FC3575" s="36" t="s">
        <v>1192</v>
      </c>
      <c r="FD3575" s="36" t="s">
        <v>344</v>
      </c>
      <c r="FE3575" s="36">
        <v>2026</v>
      </c>
      <c r="FF3575" s="36" t="s">
        <v>59</v>
      </c>
      <c r="FG3575" s="36" t="s">
        <v>1584</v>
      </c>
      <c r="FJ3575" t="s">
        <v>59</v>
      </c>
    </row>
    <row r="3576" spans="153:166" x14ac:dyDescent="0.35">
      <c r="EW3576" t="s">
        <v>4093</v>
      </c>
      <c r="EX3576" s="33" t="s">
        <v>4710</v>
      </c>
      <c r="EY3576" s="35" t="s">
        <v>1716</v>
      </c>
      <c r="EZ3576" s="36" t="s">
        <v>1717</v>
      </c>
      <c r="FA3576" s="36" t="s">
        <v>1192</v>
      </c>
      <c r="FB3576" s="36" t="s">
        <v>344</v>
      </c>
      <c r="FC3576" s="36" t="s">
        <v>1192</v>
      </c>
      <c r="FD3576" s="36" t="s">
        <v>344</v>
      </c>
      <c r="FE3576" s="36">
        <v>2026</v>
      </c>
      <c r="FF3576" s="36" t="s">
        <v>59</v>
      </c>
      <c r="FG3576" s="36" t="s">
        <v>1584</v>
      </c>
      <c r="FJ3576" t="s">
        <v>59</v>
      </c>
    </row>
    <row r="3577" spans="153:166" x14ac:dyDescent="0.35">
      <c r="EW3577" t="s">
        <v>4093</v>
      </c>
      <c r="EX3577" s="33" t="s">
        <v>4711</v>
      </c>
      <c r="EY3577" s="35" t="s">
        <v>1720</v>
      </c>
      <c r="EZ3577" s="36" t="s">
        <v>1721</v>
      </c>
      <c r="FA3577" s="36" t="s">
        <v>1722</v>
      </c>
      <c r="FB3577" s="36" t="s">
        <v>1723</v>
      </c>
      <c r="FC3577" s="36" t="s">
        <v>1722</v>
      </c>
      <c r="FD3577" s="36" t="s">
        <v>1724</v>
      </c>
      <c r="FE3577" s="36">
        <v>2019</v>
      </c>
      <c r="FF3577" s="36" t="s">
        <v>59</v>
      </c>
      <c r="FG3577" s="36" t="s">
        <v>1193</v>
      </c>
      <c r="FJ3577" t="s">
        <v>59</v>
      </c>
    </row>
    <row r="3578" spans="153:166" x14ac:dyDescent="0.35">
      <c r="EW3578" t="s">
        <v>4093</v>
      </c>
      <c r="EX3578" s="33" t="s">
        <v>4712</v>
      </c>
      <c r="EY3578" s="35" t="s">
        <v>1725</v>
      </c>
      <c r="EZ3578" s="36">
        <v>482342</v>
      </c>
      <c r="FA3578" s="36" t="s">
        <v>1726</v>
      </c>
      <c r="FB3578" s="36" t="s">
        <v>52</v>
      </c>
      <c r="FC3578" s="36" t="s">
        <v>53</v>
      </c>
      <c r="FD3578" s="36" t="s">
        <v>54</v>
      </c>
      <c r="FE3578" s="36">
        <v>2019</v>
      </c>
      <c r="FF3578" s="36" t="s">
        <v>1727</v>
      </c>
      <c r="FG3578" s="36" t="s">
        <v>1728</v>
      </c>
      <c r="FJ3578" t="s">
        <v>59</v>
      </c>
    </row>
    <row r="3579" spans="153:166" x14ac:dyDescent="0.35">
      <c r="EW3579" t="s">
        <v>4093</v>
      </c>
      <c r="EX3579" s="33" t="s">
        <v>4713</v>
      </c>
      <c r="EY3579" s="35" t="s">
        <v>1729</v>
      </c>
      <c r="EZ3579" s="36">
        <v>483878</v>
      </c>
      <c r="FA3579" s="36" t="s">
        <v>1726</v>
      </c>
      <c r="FB3579" s="36" t="s">
        <v>52</v>
      </c>
      <c r="FC3579" s="36" t="s">
        <v>53</v>
      </c>
      <c r="FD3579" s="36" t="s">
        <v>54</v>
      </c>
      <c r="FE3579" s="36">
        <v>2019</v>
      </c>
      <c r="FF3579" s="36" t="s">
        <v>1727</v>
      </c>
      <c r="FG3579" s="36" t="s">
        <v>1193</v>
      </c>
      <c r="FJ3579" t="s">
        <v>59</v>
      </c>
    </row>
    <row r="3580" spans="153:166" x14ac:dyDescent="0.35">
      <c r="EW3580" t="s">
        <v>4093</v>
      </c>
      <c r="EX3580" s="33" t="s">
        <v>1121</v>
      </c>
      <c r="EY3580" s="35" t="s">
        <v>1732</v>
      </c>
      <c r="EZ3580" s="36">
        <v>479849</v>
      </c>
      <c r="FA3580" s="36" t="s">
        <v>1726</v>
      </c>
      <c r="FB3580" s="36" t="s">
        <v>52</v>
      </c>
      <c r="FC3580" s="36" t="s">
        <v>53</v>
      </c>
      <c r="FD3580" s="36" t="s">
        <v>54</v>
      </c>
      <c r="FE3580" s="36">
        <v>2019</v>
      </c>
      <c r="FF3580" s="36" t="s">
        <v>1727</v>
      </c>
      <c r="FG3580" s="36" t="s">
        <v>1193</v>
      </c>
      <c r="FJ3580" t="s">
        <v>59</v>
      </c>
    </row>
    <row r="3581" spans="153:166" x14ac:dyDescent="0.35">
      <c r="EW3581" t="s">
        <v>4093</v>
      </c>
      <c r="EX3581" s="33" t="s">
        <v>4714</v>
      </c>
      <c r="EY3581" s="35" t="s">
        <v>1733</v>
      </c>
      <c r="EZ3581" s="36">
        <v>484541</v>
      </c>
      <c r="FA3581" s="36" t="s">
        <v>1726</v>
      </c>
      <c r="FB3581" s="36" t="s">
        <v>52</v>
      </c>
      <c r="FC3581" s="36" t="s">
        <v>53</v>
      </c>
      <c r="FD3581" s="36" t="s">
        <v>54</v>
      </c>
      <c r="FE3581" s="36">
        <v>2019</v>
      </c>
      <c r="FF3581" s="36" t="s">
        <v>1727</v>
      </c>
      <c r="FG3581" s="36" t="s">
        <v>1193</v>
      </c>
      <c r="FJ3581" t="s">
        <v>59</v>
      </c>
    </row>
    <row r="3582" spans="153:166" x14ac:dyDescent="0.35">
      <c r="EW3582" t="s">
        <v>4093</v>
      </c>
      <c r="EX3582" s="33" t="s">
        <v>4715</v>
      </c>
      <c r="EY3582" s="35" t="s">
        <v>1734</v>
      </c>
      <c r="EZ3582" s="36">
        <v>481662</v>
      </c>
      <c r="FA3582" s="36" t="s">
        <v>1726</v>
      </c>
      <c r="FB3582" s="36" t="s">
        <v>52</v>
      </c>
      <c r="FC3582" s="36" t="s">
        <v>53</v>
      </c>
      <c r="FD3582" s="36" t="s">
        <v>54</v>
      </c>
      <c r="FE3582" s="36">
        <v>2019</v>
      </c>
      <c r="FF3582" s="36" t="s">
        <v>1727</v>
      </c>
      <c r="FG3582" s="36" t="s">
        <v>1728</v>
      </c>
      <c r="FJ3582" t="s">
        <v>59</v>
      </c>
    </row>
    <row r="3583" spans="153:166" x14ac:dyDescent="0.35">
      <c r="EW3583" t="s">
        <v>4093</v>
      </c>
      <c r="EX3583" s="33" t="s">
        <v>4716</v>
      </c>
      <c r="EY3583" s="35" t="s">
        <v>1737</v>
      </c>
      <c r="EZ3583" s="36">
        <v>478253</v>
      </c>
      <c r="FA3583" s="36" t="s">
        <v>1726</v>
      </c>
      <c r="FB3583" s="36" t="s">
        <v>52</v>
      </c>
      <c r="FC3583" s="36" t="s">
        <v>53</v>
      </c>
      <c r="FD3583" s="36" t="s">
        <v>54</v>
      </c>
      <c r="FE3583" s="36">
        <v>2019</v>
      </c>
      <c r="FF3583" s="36" t="s">
        <v>1727</v>
      </c>
      <c r="FG3583" s="36" t="s">
        <v>1728</v>
      </c>
      <c r="FJ3583" t="s">
        <v>59</v>
      </c>
    </row>
    <row r="3584" spans="153:166" x14ac:dyDescent="0.35">
      <c r="EW3584" t="s">
        <v>4093</v>
      </c>
      <c r="EX3584" s="33" t="s">
        <v>4717</v>
      </c>
      <c r="EY3584" s="35" t="s">
        <v>1740</v>
      </c>
      <c r="EZ3584" s="36">
        <v>482584</v>
      </c>
      <c r="FA3584" s="36" t="s">
        <v>1726</v>
      </c>
      <c r="FB3584" s="36" t="s">
        <v>52</v>
      </c>
      <c r="FC3584" s="36" t="s">
        <v>53</v>
      </c>
      <c r="FD3584" s="36" t="s">
        <v>54</v>
      </c>
      <c r="FE3584" s="36">
        <v>2019</v>
      </c>
      <c r="FF3584" s="36" t="s">
        <v>1727</v>
      </c>
      <c r="FG3584" s="36" t="s">
        <v>1728</v>
      </c>
      <c r="FJ3584" t="s">
        <v>59</v>
      </c>
    </row>
    <row r="3585" spans="153:166" x14ac:dyDescent="0.35">
      <c r="EW3585" t="s">
        <v>4093</v>
      </c>
      <c r="EX3585" s="33" t="s">
        <v>4718</v>
      </c>
      <c r="EY3585" s="35" t="s">
        <v>1743</v>
      </c>
      <c r="EZ3585" s="36">
        <v>482487</v>
      </c>
      <c r="FA3585" s="36" t="s">
        <v>1726</v>
      </c>
      <c r="FB3585" s="36" t="s">
        <v>52</v>
      </c>
      <c r="FC3585" s="36" t="s">
        <v>53</v>
      </c>
      <c r="FD3585" s="36" t="s">
        <v>54</v>
      </c>
      <c r="FE3585" s="36">
        <v>2019</v>
      </c>
      <c r="FF3585" s="36" t="s">
        <v>1727</v>
      </c>
      <c r="FG3585" s="36" t="s">
        <v>1728</v>
      </c>
      <c r="FJ3585" t="s">
        <v>59</v>
      </c>
    </row>
    <row r="3586" spans="153:166" x14ac:dyDescent="0.35">
      <c r="EW3586" t="s">
        <v>4093</v>
      </c>
      <c r="EX3586" s="33" t="s">
        <v>4123</v>
      </c>
      <c r="EY3586" s="35" t="s">
        <v>1746</v>
      </c>
      <c r="EZ3586" s="36">
        <v>483422</v>
      </c>
      <c r="FA3586" s="36" t="s">
        <v>1726</v>
      </c>
      <c r="FB3586" s="36" t="s">
        <v>52</v>
      </c>
      <c r="FC3586" s="36" t="s">
        <v>53</v>
      </c>
      <c r="FD3586" s="36" t="s">
        <v>54</v>
      </c>
      <c r="FE3586" s="36">
        <v>2019</v>
      </c>
      <c r="FF3586" s="36" t="s">
        <v>1727</v>
      </c>
      <c r="FG3586" s="36" t="s">
        <v>1193</v>
      </c>
      <c r="FJ3586" t="s">
        <v>59</v>
      </c>
    </row>
    <row r="3587" spans="153:166" x14ac:dyDescent="0.35">
      <c r="EW3587" t="s">
        <v>4093</v>
      </c>
      <c r="EX3587" s="33" t="s">
        <v>1126</v>
      </c>
      <c r="EY3587" s="35" t="s">
        <v>1747</v>
      </c>
      <c r="EZ3587" s="36">
        <v>484639</v>
      </c>
      <c r="FA3587" s="36" t="s">
        <v>1726</v>
      </c>
      <c r="FB3587" s="36" t="s">
        <v>52</v>
      </c>
      <c r="FC3587" s="36" t="s">
        <v>53</v>
      </c>
      <c r="FD3587" s="36" t="s">
        <v>54</v>
      </c>
      <c r="FE3587" s="36">
        <v>2019</v>
      </c>
      <c r="FF3587" s="36" t="s">
        <v>1727</v>
      </c>
      <c r="FG3587" s="36" t="s">
        <v>1193</v>
      </c>
      <c r="FJ3587" t="s">
        <v>59</v>
      </c>
    </row>
    <row r="3588" spans="153:166" x14ac:dyDescent="0.35">
      <c r="EW3588" t="s">
        <v>4093</v>
      </c>
      <c r="EX3588" s="33" t="s">
        <v>4719</v>
      </c>
      <c r="EY3588" s="35" t="s">
        <v>1748</v>
      </c>
      <c r="EZ3588" s="36">
        <v>484547</v>
      </c>
      <c r="FA3588" s="36" t="s">
        <v>1726</v>
      </c>
      <c r="FB3588" s="36" t="s">
        <v>52</v>
      </c>
      <c r="FC3588" s="36" t="s">
        <v>53</v>
      </c>
      <c r="FD3588" s="36" t="s">
        <v>54</v>
      </c>
      <c r="FE3588" s="36">
        <v>2019</v>
      </c>
      <c r="FF3588" s="36" t="s">
        <v>1727</v>
      </c>
      <c r="FG3588" s="36" t="s">
        <v>1193</v>
      </c>
      <c r="FJ3588" t="s">
        <v>59</v>
      </c>
    </row>
    <row r="3589" spans="153:166" x14ac:dyDescent="0.35">
      <c r="EW3589" t="s">
        <v>4093</v>
      </c>
      <c r="EX3589" s="33" t="s">
        <v>1750</v>
      </c>
      <c r="EY3589" s="35" t="s">
        <v>1749</v>
      </c>
      <c r="EZ3589" s="36">
        <v>506294</v>
      </c>
      <c r="FA3589" s="36" t="s">
        <v>1726</v>
      </c>
      <c r="FB3589" s="36" t="s">
        <v>473</v>
      </c>
      <c r="FC3589" s="36" t="s">
        <v>53</v>
      </c>
      <c r="FD3589" s="36" t="s">
        <v>476</v>
      </c>
      <c r="FE3589" s="36">
        <v>2020</v>
      </c>
      <c r="FF3589" s="36" t="s">
        <v>474</v>
      </c>
      <c r="FG3589" s="36" t="s">
        <v>1193</v>
      </c>
      <c r="FJ3589" t="s">
        <v>474</v>
      </c>
    </row>
    <row r="3590" spans="153:166" x14ac:dyDescent="0.35">
      <c r="EW3590" t="s">
        <v>4093</v>
      </c>
      <c r="EX3590" s="33" t="s">
        <v>2388</v>
      </c>
      <c r="EY3590" s="35" t="s">
        <v>1752</v>
      </c>
      <c r="EZ3590" s="36">
        <v>505924</v>
      </c>
      <c r="FA3590" s="36" t="s">
        <v>1726</v>
      </c>
      <c r="FB3590" s="36" t="s">
        <v>473</v>
      </c>
      <c r="FC3590" s="36" t="s">
        <v>53</v>
      </c>
      <c r="FD3590" s="36" t="s">
        <v>476</v>
      </c>
      <c r="FE3590" s="36">
        <v>2020</v>
      </c>
      <c r="FF3590" s="36" t="s">
        <v>474</v>
      </c>
      <c r="FG3590" s="36" t="s">
        <v>1193</v>
      </c>
      <c r="FJ3590" t="s">
        <v>474</v>
      </c>
    </row>
    <row r="3591" spans="153:166" x14ac:dyDescent="0.35">
      <c r="EW3591" t="s">
        <v>4093</v>
      </c>
      <c r="EX3591" s="33" t="s">
        <v>1621</v>
      </c>
      <c r="EY3591" s="35" t="s">
        <v>1755</v>
      </c>
      <c r="EZ3591" s="36">
        <v>505881</v>
      </c>
      <c r="FA3591" s="36" t="s">
        <v>1726</v>
      </c>
      <c r="FB3591" s="36" t="s">
        <v>473</v>
      </c>
      <c r="FC3591" s="36" t="s">
        <v>53</v>
      </c>
      <c r="FD3591" s="36" t="s">
        <v>476</v>
      </c>
      <c r="FE3591" s="36">
        <v>2020</v>
      </c>
      <c r="FF3591" s="36" t="s">
        <v>474</v>
      </c>
      <c r="FG3591" s="36" t="s">
        <v>1210</v>
      </c>
      <c r="FJ3591" t="s">
        <v>474</v>
      </c>
    </row>
    <row r="3592" spans="153:166" x14ac:dyDescent="0.35">
      <c r="EW3592" t="s">
        <v>4093</v>
      </c>
      <c r="EX3592" s="33" t="s">
        <v>1886</v>
      </c>
      <c r="EY3592" s="35" t="s">
        <v>1758</v>
      </c>
      <c r="EZ3592" s="36">
        <v>505895</v>
      </c>
      <c r="FA3592" s="36" t="s">
        <v>1726</v>
      </c>
      <c r="FB3592" s="36" t="s">
        <v>473</v>
      </c>
      <c r="FC3592" s="36" t="s">
        <v>53</v>
      </c>
      <c r="FD3592" s="36" t="s">
        <v>476</v>
      </c>
      <c r="FE3592" s="36">
        <v>2020</v>
      </c>
      <c r="FF3592" s="36" t="s">
        <v>474</v>
      </c>
      <c r="FG3592" s="36" t="s">
        <v>1193</v>
      </c>
      <c r="FJ3592" t="s">
        <v>474</v>
      </c>
    </row>
    <row r="3593" spans="153:166" x14ac:dyDescent="0.35">
      <c r="EW3593" t="s">
        <v>4093</v>
      </c>
      <c r="EX3593" s="33" t="s">
        <v>1497</v>
      </c>
      <c r="EY3593" s="35" t="s">
        <v>1761</v>
      </c>
      <c r="EZ3593" s="36">
        <v>506176</v>
      </c>
      <c r="FA3593" s="36" t="s">
        <v>1726</v>
      </c>
      <c r="FB3593" s="36" t="s">
        <v>473</v>
      </c>
      <c r="FC3593" s="36" t="s">
        <v>53</v>
      </c>
      <c r="FD3593" s="36" t="s">
        <v>476</v>
      </c>
      <c r="FE3593" s="36">
        <v>2020</v>
      </c>
      <c r="FF3593" s="36" t="s">
        <v>474</v>
      </c>
      <c r="FG3593" s="36" t="s">
        <v>1193</v>
      </c>
      <c r="FJ3593" t="s">
        <v>474</v>
      </c>
    </row>
    <row r="3594" spans="153:166" x14ac:dyDescent="0.35">
      <c r="EW3594" t="s">
        <v>4093</v>
      </c>
      <c r="EX3594" s="33" t="s">
        <v>1718</v>
      </c>
      <c r="EY3594" s="35" t="s">
        <v>1764</v>
      </c>
      <c r="EZ3594" s="36">
        <v>506197</v>
      </c>
      <c r="FA3594" s="36" t="s">
        <v>1726</v>
      </c>
      <c r="FB3594" s="36" t="s">
        <v>473</v>
      </c>
      <c r="FC3594" s="36" t="s">
        <v>53</v>
      </c>
      <c r="FD3594" s="36" t="s">
        <v>476</v>
      </c>
      <c r="FE3594" s="36">
        <v>2020</v>
      </c>
      <c r="FF3594" s="36" t="s">
        <v>474</v>
      </c>
      <c r="FG3594" s="36" t="s">
        <v>1193</v>
      </c>
      <c r="FJ3594" t="s">
        <v>474</v>
      </c>
    </row>
    <row r="3595" spans="153:166" x14ac:dyDescent="0.35">
      <c r="EW3595" t="s">
        <v>4093</v>
      </c>
      <c r="EX3595" s="33" t="s">
        <v>2021</v>
      </c>
      <c r="EY3595" s="35" t="s">
        <v>1767</v>
      </c>
      <c r="EZ3595" s="36">
        <v>506187</v>
      </c>
      <c r="FA3595" s="36" t="s">
        <v>1726</v>
      </c>
      <c r="FB3595" s="36" t="s">
        <v>473</v>
      </c>
      <c r="FC3595" s="36" t="s">
        <v>53</v>
      </c>
      <c r="FD3595" s="36" t="s">
        <v>476</v>
      </c>
      <c r="FE3595" s="36">
        <v>2020</v>
      </c>
      <c r="FF3595" s="36" t="s">
        <v>474</v>
      </c>
      <c r="FG3595" s="36" t="s">
        <v>1193</v>
      </c>
      <c r="FJ3595" t="s">
        <v>474</v>
      </c>
    </row>
    <row r="3596" spans="153:166" x14ac:dyDescent="0.35">
      <c r="EW3596" t="s">
        <v>4093</v>
      </c>
      <c r="EX3596" s="33" t="s">
        <v>1945</v>
      </c>
      <c r="EY3596" s="35" t="s">
        <v>1770</v>
      </c>
      <c r="EZ3596" s="36">
        <v>506345</v>
      </c>
      <c r="FA3596" s="36" t="s">
        <v>1726</v>
      </c>
      <c r="FB3596" s="36" t="s">
        <v>473</v>
      </c>
      <c r="FC3596" s="36" t="s">
        <v>53</v>
      </c>
      <c r="FD3596" s="36" t="s">
        <v>476</v>
      </c>
      <c r="FE3596" s="36">
        <v>2020</v>
      </c>
      <c r="FF3596" s="36" t="s">
        <v>474</v>
      </c>
      <c r="FG3596" s="36" t="s">
        <v>1193</v>
      </c>
      <c r="FJ3596" t="s">
        <v>474</v>
      </c>
    </row>
    <row r="3597" spans="153:166" x14ac:dyDescent="0.35">
      <c r="EW3597" t="s">
        <v>4093</v>
      </c>
      <c r="EX3597" s="33" t="s">
        <v>2315</v>
      </c>
      <c r="EY3597" s="35" t="s">
        <v>1773</v>
      </c>
      <c r="EZ3597" s="36">
        <v>506403</v>
      </c>
      <c r="FA3597" s="36" t="s">
        <v>1726</v>
      </c>
      <c r="FB3597" s="36" t="s">
        <v>473</v>
      </c>
      <c r="FC3597" s="36" t="s">
        <v>53</v>
      </c>
      <c r="FD3597" s="36" t="s">
        <v>476</v>
      </c>
      <c r="FE3597" s="36">
        <v>2020</v>
      </c>
      <c r="FF3597" s="36" t="s">
        <v>474</v>
      </c>
      <c r="FG3597" s="36" t="s">
        <v>1193</v>
      </c>
      <c r="FJ3597" t="s">
        <v>474</v>
      </c>
    </row>
    <row r="3598" spans="153:166" x14ac:dyDescent="0.35">
      <c r="EW3598" t="s">
        <v>4093</v>
      </c>
      <c r="EX3598" s="33" t="s">
        <v>1370</v>
      </c>
      <c r="EY3598" s="35" t="s">
        <v>1776</v>
      </c>
      <c r="EZ3598" s="36">
        <v>506358</v>
      </c>
      <c r="FA3598" s="36" t="s">
        <v>1726</v>
      </c>
      <c r="FB3598" s="36" t="s">
        <v>473</v>
      </c>
      <c r="FC3598" s="36" t="s">
        <v>53</v>
      </c>
      <c r="FD3598" s="36" t="s">
        <v>476</v>
      </c>
      <c r="FE3598" s="36">
        <v>2020</v>
      </c>
      <c r="FF3598" s="36" t="s">
        <v>474</v>
      </c>
      <c r="FG3598" s="36" t="s">
        <v>1193</v>
      </c>
      <c r="FJ3598" t="s">
        <v>474</v>
      </c>
    </row>
    <row r="3599" spans="153:166" x14ac:dyDescent="0.35">
      <c r="EW3599" t="s">
        <v>4093</v>
      </c>
      <c r="EX3599" s="33" t="s">
        <v>1631</v>
      </c>
      <c r="EY3599" s="35" t="s">
        <v>1779</v>
      </c>
      <c r="EZ3599" s="36">
        <v>506311</v>
      </c>
      <c r="FA3599" s="36" t="s">
        <v>1726</v>
      </c>
      <c r="FB3599" s="36" t="s">
        <v>473</v>
      </c>
      <c r="FC3599" s="36" t="s">
        <v>53</v>
      </c>
      <c r="FD3599" s="36" t="s">
        <v>476</v>
      </c>
      <c r="FE3599" s="36">
        <v>2020</v>
      </c>
      <c r="FF3599" s="36" t="s">
        <v>474</v>
      </c>
      <c r="FG3599" s="36" t="s">
        <v>1193</v>
      </c>
      <c r="FJ3599" t="s">
        <v>474</v>
      </c>
    </row>
    <row r="3600" spans="153:166" x14ac:dyDescent="0.35">
      <c r="EW3600" t="s">
        <v>4093</v>
      </c>
      <c r="EX3600" s="33" t="s">
        <v>1774</v>
      </c>
      <c r="EY3600" s="35" t="s">
        <v>1780</v>
      </c>
      <c r="EZ3600" s="36">
        <v>506179</v>
      </c>
      <c r="FA3600" s="36" t="s">
        <v>1726</v>
      </c>
      <c r="FB3600" s="36" t="s">
        <v>473</v>
      </c>
      <c r="FC3600" s="36" t="s">
        <v>53</v>
      </c>
      <c r="FD3600" s="36" t="s">
        <v>476</v>
      </c>
      <c r="FE3600" s="36">
        <v>2020</v>
      </c>
      <c r="FF3600" s="36" t="s">
        <v>474</v>
      </c>
      <c r="FG3600" s="36" t="s">
        <v>1193</v>
      </c>
      <c r="FJ3600" t="s">
        <v>474</v>
      </c>
    </row>
    <row r="3601" spans="153:166" x14ac:dyDescent="0.35">
      <c r="EW3601" t="s">
        <v>4093</v>
      </c>
      <c r="EX3601" s="33" t="s">
        <v>1328</v>
      </c>
      <c r="EY3601" s="35" t="s">
        <v>1783</v>
      </c>
      <c r="EZ3601" s="36">
        <v>505882</v>
      </c>
      <c r="FA3601" s="36" t="s">
        <v>1726</v>
      </c>
      <c r="FB3601" s="36" t="s">
        <v>473</v>
      </c>
      <c r="FC3601" s="36" t="s">
        <v>53</v>
      </c>
      <c r="FD3601" s="36" t="s">
        <v>476</v>
      </c>
      <c r="FE3601" s="36">
        <v>2020</v>
      </c>
      <c r="FF3601" s="36" t="s">
        <v>474</v>
      </c>
      <c r="FG3601" s="36" t="s">
        <v>1193</v>
      </c>
      <c r="FJ3601" t="s">
        <v>474</v>
      </c>
    </row>
    <row r="3602" spans="153:166" x14ac:dyDescent="0.35">
      <c r="EW3602" t="s">
        <v>4093</v>
      </c>
      <c r="EX3602" s="33" t="s">
        <v>1937</v>
      </c>
      <c r="EY3602" s="35" t="s">
        <v>1786</v>
      </c>
      <c r="EZ3602" s="36">
        <v>500916</v>
      </c>
      <c r="FA3602" s="36" t="s">
        <v>1726</v>
      </c>
      <c r="FB3602" s="36" t="s">
        <v>473</v>
      </c>
      <c r="FC3602" s="36" t="s">
        <v>53</v>
      </c>
      <c r="FD3602" s="36" t="s">
        <v>476</v>
      </c>
      <c r="FE3602" s="36">
        <v>2020</v>
      </c>
      <c r="FF3602" s="36" t="s">
        <v>474</v>
      </c>
      <c r="FG3602" s="36" t="s">
        <v>1210</v>
      </c>
      <c r="FJ3602" t="s">
        <v>474</v>
      </c>
    </row>
    <row r="3603" spans="153:166" x14ac:dyDescent="0.35">
      <c r="EW3603" t="s">
        <v>4093</v>
      </c>
      <c r="EX3603" s="33" t="s">
        <v>1787</v>
      </c>
      <c r="EY3603" s="35" t="s">
        <v>1789</v>
      </c>
      <c r="EZ3603" s="36">
        <v>505962</v>
      </c>
      <c r="FA3603" s="36" t="s">
        <v>1726</v>
      </c>
      <c r="FB3603" s="36" t="s">
        <v>473</v>
      </c>
      <c r="FC3603" s="36" t="s">
        <v>53</v>
      </c>
      <c r="FD3603" s="36" t="s">
        <v>476</v>
      </c>
      <c r="FE3603" s="36">
        <v>2020</v>
      </c>
      <c r="FF3603" s="36" t="s">
        <v>474</v>
      </c>
      <c r="FG3603" s="36" t="s">
        <v>1193</v>
      </c>
      <c r="FJ3603" t="s">
        <v>474</v>
      </c>
    </row>
    <row r="3604" spans="153:166" x14ac:dyDescent="0.35">
      <c r="EW3604" t="s">
        <v>4093</v>
      </c>
      <c r="EX3604" s="33" t="s">
        <v>4720</v>
      </c>
      <c r="EY3604" s="35" t="s">
        <v>1792</v>
      </c>
      <c r="EZ3604" s="36">
        <v>505947</v>
      </c>
      <c r="FA3604" s="36" t="s">
        <v>1726</v>
      </c>
      <c r="FB3604" s="36" t="s">
        <v>473</v>
      </c>
      <c r="FC3604" s="36" t="s">
        <v>53</v>
      </c>
      <c r="FD3604" s="36" t="s">
        <v>476</v>
      </c>
      <c r="FE3604" s="36">
        <v>2020</v>
      </c>
      <c r="FF3604" s="36" t="s">
        <v>474</v>
      </c>
      <c r="FG3604" s="36" t="s">
        <v>1193</v>
      </c>
      <c r="FJ3604" t="s">
        <v>474</v>
      </c>
    </row>
    <row r="3605" spans="153:166" x14ac:dyDescent="0.35">
      <c r="EW3605" t="s">
        <v>4093</v>
      </c>
      <c r="EX3605" s="33" t="s">
        <v>1237</v>
      </c>
      <c r="EY3605" s="35" t="s">
        <v>1793</v>
      </c>
      <c r="EZ3605" s="36">
        <v>505956</v>
      </c>
      <c r="FA3605" s="36" t="s">
        <v>1726</v>
      </c>
      <c r="FB3605" s="36" t="s">
        <v>473</v>
      </c>
      <c r="FC3605" s="36" t="s">
        <v>53</v>
      </c>
      <c r="FD3605" s="36" t="s">
        <v>476</v>
      </c>
      <c r="FE3605" s="36">
        <v>2020</v>
      </c>
      <c r="FF3605" s="36" t="s">
        <v>474</v>
      </c>
      <c r="FG3605" s="36" t="s">
        <v>1193</v>
      </c>
      <c r="FJ3605" t="s">
        <v>474</v>
      </c>
    </row>
    <row r="3606" spans="153:166" x14ac:dyDescent="0.35">
      <c r="EW3606" t="s">
        <v>4093</v>
      </c>
      <c r="EX3606" s="33" t="s">
        <v>1575</v>
      </c>
      <c r="EY3606" s="35" t="s">
        <v>1796</v>
      </c>
      <c r="EZ3606" s="36">
        <v>505976</v>
      </c>
      <c r="FA3606" s="36" t="s">
        <v>1726</v>
      </c>
      <c r="FB3606" s="36" t="s">
        <v>473</v>
      </c>
      <c r="FC3606" s="36" t="s">
        <v>53</v>
      </c>
      <c r="FD3606" s="36" t="s">
        <v>476</v>
      </c>
      <c r="FE3606" s="36">
        <v>2020</v>
      </c>
      <c r="FF3606" s="36" t="s">
        <v>474</v>
      </c>
      <c r="FG3606" s="36" t="s">
        <v>1193</v>
      </c>
      <c r="FJ3606" t="s">
        <v>474</v>
      </c>
    </row>
    <row r="3607" spans="153:166" x14ac:dyDescent="0.35">
      <c r="EW3607" t="s">
        <v>4093</v>
      </c>
      <c r="EX3607" s="33" t="s">
        <v>2335</v>
      </c>
      <c r="EY3607" s="35" t="s">
        <v>1799</v>
      </c>
      <c r="EZ3607" s="36">
        <v>507683</v>
      </c>
      <c r="FA3607" s="36" t="s">
        <v>1726</v>
      </c>
      <c r="FB3607" s="36" t="s">
        <v>473</v>
      </c>
      <c r="FC3607" s="36" t="s">
        <v>53</v>
      </c>
      <c r="FD3607" s="36" t="s">
        <v>476</v>
      </c>
      <c r="FE3607" s="36">
        <v>2020</v>
      </c>
      <c r="FF3607" s="36" t="s">
        <v>474</v>
      </c>
      <c r="FG3607" s="36" t="s">
        <v>1210</v>
      </c>
      <c r="FJ3607" t="s">
        <v>474</v>
      </c>
    </row>
    <row r="3608" spans="153:166" x14ac:dyDescent="0.35">
      <c r="EW3608" t="s">
        <v>4093</v>
      </c>
      <c r="EX3608" s="33" t="s">
        <v>4721</v>
      </c>
      <c r="EY3608" s="35" t="s">
        <v>1802</v>
      </c>
      <c r="EZ3608" s="36">
        <v>507344</v>
      </c>
      <c r="FA3608" s="36" t="s">
        <v>1726</v>
      </c>
      <c r="FB3608" s="36" t="s">
        <v>473</v>
      </c>
      <c r="FC3608" s="36" t="s">
        <v>53</v>
      </c>
      <c r="FD3608" s="36" t="s">
        <v>476</v>
      </c>
      <c r="FE3608" s="36">
        <v>2020</v>
      </c>
      <c r="FF3608" s="36" t="s">
        <v>474</v>
      </c>
      <c r="FG3608" s="36" t="s">
        <v>1210</v>
      </c>
      <c r="FJ3608" t="s">
        <v>474</v>
      </c>
    </row>
    <row r="3609" spans="153:166" x14ac:dyDescent="0.35">
      <c r="EW3609" t="s">
        <v>4093</v>
      </c>
      <c r="EX3609" s="33" t="s">
        <v>1845</v>
      </c>
      <c r="EY3609" s="35" t="s">
        <v>1803</v>
      </c>
      <c r="EZ3609" s="36">
        <v>506177</v>
      </c>
      <c r="FA3609" s="36" t="s">
        <v>1726</v>
      </c>
      <c r="FB3609" s="36" t="s">
        <v>473</v>
      </c>
      <c r="FC3609" s="36" t="s">
        <v>53</v>
      </c>
      <c r="FD3609" s="36" t="s">
        <v>476</v>
      </c>
      <c r="FE3609" s="36">
        <v>2020</v>
      </c>
      <c r="FF3609" s="36" t="s">
        <v>474</v>
      </c>
      <c r="FG3609" s="36" t="s">
        <v>1193</v>
      </c>
      <c r="FJ3609" t="s">
        <v>474</v>
      </c>
    </row>
    <row r="3610" spans="153:166" x14ac:dyDescent="0.35">
      <c r="EW3610" t="s">
        <v>4093</v>
      </c>
      <c r="EX3610" s="33" t="s">
        <v>1256</v>
      </c>
      <c r="EY3610" s="35" t="s">
        <v>1806</v>
      </c>
      <c r="EZ3610" s="36">
        <v>506195</v>
      </c>
      <c r="FA3610" s="36" t="s">
        <v>1726</v>
      </c>
      <c r="FB3610" s="36" t="s">
        <v>473</v>
      </c>
      <c r="FC3610" s="36" t="s">
        <v>53</v>
      </c>
      <c r="FD3610" s="36" t="s">
        <v>476</v>
      </c>
      <c r="FE3610" s="36">
        <v>2020</v>
      </c>
      <c r="FF3610" s="36" t="s">
        <v>474</v>
      </c>
      <c r="FG3610" s="36" t="s">
        <v>1210</v>
      </c>
      <c r="FJ3610" t="s">
        <v>474</v>
      </c>
    </row>
    <row r="3611" spans="153:166" x14ac:dyDescent="0.35">
      <c r="EW3611" t="s">
        <v>4093</v>
      </c>
      <c r="EX3611" s="33" t="s">
        <v>1392</v>
      </c>
      <c r="EY3611" s="35" t="s">
        <v>1809</v>
      </c>
      <c r="EZ3611" s="36">
        <v>507350</v>
      </c>
      <c r="FA3611" s="36" t="s">
        <v>1726</v>
      </c>
      <c r="FB3611" s="36" t="s">
        <v>473</v>
      </c>
      <c r="FC3611" s="36" t="s">
        <v>53</v>
      </c>
      <c r="FD3611" s="36" t="s">
        <v>476</v>
      </c>
      <c r="FE3611" s="36">
        <v>2020</v>
      </c>
      <c r="FF3611" s="36" t="s">
        <v>474</v>
      </c>
      <c r="FG3611" s="36" t="s">
        <v>1210</v>
      </c>
      <c r="FJ3611" t="s">
        <v>474</v>
      </c>
    </row>
    <row r="3612" spans="153:166" x14ac:dyDescent="0.35">
      <c r="EW3612" t="s">
        <v>4093</v>
      </c>
      <c r="EX3612" s="33" t="s">
        <v>1951</v>
      </c>
      <c r="EY3612" s="35" t="s">
        <v>1810</v>
      </c>
      <c r="EZ3612" s="36">
        <v>507672</v>
      </c>
      <c r="FA3612" s="36" t="s">
        <v>1726</v>
      </c>
      <c r="FB3612" s="36" t="s">
        <v>473</v>
      </c>
      <c r="FC3612" s="36" t="s">
        <v>53</v>
      </c>
      <c r="FD3612" s="36" t="s">
        <v>476</v>
      </c>
      <c r="FE3612" s="36">
        <v>2020</v>
      </c>
      <c r="FF3612" s="36" t="s">
        <v>474</v>
      </c>
      <c r="FG3612" s="36" t="s">
        <v>1210</v>
      </c>
      <c r="FJ3612" t="s">
        <v>474</v>
      </c>
    </row>
    <row r="3613" spans="153:166" x14ac:dyDescent="0.35">
      <c r="EW3613" t="s">
        <v>4093</v>
      </c>
      <c r="EX3613" s="33" t="s">
        <v>1771</v>
      </c>
      <c r="EY3613" s="35" t="s">
        <v>1813</v>
      </c>
      <c r="EZ3613" s="36">
        <v>507437</v>
      </c>
      <c r="FA3613" s="36" t="s">
        <v>1726</v>
      </c>
      <c r="FB3613" s="36" t="s">
        <v>473</v>
      </c>
      <c r="FC3613" s="36" t="s">
        <v>53</v>
      </c>
      <c r="FD3613" s="36" t="s">
        <v>476</v>
      </c>
      <c r="FE3613" s="36">
        <v>2020</v>
      </c>
      <c r="FF3613" s="36" t="s">
        <v>474</v>
      </c>
      <c r="FG3613" s="36" t="s">
        <v>1210</v>
      </c>
      <c r="FJ3613" t="s">
        <v>474</v>
      </c>
    </row>
    <row r="3614" spans="153:166" x14ac:dyDescent="0.35">
      <c r="EW3614" t="s">
        <v>4093</v>
      </c>
      <c r="EX3614" s="33" t="s">
        <v>1762</v>
      </c>
      <c r="EY3614" s="35" t="s">
        <v>1816</v>
      </c>
      <c r="EZ3614" s="36">
        <v>506904</v>
      </c>
      <c r="FA3614" s="36" t="s">
        <v>1726</v>
      </c>
      <c r="FB3614" s="36" t="s">
        <v>473</v>
      </c>
      <c r="FC3614" s="36" t="s">
        <v>53</v>
      </c>
      <c r="FD3614" s="36" t="s">
        <v>476</v>
      </c>
      <c r="FE3614" s="36">
        <v>2020</v>
      </c>
      <c r="FF3614" s="36" t="s">
        <v>474</v>
      </c>
      <c r="FG3614" s="36" t="s">
        <v>1210</v>
      </c>
      <c r="FJ3614" t="s">
        <v>474</v>
      </c>
    </row>
    <row r="3615" spans="153:166" x14ac:dyDescent="0.35">
      <c r="EW3615" t="s">
        <v>4093</v>
      </c>
      <c r="EX3615" s="33" t="s">
        <v>1931</v>
      </c>
      <c r="EY3615" s="35" t="s">
        <v>1819</v>
      </c>
      <c r="EZ3615" s="36">
        <v>507372</v>
      </c>
      <c r="FA3615" s="36" t="s">
        <v>1726</v>
      </c>
      <c r="FB3615" s="36" t="s">
        <v>473</v>
      </c>
      <c r="FC3615" s="36" t="s">
        <v>53</v>
      </c>
      <c r="FD3615" s="36" t="s">
        <v>476</v>
      </c>
      <c r="FE3615" s="36">
        <v>2020</v>
      </c>
      <c r="FF3615" s="36" t="s">
        <v>474</v>
      </c>
      <c r="FG3615" s="36" t="s">
        <v>1210</v>
      </c>
      <c r="FJ3615" t="s">
        <v>474</v>
      </c>
    </row>
    <row r="3616" spans="153:166" x14ac:dyDescent="0.35">
      <c r="EW3616" t="s">
        <v>4093</v>
      </c>
      <c r="EX3616" s="33" t="s">
        <v>4722</v>
      </c>
      <c r="EY3616" s="35" t="s">
        <v>1820</v>
      </c>
      <c r="EZ3616" s="36">
        <v>506843</v>
      </c>
      <c r="FA3616" s="36" t="s">
        <v>1726</v>
      </c>
      <c r="FB3616" s="36" t="s">
        <v>473</v>
      </c>
      <c r="FC3616" s="36" t="s">
        <v>53</v>
      </c>
      <c r="FD3616" s="36" t="s">
        <v>476</v>
      </c>
      <c r="FE3616" s="36">
        <v>2020</v>
      </c>
      <c r="FF3616" s="36" t="s">
        <v>474</v>
      </c>
      <c r="FG3616" s="36" t="s">
        <v>1210</v>
      </c>
      <c r="FJ3616" t="s">
        <v>474</v>
      </c>
    </row>
    <row r="3617" spans="153:166" x14ac:dyDescent="0.35">
      <c r="EW3617" t="s">
        <v>4093</v>
      </c>
      <c r="EX3617" s="33" t="s">
        <v>1825</v>
      </c>
      <c r="EY3617" s="35" t="s">
        <v>1823</v>
      </c>
      <c r="EZ3617" s="36">
        <v>507397</v>
      </c>
      <c r="FA3617" s="36" t="s">
        <v>1726</v>
      </c>
      <c r="FB3617" s="36" t="s">
        <v>473</v>
      </c>
      <c r="FC3617" s="36" t="s">
        <v>53</v>
      </c>
      <c r="FD3617" s="36" t="s">
        <v>476</v>
      </c>
      <c r="FE3617" s="36">
        <v>2020</v>
      </c>
      <c r="FF3617" s="36" t="s">
        <v>474</v>
      </c>
      <c r="FG3617" s="36" t="s">
        <v>1210</v>
      </c>
      <c r="FJ3617" t="s">
        <v>474</v>
      </c>
    </row>
    <row r="3618" spans="153:166" x14ac:dyDescent="0.35">
      <c r="EW3618" t="s">
        <v>4093</v>
      </c>
      <c r="EX3618" s="33" t="s">
        <v>2421</v>
      </c>
      <c r="EY3618" s="35" t="s">
        <v>1824</v>
      </c>
      <c r="EZ3618" s="36">
        <v>507451</v>
      </c>
      <c r="FA3618" s="36" t="s">
        <v>1726</v>
      </c>
      <c r="FB3618" s="36" t="s">
        <v>473</v>
      </c>
      <c r="FC3618" s="36" t="s">
        <v>53</v>
      </c>
      <c r="FD3618" s="36" t="s">
        <v>476</v>
      </c>
      <c r="FE3618" s="36">
        <v>2020</v>
      </c>
      <c r="FF3618" s="36" t="s">
        <v>474</v>
      </c>
      <c r="FG3618" s="36" t="s">
        <v>1210</v>
      </c>
      <c r="FJ3618" t="s">
        <v>474</v>
      </c>
    </row>
    <row r="3619" spans="153:166" x14ac:dyDescent="0.35">
      <c r="EW3619" t="s">
        <v>4093</v>
      </c>
      <c r="EX3619" s="33" t="s">
        <v>2491</v>
      </c>
      <c r="EY3619" s="35" t="s">
        <v>1827</v>
      </c>
      <c r="EZ3619" s="36">
        <v>507423</v>
      </c>
      <c r="FA3619" s="36" t="s">
        <v>1726</v>
      </c>
      <c r="FB3619" s="36" t="s">
        <v>473</v>
      </c>
      <c r="FC3619" s="36" t="s">
        <v>53</v>
      </c>
      <c r="FD3619" s="36" t="s">
        <v>476</v>
      </c>
      <c r="FE3619" s="36">
        <v>2020</v>
      </c>
      <c r="FF3619" s="36" t="s">
        <v>474</v>
      </c>
      <c r="FG3619" s="36" t="s">
        <v>1210</v>
      </c>
      <c r="FJ3619" t="s">
        <v>474</v>
      </c>
    </row>
    <row r="3620" spans="153:166" x14ac:dyDescent="0.35">
      <c r="EW3620" t="s">
        <v>4093</v>
      </c>
      <c r="EX3620" s="33" t="s">
        <v>1914</v>
      </c>
      <c r="EY3620" s="35" t="s">
        <v>1828</v>
      </c>
      <c r="EZ3620" s="36">
        <v>507427</v>
      </c>
      <c r="FA3620" s="36" t="s">
        <v>1726</v>
      </c>
      <c r="FB3620" s="36" t="s">
        <v>473</v>
      </c>
      <c r="FC3620" s="36" t="s">
        <v>53</v>
      </c>
      <c r="FD3620" s="36" t="s">
        <v>476</v>
      </c>
      <c r="FE3620" s="36">
        <v>2020</v>
      </c>
      <c r="FF3620" s="36" t="s">
        <v>474</v>
      </c>
      <c r="FG3620" s="36" t="s">
        <v>1210</v>
      </c>
      <c r="FJ3620" t="s">
        <v>474</v>
      </c>
    </row>
    <row r="3621" spans="153:166" x14ac:dyDescent="0.35">
      <c r="EW3621" t="s">
        <v>4093</v>
      </c>
      <c r="EX3621" s="33" t="s">
        <v>1955</v>
      </c>
      <c r="EY3621" s="35" t="s">
        <v>1829</v>
      </c>
      <c r="EZ3621" s="36">
        <v>499868</v>
      </c>
      <c r="FA3621" s="36" t="s">
        <v>1726</v>
      </c>
      <c r="FB3621" s="36" t="s">
        <v>473</v>
      </c>
      <c r="FC3621" s="36" t="s">
        <v>53</v>
      </c>
      <c r="FD3621" s="36" t="s">
        <v>476</v>
      </c>
      <c r="FE3621" s="36">
        <v>2020</v>
      </c>
      <c r="FF3621" s="36" t="s">
        <v>474</v>
      </c>
      <c r="FG3621" s="36" t="s">
        <v>1210</v>
      </c>
      <c r="FJ3621" t="s">
        <v>474</v>
      </c>
    </row>
    <row r="3622" spans="153:166" x14ac:dyDescent="0.35">
      <c r="EW3622" t="s">
        <v>4093</v>
      </c>
      <c r="EX3622" s="33" t="s">
        <v>1836</v>
      </c>
      <c r="EY3622" s="35" t="s">
        <v>1830</v>
      </c>
      <c r="EZ3622" s="36">
        <v>499801</v>
      </c>
      <c r="FA3622" s="36" t="s">
        <v>1726</v>
      </c>
      <c r="FB3622" s="36" t="s">
        <v>473</v>
      </c>
      <c r="FC3622" s="36" t="s">
        <v>53</v>
      </c>
      <c r="FD3622" s="36" t="s">
        <v>476</v>
      </c>
      <c r="FE3622" s="36">
        <v>2020</v>
      </c>
      <c r="FF3622" s="36" t="s">
        <v>474</v>
      </c>
      <c r="FG3622" s="36" t="s">
        <v>1210</v>
      </c>
      <c r="FJ3622" t="s">
        <v>474</v>
      </c>
    </row>
    <row r="3623" spans="153:166" x14ac:dyDescent="0.35">
      <c r="EW3623" t="s">
        <v>4093</v>
      </c>
      <c r="EX3623" s="33" t="s">
        <v>1811</v>
      </c>
      <c r="EY3623" s="35" t="s">
        <v>1831</v>
      </c>
      <c r="EZ3623" s="36">
        <v>506525</v>
      </c>
      <c r="FA3623" s="36" t="s">
        <v>1726</v>
      </c>
      <c r="FB3623" s="36" t="s">
        <v>473</v>
      </c>
      <c r="FC3623" s="36" t="s">
        <v>53</v>
      </c>
      <c r="FD3623" s="36" t="s">
        <v>476</v>
      </c>
      <c r="FE3623" s="36">
        <v>2020</v>
      </c>
      <c r="FF3623" s="36" t="s">
        <v>474</v>
      </c>
      <c r="FG3623" s="36" t="s">
        <v>1193</v>
      </c>
      <c r="FJ3623" t="s">
        <v>474</v>
      </c>
    </row>
    <row r="3624" spans="153:166" x14ac:dyDescent="0.35">
      <c r="EW3624" t="s">
        <v>4093</v>
      </c>
      <c r="EX3624" s="33" t="s">
        <v>1790</v>
      </c>
      <c r="EY3624" s="35" t="s">
        <v>1832</v>
      </c>
      <c r="EZ3624" s="36">
        <v>501057</v>
      </c>
      <c r="FA3624" s="36" t="s">
        <v>1726</v>
      </c>
      <c r="FB3624" s="36" t="s">
        <v>473</v>
      </c>
      <c r="FC3624" s="36" t="s">
        <v>53</v>
      </c>
      <c r="FD3624" s="36" t="s">
        <v>476</v>
      </c>
      <c r="FE3624" s="36">
        <v>2020</v>
      </c>
      <c r="FF3624" s="36" t="s">
        <v>474</v>
      </c>
      <c r="FG3624" s="36" t="s">
        <v>1193</v>
      </c>
      <c r="FJ3624" t="s">
        <v>474</v>
      </c>
    </row>
    <row r="3625" spans="153:166" x14ac:dyDescent="0.35">
      <c r="EW3625" t="s">
        <v>4093</v>
      </c>
      <c r="EX3625" s="33" t="s">
        <v>2412</v>
      </c>
      <c r="EY3625" s="35" t="s">
        <v>1835</v>
      </c>
      <c r="EZ3625" s="36">
        <v>500912</v>
      </c>
      <c r="FA3625" s="36" t="s">
        <v>1726</v>
      </c>
      <c r="FB3625" s="36" t="s">
        <v>473</v>
      </c>
      <c r="FC3625" s="36" t="s">
        <v>53</v>
      </c>
      <c r="FD3625" s="36" t="s">
        <v>476</v>
      </c>
      <c r="FE3625" s="36">
        <v>2020</v>
      </c>
      <c r="FF3625" s="36" t="s">
        <v>474</v>
      </c>
      <c r="FG3625" s="36" t="s">
        <v>1210</v>
      </c>
      <c r="FJ3625" t="s">
        <v>474</v>
      </c>
    </row>
    <row r="3626" spans="153:166" x14ac:dyDescent="0.35">
      <c r="EW3626" t="s">
        <v>4093</v>
      </c>
      <c r="EX3626" s="33" t="s">
        <v>2271</v>
      </c>
      <c r="EY3626" s="35" t="s">
        <v>1838</v>
      </c>
      <c r="EZ3626" s="36">
        <v>507442</v>
      </c>
      <c r="FA3626" s="36" t="s">
        <v>1726</v>
      </c>
      <c r="FB3626" s="36" t="s">
        <v>473</v>
      </c>
      <c r="FC3626" s="36" t="s">
        <v>53</v>
      </c>
      <c r="FD3626" s="36" t="s">
        <v>476</v>
      </c>
      <c r="FE3626" s="36">
        <v>2020</v>
      </c>
      <c r="FF3626" s="36" t="s">
        <v>474</v>
      </c>
      <c r="FG3626" s="36" t="s">
        <v>1210</v>
      </c>
      <c r="FJ3626" t="s">
        <v>474</v>
      </c>
    </row>
    <row r="3627" spans="153:166" x14ac:dyDescent="0.35">
      <c r="EW3627" t="s">
        <v>4093</v>
      </c>
      <c r="EX3627" s="33" t="s">
        <v>4723</v>
      </c>
      <c r="EY3627" s="35" t="s">
        <v>1841</v>
      </c>
      <c r="EZ3627" s="36">
        <v>506479</v>
      </c>
      <c r="FA3627" s="36" t="s">
        <v>1726</v>
      </c>
      <c r="FB3627" s="36" t="s">
        <v>473</v>
      </c>
      <c r="FC3627" s="36" t="s">
        <v>53</v>
      </c>
      <c r="FD3627" s="36" t="s">
        <v>476</v>
      </c>
      <c r="FE3627" s="36">
        <v>2020</v>
      </c>
      <c r="FF3627" s="36" t="s">
        <v>474</v>
      </c>
      <c r="FG3627" s="36" t="s">
        <v>1210</v>
      </c>
      <c r="FJ3627" t="s">
        <v>474</v>
      </c>
    </row>
    <row r="3628" spans="153:166" x14ac:dyDescent="0.35">
      <c r="EW3628" t="s">
        <v>4093</v>
      </c>
      <c r="EX3628" s="33" t="s">
        <v>1252</v>
      </c>
      <c r="EY3628" s="35" t="s">
        <v>1842</v>
      </c>
      <c r="EZ3628" s="36">
        <v>506651</v>
      </c>
      <c r="FA3628" s="36" t="s">
        <v>1726</v>
      </c>
      <c r="FB3628" s="36" t="s">
        <v>473</v>
      </c>
      <c r="FC3628" s="36" t="s">
        <v>53</v>
      </c>
      <c r="FD3628" s="36" t="s">
        <v>476</v>
      </c>
      <c r="FE3628" s="36">
        <v>2020</v>
      </c>
      <c r="FF3628" s="36" t="s">
        <v>474</v>
      </c>
      <c r="FG3628" s="36" t="s">
        <v>1210</v>
      </c>
      <c r="FJ3628" t="s">
        <v>474</v>
      </c>
    </row>
    <row r="3629" spans="153:166" x14ac:dyDescent="0.35">
      <c r="EW3629" t="s">
        <v>4093</v>
      </c>
      <c r="EX3629" s="33" t="s">
        <v>1848</v>
      </c>
      <c r="EY3629" s="35" t="s">
        <v>1844</v>
      </c>
      <c r="EZ3629" s="36">
        <v>507458</v>
      </c>
      <c r="FA3629" s="36" t="s">
        <v>1726</v>
      </c>
      <c r="FB3629" s="36" t="s">
        <v>473</v>
      </c>
      <c r="FC3629" s="36" t="s">
        <v>53</v>
      </c>
      <c r="FD3629" s="36" t="s">
        <v>476</v>
      </c>
      <c r="FE3629" s="36">
        <v>2020</v>
      </c>
      <c r="FF3629" s="36" t="s">
        <v>474</v>
      </c>
      <c r="FG3629" s="36" t="s">
        <v>1210</v>
      </c>
      <c r="FJ3629" t="s">
        <v>474</v>
      </c>
    </row>
    <row r="3630" spans="153:166" x14ac:dyDescent="0.35">
      <c r="EW3630" t="s">
        <v>4093</v>
      </c>
      <c r="EX3630" s="33" t="s">
        <v>1354</v>
      </c>
      <c r="EY3630" s="35" t="s">
        <v>1847</v>
      </c>
      <c r="EZ3630" s="36">
        <v>507661</v>
      </c>
      <c r="FA3630" s="36" t="s">
        <v>1726</v>
      </c>
      <c r="FB3630" s="36" t="s">
        <v>473</v>
      </c>
      <c r="FC3630" s="36" t="s">
        <v>53</v>
      </c>
      <c r="FD3630" s="36" t="s">
        <v>476</v>
      </c>
      <c r="FE3630" s="36">
        <v>2020</v>
      </c>
      <c r="FF3630" s="36" t="s">
        <v>474</v>
      </c>
      <c r="FG3630" s="36" t="s">
        <v>1210</v>
      </c>
      <c r="FJ3630" t="s">
        <v>474</v>
      </c>
    </row>
    <row r="3631" spans="153:166" x14ac:dyDescent="0.35">
      <c r="EW3631" t="s">
        <v>4093</v>
      </c>
      <c r="EX3631" s="33" t="s">
        <v>1821</v>
      </c>
      <c r="EY3631" s="35" t="s">
        <v>1850</v>
      </c>
      <c r="EZ3631" s="36">
        <v>506530</v>
      </c>
      <c r="FA3631" s="36" t="s">
        <v>1726</v>
      </c>
      <c r="FB3631" s="36" t="s">
        <v>473</v>
      </c>
      <c r="FC3631" s="36" t="s">
        <v>53</v>
      </c>
      <c r="FD3631" s="36" t="s">
        <v>476</v>
      </c>
      <c r="FE3631" s="36">
        <v>2020</v>
      </c>
      <c r="FF3631" s="36" t="s">
        <v>474</v>
      </c>
      <c r="FG3631" s="36" t="s">
        <v>1193</v>
      </c>
      <c r="FJ3631" t="s">
        <v>474</v>
      </c>
    </row>
    <row r="3632" spans="153:166" x14ac:dyDescent="0.35">
      <c r="EW3632" t="s">
        <v>4093</v>
      </c>
      <c r="EX3632" s="33" t="s">
        <v>1529</v>
      </c>
      <c r="EY3632" s="35" t="s">
        <v>1853</v>
      </c>
      <c r="EZ3632" s="36">
        <v>506543</v>
      </c>
      <c r="FA3632" s="36" t="s">
        <v>1726</v>
      </c>
      <c r="FB3632" s="36" t="s">
        <v>473</v>
      </c>
      <c r="FC3632" s="36" t="s">
        <v>53</v>
      </c>
      <c r="FD3632" s="36" t="s">
        <v>476</v>
      </c>
      <c r="FE3632" s="36">
        <v>2020</v>
      </c>
      <c r="FF3632" s="36" t="s">
        <v>474</v>
      </c>
      <c r="FG3632" s="36" t="s">
        <v>1210</v>
      </c>
      <c r="FJ3632" t="s">
        <v>474</v>
      </c>
    </row>
    <row r="3633" spans="153:166" x14ac:dyDescent="0.35">
      <c r="EW3633" t="s">
        <v>4093</v>
      </c>
      <c r="EX3633" s="33" t="s">
        <v>1198</v>
      </c>
      <c r="EY3633" s="35" t="s">
        <v>1854</v>
      </c>
      <c r="EZ3633" s="36">
        <v>507419</v>
      </c>
      <c r="FA3633" s="36" t="s">
        <v>1726</v>
      </c>
      <c r="FB3633" s="36" t="s">
        <v>473</v>
      </c>
      <c r="FC3633" s="36" t="s">
        <v>53</v>
      </c>
      <c r="FD3633" s="36" t="s">
        <v>476</v>
      </c>
      <c r="FE3633" s="36">
        <v>2020</v>
      </c>
      <c r="FF3633" s="36" t="s">
        <v>474</v>
      </c>
      <c r="FG3633" s="36" t="s">
        <v>1210</v>
      </c>
      <c r="FJ3633" t="s">
        <v>474</v>
      </c>
    </row>
    <row r="3634" spans="153:166" x14ac:dyDescent="0.35">
      <c r="EW3634" t="s">
        <v>4093</v>
      </c>
      <c r="EX3634" s="33" t="s">
        <v>1926</v>
      </c>
      <c r="EY3634" s="35" t="s">
        <v>1857</v>
      </c>
      <c r="EZ3634" s="36">
        <v>507446</v>
      </c>
      <c r="FA3634" s="36" t="s">
        <v>1726</v>
      </c>
      <c r="FB3634" s="36" t="s">
        <v>473</v>
      </c>
      <c r="FC3634" s="36" t="s">
        <v>53</v>
      </c>
      <c r="FD3634" s="36" t="s">
        <v>476</v>
      </c>
      <c r="FE3634" s="36">
        <v>2020</v>
      </c>
      <c r="FF3634" s="36" t="s">
        <v>474</v>
      </c>
      <c r="FG3634" s="36" t="s">
        <v>1210</v>
      </c>
      <c r="FJ3634" t="s">
        <v>474</v>
      </c>
    </row>
    <row r="3635" spans="153:166" x14ac:dyDescent="0.35">
      <c r="EW3635" t="s">
        <v>4093</v>
      </c>
      <c r="EX3635" s="33" t="s">
        <v>1800</v>
      </c>
      <c r="EY3635" s="35" t="s">
        <v>1858</v>
      </c>
      <c r="EZ3635" s="36">
        <v>506223</v>
      </c>
      <c r="FA3635" s="36" t="s">
        <v>1726</v>
      </c>
      <c r="FB3635" s="36" t="s">
        <v>473</v>
      </c>
      <c r="FC3635" s="36" t="s">
        <v>53</v>
      </c>
      <c r="FD3635" s="36" t="s">
        <v>476</v>
      </c>
      <c r="FE3635" s="36">
        <v>2020</v>
      </c>
      <c r="FF3635" s="36" t="s">
        <v>474</v>
      </c>
      <c r="FG3635" s="36" t="s">
        <v>1210</v>
      </c>
      <c r="FJ3635" t="s">
        <v>474</v>
      </c>
    </row>
    <row r="3636" spans="153:166" x14ac:dyDescent="0.35">
      <c r="EW3636" t="s">
        <v>4093</v>
      </c>
      <c r="EX3636" s="33" t="s">
        <v>1491</v>
      </c>
      <c r="EY3636" s="35" t="s">
        <v>1859</v>
      </c>
      <c r="EZ3636" s="36">
        <v>507455</v>
      </c>
      <c r="FA3636" s="36" t="s">
        <v>1726</v>
      </c>
      <c r="FB3636" s="36" t="s">
        <v>473</v>
      </c>
      <c r="FC3636" s="36" t="s">
        <v>53</v>
      </c>
      <c r="FD3636" s="36" t="s">
        <v>476</v>
      </c>
      <c r="FE3636" s="36">
        <v>2020</v>
      </c>
      <c r="FF3636" s="36" t="s">
        <v>474</v>
      </c>
      <c r="FG3636" s="36" t="s">
        <v>1193</v>
      </c>
      <c r="FJ3636" t="s">
        <v>474</v>
      </c>
    </row>
    <row r="3637" spans="153:166" x14ac:dyDescent="0.35">
      <c r="EW3637" t="s">
        <v>4093</v>
      </c>
      <c r="EX3637" s="33" t="s">
        <v>1215</v>
      </c>
      <c r="EY3637" s="35" t="s">
        <v>1862</v>
      </c>
      <c r="EZ3637" s="36">
        <v>506662</v>
      </c>
      <c r="FA3637" s="36" t="s">
        <v>1726</v>
      </c>
      <c r="FB3637" s="36" t="s">
        <v>473</v>
      </c>
      <c r="FC3637" s="36" t="s">
        <v>53</v>
      </c>
      <c r="FD3637" s="36" t="s">
        <v>476</v>
      </c>
      <c r="FE3637" s="36">
        <v>2020</v>
      </c>
      <c r="FF3637" s="36" t="s">
        <v>474</v>
      </c>
      <c r="FG3637" s="36" t="s">
        <v>1193</v>
      </c>
      <c r="FJ3637" t="s">
        <v>474</v>
      </c>
    </row>
    <row r="3638" spans="153:166" x14ac:dyDescent="0.35">
      <c r="EW3638" t="s">
        <v>4093</v>
      </c>
      <c r="EX3638" s="33" t="s">
        <v>1350</v>
      </c>
      <c r="EY3638" s="35" t="s">
        <v>1863</v>
      </c>
      <c r="EZ3638" s="36">
        <v>507173</v>
      </c>
      <c r="FA3638" s="36" t="s">
        <v>1726</v>
      </c>
      <c r="FB3638" s="36" t="s">
        <v>473</v>
      </c>
      <c r="FC3638" s="36" t="s">
        <v>53</v>
      </c>
      <c r="FD3638" s="36" t="s">
        <v>476</v>
      </c>
      <c r="FE3638" s="36">
        <v>2020</v>
      </c>
      <c r="FF3638" s="36" t="s">
        <v>474</v>
      </c>
      <c r="FG3638" s="36" t="s">
        <v>1193</v>
      </c>
      <c r="FJ3638" t="s">
        <v>474</v>
      </c>
    </row>
    <row r="3639" spans="153:166" x14ac:dyDescent="0.35">
      <c r="EW3639" t="s">
        <v>4093</v>
      </c>
      <c r="EX3639" s="33" t="s">
        <v>1839</v>
      </c>
      <c r="EY3639" s="35" t="s">
        <v>1865</v>
      </c>
      <c r="EZ3639" s="36">
        <v>507153</v>
      </c>
      <c r="FA3639" s="36" t="s">
        <v>1726</v>
      </c>
      <c r="FB3639" s="36" t="s">
        <v>473</v>
      </c>
      <c r="FC3639" s="36" t="s">
        <v>53</v>
      </c>
      <c r="FD3639" s="36" t="s">
        <v>476</v>
      </c>
      <c r="FE3639" s="36">
        <v>2020</v>
      </c>
      <c r="FF3639" s="36" t="s">
        <v>474</v>
      </c>
      <c r="FG3639" s="36" t="s">
        <v>1193</v>
      </c>
      <c r="FJ3639" t="s">
        <v>474</v>
      </c>
    </row>
    <row r="3640" spans="153:166" x14ac:dyDescent="0.35">
      <c r="EW3640" t="s">
        <v>4093</v>
      </c>
      <c r="EX3640" s="33" t="s">
        <v>1833</v>
      </c>
      <c r="EY3640" s="35" t="s">
        <v>1866</v>
      </c>
      <c r="EZ3640" s="36">
        <v>507167</v>
      </c>
      <c r="FA3640" s="36" t="s">
        <v>1726</v>
      </c>
      <c r="FB3640" s="36" t="s">
        <v>473</v>
      </c>
      <c r="FC3640" s="36" t="s">
        <v>53</v>
      </c>
      <c r="FD3640" s="36" t="s">
        <v>476</v>
      </c>
      <c r="FE3640" s="36">
        <v>2020</v>
      </c>
      <c r="FF3640" s="36" t="s">
        <v>474</v>
      </c>
      <c r="FG3640" s="36" t="s">
        <v>1193</v>
      </c>
      <c r="FJ3640" t="s">
        <v>474</v>
      </c>
    </row>
    <row r="3641" spans="153:166" x14ac:dyDescent="0.35">
      <c r="EW3641" t="s">
        <v>4093</v>
      </c>
      <c r="EX3641" s="33" t="s">
        <v>1233</v>
      </c>
      <c r="EY3641" s="35" t="s">
        <v>1868</v>
      </c>
      <c r="EZ3641" s="36">
        <v>507082</v>
      </c>
      <c r="FA3641" s="36" t="s">
        <v>1726</v>
      </c>
      <c r="FB3641" s="36" t="s">
        <v>473</v>
      </c>
      <c r="FC3641" s="36" t="s">
        <v>53</v>
      </c>
      <c r="FD3641" s="36" t="s">
        <v>476</v>
      </c>
      <c r="FE3641" s="36">
        <v>2020</v>
      </c>
      <c r="FF3641" s="36" t="s">
        <v>474</v>
      </c>
      <c r="FG3641" s="36" t="s">
        <v>1193</v>
      </c>
      <c r="FJ3641" t="s">
        <v>474</v>
      </c>
    </row>
    <row r="3642" spans="153:166" x14ac:dyDescent="0.35">
      <c r="EW3642" t="s">
        <v>4093</v>
      </c>
      <c r="EX3642" s="33" t="s">
        <v>1906</v>
      </c>
      <c r="EY3642" s="35" t="s">
        <v>1869</v>
      </c>
      <c r="EZ3642" s="36">
        <v>506645</v>
      </c>
      <c r="FA3642" s="36" t="s">
        <v>1726</v>
      </c>
      <c r="FB3642" s="36" t="s">
        <v>473</v>
      </c>
      <c r="FC3642" s="36" t="s">
        <v>53</v>
      </c>
      <c r="FD3642" s="36" t="s">
        <v>476</v>
      </c>
      <c r="FE3642" s="36">
        <v>2020</v>
      </c>
      <c r="FF3642" s="36" t="s">
        <v>474</v>
      </c>
      <c r="FG3642" s="36" t="s">
        <v>1193</v>
      </c>
      <c r="FJ3642" t="s">
        <v>474</v>
      </c>
    </row>
    <row r="3643" spans="153:166" x14ac:dyDescent="0.35">
      <c r="EW3643" t="s">
        <v>4093</v>
      </c>
      <c r="EX3643" s="33" t="s">
        <v>2364</v>
      </c>
      <c r="EY3643" s="35" t="s">
        <v>1870</v>
      </c>
      <c r="EZ3643" s="36">
        <v>507402</v>
      </c>
      <c r="FA3643" s="36" t="s">
        <v>1726</v>
      </c>
      <c r="FB3643" s="36" t="s">
        <v>473</v>
      </c>
      <c r="FC3643" s="36" t="s">
        <v>53</v>
      </c>
      <c r="FD3643" s="36" t="s">
        <v>476</v>
      </c>
      <c r="FE3643" s="36">
        <v>2020</v>
      </c>
      <c r="FF3643" s="36" t="s">
        <v>474</v>
      </c>
      <c r="FG3643" s="36" t="s">
        <v>1193</v>
      </c>
      <c r="FJ3643" t="s">
        <v>474</v>
      </c>
    </row>
    <row r="3644" spans="153:166" x14ac:dyDescent="0.35">
      <c r="EW3644" t="s">
        <v>4093</v>
      </c>
      <c r="EX3644" s="33" t="s">
        <v>1929</v>
      </c>
      <c r="EY3644" s="35" t="s">
        <v>1871</v>
      </c>
      <c r="EZ3644" s="36">
        <v>507277</v>
      </c>
      <c r="FA3644" s="36" t="s">
        <v>1726</v>
      </c>
      <c r="FB3644" s="36" t="s">
        <v>473</v>
      </c>
      <c r="FC3644" s="36" t="s">
        <v>53</v>
      </c>
      <c r="FD3644" s="36" t="s">
        <v>476</v>
      </c>
      <c r="FE3644" s="36">
        <v>2020</v>
      </c>
      <c r="FF3644" s="36" t="s">
        <v>474</v>
      </c>
      <c r="FG3644" s="36" t="s">
        <v>1193</v>
      </c>
      <c r="FJ3644" t="s">
        <v>474</v>
      </c>
    </row>
    <row r="3645" spans="153:166" x14ac:dyDescent="0.35">
      <c r="EW3645" t="s">
        <v>4093</v>
      </c>
      <c r="EX3645" s="33" t="s">
        <v>1882</v>
      </c>
      <c r="EY3645" s="35" t="s">
        <v>1872</v>
      </c>
      <c r="EZ3645" s="36">
        <v>506865</v>
      </c>
      <c r="FA3645" s="36" t="s">
        <v>1726</v>
      </c>
      <c r="FB3645" s="36" t="s">
        <v>473</v>
      </c>
      <c r="FC3645" s="36" t="s">
        <v>53</v>
      </c>
      <c r="FD3645" s="36" t="s">
        <v>476</v>
      </c>
      <c r="FE3645" s="36">
        <v>2020</v>
      </c>
      <c r="FF3645" s="36" t="s">
        <v>474</v>
      </c>
      <c r="FG3645" s="36" t="s">
        <v>1193</v>
      </c>
      <c r="FJ3645" t="s">
        <v>474</v>
      </c>
    </row>
    <row r="3646" spans="153:166" x14ac:dyDescent="0.35">
      <c r="EW3646" t="s">
        <v>4093</v>
      </c>
      <c r="EX3646" s="33" t="s">
        <v>2414</v>
      </c>
      <c r="EY3646" s="35" t="s">
        <v>1873</v>
      </c>
      <c r="EZ3646" s="36">
        <v>506732</v>
      </c>
      <c r="FA3646" s="36" t="s">
        <v>1726</v>
      </c>
      <c r="FB3646" s="36" t="s">
        <v>473</v>
      </c>
      <c r="FC3646" s="36" t="s">
        <v>53</v>
      </c>
      <c r="FD3646" s="36" t="s">
        <v>476</v>
      </c>
      <c r="FE3646" s="36">
        <v>2020</v>
      </c>
      <c r="FF3646" s="36" t="s">
        <v>474</v>
      </c>
      <c r="FG3646" s="36" t="s">
        <v>1193</v>
      </c>
      <c r="FJ3646" t="s">
        <v>474</v>
      </c>
    </row>
    <row r="3647" spans="153:166" x14ac:dyDescent="0.35">
      <c r="EW3647" t="s">
        <v>4093</v>
      </c>
      <c r="EX3647" s="33" t="s">
        <v>2139</v>
      </c>
      <c r="EY3647" s="35" t="s">
        <v>1875</v>
      </c>
      <c r="EZ3647" s="36">
        <v>506661</v>
      </c>
      <c r="FA3647" s="36" t="s">
        <v>1726</v>
      </c>
      <c r="FB3647" s="36" t="s">
        <v>473</v>
      </c>
      <c r="FC3647" s="36" t="s">
        <v>53</v>
      </c>
      <c r="FD3647" s="36" t="s">
        <v>476</v>
      </c>
      <c r="FE3647" s="36">
        <v>2020</v>
      </c>
      <c r="FF3647" s="36" t="s">
        <v>474</v>
      </c>
      <c r="FG3647" s="36" t="s">
        <v>1193</v>
      </c>
      <c r="FJ3647" t="s">
        <v>474</v>
      </c>
    </row>
    <row r="3648" spans="153:166" x14ac:dyDescent="0.35">
      <c r="EW3648" t="s">
        <v>4093</v>
      </c>
      <c r="EX3648" s="33" t="s">
        <v>1511</v>
      </c>
      <c r="EY3648" s="35" t="s">
        <v>1876</v>
      </c>
      <c r="EZ3648" s="36">
        <v>506598</v>
      </c>
      <c r="FA3648" s="36" t="s">
        <v>1726</v>
      </c>
      <c r="FB3648" s="36" t="s">
        <v>473</v>
      </c>
      <c r="FC3648" s="36" t="s">
        <v>53</v>
      </c>
      <c r="FD3648" s="36" t="s">
        <v>476</v>
      </c>
      <c r="FE3648" s="36">
        <v>2020</v>
      </c>
      <c r="FF3648" s="36" t="s">
        <v>474</v>
      </c>
      <c r="FG3648" s="36" t="s">
        <v>1193</v>
      </c>
      <c r="FJ3648" t="s">
        <v>474</v>
      </c>
    </row>
    <row r="3649" spans="153:166" x14ac:dyDescent="0.35">
      <c r="EW3649" t="s">
        <v>4093</v>
      </c>
      <c r="EX3649" s="33" t="s">
        <v>1855</v>
      </c>
      <c r="EY3649" s="35" t="s">
        <v>1879</v>
      </c>
      <c r="EZ3649" s="36">
        <v>506305</v>
      </c>
      <c r="FA3649" s="36" t="s">
        <v>1726</v>
      </c>
      <c r="FB3649" s="36" t="s">
        <v>473</v>
      </c>
      <c r="FC3649" s="36" t="s">
        <v>53</v>
      </c>
      <c r="FD3649" s="36" t="s">
        <v>476</v>
      </c>
      <c r="FE3649" s="36">
        <v>2020</v>
      </c>
      <c r="FF3649" s="36" t="s">
        <v>474</v>
      </c>
      <c r="FG3649" s="36" t="s">
        <v>1193</v>
      </c>
      <c r="FJ3649" t="s">
        <v>474</v>
      </c>
    </row>
    <row r="3650" spans="153:166" x14ac:dyDescent="0.35">
      <c r="EW3650" t="s">
        <v>4093</v>
      </c>
      <c r="EX3650" s="33" t="s">
        <v>1804</v>
      </c>
      <c r="EY3650" s="35" t="s">
        <v>1880</v>
      </c>
      <c r="EZ3650" s="36">
        <v>506647</v>
      </c>
      <c r="FA3650" s="36" t="s">
        <v>1726</v>
      </c>
      <c r="FB3650" s="36" t="s">
        <v>473</v>
      </c>
      <c r="FC3650" s="36" t="s">
        <v>53</v>
      </c>
      <c r="FD3650" s="36" t="s">
        <v>476</v>
      </c>
      <c r="FE3650" s="36">
        <v>2020</v>
      </c>
      <c r="FF3650" s="36" t="s">
        <v>474</v>
      </c>
      <c r="FG3650" s="36" t="s">
        <v>1193</v>
      </c>
      <c r="FJ3650" t="s">
        <v>474</v>
      </c>
    </row>
    <row r="3651" spans="153:166" x14ac:dyDescent="0.35">
      <c r="EW3651" t="s">
        <v>4093</v>
      </c>
      <c r="EX3651" s="33" t="s">
        <v>2071</v>
      </c>
      <c r="EY3651" s="35" t="s">
        <v>1881</v>
      </c>
      <c r="EZ3651" s="36">
        <v>507078</v>
      </c>
      <c r="FA3651" s="36" t="s">
        <v>1726</v>
      </c>
      <c r="FB3651" s="36" t="s">
        <v>473</v>
      </c>
      <c r="FC3651" s="36" t="s">
        <v>53</v>
      </c>
      <c r="FD3651" s="36" t="s">
        <v>476</v>
      </c>
      <c r="FE3651" s="36">
        <v>2020</v>
      </c>
      <c r="FF3651" s="36" t="s">
        <v>474</v>
      </c>
      <c r="FG3651" s="36" t="s">
        <v>1193</v>
      </c>
      <c r="FJ3651" t="s">
        <v>474</v>
      </c>
    </row>
    <row r="3652" spans="153:166" x14ac:dyDescent="0.35">
      <c r="EW3652" t="s">
        <v>4093</v>
      </c>
      <c r="EX3652" s="33" t="s">
        <v>1624</v>
      </c>
      <c r="EY3652" s="35" t="s">
        <v>1884</v>
      </c>
      <c r="EZ3652" s="36">
        <v>506749</v>
      </c>
      <c r="FA3652" s="36" t="s">
        <v>1726</v>
      </c>
      <c r="FB3652" s="36" t="s">
        <v>473</v>
      </c>
      <c r="FC3652" s="36" t="s">
        <v>53</v>
      </c>
      <c r="FD3652" s="36" t="s">
        <v>476</v>
      </c>
      <c r="FE3652" s="36">
        <v>2020</v>
      </c>
      <c r="FF3652" s="36" t="s">
        <v>474</v>
      </c>
      <c r="FG3652" s="36" t="s">
        <v>1193</v>
      </c>
      <c r="FJ3652" t="s">
        <v>474</v>
      </c>
    </row>
    <row r="3653" spans="153:166" x14ac:dyDescent="0.35">
      <c r="EW3653" t="s">
        <v>4093</v>
      </c>
      <c r="EX3653" s="33" t="s">
        <v>1384</v>
      </c>
      <c r="EY3653" s="35" t="s">
        <v>1885</v>
      </c>
      <c r="EZ3653" s="36">
        <v>507040</v>
      </c>
      <c r="FA3653" s="36" t="s">
        <v>1726</v>
      </c>
      <c r="FB3653" s="36" t="s">
        <v>473</v>
      </c>
      <c r="FC3653" s="36" t="s">
        <v>53</v>
      </c>
      <c r="FD3653" s="36" t="s">
        <v>476</v>
      </c>
      <c r="FE3653" s="36">
        <v>2020</v>
      </c>
      <c r="FF3653" s="36" t="s">
        <v>474</v>
      </c>
      <c r="FG3653" s="36" t="s">
        <v>1193</v>
      </c>
      <c r="FJ3653" t="s">
        <v>474</v>
      </c>
    </row>
    <row r="3654" spans="153:166" x14ac:dyDescent="0.35">
      <c r="EW3654" t="s">
        <v>4093</v>
      </c>
      <c r="EX3654" s="33" t="s">
        <v>1765</v>
      </c>
      <c r="EY3654" s="35" t="s">
        <v>1888</v>
      </c>
      <c r="EZ3654" s="36">
        <v>506999</v>
      </c>
      <c r="FA3654" s="36" t="s">
        <v>1726</v>
      </c>
      <c r="FB3654" s="36" t="s">
        <v>473</v>
      </c>
      <c r="FC3654" s="36" t="s">
        <v>53</v>
      </c>
      <c r="FD3654" s="36" t="s">
        <v>476</v>
      </c>
      <c r="FE3654" s="36">
        <v>2020</v>
      </c>
      <c r="FF3654" s="36" t="s">
        <v>474</v>
      </c>
      <c r="FG3654" s="36" t="s">
        <v>1193</v>
      </c>
      <c r="FJ3654" t="s">
        <v>474</v>
      </c>
    </row>
    <row r="3655" spans="153:166" x14ac:dyDescent="0.35">
      <c r="EW3655" t="s">
        <v>4093</v>
      </c>
      <c r="EX3655" s="33" t="s">
        <v>1636</v>
      </c>
      <c r="EY3655" s="35" t="s">
        <v>1889</v>
      </c>
      <c r="EZ3655" s="36">
        <v>506686</v>
      </c>
      <c r="FA3655" s="36" t="s">
        <v>1726</v>
      </c>
      <c r="FB3655" s="36" t="s">
        <v>473</v>
      </c>
      <c r="FC3655" s="36" t="s">
        <v>53</v>
      </c>
      <c r="FD3655" s="36" t="s">
        <v>476</v>
      </c>
      <c r="FE3655" s="36">
        <v>2020</v>
      </c>
      <c r="FF3655" s="36" t="s">
        <v>474</v>
      </c>
      <c r="FG3655" s="36" t="s">
        <v>1193</v>
      </c>
      <c r="FJ3655" t="s">
        <v>474</v>
      </c>
    </row>
    <row r="3656" spans="153:166" x14ac:dyDescent="0.35">
      <c r="EW3656" t="s">
        <v>4093</v>
      </c>
      <c r="EX3656" s="33" t="s">
        <v>4724</v>
      </c>
      <c r="EY3656" s="35" t="s">
        <v>1890</v>
      </c>
      <c r="EZ3656" s="36">
        <v>507117</v>
      </c>
      <c r="FA3656" s="36" t="s">
        <v>1726</v>
      </c>
      <c r="FB3656" s="36" t="s">
        <v>473</v>
      </c>
      <c r="FC3656" s="36" t="s">
        <v>53</v>
      </c>
      <c r="FD3656" s="36" t="s">
        <v>476</v>
      </c>
      <c r="FE3656" s="36">
        <v>2020</v>
      </c>
      <c r="FF3656" s="36" t="s">
        <v>474</v>
      </c>
      <c r="FG3656" s="36" t="s">
        <v>1193</v>
      </c>
      <c r="FJ3656" t="s">
        <v>474</v>
      </c>
    </row>
    <row r="3657" spans="153:166" x14ac:dyDescent="0.35">
      <c r="EW3657" t="s">
        <v>4093</v>
      </c>
      <c r="EX3657" s="33" t="s">
        <v>1768</v>
      </c>
      <c r="EY3657" s="35" t="s">
        <v>1891</v>
      </c>
      <c r="EZ3657" s="36">
        <v>507055</v>
      </c>
      <c r="FA3657" s="36" t="s">
        <v>1726</v>
      </c>
      <c r="FB3657" s="36" t="s">
        <v>473</v>
      </c>
      <c r="FC3657" s="36" t="s">
        <v>53</v>
      </c>
      <c r="FD3657" s="36" t="s">
        <v>476</v>
      </c>
      <c r="FE3657" s="36">
        <v>2020</v>
      </c>
      <c r="FF3657" s="36" t="s">
        <v>474</v>
      </c>
      <c r="FG3657" s="36" t="s">
        <v>1193</v>
      </c>
      <c r="FJ3657" t="s">
        <v>474</v>
      </c>
    </row>
    <row r="3658" spans="153:166" x14ac:dyDescent="0.35">
      <c r="EW3658" t="s">
        <v>4093</v>
      </c>
      <c r="EX3658" s="33" t="s">
        <v>1581</v>
      </c>
      <c r="EY3658" s="35" t="s">
        <v>1892</v>
      </c>
      <c r="EZ3658" s="36">
        <v>507102</v>
      </c>
      <c r="FA3658" s="36" t="s">
        <v>1726</v>
      </c>
      <c r="FB3658" s="36" t="s">
        <v>473</v>
      </c>
      <c r="FC3658" s="36" t="s">
        <v>53</v>
      </c>
      <c r="FD3658" s="36" t="s">
        <v>476</v>
      </c>
      <c r="FE3658" s="36">
        <v>2020</v>
      </c>
      <c r="FF3658" s="36" t="s">
        <v>474</v>
      </c>
      <c r="FG3658" s="36" t="s">
        <v>1193</v>
      </c>
      <c r="FJ3658" t="s">
        <v>474</v>
      </c>
    </row>
    <row r="3659" spans="153:166" x14ac:dyDescent="0.35">
      <c r="EW3659" t="s">
        <v>4093</v>
      </c>
      <c r="EX3659" s="33" t="s">
        <v>2469</v>
      </c>
      <c r="EY3659" s="35" t="s">
        <v>1893</v>
      </c>
      <c r="EZ3659" s="36">
        <v>507075</v>
      </c>
      <c r="FA3659" s="36" t="s">
        <v>1726</v>
      </c>
      <c r="FB3659" s="36" t="s">
        <v>473</v>
      </c>
      <c r="FC3659" s="36" t="s">
        <v>53</v>
      </c>
      <c r="FD3659" s="36" t="s">
        <v>476</v>
      </c>
      <c r="FE3659" s="36">
        <v>2020</v>
      </c>
      <c r="FF3659" s="36" t="s">
        <v>474</v>
      </c>
      <c r="FG3659" s="36" t="s">
        <v>1193</v>
      </c>
      <c r="FJ3659" t="s">
        <v>474</v>
      </c>
    </row>
    <row r="3660" spans="153:166" x14ac:dyDescent="0.35">
      <c r="EW3660" t="s">
        <v>4093</v>
      </c>
      <c r="EX3660" s="33" t="s">
        <v>4725</v>
      </c>
      <c r="EY3660" s="35" t="s">
        <v>1896</v>
      </c>
      <c r="EZ3660" s="36">
        <v>507106</v>
      </c>
      <c r="FA3660" s="36" t="s">
        <v>1726</v>
      </c>
      <c r="FB3660" s="36" t="s">
        <v>473</v>
      </c>
      <c r="FC3660" s="36" t="s">
        <v>53</v>
      </c>
      <c r="FD3660" s="36" t="s">
        <v>476</v>
      </c>
      <c r="FE3660" s="36">
        <v>2020</v>
      </c>
      <c r="FF3660" s="36" t="s">
        <v>474</v>
      </c>
      <c r="FG3660" s="36" t="s">
        <v>1193</v>
      </c>
      <c r="FJ3660" t="s">
        <v>474</v>
      </c>
    </row>
    <row r="3661" spans="153:166" x14ac:dyDescent="0.35">
      <c r="EW3661" t="s">
        <v>4093</v>
      </c>
      <c r="EX3661" s="33" t="s">
        <v>1221</v>
      </c>
      <c r="EY3661" s="35" t="s">
        <v>1899</v>
      </c>
      <c r="EZ3661" s="36">
        <v>506644</v>
      </c>
      <c r="FA3661" s="36" t="s">
        <v>1726</v>
      </c>
      <c r="FB3661" s="36" t="s">
        <v>473</v>
      </c>
      <c r="FC3661" s="36" t="s">
        <v>53</v>
      </c>
      <c r="FD3661" s="36" t="s">
        <v>476</v>
      </c>
      <c r="FE3661" s="36">
        <v>2020</v>
      </c>
      <c r="FF3661" s="36" t="s">
        <v>474</v>
      </c>
      <c r="FG3661" s="36" t="s">
        <v>1193</v>
      </c>
      <c r="FJ3661" t="s">
        <v>474</v>
      </c>
    </row>
    <row r="3662" spans="153:166" x14ac:dyDescent="0.35">
      <c r="EW3662" t="s">
        <v>4093</v>
      </c>
      <c r="EX3662" s="33" t="s">
        <v>1942</v>
      </c>
      <c r="EY3662" s="35" t="s">
        <v>1902</v>
      </c>
      <c r="EZ3662" s="36">
        <v>506671</v>
      </c>
      <c r="FA3662" s="36" t="s">
        <v>1726</v>
      </c>
      <c r="FB3662" s="36" t="s">
        <v>473</v>
      </c>
      <c r="FC3662" s="36" t="s">
        <v>53</v>
      </c>
      <c r="FD3662" s="36" t="s">
        <v>476</v>
      </c>
      <c r="FE3662" s="36">
        <v>2020</v>
      </c>
      <c r="FF3662" s="36" t="s">
        <v>474</v>
      </c>
      <c r="FG3662" s="36" t="s">
        <v>1193</v>
      </c>
      <c r="FJ3662" t="s">
        <v>474</v>
      </c>
    </row>
    <row r="3663" spans="153:166" x14ac:dyDescent="0.35">
      <c r="EW3663" t="s">
        <v>4093</v>
      </c>
      <c r="EX3663" s="33" t="s">
        <v>1977</v>
      </c>
      <c r="EY3663" s="35" t="s">
        <v>1903</v>
      </c>
      <c r="EZ3663" s="36">
        <v>507033</v>
      </c>
      <c r="FA3663" s="36" t="s">
        <v>1726</v>
      </c>
      <c r="FB3663" s="36" t="s">
        <v>473</v>
      </c>
      <c r="FC3663" s="36" t="s">
        <v>53</v>
      </c>
      <c r="FD3663" s="36" t="s">
        <v>476</v>
      </c>
      <c r="FE3663" s="36">
        <v>2020</v>
      </c>
      <c r="FF3663" s="36" t="s">
        <v>474</v>
      </c>
      <c r="FG3663" s="36" t="s">
        <v>1193</v>
      </c>
      <c r="FJ3663" t="s">
        <v>474</v>
      </c>
    </row>
    <row r="3664" spans="153:166" x14ac:dyDescent="0.35">
      <c r="EW3664" t="s">
        <v>4093</v>
      </c>
      <c r="EX3664" s="33" t="s">
        <v>1784</v>
      </c>
      <c r="EY3664" s="35" t="s">
        <v>1904</v>
      </c>
      <c r="EZ3664" s="36">
        <v>506988</v>
      </c>
      <c r="FA3664" s="36" t="s">
        <v>1726</v>
      </c>
      <c r="FB3664" s="36" t="s">
        <v>473</v>
      </c>
      <c r="FC3664" s="36" t="s">
        <v>53</v>
      </c>
      <c r="FD3664" s="36" t="s">
        <v>476</v>
      </c>
      <c r="FE3664" s="36">
        <v>2020</v>
      </c>
      <c r="FF3664" s="36" t="s">
        <v>474</v>
      </c>
      <c r="FG3664" s="36" t="s">
        <v>1193</v>
      </c>
      <c r="FJ3664" t="s">
        <v>474</v>
      </c>
    </row>
    <row r="3665" spans="153:166" x14ac:dyDescent="0.35">
      <c r="EW3665" t="s">
        <v>4093</v>
      </c>
      <c r="EX3665" s="33" t="s">
        <v>1418</v>
      </c>
      <c r="EY3665" s="35" t="s">
        <v>1905</v>
      </c>
      <c r="EZ3665" s="36">
        <v>506841</v>
      </c>
      <c r="FA3665" s="36" t="s">
        <v>1726</v>
      </c>
      <c r="FB3665" s="36" t="s">
        <v>473</v>
      </c>
      <c r="FC3665" s="36" t="s">
        <v>53</v>
      </c>
      <c r="FD3665" s="36" t="s">
        <v>476</v>
      </c>
      <c r="FE3665" s="36">
        <v>2020</v>
      </c>
      <c r="FF3665" s="36" t="s">
        <v>474</v>
      </c>
      <c r="FG3665" s="36" t="s">
        <v>1728</v>
      </c>
      <c r="FJ3665" t="s">
        <v>474</v>
      </c>
    </row>
    <row r="3666" spans="153:166" x14ac:dyDescent="0.35">
      <c r="EW3666" t="s">
        <v>4093</v>
      </c>
      <c r="EX3666" s="33" t="s">
        <v>1366</v>
      </c>
      <c r="EY3666" s="35" t="s">
        <v>1908</v>
      </c>
      <c r="EZ3666" s="36">
        <v>507058</v>
      </c>
      <c r="FA3666" s="36" t="s">
        <v>1726</v>
      </c>
      <c r="FB3666" s="36" t="s">
        <v>473</v>
      </c>
      <c r="FC3666" s="36" t="s">
        <v>53</v>
      </c>
      <c r="FD3666" s="36" t="s">
        <v>476</v>
      </c>
      <c r="FE3666" s="36">
        <v>2020</v>
      </c>
      <c r="FF3666" s="36" t="s">
        <v>474</v>
      </c>
      <c r="FG3666" s="36" t="s">
        <v>1193</v>
      </c>
      <c r="FJ3666" t="s">
        <v>474</v>
      </c>
    </row>
    <row r="3667" spans="153:166" x14ac:dyDescent="0.35">
      <c r="EW3667" t="s">
        <v>4093</v>
      </c>
      <c r="EX3667" s="33" t="s">
        <v>1194</v>
      </c>
      <c r="EY3667" s="35" t="s">
        <v>1910</v>
      </c>
      <c r="EZ3667" s="36">
        <v>506731</v>
      </c>
      <c r="FA3667" s="36" t="s">
        <v>1726</v>
      </c>
      <c r="FB3667" s="36" t="s">
        <v>473</v>
      </c>
      <c r="FC3667" s="36" t="s">
        <v>53</v>
      </c>
      <c r="FD3667" s="36" t="s">
        <v>476</v>
      </c>
      <c r="FE3667" s="36">
        <v>2020</v>
      </c>
      <c r="FF3667" s="36" t="s">
        <v>474</v>
      </c>
      <c r="FG3667" s="36" t="s">
        <v>1728</v>
      </c>
      <c r="FJ3667" t="s">
        <v>474</v>
      </c>
    </row>
    <row r="3668" spans="153:166" x14ac:dyDescent="0.35">
      <c r="EW3668" t="s">
        <v>4093</v>
      </c>
      <c r="EX3668" s="33" t="s">
        <v>4726</v>
      </c>
      <c r="EY3668" s="35" t="s">
        <v>1913</v>
      </c>
      <c r="EZ3668" s="36">
        <v>507121</v>
      </c>
      <c r="FA3668" s="36" t="s">
        <v>1726</v>
      </c>
      <c r="FB3668" s="36" t="s">
        <v>473</v>
      </c>
      <c r="FC3668" s="36" t="s">
        <v>53</v>
      </c>
      <c r="FD3668" s="36" t="s">
        <v>476</v>
      </c>
      <c r="FE3668" s="36">
        <v>2020</v>
      </c>
      <c r="FF3668" s="36" t="s">
        <v>474</v>
      </c>
      <c r="FG3668" s="36" t="s">
        <v>1193</v>
      </c>
      <c r="FJ3668" t="s">
        <v>474</v>
      </c>
    </row>
    <row r="3669" spans="153:166" x14ac:dyDescent="0.35">
      <c r="EW3669" t="s">
        <v>4093</v>
      </c>
      <c r="EX3669" s="33" t="s">
        <v>1547</v>
      </c>
      <c r="EY3669" s="35" t="s">
        <v>1916</v>
      </c>
      <c r="EZ3669" s="36">
        <v>507144</v>
      </c>
      <c r="FA3669" s="36" t="s">
        <v>1726</v>
      </c>
      <c r="FB3669" s="36" t="s">
        <v>473</v>
      </c>
      <c r="FC3669" s="36" t="s">
        <v>53</v>
      </c>
      <c r="FD3669" s="36" t="s">
        <v>476</v>
      </c>
      <c r="FE3669" s="36">
        <v>2020</v>
      </c>
      <c r="FF3669" s="36" t="s">
        <v>474</v>
      </c>
      <c r="FG3669" s="36" t="s">
        <v>1728</v>
      </c>
      <c r="FJ3669" t="s">
        <v>474</v>
      </c>
    </row>
    <row r="3670" spans="153:166" x14ac:dyDescent="0.35">
      <c r="EW3670" t="s">
        <v>4093</v>
      </c>
      <c r="EX3670" s="33" t="s">
        <v>1759</v>
      </c>
      <c r="EY3670" s="35" t="s">
        <v>1917</v>
      </c>
      <c r="EZ3670" s="36">
        <v>507047</v>
      </c>
      <c r="FA3670" s="36" t="s">
        <v>1726</v>
      </c>
      <c r="FB3670" s="36" t="s">
        <v>473</v>
      </c>
      <c r="FC3670" s="36" t="s">
        <v>53</v>
      </c>
      <c r="FD3670" s="36" t="s">
        <v>476</v>
      </c>
      <c r="FE3670" s="36">
        <v>2020</v>
      </c>
      <c r="FF3670" s="36" t="s">
        <v>474</v>
      </c>
      <c r="FG3670" s="36" t="s">
        <v>1193</v>
      </c>
      <c r="FJ3670" t="s">
        <v>474</v>
      </c>
    </row>
    <row r="3671" spans="153:166" x14ac:dyDescent="0.35">
      <c r="EW3671" t="s">
        <v>4093</v>
      </c>
      <c r="EX3671" s="33" t="s">
        <v>1426</v>
      </c>
      <c r="EY3671" s="35" t="s">
        <v>1918</v>
      </c>
      <c r="EZ3671" s="36">
        <v>507680</v>
      </c>
      <c r="FA3671" s="36" t="s">
        <v>1726</v>
      </c>
      <c r="FB3671" s="36" t="s">
        <v>473</v>
      </c>
      <c r="FC3671" s="36" t="s">
        <v>53</v>
      </c>
      <c r="FD3671" s="36" t="s">
        <v>476</v>
      </c>
      <c r="FE3671" s="36">
        <v>2020</v>
      </c>
      <c r="FF3671" s="36" t="s">
        <v>474</v>
      </c>
      <c r="FG3671" s="36" t="s">
        <v>1728</v>
      </c>
      <c r="FJ3671" t="s">
        <v>474</v>
      </c>
    </row>
    <row r="3672" spans="153:166" x14ac:dyDescent="0.35">
      <c r="EW3672" t="s">
        <v>4093</v>
      </c>
      <c r="EX3672" s="33" t="s">
        <v>1797</v>
      </c>
      <c r="EY3672" s="35" t="s">
        <v>1919</v>
      </c>
      <c r="EZ3672" s="36">
        <v>506696</v>
      </c>
      <c r="FA3672" s="36" t="s">
        <v>1726</v>
      </c>
      <c r="FB3672" s="36" t="s">
        <v>473</v>
      </c>
      <c r="FC3672" s="36" t="s">
        <v>53</v>
      </c>
      <c r="FD3672" s="36" t="s">
        <v>476</v>
      </c>
      <c r="FE3672" s="36">
        <v>2020</v>
      </c>
      <c r="FF3672" s="36" t="s">
        <v>474</v>
      </c>
      <c r="FG3672" s="36" t="s">
        <v>1193</v>
      </c>
      <c r="FJ3672" t="s">
        <v>474</v>
      </c>
    </row>
    <row r="3673" spans="153:166" x14ac:dyDescent="0.35">
      <c r="EW3673" t="s">
        <v>4093</v>
      </c>
      <c r="EX3673" s="33" t="s">
        <v>2307</v>
      </c>
      <c r="EY3673" s="35" t="s">
        <v>1922</v>
      </c>
      <c r="EZ3673" s="36">
        <v>506823</v>
      </c>
      <c r="FA3673" s="36" t="s">
        <v>1726</v>
      </c>
      <c r="FB3673" s="36" t="s">
        <v>473</v>
      </c>
      <c r="FC3673" s="36" t="s">
        <v>53</v>
      </c>
      <c r="FD3673" s="36" t="s">
        <v>476</v>
      </c>
      <c r="FE3673" s="36">
        <v>2020</v>
      </c>
      <c r="FF3673" s="36" t="s">
        <v>474</v>
      </c>
      <c r="FG3673" s="36" t="s">
        <v>1728</v>
      </c>
      <c r="FJ3673" t="s">
        <v>474</v>
      </c>
    </row>
    <row r="3674" spans="153:166" x14ac:dyDescent="0.35">
      <c r="EW3674" t="s">
        <v>4093</v>
      </c>
      <c r="EX3674" s="33" t="s">
        <v>2245</v>
      </c>
      <c r="EY3674" s="35" t="s">
        <v>1923</v>
      </c>
      <c r="EZ3674" s="36">
        <v>506866</v>
      </c>
      <c r="FA3674" s="36" t="s">
        <v>1726</v>
      </c>
      <c r="FB3674" s="36" t="s">
        <v>473</v>
      </c>
      <c r="FC3674" s="36" t="s">
        <v>53</v>
      </c>
      <c r="FD3674" s="36" t="s">
        <v>476</v>
      </c>
      <c r="FE3674" s="36">
        <v>2020</v>
      </c>
      <c r="FF3674" s="36" t="s">
        <v>474</v>
      </c>
      <c r="FG3674" s="36" t="s">
        <v>1728</v>
      </c>
      <c r="FJ3674" t="s">
        <v>474</v>
      </c>
    </row>
    <row r="3675" spans="153:166" x14ac:dyDescent="0.35">
      <c r="EW3675" t="s">
        <v>4093</v>
      </c>
      <c r="EX3675" s="33" t="s">
        <v>2321</v>
      </c>
      <c r="EY3675" s="35" t="s">
        <v>1924</v>
      </c>
      <c r="EZ3675" s="36">
        <v>507134</v>
      </c>
      <c r="FA3675" s="36" t="s">
        <v>1726</v>
      </c>
      <c r="FB3675" s="36" t="s">
        <v>473</v>
      </c>
      <c r="FC3675" s="36" t="s">
        <v>53</v>
      </c>
      <c r="FD3675" s="36" t="s">
        <v>476</v>
      </c>
      <c r="FE3675" s="36">
        <v>2020</v>
      </c>
      <c r="FF3675" s="36" t="s">
        <v>474</v>
      </c>
      <c r="FG3675" s="36" t="s">
        <v>1728</v>
      </c>
      <c r="FJ3675" t="s">
        <v>474</v>
      </c>
    </row>
    <row r="3676" spans="153:166" x14ac:dyDescent="0.35">
      <c r="EW3676" t="s">
        <v>4093</v>
      </c>
      <c r="EX3676" s="33" t="s">
        <v>1911</v>
      </c>
      <c r="EY3676" s="35" t="s">
        <v>1925</v>
      </c>
      <c r="EZ3676" s="36">
        <v>507160</v>
      </c>
      <c r="FA3676" s="36" t="s">
        <v>1726</v>
      </c>
      <c r="FB3676" s="36" t="s">
        <v>473</v>
      </c>
      <c r="FC3676" s="36" t="s">
        <v>53</v>
      </c>
      <c r="FD3676" s="36" t="s">
        <v>476</v>
      </c>
      <c r="FE3676" s="36">
        <v>2020</v>
      </c>
      <c r="FF3676" s="36" t="s">
        <v>474</v>
      </c>
      <c r="FG3676" s="36" t="s">
        <v>1728</v>
      </c>
      <c r="FJ3676" t="s">
        <v>474</v>
      </c>
    </row>
    <row r="3677" spans="153:166" x14ac:dyDescent="0.35">
      <c r="EW3677" t="s">
        <v>4093</v>
      </c>
      <c r="EX3677" s="33" t="s">
        <v>1404</v>
      </c>
      <c r="EY3677" s="35" t="s">
        <v>1928</v>
      </c>
      <c r="EZ3677" s="36">
        <v>507108</v>
      </c>
      <c r="FA3677" s="36" t="s">
        <v>1726</v>
      </c>
      <c r="FB3677" s="36" t="s">
        <v>473</v>
      </c>
      <c r="FC3677" s="36" t="s">
        <v>53</v>
      </c>
      <c r="FD3677" s="36" t="s">
        <v>476</v>
      </c>
      <c r="FE3677" s="36">
        <v>2020</v>
      </c>
      <c r="FF3677" s="36" t="s">
        <v>474</v>
      </c>
      <c r="FG3677" s="36" t="s">
        <v>1728</v>
      </c>
      <c r="FJ3677" t="s">
        <v>474</v>
      </c>
    </row>
    <row r="3678" spans="153:166" x14ac:dyDescent="0.35">
      <c r="EW3678" t="s">
        <v>4093</v>
      </c>
      <c r="EX3678" s="33" t="s">
        <v>1289</v>
      </c>
      <c r="EY3678" s="35" t="s">
        <v>1930</v>
      </c>
      <c r="EZ3678" s="36">
        <v>507057</v>
      </c>
      <c r="FA3678" s="36" t="s">
        <v>1726</v>
      </c>
      <c r="FB3678" s="36" t="s">
        <v>473</v>
      </c>
      <c r="FC3678" s="36" t="s">
        <v>53</v>
      </c>
      <c r="FD3678" s="36" t="s">
        <v>476</v>
      </c>
      <c r="FE3678" s="36">
        <v>2020</v>
      </c>
      <c r="FF3678" s="36" t="s">
        <v>474</v>
      </c>
      <c r="FG3678" s="36" t="s">
        <v>1193</v>
      </c>
      <c r="FJ3678" t="s">
        <v>474</v>
      </c>
    </row>
    <row r="3679" spans="153:166" x14ac:dyDescent="0.35">
      <c r="EW3679" t="s">
        <v>4093</v>
      </c>
      <c r="EX3679" s="33" t="s">
        <v>1388</v>
      </c>
      <c r="EY3679" s="35" t="s">
        <v>1932</v>
      </c>
      <c r="EZ3679" s="36">
        <v>507062</v>
      </c>
      <c r="FA3679" s="36" t="s">
        <v>1726</v>
      </c>
      <c r="FB3679" s="36" t="s">
        <v>473</v>
      </c>
      <c r="FC3679" s="36" t="s">
        <v>53</v>
      </c>
      <c r="FD3679" s="36" t="s">
        <v>476</v>
      </c>
      <c r="FE3679" s="36">
        <v>2020</v>
      </c>
      <c r="FF3679" s="36" t="s">
        <v>474</v>
      </c>
      <c r="FG3679" s="36" t="s">
        <v>1193</v>
      </c>
      <c r="FJ3679" t="s">
        <v>474</v>
      </c>
    </row>
    <row r="3680" spans="153:166" x14ac:dyDescent="0.35">
      <c r="EW3680" t="s">
        <v>4093</v>
      </c>
      <c r="EX3680" s="33" t="s">
        <v>1933</v>
      </c>
      <c r="EY3680" s="35" t="s">
        <v>1935</v>
      </c>
      <c r="EZ3680" s="36">
        <v>507971</v>
      </c>
      <c r="FA3680" s="36" t="s">
        <v>1726</v>
      </c>
      <c r="FB3680" s="36" t="s">
        <v>473</v>
      </c>
      <c r="FC3680" s="36" t="s">
        <v>53</v>
      </c>
      <c r="FD3680" s="36" t="s">
        <v>476</v>
      </c>
      <c r="FE3680" s="36">
        <v>2020</v>
      </c>
      <c r="FF3680" s="36" t="s">
        <v>474</v>
      </c>
      <c r="FG3680" s="36" t="s">
        <v>1728</v>
      </c>
      <c r="FJ3680" t="s">
        <v>474</v>
      </c>
    </row>
    <row r="3681" spans="153:166" x14ac:dyDescent="0.35">
      <c r="EW3681" t="s">
        <v>4093</v>
      </c>
      <c r="EX3681" s="33" t="s">
        <v>2251</v>
      </c>
      <c r="EY3681" s="35" t="s">
        <v>1936</v>
      </c>
      <c r="EZ3681" s="36">
        <v>508481</v>
      </c>
      <c r="FA3681" s="36" t="s">
        <v>1726</v>
      </c>
      <c r="FB3681" s="36" t="s">
        <v>473</v>
      </c>
      <c r="FC3681" s="36" t="s">
        <v>53</v>
      </c>
      <c r="FD3681" s="36" t="s">
        <v>476</v>
      </c>
      <c r="FE3681" s="36">
        <v>2020</v>
      </c>
      <c r="FF3681" s="36" t="s">
        <v>474</v>
      </c>
      <c r="FG3681" s="36" t="s">
        <v>1193</v>
      </c>
      <c r="FJ3681" t="s">
        <v>474</v>
      </c>
    </row>
    <row r="3682" spans="153:166" x14ac:dyDescent="0.35">
      <c r="EW3682" t="s">
        <v>4093</v>
      </c>
      <c r="EX3682" s="33" t="s">
        <v>1860</v>
      </c>
      <c r="EY3682" s="35" t="s">
        <v>1939</v>
      </c>
      <c r="EZ3682" s="36">
        <v>509156</v>
      </c>
      <c r="FA3682" s="36" t="s">
        <v>1726</v>
      </c>
      <c r="FB3682" s="36" t="s">
        <v>473</v>
      </c>
      <c r="FC3682" s="36" t="s">
        <v>53</v>
      </c>
      <c r="FD3682" s="36" t="s">
        <v>476</v>
      </c>
      <c r="FE3682" s="36">
        <v>2020</v>
      </c>
      <c r="FF3682" s="36" t="s">
        <v>474</v>
      </c>
      <c r="FG3682" s="36" t="s">
        <v>1193</v>
      </c>
      <c r="FJ3682" t="s">
        <v>474</v>
      </c>
    </row>
    <row r="3683" spans="153:166" x14ac:dyDescent="0.35">
      <c r="EW3683" t="s">
        <v>4093</v>
      </c>
      <c r="EX3683" s="33" t="s">
        <v>1242</v>
      </c>
      <c r="EY3683" s="35" t="s">
        <v>1940</v>
      </c>
      <c r="EZ3683" s="36">
        <v>509224</v>
      </c>
      <c r="FA3683" s="36" t="s">
        <v>1726</v>
      </c>
      <c r="FB3683" s="36" t="s">
        <v>473</v>
      </c>
      <c r="FC3683" s="36" t="s">
        <v>53</v>
      </c>
      <c r="FD3683" s="36" t="s">
        <v>476</v>
      </c>
      <c r="FE3683" s="36">
        <v>2020</v>
      </c>
      <c r="FF3683" s="36" t="s">
        <v>474</v>
      </c>
      <c r="FG3683" s="36" t="s">
        <v>1193</v>
      </c>
      <c r="FJ3683" t="s">
        <v>474</v>
      </c>
    </row>
    <row r="3684" spans="153:166" x14ac:dyDescent="0.35">
      <c r="EW3684" t="s">
        <v>4093</v>
      </c>
      <c r="EX3684" s="33" t="s">
        <v>1738</v>
      </c>
      <c r="EY3684" s="35" t="s">
        <v>1941</v>
      </c>
      <c r="EZ3684" s="36">
        <v>509231</v>
      </c>
      <c r="FA3684" s="36" t="s">
        <v>1726</v>
      </c>
      <c r="FB3684" s="36" t="s">
        <v>473</v>
      </c>
      <c r="FC3684" s="36" t="s">
        <v>53</v>
      </c>
      <c r="FD3684" s="36" t="s">
        <v>476</v>
      </c>
      <c r="FE3684" s="36">
        <v>2020</v>
      </c>
      <c r="FF3684" s="36" t="s">
        <v>474</v>
      </c>
      <c r="FG3684" s="36" t="s">
        <v>1728</v>
      </c>
      <c r="FJ3684" t="s">
        <v>474</v>
      </c>
    </row>
    <row r="3685" spans="153:166" x14ac:dyDescent="0.35">
      <c r="EW3685" t="s">
        <v>4093</v>
      </c>
      <c r="EX3685" s="33" t="s">
        <v>2207</v>
      </c>
      <c r="EY3685" s="35" t="s">
        <v>1944</v>
      </c>
      <c r="EZ3685" s="36">
        <v>509235</v>
      </c>
      <c r="FA3685" s="36" t="s">
        <v>1726</v>
      </c>
      <c r="FB3685" s="36" t="s">
        <v>473</v>
      </c>
      <c r="FC3685" s="36" t="s">
        <v>53</v>
      </c>
      <c r="FD3685" s="36" t="s">
        <v>476</v>
      </c>
      <c r="FE3685" s="36">
        <v>2020</v>
      </c>
      <c r="FF3685" s="36" t="s">
        <v>474</v>
      </c>
      <c r="FG3685" s="36" t="s">
        <v>1193</v>
      </c>
      <c r="FJ3685" t="s">
        <v>474</v>
      </c>
    </row>
    <row r="3686" spans="153:166" x14ac:dyDescent="0.35">
      <c r="EW3686" t="s">
        <v>4093</v>
      </c>
      <c r="EX3686" s="33" t="s">
        <v>4727</v>
      </c>
      <c r="EY3686" s="35" t="s">
        <v>1947</v>
      </c>
      <c r="EZ3686" s="36">
        <v>507983</v>
      </c>
      <c r="FA3686" s="36" t="s">
        <v>1726</v>
      </c>
      <c r="FB3686" s="36" t="s">
        <v>473</v>
      </c>
      <c r="FC3686" s="36" t="s">
        <v>53</v>
      </c>
      <c r="FD3686" s="36" t="s">
        <v>476</v>
      </c>
      <c r="FE3686" s="36">
        <v>2020</v>
      </c>
      <c r="FF3686" s="36" t="s">
        <v>474</v>
      </c>
      <c r="FG3686" s="36" t="s">
        <v>1728</v>
      </c>
      <c r="FJ3686" t="s">
        <v>474</v>
      </c>
    </row>
    <row r="3687" spans="153:166" x14ac:dyDescent="0.35">
      <c r="EW3687" t="s">
        <v>4093</v>
      </c>
      <c r="EX3687" s="33" t="s">
        <v>1378</v>
      </c>
      <c r="EY3687" s="35" t="s">
        <v>1948</v>
      </c>
      <c r="EZ3687" s="36">
        <v>509204</v>
      </c>
      <c r="FA3687" s="36" t="s">
        <v>1726</v>
      </c>
      <c r="FB3687" s="36" t="s">
        <v>473</v>
      </c>
      <c r="FC3687" s="36" t="s">
        <v>53</v>
      </c>
      <c r="FD3687" s="36" t="s">
        <v>476</v>
      </c>
      <c r="FE3687" s="36">
        <v>2020</v>
      </c>
      <c r="FF3687" s="36" t="s">
        <v>474</v>
      </c>
      <c r="FG3687" s="36" t="s">
        <v>1193</v>
      </c>
      <c r="FJ3687" t="s">
        <v>474</v>
      </c>
    </row>
    <row r="3688" spans="153:166" x14ac:dyDescent="0.35">
      <c r="EW3688" t="s">
        <v>4093</v>
      </c>
      <c r="EX3688" s="33" t="s">
        <v>2082</v>
      </c>
      <c r="EY3688" s="35" t="s">
        <v>1949</v>
      </c>
      <c r="EZ3688" s="36">
        <v>507876</v>
      </c>
      <c r="FA3688" s="36" t="s">
        <v>1726</v>
      </c>
      <c r="FB3688" s="36" t="s">
        <v>473</v>
      </c>
      <c r="FC3688" s="36" t="s">
        <v>53</v>
      </c>
      <c r="FD3688" s="36" t="s">
        <v>476</v>
      </c>
      <c r="FE3688" s="36">
        <v>2020</v>
      </c>
      <c r="FF3688" s="36" t="s">
        <v>474</v>
      </c>
      <c r="FG3688" s="36" t="s">
        <v>1728</v>
      </c>
      <c r="FJ3688" t="s">
        <v>474</v>
      </c>
    </row>
    <row r="3689" spans="153:166" x14ac:dyDescent="0.35">
      <c r="EW3689" t="s">
        <v>4093</v>
      </c>
      <c r="EX3689" s="33" t="s">
        <v>1306</v>
      </c>
      <c r="EY3689" s="35" t="s">
        <v>1950</v>
      </c>
      <c r="EZ3689" s="36">
        <v>507532</v>
      </c>
      <c r="FA3689" s="36" t="s">
        <v>1726</v>
      </c>
      <c r="FB3689" s="36" t="s">
        <v>473</v>
      </c>
      <c r="FC3689" s="36" t="s">
        <v>53</v>
      </c>
      <c r="FD3689" s="36" t="s">
        <v>476</v>
      </c>
      <c r="FE3689" s="36">
        <v>2020</v>
      </c>
      <c r="FF3689" s="36" t="s">
        <v>474</v>
      </c>
      <c r="FG3689" s="36" t="s">
        <v>1728</v>
      </c>
      <c r="FJ3689" t="s">
        <v>474</v>
      </c>
    </row>
    <row r="3690" spans="153:166" x14ac:dyDescent="0.35">
      <c r="EW3690" t="s">
        <v>4093</v>
      </c>
      <c r="EX3690" s="33" t="s">
        <v>1900</v>
      </c>
      <c r="EY3690" s="35" t="s">
        <v>1953</v>
      </c>
      <c r="EZ3690" s="36">
        <v>508062</v>
      </c>
      <c r="FA3690" s="36" t="s">
        <v>1726</v>
      </c>
      <c r="FB3690" s="36" t="s">
        <v>473</v>
      </c>
      <c r="FC3690" s="36" t="s">
        <v>53</v>
      </c>
      <c r="FD3690" s="36" t="s">
        <v>476</v>
      </c>
      <c r="FE3690" s="36">
        <v>2020</v>
      </c>
      <c r="FF3690" s="36" t="s">
        <v>474</v>
      </c>
      <c r="FG3690" s="36" t="s">
        <v>1728</v>
      </c>
      <c r="FJ3690" t="s">
        <v>474</v>
      </c>
    </row>
    <row r="3691" spans="153:166" x14ac:dyDescent="0.35">
      <c r="EW3691" t="s">
        <v>4093</v>
      </c>
      <c r="EX3691" s="33" t="s">
        <v>1248</v>
      </c>
      <c r="EY3691" s="35" t="s">
        <v>1954</v>
      </c>
      <c r="EZ3691" s="36">
        <v>507705</v>
      </c>
      <c r="FA3691" s="36" t="s">
        <v>1726</v>
      </c>
      <c r="FB3691" s="36" t="s">
        <v>473</v>
      </c>
      <c r="FC3691" s="36" t="s">
        <v>53</v>
      </c>
      <c r="FD3691" s="36" t="s">
        <v>476</v>
      </c>
      <c r="FE3691" s="36">
        <v>2020</v>
      </c>
      <c r="FF3691" s="36" t="s">
        <v>474</v>
      </c>
      <c r="FG3691" s="36" t="s">
        <v>1728</v>
      </c>
      <c r="FJ3691" t="s">
        <v>474</v>
      </c>
    </row>
    <row r="3692" spans="153:166" x14ac:dyDescent="0.35">
      <c r="EW3692" t="s">
        <v>4093</v>
      </c>
      <c r="EX3692" s="33" t="s">
        <v>1525</v>
      </c>
      <c r="EY3692" s="35" t="s">
        <v>1957</v>
      </c>
      <c r="EZ3692" s="36">
        <v>507636</v>
      </c>
      <c r="FA3692" s="36" t="s">
        <v>1726</v>
      </c>
      <c r="FB3692" s="36" t="s">
        <v>473</v>
      </c>
      <c r="FC3692" s="36" t="s">
        <v>53</v>
      </c>
      <c r="FD3692" s="36" t="s">
        <v>476</v>
      </c>
      <c r="FE3692" s="36">
        <v>2020</v>
      </c>
      <c r="FF3692" s="36" t="s">
        <v>474</v>
      </c>
      <c r="FG3692" s="36" t="s">
        <v>1728</v>
      </c>
      <c r="FJ3692" t="s">
        <v>474</v>
      </c>
    </row>
    <row r="3693" spans="153:166" x14ac:dyDescent="0.35">
      <c r="EW3693" t="s">
        <v>4093</v>
      </c>
      <c r="EX3693" s="33" t="s">
        <v>2301</v>
      </c>
      <c r="EY3693" s="35" t="s">
        <v>1958</v>
      </c>
      <c r="EZ3693" s="36">
        <v>508054</v>
      </c>
      <c r="FA3693" s="36" t="s">
        <v>1726</v>
      </c>
      <c r="FB3693" s="36" t="s">
        <v>473</v>
      </c>
      <c r="FC3693" s="36" t="s">
        <v>53</v>
      </c>
      <c r="FD3693" s="36" t="s">
        <v>476</v>
      </c>
      <c r="FE3693" s="36">
        <v>2020</v>
      </c>
      <c r="FF3693" s="36" t="s">
        <v>474</v>
      </c>
      <c r="FG3693" s="36" t="s">
        <v>1728</v>
      </c>
      <c r="FJ3693" t="s">
        <v>474</v>
      </c>
    </row>
    <row r="3694" spans="153:166" x14ac:dyDescent="0.35">
      <c r="EW3694" t="s">
        <v>4093</v>
      </c>
      <c r="EX3694" s="33" t="s">
        <v>1794</v>
      </c>
      <c r="EY3694" s="35" t="s">
        <v>1959</v>
      </c>
      <c r="EZ3694" s="36">
        <v>508070</v>
      </c>
      <c r="FA3694" s="36" t="s">
        <v>1726</v>
      </c>
      <c r="FB3694" s="36" t="s">
        <v>473</v>
      </c>
      <c r="FC3694" s="36" t="s">
        <v>53</v>
      </c>
      <c r="FD3694" s="36" t="s">
        <v>476</v>
      </c>
      <c r="FE3694" s="36">
        <v>2020</v>
      </c>
      <c r="FF3694" s="36" t="s">
        <v>474</v>
      </c>
      <c r="FG3694" s="36" t="s">
        <v>1728</v>
      </c>
      <c r="FJ3694" t="s">
        <v>474</v>
      </c>
    </row>
    <row r="3695" spans="153:166" x14ac:dyDescent="0.35">
      <c r="EW3695" t="s">
        <v>4093</v>
      </c>
      <c r="EX3695" s="33" t="s">
        <v>2454</v>
      </c>
      <c r="EY3695" s="35" t="s">
        <v>1960</v>
      </c>
      <c r="EZ3695" s="36">
        <v>507800</v>
      </c>
      <c r="FA3695" s="36" t="s">
        <v>1726</v>
      </c>
      <c r="FB3695" s="36" t="s">
        <v>473</v>
      </c>
      <c r="FC3695" s="36" t="s">
        <v>53</v>
      </c>
      <c r="FD3695" s="36" t="s">
        <v>476</v>
      </c>
      <c r="FE3695" s="36">
        <v>2020</v>
      </c>
      <c r="FF3695" s="36" t="s">
        <v>474</v>
      </c>
      <c r="FG3695" s="36" t="s">
        <v>1728</v>
      </c>
      <c r="FJ3695" t="s">
        <v>474</v>
      </c>
    </row>
    <row r="3696" spans="153:166" x14ac:dyDescent="0.35">
      <c r="EW3696" t="s">
        <v>4093</v>
      </c>
      <c r="EX3696" s="33" t="s">
        <v>1298</v>
      </c>
      <c r="EY3696" s="35" t="s">
        <v>1961</v>
      </c>
      <c r="EZ3696" s="36">
        <v>508092</v>
      </c>
      <c r="FA3696" s="36" t="s">
        <v>1726</v>
      </c>
      <c r="FB3696" s="36" t="s">
        <v>473</v>
      </c>
      <c r="FC3696" s="36" t="s">
        <v>53</v>
      </c>
      <c r="FD3696" s="36" t="s">
        <v>476</v>
      </c>
      <c r="FE3696" s="36">
        <v>2020</v>
      </c>
      <c r="FF3696" s="36" t="s">
        <v>474</v>
      </c>
      <c r="FG3696" s="36" t="s">
        <v>1728</v>
      </c>
      <c r="FJ3696" t="s">
        <v>474</v>
      </c>
    </row>
    <row r="3697" spans="153:166" x14ac:dyDescent="0.35">
      <c r="EW3697" t="s">
        <v>4093</v>
      </c>
      <c r="EX3697" s="33" t="s">
        <v>1781</v>
      </c>
      <c r="EY3697" s="35" t="s">
        <v>1962</v>
      </c>
      <c r="EZ3697" s="36">
        <v>507827</v>
      </c>
      <c r="FA3697" s="36" t="s">
        <v>1726</v>
      </c>
      <c r="FB3697" s="36" t="s">
        <v>473</v>
      </c>
      <c r="FC3697" s="36" t="s">
        <v>53</v>
      </c>
      <c r="FD3697" s="36" t="s">
        <v>476</v>
      </c>
      <c r="FE3697" s="36">
        <v>2020</v>
      </c>
      <c r="FF3697" s="36" t="s">
        <v>474</v>
      </c>
      <c r="FG3697" s="36" t="s">
        <v>1728</v>
      </c>
      <c r="FJ3697" t="s">
        <v>474</v>
      </c>
    </row>
    <row r="3698" spans="153:166" x14ac:dyDescent="0.35">
      <c r="EW3698" t="s">
        <v>4093</v>
      </c>
      <c r="EX3698" s="33" t="s">
        <v>2427</v>
      </c>
      <c r="EY3698" s="35" t="s">
        <v>1963</v>
      </c>
      <c r="EZ3698" s="36">
        <v>508067</v>
      </c>
      <c r="FA3698" s="36" t="s">
        <v>1726</v>
      </c>
      <c r="FB3698" s="36" t="s">
        <v>473</v>
      </c>
      <c r="FC3698" s="36" t="s">
        <v>53</v>
      </c>
      <c r="FD3698" s="36" t="s">
        <v>476</v>
      </c>
      <c r="FE3698" s="36">
        <v>2020</v>
      </c>
      <c r="FF3698" s="36" t="s">
        <v>474</v>
      </c>
      <c r="FG3698" s="36" t="s">
        <v>1728</v>
      </c>
      <c r="FJ3698" t="s">
        <v>474</v>
      </c>
    </row>
    <row r="3699" spans="153:166" x14ac:dyDescent="0.35">
      <c r="EW3699" t="s">
        <v>4093</v>
      </c>
      <c r="EX3699" s="33" t="s">
        <v>1292</v>
      </c>
      <c r="EY3699" s="35" t="s">
        <v>1964</v>
      </c>
      <c r="EZ3699" s="36">
        <v>507830</v>
      </c>
      <c r="FA3699" s="36" t="s">
        <v>1726</v>
      </c>
      <c r="FB3699" s="36" t="s">
        <v>473</v>
      </c>
      <c r="FC3699" s="36" t="s">
        <v>53</v>
      </c>
      <c r="FD3699" s="36" t="s">
        <v>476</v>
      </c>
      <c r="FE3699" s="36">
        <v>2020</v>
      </c>
      <c r="FF3699" s="36" t="s">
        <v>474</v>
      </c>
      <c r="FG3699" s="36" t="s">
        <v>1728</v>
      </c>
      <c r="FJ3699" t="s">
        <v>474</v>
      </c>
    </row>
    <row r="3700" spans="153:166" x14ac:dyDescent="0.35">
      <c r="EW3700" t="s">
        <v>4093</v>
      </c>
      <c r="EX3700" s="33" t="s">
        <v>1753</v>
      </c>
      <c r="EY3700" s="35" t="s">
        <v>1965</v>
      </c>
      <c r="EZ3700" s="36">
        <v>507813</v>
      </c>
      <c r="FA3700" s="36" t="s">
        <v>1726</v>
      </c>
      <c r="FB3700" s="36" t="s">
        <v>473</v>
      </c>
      <c r="FC3700" s="36" t="s">
        <v>53</v>
      </c>
      <c r="FD3700" s="36" t="s">
        <v>476</v>
      </c>
      <c r="FE3700" s="36">
        <v>2020</v>
      </c>
      <c r="FF3700" s="36" t="s">
        <v>474</v>
      </c>
      <c r="FG3700" s="36" t="s">
        <v>1728</v>
      </c>
      <c r="FJ3700" t="s">
        <v>474</v>
      </c>
    </row>
    <row r="3701" spans="153:166" x14ac:dyDescent="0.35">
      <c r="EW3701" t="s">
        <v>4093</v>
      </c>
      <c r="EX3701" s="33" t="s">
        <v>1229</v>
      </c>
      <c r="EY3701" s="35" t="s">
        <v>1966</v>
      </c>
      <c r="EZ3701" s="36">
        <v>507862</v>
      </c>
      <c r="FA3701" s="36" t="s">
        <v>1726</v>
      </c>
      <c r="FB3701" s="36" t="s">
        <v>473</v>
      </c>
      <c r="FC3701" s="36" t="s">
        <v>53</v>
      </c>
      <c r="FD3701" s="36" t="s">
        <v>476</v>
      </c>
      <c r="FE3701" s="36">
        <v>2020</v>
      </c>
      <c r="FF3701" s="36" t="s">
        <v>474</v>
      </c>
      <c r="FG3701" s="36" t="s">
        <v>1728</v>
      </c>
      <c r="FJ3701" t="s">
        <v>474</v>
      </c>
    </row>
    <row r="3702" spans="153:166" x14ac:dyDescent="0.35">
      <c r="EW3702" t="s">
        <v>4093</v>
      </c>
      <c r="EX3702" s="33" t="s">
        <v>1627</v>
      </c>
      <c r="EY3702" s="35" t="s">
        <v>1967</v>
      </c>
      <c r="EZ3702" s="36">
        <v>507688</v>
      </c>
      <c r="FA3702" s="36" t="s">
        <v>1726</v>
      </c>
      <c r="FB3702" s="36" t="s">
        <v>473</v>
      </c>
      <c r="FC3702" s="36" t="s">
        <v>53</v>
      </c>
      <c r="FD3702" s="36" t="s">
        <v>476</v>
      </c>
      <c r="FE3702" s="36">
        <v>2020</v>
      </c>
      <c r="FF3702" s="36" t="s">
        <v>474</v>
      </c>
      <c r="FG3702" s="36" t="s">
        <v>1728</v>
      </c>
      <c r="FJ3702" t="s">
        <v>474</v>
      </c>
    </row>
    <row r="3703" spans="153:166" x14ac:dyDescent="0.35">
      <c r="EW3703" t="s">
        <v>4093</v>
      </c>
      <c r="EX3703" s="33" t="s">
        <v>1211</v>
      </c>
      <c r="EY3703" s="35" t="s">
        <v>1968</v>
      </c>
      <c r="EZ3703" s="36">
        <v>507514</v>
      </c>
      <c r="FA3703" s="36" t="s">
        <v>1726</v>
      </c>
      <c r="FB3703" s="36" t="s">
        <v>473</v>
      </c>
      <c r="FC3703" s="36" t="s">
        <v>53</v>
      </c>
      <c r="FD3703" s="36" t="s">
        <v>476</v>
      </c>
      <c r="FE3703" s="36">
        <v>2020</v>
      </c>
      <c r="FF3703" s="36" t="s">
        <v>474</v>
      </c>
      <c r="FG3703" s="36" t="s">
        <v>1728</v>
      </c>
      <c r="FJ3703" t="s">
        <v>474</v>
      </c>
    </row>
    <row r="3704" spans="153:166" x14ac:dyDescent="0.35">
      <c r="EW3704" t="s">
        <v>4093</v>
      </c>
      <c r="EX3704" s="33" t="s">
        <v>4728</v>
      </c>
      <c r="EY3704" s="35" t="s">
        <v>1969</v>
      </c>
      <c r="EZ3704" s="36">
        <v>508059</v>
      </c>
      <c r="FA3704" s="36" t="s">
        <v>1726</v>
      </c>
      <c r="FB3704" s="36" t="s">
        <v>473</v>
      </c>
      <c r="FC3704" s="36" t="s">
        <v>53</v>
      </c>
      <c r="FD3704" s="36" t="s">
        <v>476</v>
      </c>
      <c r="FE3704" s="36">
        <v>2020</v>
      </c>
      <c r="FF3704" s="36" t="s">
        <v>474</v>
      </c>
      <c r="FG3704" s="36" t="s">
        <v>1728</v>
      </c>
      <c r="FJ3704" t="s">
        <v>474</v>
      </c>
    </row>
    <row r="3705" spans="153:166" x14ac:dyDescent="0.35">
      <c r="EW3705" t="s">
        <v>4093</v>
      </c>
      <c r="EX3705" s="33" t="s">
        <v>1877</v>
      </c>
      <c r="EY3705" s="35" t="s">
        <v>1970</v>
      </c>
      <c r="EZ3705" s="36">
        <v>507493</v>
      </c>
      <c r="FA3705" s="36" t="s">
        <v>1726</v>
      </c>
      <c r="FB3705" s="36" t="s">
        <v>473</v>
      </c>
      <c r="FC3705" s="36" t="s">
        <v>53</v>
      </c>
      <c r="FD3705" s="36" t="s">
        <v>476</v>
      </c>
      <c r="FE3705" s="36">
        <v>2020</v>
      </c>
      <c r="FF3705" s="36" t="s">
        <v>474</v>
      </c>
      <c r="FG3705" s="36" t="s">
        <v>1728</v>
      </c>
      <c r="FJ3705" t="s">
        <v>474</v>
      </c>
    </row>
    <row r="3706" spans="153:166" x14ac:dyDescent="0.35">
      <c r="EW3706" t="s">
        <v>4093</v>
      </c>
      <c r="EX3706" s="33" t="s">
        <v>1730</v>
      </c>
      <c r="EY3706" s="35" t="s">
        <v>1971</v>
      </c>
      <c r="EZ3706" s="36">
        <v>508050</v>
      </c>
      <c r="FA3706" s="36" t="s">
        <v>1726</v>
      </c>
      <c r="FB3706" s="36" t="s">
        <v>473</v>
      </c>
      <c r="FC3706" s="36" t="s">
        <v>53</v>
      </c>
      <c r="FD3706" s="36" t="s">
        <v>476</v>
      </c>
      <c r="FE3706" s="36">
        <v>2020</v>
      </c>
      <c r="FF3706" s="36" t="s">
        <v>474</v>
      </c>
      <c r="FG3706" s="36" t="s">
        <v>1728</v>
      </c>
      <c r="FJ3706" t="s">
        <v>474</v>
      </c>
    </row>
    <row r="3707" spans="153:166" x14ac:dyDescent="0.35">
      <c r="EW3707" t="s">
        <v>4093</v>
      </c>
      <c r="EX3707" s="33" t="s">
        <v>1358</v>
      </c>
      <c r="EY3707" s="35" t="s">
        <v>1972</v>
      </c>
      <c r="EZ3707" s="36">
        <v>507531</v>
      </c>
      <c r="FA3707" s="36" t="s">
        <v>1726</v>
      </c>
      <c r="FB3707" s="36" t="s">
        <v>473</v>
      </c>
      <c r="FC3707" s="36" t="s">
        <v>53</v>
      </c>
      <c r="FD3707" s="36" t="s">
        <v>476</v>
      </c>
      <c r="FE3707" s="36">
        <v>2020</v>
      </c>
      <c r="FF3707" s="36" t="s">
        <v>474</v>
      </c>
      <c r="FG3707" s="36" t="s">
        <v>1728</v>
      </c>
      <c r="FJ3707" t="s">
        <v>474</v>
      </c>
    </row>
    <row r="3708" spans="153:166" x14ac:dyDescent="0.35">
      <c r="EW3708" t="s">
        <v>4093</v>
      </c>
      <c r="EX3708" s="33" t="s">
        <v>1260</v>
      </c>
      <c r="EY3708" s="35" t="s">
        <v>1973</v>
      </c>
      <c r="EZ3708" s="36">
        <v>507748</v>
      </c>
      <c r="FA3708" s="36" t="s">
        <v>1726</v>
      </c>
      <c r="FB3708" s="36" t="s">
        <v>473</v>
      </c>
      <c r="FC3708" s="36" t="s">
        <v>53</v>
      </c>
      <c r="FD3708" s="36" t="s">
        <v>476</v>
      </c>
      <c r="FE3708" s="36">
        <v>2020</v>
      </c>
      <c r="FF3708" s="36" t="s">
        <v>474</v>
      </c>
      <c r="FG3708" s="36" t="s">
        <v>1728</v>
      </c>
      <c r="FJ3708" t="s">
        <v>474</v>
      </c>
    </row>
    <row r="3709" spans="153:166" x14ac:dyDescent="0.35">
      <c r="EW3709" t="s">
        <v>4093</v>
      </c>
      <c r="EX3709" s="33" t="s">
        <v>1408</v>
      </c>
      <c r="EY3709" s="35" t="s">
        <v>1974</v>
      </c>
      <c r="EZ3709" s="36">
        <v>508084</v>
      </c>
      <c r="FA3709" s="36" t="s">
        <v>1726</v>
      </c>
      <c r="FB3709" s="36" t="s">
        <v>473</v>
      </c>
      <c r="FC3709" s="36" t="s">
        <v>53</v>
      </c>
      <c r="FD3709" s="36" t="s">
        <v>476</v>
      </c>
      <c r="FE3709" s="36">
        <v>2020</v>
      </c>
      <c r="FF3709" s="36" t="s">
        <v>474</v>
      </c>
      <c r="FG3709" s="36" t="s">
        <v>1728</v>
      </c>
      <c r="FJ3709" t="s">
        <v>474</v>
      </c>
    </row>
    <row r="3710" spans="153:166" x14ac:dyDescent="0.35">
      <c r="EW3710" t="s">
        <v>4093</v>
      </c>
      <c r="EX3710" s="33" t="s">
        <v>2259</v>
      </c>
      <c r="EY3710" s="35" t="s">
        <v>1975</v>
      </c>
      <c r="EZ3710" s="36">
        <v>507795</v>
      </c>
      <c r="FA3710" s="36" t="s">
        <v>1726</v>
      </c>
      <c r="FB3710" s="36" t="s">
        <v>473</v>
      </c>
      <c r="FC3710" s="36" t="s">
        <v>53</v>
      </c>
      <c r="FD3710" s="36" t="s">
        <v>476</v>
      </c>
      <c r="FE3710" s="36">
        <v>2020</v>
      </c>
      <c r="FF3710" s="36" t="s">
        <v>474</v>
      </c>
      <c r="FG3710" s="36" t="s">
        <v>1728</v>
      </c>
      <c r="FJ3710" t="s">
        <v>474</v>
      </c>
    </row>
    <row r="3711" spans="153:166" x14ac:dyDescent="0.35">
      <c r="EW3711" t="s">
        <v>4093</v>
      </c>
      <c r="EX3711" s="33" t="s">
        <v>1777</v>
      </c>
      <c r="EY3711" s="35" t="s">
        <v>1976</v>
      </c>
      <c r="EZ3711" s="36">
        <v>507522</v>
      </c>
      <c r="FA3711" s="36" t="s">
        <v>1726</v>
      </c>
      <c r="FB3711" s="36" t="s">
        <v>473</v>
      </c>
      <c r="FC3711" s="36" t="s">
        <v>53</v>
      </c>
      <c r="FD3711" s="36" t="s">
        <v>476</v>
      </c>
      <c r="FE3711" s="36">
        <v>2020</v>
      </c>
      <c r="FF3711" s="36" t="s">
        <v>474</v>
      </c>
      <c r="FG3711" s="36" t="s">
        <v>1728</v>
      </c>
      <c r="FJ3711" t="s">
        <v>474</v>
      </c>
    </row>
    <row r="3712" spans="153:166" x14ac:dyDescent="0.35">
      <c r="EW3712" t="s">
        <v>4093</v>
      </c>
      <c r="EX3712" s="33" t="s">
        <v>1735</v>
      </c>
      <c r="EY3712" s="35" t="s">
        <v>1979</v>
      </c>
      <c r="EZ3712" s="36">
        <v>506628</v>
      </c>
      <c r="FA3712" s="36" t="s">
        <v>1726</v>
      </c>
      <c r="FB3712" s="36" t="s">
        <v>473</v>
      </c>
      <c r="FC3712" s="36" t="s">
        <v>53</v>
      </c>
      <c r="FD3712" s="36" t="s">
        <v>476</v>
      </c>
      <c r="FE3712" s="36">
        <v>2020</v>
      </c>
      <c r="FF3712" s="36" t="s">
        <v>474</v>
      </c>
      <c r="FG3712" s="36" t="s">
        <v>1193</v>
      </c>
      <c r="FJ3712" t="s">
        <v>474</v>
      </c>
    </row>
    <row r="3713" spans="153:166" x14ac:dyDescent="0.35">
      <c r="EW3713" t="s">
        <v>4093</v>
      </c>
      <c r="EX3713" s="33" t="s">
        <v>1744</v>
      </c>
      <c r="EY3713" s="35" t="s">
        <v>1980</v>
      </c>
      <c r="EZ3713" s="36">
        <v>507710</v>
      </c>
      <c r="FA3713" s="36" t="s">
        <v>1726</v>
      </c>
      <c r="FB3713" s="36" t="s">
        <v>473</v>
      </c>
      <c r="FC3713" s="36" t="s">
        <v>53</v>
      </c>
      <c r="FD3713" s="36" t="s">
        <v>476</v>
      </c>
      <c r="FE3713" s="36">
        <v>2020</v>
      </c>
      <c r="FF3713" s="36" t="s">
        <v>474</v>
      </c>
      <c r="FG3713" s="36" t="s">
        <v>1728</v>
      </c>
      <c r="FJ3713" t="s">
        <v>474</v>
      </c>
    </row>
    <row r="3714" spans="153:166" x14ac:dyDescent="0.35">
      <c r="EW3714" t="s">
        <v>4093</v>
      </c>
      <c r="EX3714" s="33" t="s">
        <v>1741</v>
      </c>
      <c r="EY3714" s="35" t="s">
        <v>1981</v>
      </c>
      <c r="EZ3714" s="36">
        <v>507489</v>
      </c>
      <c r="FA3714" s="36" t="s">
        <v>1726</v>
      </c>
      <c r="FB3714" s="36" t="s">
        <v>473</v>
      </c>
      <c r="FC3714" s="36" t="s">
        <v>53</v>
      </c>
      <c r="FD3714" s="36" t="s">
        <v>476</v>
      </c>
      <c r="FE3714" s="36">
        <v>2020</v>
      </c>
      <c r="FF3714" s="36" t="s">
        <v>474</v>
      </c>
      <c r="FG3714" s="36" t="s">
        <v>1728</v>
      </c>
      <c r="FJ3714" t="s">
        <v>474</v>
      </c>
    </row>
    <row r="3715" spans="153:166" x14ac:dyDescent="0.35">
      <c r="EW3715" t="s">
        <v>4093</v>
      </c>
      <c r="EX3715" s="33" t="s">
        <v>1894</v>
      </c>
      <c r="EY3715" s="35" t="s">
        <v>1982</v>
      </c>
      <c r="EZ3715" s="36">
        <v>507762</v>
      </c>
      <c r="FA3715" s="36" t="s">
        <v>1726</v>
      </c>
      <c r="FB3715" s="36" t="s">
        <v>473</v>
      </c>
      <c r="FC3715" s="36" t="s">
        <v>53</v>
      </c>
      <c r="FD3715" s="36" t="s">
        <v>476</v>
      </c>
      <c r="FE3715" s="36">
        <v>2020</v>
      </c>
      <c r="FF3715" s="36" t="s">
        <v>474</v>
      </c>
      <c r="FG3715" s="36" t="s">
        <v>1728</v>
      </c>
      <c r="FJ3715" t="s">
        <v>474</v>
      </c>
    </row>
    <row r="3716" spans="153:166" x14ac:dyDescent="0.35">
      <c r="EW3716" t="s">
        <v>4093</v>
      </c>
      <c r="EX3716" s="33" t="s">
        <v>1706</v>
      </c>
      <c r="EY3716" s="35" t="s">
        <v>1983</v>
      </c>
      <c r="EZ3716" s="36">
        <v>507817</v>
      </c>
      <c r="FA3716" s="36" t="s">
        <v>1726</v>
      </c>
      <c r="FB3716" s="36" t="s">
        <v>473</v>
      </c>
      <c r="FC3716" s="36" t="s">
        <v>53</v>
      </c>
      <c r="FD3716" s="36" t="s">
        <v>476</v>
      </c>
      <c r="FE3716" s="36">
        <v>2020</v>
      </c>
      <c r="FF3716" s="36" t="s">
        <v>474</v>
      </c>
      <c r="FG3716" s="36" t="s">
        <v>1728</v>
      </c>
      <c r="FJ3716" t="s">
        <v>474</v>
      </c>
    </row>
    <row r="3717" spans="153:166" x14ac:dyDescent="0.35">
      <c r="EW3717" t="s">
        <v>4093</v>
      </c>
      <c r="EX3717" s="33" t="s">
        <v>1656</v>
      </c>
      <c r="EY3717" s="35" t="s">
        <v>1984</v>
      </c>
      <c r="EZ3717" s="36">
        <v>509236</v>
      </c>
      <c r="FA3717" s="36" t="s">
        <v>1726</v>
      </c>
      <c r="FB3717" s="36" t="s">
        <v>473</v>
      </c>
      <c r="FC3717" s="36" t="s">
        <v>53</v>
      </c>
      <c r="FD3717" s="36" t="s">
        <v>476</v>
      </c>
      <c r="FE3717" s="36">
        <v>2020</v>
      </c>
      <c r="FF3717" s="36" t="s">
        <v>474</v>
      </c>
      <c r="FG3717" s="36" t="s">
        <v>1728</v>
      </c>
      <c r="FJ3717" t="s">
        <v>474</v>
      </c>
    </row>
    <row r="3718" spans="153:166" x14ac:dyDescent="0.35">
      <c r="EW3718" t="s">
        <v>4093</v>
      </c>
      <c r="EX3718" s="33" t="s">
        <v>1362</v>
      </c>
      <c r="EY3718" s="35" t="s">
        <v>1985</v>
      </c>
      <c r="EZ3718" s="36">
        <v>507070</v>
      </c>
      <c r="FA3718" s="36" t="s">
        <v>1726</v>
      </c>
      <c r="FB3718" s="36" t="s">
        <v>473</v>
      </c>
      <c r="FC3718" s="36" t="s">
        <v>53</v>
      </c>
      <c r="FD3718" s="36" t="s">
        <v>476</v>
      </c>
      <c r="FE3718" s="36">
        <v>2020</v>
      </c>
      <c r="FF3718" s="36" t="s">
        <v>474</v>
      </c>
      <c r="FG3718" s="36" t="s">
        <v>1193</v>
      </c>
      <c r="FJ3718" t="s">
        <v>474</v>
      </c>
    </row>
    <row r="3719" spans="153:166" x14ac:dyDescent="0.35">
      <c r="EW3719" t="s">
        <v>4093</v>
      </c>
      <c r="EX3719" s="33" t="s">
        <v>1909</v>
      </c>
      <c r="EY3719" s="35" t="s">
        <v>1986</v>
      </c>
      <c r="EZ3719" s="36">
        <v>507658</v>
      </c>
      <c r="FA3719" s="36" t="s">
        <v>1726</v>
      </c>
      <c r="FB3719" s="36" t="s">
        <v>473</v>
      </c>
      <c r="FC3719" s="36" t="s">
        <v>53</v>
      </c>
      <c r="FD3719" s="36" t="s">
        <v>476</v>
      </c>
      <c r="FE3719" s="36">
        <v>2020</v>
      </c>
      <c r="FF3719" s="36" t="s">
        <v>474</v>
      </c>
      <c r="FG3719" s="36" t="s">
        <v>1728</v>
      </c>
      <c r="FJ3719" t="s">
        <v>474</v>
      </c>
    </row>
    <row r="3720" spans="153:166" x14ac:dyDescent="0.35">
      <c r="EW3720" t="s">
        <v>4093</v>
      </c>
      <c r="EX3720" s="33" t="s">
        <v>2351</v>
      </c>
      <c r="EY3720" s="35" t="s">
        <v>1987</v>
      </c>
      <c r="EZ3720" s="36">
        <v>507679</v>
      </c>
      <c r="FA3720" s="36" t="s">
        <v>1726</v>
      </c>
      <c r="FB3720" s="36" t="s">
        <v>473</v>
      </c>
      <c r="FC3720" s="36" t="s">
        <v>53</v>
      </c>
      <c r="FD3720" s="36" t="s">
        <v>476</v>
      </c>
      <c r="FE3720" s="36">
        <v>2020</v>
      </c>
      <c r="FF3720" s="36" t="s">
        <v>474</v>
      </c>
      <c r="FG3720" s="36" t="s">
        <v>1728</v>
      </c>
      <c r="FJ3720" t="s">
        <v>474</v>
      </c>
    </row>
    <row r="3721" spans="153:166" x14ac:dyDescent="0.35">
      <c r="EW3721" t="s">
        <v>4093</v>
      </c>
      <c r="EX3721" s="33" t="s">
        <v>1807</v>
      </c>
      <c r="EY3721" s="35" t="s">
        <v>1988</v>
      </c>
      <c r="EZ3721" s="36">
        <v>507655</v>
      </c>
      <c r="FA3721" s="36" t="s">
        <v>1726</v>
      </c>
      <c r="FB3721" s="36" t="s">
        <v>473</v>
      </c>
      <c r="FC3721" s="36" t="s">
        <v>53</v>
      </c>
      <c r="FD3721" s="36" t="s">
        <v>476</v>
      </c>
      <c r="FE3721" s="36">
        <v>2020</v>
      </c>
      <c r="FF3721" s="36" t="s">
        <v>474</v>
      </c>
      <c r="FG3721" s="36" t="s">
        <v>1728</v>
      </c>
      <c r="FJ3721" t="s">
        <v>474</v>
      </c>
    </row>
    <row r="3722" spans="153:166" x14ac:dyDescent="0.35">
      <c r="EW3722" t="s">
        <v>4093</v>
      </c>
      <c r="EX3722" s="33" t="s">
        <v>1374</v>
      </c>
      <c r="EY3722" s="35" t="s">
        <v>1989</v>
      </c>
      <c r="EZ3722" s="36">
        <v>507719</v>
      </c>
      <c r="FA3722" s="36" t="s">
        <v>1726</v>
      </c>
      <c r="FB3722" s="36" t="s">
        <v>473</v>
      </c>
      <c r="FC3722" s="36" t="s">
        <v>53</v>
      </c>
      <c r="FD3722" s="36" t="s">
        <v>476</v>
      </c>
      <c r="FE3722" s="36">
        <v>2020</v>
      </c>
      <c r="FF3722" s="36" t="s">
        <v>474</v>
      </c>
      <c r="FG3722" s="36" t="s">
        <v>1728</v>
      </c>
      <c r="FJ3722" t="s">
        <v>474</v>
      </c>
    </row>
    <row r="3723" spans="153:166" x14ac:dyDescent="0.35">
      <c r="EW3723" t="s">
        <v>4093</v>
      </c>
      <c r="EX3723" s="33" t="s">
        <v>2094</v>
      </c>
      <c r="EY3723" s="35" t="s">
        <v>1990</v>
      </c>
      <c r="EZ3723" s="36">
        <v>507775</v>
      </c>
      <c r="FA3723" s="36" t="s">
        <v>1726</v>
      </c>
      <c r="FB3723" s="36" t="s">
        <v>473</v>
      </c>
      <c r="FC3723" s="36" t="s">
        <v>53</v>
      </c>
      <c r="FD3723" s="36" t="s">
        <v>476</v>
      </c>
      <c r="FE3723" s="36">
        <v>2020</v>
      </c>
      <c r="FF3723" s="36" t="s">
        <v>474</v>
      </c>
      <c r="FG3723" s="36" t="s">
        <v>1728</v>
      </c>
      <c r="FJ3723" t="s">
        <v>474</v>
      </c>
    </row>
    <row r="3724" spans="153:166" x14ac:dyDescent="0.35">
      <c r="EW3724" t="s">
        <v>4093</v>
      </c>
      <c r="EX3724" s="33" t="s">
        <v>1756</v>
      </c>
      <c r="EY3724" s="35" t="s">
        <v>1991</v>
      </c>
      <c r="EZ3724" s="36">
        <v>508214</v>
      </c>
      <c r="FA3724" s="36" t="s">
        <v>1726</v>
      </c>
      <c r="FB3724" s="36" t="s">
        <v>473</v>
      </c>
      <c r="FC3724" s="36" t="s">
        <v>53</v>
      </c>
      <c r="FD3724" s="36" t="s">
        <v>476</v>
      </c>
      <c r="FE3724" s="36">
        <v>2020</v>
      </c>
      <c r="FF3724" s="36" t="s">
        <v>474</v>
      </c>
      <c r="FG3724" s="36" t="s">
        <v>1728</v>
      </c>
      <c r="FJ3724" t="s">
        <v>474</v>
      </c>
    </row>
    <row r="3725" spans="153:166" x14ac:dyDescent="0.35">
      <c r="EW3725" t="s">
        <v>4093</v>
      </c>
      <c r="EX3725" s="33" t="s">
        <v>1647</v>
      </c>
      <c r="EY3725" s="35" t="s">
        <v>1992</v>
      </c>
      <c r="EZ3725" s="36">
        <v>508621</v>
      </c>
      <c r="FA3725" s="36" t="s">
        <v>1726</v>
      </c>
      <c r="FB3725" s="36" t="s">
        <v>473</v>
      </c>
      <c r="FC3725" s="36" t="s">
        <v>53</v>
      </c>
      <c r="FD3725" s="36" t="s">
        <v>476</v>
      </c>
      <c r="FE3725" s="36">
        <v>2020</v>
      </c>
      <c r="FF3725" s="36" t="s">
        <v>474</v>
      </c>
      <c r="FG3725" s="36" t="s">
        <v>1728</v>
      </c>
      <c r="FJ3725" t="s">
        <v>474</v>
      </c>
    </row>
    <row r="3726" spans="153:166" x14ac:dyDescent="0.35">
      <c r="EW3726" t="s">
        <v>4093</v>
      </c>
      <c r="EX3726" s="33" t="s">
        <v>1843</v>
      </c>
      <c r="EY3726" s="35" t="s">
        <v>1993</v>
      </c>
      <c r="EZ3726" s="36">
        <v>507509</v>
      </c>
      <c r="FA3726" s="36" t="s">
        <v>1726</v>
      </c>
      <c r="FB3726" s="36" t="s">
        <v>473</v>
      </c>
      <c r="FC3726" s="36" t="s">
        <v>53</v>
      </c>
      <c r="FD3726" s="36" t="s">
        <v>476</v>
      </c>
      <c r="FE3726" s="36">
        <v>2020</v>
      </c>
      <c r="FF3726" s="36" t="s">
        <v>474</v>
      </c>
      <c r="FG3726" s="36" t="s">
        <v>1728</v>
      </c>
      <c r="FJ3726" t="s">
        <v>474</v>
      </c>
    </row>
    <row r="3727" spans="153:166" x14ac:dyDescent="0.35">
      <c r="EW3727" t="s">
        <v>4093</v>
      </c>
      <c r="EX3727" s="33" t="s">
        <v>1264</v>
      </c>
      <c r="EY3727" s="35" t="s">
        <v>1994</v>
      </c>
      <c r="EZ3727" s="36">
        <v>507017</v>
      </c>
      <c r="FA3727" s="36" t="s">
        <v>1726</v>
      </c>
      <c r="FB3727" s="36" t="s">
        <v>473</v>
      </c>
      <c r="FC3727" s="36" t="s">
        <v>53</v>
      </c>
      <c r="FD3727" s="36" t="s">
        <v>476</v>
      </c>
      <c r="FE3727" s="36">
        <v>2020</v>
      </c>
      <c r="FF3727" s="36" t="s">
        <v>474</v>
      </c>
      <c r="FG3727" s="36" t="s">
        <v>1193</v>
      </c>
      <c r="FJ3727" t="s">
        <v>474</v>
      </c>
    </row>
    <row r="3728" spans="153:166" x14ac:dyDescent="0.35">
      <c r="EW3728" t="s">
        <v>4093</v>
      </c>
      <c r="EX3728" s="33" t="s">
        <v>2379</v>
      </c>
      <c r="EY3728" s="35" t="s">
        <v>1995</v>
      </c>
      <c r="EZ3728" s="36">
        <v>507871</v>
      </c>
      <c r="FA3728" s="36" t="s">
        <v>1726</v>
      </c>
      <c r="FB3728" s="36" t="s">
        <v>473</v>
      </c>
      <c r="FC3728" s="36" t="s">
        <v>53</v>
      </c>
      <c r="FD3728" s="36" t="s">
        <v>476</v>
      </c>
      <c r="FE3728" s="36">
        <v>2020</v>
      </c>
      <c r="FF3728" s="36" t="s">
        <v>474</v>
      </c>
      <c r="FG3728" s="36" t="s">
        <v>1728</v>
      </c>
      <c r="FJ3728" t="s">
        <v>474</v>
      </c>
    </row>
    <row r="3729" spans="153:166" x14ac:dyDescent="0.35">
      <c r="EW3729" t="s">
        <v>4093</v>
      </c>
      <c r="EX3729" s="33" t="s">
        <v>1814</v>
      </c>
      <c r="EY3729" s="35" t="s">
        <v>1996</v>
      </c>
      <c r="EZ3729" s="36">
        <v>509217</v>
      </c>
      <c r="FA3729" s="36" t="s">
        <v>1726</v>
      </c>
      <c r="FB3729" s="36" t="s">
        <v>473</v>
      </c>
      <c r="FC3729" s="36" t="s">
        <v>53</v>
      </c>
      <c r="FD3729" s="36" t="s">
        <v>476</v>
      </c>
      <c r="FE3729" s="36">
        <v>2020</v>
      </c>
      <c r="FF3729" s="36" t="s">
        <v>474</v>
      </c>
      <c r="FG3729" s="36" t="s">
        <v>1728</v>
      </c>
      <c r="FJ3729" t="s">
        <v>474</v>
      </c>
    </row>
    <row r="3730" spans="153:166" x14ac:dyDescent="0.35">
      <c r="EW3730" t="s">
        <v>4093</v>
      </c>
      <c r="EX3730" s="33" t="s">
        <v>1817</v>
      </c>
      <c r="EY3730" s="35" t="s">
        <v>1997</v>
      </c>
      <c r="EZ3730" s="36">
        <v>508593</v>
      </c>
      <c r="FA3730" s="36" t="s">
        <v>1726</v>
      </c>
      <c r="FB3730" s="36" t="s">
        <v>473</v>
      </c>
      <c r="FC3730" s="36" t="s">
        <v>53</v>
      </c>
      <c r="FD3730" s="36" t="s">
        <v>476</v>
      </c>
      <c r="FE3730" s="36">
        <v>2020</v>
      </c>
      <c r="FF3730" s="36" t="s">
        <v>474</v>
      </c>
      <c r="FG3730" s="36" t="s">
        <v>1728</v>
      </c>
      <c r="FJ3730" t="s">
        <v>474</v>
      </c>
    </row>
    <row r="3731" spans="153:166" x14ac:dyDescent="0.35">
      <c r="EW3731" t="s">
        <v>4093</v>
      </c>
      <c r="EX3731" s="33" t="s">
        <v>1897</v>
      </c>
      <c r="EY3731" s="35" t="s">
        <v>1998</v>
      </c>
      <c r="EZ3731" s="36">
        <v>509325</v>
      </c>
      <c r="FA3731" s="36" t="s">
        <v>1726</v>
      </c>
      <c r="FB3731" s="36" t="s">
        <v>473</v>
      </c>
      <c r="FC3731" s="36" t="s">
        <v>53</v>
      </c>
      <c r="FD3731" s="36" t="s">
        <v>476</v>
      </c>
      <c r="FE3731" s="36">
        <v>2020</v>
      </c>
      <c r="FF3731" s="36" t="s">
        <v>474</v>
      </c>
      <c r="FG3731" s="36" t="s">
        <v>1728</v>
      </c>
      <c r="FJ3731" t="s">
        <v>474</v>
      </c>
    </row>
    <row r="3732" spans="153:166" x14ac:dyDescent="0.35">
      <c r="EW3732" t="s">
        <v>4093</v>
      </c>
      <c r="EX3732" s="33" t="s">
        <v>2398</v>
      </c>
      <c r="EY3732" s="35" t="s">
        <v>1999</v>
      </c>
      <c r="EZ3732" s="36">
        <v>509608</v>
      </c>
      <c r="FA3732" s="36" t="s">
        <v>1726</v>
      </c>
      <c r="FB3732" s="36" t="s">
        <v>473</v>
      </c>
      <c r="FC3732" s="36" t="s">
        <v>53</v>
      </c>
      <c r="FD3732" s="36" t="s">
        <v>476</v>
      </c>
      <c r="FE3732" s="36">
        <v>2020</v>
      </c>
      <c r="FF3732" s="36" t="s">
        <v>474</v>
      </c>
      <c r="FG3732" s="36" t="s">
        <v>1728</v>
      </c>
      <c r="FJ3732" t="s">
        <v>474</v>
      </c>
    </row>
    <row r="3733" spans="153:166" x14ac:dyDescent="0.35">
      <c r="EW3733" t="s">
        <v>4093</v>
      </c>
      <c r="EX3733" s="33" t="s">
        <v>1851</v>
      </c>
      <c r="EY3733" s="35" t="s">
        <v>2000</v>
      </c>
      <c r="EZ3733" s="36">
        <v>509543</v>
      </c>
      <c r="FA3733" s="36" t="s">
        <v>1726</v>
      </c>
      <c r="FB3733" s="36" t="s">
        <v>473</v>
      </c>
      <c r="FC3733" s="36" t="s">
        <v>53</v>
      </c>
      <c r="FD3733" s="36" t="s">
        <v>476</v>
      </c>
      <c r="FE3733" s="36">
        <v>2020</v>
      </c>
      <c r="FF3733" s="36" t="s">
        <v>474</v>
      </c>
      <c r="FG3733" s="36" t="s">
        <v>1728</v>
      </c>
      <c r="FJ3733" t="s">
        <v>474</v>
      </c>
    </row>
    <row r="3734" spans="153:166" x14ac:dyDescent="0.35">
      <c r="EW3734" t="s">
        <v>4093</v>
      </c>
      <c r="EX3734" s="33" t="s">
        <v>413</v>
      </c>
      <c r="EY3734" s="35" t="s">
        <v>2001</v>
      </c>
      <c r="EZ3734" s="36" t="s">
        <v>2002</v>
      </c>
      <c r="FA3734" s="36" t="s">
        <v>2003</v>
      </c>
      <c r="FB3734" s="36" t="s">
        <v>2004</v>
      </c>
      <c r="FC3734" s="36" t="s">
        <v>2003</v>
      </c>
      <c r="FD3734" s="36" t="s">
        <v>2004</v>
      </c>
      <c r="FE3734" s="36">
        <v>2022</v>
      </c>
      <c r="FF3734" s="36" t="s">
        <v>59</v>
      </c>
      <c r="FG3734" s="36" t="s">
        <v>1241</v>
      </c>
      <c r="FJ3734" t="s">
        <v>59</v>
      </c>
    </row>
    <row r="3735" spans="153:166" x14ac:dyDescent="0.35">
      <c r="EW3735" t="s">
        <v>4093</v>
      </c>
      <c r="EX3735" s="33" t="s">
        <v>529</v>
      </c>
      <c r="EY3735" s="35" t="s">
        <v>2005</v>
      </c>
      <c r="EZ3735" s="36" t="s">
        <v>2006</v>
      </c>
      <c r="FA3735" s="36" t="s">
        <v>2003</v>
      </c>
      <c r="FB3735" s="36" t="s">
        <v>2004</v>
      </c>
      <c r="FC3735" s="36" t="s">
        <v>2003</v>
      </c>
      <c r="FD3735" s="36" t="s">
        <v>2004</v>
      </c>
      <c r="FE3735" s="36">
        <v>2022</v>
      </c>
      <c r="FF3735" s="36" t="s">
        <v>59</v>
      </c>
      <c r="FG3735" s="36" t="s">
        <v>1241</v>
      </c>
      <c r="FJ3735" t="s">
        <v>59</v>
      </c>
    </row>
    <row r="3736" spans="153:166" x14ac:dyDescent="0.35">
      <c r="EW3736" t="s">
        <v>4093</v>
      </c>
      <c r="EX3736" s="33" t="s">
        <v>671</v>
      </c>
      <c r="EY3736" s="35" t="s">
        <v>2007</v>
      </c>
      <c r="EZ3736" s="36" t="s">
        <v>2008</v>
      </c>
      <c r="FA3736" s="36" t="s">
        <v>2003</v>
      </c>
      <c r="FB3736" s="36" t="s">
        <v>2004</v>
      </c>
      <c r="FC3736" s="36" t="s">
        <v>2003</v>
      </c>
      <c r="FD3736" s="36" t="s">
        <v>2004</v>
      </c>
      <c r="FE3736" s="36">
        <v>2022</v>
      </c>
      <c r="FF3736" s="36" t="s">
        <v>59</v>
      </c>
      <c r="FG3736" s="36" t="s">
        <v>1728</v>
      </c>
      <c r="FJ3736" t="s">
        <v>59</v>
      </c>
    </row>
    <row r="3737" spans="153:166" x14ac:dyDescent="0.35">
      <c r="EW3737" t="s">
        <v>4093</v>
      </c>
      <c r="EX3737" s="33" t="s">
        <v>309</v>
      </c>
      <c r="EY3737" s="35" t="s">
        <v>2009</v>
      </c>
      <c r="EZ3737" s="36" t="s">
        <v>2010</v>
      </c>
      <c r="FA3737" s="36" t="s">
        <v>2003</v>
      </c>
      <c r="FB3737" s="36" t="s">
        <v>2004</v>
      </c>
      <c r="FC3737" s="36" t="s">
        <v>2003</v>
      </c>
      <c r="FD3737" s="36" t="s">
        <v>2004</v>
      </c>
      <c r="FE3737" s="36">
        <v>2022</v>
      </c>
      <c r="FF3737" s="36" t="s">
        <v>59</v>
      </c>
      <c r="FG3737" s="36" t="s">
        <v>1728</v>
      </c>
      <c r="FJ3737" t="s">
        <v>59</v>
      </c>
    </row>
    <row r="3738" spans="153:166" x14ac:dyDescent="0.35">
      <c r="EW3738" t="s">
        <v>4093</v>
      </c>
      <c r="EX3738" s="33" t="s">
        <v>485</v>
      </c>
      <c r="EY3738" s="35" t="s">
        <v>2011</v>
      </c>
      <c r="EZ3738" s="36" t="s">
        <v>2012</v>
      </c>
      <c r="FA3738" s="36" t="s">
        <v>2003</v>
      </c>
      <c r="FB3738" s="36" t="s">
        <v>2004</v>
      </c>
      <c r="FC3738" s="36" t="s">
        <v>2003</v>
      </c>
      <c r="FD3738" s="36" t="s">
        <v>2004</v>
      </c>
      <c r="FE3738" s="36">
        <v>2022</v>
      </c>
      <c r="FF3738" s="36" t="s">
        <v>59</v>
      </c>
      <c r="FG3738" s="36" t="s">
        <v>1728</v>
      </c>
      <c r="FJ3738" t="s">
        <v>59</v>
      </c>
    </row>
    <row r="3739" spans="153:166" x14ac:dyDescent="0.35">
      <c r="EW3739" t="s">
        <v>4093</v>
      </c>
      <c r="EX3739" s="33" t="s">
        <v>498</v>
      </c>
      <c r="EY3739" s="35" t="s">
        <v>2013</v>
      </c>
      <c r="EZ3739" s="36" t="s">
        <v>2014</v>
      </c>
      <c r="FA3739" s="36" t="s">
        <v>2003</v>
      </c>
      <c r="FB3739" s="36" t="s">
        <v>2004</v>
      </c>
      <c r="FC3739" s="36" t="s">
        <v>2003</v>
      </c>
      <c r="FD3739" s="36" t="s">
        <v>2004</v>
      </c>
      <c r="FE3739" s="36">
        <v>2022</v>
      </c>
      <c r="FF3739" s="36" t="s">
        <v>59</v>
      </c>
      <c r="FG3739" s="36" t="s">
        <v>1728</v>
      </c>
      <c r="FJ3739" t="s">
        <v>59</v>
      </c>
    </row>
    <row r="3740" spans="153:166" x14ac:dyDescent="0.35">
      <c r="EW3740" t="s">
        <v>4093</v>
      </c>
      <c r="EX3740" s="33" t="s">
        <v>4729</v>
      </c>
      <c r="EY3740" s="35" t="s">
        <v>2015</v>
      </c>
      <c r="EZ3740" s="36" t="s">
        <v>2016</v>
      </c>
      <c r="FA3740" s="36" t="s">
        <v>2003</v>
      </c>
      <c r="FB3740" s="36" t="s">
        <v>2004</v>
      </c>
      <c r="FC3740" s="36" t="s">
        <v>2003</v>
      </c>
      <c r="FD3740" s="36" t="s">
        <v>2004</v>
      </c>
      <c r="FE3740" s="36">
        <v>2022</v>
      </c>
      <c r="FF3740" s="36" t="s">
        <v>59</v>
      </c>
      <c r="FG3740" s="36" t="s">
        <v>1210</v>
      </c>
      <c r="FJ3740" t="s">
        <v>59</v>
      </c>
    </row>
    <row r="3741" spans="153:166" x14ac:dyDescent="0.35">
      <c r="EW3741" t="s">
        <v>4093</v>
      </c>
      <c r="EX3741" s="33" t="s">
        <v>198</v>
      </c>
      <c r="EY3741" s="35" t="s">
        <v>2017</v>
      </c>
      <c r="EZ3741" s="36" t="s">
        <v>2018</v>
      </c>
      <c r="FA3741" s="36" t="s">
        <v>2003</v>
      </c>
      <c r="FB3741" s="36" t="s">
        <v>2004</v>
      </c>
      <c r="FC3741" s="36" t="s">
        <v>2003</v>
      </c>
      <c r="FD3741" s="36" t="s">
        <v>2004</v>
      </c>
      <c r="FE3741" s="36">
        <v>2022</v>
      </c>
      <c r="FF3741" s="36" t="s">
        <v>59</v>
      </c>
      <c r="FG3741" s="36" t="s">
        <v>1728</v>
      </c>
      <c r="FJ3741" t="s">
        <v>59</v>
      </c>
    </row>
    <row r="3742" spans="153:166" x14ac:dyDescent="0.35">
      <c r="EW3742" t="s">
        <v>4093</v>
      </c>
      <c r="EX3742" s="33" t="s">
        <v>503</v>
      </c>
      <c r="EY3742" s="35" t="s">
        <v>2019</v>
      </c>
      <c r="EZ3742" s="36" t="s">
        <v>2020</v>
      </c>
      <c r="FA3742" s="36" t="s">
        <v>2003</v>
      </c>
      <c r="FB3742" s="36" t="s">
        <v>2004</v>
      </c>
      <c r="FC3742" s="36" t="s">
        <v>2003</v>
      </c>
      <c r="FD3742" s="36" t="s">
        <v>2004</v>
      </c>
      <c r="FE3742" s="36">
        <v>2022</v>
      </c>
      <c r="FF3742" s="36" t="s">
        <v>59</v>
      </c>
      <c r="FG3742" s="36" t="s">
        <v>1728</v>
      </c>
      <c r="FJ3742" t="s">
        <v>59</v>
      </c>
    </row>
    <row r="3743" spans="153:166" x14ac:dyDescent="0.35">
      <c r="EW3743" t="s">
        <v>4093</v>
      </c>
      <c r="EX3743" s="33" t="s">
        <v>4730</v>
      </c>
      <c r="EY3743" s="35" t="s">
        <v>2023</v>
      </c>
      <c r="EZ3743" s="36" t="s">
        <v>2024</v>
      </c>
      <c r="FA3743" s="36" t="s">
        <v>2003</v>
      </c>
      <c r="FB3743" s="36" t="s">
        <v>2004</v>
      </c>
      <c r="FC3743" s="36" t="s">
        <v>2003</v>
      </c>
      <c r="FD3743" s="36" t="s">
        <v>2004</v>
      </c>
      <c r="FE3743" s="36">
        <v>2022</v>
      </c>
      <c r="FF3743" s="36" t="s">
        <v>59</v>
      </c>
      <c r="FG3743" s="36" t="s">
        <v>1728</v>
      </c>
      <c r="FJ3743" t="s">
        <v>59</v>
      </c>
    </row>
    <row r="3744" spans="153:166" x14ac:dyDescent="0.35">
      <c r="EW3744" t="s">
        <v>4093</v>
      </c>
      <c r="EX3744" s="33" t="s">
        <v>560</v>
      </c>
      <c r="EY3744" s="35" t="s">
        <v>2025</v>
      </c>
      <c r="EZ3744" s="36" t="s">
        <v>2026</v>
      </c>
      <c r="FA3744" s="36" t="s">
        <v>2003</v>
      </c>
      <c r="FB3744" s="36" t="s">
        <v>2004</v>
      </c>
      <c r="FC3744" s="36" t="s">
        <v>2003</v>
      </c>
      <c r="FD3744" s="36" t="s">
        <v>2004</v>
      </c>
      <c r="FE3744" s="36">
        <v>2022</v>
      </c>
      <c r="FF3744" s="36" t="s">
        <v>59</v>
      </c>
      <c r="FG3744" s="36" t="s">
        <v>1728</v>
      </c>
      <c r="FJ3744" t="s">
        <v>59</v>
      </c>
    </row>
    <row r="3745" spans="153:166" x14ac:dyDescent="0.35">
      <c r="EW3745" t="s">
        <v>4093</v>
      </c>
      <c r="EX3745" s="33" t="s">
        <v>320</v>
      </c>
      <c r="EY3745" s="35" t="s">
        <v>2027</v>
      </c>
      <c r="EZ3745" s="36" t="s">
        <v>2028</v>
      </c>
      <c r="FA3745" s="36" t="s">
        <v>2003</v>
      </c>
      <c r="FB3745" s="36" t="s">
        <v>2004</v>
      </c>
      <c r="FC3745" s="36" t="s">
        <v>2003</v>
      </c>
      <c r="FD3745" s="36" t="s">
        <v>2004</v>
      </c>
      <c r="FE3745" s="36">
        <v>2022</v>
      </c>
      <c r="FF3745" s="36" t="s">
        <v>59</v>
      </c>
      <c r="FG3745" s="36" t="s">
        <v>1728</v>
      </c>
      <c r="FJ3745" t="s">
        <v>59</v>
      </c>
    </row>
    <row r="3746" spans="153:166" x14ac:dyDescent="0.35">
      <c r="EW3746" t="s">
        <v>4093</v>
      </c>
      <c r="EX3746" s="33" t="s">
        <v>339</v>
      </c>
      <c r="EY3746" s="35" t="s">
        <v>2029</v>
      </c>
      <c r="EZ3746" s="36" t="s">
        <v>2030</v>
      </c>
      <c r="FA3746" s="36" t="s">
        <v>2003</v>
      </c>
      <c r="FB3746" s="36" t="s">
        <v>2004</v>
      </c>
      <c r="FC3746" s="36" t="s">
        <v>2003</v>
      </c>
      <c r="FD3746" s="36" t="s">
        <v>2004</v>
      </c>
      <c r="FE3746" s="36">
        <v>2022</v>
      </c>
      <c r="FF3746" s="36" t="s">
        <v>59</v>
      </c>
      <c r="FG3746" s="36" t="s">
        <v>1728</v>
      </c>
      <c r="FJ3746" t="s">
        <v>59</v>
      </c>
    </row>
    <row r="3747" spans="153:166" x14ac:dyDescent="0.35">
      <c r="EW3747" t="s">
        <v>4093</v>
      </c>
      <c r="EX3747" s="33" t="s">
        <v>564</v>
      </c>
      <c r="EY3747" s="35" t="s">
        <v>2031</v>
      </c>
      <c r="EZ3747" s="36" t="s">
        <v>2032</v>
      </c>
      <c r="FA3747" s="36" t="s">
        <v>2003</v>
      </c>
      <c r="FB3747" s="36" t="s">
        <v>2004</v>
      </c>
      <c r="FC3747" s="36" t="s">
        <v>2003</v>
      </c>
      <c r="FD3747" s="36" t="s">
        <v>2004</v>
      </c>
      <c r="FE3747" s="36">
        <v>2022</v>
      </c>
      <c r="FF3747" s="36" t="s">
        <v>59</v>
      </c>
      <c r="FG3747" s="36" t="s">
        <v>1728</v>
      </c>
      <c r="FJ3747" t="s">
        <v>59</v>
      </c>
    </row>
    <row r="3748" spans="153:166" x14ac:dyDescent="0.35">
      <c r="EW3748" t="s">
        <v>4093</v>
      </c>
      <c r="EX3748" s="33" t="s">
        <v>141</v>
      </c>
      <c r="EY3748" s="35" t="s">
        <v>2033</v>
      </c>
      <c r="EZ3748" s="36" t="s">
        <v>2034</v>
      </c>
      <c r="FA3748" s="36" t="s">
        <v>2003</v>
      </c>
      <c r="FB3748" s="36" t="s">
        <v>2004</v>
      </c>
      <c r="FC3748" s="36" t="s">
        <v>2003</v>
      </c>
      <c r="FD3748" s="36" t="s">
        <v>2004</v>
      </c>
      <c r="FE3748" s="36">
        <v>2022</v>
      </c>
      <c r="FF3748" s="36" t="s">
        <v>59</v>
      </c>
      <c r="FG3748" s="36" t="s">
        <v>1210</v>
      </c>
      <c r="FJ3748" t="s">
        <v>59</v>
      </c>
    </row>
    <row r="3749" spans="153:166" x14ac:dyDescent="0.35">
      <c r="EW3749" t="s">
        <v>4093</v>
      </c>
      <c r="EX3749" s="33" t="s">
        <v>108</v>
      </c>
      <c r="EY3749" s="35" t="s">
        <v>2035</v>
      </c>
      <c r="EZ3749" s="36" t="s">
        <v>2036</v>
      </c>
      <c r="FA3749" s="36" t="s">
        <v>2003</v>
      </c>
      <c r="FB3749" s="36" t="s">
        <v>2004</v>
      </c>
      <c r="FC3749" s="36" t="s">
        <v>2003</v>
      </c>
      <c r="FD3749" s="36" t="s">
        <v>2004</v>
      </c>
      <c r="FE3749" s="36">
        <v>2022</v>
      </c>
      <c r="FF3749" s="36" t="s">
        <v>59</v>
      </c>
      <c r="FG3749" s="36" t="s">
        <v>1193</v>
      </c>
      <c r="FJ3749" t="s">
        <v>59</v>
      </c>
    </row>
    <row r="3750" spans="153:166" x14ac:dyDescent="0.35">
      <c r="EW3750" t="s">
        <v>4093</v>
      </c>
      <c r="EX3750" s="33" t="s">
        <v>538</v>
      </c>
      <c r="EY3750" s="35" t="s">
        <v>2037</v>
      </c>
      <c r="EZ3750" s="36" t="s">
        <v>2038</v>
      </c>
      <c r="FA3750" s="36" t="s">
        <v>2003</v>
      </c>
      <c r="FB3750" s="36" t="s">
        <v>2004</v>
      </c>
      <c r="FC3750" s="36" t="s">
        <v>2003</v>
      </c>
      <c r="FD3750" s="36" t="s">
        <v>2004</v>
      </c>
      <c r="FE3750" s="36">
        <v>2022</v>
      </c>
      <c r="FF3750" s="36" t="s">
        <v>59</v>
      </c>
      <c r="FG3750" s="36" t="s">
        <v>1728</v>
      </c>
      <c r="FJ3750" t="s">
        <v>59</v>
      </c>
    </row>
    <row r="3751" spans="153:166" x14ac:dyDescent="0.35">
      <c r="EW3751" t="s">
        <v>4093</v>
      </c>
      <c r="EX3751" s="33" t="s">
        <v>686</v>
      </c>
      <c r="EY3751" s="35" t="s">
        <v>2039</v>
      </c>
      <c r="EZ3751" s="36" t="s">
        <v>2040</v>
      </c>
      <c r="FA3751" s="36" t="s">
        <v>2003</v>
      </c>
      <c r="FB3751" s="36" t="s">
        <v>2004</v>
      </c>
      <c r="FC3751" s="36" t="s">
        <v>2003</v>
      </c>
      <c r="FD3751" s="36" t="s">
        <v>2004</v>
      </c>
      <c r="FE3751" s="36">
        <v>2022</v>
      </c>
      <c r="FF3751" s="36" t="s">
        <v>59</v>
      </c>
      <c r="FG3751" s="36" t="s">
        <v>1193</v>
      </c>
      <c r="FJ3751" t="s">
        <v>59</v>
      </c>
    </row>
    <row r="3752" spans="153:166" x14ac:dyDescent="0.35">
      <c r="EW3752" t="s">
        <v>4093</v>
      </c>
      <c r="EX3752" s="33" t="s">
        <v>611</v>
      </c>
      <c r="EY3752" s="35" t="s">
        <v>2041</v>
      </c>
      <c r="EZ3752" s="36" t="s">
        <v>2042</v>
      </c>
      <c r="FA3752" s="36" t="s">
        <v>2003</v>
      </c>
      <c r="FB3752" s="36" t="s">
        <v>2004</v>
      </c>
      <c r="FC3752" s="36" t="s">
        <v>2003</v>
      </c>
      <c r="FD3752" s="36" t="s">
        <v>2004</v>
      </c>
      <c r="FE3752" s="36">
        <v>2022</v>
      </c>
      <c r="FF3752" s="36" t="s">
        <v>59</v>
      </c>
      <c r="FG3752" s="36" t="s">
        <v>1728</v>
      </c>
      <c r="FJ3752" t="s">
        <v>59</v>
      </c>
    </row>
    <row r="3753" spans="153:166" x14ac:dyDescent="0.35">
      <c r="EW3753" t="s">
        <v>4093</v>
      </c>
      <c r="EX3753" s="33" t="s">
        <v>599</v>
      </c>
      <c r="EY3753" s="35" t="s">
        <v>2043</v>
      </c>
      <c r="EZ3753" s="36" t="s">
        <v>2044</v>
      </c>
      <c r="FA3753" s="36" t="s">
        <v>2003</v>
      </c>
      <c r="FB3753" s="36" t="s">
        <v>2004</v>
      </c>
      <c r="FC3753" s="36" t="s">
        <v>2003</v>
      </c>
      <c r="FD3753" s="36" t="s">
        <v>2004</v>
      </c>
      <c r="FE3753" s="36">
        <v>2022</v>
      </c>
      <c r="FF3753" s="36" t="s">
        <v>59</v>
      </c>
      <c r="FG3753" s="36" t="s">
        <v>1193</v>
      </c>
      <c r="FJ3753" t="s">
        <v>59</v>
      </c>
    </row>
    <row r="3754" spans="153:166" x14ac:dyDescent="0.35">
      <c r="EW3754" t="s">
        <v>4093</v>
      </c>
      <c r="EX3754" s="33" t="s">
        <v>574</v>
      </c>
      <c r="EY3754" s="35" t="s">
        <v>2045</v>
      </c>
      <c r="EZ3754" s="36" t="s">
        <v>2046</v>
      </c>
      <c r="FA3754" s="36" t="s">
        <v>2003</v>
      </c>
      <c r="FB3754" s="36" t="s">
        <v>2004</v>
      </c>
      <c r="FC3754" s="36" t="s">
        <v>2003</v>
      </c>
      <c r="FD3754" s="36" t="s">
        <v>2004</v>
      </c>
      <c r="FE3754" s="36">
        <v>2022</v>
      </c>
      <c r="FF3754" s="36" t="s">
        <v>59</v>
      </c>
      <c r="FG3754" s="36" t="s">
        <v>1728</v>
      </c>
      <c r="FJ3754" t="s">
        <v>59</v>
      </c>
    </row>
    <row r="3755" spans="153:166" x14ac:dyDescent="0.35">
      <c r="EW3755" t="s">
        <v>4093</v>
      </c>
      <c r="EX3755" s="33" t="s">
        <v>579</v>
      </c>
      <c r="EY3755" s="35" t="s">
        <v>2047</v>
      </c>
      <c r="EZ3755" s="36" t="s">
        <v>2048</v>
      </c>
      <c r="FA3755" s="36" t="s">
        <v>2003</v>
      </c>
      <c r="FB3755" s="36" t="s">
        <v>2004</v>
      </c>
      <c r="FC3755" s="36" t="s">
        <v>2003</v>
      </c>
      <c r="FD3755" s="36" t="s">
        <v>2004</v>
      </c>
      <c r="FE3755" s="36">
        <v>2022</v>
      </c>
      <c r="FF3755" s="36" t="s">
        <v>59</v>
      </c>
      <c r="FG3755" s="36" t="s">
        <v>1728</v>
      </c>
      <c r="FJ3755" t="s">
        <v>59</v>
      </c>
    </row>
    <row r="3756" spans="153:166" x14ac:dyDescent="0.35">
      <c r="EW3756" t="s">
        <v>4093</v>
      </c>
      <c r="EX3756" s="33" t="s">
        <v>207</v>
      </c>
      <c r="EY3756" s="35" t="s">
        <v>2049</v>
      </c>
      <c r="EZ3756" s="36" t="s">
        <v>2050</v>
      </c>
      <c r="FA3756" s="36" t="s">
        <v>2003</v>
      </c>
      <c r="FB3756" s="36" t="s">
        <v>2004</v>
      </c>
      <c r="FC3756" s="36" t="s">
        <v>2003</v>
      </c>
      <c r="FD3756" s="36" t="s">
        <v>2004</v>
      </c>
      <c r="FE3756" s="36">
        <v>2022</v>
      </c>
      <c r="FF3756" s="36" t="s">
        <v>59</v>
      </c>
      <c r="FG3756" s="36" t="s">
        <v>1728</v>
      </c>
      <c r="FJ3756" t="s">
        <v>59</v>
      </c>
    </row>
    <row r="3757" spans="153:166" x14ac:dyDescent="0.35">
      <c r="EW3757" t="s">
        <v>4093</v>
      </c>
      <c r="EX3757" s="33" t="s">
        <v>218</v>
      </c>
      <c r="EY3757" s="35" t="s">
        <v>2051</v>
      </c>
      <c r="EZ3757" s="36" t="s">
        <v>2052</v>
      </c>
      <c r="FA3757" s="36" t="s">
        <v>2003</v>
      </c>
      <c r="FB3757" s="36" t="s">
        <v>2004</v>
      </c>
      <c r="FC3757" s="36" t="s">
        <v>2003</v>
      </c>
      <c r="FD3757" s="36" t="s">
        <v>2004</v>
      </c>
      <c r="FE3757" s="36">
        <v>2022</v>
      </c>
      <c r="FF3757" s="36" t="s">
        <v>59</v>
      </c>
      <c r="FG3757" s="36" t="s">
        <v>1728</v>
      </c>
      <c r="FJ3757" t="s">
        <v>59</v>
      </c>
    </row>
    <row r="3758" spans="153:166" x14ac:dyDescent="0.35">
      <c r="EW3758" t="s">
        <v>4093</v>
      </c>
      <c r="EX3758" s="33" t="s">
        <v>272</v>
      </c>
      <c r="EY3758" s="35" t="s">
        <v>2053</v>
      </c>
      <c r="EZ3758" s="36" t="s">
        <v>2054</v>
      </c>
      <c r="FA3758" s="36" t="s">
        <v>2003</v>
      </c>
      <c r="FB3758" s="36" t="s">
        <v>2004</v>
      </c>
      <c r="FC3758" s="36" t="s">
        <v>2003</v>
      </c>
      <c r="FD3758" s="36" t="s">
        <v>2004</v>
      </c>
      <c r="FE3758" s="36">
        <v>2022</v>
      </c>
      <c r="FF3758" s="36" t="s">
        <v>59</v>
      </c>
      <c r="FG3758" s="36" t="s">
        <v>1193</v>
      </c>
      <c r="FJ3758" t="s">
        <v>59</v>
      </c>
    </row>
    <row r="3759" spans="153:166" x14ac:dyDescent="0.35">
      <c r="EW3759" t="s">
        <v>4093</v>
      </c>
      <c r="EX3759" s="33" t="s">
        <v>279</v>
      </c>
      <c r="EY3759" s="35" t="s">
        <v>2055</v>
      </c>
      <c r="EZ3759" s="36" t="s">
        <v>2056</v>
      </c>
      <c r="FA3759" s="36" t="s">
        <v>2003</v>
      </c>
      <c r="FB3759" s="36" t="s">
        <v>2004</v>
      </c>
      <c r="FC3759" s="36" t="s">
        <v>2003</v>
      </c>
      <c r="FD3759" s="36" t="s">
        <v>2004</v>
      </c>
      <c r="FE3759" s="36">
        <v>2022</v>
      </c>
      <c r="FF3759" s="36" t="s">
        <v>59</v>
      </c>
      <c r="FG3759" s="36" t="s">
        <v>1728</v>
      </c>
      <c r="FJ3759" t="s">
        <v>59</v>
      </c>
    </row>
    <row r="3760" spans="153:166" x14ac:dyDescent="0.35">
      <c r="EW3760" t="s">
        <v>4093</v>
      </c>
      <c r="EX3760" s="33" t="s">
        <v>4731</v>
      </c>
      <c r="EY3760" s="35" t="s">
        <v>2057</v>
      </c>
      <c r="EZ3760" s="36" t="s">
        <v>2058</v>
      </c>
      <c r="FA3760" s="36" t="s">
        <v>2003</v>
      </c>
      <c r="FB3760" s="36" t="s">
        <v>2004</v>
      </c>
      <c r="FC3760" s="36" t="s">
        <v>2003</v>
      </c>
      <c r="FD3760" s="36" t="s">
        <v>2004</v>
      </c>
      <c r="FE3760" s="36">
        <v>2022</v>
      </c>
      <c r="FF3760" s="36" t="s">
        <v>59</v>
      </c>
      <c r="FG3760" s="36" t="s">
        <v>1193</v>
      </c>
      <c r="FJ3760" t="s">
        <v>59</v>
      </c>
    </row>
    <row r="3761" spans="153:166" x14ac:dyDescent="0.35">
      <c r="EW3761" t="s">
        <v>4093</v>
      </c>
      <c r="EX3761" s="33" t="s">
        <v>4732</v>
      </c>
      <c r="EY3761" s="35" t="s">
        <v>2059</v>
      </c>
      <c r="EZ3761" s="36" t="s">
        <v>2060</v>
      </c>
      <c r="FA3761" s="36" t="s">
        <v>2003</v>
      </c>
      <c r="FB3761" s="36" t="s">
        <v>2004</v>
      </c>
      <c r="FC3761" s="36" t="s">
        <v>2003</v>
      </c>
      <c r="FD3761" s="36" t="s">
        <v>2004</v>
      </c>
      <c r="FE3761" s="36">
        <v>2022</v>
      </c>
      <c r="FF3761" s="36" t="s">
        <v>59</v>
      </c>
      <c r="FG3761" s="36" t="s">
        <v>1728</v>
      </c>
      <c r="FJ3761" t="s">
        <v>59</v>
      </c>
    </row>
    <row r="3762" spans="153:166" x14ac:dyDescent="0.35">
      <c r="EW3762" t="s">
        <v>4093</v>
      </c>
      <c r="EX3762" s="33" t="s">
        <v>227</v>
      </c>
      <c r="EY3762" s="35" t="s">
        <v>2061</v>
      </c>
      <c r="EZ3762" s="36" t="s">
        <v>2062</v>
      </c>
      <c r="FA3762" s="36" t="s">
        <v>2003</v>
      </c>
      <c r="FB3762" s="36" t="s">
        <v>2004</v>
      </c>
      <c r="FC3762" s="36" t="s">
        <v>2003</v>
      </c>
      <c r="FD3762" s="36" t="s">
        <v>2004</v>
      </c>
      <c r="FE3762" s="36">
        <v>2022</v>
      </c>
      <c r="FF3762" s="36" t="s">
        <v>59</v>
      </c>
      <c r="FG3762" s="36" t="s">
        <v>1728</v>
      </c>
      <c r="FJ3762" t="s">
        <v>59</v>
      </c>
    </row>
    <row r="3763" spans="153:166" x14ac:dyDescent="0.35">
      <c r="EW3763" t="s">
        <v>4093</v>
      </c>
      <c r="EX3763" s="33" t="s">
        <v>152</v>
      </c>
      <c r="EY3763" s="35" t="s">
        <v>2063</v>
      </c>
      <c r="EZ3763" s="36" t="s">
        <v>2064</v>
      </c>
      <c r="FA3763" s="36" t="s">
        <v>2003</v>
      </c>
      <c r="FB3763" s="36" t="s">
        <v>2004</v>
      </c>
      <c r="FC3763" s="36" t="s">
        <v>2003</v>
      </c>
      <c r="FD3763" s="36" t="s">
        <v>2004</v>
      </c>
      <c r="FE3763" s="36">
        <v>2022</v>
      </c>
      <c r="FF3763" s="36" t="s">
        <v>59</v>
      </c>
      <c r="FG3763" s="36" t="s">
        <v>1728</v>
      </c>
      <c r="FJ3763" t="s">
        <v>59</v>
      </c>
    </row>
    <row r="3764" spans="153:166" x14ac:dyDescent="0.35">
      <c r="EW3764" t="s">
        <v>4093</v>
      </c>
      <c r="EX3764" s="33" t="s">
        <v>511</v>
      </c>
      <c r="EY3764" s="35" t="s">
        <v>2065</v>
      </c>
      <c r="EZ3764" s="36" t="s">
        <v>2066</v>
      </c>
      <c r="FA3764" s="36" t="s">
        <v>2003</v>
      </c>
      <c r="FB3764" s="36" t="s">
        <v>2004</v>
      </c>
      <c r="FC3764" s="36" t="s">
        <v>2003</v>
      </c>
      <c r="FD3764" s="36" t="s">
        <v>2004</v>
      </c>
      <c r="FE3764" s="36">
        <v>2022</v>
      </c>
      <c r="FF3764" s="36" t="s">
        <v>59</v>
      </c>
      <c r="FG3764" s="36" t="s">
        <v>1728</v>
      </c>
      <c r="FJ3764" t="s">
        <v>59</v>
      </c>
    </row>
    <row r="3765" spans="153:166" x14ac:dyDescent="0.35">
      <c r="EW3765" t="s">
        <v>4093</v>
      </c>
      <c r="EX3765" s="33" t="s">
        <v>121</v>
      </c>
      <c r="EY3765" s="35" t="s">
        <v>2067</v>
      </c>
      <c r="EZ3765" s="36" t="s">
        <v>2068</v>
      </c>
      <c r="FA3765" s="36" t="s">
        <v>2003</v>
      </c>
      <c r="FB3765" s="36" t="s">
        <v>2004</v>
      </c>
      <c r="FC3765" s="36" t="s">
        <v>2003</v>
      </c>
      <c r="FD3765" s="36" t="s">
        <v>2004</v>
      </c>
      <c r="FE3765" s="36">
        <v>2022</v>
      </c>
      <c r="FF3765" s="36" t="s">
        <v>59</v>
      </c>
      <c r="FG3765" s="36" t="s">
        <v>1193</v>
      </c>
      <c r="FJ3765" t="s">
        <v>59</v>
      </c>
    </row>
    <row r="3766" spans="153:166" x14ac:dyDescent="0.35">
      <c r="EW3766" t="s">
        <v>4093</v>
      </c>
      <c r="EX3766" s="33" t="s">
        <v>587</v>
      </c>
      <c r="EY3766" s="35" t="s">
        <v>2069</v>
      </c>
      <c r="EZ3766" s="36" t="s">
        <v>2070</v>
      </c>
      <c r="FA3766" s="36" t="s">
        <v>2003</v>
      </c>
      <c r="FB3766" s="36" t="s">
        <v>2004</v>
      </c>
      <c r="FC3766" s="36" t="s">
        <v>2003</v>
      </c>
      <c r="FD3766" s="36" t="s">
        <v>2004</v>
      </c>
      <c r="FE3766" s="36">
        <v>2022</v>
      </c>
      <c r="FF3766" s="36" t="s">
        <v>59</v>
      </c>
      <c r="FG3766" s="36" t="s">
        <v>1728</v>
      </c>
      <c r="FJ3766" t="s">
        <v>59</v>
      </c>
    </row>
    <row r="3767" spans="153:166" x14ac:dyDescent="0.35">
      <c r="EW3767" t="s">
        <v>4093</v>
      </c>
      <c r="EX3767" s="33" t="s">
        <v>134</v>
      </c>
      <c r="EY3767" s="35" t="s">
        <v>2072</v>
      </c>
      <c r="EZ3767" s="36" t="s">
        <v>2073</v>
      </c>
      <c r="FA3767" s="36" t="s">
        <v>2003</v>
      </c>
      <c r="FB3767" s="36" t="s">
        <v>2004</v>
      </c>
      <c r="FC3767" s="36" t="s">
        <v>2003</v>
      </c>
      <c r="FD3767" s="36" t="s">
        <v>2004</v>
      </c>
      <c r="FE3767" s="36">
        <v>2022</v>
      </c>
      <c r="FF3767" s="36" t="s">
        <v>59</v>
      </c>
      <c r="FG3767" s="36" t="s">
        <v>1193</v>
      </c>
      <c r="FJ3767" t="s">
        <v>59</v>
      </c>
    </row>
    <row r="3768" spans="153:166" x14ac:dyDescent="0.35">
      <c r="EW3768" t="s">
        <v>4093</v>
      </c>
      <c r="EX3768" s="33" t="s">
        <v>594</v>
      </c>
      <c r="EY3768" s="35" t="s">
        <v>2074</v>
      </c>
      <c r="EZ3768" s="36" t="s">
        <v>2075</v>
      </c>
      <c r="FA3768" s="36" t="s">
        <v>2003</v>
      </c>
      <c r="FB3768" s="36" t="s">
        <v>2004</v>
      </c>
      <c r="FC3768" s="36" t="s">
        <v>2003</v>
      </c>
      <c r="FD3768" s="36" t="s">
        <v>2004</v>
      </c>
      <c r="FE3768" s="36">
        <v>2022</v>
      </c>
      <c r="FF3768" s="36" t="s">
        <v>59</v>
      </c>
      <c r="FG3768" s="36" t="s">
        <v>1728</v>
      </c>
      <c r="FJ3768" t="s">
        <v>59</v>
      </c>
    </row>
    <row r="3769" spans="153:166" x14ac:dyDescent="0.35">
      <c r="EW3769" t="s">
        <v>4093</v>
      </c>
      <c r="EX3769" s="33" t="s">
        <v>426</v>
      </c>
      <c r="EY3769" s="35" t="s">
        <v>2076</v>
      </c>
      <c r="EZ3769" s="36" t="s">
        <v>2077</v>
      </c>
      <c r="FA3769" s="36" t="s">
        <v>2003</v>
      </c>
      <c r="FB3769" s="36" t="s">
        <v>2004</v>
      </c>
      <c r="FC3769" s="36" t="s">
        <v>2003</v>
      </c>
      <c r="FD3769" s="36" t="s">
        <v>2004</v>
      </c>
      <c r="FE3769" s="36">
        <v>2022</v>
      </c>
      <c r="FF3769" s="36" t="s">
        <v>59</v>
      </c>
      <c r="FG3769" s="36" t="s">
        <v>1728</v>
      </c>
      <c r="FJ3769" t="s">
        <v>59</v>
      </c>
    </row>
    <row r="3770" spans="153:166" x14ac:dyDescent="0.35">
      <c r="EW3770" t="s">
        <v>4093</v>
      </c>
      <c r="EX3770" s="33" t="s">
        <v>616</v>
      </c>
      <c r="EY3770" s="35" t="s">
        <v>2078</v>
      </c>
      <c r="EZ3770" s="36" t="s">
        <v>2079</v>
      </c>
      <c r="FA3770" s="36" t="s">
        <v>2003</v>
      </c>
      <c r="FB3770" s="36" t="s">
        <v>2004</v>
      </c>
      <c r="FC3770" s="36" t="s">
        <v>2003</v>
      </c>
      <c r="FD3770" s="36" t="s">
        <v>2004</v>
      </c>
      <c r="FE3770" s="36">
        <v>2022</v>
      </c>
      <c r="FF3770" s="36" t="s">
        <v>59</v>
      </c>
      <c r="FG3770" s="36" t="s">
        <v>1193</v>
      </c>
      <c r="FJ3770" t="s">
        <v>59</v>
      </c>
    </row>
    <row r="3771" spans="153:166" x14ac:dyDescent="0.35">
      <c r="EW3771" t="s">
        <v>4093</v>
      </c>
      <c r="EX3771" s="33" t="s">
        <v>163</v>
      </c>
      <c r="EY3771" s="35" t="s">
        <v>2080</v>
      </c>
      <c r="EZ3771" s="36" t="s">
        <v>2081</v>
      </c>
      <c r="FA3771" s="36" t="s">
        <v>2003</v>
      </c>
      <c r="FB3771" s="36" t="s">
        <v>2004</v>
      </c>
      <c r="FC3771" s="36" t="s">
        <v>2003</v>
      </c>
      <c r="FD3771" s="36" t="s">
        <v>2004</v>
      </c>
      <c r="FE3771" s="36">
        <v>2022</v>
      </c>
      <c r="FF3771" s="36" t="s">
        <v>59</v>
      </c>
      <c r="FG3771" s="36" t="s">
        <v>1728</v>
      </c>
      <c r="FJ3771" t="s">
        <v>59</v>
      </c>
    </row>
    <row r="3772" spans="153:166" x14ac:dyDescent="0.35">
      <c r="EW3772" t="s">
        <v>4093</v>
      </c>
      <c r="EX3772" s="33" t="s">
        <v>699</v>
      </c>
      <c r="EY3772" s="35" t="s">
        <v>2084</v>
      </c>
      <c r="EZ3772" s="36" t="s">
        <v>2085</v>
      </c>
      <c r="FA3772" s="36" t="s">
        <v>2003</v>
      </c>
      <c r="FB3772" s="36" t="s">
        <v>2004</v>
      </c>
      <c r="FC3772" s="36" t="s">
        <v>2003</v>
      </c>
      <c r="FD3772" s="36" t="s">
        <v>2004</v>
      </c>
      <c r="FE3772" s="36">
        <v>2022</v>
      </c>
      <c r="FF3772" s="36" t="s">
        <v>59</v>
      </c>
      <c r="FG3772" s="36" t="s">
        <v>1728</v>
      </c>
      <c r="FJ3772" t="s">
        <v>59</v>
      </c>
    </row>
    <row r="3773" spans="153:166" x14ac:dyDescent="0.35">
      <c r="EW3773" t="s">
        <v>4093</v>
      </c>
      <c r="EX3773" s="33" t="s">
        <v>348</v>
      </c>
      <c r="EY3773" s="35" t="s">
        <v>2086</v>
      </c>
      <c r="EZ3773" s="36" t="s">
        <v>2087</v>
      </c>
      <c r="FA3773" s="36" t="s">
        <v>2003</v>
      </c>
      <c r="FB3773" s="36" t="s">
        <v>2004</v>
      </c>
      <c r="FC3773" s="36" t="s">
        <v>2003</v>
      </c>
      <c r="FD3773" s="36" t="s">
        <v>2004</v>
      </c>
      <c r="FE3773" s="36">
        <v>2022</v>
      </c>
      <c r="FF3773" s="36" t="s">
        <v>59</v>
      </c>
      <c r="FG3773" s="36" t="s">
        <v>1728</v>
      </c>
      <c r="FJ3773" t="s">
        <v>59</v>
      </c>
    </row>
    <row r="3774" spans="153:166" x14ac:dyDescent="0.35">
      <c r="EW3774" t="s">
        <v>4093</v>
      </c>
      <c r="EX3774" s="33" t="s">
        <v>296</v>
      </c>
      <c r="EY3774" s="35" t="s">
        <v>2088</v>
      </c>
      <c r="EZ3774" s="36" t="s">
        <v>2089</v>
      </c>
      <c r="FA3774" s="36" t="s">
        <v>2003</v>
      </c>
      <c r="FB3774" s="36" t="s">
        <v>2004</v>
      </c>
      <c r="FC3774" s="36" t="s">
        <v>2003</v>
      </c>
      <c r="FD3774" s="36" t="s">
        <v>2004</v>
      </c>
      <c r="FE3774" s="36">
        <v>2022</v>
      </c>
      <c r="FF3774" s="36" t="s">
        <v>59</v>
      </c>
      <c r="FG3774" s="36" t="s">
        <v>1728</v>
      </c>
      <c r="FJ3774" t="s">
        <v>59</v>
      </c>
    </row>
    <row r="3775" spans="153:166" x14ac:dyDescent="0.35">
      <c r="EW3775" t="s">
        <v>4093</v>
      </c>
      <c r="EX3775" s="33" t="s">
        <v>437</v>
      </c>
      <c r="EY3775" s="35" t="s">
        <v>2090</v>
      </c>
      <c r="EZ3775" s="36" t="s">
        <v>2091</v>
      </c>
      <c r="FA3775" s="36" t="s">
        <v>2003</v>
      </c>
      <c r="FB3775" s="36" t="s">
        <v>2004</v>
      </c>
      <c r="FC3775" s="36" t="s">
        <v>2003</v>
      </c>
      <c r="FD3775" s="36" t="s">
        <v>2004</v>
      </c>
      <c r="FE3775" s="36">
        <v>2022</v>
      </c>
      <c r="FF3775" s="36" t="s">
        <v>59</v>
      </c>
      <c r="FG3775" s="36" t="s">
        <v>1728</v>
      </c>
      <c r="FJ3775" t="s">
        <v>59</v>
      </c>
    </row>
    <row r="3776" spans="153:166" x14ac:dyDescent="0.35">
      <c r="EW3776" t="s">
        <v>4093</v>
      </c>
      <c r="EX3776" s="33" t="s">
        <v>555</v>
      </c>
      <c r="EY3776" s="35" t="s">
        <v>2092</v>
      </c>
      <c r="EZ3776" s="36" t="s">
        <v>2093</v>
      </c>
      <c r="FA3776" s="36" t="s">
        <v>2003</v>
      </c>
      <c r="FB3776" s="36" t="s">
        <v>2004</v>
      </c>
      <c r="FC3776" s="36" t="s">
        <v>2003</v>
      </c>
      <c r="FD3776" s="36" t="s">
        <v>2004</v>
      </c>
      <c r="FE3776" s="36">
        <v>2022</v>
      </c>
      <c r="FF3776" s="36" t="s">
        <v>59</v>
      </c>
      <c r="FG3776" s="36" t="s">
        <v>1728</v>
      </c>
      <c r="FJ3776" t="s">
        <v>59</v>
      </c>
    </row>
    <row r="3777" spans="153:166" x14ac:dyDescent="0.35">
      <c r="EW3777" t="s">
        <v>4093</v>
      </c>
      <c r="EX3777" s="33" t="s">
        <v>706</v>
      </c>
      <c r="EY3777" s="35" t="s">
        <v>2095</v>
      </c>
      <c r="EZ3777" s="36" t="s">
        <v>2096</v>
      </c>
      <c r="FA3777" s="36" t="s">
        <v>2003</v>
      </c>
      <c r="FB3777" s="36" t="s">
        <v>2004</v>
      </c>
      <c r="FC3777" s="36" t="s">
        <v>2003</v>
      </c>
      <c r="FD3777" s="36" t="s">
        <v>2004</v>
      </c>
      <c r="FE3777" s="36">
        <v>2022</v>
      </c>
      <c r="FF3777" s="36" t="s">
        <v>59</v>
      </c>
      <c r="FG3777" s="36" t="s">
        <v>1193</v>
      </c>
      <c r="FJ3777" t="s">
        <v>59</v>
      </c>
    </row>
    <row r="3778" spans="153:166" x14ac:dyDescent="0.35">
      <c r="EW3778" t="s">
        <v>4093</v>
      </c>
      <c r="EX3778" s="33" t="s">
        <v>605</v>
      </c>
      <c r="EY3778" s="35" t="s">
        <v>2097</v>
      </c>
      <c r="EZ3778" s="36" t="s">
        <v>2098</v>
      </c>
      <c r="FA3778" s="36" t="s">
        <v>2003</v>
      </c>
      <c r="FB3778" s="36" t="s">
        <v>2004</v>
      </c>
      <c r="FC3778" s="36" t="s">
        <v>2003</v>
      </c>
      <c r="FD3778" s="36" t="s">
        <v>2004</v>
      </c>
      <c r="FE3778" s="36">
        <v>2022</v>
      </c>
      <c r="FF3778" s="36" t="s">
        <v>59</v>
      </c>
      <c r="FG3778" s="36" t="s">
        <v>1728</v>
      </c>
      <c r="FJ3778" t="s">
        <v>59</v>
      </c>
    </row>
    <row r="3779" spans="153:166" x14ac:dyDescent="0.35">
      <c r="EW3779" t="s">
        <v>4093</v>
      </c>
      <c r="EX3779" s="33" t="s">
        <v>452</v>
      </c>
      <c r="EY3779" s="35" t="s">
        <v>2099</v>
      </c>
      <c r="EZ3779" s="36" t="s">
        <v>2100</v>
      </c>
      <c r="FA3779" s="36" t="s">
        <v>2003</v>
      </c>
      <c r="FB3779" s="36" t="s">
        <v>2004</v>
      </c>
      <c r="FC3779" s="36" t="s">
        <v>2003</v>
      </c>
      <c r="FD3779" s="36" t="s">
        <v>2004</v>
      </c>
      <c r="FE3779" s="36">
        <v>2022</v>
      </c>
      <c r="FF3779" s="36" t="s">
        <v>59</v>
      </c>
      <c r="FG3779" s="36" t="s">
        <v>1728</v>
      </c>
      <c r="FJ3779" t="s">
        <v>59</v>
      </c>
    </row>
    <row r="3780" spans="153:166" x14ac:dyDescent="0.35">
      <c r="EW3780" t="s">
        <v>4093</v>
      </c>
      <c r="EX3780" s="33" t="s">
        <v>736</v>
      </c>
      <c r="EY3780" s="35" t="s">
        <v>2101</v>
      </c>
      <c r="EZ3780" s="36" t="s">
        <v>2102</v>
      </c>
      <c r="FA3780" s="36" t="s">
        <v>2003</v>
      </c>
      <c r="FB3780" s="36" t="s">
        <v>2004</v>
      </c>
      <c r="FC3780" s="36" t="s">
        <v>2003</v>
      </c>
      <c r="FD3780" s="36" t="s">
        <v>2004</v>
      </c>
      <c r="FE3780" s="36">
        <v>2022</v>
      </c>
      <c r="FF3780" s="36" t="s">
        <v>59</v>
      </c>
      <c r="FG3780" s="36" t="s">
        <v>1193</v>
      </c>
      <c r="FJ3780" t="s">
        <v>59</v>
      </c>
    </row>
    <row r="3781" spans="153:166" x14ac:dyDescent="0.35">
      <c r="EW3781" t="s">
        <v>4093</v>
      </c>
      <c r="EX3781" s="33" t="s">
        <v>463</v>
      </c>
      <c r="EY3781" s="35" t="s">
        <v>2103</v>
      </c>
      <c r="EZ3781" s="36" t="s">
        <v>2104</v>
      </c>
      <c r="FA3781" s="36" t="s">
        <v>2003</v>
      </c>
      <c r="FB3781" s="36" t="s">
        <v>2004</v>
      </c>
      <c r="FC3781" s="36" t="s">
        <v>2003</v>
      </c>
      <c r="FD3781" s="36" t="s">
        <v>2004</v>
      </c>
      <c r="FE3781" s="36">
        <v>2022</v>
      </c>
      <c r="FF3781" s="36" t="s">
        <v>59</v>
      </c>
      <c r="FG3781" s="36" t="s">
        <v>1728</v>
      </c>
      <c r="FJ3781" t="s">
        <v>59</v>
      </c>
    </row>
    <row r="3782" spans="153:166" x14ac:dyDescent="0.35">
      <c r="EW3782" t="s">
        <v>4093</v>
      </c>
      <c r="EX3782" s="33" t="s">
        <v>4733</v>
      </c>
      <c r="EY3782" s="35" t="s">
        <v>2105</v>
      </c>
      <c r="EZ3782" s="36" t="s">
        <v>2106</v>
      </c>
      <c r="FA3782" s="36" t="s">
        <v>2003</v>
      </c>
      <c r="FB3782" s="36" t="s">
        <v>2004</v>
      </c>
      <c r="FC3782" s="36" t="s">
        <v>2003</v>
      </c>
      <c r="FD3782" s="36" t="s">
        <v>2004</v>
      </c>
      <c r="FE3782" s="36">
        <v>2022</v>
      </c>
      <c r="FF3782" s="36" t="s">
        <v>59</v>
      </c>
      <c r="FG3782" s="36" t="s">
        <v>1728</v>
      </c>
      <c r="FJ3782" t="s">
        <v>59</v>
      </c>
    </row>
    <row r="3783" spans="153:166" x14ac:dyDescent="0.35">
      <c r="EW3783" t="s">
        <v>4093</v>
      </c>
      <c r="EX3783" s="33" t="s">
        <v>745</v>
      </c>
      <c r="EY3783" s="35" t="s">
        <v>2107</v>
      </c>
      <c r="EZ3783" s="36" t="s">
        <v>2108</v>
      </c>
      <c r="FA3783" s="36" t="s">
        <v>2003</v>
      </c>
      <c r="FB3783" s="36" t="s">
        <v>2004</v>
      </c>
      <c r="FC3783" s="36" t="s">
        <v>2003</v>
      </c>
      <c r="FD3783" s="36" t="s">
        <v>2004</v>
      </c>
      <c r="FE3783" s="36">
        <v>2022</v>
      </c>
      <c r="FF3783" s="36" t="s">
        <v>59</v>
      </c>
      <c r="FG3783" s="36" t="s">
        <v>1728</v>
      </c>
      <c r="FJ3783" t="s">
        <v>59</v>
      </c>
    </row>
    <row r="3784" spans="153:166" x14ac:dyDescent="0.35">
      <c r="EW3784" t="s">
        <v>4093</v>
      </c>
      <c r="EX3784" s="33" t="s">
        <v>520</v>
      </c>
      <c r="EY3784" s="35" t="s">
        <v>2109</v>
      </c>
      <c r="EZ3784" s="36" t="s">
        <v>2110</v>
      </c>
      <c r="FA3784" s="36" t="s">
        <v>2003</v>
      </c>
      <c r="FB3784" s="36" t="s">
        <v>2004</v>
      </c>
      <c r="FC3784" s="36" t="s">
        <v>2003</v>
      </c>
      <c r="FD3784" s="36" t="s">
        <v>2004</v>
      </c>
      <c r="FE3784" s="36">
        <v>2022</v>
      </c>
      <c r="FF3784" s="36" t="s">
        <v>59</v>
      </c>
      <c r="FG3784" s="36" t="s">
        <v>1728</v>
      </c>
      <c r="FJ3784" t="s">
        <v>59</v>
      </c>
    </row>
    <row r="3785" spans="153:166" x14ac:dyDescent="0.35">
      <c r="EW3785" t="s">
        <v>4093</v>
      </c>
      <c r="EX3785" s="33" t="s">
        <v>625</v>
      </c>
      <c r="EY3785" s="35" t="s">
        <v>2111</v>
      </c>
      <c r="EZ3785" s="36" t="s">
        <v>2112</v>
      </c>
      <c r="FA3785" s="36" t="s">
        <v>2003</v>
      </c>
      <c r="FB3785" s="36" t="s">
        <v>2004</v>
      </c>
      <c r="FC3785" s="36" t="s">
        <v>2003</v>
      </c>
      <c r="FD3785" s="36" t="s">
        <v>2004</v>
      </c>
      <c r="FE3785" s="36">
        <v>2022</v>
      </c>
      <c r="FF3785" s="36" t="s">
        <v>59</v>
      </c>
      <c r="FG3785" s="36" t="s">
        <v>1728</v>
      </c>
      <c r="FJ3785" t="s">
        <v>59</v>
      </c>
    </row>
    <row r="3786" spans="153:166" x14ac:dyDescent="0.35">
      <c r="EW3786" t="s">
        <v>4093</v>
      </c>
      <c r="EX3786" s="33" t="s">
        <v>548</v>
      </c>
      <c r="EY3786" s="35" t="s">
        <v>2113</v>
      </c>
      <c r="EZ3786" s="36" t="s">
        <v>2114</v>
      </c>
      <c r="FA3786" s="36" t="s">
        <v>2003</v>
      </c>
      <c r="FB3786" s="36" t="s">
        <v>2004</v>
      </c>
      <c r="FC3786" s="36" t="s">
        <v>2003</v>
      </c>
      <c r="FD3786" s="36" t="s">
        <v>2004</v>
      </c>
      <c r="FE3786" s="36">
        <v>2022</v>
      </c>
      <c r="FF3786" s="36" t="s">
        <v>59</v>
      </c>
      <c r="FG3786" s="36" t="s">
        <v>1728</v>
      </c>
      <c r="FJ3786" t="s">
        <v>59</v>
      </c>
    </row>
    <row r="3787" spans="153:166" x14ac:dyDescent="0.35">
      <c r="EW3787" t="s">
        <v>4093</v>
      </c>
      <c r="EX3787" s="33" t="s">
        <v>361</v>
      </c>
      <c r="EY3787" s="35" t="s">
        <v>2115</v>
      </c>
      <c r="EZ3787" s="36" t="s">
        <v>2116</v>
      </c>
      <c r="FA3787" s="36" t="s">
        <v>2003</v>
      </c>
      <c r="FB3787" s="36" t="s">
        <v>2004</v>
      </c>
      <c r="FC3787" s="36" t="s">
        <v>2003</v>
      </c>
      <c r="FD3787" s="36" t="s">
        <v>2004</v>
      </c>
      <c r="FE3787" s="36">
        <v>2022</v>
      </c>
      <c r="FF3787" s="36" t="s">
        <v>59</v>
      </c>
      <c r="FG3787" s="36" t="s">
        <v>1728</v>
      </c>
      <c r="FJ3787" t="s">
        <v>59</v>
      </c>
    </row>
    <row r="3788" spans="153:166" x14ac:dyDescent="0.35">
      <c r="EW3788" t="s">
        <v>4093</v>
      </c>
      <c r="EX3788" s="33" t="s">
        <v>44</v>
      </c>
      <c r="EY3788" s="35" t="s">
        <v>2117</v>
      </c>
      <c r="EZ3788" s="36" t="s">
        <v>2118</v>
      </c>
      <c r="FA3788" s="36" t="s">
        <v>2003</v>
      </c>
      <c r="FB3788" s="36" t="s">
        <v>2004</v>
      </c>
      <c r="FC3788" s="36" t="s">
        <v>2003</v>
      </c>
      <c r="FD3788" s="36" t="s">
        <v>2004</v>
      </c>
      <c r="FE3788" s="36">
        <v>2022</v>
      </c>
      <c r="FF3788" s="36" t="s">
        <v>59</v>
      </c>
      <c r="FG3788" s="36" t="s">
        <v>1193</v>
      </c>
      <c r="FJ3788" t="s">
        <v>59</v>
      </c>
    </row>
    <row r="3789" spans="153:166" x14ac:dyDescent="0.35">
      <c r="EW3789" t="s">
        <v>4093</v>
      </c>
      <c r="EX3789" s="33" t="s">
        <v>750</v>
      </c>
      <c r="EY3789" s="35" t="s">
        <v>2119</v>
      </c>
      <c r="EZ3789" s="36" t="s">
        <v>2120</v>
      </c>
      <c r="FA3789" s="36" t="s">
        <v>2003</v>
      </c>
      <c r="FB3789" s="36" t="s">
        <v>2004</v>
      </c>
      <c r="FC3789" s="36" t="s">
        <v>2003</v>
      </c>
      <c r="FD3789" s="36" t="s">
        <v>2004</v>
      </c>
      <c r="FE3789" s="36">
        <v>2022</v>
      </c>
      <c r="FF3789" s="36" t="s">
        <v>59</v>
      </c>
      <c r="FG3789" s="36" t="s">
        <v>1193</v>
      </c>
      <c r="FJ3789" t="s">
        <v>59</v>
      </c>
    </row>
    <row r="3790" spans="153:166" x14ac:dyDescent="0.35">
      <c r="EW3790" t="s">
        <v>4093</v>
      </c>
      <c r="EX3790" s="33" t="s">
        <v>178</v>
      </c>
      <c r="EY3790" s="35" t="s">
        <v>2121</v>
      </c>
      <c r="EZ3790" s="36" t="s">
        <v>2122</v>
      </c>
      <c r="FA3790" s="36" t="s">
        <v>2003</v>
      </c>
      <c r="FB3790" s="36" t="s">
        <v>2004</v>
      </c>
      <c r="FC3790" s="36" t="s">
        <v>2003</v>
      </c>
      <c r="FD3790" s="36" t="s">
        <v>2004</v>
      </c>
      <c r="FE3790" s="36">
        <v>2022</v>
      </c>
      <c r="FF3790" s="36" t="s">
        <v>59</v>
      </c>
      <c r="FG3790" s="36" t="s">
        <v>1728</v>
      </c>
      <c r="FJ3790" t="s">
        <v>59</v>
      </c>
    </row>
    <row r="3791" spans="153:166" x14ac:dyDescent="0.35">
      <c r="EW3791" t="s">
        <v>4093</v>
      </c>
      <c r="EX3791" s="33" t="s">
        <v>246</v>
      </c>
      <c r="EY3791" s="35" t="s">
        <v>2123</v>
      </c>
      <c r="EZ3791" s="36" t="s">
        <v>2124</v>
      </c>
      <c r="FA3791" s="36" t="s">
        <v>2003</v>
      </c>
      <c r="FB3791" s="36" t="s">
        <v>2004</v>
      </c>
      <c r="FC3791" s="36" t="s">
        <v>2003</v>
      </c>
      <c r="FD3791" s="36" t="s">
        <v>2004</v>
      </c>
      <c r="FE3791" s="36">
        <v>2022</v>
      </c>
      <c r="FF3791" s="36" t="s">
        <v>59</v>
      </c>
      <c r="FG3791" s="36" t="s">
        <v>1728</v>
      </c>
      <c r="FJ3791" t="s">
        <v>59</v>
      </c>
    </row>
    <row r="3792" spans="153:166" x14ac:dyDescent="0.35">
      <c r="EW3792" t="s">
        <v>4093</v>
      </c>
      <c r="EX3792" s="33" t="s">
        <v>637</v>
      </c>
      <c r="EY3792" s="35" t="s">
        <v>2125</v>
      </c>
      <c r="EZ3792" s="36" t="s">
        <v>2126</v>
      </c>
      <c r="FA3792" s="36" t="s">
        <v>2003</v>
      </c>
      <c r="FB3792" s="36" t="s">
        <v>2004</v>
      </c>
      <c r="FC3792" s="36" t="s">
        <v>2003</v>
      </c>
      <c r="FD3792" s="36" t="s">
        <v>2004</v>
      </c>
      <c r="FE3792" s="36">
        <v>2022</v>
      </c>
      <c r="FF3792" s="36" t="s">
        <v>59</v>
      </c>
      <c r="FG3792" s="36" t="s">
        <v>1728</v>
      </c>
      <c r="FJ3792" t="s">
        <v>59</v>
      </c>
    </row>
    <row r="3793" spans="153:166" x14ac:dyDescent="0.35">
      <c r="EW3793" t="s">
        <v>4093</v>
      </c>
      <c r="EX3793" s="33" t="s">
        <v>4734</v>
      </c>
      <c r="EY3793" s="35" t="s">
        <v>2127</v>
      </c>
      <c r="EZ3793" s="36" t="s">
        <v>2128</v>
      </c>
      <c r="FA3793" s="36" t="s">
        <v>2003</v>
      </c>
      <c r="FB3793" s="36" t="s">
        <v>2004</v>
      </c>
      <c r="FC3793" s="36" t="s">
        <v>2003</v>
      </c>
      <c r="FD3793" s="36" t="s">
        <v>2004</v>
      </c>
      <c r="FE3793" s="36">
        <v>2022</v>
      </c>
      <c r="FF3793" s="36" t="s">
        <v>59</v>
      </c>
      <c r="FG3793" s="36" t="s">
        <v>1728</v>
      </c>
      <c r="FJ3793" t="s">
        <v>59</v>
      </c>
    </row>
    <row r="3794" spans="153:166" x14ac:dyDescent="0.35">
      <c r="EW3794" t="s">
        <v>4093</v>
      </c>
      <c r="EX3794" s="33" t="s">
        <v>4735</v>
      </c>
      <c r="EY3794" s="35" t="s">
        <v>2129</v>
      </c>
      <c r="EZ3794" s="36" t="s">
        <v>2130</v>
      </c>
      <c r="FA3794" s="36" t="s">
        <v>2003</v>
      </c>
      <c r="FB3794" s="36" t="s">
        <v>2004</v>
      </c>
      <c r="FC3794" s="36" t="s">
        <v>2003</v>
      </c>
      <c r="FD3794" s="36" t="s">
        <v>2004</v>
      </c>
      <c r="FE3794" s="36">
        <v>2022</v>
      </c>
      <c r="FF3794" s="36" t="s">
        <v>59</v>
      </c>
      <c r="FG3794" s="36" t="s">
        <v>1728</v>
      </c>
      <c r="FJ3794" t="s">
        <v>59</v>
      </c>
    </row>
    <row r="3795" spans="153:166" x14ac:dyDescent="0.35">
      <c r="EW3795" t="s">
        <v>4093</v>
      </c>
      <c r="EX3795" s="33" t="s">
        <v>187</v>
      </c>
      <c r="EY3795" s="35" t="s">
        <v>2131</v>
      </c>
      <c r="EZ3795" s="36" t="s">
        <v>2132</v>
      </c>
      <c r="FA3795" s="36" t="s">
        <v>2003</v>
      </c>
      <c r="FB3795" s="36" t="s">
        <v>2004</v>
      </c>
      <c r="FC3795" s="36" t="s">
        <v>2003</v>
      </c>
      <c r="FD3795" s="36" t="s">
        <v>2004</v>
      </c>
      <c r="FE3795" s="36">
        <v>2022</v>
      </c>
      <c r="FF3795" s="36" t="s">
        <v>59</v>
      </c>
      <c r="FG3795" s="36" t="s">
        <v>1728</v>
      </c>
      <c r="FJ3795" t="s">
        <v>59</v>
      </c>
    </row>
    <row r="3796" spans="153:166" x14ac:dyDescent="0.35">
      <c r="EW3796" t="s">
        <v>4093</v>
      </c>
      <c r="EX3796" s="33" t="s">
        <v>481</v>
      </c>
      <c r="EY3796" s="35" t="s">
        <v>2133</v>
      </c>
      <c r="EZ3796" s="36" t="s">
        <v>2134</v>
      </c>
      <c r="FA3796" s="36" t="s">
        <v>2003</v>
      </c>
      <c r="FB3796" s="36" t="s">
        <v>2004</v>
      </c>
      <c r="FC3796" s="36" t="s">
        <v>2003</v>
      </c>
      <c r="FD3796" s="36" t="s">
        <v>2004</v>
      </c>
      <c r="FE3796" s="36">
        <v>2022</v>
      </c>
      <c r="FF3796" s="36" t="s">
        <v>59</v>
      </c>
      <c r="FG3796" s="36" t="s">
        <v>1193</v>
      </c>
      <c r="FJ3796" t="s">
        <v>59</v>
      </c>
    </row>
    <row r="3797" spans="153:166" x14ac:dyDescent="0.35">
      <c r="EW3797" t="s">
        <v>4093</v>
      </c>
      <c r="EX3797" s="33" t="s">
        <v>729</v>
      </c>
      <c r="EY3797" s="35" t="s">
        <v>2135</v>
      </c>
      <c r="EZ3797" s="36" t="s">
        <v>2136</v>
      </c>
      <c r="FA3797" s="36" t="s">
        <v>2003</v>
      </c>
      <c r="FB3797" s="36" t="s">
        <v>2004</v>
      </c>
      <c r="FC3797" s="36" t="s">
        <v>2003</v>
      </c>
      <c r="FD3797" s="36" t="s">
        <v>2004</v>
      </c>
      <c r="FE3797" s="36">
        <v>2022</v>
      </c>
      <c r="FF3797" s="36" t="s">
        <v>59</v>
      </c>
      <c r="FG3797" s="36" t="s">
        <v>1193</v>
      </c>
      <c r="FJ3797" t="s">
        <v>59</v>
      </c>
    </row>
    <row r="3798" spans="153:166" x14ac:dyDescent="0.35">
      <c r="EW3798" t="s">
        <v>4093</v>
      </c>
      <c r="EX3798" s="33" t="s">
        <v>67</v>
      </c>
      <c r="EY3798" s="35" t="s">
        <v>2137</v>
      </c>
      <c r="EZ3798" s="36" t="s">
        <v>2138</v>
      </c>
      <c r="FA3798" s="36" t="s">
        <v>2003</v>
      </c>
      <c r="FB3798" s="36" t="s">
        <v>2004</v>
      </c>
      <c r="FC3798" s="36" t="s">
        <v>2003</v>
      </c>
      <c r="FD3798" s="36" t="s">
        <v>2004</v>
      </c>
      <c r="FE3798" s="36">
        <v>2022</v>
      </c>
      <c r="FF3798" s="36" t="s">
        <v>59</v>
      </c>
      <c r="FG3798" s="36" t="s">
        <v>1193</v>
      </c>
      <c r="FJ3798" t="s">
        <v>59</v>
      </c>
    </row>
    <row r="3799" spans="153:166" x14ac:dyDescent="0.35">
      <c r="EW3799" t="s">
        <v>4093</v>
      </c>
      <c r="EX3799" s="33" t="s">
        <v>711</v>
      </c>
      <c r="EY3799" s="35" t="s">
        <v>2141</v>
      </c>
      <c r="EZ3799" s="36" t="s">
        <v>2142</v>
      </c>
      <c r="FA3799" s="36" t="s">
        <v>2003</v>
      </c>
      <c r="FB3799" s="36" t="s">
        <v>2004</v>
      </c>
      <c r="FC3799" s="36" t="s">
        <v>2003</v>
      </c>
      <c r="FD3799" s="36" t="s">
        <v>2004</v>
      </c>
      <c r="FE3799" s="36">
        <v>2022</v>
      </c>
      <c r="FF3799" s="36" t="s">
        <v>59</v>
      </c>
      <c r="FG3799" s="36" t="s">
        <v>1728</v>
      </c>
      <c r="FJ3799" t="s">
        <v>59</v>
      </c>
    </row>
    <row r="3800" spans="153:166" x14ac:dyDescent="0.35">
      <c r="EW3800" t="s">
        <v>4093</v>
      </c>
      <c r="EX3800" s="33" t="s">
        <v>376</v>
      </c>
      <c r="EY3800" s="35" t="s">
        <v>2143</v>
      </c>
      <c r="EZ3800" s="36" t="s">
        <v>2144</v>
      </c>
      <c r="FA3800" s="36" t="s">
        <v>2003</v>
      </c>
      <c r="FB3800" s="36" t="s">
        <v>2004</v>
      </c>
      <c r="FC3800" s="36" t="s">
        <v>2003</v>
      </c>
      <c r="FD3800" s="36" t="s">
        <v>2004</v>
      </c>
      <c r="FE3800" s="36">
        <v>2022</v>
      </c>
      <c r="FF3800" s="36" t="s">
        <v>59</v>
      </c>
      <c r="FG3800" s="36" t="s">
        <v>1193</v>
      </c>
      <c r="FJ3800" t="s">
        <v>59</v>
      </c>
    </row>
    <row r="3801" spans="153:166" x14ac:dyDescent="0.35">
      <c r="EW3801" t="s">
        <v>4093</v>
      </c>
      <c r="EX3801" s="33" t="s">
        <v>397</v>
      </c>
      <c r="EY3801" s="35" t="s">
        <v>2145</v>
      </c>
      <c r="EZ3801" s="36" t="s">
        <v>2146</v>
      </c>
      <c r="FA3801" s="36" t="s">
        <v>2003</v>
      </c>
      <c r="FB3801" s="36" t="s">
        <v>2004</v>
      </c>
      <c r="FC3801" s="36" t="s">
        <v>2003</v>
      </c>
      <c r="FD3801" s="36" t="s">
        <v>2004</v>
      </c>
      <c r="FE3801" s="36">
        <v>2022</v>
      </c>
      <c r="FF3801" s="36" t="s">
        <v>59</v>
      </c>
      <c r="FG3801" s="36" t="s">
        <v>1728</v>
      </c>
      <c r="FJ3801" t="s">
        <v>59</v>
      </c>
    </row>
    <row r="3802" spans="153:166" x14ac:dyDescent="0.35">
      <c r="EW3802" t="s">
        <v>4093</v>
      </c>
      <c r="EX3802" s="33" t="s">
        <v>259</v>
      </c>
      <c r="EY3802" s="35" t="s">
        <v>2147</v>
      </c>
      <c r="EZ3802" s="36" t="s">
        <v>2148</v>
      </c>
      <c r="FA3802" s="36" t="s">
        <v>2003</v>
      </c>
      <c r="FB3802" s="36" t="s">
        <v>2004</v>
      </c>
      <c r="FC3802" s="36" t="s">
        <v>2003</v>
      </c>
      <c r="FD3802" s="36" t="s">
        <v>2004</v>
      </c>
      <c r="FE3802" s="36">
        <v>2022</v>
      </c>
      <c r="FF3802" s="36" t="s">
        <v>59</v>
      </c>
      <c r="FG3802" s="36" t="s">
        <v>1728</v>
      </c>
      <c r="FJ3802" t="s">
        <v>59</v>
      </c>
    </row>
    <row r="3803" spans="153:166" x14ac:dyDescent="0.35">
      <c r="EW3803" t="s">
        <v>4093</v>
      </c>
      <c r="EX3803" s="33" t="s">
        <v>983</v>
      </c>
      <c r="EY3803" s="35" t="s">
        <v>2149</v>
      </c>
      <c r="EZ3803" s="36" t="s">
        <v>2150</v>
      </c>
      <c r="FA3803" s="36" t="s">
        <v>2003</v>
      </c>
      <c r="FB3803" s="36" t="s">
        <v>2004</v>
      </c>
      <c r="FC3803" s="36" t="s">
        <v>2003</v>
      </c>
      <c r="FD3803" s="36" t="s">
        <v>2004</v>
      </c>
      <c r="FE3803" s="36">
        <v>2022</v>
      </c>
      <c r="FF3803" s="36" t="s">
        <v>59</v>
      </c>
      <c r="FG3803" s="36" t="s">
        <v>1193</v>
      </c>
      <c r="FJ3803" t="s">
        <v>59</v>
      </c>
    </row>
    <row r="3804" spans="153:166" x14ac:dyDescent="0.35">
      <c r="EW3804" t="s">
        <v>4093</v>
      </c>
      <c r="EX3804" s="33" t="s">
        <v>724</v>
      </c>
      <c r="EY3804" s="35" t="s">
        <v>2151</v>
      </c>
      <c r="EZ3804" s="36" t="s">
        <v>2152</v>
      </c>
      <c r="FA3804" s="36" t="s">
        <v>2003</v>
      </c>
      <c r="FB3804" s="36" t="s">
        <v>2004</v>
      </c>
      <c r="FC3804" s="36" t="s">
        <v>2003</v>
      </c>
      <c r="FD3804" s="36" t="s">
        <v>2004</v>
      </c>
      <c r="FE3804" s="36">
        <v>2022</v>
      </c>
      <c r="FF3804" s="36" t="s">
        <v>59</v>
      </c>
      <c r="FG3804" s="36" t="s">
        <v>1728</v>
      </c>
      <c r="FJ3804" t="s">
        <v>59</v>
      </c>
    </row>
    <row r="3805" spans="153:166" x14ac:dyDescent="0.35">
      <c r="EW3805" t="s">
        <v>4093</v>
      </c>
      <c r="EX3805" s="33" t="s">
        <v>89</v>
      </c>
      <c r="EY3805" s="35" t="s">
        <v>2153</v>
      </c>
      <c r="EZ3805" s="36" t="s">
        <v>2154</v>
      </c>
      <c r="FA3805" s="36" t="s">
        <v>2003</v>
      </c>
      <c r="FB3805" s="36" t="s">
        <v>2004</v>
      </c>
      <c r="FC3805" s="36" t="s">
        <v>2003</v>
      </c>
      <c r="FD3805" s="36" t="s">
        <v>2004</v>
      </c>
      <c r="FE3805" s="36">
        <v>2022</v>
      </c>
      <c r="FF3805" s="36" t="s">
        <v>59</v>
      </c>
      <c r="FG3805" s="36" t="s">
        <v>1193</v>
      </c>
      <c r="FJ3805" t="s">
        <v>59</v>
      </c>
    </row>
    <row r="3806" spans="153:166" x14ac:dyDescent="0.35">
      <c r="EW3806" t="s">
        <v>4093</v>
      </c>
      <c r="EX3806" s="33" t="s">
        <v>923</v>
      </c>
      <c r="EY3806" s="35" t="s">
        <v>2155</v>
      </c>
      <c r="EZ3806" s="36" t="s">
        <v>2156</v>
      </c>
      <c r="FA3806" s="36" t="s">
        <v>2003</v>
      </c>
      <c r="FB3806" s="36" t="s">
        <v>2004</v>
      </c>
      <c r="FC3806" s="36" t="s">
        <v>2003</v>
      </c>
      <c r="FD3806" s="36" t="s">
        <v>2004</v>
      </c>
      <c r="FE3806" s="36">
        <v>2022</v>
      </c>
      <c r="FF3806" s="36" t="s">
        <v>59</v>
      </c>
      <c r="FG3806" s="36" t="s">
        <v>1728</v>
      </c>
      <c r="FJ3806" t="s">
        <v>59</v>
      </c>
    </row>
    <row r="3807" spans="153:166" x14ac:dyDescent="0.35">
      <c r="EW3807" t="s">
        <v>4093</v>
      </c>
      <c r="EX3807" s="33" t="s">
        <v>4736</v>
      </c>
      <c r="EY3807" s="35" t="s">
        <v>2157</v>
      </c>
      <c r="EZ3807" s="36" t="s">
        <v>2158</v>
      </c>
      <c r="FA3807" s="36" t="s">
        <v>2003</v>
      </c>
      <c r="FB3807" s="36" t="s">
        <v>2004</v>
      </c>
      <c r="FC3807" s="36" t="s">
        <v>2003</v>
      </c>
      <c r="FD3807" s="36" t="s">
        <v>2004</v>
      </c>
      <c r="FE3807" s="36">
        <v>2022</v>
      </c>
      <c r="FF3807" s="36" t="s">
        <v>59</v>
      </c>
      <c r="FG3807" s="36" t="s">
        <v>1193</v>
      </c>
      <c r="FJ3807" t="s">
        <v>59</v>
      </c>
    </row>
    <row r="3808" spans="153:166" x14ac:dyDescent="0.35">
      <c r="EW3808" t="s">
        <v>4093</v>
      </c>
      <c r="EX3808" s="33" t="s">
        <v>4737</v>
      </c>
      <c r="EY3808" s="35" t="s">
        <v>2159</v>
      </c>
      <c r="EZ3808" s="36" t="s">
        <v>2160</v>
      </c>
      <c r="FA3808" s="36" t="s">
        <v>2003</v>
      </c>
      <c r="FB3808" s="36" t="s">
        <v>2004</v>
      </c>
      <c r="FC3808" s="36" t="s">
        <v>2003</v>
      </c>
      <c r="FD3808" s="36" t="s">
        <v>2004</v>
      </c>
      <c r="FE3808" s="36">
        <v>2022</v>
      </c>
      <c r="FF3808" s="36" t="s">
        <v>59</v>
      </c>
      <c r="FG3808" s="36" t="s">
        <v>1728</v>
      </c>
      <c r="FJ3808" t="s">
        <v>59</v>
      </c>
    </row>
    <row r="3809" spans="153:166" x14ac:dyDescent="0.35">
      <c r="EW3809" t="s">
        <v>4093</v>
      </c>
      <c r="EX3809" s="33" t="s">
        <v>847</v>
      </c>
      <c r="EY3809" s="35" t="s">
        <v>2161</v>
      </c>
      <c r="EZ3809" s="36" t="s">
        <v>2162</v>
      </c>
      <c r="FA3809" s="36" t="s">
        <v>2003</v>
      </c>
      <c r="FB3809" s="36" t="s">
        <v>2004</v>
      </c>
      <c r="FC3809" s="36" t="s">
        <v>2003</v>
      </c>
      <c r="FD3809" s="36" t="s">
        <v>2004</v>
      </c>
      <c r="FE3809" s="36">
        <v>2022</v>
      </c>
      <c r="FF3809" s="36" t="s">
        <v>59</v>
      </c>
      <c r="FG3809" s="36" t="s">
        <v>1193</v>
      </c>
      <c r="FJ3809" t="s">
        <v>59</v>
      </c>
    </row>
    <row r="3810" spans="153:166" x14ac:dyDescent="0.35">
      <c r="EW3810" t="s">
        <v>4093</v>
      </c>
      <c r="EX3810" s="33" t="s">
        <v>888</v>
      </c>
      <c r="EY3810" s="35" t="s">
        <v>2163</v>
      </c>
      <c r="EZ3810" s="36" t="s">
        <v>2164</v>
      </c>
      <c r="FA3810" s="36" t="s">
        <v>2003</v>
      </c>
      <c r="FB3810" s="36" t="s">
        <v>2004</v>
      </c>
      <c r="FC3810" s="36" t="s">
        <v>2003</v>
      </c>
      <c r="FD3810" s="36" t="s">
        <v>2004</v>
      </c>
      <c r="FE3810" s="36">
        <v>2022</v>
      </c>
      <c r="FF3810" s="36" t="s">
        <v>59</v>
      </c>
      <c r="FG3810" s="36" t="s">
        <v>1193</v>
      </c>
      <c r="FJ3810" t="s">
        <v>59</v>
      </c>
    </row>
    <row r="3811" spans="153:166" x14ac:dyDescent="0.35">
      <c r="EW3811" t="s">
        <v>4093</v>
      </c>
      <c r="EX3811" s="33" t="s">
        <v>4738</v>
      </c>
      <c r="EY3811" s="35" t="s">
        <v>2165</v>
      </c>
      <c r="EZ3811" s="36" t="s">
        <v>2166</v>
      </c>
      <c r="FA3811" s="36" t="s">
        <v>2003</v>
      </c>
      <c r="FB3811" s="36" t="s">
        <v>2004</v>
      </c>
      <c r="FC3811" s="36" t="s">
        <v>2003</v>
      </c>
      <c r="FD3811" s="36" t="s">
        <v>2004</v>
      </c>
      <c r="FE3811" s="36">
        <v>2022</v>
      </c>
      <c r="FF3811" s="36" t="s">
        <v>59</v>
      </c>
      <c r="FG3811" s="36" t="s">
        <v>1193</v>
      </c>
      <c r="FJ3811" t="s">
        <v>59</v>
      </c>
    </row>
    <row r="3812" spans="153:166" x14ac:dyDescent="0.35">
      <c r="EW3812" t="s">
        <v>4093</v>
      </c>
      <c r="EX3812" s="33" t="s">
        <v>1035</v>
      </c>
      <c r="EY3812" s="35" t="s">
        <v>2167</v>
      </c>
      <c r="EZ3812" s="36" t="s">
        <v>2168</v>
      </c>
      <c r="FA3812" s="36" t="s">
        <v>2003</v>
      </c>
      <c r="FB3812" s="36" t="s">
        <v>2004</v>
      </c>
      <c r="FC3812" s="36" t="s">
        <v>2003</v>
      </c>
      <c r="FD3812" s="36" t="s">
        <v>2004</v>
      </c>
      <c r="FE3812" s="36">
        <v>2022</v>
      </c>
      <c r="FF3812" s="36" t="s">
        <v>59</v>
      </c>
      <c r="FG3812" s="36" t="s">
        <v>1193</v>
      </c>
      <c r="FJ3812" t="s">
        <v>59</v>
      </c>
    </row>
    <row r="3813" spans="153:166" x14ac:dyDescent="0.35">
      <c r="EW3813" t="s">
        <v>4093</v>
      </c>
      <c r="EX3813" s="33" t="s">
        <v>776</v>
      </c>
      <c r="EY3813" s="35" t="s">
        <v>2169</v>
      </c>
      <c r="EZ3813" s="36" t="s">
        <v>2170</v>
      </c>
      <c r="FA3813" s="36" t="s">
        <v>2003</v>
      </c>
      <c r="FB3813" s="36" t="s">
        <v>2004</v>
      </c>
      <c r="FC3813" s="36" t="s">
        <v>2003</v>
      </c>
      <c r="FD3813" s="36" t="s">
        <v>2004</v>
      </c>
      <c r="FE3813" s="36">
        <v>2022</v>
      </c>
      <c r="FF3813" s="36" t="s">
        <v>59</v>
      </c>
      <c r="FG3813" s="36" t="s">
        <v>1193</v>
      </c>
      <c r="FJ3813" t="s">
        <v>59</v>
      </c>
    </row>
    <row r="3814" spans="153:166" x14ac:dyDescent="0.35">
      <c r="EW3814" t="s">
        <v>4093</v>
      </c>
      <c r="EX3814" s="33" t="s">
        <v>1060</v>
      </c>
      <c r="EY3814" s="35" t="s">
        <v>2171</v>
      </c>
      <c r="EZ3814" s="36" t="s">
        <v>2172</v>
      </c>
      <c r="FA3814" s="36" t="s">
        <v>2003</v>
      </c>
      <c r="FB3814" s="36" t="s">
        <v>2004</v>
      </c>
      <c r="FC3814" s="36" t="s">
        <v>2003</v>
      </c>
      <c r="FD3814" s="36" t="s">
        <v>2004</v>
      </c>
      <c r="FE3814" s="36">
        <v>2022</v>
      </c>
      <c r="FF3814" s="36" t="s">
        <v>59</v>
      </c>
      <c r="FG3814" s="36" t="s">
        <v>1193</v>
      </c>
      <c r="FJ3814" t="s">
        <v>59</v>
      </c>
    </row>
    <row r="3815" spans="153:166" x14ac:dyDescent="0.35">
      <c r="EW3815" t="s">
        <v>4093</v>
      </c>
      <c r="EX3815" s="33" t="s">
        <v>785</v>
      </c>
      <c r="EY3815" s="35" t="s">
        <v>2173</v>
      </c>
      <c r="EZ3815" s="36" t="s">
        <v>2174</v>
      </c>
      <c r="FA3815" s="36" t="s">
        <v>2003</v>
      </c>
      <c r="FB3815" s="36" t="s">
        <v>2004</v>
      </c>
      <c r="FC3815" s="36" t="s">
        <v>2003</v>
      </c>
      <c r="FD3815" s="36" t="s">
        <v>2004</v>
      </c>
      <c r="FE3815" s="36">
        <v>2022</v>
      </c>
      <c r="FF3815" s="36" t="s">
        <v>59</v>
      </c>
      <c r="FG3815" s="36" t="s">
        <v>1193</v>
      </c>
      <c r="FJ3815" t="s">
        <v>59</v>
      </c>
    </row>
    <row r="3816" spans="153:166" x14ac:dyDescent="0.35">
      <c r="EW3816" t="s">
        <v>4093</v>
      </c>
      <c r="EX3816" s="33" t="s">
        <v>835</v>
      </c>
      <c r="EY3816" s="35" t="s">
        <v>2175</v>
      </c>
      <c r="EZ3816" s="36" t="s">
        <v>2176</v>
      </c>
      <c r="FA3816" s="36" t="s">
        <v>2003</v>
      </c>
      <c r="FB3816" s="36" t="s">
        <v>2004</v>
      </c>
      <c r="FC3816" s="36" t="s">
        <v>2003</v>
      </c>
      <c r="FD3816" s="36" t="s">
        <v>2004</v>
      </c>
      <c r="FE3816" s="36">
        <v>2022</v>
      </c>
      <c r="FF3816" s="36" t="s">
        <v>59</v>
      </c>
      <c r="FG3816" s="36" t="s">
        <v>1193</v>
      </c>
      <c r="FJ3816" t="s">
        <v>59</v>
      </c>
    </row>
    <row r="3817" spans="153:166" x14ac:dyDescent="0.35">
      <c r="EW3817" t="s">
        <v>4093</v>
      </c>
      <c r="EX3817" s="33" t="s">
        <v>942</v>
      </c>
      <c r="EY3817" s="35" t="s">
        <v>2177</v>
      </c>
      <c r="EZ3817" s="36" t="s">
        <v>2178</v>
      </c>
      <c r="FA3817" s="36" t="s">
        <v>2003</v>
      </c>
      <c r="FB3817" s="36" t="s">
        <v>2004</v>
      </c>
      <c r="FC3817" s="36" t="s">
        <v>2003</v>
      </c>
      <c r="FD3817" s="36" t="s">
        <v>2004</v>
      </c>
      <c r="FE3817" s="36">
        <v>2022</v>
      </c>
      <c r="FF3817" s="36" t="s">
        <v>59</v>
      </c>
      <c r="FG3817" s="36" t="s">
        <v>1728</v>
      </c>
      <c r="FJ3817" t="s">
        <v>59</v>
      </c>
    </row>
    <row r="3818" spans="153:166" x14ac:dyDescent="0.35">
      <c r="EW3818" t="s">
        <v>4093</v>
      </c>
      <c r="EX3818" s="33" t="s">
        <v>1009</v>
      </c>
      <c r="EY3818" s="35" t="s">
        <v>2179</v>
      </c>
      <c r="EZ3818" s="36" t="s">
        <v>2180</v>
      </c>
      <c r="FA3818" s="36" t="s">
        <v>2003</v>
      </c>
      <c r="FB3818" s="36" t="s">
        <v>2004</v>
      </c>
      <c r="FC3818" s="36" t="s">
        <v>2003</v>
      </c>
      <c r="FD3818" s="36" t="s">
        <v>2004</v>
      </c>
      <c r="FE3818" s="36">
        <v>2022</v>
      </c>
      <c r="FF3818" s="36" t="s">
        <v>59</v>
      </c>
      <c r="FG3818" s="36" t="s">
        <v>1193</v>
      </c>
      <c r="FJ3818" t="s">
        <v>59</v>
      </c>
    </row>
    <row r="3819" spans="153:166" x14ac:dyDescent="0.35">
      <c r="EW3819" t="s">
        <v>4093</v>
      </c>
      <c r="EX3819" s="33" t="s">
        <v>653</v>
      </c>
      <c r="EY3819" s="35" t="s">
        <v>2181</v>
      </c>
      <c r="EZ3819" s="36" t="s">
        <v>2182</v>
      </c>
      <c r="FA3819" s="36" t="s">
        <v>2003</v>
      </c>
      <c r="FB3819" s="36" t="s">
        <v>2004</v>
      </c>
      <c r="FC3819" s="36" t="s">
        <v>2003</v>
      </c>
      <c r="FD3819" s="36" t="s">
        <v>2004</v>
      </c>
      <c r="FE3819" s="36">
        <v>2022</v>
      </c>
      <c r="FF3819" s="36" t="s">
        <v>59</v>
      </c>
      <c r="FG3819" s="36" t="s">
        <v>1193</v>
      </c>
      <c r="FJ3819" t="s">
        <v>59</v>
      </c>
    </row>
    <row r="3820" spans="153:166" x14ac:dyDescent="0.35">
      <c r="EW3820" t="s">
        <v>4093</v>
      </c>
      <c r="EX3820" s="33" t="s">
        <v>809</v>
      </c>
      <c r="EY3820" s="35" t="s">
        <v>2183</v>
      </c>
      <c r="EZ3820" s="36" t="s">
        <v>2184</v>
      </c>
      <c r="FA3820" s="36" t="s">
        <v>2003</v>
      </c>
      <c r="FB3820" s="36" t="s">
        <v>2004</v>
      </c>
      <c r="FC3820" s="36" t="s">
        <v>2003</v>
      </c>
      <c r="FD3820" s="36" t="s">
        <v>2004</v>
      </c>
      <c r="FE3820" s="36">
        <v>2022</v>
      </c>
      <c r="FF3820" s="36" t="s">
        <v>59</v>
      </c>
      <c r="FG3820" s="36" t="s">
        <v>1193</v>
      </c>
      <c r="FJ3820" t="s">
        <v>59</v>
      </c>
    </row>
    <row r="3821" spans="153:166" x14ac:dyDescent="0.35">
      <c r="EW3821" t="s">
        <v>4093</v>
      </c>
      <c r="EX3821" s="33" t="s">
        <v>4739</v>
      </c>
      <c r="EY3821" s="35" t="s">
        <v>2185</v>
      </c>
      <c r="EZ3821" s="36" t="s">
        <v>2186</v>
      </c>
      <c r="FA3821" s="36" t="s">
        <v>2003</v>
      </c>
      <c r="FB3821" s="36" t="s">
        <v>2004</v>
      </c>
      <c r="FC3821" s="36" t="s">
        <v>2003</v>
      </c>
      <c r="FD3821" s="36" t="s">
        <v>2004</v>
      </c>
      <c r="FE3821" s="36">
        <v>2022</v>
      </c>
      <c r="FF3821" s="36" t="s">
        <v>59</v>
      </c>
      <c r="FG3821" s="36" t="s">
        <v>1728</v>
      </c>
      <c r="FJ3821" t="s">
        <v>59</v>
      </c>
    </row>
    <row r="3822" spans="153:166" x14ac:dyDescent="0.35">
      <c r="EW3822" t="s">
        <v>4093</v>
      </c>
      <c r="EX3822" s="33" t="s">
        <v>771</v>
      </c>
      <c r="EY3822" s="35" t="s">
        <v>2187</v>
      </c>
      <c r="EZ3822" s="36" t="s">
        <v>2188</v>
      </c>
      <c r="FA3822" s="36" t="s">
        <v>2003</v>
      </c>
      <c r="FB3822" s="36" t="s">
        <v>2004</v>
      </c>
      <c r="FC3822" s="36" t="s">
        <v>2003</v>
      </c>
      <c r="FD3822" s="36" t="s">
        <v>2004</v>
      </c>
      <c r="FE3822" s="36">
        <v>2022</v>
      </c>
      <c r="FF3822" s="36" t="s">
        <v>59</v>
      </c>
      <c r="FG3822" s="36" t="s">
        <v>1193</v>
      </c>
      <c r="FJ3822" t="s">
        <v>59</v>
      </c>
    </row>
    <row r="3823" spans="153:166" x14ac:dyDescent="0.35">
      <c r="EW3823" t="s">
        <v>4093</v>
      </c>
      <c r="EX3823" s="33" t="s">
        <v>818</v>
      </c>
      <c r="EY3823" s="35" t="s">
        <v>2189</v>
      </c>
      <c r="EZ3823" s="36" t="s">
        <v>2190</v>
      </c>
      <c r="FA3823" s="36" t="s">
        <v>2003</v>
      </c>
      <c r="FB3823" s="36" t="s">
        <v>2004</v>
      </c>
      <c r="FC3823" s="36" t="s">
        <v>2003</v>
      </c>
      <c r="FD3823" s="36" t="s">
        <v>2004</v>
      </c>
      <c r="FE3823" s="36">
        <v>2022</v>
      </c>
      <c r="FF3823" s="36" t="s">
        <v>59</v>
      </c>
      <c r="FG3823" s="36" t="s">
        <v>1193</v>
      </c>
      <c r="FJ3823" t="s">
        <v>59</v>
      </c>
    </row>
    <row r="3824" spans="153:166" x14ac:dyDescent="0.35">
      <c r="EW3824" t="s">
        <v>4093</v>
      </c>
      <c r="EX3824" s="33" t="s">
        <v>4740</v>
      </c>
      <c r="EY3824" s="35" t="s">
        <v>2191</v>
      </c>
      <c r="EZ3824" s="36" t="s">
        <v>2192</v>
      </c>
      <c r="FA3824" s="36" t="s">
        <v>2003</v>
      </c>
      <c r="FB3824" s="36" t="s">
        <v>2004</v>
      </c>
      <c r="FC3824" s="36" t="s">
        <v>2003</v>
      </c>
      <c r="FD3824" s="36" t="s">
        <v>2004</v>
      </c>
      <c r="FE3824" s="36">
        <v>2022</v>
      </c>
      <c r="FF3824" s="36" t="s">
        <v>59</v>
      </c>
      <c r="FG3824" s="36" t="s">
        <v>1193</v>
      </c>
      <c r="FJ3824" t="s">
        <v>59</v>
      </c>
    </row>
    <row r="3825" spans="153:166" x14ac:dyDescent="0.35">
      <c r="EW3825" t="s">
        <v>4093</v>
      </c>
      <c r="EX3825" s="33" t="s">
        <v>899</v>
      </c>
      <c r="EY3825" s="35" t="s">
        <v>2193</v>
      </c>
      <c r="EZ3825" s="36" t="s">
        <v>2194</v>
      </c>
      <c r="FA3825" s="36" t="s">
        <v>2003</v>
      </c>
      <c r="FB3825" s="36" t="s">
        <v>2004</v>
      </c>
      <c r="FC3825" s="36" t="s">
        <v>2003</v>
      </c>
      <c r="FD3825" s="36" t="s">
        <v>2004</v>
      </c>
      <c r="FE3825" s="36">
        <v>2022</v>
      </c>
      <c r="FF3825" s="36" t="s">
        <v>59</v>
      </c>
      <c r="FG3825" s="36" t="s">
        <v>1728</v>
      </c>
      <c r="FJ3825" t="s">
        <v>59</v>
      </c>
    </row>
    <row r="3826" spans="153:166" x14ac:dyDescent="0.35">
      <c r="EW3826" t="s">
        <v>4093</v>
      </c>
      <c r="EX3826" s="33" t="s">
        <v>1083</v>
      </c>
      <c r="EY3826" s="35" t="s">
        <v>2195</v>
      </c>
      <c r="EZ3826" s="36" t="s">
        <v>2196</v>
      </c>
      <c r="FA3826" s="36" t="s">
        <v>2003</v>
      </c>
      <c r="FB3826" s="36" t="s">
        <v>2004</v>
      </c>
      <c r="FC3826" s="36" t="s">
        <v>2003</v>
      </c>
      <c r="FD3826" s="36" t="s">
        <v>2004</v>
      </c>
      <c r="FE3826" s="36">
        <v>2022</v>
      </c>
      <c r="FF3826" s="36" t="s">
        <v>59</v>
      </c>
      <c r="FG3826" s="36" t="s">
        <v>1728</v>
      </c>
      <c r="FJ3826" t="s">
        <v>59</v>
      </c>
    </row>
    <row r="3827" spans="153:166" x14ac:dyDescent="0.35">
      <c r="EW3827" t="s">
        <v>4093</v>
      </c>
      <c r="EX3827" s="33" t="s">
        <v>796</v>
      </c>
      <c r="EY3827" s="35" t="s">
        <v>2197</v>
      </c>
      <c r="EZ3827" s="36" t="s">
        <v>2198</v>
      </c>
      <c r="FA3827" s="36" t="s">
        <v>2003</v>
      </c>
      <c r="FB3827" s="36" t="s">
        <v>2004</v>
      </c>
      <c r="FC3827" s="36" t="s">
        <v>2003</v>
      </c>
      <c r="FD3827" s="36" t="s">
        <v>2004</v>
      </c>
      <c r="FE3827" s="36">
        <v>2022</v>
      </c>
      <c r="FF3827" s="36" t="s">
        <v>59</v>
      </c>
      <c r="FG3827" s="36" t="s">
        <v>1193</v>
      </c>
      <c r="FJ3827" t="s">
        <v>59</v>
      </c>
    </row>
    <row r="3828" spans="153:166" x14ac:dyDescent="0.35">
      <c r="EW3828" t="s">
        <v>4093</v>
      </c>
      <c r="EX3828" s="33" t="s">
        <v>842</v>
      </c>
      <c r="EY3828" s="35" t="s">
        <v>2199</v>
      </c>
      <c r="EZ3828" s="36" t="s">
        <v>2200</v>
      </c>
      <c r="FA3828" s="36" t="s">
        <v>2003</v>
      </c>
      <c r="FB3828" s="36" t="s">
        <v>2004</v>
      </c>
      <c r="FC3828" s="36" t="s">
        <v>2003</v>
      </c>
      <c r="FD3828" s="36" t="s">
        <v>2004</v>
      </c>
      <c r="FE3828" s="36">
        <v>2022</v>
      </c>
      <c r="FF3828" s="36" t="s">
        <v>59</v>
      </c>
      <c r="FG3828" s="36" t="s">
        <v>1728</v>
      </c>
      <c r="FJ3828" t="s">
        <v>59</v>
      </c>
    </row>
    <row r="3829" spans="153:166" x14ac:dyDescent="0.35">
      <c r="EW3829" t="s">
        <v>4093</v>
      </c>
      <c r="EX3829" s="33" t="s">
        <v>869</v>
      </c>
      <c r="EY3829" s="35" t="s">
        <v>2201</v>
      </c>
      <c r="EZ3829" s="36" t="s">
        <v>2202</v>
      </c>
      <c r="FA3829" s="36" t="s">
        <v>2003</v>
      </c>
      <c r="FB3829" s="36" t="s">
        <v>2004</v>
      </c>
      <c r="FC3829" s="36" t="s">
        <v>2003</v>
      </c>
      <c r="FD3829" s="36" t="s">
        <v>2004</v>
      </c>
      <c r="FE3829" s="36">
        <v>2022</v>
      </c>
      <c r="FF3829" s="36" t="s">
        <v>59</v>
      </c>
      <c r="FG3829" s="36" t="s">
        <v>1193</v>
      </c>
      <c r="FJ3829" t="s">
        <v>59</v>
      </c>
    </row>
    <row r="3830" spans="153:166" x14ac:dyDescent="0.35">
      <c r="EW3830" t="s">
        <v>4093</v>
      </c>
      <c r="EX3830" s="33" t="s">
        <v>951</v>
      </c>
      <c r="EY3830" s="35" t="s">
        <v>2203</v>
      </c>
      <c r="EZ3830" s="36" t="s">
        <v>2204</v>
      </c>
      <c r="FA3830" s="36" t="s">
        <v>2003</v>
      </c>
      <c r="FB3830" s="36" t="s">
        <v>2004</v>
      </c>
      <c r="FC3830" s="36" t="s">
        <v>2003</v>
      </c>
      <c r="FD3830" s="36" t="s">
        <v>2004</v>
      </c>
      <c r="FE3830" s="36">
        <v>2022</v>
      </c>
      <c r="FF3830" s="36" t="s">
        <v>59</v>
      </c>
      <c r="FG3830" s="36" t="s">
        <v>1728</v>
      </c>
      <c r="FJ3830" t="s">
        <v>59</v>
      </c>
    </row>
    <row r="3831" spans="153:166" x14ac:dyDescent="0.35">
      <c r="EW3831" t="s">
        <v>4093</v>
      </c>
      <c r="EX3831" s="33" t="s">
        <v>4741</v>
      </c>
      <c r="EY3831" s="35" t="s">
        <v>2205</v>
      </c>
      <c r="EZ3831" s="36" t="s">
        <v>2206</v>
      </c>
      <c r="FA3831" s="36" t="s">
        <v>2003</v>
      </c>
      <c r="FB3831" s="36" t="s">
        <v>2004</v>
      </c>
      <c r="FC3831" s="36" t="s">
        <v>2003</v>
      </c>
      <c r="FD3831" s="36" t="s">
        <v>2004</v>
      </c>
      <c r="FE3831" s="36">
        <v>2022</v>
      </c>
      <c r="FF3831" s="36" t="s">
        <v>59</v>
      </c>
      <c r="FG3831" s="36" t="s">
        <v>1728</v>
      </c>
      <c r="FJ3831" t="s">
        <v>59</v>
      </c>
    </row>
    <row r="3832" spans="153:166" x14ac:dyDescent="0.35">
      <c r="EW3832" t="s">
        <v>4093</v>
      </c>
      <c r="EX3832" s="33" t="s">
        <v>4742</v>
      </c>
      <c r="EY3832" s="35" t="s">
        <v>2209</v>
      </c>
      <c r="EZ3832" s="36" t="s">
        <v>2210</v>
      </c>
      <c r="FA3832" s="36" t="s">
        <v>2003</v>
      </c>
      <c r="FB3832" s="36" t="s">
        <v>2004</v>
      </c>
      <c r="FC3832" s="36" t="s">
        <v>2003</v>
      </c>
      <c r="FD3832" s="36" t="s">
        <v>2004</v>
      </c>
      <c r="FE3832" s="36">
        <v>2022</v>
      </c>
      <c r="FF3832" s="36" t="s">
        <v>59</v>
      </c>
      <c r="FG3832" s="36" t="s">
        <v>1728</v>
      </c>
      <c r="FJ3832" t="s">
        <v>59</v>
      </c>
    </row>
    <row r="3833" spans="153:166" x14ac:dyDescent="0.35">
      <c r="EW3833" t="s">
        <v>4093</v>
      </c>
      <c r="EX3833" s="33" t="s">
        <v>962</v>
      </c>
      <c r="EY3833" s="35" t="s">
        <v>2211</v>
      </c>
      <c r="EZ3833" s="36" t="s">
        <v>2212</v>
      </c>
      <c r="FA3833" s="36" t="s">
        <v>2003</v>
      </c>
      <c r="FB3833" s="36" t="s">
        <v>2004</v>
      </c>
      <c r="FC3833" s="36" t="s">
        <v>2003</v>
      </c>
      <c r="FD3833" s="36" t="s">
        <v>2004</v>
      </c>
      <c r="FE3833" s="36">
        <v>2022</v>
      </c>
      <c r="FF3833" s="36" t="s">
        <v>59</v>
      </c>
      <c r="FG3833" s="36" t="s">
        <v>1728</v>
      </c>
      <c r="FJ3833" t="s">
        <v>59</v>
      </c>
    </row>
    <row r="3834" spans="153:166" x14ac:dyDescent="0.35">
      <c r="EW3834" t="s">
        <v>4093</v>
      </c>
      <c r="EX3834" s="33" t="s">
        <v>1018</v>
      </c>
      <c r="EY3834" s="35" t="s">
        <v>2213</v>
      </c>
      <c r="EZ3834" s="36" t="s">
        <v>2214</v>
      </c>
      <c r="FA3834" s="36" t="s">
        <v>2003</v>
      </c>
      <c r="FB3834" s="36" t="s">
        <v>2004</v>
      </c>
      <c r="FC3834" s="36" t="s">
        <v>2003</v>
      </c>
      <c r="FD3834" s="36" t="s">
        <v>2004</v>
      </c>
      <c r="FE3834" s="36">
        <v>2022</v>
      </c>
      <c r="FF3834" s="36" t="s">
        <v>59</v>
      </c>
      <c r="FG3834" s="36" t="s">
        <v>1728</v>
      </c>
      <c r="FJ3834" t="s">
        <v>59</v>
      </c>
    </row>
    <row r="3835" spans="153:166" x14ac:dyDescent="0.35">
      <c r="EW3835" t="s">
        <v>4093</v>
      </c>
      <c r="EX3835" s="33" t="s">
        <v>4743</v>
      </c>
      <c r="EY3835" s="35" t="s">
        <v>2215</v>
      </c>
      <c r="EZ3835" s="36" t="s">
        <v>2216</v>
      </c>
      <c r="FA3835" s="36" t="s">
        <v>2003</v>
      </c>
      <c r="FB3835" s="36" t="s">
        <v>2004</v>
      </c>
      <c r="FC3835" s="36" t="s">
        <v>2003</v>
      </c>
      <c r="FD3835" s="36" t="s">
        <v>2004</v>
      </c>
      <c r="FE3835" s="36">
        <v>2022</v>
      </c>
      <c r="FF3835" s="36" t="s">
        <v>59</v>
      </c>
      <c r="FG3835" s="36" t="s">
        <v>1193</v>
      </c>
      <c r="FJ3835" t="s">
        <v>59</v>
      </c>
    </row>
    <row r="3836" spans="153:166" x14ac:dyDescent="0.35">
      <c r="EW3836" t="s">
        <v>4093</v>
      </c>
      <c r="EX3836" s="33" t="s">
        <v>856</v>
      </c>
      <c r="EY3836" s="35" t="s">
        <v>2217</v>
      </c>
      <c r="EZ3836" s="36" t="s">
        <v>2218</v>
      </c>
      <c r="FA3836" s="36" t="s">
        <v>2003</v>
      </c>
      <c r="FB3836" s="36" t="s">
        <v>2004</v>
      </c>
      <c r="FC3836" s="36" t="s">
        <v>2003</v>
      </c>
      <c r="FD3836" s="36" t="s">
        <v>2004</v>
      </c>
      <c r="FE3836" s="36">
        <v>2022</v>
      </c>
      <c r="FF3836" s="36" t="s">
        <v>59</v>
      </c>
      <c r="FG3836" s="36" t="s">
        <v>1193</v>
      </c>
      <c r="FJ3836" t="s">
        <v>59</v>
      </c>
    </row>
    <row r="3837" spans="153:166" x14ac:dyDescent="0.35">
      <c r="EW3837" t="s">
        <v>4093</v>
      </c>
      <c r="EX3837" s="33" t="s">
        <v>912</v>
      </c>
      <c r="EY3837" s="35" t="s">
        <v>2219</v>
      </c>
      <c r="EZ3837" s="36" t="s">
        <v>2220</v>
      </c>
      <c r="FA3837" s="36" t="s">
        <v>2003</v>
      </c>
      <c r="FB3837" s="36" t="s">
        <v>2004</v>
      </c>
      <c r="FC3837" s="36" t="s">
        <v>2003</v>
      </c>
      <c r="FD3837" s="36" t="s">
        <v>2004</v>
      </c>
      <c r="FE3837" s="36">
        <v>2022</v>
      </c>
      <c r="FF3837" s="36" t="s">
        <v>59</v>
      </c>
      <c r="FG3837" s="36" t="s">
        <v>1193</v>
      </c>
      <c r="FJ3837" t="s">
        <v>59</v>
      </c>
    </row>
    <row r="3838" spans="153:166" x14ac:dyDescent="0.35">
      <c r="EW3838" t="s">
        <v>4093</v>
      </c>
      <c r="EX3838" s="33" t="s">
        <v>996</v>
      </c>
      <c r="EY3838" s="35" t="s">
        <v>2221</v>
      </c>
      <c r="EZ3838" s="36" t="s">
        <v>2222</v>
      </c>
      <c r="FA3838" s="36" t="s">
        <v>2003</v>
      </c>
      <c r="FB3838" s="36" t="s">
        <v>2004</v>
      </c>
      <c r="FC3838" s="36" t="s">
        <v>2003</v>
      </c>
      <c r="FD3838" s="36" t="s">
        <v>2004</v>
      </c>
      <c r="FE3838" s="36">
        <v>2022</v>
      </c>
      <c r="FF3838" s="36" t="s">
        <v>59</v>
      </c>
      <c r="FG3838" s="36" t="s">
        <v>1193</v>
      </c>
      <c r="FJ3838" t="s">
        <v>59</v>
      </c>
    </row>
    <row r="3839" spans="153:166" x14ac:dyDescent="0.35">
      <c r="EW3839" t="s">
        <v>4093</v>
      </c>
      <c r="EX3839" s="33" t="s">
        <v>1100</v>
      </c>
      <c r="EY3839" s="35" t="s">
        <v>2223</v>
      </c>
      <c r="EZ3839" s="36" t="s">
        <v>2224</v>
      </c>
      <c r="FA3839" s="36" t="s">
        <v>2003</v>
      </c>
      <c r="FB3839" s="36" t="s">
        <v>2004</v>
      </c>
      <c r="FC3839" s="36" t="s">
        <v>2003</v>
      </c>
      <c r="FD3839" s="36" t="s">
        <v>2004</v>
      </c>
      <c r="FE3839" s="36">
        <v>2022</v>
      </c>
      <c r="FF3839" s="36" t="s">
        <v>59</v>
      </c>
      <c r="FG3839" s="36" t="s">
        <v>1728</v>
      </c>
      <c r="FJ3839" t="s">
        <v>59</v>
      </c>
    </row>
    <row r="3840" spans="153:166" x14ac:dyDescent="0.35">
      <c r="EW3840" t="s">
        <v>4093</v>
      </c>
      <c r="EX3840" s="33" t="s">
        <v>1133</v>
      </c>
      <c r="EY3840" s="35" t="s">
        <v>2225</v>
      </c>
      <c r="EZ3840" s="36">
        <v>593521</v>
      </c>
      <c r="FA3840" s="36" t="s">
        <v>1726</v>
      </c>
      <c r="FB3840" s="36" t="s">
        <v>473</v>
      </c>
      <c r="FC3840" s="36" t="s">
        <v>53</v>
      </c>
      <c r="FD3840" s="36" t="s">
        <v>476</v>
      </c>
      <c r="FE3840" s="36">
        <v>2023</v>
      </c>
      <c r="FF3840" s="36" t="s">
        <v>474</v>
      </c>
      <c r="FG3840" s="36" t="s">
        <v>1728</v>
      </c>
      <c r="FJ3840" t="s">
        <v>474</v>
      </c>
    </row>
    <row r="3841" spans="153:166" x14ac:dyDescent="0.35">
      <c r="EW3841" t="s">
        <v>4093</v>
      </c>
      <c r="EX3841" s="33" t="s">
        <v>1154</v>
      </c>
      <c r="EY3841" s="35" t="s">
        <v>2226</v>
      </c>
      <c r="EZ3841" s="36">
        <v>593751</v>
      </c>
      <c r="FA3841" s="36" t="s">
        <v>1726</v>
      </c>
      <c r="FB3841" s="36" t="s">
        <v>473</v>
      </c>
      <c r="FC3841" s="36" t="s">
        <v>53</v>
      </c>
      <c r="FD3841" s="36" t="s">
        <v>476</v>
      </c>
      <c r="FE3841" s="36">
        <v>2023</v>
      </c>
      <c r="FF3841" s="36" t="s">
        <v>474</v>
      </c>
      <c r="FG3841" s="36" t="s">
        <v>1728</v>
      </c>
      <c r="FJ3841" t="s">
        <v>474</v>
      </c>
    </row>
    <row r="3842" spans="153:166" x14ac:dyDescent="0.35">
      <c r="EW3842" t="s">
        <v>4093</v>
      </c>
      <c r="EX3842" s="33" t="s">
        <v>1163</v>
      </c>
      <c r="EY3842" s="35" t="s">
        <v>2227</v>
      </c>
      <c r="EZ3842" s="36">
        <v>595002</v>
      </c>
      <c r="FA3842" s="36" t="s">
        <v>1726</v>
      </c>
      <c r="FB3842" s="36" t="s">
        <v>473</v>
      </c>
      <c r="FC3842" s="36" t="s">
        <v>53</v>
      </c>
      <c r="FD3842" s="36" t="s">
        <v>476</v>
      </c>
      <c r="FE3842" s="36">
        <v>2023</v>
      </c>
      <c r="FF3842" s="36" t="s">
        <v>474</v>
      </c>
      <c r="FG3842" s="36" t="s">
        <v>1728</v>
      </c>
      <c r="FJ3842" t="s">
        <v>474</v>
      </c>
    </row>
    <row r="3843" spans="153:166" x14ac:dyDescent="0.35">
      <c r="EW3843" t="s">
        <v>4093</v>
      </c>
      <c r="EX3843" s="33" t="s">
        <v>1174</v>
      </c>
      <c r="EY3843" s="35" t="s">
        <v>2228</v>
      </c>
      <c r="EZ3843" s="36">
        <v>598537</v>
      </c>
      <c r="FA3843" s="36" t="s">
        <v>1726</v>
      </c>
      <c r="FB3843" s="36" t="s">
        <v>473</v>
      </c>
      <c r="FC3843" s="36" t="s">
        <v>53</v>
      </c>
      <c r="FD3843" s="36" t="s">
        <v>476</v>
      </c>
      <c r="FE3843" s="36">
        <v>2023</v>
      </c>
      <c r="FF3843" s="36" t="s">
        <v>474</v>
      </c>
      <c r="FG3843" s="36" t="s">
        <v>1728</v>
      </c>
      <c r="FJ3843" t="s">
        <v>474</v>
      </c>
    </row>
    <row r="3844" spans="153:166" x14ac:dyDescent="0.35">
      <c r="EW3844" t="s">
        <v>4093</v>
      </c>
      <c r="EX3844" s="33" t="s">
        <v>4744</v>
      </c>
      <c r="EY3844" s="35" t="s">
        <v>2229</v>
      </c>
      <c r="EZ3844" s="36" t="s">
        <v>2230</v>
      </c>
      <c r="FA3844" s="36" t="s">
        <v>1192</v>
      </c>
      <c r="FB3844" s="36" t="s">
        <v>344</v>
      </c>
      <c r="FC3844" s="36" t="s">
        <v>1192</v>
      </c>
      <c r="FD3844" s="36" t="s">
        <v>344</v>
      </c>
      <c r="FE3844" s="36">
        <v>2026</v>
      </c>
      <c r="FF3844" s="36" t="s">
        <v>59</v>
      </c>
      <c r="FG3844" s="36" t="s">
        <v>1584</v>
      </c>
      <c r="FJ3844" t="s">
        <v>59</v>
      </c>
    </row>
    <row r="3845" spans="153:166" x14ac:dyDescent="0.35">
      <c r="EW3845" t="s">
        <v>4093</v>
      </c>
      <c r="EX3845" s="33" t="s">
        <v>4745</v>
      </c>
      <c r="EY3845" s="35" t="s">
        <v>2231</v>
      </c>
      <c r="EZ3845" s="36" t="s">
        <v>2232</v>
      </c>
      <c r="FA3845" s="36" t="s">
        <v>1192</v>
      </c>
      <c r="FB3845" s="36" t="s">
        <v>344</v>
      </c>
      <c r="FC3845" s="36" t="s">
        <v>1192</v>
      </c>
      <c r="FD3845" s="36" t="s">
        <v>344</v>
      </c>
      <c r="FE3845" s="36">
        <v>2026</v>
      </c>
      <c r="FF3845" s="36" t="s">
        <v>59</v>
      </c>
      <c r="FG3845" s="36" t="s">
        <v>1584</v>
      </c>
      <c r="FJ3845" t="s">
        <v>59</v>
      </c>
    </row>
    <row r="3846" spans="153:166" x14ac:dyDescent="0.35">
      <c r="EW3846" t="s">
        <v>4093</v>
      </c>
      <c r="EX3846" s="33" t="s">
        <v>4746</v>
      </c>
      <c r="EY3846" s="35" t="s">
        <v>2233</v>
      </c>
      <c r="EZ3846" s="36" t="s">
        <v>2234</v>
      </c>
      <c r="FA3846" s="36" t="s">
        <v>1192</v>
      </c>
      <c r="FB3846" s="36" t="s">
        <v>344</v>
      </c>
      <c r="FC3846" s="36" t="s">
        <v>1192</v>
      </c>
      <c r="FD3846" s="36" t="s">
        <v>344</v>
      </c>
      <c r="FE3846" s="36">
        <v>2026</v>
      </c>
      <c r="FF3846" s="36" t="s">
        <v>59</v>
      </c>
      <c r="FG3846" s="36" t="s">
        <v>1584</v>
      </c>
      <c r="FJ3846" t="s">
        <v>59</v>
      </c>
    </row>
    <row r="3847" spans="153:166" x14ac:dyDescent="0.35">
      <c r="EW3847" t="s">
        <v>4093</v>
      </c>
      <c r="EX3847" s="33" t="s">
        <v>4747</v>
      </c>
      <c r="EY3847" s="35" t="s">
        <v>2235</v>
      </c>
      <c r="EZ3847" s="36" t="s">
        <v>2236</v>
      </c>
      <c r="FA3847" s="36" t="s">
        <v>1192</v>
      </c>
      <c r="FB3847" s="36" t="s">
        <v>344</v>
      </c>
      <c r="FC3847" s="36" t="s">
        <v>1192</v>
      </c>
      <c r="FD3847" s="36" t="s">
        <v>344</v>
      </c>
      <c r="FE3847" s="36">
        <v>2026</v>
      </c>
      <c r="FF3847" s="36" t="s">
        <v>59</v>
      </c>
      <c r="FG3847" s="36" t="s">
        <v>1584</v>
      </c>
      <c r="FJ3847" t="s">
        <v>59</v>
      </c>
    </row>
    <row r="3848" spans="153:166" x14ac:dyDescent="0.35">
      <c r="EW3848" t="s">
        <v>4093</v>
      </c>
      <c r="EX3848" s="33" t="s">
        <v>4748</v>
      </c>
      <c r="EY3848" s="35" t="s">
        <v>2237</v>
      </c>
      <c r="EZ3848" s="36" t="s">
        <v>2238</v>
      </c>
      <c r="FA3848" s="36" t="s">
        <v>1192</v>
      </c>
      <c r="FB3848" s="36" t="s">
        <v>344</v>
      </c>
      <c r="FC3848" s="36" t="s">
        <v>1192</v>
      </c>
      <c r="FD3848" s="36" t="s">
        <v>344</v>
      </c>
      <c r="FE3848" s="36">
        <v>2026</v>
      </c>
      <c r="FF3848" s="36" t="s">
        <v>59</v>
      </c>
      <c r="FG3848" s="36" t="s">
        <v>1584</v>
      </c>
      <c r="FJ3848" t="s">
        <v>59</v>
      </c>
    </row>
    <row r="3849" spans="153:166" x14ac:dyDescent="0.35">
      <c r="EW3849" t="s">
        <v>4093</v>
      </c>
      <c r="EX3849" s="33" t="s">
        <v>4749</v>
      </c>
      <c r="EY3849" s="35" t="s">
        <v>2239</v>
      </c>
      <c r="EZ3849" s="36" t="s">
        <v>2240</v>
      </c>
      <c r="FA3849" s="36" t="s">
        <v>1192</v>
      </c>
      <c r="FB3849" s="36" t="s">
        <v>344</v>
      </c>
      <c r="FC3849" s="36" t="s">
        <v>1192</v>
      </c>
      <c r="FD3849" s="36" t="s">
        <v>344</v>
      </c>
      <c r="FE3849" s="36">
        <v>2026</v>
      </c>
      <c r="FF3849" s="36" t="s">
        <v>59</v>
      </c>
      <c r="FG3849" s="36" t="s">
        <v>1584</v>
      </c>
      <c r="FJ3849" t="s">
        <v>59</v>
      </c>
    </row>
    <row r="3850" spans="153:166" x14ac:dyDescent="0.35">
      <c r="EW3850" t="s">
        <v>4093</v>
      </c>
      <c r="EX3850" s="33" t="s">
        <v>4750</v>
      </c>
      <c r="EY3850" s="35" t="s">
        <v>2241</v>
      </c>
      <c r="EZ3850" s="36" t="s">
        <v>2242</v>
      </c>
      <c r="FA3850" s="36" t="s">
        <v>1192</v>
      </c>
      <c r="FB3850" s="36" t="s">
        <v>344</v>
      </c>
      <c r="FC3850" s="36" t="s">
        <v>1192</v>
      </c>
      <c r="FD3850" s="36" t="s">
        <v>344</v>
      </c>
      <c r="FE3850" s="36">
        <v>2026</v>
      </c>
      <c r="FF3850" s="36" t="s">
        <v>59</v>
      </c>
      <c r="FG3850" s="36" t="s">
        <v>1584</v>
      </c>
      <c r="FJ3850" t="s">
        <v>59</v>
      </c>
    </row>
    <row r="3851" spans="153:166" x14ac:dyDescent="0.35">
      <c r="EW3851" t="s">
        <v>4093</v>
      </c>
      <c r="EX3851" s="33" t="s">
        <v>4751</v>
      </c>
      <c r="EY3851" s="35" t="s">
        <v>2243</v>
      </c>
      <c r="EZ3851" s="36" t="s">
        <v>2244</v>
      </c>
      <c r="FA3851" s="36" t="s">
        <v>1192</v>
      </c>
      <c r="FB3851" s="36" t="s">
        <v>344</v>
      </c>
      <c r="FC3851" s="36" t="s">
        <v>1192</v>
      </c>
      <c r="FD3851" s="36" t="s">
        <v>344</v>
      </c>
      <c r="FE3851" s="36">
        <v>2026</v>
      </c>
      <c r="FF3851" s="36" t="s">
        <v>59</v>
      </c>
      <c r="FG3851" s="36" t="s">
        <v>1584</v>
      </c>
      <c r="FJ3851" t="s">
        <v>59</v>
      </c>
    </row>
    <row r="3852" spans="153:166" x14ac:dyDescent="0.35">
      <c r="EW3852" t="s">
        <v>4093</v>
      </c>
      <c r="EX3852" s="33" t="s">
        <v>4752</v>
      </c>
      <c r="EY3852" s="35" t="s">
        <v>2247</v>
      </c>
      <c r="EZ3852" s="36" t="s">
        <v>2248</v>
      </c>
      <c r="FA3852" s="36" t="s">
        <v>1192</v>
      </c>
      <c r="FB3852" s="36" t="s">
        <v>344</v>
      </c>
      <c r="FC3852" s="36" t="s">
        <v>1192</v>
      </c>
      <c r="FD3852" s="36" t="s">
        <v>344</v>
      </c>
      <c r="FE3852" s="36">
        <v>2026</v>
      </c>
      <c r="FF3852" s="36" t="s">
        <v>59</v>
      </c>
      <c r="FG3852" s="36" t="s">
        <v>1584</v>
      </c>
      <c r="FJ3852" t="s">
        <v>59</v>
      </c>
    </row>
    <row r="3853" spans="153:166" x14ac:dyDescent="0.35">
      <c r="EW3853" t="s">
        <v>4093</v>
      </c>
      <c r="EX3853" s="33" t="s">
        <v>4753</v>
      </c>
      <c r="EY3853" s="35" t="s">
        <v>2249</v>
      </c>
      <c r="EZ3853" s="36" t="s">
        <v>2250</v>
      </c>
      <c r="FA3853" s="36" t="s">
        <v>1192</v>
      </c>
      <c r="FB3853" s="36" t="s">
        <v>344</v>
      </c>
      <c r="FC3853" s="36" t="s">
        <v>1192</v>
      </c>
      <c r="FD3853" s="36" t="s">
        <v>344</v>
      </c>
      <c r="FE3853" s="36">
        <v>2026</v>
      </c>
      <c r="FF3853" s="36" t="s">
        <v>59</v>
      </c>
      <c r="FG3853" s="36" t="s">
        <v>1584</v>
      </c>
      <c r="FJ3853" t="s">
        <v>59</v>
      </c>
    </row>
    <row r="3854" spans="153:166" x14ac:dyDescent="0.35">
      <c r="EW3854" t="s">
        <v>4093</v>
      </c>
      <c r="EX3854" s="33" t="s">
        <v>4754</v>
      </c>
      <c r="EY3854" s="35" t="s">
        <v>2253</v>
      </c>
      <c r="EZ3854" s="36" t="s">
        <v>2254</v>
      </c>
      <c r="FA3854" s="36" t="s">
        <v>1192</v>
      </c>
      <c r="FB3854" s="36" t="s">
        <v>344</v>
      </c>
      <c r="FC3854" s="36" t="s">
        <v>1192</v>
      </c>
      <c r="FD3854" s="36" t="s">
        <v>344</v>
      </c>
      <c r="FE3854" s="36">
        <v>2026</v>
      </c>
      <c r="FF3854" s="36" t="s">
        <v>59</v>
      </c>
      <c r="FG3854" s="36" t="s">
        <v>1584</v>
      </c>
      <c r="FJ3854" t="s">
        <v>59</v>
      </c>
    </row>
    <row r="3855" spans="153:166" x14ac:dyDescent="0.35">
      <c r="EW3855" t="s">
        <v>4093</v>
      </c>
      <c r="EX3855" s="33" t="s">
        <v>4755</v>
      </c>
      <c r="EY3855" s="35" t="s">
        <v>2255</v>
      </c>
      <c r="EZ3855" s="36" t="s">
        <v>2256</v>
      </c>
      <c r="FA3855" s="36" t="s">
        <v>1192</v>
      </c>
      <c r="FB3855" s="36" t="s">
        <v>344</v>
      </c>
      <c r="FC3855" s="36" t="s">
        <v>1192</v>
      </c>
      <c r="FD3855" s="36" t="s">
        <v>344</v>
      </c>
      <c r="FE3855" s="36">
        <v>2026</v>
      </c>
      <c r="FF3855" s="36" t="s">
        <v>59</v>
      </c>
      <c r="FG3855" s="36" t="s">
        <v>1584</v>
      </c>
      <c r="FJ3855" t="s">
        <v>59</v>
      </c>
    </row>
    <row r="3856" spans="153:166" x14ac:dyDescent="0.35">
      <c r="EW3856" t="s">
        <v>4093</v>
      </c>
      <c r="EX3856" s="33" t="s">
        <v>4756</v>
      </c>
      <c r="EY3856" s="35" t="s">
        <v>2257</v>
      </c>
      <c r="EZ3856" s="36" t="s">
        <v>2258</v>
      </c>
      <c r="FA3856" s="36" t="s">
        <v>1192</v>
      </c>
      <c r="FB3856" s="36" t="s">
        <v>344</v>
      </c>
      <c r="FC3856" s="36" t="s">
        <v>1192</v>
      </c>
      <c r="FD3856" s="36" t="s">
        <v>344</v>
      </c>
      <c r="FE3856" s="36">
        <v>2026</v>
      </c>
      <c r="FF3856" s="36" t="s">
        <v>59</v>
      </c>
      <c r="FG3856" s="36" t="s">
        <v>1584</v>
      </c>
      <c r="FJ3856" t="s">
        <v>59</v>
      </c>
    </row>
    <row r="3857" spans="153:166" x14ac:dyDescent="0.35">
      <c r="EW3857" t="s">
        <v>4093</v>
      </c>
      <c r="EX3857" s="33" t="s">
        <v>4757</v>
      </c>
      <c r="EY3857" s="35" t="s">
        <v>2261</v>
      </c>
      <c r="EZ3857" s="36" t="s">
        <v>2262</v>
      </c>
      <c r="FA3857" s="36" t="s">
        <v>1192</v>
      </c>
      <c r="FB3857" s="36" t="s">
        <v>344</v>
      </c>
      <c r="FC3857" s="36" t="s">
        <v>1192</v>
      </c>
      <c r="FD3857" s="36" t="s">
        <v>344</v>
      </c>
      <c r="FE3857" s="36">
        <v>2026</v>
      </c>
      <c r="FF3857" s="36" t="s">
        <v>59</v>
      </c>
      <c r="FG3857" s="36" t="s">
        <v>1584</v>
      </c>
      <c r="FJ3857" t="s">
        <v>59</v>
      </c>
    </row>
    <row r="3858" spans="153:166" x14ac:dyDescent="0.35">
      <c r="EW3858" t="s">
        <v>4093</v>
      </c>
      <c r="EX3858" s="33" t="s">
        <v>4758</v>
      </c>
      <c r="EY3858" s="35" t="s">
        <v>2263</v>
      </c>
      <c r="EZ3858" s="36" t="s">
        <v>2264</v>
      </c>
      <c r="FA3858" s="36" t="s">
        <v>1192</v>
      </c>
      <c r="FB3858" s="36" t="s">
        <v>344</v>
      </c>
      <c r="FC3858" s="36" t="s">
        <v>1192</v>
      </c>
      <c r="FD3858" s="36" t="s">
        <v>344</v>
      </c>
      <c r="FE3858" s="36">
        <v>2026</v>
      </c>
      <c r="FF3858" s="36" t="s">
        <v>59</v>
      </c>
      <c r="FG3858" s="36" t="s">
        <v>1584</v>
      </c>
      <c r="FJ3858" t="s">
        <v>59</v>
      </c>
    </row>
    <row r="3859" spans="153:166" x14ac:dyDescent="0.35">
      <c r="EW3859" t="s">
        <v>4093</v>
      </c>
      <c r="EX3859" s="33" t="s">
        <v>4759</v>
      </c>
      <c r="EY3859" s="35" t="s">
        <v>2265</v>
      </c>
      <c r="EZ3859" s="36" t="s">
        <v>2266</v>
      </c>
      <c r="FA3859" s="36" t="s">
        <v>1192</v>
      </c>
      <c r="FB3859" s="36" t="s">
        <v>344</v>
      </c>
      <c r="FC3859" s="36" t="s">
        <v>1192</v>
      </c>
      <c r="FD3859" s="36" t="s">
        <v>344</v>
      </c>
      <c r="FE3859" s="36">
        <v>2026</v>
      </c>
      <c r="FF3859" s="36" t="s">
        <v>59</v>
      </c>
      <c r="FG3859" s="36" t="s">
        <v>1584</v>
      </c>
      <c r="FJ3859" t="s">
        <v>59</v>
      </c>
    </row>
    <row r="3860" spans="153:166" x14ac:dyDescent="0.35">
      <c r="EW3860" t="s">
        <v>4093</v>
      </c>
      <c r="EX3860" s="33" t="s">
        <v>4760</v>
      </c>
      <c r="EY3860" s="35" t="s">
        <v>2267</v>
      </c>
      <c r="EZ3860" s="36" t="s">
        <v>2268</v>
      </c>
      <c r="FA3860" s="36" t="s">
        <v>1192</v>
      </c>
      <c r="FB3860" s="36" t="s">
        <v>344</v>
      </c>
      <c r="FC3860" s="36" t="s">
        <v>1192</v>
      </c>
      <c r="FD3860" s="36" t="s">
        <v>344</v>
      </c>
      <c r="FE3860" s="36">
        <v>2026</v>
      </c>
      <c r="FF3860" s="36" t="s">
        <v>59</v>
      </c>
      <c r="FG3860" s="36" t="s">
        <v>1584</v>
      </c>
      <c r="FJ3860" t="s">
        <v>59</v>
      </c>
    </row>
    <row r="3861" spans="153:166" x14ac:dyDescent="0.35">
      <c r="EW3861" t="s">
        <v>4093</v>
      </c>
      <c r="EX3861" s="33" t="s">
        <v>4761</v>
      </c>
      <c r="EY3861" s="35" t="s">
        <v>2269</v>
      </c>
      <c r="EZ3861" s="36" t="s">
        <v>2270</v>
      </c>
      <c r="FA3861" s="36" t="s">
        <v>1192</v>
      </c>
      <c r="FB3861" s="36" t="s">
        <v>344</v>
      </c>
      <c r="FC3861" s="36" t="s">
        <v>1192</v>
      </c>
      <c r="FD3861" s="36" t="s">
        <v>344</v>
      </c>
      <c r="FE3861" s="36">
        <v>2026</v>
      </c>
      <c r="FF3861" s="36" t="s">
        <v>59</v>
      </c>
      <c r="FG3861" s="36" t="s">
        <v>1584</v>
      </c>
      <c r="FJ3861" t="s">
        <v>59</v>
      </c>
    </row>
    <row r="3862" spans="153:166" x14ac:dyDescent="0.35">
      <c r="EW3862" t="s">
        <v>4093</v>
      </c>
      <c r="EX3862" s="33" t="s">
        <v>4762</v>
      </c>
      <c r="EY3862" s="35" t="s">
        <v>2273</v>
      </c>
      <c r="EZ3862" s="36" t="s">
        <v>2274</v>
      </c>
      <c r="FA3862" s="36" t="s">
        <v>1192</v>
      </c>
      <c r="FB3862" s="36" t="s">
        <v>344</v>
      </c>
      <c r="FC3862" s="36" t="s">
        <v>1192</v>
      </c>
      <c r="FD3862" s="36" t="s">
        <v>344</v>
      </c>
      <c r="FE3862" s="36">
        <v>2026</v>
      </c>
      <c r="FF3862" s="36" t="s">
        <v>59</v>
      </c>
      <c r="FG3862" s="36" t="s">
        <v>1584</v>
      </c>
      <c r="FJ3862" t="s">
        <v>59</v>
      </c>
    </row>
    <row r="3863" spans="153:166" x14ac:dyDescent="0.35">
      <c r="EW3863" t="s">
        <v>4093</v>
      </c>
      <c r="EX3863" s="33" t="s">
        <v>4763</v>
      </c>
      <c r="EY3863" s="35" t="s">
        <v>2275</v>
      </c>
      <c r="EZ3863" s="36" t="s">
        <v>2276</v>
      </c>
      <c r="FA3863" s="36" t="s">
        <v>1192</v>
      </c>
      <c r="FB3863" s="36" t="s">
        <v>344</v>
      </c>
      <c r="FC3863" s="36" t="s">
        <v>1192</v>
      </c>
      <c r="FD3863" s="36" t="s">
        <v>344</v>
      </c>
      <c r="FE3863" s="36">
        <v>2026</v>
      </c>
      <c r="FF3863" s="36" t="s">
        <v>59</v>
      </c>
      <c r="FG3863" s="36" t="s">
        <v>1584</v>
      </c>
      <c r="FJ3863" t="s">
        <v>59</v>
      </c>
    </row>
    <row r="3864" spans="153:166" x14ac:dyDescent="0.35">
      <c r="EW3864" t="s">
        <v>4093</v>
      </c>
      <c r="EX3864" s="33" t="s">
        <v>4764</v>
      </c>
      <c r="EY3864" s="35" t="s">
        <v>2277</v>
      </c>
      <c r="EZ3864" s="36" t="s">
        <v>2278</v>
      </c>
      <c r="FA3864" s="36" t="s">
        <v>1192</v>
      </c>
      <c r="FB3864" s="36" t="s">
        <v>344</v>
      </c>
      <c r="FC3864" s="36" t="s">
        <v>1192</v>
      </c>
      <c r="FD3864" s="36" t="s">
        <v>344</v>
      </c>
      <c r="FE3864" s="36">
        <v>2026</v>
      </c>
      <c r="FF3864" s="36" t="s">
        <v>59</v>
      </c>
      <c r="FG3864" s="36" t="s">
        <v>1584</v>
      </c>
      <c r="FJ3864" t="s">
        <v>59</v>
      </c>
    </row>
    <row r="3865" spans="153:166" x14ac:dyDescent="0.35">
      <c r="EW3865" t="s">
        <v>4093</v>
      </c>
      <c r="EX3865" s="33" t="s">
        <v>4765</v>
      </c>
      <c r="EY3865" s="35" t="s">
        <v>2279</v>
      </c>
      <c r="EZ3865" s="36" t="s">
        <v>2280</v>
      </c>
      <c r="FA3865" s="36" t="s">
        <v>1192</v>
      </c>
      <c r="FB3865" s="36" t="s">
        <v>344</v>
      </c>
      <c r="FC3865" s="36" t="s">
        <v>1192</v>
      </c>
      <c r="FD3865" s="36" t="s">
        <v>344</v>
      </c>
      <c r="FE3865" s="36">
        <v>2026</v>
      </c>
      <c r="FF3865" s="36" t="s">
        <v>59</v>
      </c>
      <c r="FG3865" s="36" t="s">
        <v>1584</v>
      </c>
      <c r="FJ3865" t="s">
        <v>59</v>
      </c>
    </row>
    <row r="3866" spans="153:166" x14ac:dyDescent="0.35">
      <c r="EW3866" t="s">
        <v>4093</v>
      </c>
      <c r="EX3866" s="33" t="s">
        <v>4766</v>
      </c>
      <c r="EY3866" s="35" t="s">
        <v>2281</v>
      </c>
      <c r="EZ3866" s="36" t="s">
        <v>2282</v>
      </c>
      <c r="FA3866" s="36" t="s">
        <v>1192</v>
      </c>
      <c r="FB3866" s="36" t="s">
        <v>344</v>
      </c>
      <c r="FC3866" s="36" t="s">
        <v>1192</v>
      </c>
      <c r="FD3866" s="36" t="s">
        <v>344</v>
      </c>
      <c r="FE3866" s="36">
        <v>2026</v>
      </c>
      <c r="FF3866" s="36" t="s">
        <v>59</v>
      </c>
      <c r="FG3866" s="36" t="s">
        <v>1584</v>
      </c>
      <c r="FJ3866" t="s">
        <v>59</v>
      </c>
    </row>
    <row r="3867" spans="153:166" x14ac:dyDescent="0.35">
      <c r="EW3867" t="s">
        <v>4093</v>
      </c>
      <c r="EX3867" s="33" t="s">
        <v>4767</v>
      </c>
      <c r="EY3867" s="35" t="s">
        <v>2283</v>
      </c>
      <c r="EZ3867" s="36" t="s">
        <v>2284</v>
      </c>
      <c r="FA3867" s="36" t="s">
        <v>1192</v>
      </c>
      <c r="FB3867" s="36" t="s">
        <v>344</v>
      </c>
      <c r="FC3867" s="36" t="s">
        <v>1192</v>
      </c>
      <c r="FD3867" s="36" t="s">
        <v>344</v>
      </c>
      <c r="FE3867" s="36">
        <v>2026</v>
      </c>
      <c r="FF3867" s="36" t="s">
        <v>59</v>
      </c>
      <c r="FG3867" s="36" t="s">
        <v>1584</v>
      </c>
      <c r="FJ3867" t="s">
        <v>59</v>
      </c>
    </row>
    <row r="3868" spans="153:166" x14ac:dyDescent="0.35">
      <c r="EW3868" t="s">
        <v>4093</v>
      </c>
      <c r="EX3868" s="33" t="s">
        <v>4768</v>
      </c>
      <c r="EY3868" s="35" t="s">
        <v>2285</v>
      </c>
      <c r="EZ3868" s="36" t="s">
        <v>2286</v>
      </c>
      <c r="FA3868" s="36" t="s">
        <v>1192</v>
      </c>
      <c r="FB3868" s="36" t="s">
        <v>344</v>
      </c>
      <c r="FC3868" s="36" t="s">
        <v>1192</v>
      </c>
      <c r="FD3868" s="36" t="s">
        <v>344</v>
      </c>
      <c r="FE3868" s="36">
        <v>2026</v>
      </c>
      <c r="FF3868" s="36" t="s">
        <v>59</v>
      </c>
      <c r="FG3868" s="36" t="s">
        <v>1584</v>
      </c>
      <c r="FJ3868" t="s">
        <v>59</v>
      </c>
    </row>
    <row r="3869" spans="153:166" x14ac:dyDescent="0.35">
      <c r="EW3869" t="s">
        <v>4093</v>
      </c>
      <c r="EX3869" s="33" t="s">
        <v>4769</v>
      </c>
      <c r="EY3869" s="35" t="s">
        <v>2287</v>
      </c>
      <c r="EZ3869" s="36" t="s">
        <v>2288</v>
      </c>
      <c r="FA3869" s="36" t="s">
        <v>1192</v>
      </c>
      <c r="FB3869" s="36" t="s">
        <v>344</v>
      </c>
      <c r="FC3869" s="36" t="s">
        <v>1192</v>
      </c>
      <c r="FD3869" s="36" t="s">
        <v>344</v>
      </c>
      <c r="FE3869" s="36">
        <v>2026</v>
      </c>
      <c r="FF3869" s="36" t="s">
        <v>59</v>
      </c>
      <c r="FG3869" s="36" t="s">
        <v>1584</v>
      </c>
      <c r="FJ3869" t="s">
        <v>59</v>
      </c>
    </row>
    <row r="3870" spans="153:166" x14ac:dyDescent="0.35">
      <c r="EW3870" t="s">
        <v>4093</v>
      </c>
      <c r="EX3870" s="33" t="s">
        <v>4770</v>
      </c>
      <c r="EY3870" s="35" t="s">
        <v>2289</v>
      </c>
      <c r="EZ3870" s="36" t="s">
        <v>2290</v>
      </c>
      <c r="FA3870" s="36" t="s">
        <v>1192</v>
      </c>
      <c r="FB3870" s="36" t="s">
        <v>344</v>
      </c>
      <c r="FC3870" s="36" t="s">
        <v>1192</v>
      </c>
      <c r="FD3870" s="36" t="s">
        <v>344</v>
      </c>
      <c r="FE3870" s="36">
        <v>2026</v>
      </c>
      <c r="FF3870" s="36" t="s">
        <v>59</v>
      </c>
      <c r="FG3870" s="36" t="s">
        <v>1584</v>
      </c>
      <c r="FJ3870" t="s">
        <v>59</v>
      </c>
    </row>
    <row r="3871" spans="153:166" x14ac:dyDescent="0.35">
      <c r="EW3871" t="s">
        <v>4093</v>
      </c>
      <c r="EX3871" s="33" t="s">
        <v>4771</v>
      </c>
      <c r="EY3871" s="35" t="s">
        <v>2291</v>
      </c>
      <c r="EZ3871" s="36" t="s">
        <v>2292</v>
      </c>
      <c r="FA3871" s="36" t="s">
        <v>1192</v>
      </c>
      <c r="FB3871" s="36" t="s">
        <v>344</v>
      </c>
      <c r="FC3871" s="36" t="s">
        <v>1192</v>
      </c>
      <c r="FD3871" s="36" t="s">
        <v>344</v>
      </c>
      <c r="FE3871" s="36">
        <v>2026</v>
      </c>
      <c r="FF3871" s="36" t="s">
        <v>59</v>
      </c>
      <c r="FG3871" s="36" t="s">
        <v>1584</v>
      </c>
      <c r="FJ3871" t="s">
        <v>59</v>
      </c>
    </row>
    <row r="3872" spans="153:166" x14ac:dyDescent="0.35">
      <c r="EW3872" t="s">
        <v>4093</v>
      </c>
      <c r="EX3872" s="33" t="s">
        <v>4772</v>
      </c>
      <c r="EY3872" s="35" t="s">
        <v>2293</v>
      </c>
      <c r="EZ3872" s="36" t="s">
        <v>2294</v>
      </c>
      <c r="FA3872" s="36" t="s">
        <v>1192</v>
      </c>
      <c r="FB3872" s="36" t="s">
        <v>344</v>
      </c>
      <c r="FC3872" s="36" t="s">
        <v>1192</v>
      </c>
      <c r="FD3872" s="36" t="s">
        <v>344</v>
      </c>
      <c r="FE3872" s="36">
        <v>2026</v>
      </c>
      <c r="FF3872" s="36" t="s">
        <v>59</v>
      </c>
      <c r="FG3872" s="36" t="s">
        <v>1584</v>
      </c>
      <c r="FJ3872" t="s">
        <v>59</v>
      </c>
    </row>
    <row r="3873" spans="153:166" x14ac:dyDescent="0.35">
      <c r="EW3873" t="s">
        <v>4093</v>
      </c>
      <c r="EX3873" s="33" t="s">
        <v>4773</v>
      </c>
      <c r="EY3873" s="35" t="s">
        <v>2295</v>
      </c>
      <c r="EZ3873" s="36" t="s">
        <v>2296</v>
      </c>
      <c r="FA3873" s="36" t="s">
        <v>1192</v>
      </c>
      <c r="FB3873" s="36" t="s">
        <v>344</v>
      </c>
      <c r="FC3873" s="36" t="s">
        <v>1192</v>
      </c>
      <c r="FD3873" s="36" t="s">
        <v>344</v>
      </c>
      <c r="FE3873" s="36">
        <v>2026</v>
      </c>
      <c r="FF3873" s="36" t="s">
        <v>59</v>
      </c>
      <c r="FG3873" s="36" t="s">
        <v>1584</v>
      </c>
      <c r="FJ3873" t="s">
        <v>59</v>
      </c>
    </row>
    <row r="3874" spans="153:166" x14ac:dyDescent="0.35">
      <c r="EW3874" t="s">
        <v>4093</v>
      </c>
      <c r="EX3874" s="33" t="s">
        <v>4774</v>
      </c>
      <c r="EY3874" s="35" t="s">
        <v>2297</v>
      </c>
      <c r="EZ3874" s="36" t="s">
        <v>2298</v>
      </c>
      <c r="FA3874" s="36" t="s">
        <v>1192</v>
      </c>
      <c r="FB3874" s="36" t="s">
        <v>344</v>
      </c>
      <c r="FC3874" s="36" t="s">
        <v>1192</v>
      </c>
      <c r="FD3874" s="36" t="s">
        <v>344</v>
      </c>
      <c r="FE3874" s="36">
        <v>2026</v>
      </c>
      <c r="FF3874" s="36" t="s">
        <v>59</v>
      </c>
      <c r="FG3874" s="36" t="s">
        <v>1584</v>
      </c>
      <c r="FJ3874" t="s">
        <v>59</v>
      </c>
    </row>
    <row r="3875" spans="153:166" x14ac:dyDescent="0.35">
      <c r="EW3875" t="s">
        <v>4093</v>
      </c>
      <c r="EX3875" s="33" t="s">
        <v>4775</v>
      </c>
      <c r="EY3875" s="35" t="s">
        <v>2299</v>
      </c>
      <c r="EZ3875" s="36" t="s">
        <v>2300</v>
      </c>
      <c r="FA3875" s="36" t="s">
        <v>1192</v>
      </c>
      <c r="FB3875" s="36" t="s">
        <v>344</v>
      </c>
      <c r="FC3875" s="36" t="s">
        <v>1192</v>
      </c>
      <c r="FD3875" s="36" t="s">
        <v>344</v>
      </c>
      <c r="FE3875" s="36">
        <v>2026</v>
      </c>
      <c r="FF3875" s="36" t="s">
        <v>59</v>
      </c>
      <c r="FG3875" s="36" t="s">
        <v>1584</v>
      </c>
      <c r="FJ3875" t="s">
        <v>59</v>
      </c>
    </row>
    <row r="3876" spans="153:166" x14ac:dyDescent="0.35">
      <c r="EW3876" t="s">
        <v>4093</v>
      </c>
      <c r="EX3876" s="33" t="s">
        <v>4776</v>
      </c>
      <c r="EY3876" s="35" t="s">
        <v>2303</v>
      </c>
      <c r="EZ3876" s="36" t="s">
        <v>2304</v>
      </c>
      <c r="FA3876" s="36" t="s">
        <v>1192</v>
      </c>
      <c r="FB3876" s="36" t="s">
        <v>344</v>
      </c>
      <c r="FC3876" s="36" t="s">
        <v>1192</v>
      </c>
      <c r="FD3876" s="36" t="s">
        <v>344</v>
      </c>
      <c r="FE3876" s="36">
        <v>2026</v>
      </c>
      <c r="FF3876" s="36" t="s">
        <v>59</v>
      </c>
      <c r="FG3876" s="36" t="s">
        <v>1584</v>
      </c>
      <c r="FJ3876" t="s">
        <v>59</v>
      </c>
    </row>
    <row r="3877" spans="153:166" x14ac:dyDescent="0.35">
      <c r="EW3877" t="s">
        <v>4093</v>
      </c>
      <c r="EX3877" s="33" t="s">
        <v>4777</v>
      </c>
      <c r="EY3877" s="35" t="s">
        <v>2305</v>
      </c>
      <c r="EZ3877" s="36" t="s">
        <v>2306</v>
      </c>
      <c r="FA3877" s="36" t="s">
        <v>1192</v>
      </c>
      <c r="FB3877" s="36" t="s">
        <v>344</v>
      </c>
      <c r="FC3877" s="36" t="s">
        <v>1192</v>
      </c>
      <c r="FD3877" s="36" t="s">
        <v>344</v>
      </c>
      <c r="FE3877" s="36">
        <v>2026</v>
      </c>
      <c r="FF3877" s="36" t="s">
        <v>59</v>
      </c>
      <c r="FG3877" s="36" t="s">
        <v>1584</v>
      </c>
      <c r="FJ3877" t="s">
        <v>59</v>
      </c>
    </row>
    <row r="3878" spans="153:166" x14ac:dyDescent="0.35">
      <c r="EW3878" t="s">
        <v>4093</v>
      </c>
      <c r="EX3878" s="33" t="s">
        <v>4778</v>
      </c>
      <c r="EY3878" s="35" t="s">
        <v>2309</v>
      </c>
      <c r="EZ3878" s="36" t="s">
        <v>2310</v>
      </c>
      <c r="FA3878" s="36" t="s">
        <v>1192</v>
      </c>
      <c r="FB3878" s="36" t="s">
        <v>344</v>
      </c>
      <c r="FC3878" s="36" t="s">
        <v>1192</v>
      </c>
      <c r="FD3878" s="36" t="s">
        <v>344</v>
      </c>
      <c r="FE3878" s="36">
        <v>2026</v>
      </c>
      <c r="FF3878" s="36" t="s">
        <v>59</v>
      </c>
      <c r="FG3878" s="36" t="s">
        <v>1584</v>
      </c>
      <c r="FJ3878" t="s">
        <v>59</v>
      </c>
    </row>
    <row r="3879" spans="153:166" x14ac:dyDescent="0.35">
      <c r="EW3879" t="s">
        <v>4093</v>
      </c>
      <c r="EX3879" s="33" t="s">
        <v>4779</v>
      </c>
      <c r="EY3879" s="35" t="s">
        <v>2311</v>
      </c>
      <c r="EZ3879" s="36" t="s">
        <v>2312</v>
      </c>
      <c r="FA3879" s="36" t="s">
        <v>1192</v>
      </c>
      <c r="FB3879" s="36" t="s">
        <v>344</v>
      </c>
      <c r="FC3879" s="36" t="s">
        <v>1192</v>
      </c>
      <c r="FD3879" s="36" t="s">
        <v>344</v>
      </c>
      <c r="FE3879" s="36">
        <v>2026</v>
      </c>
      <c r="FF3879" s="36" t="s">
        <v>59</v>
      </c>
      <c r="FG3879" s="36" t="s">
        <v>1584</v>
      </c>
      <c r="FJ3879" t="s">
        <v>59</v>
      </c>
    </row>
    <row r="3880" spans="153:166" x14ac:dyDescent="0.35">
      <c r="EW3880" t="s">
        <v>4093</v>
      </c>
      <c r="EX3880" s="33" t="s">
        <v>4780</v>
      </c>
      <c r="EY3880" s="35" t="s">
        <v>2313</v>
      </c>
      <c r="EZ3880" s="36" t="s">
        <v>2314</v>
      </c>
      <c r="FA3880" s="36" t="s">
        <v>1192</v>
      </c>
      <c r="FB3880" s="36" t="s">
        <v>344</v>
      </c>
      <c r="FC3880" s="36" t="s">
        <v>1192</v>
      </c>
      <c r="FD3880" s="36" t="s">
        <v>344</v>
      </c>
      <c r="FE3880" s="36">
        <v>2026</v>
      </c>
      <c r="FF3880" s="36" t="s">
        <v>59</v>
      </c>
      <c r="FG3880" s="36" t="s">
        <v>1584</v>
      </c>
      <c r="FJ3880" t="s">
        <v>59</v>
      </c>
    </row>
    <row r="3881" spans="153:166" x14ac:dyDescent="0.35">
      <c r="EW3881" t="s">
        <v>4093</v>
      </c>
      <c r="EX3881" s="33" t="s">
        <v>4781</v>
      </c>
      <c r="EY3881" s="35" t="s">
        <v>2317</v>
      </c>
      <c r="EZ3881" s="36" t="s">
        <v>2318</v>
      </c>
      <c r="FA3881" s="36" t="s">
        <v>1192</v>
      </c>
      <c r="FB3881" s="36" t="s">
        <v>344</v>
      </c>
      <c r="FC3881" s="36" t="s">
        <v>1192</v>
      </c>
      <c r="FD3881" s="36" t="s">
        <v>344</v>
      </c>
      <c r="FE3881" s="36">
        <v>2026</v>
      </c>
      <c r="FF3881" s="36" t="s">
        <v>59</v>
      </c>
      <c r="FG3881" s="36" t="s">
        <v>1584</v>
      </c>
      <c r="FJ3881" t="s">
        <v>59</v>
      </c>
    </row>
    <row r="3882" spans="153:166" x14ac:dyDescent="0.35">
      <c r="EW3882" t="s">
        <v>4093</v>
      </c>
      <c r="EX3882" s="33" t="s">
        <v>4782</v>
      </c>
      <c r="EY3882" s="35" t="s">
        <v>2319</v>
      </c>
      <c r="EZ3882" s="36" t="s">
        <v>2320</v>
      </c>
      <c r="FA3882" s="36" t="s">
        <v>1192</v>
      </c>
      <c r="FB3882" s="36" t="s">
        <v>344</v>
      </c>
      <c r="FC3882" s="36" t="s">
        <v>1192</v>
      </c>
      <c r="FD3882" s="36" t="s">
        <v>344</v>
      </c>
      <c r="FE3882" s="36">
        <v>2026</v>
      </c>
      <c r="FF3882" s="36" t="s">
        <v>59</v>
      </c>
      <c r="FG3882" s="36" t="s">
        <v>1584</v>
      </c>
      <c r="FJ3882" t="s">
        <v>59</v>
      </c>
    </row>
    <row r="3883" spans="153:166" x14ac:dyDescent="0.35">
      <c r="EW3883" t="s">
        <v>4093</v>
      </c>
      <c r="EX3883" s="33" t="s">
        <v>4783</v>
      </c>
      <c r="EY3883" s="35" t="s">
        <v>2323</v>
      </c>
      <c r="EZ3883" s="36" t="s">
        <v>2324</v>
      </c>
      <c r="FA3883" s="36" t="s">
        <v>1192</v>
      </c>
      <c r="FB3883" s="36" t="s">
        <v>344</v>
      </c>
      <c r="FC3883" s="36" t="s">
        <v>1192</v>
      </c>
      <c r="FD3883" s="36" t="s">
        <v>344</v>
      </c>
      <c r="FE3883" s="36">
        <v>2026</v>
      </c>
      <c r="FF3883" s="36" t="s">
        <v>59</v>
      </c>
      <c r="FG3883" s="36" t="s">
        <v>1584</v>
      </c>
      <c r="FJ3883" t="s">
        <v>59</v>
      </c>
    </row>
    <row r="3884" spans="153:166" x14ac:dyDescent="0.35">
      <c r="EW3884" t="s">
        <v>4093</v>
      </c>
      <c r="EX3884" s="33" t="s">
        <v>4784</v>
      </c>
      <c r="EY3884" s="35" t="s">
        <v>2325</v>
      </c>
      <c r="EZ3884" s="36" t="s">
        <v>2326</v>
      </c>
      <c r="FA3884" s="36" t="s">
        <v>1192</v>
      </c>
      <c r="FB3884" s="36" t="s">
        <v>344</v>
      </c>
      <c r="FC3884" s="36" t="s">
        <v>1192</v>
      </c>
      <c r="FD3884" s="36" t="s">
        <v>344</v>
      </c>
      <c r="FE3884" s="36">
        <v>2026</v>
      </c>
      <c r="FF3884" s="36" t="s">
        <v>59</v>
      </c>
      <c r="FG3884" s="36" t="s">
        <v>1584</v>
      </c>
      <c r="FJ3884" t="s">
        <v>59</v>
      </c>
    </row>
    <row r="3885" spans="153:166" x14ac:dyDescent="0.35">
      <c r="EW3885" t="s">
        <v>4093</v>
      </c>
      <c r="EX3885" s="33" t="s">
        <v>4785</v>
      </c>
      <c r="EY3885" s="35" t="s">
        <v>2327</v>
      </c>
      <c r="EZ3885" s="36" t="s">
        <v>2328</v>
      </c>
      <c r="FA3885" s="36" t="s">
        <v>1192</v>
      </c>
      <c r="FB3885" s="36" t="s">
        <v>344</v>
      </c>
      <c r="FC3885" s="36" t="s">
        <v>1192</v>
      </c>
      <c r="FD3885" s="36" t="s">
        <v>344</v>
      </c>
      <c r="FE3885" s="36">
        <v>2026</v>
      </c>
      <c r="FF3885" s="36" t="s">
        <v>59</v>
      </c>
      <c r="FG3885" s="36" t="s">
        <v>1584</v>
      </c>
      <c r="FJ3885" t="s">
        <v>59</v>
      </c>
    </row>
    <row r="3886" spans="153:166" x14ac:dyDescent="0.35">
      <c r="EW3886" t="s">
        <v>4093</v>
      </c>
      <c r="EX3886" s="33" t="s">
        <v>4786</v>
      </c>
      <c r="EY3886" s="35" t="s">
        <v>2329</v>
      </c>
      <c r="EZ3886" s="36" t="s">
        <v>2330</v>
      </c>
      <c r="FA3886" s="36" t="s">
        <v>1192</v>
      </c>
      <c r="FB3886" s="36" t="s">
        <v>344</v>
      </c>
      <c r="FC3886" s="36" t="s">
        <v>1192</v>
      </c>
      <c r="FD3886" s="36" t="s">
        <v>344</v>
      </c>
      <c r="FE3886" s="36">
        <v>2026</v>
      </c>
      <c r="FF3886" s="36" t="s">
        <v>59</v>
      </c>
      <c r="FG3886" s="36" t="s">
        <v>1584</v>
      </c>
      <c r="FJ3886" t="s">
        <v>59</v>
      </c>
    </row>
    <row r="3887" spans="153:166" x14ac:dyDescent="0.35">
      <c r="EW3887" t="s">
        <v>4093</v>
      </c>
      <c r="EX3887" s="33" t="s">
        <v>4787</v>
      </c>
      <c r="EY3887" s="35" t="s">
        <v>2331</v>
      </c>
      <c r="EZ3887" s="36" t="s">
        <v>2332</v>
      </c>
      <c r="FA3887" s="36" t="s">
        <v>1192</v>
      </c>
      <c r="FB3887" s="36" t="s">
        <v>344</v>
      </c>
      <c r="FC3887" s="36" t="s">
        <v>1192</v>
      </c>
      <c r="FD3887" s="36" t="s">
        <v>344</v>
      </c>
      <c r="FE3887" s="36">
        <v>2026</v>
      </c>
      <c r="FF3887" s="36" t="s">
        <v>59</v>
      </c>
      <c r="FG3887" s="36" t="s">
        <v>1584</v>
      </c>
      <c r="FJ3887" t="s">
        <v>59</v>
      </c>
    </row>
    <row r="3888" spans="153:166" x14ac:dyDescent="0.35">
      <c r="EW3888" t="s">
        <v>4093</v>
      </c>
      <c r="EX3888" s="33" t="s">
        <v>4788</v>
      </c>
      <c r="EY3888" s="35" t="s">
        <v>2333</v>
      </c>
      <c r="EZ3888" s="36" t="s">
        <v>2334</v>
      </c>
      <c r="FA3888" s="36" t="s">
        <v>1192</v>
      </c>
      <c r="FB3888" s="36" t="s">
        <v>344</v>
      </c>
      <c r="FC3888" s="36" t="s">
        <v>1192</v>
      </c>
      <c r="FD3888" s="36" t="s">
        <v>344</v>
      </c>
      <c r="FE3888" s="36">
        <v>2026</v>
      </c>
      <c r="FF3888" s="36" t="s">
        <v>59</v>
      </c>
      <c r="FG3888" s="36" t="s">
        <v>1584</v>
      </c>
      <c r="FJ3888" t="s">
        <v>59</v>
      </c>
    </row>
    <row r="3889" spans="153:166" x14ac:dyDescent="0.35">
      <c r="EW3889" t="s">
        <v>2337</v>
      </c>
    </row>
    <row r="3890" spans="153:166" x14ac:dyDescent="0.35">
      <c r="EW3890" t="s">
        <v>4093</v>
      </c>
      <c r="EX3890" s="33" t="s">
        <v>4789</v>
      </c>
      <c r="EY3890" s="33" t="s">
        <v>49</v>
      </c>
      <c r="EZ3890" s="33" t="s">
        <v>50</v>
      </c>
      <c r="FA3890" s="33" t="s">
        <v>51</v>
      </c>
      <c r="FB3890" s="33" t="s">
        <v>52</v>
      </c>
      <c r="FC3890" s="33" t="s">
        <v>53</v>
      </c>
      <c r="FD3890" s="33" t="s">
        <v>54</v>
      </c>
      <c r="FE3890" s="33">
        <v>2019</v>
      </c>
      <c r="FF3890" s="33" t="s">
        <v>55</v>
      </c>
      <c r="FG3890" s="33" t="s">
        <v>56</v>
      </c>
      <c r="FH3890" s="33" t="s">
        <v>57</v>
      </c>
      <c r="FI3890" s="33" t="s">
        <v>58</v>
      </c>
      <c r="FJ3890" t="s">
        <v>59</v>
      </c>
    </row>
    <row r="3891" spans="153:166" x14ac:dyDescent="0.35">
      <c r="EW3891" t="s">
        <v>4093</v>
      </c>
      <c r="EX3891" s="33" t="s">
        <v>4790</v>
      </c>
      <c r="EY3891" s="33" t="s">
        <v>60</v>
      </c>
      <c r="EZ3891" s="33" t="s">
        <v>61</v>
      </c>
      <c r="FA3891" s="33" t="s">
        <v>51</v>
      </c>
      <c r="FB3891" s="33" t="s">
        <v>52</v>
      </c>
      <c r="FC3891" s="33" t="s">
        <v>53</v>
      </c>
      <c r="FD3891" s="33" t="s">
        <v>54</v>
      </c>
      <c r="FE3891" s="33">
        <v>2019</v>
      </c>
      <c r="FF3891" s="33" t="s">
        <v>55</v>
      </c>
      <c r="FG3891" s="33" t="s">
        <v>56</v>
      </c>
      <c r="FH3891" s="33" t="s">
        <v>57</v>
      </c>
      <c r="FI3891" s="33" t="s">
        <v>58</v>
      </c>
      <c r="FJ3891" t="s">
        <v>59</v>
      </c>
    </row>
    <row r="3892" spans="153:166" x14ac:dyDescent="0.35">
      <c r="EW3892" t="s">
        <v>4093</v>
      </c>
      <c r="EX3892" s="33" t="s">
        <v>4791</v>
      </c>
      <c r="EY3892" s="33" t="s">
        <v>62</v>
      </c>
      <c r="EZ3892" s="33" t="s">
        <v>63</v>
      </c>
      <c r="FA3892" s="33" t="s">
        <v>51</v>
      </c>
      <c r="FB3892" s="33" t="s">
        <v>52</v>
      </c>
      <c r="FC3892" s="33" t="s">
        <v>53</v>
      </c>
      <c r="FD3892" s="33" t="s">
        <v>54</v>
      </c>
      <c r="FE3892" s="33">
        <v>2019</v>
      </c>
      <c r="FF3892" s="33" t="s">
        <v>55</v>
      </c>
      <c r="FG3892" s="33" t="s">
        <v>56</v>
      </c>
      <c r="FH3892" s="33" t="s">
        <v>57</v>
      </c>
      <c r="FI3892" s="33" t="s">
        <v>58</v>
      </c>
      <c r="FJ3892" t="s">
        <v>59</v>
      </c>
    </row>
    <row r="3893" spans="153:166" x14ac:dyDescent="0.35">
      <c r="EW3893" t="s">
        <v>4093</v>
      </c>
      <c r="EX3893" s="33" t="s">
        <v>4792</v>
      </c>
      <c r="EY3893" s="33" t="s">
        <v>64</v>
      </c>
      <c r="EZ3893" s="33" t="s">
        <v>65</v>
      </c>
      <c r="FA3893" s="33" t="s">
        <v>51</v>
      </c>
      <c r="FB3893" s="33" t="s">
        <v>52</v>
      </c>
      <c r="FC3893" s="33" t="s">
        <v>53</v>
      </c>
      <c r="FD3893" s="33" t="s">
        <v>54</v>
      </c>
      <c r="FE3893" s="33">
        <v>2019</v>
      </c>
      <c r="FF3893" s="33" t="s">
        <v>55</v>
      </c>
      <c r="FG3893" s="33" t="s">
        <v>56</v>
      </c>
      <c r="FH3893" s="33" t="s">
        <v>57</v>
      </c>
      <c r="FI3893" s="33" t="s">
        <v>58</v>
      </c>
      <c r="FJ3893" t="s">
        <v>59</v>
      </c>
    </row>
    <row r="3894" spans="153:166" x14ac:dyDescent="0.35">
      <c r="EW3894" t="s">
        <v>4093</v>
      </c>
      <c r="EX3894" s="33" t="s">
        <v>4793</v>
      </c>
      <c r="EY3894" s="33" t="s">
        <v>69</v>
      </c>
      <c r="EZ3894" s="33" t="s">
        <v>70</v>
      </c>
      <c r="FA3894" s="33" t="s">
        <v>51</v>
      </c>
      <c r="FB3894" s="33" t="s">
        <v>52</v>
      </c>
      <c r="FC3894" s="33" t="s">
        <v>53</v>
      </c>
      <c r="FD3894" s="33" t="s">
        <v>54</v>
      </c>
      <c r="FE3894" s="33">
        <v>2019</v>
      </c>
      <c r="FF3894" s="33" t="s">
        <v>55</v>
      </c>
      <c r="FG3894" s="33" t="s">
        <v>71</v>
      </c>
      <c r="FH3894" s="33" t="s">
        <v>72</v>
      </c>
      <c r="FI3894" s="33" t="s">
        <v>73</v>
      </c>
      <c r="FJ3894" t="s">
        <v>59</v>
      </c>
    </row>
    <row r="3895" spans="153:166" x14ac:dyDescent="0.35">
      <c r="EW3895" t="s">
        <v>4093</v>
      </c>
      <c r="EX3895" s="33" t="s">
        <v>4794</v>
      </c>
      <c r="EY3895" s="33" t="s">
        <v>74</v>
      </c>
      <c r="EZ3895" s="33" t="s">
        <v>75</v>
      </c>
      <c r="FA3895" s="33" t="s">
        <v>51</v>
      </c>
      <c r="FB3895" s="33" t="s">
        <v>52</v>
      </c>
      <c r="FC3895" s="33" t="s">
        <v>53</v>
      </c>
      <c r="FD3895" s="33" t="s">
        <v>54</v>
      </c>
      <c r="FE3895" s="33">
        <v>2019</v>
      </c>
      <c r="FF3895" s="33" t="s">
        <v>55</v>
      </c>
      <c r="FG3895" s="33" t="s">
        <v>71</v>
      </c>
      <c r="FH3895" s="33" t="s">
        <v>72</v>
      </c>
      <c r="FI3895" s="33" t="s">
        <v>73</v>
      </c>
      <c r="FJ3895" t="s">
        <v>59</v>
      </c>
    </row>
    <row r="3896" spans="153:166" x14ac:dyDescent="0.35">
      <c r="EW3896" t="s">
        <v>4093</v>
      </c>
      <c r="EX3896" s="33" t="s">
        <v>4795</v>
      </c>
      <c r="EY3896" s="33" t="s">
        <v>76</v>
      </c>
      <c r="EZ3896" s="33" t="s">
        <v>77</v>
      </c>
      <c r="FA3896" s="33" t="s">
        <v>51</v>
      </c>
      <c r="FB3896" s="33" t="s">
        <v>52</v>
      </c>
      <c r="FC3896" s="33" t="s">
        <v>53</v>
      </c>
      <c r="FD3896" s="33" t="s">
        <v>54</v>
      </c>
      <c r="FE3896" s="33">
        <v>2019</v>
      </c>
      <c r="FF3896" s="33" t="s">
        <v>55</v>
      </c>
      <c r="FG3896" s="33" t="s">
        <v>71</v>
      </c>
      <c r="FH3896" s="33" t="s">
        <v>72</v>
      </c>
      <c r="FI3896" s="33" t="s">
        <v>73</v>
      </c>
      <c r="FJ3896" t="s">
        <v>59</v>
      </c>
    </row>
    <row r="3897" spans="153:166" x14ac:dyDescent="0.35">
      <c r="EW3897" t="s">
        <v>4093</v>
      </c>
      <c r="EX3897" s="33" t="s">
        <v>4796</v>
      </c>
      <c r="EY3897" s="33" t="s">
        <v>78</v>
      </c>
      <c r="EZ3897" s="33" t="s">
        <v>79</v>
      </c>
      <c r="FA3897" s="33" t="s">
        <v>51</v>
      </c>
      <c r="FB3897" s="33" t="s">
        <v>52</v>
      </c>
      <c r="FC3897" s="33" t="s">
        <v>53</v>
      </c>
      <c r="FD3897" s="33" t="s">
        <v>54</v>
      </c>
      <c r="FE3897" s="33">
        <v>2019</v>
      </c>
      <c r="FF3897" s="33" t="s">
        <v>55</v>
      </c>
      <c r="FG3897" s="33" t="s">
        <v>56</v>
      </c>
      <c r="FH3897" s="33" t="s">
        <v>57</v>
      </c>
      <c r="FI3897" s="33" t="s">
        <v>58</v>
      </c>
      <c r="FJ3897" t="s">
        <v>59</v>
      </c>
    </row>
    <row r="3898" spans="153:166" x14ac:dyDescent="0.35">
      <c r="EW3898" t="s">
        <v>4093</v>
      </c>
      <c r="EX3898" s="33" t="s">
        <v>4797</v>
      </c>
      <c r="EY3898" s="33" t="s">
        <v>80</v>
      </c>
      <c r="EZ3898" s="33" t="s">
        <v>81</v>
      </c>
      <c r="FA3898" s="33" t="s">
        <v>51</v>
      </c>
      <c r="FB3898" s="33" t="s">
        <v>52</v>
      </c>
      <c r="FC3898" s="33" t="s">
        <v>53</v>
      </c>
      <c r="FD3898" s="33" t="s">
        <v>54</v>
      </c>
      <c r="FE3898" s="33">
        <v>2019</v>
      </c>
      <c r="FF3898" s="33" t="s">
        <v>55</v>
      </c>
      <c r="FG3898" s="33" t="s">
        <v>56</v>
      </c>
      <c r="FH3898" s="33" t="s">
        <v>57</v>
      </c>
      <c r="FI3898" s="33" t="s">
        <v>58</v>
      </c>
      <c r="FJ3898" t="s">
        <v>59</v>
      </c>
    </row>
    <row r="3899" spans="153:166" x14ac:dyDescent="0.35">
      <c r="EW3899" t="s">
        <v>4093</v>
      </c>
      <c r="EX3899" s="33" t="s">
        <v>4798</v>
      </c>
      <c r="EY3899" s="33" t="s">
        <v>82</v>
      </c>
      <c r="EZ3899" s="33" t="s">
        <v>83</v>
      </c>
      <c r="FA3899" s="33" t="s">
        <v>51</v>
      </c>
      <c r="FB3899" s="33" t="s">
        <v>52</v>
      </c>
      <c r="FC3899" s="33" t="s">
        <v>53</v>
      </c>
      <c r="FD3899" s="33" t="s">
        <v>54</v>
      </c>
      <c r="FE3899" s="33">
        <v>2019</v>
      </c>
      <c r="FF3899" s="33" t="s">
        <v>55</v>
      </c>
      <c r="FG3899" s="33" t="s">
        <v>56</v>
      </c>
      <c r="FH3899" s="33" t="s">
        <v>57</v>
      </c>
      <c r="FI3899" s="33" t="s">
        <v>58</v>
      </c>
      <c r="FJ3899" t="s">
        <v>59</v>
      </c>
    </row>
    <row r="3900" spans="153:166" x14ac:dyDescent="0.35">
      <c r="EW3900" t="s">
        <v>4093</v>
      </c>
      <c r="EX3900" s="33" t="s">
        <v>4799</v>
      </c>
      <c r="EY3900" s="33" t="s">
        <v>84</v>
      </c>
      <c r="EZ3900" s="33" t="s">
        <v>85</v>
      </c>
      <c r="FA3900" s="33" t="s">
        <v>51</v>
      </c>
      <c r="FB3900" s="33" t="s">
        <v>52</v>
      </c>
      <c r="FC3900" s="33" t="s">
        <v>53</v>
      </c>
      <c r="FD3900" s="33" t="s">
        <v>54</v>
      </c>
      <c r="FE3900" s="33">
        <v>2019</v>
      </c>
      <c r="FF3900" s="33" t="s">
        <v>55</v>
      </c>
      <c r="FG3900" s="33" t="s">
        <v>56</v>
      </c>
      <c r="FH3900" s="33" t="s">
        <v>57</v>
      </c>
      <c r="FI3900" s="33" t="s">
        <v>58</v>
      </c>
      <c r="FJ3900" t="s">
        <v>59</v>
      </c>
    </row>
    <row r="3901" spans="153:166" x14ac:dyDescent="0.35">
      <c r="EW3901" t="s">
        <v>4093</v>
      </c>
      <c r="EX3901" s="33" t="s">
        <v>4800</v>
      </c>
      <c r="EY3901" s="33" t="s">
        <v>86</v>
      </c>
      <c r="EZ3901" s="33" t="s">
        <v>87</v>
      </c>
      <c r="FA3901" s="33" t="s">
        <v>51</v>
      </c>
      <c r="FB3901" s="33" t="s">
        <v>52</v>
      </c>
      <c r="FC3901" s="33" t="s">
        <v>53</v>
      </c>
      <c r="FD3901" s="33" t="s">
        <v>54</v>
      </c>
      <c r="FE3901" s="33">
        <v>2019</v>
      </c>
      <c r="FF3901" s="33" t="s">
        <v>55</v>
      </c>
      <c r="FG3901" s="33" t="s">
        <v>56</v>
      </c>
      <c r="FH3901" s="33" t="s">
        <v>57</v>
      </c>
      <c r="FI3901" s="33" t="s">
        <v>58</v>
      </c>
      <c r="FJ3901" t="s">
        <v>59</v>
      </c>
    </row>
    <row r="3902" spans="153:166" x14ac:dyDescent="0.35">
      <c r="EW3902" t="s">
        <v>4093</v>
      </c>
      <c r="EX3902" s="33" t="s">
        <v>4801</v>
      </c>
      <c r="EY3902" s="33" t="s">
        <v>91</v>
      </c>
      <c r="EZ3902" s="33" t="s">
        <v>92</v>
      </c>
      <c r="FA3902" s="33" t="s">
        <v>51</v>
      </c>
      <c r="FB3902" s="33" t="s">
        <v>52</v>
      </c>
      <c r="FC3902" s="33" t="s">
        <v>53</v>
      </c>
      <c r="FD3902" s="33" t="s">
        <v>54</v>
      </c>
      <c r="FE3902" s="33">
        <v>2019</v>
      </c>
      <c r="FF3902" s="33" t="s">
        <v>55</v>
      </c>
      <c r="FG3902" s="33" t="s">
        <v>71</v>
      </c>
      <c r="FH3902" s="33" t="s">
        <v>72</v>
      </c>
      <c r="FI3902" s="33" t="s">
        <v>73</v>
      </c>
      <c r="FJ3902" t="s">
        <v>59</v>
      </c>
    </row>
    <row r="3903" spans="153:166" x14ac:dyDescent="0.35">
      <c r="EW3903" t="s">
        <v>4093</v>
      </c>
      <c r="EX3903" s="33" t="s">
        <v>4802</v>
      </c>
      <c r="EY3903" s="33" t="s">
        <v>93</v>
      </c>
      <c r="EZ3903" s="33" t="s">
        <v>94</v>
      </c>
      <c r="FA3903" s="33" t="s">
        <v>51</v>
      </c>
      <c r="FB3903" s="33" t="s">
        <v>52</v>
      </c>
      <c r="FC3903" s="33" t="s">
        <v>53</v>
      </c>
      <c r="FD3903" s="33" t="s">
        <v>54</v>
      </c>
      <c r="FE3903" s="33">
        <v>2019</v>
      </c>
      <c r="FF3903" s="33" t="s">
        <v>55</v>
      </c>
      <c r="FG3903" s="33" t="s">
        <v>56</v>
      </c>
      <c r="FH3903" s="33" t="s">
        <v>57</v>
      </c>
      <c r="FI3903" s="33" t="s">
        <v>58</v>
      </c>
      <c r="FJ3903" t="s">
        <v>59</v>
      </c>
    </row>
    <row r="3904" spans="153:166" x14ac:dyDescent="0.35">
      <c r="EW3904" t="s">
        <v>4093</v>
      </c>
      <c r="EX3904" s="33" t="s">
        <v>4803</v>
      </c>
      <c r="EY3904" s="33" t="s">
        <v>95</v>
      </c>
      <c r="EZ3904" s="33" t="s">
        <v>96</v>
      </c>
      <c r="FA3904" s="33" t="s">
        <v>51</v>
      </c>
      <c r="FB3904" s="33" t="s">
        <v>52</v>
      </c>
      <c r="FC3904" s="33" t="s">
        <v>53</v>
      </c>
      <c r="FD3904" s="33" t="s">
        <v>54</v>
      </c>
      <c r="FE3904" s="33">
        <v>2019</v>
      </c>
      <c r="FF3904" s="33" t="s">
        <v>55</v>
      </c>
      <c r="FG3904" s="33" t="s">
        <v>56</v>
      </c>
      <c r="FH3904" s="33" t="s">
        <v>57</v>
      </c>
      <c r="FI3904" s="33" t="s">
        <v>58</v>
      </c>
      <c r="FJ3904" t="s">
        <v>59</v>
      </c>
    </row>
    <row r="3905" spans="153:166" x14ac:dyDescent="0.35">
      <c r="EW3905" t="s">
        <v>4093</v>
      </c>
      <c r="EX3905" s="33" t="s">
        <v>4804</v>
      </c>
      <c r="EY3905" s="33" t="s">
        <v>97</v>
      </c>
      <c r="EZ3905" s="33" t="s">
        <v>98</v>
      </c>
      <c r="FA3905" s="33" t="s">
        <v>51</v>
      </c>
      <c r="FB3905" s="33" t="s">
        <v>52</v>
      </c>
      <c r="FC3905" s="33" t="s">
        <v>53</v>
      </c>
      <c r="FD3905" s="33" t="s">
        <v>54</v>
      </c>
      <c r="FE3905" s="33">
        <v>2019</v>
      </c>
      <c r="FF3905" s="33" t="s">
        <v>55</v>
      </c>
      <c r="FG3905" s="33" t="s">
        <v>56</v>
      </c>
      <c r="FH3905" s="33" t="s">
        <v>57</v>
      </c>
      <c r="FI3905" s="33" t="s">
        <v>58</v>
      </c>
      <c r="FJ3905" t="s">
        <v>59</v>
      </c>
    </row>
    <row r="3906" spans="153:166" x14ac:dyDescent="0.35">
      <c r="EW3906" t="s">
        <v>4093</v>
      </c>
      <c r="EX3906" s="33" t="s">
        <v>4805</v>
      </c>
      <c r="EY3906" s="33" t="s">
        <v>99</v>
      </c>
      <c r="EZ3906" s="33" t="s">
        <v>100</v>
      </c>
      <c r="FA3906" s="33" t="s">
        <v>51</v>
      </c>
      <c r="FB3906" s="33" t="s">
        <v>52</v>
      </c>
      <c r="FC3906" s="33" t="s">
        <v>53</v>
      </c>
      <c r="FD3906" s="33" t="s">
        <v>54</v>
      </c>
      <c r="FE3906" s="33">
        <v>2019</v>
      </c>
      <c r="FF3906" s="33" t="s">
        <v>55</v>
      </c>
      <c r="FG3906" s="33" t="s">
        <v>56</v>
      </c>
      <c r="FH3906" s="33" t="s">
        <v>57</v>
      </c>
      <c r="FI3906" s="33" t="s">
        <v>58</v>
      </c>
      <c r="FJ3906" t="s">
        <v>59</v>
      </c>
    </row>
    <row r="3907" spans="153:166" x14ac:dyDescent="0.35">
      <c r="EW3907" t="s">
        <v>4093</v>
      </c>
      <c r="EX3907" s="33" t="s">
        <v>4806</v>
      </c>
      <c r="EY3907" s="33" t="s">
        <v>101</v>
      </c>
      <c r="EZ3907" s="33" t="s">
        <v>102</v>
      </c>
      <c r="FA3907" s="33" t="s">
        <v>51</v>
      </c>
      <c r="FB3907" s="33" t="s">
        <v>52</v>
      </c>
      <c r="FC3907" s="33" t="s">
        <v>53</v>
      </c>
      <c r="FD3907" s="33" t="s">
        <v>54</v>
      </c>
      <c r="FE3907" s="33">
        <v>2019</v>
      </c>
      <c r="FF3907" s="33" t="s">
        <v>55</v>
      </c>
      <c r="FG3907" s="33" t="s">
        <v>56</v>
      </c>
      <c r="FH3907" s="33" t="s">
        <v>57</v>
      </c>
      <c r="FI3907" s="33" t="s">
        <v>58</v>
      </c>
      <c r="FJ3907" t="s">
        <v>59</v>
      </c>
    </row>
    <row r="3908" spans="153:166" x14ac:dyDescent="0.35">
      <c r="EW3908" t="s">
        <v>4093</v>
      </c>
      <c r="EX3908" s="33" t="s">
        <v>4807</v>
      </c>
      <c r="EY3908" s="33" t="s">
        <v>103</v>
      </c>
      <c r="EZ3908" s="33" t="s">
        <v>104</v>
      </c>
      <c r="FA3908" s="33" t="s">
        <v>51</v>
      </c>
      <c r="FB3908" s="33" t="s">
        <v>52</v>
      </c>
      <c r="FC3908" s="33" t="s">
        <v>53</v>
      </c>
      <c r="FD3908" s="33" t="s">
        <v>54</v>
      </c>
      <c r="FE3908" s="33">
        <v>2019</v>
      </c>
      <c r="FF3908" s="33" t="s">
        <v>55</v>
      </c>
      <c r="FG3908" s="33" t="s">
        <v>56</v>
      </c>
      <c r="FH3908" s="33" t="s">
        <v>57</v>
      </c>
      <c r="FI3908" s="33" t="s">
        <v>58</v>
      </c>
      <c r="FJ3908" t="s">
        <v>59</v>
      </c>
    </row>
    <row r="3909" spans="153:166" x14ac:dyDescent="0.35">
      <c r="EW3909" t="s">
        <v>4093</v>
      </c>
      <c r="EX3909" s="33" t="s">
        <v>4808</v>
      </c>
      <c r="EY3909" s="33" t="s">
        <v>105</v>
      </c>
      <c r="EZ3909" s="33" t="s">
        <v>106</v>
      </c>
      <c r="FA3909" s="33" t="s">
        <v>51</v>
      </c>
      <c r="FB3909" s="33" t="s">
        <v>52</v>
      </c>
      <c r="FC3909" s="33" t="s">
        <v>53</v>
      </c>
      <c r="FD3909" s="33" t="s">
        <v>54</v>
      </c>
      <c r="FE3909" s="33">
        <v>2019</v>
      </c>
      <c r="FF3909" s="33" t="s">
        <v>55</v>
      </c>
      <c r="FG3909" s="33" t="s">
        <v>56</v>
      </c>
      <c r="FH3909" s="33" t="s">
        <v>57</v>
      </c>
      <c r="FI3909" s="33" t="s">
        <v>58</v>
      </c>
      <c r="FJ3909" t="s">
        <v>59</v>
      </c>
    </row>
    <row r="3910" spans="153:166" x14ac:dyDescent="0.35">
      <c r="EW3910" t="s">
        <v>4093</v>
      </c>
      <c r="EX3910" s="33" t="s">
        <v>4809</v>
      </c>
      <c r="EY3910" s="33" t="s">
        <v>110</v>
      </c>
      <c r="EZ3910" s="33" t="s">
        <v>111</v>
      </c>
      <c r="FA3910" s="33" t="s">
        <v>51</v>
      </c>
      <c r="FB3910" s="33" t="s">
        <v>52</v>
      </c>
      <c r="FC3910" s="33" t="s">
        <v>53</v>
      </c>
      <c r="FD3910" s="33" t="s">
        <v>54</v>
      </c>
      <c r="FE3910" s="33">
        <v>2019</v>
      </c>
      <c r="FF3910" s="33" t="s">
        <v>55</v>
      </c>
      <c r="FG3910" s="33" t="s">
        <v>56</v>
      </c>
      <c r="FH3910" s="33" t="s">
        <v>57</v>
      </c>
      <c r="FI3910" s="33" t="s">
        <v>58</v>
      </c>
      <c r="FJ3910" t="s">
        <v>59</v>
      </c>
    </row>
    <row r="3911" spans="153:166" x14ac:dyDescent="0.35">
      <c r="EW3911" t="s">
        <v>4093</v>
      </c>
      <c r="EX3911" s="33" t="s">
        <v>4810</v>
      </c>
      <c r="EY3911" s="33" t="s">
        <v>112</v>
      </c>
      <c r="EZ3911" s="33" t="s">
        <v>113</v>
      </c>
      <c r="FA3911" s="33" t="s">
        <v>51</v>
      </c>
      <c r="FB3911" s="33" t="s">
        <v>52</v>
      </c>
      <c r="FC3911" s="33" t="s">
        <v>53</v>
      </c>
      <c r="FD3911" s="33" t="s">
        <v>54</v>
      </c>
      <c r="FE3911" s="33">
        <v>2019</v>
      </c>
      <c r="FF3911" s="33" t="s">
        <v>55</v>
      </c>
      <c r="FG3911" s="33" t="s">
        <v>56</v>
      </c>
      <c r="FH3911" s="33" t="s">
        <v>57</v>
      </c>
      <c r="FI3911" s="33" t="s">
        <v>58</v>
      </c>
      <c r="FJ3911" t="s">
        <v>59</v>
      </c>
    </row>
    <row r="3912" spans="153:166" x14ac:dyDescent="0.35">
      <c r="EW3912" t="s">
        <v>4093</v>
      </c>
      <c r="EX3912" s="33" t="s">
        <v>4811</v>
      </c>
      <c r="EY3912" s="33" t="s">
        <v>114</v>
      </c>
      <c r="EZ3912" s="33" t="s">
        <v>115</v>
      </c>
      <c r="FA3912" s="33" t="s">
        <v>51</v>
      </c>
      <c r="FB3912" s="33" t="s">
        <v>52</v>
      </c>
      <c r="FC3912" s="33" t="s">
        <v>53</v>
      </c>
      <c r="FD3912" s="33" t="s">
        <v>54</v>
      </c>
      <c r="FE3912" s="33">
        <v>2019</v>
      </c>
      <c r="FF3912" s="33" t="s">
        <v>55</v>
      </c>
      <c r="FG3912" s="33" t="s">
        <v>56</v>
      </c>
      <c r="FH3912" s="33" t="s">
        <v>57</v>
      </c>
      <c r="FI3912" s="33" t="s">
        <v>58</v>
      </c>
      <c r="FJ3912" t="s">
        <v>59</v>
      </c>
    </row>
    <row r="3913" spans="153:166" x14ac:dyDescent="0.35">
      <c r="EW3913" t="s">
        <v>4093</v>
      </c>
      <c r="EX3913" s="33" t="s">
        <v>4812</v>
      </c>
      <c r="EY3913" s="33" t="s">
        <v>116</v>
      </c>
      <c r="EZ3913" s="33" t="s">
        <v>117</v>
      </c>
      <c r="FA3913" s="33" t="s">
        <v>51</v>
      </c>
      <c r="FB3913" s="33" t="s">
        <v>52</v>
      </c>
      <c r="FC3913" s="33" t="s">
        <v>53</v>
      </c>
      <c r="FD3913" s="33" t="s">
        <v>54</v>
      </c>
      <c r="FE3913" s="33">
        <v>2019</v>
      </c>
      <c r="FF3913" s="33" t="s">
        <v>55</v>
      </c>
      <c r="FG3913" s="33" t="s">
        <v>56</v>
      </c>
      <c r="FH3913" s="33" t="s">
        <v>57</v>
      </c>
      <c r="FI3913" s="33" t="s">
        <v>58</v>
      </c>
      <c r="FJ3913" t="s">
        <v>59</v>
      </c>
    </row>
    <row r="3914" spans="153:166" x14ac:dyDescent="0.35">
      <c r="EW3914" t="s">
        <v>4093</v>
      </c>
      <c r="EX3914" s="33" t="s">
        <v>4813</v>
      </c>
      <c r="EY3914" s="33" t="s">
        <v>118</v>
      </c>
      <c r="EZ3914" s="33" t="s">
        <v>119</v>
      </c>
      <c r="FA3914" s="33" t="s">
        <v>51</v>
      </c>
      <c r="FB3914" s="33" t="s">
        <v>52</v>
      </c>
      <c r="FC3914" s="33" t="s">
        <v>53</v>
      </c>
      <c r="FD3914" s="33" t="s">
        <v>54</v>
      </c>
      <c r="FE3914" s="33">
        <v>2019</v>
      </c>
      <c r="FF3914" s="33" t="s">
        <v>55</v>
      </c>
      <c r="FG3914" s="33" t="s">
        <v>56</v>
      </c>
      <c r="FH3914" s="33" t="s">
        <v>57</v>
      </c>
      <c r="FI3914" s="33" t="s">
        <v>58</v>
      </c>
      <c r="FJ3914" t="s">
        <v>59</v>
      </c>
    </row>
    <row r="3915" spans="153:166" x14ac:dyDescent="0.35">
      <c r="EW3915" t="s">
        <v>4093</v>
      </c>
      <c r="EX3915" s="33" t="s">
        <v>4814</v>
      </c>
      <c r="EY3915" s="33" t="s">
        <v>123</v>
      </c>
      <c r="EZ3915" s="33" t="s">
        <v>124</v>
      </c>
      <c r="FA3915" s="33" t="s">
        <v>51</v>
      </c>
      <c r="FB3915" s="33" t="s">
        <v>52</v>
      </c>
      <c r="FC3915" s="33" t="s">
        <v>53</v>
      </c>
      <c r="FD3915" s="33" t="s">
        <v>54</v>
      </c>
      <c r="FE3915" s="33">
        <v>2019</v>
      </c>
      <c r="FF3915" s="33" t="s">
        <v>55</v>
      </c>
      <c r="FG3915" s="33" t="s">
        <v>56</v>
      </c>
      <c r="FH3915" s="33" t="s">
        <v>57</v>
      </c>
      <c r="FI3915" s="33" t="s">
        <v>58</v>
      </c>
      <c r="FJ3915" t="s">
        <v>59</v>
      </c>
    </row>
    <row r="3916" spans="153:166" x14ac:dyDescent="0.35">
      <c r="EW3916" t="s">
        <v>4093</v>
      </c>
      <c r="EX3916" s="33" t="s">
        <v>4815</v>
      </c>
      <c r="EY3916" s="33" t="s">
        <v>125</v>
      </c>
      <c r="EZ3916" s="33" t="s">
        <v>126</v>
      </c>
      <c r="FA3916" s="33" t="s">
        <v>51</v>
      </c>
      <c r="FB3916" s="33" t="s">
        <v>52</v>
      </c>
      <c r="FC3916" s="33" t="s">
        <v>53</v>
      </c>
      <c r="FD3916" s="33" t="s">
        <v>54</v>
      </c>
      <c r="FE3916" s="33">
        <v>2019</v>
      </c>
      <c r="FF3916" s="33" t="s">
        <v>55</v>
      </c>
      <c r="FG3916" s="33" t="s">
        <v>56</v>
      </c>
      <c r="FH3916" s="33" t="s">
        <v>57</v>
      </c>
      <c r="FI3916" s="33" t="s">
        <v>58</v>
      </c>
      <c r="FJ3916" t="s">
        <v>59</v>
      </c>
    </row>
    <row r="3917" spans="153:166" x14ac:dyDescent="0.35">
      <c r="EW3917" t="s">
        <v>4093</v>
      </c>
      <c r="EX3917" s="33" t="s">
        <v>4816</v>
      </c>
      <c r="EY3917" s="33" t="s">
        <v>127</v>
      </c>
      <c r="EZ3917" s="33" t="s">
        <v>128</v>
      </c>
      <c r="FA3917" s="33" t="s">
        <v>51</v>
      </c>
      <c r="FB3917" s="33" t="s">
        <v>52</v>
      </c>
      <c r="FC3917" s="33" t="s">
        <v>53</v>
      </c>
      <c r="FD3917" s="33" t="s">
        <v>54</v>
      </c>
      <c r="FE3917" s="33">
        <v>2019</v>
      </c>
      <c r="FF3917" s="33" t="s">
        <v>55</v>
      </c>
      <c r="FG3917" s="33" t="s">
        <v>56</v>
      </c>
      <c r="FH3917" s="33" t="s">
        <v>57</v>
      </c>
      <c r="FI3917" s="33" t="s">
        <v>58</v>
      </c>
      <c r="FJ3917" t="s">
        <v>59</v>
      </c>
    </row>
    <row r="3918" spans="153:166" x14ac:dyDescent="0.35">
      <c r="EW3918" t="s">
        <v>4093</v>
      </c>
      <c r="EX3918" s="33" t="s">
        <v>4123</v>
      </c>
      <c r="EY3918" s="33" t="s">
        <v>129</v>
      </c>
      <c r="EZ3918" s="33" t="s">
        <v>130</v>
      </c>
      <c r="FA3918" s="33" t="s">
        <v>51</v>
      </c>
      <c r="FB3918" s="33" t="s">
        <v>52</v>
      </c>
      <c r="FC3918" s="33" t="s">
        <v>53</v>
      </c>
      <c r="FD3918" s="33" t="s">
        <v>54</v>
      </c>
      <c r="FE3918" s="33">
        <v>2019</v>
      </c>
      <c r="FF3918" s="33" t="s">
        <v>55</v>
      </c>
      <c r="FG3918" s="33" t="s">
        <v>56</v>
      </c>
      <c r="FH3918" s="33" t="s">
        <v>57</v>
      </c>
      <c r="FI3918" s="33" t="s">
        <v>58</v>
      </c>
      <c r="FJ3918" t="s">
        <v>59</v>
      </c>
    </row>
    <row r="3919" spans="153:166" x14ac:dyDescent="0.35">
      <c r="EW3919" t="s">
        <v>4093</v>
      </c>
      <c r="EX3919" s="33" t="s">
        <v>4817</v>
      </c>
      <c r="EY3919" s="33" t="s">
        <v>131</v>
      </c>
      <c r="EZ3919" s="33" t="s">
        <v>132</v>
      </c>
      <c r="FA3919" s="33" t="s">
        <v>51</v>
      </c>
      <c r="FB3919" s="33" t="s">
        <v>52</v>
      </c>
      <c r="FC3919" s="33" t="s">
        <v>53</v>
      </c>
      <c r="FD3919" s="33" t="s">
        <v>54</v>
      </c>
      <c r="FE3919" s="33">
        <v>2019</v>
      </c>
      <c r="FF3919" s="33" t="s">
        <v>55</v>
      </c>
      <c r="FG3919" s="33" t="s">
        <v>56</v>
      </c>
      <c r="FH3919" s="33" t="s">
        <v>57</v>
      </c>
      <c r="FI3919" s="33" t="s">
        <v>58</v>
      </c>
      <c r="FJ3919" t="s">
        <v>59</v>
      </c>
    </row>
    <row r="3920" spans="153:166" x14ac:dyDescent="0.35">
      <c r="EW3920" t="s">
        <v>4093</v>
      </c>
      <c r="EX3920" s="33" t="s">
        <v>4818</v>
      </c>
      <c r="EY3920" s="33" t="s">
        <v>136</v>
      </c>
      <c r="EZ3920" s="33" t="s">
        <v>137</v>
      </c>
      <c r="FA3920" s="33" t="s">
        <v>51</v>
      </c>
      <c r="FB3920" s="33" t="s">
        <v>52</v>
      </c>
      <c r="FC3920" s="33" t="s">
        <v>53</v>
      </c>
      <c r="FD3920" s="33" t="s">
        <v>54</v>
      </c>
      <c r="FE3920" s="33">
        <v>2019</v>
      </c>
      <c r="FF3920" s="33" t="s">
        <v>55</v>
      </c>
      <c r="FG3920" s="33" t="s">
        <v>56</v>
      </c>
      <c r="FH3920" s="33" t="s">
        <v>57</v>
      </c>
      <c r="FI3920" s="33" t="s">
        <v>58</v>
      </c>
      <c r="FJ3920" t="s">
        <v>59</v>
      </c>
    </row>
    <row r="3921" spans="153:166" x14ac:dyDescent="0.35">
      <c r="EW3921" t="s">
        <v>4093</v>
      </c>
      <c r="EX3921" s="33" t="s">
        <v>4819</v>
      </c>
      <c r="EY3921" s="33" t="s">
        <v>138</v>
      </c>
      <c r="EZ3921" s="33" t="s">
        <v>139</v>
      </c>
      <c r="FA3921" s="33" t="s">
        <v>51</v>
      </c>
      <c r="FB3921" s="33" t="s">
        <v>52</v>
      </c>
      <c r="FC3921" s="33" t="s">
        <v>53</v>
      </c>
      <c r="FD3921" s="33" t="s">
        <v>54</v>
      </c>
      <c r="FE3921" s="33">
        <v>2019</v>
      </c>
      <c r="FF3921" s="33" t="s">
        <v>55</v>
      </c>
      <c r="FG3921" s="33" t="s">
        <v>56</v>
      </c>
      <c r="FH3921" s="33" t="s">
        <v>57</v>
      </c>
      <c r="FI3921" s="33" t="s">
        <v>58</v>
      </c>
      <c r="FJ3921" t="s">
        <v>59</v>
      </c>
    </row>
    <row r="3922" spans="153:166" x14ac:dyDescent="0.35">
      <c r="EW3922" t="s">
        <v>4093</v>
      </c>
      <c r="EX3922" s="33" t="s">
        <v>4820</v>
      </c>
      <c r="EY3922" s="33" t="s">
        <v>143</v>
      </c>
      <c r="EZ3922" s="33" t="s">
        <v>144</v>
      </c>
      <c r="FA3922" s="33" t="s">
        <v>51</v>
      </c>
      <c r="FB3922" s="33" t="s">
        <v>52</v>
      </c>
      <c r="FC3922" s="33" t="s">
        <v>53</v>
      </c>
      <c r="FD3922" s="33" t="s">
        <v>54</v>
      </c>
      <c r="FE3922" s="33">
        <v>2019</v>
      </c>
      <c r="FF3922" s="33" t="s">
        <v>55</v>
      </c>
      <c r="FG3922" s="33" t="s">
        <v>56</v>
      </c>
      <c r="FH3922" s="33" t="s">
        <v>57</v>
      </c>
      <c r="FI3922" s="33" t="s">
        <v>58</v>
      </c>
      <c r="FJ3922" t="s">
        <v>59</v>
      </c>
    </row>
    <row r="3923" spans="153:166" x14ac:dyDescent="0.35">
      <c r="EW3923" t="s">
        <v>4093</v>
      </c>
      <c r="EX3923" s="33" t="s">
        <v>4821</v>
      </c>
      <c r="EY3923" s="33" t="s">
        <v>145</v>
      </c>
      <c r="EZ3923" s="33" t="s">
        <v>146</v>
      </c>
      <c r="FA3923" s="33" t="s">
        <v>51</v>
      </c>
      <c r="FB3923" s="33" t="s">
        <v>52</v>
      </c>
      <c r="FC3923" s="33" t="s">
        <v>53</v>
      </c>
      <c r="FD3923" s="33" t="s">
        <v>54</v>
      </c>
      <c r="FE3923" s="33">
        <v>2019</v>
      </c>
      <c r="FF3923" s="33" t="s">
        <v>55</v>
      </c>
      <c r="FG3923" s="33" t="s">
        <v>56</v>
      </c>
      <c r="FH3923" s="33" t="s">
        <v>57</v>
      </c>
      <c r="FI3923" s="33" t="s">
        <v>58</v>
      </c>
      <c r="FJ3923" t="s">
        <v>59</v>
      </c>
    </row>
    <row r="3924" spans="153:166" x14ac:dyDescent="0.35">
      <c r="EW3924" t="s">
        <v>4093</v>
      </c>
      <c r="EX3924" s="33" t="s">
        <v>4822</v>
      </c>
      <c r="EY3924" s="33" t="s">
        <v>147</v>
      </c>
      <c r="EZ3924" s="33" t="s">
        <v>148</v>
      </c>
      <c r="FA3924" s="33" t="s">
        <v>51</v>
      </c>
      <c r="FB3924" s="33" t="s">
        <v>52</v>
      </c>
      <c r="FC3924" s="33" t="s">
        <v>53</v>
      </c>
      <c r="FD3924" s="33" t="s">
        <v>54</v>
      </c>
      <c r="FE3924" s="33">
        <v>2019</v>
      </c>
      <c r="FF3924" s="33" t="s">
        <v>55</v>
      </c>
      <c r="FG3924" s="33" t="s">
        <v>56</v>
      </c>
      <c r="FH3924" s="33" t="s">
        <v>57</v>
      </c>
      <c r="FI3924" s="33" t="s">
        <v>58</v>
      </c>
      <c r="FJ3924" t="s">
        <v>59</v>
      </c>
    </row>
    <row r="3925" spans="153:166" x14ac:dyDescent="0.35">
      <c r="EW3925" t="s">
        <v>4093</v>
      </c>
      <c r="EX3925" s="33" t="s">
        <v>4823</v>
      </c>
      <c r="EY3925" s="33" t="s">
        <v>149</v>
      </c>
      <c r="EZ3925" s="33" t="s">
        <v>150</v>
      </c>
      <c r="FA3925" s="33" t="s">
        <v>51</v>
      </c>
      <c r="FB3925" s="33" t="s">
        <v>52</v>
      </c>
      <c r="FC3925" s="33" t="s">
        <v>53</v>
      </c>
      <c r="FD3925" s="33" t="s">
        <v>54</v>
      </c>
      <c r="FE3925" s="33">
        <v>2019</v>
      </c>
      <c r="FF3925" s="33" t="s">
        <v>55</v>
      </c>
      <c r="FG3925" s="33" t="s">
        <v>56</v>
      </c>
      <c r="FH3925" s="33" t="s">
        <v>57</v>
      </c>
      <c r="FI3925" s="33" t="s">
        <v>58</v>
      </c>
      <c r="FJ3925" t="s">
        <v>59</v>
      </c>
    </row>
    <row r="3926" spans="153:166" x14ac:dyDescent="0.35">
      <c r="EW3926" t="s">
        <v>4093</v>
      </c>
      <c r="EX3926" s="33" t="s">
        <v>4824</v>
      </c>
      <c r="EY3926" s="33" t="s">
        <v>154</v>
      </c>
      <c r="EZ3926" s="33" t="s">
        <v>155</v>
      </c>
      <c r="FA3926" s="33" t="s">
        <v>51</v>
      </c>
      <c r="FB3926" s="33" t="s">
        <v>52</v>
      </c>
      <c r="FC3926" s="33" t="s">
        <v>53</v>
      </c>
      <c r="FD3926" s="33" t="s">
        <v>54</v>
      </c>
      <c r="FE3926" s="33">
        <v>2019</v>
      </c>
      <c r="FF3926" s="33" t="s">
        <v>55</v>
      </c>
      <c r="FG3926" s="33" t="s">
        <v>56</v>
      </c>
      <c r="FH3926" s="33" t="s">
        <v>57</v>
      </c>
      <c r="FI3926" s="33" t="s">
        <v>58</v>
      </c>
      <c r="FJ3926" t="s">
        <v>59</v>
      </c>
    </row>
    <row r="3927" spans="153:166" x14ac:dyDescent="0.35">
      <c r="EW3927" t="s">
        <v>4093</v>
      </c>
      <c r="EX3927" s="33" t="s">
        <v>4825</v>
      </c>
      <c r="EY3927" s="33" t="s">
        <v>156</v>
      </c>
      <c r="EZ3927" s="33" t="s">
        <v>157</v>
      </c>
      <c r="FA3927" s="33" t="s">
        <v>51</v>
      </c>
      <c r="FB3927" s="33" t="s">
        <v>52</v>
      </c>
      <c r="FC3927" s="33" t="s">
        <v>53</v>
      </c>
      <c r="FD3927" s="33" t="s">
        <v>54</v>
      </c>
      <c r="FE3927" s="33">
        <v>2019</v>
      </c>
      <c r="FF3927" s="33" t="s">
        <v>55</v>
      </c>
      <c r="FG3927" s="33" t="s">
        <v>56</v>
      </c>
      <c r="FH3927" s="33" t="s">
        <v>57</v>
      </c>
      <c r="FI3927" s="33" t="s">
        <v>58</v>
      </c>
      <c r="FJ3927" t="s">
        <v>59</v>
      </c>
    </row>
    <row r="3928" spans="153:166" x14ac:dyDescent="0.35">
      <c r="EW3928" t="s">
        <v>4093</v>
      </c>
      <c r="EX3928" s="33" t="s">
        <v>4826</v>
      </c>
      <c r="EY3928" s="33" t="s">
        <v>158</v>
      </c>
      <c r="EZ3928" s="33" t="s">
        <v>159</v>
      </c>
      <c r="FA3928" s="33" t="s">
        <v>51</v>
      </c>
      <c r="FB3928" s="33" t="s">
        <v>52</v>
      </c>
      <c r="FC3928" s="33" t="s">
        <v>53</v>
      </c>
      <c r="FD3928" s="33" t="s">
        <v>54</v>
      </c>
      <c r="FE3928" s="33">
        <v>2019</v>
      </c>
      <c r="FF3928" s="33" t="s">
        <v>55</v>
      </c>
      <c r="FG3928" s="33" t="s">
        <v>56</v>
      </c>
      <c r="FH3928" s="33" t="s">
        <v>57</v>
      </c>
      <c r="FI3928" s="33" t="s">
        <v>58</v>
      </c>
      <c r="FJ3928" t="s">
        <v>59</v>
      </c>
    </row>
    <row r="3929" spans="153:166" x14ac:dyDescent="0.35">
      <c r="EW3929" t="s">
        <v>4093</v>
      </c>
      <c r="EX3929" s="33" t="s">
        <v>4827</v>
      </c>
      <c r="EY3929" s="33" t="s">
        <v>160</v>
      </c>
      <c r="EZ3929" s="33" t="s">
        <v>161</v>
      </c>
      <c r="FA3929" s="33" t="s">
        <v>51</v>
      </c>
      <c r="FB3929" s="33" t="s">
        <v>52</v>
      </c>
      <c r="FC3929" s="33" t="s">
        <v>53</v>
      </c>
      <c r="FD3929" s="33" t="s">
        <v>54</v>
      </c>
      <c r="FE3929" s="33">
        <v>2019</v>
      </c>
      <c r="FF3929" s="33" t="s">
        <v>55</v>
      </c>
      <c r="FG3929" s="33" t="s">
        <v>56</v>
      </c>
      <c r="FH3929" s="33" t="s">
        <v>57</v>
      </c>
      <c r="FI3929" s="33" t="s">
        <v>58</v>
      </c>
      <c r="FJ3929" t="s">
        <v>59</v>
      </c>
    </row>
    <row r="3930" spans="153:166" x14ac:dyDescent="0.35">
      <c r="EW3930" t="s">
        <v>4093</v>
      </c>
      <c r="EX3930" s="33" t="s">
        <v>4828</v>
      </c>
      <c r="EY3930" s="33" t="s">
        <v>165</v>
      </c>
      <c r="EZ3930" s="33" t="s">
        <v>166</v>
      </c>
      <c r="FA3930" s="33" t="s">
        <v>51</v>
      </c>
      <c r="FB3930" s="33" t="s">
        <v>52</v>
      </c>
      <c r="FC3930" s="33" t="s">
        <v>53</v>
      </c>
      <c r="FD3930" s="33" t="s">
        <v>54</v>
      </c>
      <c r="FE3930" s="33">
        <v>2019</v>
      </c>
      <c r="FF3930" s="33" t="s">
        <v>55</v>
      </c>
      <c r="FG3930" s="33" t="s">
        <v>56</v>
      </c>
      <c r="FH3930" s="33" t="s">
        <v>57</v>
      </c>
      <c r="FI3930" s="33" t="s">
        <v>58</v>
      </c>
      <c r="FJ3930" t="s">
        <v>59</v>
      </c>
    </row>
    <row r="3931" spans="153:166" x14ac:dyDescent="0.35">
      <c r="EW3931" t="s">
        <v>4093</v>
      </c>
      <c r="EX3931" s="33" t="s">
        <v>4829</v>
      </c>
      <c r="EY3931" s="33" t="s">
        <v>167</v>
      </c>
      <c r="EZ3931" s="33" t="s">
        <v>168</v>
      </c>
      <c r="FA3931" s="33" t="s">
        <v>51</v>
      </c>
      <c r="FB3931" s="33" t="s">
        <v>52</v>
      </c>
      <c r="FC3931" s="33" t="s">
        <v>53</v>
      </c>
      <c r="FD3931" s="33" t="s">
        <v>54</v>
      </c>
      <c r="FE3931" s="33">
        <v>2019</v>
      </c>
      <c r="FF3931" s="33" t="s">
        <v>55</v>
      </c>
      <c r="FG3931" s="33" t="s">
        <v>56</v>
      </c>
      <c r="FH3931" s="33" t="s">
        <v>57</v>
      </c>
      <c r="FI3931" s="33" t="s">
        <v>58</v>
      </c>
      <c r="FJ3931" t="s">
        <v>59</v>
      </c>
    </row>
    <row r="3932" spans="153:166" x14ac:dyDescent="0.35">
      <c r="EW3932" t="s">
        <v>4093</v>
      </c>
      <c r="EX3932" s="33" t="s">
        <v>4830</v>
      </c>
      <c r="EY3932" s="33" t="s">
        <v>169</v>
      </c>
      <c r="EZ3932" s="33" t="s">
        <v>170</v>
      </c>
      <c r="FA3932" s="33" t="s">
        <v>51</v>
      </c>
      <c r="FB3932" s="33" t="s">
        <v>52</v>
      </c>
      <c r="FC3932" s="33" t="s">
        <v>53</v>
      </c>
      <c r="FD3932" s="33" t="s">
        <v>54</v>
      </c>
      <c r="FE3932" s="33">
        <v>2019</v>
      </c>
      <c r="FF3932" s="33" t="s">
        <v>55</v>
      </c>
      <c r="FG3932" s="33" t="s">
        <v>56</v>
      </c>
      <c r="FH3932" s="33" t="s">
        <v>57</v>
      </c>
      <c r="FI3932" s="33" t="s">
        <v>58</v>
      </c>
      <c r="FJ3932" t="s">
        <v>59</v>
      </c>
    </row>
    <row r="3933" spans="153:166" x14ac:dyDescent="0.35">
      <c r="EW3933" t="s">
        <v>4093</v>
      </c>
      <c r="EX3933" s="33" t="s">
        <v>4831</v>
      </c>
      <c r="EY3933" s="33" t="s">
        <v>171</v>
      </c>
      <c r="EZ3933" s="33" t="s">
        <v>172</v>
      </c>
      <c r="FA3933" s="33" t="s">
        <v>51</v>
      </c>
      <c r="FB3933" s="33" t="s">
        <v>52</v>
      </c>
      <c r="FC3933" s="33" t="s">
        <v>53</v>
      </c>
      <c r="FD3933" s="33" t="s">
        <v>54</v>
      </c>
      <c r="FE3933" s="33">
        <v>2019</v>
      </c>
      <c r="FF3933" s="33" t="s">
        <v>55</v>
      </c>
      <c r="FG3933" s="33" t="s">
        <v>56</v>
      </c>
      <c r="FH3933" s="33" t="s">
        <v>57</v>
      </c>
      <c r="FI3933" s="33" t="s">
        <v>58</v>
      </c>
      <c r="FJ3933" t="s">
        <v>59</v>
      </c>
    </row>
    <row r="3934" spans="153:166" x14ac:dyDescent="0.35">
      <c r="EW3934" t="s">
        <v>4093</v>
      </c>
      <c r="EX3934" s="33" t="s">
        <v>4832</v>
      </c>
      <c r="EY3934" s="33" t="s">
        <v>173</v>
      </c>
      <c r="EZ3934" s="33" t="s">
        <v>174</v>
      </c>
      <c r="FA3934" s="33" t="s">
        <v>51</v>
      </c>
      <c r="FB3934" s="33" t="s">
        <v>52</v>
      </c>
      <c r="FC3934" s="33" t="s">
        <v>53</v>
      </c>
      <c r="FD3934" s="33" t="s">
        <v>54</v>
      </c>
      <c r="FE3934" s="33">
        <v>2019</v>
      </c>
      <c r="FF3934" s="33" t="s">
        <v>55</v>
      </c>
      <c r="FG3934" s="33" t="s">
        <v>56</v>
      </c>
      <c r="FH3934" s="33" t="s">
        <v>57</v>
      </c>
      <c r="FI3934" s="33" t="s">
        <v>58</v>
      </c>
      <c r="FJ3934" t="s">
        <v>59</v>
      </c>
    </row>
    <row r="3935" spans="153:166" x14ac:dyDescent="0.35">
      <c r="EW3935" t="s">
        <v>4093</v>
      </c>
      <c r="EX3935" s="33" t="s">
        <v>4833</v>
      </c>
      <c r="EY3935" s="33" t="s">
        <v>175</v>
      </c>
      <c r="EZ3935" s="33" t="s">
        <v>176</v>
      </c>
      <c r="FA3935" s="33" t="s">
        <v>51</v>
      </c>
      <c r="FB3935" s="33" t="s">
        <v>52</v>
      </c>
      <c r="FC3935" s="33" t="s">
        <v>53</v>
      </c>
      <c r="FD3935" s="33" t="s">
        <v>54</v>
      </c>
      <c r="FE3935" s="33">
        <v>2019</v>
      </c>
      <c r="FF3935" s="33" t="s">
        <v>55</v>
      </c>
      <c r="FG3935" s="33" t="s">
        <v>56</v>
      </c>
      <c r="FH3935" s="33" t="s">
        <v>57</v>
      </c>
      <c r="FI3935" s="33" t="s">
        <v>58</v>
      </c>
      <c r="FJ3935" t="s">
        <v>59</v>
      </c>
    </row>
    <row r="3936" spans="153:166" x14ac:dyDescent="0.35">
      <c r="EW3936" t="s">
        <v>4093</v>
      </c>
      <c r="EX3936" s="33" t="s">
        <v>4834</v>
      </c>
      <c r="EY3936" s="33" t="s">
        <v>180</v>
      </c>
      <c r="EZ3936" s="33" t="s">
        <v>181</v>
      </c>
      <c r="FA3936" s="33" t="s">
        <v>51</v>
      </c>
      <c r="FB3936" s="33" t="s">
        <v>52</v>
      </c>
      <c r="FC3936" s="33" t="s">
        <v>53</v>
      </c>
      <c r="FD3936" s="33" t="s">
        <v>54</v>
      </c>
      <c r="FE3936" s="33">
        <v>2019</v>
      </c>
      <c r="FF3936" s="33" t="s">
        <v>55</v>
      </c>
      <c r="FG3936" s="33" t="s">
        <v>56</v>
      </c>
      <c r="FH3936" s="33" t="s">
        <v>57</v>
      </c>
      <c r="FI3936" s="33" t="s">
        <v>58</v>
      </c>
      <c r="FJ3936" t="s">
        <v>59</v>
      </c>
    </row>
    <row r="3937" spans="153:166" x14ac:dyDescent="0.35">
      <c r="EW3937" t="s">
        <v>4093</v>
      </c>
      <c r="EX3937" s="33" t="s">
        <v>4835</v>
      </c>
      <c r="EY3937" s="33" t="s">
        <v>182</v>
      </c>
      <c r="EZ3937" s="33" t="s">
        <v>183</v>
      </c>
      <c r="FA3937" s="33" t="s">
        <v>51</v>
      </c>
      <c r="FB3937" s="33" t="s">
        <v>52</v>
      </c>
      <c r="FC3937" s="33" t="s">
        <v>53</v>
      </c>
      <c r="FD3937" s="33" t="s">
        <v>54</v>
      </c>
      <c r="FE3937" s="33">
        <v>2019</v>
      </c>
      <c r="FF3937" s="33" t="s">
        <v>55</v>
      </c>
      <c r="FG3937" s="33" t="s">
        <v>56</v>
      </c>
      <c r="FH3937" s="33" t="s">
        <v>57</v>
      </c>
      <c r="FI3937" s="33" t="s">
        <v>58</v>
      </c>
      <c r="FJ3937" t="s">
        <v>59</v>
      </c>
    </row>
    <row r="3938" spans="153:166" x14ac:dyDescent="0.35">
      <c r="EW3938" t="s">
        <v>4093</v>
      </c>
      <c r="EX3938" s="33" t="s">
        <v>4836</v>
      </c>
      <c r="EY3938" s="33" t="s">
        <v>184</v>
      </c>
      <c r="EZ3938" s="33" t="s">
        <v>185</v>
      </c>
      <c r="FA3938" s="33" t="s">
        <v>51</v>
      </c>
      <c r="FB3938" s="33" t="s">
        <v>52</v>
      </c>
      <c r="FC3938" s="33" t="s">
        <v>53</v>
      </c>
      <c r="FD3938" s="33" t="s">
        <v>54</v>
      </c>
      <c r="FE3938" s="33">
        <v>2019</v>
      </c>
      <c r="FF3938" s="33" t="s">
        <v>55</v>
      </c>
      <c r="FG3938" s="33" t="s">
        <v>56</v>
      </c>
      <c r="FH3938" s="33" t="s">
        <v>57</v>
      </c>
      <c r="FI3938" s="33" t="s">
        <v>58</v>
      </c>
      <c r="FJ3938" t="s">
        <v>59</v>
      </c>
    </row>
    <row r="3939" spans="153:166" x14ac:dyDescent="0.35">
      <c r="EW3939" t="s">
        <v>4093</v>
      </c>
      <c r="EX3939" s="33" t="s">
        <v>4837</v>
      </c>
      <c r="EY3939" s="33" t="s">
        <v>189</v>
      </c>
      <c r="EZ3939" s="33" t="s">
        <v>190</v>
      </c>
      <c r="FA3939" s="33" t="s">
        <v>51</v>
      </c>
      <c r="FB3939" s="33" t="s">
        <v>52</v>
      </c>
      <c r="FC3939" s="33" t="s">
        <v>53</v>
      </c>
      <c r="FD3939" s="33" t="s">
        <v>54</v>
      </c>
      <c r="FE3939" s="33">
        <v>2019</v>
      </c>
      <c r="FF3939" s="33" t="s">
        <v>55</v>
      </c>
      <c r="FG3939" s="33" t="s">
        <v>56</v>
      </c>
      <c r="FH3939" s="33" t="s">
        <v>57</v>
      </c>
      <c r="FI3939" s="33" t="s">
        <v>58</v>
      </c>
      <c r="FJ3939" t="s">
        <v>59</v>
      </c>
    </row>
    <row r="3940" spans="153:166" x14ac:dyDescent="0.35">
      <c r="EW3940" t="s">
        <v>4093</v>
      </c>
      <c r="EX3940" s="33" t="s">
        <v>4838</v>
      </c>
      <c r="EY3940" s="33" t="s">
        <v>191</v>
      </c>
      <c r="EZ3940" s="33" t="s">
        <v>192</v>
      </c>
      <c r="FA3940" s="33" t="s">
        <v>51</v>
      </c>
      <c r="FB3940" s="33" t="s">
        <v>52</v>
      </c>
      <c r="FC3940" s="33" t="s">
        <v>53</v>
      </c>
      <c r="FD3940" s="33" t="s">
        <v>54</v>
      </c>
      <c r="FE3940" s="33">
        <v>2019</v>
      </c>
      <c r="FF3940" s="33" t="s">
        <v>55</v>
      </c>
      <c r="FG3940" s="33" t="s">
        <v>56</v>
      </c>
      <c r="FH3940" s="33" t="s">
        <v>57</v>
      </c>
      <c r="FI3940" s="33" t="s">
        <v>58</v>
      </c>
      <c r="FJ3940" t="s">
        <v>59</v>
      </c>
    </row>
    <row r="3941" spans="153:166" x14ac:dyDescent="0.35">
      <c r="EW3941" t="s">
        <v>4093</v>
      </c>
      <c r="EX3941" s="33" t="s">
        <v>4839</v>
      </c>
      <c r="EY3941" s="33" t="s">
        <v>193</v>
      </c>
      <c r="EZ3941" s="33" t="s">
        <v>194</v>
      </c>
      <c r="FA3941" s="33" t="s">
        <v>51</v>
      </c>
      <c r="FB3941" s="33" t="s">
        <v>52</v>
      </c>
      <c r="FC3941" s="33" t="s">
        <v>53</v>
      </c>
      <c r="FD3941" s="33" t="s">
        <v>54</v>
      </c>
      <c r="FE3941" s="33">
        <v>2019</v>
      </c>
      <c r="FF3941" s="33" t="s">
        <v>55</v>
      </c>
      <c r="FG3941" s="33" t="s">
        <v>56</v>
      </c>
      <c r="FH3941" s="33" t="s">
        <v>57</v>
      </c>
      <c r="FI3941" s="33" t="s">
        <v>58</v>
      </c>
      <c r="FJ3941" t="s">
        <v>59</v>
      </c>
    </row>
    <row r="3942" spans="153:166" x14ac:dyDescent="0.35">
      <c r="EW3942" t="s">
        <v>4093</v>
      </c>
      <c r="EX3942" s="33" t="s">
        <v>4840</v>
      </c>
      <c r="EY3942" s="33" t="s">
        <v>195</v>
      </c>
      <c r="EZ3942" s="33" t="s">
        <v>196</v>
      </c>
      <c r="FA3942" s="33" t="s">
        <v>51</v>
      </c>
      <c r="FB3942" s="33" t="s">
        <v>52</v>
      </c>
      <c r="FC3942" s="33" t="s">
        <v>53</v>
      </c>
      <c r="FD3942" s="33" t="s">
        <v>54</v>
      </c>
      <c r="FE3942" s="33">
        <v>2019</v>
      </c>
      <c r="FF3942" s="33" t="s">
        <v>55</v>
      </c>
      <c r="FG3942" s="33" t="s">
        <v>56</v>
      </c>
      <c r="FH3942" s="33" t="s">
        <v>57</v>
      </c>
      <c r="FI3942" s="33" t="s">
        <v>58</v>
      </c>
      <c r="FJ3942" t="s">
        <v>59</v>
      </c>
    </row>
    <row r="3943" spans="153:166" x14ac:dyDescent="0.35">
      <c r="EW3943" t="s">
        <v>4093</v>
      </c>
      <c r="EX3943" s="33" t="s">
        <v>4841</v>
      </c>
      <c r="EY3943" s="33" t="s">
        <v>200</v>
      </c>
      <c r="EZ3943" s="33" t="s">
        <v>201</v>
      </c>
      <c r="FA3943" s="33" t="s">
        <v>51</v>
      </c>
      <c r="FB3943" s="33" t="s">
        <v>52</v>
      </c>
      <c r="FC3943" s="33" t="s">
        <v>53</v>
      </c>
      <c r="FD3943" s="33" t="s">
        <v>54</v>
      </c>
      <c r="FE3943" s="33">
        <v>2019</v>
      </c>
      <c r="FF3943" s="33" t="s">
        <v>55</v>
      </c>
      <c r="FG3943" s="33" t="s">
        <v>56</v>
      </c>
      <c r="FH3943" s="33" t="s">
        <v>57</v>
      </c>
      <c r="FI3943" s="33" t="s">
        <v>58</v>
      </c>
      <c r="FJ3943" t="s">
        <v>59</v>
      </c>
    </row>
    <row r="3944" spans="153:166" x14ac:dyDescent="0.35">
      <c r="EW3944" t="s">
        <v>4093</v>
      </c>
      <c r="EX3944" s="33" t="s">
        <v>4842</v>
      </c>
      <c r="EY3944" s="33" t="s">
        <v>202</v>
      </c>
      <c r="EZ3944" s="33" t="s">
        <v>203</v>
      </c>
      <c r="FA3944" s="33" t="s">
        <v>51</v>
      </c>
      <c r="FB3944" s="33" t="s">
        <v>52</v>
      </c>
      <c r="FC3944" s="33" t="s">
        <v>53</v>
      </c>
      <c r="FD3944" s="33" t="s">
        <v>54</v>
      </c>
      <c r="FE3944" s="33">
        <v>2019</v>
      </c>
      <c r="FF3944" s="33" t="s">
        <v>55</v>
      </c>
      <c r="FG3944" s="33" t="s">
        <v>56</v>
      </c>
      <c r="FH3944" s="33" t="s">
        <v>57</v>
      </c>
      <c r="FI3944" s="33" t="s">
        <v>58</v>
      </c>
      <c r="FJ3944" t="s">
        <v>59</v>
      </c>
    </row>
    <row r="3945" spans="153:166" x14ac:dyDescent="0.35">
      <c r="EW3945" t="s">
        <v>4093</v>
      </c>
      <c r="EX3945" s="33" t="s">
        <v>4843</v>
      </c>
      <c r="EY3945" s="33" t="s">
        <v>204</v>
      </c>
      <c r="EZ3945" s="33" t="s">
        <v>205</v>
      </c>
      <c r="FA3945" s="33" t="s">
        <v>51</v>
      </c>
      <c r="FB3945" s="33" t="s">
        <v>52</v>
      </c>
      <c r="FC3945" s="33" t="s">
        <v>53</v>
      </c>
      <c r="FD3945" s="33" t="s">
        <v>54</v>
      </c>
      <c r="FE3945" s="33">
        <v>2019</v>
      </c>
      <c r="FF3945" s="33" t="s">
        <v>55</v>
      </c>
      <c r="FG3945" s="33" t="s">
        <v>56</v>
      </c>
      <c r="FH3945" s="33" t="s">
        <v>57</v>
      </c>
      <c r="FI3945" s="33" t="s">
        <v>58</v>
      </c>
      <c r="FJ3945" t="s">
        <v>59</v>
      </c>
    </row>
    <row r="3946" spans="153:166" x14ac:dyDescent="0.35">
      <c r="EW3946" t="s">
        <v>4093</v>
      </c>
      <c r="EX3946" s="33" t="s">
        <v>4844</v>
      </c>
      <c r="EY3946" s="33" t="s">
        <v>209</v>
      </c>
      <c r="EZ3946" s="33" t="s">
        <v>210</v>
      </c>
      <c r="FA3946" s="33" t="s">
        <v>51</v>
      </c>
      <c r="FB3946" s="33" t="s">
        <v>52</v>
      </c>
      <c r="FC3946" s="33" t="s">
        <v>53</v>
      </c>
      <c r="FD3946" s="33" t="s">
        <v>54</v>
      </c>
      <c r="FE3946" s="33">
        <v>2019</v>
      </c>
      <c r="FF3946" s="33" t="s">
        <v>55</v>
      </c>
      <c r="FG3946" s="33" t="s">
        <v>56</v>
      </c>
      <c r="FH3946" s="33" t="s">
        <v>57</v>
      </c>
      <c r="FI3946" s="33" t="s">
        <v>58</v>
      </c>
      <c r="FJ3946" t="s">
        <v>59</v>
      </c>
    </row>
    <row r="3947" spans="153:166" x14ac:dyDescent="0.35">
      <c r="EW3947" t="s">
        <v>4093</v>
      </c>
      <c r="EX3947" s="33" t="s">
        <v>4845</v>
      </c>
      <c r="EY3947" s="33" t="s">
        <v>211</v>
      </c>
      <c r="EZ3947" s="33" t="s">
        <v>212</v>
      </c>
      <c r="FA3947" s="33" t="s">
        <v>51</v>
      </c>
      <c r="FB3947" s="33" t="s">
        <v>52</v>
      </c>
      <c r="FC3947" s="33" t="s">
        <v>53</v>
      </c>
      <c r="FD3947" s="33" t="s">
        <v>54</v>
      </c>
      <c r="FE3947" s="33">
        <v>2019</v>
      </c>
      <c r="FF3947" s="33" t="s">
        <v>55</v>
      </c>
      <c r="FG3947" s="33" t="s">
        <v>56</v>
      </c>
      <c r="FH3947" s="33" t="s">
        <v>57</v>
      </c>
      <c r="FI3947" s="33" t="s">
        <v>58</v>
      </c>
      <c r="FJ3947" t="s">
        <v>59</v>
      </c>
    </row>
    <row r="3948" spans="153:166" x14ac:dyDescent="0.35">
      <c r="EW3948" t="s">
        <v>4093</v>
      </c>
      <c r="EX3948" s="33" t="s">
        <v>4846</v>
      </c>
      <c r="EY3948" s="33" t="s">
        <v>213</v>
      </c>
      <c r="EZ3948" s="33" t="s">
        <v>214</v>
      </c>
      <c r="FA3948" s="33" t="s">
        <v>51</v>
      </c>
      <c r="FB3948" s="33" t="s">
        <v>52</v>
      </c>
      <c r="FC3948" s="33" t="s">
        <v>53</v>
      </c>
      <c r="FD3948" s="33" t="s">
        <v>54</v>
      </c>
      <c r="FE3948" s="33">
        <v>2019</v>
      </c>
      <c r="FF3948" s="33" t="s">
        <v>55</v>
      </c>
      <c r="FG3948" s="33" t="s">
        <v>56</v>
      </c>
      <c r="FH3948" s="33" t="s">
        <v>57</v>
      </c>
      <c r="FI3948" s="33" t="s">
        <v>58</v>
      </c>
      <c r="FJ3948" t="s">
        <v>59</v>
      </c>
    </row>
    <row r="3949" spans="153:166" x14ac:dyDescent="0.35">
      <c r="EW3949" t="s">
        <v>4093</v>
      </c>
      <c r="EX3949" s="33" t="s">
        <v>4847</v>
      </c>
      <c r="EY3949" s="33" t="s">
        <v>215</v>
      </c>
      <c r="EZ3949" s="33" t="s">
        <v>216</v>
      </c>
      <c r="FA3949" s="33" t="s">
        <v>51</v>
      </c>
      <c r="FB3949" s="33" t="s">
        <v>52</v>
      </c>
      <c r="FC3949" s="33" t="s">
        <v>53</v>
      </c>
      <c r="FD3949" s="33" t="s">
        <v>54</v>
      </c>
      <c r="FE3949" s="33">
        <v>2019</v>
      </c>
      <c r="FF3949" s="33" t="s">
        <v>55</v>
      </c>
      <c r="FG3949" s="33" t="s">
        <v>56</v>
      </c>
      <c r="FH3949" s="33" t="s">
        <v>57</v>
      </c>
      <c r="FI3949" s="33" t="s">
        <v>58</v>
      </c>
      <c r="FJ3949" t="s">
        <v>59</v>
      </c>
    </row>
    <row r="3950" spans="153:166" x14ac:dyDescent="0.35">
      <c r="EW3950" t="s">
        <v>4093</v>
      </c>
      <c r="EX3950" s="33" t="s">
        <v>4848</v>
      </c>
      <c r="EY3950" s="33" t="s">
        <v>220</v>
      </c>
      <c r="EZ3950" s="33" t="s">
        <v>221</v>
      </c>
      <c r="FA3950" s="33" t="s">
        <v>51</v>
      </c>
      <c r="FB3950" s="33" t="s">
        <v>52</v>
      </c>
      <c r="FC3950" s="33" t="s">
        <v>53</v>
      </c>
      <c r="FD3950" s="33" t="s">
        <v>54</v>
      </c>
      <c r="FE3950" s="33">
        <v>2019</v>
      </c>
      <c r="FF3950" s="33" t="s">
        <v>55</v>
      </c>
      <c r="FG3950" s="33" t="s">
        <v>56</v>
      </c>
      <c r="FH3950" s="33" t="s">
        <v>57</v>
      </c>
      <c r="FI3950" s="33" t="s">
        <v>58</v>
      </c>
      <c r="FJ3950" t="s">
        <v>59</v>
      </c>
    </row>
    <row r="3951" spans="153:166" x14ac:dyDescent="0.35">
      <c r="EW3951" t="s">
        <v>4093</v>
      </c>
      <c r="EX3951" s="33" t="s">
        <v>4849</v>
      </c>
      <c r="EY3951" s="33" t="s">
        <v>222</v>
      </c>
      <c r="EZ3951" s="33" t="s">
        <v>223</v>
      </c>
      <c r="FA3951" s="33" t="s">
        <v>51</v>
      </c>
      <c r="FB3951" s="33" t="s">
        <v>52</v>
      </c>
      <c r="FC3951" s="33" t="s">
        <v>53</v>
      </c>
      <c r="FD3951" s="33" t="s">
        <v>54</v>
      </c>
      <c r="FE3951" s="33">
        <v>2019</v>
      </c>
      <c r="FF3951" s="33" t="s">
        <v>55</v>
      </c>
      <c r="FG3951" s="33" t="s">
        <v>56</v>
      </c>
      <c r="FH3951" s="33" t="s">
        <v>57</v>
      </c>
      <c r="FI3951" s="33" t="s">
        <v>58</v>
      </c>
      <c r="FJ3951" t="s">
        <v>59</v>
      </c>
    </row>
    <row r="3952" spans="153:166" x14ac:dyDescent="0.35">
      <c r="EW3952" t="s">
        <v>4093</v>
      </c>
      <c r="EX3952" s="33" t="s">
        <v>4850</v>
      </c>
      <c r="EY3952" s="33" t="s">
        <v>224</v>
      </c>
      <c r="EZ3952" s="33" t="s">
        <v>225</v>
      </c>
      <c r="FA3952" s="33" t="s">
        <v>51</v>
      </c>
      <c r="FB3952" s="33" t="s">
        <v>52</v>
      </c>
      <c r="FC3952" s="33" t="s">
        <v>53</v>
      </c>
      <c r="FD3952" s="33" t="s">
        <v>54</v>
      </c>
      <c r="FE3952" s="33">
        <v>2019</v>
      </c>
      <c r="FF3952" s="33" t="s">
        <v>55</v>
      </c>
      <c r="FG3952" s="33" t="s">
        <v>56</v>
      </c>
      <c r="FH3952" s="33" t="s">
        <v>57</v>
      </c>
      <c r="FI3952" s="33" t="s">
        <v>58</v>
      </c>
      <c r="FJ3952" t="s">
        <v>59</v>
      </c>
    </row>
    <row r="3953" spans="153:166" x14ac:dyDescent="0.35">
      <c r="EW3953" t="s">
        <v>4093</v>
      </c>
      <c r="EX3953" s="33" t="s">
        <v>4851</v>
      </c>
      <c r="EY3953" s="33" t="s">
        <v>229</v>
      </c>
      <c r="EZ3953" s="33" t="s">
        <v>230</v>
      </c>
      <c r="FA3953" s="33" t="s">
        <v>51</v>
      </c>
      <c r="FB3953" s="33" t="s">
        <v>52</v>
      </c>
      <c r="FC3953" s="33" t="s">
        <v>53</v>
      </c>
      <c r="FD3953" s="33" t="s">
        <v>54</v>
      </c>
      <c r="FE3953" s="33">
        <v>2019</v>
      </c>
      <c r="FF3953" s="33" t="s">
        <v>55</v>
      </c>
      <c r="FG3953" s="33" t="s">
        <v>56</v>
      </c>
      <c r="FH3953" s="33" t="s">
        <v>57</v>
      </c>
      <c r="FI3953" s="33" t="s">
        <v>58</v>
      </c>
      <c r="FJ3953" t="s">
        <v>59</v>
      </c>
    </row>
    <row r="3954" spans="153:166" x14ac:dyDescent="0.35">
      <c r="EW3954" t="s">
        <v>4093</v>
      </c>
      <c r="EX3954" s="33" t="s">
        <v>4852</v>
      </c>
      <c r="EY3954" s="33" t="s">
        <v>231</v>
      </c>
      <c r="EZ3954" s="33" t="s">
        <v>232</v>
      </c>
      <c r="FA3954" s="33" t="s">
        <v>51</v>
      </c>
      <c r="FB3954" s="33" t="s">
        <v>52</v>
      </c>
      <c r="FC3954" s="33" t="s">
        <v>53</v>
      </c>
      <c r="FD3954" s="33" t="s">
        <v>54</v>
      </c>
      <c r="FE3954" s="33">
        <v>2019</v>
      </c>
      <c r="FF3954" s="33" t="s">
        <v>55</v>
      </c>
      <c r="FG3954" s="33" t="s">
        <v>56</v>
      </c>
      <c r="FH3954" s="33" t="s">
        <v>57</v>
      </c>
      <c r="FI3954" s="33" t="s">
        <v>58</v>
      </c>
      <c r="FJ3954" t="s">
        <v>59</v>
      </c>
    </row>
    <row r="3955" spans="153:166" x14ac:dyDescent="0.35">
      <c r="EW3955" t="s">
        <v>4093</v>
      </c>
      <c r="EX3955" s="33" t="s">
        <v>4853</v>
      </c>
      <c r="EY3955" s="33" t="s">
        <v>233</v>
      </c>
      <c r="EZ3955" s="33" t="s">
        <v>234</v>
      </c>
      <c r="FA3955" s="33" t="s">
        <v>51</v>
      </c>
      <c r="FB3955" s="33" t="s">
        <v>52</v>
      </c>
      <c r="FC3955" s="33" t="s">
        <v>53</v>
      </c>
      <c r="FD3955" s="33" t="s">
        <v>54</v>
      </c>
      <c r="FE3955" s="33">
        <v>2019</v>
      </c>
      <c r="FF3955" s="33" t="s">
        <v>55</v>
      </c>
      <c r="FG3955" s="33" t="s">
        <v>56</v>
      </c>
      <c r="FH3955" s="33" t="s">
        <v>57</v>
      </c>
      <c r="FI3955" s="33" t="s">
        <v>58</v>
      </c>
      <c r="FJ3955" t="s">
        <v>59</v>
      </c>
    </row>
    <row r="3956" spans="153:166" x14ac:dyDescent="0.35">
      <c r="EW3956" t="s">
        <v>4093</v>
      </c>
      <c r="EX3956" s="33" t="s">
        <v>4854</v>
      </c>
      <c r="EY3956" s="33" t="s">
        <v>235</v>
      </c>
      <c r="EZ3956" s="33" t="s">
        <v>236</v>
      </c>
      <c r="FA3956" s="33" t="s">
        <v>51</v>
      </c>
      <c r="FB3956" s="33" t="s">
        <v>52</v>
      </c>
      <c r="FC3956" s="33" t="s">
        <v>53</v>
      </c>
      <c r="FD3956" s="33" t="s">
        <v>54</v>
      </c>
      <c r="FE3956" s="33">
        <v>2019</v>
      </c>
      <c r="FF3956" s="33" t="s">
        <v>55</v>
      </c>
      <c r="FG3956" s="33" t="s">
        <v>56</v>
      </c>
      <c r="FH3956" s="33" t="s">
        <v>57</v>
      </c>
      <c r="FI3956" s="33" t="s">
        <v>58</v>
      </c>
      <c r="FJ3956" t="s">
        <v>59</v>
      </c>
    </row>
    <row r="3957" spans="153:166" x14ac:dyDescent="0.35">
      <c r="EW3957" t="s">
        <v>4093</v>
      </c>
      <c r="EX3957" s="33" t="s">
        <v>4855</v>
      </c>
      <c r="EY3957" s="33" t="s">
        <v>237</v>
      </c>
      <c r="EZ3957" s="33" t="s">
        <v>238</v>
      </c>
      <c r="FA3957" s="33" t="s">
        <v>51</v>
      </c>
      <c r="FB3957" s="33" t="s">
        <v>52</v>
      </c>
      <c r="FC3957" s="33" t="s">
        <v>53</v>
      </c>
      <c r="FD3957" s="33" t="s">
        <v>54</v>
      </c>
      <c r="FE3957" s="33">
        <v>2019</v>
      </c>
      <c r="FF3957" s="33" t="s">
        <v>55</v>
      </c>
      <c r="FG3957" s="33" t="s">
        <v>71</v>
      </c>
      <c r="FH3957" s="33" t="s">
        <v>72</v>
      </c>
      <c r="FI3957" s="33" t="s">
        <v>73</v>
      </c>
      <c r="FJ3957" t="s">
        <v>59</v>
      </c>
    </row>
    <row r="3958" spans="153:166" x14ac:dyDescent="0.35">
      <c r="EW3958" t="s">
        <v>4093</v>
      </c>
      <c r="EX3958" s="33" t="s">
        <v>4856</v>
      </c>
      <c r="EY3958" s="33" t="s">
        <v>239</v>
      </c>
      <c r="EZ3958" s="33" t="s">
        <v>240</v>
      </c>
      <c r="FA3958" s="33" t="s">
        <v>51</v>
      </c>
      <c r="FB3958" s="33" t="s">
        <v>52</v>
      </c>
      <c r="FC3958" s="33" t="s">
        <v>53</v>
      </c>
      <c r="FD3958" s="33" t="s">
        <v>54</v>
      </c>
      <c r="FE3958" s="33">
        <v>2019</v>
      </c>
      <c r="FF3958" s="33" t="s">
        <v>55</v>
      </c>
      <c r="FG3958" s="33" t="s">
        <v>56</v>
      </c>
      <c r="FH3958" s="33" t="s">
        <v>57</v>
      </c>
      <c r="FI3958" s="33" t="s">
        <v>58</v>
      </c>
      <c r="FJ3958" t="s">
        <v>59</v>
      </c>
    </row>
    <row r="3959" spans="153:166" x14ac:dyDescent="0.35">
      <c r="EW3959" t="s">
        <v>4093</v>
      </c>
      <c r="EX3959" s="33" t="s">
        <v>4857</v>
      </c>
      <c r="EY3959" s="33" t="s">
        <v>241</v>
      </c>
      <c r="EZ3959" s="33" t="s">
        <v>242</v>
      </c>
      <c r="FA3959" s="33" t="s">
        <v>51</v>
      </c>
      <c r="FB3959" s="33" t="s">
        <v>52</v>
      </c>
      <c r="FC3959" s="33" t="s">
        <v>53</v>
      </c>
      <c r="FD3959" s="33" t="s">
        <v>54</v>
      </c>
      <c r="FE3959" s="33">
        <v>2019</v>
      </c>
      <c r="FF3959" s="33" t="s">
        <v>55</v>
      </c>
      <c r="FG3959" s="33" t="s">
        <v>56</v>
      </c>
      <c r="FH3959" s="33" t="s">
        <v>57</v>
      </c>
      <c r="FI3959" s="33" t="s">
        <v>58</v>
      </c>
      <c r="FJ3959" t="s">
        <v>59</v>
      </c>
    </row>
    <row r="3960" spans="153:166" x14ac:dyDescent="0.35">
      <c r="EW3960" t="s">
        <v>4093</v>
      </c>
      <c r="EX3960" s="33" t="s">
        <v>4858</v>
      </c>
      <c r="EY3960" s="33" t="s">
        <v>243</v>
      </c>
      <c r="EZ3960" s="33" t="s">
        <v>244</v>
      </c>
      <c r="FA3960" s="33" t="s">
        <v>51</v>
      </c>
      <c r="FB3960" s="33" t="s">
        <v>52</v>
      </c>
      <c r="FC3960" s="33" t="s">
        <v>53</v>
      </c>
      <c r="FD3960" s="33" t="s">
        <v>54</v>
      </c>
      <c r="FE3960" s="33">
        <v>2019</v>
      </c>
      <c r="FF3960" s="33" t="s">
        <v>55</v>
      </c>
      <c r="FG3960" s="33" t="s">
        <v>56</v>
      </c>
      <c r="FH3960" s="33" t="s">
        <v>57</v>
      </c>
      <c r="FI3960" s="33" t="s">
        <v>58</v>
      </c>
      <c r="FJ3960" t="s">
        <v>59</v>
      </c>
    </row>
    <row r="3961" spans="153:166" x14ac:dyDescent="0.35">
      <c r="EW3961" t="s">
        <v>4093</v>
      </c>
      <c r="EX3961" s="33" t="s">
        <v>4859</v>
      </c>
      <c r="EY3961" s="33" t="s">
        <v>248</v>
      </c>
      <c r="EZ3961" s="33" t="s">
        <v>249</v>
      </c>
      <c r="FA3961" s="33" t="s">
        <v>51</v>
      </c>
      <c r="FB3961" s="33" t="s">
        <v>52</v>
      </c>
      <c r="FC3961" s="33" t="s">
        <v>53</v>
      </c>
      <c r="FD3961" s="33" t="s">
        <v>54</v>
      </c>
      <c r="FE3961" s="33">
        <v>2019</v>
      </c>
      <c r="FF3961" s="33" t="s">
        <v>55</v>
      </c>
      <c r="FG3961" s="33" t="s">
        <v>56</v>
      </c>
      <c r="FH3961" s="33" t="s">
        <v>57</v>
      </c>
      <c r="FI3961" s="33" t="s">
        <v>58</v>
      </c>
      <c r="FJ3961" t="s">
        <v>59</v>
      </c>
    </row>
    <row r="3962" spans="153:166" x14ac:dyDescent="0.35">
      <c r="EW3962" t="s">
        <v>4093</v>
      </c>
      <c r="EX3962" s="33" t="s">
        <v>4860</v>
      </c>
      <c r="EY3962" s="33" t="s">
        <v>250</v>
      </c>
      <c r="EZ3962" s="33" t="s">
        <v>251</v>
      </c>
      <c r="FA3962" s="33" t="s">
        <v>51</v>
      </c>
      <c r="FB3962" s="33" t="s">
        <v>52</v>
      </c>
      <c r="FC3962" s="33" t="s">
        <v>53</v>
      </c>
      <c r="FD3962" s="33" t="s">
        <v>54</v>
      </c>
      <c r="FE3962" s="33">
        <v>2019</v>
      </c>
      <c r="FF3962" s="33" t="s">
        <v>55</v>
      </c>
      <c r="FG3962" s="33" t="s">
        <v>71</v>
      </c>
      <c r="FH3962" s="33" t="s">
        <v>72</v>
      </c>
      <c r="FI3962" s="33" t="s">
        <v>73</v>
      </c>
      <c r="FJ3962" t="s">
        <v>59</v>
      </c>
    </row>
    <row r="3963" spans="153:166" x14ac:dyDescent="0.35">
      <c r="EW3963" t="s">
        <v>4093</v>
      </c>
      <c r="EX3963" s="33" t="s">
        <v>4861</v>
      </c>
      <c r="EY3963" s="33" t="s">
        <v>252</v>
      </c>
      <c r="EZ3963" s="33" t="s">
        <v>253</v>
      </c>
      <c r="FA3963" s="33" t="s">
        <v>51</v>
      </c>
      <c r="FB3963" s="33" t="s">
        <v>52</v>
      </c>
      <c r="FC3963" s="33" t="s">
        <v>53</v>
      </c>
      <c r="FD3963" s="33" t="s">
        <v>54</v>
      </c>
      <c r="FE3963" s="33">
        <v>2019</v>
      </c>
      <c r="FF3963" s="33" t="s">
        <v>55</v>
      </c>
      <c r="FG3963" s="33" t="s">
        <v>56</v>
      </c>
      <c r="FH3963" s="33" t="s">
        <v>57</v>
      </c>
      <c r="FI3963" s="33" t="s">
        <v>58</v>
      </c>
      <c r="FJ3963" t="s">
        <v>59</v>
      </c>
    </row>
    <row r="3964" spans="153:166" x14ac:dyDescent="0.35">
      <c r="EW3964" t="s">
        <v>4093</v>
      </c>
      <c r="EX3964" s="33" t="s">
        <v>4862</v>
      </c>
      <c r="EY3964" s="33" t="s">
        <v>254</v>
      </c>
      <c r="EZ3964" s="33" t="s">
        <v>255</v>
      </c>
      <c r="FA3964" s="33" t="s">
        <v>51</v>
      </c>
      <c r="FB3964" s="33" t="s">
        <v>52</v>
      </c>
      <c r="FC3964" s="33" t="s">
        <v>53</v>
      </c>
      <c r="FD3964" s="33" t="s">
        <v>54</v>
      </c>
      <c r="FE3964" s="33">
        <v>2019</v>
      </c>
      <c r="FF3964" s="33" t="s">
        <v>55</v>
      </c>
      <c r="FG3964" s="33" t="s">
        <v>56</v>
      </c>
      <c r="FH3964" s="33" t="s">
        <v>57</v>
      </c>
      <c r="FI3964" s="33" t="s">
        <v>58</v>
      </c>
      <c r="FJ3964" t="s">
        <v>59</v>
      </c>
    </row>
    <row r="3965" spans="153:166" x14ac:dyDescent="0.35">
      <c r="EW3965" t="s">
        <v>4093</v>
      </c>
      <c r="EX3965" s="33" t="s">
        <v>4863</v>
      </c>
      <c r="EY3965" s="33" t="s">
        <v>256</v>
      </c>
      <c r="EZ3965" s="33" t="s">
        <v>257</v>
      </c>
      <c r="FA3965" s="33" t="s">
        <v>51</v>
      </c>
      <c r="FB3965" s="33" t="s">
        <v>52</v>
      </c>
      <c r="FC3965" s="33" t="s">
        <v>53</v>
      </c>
      <c r="FD3965" s="33" t="s">
        <v>54</v>
      </c>
      <c r="FE3965" s="33">
        <v>2019</v>
      </c>
      <c r="FF3965" s="33" t="s">
        <v>55</v>
      </c>
      <c r="FG3965" s="33" t="s">
        <v>56</v>
      </c>
      <c r="FH3965" s="33" t="s">
        <v>57</v>
      </c>
      <c r="FI3965" s="33" t="s">
        <v>58</v>
      </c>
      <c r="FJ3965" t="s">
        <v>59</v>
      </c>
    </row>
    <row r="3966" spans="153:166" x14ac:dyDescent="0.35">
      <c r="EW3966" t="s">
        <v>4093</v>
      </c>
      <c r="EX3966" s="33" t="s">
        <v>4864</v>
      </c>
      <c r="EY3966" s="33" t="s">
        <v>261</v>
      </c>
      <c r="EZ3966" s="33" t="s">
        <v>262</v>
      </c>
      <c r="FA3966" s="33" t="s">
        <v>51</v>
      </c>
      <c r="FB3966" s="33" t="s">
        <v>52</v>
      </c>
      <c r="FC3966" s="33" t="s">
        <v>53</v>
      </c>
      <c r="FD3966" s="33" t="s">
        <v>54</v>
      </c>
      <c r="FE3966" s="33">
        <v>2019</v>
      </c>
      <c r="FF3966" s="33" t="s">
        <v>55</v>
      </c>
      <c r="FG3966" s="33" t="s">
        <v>71</v>
      </c>
      <c r="FH3966" s="33" t="s">
        <v>72</v>
      </c>
      <c r="FI3966" s="33" t="s">
        <v>73</v>
      </c>
      <c r="FJ3966" t="s">
        <v>59</v>
      </c>
    </row>
    <row r="3967" spans="153:166" x14ac:dyDescent="0.35">
      <c r="EW3967" t="s">
        <v>4093</v>
      </c>
      <c r="EX3967" s="33" t="s">
        <v>4865</v>
      </c>
      <c r="EY3967" s="33" t="s">
        <v>263</v>
      </c>
      <c r="EZ3967" s="33" t="s">
        <v>264</v>
      </c>
      <c r="FA3967" s="33" t="s">
        <v>51</v>
      </c>
      <c r="FB3967" s="33" t="s">
        <v>52</v>
      </c>
      <c r="FC3967" s="33" t="s">
        <v>53</v>
      </c>
      <c r="FD3967" s="33" t="s">
        <v>54</v>
      </c>
      <c r="FE3967" s="33">
        <v>2019</v>
      </c>
      <c r="FF3967" s="33" t="s">
        <v>55</v>
      </c>
      <c r="FG3967" s="33" t="s">
        <v>56</v>
      </c>
      <c r="FH3967" s="33" t="s">
        <v>57</v>
      </c>
      <c r="FI3967" s="33" t="s">
        <v>58</v>
      </c>
      <c r="FJ3967" t="s">
        <v>59</v>
      </c>
    </row>
    <row r="3968" spans="153:166" x14ac:dyDescent="0.35">
      <c r="EW3968" t="s">
        <v>4093</v>
      </c>
      <c r="EX3968" s="33" t="s">
        <v>4866</v>
      </c>
      <c r="EY3968" s="33" t="s">
        <v>265</v>
      </c>
      <c r="EZ3968" s="33" t="s">
        <v>266</v>
      </c>
      <c r="FA3968" s="33" t="s">
        <v>51</v>
      </c>
      <c r="FB3968" s="33" t="s">
        <v>52</v>
      </c>
      <c r="FC3968" s="33" t="s">
        <v>53</v>
      </c>
      <c r="FD3968" s="33" t="s">
        <v>54</v>
      </c>
      <c r="FE3968" s="33">
        <v>2019</v>
      </c>
      <c r="FF3968" s="33" t="s">
        <v>55</v>
      </c>
      <c r="FG3968" s="33" t="s">
        <v>56</v>
      </c>
      <c r="FH3968" s="33" t="s">
        <v>57</v>
      </c>
      <c r="FI3968" s="33" t="s">
        <v>58</v>
      </c>
      <c r="FJ3968" t="s">
        <v>59</v>
      </c>
    </row>
    <row r="3969" spans="153:166" x14ac:dyDescent="0.35">
      <c r="EW3969" t="s">
        <v>4093</v>
      </c>
      <c r="EX3969" s="33" t="s">
        <v>4867</v>
      </c>
      <c r="EY3969" s="33" t="s">
        <v>267</v>
      </c>
      <c r="EZ3969" s="33" t="s">
        <v>268</v>
      </c>
      <c r="FA3969" s="33" t="s">
        <v>51</v>
      </c>
      <c r="FB3969" s="33" t="s">
        <v>52</v>
      </c>
      <c r="FC3969" s="33" t="s">
        <v>53</v>
      </c>
      <c r="FD3969" s="33" t="s">
        <v>54</v>
      </c>
      <c r="FE3969" s="33">
        <v>2019</v>
      </c>
      <c r="FF3969" s="33" t="s">
        <v>55</v>
      </c>
      <c r="FG3969" s="33" t="s">
        <v>71</v>
      </c>
      <c r="FH3969" s="33" t="s">
        <v>72</v>
      </c>
      <c r="FI3969" s="33" t="s">
        <v>73</v>
      </c>
      <c r="FJ3969" t="s">
        <v>59</v>
      </c>
    </row>
    <row r="3970" spans="153:166" x14ac:dyDescent="0.35">
      <c r="EW3970" t="s">
        <v>4093</v>
      </c>
      <c r="EX3970" s="33" t="s">
        <v>4868</v>
      </c>
      <c r="EY3970" s="33" t="s">
        <v>269</v>
      </c>
      <c r="EZ3970" s="33" t="s">
        <v>270</v>
      </c>
      <c r="FA3970" s="33" t="s">
        <v>51</v>
      </c>
      <c r="FB3970" s="33" t="s">
        <v>52</v>
      </c>
      <c r="FC3970" s="33" t="s">
        <v>53</v>
      </c>
      <c r="FD3970" s="33" t="s">
        <v>54</v>
      </c>
      <c r="FE3970" s="33">
        <v>2019</v>
      </c>
      <c r="FF3970" s="33" t="s">
        <v>55</v>
      </c>
      <c r="FG3970" s="33" t="s">
        <v>71</v>
      </c>
      <c r="FH3970" s="33" t="s">
        <v>72</v>
      </c>
      <c r="FI3970" s="33" t="s">
        <v>73</v>
      </c>
      <c r="FJ3970" t="s">
        <v>59</v>
      </c>
    </row>
    <row r="3971" spans="153:166" x14ac:dyDescent="0.35">
      <c r="EW3971" t="s">
        <v>4093</v>
      </c>
      <c r="EX3971" s="33" t="s">
        <v>4869</v>
      </c>
      <c r="EY3971" s="33" t="s">
        <v>274</v>
      </c>
      <c r="EZ3971" s="33" t="s">
        <v>275</v>
      </c>
      <c r="FA3971" s="33" t="s">
        <v>51</v>
      </c>
      <c r="FB3971" s="33" t="s">
        <v>52</v>
      </c>
      <c r="FC3971" s="33" t="s">
        <v>53</v>
      </c>
      <c r="FD3971" s="33" t="s">
        <v>54</v>
      </c>
      <c r="FE3971" s="33">
        <v>2019</v>
      </c>
      <c r="FF3971" s="33" t="s">
        <v>55</v>
      </c>
      <c r="FG3971" s="33" t="s">
        <v>71</v>
      </c>
      <c r="FH3971" s="33" t="s">
        <v>72</v>
      </c>
      <c r="FI3971" s="33" t="s">
        <v>73</v>
      </c>
      <c r="FJ3971" t="s">
        <v>59</v>
      </c>
    </row>
    <row r="3972" spans="153:166" x14ac:dyDescent="0.35">
      <c r="EW3972" t="s">
        <v>4093</v>
      </c>
      <c r="EX3972" s="33" t="s">
        <v>4870</v>
      </c>
      <c r="EY3972" s="33" t="s">
        <v>276</v>
      </c>
      <c r="EZ3972" s="33" t="s">
        <v>277</v>
      </c>
      <c r="FA3972" s="33" t="s">
        <v>51</v>
      </c>
      <c r="FB3972" s="33" t="s">
        <v>52</v>
      </c>
      <c r="FC3972" s="33" t="s">
        <v>53</v>
      </c>
      <c r="FD3972" s="33" t="s">
        <v>54</v>
      </c>
      <c r="FE3972" s="33">
        <v>2019</v>
      </c>
      <c r="FF3972" s="33" t="s">
        <v>55</v>
      </c>
      <c r="FG3972" s="33" t="s">
        <v>71</v>
      </c>
      <c r="FH3972" s="33" t="s">
        <v>72</v>
      </c>
      <c r="FI3972" s="33" t="s">
        <v>73</v>
      </c>
      <c r="FJ3972" t="s">
        <v>59</v>
      </c>
    </row>
    <row r="3973" spans="153:166" x14ac:dyDescent="0.35">
      <c r="EW3973" t="s">
        <v>4093</v>
      </c>
      <c r="EX3973" s="33" t="s">
        <v>4871</v>
      </c>
      <c r="EY3973" s="33" t="s">
        <v>281</v>
      </c>
      <c r="EZ3973" s="33" t="s">
        <v>282</v>
      </c>
      <c r="FA3973" s="33" t="s">
        <v>51</v>
      </c>
      <c r="FB3973" s="33" t="s">
        <v>52</v>
      </c>
      <c r="FC3973" s="33" t="s">
        <v>53</v>
      </c>
      <c r="FD3973" s="33" t="s">
        <v>54</v>
      </c>
      <c r="FE3973" s="33">
        <v>2019</v>
      </c>
      <c r="FF3973" s="33" t="s">
        <v>55</v>
      </c>
      <c r="FG3973" s="33" t="s">
        <v>56</v>
      </c>
      <c r="FH3973" s="33" t="s">
        <v>57</v>
      </c>
      <c r="FI3973" s="33" t="s">
        <v>58</v>
      </c>
      <c r="FJ3973" t="s">
        <v>59</v>
      </c>
    </row>
    <row r="3974" spans="153:166" x14ac:dyDescent="0.35">
      <c r="EW3974" t="s">
        <v>4093</v>
      </c>
      <c r="EX3974" s="33" t="s">
        <v>4872</v>
      </c>
      <c r="EY3974" s="33" t="s">
        <v>283</v>
      </c>
      <c r="EZ3974" s="33" t="s">
        <v>284</v>
      </c>
      <c r="FA3974" s="33" t="s">
        <v>51</v>
      </c>
      <c r="FB3974" s="33" t="s">
        <v>52</v>
      </c>
      <c r="FC3974" s="33" t="s">
        <v>53</v>
      </c>
      <c r="FD3974" s="33" t="s">
        <v>54</v>
      </c>
      <c r="FE3974" s="33">
        <v>2019</v>
      </c>
      <c r="FF3974" s="33" t="s">
        <v>55</v>
      </c>
      <c r="FG3974" s="33" t="s">
        <v>71</v>
      </c>
      <c r="FH3974" s="33" t="s">
        <v>72</v>
      </c>
      <c r="FI3974" s="33" t="s">
        <v>73</v>
      </c>
      <c r="FJ3974" t="s">
        <v>59</v>
      </c>
    </row>
    <row r="3975" spans="153:166" x14ac:dyDescent="0.35">
      <c r="EW3975" t="s">
        <v>4093</v>
      </c>
      <c r="EX3975" s="33" t="s">
        <v>4873</v>
      </c>
      <c r="EY3975" s="33" t="s">
        <v>285</v>
      </c>
      <c r="EZ3975" s="33" t="s">
        <v>286</v>
      </c>
      <c r="FA3975" s="33" t="s">
        <v>51</v>
      </c>
      <c r="FB3975" s="33" t="s">
        <v>52</v>
      </c>
      <c r="FC3975" s="33" t="s">
        <v>53</v>
      </c>
      <c r="FD3975" s="33" t="s">
        <v>54</v>
      </c>
      <c r="FE3975" s="33">
        <v>2019</v>
      </c>
      <c r="FF3975" s="33" t="s">
        <v>55</v>
      </c>
      <c r="FG3975" s="33" t="s">
        <v>56</v>
      </c>
      <c r="FH3975" s="33" t="s">
        <v>57</v>
      </c>
      <c r="FI3975" s="33" t="s">
        <v>58</v>
      </c>
      <c r="FJ3975" t="s">
        <v>59</v>
      </c>
    </row>
    <row r="3976" spans="153:166" x14ac:dyDescent="0.35">
      <c r="EW3976" t="s">
        <v>4093</v>
      </c>
      <c r="EX3976" s="33" t="s">
        <v>4874</v>
      </c>
      <c r="EY3976" s="33" t="s">
        <v>287</v>
      </c>
      <c r="EZ3976" s="33" t="s">
        <v>288</v>
      </c>
      <c r="FA3976" s="33" t="s">
        <v>51</v>
      </c>
      <c r="FB3976" s="33" t="s">
        <v>52</v>
      </c>
      <c r="FC3976" s="33" t="s">
        <v>53</v>
      </c>
      <c r="FD3976" s="33" t="s">
        <v>54</v>
      </c>
      <c r="FE3976" s="33">
        <v>2019</v>
      </c>
      <c r="FF3976" s="33" t="s">
        <v>55</v>
      </c>
      <c r="FG3976" s="33" t="s">
        <v>56</v>
      </c>
      <c r="FH3976" s="33" t="s">
        <v>57</v>
      </c>
      <c r="FI3976" s="33" t="s">
        <v>58</v>
      </c>
      <c r="FJ3976" t="s">
        <v>59</v>
      </c>
    </row>
    <row r="3977" spans="153:166" x14ac:dyDescent="0.35">
      <c r="EW3977" t="s">
        <v>4093</v>
      </c>
      <c r="EX3977" s="33" t="s">
        <v>4875</v>
      </c>
      <c r="EY3977" s="33" t="s">
        <v>289</v>
      </c>
      <c r="EZ3977" s="33" t="s">
        <v>290</v>
      </c>
      <c r="FA3977" s="33" t="s">
        <v>51</v>
      </c>
      <c r="FB3977" s="33" t="s">
        <v>52</v>
      </c>
      <c r="FC3977" s="33" t="s">
        <v>53</v>
      </c>
      <c r="FD3977" s="33" t="s">
        <v>54</v>
      </c>
      <c r="FE3977" s="33">
        <v>2019</v>
      </c>
      <c r="FF3977" s="33" t="s">
        <v>55</v>
      </c>
      <c r="FG3977" s="33" t="s">
        <v>71</v>
      </c>
      <c r="FH3977" s="33" t="s">
        <v>72</v>
      </c>
      <c r="FI3977" s="33" t="s">
        <v>73</v>
      </c>
      <c r="FJ3977" t="s">
        <v>59</v>
      </c>
    </row>
    <row r="3978" spans="153:166" x14ac:dyDescent="0.35">
      <c r="EW3978" t="s">
        <v>4093</v>
      </c>
      <c r="EX3978" s="33" t="s">
        <v>4876</v>
      </c>
      <c r="EY3978" s="33" t="s">
        <v>291</v>
      </c>
      <c r="EZ3978" s="33" t="s">
        <v>292</v>
      </c>
      <c r="FA3978" s="33" t="s">
        <v>51</v>
      </c>
      <c r="FB3978" s="33" t="s">
        <v>52</v>
      </c>
      <c r="FC3978" s="33" t="s">
        <v>53</v>
      </c>
      <c r="FD3978" s="33" t="s">
        <v>54</v>
      </c>
      <c r="FE3978" s="33">
        <v>2019</v>
      </c>
      <c r="FF3978" s="33" t="s">
        <v>55</v>
      </c>
      <c r="FG3978" s="33" t="s">
        <v>71</v>
      </c>
      <c r="FH3978" s="33" t="s">
        <v>72</v>
      </c>
      <c r="FI3978" s="33" t="s">
        <v>73</v>
      </c>
      <c r="FJ3978" t="s">
        <v>59</v>
      </c>
    </row>
    <row r="3979" spans="153:166" x14ac:dyDescent="0.35">
      <c r="EW3979" t="s">
        <v>4093</v>
      </c>
      <c r="EX3979" s="33" t="s">
        <v>4877</v>
      </c>
      <c r="EY3979" s="33" t="s">
        <v>293</v>
      </c>
      <c r="EZ3979" s="33" t="s">
        <v>294</v>
      </c>
      <c r="FA3979" s="33" t="s">
        <v>51</v>
      </c>
      <c r="FB3979" s="33" t="s">
        <v>52</v>
      </c>
      <c r="FC3979" s="33" t="s">
        <v>53</v>
      </c>
      <c r="FD3979" s="33" t="s">
        <v>54</v>
      </c>
      <c r="FE3979" s="33">
        <v>2019</v>
      </c>
      <c r="FF3979" s="33" t="s">
        <v>55</v>
      </c>
      <c r="FG3979" s="33" t="s">
        <v>71</v>
      </c>
      <c r="FH3979" s="33" t="s">
        <v>72</v>
      </c>
      <c r="FI3979" s="33" t="s">
        <v>73</v>
      </c>
      <c r="FJ3979" t="s">
        <v>59</v>
      </c>
    </row>
    <row r="3980" spans="153:166" x14ac:dyDescent="0.35">
      <c r="EW3980" t="s">
        <v>4093</v>
      </c>
      <c r="EX3980" s="33" t="s">
        <v>4878</v>
      </c>
      <c r="EY3980" s="33" t="s">
        <v>298</v>
      </c>
      <c r="EZ3980" s="33" t="s">
        <v>299</v>
      </c>
      <c r="FA3980" s="33" t="s">
        <v>51</v>
      </c>
      <c r="FB3980" s="33" t="s">
        <v>52</v>
      </c>
      <c r="FC3980" s="33" t="s">
        <v>53</v>
      </c>
      <c r="FD3980" s="33" t="s">
        <v>54</v>
      </c>
      <c r="FE3980" s="33">
        <v>2019</v>
      </c>
      <c r="FF3980" s="33" t="s">
        <v>55</v>
      </c>
      <c r="FG3980" s="33" t="s">
        <v>71</v>
      </c>
      <c r="FH3980" s="33" t="s">
        <v>72</v>
      </c>
      <c r="FI3980" s="33" t="s">
        <v>73</v>
      </c>
      <c r="FJ3980" t="s">
        <v>59</v>
      </c>
    </row>
    <row r="3981" spans="153:166" x14ac:dyDescent="0.35">
      <c r="EW3981" t="s">
        <v>4093</v>
      </c>
      <c r="EX3981" s="33" t="s">
        <v>4879</v>
      </c>
      <c r="EY3981" s="33" t="s">
        <v>300</v>
      </c>
      <c r="EZ3981" s="33" t="s">
        <v>301</v>
      </c>
      <c r="FA3981" s="33" t="s">
        <v>51</v>
      </c>
      <c r="FB3981" s="33" t="s">
        <v>52</v>
      </c>
      <c r="FC3981" s="33" t="s">
        <v>53</v>
      </c>
      <c r="FD3981" s="33" t="s">
        <v>54</v>
      </c>
      <c r="FE3981" s="33">
        <v>2019</v>
      </c>
      <c r="FF3981" s="33" t="s">
        <v>55</v>
      </c>
      <c r="FG3981" s="33" t="s">
        <v>56</v>
      </c>
      <c r="FH3981" s="33" t="s">
        <v>57</v>
      </c>
      <c r="FI3981" s="33" t="s">
        <v>58</v>
      </c>
      <c r="FJ3981" t="s">
        <v>59</v>
      </c>
    </row>
    <row r="3982" spans="153:166" x14ac:dyDescent="0.35">
      <c r="EW3982" t="s">
        <v>4093</v>
      </c>
      <c r="EX3982" s="33" t="s">
        <v>4880</v>
      </c>
      <c r="EY3982" s="33" t="s">
        <v>302</v>
      </c>
      <c r="EZ3982" s="33" t="s">
        <v>303</v>
      </c>
      <c r="FA3982" s="33" t="s">
        <v>51</v>
      </c>
      <c r="FB3982" s="33" t="s">
        <v>52</v>
      </c>
      <c r="FC3982" s="33" t="s">
        <v>53</v>
      </c>
      <c r="FD3982" s="33" t="s">
        <v>54</v>
      </c>
      <c r="FE3982" s="33">
        <v>2019</v>
      </c>
      <c r="FF3982" s="33" t="s">
        <v>55</v>
      </c>
      <c r="FG3982" s="33" t="s">
        <v>71</v>
      </c>
      <c r="FH3982" s="33" t="s">
        <v>72</v>
      </c>
      <c r="FI3982" s="33" t="s">
        <v>73</v>
      </c>
      <c r="FJ3982" t="s">
        <v>59</v>
      </c>
    </row>
    <row r="3983" spans="153:166" x14ac:dyDescent="0.35">
      <c r="EW3983" t="s">
        <v>4093</v>
      </c>
      <c r="EX3983" s="33" t="s">
        <v>4881</v>
      </c>
      <c r="EY3983" s="33" t="s">
        <v>304</v>
      </c>
      <c r="EZ3983" s="33" t="s">
        <v>305</v>
      </c>
      <c r="FA3983" s="33" t="s">
        <v>51</v>
      </c>
      <c r="FB3983" s="33" t="s">
        <v>52</v>
      </c>
      <c r="FC3983" s="33" t="s">
        <v>53</v>
      </c>
      <c r="FD3983" s="33" t="s">
        <v>54</v>
      </c>
      <c r="FE3983" s="33">
        <v>2019</v>
      </c>
      <c r="FF3983" s="33" t="s">
        <v>55</v>
      </c>
      <c r="FG3983" s="33" t="s">
        <v>71</v>
      </c>
      <c r="FH3983" s="33" t="s">
        <v>72</v>
      </c>
      <c r="FI3983" s="33" t="s">
        <v>73</v>
      </c>
      <c r="FJ3983" t="s">
        <v>59</v>
      </c>
    </row>
    <row r="3984" spans="153:166" x14ac:dyDescent="0.35">
      <c r="EW3984" t="s">
        <v>4093</v>
      </c>
      <c r="EX3984" s="33" t="s">
        <v>4882</v>
      </c>
      <c r="EY3984" s="33" t="s">
        <v>306</v>
      </c>
      <c r="EZ3984" s="33" t="s">
        <v>307</v>
      </c>
      <c r="FA3984" s="33" t="s">
        <v>51</v>
      </c>
      <c r="FB3984" s="33" t="s">
        <v>52</v>
      </c>
      <c r="FC3984" s="33" t="s">
        <v>53</v>
      </c>
      <c r="FD3984" s="33" t="s">
        <v>54</v>
      </c>
      <c r="FE3984" s="33">
        <v>2019</v>
      </c>
      <c r="FF3984" s="33" t="s">
        <v>55</v>
      </c>
      <c r="FG3984" s="33" t="s">
        <v>56</v>
      </c>
      <c r="FH3984" s="33" t="s">
        <v>57</v>
      </c>
      <c r="FI3984" s="33" t="s">
        <v>58</v>
      </c>
      <c r="FJ3984" t="s">
        <v>59</v>
      </c>
    </row>
    <row r="3985" spans="153:166" x14ac:dyDescent="0.35">
      <c r="EW3985" t="s">
        <v>4093</v>
      </c>
      <c r="EX3985" s="33" t="s">
        <v>4883</v>
      </c>
      <c r="EY3985" s="33" t="s">
        <v>311</v>
      </c>
      <c r="EZ3985" s="33" t="s">
        <v>312</v>
      </c>
      <c r="FA3985" s="33" t="s">
        <v>51</v>
      </c>
      <c r="FB3985" s="33" t="s">
        <v>52</v>
      </c>
      <c r="FC3985" s="33" t="s">
        <v>53</v>
      </c>
      <c r="FD3985" s="33" t="s">
        <v>54</v>
      </c>
      <c r="FE3985" s="33">
        <v>2019</v>
      </c>
      <c r="FF3985" s="33" t="s">
        <v>55</v>
      </c>
      <c r="FG3985" s="33" t="s">
        <v>71</v>
      </c>
      <c r="FH3985" s="33" t="s">
        <v>72</v>
      </c>
      <c r="FI3985" s="33" t="s">
        <v>73</v>
      </c>
      <c r="FJ3985" t="s">
        <v>59</v>
      </c>
    </row>
    <row r="3986" spans="153:166" x14ac:dyDescent="0.35">
      <c r="EW3986" t="s">
        <v>4093</v>
      </c>
      <c r="EX3986" s="33" t="s">
        <v>4790</v>
      </c>
      <c r="EY3986" s="33" t="s">
        <v>313</v>
      </c>
      <c r="EZ3986" s="33" t="s">
        <v>314</v>
      </c>
      <c r="FA3986" s="33" t="s">
        <v>51</v>
      </c>
      <c r="FB3986" s="33" t="s">
        <v>52</v>
      </c>
      <c r="FC3986" s="33" t="s">
        <v>53</v>
      </c>
      <c r="FD3986" s="33" t="s">
        <v>54</v>
      </c>
      <c r="FE3986" s="33">
        <v>2019</v>
      </c>
      <c r="FF3986" s="33" t="s">
        <v>55</v>
      </c>
      <c r="FG3986" s="33" t="s">
        <v>56</v>
      </c>
      <c r="FH3986" s="33" t="s">
        <v>57</v>
      </c>
      <c r="FI3986" s="33" t="s">
        <v>58</v>
      </c>
      <c r="FJ3986" t="s">
        <v>59</v>
      </c>
    </row>
    <row r="3987" spans="153:166" x14ac:dyDescent="0.35">
      <c r="EW3987" t="s">
        <v>4093</v>
      </c>
      <c r="EX3987" s="33" t="s">
        <v>4884</v>
      </c>
      <c r="EY3987" s="33" t="s">
        <v>315</v>
      </c>
      <c r="EZ3987" s="33" t="s">
        <v>316</v>
      </c>
      <c r="FA3987" s="33" t="s">
        <v>51</v>
      </c>
      <c r="FB3987" s="33" t="s">
        <v>52</v>
      </c>
      <c r="FC3987" s="33" t="s">
        <v>53</v>
      </c>
      <c r="FD3987" s="33" t="s">
        <v>54</v>
      </c>
      <c r="FE3987" s="33">
        <v>2019</v>
      </c>
      <c r="FF3987" s="33" t="s">
        <v>55</v>
      </c>
      <c r="FG3987" s="33" t="s">
        <v>71</v>
      </c>
      <c r="FH3987" s="33" t="s">
        <v>72</v>
      </c>
      <c r="FI3987" s="33" t="s">
        <v>73</v>
      </c>
      <c r="FJ3987" t="s">
        <v>59</v>
      </c>
    </row>
    <row r="3988" spans="153:166" x14ac:dyDescent="0.35">
      <c r="EW3988" t="s">
        <v>4093</v>
      </c>
      <c r="EX3988" s="33" t="s">
        <v>4885</v>
      </c>
      <c r="EY3988" s="33" t="s">
        <v>317</v>
      </c>
      <c r="EZ3988" s="33" t="s">
        <v>318</v>
      </c>
      <c r="FA3988" s="33" t="s">
        <v>51</v>
      </c>
      <c r="FB3988" s="33" t="s">
        <v>52</v>
      </c>
      <c r="FC3988" s="33" t="s">
        <v>53</v>
      </c>
      <c r="FD3988" s="33" t="s">
        <v>54</v>
      </c>
      <c r="FE3988" s="33">
        <v>2019</v>
      </c>
      <c r="FF3988" s="33" t="s">
        <v>55</v>
      </c>
      <c r="FG3988" s="33" t="s">
        <v>71</v>
      </c>
      <c r="FH3988" s="33" t="s">
        <v>72</v>
      </c>
      <c r="FI3988" s="33" t="s">
        <v>73</v>
      </c>
      <c r="FJ3988" t="s">
        <v>59</v>
      </c>
    </row>
    <row r="3989" spans="153:166" x14ac:dyDescent="0.35">
      <c r="EW3989" t="s">
        <v>4093</v>
      </c>
      <c r="EX3989" s="33" t="s">
        <v>4886</v>
      </c>
      <c r="EY3989" s="33" t="s">
        <v>322</v>
      </c>
      <c r="EZ3989" s="33" t="s">
        <v>323</v>
      </c>
      <c r="FA3989" s="33" t="s">
        <v>51</v>
      </c>
      <c r="FB3989" s="33" t="s">
        <v>52</v>
      </c>
      <c r="FC3989" s="33" t="s">
        <v>53</v>
      </c>
      <c r="FD3989" s="33" t="s">
        <v>54</v>
      </c>
      <c r="FE3989" s="33">
        <v>2019</v>
      </c>
      <c r="FF3989" s="33" t="s">
        <v>55</v>
      </c>
      <c r="FG3989" s="33" t="s">
        <v>71</v>
      </c>
      <c r="FH3989" s="33" t="s">
        <v>72</v>
      </c>
      <c r="FI3989" s="33" t="s">
        <v>73</v>
      </c>
      <c r="FJ3989" t="s">
        <v>59</v>
      </c>
    </row>
    <row r="3990" spans="153:166" x14ac:dyDescent="0.35">
      <c r="EW3990" t="s">
        <v>4093</v>
      </c>
      <c r="EX3990" s="33" t="s">
        <v>4887</v>
      </c>
      <c r="EY3990" s="33" t="s">
        <v>324</v>
      </c>
      <c r="EZ3990" s="33" t="s">
        <v>325</v>
      </c>
      <c r="FA3990" s="33" t="s">
        <v>51</v>
      </c>
      <c r="FB3990" s="33" t="s">
        <v>52</v>
      </c>
      <c r="FC3990" s="33" t="s">
        <v>53</v>
      </c>
      <c r="FD3990" s="33" t="s">
        <v>54</v>
      </c>
      <c r="FE3990" s="33">
        <v>2019</v>
      </c>
      <c r="FF3990" s="33" t="s">
        <v>55</v>
      </c>
      <c r="FG3990" s="33" t="s">
        <v>71</v>
      </c>
      <c r="FH3990" s="33" t="s">
        <v>72</v>
      </c>
      <c r="FI3990" s="33" t="s">
        <v>73</v>
      </c>
      <c r="FJ3990" t="s">
        <v>59</v>
      </c>
    </row>
    <row r="3991" spans="153:166" x14ac:dyDescent="0.35">
      <c r="EW3991" t="s">
        <v>4093</v>
      </c>
      <c r="EX3991" s="33" t="s">
        <v>4888</v>
      </c>
      <c r="EY3991" s="33" t="s">
        <v>326</v>
      </c>
      <c r="EZ3991" s="33" t="s">
        <v>327</v>
      </c>
      <c r="FA3991" s="33" t="s">
        <v>51</v>
      </c>
      <c r="FB3991" s="33" t="s">
        <v>52</v>
      </c>
      <c r="FC3991" s="33" t="s">
        <v>53</v>
      </c>
      <c r="FD3991" s="33" t="s">
        <v>54</v>
      </c>
      <c r="FE3991" s="33">
        <v>2019</v>
      </c>
      <c r="FF3991" s="33" t="s">
        <v>55</v>
      </c>
      <c r="FG3991" s="33" t="s">
        <v>71</v>
      </c>
      <c r="FH3991" s="33" t="s">
        <v>72</v>
      </c>
      <c r="FI3991" s="33" t="s">
        <v>73</v>
      </c>
      <c r="FJ3991" t="s">
        <v>59</v>
      </c>
    </row>
    <row r="3992" spans="153:166" x14ac:dyDescent="0.35">
      <c r="EW3992" t="s">
        <v>4093</v>
      </c>
      <c r="EX3992" s="33" t="s">
        <v>4889</v>
      </c>
      <c r="EY3992" s="33" t="s">
        <v>328</v>
      </c>
      <c r="EZ3992" s="33" t="s">
        <v>329</v>
      </c>
      <c r="FA3992" s="33" t="s">
        <v>51</v>
      </c>
      <c r="FB3992" s="33" t="s">
        <v>52</v>
      </c>
      <c r="FC3992" s="33" t="s">
        <v>53</v>
      </c>
      <c r="FD3992" s="33" t="s">
        <v>54</v>
      </c>
      <c r="FE3992" s="33">
        <v>2019</v>
      </c>
      <c r="FF3992" s="33" t="s">
        <v>55</v>
      </c>
      <c r="FG3992" s="33" t="s">
        <v>71</v>
      </c>
      <c r="FH3992" s="33" t="s">
        <v>72</v>
      </c>
      <c r="FI3992" s="33" t="s">
        <v>73</v>
      </c>
      <c r="FJ3992" t="s">
        <v>59</v>
      </c>
    </row>
    <row r="3993" spans="153:166" x14ac:dyDescent="0.35">
      <c r="EW3993" t="s">
        <v>4093</v>
      </c>
      <c r="EX3993" s="33" t="s">
        <v>4890</v>
      </c>
      <c r="EY3993" s="33" t="s">
        <v>330</v>
      </c>
      <c r="EZ3993" s="33" t="s">
        <v>331</v>
      </c>
      <c r="FA3993" s="33" t="s">
        <v>51</v>
      </c>
      <c r="FB3993" s="33" t="s">
        <v>52</v>
      </c>
      <c r="FC3993" s="33" t="s">
        <v>53</v>
      </c>
      <c r="FD3993" s="33" t="s">
        <v>54</v>
      </c>
      <c r="FE3993" s="33">
        <v>2019</v>
      </c>
      <c r="FF3993" s="33" t="s">
        <v>55</v>
      </c>
      <c r="FG3993" s="33" t="s">
        <v>71</v>
      </c>
      <c r="FH3993" s="33" t="s">
        <v>72</v>
      </c>
      <c r="FI3993" s="33" t="s">
        <v>73</v>
      </c>
      <c r="FJ3993" t="s">
        <v>59</v>
      </c>
    </row>
    <row r="3994" spans="153:166" x14ac:dyDescent="0.35">
      <c r="EW3994" t="s">
        <v>4093</v>
      </c>
      <c r="EX3994" s="33" t="s">
        <v>4891</v>
      </c>
      <c r="EY3994" s="33" t="s">
        <v>332</v>
      </c>
      <c r="EZ3994" s="33" t="s">
        <v>333</v>
      </c>
      <c r="FA3994" s="33" t="s">
        <v>51</v>
      </c>
      <c r="FB3994" s="33" t="s">
        <v>52</v>
      </c>
      <c r="FC3994" s="33" t="s">
        <v>53</v>
      </c>
      <c r="FD3994" s="33" t="s">
        <v>54</v>
      </c>
      <c r="FE3994" s="33">
        <v>2019</v>
      </c>
      <c r="FF3994" s="33" t="s">
        <v>55</v>
      </c>
      <c r="FG3994" s="33" t="s">
        <v>71</v>
      </c>
      <c r="FH3994" s="33" t="s">
        <v>72</v>
      </c>
      <c r="FI3994" s="33" t="s">
        <v>73</v>
      </c>
      <c r="FJ3994" t="s">
        <v>59</v>
      </c>
    </row>
    <row r="3995" spans="153:166" x14ac:dyDescent="0.35">
      <c r="EW3995" t="s">
        <v>4093</v>
      </c>
      <c r="EX3995" s="33" t="s">
        <v>4892</v>
      </c>
      <c r="EY3995" s="33" t="s">
        <v>334</v>
      </c>
      <c r="EZ3995" s="33" t="s">
        <v>335</v>
      </c>
      <c r="FA3995" s="33" t="s">
        <v>51</v>
      </c>
      <c r="FB3995" s="33" t="s">
        <v>52</v>
      </c>
      <c r="FC3995" s="33" t="s">
        <v>53</v>
      </c>
      <c r="FD3995" s="33" t="s">
        <v>54</v>
      </c>
      <c r="FE3995" s="33">
        <v>2019</v>
      </c>
      <c r="FF3995" s="33" t="s">
        <v>55</v>
      </c>
      <c r="FG3995" s="33" t="s">
        <v>71</v>
      </c>
      <c r="FH3995" s="33" t="s">
        <v>72</v>
      </c>
      <c r="FI3995" s="33" t="s">
        <v>73</v>
      </c>
      <c r="FJ3995" t="s">
        <v>59</v>
      </c>
    </row>
    <row r="3996" spans="153:166" x14ac:dyDescent="0.35">
      <c r="EW3996" t="s">
        <v>4093</v>
      </c>
      <c r="EX3996" s="33" t="s">
        <v>4893</v>
      </c>
      <c r="EY3996" s="33" t="s">
        <v>336</v>
      </c>
      <c r="EZ3996" s="33" t="s">
        <v>337</v>
      </c>
      <c r="FA3996" s="33" t="s">
        <v>51</v>
      </c>
      <c r="FB3996" s="33" t="s">
        <v>52</v>
      </c>
      <c r="FC3996" s="33" t="s">
        <v>53</v>
      </c>
      <c r="FD3996" s="33" t="s">
        <v>54</v>
      </c>
      <c r="FE3996" s="33">
        <v>2019</v>
      </c>
      <c r="FF3996" s="33" t="s">
        <v>55</v>
      </c>
      <c r="FG3996" s="33" t="s">
        <v>71</v>
      </c>
      <c r="FH3996" s="33" t="s">
        <v>72</v>
      </c>
      <c r="FI3996" s="33" t="s">
        <v>73</v>
      </c>
      <c r="FJ3996" t="s">
        <v>59</v>
      </c>
    </row>
    <row r="3997" spans="153:166" x14ac:dyDescent="0.35">
      <c r="EW3997" t="s">
        <v>4093</v>
      </c>
      <c r="EX3997" s="33" t="s">
        <v>4894</v>
      </c>
      <c r="EY3997" s="33" t="s">
        <v>341</v>
      </c>
      <c r="EZ3997" s="33" t="s">
        <v>342</v>
      </c>
      <c r="FA3997" s="33" t="s">
        <v>343</v>
      </c>
      <c r="FB3997" s="33" t="s">
        <v>344</v>
      </c>
      <c r="FC3997" s="33" t="s">
        <v>345</v>
      </c>
      <c r="FD3997" s="33" t="s">
        <v>346</v>
      </c>
      <c r="FE3997" s="33">
        <v>2025</v>
      </c>
      <c r="FF3997" s="33" t="s">
        <v>59</v>
      </c>
      <c r="FG3997" s="33" t="s">
        <v>71</v>
      </c>
      <c r="FH3997" s="33" t="s">
        <v>72</v>
      </c>
      <c r="FI3997" s="33" t="s">
        <v>73</v>
      </c>
      <c r="FJ3997" t="s">
        <v>59</v>
      </c>
    </row>
    <row r="3998" spans="153:166" x14ac:dyDescent="0.35">
      <c r="EW3998" t="s">
        <v>4093</v>
      </c>
      <c r="EX3998" s="33" t="s">
        <v>4895</v>
      </c>
      <c r="EY3998" s="33" t="s">
        <v>350</v>
      </c>
      <c r="EZ3998" s="33" t="s">
        <v>351</v>
      </c>
      <c r="FA3998" s="33" t="s">
        <v>343</v>
      </c>
      <c r="FB3998" s="33" t="s">
        <v>344</v>
      </c>
      <c r="FC3998" s="33" t="s">
        <v>345</v>
      </c>
      <c r="FD3998" s="33" t="s">
        <v>346</v>
      </c>
      <c r="FE3998" s="33">
        <v>2025</v>
      </c>
      <c r="FF3998" s="33" t="s">
        <v>59</v>
      </c>
      <c r="FG3998" s="33" t="s">
        <v>71</v>
      </c>
      <c r="FH3998" s="33" t="s">
        <v>72</v>
      </c>
      <c r="FI3998" s="33" t="s">
        <v>73</v>
      </c>
      <c r="FJ3998" t="s">
        <v>59</v>
      </c>
    </row>
    <row r="3999" spans="153:166" x14ac:dyDescent="0.35">
      <c r="EW3999" t="s">
        <v>4093</v>
      </c>
      <c r="EX3999" s="33" t="s">
        <v>4896</v>
      </c>
      <c r="EY3999" s="33" t="s">
        <v>352</v>
      </c>
      <c r="EZ3999" s="33" t="s">
        <v>353</v>
      </c>
      <c r="FA3999" s="33" t="s">
        <v>343</v>
      </c>
      <c r="FB3999" s="33" t="s">
        <v>344</v>
      </c>
      <c r="FC3999" s="33" t="s">
        <v>345</v>
      </c>
      <c r="FD3999" s="33" t="s">
        <v>346</v>
      </c>
      <c r="FE3999" s="33">
        <v>2025</v>
      </c>
      <c r="FF3999" s="33" t="s">
        <v>59</v>
      </c>
      <c r="FG3999" s="33" t="s">
        <v>71</v>
      </c>
      <c r="FH3999" s="33" t="s">
        <v>72</v>
      </c>
      <c r="FI3999" s="33" t="s">
        <v>73</v>
      </c>
      <c r="FJ3999" t="s">
        <v>59</v>
      </c>
    </row>
    <row r="4000" spans="153:166" x14ac:dyDescent="0.35">
      <c r="EW4000" t="s">
        <v>4093</v>
      </c>
      <c r="EX4000" s="33" t="s">
        <v>4897</v>
      </c>
      <c r="EY4000" s="33" t="s">
        <v>354</v>
      </c>
      <c r="EZ4000" s="33" t="s">
        <v>355</v>
      </c>
      <c r="FA4000" s="33" t="s">
        <v>343</v>
      </c>
      <c r="FB4000" s="33" t="s">
        <v>344</v>
      </c>
      <c r="FC4000" s="33" t="s">
        <v>345</v>
      </c>
      <c r="FD4000" s="33" t="s">
        <v>346</v>
      </c>
      <c r="FE4000" s="33">
        <v>2025</v>
      </c>
      <c r="FF4000" s="33" t="s">
        <v>59</v>
      </c>
      <c r="FG4000" s="33" t="s">
        <v>71</v>
      </c>
      <c r="FH4000" s="33" t="s">
        <v>72</v>
      </c>
      <c r="FI4000" s="33" t="s">
        <v>73</v>
      </c>
      <c r="FJ4000" t="s">
        <v>59</v>
      </c>
    </row>
    <row r="4001" spans="153:166" x14ac:dyDescent="0.35">
      <c r="EW4001" t="s">
        <v>4093</v>
      </c>
      <c r="EX4001" s="33" t="s">
        <v>4898</v>
      </c>
      <c r="EY4001" s="33" t="s">
        <v>356</v>
      </c>
      <c r="EZ4001" s="33" t="s">
        <v>357</v>
      </c>
      <c r="FA4001" s="33" t="s">
        <v>343</v>
      </c>
      <c r="FB4001" s="33" t="s">
        <v>344</v>
      </c>
      <c r="FC4001" s="33" t="s">
        <v>345</v>
      </c>
      <c r="FD4001" s="33" t="s">
        <v>346</v>
      </c>
      <c r="FE4001" s="33">
        <v>2025</v>
      </c>
      <c r="FF4001" s="33" t="s">
        <v>59</v>
      </c>
      <c r="FG4001" s="33" t="s">
        <v>71</v>
      </c>
      <c r="FH4001" s="33" t="s">
        <v>72</v>
      </c>
      <c r="FI4001" s="33" t="s">
        <v>73</v>
      </c>
      <c r="FJ4001" t="s">
        <v>59</v>
      </c>
    </row>
    <row r="4002" spans="153:166" x14ac:dyDescent="0.35">
      <c r="EW4002" t="s">
        <v>4093</v>
      </c>
      <c r="EX4002" s="33" t="s">
        <v>4899</v>
      </c>
      <c r="EY4002" s="33" t="s">
        <v>358</v>
      </c>
      <c r="EZ4002" s="33" t="s">
        <v>359</v>
      </c>
      <c r="FA4002" s="33" t="s">
        <v>343</v>
      </c>
      <c r="FB4002" s="33" t="s">
        <v>344</v>
      </c>
      <c r="FC4002" s="33" t="s">
        <v>345</v>
      </c>
      <c r="FD4002" s="33" t="s">
        <v>346</v>
      </c>
      <c r="FE4002" s="33">
        <v>2025</v>
      </c>
      <c r="FF4002" s="33" t="s">
        <v>59</v>
      </c>
      <c r="FG4002" s="33" t="s">
        <v>71</v>
      </c>
      <c r="FH4002" s="33" t="s">
        <v>72</v>
      </c>
      <c r="FI4002" s="33" t="s">
        <v>73</v>
      </c>
      <c r="FJ4002" t="s">
        <v>59</v>
      </c>
    </row>
    <row r="4003" spans="153:166" x14ac:dyDescent="0.35">
      <c r="EW4003" t="s">
        <v>4093</v>
      </c>
      <c r="EX4003" s="33" t="s">
        <v>4900</v>
      </c>
      <c r="EY4003" s="33" t="s">
        <v>363</v>
      </c>
      <c r="EZ4003" s="33" t="s">
        <v>364</v>
      </c>
      <c r="FA4003" s="33" t="s">
        <v>343</v>
      </c>
      <c r="FB4003" s="33" t="s">
        <v>344</v>
      </c>
      <c r="FC4003" s="33" t="s">
        <v>345</v>
      </c>
      <c r="FD4003" s="33" t="s">
        <v>346</v>
      </c>
      <c r="FE4003" s="33">
        <v>2025</v>
      </c>
      <c r="FF4003" s="33" t="s">
        <v>59</v>
      </c>
      <c r="FG4003" s="33" t="s">
        <v>71</v>
      </c>
      <c r="FH4003" s="33" t="s">
        <v>72</v>
      </c>
      <c r="FI4003" s="33" t="s">
        <v>73</v>
      </c>
      <c r="FJ4003" t="s">
        <v>59</v>
      </c>
    </row>
    <row r="4004" spans="153:166" x14ac:dyDescent="0.35">
      <c r="EW4004" t="s">
        <v>4093</v>
      </c>
      <c r="EX4004" s="33" t="s">
        <v>4901</v>
      </c>
      <c r="EY4004" s="33" t="s">
        <v>365</v>
      </c>
      <c r="EZ4004" s="33" t="s">
        <v>366</v>
      </c>
      <c r="FA4004" s="33" t="s">
        <v>343</v>
      </c>
      <c r="FB4004" s="33" t="s">
        <v>344</v>
      </c>
      <c r="FC4004" s="33" t="s">
        <v>345</v>
      </c>
      <c r="FD4004" s="33" t="s">
        <v>346</v>
      </c>
      <c r="FE4004" s="33">
        <v>2025</v>
      </c>
      <c r="FF4004" s="33" t="s">
        <v>59</v>
      </c>
      <c r="FG4004" s="33" t="s">
        <v>71</v>
      </c>
      <c r="FH4004" s="33" t="s">
        <v>72</v>
      </c>
      <c r="FI4004" s="33" t="s">
        <v>73</v>
      </c>
      <c r="FJ4004" t="s">
        <v>59</v>
      </c>
    </row>
    <row r="4005" spans="153:166" x14ac:dyDescent="0.35">
      <c r="EW4005" t="s">
        <v>4093</v>
      </c>
      <c r="EX4005" s="33" t="s">
        <v>4902</v>
      </c>
      <c r="EY4005" s="33" t="s">
        <v>367</v>
      </c>
      <c r="EZ4005" s="33" t="s">
        <v>368</v>
      </c>
      <c r="FA4005" s="33" t="s">
        <v>343</v>
      </c>
      <c r="FB4005" s="33" t="s">
        <v>344</v>
      </c>
      <c r="FC4005" s="33" t="s">
        <v>345</v>
      </c>
      <c r="FD4005" s="33" t="s">
        <v>346</v>
      </c>
      <c r="FE4005" s="33">
        <v>2025</v>
      </c>
      <c r="FF4005" s="33" t="s">
        <v>59</v>
      </c>
      <c r="FG4005" s="33" t="s">
        <v>71</v>
      </c>
      <c r="FH4005" s="33" t="s">
        <v>72</v>
      </c>
      <c r="FI4005" s="33" t="s">
        <v>73</v>
      </c>
      <c r="FJ4005" t="s">
        <v>59</v>
      </c>
    </row>
    <row r="4006" spans="153:166" x14ac:dyDescent="0.35">
      <c r="EW4006" t="s">
        <v>4093</v>
      </c>
      <c r="EX4006" s="33" t="s">
        <v>4903</v>
      </c>
      <c r="EY4006" s="33" t="s">
        <v>369</v>
      </c>
      <c r="EZ4006" s="33" t="s">
        <v>370</v>
      </c>
      <c r="FA4006" s="33" t="s">
        <v>343</v>
      </c>
      <c r="FB4006" s="33" t="s">
        <v>344</v>
      </c>
      <c r="FC4006" s="33" t="s">
        <v>345</v>
      </c>
      <c r="FD4006" s="33" t="s">
        <v>346</v>
      </c>
      <c r="FE4006" s="33">
        <v>2025</v>
      </c>
      <c r="FF4006" s="33" t="s">
        <v>59</v>
      </c>
      <c r="FG4006" s="33" t="s">
        <v>71</v>
      </c>
      <c r="FH4006" s="33" t="s">
        <v>72</v>
      </c>
      <c r="FI4006" s="33" t="s">
        <v>73</v>
      </c>
      <c r="FJ4006" t="s">
        <v>59</v>
      </c>
    </row>
    <row r="4007" spans="153:166" x14ac:dyDescent="0.35">
      <c r="EW4007" t="s">
        <v>4093</v>
      </c>
      <c r="EX4007" s="33" t="s">
        <v>4904</v>
      </c>
      <c r="EY4007" s="33" t="s">
        <v>371</v>
      </c>
      <c r="EZ4007" s="33" t="s">
        <v>372</v>
      </c>
      <c r="FA4007" s="33" t="s">
        <v>343</v>
      </c>
      <c r="FB4007" s="33" t="s">
        <v>344</v>
      </c>
      <c r="FC4007" s="33" t="s">
        <v>345</v>
      </c>
      <c r="FD4007" s="33" t="s">
        <v>346</v>
      </c>
      <c r="FE4007" s="33">
        <v>2025</v>
      </c>
      <c r="FF4007" s="33" t="s">
        <v>59</v>
      </c>
      <c r="FG4007" s="33" t="s">
        <v>71</v>
      </c>
      <c r="FH4007" s="33" t="s">
        <v>72</v>
      </c>
      <c r="FI4007" s="33" t="s">
        <v>73</v>
      </c>
      <c r="FJ4007" t="s">
        <v>59</v>
      </c>
    </row>
    <row r="4008" spans="153:166" x14ac:dyDescent="0.35">
      <c r="EW4008" t="s">
        <v>4093</v>
      </c>
      <c r="EX4008" s="33" t="s">
        <v>4905</v>
      </c>
      <c r="EY4008" s="33" t="s">
        <v>373</v>
      </c>
      <c r="EZ4008" s="33" t="s">
        <v>374</v>
      </c>
      <c r="FA4008" s="33" t="s">
        <v>343</v>
      </c>
      <c r="FB4008" s="33" t="s">
        <v>344</v>
      </c>
      <c r="FC4008" s="33" t="s">
        <v>345</v>
      </c>
      <c r="FD4008" s="33" t="s">
        <v>346</v>
      </c>
      <c r="FE4008" s="33">
        <v>2025</v>
      </c>
      <c r="FF4008" s="33" t="s">
        <v>59</v>
      </c>
      <c r="FG4008" s="33" t="s">
        <v>71</v>
      </c>
      <c r="FH4008" s="33" t="s">
        <v>72</v>
      </c>
      <c r="FI4008" s="33" t="s">
        <v>73</v>
      </c>
      <c r="FJ4008" t="s">
        <v>59</v>
      </c>
    </row>
    <row r="4009" spans="153:166" x14ac:dyDescent="0.35">
      <c r="EW4009" t="s">
        <v>4093</v>
      </c>
      <c r="EX4009" s="33" t="s">
        <v>4906</v>
      </c>
      <c r="EY4009" s="33" t="s">
        <v>378</v>
      </c>
      <c r="EZ4009" s="33" t="s">
        <v>379</v>
      </c>
      <c r="FA4009" s="33" t="s">
        <v>343</v>
      </c>
      <c r="FB4009" s="33" t="s">
        <v>344</v>
      </c>
      <c r="FC4009" s="33" t="s">
        <v>345</v>
      </c>
      <c r="FD4009" s="33" t="s">
        <v>346</v>
      </c>
      <c r="FE4009" s="33">
        <v>2025</v>
      </c>
      <c r="FF4009" s="33" t="s">
        <v>59</v>
      </c>
      <c r="FG4009" s="33" t="s">
        <v>71</v>
      </c>
      <c r="FH4009" s="33" t="s">
        <v>72</v>
      </c>
      <c r="FI4009" s="33" t="s">
        <v>73</v>
      </c>
      <c r="FJ4009" t="s">
        <v>59</v>
      </c>
    </row>
    <row r="4010" spans="153:166" x14ac:dyDescent="0.35">
      <c r="EW4010" t="s">
        <v>4093</v>
      </c>
      <c r="EX4010" s="33" t="s">
        <v>4907</v>
      </c>
      <c r="EY4010" s="33" t="s">
        <v>380</v>
      </c>
      <c r="EZ4010" s="33" t="s">
        <v>381</v>
      </c>
      <c r="FA4010" s="33" t="s">
        <v>343</v>
      </c>
      <c r="FB4010" s="33" t="s">
        <v>344</v>
      </c>
      <c r="FC4010" s="33" t="s">
        <v>345</v>
      </c>
      <c r="FD4010" s="33" t="s">
        <v>346</v>
      </c>
      <c r="FE4010" s="33">
        <v>2025</v>
      </c>
      <c r="FF4010" s="33" t="s">
        <v>59</v>
      </c>
      <c r="FG4010" s="33" t="s">
        <v>71</v>
      </c>
      <c r="FH4010" s="33" t="s">
        <v>72</v>
      </c>
      <c r="FI4010" s="33" t="s">
        <v>73</v>
      </c>
      <c r="FJ4010" t="s">
        <v>59</v>
      </c>
    </row>
    <row r="4011" spans="153:166" x14ac:dyDescent="0.35">
      <c r="EW4011" t="s">
        <v>4093</v>
      </c>
      <c r="EX4011" s="33" t="s">
        <v>4908</v>
      </c>
      <c r="EY4011" s="33" t="s">
        <v>382</v>
      </c>
      <c r="EZ4011" s="33" t="s">
        <v>383</v>
      </c>
      <c r="FA4011" s="33" t="s">
        <v>343</v>
      </c>
      <c r="FB4011" s="33" t="s">
        <v>344</v>
      </c>
      <c r="FC4011" s="33" t="s">
        <v>345</v>
      </c>
      <c r="FD4011" s="33" t="s">
        <v>346</v>
      </c>
      <c r="FE4011" s="33">
        <v>2025</v>
      </c>
      <c r="FF4011" s="33" t="s">
        <v>59</v>
      </c>
      <c r="FG4011" s="33" t="s">
        <v>71</v>
      </c>
      <c r="FH4011" s="33" t="s">
        <v>72</v>
      </c>
      <c r="FI4011" s="33" t="s">
        <v>73</v>
      </c>
      <c r="FJ4011" t="s">
        <v>59</v>
      </c>
    </row>
    <row r="4012" spans="153:166" x14ac:dyDescent="0.35">
      <c r="EW4012" t="s">
        <v>4093</v>
      </c>
      <c r="EX4012" s="33" t="s">
        <v>4909</v>
      </c>
      <c r="EY4012" s="33" t="s">
        <v>384</v>
      </c>
      <c r="EZ4012" s="33" t="s">
        <v>385</v>
      </c>
      <c r="FA4012" s="33" t="s">
        <v>343</v>
      </c>
      <c r="FB4012" s="33" t="s">
        <v>344</v>
      </c>
      <c r="FC4012" s="33" t="s">
        <v>345</v>
      </c>
      <c r="FD4012" s="33" t="s">
        <v>346</v>
      </c>
      <c r="FE4012" s="33">
        <v>2025</v>
      </c>
      <c r="FF4012" s="33" t="s">
        <v>59</v>
      </c>
      <c r="FG4012" s="33" t="s">
        <v>386</v>
      </c>
      <c r="FH4012" s="33" t="s">
        <v>387</v>
      </c>
      <c r="FI4012" s="33" t="s">
        <v>58</v>
      </c>
      <c r="FJ4012" t="s">
        <v>59</v>
      </c>
    </row>
    <row r="4013" spans="153:166" x14ac:dyDescent="0.35">
      <c r="EW4013" t="s">
        <v>4093</v>
      </c>
      <c r="EX4013" s="33" t="s">
        <v>4910</v>
      </c>
      <c r="EY4013" s="33" t="s">
        <v>388</v>
      </c>
      <c r="EZ4013" s="33" t="s">
        <v>389</v>
      </c>
      <c r="FA4013" s="33" t="s">
        <v>343</v>
      </c>
      <c r="FB4013" s="33" t="s">
        <v>344</v>
      </c>
      <c r="FC4013" s="33" t="s">
        <v>345</v>
      </c>
      <c r="FD4013" s="33" t="s">
        <v>346</v>
      </c>
      <c r="FE4013" s="33">
        <v>2025</v>
      </c>
      <c r="FF4013" s="33" t="s">
        <v>59</v>
      </c>
      <c r="FG4013" s="33" t="s">
        <v>56</v>
      </c>
      <c r="FH4013" s="33" t="s">
        <v>57</v>
      </c>
      <c r="FI4013" s="33" t="s">
        <v>58</v>
      </c>
      <c r="FJ4013" t="s">
        <v>59</v>
      </c>
    </row>
    <row r="4014" spans="153:166" x14ac:dyDescent="0.35">
      <c r="EW4014" t="s">
        <v>4093</v>
      </c>
      <c r="EX4014" s="33" t="s">
        <v>4911</v>
      </c>
      <c r="EY4014" s="33" t="s">
        <v>390</v>
      </c>
      <c r="EZ4014" s="33" t="s">
        <v>391</v>
      </c>
      <c r="FA4014" s="33" t="s">
        <v>343</v>
      </c>
      <c r="FB4014" s="33" t="s">
        <v>344</v>
      </c>
      <c r="FC4014" s="33" t="s">
        <v>345</v>
      </c>
      <c r="FD4014" s="33" t="s">
        <v>346</v>
      </c>
      <c r="FE4014" s="33">
        <v>2025</v>
      </c>
      <c r="FF4014" s="33" t="s">
        <v>59</v>
      </c>
      <c r="FG4014" s="33" t="s">
        <v>56</v>
      </c>
      <c r="FH4014" s="33" t="s">
        <v>57</v>
      </c>
      <c r="FI4014" s="33" t="s">
        <v>58</v>
      </c>
      <c r="FJ4014" t="s">
        <v>59</v>
      </c>
    </row>
    <row r="4015" spans="153:166" x14ac:dyDescent="0.35">
      <c r="EW4015" t="s">
        <v>4093</v>
      </c>
      <c r="EX4015" s="33" t="s">
        <v>4912</v>
      </c>
      <c r="EY4015" s="33" t="s">
        <v>392</v>
      </c>
      <c r="EZ4015" s="33" t="s">
        <v>393</v>
      </c>
      <c r="FA4015" s="33" t="s">
        <v>343</v>
      </c>
      <c r="FB4015" s="33" t="s">
        <v>344</v>
      </c>
      <c r="FC4015" s="33" t="s">
        <v>345</v>
      </c>
      <c r="FD4015" s="33" t="s">
        <v>346</v>
      </c>
      <c r="FE4015" s="33">
        <v>2025</v>
      </c>
      <c r="FF4015" s="33" t="s">
        <v>59</v>
      </c>
      <c r="FG4015" s="33" t="s">
        <v>56</v>
      </c>
      <c r="FH4015" s="33" t="s">
        <v>57</v>
      </c>
      <c r="FI4015" s="33" t="s">
        <v>58</v>
      </c>
      <c r="FJ4015" t="s">
        <v>59</v>
      </c>
    </row>
    <row r="4016" spans="153:166" x14ac:dyDescent="0.35">
      <c r="EW4016" t="s">
        <v>4093</v>
      </c>
      <c r="EX4016" s="33" t="s">
        <v>4913</v>
      </c>
      <c r="EY4016" s="33" t="s">
        <v>394</v>
      </c>
      <c r="EZ4016" s="33" t="s">
        <v>395</v>
      </c>
      <c r="FA4016" s="33" t="s">
        <v>343</v>
      </c>
      <c r="FB4016" s="33" t="s">
        <v>344</v>
      </c>
      <c r="FC4016" s="33" t="s">
        <v>345</v>
      </c>
      <c r="FD4016" s="33" t="s">
        <v>346</v>
      </c>
      <c r="FE4016" s="33">
        <v>2025</v>
      </c>
      <c r="FF4016" s="33" t="s">
        <v>59</v>
      </c>
      <c r="FG4016" s="33" t="s">
        <v>71</v>
      </c>
      <c r="FH4016" s="33" t="s">
        <v>72</v>
      </c>
      <c r="FI4016" s="33" t="s">
        <v>73</v>
      </c>
      <c r="FJ4016" t="s">
        <v>59</v>
      </c>
    </row>
    <row r="4017" spans="153:166" x14ac:dyDescent="0.35">
      <c r="EW4017" t="s">
        <v>4093</v>
      </c>
      <c r="EX4017" s="33" t="s">
        <v>4914</v>
      </c>
      <c r="EY4017" s="33" t="s">
        <v>399</v>
      </c>
      <c r="EZ4017" s="33" t="s">
        <v>400</v>
      </c>
      <c r="FA4017" s="33" t="s">
        <v>343</v>
      </c>
      <c r="FB4017" s="33" t="s">
        <v>344</v>
      </c>
      <c r="FC4017" s="33" t="s">
        <v>345</v>
      </c>
      <c r="FD4017" s="33" t="s">
        <v>346</v>
      </c>
      <c r="FE4017" s="33">
        <v>2025</v>
      </c>
      <c r="FF4017" s="33" t="s">
        <v>59</v>
      </c>
      <c r="FG4017" s="33" t="s">
        <v>71</v>
      </c>
      <c r="FH4017" s="33" t="s">
        <v>72</v>
      </c>
      <c r="FI4017" s="33" t="s">
        <v>73</v>
      </c>
      <c r="FJ4017" t="s">
        <v>59</v>
      </c>
    </row>
    <row r="4018" spans="153:166" x14ac:dyDescent="0.35">
      <c r="EW4018" t="s">
        <v>4093</v>
      </c>
      <c r="EX4018" s="33" t="s">
        <v>4915</v>
      </c>
      <c r="EY4018" s="33" t="s">
        <v>401</v>
      </c>
      <c r="EZ4018" s="33" t="s">
        <v>402</v>
      </c>
      <c r="FA4018" s="33" t="s">
        <v>343</v>
      </c>
      <c r="FB4018" s="33" t="s">
        <v>344</v>
      </c>
      <c r="FC4018" s="33" t="s">
        <v>345</v>
      </c>
      <c r="FD4018" s="33" t="s">
        <v>346</v>
      </c>
      <c r="FE4018" s="33">
        <v>2025</v>
      </c>
      <c r="FF4018" s="33" t="s">
        <v>59</v>
      </c>
      <c r="FG4018" s="33" t="s">
        <v>71</v>
      </c>
      <c r="FH4018" s="33" t="s">
        <v>72</v>
      </c>
      <c r="FI4018" s="33" t="s">
        <v>73</v>
      </c>
      <c r="FJ4018" t="s">
        <v>59</v>
      </c>
    </row>
    <row r="4019" spans="153:166" x14ac:dyDescent="0.35">
      <c r="EW4019" t="s">
        <v>4093</v>
      </c>
      <c r="EX4019" s="33" t="s">
        <v>4916</v>
      </c>
      <c r="EY4019" s="33" t="s">
        <v>403</v>
      </c>
      <c r="EZ4019" s="33" t="s">
        <v>404</v>
      </c>
      <c r="FA4019" s="33" t="s">
        <v>343</v>
      </c>
      <c r="FB4019" s="33" t="s">
        <v>344</v>
      </c>
      <c r="FC4019" s="33" t="s">
        <v>345</v>
      </c>
      <c r="FD4019" s="33" t="s">
        <v>346</v>
      </c>
      <c r="FE4019" s="33">
        <v>2025</v>
      </c>
      <c r="FF4019" s="33" t="s">
        <v>59</v>
      </c>
      <c r="FG4019" s="33" t="s">
        <v>71</v>
      </c>
      <c r="FH4019" s="33" t="s">
        <v>72</v>
      </c>
      <c r="FI4019" s="33" t="s">
        <v>73</v>
      </c>
      <c r="FJ4019" t="s">
        <v>59</v>
      </c>
    </row>
    <row r="4020" spans="153:166" x14ac:dyDescent="0.35">
      <c r="EW4020" t="s">
        <v>4093</v>
      </c>
      <c r="EX4020" s="33" t="s">
        <v>4917</v>
      </c>
      <c r="EY4020" s="33" t="s">
        <v>405</v>
      </c>
      <c r="EZ4020" s="33" t="s">
        <v>406</v>
      </c>
      <c r="FA4020" s="33" t="s">
        <v>343</v>
      </c>
      <c r="FB4020" s="33" t="s">
        <v>344</v>
      </c>
      <c r="FC4020" s="33" t="s">
        <v>345</v>
      </c>
      <c r="FD4020" s="33" t="s">
        <v>346</v>
      </c>
      <c r="FE4020" s="33">
        <v>2025</v>
      </c>
      <c r="FF4020" s="33" t="s">
        <v>59</v>
      </c>
      <c r="FG4020" s="33" t="s">
        <v>386</v>
      </c>
      <c r="FH4020" s="33" t="s">
        <v>387</v>
      </c>
      <c r="FI4020" s="33" t="s">
        <v>407</v>
      </c>
      <c r="FJ4020" t="s">
        <v>59</v>
      </c>
    </row>
    <row r="4021" spans="153:166" x14ac:dyDescent="0.35">
      <c r="EW4021" t="s">
        <v>4093</v>
      </c>
      <c r="EX4021" s="33" t="s">
        <v>4918</v>
      </c>
      <c r="EY4021" s="33" t="s">
        <v>408</v>
      </c>
      <c r="EZ4021" s="33" t="s">
        <v>409</v>
      </c>
      <c r="FA4021" s="33" t="s">
        <v>343</v>
      </c>
      <c r="FB4021" s="33" t="s">
        <v>344</v>
      </c>
      <c r="FC4021" s="33" t="s">
        <v>345</v>
      </c>
      <c r="FD4021" s="33" t="s">
        <v>346</v>
      </c>
      <c r="FE4021" s="33">
        <v>2025</v>
      </c>
      <c r="FF4021" s="33" t="s">
        <v>59</v>
      </c>
      <c r="FG4021" s="33" t="s">
        <v>56</v>
      </c>
      <c r="FH4021" s="33" t="s">
        <v>57</v>
      </c>
      <c r="FI4021" s="33" t="s">
        <v>58</v>
      </c>
      <c r="FJ4021" t="s">
        <v>59</v>
      </c>
    </row>
    <row r="4022" spans="153:166" x14ac:dyDescent="0.35">
      <c r="EW4022" t="s">
        <v>4093</v>
      </c>
      <c r="EX4022" s="33" t="s">
        <v>4919</v>
      </c>
      <c r="EY4022" s="33" t="s">
        <v>410</v>
      </c>
      <c r="EZ4022" s="33" t="s">
        <v>411</v>
      </c>
      <c r="FA4022" s="33" t="s">
        <v>343</v>
      </c>
      <c r="FB4022" s="33" t="s">
        <v>344</v>
      </c>
      <c r="FC4022" s="33" t="s">
        <v>345</v>
      </c>
      <c r="FD4022" s="33" t="s">
        <v>346</v>
      </c>
      <c r="FE4022" s="33">
        <v>2025</v>
      </c>
      <c r="FF4022" s="33" t="s">
        <v>59</v>
      </c>
      <c r="FG4022" s="33" t="s">
        <v>56</v>
      </c>
      <c r="FH4022" s="33" t="s">
        <v>57</v>
      </c>
      <c r="FI4022" s="33" t="s">
        <v>58</v>
      </c>
      <c r="FJ4022" t="s">
        <v>59</v>
      </c>
    </row>
    <row r="4023" spans="153:166" x14ac:dyDescent="0.35">
      <c r="EW4023" t="s">
        <v>4093</v>
      </c>
      <c r="EX4023" s="33" t="s">
        <v>4920</v>
      </c>
      <c r="EY4023" s="33" t="s">
        <v>415</v>
      </c>
      <c r="EZ4023" s="33" t="s">
        <v>416</v>
      </c>
      <c r="FA4023" s="33" t="s">
        <v>343</v>
      </c>
      <c r="FB4023" s="33" t="s">
        <v>344</v>
      </c>
      <c r="FC4023" s="33" t="s">
        <v>345</v>
      </c>
      <c r="FD4023" s="33" t="s">
        <v>346</v>
      </c>
      <c r="FE4023" s="33">
        <v>2025</v>
      </c>
      <c r="FF4023" s="33" t="s">
        <v>59</v>
      </c>
      <c r="FG4023" s="33" t="s">
        <v>56</v>
      </c>
      <c r="FH4023" s="33" t="s">
        <v>57</v>
      </c>
      <c r="FI4023" s="33" t="s">
        <v>58</v>
      </c>
      <c r="FJ4023" t="s">
        <v>59</v>
      </c>
    </row>
    <row r="4024" spans="153:166" x14ac:dyDescent="0.35">
      <c r="EW4024" t="s">
        <v>4093</v>
      </c>
      <c r="EX4024" s="33" t="s">
        <v>4921</v>
      </c>
      <c r="EY4024" s="33" t="s">
        <v>417</v>
      </c>
      <c r="EZ4024" s="33" t="s">
        <v>418</v>
      </c>
      <c r="FA4024" s="33" t="s">
        <v>343</v>
      </c>
      <c r="FB4024" s="33" t="s">
        <v>344</v>
      </c>
      <c r="FC4024" s="33" t="s">
        <v>345</v>
      </c>
      <c r="FD4024" s="33" t="s">
        <v>346</v>
      </c>
      <c r="FE4024" s="33">
        <v>2025</v>
      </c>
      <c r="FF4024" s="33" t="s">
        <v>59</v>
      </c>
      <c r="FG4024" s="33" t="s">
        <v>56</v>
      </c>
      <c r="FH4024" s="33" t="s">
        <v>57</v>
      </c>
      <c r="FI4024" s="33" t="s">
        <v>58</v>
      </c>
      <c r="FJ4024" t="s">
        <v>59</v>
      </c>
    </row>
    <row r="4025" spans="153:166" x14ac:dyDescent="0.35">
      <c r="EW4025" t="s">
        <v>4093</v>
      </c>
      <c r="EX4025" s="33" t="s">
        <v>4922</v>
      </c>
      <c r="EY4025" s="33" t="s">
        <v>419</v>
      </c>
      <c r="EZ4025" s="33" t="s">
        <v>420</v>
      </c>
      <c r="FA4025" s="33" t="s">
        <v>343</v>
      </c>
      <c r="FB4025" s="33" t="s">
        <v>344</v>
      </c>
      <c r="FC4025" s="33" t="s">
        <v>345</v>
      </c>
      <c r="FD4025" s="33" t="s">
        <v>346</v>
      </c>
      <c r="FE4025" s="33">
        <v>2025</v>
      </c>
      <c r="FF4025" s="33" t="s">
        <v>59</v>
      </c>
      <c r="FG4025" s="33" t="s">
        <v>56</v>
      </c>
      <c r="FH4025" s="33" t="s">
        <v>57</v>
      </c>
      <c r="FI4025" s="33" t="s">
        <v>58</v>
      </c>
      <c r="FJ4025" t="s">
        <v>59</v>
      </c>
    </row>
    <row r="4026" spans="153:166" x14ac:dyDescent="0.35">
      <c r="EW4026" t="s">
        <v>4093</v>
      </c>
      <c r="EX4026" s="33" t="s">
        <v>4923</v>
      </c>
      <c r="EY4026" s="33" t="s">
        <v>421</v>
      </c>
      <c r="EZ4026" s="33" t="s">
        <v>422</v>
      </c>
      <c r="FA4026" s="33" t="s">
        <v>343</v>
      </c>
      <c r="FB4026" s="33" t="s">
        <v>344</v>
      </c>
      <c r="FC4026" s="33" t="s">
        <v>345</v>
      </c>
      <c r="FD4026" s="33" t="s">
        <v>346</v>
      </c>
      <c r="FE4026" s="33">
        <v>2025</v>
      </c>
      <c r="FF4026" s="33" t="s">
        <v>59</v>
      </c>
      <c r="FG4026" s="33" t="s">
        <v>56</v>
      </c>
      <c r="FH4026" s="33" t="s">
        <v>57</v>
      </c>
      <c r="FI4026" s="33" t="s">
        <v>58</v>
      </c>
      <c r="FJ4026" t="s">
        <v>59</v>
      </c>
    </row>
    <row r="4027" spans="153:166" x14ac:dyDescent="0.35">
      <c r="EW4027" t="s">
        <v>4093</v>
      </c>
      <c r="EX4027" s="33" t="s">
        <v>4924</v>
      </c>
      <c r="EY4027" s="33" t="s">
        <v>423</v>
      </c>
      <c r="EZ4027" s="33" t="s">
        <v>424</v>
      </c>
      <c r="FA4027" s="33" t="s">
        <v>343</v>
      </c>
      <c r="FB4027" s="33" t="s">
        <v>344</v>
      </c>
      <c r="FC4027" s="33" t="s">
        <v>345</v>
      </c>
      <c r="FD4027" s="33" t="s">
        <v>346</v>
      </c>
      <c r="FE4027" s="33">
        <v>2025</v>
      </c>
      <c r="FF4027" s="33" t="s">
        <v>59</v>
      </c>
      <c r="FG4027" s="33" t="s">
        <v>56</v>
      </c>
      <c r="FH4027" s="33" t="s">
        <v>57</v>
      </c>
      <c r="FI4027" s="33" t="s">
        <v>58</v>
      </c>
      <c r="FJ4027" t="s">
        <v>59</v>
      </c>
    </row>
    <row r="4028" spans="153:166" x14ac:dyDescent="0.35">
      <c r="EW4028" t="s">
        <v>4093</v>
      </c>
      <c r="EX4028" s="33" t="s">
        <v>4925</v>
      </c>
      <c r="EY4028" s="33" t="s">
        <v>428</v>
      </c>
      <c r="EZ4028" s="33" t="s">
        <v>429</v>
      </c>
      <c r="FA4028" s="33" t="s">
        <v>343</v>
      </c>
      <c r="FB4028" s="33" t="s">
        <v>344</v>
      </c>
      <c r="FC4028" s="33" t="s">
        <v>345</v>
      </c>
      <c r="FD4028" s="33" t="s">
        <v>346</v>
      </c>
      <c r="FE4028" s="33">
        <v>2025</v>
      </c>
      <c r="FF4028" s="33" t="s">
        <v>59</v>
      </c>
      <c r="FG4028" s="33" t="s">
        <v>56</v>
      </c>
      <c r="FH4028" s="33" t="s">
        <v>57</v>
      </c>
      <c r="FI4028" s="33" t="s">
        <v>58</v>
      </c>
      <c r="FJ4028" t="s">
        <v>59</v>
      </c>
    </row>
    <row r="4029" spans="153:166" x14ac:dyDescent="0.35">
      <c r="EW4029" t="s">
        <v>4093</v>
      </c>
      <c r="EX4029" s="33" t="s">
        <v>4926</v>
      </c>
      <c r="EY4029" s="33" t="s">
        <v>430</v>
      </c>
      <c r="EZ4029" s="33" t="s">
        <v>431</v>
      </c>
      <c r="FA4029" s="33" t="s">
        <v>343</v>
      </c>
      <c r="FB4029" s="33" t="s">
        <v>344</v>
      </c>
      <c r="FC4029" s="33" t="s">
        <v>345</v>
      </c>
      <c r="FD4029" s="33" t="s">
        <v>346</v>
      </c>
      <c r="FE4029" s="33">
        <v>2025</v>
      </c>
      <c r="FF4029" s="33" t="s">
        <v>59</v>
      </c>
      <c r="FG4029" s="33" t="s">
        <v>56</v>
      </c>
      <c r="FH4029" s="33" t="s">
        <v>57</v>
      </c>
      <c r="FI4029" s="33" t="s">
        <v>58</v>
      </c>
      <c r="FJ4029" t="s">
        <v>59</v>
      </c>
    </row>
    <row r="4030" spans="153:166" x14ac:dyDescent="0.35">
      <c r="EW4030" t="s">
        <v>4093</v>
      </c>
      <c r="EX4030" s="33" t="s">
        <v>4927</v>
      </c>
      <c r="EY4030" s="33" t="s">
        <v>432</v>
      </c>
      <c r="EZ4030" s="33" t="s">
        <v>433</v>
      </c>
      <c r="FA4030" s="33" t="s">
        <v>343</v>
      </c>
      <c r="FB4030" s="33" t="s">
        <v>344</v>
      </c>
      <c r="FC4030" s="33" t="s">
        <v>345</v>
      </c>
      <c r="FD4030" s="33" t="s">
        <v>346</v>
      </c>
      <c r="FE4030" s="33">
        <v>2025</v>
      </c>
      <c r="FF4030" s="33" t="s">
        <v>59</v>
      </c>
      <c r="FG4030" s="33" t="s">
        <v>71</v>
      </c>
      <c r="FH4030" s="33" t="s">
        <v>72</v>
      </c>
      <c r="FI4030" s="33" t="s">
        <v>73</v>
      </c>
      <c r="FJ4030" t="s">
        <v>59</v>
      </c>
    </row>
    <row r="4031" spans="153:166" x14ac:dyDescent="0.35">
      <c r="EW4031" t="s">
        <v>4093</v>
      </c>
      <c r="EX4031" s="33" t="s">
        <v>4928</v>
      </c>
      <c r="EY4031" s="33" t="s">
        <v>434</v>
      </c>
      <c r="EZ4031" s="33" t="s">
        <v>435</v>
      </c>
      <c r="FA4031" s="33" t="s">
        <v>343</v>
      </c>
      <c r="FB4031" s="33" t="s">
        <v>344</v>
      </c>
      <c r="FC4031" s="33" t="s">
        <v>345</v>
      </c>
      <c r="FD4031" s="33" t="s">
        <v>346</v>
      </c>
      <c r="FE4031" s="33">
        <v>2025</v>
      </c>
      <c r="FF4031" s="33" t="s">
        <v>59</v>
      </c>
      <c r="FG4031" s="33" t="s">
        <v>56</v>
      </c>
      <c r="FH4031" s="33" t="s">
        <v>57</v>
      </c>
      <c r="FI4031" s="33" t="s">
        <v>58</v>
      </c>
      <c r="FJ4031" t="s">
        <v>59</v>
      </c>
    </row>
    <row r="4032" spans="153:166" x14ac:dyDescent="0.35">
      <c r="EW4032" t="s">
        <v>4093</v>
      </c>
      <c r="EX4032" s="33" t="s">
        <v>4929</v>
      </c>
      <c r="EY4032" s="33" t="s">
        <v>439</v>
      </c>
      <c r="EZ4032" s="33" t="s">
        <v>440</v>
      </c>
      <c r="FA4032" s="33" t="s">
        <v>343</v>
      </c>
      <c r="FB4032" s="33" t="s">
        <v>344</v>
      </c>
      <c r="FC4032" s="33" t="s">
        <v>345</v>
      </c>
      <c r="FD4032" s="33" t="s">
        <v>346</v>
      </c>
      <c r="FE4032" s="33">
        <v>2025</v>
      </c>
      <c r="FF4032" s="33" t="s">
        <v>59</v>
      </c>
      <c r="FG4032" s="33" t="s">
        <v>56</v>
      </c>
      <c r="FH4032" s="33" t="s">
        <v>57</v>
      </c>
      <c r="FI4032" s="33" t="s">
        <v>58</v>
      </c>
      <c r="FJ4032" t="s">
        <v>59</v>
      </c>
    </row>
    <row r="4033" spans="153:166" x14ac:dyDescent="0.35">
      <c r="EW4033" t="s">
        <v>4093</v>
      </c>
      <c r="EX4033" s="33" t="s">
        <v>4930</v>
      </c>
      <c r="EY4033" s="33" t="s">
        <v>441</v>
      </c>
      <c r="EZ4033" s="33" t="s">
        <v>442</v>
      </c>
      <c r="FA4033" s="33" t="s">
        <v>343</v>
      </c>
      <c r="FB4033" s="33" t="s">
        <v>344</v>
      </c>
      <c r="FC4033" s="33" t="s">
        <v>345</v>
      </c>
      <c r="FD4033" s="33" t="s">
        <v>346</v>
      </c>
      <c r="FE4033" s="33">
        <v>2025</v>
      </c>
      <c r="FF4033" s="33" t="s">
        <v>59</v>
      </c>
      <c r="FG4033" s="33" t="s">
        <v>56</v>
      </c>
      <c r="FH4033" s="33" t="s">
        <v>57</v>
      </c>
      <c r="FI4033" s="33" t="s">
        <v>58</v>
      </c>
      <c r="FJ4033" t="s">
        <v>59</v>
      </c>
    </row>
    <row r="4034" spans="153:166" x14ac:dyDescent="0.35">
      <c r="EW4034" t="s">
        <v>4093</v>
      </c>
      <c r="EX4034" s="33" t="s">
        <v>4931</v>
      </c>
      <c r="EY4034" s="33" t="s">
        <v>443</v>
      </c>
      <c r="EZ4034" s="33" t="s">
        <v>444</v>
      </c>
      <c r="FA4034" s="33" t="s">
        <v>343</v>
      </c>
      <c r="FB4034" s="33" t="s">
        <v>344</v>
      </c>
      <c r="FC4034" s="33" t="s">
        <v>345</v>
      </c>
      <c r="FD4034" s="33" t="s">
        <v>346</v>
      </c>
      <c r="FE4034" s="33">
        <v>2025</v>
      </c>
      <c r="FF4034" s="33" t="s">
        <v>59</v>
      </c>
      <c r="FG4034" s="33" t="s">
        <v>56</v>
      </c>
      <c r="FH4034" s="33" t="s">
        <v>57</v>
      </c>
      <c r="FI4034" s="33" t="s">
        <v>58</v>
      </c>
      <c r="FJ4034" t="s">
        <v>59</v>
      </c>
    </row>
    <row r="4035" spans="153:166" x14ac:dyDescent="0.35">
      <c r="EW4035" t="s">
        <v>4093</v>
      </c>
      <c r="EX4035" s="33" t="s">
        <v>4932</v>
      </c>
      <c r="EY4035" s="33" t="s">
        <v>445</v>
      </c>
      <c r="EZ4035" s="33" t="s">
        <v>446</v>
      </c>
      <c r="FA4035" s="33" t="s">
        <v>343</v>
      </c>
      <c r="FB4035" s="33" t="s">
        <v>344</v>
      </c>
      <c r="FC4035" s="33" t="s">
        <v>345</v>
      </c>
      <c r="FD4035" s="33" t="s">
        <v>346</v>
      </c>
      <c r="FE4035" s="33">
        <v>2025</v>
      </c>
      <c r="FF4035" s="33" t="s">
        <v>59</v>
      </c>
      <c r="FG4035" s="33" t="s">
        <v>56</v>
      </c>
      <c r="FH4035" s="33" t="s">
        <v>57</v>
      </c>
      <c r="FI4035" s="33" t="s">
        <v>58</v>
      </c>
      <c r="FJ4035" t="s">
        <v>59</v>
      </c>
    </row>
    <row r="4036" spans="153:166" x14ac:dyDescent="0.35">
      <c r="EW4036" t="s">
        <v>4093</v>
      </c>
      <c r="EX4036" s="33" t="s">
        <v>4933</v>
      </c>
      <c r="EY4036" s="33" t="s">
        <v>447</v>
      </c>
      <c r="EZ4036" s="33" t="s">
        <v>448</v>
      </c>
      <c r="FA4036" s="33" t="s">
        <v>343</v>
      </c>
      <c r="FB4036" s="33" t="s">
        <v>344</v>
      </c>
      <c r="FC4036" s="33" t="s">
        <v>345</v>
      </c>
      <c r="FD4036" s="33" t="s">
        <v>346</v>
      </c>
      <c r="FE4036" s="33">
        <v>2025</v>
      </c>
      <c r="FF4036" s="33" t="s">
        <v>59</v>
      </c>
      <c r="FG4036" s="33" t="s">
        <v>56</v>
      </c>
      <c r="FH4036" s="33" t="s">
        <v>57</v>
      </c>
      <c r="FI4036" s="33" t="s">
        <v>58</v>
      </c>
      <c r="FJ4036" t="s">
        <v>59</v>
      </c>
    </row>
    <row r="4037" spans="153:166" x14ac:dyDescent="0.35">
      <c r="EW4037" t="s">
        <v>4093</v>
      </c>
      <c r="EX4037" s="33" t="s">
        <v>4934</v>
      </c>
      <c r="EY4037" s="33" t="s">
        <v>449</v>
      </c>
      <c r="EZ4037" s="33" t="s">
        <v>450</v>
      </c>
      <c r="FA4037" s="33" t="s">
        <v>343</v>
      </c>
      <c r="FB4037" s="33" t="s">
        <v>344</v>
      </c>
      <c r="FC4037" s="33" t="s">
        <v>345</v>
      </c>
      <c r="FD4037" s="33" t="s">
        <v>346</v>
      </c>
      <c r="FE4037" s="33">
        <v>2025</v>
      </c>
      <c r="FF4037" s="33" t="s">
        <v>59</v>
      </c>
      <c r="FG4037" s="33" t="s">
        <v>56</v>
      </c>
      <c r="FH4037" s="33" t="s">
        <v>57</v>
      </c>
      <c r="FI4037" s="33" t="s">
        <v>58</v>
      </c>
      <c r="FJ4037" t="s">
        <v>59</v>
      </c>
    </row>
    <row r="4038" spans="153:166" x14ac:dyDescent="0.35">
      <c r="EW4038" t="s">
        <v>4093</v>
      </c>
      <c r="EX4038" s="33" t="s">
        <v>4935</v>
      </c>
      <c r="EY4038" s="33" t="s">
        <v>454</v>
      </c>
      <c r="EZ4038" s="33" t="s">
        <v>455</v>
      </c>
      <c r="FA4038" s="33" t="s">
        <v>343</v>
      </c>
      <c r="FB4038" s="33" t="s">
        <v>344</v>
      </c>
      <c r="FC4038" s="33" t="s">
        <v>345</v>
      </c>
      <c r="FD4038" s="33" t="s">
        <v>346</v>
      </c>
      <c r="FE4038" s="33">
        <v>2025</v>
      </c>
      <c r="FF4038" s="33" t="s">
        <v>59</v>
      </c>
      <c r="FG4038" s="33" t="s">
        <v>56</v>
      </c>
      <c r="FH4038" s="33" t="s">
        <v>57</v>
      </c>
      <c r="FI4038" s="33" t="s">
        <v>58</v>
      </c>
      <c r="FJ4038" t="s">
        <v>59</v>
      </c>
    </row>
    <row r="4039" spans="153:166" x14ac:dyDescent="0.35">
      <c r="EW4039" t="s">
        <v>4093</v>
      </c>
      <c r="EX4039" s="33" t="s">
        <v>4936</v>
      </c>
      <c r="EY4039" s="33" t="s">
        <v>456</v>
      </c>
      <c r="EZ4039" s="33" t="s">
        <v>457</v>
      </c>
      <c r="FA4039" s="33" t="s">
        <v>343</v>
      </c>
      <c r="FB4039" s="33" t="s">
        <v>344</v>
      </c>
      <c r="FC4039" s="33" t="s">
        <v>345</v>
      </c>
      <c r="FD4039" s="33" t="s">
        <v>346</v>
      </c>
      <c r="FE4039" s="33">
        <v>2025</v>
      </c>
      <c r="FF4039" s="33" t="s">
        <v>59</v>
      </c>
      <c r="FG4039" s="33" t="s">
        <v>71</v>
      </c>
      <c r="FH4039" s="33" t="s">
        <v>72</v>
      </c>
      <c r="FI4039" s="33" t="s">
        <v>73</v>
      </c>
      <c r="FJ4039" t="s">
        <v>59</v>
      </c>
    </row>
    <row r="4040" spans="153:166" x14ac:dyDescent="0.35">
      <c r="EW4040" t="s">
        <v>4093</v>
      </c>
      <c r="EX4040" s="33" t="s">
        <v>4937</v>
      </c>
      <c r="EY4040" s="33" t="s">
        <v>458</v>
      </c>
      <c r="EZ4040" s="33" t="s">
        <v>459</v>
      </c>
      <c r="FA4040" s="33" t="s">
        <v>343</v>
      </c>
      <c r="FB4040" s="33" t="s">
        <v>344</v>
      </c>
      <c r="FC4040" s="33" t="s">
        <v>345</v>
      </c>
      <c r="FD4040" s="33" t="s">
        <v>346</v>
      </c>
      <c r="FE4040" s="33">
        <v>2025</v>
      </c>
      <c r="FF4040" s="33" t="s">
        <v>59</v>
      </c>
      <c r="FG4040" s="33" t="s">
        <v>71</v>
      </c>
      <c r="FH4040" s="33" t="s">
        <v>72</v>
      </c>
      <c r="FI4040" s="33" t="s">
        <v>73</v>
      </c>
      <c r="FJ4040" t="s">
        <v>59</v>
      </c>
    </row>
    <row r="4041" spans="153:166" x14ac:dyDescent="0.35">
      <c r="EW4041" t="s">
        <v>4093</v>
      </c>
      <c r="EX4041" s="33" t="s">
        <v>4938</v>
      </c>
      <c r="EY4041" s="33" t="s">
        <v>460</v>
      </c>
      <c r="EZ4041" s="33" t="s">
        <v>461</v>
      </c>
      <c r="FA4041" s="33" t="s">
        <v>343</v>
      </c>
      <c r="FB4041" s="33" t="s">
        <v>344</v>
      </c>
      <c r="FC4041" s="33" t="s">
        <v>345</v>
      </c>
      <c r="FD4041" s="33" t="s">
        <v>346</v>
      </c>
      <c r="FE4041" s="33">
        <v>2025</v>
      </c>
      <c r="FF4041" s="33" t="s">
        <v>59</v>
      </c>
      <c r="FG4041" s="33" t="s">
        <v>71</v>
      </c>
      <c r="FH4041" s="33" t="s">
        <v>72</v>
      </c>
      <c r="FI4041" s="33" t="s">
        <v>73</v>
      </c>
      <c r="FJ4041" t="s">
        <v>59</v>
      </c>
    </row>
    <row r="4042" spans="153:166" x14ac:dyDescent="0.35">
      <c r="EW4042" t="s">
        <v>4093</v>
      </c>
      <c r="EX4042" s="33" t="s">
        <v>4939</v>
      </c>
      <c r="EY4042" s="33" t="s">
        <v>465</v>
      </c>
      <c r="EZ4042" s="33" t="s">
        <v>466</v>
      </c>
      <c r="FA4042" s="33" t="s">
        <v>343</v>
      </c>
      <c r="FB4042" s="33" t="s">
        <v>344</v>
      </c>
      <c r="FC4042" s="33" t="s">
        <v>345</v>
      </c>
      <c r="FD4042" s="33" t="s">
        <v>346</v>
      </c>
      <c r="FE4042" s="33">
        <v>2025</v>
      </c>
      <c r="FF4042" s="33" t="s">
        <v>59</v>
      </c>
      <c r="FG4042" s="33" t="s">
        <v>386</v>
      </c>
      <c r="FH4042" s="33" t="s">
        <v>387</v>
      </c>
      <c r="FI4042" s="33" t="s">
        <v>467</v>
      </c>
      <c r="FJ4042" t="s">
        <v>59</v>
      </c>
    </row>
    <row r="4043" spans="153:166" x14ac:dyDescent="0.35">
      <c r="EW4043" t="s">
        <v>4093</v>
      </c>
      <c r="EX4043" s="33" t="s">
        <v>4940</v>
      </c>
      <c r="EY4043" s="33" t="s">
        <v>468</v>
      </c>
      <c r="EZ4043" s="33" t="s">
        <v>469</v>
      </c>
      <c r="FA4043" s="33" t="s">
        <v>343</v>
      </c>
      <c r="FB4043" s="33" t="s">
        <v>344</v>
      </c>
      <c r="FC4043" s="33" t="s">
        <v>345</v>
      </c>
      <c r="FD4043" s="33" t="s">
        <v>346</v>
      </c>
      <c r="FE4043" s="33">
        <v>2025</v>
      </c>
      <c r="FF4043" s="33" t="s">
        <v>59</v>
      </c>
      <c r="FG4043" s="33" t="s">
        <v>470</v>
      </c>
      <c r="FH4043" s="33" t="s">
        <v>471</v>
      </c>
      <c r="FI4043" s="33" t="s">
        <v>467</v>
      </c>
      <c r="FJ4043" t="s">
        <v>59</v>
      </c>
    </row>
    <row r="4044" spans="153:166" x14ac:dyDescent="0.35">
      <c r="EW4044" t="s">
        <v>4093</v>
      </c>
      <c r="EX4044" s="33" t="s">
        <v>4941</v>
      </c>
      <c r="EY4044" s="33" t="s">
        <v>472</v>
      </c>
      <c r="EZ4044" s="33">
        <v>451887</v>
      </c>
      <c r="FA4044" s="33" t="s">
        <v>51</v>
      </c>
      <c r="FB4044" s="33" t="s">
        <v>473</v>
      </c>
      <c r="FC4044" s="33" t="s">
        <v>53</v>
      </c>
      <c r="FD4044" s="33" t="s">
        <v>54</v>
      </c>
      <c r="FE4044" s="33">
        <v>2020</v>
      </c>
      <c r="FF4044" s="33" t="s">
        <v>474</v>
      </c>
      <c r="FG4044" s="33" t="s">
        <v>470</v>
      </c>
      <c r="FH4044" s="33" t="s">
        <v>471</v>
      </c>
      <c r="FI4044" s="33" t="s">
        <v>467</v>
      </c>
      <c r="FJ4044" t="s">
        <v>474</v>
      </c>
    </row>
    <row r="4045" spans="153:166" x14ac:dyDescent="0.35">
      <c r="EW4045" t="s">
        <v>4093</v>
      </c>
      <c r="EX4045" s="33" t="s">
        <v>4942</v>
      </c>
      <c r="EY4045" s="33" t="s">
        <v>475</v>
      </c>
      <c r="EZ4045" s="33">
        <v>508408</v>
      </c>
      <c r="FA4045" s="33" t="s">
        <v>51</v>
      </c>
      <c r="FB4045" s="33" t="s">
        <v>473</v>
      </c>
      <c r="FC4045" s="33" t="s">
        <v>53</v>
      </c>
      <c r="FD4045" s="33" t="s">
        <v>476</v>
      </c>
      <c r="FE4045" s="33">
        <v>2020</v>
      </c>
      <c r="FF4045" s="33" t="s">
        <v>474</v>
      </c>
      <c r="FG4045" s="33" t="s">
        <v>477</v>
      </c>
      <c r="FH4045" s="33" t="s">
        <v>478</v>
      </c>
      <c r="FI4045" s="33" t="s">
        <v>479</v>
      </c>
      <c r="FJ4045" t="s">
        <v>474</v>
      </c>
    </row>
    <row r="4046" spans="153:166" x14ac:dyDescent="0.35">
      <c r="EW4046" t="s">
        <v>4093</v>
      </c>
      <c r="EX4046" s="33" t="s">
        <v>4943</v>
      </c>
      <c r="EY4046" s="33" t="s">
        <v>483</v>
      </c>
      <c r="EZ4046" s="33">
        <v>509327</v>
      </c>
      <c r="FA4046" s="33" t="s">
        <v>51</v>
      </c>
      <c r="FB4046" s="33" t="s">
        <v>473</v>
      </c>
      <c r="FC4046" s="33" t="s">
        <v>53</v>
      </c>
      <c r="FD4046" s="33" t="s">
        <v>476</v>
      </c>
      <c r="FE4046" s="33">
        <v>2020</v>
      </c>
      <c r="FF4046" s="33" t="s">
        <v>474</v>
      </c>
      <c r="FG4046" s="33" t="s">
        <v>477</v>
      </c>
      <c r="FH4046" s="33" t="s">
        <v>478</v>
      </c>
      <c r="FI4046" s="33" t="s">
        <v>479</v>
      </c>
      <c r="FJ4046" t="s">
        <v>474</v>
      </c>
    </row>
    <row r="4047" spans="153:166" x14ac:dyDescent="0.35">
      <c r="EW4047" t="s">
        <v>4093</v>
      </c>
      <c r="EX4047" s="33" t="s">
        <v>4944</v>
      </c>
      <c r="EY4047" s="33" t="s">
        <v>487</v>
      </c>
      <c r="EZ4047" s="33">
        <v>508437</v>
      </c>
      <c r="FA4047" s="33" t="s">
        <v>51</v>
      </c>
      <c r="FB4047" s="33" t="s">
        <v>473</v>
      </c>
      <c r="FC4047" s="33" t="s">
        <v>53</v>
      </c>
      <c r="FD4047" s="33" t="s">
        <v>476</v>
      </c>
      <c r="FE4047" s="33">
        <v>2020</v>
      </c>
      <c r="FF4047" s="33" t="s">
        <v>474</v>
      </c>
      <c r="FG4047" s="33" t="s">
        <v>477</v>
      </c>
      <c r="FH4047" s="33" t="s">
        <v>478</v>
      </c>
      <c r="FI4047" s="33" t="s">
        <v>479</v>
      </c>
      <c r="FJ4047" t="s">
        <v>474</v>
      </c>
    </row>
    <row r="4048" spans="153:166" x14ac:dyDescent="0.35">
      <c r="EW4048" t="s">
        <v>4093</v>
      </c>
      <c r="EX4048" s="33" t="s">
        <v>4945</v>
      </c>
      <c r="EY4048" s="33" t="s">
        <v>488</v>
      </c>
      <c r="EZ4048" s="33">
        <v>508572</v>
      </c>
      <c r="FA4048" s="33" t="s">
        <v>51</v>
      </c>
      <c r="FB4048" s="33" t="s">
        <v>473</v>
      </c>
      <c r="FC4048" s="33" t="s">
        <v>53</v>
      </c>
      <c r="FD4048" s="33" t="s">
        <v>476</v>
      </c>
      <c r="FE4048" s="33">
        <v>2020</v>
      </c>
      <c r="FF4048" s="33" t="s">
        <v>474</v>
      </c>
      <c r="FG4048" s="33" t="s">
        <v>477</v>
      </c>
      <c r="FH4048" s="33" t="s">
        <v>478</v>
      </c>
      <c r="FI4048" s="33" t="s">
        <v>479</v>
      </c>
      <c r="FJ4048" t="s">
        <v>474</v>
      </c>
    </row>
    <row r="4049" spans="153:166" x14ac:dyDescent="0.35">
      <c r="EW4049" t="s">
        <v>4093</v>
      </c>
      <c r="EX4049" s="33" t="s">
        <v>4946</v>
      </c>
      <c r="EY4049" s="33" t="s">
        <v>489</v>
      </c>
      <c r="EZ4049" s="33">
        <v>508361</v>
      </c>
      <c r="FA4049" s="33" t="s">
        <v>51</v>
      </c>
      <c r="FB4049" s="33" t="s">
        <v>473</v>
      </c>
      <c r="FC4049" s="33" t="s">
        <v>53</v>
      </c>
      <c r="FD4049" s="33" t="s">
        <v>476</v>
      </c>
      <c r="FE4049" s="33">
        <v>2020</v>
      </c>
      <c r="FF4049" s="33" t="s">
        <v>474</v>
      </c>
      <c r="FG4049" s="33" t="s">
        <v>477</v>
      </c>
      <c r="FH4049" s="33" t="s">
        <v>478</v>
      </c>
      <c r="FI4049" s="33" t="s">
        <v>479</v>
      </c>
      <c r="FJ4049" t="s">
        <v>474</v>
      </c>
    </row>
    <row r="4050" spans="153:166" x14ac:dyDescent="0.35">
      <c r="EW4050" t="s">
        <v>4093</v>
      </c>
      <c r="EX4050" s="33" t="s">
        <v>4947</v>
      </c>
      <c r="EY4050" s="33" t="s">
        <v>490</v>
      </c>
      <c r="EZ4050" s="33">
        <v>508380</v>
      </c>
      <c r="FA4050" s="33" t="s">
        <v>51</v>
      </c>
      <c r="FB4050" s="33" t="s">
        <v>473</v>
      </c>
      <c r="FC4050" s="33" t="s">
        <v>53</v>
      </c>
      <c r="FD4050" s="33" t="s">
        <v>476</v>
      </c>
      <c r="FE4050" s="33">
        <v>2020</v>
      </c>
      <c r="FF4050" s="33" t="s">
        <v>474</v>
      </c>
      <c r="FG4050" s="33" t="s">
        <v>477</v>
      </c>
      <c r="FH4050" s="33" t="s">
        <v>478</v>
      </c>
      <c r="FI4050" s="33" t="s">
        <v>479</v>
      </c>
      <c r="FJ4050" t="s">
        <v>474</v>
      </c>
    </row>
    <row r="4051" spans="153:166" x14ac:dyDescent="0.35">
      <c r="EW4051" t="s">
        <v>4093</v>
      </c>
      <c r="EX4051" s="33" t="s">
        <v>4948</v>
      </c>
      <c r="EY4051" s="33" t="s">
        <v>491</v>
      </c>
      <c r="EZ4051" s="33">
        <v>508444</v>
      </c>
      <c r="FA4051" s="33" t="s">
        <v>51</v>
      </c>
      <c r="FB4051" s="33" t="s">
        <v>473</v>
      </c>
      <c r="FC4051" s="33" t="s">
        <v>53</v>
      </c>
      <c r="FD4051" s="33" t="s">
        <v>476</v>
      </c>
      <c r="FE4051" s="33">
        <v>2020</v>
      </c>
      <c r="FF4051" s="33" t="s">
        <v>474</v>
      </c>
      <c r="FG4051" s="33" t="s">
        <v>477</v>
      </c>
      <c r="FH4051" s="33" t="s">
        <v>478</v>
      </c>
      <c r="FI4051" s="33" t="s">
        <v>479</v>
      </c>
      <c r="FJ4051" t="s">
        <v>474</v>
      </c>
    </row>
    <row r="4052" spans="153:166" x14ac:dyDescent="0.35">
      <c r="EW4052" t="s">
        <v>4093</v>
      </c>
      <c r="EX4052" s="33" t="s">
        <v>4949</v>
      </c>
      <c r="EY4052" s="33" t="s">
        <v>492</v>
      </c>
      <c r="EZ4052" s="33">
        <v>508467</v>
      </c>
      <c r="FA4052" s="33" t="s">
        <v>51</v>
      </c>
      <c r="FB4052" s="33" t="s">
        <v>473</v>
      </c>
      <c r="FC4052" s="33" t="s">
        <v>53</v>
      </c>
      <c r="FD4052" s="33" t="s">
        <v>476</v>
      </c>
      <c r="FE4052" s="33">
        <v>2020</v>
      </c>
      <c r="FF4052" s="33" t="s">
        <v>474</v>
      </c>
      <c r="FG4052" s="33" t="s">
        <v>477</v>
      </c>
      <c r="FH4052" s="33" t="s">
        <v>478</v>
      </c>
      <c r="FI4052" s="33" t="s">
        <v>479</v>
      </c>
      <c r="FJ4052" t="s">
        <v>474</v>
      </c>
    </row>
    <row r="4053" spans="153:166" x14ac:dyDescent="0.35">
      <c r="EW4053" t="s">
        <v>4093</v>
      </c>
      <c r="EX4053" s="33" t="s">
        <v>4950</v>
      </c>
      <c r="EY4053" s="33" t="s">
        <v>493</v>
      </c>
      <c r="EZ4053" s="33">
        <v>508196</v>
      </c>
      <c r="FA4053" s="33" t="s">
        <v>51</v>
      </c>
      <c r="FB4053" s="33" t="s">
        <v>473</v>
      </c>
      <c r="FC4053" s="33" t="s">
        <v>53</v>
      </c>
      <c r="FD4053" s="33" t="s">
        <v>476</v>
      </c>
      <c r="FE4053" s="33">
        <v>2020</v>
      </c>
      <c r="FF4053" s="33" t="s">
        <v>474</v>
      </c>
      <c r="FG4053" s="33" t="s">
        <v>477</v>
      </c>
      <c r="FH4053" s="33" t="s">
        <v>478</v>
      </c>
      <c r="FI4053" s="33" t="s">
        <v>479</v>
      </c>
      <c r="FJ4053" t="s">
        <v>474</v>
      </c>
    </row>
    <row r="4054" spans="153:166" x14ac:dyDescent="0.35">
      <c r="EW4054" t="s">
        <v>4093</v>
      </c>
      <c r="EX4054" s="33" t="s">
        <v>4951</v>
      </c>
      <c r="EY4054" s="33" t="s">
        <v>494</v>
      </c>
      <c r="EZ4054" s="33">
        <v>508277</v>
      </c>
      <c r="FA4054" s="33" t="s">
        <v>51</v>
      </c>
      <c r="FB4054" s="33" t="s">
        <v>473</v>
      </c>
      <c r="FC4054" s="33" t="s">
        <v>53</v>
      </c>
      <c r="FD4054" s="33" t="s">
        <v>476</v>
      </c>
      <c r="FE4054" s="33">
        <v>2020</v>
      </c>
      <c r="FF4054" s="33" t="s">
        <v>474</v>
      </c>
      <c r="FG4054" s="33" t="s">
        <v>477</v>
      </c>
      <c r="FH4054" s="33" t="s">
        <v>478</v>
      </c>
      <c r="FI4054" s="33" t="s">
        <v>479</v>
      </c>
      <c r="FJ4054" t="s">
        <v>474</v>
      </c>
    </row>
    <row r="4055" spans="153:166" x14ac:dyDescent="0.35">
      <c r="EW4055" t="s">
        <v>4093</v>
      </c>
      <c r="EX4055" s="33" t="s">
        <v>4952</v>
      </c>
      <c r="EY4055" s="33" t="s">
        <v>495</v>
      </c>
      <c r="EZ4055" s="33">
        <v>508208</v>
      </c>
      <c r="FA4055" s="33" t="s">
        <v>51</v>
      </c>
      <c r="FB4055" s="33" t="s">
        <v>473</v>
      </c>
      <c r="FC4055" s="33" t="s">
        <v>53</v>
      </c>
      <c r="FD4055" s="33" t="s">
        <v>476</v>
      </c>
      <c r="FE4055" s="33">
        <v>2020</v>
      </c>
      <c r="FF4055" s="33" t="s">
        <v>474</v>
      </c>
      <c r="FG4055" s="33" t="s">
        <v>477</v>
      </c>
      <c r="FH4055" s="33" t="s">
        <v>478</v>
      </c>
      <c r="FI4055" s="33" t="s">
        <v>479</v>
      </c>
      <c r="FJ4055" t="s">
        <v>474</v>
      </c>
    </row>
    <row r="4056" spans="153:166" x14ac:dyDescent="0.35">
      <c r="EW4056" t="s">
        <v>4093</v>
      </c>
      <c r="EX4056" s="33" t="s">
        <v>4953</v>
      </c>
      <c r="EY4056" s="33" t="s">
        <v>496</v>
      </c>
      <c r="EZ4056" s="33">
        <v>508167</v>
      </c>
      <c r="FA4056" s="33" t="s">
        <v>51</v>
      </c>
      <c r="FB4056" s="33" t="s">
        <v>473</v>
      </c>
      <c r="FC4056" s="33" t="s">
        <v>53</v>
      </c>
      <c r="FD4056" s="33" t="s">
        <v>476</v>
      </c>
      <c r="FE4056" s="33">
        <v>2020</v>
      </c>
      <c r="FF4056" s="33" t="s">
        <v>474</v>
      </c>
      <c r="FG4056" s="33" t="s">
        <v>477</v>
      </c>
      <c r="FH4056" s="33" t="s">
        <v>478</v>
      </c>
      <c r="FI4056" s="33" t="s">
        <v>479</v>
      </c>
      <c r="FJ4056" t="s">
        <v>474</v>
      </c>
    </row>
    <row r="4057" spans="153:166" x14ac:dyDescent="0.35">
      <c r="EW4057" t="s">
        <v>4093</v>
      </c>
      <c r="EX4057" s="33" t="s">
        <v>4954</v>
      </c>
      <c r="EY4057" s="33" t="s">
        <v>500</v>
      </c>
      <c r="EZ4057" s="33">
        <v>507859</v>
      </c>
      <c r="FA4057" s="33" t="s">
        <v>51</v>
      </c>
      <c r="FB4057" s="33" t="s">
        <v>473</v>
      </c>
      <c r="FC4057" s="33" t="s">
        <v>53</v>
      </c>
      <c r="FD4057" s="33" t="s">
        <v>476</v>
      </c>
      <c r="FE4057" s="33">
        <v>2020</v>
      </c>
      <c r="FF4057" s="33" t="s">
        <v>474</v>
      </c>
      <c r="FG4057" s="33" t="s">
        <v>477</v>
      </c>
      <c r="FH4057" s="33" t="s">
        <v>478</v>
      </c>
      <c r="FI4057" s="33" t="s">
        <v>479</v>
      </c>
      <c r="FJ4057" t="s">
        <v>474</v>
      </c>
    </row>
    <row r="4058" spans="153:166" x14ac:dyDescent="0.35">
      <c r="EW4058" t="s">
        <v>4093</v>
      </c>
      <c r="EX4058" s="33" t="s">
        <v>4955</v>
      </c>
      <c r="EY4058" s="33" t="s">
        <v>501</v>
      </c>
      <c r="EZ4058" s="33">
        <v>508172</v>
      </c>
      <c r="FA4058" s="33" t="s">
        <v>51</v>
      </c>
      <c r="FB4058" s="33" t="s">
        <v>473</v>
      </c>
      <c r="FC4058" s="33" t="s">
        <v>53</v>
      </c>
      <c r="FD4058" s="33" t="s">
        <v>476</v>
      </c>
      <c r="FE4058" s="33">
        <v>2020</v>
      </c>
      <c r="FF4058" s="33" t="s">
        <v>474</v>
      </c>
      <c r="FG4058" s="33" t="s">
        <v>477</v>
      </c>
      <c r="FH4058" s="33" t="s">
        <v>478</v>
      </c>
      <c r="FI4058" s="33" t="s">
        <v>479</v>
      </c>
      <c r="FJ4058" t="s">
        <v>474</v>
      </c>
    </row>
    <row r="4059" spans="153:166" x14ac:dyDescent="0.35">
      <c r="EW4059" t="s">
        <v>4093</v>
      </c>
      <c r="EX4059" s="33" t="s">
        <v>4956</v>
      </c>
      <c r="EY4059" s="33" t="s">
        <v>505</v>
      </c>
      <c r="EZ4059" s="33">
        <v>508690</v>
      </c>
      <c r="FA4059" s="33" t="s">
        <v>51</v>
      </c>
      <c r="FB4059" s="33" t="s">
        <v>473</v>
      </c>
      <c r="FC4059" s="33" t="s">
        <v>53</v>
      </c>
      <c r="FD4059" s="33" t="s">
        <v>476</v>
      </c>
      <c r="FE4059" s="33">
        <v>2020</v>
      </c>
      <c r="FF4059" s="33" t="s">
        <v>474</v>
      </c>
      <c r="FG4059" s="33" t="s">
        <v>470</v>
      </c>
      <c r="FH4059" s="33" t="s">
        <v>471</v>
      </c>
      <c r="FI4059" s="33" t="s">
        <v>467</v>
      </c>
      <c r="FJ4059" t="s">
        <v>474</v>
      </c>
    </row>
    <row r="4060" spans="153:166" x14ac:dyDescent="0.35">
      <c r="EW4060" t="s">
        <v>4093</v>
      </c>
      <c r="EX4060" s="33" t="s">
        <v>4957</v>
      </c>
      <c r="EY4060" s="33" t="s">
        <v>506</v>
      </c>
      <c r="EZ4060" s="33">
        <v>508223</v>
      </c>
      <c r="FA4060" s="33" t="s">
        <v>51</v>
      </c>
      <c r="FB4060" s="33" t="s">
        <v>473</v>
      </c>
      <c r="FC4060" s="33" t="s">
        <v>53</v>
      </c>
      <c r="FD4060" s="33" t="s">
        <v>476</v>
      </c>
      <c r="FE4060" s="33">
        <v>2020</v>
      </c>
      <c r="FF4060" s="33" t="s">
        <v>474</v>
      </c>
      <c r="FG4060" s="33" t="s">
        <v>477</v>
      </c>
      <c r="FH4060" s="33" t="s">
        <v>478</v>
      </c>
      <c r="FI4060" s="33" t="s">
        <v>479</v>
      </c>
      <c r="FJ4060" t="s">
        <v>474</v>
      </c>
    </row>
    <row r="4061" spans="153:166" x14ac:dyDescent="0.35">
      <c r="EW4061" t="s">
        <v>4093</v>
      </c>
      <c r="EX4061" s="33" t="s">
        <v>4958</v>
      </c>
      <c r="EY4061" s="33" t="s">
        <v>507</v>
      </c>
      <c r="EZ4061" s="33">
        <v>508144</v>
      </c>
      <c r="FA4061" s="33" t="s">
        <v>51</v>
      </c>
      <c r="FB4061" s="33" t="s">
        <v>473</v>
      </c>
      <c r="FC4061" s="33" t="s">
        <v>53</v>
      </c>
      <c r="FD4061" s="33" t="s">
        <v>476</v>
      </c>
      <c r="FE4061" s="33">
        <v>2020</v>
      </c>
      <c r="FF4061" s="33" t="s">
        <v>474</v>
      </c>
      <c r="FG4061" s="33" t="s">
        <v>477</v>
      </c>
      <c r="FH4061" s="33" t="s">
        <v>478</v>
      </c>
      <c r="FI4061" s="33" t="s">
        <v>479</v>
      </c>
      <c r="FJ4061" t="s">
        <v>474</v>
      </c>
    </row>
    <row r="4062" spans="153:166" x14ac:dyDescent="0.35">
      <c r="EW4062" t="s">
        <v>4093</v>
      </c>
      <c r="EX4062" s="33" t="s">
        <v>4959</v>
      </c>
      <c r="EY4062" s="33" t="s">
        <v>508</v>
      </c>
      <c r="EZ4062" s="33">
        <v>508132</v>
      </c>
      <c r="FA4062" s="33" t="s">
        <v>51</v>
      </c>
      <c r="FB4062" s="33" t="s">
        <v>473</v>
      </c>
      <c r="FC4062" s="33" t="s">
        <v>53</v>
      </c>
      <c r="FD4062" s="33" t="s">
        <v>476</v>
      </c>
      <c r="FE4062" s="33">
        <v>2020</v>
      </c>
      <c r="FF4062" s="33" t="s">
        <v>474</v>
      </c>
      <c r="FG4062" s="33" t="s">
        <v>477</v>
      </c>
      <c r="FH4062" s="33" t="s">
        <v>478</v>
      </c>
      <c r="FI4062" s="33" t="s">
        <v>479</v>
      </c>
      <c r="FJ4062" t="s">
        <v>474</v>
      </c>
    </row>
    <row r="4063" spans="153:166" x14ac:dyDescent="0.35">
      <c r="EW4063" t="s">
        <v>4093</v>
      </c>
      <c r="EX4063" s="33" t="s">
        <v>4960</v>
      </c>
      <c r="EY4063" s="33" t="s">
        <v>509</v>
      </c>
      <c r="EZ4063" s="33">
        <v>508345</v>
      </c>
      <c r="FA4063" s="33" t="s">
        <v>51</v>
      </c>
      <c r="FB4063" s="33" t="s">
        <v>473</v>
      </c>
      <c r="FC4063" s="33" t="s">
        <v>53</v>
      </c>
      <c r="FD4063" s="33" t="s">
        <v>476</v>
      </c>
      <c r="FE4063" s="33">
        <v>2020</v>
      </c>
      <c r="FF4063" s="33" t="s">
        <v>474</v>
      </c>
      <c r="FG4063" s="33" t="s">
        <v>477</v>
      </c>
      <c r="FH4063" s="33" t="s">
        <v>478</v>
      </c>
      <c r="FI4063" s="33" t="s">
        <v>479</v>
      </c>
      <c r="FJ4063" t="s">
        <v>474</v>
      </c>
    </row>
    <row r="4064" spans="153:166" x14ac:dyDescent="0.35">
      <c r="EW4064" t="s">
        <v>4093</v>
      </c>
      <c r="EX4064" s="33" t="s">
        <v>4961</v>
      </c>
      <c r="EY4064" s="33" t="s">
        <v>513</v>
      </c>
      <c r="EZ4064" s="33">
        <v>508201</v>
      </c>
      <c r="FA4064" s="33" t="s">
        <v>51</v>
      </c>
      <c r="FB4064" s="33" t="s">
        <v>473</v>
      </c>
      <c r="FC4064" s="33" t="s">
        <v>53</v>
      </c>
      <c r="FD4064" s="33" t="s">
        <v>476</v>
      </c>
      <c r="FE4064" s="33">
        <v>2020</v>
      </c>
      <c r="FF4064" s="33" t="s">
        <v>474</v>
      </c>
      <c r="FG4064" s="33" t="s">
        <v>477</v>
      </c>
      <c r="FH4064" s="33" t="s">
        <v>478</v>
      </c>
      <c r="FI4064" s="33" t="s">
        <v>479</v>
      </c>
      <c r="FJ4064" t="s">
        <v>474</v>
      </c>
    </row>
    <row r="4065" spans="153:166" x14ac:dyDescent="0.35">
      <c r="EW4065" t="s">
        <v>4093</v>
      </c>
      <c r="EX4065" s="33" t="s">
        <v>4962</v>
      </c>
      <c r="EY4065" s="33" t="s">
        <v>514</v>
      </c>
      <c r="EZ4065" s="33">
        <v>508119</v>
      </c>
      <c r="FA4065" s="33" t="s">
        <v>51</v>
      </c>
      <c r="FB4065" s="33" t="s">
        <v>473</v>
      </c>
      <c r="FC4065" s="33" t="s">
        <v>53</v>
      </c>
      <c r="FD4065" s="33" t="s">
        <v>476</v>
      </c>
      <c r="FE4065" s="33">
        <v>2020</v>
      </c>
      <c r="FF4065" s="33" t="s">
        <v>474</v>
      </c>
      <c r="FG4065" s="33" t="s">
        <v>477</v>
      </c>
      <c r="FH4065" s="33" t="s">
        <v>478</v>
      </c>
      <c r="FI4065" s="33" t="s">
        <v>479</v>
      </c>
      <c r="FJ4065" t="s">
        <v>474</v>
      </c>
    </row>
    <row r="4066" spans="153:166" x14ac:dyDescent="0.35">
      <c r="EW4066" t="s">
        <v>4093</v>
      </c>
      <c r="EX4066" s="33" t="s">
        <v>4963</v>
      </c>
      <c r="EY4066" s="33" t="s">
        <v>515</v>
      </c>
      <c r="EZ4066" s="33">
        <v>508282</v>
      </c>
      <c r="FA4066" s="33" t="s">
        <v>51</v>
      </c>
      <c r="FB4066" s="33" t="s">
        <v>473</v>
      </c>
      <c r="FC4066" s="33" t="s">
        <v>53</v>
      </c>
      <c r="FD4066" s="33" t="s">
        <v>476</v>
      </c>
      <c r="FE4066" s="33">
        <v>2020</v>
      </c>
      <c r="FF4066" s="33" t="s">
        <v>474</v>
      </c>
      <c r="FG4066" s="33" t="s">
        <v>477</v>
      </c>
      <c r="FH4066" s="33" t="s">
        <v>478</v>
      </c>
      <c r="FI4066" s="33" t="s">
        <v>479</v>
      </c>
      <c r="FJ4066" t="s">
        <v>474</v>
      </c>
    </row>
    <row r="4067" spans="153:166" x14ac:dyDescent="0.35">
      <c r="EW4067" t="s">
        <v>4093</v>
      </c>
      <c r="EX4067" s="33" t="s">
        <v>4964</v>
      </c>
      <c r="EY4067" s="33" t="s">
        <v>516</v>
      </c>
      <c r="EZ4067" s="33">
        <v>508121</v>
      </c>
      <c r="FA4067" s="33" t="s">
        <v>51</v>
      </c>
      <c r="FB4067" s="33" t="s">
        <v>473</v>
      </c>
      <c r="FC4067" s="33" t="s">
        <v>53</v>
      </c>
      <c r="FD4067" s="33" t="s">
        <v>476</v>
      </c>
      <c r="FE4067" s="33">
        <v>2020</v>
      </c>
      <c r="FF4067" s="33" t="s">
        <v>474</v>
      </c>
      <c r="FG4067" s="33" t="s">
        <v>470</v>
      </c>
      <c r="FH4067" s="33" t="s">
        <v>471</v>
      </c>
      <c r="FI4067" s="33" t="s">
        <v>467</v>
      </c>
      <c r="FJ4067" t="s">
        <v>474</v>
      </c>
    </row>
    <row r="4068" spans="153:166" x14ac:dyDescent="0.35">
      <c r="EW4068" t="s">
        <v>4093</v>
      </c>
      <c r="EX4068" s="33" t="s">
        <v>4965</v>
      </c>
      <c r="EY4068" s="33" t="s">
        <v>517</v>
      </c>
      <c r="EZ4068" s="33">
        <v>508224</v>
      </c>
      <c r="FA4068" s="33" t="s">
        <v>51</v>
      </c>
      <c r="FB4068" s="33" t="s">
        <v>473</v>
      </c>
      <c r="FC4068" s="33" t="s">
        <v>53</v>
      </c>
      <c r="FD4068" s="33" t="s">
        <v>476</v>
      </c>
      <c r="FE4068" s="33">
        <v>2020</v>
      </c>
      <c r="FF4068" s="33" t="s">
        <v>474</v>
      </c>
      <c r="FG4068" s="33" t="s">
        <v>470</v>
      </c>
      <c r="FH4068" s="33" t="s">
        <v>471</v>
      </c>
      <c r="FI4068" s="33" t="s">
        <v>467</v>
      </c>
      <c r="FJ4068" t="s">
        <v>474</v>
      </c>
    </row>
    <row r="4069" spans="153:166" x14ac:dyDescent="0.35">
      <c r="EW4069" t="s">
        <v>4093</v>
      </c>
      <c r="EX4069" s="33" t="s">
        <v>4966</v>
      </c>
      <c r="EY4069" s="33" t="s">
        <v>518</v>
      </c>
      <c r="EZ4069" s="33">
        <v>508615</v>
      </c>
      <c r="FA4069" s="33" t="s">
        <v>51</v>
      </c>
      <c r="FB4069" s="33" t="s">
        <v>473</v>
      </c>
      <c r="FC4069" s="33" t="s">
        <v>53</v>
      </c>
      <c r="FD4069" s="33" t="s">
        <v>476</v>
      </c>
      <c r="FE4069" s="33">
        <v>2020</v>
      </c>
      <c r="FF4069" s="33" t="s">
        <v>474</v>
      </c>
      <c r="FG4069" s="33" t="s">
        <v>477</v>
      </c>
      <c r="FH4069" s="33" t="s">
        <v>478</v>
      </c>
      <c r="FI4069" s="33" t="s">
        <v>479</v>
      </c>
      <c r="FJ4069" t="s">
        <v>474</v>
      </c>
    </row>
    <row r="4070" spans="153:166" x14ac:dyDescent="0.35">
      <c r="EW4070" t="s">
        <v>4093</v>
      </c>
      <c r="EX4070" s="33" t="s">
        <v>4967</v>
      </c>
      <c r="EY4070" s="33" t="s">
        <v>522</v>
      </c>
      <c r="EZ4070" s="33">
        <v>508569</v>
      </c>
      <c r="FA4070" s="33" t="s">
        <v>51</v>
      </c>
      <c r="FB4070" s="33" t="s">
        <v>473</v>
      </c>
      <c r="FC4070" s="33" t="s">
        <v>53</v>
      </c>
      <c r="FD4070" s="33" t="s">
        <v>476</v>
      </c>
      <c r="FE4070" s="33">
        <v>2020</v>
      </c>
      <c r="FF4070" s="33" t="s">
        <v>474</v>
      </c>
      <c r="FG4070" s="33" t="s">
        <v>470</v>
      </c>
      <c r="FH4070" s="33" t="s">
        <v>471</v>
      </c>
      <c r="FI4070" s="33" t="s">
        <v>467</v>
      </c>
      <c r="FJ4070" t="s">
        <v>474</v>
      </c>
    </row>
    <row r="4071" spans="153:166" x14ac:dyDescent="0.35">
      <c r="EW4071" t="s">
        <v>4093</v>
      </c>
      <c r="EX4071" s="33" t="s">
        <v>4968</v>
      </c>
      <c r="EY4071" s="33" t="s">
        <v>523</v>
      </c>
      <c r="EZ4071" s="33">
        <v>508297</v>
      </c>
      <c r="FA4071" s="33" t="s">
        <v>51</v>
      </c>
      <c r="FB4071" s="33" t="s">
        <v>473</v>
      </c>
      <c r="FC4071" s="33" t="s">
        <v>53</v>
      </c>
      <c r="FD4071" s="33" t="s">
        <v>476</v>
      </c>
      <c r="FE4071" s="33">
        <v>2020</v>
      </c>
      <c r="FF4071" s="33" t="s">
        <v>474</v>
      </c>
      <c r="FG4071" s="33" t="s">
        <v>477</v>
      </c>
      <c r="FH4071" s="33" t="s">
        <v>478</v>
      </c>
      <c r="FI4071" s="33" t="s">
        <v>479</v>
      </c>
      <c r="FJ4071" t="s">
        <v>474</v>
      </c>
    </row>
    <row r="4072" spans="153:166" x14ac:dyDescent="0.35">
      <c r="EW4072" t="s">
        <v>4093</v>
      </c>
      <c r="EX4072" s="33" t="s">
        <v>4969</v>
      </c>
      <c r="EY4072" s="33" t="s">
        <v>524</v>
      </c>
      <c r="EZ4072" s="33">
        <v>508303</v>
      </c>
      <c r="FA4072" s="33" t="s">
        <v>51</v>
      </c>
      <c r="FB4072" s="33" t="s">
        <v>473</v>
      </c>
      <c r="FC4072" s="33" t="s">
        <v>53</v>
      </c>
      <c r="FD4072" s="33" t="s">
        <v>476</v>
      </c>
      <c r="FE4072" s="33">
        <v>2020</v>
      </c>
      <c r="FF4072" s="33" t="s">
        <v>474</v>
      </c>
      <c r="FG4072" s="33" t="s">
        <v>477</v>
      </c>
      <c r="FH4072" s="33" t="s">
        <v>478</v>
      </c>
      <c r="FI4072" s="33" t="s">
        <v>479</v>
      </c>
      <c r="FJ4072" t="s">
        <v>474</v>
      </c>
    </row>
    <row r="4073" spans="153:166" x14ac:dyDescent="0.35">
      <c r="EW4073" t="s">
        <v>4093</v>
      </c>
      <c r="EX4073" s="33" t="s">
        <v>4970</v>
      </c>
      <c r="EY4073" s="33" t="s">
        <v>525</v>
      </c>
      <c r="EZ4073" s="33">
        <v>508235</v>
      </c>
      <c r="FA4073" s="33" t="s">
        <v>51</v>
      </c>
      <c r="FB4073" s="33" t="s">
        <v>473</v>
      </c>
      <c r="FC4073" s="33" t="s">
        <v>53</v>
      </c>
      <c r="FD4073" s="33" t="s">
        <v>476</v>
      </c>
      <c r="FE4073" s="33">
        <v>2020</v>
      </c>
      <c r="FF4073" s="33" t="s">
        <v>474</v>
      </c>
      <c r="FG4073" s="33" t="s">
        <v>477</v>
      </c>
      <c r="FH4073" s="33" t="s">
        <v>478</v>
      </c>
      <c r="FI4073" s="33" t="s">
        <v>479</v>
      </c>
      <c r="FJ4073" t="s">
        <v>474</v>
      </c>
    </row>
    <row r="4074" spans="153:166" x14ac:dyDescent="0.35">
      <c r="EW4074" t="s">
        <v>4093</v>
      </c>
      <c r="EX4074" s="33" t="s">
        <v>4971</v>
      </c>
      <c r="EY4074" s="33" t="s">
        <v>526</v>
      </c>
      <c r="EZ4074" s="33">
        <v>507854</v>
      </c>
      <c r="FA4074" s="33" t="s">
        <v>51</v>
      </c>
      <c r="FB4074" s="33" t="s">
        <v>473</v>
      </c>
      <c r="FC4074" s="33" t="s">
        <v>53</v>
      </c>
      <c r="FD4074" s="33" t="s">
        <v>476</v>
      </c>
      <c r="FE4074" s="33">
        <v>2020</v>
      </c>
      <c r="FF4074" s="33" t="s">
        <v>474</v>
      </c>
      <c r="FG4074" s="33" t="s">
        <v>477</v>
      </c>
      <c r="FH4074" s="33" t="s">
        <v>478</v>
      </c>
      <c r="FI4074" s="33" t="s">
        <v>479</v>
      </c>
      <c r="FJ4074" t="s">
        <v>474</v>
      </c>
    </row>
    <row r="4075" spans="153:166" x14ac:dyDescent="0.35">
      <c r="EW4075" t="s">
        <v>4093</v>
      </c>
      <c r="EX4075" s="33" t="s">
        <v>4972</v>
      </c>
      <c r="EY4075" s="33" t="s">
        <v>527</v>
      </c>
      <c r="EZ4075" s="33">
        <v>507955</v>
      </c>
      <c r="FA4075" s="33" t="s">
        <v>51</v>
      </c>
      <c r="FB4075" s="33" t="s">
        <v>473</v>
      </c>
      <c r="FC4075" s="33" t="s">
        <v>53</v>
      </c>
      <c r="FD4075" s="33" t="s">
        <v>476</v>
      </c>
      <c r="FE4075" s="33">
        <v>2020</v>
      </c>
      <c r="FF4075" s="33" t="s">
        <v>474</v>
      </c>
      <c r="FG4075" s="33" t="s">
        <v>470</v>
      </c>
      <c r="FH4075" s="33" t="s">
        <v>471</v>
      </c>
      <c r="FI4075" s="33" t="s">
        <v>467</v>
      </c>
      <c r="FJ4075" t="s">
        <v>474</v>
      </c>
    </row>
    <row r="4076" spans="153:166" x14ac:dyDescent="0.35">
      <c r="EW4076" t="s">
        <v>4093</v>
      </c>
      <c r="EX4076" s="33" t="s">
        <v>4973</v>
      </c>
      <c r="EY4076" s="33" t="s">
        <v>531</v>
      </c>
      <c r="EZ4076" s="33">
        <v>508633</v>
      </c>
      <c r="FA4076" s="33" t="s">
        <v>51</v>
      </c>
      <c r="FB4076" s="33" t="s">
        <v>473</v>
      </c>
      <c r="FC4076" s="33" t="s">
        <v>53</v>
      </c>
      <c r="FD4076" s="33" t="s">
        <v>476</v>
      </c>
      <c r="FE4076" s="33">
        <v>2020</v>
      </c>
      <c r="FF4076" s="33" t="s">
        <v>474</v>
      </c>
      <c r="FG4076" s="33" t="s">
        <v>477</v>
      </c>
      <c r="FH4076" s="33" t="s">
        <v>478</v>
      </c>
      <c r="FI4076" s="33" t="s">
        <v>479</v>
      </c>
      <c r="FJ4076" t="s">
        <v>474</v>
      </c>
    </row>
    <row r="4077" spans="153:166" x14ac:dyDescent="0.35">
      <c r="EW4077" t="s">
        <v>4093</v>
      </c>
      <c r="EX4077" s="33" t="s">
        <v>4974</v>
      </c>
      <c r="EY4077" s="33" t="s">
        <v>532</v>
      </c>
      <c r="EZ4077" s="33">
        <v>508651</v>
      </c>
      <c r="FA4077" s="33" t="s">
        <v>51</v>
      </c>
      <c r="FB4077" s="33" t="s">
        <v>473</v>
      </c>
      <c r="FC4077" s="33" t="s">
        <v>53</v>
      </c>
      <c r="FD4077" s="33" t="s">
        <v>476</v>
      </c>
      <c r="FE4077" s="33">
        <v>2020</v>
      </c>
      <c r="FF4077" s="33" t="s">
        <v>474</v>
      </c>
      <c r="FG4077" s="33" t="s">
        <v>477</v>
      </c>
      <c r="FH4077" s="33" t="s">
        <v>478</v>
      </c>
      <c r="FI4077" s="33" t="s">
        <v>479</v>
      </c>
      <c r="FJ4077" t="s">
        <v>474</v>
      </c>
    </row>
    <row r="4078" spans="153:166" x14ac:dyDescent="0.35">
      <c r="EW4078" t="s">
        <v>4093</v>
      </c>
      <c r="EX4078" s="33" t="s">
        <v>4975</v>
      </c>
      <c r="EY4078" s="33" t="s">
        <v>533</v>
      </c>
      <c r="EZ4078" s="33">
        <v>508236</v>
      </c>
      <c r="FA4078" s="33" t="s">
        <v>51</v>
      </c>
      <c r="FB4078" s="33" t="s">
        <v>473</v>
      </c>
      <c r="FC4078" s="33" t="s">
        <v>53</v>
      </c>
      <c r="FD4078" s="33" t="s">
        <v>476</v>
      </c>
      <c r="FE4078" s="33">
        <v>2020</v>
      </c>
      <c r="FF4078" s="33" t="s">
        <v>474</v>
      </c>
      <c r="FG4078" s="33" t="s">
        <v>477</v>
      </c>
      <c r="FH4078" s="33" t="s">
        <v>478</v>
      </c>
      <c r="FI4078" s="33" t="s">
        <v>479</v>
      </c>
      <c r="FJ4078" t="s">
        <v>474</v>
      </c>
    </row>
    <row r="4079" spans="153:166" x14ac:dyDescent="0.35">
      <c r="EW4079" t="s">
        <v>4093</v>
      </c>
      <c r="EX4079" s="33" t="s">
        <v>4976</v>
      </c>
      <c r="EY4079" s="33" t="s">
        <v>534</v>
      </c>
      <c r="EZ4079" s="33">
        <v>508307</v>
      </c>
      <c r="FA4079" s="33" t="s">
        <v>51</v>
      </c>
      <c r="FB4079" s="33" t="s">
        <v>473</v>
      </c>
      <c r="FC4079" s="33" t="s">
        <v>53</v>
      </c>
      <c r="FD4079" s="33" t="s">
        <v>476</v>
      </c>
      <c r="FE4079" s="33">
        <v>2020</v>
      </c>
      <c r="FF4079" s="33" t="s">
        <v>474</v>
      </c>
      <c r="FG4079" s="33" t="s">
        <v>477</v>
      </c>
      <c r="FH4079" s="33" t="s">
        <v>478</v>
      </c>
      <c r="FI4079" s="33" t="s">
        <v>479</v>
      </c>
      <c r="FJ4079" t="s">
        <v>474</v>
      </c>
    </row>
    <row r="4080" spans="153:166" x14ac:dyDescent="0.35">
      <c r="EW4080" t="s">
        <v>4093</v>
      </c>
      <c r="EX4080" s="33" t="s">
        <v>4977</v>
      </c>
      <c r="EY4080" s="33" t="s">
        <v>535</v>
      </c>
      <c r="EZ4080" s="33">
        <v>508215</v>
      </c>
      <c r="FA4080" s="33" t="s">
        <v>51</v>
      </c>
      <c r="FB4080" s="33" t="s">
        <v>473</v>
      </c>
      <c r="FC4080" s="33" t="s">
        <v>53</v>
      </c>
      <c r="FD4080" s="33" t="s">
        <v>476</v>
      </c>
      <c r="FE4080" s="33">
        <v>2020</v>
      </c>
      <c r="FF4080" s="33" t="s">
        <v>474</v>
      </c>
      <c r="FG4080" s="33" t="s">
        <v>470</v>
      </c>
      <c r="FH4080" s="33" t="s">
        <v>471</v>
      </c>
      <c r="FI4080" s="33" t="s">
        <v>467</v>
      </c>
      <c r="FJ4080" t="s">
        <v>474</v>
      </c>
    </row>
    <row r="4081" spans="153:166" x14ac:dyDescent="0.35">
      <c r="EW4081" t="s">
        <v>4093</v>
      </c>
      <c r="EX4081" s="33" t="s">
        <v>4978</v>
      </c>
      <c r="EY4081" s="33" t="s">
        <v>536</v>
      </c>
      <c r="EZ4081" s="33">
        <v>508655</v>
      </c>
      <c r="FA4081" s="33" t="s">
        <v>51</v>
      </c>
      <c r="FB4081" s="33" t="s">
        <v>473</v>
      </c>
      <c r="FC4081" s="33" t="s">
        <v>53</v>
      </c>
      <c r="FD4081" s="33" t="s">
        <v>476</v>
      </c>
      <c r="FE4081" s="33">
        <v>2020</v>
      </c>
      <c r="FF4081" s="33" t="s">
        <v>474</v>
      </c>
      <c r="FG4081" s="33" t="s">
        <v>477</v>
      </c>
      <c r="FH4081" s="33" t="s">
        <v>478</v>
      </c>
      <c r="FI4081" s="33" t="s">
        <v>479</v>
      </c>
      <c r="FJ4081" t="s">
        <v>474</v>
      </c>
    </row>
    <row r="4082" spans="153:166" x14ac:dyDescent="0.35">
      <c r="EW4082" t="s">
        <v>4093</v>
      </c>
      <c r="EX4082" s="33" t="s">
        <v>4979</v>
      </c>
      <c r="EY4082" s="33" t="s">
        <v>540</v>
      </c>
      <c r="EZ4082" s="33">
        <v>508198</v>
      </c>
      <c r="FA4082" s="33" t="s">
        <v>51</v>
      </c>
      <c r="FB4082" s="33" t="s">
        <v>473</v>
      </c>
      <c r="FC4082" s="33" t="s">
        <v>53</v>
      </c>
      <c r="FD4082" s="33" t="s">
        <v>476</v>
      </c>
      <c r="FE4082" s="33">
        <v>2020</v>
      </c>
      <c r="FF4082" s="33" t="s">
        <v>474</v>
      </c>
      <c r="FG4082" s="33" t="s">
        <v>477</v>
      </c>
      <c r="FH4082" s="33" t="s">
        <v>478</v>
      </c>
      <c r="FI4082" s="33" t="s">
        <v>479</v>
      </c>
      <c r="FJ4082" t="s">
        <v>474</v>
      </c>
    </row>
    <row r="4083" spans="153:166" x14ac:dyDescent="0.35">
      <c r="EW4083" t="s">
        <v>4093</v>
      </c>
      <c r="EX4083" s="33" t="s">
        <v>4980</v>
      </c>
      <c r="EY4083" s="33" t="s">
        <v>541</v>
      </c>
      <c r="EZ4083" s="33">
        <v>509348</v>
      </c>
      <c r="FA4083" s="33" t="s">
        <v>51</v>
      </c>
      <c r="FB4083" s="33" t="s">
        <v>473</v>
      </c>
      <c r="FC4083" s="33" t="s">
        <v>53</v>
      </c>
      <c r="FD4083" s="33" t="s">
        <v>476</v>
      </c>
      <c r="FE4083" s="33">
        <v>2020</v>
      </c>
      <c r="FF4083" s="33" t="s">
        <v>474</v>
      </c>
      <c r="FG4083" s="33" t="s">
        <v>470</v>
      </c>
      <c r="FH4083" s="33" t="s">
        <v>471</v>
      </c>
      <c r="FI4083" s="33" t="s">
        <v>467</v>
      </c>
      <c r="FJ4083" t="s">
        <v>474</v>
      </c>
    </row>
    <row r="4084" spans="153:166" x14ac:dyDescent="0.35">
      <c r="EW4084" t="s">
        <v>4093</v>
      </c>
      <c r="EX4084" s="33" t="s">
        <v>4981</v>
      </c>
      <c r="EY4084" s="33" t="s">
        <v>542</v>
      </c>
      <c r="EZ4084" s="33">
        <v>509467</v>
      </c>
      <c r="FA4084" s="33" t="s">
        <v>51</v>
      </c>
      <c r="FB4084" s="33" t="s">
        <v>473</v>
      </c>
      <c r="FC4084" s="33" t="s">
        <v>53</v>
      </c>
      <c r="FD4084" s="33" t="s">
        <v>476</v>
      </c>
      <c r="FE4084" s="33">
        <v>2020</v>
      </c>
      <c r="FF4084" s="33" t="s">
        <v>474</v>
      </c>
      <c r="FG4084" s="33" t="s">
        <v>470</v>
      </c>
      <c r="FH4084" s="33" t="s">
        <v>471</v>
      </c>
      <c r="FI4084" s="33" t="s">
        <v>467</v>
      </c>
      <c r="FJ4084" t="s">
        <v>474</v>
      </c>
    </row>
    <row r="4085" spans="153:166" x14ac:dyDescent="0.35">
      <c r="EW4085" t="s">
        <v>4093</v>
      </c>
      <c r="EX4085" s="33" t="s">
        <v>4950</v>
      </c>
      <c r="EY4085" s="33" t="s">
        <v>543</v>
      </c>
      <c r="EZ4085" s="33">
        <v>507981</v>
      </c>
      <c r="FA4085" s="33" t="s">
        <v>51</v>
      </c>
      <c r="FB4085" s="33" t="s">
        <v>473</v>
      </c>
      <c r="FC4085" s="33" t="s">
        <v>53</v>
      </c>
      <c r="FD4085" s="33" t="s">
        <v>476</v>
      </c>
      <c r="FE4085" s="33">
        <v>2020</v>
      </c>
      <c r="FF4085" s="33" t="s">
        <v>474</v>
      </c>
      <c r="FG4085" s="33" t="s">
        <v>477</v>
      </c>
      <c r="FH4085" s="33" t="s">
        <v>478</v>
      </c>
      <c r="FI4085" s="33" t="s">
        <v>479</v>
      </c>
      <c r="FJ4085" t="s">
        <v>474</v>
      </c>
    </row>
    <row r="4086" spans="153:166" x14ac:dyDescent="0.35">
      <c r="EW4086" t="s">
        <v>4093</v>
      </c>
      <c r="EX4086" s="33" t="s">
        <v>4982</v>
      </c>
      <c r="EY4086" s="33" t="s">
        <v>544</v>
      </c>
      <c r="EZ4086" s="33">
        <v>508404</v>
      </c>
      <c r="FA4086" s="33" t="s">
        <v>51</v>
      </c>
      <c r="FB4086" s="33" t="s">
        <v>473</v>
      </c>
      <c r="FC4086" s="33" t="s">
        <v>53</v>
      </c>
      <c r="FD4086" s="33" t="s">
        <v>476</v>
      </c>
      <c r="FE4086" s="33">
        <v>2020</v>
      </c>
      <c r="FF4086" s="33" t="s">
        <v>474</v>
      </c>
      <c r="FG4086" s="33" t="s">
        <v>477</v>
      </c>
      <c r="FH4086" s="33" t="s">
        <v>478</v>
      </c>
      <c r="FI4086" s="33" t="s">
        <v>479</v>
      </c>
      <c r="FJ4086" t="s">
        <v>474</v>
      </c>
    </row>
    <row r="4087" spans="153:166" x14ac:dyDescent="0.35">
      <c r="EW4087" t="s">
        <v>4093</v>
      </c>
      <c r="EX4087" s="33" t="s">
        <v>4983</v>
      </c>
      <c r="EY4087" s="33" t="s">
        <v>545</v>
      </c>
      <c r="EZ4087" s="33">
        <v>509585</v>
      </c>
      <c r="FA4087" s="33" t="s">
        <v>51</v>
      </c>
      <c r="FB4087" s="33" t="s">
        <v>473</v>
      </c>
      <c r="FC4087" s="33" t="s">
        <v>53</v>
      </c>
      <c r="FD4087" s="33" t="s">
        <v>476</v>
      </c>
      <c r="FE4087" s="33">
        <v>2020</v>
      </c>
      <c r="FF4087" s="33" t="s">
        <v>474</v>
      </c>
      <c r="FG4087" s="33" t="s">
        <v>477</v>
      </c>
      <c r="FH4087" s="33" t="s">
        <v>478</v>
      </c>
      <c r="FI4087" s="33" t="s">
        <v>479</v>
      </c>
      <c r="FJ4087" t="s">
        <v>474</v>
      </c>
    </row>
    <row r="4088" spans="153:166" x14ac:dyDescent="0.35">
      <c r="EW4088" t="s">
        <v>4093</v>
      </c>
      <c r="EX4088" s="33" t="s">
        <v>4984</v>
      </c>
      <c r="EY4088" s="33" t="s">
        <v>546</v>
      </c>
      <c r="EZ4088" s="33">
        <v>509583</v>
      </c>
      <c r="FA4088" s="33" t="s">
        <v>51</v>
      </c>
      <c r="FB4088" s="33" t="s">
        <v>473</v>
      </c>
      <c r="FC4088" s="33" t="s">
        <v>53</v>
      </c>
      <c r="FD4088" s="33" t="s">
        <v>476</v>
      </c>
      <c r="FE4088" s="33">
        <v>2020</v>
      </c>
      <c r="FF4088" s="33" t="s">
        <v>474</v>
      </c>
      <c r="FG4088" s="33" t="s">
        <v>477</v>
      </c>
      <c r="FH4088" s="33" t="s">
        <v>478</v>
      </c>
      <c r="FI4088" s="33" t="s">
        <v>479</v>
      </c>
      <c r="FJ4088" t="s">
        <v>474</v>
      </c>
    </row>
    <row r="4089" spans="153:166" x14ac:dyDescent="0.35">
      <c r="EW4089" t="s">
        <v>4093</v>
      </c>
      <c r="EX4089" s="33" t="s">
        <v>4985</v>
      </c>
      <c r="EY4089" s="33" t="s">
        <v>550</v>
      </c>
      <c r="EZ4089" s="33">
        <v>509444</v>
      </c>
      <c r="FA4089" s="33" t="s">
        <v>51</v>
      </c>
      <c r="FB4089" s="33" t="s">
        <v>473</v>
      </c>
      <c r="FC4089" s="33" t="s">
        <v>53</v>
      </c>
      <c r="FD4089" s="33" t="s">
        <v>476</v>
      </c>
      <c r="FE4089" s="33">
        <v>2020</v>
      </c>
      <c r="FF4089" s="33" t="s">
        <v>474</v>
      </c>
      <c r="FG4089" s="33" t="s">
        <v>477</v>
      </c>
      <c r="FH4089" s="33" t="s">
        <v>478</v>
      </c>
      <c r="FI4089" s="33" t="s">
        <v>479</v>
      </c>
      <c r="FJ4089" t="s">
        <v>474</v>
      </c>
    </row>
    <row r="4090" spans="153:166" x14ac:dyDescent="0.35">
      <c r="EW4090" t="s">
        <v>4093</v>
      </c>
      <c r="EX4090" s="33" t="s">
        <v>4986</v>
      </c>
      <c r="EY4090" s="33" t="s">
        <v>551</v>
      </c>
      <c r="EZ4090" s="33">
        <v>509171</v>
      </c>
      <c r="FA4090" s="33" t="s">
        <v>51</v>
      </c>
      <c r="FB4090" s="33" t="s">
        <v>473</v>
      </c>
      <c r="FC4090" s="33" t="s">
        <v>53</v>
      </c>
      <c r="FD4090" s="33" t="s">
        <v>476</v>
      </c>
      <c r="FE4090" s="33">
        <v>2020</v>
      </c>
      <c r="FF4090" s="33" t="s">
        <v>474</v>
      </c>
      <c r="FG4090" s="33" t="s">
        <v>477</v>
      </c>
      <c r="FH4090" s="33" t="s">
        <v>478</v>
      </c>
      <c r="FI4090" s="33" t="s">
        <v>479</v>
      </c>
      <c r="FJ4090" t="s">
        <v>474</v>
      </c>
    </row>
    <row r="4091" spans="153:166" x14ac:dyDescent="0.35">
      <c r="EW4091" t="s">
        <v>4093</v>
      </c>
      <c r="EX4091" s="33" t="s">
        <v>4987</v>
      </c>
      <c r="EY4091" s="33" t="s">
        <v>552</v>
      </c>
      <c r="EZ4091" s="33">
        <v>509572</v>
      </c>
      <c r="FA4091" s="33" t="s">
        <v>51</v>
      </c>
      <c r="FB4091" s="33" t="s">
        <v>473</v>
      </c>
      <c r="FC4091" s="33" t="s">
        <v>53</v>
      </c>
      <c r="FD4091" s="33" t="s">
        <v>476</v>
      </c>
      <c r="FE4091" s="33">
        <v>2020</v>
      </c>
      <c r="FF4091" s="33" t="s">
        <v>474</v>
      </c>
      <c r="FG4091" s="33" t="s">
        <v>477</v>
      </c>
      <c r="FH4091" s="33" t="s">
        <v>478</v>
      </c>
      <c r="FI4091" s="33" t="s">
        <v>479</v>
      </c>
      <c r="FJ4091" t="s">
        <v>474</v>
      </c>
    </row>
    <row r="4092" spans="153:166" x14ac:dyDescent="0.35">
      <c r="EW4092" t="s">
        <v>4093</v>
      </c>
      <c r="EX4092" s="33" t="s">
        <v>4988</v>
      </c>
      <c r="EY4092" s="33" t="s">
        <v>553</v>
      </c>
      <c r="EZ4092" s="33">
        <v>508475</v>
      </c>
      <c r="FA4092" s="33" t="s">
        <v>51</v>
      </c>
      <c r="FB4092" s="33" t="s">
        <v>473</v>
      </c>
      <c r="FC4092" s="33" t="s">
        <v>53</v>
      </c>
      <c r="FD4092" s="33" t="s">
        <v>476</v>
      </c>
      <c r="FE4092" s="33">
        <v>2020</v>
      </c>
      <c r="FF4092" s="33" t="s">
        <v>474</v>
      </c>
      <c r="FG4092" s="33" t="s">
        <v>477</v>
      </c>
      <c r="FH4092" s="33" t="s">
        <v>478</v>
      </c>
      <c r="FI4092" s="33" t="s">
        <v>479</v>
      </c>
      <c r="FJ4092" t="s">
        <v>474</v>
      </c>
    </row>
    <row r="4093" spans="153:166" x14ac:dyDescent="0.35">
      <c r="EW4093" t="s">
        <v>4093</v>
      </c>
      <c r="EX4093" s="33" t="s">
        <v>4989</v>
      </c>
      <c r="EY4093" s="33" t="s">
        <v>557</v>
      </c>
      <c r="EZ4093" s="33">
        <v>507974</v>
      </c>
      <c r="FA4093" s="33" t="s">
        <v>51</v>
      </c>
      <c r="FB4093" s="33" t="s">
        <v>473</v>
      </c>
      <c r="FC4093" s="33" t="s">
        <v>53</v>
      </c>
      <c r="FD4093" s="33" t="s">
        <v>476</v>
      </c>
      <c r="FE4093" s="33">
        <v>2020</v>
      </c>
      <c r="FF4093" s="33" t="s">
        <v>474</v>
      </c>
      <c r="FG4093" s="33" t="s">
        <v>477</v>
      </c>
      <c r="FH4093" s="33" t="s">
        <v>478</v>
      </c>
      <c r="FI4093" s="33" t="s">
        <v>479</v>
      </c>
      <c r="FJ4093" t="s">
        <v>474</v>
      </c>
    </row>
    <row r="4094" spans="153:166" x14ac:dyDescent="0.35">
      <c r="EW4094" t="s">
        <v>4093</v>
      </c>
      <c r="EX4094" s="33" t="s">
        <v>4990</v>
      </c>
      <c r="EY4094" s="33" t="s">
        <v>558</v>
      </c>
      <c r="EZ4094" s="33">
        <v>508008</v>
      </c>
      <c r="FA4094" s="33" t="s">
        <v>51</v>
      </c>
      <c r="FB4094" s="33" t="s">
        <v>473</v>
      </c>
      <c r="FC4094" s="33" t="s">
        <v>53</v>
      </c>
      <c r="FD4094" s="33" t="s">
        <v>476</v>
      </c>
      <c r="FE4094" s="33">
        <v>2020</v>
      </c>
      <c r="FF4094" s="33" t="s">
        <v>474</v>
      </c>
      <c r="FG4094" s="33" t="s">
        <v>477</v>
      </c>
      <c r="FH4094" s="33" t="s">
        <v>478</v>
      </c>
      <c r="FI4094" s="33" t="s">
        <v>479</v>
      </c>
      <c r="FJ4094" t="s">
        <v>474</v>
      </c>
    </row>
    <row r="4095" spans="153:166" x14ac:dyDescent="0.35">
      <c r="EW4095" t="s">
        <v>4093</v>
      </c>
      <c r="EX4095" s="33" t="s">
        <v>4991</v>
      </c>
      <c r="EY4095" s="33" t="s">
        <v>562</v>
      </c>
      <c r="EZ4095" s="33">
        <v>507878</v>
      </c>
      <c r="FA4095" s="33" t="s">
        <v>51</v>
      </c>
      <c r="FB4095" s="33" t="s">
        <v>473</v>
      </c>
      <c r="FC4095" s="33" t="s">
        <v>53</v>
      </c>
      <c r="FD4095" s="33" t="s">
        <v>476</v>
      </c>
      <c r="FE4095" s="33">
        <v>2020</v>
      </c>
      <c r="FF4095" s="33" t="s">
        <v>474</v>
      </c>
      <c r="FG4095" s="33" t="s">
        <v>477</v>
      </c>
      <c r="FH4095" s="33" t="s">
        <v>478</v>
      </c>
      <c r="FI4095" s="33" t="s">
        <v>479</v>
      </c>
      <c r="FJ4095" t="s">
        <v>474</v>
      </c>
    </row>
    <row r="4096" spans="153:166" x14ac:dyDescent="0.35">
      <c r="EW4096" t="s">
        <v>4093</v>
      </c>
      <c r="EX4096" s="33" t="s">
        <v>4992</v>
      </c>
      <c r="EY4096" s="33" t="s">
        <v>566</v>
      </c>
      <c r="EZ4096" s="33">
        <v>507933</v>
      </c>
      <c r="FA4096" s="33" t="s">
        <v>51</v>
      </c>
      <c r="FB4096" s="33" t="s">
        <v>473</v>
      </c>
      <c r="FC4096" s="33" t="s">
        <v>53</v>
      </c>
      <c r="FD4096" s="33" t="s">
        <v>476</v>
      </c>
      <c r="FE4096" s="33">
        <v>2020</v>
      </c>
      <c r="FF4096" s="33" t="s">
        <v>474</v>
      </c>
      <c r="FG4096" s="33" t="s">
        <v>477</v>
      </c>
      <c r="FH4096" s="33" t="s">
        <v>478</v>
      </c>
      <c r="FI4096" s="33" t="s">
        <v>479</v>
      </c>
      <c r="FJ4096" t="s">
        <v>474</v>
      </c>
    </row>
    <row r="4097" spans="153:166" x14ac:dyDescent="0.35">
      <c r="EW4097" t="s">
        <v>4093</v>
      </c>
      <c r="EX4097" s="33" t="s">
        <v>4993</v>
      </c>
      <c r="EY4097" s="33" t="s">
        <v>567</v>
      </c>
      <c r="EZ4097" s="33">
        <v>508173</v>
      </c>
      <c r="FA4097" s="33" t="s">
        <v>51</v>
      </c>
      <c r="FB4097" s="33" t="s">
        <v>473</v>
      </c>
      <c r="FC4097" s="33" t="s">
        <v>53</v>
      </c>
      <c r="FD4097" s="33" t="s">
        <v>476</v>
      </c>
      <c r="FE4097" s="33">
        <v>2020</v>
      </c>
      <c r="FF4097" s="33" t="s">
        <v>474</v>
      </c>
      <c r="FG4097" s="33" t="s">
        <v>477</v>
      </c>
      <c r="FH4097" s="33" t="s">
        <v>478</v>
      </c>
      <c r="FI4097" s="33" t="s">
        <v>479</v>
      </c>
      <c r="FJ4097" t="s">
        <v>474</v>
      </c>
    </row>
    <row r="4098" spans="153:166" x14ac:dyDescent="0.35">
      <c r="EW4098" t="s">
        <v>4093</v>
      </c>
      <c r="EX4098" s="33" t="s">
        <v>4994</v>
      </c>
      <c r="EY4098" s="33" t="s">
        <v>568</v>
      </c>
      <c r="EZ4098" s="33">
        <v>480074</v>
      </c>
      <c r="FA4098" s="33" t="s">
        <v>51</v>
      </c>
      <c r="FB4098" s="33" t="s">
        <v>473</v>
      </c>
      <c r="FC4098" s="33" t="s">
        <v>53</v>
      </c>
      <c r="FD4098" s="33" t="s">
        <v>569</v>
      </c>
      <c r="FE4098" s="33">
        <v>2021</v>
      </c>
      <c r="FF4098" s="33" t="s">
        <v>474</v>
      </c>
      <c r="FG4098" s="33" t="s">
        <v>477</v>
      </c>
      <c r="FH4098" s="33" t="s">
        <v>478</v>
      </c>
      <c r="FI4098" s="33" t="s">
        <v>479</v>
      </c>
      <c r="FJ4098" t="s">
        <v>474</v>
      </c>
    </row>
    <row r="4099" spans="153:166" x14ac:dyDescent="0.35">
      <c r="EW4099" t="s">
        <v>4093</v>
      </c>
      <c r="EX4099" s="33" t="s">
        <v>4995</v>
      </c>
      <c r="EY4099" s="33" t="s">
        <v>570</v>
      </c>
      <c r="EZ4099" s="33">
        <v>552632</v>
      </c>
      <c r="FA4099" s="33" t="s">
        <v>51</v>
      </c>
      <c r="FB4099" s="33" t="s">
        <v>473</v>
      </c>
      <c r="FC4099" s="33" t="s">
        <v>53</v>
      </c>
      <c r="FD4099" s="33" t="s">
        <v>476</v>
      </c>
      <c r="FE4099" s="33">
        <v>2022</v>
      </c>
      <c r="FF4099" s="33" t="s">
        <v>474</v>
      </c>
      <c r="FG4099" s="33" t="s">
        <v>477</v>
      </c>
      <c r="FH4099" s="33" t="s">
        <v>478</v>
      </c>
      <c r="FI4099" s="33" t="s">
        <v>479</v>
      </c>
      <c r="FJ4099" t="s">
        <v>474</v>
      </c>
    </row>
    <row r="4100" spans="153:166" x14ac:dyDescent="0.35">
      <c r="EW4100" t="s">
        <v>4093</v>
      </c>
      <c r="EX4100" s="33" t="s">
        <v>4996</v>
      </c>
      <c r="EY4100" s="33" t="s">
        <v>571</v>
      </c>
      <c r="EZ4100" s="33">
        <v>552649</v>
      </c>
      <c r="FA4100" s="33" t="s">
        <v>51</v>
      </c>
      <c r="FB4100" s="33" t="s">
        <v>473</v>
      </c>
      <c r="FC4100" s="33" t="s">
        <v>53</v>
      </c>
      <c r="FD4100" s="33" t="s">
        <v>476</v>
      </c>
      <c r="FE4100" s="33">
        <v>2022</v>
      </c>
      <c r="FF4100" s="33" t="s">
        <v>474</v>
      </c>
      <c r="FG4100" s="33" t="s">
        <v>470</v>
      </c>
      <c r="FH4100" s="33" t="s">
        <v>471</v>
      </c>
      <c r="FI4100" s="33" t="s">
        <v>467</v>
      </c>
      <c r="FJ4100" t="s">
        <v>474</v>
      </c>
    </row>
    <row r="4101" spans="153:166" x14ac:dyDescent="0.35">
      <c r="EW4101" t="s">
        <v>4093</v>
      </c>
      <c r="EX4101" s="33" t="s">
        <v>4997</v>
      </c>
      <c r="EY4101" s="33" t="s">
        <v>572</v>
      </c>
      <c r="EZ4101" s="33">
        <v>552624</v>
      </c>
      <c r="FA4101" s="33" t="s">
        <v>51</v>
      </c>
      <c r="FB4101" s="33" t="s">
        <v>473</v>
      </c>
      <c r="FC4101" s="33" t="s">
        <v>53</v>
      </c>
      <c r="FD4101" s="33" t="s">
        <v>476</v>
      </c>
      <c r="FE4101" s="33">
        <v>2022</v>
      </c>
      <c r="FF4101" s="33" t="s">
        <v>474</v>
      </c>
      <c r="FG4101" s="33" t="s">
        <v>470</v>
      </c>
      <c r="FH4101" s="33" t="s">
        <v>471</v>
      </c>
      <c r="FI4101" s="33" t="s">
        <v>467</v>
      </c>
      <c r="FJ4101" t="s">
        <v>474</v>
      </c>
    </row>
    <row r="4102" spans="153:166" x14ac:dyDescent="0.35">
      <c r="EW4102" t="s">
        <v>4093</v>
      </c>
      <c r="EX4102" s="33" t="s">
        <v>4998</v>
      </c>
      <c r="EY4102" s="33" t="s">
        <v>576</v>
      </c>
      <c r="EZ4102" s="33">
        <v>552338</v>
      </c>
      <c r="FA4102" s="33" t="s">
        <v>51</v>
      </c>
      <c r="FB4102" s="33" t="s">
        <v>473</v>
      </c>
      <c r="FC4102" s="33" t="s">
        <v>53</v>
      </c>
      <c r="FD4102" s="33" t="s">
        <v>476</v>
      </c>
      <c r="FE4102" s="33">
        <v>2022</v>
      </c>
      <c r="FF4102" s="33" t="s">
        <v>474</v>
      </c>
      <c r="FG4102" s="33" t="s">
        <v>470</v>
      </c>
      <c r="FH4102" s="33" t="s">
        <v>471</v>
      </c>
      <c r="FI4102" s="33" t="s">
        <v>467</v>
      </c>
      <c r="FJ4102" t="s">
        <v>474</v>
      </c>
    </row>
    <row r="4103" spans="153:166" x14ac:dyDescent="0.35">
      <c r="EW4103" t="s">
        <v>4093</v>
      </c>
      <c r="EX4103" s="33" t="s">
        <v>4999</v>
      </c>
      <c r="EY4103" s="33" t="s">
        <v>577</v>
      </c>
      <c r="EZ4103" s="33">
        <v>552333</v>
      </c>
      <c r="FA4103" s="33" t="s">
        <v>51</v>
      </c>
      <c r="FB4103" s="33" t="s">
        <v>473</v>
      </c>
      <c r="FC4103" s="33" t="s">
        <v>53</v>
      </c>
      <c r="FD4103" s="33" t="s">
        <v>476</v>
      </c>
      <c r="FE4103" s="33">
        <v>2022</v>
      </c>
      <c r="FF4103" s="33" t="s">
        <v>474</v>
      </c>
      <c r="FG4103" s="33" t="s">
        <v>470</v>
      </c>
      <c r="FH4103" s="33" t="s">
        <v>471</v>
      </c>
      <c r="FI4103" s="33" t="s">
        <v>467</v>
      </c>
      <c r="FJ4103" t="s">
        <v>474</v>
      </c>
    </row>
    <row r="4104" spans="153:166" x14ac:dyDescent="0.35">
      <c r="EW4104" t="s">
        <v>4093</v>
      </c>
      <c r="EX4104" s="33" t="s">
        <v>5000</v>
      </c>
      <c r="EY4104" s="33" t="s">
        <v>581</v>
      </c>
      <c r="EZ4104" s="33">
        <v>552881</v>
      </c>
      <c r="FA4104" s="33" t="s">
        <v>51</v>
      </c>
      <c r="FB4104" s="33" t="s">
        <v>473</v>
      </c>
      <c r="FC4104" s="33" t="s">
        <v>53</v>
      </c>
      <c r="FD4104" s="33" t="s">
        <v>476</v>
      </c>
      <c r="FE4104" s="33">
        <v>2022</v>
      </c>
      <c r="FF4104" s="33" t="s">
        <v>474</v>
      </c>
      <c r="FG4104" s="33" t="s">
        <v>477</v>
      </c>
      <c r="FH4104" s="33" t="s">
        <v>478</v>
      </c>
      <c r="FI4104" s="33" t="s">
        <v>479</v>
      </c>
      <c r="FJ4104" t="s">
        <v>474</v>
      </c>
    </row>
    <row r="4105" spans="153:166" x14ac:dyDescent="0.35">
      <c r="EW4105" t="s">
        <v>4093</v>
      </c>
      <c r="EX4105" s="33" t="s">
        <v>5001</v>
      </c>
      <c r="EY4105" s="33" t="s">
        <v>582</v>
      </c>
      <c r="EZ4105" s="33">
        <v>550630</v>
      </c>
      <c r="FA4105" s="33" t="s">
        <v>51</v>
      </c>
      <c r="FB4105" s="33" t="s">
        <v>473</v>
      </c>
      <c r="FC4105" s="33" t="s">
        <v>53</v>
      </c>
      <c r="FD4105" s="33" t="s">
        <v>476</v>
      </c>
      <c r="FE4105" s="33">
        <v>2022</v>
      </c>
      <c r="FF4105" s="33" t="s">
        <v>474</v>
      </c>
      <c r="FG4105" s="33" t="s">
        <v>470</v>
      </c>
      <c r="FH4105" s="33" t="s">
        <v>471</v>
      </c>
      <c r="FI4105" s="33" t="s">
        <v>467</v>
      </c>
      <c r="FJ4105" t="s">
        <v>474</v>
      </c>
    </row>
    <row r="4106" spans="153:166" x14ac:dyDescent="0.35">
      <c r="EW4106" t="s">
        <v>4093</v>
      </c>
      <c r="EX4106" s="33" t="s">
        <v>5002</v>
      </c>
      <c r="EY4106" s="33" t="s">
        <v>583</v>
      </c>
      <c r="EZ4106" s="33">
        <v>552303</v>
      </c>
      <c r="FA4106" s="33" t="s">
        <v>51</v>
      </c>
      <c r="FB4106" s="33" t="s">
        <v>473</v>
      </c>
      <c r="FC4106" s="33" t="s">
        <v>53</v>
      </c>
      <c r="FD4106" s="33" t="s">
        <v>476</v>
      </c>
      <c r="FE4106" s="33">
        <v>2022</v>
      </c>
      <c r="FF4106" s="33" t="s">
        <v>474</v>
      </c>
      <c r="FG4106" s="33" t="s">
        <v>477</v>
      </c>
      <c r="FH4106" s="33" t="s">
        <v>478</v>
      </c>
      <c r="FI4106" s="33" t="s">
        <v>479</v>
      </c>
      <c r="FJ4106" t="s">
        <v>474</v>
      </c>
    </row>
    <row r="4107" spans="153:166" x14ac:dyDescent="0.35">
      <c r="EW4107" t="s">
        <v>4093</v>
      </c>
      <c r="EX4107" s="33" t="s">
        <v>5003</v>
      </c>
      <c r="EY4107" s="33" t="s">
        <v>584</v>
      </c>
      <c r="EZ4107" s="33">
        <v>551701</v>
      </c>
      <c r="FA4107" s="33" t="s">
        <v>51</v>
      </c>
      <c r="FB4107" s="33" t="s">
        <v>473</v>
      </c>
      <c r="FC4107" s="33" t="s">
        <v>53</v>
      </c>
      <c r="FD4107" s="33" t="s">
        <v>476</v>
      </c>
      <c r="FE4107" s="33">
        <v>2022</v>
      </c>
      <c r="FF4107" s="33" t="s">
        <v>474</v>
      </c>
      <c r="FG4107" s="33" t="s">
        <v>477</v>
      </c>
      <c r="FH4107" s="33" t="s">
        <v>478</v>
      </c>
      <c r="FI4107" s="33" t="s">
        <v>479</v>
      </c>
      <c r="FJ4107" t="s">
        <v>474</v>
      </c>
    </row>
    <row r="4108" spans="153:166" x14ac:dyDescent="0.35">
      <c r="EW4108" t="s">
        <v>4093</v>
      </c>
      <c r="EX4108" s="33" t="s">
        <v>5004</v>
      </c>
      <c r="EY4108" s="33" t="s">
        <v>585</v>
      </c>
      <c r="EZ4108" s="33">
        <v>552373</v>
      </c>
      <c r="FA4108" s="33" t="s">
        <v>51</v>
      </c>
      <c r="FB4108" s="33" t="s">
        <v>473</v>
      </c>
      <c r="FC4108" s="33" t="s">
        <v>53</v>
      </c>
      <c r="FD4108" s="33" t="s">
        <v>476</v>
      </c>
      <c r="FE4108" s="33">
        <v>2022</v>
      </c>
      <c r="FF4108" s="33" t="s">
        <v>474</v>
      </c>
      <c r="FG4108" s="33" t="s">
        <v>470</v>
      </c>
      <c r="FH4108" s="33" t="s">
        <v>471</v>
      </c>
      <c r="FI4108" s="33" t="s">
        <v>467</v>
      </c>
      <c r="FJ4108" t="s">
        <v>474</v>
      </c>
    </row>
    <row r="4109" spans="153:166" x14ac:dyDescent="0.35">
      <c r="EW4109" t="s">
        <v>4093</v>
      </c>
      <c r="EX4109" s="33" t="s">
        <v>5005</v>
      </c>
      <c r="EY4109" s="33" t="s">
        <v>589</v>
      </c>
      <c r="EZ4109" s="33">
        <v>552573</v>
      </c>
      <c r="FA4109" s="33" t="s">
        <v>51</v>
      </c>
      <c r="FB4109" s="33" t="s">
        <v>473</v>
      </c>
      <c r="FC4109" s="33" t="s">
        <v>53</v>
      </c>
      <c r="FD4109" s="33" t="s">
        <v>476</v>
      </c>
      <c r="FE4109" s="33">
        <v>2022</v>
      </c>
      <c r="FF4109" s="33" t="s">
        <v>474</v>
      </c>
      <c r="FG4109" s="33" t="s">
        <v>470</v>
      </c>
      <c r="FH4109" s="33" t="s">
        <v>471</v>
      </c>
      <c r="FI4109" s="33" t="s">
        <v>467</v>
      </c>
      <c r="FJ4109" t="s">
        <v>474</v>
      </c>
    </row>
    <row r="4110" spans="153:166" x14ac:dyDescent="0.35">
      <c r="EW4110" t="s">
        <v>4093</v>
      </c>
      <c r="EX4110" s="33" t="s">
        <v>5006</v>
      </c>
      <c r="EY4110" s="33" t="s">
        <v>590</v>
      </c>
      <c r="EZ4110" s="33">
        <v>550568</v>
      </c>
      <c r="FA4110" s="33" t="s">
        <v>51</v>
      </c>
      <c r="FB4110" s="33" t="s">
        <v>473</v>
      </c>
      <c r="FC4110" s="33" t="s">
        <v>53</v>
      </c>
      <c r="FD4110" s="33" t="s">
        <v>476</v>
      </c>
      <c r="FE4110" s="33">
        <v>2022</v>
      </c>
      <c r="FF4110" s="33" t="s">
        <v>474</v>
      </c>
      <c r="FG4110" s="33" t="s">
        <v>470</v>
      </c>
      <c r="FH4110" s="33" t="s">
        <v>471</v>
      </c>
      <c r="FI4110" s="33" t="s">
        <v>467</v>
      </c>
      <c r="FJ4110" t="s">
        <v>474</v>
      </c>
    </row>
    <row r="4111" spans="153:166" x14ac:dyDescent="0.35">
      <c r="EW4111" t="s">
        <v>4093</v>
      </c>
      <c r="EX4111" s="33" t="s">
        <v>5007</v>
      </c>
      <c r="EY4111" s="33" t="s">
        <v>591</v>
      </c>
      <c r="EZ4111" s="33">
        <v>551734</v>
      </c>
      <c r="FA4111" s="33" t="s">
        <v>51</v>
      </c>
      <c r="FB4111" s="33" t="s">
        <v>473</v>
      </c>
      <c r="FC4111" s="33" t="s">
        <v>53</v>
      </c>
      <c r="FD4111" s="33" t="s">
        <v>476</v>
      </c>
      <c r="FE4111" s="33">
        <v>2022</v>
      </c>
      <c r="FF4111" s="33" t="s">
        <v>474</v>
      </c>
      <c r="FG4111" s="33" t="s">
        <v>477</v>
      </c>
      <c r="FH4111" s="33" t="s">
        <v>478</v>
      </c>
      <c r="FI4111" s="33" t="s">
        <v>479</v>
      </c>
      <c r="FJ4111" t="s">
        <v>474</v>
      </c>
    </row>
    <row r="4112" spans="153:166" x14ac:dyDescent="0.35">
      <c r="EW4112" t="s">
        <v>4093</v>
      </c>
      <c r="EX4112" s="33" t="s">
        <v>5008</v>
      </c>
      <c r="EY4112" s="33" t="s">
        <v>592</v>
      </c>
      <c r="EZ4112" s="33">
        <v>552393</v>
      </c>
      <c r="FA4112" s="33" t="s">
        <v>51</v>
      </c>
      <c r="FB4112" s="33" t="s">
        <v>473</v>
      </c>
      <c r="FC4112" s="33" t="s">
        <v>53</v>
      </c>
      <c r="FD4112" s="33" t="s">
        <v>476</v>
      </c>
      <c r="FE4112" s="33">
        <v>2022</v>
      </c>
      <c r="FF4112" s="33" t="s">
        <v>474</v>
      </c>
      <c r="FG4112" s="33" t="s">
        <v>470</v>
      </c>
      <c r="FH4112" s="33" t="s">
        <v>471</v>
      </c>
      <c r="FI4112" s="33" t="s">
        <v>467</v>
      </c>
      <c r="FJ4112" t="s">
        <v>474</v>
      </c>
    </row>
    <row r="4113" spans="153:166" x14ac:dyDescent="0.35">
      <c r="EW4113" t="s">
        <v>4093</v>
      </c>
      <c r="EX4113" s="33" t="s">
        <v>5009</v>
      </c>
      <c r="EY4113" s="33" t="s">
        <v>596</v>
      </c>
      <c r="EZ4113" s="33">
        <v>550593</v>
      </c>
      <c r="FA4113" s="33" t="s">
        <v>51</v>
      </c>
      <c r="FB4113" s="33" t="s">
        <v>473</v>
      </c>
      <c r="FC4113" s="33" t="s">
        <v>53</v>
      </c>
      <c r="FD4113" s="33" t="s">
        <v>476</v>
      </c>
      <c r="FE4113" s="33">
        <v>2022</v>
      </c>
      <c r="FF4113" s="33" t="s">
        <v>474</v>
      </c>
      <c r="FG4113" s="33" t="s">
        <v>470</v>
      </c>
      <c r="FH4113" s="33" t="s">
        <v>471</v>
      </c>
      <c r="FI4113" s="33" t="s">
        <v>467</v>
      </c>
      <c r="FJ4113" t="s">
        <v>474</v>
      </c>
    </row>
    <row r="4114" spans="153:166" x14ac:dyDescent="0.35">
      <c r="EW4114" t="s">
        <v>4093</v>
      </c>
      <c r="EX4114" s="33" t="s">
        <v>5010</v>
      </c>
      <c r="EY4114" s="33" t="s">
        <v>597</v>
      </c>
      <c r="EZ4114" s="33">
        <v>550451</v>
      </c>
      <c r="FA4114" s="33" t="s">
        <v>51</v>
      </c>
      <c r="FB4114" s="33" t="s">
        <v>473</v>
      </c>
      <c r="FC4114" s="33" t="s">
        <v>53</v>
      </c>
      <c r="FD4114" s="33" t="s">
        <v>476</v>
      </c>
      <c r="FE4114" s="33">
        <v>2022</v>
      </c>
      <c r="FF4114" s="33" t="s">
        <v>474</v>
      </c>
      <c r="FG4114" s="33" t="s">
        <v>470</v>
      </c>
      <c r="FH4114" s="33" t="s">
        <v>471</v>
      </c>
      <c r="FI4114" s="33" t="s">
        <v>467</v>
      </c>
      <c r="FJ4114" t="s">
        <v>474</v>
      </c>
    </row>
    <row r="4115" spans="153:166" x14ac:dyDescent="0.35">
      <c r="EW4115" t="s">
        <v>4093</v>
      </c>
      <c r="EX4115" s="33" t="s">
        <v>5011</v>
      </c>
      <c r="EY4115" s="33" t="s">
        <v>601</v>
      </c>
      <c r="EZ4115" s="33">
        <v>551900</v>
      </c>
      <c r="FA4115" s="33" t="s">
        <v>51</v>
      </c>
      <c r="FB4115" s="33" t="s">
        <v>473</v>
      </c>
      <c r="FC4115" s="33" t="s">
        <v>53</v>
      </c>
      <c r="FD4115" s="33" t="s">
        <v>476</v>
      </c>
      <c r="FE4115" s="33">
        <v>2022</v>
      </c>
      <c r="FF4115" s="33" t="s">
        <v>474</v>
      </c>
      <c r="FG4115" s="33" t="s">
        <v>477</v>
      </c>
      <c r="FH4115" s="33" t="s">
        <v>478</v>
      </c>
      <c r="FI4115" s="33" t="s">
        <v>479</v>
      </c>
      <c r="FJ4115" t="s">
        <v>474</v>
      </c>
    </row>
    <row r="4116" spans="153:166" x14ac:dyDescent="0.35">
      <c r="EW4116" t="s">
        <v>4093</v>
      </c>
      <c r="EX4116" s="33" t="s">
        <v>5012</v>
      </c>
      <c r="EY4116" s="33" t="s">
        <v>602</v>
      </c>
      <c r="EZ4116" s="33">
        <v>553953</v>
      </c>
      <c r="FA4116" s="33" t="s">
        <v>51</v>
      </c>
      <c r="FB4116" s="33" t="s">
        <v>473</v>
      </c>
      <c r="FC4116" s="33" t="s">
        <v>53</v>
      </c>
      <c r="FD4116" s="33" t="s">
        <v>476</v>
      </c>
      <c r="FE4116" s="33">
        <v>2022</v>
      </c>
      <c r="FF4116" s="33" t="s">
        <v>474</v>
      </c>
      <c r="FG4116" s="33" t="s">
        <v>477</v>
      </c>
      <c r="FH4116" s="33" t="s">
        <v>478</v>
      </c>
      <c r="FI4116" s="33" t="s">
        <v>479</v>
      </c>
      <c r="FJ4116" t="s">
        <v>474</v>
      </c>
    </row>
    <row r="4117" spans="153:166" x14ac:dyDescent="0.35">
      <c r="EW4117" t="s">
        <v>4093</v>
      </c>
      <c r="EX4117" s="33" t="s">
        <v>5013</v>
      </c>
      <c r="EY4117" s="33" t="s">
        <v>603</v>
      </c>
      <c r="EZ4117" s="33">
        <v>551716</v>
      </c>
      <c r="FA4117" s="33" t="s">
        <v>51</v>
      </c>
      <c r="FB4117" s="33" t="s">
        <v>473</v>
      </c>
      <c r="FC4117" s="33" t="s">
        <v>53</v>
      </c>
      <c r="FD4117" s="33" t="s">
        <v>476</v>
      </c>
      <c r="FE4117" s="33">
        <v>2022</v>
      </c>
      <c r="FF4117" s="33" t="s">
        <v>474</v>
      </c>
      <c r="FG4117" s="33" t="s">
        <v>477</v>
      </c>
      <c r="FH4117" s="33" t="s">
        <v>478</v>
      </c>
      <c r="FI4117" s="33" t="s">
        <v>479</v>
      </c>
      <c r="FJ4117" t="s">
        <v>474</v>
      </c>
    </row>
    <row r="4118" spans="153:166" x14ac:dyDescent="0.35">
      <c r="EW4118" t="s">
        <v>4093</v>
      </c>
      <c r="EX4118" s="33" t="s">
        <v>5014</v>
      </c>
      <c r="EY4118" s="33" t="s">
        <v>607</v>
      </c>
      <c r="EZ4118" s="33">
        <v>551695</v>
      </c>
      <c r="FA4118" s="33" t="s">
        <v>51</v>
      </c>
      <c r="FB4118" s="33" t="s">
        <v>473</v>
      </c>
      <c r="FC4118" s="33" t="s">
        <v>53</v>
      </c>
      <c r="FD4118" s="33" t="s">
        <v>476</v>
      </c>
      <c r="FE4118" s="33">
        <v>2022</v>
      </c>
      <c r="FF4118" s="33" t="s">
        <v>474</v>
      </c>
      <c r="FG4118" s="33" t="s">
        <v>477</v>
      </c>
      <c r="FH4118" s="33" t="s">
        <v>478</v>
      </c>
      <c r="FI4118" s="33" t="s">
        <v>479</v>
      </c>
      <c r="FJ4118" t="s">
        <v>474</v>
      </c>
    </row>
    <row r="4119" spans="153:166" x14ac:dyDescent="0.35">
      <c r="EW4119" t="s">
        <v>4093</v>
      </c>
      <c r="EX4119" s="33" t="s">
        <v>5015</v>
      </c>
      <c r="EY4119" s="33" t="s">
        <v>608</v>
      </c>
      <c r="EZ4119" s="33">
        <v>551682</v>
      </c>
      <c r="FA4119" s="33" t="s">
        <v>51</v>
      </c>
      <c r="FB4119" s="33" t="s">
        <v>473</v>
      </c>
      <c r="FC4119" s="33" t="s">
        <v>53</v>
      </c>
      <c r="FD4119" s="33" t="s">
        <v>476</v>
      </c>
      <c r="FE4119" s="33">
        <v>2022</v>
      </c>
      <c r="FF4119" s="33" t="s">
        <v>474</v>
      </c>
      <c r="FG4119" s="33" t="s">
        <v>477</v>
      </c>
      <c r="FH4119" s="33" t="s">
        <v>478</v>
      </c>
      <c r="FI4119" s="33" t="s">
        <v>479</v>
      </c>
      <c r="FJ4119" t="s">
        <v>474</v>
      </c>
    </row>
    <row r="4120" spans="153:166" x14ac:dyDescent="0.35">
      <c r="EW4120" t="s">
        <v>4093</v>
      </c>
      <c r="EX4120" s="33" t="s">
        <v>5016</v>
      </c>
      <c r="EY4120" s="33" t="s">
        <v>609</v>
      </c>
      <c r="EZ4120" s="33">
        <v>551698</v>
      </c>
      <c r="FA4120" s="33" t="s">
        <v>51</v>
      </c>
      <c r="FB4120" s="33" t="s">
        <v>473</v>
      </c>
      <c r="FC4120" s="33" t="s">
        <v>53</v>
      </c>
      <c r="FD4120" s="33" t="s">
        <v>476</v>
      </c>
      <c r="FE4120" s="33">
        <v>2022</v>
      </c>
      <c r="FF4120" s="33" t="s">
        <v>474</v>
      </c>
      <c r="FG4120" s="33" t="s">
        <v>477</v>
      </c>
      <c r="FH4120" s="33" t="s">
        <v>478</v>
      </c>
      <c r="FI4120" s="33" t="s">
        <v>479</v>
      </c>
      <c r="FJ4120" t="s">
        <v>474</v>
      </c>
    </row>
    <row r="4121" spans="153:166" x14ac:dyDescent="0.35">
      <c r="EW4121" t="s">
        <v>4093</v>
      </c>
      <c r="EX4121" s="33" t="s">
        <v>5017</v>
      </c>
      <c r="EY4121" s="33" t="s">
        <v>613</v>
      </c>
      <c r="EZ4121" s="33">
        <v>551645</v>
      </c>
      <c r="FA4121" s="33" t="s">
        <v>51</v>
      </c>
      <c r="FB4121" s="33" t="s">
        <v>473</v>
      </c>
      <c r="FC4121" s="33" t="s">
        <v>53</v>
      </c>
      <c r="FD4121" s="33" t="s">
        <v>476</v>
      </c>
      <c r="FE4121" s="33">
        <v>2022</v>
      </c>
      <c r="FF4121" s="33" t="s">
        <v>474</v>
      </c>
      <c r="FG4121" s="33" t="s">
        <v>470</v>
      </c>
      <c r="FH4121" s="33" t="s">
        <v>471</v>
      </c>
      <c r="FI4121" s="33" t="s">
        <v>467</v>
      </c>
      <c r="FJ4121" t="s">
        <v>474</v>
      </c>
    </row>
    <row r="4122" spans="153:166" x14ac:dyDescent="0.35">
      <c r="EW4122" t="s">
        <v>4093</v>
      </c>
      <c r="EX4122" s="33" t="s">
        <v>5018</v>
      </c>
      <c r="EY4122" s="33" t="s">
        <v>614</v>
      </c>
      <c r="EZ4122" s="33">
        <v>551661</v>
      </c>
      <c r="FA4122" s="33" t="s">
        <v>51</v>
      </c>
      <c r="FB4122" s="33" t="s">
        <v>473</v>
      </c>
      <c r="FC4122" s="33" t="s">
        <v>53</v>
      </c>
      <c r="FD4122" s="33" t="s">
        <v>476</v>
      </c>
      <c r="FE4122" s="33">
        <v>2022</v>
      </c>
      <c r="FF4122" s="33" t="s">
        <v>474</v>
      </c>
      <c r="FG4122" s="33" t="s">
        <v>470</v>
      </c>
      <c r="FH4122" s="33" t="s">
        <v>471</v>
      </c>
      <c r="FI4122" s="33" t="s">
        <v>467</v>
      </c>
      <c r="FJ4122" t="s">
        <v>474</v>
      </c>
    </row>
    <row r="4123" spans="153:166" x14ac:dyDescent="0.35">
      <c r="EW4123" t="s">
        <v>4093</v>
      </c>
      <c r="EX4123" s="33" t="s">
        <v>5019</v>
      </c>
      <c r="EY4123" s="33" t="s">
        <v>618</v>
      </c>
      <c r="EZ4123" s="33">
        <v>554610</v>
      </c>
      <c r="FA4123" s="33" t="s">
        <v>51</v>
      </c>
      <c r="FB4123" s="33" t="s">
        <v>473</v>
      </c>
      <c r="FC4123" s="33" t="s">
        <v>53</v>
      </c>
      <c r="FD4123" s="33" t="s">
        <v>476</v>
      </c>
      <c r="FE4123" s="33">
        <v>2022</v>
      </c>
      <c r="FF4123" s="33" t="s">
        <v>474</v>
      </c>
      <c r="FG4123" s="33" t="s">
        <v>477</v>
      </c>
      <c r="FH4123" s="33" t="s">
        <v>478</v>
      </c>
      <c r="FI4123" s="33" t="s">
        <v>479</v>
      </c>
      <c r="FJ4123" t="s">
        <v>474</v>
      </c>
    </row>
    <row r="4124" spans="153:166" x14ac:dyDescent="0.35">
      <c r="EW4124" t="s">
        <v>4093</v>
      </c>
      <c r="EX4124" s="33" t="s">
        <v>5020</v>
      </c>
      <c r="EY4124" s="33" t="s">
        <v>619</v>
      </c>
      <c r="EZ4124" s="33">
        <v>554682</v>
      </c>
      <c r="FA4124" s="33" t="s">
        <v>51</v>
      </c>
      <c r="FB4124" s="33" t="s">
        <v>473</v>
      </c>
      <c r="FC4124" s="33" t="s">
        <v>53</v>
      </c>
      <c r="FD4124" s="33" t="s">
        <v>476</v>
      </c>
      <c r="FE4124" s="33">
        <v>2022</v>
      </c>
      <c r="FF4124" s="33" t="s">
        <v>474</v>
      </c>
      <c r="FG4124" s="33" t="s">
        <v>477</v>
      </c>
      <c r="FH4124" s="33" t="s">
        <v>478</v>
      </c>
      <c r="FI4124" s="33" t="s">
        <v>479</v>
      </c>
      <c r="FJ4124" t="s">
        <v>474</v>
      </c>
    </row>
    <row r="4125" spans="153:166" x14ac:dyDescent="0.35">
      <c r="EW4125" t="s">
        <v>4093</v>
      </c>
      <c r="EX4125" s="33" t="s">
        <v>5021</v>
      </c>
      <c r="EY4125" s="33" t="s">
        <v>620</v>
      </c>
      <c r="EZ4125" s="33">
        <v>554694</v>
      </c>
      <c r="FA4125" s="33" t="s">
        <v>51</v>
      </c>
      <c r="FB4125" s="33" t="s">
        <v>473</v>
      </c>
      <c r="FC4125" s="33" t="s">
        <v>53</v>
      </c>
      <c r="FD4125" s="33" t="s">
        <v>476</v>
      </c>
      <c r="FE4125" s="33">
        <v>2022</v>
      </c>
      <c r="FF4125" s="33" t="s">
        <v>474</v>
      </c>
      <c r="FG4125" s="33" t="s">
        <v>470</v>
      </c>
      <c r="FH4125" s="33" t="s">
        <v>471</v>
      </c>
      <c r="FI4125" s="33" t="s">
        <v>467</v>
      </c>
      <c r="FJ4125" t="s">
        <v>474</v>
      </c>
    </row>
    <row r="4126" spans="153:166" x14ac:dyDescent="0.35">
      <c r="EW4126" t="s">
        <v>4093</v>
      </c>
      <c r="EX4126" s="33" t="s">
        <v>5022</v>
      </c>
      <c r="EY4126" s="33" t="s">
        <v>621</v>
      </c>
      <c r="EZ4126" s="33">
        <v>555374</v>
      </c>
      <c r="FA4126" s="33" t="s">
        <v>51</v>
      </c>
      <c r="FB4126" s="33" t="s">
        <v>473</v>
      </c>
      <c r="FC4126" s="33" t="s">
        <v>53</v>
      </c>
      <c r="FD4126" s="33" t="s">
        <v>476</v>
      </c>
      <c r="FE4126" s="33">
        <v>2022</v>
      </c>
      <c r="FF4126" s="33" t="s">
        <v>474</v>
      </c>
      <c r="FG4126" s="33" t="s">
        <v>470</v>
      </c>
      <c r="FH4126" s="33" t="s">
        <v>471</v>
      </c>
      <c r="FI4126" s="33" t="s">
        <v>467</v>
      </c>
      <c r="FJ4126" t="s">
        <v>474</v>
      </c>
    </row>
    <row r="4127" spans="153:166" x14ac:dyDescent="0.35">
      <c r="EW4127" t="s">
        <v>4093</v>
      </c>
      <c r="EX4127" s="33" t="s">
        <v>5023</v>
      </c>
      <c r="EY4127" s="33" t="s">
        <v>622</v>
      </c>
      <c r="EZ4127" s="33">
        <v>555138</v>
      </c>
      <c r="FA4127" s="33" t="s">
        <v>51</v>
      </c>
      <c r="FB4127" s="33" t="s">
        <v>473</v>
      </c>
      <c r="FC4127" s="33" t="s">
        <v>53</v>
      </c>
      <c r="FD4127" s="33" t="s">
        <v>476</v>
      </c>
      <c r="FE4127" s="33">
        <v>2022</v>
      </c>
      <c r="FF4127" s="33" t="s">
        <v>474</v>
      </c>
      <c r="FG4127" s="33" t="s">
        <v>470</v>
      </c>
      <c r="FH4127" s="33" t="s">
        <v>471</v>
      </c>
      <c r="FI4127" s="33" t="s">
        <v>467</v>
      </c>
      <c r="FJ4127" t="s">
        <v>474</v>
      </c>
    </row>
    <row r="4128" spans="153:166" x14ac:dyDescent="0.35">
      <c r="EW4128" t="s">
        <v>4093</v>
      </c>
      <c r="EX4128" s="33" t="s">
        <v>5024</v>
      </c>
      <c r="EY4128" s="33" t="s">
        <v>623</v>
      </c>
      <c r="EZ4128" s="33">
        <v>555050</v>
      </c>
      <c r="FA4128" s="33" t="s">
        <v>51</v>
      </c>
      <c r="FB4128" s="33" t="s">
        <v>473</v>
      </c>
      <c r="FC4128" s="33" t="s">
        <v>53</v>
      </c>
      <c r="FD4128" s="33" t="s">
        <v>476</v>
      </c>
      <c r="FE4128" s="33">
        <v>2022</v>
      </c>
      <c r="FF4128" s="33" t="s">
        <v>474</v>
      </c>
      <c r="FG4128" s="33" t="s">
        <v>470</v>
      </c>
      <c r="FH4128" s="33" t="s">
        <v>471</v>
      </c>
      <c r="FI4128" s="33" t="s">
        <v>467</v>
      </c>
      <c r="FJ4128" t="s">
        <v>474</v>
      </c>
    </row>
    <row r="4129" spans="153:166" x14ac:dyDescent="0.35">
      <c r="EW4129" t="s">
        <v>4093</v>
      </c>
      <c r="EX4129" s="33" t="s">
        <v>5025</v>
      </c>
      <c r="EY4129" s="33" t="s">
        <v>627</v>
      </c>
      <c r="EZ4129" s="33">
        <v>593684</v>
      </c>
      <c r="FA4129" s="33" t="s">
        <v>51</v>
      </c>
      <c r="FB4129" s="33" t="s">
        <v>473</v>
      </c>
      <c r="FC4129" s="33" t="s">
        <v>53</v>
      </c>
      <c r="FD4129" s="33" t="s">
        <v>476</v>
      </c>
      <c r="FE4129" s="33">
        <v>2023</v>
      </c>
      <c r="FF4129" s="33" t="s">
        <v>474</v>
      </c>
      <c r="FG4129" s="33" t="s">
        <v>470</v>
      </c>
      <c r="FH4129" s="33" t="s">
        <v>471</v>
      </c>
      <c r="FI4129" s="33" t="s">
        <v>467</v>
      </c>
      <c r="FJ4129" t="s">
        <v>474</v>
      </c>
    </row>
    <row r="4130" spans="153:166" x14ac:dyDescent="0.35">
      <c r="EW4130" t="s">
        <v>4093</v>
      </c>
      <c r="EX4130" s="33" t="s">
        <v>5026</v>
      </c>
      <c r="EY4130" s="33" t="s">
        <v>628</v>
      </c>
      <c r="EZ4130" s="33">
        <v>593717</v>
      </c>
      <c r="FA4130" s="33" t="s">
        <v>51</v>
      </c>
      <c r="FB4130" s="33" t="s">
        <v>473</v>
      </c>
      <c r="FC4130" s="33" t="s">
        <v>53</v>
      </c>
      <c r="FD4130" s="33" t="s">
        <v>476</v>
      </c>
      <c r="FE4130" s="33">
        <v>2023</v>
      </c>
      <c r="FF4130" s="33" t="s">
        <v>474</v>
      </c>
      <c r="FG4130" s="33" t="s">
        <v>470</v>
      </c>
      <c r="FH4130" s="33" t="s">
        <v>471</v>
      </c>
      <c r="FI4130" s="33" t="s">
        <v>467</v>
      </c>
      <c r="FJ4130" t="s">
        <v>474</v>
      </c>
    </row>
    <row r="4131" spans="153:166" x14ac:dyDescent="0.35">
      <c r="EW4131" t="s">
        <v>4093</v>
      </c>
      <c r="EX4131" s="33" t="s">
        <v>5027</v>
      </c>
      <c r="EY4131" s="33" t="s">
        <v>629</v>
      </c>
      <c r="EZ4131" s="33">
        <v>592427</v>
      </c>
      <c r="FA4131" s="33" t="s">
        <v>51</v>
      </c>
      <c r="FB4131" s="33" t="s">
        <v>473</v>
      </c>
      <c r="FC4131" s="33" t="s">
        <v>53</v>
      </c>
      <c r="FD4131" s="33" t="s">
        <v>476</v>
      </c>
      <c r="FE4131" s="33">
        <v>2023</v>
      </c>
      <c r="FF4131" s="33" t="s">
        <v>474</v>
      </c>
      <c r="FG4131" s="33" t="s">
        <v>470</v>
      </c>
      <c r="FH4131" s="33" t="s">
        <v>471</v>
      </c>
      <c r="FI4131" s="33" t="s">
        <v>467</v>
      </c>
      <c r="FJ4131" t="s">
        <v>474</v>
      </c>
    </row>
    <row r="4132" spans="153:166" x14ac:dyDescent="0.35">
      <c r="EW4132" t="s">
        <v>4093</v>
      </c>
      <c r="EX4132" s="33" t="s">
        <v>5028</v>
      </c>
      <c r="EY4132" s="33" t="s">
        <v>630</v>
      </c>
      <c r="EZ4132" s="33">
        <v>593907</v>
      </c>
      <c r="FA4132" s="33" t="s">
        <v>51</v>
      </c>
      <c r="FB4132" s="33" t="s">
        <v>473</v>
      </c>
      <c r="FC4132" s="33" t="s">
        <v>53</v>
      </c>
      <c r="FD4132" s="33" t="s">
        <v>476</v>
      </c>
      <c r="FE4132" s="33">
        <v>2023</v>
      </c>
      <c r="FF4132" s="33" t="s">
        <v>474</v>
      </c>
      <c r="FG4132" s="33" t="s">
        <v>470</v>
      </c>
      <c r="FH4132" s="33" t="s">
        <v>471</v>
      </c>
      <c r="FI4132" s="33" t="s">
        <v>467</v>
      </c>
      <c r="FJ4132" t="s">
        <v>474</v>
      </c>
    </row>
    <row r="4133" spans="153:166" x14ac:dyDescent="0.35">
      <c r="EW4133" t="s">
        <v>4093</v>
      </c>
      <c r="EX4133" s="33" t="s">
        <v>5029</v>
      </c>
      <c r="EY4133" s="33" t="s">
        <v>631</v>
      </c>
      <c r="EZ4133" s="33">
        <v>593887</v>
      </c>
      <c r="FA4133" s="33" t="s">
        <v>51</v>
      </c>
      <c r="FB4133" s="33" t="s">
        <v>473</v>
      </c>
      <c r="FC4133" s="33" t="s">
        <v>53</v>
      </c>
      <c r="FD4133" s="33" t="s">
        <v>476</v>
      </c>
      <c r="FE4133" s="33">
        <v>2023</v>
      </c>
      <c r="FF4133" s="33" t="s">
        <v>474</v>
      </c>
      <c r="FG4133" s="33" t="s">
        <v>470</v>
      </c>
      <c r="FH4133" s="33" t="s">
        <v>471</v>
      </c>
      <c r="FI4133" s="33" t="s">
        <v>467</v>
      </c>
      <c r="FJ4133" t="s">
        <v>474</v>
      </c>
    </row>
    <row r="4134" spans="153:166" x14ac:dyDescent="0.35">
      <c r="EW4134" t="s">
        <v>4093</v>
      </c>
      <c r="EX4134" s="33" t="s">
        <v>5030</v>
      </c>
      <c r="EY4134" s="33" t="s">
        <v>632</v>
      </c>
      <c r="EZ4134" s="33">
        <v>593899</v>
      </c>
      <c r="FA4134" s="33" t="s">
        <v>51</v>
      </c>
      <c r="FB4134" s="33" t="s">
        <v>473</v>
      </c>
      <c r="FC4134" s="33" t="s">
        <v>53</v>
      </c>
      <c r="FD4134" s="33" t="s">
        <v>476</v>
      </c>
      <c r="FE4134" s="33">
        <v>2023</v>
      </c>
      <c r="FF4134" s="33" t="s">
        <v>474</v>
      </c>
      <c r="FG4134" s="33" t="s">
        <v>470</v>
      </c>
      <c r="FH4134" s="33" t="s">
        <v>471</v>
      </c>
      <c r="FI4134" s="33" t="s">
        <v>467</v>
      </c>
      <c r="FJ4134" t="s">
        <v>474</v>
      </c>
    </row>
    <row r="4135" spans="153:166" x14ac:dyDescent="0.35">
      <c r="EW4135" t="s">
        <v>4093</v>
      </c>
      <c r="EX4135" s="33" t="s">
        <v>5031</v>
      </c>
      <c r="EY4135" s="33" t="s">
        <v>633</v>
      </c>
      <c r="EZ4135" s="33">
        <v>593420</v>
      </c>
      <c r="FA4135" s="33" t="s">
        <v>51</v>
      </c>
      <c r="FB4135" s="33" t="s">
        <v>473</v>
      </c>
      <c r="FC4135" s="33" t="s">
        <v>53</v>
      </c>
      <c r="FD4135" s="33" t="s">
        <v>476</v>
      </c>
      <c r="FE4135" s="33">
        <v>2023</v>
      </c>
      <c r="FF4135" s="33" t="s">
        <v>474</v>
      </c>
      <c r="FG4135" s="33" t="s">
        <v>470</v>
      </c>
      <c r="FH4135" s="33" t="s">
        <v>471</v>
      </c>
      <c r="FI4135" s="33" t="s">
        <v>467</v>
      </c>
      <c r="FJ4135" t="s">
        <v>474</v>
      </c>
    </row>
    <row r="4136" spans="153:166" x14ac:dyDescent="0.35">
      <c r="EW4136" t="s">
        <v>4093</v>
      </c>
      <c r="EX4136" s="33" t="s">
        <v>5032</v>
      </c>
      <c r="EY4136" s="33" t="s">
        <v>634</v>
      </c>
      <c r="EZ4136" s="33">
        <v>593506</v>
      </c>
      <c r="FA4136" s="33" t="s">
        <v>51</v>
      </c>
      <c r="FB4136" s="33" t="s">
        <v>473</v>
      </c>
      <c r="FC4136" s="33" t="s">
        <v>53</v>
      </c>
      <c r="FD4136" s="33" t="s">
        <v>476</v>
      </c>
      <c r="FE4136" s="33">
        <v>2023</v>
      </c>
      <c r="FF4136" s="33" t="s">
        <v>474</v>
      </c>
      <c r="FG4136" s="33" t="s">
        <v>470</v>
      </c>
      <c r="FH4136" s="33" t="s">
        <v>471</v>
      </c>
      <c r="FI4136" s="33" t="s">
        <v>467</v>
      </c>
      <c r="FJ4136" t="s">
        <v>474</v>
      </c>
    </row>
    <row r="4137" spans="153:166" x14ac:dyDescent="0.35">
      <c r="EW4137" t="s">
        <v>4093</v>
      </c>
      <c r="EX4137" s="33" t="s">
        <v>5033</v>
      </c>
      <c r="EY4137" s="33" t="s">
        <v>635</v>
      </c>
      <c r="EZ4137" s="33">
        <v>593418</v>
      </c>
      <c r="FA4137" s="33" t="s">
        <v>51</v>
      </c>
      <c r="FB4137" s="33" t="s">
        <v>473</v>
      </c>
      <c r="FC4137" s="33" t="s">
        <v>53</v>
      </c>
      <c r="FD4137" s="33" t="s">
        <v>476</v>
      </c>
      <c r="FE4137" s="33">
        <v>2023</v>
      </c>
      <c r="FF4137" s="33" t="s">
        <v>474</v>
      </c>
      <c r="FG4137" s="33" t="s">
        <v>470</v>
      </c>
      <c r="FH4137" s="33" t="s">
        <v>471</v>
      </c>
      <c r="FI4137" s="33" t="s">
        <v>467</v>
      </c>
      <c r="FJ4137" t="s">
        <v>474</v>
      </c>
    </row>
    <row r="4138" spans="153:166" x14ac:dyDescent="0.35">
      <c r="EW4138" t="s">
        <v>4093</v>
      </c>
      <c r="EX4138" s="33" t="s">
        <v>5034</v>
      </c>
      <c r="EY4138" s="33" t="s">
        <v>639</v>
      </c>
      <c r="EZ4138" s="33">
        <v>593145</v>
      </c>
      <c r="FA4138" s="33" t="s">
        <v>51</v>
      </c>
      <c r="FB4138" s="33" t="s">
        <v>473</v>
      </c>
      <c r="FC4138" s="33" t="s">
        <v>53</v>
      </c>
      <c r="FD4138" s="33" t="s">
        <v>476</v>
      </c>
      <c r="FE4138" s="33">
        <v>2023</v>
      </c>
      <c r="FF4138" s="33" t="s">
        <v>474</v>
      </c>
      <c r="FG4138" s="33" t="s">
        <v>470</v>
      </c>
      <c r="FH4138" s="33" t="s">
        <v>471</v>
      </c>
      <c r="FI4138" s="33" t="s">
        <v>467</v>
      </c>
      <c r="FJ4138" t="s">
        <v>474</v>
      </c>
    </row>
    <row r="4139" spans="153:166" x14ac:dyDescent="0.35">
      <c r="EW4139" t="s">
        <v>4093</v>
      </c>
      <c r="EX4139" s="33" t="s">
        <v>5035</v>
      </c>
      <c r="EY4139" s="33" t="s">
        <v>640</v>
      </c>
      <c r="EZ4139" s="33" t="s">
        <v>641</v>
      </c>
      <c r="FA4139" s="33" t="s">
        <v>343</v>
      </c>
      <c r="FB4139" s="33" t="s">
        <v>344</v>
      </c>
      <c r="FC4139" s="33" t="s">
        <v>345</v>
      </c>
      <c r="FD4139" s="33" t="s">
        <v>346</v>
      </c>
      <c r="FE4139" s="33">
        <v>2025</v>
      </c>
      <c r="FF4139" s="33" t="s">
        <v>59</v>
      </c>
      <c r="FG4139" s="33" t="s">
        <v>386</v>
      </c>
      <c r="FH4139" s="33" t="s">
        <v>387</v>
      </c>
      <c r="FI4139" s="33" t="s">
        <v>407</v>
      </c>
      <c r="FJ4139" t="s">
        <v>59</v>
      </c>
    </row>
    <row r="4140" spans="153:166" x14ac:dyDescent="0.35">
      <c r="EW4140" t="s">
        <v>4093</v>
      </c>
      <c r="EX4140" s="33" t="s">
        <v>5036</v>
      </c>
      <c r="EY4140" s="33" t="s">
        <v>642</v>
      </c>
      <c r="EZ4140" s="33" t="s">
        <v>643</v>
      </c>
      <c r="FA4140" s="33" t="s">
        <v>343</v>
      </c>
      <c r="FB4140" s="33" t="s">
        <v>344</v>
      </c>
      <c r="FC4140" s="33" t="s">
        <v>345</v>
      </c>
      <c r="FD4140" s="33" t="s">
        <v>346</v>
      </c>
      <c r="FE4140" s="33">
        <v>2025</v>
      </c>
      <c r="FF4140" s="33" t="s">
        <v>59</v>
      </c>
      <c r="FG4140" s="33" t="s">
        <v>477</v>
      </c>
      <c r="FH4140" s="33" t="s">
        <v>478</v>
      </c>
      <c r="FI4140" s="33" t="s">
        <v>479</v>
      </c>
      <c r="FJ4140" t="s">
        <v>59</v>
      </c>
    </row>
    <row r="4141" spans="153:166" x14ac:dyDescent="0.35">
      <c r="EW4141" t="s">
        <v>4093</v>
      </c>
      <c r="EX4141" s="33" t="s">
        <v>5037</v>
      </c>
      <c r="EY4141" s="33" t="s">
        <v>644</v>
      </c>
      <c r="EZ4141" s="33" t="s">
        <v>645</v>
      </c>
      <c r="FA4141" s="33" t="s">
        <v>343</v>
      </c>
      <c r="FB4141" s="33" t="s">
        <v>344</v>
      </c>
      <c r="FC4141" s="33" t="s">
        <v>345</v>
      </c>
      <c r="FD4141" s="33" t="s">
        <v>346</v>
      </c>
      <c r="FE4141" s="33">
        <v>2025</v>
      </c>
      <c r="FF4141" s="33" t="s">
        <v>59</v>
      </c>
      <c r="FG4141" s="33" t="s">
        <v>470</v>
      </c>
      <c r="FH4141" s="33" t="s">
        <v>471</v>
      </c>
      <c r="FI4141" s="33" t="s">
        <v>467</v>
      </c>
      <c r="FJ4141" t="s">
        <v>59</v>
      </c>
    </row>
    <row r="4142" spans="153:166" x14ac:dyDescent="0.35">
      <c r="EW4142" t="s">
        <v>4093</v>
      </c>
      <c r="EX4142" s="33" t="s">
        <v>5038</v>
      </c>
      <c r="EY4142" s="33" t="s">
        <v>646</v>
      </c>
      <c r="EZ4142" s="33" t="s">
        <v>647</v>
      </c>
      <c r="FA4142" s="33" t="s">
        <v>343</v>
      </c>
      <c r="FB4142" s="33" t="s">
        <v>344</v>
      </c>
      <c r="FC4142" s="33" t="s">
        <v>345</v>
      </c>
      <c r="FD4142" s="33" t="s">
        <v>346</v>
      </c>
      <c r="FE4142" s="33">
        <v>2025</v>
      </c>
      <c r="FF4142" s="33" t="s">
        <v>59</v>
      </c>
      <c r="FG4142" s="33" t="s">
        <v>470</v>
      </c>
      <c r="FH4142" s="33" t="s">
        <v>471</v>
      </c>
      <c r="FI4142" s="33" t="s">
        <v>467</v>
      </c>
      <c r="FJ4142" t="s">
        <v>59</v>
      </c>
    </row>
    <row r="4143" spans="153:166" x14ac:dyDescent="0.35">
      <c r="EW4143" t="s">
        <v>4093</v>
      </c>
      <c r="EX4143" s="33" t="s">
        <v>5039</v>
      </c>
      <c r="EY4143" s="33" t="s">
        <v>648</v>
      </c>
      <c r="EZ4143" s="33" t="s">
        <v>649</v>
      </c>
      <c r="FA4143" s="33" t="s">
        <v>343</v>
      </c>
      <c r="FB4143" s="33" t="s">
        <v>344</v>
      </c>
      <c r="FC4143" s="33" t="s">
        <v>345</v>
      </c>
      <c r="FD4143" s="33" t="s">
        <v>346</v>
      </c>
      <c r="FE4143" s="33">
        <v>2025</v>
      </c>
      <c r="FF4143" s="33" t="s">
        <v>59</v>
      </c>
      <c r="FG4143" s="33" t="s">
        <v>477</v>
      </c>
      <c r="FH4143" s="33" t="s">
        <v>478</v>
      </c>
      <c r="FI4143" s="33" t="s">
        <v>479</v>
      </c>
      <c r="FJ4143" t="s">
        <v>59</v>
      </c>
    </row>
    <row r="4144" spans="153:166" x14ac:dyDescent="0.35">
      <c r="EW4144" t="s">
        <v>4093</v>
      </c>
      <c r="EX4144" s="33" t="s">
        <v>5040</v>
      </c>
      <c r="EY4144" s="33" t="s">
        <v>650</v>
      </c>
      <c r="EZ4144" s="33" t="s">
        <v>651</v>
      </c>
      <c r="FA4144" s="33" t="s">
        <v>343</v>
      </c>
      <c r="FB4144" s="33" t="s">
        <v>344</v>
      </c>
      <c r="FC4144" s="33" t="s">
        <v>345</v>
      </c>
      <c r="FD4144" s="33" t="s">
        <v>346</v>
      </c>
      <c r="FE4144" s="33">
        <v>2025</v>
      </c>
      <c r="FF4144" s="33" t="s">
        <v>59</v>
      </c>
      <c r="FG4144" s="33" t="s">
        <v>386</v>
      </c>
      <c r="FH4144" s="33" t="s">
        <v>387</v>
      </c>
      <c r="FI4144" s="33" t="s">
        <v>407</v>
      </c>
      <c r="FJ4144" t="s">
        <v>59</v>
      </c>
    </row>
    <row r="4145" spans="153:166" x14ac:dyDescent="0.35">
      <c r="EW4145" t="s">
        <v>4093</v>
      </c>
      <c r="EX4145" s="33" t="s">
        <v>5041</v>
      </c>
      <c r="EY4145" s="33" t="s">
        <v>655</v>
      </c>
      <c r="EZ4145" s="33" t="s">
        <v>656</v>
      </c>
      <c r="FA4145" s="33" t="s">
        <v>343</v>
      </c>
      <c r="FB4145" s="33" t="s">
        <v>344</v>
      </c>
      <c r="FC4145" s="33" t="s">
        <v>345</v>
      </c>
      <c r="FD4145" s="33" t="s">
        <v>346</v>
      </c>
      <c r="FE4145" s="33">
        <v>2025</v>
      </c>
      <c r="FF4145" s="33" t="s">
        <v>59</v>
      </c>
      <c r="FG4145" s="33" t="s">
        <v>477</v>
      </c>
      <c r="FH4145" s="33" t="s">
        <v>478</v>
      </c>
      <c r="FI4145" s="33" t="s">
        <v>479</v>
      </c>
      <c r="FJ4145" t="s">
        <v>59</v>
      </c>
    </row>
    <row r="4146" spans="153:166" x14ac:dyDescent="0.35">
      <c r="EW4146" t="s">
        <v>4093</v>
      </c>
      <c r="EX4146" s="33" t="s">
        <v>5042</v>
      </c>
      <c r="EY4146" s="33" t="s">
        <v>657</v>
      </c>
      <c r="EZ4146" s="33" t="s">
        <v>658</v>
      </c>
      <c r="FA4146" s="33" t="s">
        <v>343</v>
      </c>
      <c r="FB4146" s="33" t="s">
        <v>344</v>
      </c>
      <c r="FC4146" s="33" t="s">
        <v>345</v>
      </c>
      <c r="FD4146" s="33" t="s">
        <v>346</v>
      </c>
      <c r="FE4146" s="33">
        <v>2025</v>
      </c>
      <c r="FF4146" s="33" t="s">
        <v>59</v>
      </c>
      <c r="FG4146" s="33" t="s">
        <v>386</v>
      </c>
      <c r="FH4146" s="33" t="s">
        <v>387</v>
      </c>
      <c r="FI4146" s="33" t="s">
        <v>407</v>
      </c>
      <c r="FJ4146" t="s">
        <v>59</v>
      </c>
    </row>
    <row r="4147" spans="153:166" x14ac:dyDescent="0.35">
      <c r="EW4147" t="s">
        <v>4093</v>
      </c>
      <c r="EX4147" s="33" t="s">
        <v>5043</v>
      </c>
      <c r="EY4147" s="33" t="s">
        <v>659</v>
      </c>
      <c r="EZ4147" s="33" t="s">
        <v>660</v>
      </c>
      <c r="FA4147" s="33" t="s">
        <v>343</v>
      </c>
      <c r="FB4147" s="33" t="s">
        <v>344</v>
      </c>
      <c r="FC4147" s="33" t="s">
        <v>345</v>
      </c>
      <c r="FD4147" s="33" t="s">
        <v>346</v>
      </c>
      <c r="FE4147" s="33">
        <v>2025</v>
      </c>
      <c r="FF4147" s="33" t="s">
        <v>59</v>
      </c>
      <c r="FG4147" s="33" t="s">
        <v>386</v>
      </c>
      <c r="FH4147" s="33" t="s">
        <v>387</v>
      </c>
      <c r="FI4147" s="33" t="s">
        <v>407</v>
      </c>
      <c r="FJ4147" t="s">
        <v>59</v>
      </c>
    </row>
    <row r="4148" spans="153:166" x14ac:dyDescent="0.35">
      <c r="EW4148" t="s">
        <v>4093</v>
      </c>
      <c r="EX4148" s="33" t="s">
        <v>5044</v>
      </c>
      <c r="EY4148" s="33" t="s">
        <v>661</v>
      </c>
      <c r="EZ4148" s="33" t="s">
        <v>662</v>
      </c>
      <c r="FA4148" s="33" t="s">
        <v>343</v>
      </c>
      <c r="FB4148" s="33" t="s">
        <v>344</v>
      </c>
      <c r="FC4148" s="33" t="s">
        <v>345</v>
      </c>
      <c r="FD4148" s="33" t="s">
        <v>346</v>
      </c>
      <c r="FE4148" s="33">
        <v>2025</v>
      </c>
      <c r="FF4148" s="33" t="s">
        <v>59</v>
      </c>
      <c r="FG4148" s="33" t="s">
        <v>386</v>
      </c>
      <c r="FH4148" s="33" t="s">
        <v>387</v>
      </c>
      <c r="FI4148" s="33" t="s">
        <v>407</v>
      </c>
      <c r="FJ4148" t="s">
        <v>59</v>
      </c>
    </row>
    <row r="4149" spans="153:166" x14ac:dyDescent="0.35">
      <c r="EW4149" t="s">
        <v>4093</v>
      </c>
      <c r="EX4149" s="33" t="s">
        <v>5045</v>
      </c>
      <c r="EY4149" s="33" t="s">
        <v>663</v>
      </c>
      <c r="EZ4149" s="33" t="s">
        <v>664</v>
      </c>
      <c r="FA4149" s="33" t="s">
        <v>343</v>
      </c>
      <c r="FB4149" s="33" t="s">
        <v>344</v>
      </c>
      <c r="FC4149" s="33" t="s">
        <v>345</v>
      </c>
      <c r="FD4149" s="33" t="s">
        <v>346</v>
      </c>
      <c r="FE4149" s="33">
        <v>2025</v>
      </c>
      <c r="FF4149" s="33" t="s">
        <v>59</v>
      </c>
      <c r="FG4149" s="33" t="s">
        <v>386</v>
      </c>
      <c r="FH4149" s="33" t="s">
        <v>387</v>
      </c>
      <c r="FI4149" s="33" t="s">
        <v>407</v>
      </c>
      <c r="FJ4149" t="s">
        <v>59</v>
      </c>
    </row>
    <row r="4150" spans="153:166" x14ac:dyDescent="0.35">
      <c r="EW4150" t="s">
        <v>4093</v>
      </c>
      <c r="EX4150" s="33" t="s">
        <v>5046</v>
      </c>
      <c r="EY4150" s="33" t="s">
        <v>668</v>
      </c>
      <c r="EZ4150" s="33" t="s">
        <v>669</v>
      </c>
      <c r="FA4150" s="33" t="s">
        <v>343</v>
      </c>
      <c r="FB4150" s="33" t="s">
        <v>344</v>
      </c>
      <c r="FC4150" s="33" t="s">
        <v>345</v>
      </c>
      <c r="FD4150" s="33" t="s">
        <v>346</v>
      </c>
      <c r="FE4150" s="33">
        <v>2025</v>
      </c>
      <c r="FF4150" s="33" t="s">
        <v>59</v>
      </c>
      <c r="FG4150" s="33" t="s">
        <v>477</v>
      </c>
      <c r="FH4150" s="33" t="s">
        <v>478</v>
      </c>
      <c r="FI4150" s="33" t="s">
        <v>479</v>
      </c>
      <c r="FJ4150" t="s">
        <v>59</v>
      </c>
    </row>
    <row r="4151" spans="153:166" x14ac:dyDescent="0.35">
      <c r="EW4151" t="s">
        <v>4093</v>
      </c>
      <c r="EX4151" s="33" t="s">
        <v>5047</v>
      </c>
      <c r="EY4151" s="33" t="s">
        <v>673</v>
      </c>
      <c r="EZ4151" s="33" t="s">
        <v>674</v>
      </c>
      <c r="FA4151" s="33" t="s">
        <v>343</v>
      </c>
      <c r="FB4151" s="33" t="s">
        <v>344</v>
      </c>
      <c r="FC4151" s="33" t="s">
        <v>345</v>
      </c>
      <c r="FD4151" s="33" t="s">
        <v>346</v>
      </c>
      <c r="FE4151" s="33">
        <v>2025</v>
      </c>
      <c r="FF4151" s="33" t="s">
        <v>59</v>
      </c>
      <c r="FG4151" s="33" t="s">
        <v>386</v>
      </c>
      <c r="FH4151" s="33" t="s">
        <v>387</v>
      </c>
      <c r="FI4151" s="33" t="s">
        <v>407</v>
      </c>
      <c r="FJ4151" t="s">
        <v>59</v>
      </c>
    </row>
    <row r="4152" spans="153:166" x14ac:dyDescent="0.35">
      <c r="EW4152" t="s">
        <v>4093</v>
      </c>
      <c r="EX4152" s="33" t="s">
        <v>5048</v>
      </c>
      <c r="EY4152" s="33" t="s">
        <v>675</v>
      </c>
      <c r="EZ4152" s="33" t="s">
        <v>676</v>
      </c>
      <c r="FA4152" s="33" t="s">
        <v>343</v>
      </c>
      <c r="FB4152" s="33" t="s">
        <v>344</v>
      </c>
      <c r="FC4152" s="33" t="s">
        <v>345</v>
      </c>
      <c r="FD4152" s="33" t="s">
        <v>346</v>
      </c>
      <c r="FE4152" s="33">
        <v>2025</v>
      </c>
      <c r="FF4152" s="33" t="s">
        <v>59</v>
      </c>
      <c r="FG4152" s="33" t="s">
        <v>386</v>
      </c>
      <c r="FH4152" s="33" t="s">
        <v>387</v>
      </c>
      <c r="FI4152" s="33" t="s">
        <v>407</v>
      </c>
      <c r="FJ4152" t="s">
        <v>59</v>
      </c>
    </row>
    <row r="4153" spans="153:166" x14ac:dyDescent="0.35">
      <c r="EW4153" t="s">
        <v>4093</v>
      </c>
      <c r="EX4153" s="33" t="s">
        <v>5049</v>
      </c>
      <c r="EY4153" s="33" t="s">
        <v>677</v>
      </c>
      <c r="EZ4153" s="33" t="s">
        <v>678</v>
      </c>
      <c r="FA4153" s="33" t="s">
        <v>343</v>
      </c>
      <c r="FB4153" s="33" t="s">
        <v>344</v>
      </c>
      <c r="FC4153" s="33" t="s">
        <v>345</v>
      </c>
      <c r="FD4153" s="33" t="s">
        <v>346</v>
      </c>
      <c r="FE4153" s="33">
        <v>2025</v>
      </c>
      <c r="FF4153" s="33" t="s">
        <v>59</v>
      </c>
      <c r="FG4153" s="33" t="s">
        <v>477</v>
      </c>
      <c r="FH4153" s="33" t="s">
        <v>478</v>
      </c>
      <c r="FI4153" s="33" t="s">
        <v>479</v>
      </c>
      <c r="FJ4153" t="s">
        <v>59</v>
      </c>
    </row>
    <row r="4154" spans="153:166" x14ac:dyDescent="0.35">
      <c r="EW4154" t="s">
        <v>4093</v>
      </c>
      <c r="EX4154" s="33" t="s">
        <v>5050</v>
      </c>
      <c r="EY4154" s="33" t="s">
        <v>679</v>
      </c>
      <c r="EZ4154" s="33" t="s">
        <v>680</v>
      </c>
      <c r="FA4154" s="33" t="s">
        <v>343</v>
      </c>
      <c r="FB4154" s="33" t="s">
        <v>344</v>
      </c>
      <c r="FC4154" s="33" t="s">
        <v>345</v>
      </c>
      <c r="FD4154" s="33" t="s">
        <v>346</v>
      </c>
      <c r="FE4154" s="33">
        <v>2025</v>
      </c>
      <c r="FF4154" s="33" t="s">
        <v>59</v>
      </c>
      <c r="FG4154" s="33" t="s">
        <v>470</v>
      </c>
      <c r="FH4154" s="33" t="s">
        <v>471</v>
      </c>
      <c r="FI4154" s="33" t="s">
        <v>467</v>
      </c>
      <c r="FJ4154" t="s">
        <v>59</v>
      </c>
    </row>
    <row r="4155" spans="153:166" x14ac:dyDescent="0.35">
      <c r="EW4155" t="s">
        <v>4093</v>
      </c>
      <c r="EX4155" s="33" t="s">
        <v>5051</v>
      </c>
      <c r="EY4155" s="33" t="s">
        <v>681</v>
      </c>
      <c r="EZ4155" s="33" t="s">
        <v>682</v>
      </c>
      <c r="FA4155" s="33" t="s">
        <v>343</v>
      </c>
      <c r="FB4155" s="33" t="s">
        <v>344</v>
      </c>
      <c r="FC4155" s="33" t="s">
        <v>345</v>
      </c>
      <c r="FD4155" s="33" t="s">
        <v>346</v>
      </c>
      <c r="FE4155" s="33">
        <v>2025</v>
      </c>
      <c r="FF4155" s="33" t="s">
        <v>59</v>
      </c>
      <c r="FG4155" s="33" t="s">
        <v>386</v>
      </c>
      <c r="FH4155" s="33" t="s">
        <v>387</v>
      </c>
      <c r="FI4155" s="33" t="s">
        <v>407</v>
      </c>
      <c r="FJ4155" t="s">
        <v>59</v>
      </c>
    </row>
    <row r="4156" spans="153:166" x14ac:dyDescent="0.35">
      <c r="EW4156" t="s">
        <v>4093</v>
      </c>
      <c r="EX4156" s="33" t="s">
        <v>5052</v>
      </c>
      <c r="EY4156" s="33" t="s">
        <v>683</v>
      </c>
      <c r="EZ4156" s="33" t="s">
        <v>684</v>
      </c>
      <c r="FA4156" s="33" t="s">
        <v>343</v>
      </c>
      <c r="FB4156" s="33" t="s">
        <v>344</v>
      </c>
      <c r="FC4156" s="33" t="s">
        <v>345</v>
      </c>
      <c r="FD4156" s="33" t="s">
        <v>346</v>
      </c>
      <c r="FE4156" s="33">
        <v>2025</v>
      </c>
      <c r="FF4156" s="33" t="s">
        <v>59</v>
      </c>
      <c r="FG4156" s="33" t="s">
        <v>386</v>
      </c>
      <c r="FH4156" s="33" t="s">
        <v>387</v>
      </c>
      <c r="FI4156" s="33" t="s">
        <v>407</v>
      </c>
      <c r="FJ4156" t="s">
        <v>59</v>
      </c>
    </row>
    <row r="4157" spans="153:166" x14ac:dyDescent="0.35">
      <c r="EW4157" t="s">
        <v>4093</v>
      </c>
      <c r="EX4157" s="33" t="s">
        <v>5053</v>
      </c>
      <c r="EY4157" s="33" t="s">
        <v>688</v>
      </c>
      <c r="EZ4157" s="33" t="s">
        <v>689</v>
      </c>
      <c r="FA4157" s="33" t="s">
        <v>343</v>
      </c>
      <c r="FB4157" s="33" t="s">
        <v>344</v>
      </c>
      <c r="FC4157" s="33" t="s">
        <v>345</v>
      </c>
      <c r="FD4157" s="33" t="s">
        <v>346</v>
      </c>
      <c r="FE4157" s="33">
        <v>2025</v>
      </c>
      <c r="FF4157" s="33" t="s">
        <v>59</v>
      </c>
      <c r="FG4157" s="33" t="s">
        <v>477</v>
      </c>
      <c r="FH4157" s="33" t="s">
        <v>478</v>
      </c>
      <c r="FI4157" s="33" t="s">
        <v>479</v>
      </c>
      <c r="FJ4157" t="s">
        <v>59</v>
      </c>
    </row>
    <row r="4158" spans="153:166" x14ac:dyDescent="0.35">
      <c r="EW4158" t="s">
        <v>4093</v>
      </c>
      <c r="EX4158" s="33" t="s">
        <v>5054</v>
      </c>
      <c r="EY4158" s="33" t="s">
        <v>690</v>
      </c>
      <c r="EZ4158" s="33" t="s">
        <v>691</v>
      </c>
      <c r="FA4158" s="33" t="s">
        <v>343</v>
      </c>
      <c r="FB4158" s="33" t="s">
        <v>344</v>
      </c>
      <c r="FC4158" s="33" t="s">
        <v>345</v>
      </c>
      <c r="FD4158" s="33" t="s">
        <v>346</v>
      </c>
      <c r="FE4158" s="33">
        <v>2025</v>
      </c>
      <c r="FF4158" s="33" t="s">
        <v>59</v>
      </c>
      <c r="FG4158" s="33" t="s">
        <v>477</v>
      </c>
      <c r="FH4158" s="33" t="s">
        <v>478</v>
      </c>
      <c r="FI4158" s="33" t="s">
        <v>479</v>
      </c>
      <c r="FJ4158" t="s">
        <v>59</v>
      </c>
    </row>
    <row r="4159" spans="153:166" x14ac:dyDescent="0.35">
      <c r="EW4159" t="s">
        <v>4093</v>
      </c>
      <c r="EX4159" s="33" t="s">
        <v>5055</v>
      </c>
      <c r="EY4159" s="33" t="s">
        <v>692</v>
      </c>
      <c r="EZ4159" s="33" t="s">
        <v>693</v>
      </c>
      <c r="FA4159" s="33" t="s">
        <v>343</v>
      </c>
      <c r="FB4159" s="33" t="s">
        <v>344</v>
      </c>
      <c r="FC4159" s="33" t="s">
        <v>345</v>
      </c>
      <c r="FD4159" s="33" t="s">
        <v>346</v>
      </c>
      <c r="FE4159" s="33">
        <v>2025</v>
      </c>
      <c r="FF4159" s="33" t="s">
        <v>59</v>
      </c>
      <c r="FG4159" s="33" t="s">
        <v>386</v>
      </c>
      <c r="FH4159" s="33" t="s">
        <v>387</v>
      </c>
      <c r="FI4159" s="33" t="s">
        <v>407</v>
      </c>
      <c r="FJ4159" t="s">
        <v>59</v>
      </c>
    </row>
    <row r="4160" spans="153:166" x14ac:dyDescent="0.35">
      <c r="EW4160" t="s">
        <v>4093</v>
      </c>
      <c r="EX4160" s="33" t="s">
        <v>5056</v>
      </c>
      <c r="EY4160" s="33" t="s">
        <v>694</v>
      </c>
      <c r="EZ4160" s="33" t="s">
        <v>695</v>
      </c>
      <c r="FA4160" s="33" t="s">
        <v>343</v>
      </c>
      <c r="FB4160" s="33" t="s">
        <v>344</v>
      </c>
      <c r="FC4160" s="33" t="s">
        <v>345</v>
      </c>
      <c r="FD4160" s="33" t="s">
        <v>346</v>
      </c>
      <c r="FE4160" s="33">
        <v>2025</v>
      </c>
      <c r="FF4160" s="33" t="s">
        <v>59</v>
      </c>
      <c r="FG4160" s="33" t="s">
        <v>477</v>
      </c>
      <c r="FH4160" s="33" t="s">
        <v>478</v>
      </c>
      <c r="FI4160" s="33" t="s">
        <v>479</v>
      </c>
      <c r="FJ4160" t="s">
        <v>59</v>
      </c>
    </row>
    <row r="4161" spans="153:166" x14ac:dyDescent="0.35">
      <c r="EW4161" t="s">
        <v>4093</v>
      </c>
      <c r="EX4161" s="33" t="s">
        <v>5057</v>
      </c>
      <c r="EY4161" s="33" t="s">
        <v>696</v>
      </c>
      <c r="EZ4161" s="33" t="s">
        <v>697</v>
      </c>
      <c r="FA4161" s="33" t="s">
        <v>343</v>
      </c>
      <c r="FB4161" s="33" t="s">
        <v>344</v>
      </c>
      <c r="FC4161" s="33" t="s">
        <v>345</v>
      </c>
      <c r="FD4161" s="33" t="s">
        <v>346</v>
      </c>
      <c r="FE4161" s="33">
        <v>2025</v>
      </c>
      <c r="FF4161" s="33" t="s">
        <v>59</v>
      </c>
      <c r="FG4161" s="33" t="s">
        <v>386</v>
      </c>
      <c r="FH4161" s="33" t="s">
        <v>387</v>
      </c>
      <c r="FI4161" s="33" t="s">
        <v>407</v>
      </c>
      <c r="FJ4161" t="s">
        <v>59</v>
      </c>
    </row>
    <row r="4162" spans="153:166" x14ac:dyDescent="0.35">
      <c r="EW4162" t="s">
        <v>4093</v>
      </c>
      <c r="EX4162" s="33" t="s">
        <v>5058</v>
      </c>
      <c r="EY4162" s="33" t="s">
        <v>701</v>
      </c>
      <c r="EZ4162" s="33" t="s">
        <v>702</v>
      </c>
      <c r="FA4162" s="33" t="s">
        <v>343</v>
      </c>
      <c r="FB4162" s="33" t="s">
        <v>344</v>
      </c>
      <c r="FC4162" s="33" t="s">
        <v>345</v>
      </c>
      <c r="FD4162" s="33" t="s">
        <v>346</v>
      </c>
      <c r="FE4162" s="33">
        <v>2025</v>
      </c>
      <c r="FF4162" s="33" t="s">
        <v>59</v>
      </c>
      <c r="FG4162" s="33" t="s">
        <v>477</v>
      </c>
      <c r="FH4162" s="33" t="s">
        <v>478</v>
      </c>
      <c r="FI4162" s="33" t="s">
        <v>479</v>
      </c>
      <c r="FJ4162" t="s">
        <v>59</v>
      </c>
    </row>
    <row r="4163" spans="153:166" x14ac:dyDescent="0.35">
      <c r="EW4163" t="s">
        <v>4093</v>
      </c>
      <c r="EX4163" s="33" t="s">
        <v>5059</v>
      </c>
      <c r="EY4163" s="33" t="s">
        <v>703</v>
      </c>
      <c r="EZ4163" s="33" t="s">
        <v>704</v>
      </c>
      <c r="FA4163" s="33" t="s">
        <v>343</v>
      </c>
      <c r="FB4163" s="33" t="s">
        <v>344</v>
      </c>
      <c r="FC4163" s="33" t="s">
        <v>345</v>
      </c>
      <c r="FD4163" s="33" t="s">
        <v>346</v>
      </c>
      <c r="FE4163" s="33">
        <v>2025</v>
      </c>
      <c r="FF4163" s="33" t="s">
        <v>59</v>
      </c>
      <c r="FG4163" s="33" t="s">
        <v>477</v>
      </c>
      <c r="FH4163" s="33" t="s">
        <v>478</v>
      </c>
      <c r="FI4163" s="33" t="s">
        <v>479</v>
      </c>
      <c r="FJ4163" t="s">
        <v>59</v>
      </c>
    </row>
    <row r="4164" spans="153:166" x14ac:dyDescent="0.35">
      <c r="EW4164" t="s">
        <v>4093</v>
      </c>
      <c r="EX4164" s="33" t="s">
        <v>5060</v>
      </c>
      <c r="EY4164" s="33" t="s">
        <v>708</v>
      </c>
      <c r="EZ4164" s="33" t="s">
        <v>709</v>
      </c>
      <c r="FA4164" s="33" t="s">
        <v>343</v>
      </c>
      <c r="FB4164" s="33" t="s">
        <v>344</v>
      </c>
      <c r="FC4164" s="33" t="s">
        <v>345</v>
      </c>
      <c r="FD4164" s="33" t="s">
        <v>346</v>
      </c>
      <c r="FE4164" s="33">
        <v>2025</v>
      </c>
      <c r="FF4164" s="33" t="s">
        <v>59</v>
      </c>
      <c r="FG4164" s="33" t="s">
        <v>477</v>
      </c>
      <c r="FH4164" s="33" t="s">
        <v>478</v>
      </c>
      <c r="FI4164" s="33" t="s">
        <v>479</v>
      </c>
      <c r="FJ4164" t="s">
        <v>59</v>
      </c>
    </row>
    <row r="4165" spans="153:166" x14ac:dyDescent="0.35">
      <c r="EW4165" t="s">
        <v>4093</v>
      </c>
      <c r="EX4165" s="33" t="s">
        <v>5061</v>
      </c>
      <c r="EY4165" s="33" t="s">
        <v>713</v>
      </c>
      <c r="EZ4165" s="33" t="s">
        <v>714</v>
      </c>
      <c r="FA4165" s="33" t="s">
        <v>343</v>
      </c>
      <c r="FB4165" s="33" t="s">
        <v>344</v>
      </c>
      <c r="FC4165" s="33" t="s">
        <v>345</v>
      </c>
      <c r="FD4165" s="33" t="s">
        <v>346</v>
      </c>
      <c r="FE4165" s="33">
        <v>2025</v>
      </c>
      <c r="FF4165" s="33" t="s">
        <v>59</v>
      </c>
      <c r="FG4165" s="33" t="s">
        <v>470</v>
      </c>
      <c r="FH4165" s="33" t="s">
        <v>471</v>
      </c>
      <c r="FI4165" s="33" t="s">
        <v>467</v>
      </c>
      <c r="FJ4165" t="s">
        <v>59</v>
      </c>
    </row>
    <row r="4166" spans="153:166" x14ac:dyDescent="0.35">
      <c r="EW4166" t="s">
        <v>4093</v>
      </c>
      <c r="EX4166" s="33" t="s">
        <v>5062</v>
      </c>
      <c r="EY4166" s="33" t="s">
        <v>715</v>
      </c>
      <c r="EZ4166" s="33" t="s">
        <v>716</v>
      </c>
      <c r="FA4166" s="33" t="s">
        <v>343</v>
      </c>
      <c r="FB4166" s="33" t="s">
        <v>344</v>
      </c>
      <c r="FC4166" s="33" t="s">
        <v>345</v>
      </c>
      <c r="FD4166" s="33" t="s">
        <v>346</v>
      </c>
      <c r="FE4166" s="33">
        <v>2025</v>
      </c>
      <c r="FF4166" s="33" t="s">
        <v>59</v>
      </c>
      <c r="FG4166" s="33" t="s">
        <v>386</v>
      </c>
      <c r="FH4166" s="33" t="s">
        <v>387</v>
      </c>
      <c r="FI4166" s="33" t="s">
        <v>407</v>
      </c>
      <c r="FJ4166" t="s">
        <v>59</v>
      </c>
    </row>
    <row r="4167" spans="153:166" x14ac:dyDescent="0.35">
      <c r="EW4167" t="s">
        <v>4093</v>
      </c>
      <c r="EX4167" s="33" t="s">
        <v>5063</v>
      </c>
      <c r="EY4167" s="33" t="s">
        <v>717</v>
      </c>
      <c r="EZ4167" s="33" t="s">
        <v>718</v>
      </c>
      <c r="FA4167" s="33" t="s">
        <v>343</v>
      </c>
      <c r="FB4167" s="33" t="s">
        <v>344</v>
      </c>
      <c r="FC4167" s="33" t="s">
        <v>345</v>
      </c>
      <c r="FD4167" s="33" t="s">
        <v>346</v>
      </c>
      <c r="FE4167" s="33">
        <v>2025</v>
      </c>
      <c r="FF4167" s="33" t="s">
        <v>59</v>
      </c>
      <c r="FG4167" s="33" t="s">
        <v>477</v>
      </c>
      <c r="FH4167" s="33" t="s">
        <v>478</v>
      </c>
      <c r="FI4167" s="33" t="s">
        <v>479</v>
      </c>
      <c r="FJ4167" t="s">
        <v>59</v>
      </c>
    </row>
    <row r="4168" spans="153:166" x14ac:dyDescent="0.35">
      <c r="EW4168" t="s">
        <v>4093</v>
      </c>
      <c r="EX4168" s="33" t="s">
        <v>5064</v>
      </c>
      <c r="EY4168" s="33" t="s">
        <v>719</v>
      </c>
      <c r="EZ4168" s="33" t="s">
        <v>720</v>
      </c>
      <c r="FA4168" s="33" t="s">
        <v>343</v>
      </c>
      <c r="FB4168" s="33" t="s">
        <v>344</v>
      </c>
      <c r="FC4168" s="33" t="s">
        <v>345</v>
      </c>
      <c r="FD4168" s="33" t="s">
        <v>346</v>
      </c>
      <c r="FE4168" s="33">
        <v>2025</v>
      </c>
      <c r="FF4168" s="33" t="s">
        <v>59</v>
      </c>
      <c r="FG4168" s="33" t="s">
        <v>477</v>
      </c>
      <c r="FH4168" s="33" t="s">
        <v>478</v>
      </c>
      <c r="FI4168" s="33" t="s">
        <v>479</v>
      </c>
      <c r="FJ4168" t="s">
        <v>59</v>
      </c>
    </row>
    <row r="4169" spans="153:166" x14ac:dyDescent="0.35">
      <c r="EW4169" t="s">
        <v>4093</v>
      </c>
      <c r="EX4169" s="33" t="s">
        <v>5065</v>
      </c>
      <c r="EY4169" s="33" t="s">
        <v>721</v>
      </c>
      <c r="EZ4169" s="33" t="s">
        <v>722</v>
      </c>
      <c r="FA4169" s="33" t="s">
        <v>343</v>
      </c>
      <c r="FB4169" s="33" t="s">
        <v>344</v>
      </c>
      <c r="FC4169" s="33" t="s">
        <v>345</v>
      </c>
      <c r="FD4169" s="33" t="s">
        <v>346</v>
      </c>
      <c r="FE4169" s="33">
        <v>2025</v>
      </c>
      <c r="FF4169" s="33" t="s">
        <v>59</v>
      </c>
      <c r="FG4169" s="33" t="s">
        <v>386</v>
      </c>
      <c r="FH4169" s="33" t="s">
        <v>387</v>
      </c>
      <c r="FI4169" s="33" t="s">
        <v>407</v>
      </c>
      <c r="FJ4169" t="s">
        <v>59</v>
      </c>
    </row>
    <row r="4170" spans="153:166" x14ac:dyDescent="0.35">
      <c r="EW4170" t="s">
        <v>4093</v>
      </c>
      <c r="EX4170" s="33" t="s">
        <v>5066</v>
      </c>
      <c r="EY4170" s="33" t="s">
        <v>726</v>
      </c>
      <c r="EZ4170" s="33" t="s">
        <v>727</v>
      </c>
      <c r="FA4170" s="33" t="s">
        <v>343</v>
      </c>
      <c r="FB4170" s="33" t="s">
        <v>344</v>
      </c>
      <c r="FC4170" s="33" t="s">
        <v>345</v>
      </c>
      <c r="FD4170" s="33" t="s">
        <v>346</v>
      </c>
      <c r="FE4170" s="33">
        <v>2025</v>
      </c>
      <c r="FF4170" s="33" t="s">
        <v>59</v>
      </c>
      <c r="FG4170" s="33" t="s">
        <v>477</v>
      </c>
      <c r="FH4170" s="33" t="s">
        <v>478</v>
      </c>
      <c r="FI4170" s="33" t="s">
        <v>479</v>
      </c>
      <c r="FJ4170" t="s">
        <v>59</v>
      </c>
    </row>
    <row r="4171" spans="153:166" x14ac:dyDescent="0.35">
      <c r="EW4171" t="s">
        <v>4093</v>
      </c>
      <c r="EX4171" s="33" t="s">
        <v>5067</v>
      </c>
      <c r="EY4171" s="33" t="s">
        <v>731</v>
      </c>
      <c r="EZ4171" s="33" t="s">
        <v>732</v>
      </c>
      <c r="FA4171" s="33" t="s">
        <v>343</v>
      </c>
      <c r="FB4171" s="33" t="s">
        <v>344</v>
      </c>
      <c r="FC4171" s="33" t="s">
        <v>345</v>
      </c>
      <c r="FD4171" s="33" t="s">
        <v>346</v>
      </c>
      <c r="FE4171" s="33">
        <v>2025</v>
      </c>
      <c r="FF4171" s="33" t="s">
        <v>59</v>
      </c>
      <c r="FG4171" s="33" t="s">
        <v>386</v>
      </c>
      <c r="FH4171" s="33" t="s">
        <v>387</v>
      </c>
      <c r="FI4171" s="33" t="s">
        <v>407</v>
      </c>
      <c r="FJ4171" t="s">
        <v>59</v>
      </c>
    </row>
    <row r="4172" spans="153:166" x14ac:dyDescent="0.35">
      <c r="EW4172" t="s">
        <v>4093</v>
      </c>
      <c r="EX4172" s="33" t="s">
        <v>5068</v>
      </c>
      <c r="EY4172" s="33" t="s">
        <v>733</v>
      </c>
      <c r="EZ4172" s="33" t="s">
        <v>734</v>
      </c>
      <c r="FA4172" s="33" t="s">
        <v>343</v>
      </c>
      <c r="FB4172" s="33" t="s">
        <v>344</v>
      </c>
      <c r="FC4172" s="33" t="s">
        <v>345</v>
      </c>
      <c r="FD4172" s="33" t="s">
        <v>346</v>
      </c>
      <c r="FE4172" s="33">
        <v>2025</v>
      </c>
      <c r="FF4172" s="33" t="s">
        <v>59</v>
      </c>
      <c r="FG4172" s="33" t="s">
        <v>477</v>
      </c>
      <c r="FH4172" s="33" t="s">
        <v>478</v>
      </c>
      <c r="FI4172" s="33" t="s">
        <v>479</v>
      </c>
      <c r="FJ4172" t="s">
        <v>59</v>
      </c>
    </row>
    <row r="4173" spans="153:166" x14ac:dyDescent="0.35">
      <c r="EW4173" t="s">
        <v>4093</v>
      </c>
      <c r="EX4173" s="33" t="s">
        <v>5069</v>
      </c>
      <c r="EY4173" s="33" t="s">
        <v>738</v>
      </c>
      <c r="EZ4173" s="33" t="s">
        <v>739</v>
      </c>
      <c r="FA4173" s="33" t="s">
        <v>343</v>
      </c>
      <c r="FB4173" s="33" t="s">
        <v>344</v>
      </c>
      <c r="FC4173" s="33" t="s">
        <v>345</v>
      </c>
      <c r="FD4173" s="33" t="s">
        <v>346</v>
      </c>
      <c r="FE4173" s="33">
        <v>2025</v>
      </c>
      <c r="FF4173" s="33" t="s">
        <v>59</v>
      </c>
      <c r="FG4173" s="33" t="s">
        <v>386</v>
      </c>
      <c r="FH4173" s="33" t="s">
        <v>387</v>
      </c>
      <c r="FI4173" s="33" t="s">
        <v>407</v>
      </c>
      <c r="FJ4173" t="s">
        <v>59</v>
      </c>
    </row>
    <row r="4174" spans="153:166" x14ac:dyDescent="0.35">
      <c r="EW4174" t="s">
        <v>4093</v>
      </c>
      <c r="EX4174" s="33" t="s">
        <v>5070</v>
      </c>
      <c r="EY4174" s="33" t="s">
        <v>740</v>
      </c>
      <c r="EZ4174" s="33" t="s">
        <v>741</v>
      </c>
      <c r="FA4174" s="33" t="s">
        <v>343</v>
      </c>
      <c r="FB4174" s="33" t="s">
        <v>344</v>
      </c>
      <c r="FC4174" s="33" t="s">
        <v>345</v>
      </c>
      <c r="FD4174" s="33" t="s">
        <v>346</v>
      </c>
      <c r="FE4174" s="33">
        <v>2025</v>
      </c>
      <c r="FF4174" s="33" t="s">
        <v>59</v>
      </c>
      <c r="FG4174" s="33" t="s">
        <v>477</v>
      </c>
      <c r="FH4174" s="33" t="s">
        <v>478</v>
      </c>
      <c r="FI4174" s="33" t="s">
        <v>479</v>
      </c>
      <c r="FJ4174" t="s">
        <v>59</v>
      </c>
    </row>
    <row r="4175" spans="153:166" x14ac:dyDescent="0.35">
      <c r="EW4175" t="s">
        <v>4093</v>
      </c>
      <c r="EX4175" s="33" t="s">
        <v>5071</v>
      </c>
      <c r="EY4175" s="33" t="s">
        <v>742</v>
      </c>
      <c r="EZ4175" s="33" t="s">
        <v>743</v>
      </c>
      <c r="FA4175" s="33" t="s">
        <v>343</v>
      </c>
      <c r="FB4175" s="33" t="s">
        <v>344</v>
      </c>
      <c r="FC4175" s="33" t="s">
        <v>345</v>
      </c>
      <c r="FD4175" s="33" t="s">
        <v>346</v>
      </c>
      <c r="FE4175" s="33">
        <v>2025</v>
      </c>
      <c r="FF4175" s="33" t="s">
        <v>59</v>
      </c>
      <c r="FG4175" s="33" t="s">
        <v>386</v>
      </c>
      <c r="FH4175" s="33" t="s">
        <v>387</v>
      </c>
      <c r="FI4175" s="33" t="s">
        <v>407</v>
      </c>
      <c r="FJ4175" t="s">
        <v>59</v>
      </c>
    </row>
    <row r="4176" spans="153:166" x14ac:dyDescent="0.35">
      <c r="EW4176" t="s">
        <v>4093</v>
      </c>
      <c r="EX4176" s="33" t="s">
        <v>5072</v>
      </c>
      <c r="EY4176" s="33" t="s">
        <v>747</v>
      </c>
      <c r="EZ4176" s="33" t="s">
        <v>748</v>
      </c>
      <c r="FA4176" s="33" t="s">
        <v>343</v>
      </c>
      <c r="FB4176" s="33" t="s">
        <v>344</v>
      </c>
      <c r="FC4176" s="33" t="s">
        <v>345</v>
      </c>
      <c r="FD4176" s="33" t="s">
        <v>346</v>
      </c>
      <c r="FE4176" s="33">
        <v>2025</v>
      </c>
      <c r="FF4176" s="33" t="s">
        <v>59</v>
      </c>
      <c r="FG4176" s="33" t="s">
        <v>477</v>
      </c>
      <c r="FH4176" s="33" t="s">
        <v>478</v>
      </c>
      <c r="FI4176" s="33" t="s">
        <v>479</v>
      </c>
      <c r="FJ4176" t="s">
        <v>59</v>
      </c>
    </row>
    <row r="4177" spans="153:166" x14ac:dyDescent="0.35">
      <c r="EW4177" t="s">
        <v>4093</v>
      </c>
      <c r="EX4177" s="33" t="s">
        <v>5073</v>
      </c>
      <c r="EY4177" s="33" t="s">
        <v>752</v>
      </c>
      <c r="EZ4177" s="33" t="s">
        <v>753</v>
      </c>
      <c r="FA4177" s="33" t="s">
        <v>343</v>
      </c>
      <c r="FB4177" s="33" t="s">
        <v>344</v>
      </c>
      <c r="FC4177" s="33" t="s">
        <v>345</v>
      </c>
      <c r="FD4177" s="33" t="s">
        <v>346</v>
      </c>
      <c r="FE4177" s="33">
        <v>2025</v>
      </c>
      <c r="FF4177" s="33" t="s">
        <v>59</v>
      </c>
      <c r="FG4177" s="33" t="s">
        <v>386</v>
      </c>
      <c r="FH4177" s="33" t="s">
        <v>387</v>
      </c>
      <c r="FI4177" s="33" t="s">
        <v>407</v>
      </c>
      <c r="FJ4177" t="s">
        <v>59</v>
      </c>
    </row>
    <row r="4178" spans="153:166" x14ac:dyDescent="0.35">
      <c r="EW4178" t="s">
        <v>4093</v>
      </c>
      <c r="EX4178" s="33" t="s">
        <v>5074</v>
      </c>
      <c r="EY4178" s="33" t="s">
        <v>754</v>
      </c>
      <c r="EZ4178" s="33" t="s">
        <v>755</v>
      </c>
      <c r="FA4178" s="33" t="s">
        <v>343</v>
      </c>
      <c r="FB4178" s="33" t="s">
        <v>344</v>
      </c>
      <c r="FC4178" s="33" t="s">
        <v>345</v>
      </c>
      <c r="FD4178" s="33" t="s">
        <v>346</v>
      </c>
      <c r="FE4178" s="33">
        <v>2025</v>
      </c>
      <c r="FF4178" s="33" t="s">
        <v>59</v>
      </c>
      <c r="FG4178" s="33" t="s">
        <v>477</v>
      </c>
      <c r="FH4178" s="33" t="s">
        <v>478</v>
      </c>
      <c r="FI4178" s="33" t="s">
        <v>479</v>
      </c>
      <c r="FJ4178" t="s">
        <v>59</v>
      </c>
    </row>
    <row r="4179" spans="153:166" x14ac:dyDescent="0.35">
      <c r="EW4179" t="s">
        <v>4093</v>
      </c>
      <c r="EX4179" s="33" t="s">
        <v>5075</v>
      </c>
      <c r="EY4179" s="33" t="s">
        <v>756</v>
      </c>
      <c r="EZ4179" s="33" t="s">
        <v>757</v>
      </c>
      <c r="FA4179" s="33" t="s">
        <v>343</v>
      </c>
      <c r="FB4179" s="33" t="s">
        <v>344</v>
      </c>
      <c r="FC4179" s="33" t="s">
        <v>345</v>
      </c>
      <c r="FD4179" s="33" t="s">
        <v>346</v>
      </c>
      <c r="FE4179" s="33">
        <v>2025</v>
      </c>
      <c r="FF4179" s="33" t="s">
        <v>59</v>
      </c>
      <c r="FG4179" s="33" t="s">
        <v>477</v>
      </c>
      <c r="FH4179" s="33" t="s">
        <v>478</v>
      </c>
      <c r="FI4179" s="33" t="s">
        <v>479</v>
      </c>
      <c r="FJ4179" t="s">
        <v>59</v>
      </c>
    </row>
    <row r="4180" spans="153:166" x14ac:dyDescent="0.35">
      <c r="EW4180" t="s">
        <v>4093</v>
      </c>
      <c r="EX4180" s="33" t="s">
        <v>5076</v>
      </c>
      <c r="EY4180" s="33" t="s">
        <v>758</v>
      </c>
      <c r="EZ4180" s="33" t="s">
        <v>759</v>
      </c>
      <c r="FA4180" s="33" t="s">
        <v>343</v>
      </c>
      <c r="FB4180" s="33" t="s">
        <v>344</v>
      </c>
      <c r="FC4180" s="33" t="s">
        <v>345</v>
      </c>
      <c r="FD4180" s="33" t="s">
        <v>346</v>
      </c>
      <c r="FE4180" s="33">
        <v>2025</v>
      </c>
      <c r="FF4180" s="33" t="s">
        <v>59</v>
      </c>
      <c r="FG4180" s="33" t="s">
        <v>477</v>
      </c>
      <c r="FH4180" s="33" t="s">
        <v>478</v>
      </c>
      <c r="FI4180" s="33" t="s">
        <v>479</v>
      </c>
      <c r="FJ4180" t="s">
        <v>59</v>
      </c>
    </row>
    <row r="4181" spans="153:166" x14ac:dyDescent="0.35">
      <c r="EW4181" t="s">
        <v>4093</v>
      </c>
      <c r="EX4181" s="33" t="s">
        <v>5077</v>
      </c>
      <c r="EY4181" s="33" t="s">
        <v>760</v>
      </c>
      <c r="EZ4181" s="33" t="s">
        <v>761</v>
      </c>
      <c r="FA4181" s="33" t="s">
        <v>343</v>
      </c>
      <c r="FB4181" s="33" t="s">
        <v>344</v>
      </c>
      <c r="FC4181" s="33" t="s">
        <v>345</v>
      </c>
      <c r="FD4181" s="33" t="s">
        <v>346</v>
      </c>
      <c r="FE4181" s="33">
        <v>2025</v>
      </c>
      <c r="FF4181" s="33" t="s">
        <v>59</v>
      </c>
      <c r="FG4181" s="33" t="s">
        <v>477</v>
      </c>
      <c r="FH4181" s="33" t="s">
        <v>478</v>
      </c>
      <c r="FI4181" s="33" t="s">
        <v>479</v>
      </c>
      <c r="FJ4181" t="s">
        <v>59</v>
      </c>
    </row>
    <row r="4182" spans="153:166" x14ac:dyDescent="0.35">
      <c r="EW4182" t="s">
        <v>4093</v>
      </c>
      <c r="EX4182" s="33" t="s">
        <v>5078</v>
      </c>
      <c r="EY4182" s="33" t="s">
        <v>762</v>
      </c>
      <c r="EZ4182" s="33" t="s">
        <v>763</v>
      </c>
      <c r="FA4182" s="33" t="s">
        <v>343</v>
      </c>
      <c r="FB4182" s="33" t="s">
        <v>344</v>
      </c>
      <c r="FC4182" s="33" t="s">
        <v>345</v>
      </c>
      <c r="FD4182" s="33" t="s">
        <v>346</v>
      </c>
      <c r="FE4182" s="33">
        <v>2025</v>
      </c>
      <c r="FF4182" s="33" t="s">
        <v>59</v>
      </c>
      <c r="FG4182" s="33" t="s">
        <v>477</v>
      </c>
      <c r="FH4182" s="33" t="s">
        <v>478</v>
      </c>
      <c r="FI4182" s="33" t="s">
        <v>479</v>
      </c>
      <c r="FJ4182" t="s">
        <v>59</v>
      </c>
    </row>
    <row r="4183" spans="153:166" x14ac:dyDescent="0.35">
      <c r="EW4183" t="s">
        <v>4093</v>
      </c>
      <c r="EX4183" s="33" t="s">
        <v>5079</v>
      </c>
      <c r="EY4183" s="33" t="s">
        <v>764</v>
      </c>
      <c r="EZ4183" s="33" t="s">
        <v>765</v>
      </c>
      <c r="FA4183" s="33" t="s">
        <v>343</v>
      </c>
      <c r="FB4183" s="33" t="s">
        <v>344</v>
      </c>
      <c r="FC4183" s="33" t="s">
        <v>345</v>
      </c>
      <c r="FD4183" s="33" t="s">
        <v>346</v>
      </c>
      <c r="FE4183" s="33">
        <v>2025</v>
      </c>
      <c r="FF4183" s="33" t="s">
        <v>59</v>
      </c>
      <c r="FG4183" s="33" t="s">
        <v>477</v>
      </c>
      <c r="FH4183" s="33" t="s">
        <v>478</v>
      </c>
      <c r="FI4183" s="33" t="s">
        <v>479</v>
      </c>
      <c r="FJ4183" t="s">
        <v>59</v>
      </c>
    </row>
    <row r="4184" spans="153:166" x14ac:dyDescent="0.35">
      <c r="EW4184" t="s">
        <v>4093</v>
      </c>
      <c r="EX4184" s="33" t="s">
        <v>5080</v>
      </c>
      <c r="EY4184" s="33" t="s">
        <v>766</v>
      </c>
      <c r="EZ4184" s="33" t="s">
        <v>767</v>
      </c>
      <c r="FA4184" s="33" t="s">
        <v>343</v>
      </c>
      <c r="FB4184" s="33" t="s">
        <v>344</v>
      </c>
      <c r="FC4184" s="33" t="s">
        <v>345</v>
      </c>
      <c r="FD4184" s="33" t="s">
        <v>346</v>
      </c>
      <c r="FE4184" s="33">
        <v>2025</v>
      </c>
      <c r="FF4184" s="33" t="s">
        <v>59</v>
      </c>
      <c r="FG4184" s="33" t="s">
        <v>477</v>
      </c>
      <c r="FH4184" s="33" t="s">
        <v>478</v>
      </c>
      <c r="FI4184" s="33" t="s">
        <v>479</v>
      </c>
      <c r="FJ4184" t="s">
        <v>59</v>
      </c>
    </row>
    <row r="4185" spans="153:166" x14ac:dyDescent="0.35">
      <c r="EW4185" t="s">
        <v>4093</v>
      </c>
      <c r="EX4185" s="33" t="s">
        <v>5081</v>
      </c>
      <c r="EY4185" s="33" t="s">
        <v>768</v>
      </c>
      <c r="EZ4185" s="33" t="s">
        <v>769</v>
      </c>
      <c r="FA4185" s="33" t="s">
        <v>343</v>
      </c>
      <c r="FB4185" s="33" t="s">
        <v>344</v>
      </c>
      <c r="FC4185" s="33" t="s">
        <v>345</v>
      </c>
      <c r="FD4185" s="33" t="s">
        <v>346</v>
      </c>
      <c r="FE4185" s="33">
        <v>2025</v>
      </c>
      <c r="FF4185" s="33" t="s">
        <v>59</v>
      </c>
      <c r="FG4185" s="33" t="s">
        <v>470</v>
      </c>
      <c r="FH4185" s="33" t="s">
        <v>471</v>
      </c>
      <c r="FI4185" s="33" t="s">
        <v>467</v>
      </c>
      <c r="FJ4185" t="s">
        <v>59</v>
      </c>
    </row>
    <row r="4186" spans="153:166" x14ac:dyDescent="0.35">
      <c r="EW4186" t="s">
        <v>4093</v>
      </c>
      <c r="EX4186" s="33" t="s">
        <v>5082</v>
      </c>
      <c r="EY4186" s="33" t="s">
        <v>773</v>
      </c>
      <c r="EZ4186" s="33" t="s">
        <v>774</v>
      </c>
      <c r="FA4186" s="33" t="s">
        <v>343</v>
      </c>
      <c r="FB4186" s="33" t="s">
        <v>344</v>
      </c>
      <c r="FC4186" s="33" t="s">
        <v>345</v>
      </c>
      <c r="FD4186" s="33" t="s">
        <v>346</v>
      </c>
      <c r="FE4186" s="33">
        <v>2025</v>
      </c>
      <c r="FF4186" s="33" t="s">
        <v>59</v>
      </c>
      <c r="FG4186" s="33" t="s">
        <v>470</v>
      </c>
      <c r="FH4186" s="33" t="s">
        <v>471</v>
      </c>
      <c r="FI4186" s="33" t="s">
        <v>467</v>
      </c>
      <c r="FJ4186" t="s">
        <v>59</v>
      </c>
    </row>
    <row r="4187" spans="153:166" x14ac:dyDescent="0.35">
      <c r="EW4187" t="s">
        <v>4093</v>
      </c>
      <c r="EX4187" s="33" t="s">
        <v>5083</v>
      </c>
      <c r="EY4187" s="33" t="s">
        <v>778</v>
      </c>
      <c r="EZ4187" s="33" t="s">
        <v>779</v>
      </c>
      <c r="FA4187" s="33" t="s">
        <v>343</v>
      </c>
      <c r="FB4187" s="33" t="s">
        <v>344</v>
      </c>
      <c r="FC4187" s="33" t="s">
        <v>345</v>
      </c>
      <c r="FD4187" s="33" t="s">
        <v>346</v>
      </c>
      <c r="FE4187" s="33">
        <v>2025</v>
      </c>
      <c r="FF4187" s="33" t="s">
        <v>59</v>
      </c>
      <c r="FG4187" s="33" t="s">
        <v>386</v>
      </c>
      <c r="FH4187" s="33" t="s">
        <v>387</v>
      </c>
      <c r="FI4187" s="33" t="s">
        <v>407</v>
      </c>
      <c r="FJ4187" t="s">
        <v>59</v>
      </c>
    </row>
    <row r="4188" spans="153:166" x14ac:dyDescent="0.35">
      <c r="EW4188" t="s">
        <v>4093</v>
      </c>
      <c r="EX4188" s="33" t="s">
        <v>5084</v>
      </c>
      <c r="EY4188" s="33" t="s">
        <v>780</v>
      </c>
      <c r="EZ4188" s="33" t="s">
        <v>781</v>
      </c>
      <c r="FA4188" s="33" t="s">
        <v>343</v>
      </c>
      <c r="FB4188" s="33" t="s">
        <v>344</v>
      </c>
      <c r="FC4188" s="33" t="s">
        <v>345</v>
      </c>
      <c r="FD4188" s="33" t="s">
        <v>346</v>
      </c>
      <c r="FE4188" s="33">
        <v>2025</v>
      </c>
      <c r="FF4188" s="33" t="s">
        <v>59</v>
      </c>
      <c r="FG4188" s="33" t="s">
        <v>386</v>
      </c>
      <c r="FH4188" s="33" t="s">
        <v>387</v>
      </c>
      <c r="FI4188" s="33" t="s">
        <v>407</v>
      </c>
      <c r="FJ4188" t="s">
        <v>59</v>
      </c>
    </row>
    <row r="4189" spans="153:166" x14ac:dyDescent="0.35">
      <c r="EW4189" t="s">
        <v>4093</v>
      </c>
      <c r="EX4189" s="33" t="s">
        <v>5085</v>
      </c>
      <c r="EY4189" s="33" t="s">
        <v>782</v>
      </c>
      <c r="EZ4189" s="33" t="s">
        <v>783</v>
      </c>
      <c r="FA4189" s="33" t="s">
        <v>343</v>
      </c>
      <c r="FB4189" s="33" t="s">
        <v>344</v>
      </c>
      <c r="FC4189" s="33" t="s">
        <v>345</v>
      </c>
      <c r="FD4189" s="33" t="s">
        <v>346</v>
      </c>
      <c r="FE4189" s="33">
        <v>2025</v>
      </c>
      <c r="FF4189" s="33" t="s">
        <v>59</v>
      </c>
      <c r="FG4189" s="33" t="s">
        <v>386</v>
      </c>
      <c r="FH4189" s="33" t="s">
        <v>387</v>
      </c>
      <c r="FI4189" s="33" t="s">
        <v>407</v>
      </c>
      <c r="FJ4189" t="s">
        <v>59</v>
      </c>
    </row>
    <row r="4190" spans="153:166" x14ac:dyDescent="0.35">
      <c r="EW4190" t="s">
        <v>4093</v>
      </c>
      <c r="EX4190" s="33" t="s">
        <v>5086</v>
      </c>
      <c r="EY4190" s="33" t="s">
        <v>787</v>
      </c>
      <c r="EZ4190" s="33" t="s">
        <v>788</v>
      </c>
      <c r="FA4190" s="33" t="s">
        <v>343</v>
      </c>
      <c r="FB4190" s="33" t="s">
        <v>344</v>
      </c>
      <c r="FC4190" s="33" t="s">
        <v>345</v>
      </c>
      <c r="FD4190" s="33" t="s">
        <v>346</v>
      </c>
      <c r="FE4190" s="33">
        <v>2025</v>
      </c>
      <c r="FF4190" s="33" t="s">
        <v>59</v>
      </c>
      <c r="FG4190" s="33" t="s">
        <v>386</v>
      </c>
      <c r="FH4190" s="33" t="s">
        <v>387</v>
      </c>
      <c r="FI4190" s="33" t="s">
        <v>407</v>
      </c>
      <c r="FJ4190" t="s">
        <v>59</v>
      </c>
    </row>
    <row r="4191" spans="153:166" x14ac:dyDescent="0.35">
      <c r="EW4191" t="s">
        <v>4093</v>
      </c>
      <c r="EX4191" s="33" t="s">
        <v>5087</v>
      </c>
      <c r="EY4191" s="33" t="s">
        <v>789</v>
      </c>
      <c r="EZ4191" s="33" t="s">
        <v>790</v>
      </c>
      <c r="FA4191" s="33" t="s">
        <v>343</v>
      </c>
      <c r="FB4191" s="33" t="s">
        <v>344</v>
      </c>
      <c r="FC4191" s="33" t="s">
        <v>345</v>
      </c>
      <c r="FD4191" s="33" t="s">
        <v>346</v>
      </c>
      <c r="FE4191" s="33">
        <v>2025</v>
      </c>
      <c r="FF4191" s="33" t="s">
        <v>59</v>
      </c>
      <c r="FG4191" s="33" t="s">
        <v>477</v>
      </c>
      <c r="FH4191" s="33" t="s">
        <v>478</v>
      </c>
      <c r="FI4191" s="33" t="s">
        <v>479</v>
      </c>
      <c r="FJ4191" t="s">
        <v>59</v>
      </c>
    </row>
    <row r="4192" spans="153:166" x14ac:dyDescent="0.35">
      <c r="EW4192" t="s">
        <v>4093</v>
      </c>
      <c r="EX4192" s="33" t="s">
        <v>5088</v>
      </c>
      <c r="EY4192" s="33" t="s">
        <v>791</v>
      </c>
      <c r="EZ4192" s="33" t="s">
        <v>792</v>
      </c>
      <c r="FA4192" s="33" t="s">
        <v>343</v>
      </c>
      <c r="FB4192" s="33" t="s">
        <v>344</v>
      </c>
      <c r="FC4192" s="33" t="s">
        <v>345</v>
      </c>
      <c r="FD4192" s="33" t="s">
        <v>346</v>
      </c>
      <c r="FE4192" s="33">
        <v>2025</v>
      </c>
      <c r="FF4192" s="33" t="s">
        <v>59</v>
      </c>
      <c r="FG4192" s="33" t="s">
        <v>386</v>
      </c>
      <c r="FH4192" s="33" t="s">
        <v>387</v>
      </c>
      <c r="FI4192" s="33" t="s">
        <v>407</v>
      </c>
      <c r="FJ4192" t="s">
        <v>59</v>
      </c>
    </row>
    <row r="4193" spans="153:166" x14ac:dyDescent="0.35">
      <c r="EW4193" t="s">
        <v>4093</v>
      </c>
      <c r="EX4193" s="33" t="s">
        <v>5089</v>
      </c>
      <c r="EY4193" s="33" t="s">
        <v>793</v>
      </c>
      <c r="EZ4193" s="33" t="s">
        <v>794</v>
      </c>
      <c r="FA4193" s="33" t="s">
        <v>343</v>
      </c>
      <c r="FB4193" s="33" t="s">
        <v>344</v>
      </c>
      <c r="FC4193" s="33" t="s">
        <v>345</v>
      </c>
      <c r="FD4193" s="33" t="s">
        <v>346</v>
      </c>
      <c r="FE4193" s="33">
        <v>2025</v>
      </c>
      <c r="FF4193" s="33" t="s">
        <v>59</v>
      </c>
      <c r="FG4193" s="33" t="s">
        <v>386</v>
      </c>
      <c r="FH4193" s="33" t="s">
        <v>387</v>
      </c>
      <c r="FI4193" s="33" t="s">
        <v>407</v>
      </c>
      <c r="FJ4193" t="s">
        <v>59</v>
      </c>
    </row>
    <row r="4194" spans="153:166" x14ac:dyDescent="0.35">
      <c r="EW4194" t="s">
        <v>4093</v>
      </c>
      <c r="EX4194" s="33" t="s">
        <v>5090</v>
      </c>
      <c r="EY4194" s="33" t="s">
        <v>798</v>
      </c>
      <c r="EZ4194" s="33" t="s">
        <v>799</v>
      </c>
      <c r="FA4194" s="33" t="s">
        <v>343</v>
      </c>
      <c r="FB4194" s="33" t="s">
        <v>344</v>
      </c>
      <c r="FC4194" s="33" t="s">
        <v>345</v>
      </c>
      <c r="FD4194" s="33" t="s">
        <v>346</v>
      </c>
      <c r="FE4194" s="33">
        <v>2025</v>
      </c>
      <c r="FF4194" s="33" t="s">
        <v>59</v>
      </c>
      <c r="FG4194" s="33" t="s">
        <v>386</v>
      </c>
      <c r="FH4194" s="33" t="s">
        <v>387</v>
      </c>
      <c r="FI4194" s="33" t="s">
        <v>407</v>
      </c>
      <c r="FJ4194" t="s">
        <v>59</v>
      </c>
    </row>
    <row r="4195" spans="153:166" x14ac:dyDescent="0.35">
      <c r="EW4195" t="s">
        <v>4093</v>
      </c>
      <c r="EX4195" s="33" t="s">
        <v>5091</v>
      </c>
      <c r="EY4195" s="33" t="s">
        <v>800</v>
      </c>
      <c r="EZ4195" s="33" t="s">
        <v>801</v>
      </c>
      <c r="FA4195" s="33" t="s">
        <v>343</v>
      </c>
      <c r="FB4195" s="33" t="s">
        <v>344</v>
      </c>
      <c r="FC4195" s="33" t="s">
        <v>345</v>
      </c>
      <c r="FD4195" s="33" t="s">
        <v>346</v>
      </c>
      <c r="FE4195" s="33">
        <v>2025</v>
      </c>
      <c r="FF4195" s="33" t="s">
        <v>59</v>
      </c>
      <c r="FG4195" s="33" t="s">
        <v>477</v>
      </c>
      <c r="FH4195" s="33" t="s">
        <v>478</v>
      </c>
      <c r="FI4195" s="33" t="s">
        <v>479</v>
      </c>
      <c r="FJ4195" t="s">
        <v>59</v>
      </c>
    </row>
    <row r="4196" spans="153:166" x14ac:dyDescent="0.35">
      <c r="EW4196" t="s">
        <v>4093</v>
      </c>
      <c r="EX4196" s="33" t="s">
        <v>5092</v>
      </c>
      <c r="EY4196" s="33" t="s">
        <v>802</v>
      </c>
      <c r="EZ4196" s="33" t="s">
        <v>803</v>
      </c>
      <c r="FA4196" s="33" t="s">
        <v>343</v>
      </c>
      <c r="FB4196" s="33" t="s">
        <v>344</v>
      </c>
      <c r="FC4196" s="33" t="s">
        <v>345</v>
      </c>
      <c r="FD4196" s="33" t="s">
        <v>346</v>
      </c>
      <c r="FE4196" s="33">
        <v>2025</v>
      </c>
      <c r="FF4196" s="33" t="s">
        <v>59</v>
      </c>
      <c r="FG4196" s="33" t="s">
        <v>477</v>
      </c>
      <c r="FH4196" s="33" t="s">
        <v>478</v>
      </c>
      <c r="FI4196" s="33" t="s">
        <v>479</v>
      </c>
      <c r="FJ4196" t="s">
        <v>59</v>
      </c>
    </row>
    <row r="4197" spans="153:166" x14ac:dyDescent="0.35">
      <c r="EW4197" t="s">
        <v>4093</v>
      </c>
      <c r="EX4197" s="33" t="s">
        <v>5093</v>
      </c>
      <c r="EY4197" s="33" t="s">
        <v>804</v>
      </c>
      <c r="EZ4197" s="33" t="s">
        <v>805</v>
      </c>
      <c r="FA4197" s="33" t="s">
        <v>343</v>
      </c>
      <c r="FB4197" s="33" t="s">
        <v>344</v>
      </c>
      <c r="FC4197" s="33" t="s">
        <v>345</v>
      </c>
      <c r="FD4197" s="33" t="s">
        <v>346</v>
      </c>
      <c r="FE4197" s="33">
        <v>2025</v>
      </c>
      <c r="FF4197" s="33" t="s">
        <v>59</v>
      </c>
      <c r="FG4197" s="33" t="s">
        <v>477</v>
      </c>
      <c r="FH4197" s="33" t="s">
        <v>478</v>
      </c>
      <c r="FI4197" s="33" t="s">
        <v>479</v>
      </c>
      <c r="FJ4197" t="s">
        <v>59</v>
      </c>
    </row>
    <row r="4198" spans="153:166" x14ac:dyDescent="0.35">
      <c r="EW4198" t="s">
        <v>4093</v>
      </c>
      <c r="EX4198" s="33" t="s">
        <v>5094</v>
      </c>
      <c r="EY4198" s="33" t="s">
        <v>806</v>
      </c>
      <c r="EZ4198" s="33" t="s">
        <v>807</v>
      </c>
      <c r="FA4198" s="33" t="s">
        <v>343</v>
      </c>
      <c r="FB4198" s="33" t="s">
        <v>344</v>
      </c>
      <c r="FC4198" s="33" t="s">
        <v>345</v>
      </c>
      <c r="FD4198" s="33" t="s">
        <v>346</v>
      </c>
      <c r="FE4198" s="33">
        <v>2025</v>
      </c>
      <c r="FF4198" s="33" t="s">
        <v>59</v>
      </c>
      <c r="FG4198" s="33" t="s">
        <v>386</v>
      </c>
      <c r="FH4198" s="33" t="s">
        <v>387</v>
      </c>
      <c r="FI4198" s="33" t="s">
        <v>407</v>
      </c>
      <c r="FJ4198" t="s">
        <v>59</v>
      </c>
    </row>
    <row r="4199" spans="153:166" x14ac:dyDescent="0.35">
      <c r="EW4199" t="s">
        <v>4093</v>
      </c>
      <c r="EX4199" s="33" t="s">
        <v>5095</v>
      </c>
      <c r="EY4199" s="33" t="s">
        <v>811</v>
      </c>
      <c r="EZ4199" s="33" t="s">
        <v>812</v>
      </c>
      <c r="FA4199" s="33" t="s">
        <v>343</v>
      </c>
      <c r="FB4199" s="33" t="s">
        <v>344</v>
      </c>
      <c r="FC4199" s="33" t="s">
        <v>345</v>
      </c>
      <c r="FD4199" s="33" t="s">
        <v>346</v>
      </c>
      <c r="FE4199" s="33">
        <v>2025</v>
      </c>
      <c r="FF4199" s="33" t="s">
        <v>59</v>
      </c>
      <c r="FG4199" s="33" t="s">
        <v>386</v>
      </c>
      <c r="FH4199" s="33" t="s">
        <v>387</v>
      </c>
      <c r="FI4199" s="33" t="s">
        <v>407</v>
      </c>
      <c r="FJ4199" t="s">
        <v>59</v>
      </c>
    </row>
    <row r="4200" spans="153:166" x14ac:dyDescent="0.35">
      <c r="EW4200" t="s">
        <v>4093</v>
      </c>
      <c r="EX4200" s="33" t="s">
        <v>5096</v>
      </c>
      <c r="EY4200" s="33" t="s">
        <v>813</v>
      </c>
      <c r="EZ4200" s="33" t="s">
        <v>814</v>
      </c>
      <c r="FA4200" s="33" t="s">
        <v>343</v>
      </c>
      <c r="FB4200" s="33" t="s">
        <v>344</v>
      </c>
      <c r="FC4200" s="33" t="s">
        <v>345</v>
      </c>
      <c r="FD4200" s="33" t="s">
        <v>346</v>
      </c>
      <c r="FE4200" s="33">
        <v>2025</v>
      </c>
      <c r="FF4200" s="33" t="s">
        <v>59</v>
      </c>
      <c r="FG4200" s="33" t="s">
        <v>477</v>
      </c>
      <c r="FH4200" s="33" t="s">
        <v>478</v>
      </c>
      <c r="FI4200" s="33" t="s">
        <v>479</v>
      </c>
      <c r="FJ4200" t="s">
        <v>59</v>
      </c>
    </row>
    <row r="4201" spans="153:166" x14ac:dyDescent="0.35">
      <c r="EW4201" t="s">
        <v>4093</v>
      </c>
      <c r="EX4201" s="33" t="s">
        <v>5097</v>
      </c>
      <c r="EY4201" s="33" t="s">
        <v>815</v>
      </c>
      <c r="EZ4201" s="33" t="s">
        <v>816</v>
      </c>
      <c r="FA4201" s="33" t="s">
        <v>343</v>
      </c>
      <c r="FB4201" s="33" t="s">
        <v>344</v>
      </c>
      <c r="FC4201" s="33" t="s">
        <v>345</v>
      </c>
      <c r="FD4201" s="33" t="s">
        <v>346</v>
      </c>
      <c r="FE4201" s="33">
        <v>2025</v>
      </c>
      <c r="FF4201" s="33" t="s">
        <v>59</v>
      </c>
      <c r="FG4201" s="33" t="s">
        <v>477</v>
      </c>
      <c r="FH4201" s="33" t="s">
        <v>478</v>
      </c>
      <c r="FI4201" s="33" t="s">
        <v>479</v>
      </c>
      <c r="FJ4201" t="s">
        <v>59</v>
      </c>
    </row>
    <row r="4202" spans="153:166" x14ac:dyDescent="0.35">
      <c r="EW4202" t="s">
        <v>4093</v>
      </c>
      <c r="EX4202" s="33" t="s">
        <v>5098</v>
      </c>
      <c r="EY4202" s="33" t="s">
        <v>820</v>
      </c>
      <c r="EZ4202" s="33" t="s">
        <v>821</v>
      </c>
      <c r="FA4202" s="33" t="s">
        <v>343</v>
      </c>
      <c r="FB4202" s="33" t="s">
        <v>344</v>
      </c>
      <c r="FC4202" s="33" t="s">
        <v>345</v>
      </c>
      <c r="FD4202" s="33" t="s">
        <v>346</v>
      </c>
      <c r="FE4202" s="33">
        <v>2025</v>
      </c>
      <c r="FF4202" s="33" t="s">
        <v>59</v>
      </c>
      <c r="FG4202" s="33" t="s">
        <v>386</v>
      </c>
      <c r="FH4202" s="33" t="s">
        <v>387</v>
      </c>
      <c r="FI4202" s="33" t="s">
        <v>407</v>
      </c>
      <c r="FJ4202" t="s">
        <v>59</v>
      </c>
    </row>
    <row r="4203" spans="153:166" x14ac:dyDescent="0.35">
      <c r="EW4203" t="s">
        <v>4093</v>
      </c>
      <c r="EX4203" s="33" t="s">
        <v>5099</v>
      </c>
      <c r="EY4203" s="33" t="s">
        <v>822</v>
      </c>
      <c r="EZ4203" s="33" t="s">
        <v>823</v>
      </c>
      <c r="FA4203" s="33" t="s">
        <v>343</v>
      </c>
      <c r="FB4203" s="33" t="s">
        <v>344</v>
      </c>
      <c r="FC4203" s="33" t="s">
        <v>345</v>
      </c>
      <c r="FD4203" s="33" t="s">
        <v>346</v>
      </c>
      <c r="FE4203" s="33">
        <v>2025</v>
      </c>
      <c r="FF4203" s="33" t="s">
        <v>59</v>
      </c>
      <c r="FG4203" s="33" t="s">
        <v>386</v>
      </c>
      <c r="FH4203" s="33" t="s">
        <v>387</v>
      </c>
      <c r="FI4203" s="33" t="s">
        <v>407</v>
      </c>
      <c r="FJ4203" t="s">
        <v>59</v>
      </c>
    </row>
    <row r="4204" spans="153:166" x14ac:dyDescent="0.35">
      <c r="EW4204" t="s">
        <v>4093</v>
      </c>
      <c r="EX4204" s="33" t="s">
        <v>5100</v>
      </c>
      <c r="EY4204" s="33" t="s">
        <v>824</v>
      </c>
      <c r="EZ4204" s="33" t="s">
        <v>825</v>
      </c>
      <c r="FA4204" s="33" t="s">
        <v>343</v>
      </c>
      <c r="FB4204" s="33" t="s">
        <v>344</v>
      </c>
      <c r="FC4204" s="33" t="s">
        <v>345</v>
      </c>
      <c r="FD4204" s="33" t="s">
        <v>346</v>
      </c>
      <c r="FE4204" s="33">
        <v>2025</v>
      </c>
      <c r="FF4204" s="33" t="s">
        <v>59</v>
      </c>
      <c r="FG4204" s="33" t="s">
        <v>477</v>
      </c>
      <c r="FH4204" s="33" t="s">
        <v>478</v>
      </c>
      <c r="FI4204" s="33" t="s">
        <v>479</v>
      </c>
      <c r="FJ4204" t="s">
        <v>59</v>
      </c>
    </row>
    <row r="4205" spans="153:166" x14ac:dyDescent="0.35">
      <c r="EW4205" t="s">
        <v>4093</v>
      </c>
      <c r="EX4205" s="33" t="s">
        <v>5101</v>
      </c>
      <c r="EY4205" s="33" t="s">
        <v>826</v>
      </c>
      <c r="EZ4205" s="33" t="s">
        <v>827</v>
      </c>
      <c r="FA4205" s="33" t="s">
        <v>343</v>
      </c>
      <c r="FB4205" s="33" t="s">
        <v>344</v>
      </c>
      <c r="FC4205" s="33" t="s">
        <v>345</v>
      </c>
      <c r="FD4205" s="33" t="s">
        <v>346</v>
      </c>
      <c r="FE4205" s="33">
        <v>2025</v>
      </c>
      <c r="FF4205" s="33" t="s">
        <v>59</v>
      </c>
      <c r="FG4205" s="33" t="s">
        <v>477</v>
      </c>
      <c r="FH4205" s="33" t="s">
        <v>478</v>
      </c>
      <c r="FI4205" s="33" t="s">
        <v>479</v>
      </c>
      <c r="FJ4205" t="s">
        <v>59</v>
      </c>
    </row>
    <row r="4206" spans="153:166" x14ac:dyDescent="0.35">
      <c r="EW4206" t="s">
        <v>4093</v>
      </c>
      <c r="EX4206" s="33" t="s">
        <v>5102</v>
      </c>
      <c r="EY4206" s="33" t="s">
        <v>828</v>
      </c>
      <c r="EZ4206" s="33" t="s">
        <v>829</v>
      </c>
      <c r="FA4206" s="33" t="s">
        <v>343</v>
      </c>
      <c r="FB4206" s="33" t="s">
        <v>344</v>
      </c>
      <c r="FC4206" s="33" t="s">
        <v>345</v>
      </c>
      <c r="FD4206" s="33" t="s">
        <v>346</v>
      </c>
      <c r="FE4206" s="33">
        <v>2025</v>
      </c>
      <c r="FF4206" s="33" t="s">
        <v>59</v>
      </c>
      <c r="FG4206" s="33" t="s">
        <v>477</v>
      </c>
      <c r="FH4206" s="33" t="s">
        <v>478</v>
      </c>
      <c r="FI4206" s="33" t="s">
        <v>479</v>
      </c>
      <c r="FJ4206" t="s">
        <v>59</v>
      </c>
    </row>
    <row r="4207" spans="153:166" x14ac:dyDescent="0.35">
      <c r="EW4207" t="s">
        <v>4093</v>
      </c>
      <c r="EX4207" s="33" t="s">
        <v>5103</v>
      </c>
      <c r="EY4207" s="33" t="s">
        <v>830</v>
      </c>
      <c r="EZ4207" s="33" t="s">
        <v>831</v>
      </c>
      <c r="FA4207" s="33" t="s">
        <v>343</v>
      </c>
      <c r="FB4207" s="33" t="s">
        <v>344</v>
      </c>
      <c r="FC4207" s="33" t="s">
        <v>345</v>
      </c>
      <c r="FD4207" s="33" t="s">
        <v>346</v>
      </c>
      <c r="FE4207" s="33">
        <v>2025</v>
      </c>
      <c r="FF4207" s="33" t="s">
        <v>59</v>
      </c>
      <c r="FG4207" s="33" t="s">
        <v>477</v>
      </c>
      <c r="FH4207" s="33" t="s">
        <v>478</v>
      </c>
      <c r="FI4207" s="33" t="s">
        <v>479</v>
      </c>
      <c r="FJ4207" t="s">
        <v>59</v>
      </c>
    </row>
    <row r="4208" spans="153:166" x14ac:dyDescent="0.35">
      <c r="EW4208" t="s">
        <v>4093</v>
      </c>
      <c r="EX4208" s="33" t="s">
        <v>5104</v>
      </c>
      <c r="EY4208" s="33" t="s">
        <v>832</v>
      </c>
      <c r="EZ4208" s="33" t="s">
        <v>833</v>
      </c>
      <c r="FA4208" s="33" t="s">
        <v>343</v>
      </c>
      <c r="FB4208" s="33" t="s">
        <v>344</v>
      </c>
      <c r="FC4208" s="33" t="s">
        <v>345</v>
      </c>
      <c r="FD4208" s="33" t="s">
        <v>346</v>
      </c>
      <c r="FE4208" s="33">
        <v>2025</v>
      </c>
      <c r="FF4208" s="33" t="s">
        <v>59</v>
      </c>
      <c r="FG4208" s="33" t="s">
        <v>386</v>
      </c>
      <c r="FH4208" s="33" t="s">
        <v>387</v>
      </c>
      <c r="FI4208" s="33" t="s">
        <v>407</v>
      </c>
      <c r="FJ4208" t="s">
        <v>59</v>
      </c>
    </row>
    <row r="4209" spans="153:166" x14ac:dyDescent="0.35">
      <c r="EW4209" t="s">
        <v>4093</v>
      </c>
      <c r="EX4209" s="33" t="s">
        <v>5105</v>
      </c>
      <c r="EY4209" s="33" t="s">
        <v>837</v>
      </c>
      <c r="EZ4209" s="33" t="s">
        <v>838</v>
      </c>
      <c r="FA4209" s="33" t="s">
        <v>343</v>
      </c>
      <c r="FB4209" s="33" t="s">
        <v>344</v>
      </c>
      <c r="FC4209" s="33" t="s">
        <v>345</v>
      </c>
      <c r="FD4209" s="33" t="s">
        <v>346</v>
      </c>
      <c r="FE4209" s="33">
        <v>2025</v>
      </c>
      <c r="FF4209" s="33" t="s">
        <v>59</v>
      </c>
      <c r="FG4209" s="33" t="s">
        <v>477</v>
      </c>
      <c r="FH4209" s="33" t="s">
        <v>478</v>
      </c>
      <c r="FI4209" s="33" t="s">
        <v>479</v>
      </c>
      <c r="FJ4209" t="s">
        <v>59</v>
      </c>
    </row>
    <row r="4210" spans="153:166" x14ac:dyDescent="0.35">
      <c r="EW4210" t="s">
        <v>4093</v>
      </c>
      <c r="EX4210" s="33" t="s">
        <v>5106</v>
      </c>
      <c r="EY4210" s="33" t="s">
        <v>839</v>
      </c>
      <c r="EZ4210" s="33" t="s">
        <v>840</v>
      </c>
      <c r="FA4210" s="33" t="s">
        <v>343</v>
      </c>
      <c r="FB4210" s="33" t="s">
        <v>344</v>
      </c>
      <c r="FC4210" s="33" t="s">
        <v>345</v>
      </c>
      <c r="FD4210" s="33" t="s">
        <v>346</v>
      </c>
      <c r="FE4210" s="33">
        <v>2025</v>
      </c>
      <c r="FF4210" s="33" t="s">
        <v>59</v>
      </c>
      <c r="FG4210" s="33" t="s">
        <v>477</v>
      </c>
      <c r="FH4210" s="33" t="s">
        <v>478</v>
      </c>
      <c r="FI4210" s="33" t="s">
        <v>479</v>
      </c>
      <c r="FJ4210" t="s">
        <v>59</v>
      </c>
    </row>
    <row r="4211" spans="153:166" x14ac:dyDescent="0.35">
      <c r="EW4211" t="s">
        <v>4093</v>
      </c>
      <c r="EX4211" s="33" t="s">
        <v>5107</v>
      </c>
      <c r="EY4211" s="33" t="s">
        <v>844</v>
      </c>
      <c r="EZ4211" s="33" t="s">
        <v>845</v>
      </c>
      <c r="FA4211" s="33" t="s">
        <v>343</v>
      </c>
      <c r="FB4211" s="33" t="s">
        <v>344</v>
      </c>
      <c r="FC4211" s="33" t="s">
        <v>345</v>
      </c>
      <c r="FD4211" s="33" t="s">
        <v>346</v>
      </c>
      <c r="FE4211" s="33">
        <v>2025</v>
      </c>
      <c r="FF4211" s="33" t="s">
        <v>59</v>
      </c>
      <c r="FG4211" s="33" t="s">
        <v>477</v>
      </c>
      <c r="FH4211" s="33" t="s">
        <v>478</v>
      </c>
      <c r="FI4211" s="33" t="s">
        <v>479</v>
      </c>
      <c r="FJ4211" t="s">
        <v>59</v>
      </c>
    </row>
    <row r="4212" spans="153:166" x14ac:dyDescent="0.35">
      <c r="EW4212" t="s">
        <v>4093</v>
      </c>
      <c r="EX4212" s="33" t="s">
        <v>5108</v>
      </c>
      <c r="EY4212" s="33" t="s">
        <v>849</v>
      </c>
      <c r="EZ4212" s="33" t="s">
        <v>850</v>
      </c>
      <c r="FA4212" s="33" t="s">
        <v>343</v>
      </c>
      <c r="FB4212" s="33" t="s">
        <v>344</v>
      </c>
      <c r="FC4212" s="33" t="s">
        <v>345</v>
      </c>
      <c r="FD4212" s="33" t="s">
        <v>346</v>
      </c>
      <c r="FE4212" s="33">
        <v>2025</v>
      </c>
      <c r="FF4212" s="33" t="s">
        <v>59</v>
      </c>
      <c r="FG4212" s="33" t="s">
        <v>470</v>
      </c>
      <c r="FH4212" s="33" t="s">
        <v>471</v>
      </c>
      <c r="FI4212" s="33" t="s">
        <v>467</v>
      </c>
      <c r="FJ4212" t="s">
        <v>59</v>
      </c>
    </row>
    <row r="4213" spans="153:166" x14ac:dyDescent="0.35">
      <c r="EW4213" t="s">
        <v>4093</v>
      </c>
      <c r="EX4213" s="33" t="s">
        <v>5109</v>
      </c>
      <c r="EY4213" s="33" t="s">
        <v>851</v>
      </c>
      <c r="EZ4213" s="33" t="s">
        <v>852</v>
      </c>
      <c r="FA4213" s="33" t="s">
        <v>343</v>
      </c>
      <c r="FB4213" s="33" t="s">
        <v>344</v>
      </c>
      <c r="FC4213" s="33" t="s">
        <v>345</v>
      </c>
      <c r="FD4213" s="33" t="s">
        <v>346</v>
      </c>
      <c r="FE4213" s="33">
        <v>2025</v>
      </c>
      <c r="FF4213" s="33" t="s">
        <v>59</v>
      </c>
      <c r="FG4213" s="33" t="s">
        <v>470</v>
      </c>
      <c r="FH4213" s="33" t="s">
        <v>471</v>
      </c>
      <c r="FI4213" s="33" t="s">
        <v>467</v>
      </c>
      <c r="FJ4213" t="s">
        <v>59</v>
      </c>
    </row>
    <row r="4214" spans="153:166" x14ac:dyDescent="0.35">
      <c r="EW4214" t="s">
        <v>4093</v>
      </c>
      <c r="EX4214" s="33" t="s">
        <v>5110</v>
      </c>
      <c r="EY4214" s="33" t="s">
        <v>853</v>
      </c>
      <c r="EZ4214" s="33" t="s">
        <v>854</v>
      </c>
      <c r="FA4214" s="33" t="s">
        <v>343</v>
      </c>
      <c r="FB4214" s="33" t="s">
        <v>344</v>
      </c>
      <c r="FC4214" s="33" t="s">
        <v>345</v>
      </c>
      <c r="FD4214" s="33" t="s">
        <v>346</v>
      </c>
      <c r="FE4214" s="33">
        <v>2025</v>
      </c>
      <c r="FF4214" s="33" t="s">
        <v>59</v>
      </c>
      <c r="FG4214" s="33" t="s">
        <v>477</v>
      </c>
      <c r="FH4214" s="33" t="s">
        <v>478</v>
      </c>
      <c r="FI4214" s="33" t="s">
        <v>479</v>
      </c>
      <c r="FJ4214" t="s">
        <v>59</v>
      </c>
    </row>
    <row r="4215" spans="153:166" x14ac:dyDescent="0.35">
      <c r="EW4215" t="s">
        <v>4093</v>
      </c>
      <c r="EX4215" s="33" t="s">
        <v>5111</v>
      </c>
      <c r="EY4215" s="33" t="s">
        <v>858</v>
      </c>
      <c r="EZ4215" s="33" t="s">
        <v>859</v>
      </c>
      <c r="FA4215" s="33" t="s">
        <v>343</v>
      </c>
      <c r="FB4215" s="33" t="s">
        <v>344</v>
      </c>
      <c r="FC4215" s="33" t="s">
        <v>345</v>
      </c>
      <c r="FD4215" s="33" t="s">
        <v>346</v>
      </c>
      <c r="FE4215" s="33">
        <v>2025</v>
      </c>
      <c r="FF4215" s="33" t="s">
        <v>59</v>
      </c>
      <c r="FG4215" s="33" t="s">
        <v>477</v>
      </c>
      <c r="FH4215" s="33" t="s">
        <v>478</v>
      </c>
      <c r="FI4215" s="33" t="s">
        <v>479</v>
      </c>
      <c r="FJ4215" t="s">
        <v>59</v>
      </c>
    </row>
    <row r="4216" spans="153:166" x14ac:dyDescent="0.35">
      <c r="EW4216" t="s">
        <v>4093</v>
      </c>
      <c r="EX4216" s="33" t="s">
        <v>5112</v>
      </c>
      <c r="EY4216" s="33" t="s">
        <v>860</v>
      </c>
      <c r="EZ4216" s="33" t="s">
        <v>861</v>
      </c>
      <c r="FA4216" s="33" t="s">
        <v>343</v>
      </c>
      <c r="FB4216" s="33" t="s">
        <v>344</v>
      </c>
      <c r="FC4216" s="33" t="s">
        <v>345</v>
      </c>
      <c r="FD4216" s="33" t="s">
        <v>346</v>
      </c>
      <c r="FE4216" s="33">
        <v>2025</v>
      </c>
      <c r="FF4216" s="33" t="s">
        <v>59</v>
      </c>
      <c r="FG4216" s="33" t="s">
        <v>477</v>
      </c>
      <c r="FH4216" s="33" t="s">
        <v>478</v>
      </c>
      <c r="FI4216" s="33" t="s">
        <v>479</v>
      </c>
      <c r="FJ4216" t="s">
        <v>59</v>
      </c>
    </row>
    <row r="4217" spans="153:166" x14ac:dyDescent="0.35">
      <c r="EW4217" t="s">
        <v>4093</v>
      </c>
      <c r="EX4217" s="33" t="s">
        <v>5113</v>
      </c>
      <c r="EY4217" s="33" t="s">
        <v>862</v>
      </c>
      <c r="EZ4217" s="33" t="s">
        <v>863</v>
      </c>
      <c r="FA4217" s="33" t="s">
        <v>343</v>
      </c>
      <c r="FB4217" s="33" t="s">
        <v>344</v>
      </c>
      <c r="FC4217" s="33" t="s">
        <v>345</v>
      </c>
      <c r="FD4217" s="33" t="s">
        <v>346</v>
      </c>
      <c r="FE4217" s="33">
        <v>2025</v>
      </c>
      <c r="FF4217" s="33" t="s">
        <v>59</v>
      </c>
      <c r="FG4217" s="33" t="s">
        <v>477</v>
      </c>
      <c r="FH4217" s="33" t="s">
        <v>478</v>
      </c>
      <c r="FI4217" s="33" t="s">
        <v>479</v>
      </c>
      <c r="FJ4217" t="s">
        <v>59</v>
      </c>
    </row>
    <row r="4218" spans="153:166" x14ac:dyDescent="0.35">
      <c r="EW4218" t="s">
        <v>4093</v>
      </c>
      <c r="EX4218" s="33" t="s">
        <v>5114</v>
      </c>
      <c r="EY4218" s="33" t="s">
        <v>864</v>
      </c>
      <c r="EZ4218" s="33" t="s">
        <v>865</v>
      </c>
      <c r="FA4218" s="33" t="s">
        <v>343</v>
      </c>
      <c r="FB4218" s="33" t="s">
        <v>344</v>
      </c>
      <c r="FC4218" s="33" t="s">
        <v>345</v>
      </c>
      <c r="FD4218" s="33" t="s">
        <v>346</v>
      </c>
      <c r="FE4218" s="33">
        <v>2025</v>
      </c>
      <c r="FF4218" s="33" t="s">
        <v>59</v>
      </c>
      <c r="FG4218" s="33" t="s">
        <v>477</v>
      </c>
      <c r="FH4218" s="33" t="s">
        <v>478</v>
      </c>
      <c r="FI4218" s="33" t="s">
        <v>479</v>
      </c>
      <c r="FJ4218" t="s">
        <v>59</v>
      </c>
    </row>
    <row r="4219" spans="153:166" x14ac:dyDescent="0.35">
      <c r="EW4219" t="s">
        <v>4093</v>
      </c>
      <c r="EX4219" s="33" t="s">
        <v>5115</v>
      </c>
      <c r="EY4219" s="33" t="s">
        <v>866</v>
      </c>
      <c r="EZ4219" s="33" t="s">
        <v>867</v>
      </c>
      <c r="FA4219" s="33" t="s">
        <v>343</v>
      </c>
      <c r="FB4219" s="33" t="s">
        <v>344</v>
      </c>
      <c r="FC4219" s="33" t="s">
        <v>345</v>
      </c>
      <c r="FD4219" s="33" t="s">
        <v>346</v>
      </c>
      <c r="FE4219" s="33">
        <v>2025</v>
      </c>
      <c r="FF4219" s="33" t="s">
        <v>59</v>
      </c>
      <c r="FG4219" s="33" t="s">
        <v>470</v>
      </c>
      <c r="FH4219" s="33" t="s">
        <v>471</v>
      </c>
      <c r="FI4219" s="33" t="s">
        <v>467</v>
      </c>
      <c r="FJ4219" t="s">
        <v>59</v>
      </c>
    </row>
    <row r="4220" spans="153:166" x14ac:dyDescent="0.35">
      <c r="EW4220" t="s">
        <v>4093</v>
      </c>
      <c r="EX4220" s="33" t="s">
        <v>5116</v>
      </c>
      <c r="EY4220" s="33" t="s">
        <v>871</v>
      </c>
      <c r="EZ4220" s="33" t="s">
        <v>872</v>
      </c>
      <c r="FA4220" s="33" t="s">
        <v>343</v>
      </c>
      <c r="FB4220" s="33" t="s">
        <v>344</v>
      </c>
      <c r="FC4220" s="33" t="s">
        <v>345</v>
      </c>
      <c r="FD4220" s="33" t="s">
        <v>346</v>
      </c>
      <c r="FE4220" s="33">
        <v>2025</v>
      </c>
      <c r="FF4220" s="33" t="s">
        <v>59</v>
      </c>
      <c r="FG4220" s="33" t="s">
        <v>470</v>
      </c>
      <c r="FH4220" s="33" t="s">
        <v>471</v>
      </c>
      <c r="FI4220" s="33" t="s">
        <v>467</v>
      </c>
      <c r="FJ4220" t="s">
        <v>59</v>
      </c>
    </row>
    <row r="4221" spans="153:166" x14ac:dyDescent="0.35">
      <c r="EW4221" t="s">
        <v>4093</v>
      </c>
      <c r="EX4221" s="33" t="s">
        <v>5117</v>
      </c>
      <c r="EY4221" s="33" t="s">
        <v>873</v>
      </c>
      <c r="EZ4221" s="33" t="s">
        <v>874</v>
      </c>
      <c r="FA4221" s="33" t="s">
        <v>343</v>
      </c>
      <c r="FB4221" s="33" t="s">
        <v>344</v>
      </c>
      <c r="FC4221" s="33" t="s">
        <v>345</v>
      </c>
      <c r="FD4221" s="33" t="s">
        <v>346</v>
      </c>
      <c r="FE4221" s="33">
        <v>2025</v>
      </c>
      <c r="FF4221" s="33" t="s">
        <v>59</v>
      </c>
      <c r="FG4221" s="33" t="s">
        <v>477</v>
      </c>
      <c r="FH4221" s="33" t="s">
        <v>478</v>
      </c>
      <c r="FI4221" s="33" t="s">
        <v>479</v>
      </c>
      <c r="FJ4221" t="s">
        <v>59</v>
      </c>
    </row>
    <row r="4222" spans="153:166" x14ac:dyDescent="0.35">
      <c r="EW4222" t="s">
        <v>4093</v>
      </c>
      <c r="EX4222" s="33" t="s">
        <v>5118</v>
      </c>
      <c r="EY4222" s="33" t="s">
        <v>875</v>
      </c>
      <c r="EZ4222" s="33" t="s">
        <v>876</v>
      </c>
      <c r="FA4222" s="33" t="s">
        <v>343</v>
      </c>
      <c r="FB4222" s="33" t="s">
        <v>344</v>
      </c>
      <c r="FC4222" s="33" t="s">
        <v>345</v>
      </c>
      <c r="FD4222" s="33" t="s">
        <v>346</v>
      </c>
      <c r="FE4222" s="33">
        <v>2025</v>
      </c>
      <c r="FF4222" s="33" t="s">
        <v>59</v>
      </c>
      <c r="FG4222" s="33" t="s">
        <v>477</v>
      </c>
      <c r="FH4222" s="33" t="s">
        <v>478</v>
      </c>
      <c r="FI4222" s="33" t="s">
        <v>479</v>
      </c>
      <c r="FJ4222" t="s">
        <v>59</v>
      </c>
    </row>
    <row r="4223" spans="153:166" x14ac:dyDescent="0.35">
      <c r="EW4223" t="s">
        <v>4093</v>
      </c>
      <c r="EX4223" s="33" t="s">
        <v>5119</v>
      </c>
      <c r="EY4223" s="33" t="s">
        <v>877</v>
      </c>
      <c r="EZ4223" s="33" t="s">
        <v>878</v>
      </c>
      <c r="FA4223" s="33" t="s">
        <v>343</v>
      </c>
      <c r="FB4223" s="33" t="s">
        <v>344</v>
      </c>
      <c r="FC4223" s="33" t="s">
        <v>345</v>
      </c>
      <c r="FD4223" s="33" t="s">
        <v>346</v>
      </c>
      <c r="FE4223" s="33">
        <v>2025</v>
      </c>
      <c r="FF4223" s="33" t="s">
        <v>59</v>
      </c>
      <c r="FG4223" s="33" t="s">
        <v>470</v>
      </c>
      <c r="FH4223" s="33" t="s">
        <v>471</v>
      </c>
      <c r="FI4223" s="33" t="s">
        <v>467</v>
      </c>
      <c r="FJ4223" t="s">
        <v>59</v>
      </c>
    </row>
    <row r="4224" spans="153:166" x14ac:dyDescent="0.35">
      <c r="EW4224" t="s">
        <v>4093</v>
      </c>
      <c r="EX4224" s="33" t="s">
        <v>5120</v>
      </c>
      <c r="EY4224" s="33" t="s">
        <v>879</v>
      </c>
      <c r="EZ4224" s="33" t="s">
        <v>880</v>
      </c>
      <c r="FA4224" s="33" t="s">
        <v>343</v>
      </c>
      <c r="FB4224" s="33" t="s">
        <v>344</v>
      </c>
      <c r="FC4224" s="33" t="s">
        <v>345</v>
      </c>
      <c r="FD4224" s="33" t="s">
        <v>346</v>
      </c>
      <c r="FE4224" s="33">
        <v>2025</v>
      </c>
      <c r="FF4224" s="33" t="s">
        <v>59</v>
      </c>
      <c r="FG4224" s="33" t="s">
        <v>470</v>
      </c>
      <c r="FH4224" s="33" t="s">
        <v>471</v>
      </c>
      <c r="FI4224" s="33" t="s">
        <v>467</v>
      </c>
      <c r="FJ4224" t="s">
        <v>59</v>
      </c>
    </row>
    <row r="4225" spans="153:166" x14ac:dyDescent="0.35">
      <c r="EW4225" t="s">
        <v>4093</v>
      </c>
      <c r="EX4225" s="33" t="s">
        <v>5121</v>
      </c>
      <c r="EY4225" s="33" t="s">
        <v>881</v>
      </c>
      <c r="EZ4225" s="33" t="s">
        <v>882</v>
      </c>
      <c r="FA4225" s="33" t="s">
        <v>343</v>
      </c>
      <c r="FB4225" s="33" t="s">
        <v>344</v>
      </c>
      <c r="FC4225" s="33" t="s">
        <v>345</v>
      </c>
      <c r="FD4225" s="33" t="s">
        <v>346</v>
      </c>
      <c r="FE4225" s="33">
        <v>2025</v>
      </c>
      <c r="FF4225" s="33" t="s">
        <v>59</v>
      </c>
      <c r="FG4225" s="33" t="s">
        <v>470</v>
      </c>
      <c r="FH4225" s="33" t="s">
        <v>471</v>
      </c>
      <c r="FI4225" s="33" t="s">
        <v>467</v>
      </c>
      <c r="FJ4225" t="s">
        <v>59</v>
      </c>
    </row>
    <row r="4226" spans="153:166" x14ac:dyDescent="0.35">
      <c r="EW4226" t="s">
        <v>4093</v>
      </c>
      <c r="EX4226" s="33" t="s">
        <v>5122</v>
      </c>
      <c r="EY4226" s="33" t="s">
        <v>883</v>
      </c>
      <c r="EZ4226" s="33" t="s">
        <v>884</v>
      </c>
      <c r="FA4226" s="33" t="s">
        <v>343</v>
      </c>
      <c r="FB4226" s="33" t="s">
        <v>344</v>
      </c>
      <c r="FC4226" s="33" t="s">
        <v>345</v>
      </c>
      <c r="FD4226" s="33" t="s">
        <v>346</v>
      </c>
      <c r="FE4226" s="33">
        <v>2025</v>
      </c>
      <c r="FF4226" s="33" t="s">
        <v>59</v>
      </c>
      <c r="FG4226" s="33" t="s">
        <v>477</v>
      </c>
      <c r="FH4226" s="33" t="s">
        <v>478</v>
      </c>
      <c r="FI4226" s="33" t="s">
        <v>479</v>
      </c>
      <c r="FJ4226" t="s">
        <v>59</v>
      </c>
    </row>
    <row r="4227" spans="153:166" x14ac:dyDescent="0.35">
      <c r="EW4227" t="s">
        <v>4093</v>
      </c>
      <c r="EX4227" s="33" t="s">
        <v>5123</v>
      </c>
      <c r="EY4227" s="33" t="s">
        <v>885</v>
      </c>
      <c r="EZ4227" s="33" t="s">
        <v>886</v>
      </c>
      <c r="FA4227" s="33" t="s">
        <v>343</v>
      </c>
      <c r="FB4227" s="33" t="s">
        <v>344</v>
      </c>
      <c r="FC4227" s="33" t="s">
        <v>345</v>
      </c>
      <c r="FD4227" s="33" t="s">
        <v>346</v>
      </c>
      <c r="FE4227" s="33">
        <v>2025</v>
      </c>
      <c r="FF4227" s="33" t="s">
        <v>59</v>
      </c>
      <c r="FG4227" s="33" t="s">
        <v>470</v>
      </c>
      <c r="FH4227" s="33" t="s">
        <v>471</v>
      </c>
      <c r="FI4227" s="33" t="s">
        <v>467</v>
      </c>
      <c r="FJ4227" t="s">
        <v>59</v>
      </c>
    </row>
    <row r="4228" spans="153:166" x14ac:dyDescent="0.35">
      <c r="EW4228" t="s">
        <v>4093</v>
      </c>
      <c r="EX4228" s="33" t="s">
        <v>5124</v>
      </c>
      <c r="EY4228" s="33" t="s">
        <v>890</v>
      </c>
      <c r="EZ4228" s="33" t="s">
        <v>891</v>
      </c>
      <c r="FA4228" s="33" t="s">
        <v>343</v>
      </c>
      <c r="FB4228" s="33" t="s">
        <v>344</v>
      </c>
      <c r="FC4228" s="33" t="s">
        <v>345</v>
      </c>
      <c r="FD4228" s="33" t="s">
        <v>346</v>
      </c>
      <c r="FE4228" s="33">
        <v>2025</v>
      </c>
      <c r="FF4228" s="33" t="s">
        <v>59</v>
      </c>
      <c r="FG4228" s="33" t="s">
        <v>470</v>
      </c>
      <c r="FH4228" s="33" t="s">
        <v>471</v>
      </c>
      <c r="FI4228" s="33" t="s">
        <v>467</v>
      </c>
      <c r="FJ4228" t="s">
        <v>59</v>
      </c>
    </row>
    <row r="4229" spans="153:166" x14ac:dyDescent="0.35">
      <c r="EW4229" t="s">
        <v>4093</v>
      </c>
      <c r="EX4229" s="33" t="s">
        <v>5125</v>
      </c>
      <c r="EY4229" s="33" t="s">
        <v>892</v>
      </c>
      <c r="EZ4229" s="33" t="s">
        <v>893</v>
      </c>
      <c r="FA4229" s="33" t="s">
        <v>343</v>
      </c>
      <c r="FB4229" s="33" t="s">
        <v>344</v>
      </c>
      <c r="FC4229" s="33" t="s">
        <v>345</v>
      </c>
      <c r="FD4229" s="33" t="s">
        <v>346</v>
      </c>
      <c r="FE4229" s="33">
        <v>2025</v>
      </c>
      <c r="FF4229" s="33" t="s">
        <v>59</v>
      </c>
      <c r="FG4229" s="33" t="s">
        <v>470</v>
      </c>
      <c r="FH4229" s="33" t="s">
        <v>471</v>
      </c>
      <c r="FI4229" s="33" t="s">
        <v>467</v>
      </c>
      <c r="FJ4229" t="s">
        <v>59</v>
      </c>
    </row>
    <row r="4230" spans="153:166" x14ac:dyDescent="0.35">
      <c r="EW4230" t="s">
        <v>4093</v>
      </c>
      <c r="EX4230" s="33" t="s">
        <v>5126</v>
      </c>
      <c r="EY4230" s="33" t="s">
        <v>894</v>
      </c>
      <c r="EZ4230" s="33" t="s">
        <v>895</v>
      </c>
      <c r="FA4230" s="33" t="s">
        <v>343</v>
      </c>
      <c r="FB4230" s="33" t="s">
        <v>344</v>
      </c>
      <c r="FC4230" s="33" t="s">
        <v>345</v>
      </c>
      <c r="FD4230" s="33" t="s">
        <v>346</v>
      </c>
      <c r="FE4230" s="33">
        <v>2025</v>
      </c>
      <c r="FF4230" s="33" t="s">
        <v>59</v>
      </c>
      <c r="FG4230" s="33" t="s">
        <v>477</v>
      </c>
      <c r="FH4230" s="33" t="s">
        <v>478</v>
      </c>
      <c r="FI4230" s="33" t="s">
        <v>479</v>
      </c>
      <c r="FJ4230" t="s">
        <v>59</v>
      </c>
    </row>
    <row r="4231" spans="153:166" x14ac:dyDescent="0.35">
      <c r="EW4231" t="s">
        <v>4093</v>
      </c>
      <c r="EX4231" s="33" t="s">
        <v>5127</v>
      </c>
      <c r="EY4231" s="33" t="s">
        <v>896</v>
      </c>
      <c r="EZ4231" s="33" t="s">
        <v>897</v>
      </c>
      <c r="FA4231" s="33" t="s">
        <v>343</v>
      </c>
      <c r="FB4231" s="33" t="s">
        <v>344</v>
      </c>
      <c r="FC4231" s="33" t="s">
        <v>345</v>
      </c>
      <c r="FD4231" s="33" t="s">
        <v>346</v>
      </c>
      <c r="FE4231" s="33">
        <v>2025</v>
      </c>
      <c r="FF4231" s="33" t="s">
        <v>59</v>
      </c>
      <c r="FG4231" s="33" t="s">
        <v>477</v>
      </c>
      <c r="FH4231" s="33" t="s">
        <v>478</v>
      </c>
      <c r="FI4231" s="33" t="s">
        <v>479</v>
      </c>
      <c r="FJ4231" t="s">
        <v>59</v>
      </c>
    </row>
    <row r="4232" spans="153:166" x14ac:dyDescent="0.35">
      <c r="EW4232" t="s">
        <v>4093</v>
      </c>
      <c r="EX4232" s="33" t="s">
        <v>5128</v>
      </c>
      <c r="EY4232" s="33" t="s">
        <v>901</v>
      </c>
      <c r="EZ4232" s="33" t="s">
        <v>902</v>
      </c>
      <c r="FA4232" s="33" t="s">
        <v>343</v>
      </c>
      <c r="FB4232" s="33" t="s">
        <v>344</v>
      </c>
      <c r="FC4232" s="33" t="s">
        <v>345</v>
      </c>
      <c r="FD4232" s="33" t="s">
        <v>346</v>
      </c>
      <c r="FE4232" s="33">
        <v>2025</v>
      </c>
      <c r="FF4232" s="33" t="s">
        <v>59</v>
      </c>
      <c r="FG4232" s="33" t="s">
        <v>477</v>
      </c>
      <c r="FH4232" s="33" t="s">
        <v>478</v>
      </c>
      <c r="FI4232" s="33" t="s">
        <v>479</v>
      </c>
      <c r="FJ4232" t="s">
        <v>59</v>
      </c>
    </row>
    <row r="4233" spans="153:166" x14ac:dyDescent="0.35">
      <c r="EW4233" t="s">
        <v>4093</v>
      </c>
      <c r="EX4233" s="33" t="s">
        <v>5129</v>
      </c>
      <c r="EY4233" s="33" t="s">
        <v>903</v>
      </c>
      <c r="EZ4233" s="33" t="s">
        <v>904</v>
      </c>
      <c r="FA4233" s="33" t="s">
        <v>343</v>
      </c>
      <c r="FB4233" s="33" t="s">
        <v>344</v>
      </c>
      <c r="FC4233" s="33" t="s">
        <v>345</v>
      </c>
      <c r="FD4233" s="33" t="s">
        <v>346</v>
      </c>
      <c r="FE4233" s="33">
        <v>2025</v>
      </c>
      <c r="FF4233" s="33" t="s">
        <v>59</v>
      </c>
      <c r="FG4233" s="33" t="s">
        <v>477</v>
      </c>
      <c r="FH4233" s="33" t="s">
        <v>478</v>
      </c>
      <c r="FI4233" s="33" t="s">
        <v>479</v>
      </c>
      <c r="FJ4233" t="s">
        <v>59</v>
      </c>
    </row>
    <row r="4234" spans="153:166" x14ac:dyDescent="0.35">
      <c r="EW4234" t="s">
        <v>4093</v>
      </c>
      <c r="EX4234" s="33" t="s">
        <v>5130</v>
      </c>
      <c r="EY4234" s="33" t="s">
        <v>905</v>
      </c>
      <c r="EZ4234" s="33" t="s">
        <v>906</v>
      </c>
      <c r="FA4234" s="33" t="s">
        <v>343</v>
      </c>
      <c r="FB4234" s="33" t="s">
        <v>344</v>
      </c>
      <c r="FC4234" s="33" t="s">
        <v>345</v>
      </c>
      <c r="FD4234" s="33" t="s">
        <v>346</v>
      </c>
      <c r="FE4234" s="33">
        <v>2025</v>
      </c>
      <c r="FF4234" s="33" t="s">
        <v>59</v>
      </c>
      <c r="FG4234" s="33" t="s">
        <v>470</v>
      </c>
      <c r="FH4234" s="33" t="s">
        <v>471</v>
      </c>
      <c r="FI4234" s="33" t="s">
        <v>467</v>
      </c>
      <c r="FJ4234" t="s">
        <v>59</v>
      </c>
    </row>
    <row r="4235" spans="153:166" x14ac:dyDescent="0.35">
      <c r="EW4235" t="s">
        <v>4093</v>
      </c>
      <c r="EX4235" s="33" t="s">
        <v>5131</v>
      </c>
      <c r="EY4235" s="33" t="s">
        <v>907</v>
      </c>
      <c r="EZ4235" s="33" t="s">
        <v>908</v>
      </c>
      <c r="FA4235" s="33" t="s">
        <v>343</v>
      </c>
      <c r="FB4235" s="33" t="s">
        <v>344</v>
      </c>
      <c r="FC4235" s="33" t="s">
        <v>345</v>
      </c>
      <c r="FD4235" s="33" t="s">
        <v>346</v>
      </c>
      <c r="FE4235" s="33">
        <v>2025</v>
      </c>
      <c r="FF4235" s="33" t="s">
        <v>59</v>
      </c>
      <c r="FG4235" s="33" t="s">
        <v>477</v>
      </c>
      <c r="FH4235" s="33" t="s">
        <v>478</v>
      </c>
      <c r="FI4235" s="33" t="s">
        <v>479</v>
      </c>
      <c r="FJ4235" t="s">
        <v>59</v>
      </c>
    </row>
    <row r="4236" spans="153:166" x14ac:dyDescent="0.35">
      <c r="EW4236" t="s">
        <v>4093</v>
      </c>
      <c r="EX4236" s="33" t="s">
        <v>5132</v>
      </c>
      <c r="EY4236" s="33" t="s">
        <v>909</v>
      </c>
      <c r="EZ4236" s="33" t="s">
        <v>910</v>
      </c>
      <c r="FA4236" s="33" t="s">
        <v>343</v>
      </c>
      <c r="FB4236" s="33" t="s">
        <v>344</v>
      </c>
      <c r="FC4236" s="33" t="s">
        <v>345</v>
      </c>
      <c r="FD4236" s="33" t="s">
        <v>346</v>
      </c>
      <c r="FE4236" s="33">
        <v>2025</v>
      </c>
      <c r="FF4236" s="33" t="s">
        <v>59</v>
      </c>
      <c r="FG4236" s="33" t="s">
        <v>477</v>
      </c>
      <c r="FH4236" s="33" t="s">
        <v>478</v>
      </c>
      <c r="FI4236" s="33" t="s">
        <v>479</v>
      </c>
      <c r="FJ4236" t="s">
        <v>59</v>
      </c>
    </row>
    <row r="4237" spans="153:166" x14ac:dyDescent="0.35">
      <c r="EW4237" t="s">
        <v>4093</v>
      </c>
      <c r="EX4237" s="33" t="s">
        <v>5133</v>
      </c>
      <c r="EY4237" s="33" t="s">
        <v>914</v>
      </c>
      <c r="EZ4237" s="33" t="s">
        <v>915</v>
      </c>
      <c r="FA4237" s="33" t="s">
        <v>343</v>
      </c>
      <c r="FB4237" s="33" t="s">
        <v>344</v>
      </c>
      <c r="FC4237" s="33" t="s">
        <v>345</v>
      </c>
      <c r="FD4237" s="33" t="s">
        <v>346</v>
      </c>
      <c r="FE4237" s="33">
        <v>2025</v>
      </c>
      <c r="FF4237" s="33" t="s">
        <v>59</v>
      </c>
      <c r="FG4237" s="33" t="s">
        <v>470</v>
      </c>
      <c r="FH4237" s="33" t="s">
        <v>471</v>
      </c>
      <c r="FI4237" s="33" t="s">
        <v>467</v>
      </c>
      <c r="FJ4237" t="s">
        <v>59</v>
      </c>
    </row>
    <row r="4238" spans="153:166" x14ac:dyDescent="0.35">
      <c r="EW4238" t="s">
        <v>4093</v>
      </c>
      <c r="EX4238" s="33" t="s">
        <v>5134</v>
      </c>
      <c r="EY4238" s="33" t="s">
        <v>916</v>
      </c>
      <c r="EZ4238" s="33" t="s">
        <v>917</v>
      </c>
      <c r="FA4238" s="33" t="s">
        <v>343</v>
      </c>
      <c r="FB4238" s="33" t="s">
        <v>344</v>
      </c>
      <c r="FC4238" s="33" t="s">
        <v>345</v>
      </c>
      <c r="FD4238" s="33" t="s">
        <v>346</v>
      </c>
      <c r="FE4238" s="33">
        <v>2025</v>
      </c>
      <c r="FF4238" s="33" t="s">
        <v>59</v>
      </c>
      <c r="FG4238" s="33" t="s">
        <v>470</v>
      </c>
      <c r="FH4238" s="33" t="s">
        <v>471</v>
      </c>
      <c r="FI4238" s="33" t="s">
        <v>467</v>
      </c>
      <c r="FJ4238" t="s">
        <v>59</v>
      </c>
    </row>
    <row r="4239" spans="153:166" x14ac:dyDescent="0.35">
      <c r="EW4239" t="s">
        <v>4093</v>
      </c>
      <c r="EX4239" s="33" t="s">
        <v>5135</v>
      </c>
      <c r="EY4239" s="33" t="s">
        <v>918</v>
      </c>
      <c r="EZ4239" s="33" t="s">
        <v>919</v>
      </c>
      <c r="FA4239" s="33" t="s">
        <v>343</v>
      </c>
      <c r="FB4239" s="33" t="s">
        <v>344</v>
      </c>
      <c r="FC4239" s="33" t="s">
        <v>345</v>
      </c>
      <c r="FD4239" s="33" t="s">
        <v>346</v>
      </c>
      <c r="FE4239" s="33">
        <v>2025</v>
      </c>
      <c r="FF4239" s="33" t="s">
        <v>59</v>
      </c>
      <c r="FG4239" s="33" t="s">
        <v>470</v>
      </c>
      <c r="FH4239" s="33" t="s">
        <v>471</v>
      </c>
      <c r="FI4239" s="33" t="s">
        <v>467</v>
      </c>
      <c r="FJ4239" t="s">
        <v>59</v>
      </c>
    </row>
    <row r="4240" spans="153:166" x14ac:dyDescent="0.35">
      <c r="EW4240" t="s">
        <v>4093</v>
      </c>
      <c r="EX4240" s="33" t="s">
        <v>5136</v>
      </c>
      <c r="EY4240" s="33" t="s">
        <v>920</v>
      </c>
      <c r="EZ4240" s="33" t="s">
        <v>921</v>
      </c>
      <c r="FA4240" s="33" t="s">
        <v>343</v>
      </c>
      <c r="FB4240" s="33" t="s">
        <v>344</v>
      </c>
      <c r="FC4240" s="33" t="s">
        <v>345</v>
      </c>
      <c r="FD4240" s="33" t="s">
        <v>346</v>
      </c>
      <c r="FE4240" s="33">
        <v>2025</v>
      </c>
      <c r="FF4240" s="33" t="s">
        <v>59</v>
      </c>
      <c r="FG4240" s="33" t="s">
        <v>470</v>
      </c>
      <c r="FH4240" s="33" t="s">
        <v>471</v>
      </c>
      <c r="FI4240" s="33" t="s">
        <v>467</v>
      </c>
      <c r="FJ4240" t="s">
        <v>59</v>
      </c>
    </row>
    <row r="4241" spans="153:166" x14ac:dyDescent="0.35">
      <c r="EW4241" t="s">
        <v>4093</v>
      </c>
      <c r="EX4241" s="33" t="s">
        <v>5137</v>
      </c>
      <c r="EY4241" s="33" t="s">
        <v>925</v>
      </c>
      <c r="EZ4241" s="33" t="s">
        <v>926</v>
      </c>
      <c r="FA4241" s="33" t="s">
        <v>343</v>
      </c>
      <c r="FB4241" s="33" t="s">
        <v>344</v>
      </c>
      <c r="FC4241" s="33" t="s">
        <v>345</v>
      </c>
      <c r="FD4241" s="33" t="s">
        <v>346</v>
      </c>
      <c r="FE4241" s="33">
        <v>2025</v>
      </c>
      <c r="FF4241" s="33" t="s">
        <v>59</v>
      </c>
      <c r="FG4241" s="33" t="s">
        <v>470</v>
      </c>
      <c r="FH4241" s="33" t="s">
        <v>471</v>
      </c>
      <c r="FI4241" s="33" t="s">
        <v>467</v>
      </c>
      <c r="FJ4241" t="s">
        <v>59</v>
      </c>
    </row>
    <row r="4242" spans="153:166" x14ac:dyDescent="0.35">
      <c r="EW4242" t="s">
        <v>4093</v>
      </c>
      <c r="EX4242" s="33" t="s">
        <v>5138</v>
      </c>
      <c r="EY4242" s="33" t="s">
        <v>927</v>
      </c>
      <c r="EZ4242" s="33" t="s">
        <v>928</v>
      </c>
      <c r="FA4242" s="33" t="s">
        <v>343</v>
      </c>
      <c r="FB4242" s="33" t="s">
        <v>344</v>
      </c>
      <c r="FC4242" s="33" t="s">
        <v>345</v>
      </c>
      <c r="FD4242" s="33" t="s">
        <v>346</v>
      </c>
      <c r="FE4242" s="33">
        <v>2025</v>
      </c>
      <c r="FF4242" s="33" t="s">
        <v>59</v>
      </c>
      <c r="FG4242" s="33" t="s">
        <v>477</v>
      </c>
      <c r="FH4242" s="33" t="s">
        <v>478</v>
      </c>
      <c r="FI4242" s="33" t="s">
        <v>479</v>
      </c>
      <c r="FJ4242" t="s">
        <v>59</v>
      </c>
    </row>
    <row r="4243" spans="153:166" x14ac:dyDescent="0.35">
      <c r="EW4243" t="s">
        <v>4093</v>
      </c>
      <c r="EX4243" s="33" t="s">
        <v>5139</v>
      </c>
      <c r="EY4243" s="33" t="s">
        <v>929</v>
      </c>
      <c r="EZ4243" s="33" t="s">
        <v>930</v>
      </c>
      <c r="FA4243" s="33" t="s">
        <v>343</v>
      </c>
      <c r="FB4243" s="33" t="s">
        <v>344</v>
      </c>
      <c r="FC4243" s="33" t="s">
        <v>345</v>
      </c>
      <c r="FD4243" s="33" t="s">
        <v>346</v>
      </c>
      <c r="FE4243" s="33">
        <v>2025</v>
      </c>
      <c r="FF4243" s="33" t="s">
        <v>59</v>
      </c>
      <c r="FG4243" s="33" t="s">
        <v>477</v>
      </c>
      <c r="FH4243" s="33" t="s">
        <v>478</v>
      </c>
      <c r="FI4243" s="33" t="s">
        <v>479</v>
      </c>
      <c r="FJ4243" t="s">
        <v>59</v>
      </c>
    </row>
    <row r="4244" spans="153:166" x14ac:dyDescent="0.35">
      <c r="EW4244" t="s">
        <v>4093</v>
      </c>
      <c r="EX4244" s="33" t="s">
        <v>5140</v>
      </c>
      <c r="EY4244" s="33" t="s">
        <v>931</v>
      </c>
      <c r="EZ4244" s="33" t="s">
        <v>932</v>
      </c>
      <c r="FA4244" s="33" t="s">
        <v>343</v>
      </c>
      <c r="FB4244" s="33" t="s">
        <v>344</v>
      </c>
      <c r="FC4244" s="33" t="s">
        <v>345</v>
      </c>
      <c r="FD4244" s="33" t="s">
        <v>346</v>
      </c>
      <c r="FE4244" s="33">
        <v>2025</v>
      </c>
      <c r="FF4244" s="33" t="s">
        <v>59</v>
      </c>
      <c r="FG4244" s="33" t="s">
        <v>477</v>
      </c>
      <c r="FH4244" s="33" t="s">
        <v>478</v>
      </c>
      <c r="FI4244" s="33" t="s">
        <v>479</v>
      </c>
      <c r="FJ4244" t="s">
        <v>59</v>
      </c>
    </row>
    <row r="4245" spans="153:166" x14ac:dyDescent="0.35">
      <c r="EW4245" t="s">
        <v>4093</v>
      </c>
      <c r="EX4245" s="33" t="s">
        <v>5141</v>
      </c>
      <c r="EY4245" s="33" t="s">
        <v>933</v>
      </c>
      <c r="EZ4245" s="33" t="s">
        <v>934</v>
      </c>
      <c r="FA4245" s="33" t="s">
        <v>343</v>
      </c>
      <c r="FB4245" s="33" t="s">
        <v>344</v>
      </c>
      <c r="FC4245" s="33" t="s">
        <v>345</v>
      </c>
      <c r="FD4245" s="33" t="s">
        <v>346</v>
      </c>
      <c r="FE4245" s="33">
        <v>2025</v>
      </c>
      <c r="FF4245" s="33" t="s">
        <v>59</v>
      </c>
      <c r="FG4245" s="33" t="s">
        <v>470</v>
      </c>
      <c r="FH4245" s="33" t="s">
        <v>471</v>
      </c>
      <c r="FI4245" s="33" t="s">
        <v>467</v>
      </c>
      <c r="FJ4245" t="s">
        <v>59</v>
      </c>
    </row>
    <row r="4246" spans="153:166" x14ac:dyDescent="0.35">
      <c r="EW4246" t="s">
        <v>4093</v>
      </c>
      <c r="EX4246" s="33" t="s">
        <v>5142</v>
      </c>
      <c r="EY4246" s="33" t="s">
        <v>935</v>
      </c>
      <c r="EZ4246" s="33" t="s">
        <v>936</v>
      </c>
      <c r="FA4246" s="33" t="s">
        <v>343</v>
      </c>
      <c r="FB4246" s="33" t="s">
        <v>344</v>
      </c>
      <c r="FC4246" s="33" t="s">
        <v>345</v>
      </c>
      <c r="FD4246" s="33" t="s">
        <v>346</v>
      </c>
      <c r="FE4246" s="33">
        <v>2025</v>
      </c>
      <c r="FF4246" s="33" t="s">
        <v>59</v>
      </c>
      <c r="FG4246" s="33" t="s">
        <v>470</v>
      </c>
      <c r="FH4246" s="33" t="s">
        <v>471</v>
      </c>
      <c r="FI4246" s="33" t="s">
        <v>467</v>
      </c>
      <c r="FJ4246" t="s">
        <v>59</v>
      </c>
    </row>
    <row r="4247" spans="153:166" x14ac:dyDescent="0.35">
      <c r="EW4247" t="s">
        <v>4093</v>
      </c>
      <c r="EX4247" s="33" t="s">
        <v>5143</v>
      </c>
      <c r="EY4247" s="33" t="s">
        <v>937</v>
      </c>
      <c r="EZ4247" s="33" t="s">
        <v>938</v>
      </c>
      <c r="FA4247" s="33" t="s">
        <v>343</v>
      </c>
      <c r="FB4247" s="33" t="s">
        <v>344</v>
      </c>
      <c r="FC4247" s="33" t="s">
        <v>345</v>
      </c>
      <c r="FD4247" s="33" t="s">
        <v>346</v>
      </c>
      <c r="FE4247" s="33">
        <v>2025</v>
      </c>
      <c r="FF4247" s="33" t="s">
        <v>59</v>
      </c>
      <c r="FG4247" s="33" t="s">
        <v>470</v>
      </c>
      <c r="FH4247" s="33" t="s">
        <v>471</v>
      </c>
      <c r="FI4247" s="33" t="s">
        <v>467</v>
      </c>
      <c r="FJ4247" t="s">
        <v>59</v>
      </c>
    </row>
    <row r="4248" spans="153:166" x14ac:dyDescent="0.35">
      <c r="EW4248" t="s">
        <v>4093</v>
      </c>
      <c r="EX4248" s="33" t="s">
        <v>5144</v>
      </c>
      <c r="EY4248" s="33" t="s">
        <v>939</v>
      </c>
      <c r="EZ4248" s="33" t="s">
        <v>940</v>
      </c>
      <c r="FA4248" s="33" t="s">
        <v>343</v>
      </c>
      <c r="FB4248" s="33" t="s">
        <v>344</v>
      </c>
      <c r="FC4248" s="33" t="s">
        <v>345</v>
      </c>
      <c r="FD4248" s="33" t="s">
        <v>346</v>
      </c>
      <c r="FE4248" s="33">
        <v>2025</v>
      </c>
      <c r="FF4248" s="33" t="s">
        <v>59</v>
      </c>
      <c r="FG4248" s="33" t="s">
        <v>470</v>
      </c>
      <c r="FH4248" s="33" t="s">
        <v>471</v>
      </c>
      <c r="FI4248" s="33" t="s">
        <v>467</v>
      </c>
      <c r="FJ4248" t="s">
        <v>59</v>
      </c>
    </row>
    <row r="4249" spans="153:166" x14ac:dyDescent="0.35">
      <c r="EW4249" t="s">
        <v>4093</v>
      </c>
      <c r="EX4249" s="33" t="s">
        <v>5145</v>
      </c>
      <c r="EY4249" s="33" t="s">
        <v>944</v>
      </c>
      <c r="EZ4249" s="33" t="s">
        <v>945</v>
      </c>
      <c r="FA4249" s="33" t="s">
        <v>343</v>
      </c>
      <c r="FB4249" s="33" t="s">
        <v>344</v>
      </c>
      <c r="FC4249" s="33" t="s">
        <v>345</v>
      </c>
      <c r="FD4249" s="33" t="s">
        <v>346</v>
      </c>
      <c r="FE4249" s="33">
        <v>2025</v>
      </c>
      <c r="FF4249" s="33" t="s">
        <v>59</v>
      </c>
      <c r="FG4249" s="33" t="s">
        <v>470</v>
      </c>
      <c r="FH4249" s="33" t="s">
        <v>471</v>
      </c>
      <c r="FI4249" s="33" t="s">
        <v>467</v>
      </c>
      <c r="FJ4249" t="s">
        <v>59</v>
      </c>
    </row>
    <row r="4250" spans="153:166" x14ac:dyDescent="0.35">
      <c r="EW4250" t="s">
        <v>4093</v>
      </c>
      <c r="EX4250" s="33" t="s">
        <v>5146</v>
      </c>
      <c r="EY4250" s="33" t="s">
        <v>946</v>
      </c>
      <c r="EZ4250" s="33" t="s">
        <v>947</v>
      </c>
      <c r="FA4250" s="33" t="s">
        <v>343</v>
      </c>
      <c r="FB4250" s="33" t="s">
        <v>344</v>
      </c>
      <c r="FC4250" s="33" t="s">
        <v>345</v>
      </c>
      <c r="FD4250" s="33" t="s">
        <v>346</v>
      </c>
      <c r="FE4250" s="33">
        <v>2025</v>
      </c>
      <c r="FF4250" s="33" t="s">
        <v>59</v>
      </c>
      <c r="FG4250" s="33" t="s">
        <v>477</v>
      </c>
      <c r="FH4250" s="33" t="s">
        <v>478</v>
      </c>
      <c r="FI4250" s="33" t="s">
        <v>479</v>
      </c>
      <c r="FJ4250" t="s">
        <v>59</v>
      </c>
    </row>
    <row r="4251" spans="153:166" x14ac:dyDescent="0.35">
      <c r="EW4251" t="s">
        <v>4093</v>
      </c>
      <c r="EX4251" s="33" t="s">
        <v>5147</v>
      </c>
      <c r="EY4251" s="33" t="s">
        <v>948</v>
      </c>
      <c r="EZ4251" s="33" t="s">
        <v>949</v>
      </c>
      <c r="FA4251" s="33" t="s">
        <v>343</v>
      </c>
      <c r="FB4251" s="33" t="s">
        <v>344</v>
      </c>
      <c r="FC4251" s="33" t="s">
        <v>345</v>
      </c>
      <c r="FD4251" s="33" t="s">
        <v>346</v>
      </c>
      <c r="FE4251" s="33">
        <v>2025</v>
      </c>
      <c r="FF4251" s="33" t="s">
        <v>59</v>
      </c>
      <c r="FG4251" s="33" t="s">
        <v>470</v>
      </c>
      <c r="FH4251" s="33" t="s">
        <v>471</v>
      </c>
      <c r="FI4251" s="33" t="s">
        <v>467</v>
      </c>
      <c r="FJ4251" t="s">
        <v>59</v>
      </c>
    </row>
    <row r="4252" spans="153:166" x14ac:dyDescent="0.35">
      <c r="EW4252" t="s">
        <v>4093</v>
      </c>
      <c r="EX4252" s="33" t="s">
        <v>5148</v>
      </c>
      <c r="EY4252" s="33" t="s">
        <v>953</v>
      </c>
      <c r="EZ4252" s="33" t="s">
        <v>954</v>
      </c>
      <c r="FA4252" s="33" t="s">
        <v>343</v>
      </c>
      <c r="FB4252" s="33" t="s">
        <v>344</v>
      </c>
      <c r="FC4252" s="33" t="s">
        <v>345</v>
      </c>
      <c r="FD4252" s="33" t="s">
        <v>346</v>
      </c>
      <c r="FE4252" s="33">
        <v>2025</v>
      </c>
      <c r="FF4252" s="33" t="s">
        <v>59</v>
      </c>
      <c r="FG4252" s="33" t="s">
        <v>470</v>
      </c>
      <c r="FH4252" s="33" t="s">
        <v>471</v>
      </c>
      <c r="FI4252" s="33" t="s">
        <v>467</v>
      </c>
      <c r="FJ4252" t="s">
        <v>59</v>
      </c>
    </row>
    <row r="4253" spans="153:166" x14ac:dyDescent="0.35">
      <c r="EW4253" t="s">
        <v>4093</v>
      </c>
      <c r="EX4253" s="33" t="s">
        <v>5149</v>
      </c>
      <c r="EY4253" s="33" t="s">
        <v>955</v>
      </c>
      <c r="EZ4253" s="33" t="s">
        <v>956</v>
      </c>
      <c r="FA4253" s="33" t="s">
        <v>343</v>
      </c>
      <c r="FB4253" s="33" t="s">
        <v>344</v>
      </c>
      <c r="FC4253" s="33" t="s">
        <v>345</v>
      </c>
      <c r="FD4253" s="33" t="s">
        <v>346</v>
      </c>
      <c r="FE4253" s="33">
        <v>2025</v>
      </c>
      <c r="FF4253" s="33" t="s">
        <v>59</v>
      </c>
      <c r="FG4253" s="33" t="s">
        <v>477</v>
      </c>
      <c r="FH4253" s="33" t="s">
        <v>478</v>
      </c>
      <c r="FI4253" s="33" t="s">
        <v>479</v>
      </c>
      <c r="FJ4253" t="s">
        <v>59</v>
      </c>
    </row>
    <row r="4254" spans="153:166" x14ac:dyDescent="0.35">
      <c r="EW4254" t="s">
        <v>4093</v>
      </c>
      <c r="EX4254" s="33" t="s">
        <v>5150</v>
      </c>
      <c r="EY4254" s="33" t="s">
        <v>957</v>
      </c>
      <c r="EZ4254" s="33" t="s">
        <v>958</v>
      </c>
      <c r="FA4254" s="33" t="s">
        <v>343</v>
      </c>
      <c r="FB4254" s="33" t="s">
        <v>344</v>
      </c>
      <c r="FC4254" s="33" t="s">
        <v>345</v>
      </c>
      <c r="FD4254" s="33" t="s">
        <v>346</v>
      </c>
      <c r="FE4254" s="33">
        <v>2025</v>
      </c>
      <c r="FF4254" s="33" t="s">
        <v>59</v>
      </c>
      <c r="FG4254" s="33" t="s">
        <v>470</v>
      </c>
      <c r="FH4254" s="33" t="s">
        <v>471</v>
      </c>
      <c r="FI4254" s="33" t="s">
        <v>467</v>
      </c>
      <c r="FJ4254" t="s">
        <v>59</v>
      </c>
    </row>
    <row r="4255" spans="153:166" x14ac:dyDescent="0.35">
      <c r="EW4255" t="s">
        <v>4093</v>
      </c>
      <c r="EX4255" s="33" t="s">
        <v>5151</v>
      </c>
      <c r="EY4255" s="33" t="s">
        <v>959</v>
      </c>
      <c r="EZ4255" s="33" t="s">
        <v>960</v>
      </c>
      <c r="FA4255" s="33" t="s">
        <v>343</v>
      </c>
      <c r="FB4255" s="33" t="s">
        <v>344</v>
      </c>
      <c r="FC4255" s="33" t="s">
        <v>345</v>
      </c>
      <c r="FD4255" s="33" t="s">
        <v>346</v>
      </c>
      <c r="FE4255" s="33">
        <v>2025</v>
      </c>
      <c r="FF4255" s="33" t="s">
        <v>59</v>
      </c>
      <c r="FG4255" s="33" t="s">
        <v>470</v>
      </c>
      <c r="FH4255" s="33" t="s">
        <v>471</v>
      </c>
      <c r="FI4255" s="33" t="s">
        <v>467</v>
      </c>
      <c r="FJ4255" t="s">
        <v>59</v>
      </c>
    </row>
    <row r="4256" spans="153:166" x14ac:dyDescent="0.35">
      <c r="EW4256" t="s">
        <v>4093</v>
      </c>
      <c r="EX4256" s="33" t="s">
        <v>5152</v>
      </c>
      <c r="EY4256" s="33" t="s">
        <v>964</v>
      </c>
      <c r="EZ4256" s="33" t="s">
        <v>965</v>
      </c>
      <c r="FA4256" s="33" t="s">
        <v>343</v>
      </c>
      <c r="FB4256" s="33" t="s">
        <v>344</v>
      </c>
      <c r="FC4256" s="33" t="s">
        <v>345</v>
      </c>
      <c r="FD4256" s="33" t="s">
        <v>346</v>
      </c>
      <c r="FE4256" s="33">
        <v>2025</v>
      </c>
      <c r="FF4256" s="33" t="s">
        <v>59</v>
      </c>
      <c r="FG4256" s="33" t="s">
        <v>477</v>
      </c>
      <c r="FH4256" s="33" t="s">
        <v>478</v>
      </c>
      <c r="FI4256" s="33" t="s">
        <v>479</v>
      </c>
      <c r="FJ4256" t="s">
        <v>59</v>
      </c>
    </row>
    <row r="4257" spans="153:166" x14ac:dyDescent="0.35">
      <c r="EW4257" t="s">
        <v>4093</v>
      </c>
      <c r="EX4257" s="33" t="s">
        <v>5153</v>
      </c>
      <c r="EY4257" s="33" t="s">
        <v>966</v>
      </c>
      <c r="EZ4257" s="33" t="s">
        <v>967</v>
      </c>
      <c r="FA4257" s="33" t="s">
        <v>343</v>
      </c>
      <c r="FB4257" s="33" t="s">
        <v>344</v>
      </c>
      <c r="FC4257" s="33" t="s">
        <v>345</v>
      </c>
      <c r="FD4257" s="33" t="s">
        <v>346</v>
      </c>
      <c r="FE4257" s="33">
        <v>2025</v>
      </c>
      <c r="FF4257" s="33" t="s">
        <v>59</v>
      </c>
      <c r="FG4257" s="33" t="s">
        <v>470</v>
      </c>
      <c r="FH4257" s="33" t="s">
        <v>471</v>
      </c>
      <c r="FI4257" s="33" t="s">
        <v>467</v>
      </c>
      <c r="FJ4257" t="s">
        <v>59</v>
      </c>
    </row>
    <row r="4258" spans="153:166" x14ac:dyDescent="0.35">
      <c r="EW4258" t="s">
        <v>4093</v>
      </c>
      <c r="EX4258" s="33" t="s">
        <v>5154</v>
      </c>
      <c r="EY4258" s="33" t="s">
        <v>968</v>
      </c>
      <c r="EZ4258" s="33" t="s">
        <v>969</v>
      </c>
      <c r="FA4258" s="33" t="s">
        <v>343</v>
      </c>
      <c r="FB4258" s="33" t="s">
        <v>344</v>
      </c>
      <c r="FC4258" s="33" t="s">
        <v>345</v>
      </c>
      <c r="FD4258" s="33" t="s">
        <v>346</v>
      </c>
      <c r="FE4258" s="33">
        <v>2025</v>
      </c>
      <c r="FF4258" s="33" t="s">
        <v>59</v>
      </c>
      <c r="FG4258" s="33" t="s">
        <v>470</v>
      </c>
      <c r="FH4258" s="33" t="s">
        <v>471</v>
      </c>
      <c r="FI4258" s="33" t="s">
        <v>467</v>
      </c>
      <c r="FJ4258" t="s">
        <v>59</v>
      </c>
    </row>
    <row r="4259" spans="153:166" x14ac:dyDescent="0.35">
      <c r="EW4259" t="s">
        <v>4093</v>
      </c>
      <c r="EX4259" s="33" t="s">
        <v>5155</v>
      </c>
      <c r="EY4259" s="33" t="s">
        <v>970</v>
      </c>
      <c r="EZ4259" s="33" t="s">
        <v>971</v>
      </c>
      <c r="FA4259" s="33" t="s">
        <v>343</v>
      </c>
      <c r="FB4259" s="33" t="s">
        <v>344</v>
      </c>
      <c r="FC4259" s="33" t="s">
        <v>345</v>
      </c>
      <c r="FD4259" s="33" t="s">
        <v>346</v>
      </c>
      <c r="FE4259" s="33">
        <v>2025</v>
      </c>
      <c r="FF4259" s="33" t="s">
        <v>59</v>
      </c>
      <c r="FG4259" s="33" t="s">
        <v>477</v>
      </c>
      <c r="FH4259" s="33" t="s">
        <v>478</v>
      </c>
      <c r="FI4259" s="33" t="s">
        <v>479</v>
      </c>
      <c r="FJ4259" t="s">
        <v>59</v>
      </c>
    </row>
    <row r="4260" spans="153:166" x14ac:dyDescent="0.35">
      <c r="EW4260" t="s">
        <v>4093</v>
      </c>
      <c r="EX4260" s="33" t="s">
        <v>5156</v>
      </c>
      <c r="EY4260" s="33" t="s">
        <v>972</v>
      </c>
      <c r="EZ4260" s="33" t="s">
        <v>973</v>
      </c>
      <c r="FA4260" s="33" t="s">
        <v>343</v>
      </c>
      <c r="FB4260" s="33" t="s">
        <v>344</v>
      </c>
      <c r="FC4260" s="33" t="s">
        <v>345</v>
      </c>
      <c r="FD4260" s="33" t="s">
        <v>346</v>
      </c>
      <c r="FE4260" s="33">
        <v>2025</v>
      </c>
      <c r="FF4260" s="33" t="s">
        <v>59</v>
      </c>
      <c r="FG4260" s="33" t="s">
        <v>470</v>
      </c>
      <c r="FH4260" s="33" t="s">
        <v>471</v>
      </c>
      <c r="FI4260" s="33" t="s">
        <v>467</v>
      </c>
      <c r="FJ4260" t="s">
        <v>59</v>
      </c>
    </row>
    <row r="4261" spans="153:166" x14ac:dyDescent="0.35">
      <c r="EW4261" t="s">
        <v>4093</v>
      </c>
      <c r="EX4261" s="33" t="s">
        <v>5157</v>
      </c>
      <c r="EY4261" s="33" t="s">
        <v>974</v>
      </c>
      <c r="EZ4261" s="33" t="s">
        <v>975</v>
      </c>
      <c r="FA4261" s="33" t="s">
        <v>343</v>
      </c>
      <c r="FB4261" s="33" t="s">
        <v>344</v>
      </c>
      <c r="FC4261" s="33" t="s">
        <v>345</v>
      </c>
      <c r="FD4261" s="33" t="s">
        <v>346</v>
      </c>
      <c r="FE4261" s="33">
        <v>2025</v>
      </c>
      <c r="FF4261" s="33" t="s">
        <v>59</v>
      </c>
      <c r="FG4261" s="33" t="s">
        <v>477</v>
      </c>
      <c r="FH4261" s="33" t="s">
        <v>478</v>
      </c>
      <c r="FI4261" s="33" t="s">
        <v>479</v>
      </c>
      <c r="FJ4261" t="s">
        <v>59</v>
      </c>
    </row>
    <row r="4262" spans="153:166" x14ac:dyDescent="0.35">
      <c r="EW4262" t="s">
        <v>4093</v>
      </c>
      <c r="EX4262" s="33" t="s">
        <v>5158</v>
      </c>
      <c r="EY4262" s="33" t="s">
        <v>976</v>
      </c>
      <c r="EZ4262" s="33" t="s">
        <v>977</v>
      </c>
      <c r="FA4262" s="33" t="s">
        <v>343</v>
      </c>
      <c r="FB4262" s="33" t="s">
        <v>344</v>
      </c>
      <c r="FC4262" s="33" t="s">
        <v>345</v>
      </c>
      <c r="FD4262" s="33" t="s">
        <v>346</v>
      </c>
      <c r="FE4262" s="33">
        <v>2025</v>
      </c>
      <c r="FF4262" s="33" t="s">
        <v>59</v>
      </c>
      <c r="FG4262" s="33" t="s">
        <v>477</v>
      </c>
      <c r="FH4262" s="33" t="s">
        <v>478</v>
      </c>
      <c r="FI4262" s="33" t="s">
        <v>479</v>
      </c>
      <c r="FJ4262" t="s">
        <v>59</v>
      </c>
    </row>
    <row r="4263" spans="153:166" x14ac:dyDescent="0.35">
      <c r="EW4263" t="s">
        <v>4093</v>
      </c>
      <c r="EX4263" s="33" t="s">
        <v>5159</v>
      </c>
      <c r="EY4263" s="33" t="s">
        <v>978</v>
      </c>
      <c r="EZ4263" s="33" t="s">
        <v>979</v>
      </c>
      <c r="FA4263" s="33" t="s">
        <v>343</v>
      </c>
      <c r="FB4263" s="33" t="s">
        <v>344</v>
      </c>
      <c r="FC4263" s="33" t="s">
        <v>345</v>
      </c>
      <c r="FD4263" s="33" t="s">
        <v>346</v>
      </c>
      <c r="FE4263" s="33">
        <v>2025</v>
      </c>
      <c r="FF4263" s="33" t="s">
        <v>59</v>
      </c>
      <c r="FG4263" s="33" t="s">
        <v>470</v>
      </c>
      <c r="FH4263" s="33" t="s">
        <v>471</v>
      </c>
      <c r="FI4263" s="33" t="s">
        <v>467</v>
      </c>
      <c r="FJ4263" t="s">
        <v>59</v>
      </c>
    </row>
    <row r="4264" spans="153:166" x14ac:dyDescent="0.35">
      <c r="EW4264" t="s">
        <v>4093</v>
      </c>
      <c r="EX4264" s="33" t="s">
        <v>5160</v>
      </c>
      <c r="EY4264" s="33" t="s">
        <v>980</v>
      </c>
      <c r="EZ4264" s="33" t="s">
        <v>981</v>
      </c>
      <c r="FA4264" s="33" t="s">
        <v>343</v>
      </c>
      <c r="FB4264" s="33" t="s">
        <v>344</v>
      </c>
      <c r="FC4264" s="33" t="s">
        <v>345</v>
      </c>
      <c r="FD4264" s="33" t="s">
        <v>346</v>
      </c>
      <c r="FE4264" s="33">
        <v>2025</v>
      </c>
      <c r="FF4264" s="33" t="s">
        <v>59</v>
      </c>
      <c r="FG4264" s="33" t="s">
        <v>477</v>
      </c>
      <c r="FH4264" s="33" t="s">
        <v>478</v>
      </c>
      <c r="FI4264" s="33" t="s">
        <v>479</v>
      </c>
      <c r="FJ4264" t="s">
        <v>59</v>
      </c>
    </row>
    <row r="4265" spans="153:166" x14ac:dyDescent="0.35">
      <c r="EW4265" t="s">
        <v>4093</v>
      </c>
      <c r="EX4265" s="33" t="s">
        <v>5161</v>
      </c>
      <c r="EY4265" s="33" t="s">
        <v>985</v>
      </c>
      <c r="EZ4265" s="33" t="s">
        <v>986</v>
      </c>
      <c r="FA4265" s="33" t="s">
        <v>343</v>
      </c>
      <c r="FB4265" s="33" t="s">
        <v>344</v>
      </c>
      <c r="FC4265" s="33" t="s">
        <v>345</v>
      </c>
      <c r="FD4265" s="33" t="s">
        <v>346</v>
      </c>
      <c r="FE4265" s="33">
        <v>2025</v>
      </c>
      <c r="FF4265" s="33" t="s">
        <v>59</v>
      </c>
      <c r="FG4265" s="33" t="s">
        <v>477</v>
      </c>
      <c r="FH4265" s="33" t="s">
        <v>478</v>
      </c>
      <c r="FI4265" s="33" t="s">
        <v>479</v>
      </c>
      <c r="FJ4265" t="s">
        <v>59</v>
      </c>
    </row>
    <row r="4266" spans="153:166" x14ac:dyDescent="0.35">
      <c r="EW4266" t="s">
        <v>4093</v>
      </c>
      <c r="EX4266" s="33" t="s">
        <v>5162</v>
      </c>
      <c r="EY4266" s="33" t="s">
        <v>987</v>
      </c>
      <c r="EZ4266" s="33" t="s">
        <v>988</v>
      </c>
      <c r="FA4266" s="33" t="s">
        <v>343</v>
      </c>
      <c r="FB4266" s="33" t="s">
        <v>344</v>
      </c>
      <c r="FC4266" s="33" t="s">
        <v>345</v>
      </c>
      <c r="FD4266" s="33" t="s">
        <v>346</v>
      </c>
      <c r="FE4266" s="33">
        <v>2025</v>
      </c>
      <c r="FF4266" s="33" t="s">
        <v>59</v>
      </c>
      <c r="FG4266" s="33" t="s">
        <v>386</v>
      </c>
      <c r="FH4266" s="33" t="s">
        <v>387</v>
      </c>
      <c r="FI4266" s="33" t="s">
        <v>407</v>
      </c>
      <c r="FJ4266" t="s">
        <v>59</v>
      </c>
    </row>
    <row r="4267" spans="153:166" x14ac:dyDescent="0.35">
      <c r="EW4267" t="s">
        <v>4093</v>
      </c>
      <c r="EX4267" s="33" t="s">
        <v>5163</v>
      </c>
      <c r="EY4267" s="33" t="s">
        <v>989</v>
      </c>
      <c r="EZ4267" s="33" t="s">
        <v>990</v>
      </c>
      <c r="FA4267" s="33" t="s">
        <v>343</v>
      </c>
      <c r="FB4267" s="33" t="s">
        <v>344</v>
      </c>
      <c r="FC4267" s="33" t="s">
        <v>345</v>
      </c>
      <c r="FD4267" s="33" t="s">
        <v>346</v>
      </c>
      <c r="FE4267" s="33">
        <v>2025</v>
      </c>
      <c r="FF4267" s="33" t="s">
        <v>59</v>
      </c>
      <c r="FG4267" s="33" t="s">
        <v>477</v>
      </c>
      <c r="FH4267" s="33" t="s">
        <v>478</v>
      </c>
      <c r="FI4267" s="33" t="s">
        <v>479</v>
      </c>
      <c r="FJ4267" t="s">
        <v>59</v>
      </c>
    </row>
    <row r="4268" spans="153:166" x14ac:dyDescent="0.35">
      <c r="EW4268" t="s">
        <v>4093</v>
      </c>
      <c r="EX4268" s="33" t="s">
        <v>5164</v>
      </c>
      <c r="EY4268" s="33" t="s">
        <v>991</v>
      </c>
      <c r="EZ4268" s="33" t="s">
        <v>992</v>
      </c>
      <c r="FA4268" s="33" t="s">
        <v>343</v>
      </c>
      <c r="FB4268" s="33" t="s">
        <v>344</v>
      </c>
      <c r="FC4268" s="33" t="s">
        <v>345</v>
      </c>
      <c r="FD4268" s="33" t="s">
        <v>346</v>
      </c>
      <c r="FE4268" s="33">
        <v>2025</v>
      </c>
      <c r="FF4268" s="33" t="s">
        <v>59</v>
      </c>
      <c r="FG4268" s="33" t="s">
        <v>386</v>
      </c>
      <c r="FH4268" s="33" t="s">
        <v>387</v>
      </c>
      <c r="FI4268" s="33" t="s">
        <v>407</v>
      </c>
      <c r="FJ4268" t="s">
        <v>59</v>
      </c>
    </row>
    <row r="4269" spans="153:166" x14ac:dyDescent="0.35">
      <c r="EW4269" t="s">
        <v>4093</v>
      </c>
      <c r="EX4269" s="33" t="s">
        <v>5165</v>
      </c>
      <c r="EY4269" s="33" t="s">
        <v>993</v>
      </c>
      <c r="EZ4269" s="33" t="s">
        <v>994</v>
      </c>
      <c r="FA4269" s="33" t="s">
        <v>343</v>
      </c>
      <c r="FB4269" s="33" t="s">
        <v>344</v>
      </c>
      <c r="FC4269" s="33" t="s">
        <v>345</v>
      </c>
      <c r="FD4269" s="33" t="s">
        <v>346</v>
      </c>
      <c r="FE4269" s="33">
        <v>2025</v>
      </c>
      <c r="FF4269" s="33" t="s">
        <v>59</v>
      </c>
      <c r="FG4269" s="33" t="s">
        <v>477</v>
      </c>
      <c r="FH4269" s="33" t="s">
        <v>478</v>
      </c>
      <c r="FI4269" s="33" t="s">
        <v>479</v>
      </c>
      <c r="FJ4269" t="s">
        <v>59</v>
      </c>
    </row>
    <row r="4270" spans="153:166" x14ac:dyDescent="0.35">
      <c r="EW4270" t="s">
        <v>4093</v>
      </c>
      <c r="EX4270" s="33" t="s">
        <v>5166</v>
      </c>
      <c r="EY4270" s="33" t="s">
        <v>998</v>
      </c>
      <c r="EZ4270" s="33" t="s">
        <v>999</v>
      </c>
      <c r="FA4270" s="33" t="s">
        <v>343</v>
      </c>
      <c r="FB4270" s="33" t="s">
        <v>344</v>
      </c>
      <c r="FC4270" s="33" t="s">
        <v>345</v>
      </c>
      <c r="FD4270" s="33" t="s">
        <v>346</v>
      </c>
      <c r="FE4270" s="33">
        <v>2025</v>
      </c>
      <c r="FF4270" s="33" t="s">
        <v>59</v>
      </c>
      <c r="FG4270" s="33" t="s">
        <v>477</v>
      </c>
      <c r="FH4270" s="33" t="s">
        <v>478</v>
      </c>
      <c r="FI4270" s="33" t="s">
        <v>479</v>
      </c>
      <c r="FJ4270" t="s">
        <v>59</v>
      </c>
    </row>
    <row r="4271" spans="153:166" x14ac:dyDescent="0.35">
      <c r="EW4271" t="s">
        <v>4093</v>
      </c>
      <c r="EX4271" s="33" t="s">
        <v>5167</v>
      </c>
      <c r="EY4271" s="33" t="s">
        <v>1000</v>
      </c>
      <c r="EZ4271" s="33" t="s">
        <v>1001</v>
      </c>
      <c r="FA4271" s="33" t="s">
        <v>343</v>
      </c>
      <c r="FB4271" s="33" t="s">
        <v>344</v>
      </c>
      <c r="FC4271" s="33" t="s">
        <v>345</v>
      </c>
      <c r="FD4271" s="33" t="s">
        <v>346</v>
      </c>
      <c r="FE4271" s="33">
        <v>2025</v>
      </c>
      <c r="FF4271" s="33" t="s">
        <v>59</v>
      </c>
      <c r="FG4271" s="33" t="s">
        <v>477</v>
      </c>
      <c r="FH4271" s="33" t="s">
        <v>478</v>
      </c>
      <c r="FI4271" s="33" t="s">
        <v>479</v>
      </c>
      <c r="FJ4271" t="s">
        <v>59</v>
      </c>
    </row>
    <row r="4272" spans="153:166" x14ac:dyDescent="0.35">
      <c r="EW4272" t="s">
        <v>4093</v>
      </c>
      <c r="EX4272" s="33" t="s">
        <v>5168</v>
      </c>
      <c r="EY4272" s="33" t="s">
        <v>1002</v>
      </c>
      <c r="EZ4272" s="33" t="s">
        <v>1003</v>
      </c>
      <c r="FA4272" s="33" t="s">
        <v>343</v>
      </c>
      <c r="FB4272" s="33" t="s">
        <v>344</v>
      </c>
      <c r="FC4272" s="33" t="s">
        <v>345</v>
      </c>
      <c r="FD4272" s="33" t="s">
        <v>346</v>
      </c>
      <c r="FE4272" s="33">
        <v>2025</v>
      </c>
      <c r="FF4272" s="33" t="s">
        <v>59</v>
      </c>
      <c r="FG4272" s="33" t="s">
        <v>477</v>
      </c>
      <c r="FH4272" s="33" t="s">
        <v>478</v>
      </c>
      <c r="FI4272" s="33" t="s">
        <v>479</v>
      </c>
      <c r="FJ4272" t="s">
        <v>59</v>
      </c>
    </row>
    <row r="4273" spans="153:166" x14ac:dyDescent="0.35">
      <c r="EW4273" t="s">
        <v>4093</v>
      </c>
      <c r="EX4273" s="33" t="s">
        <v>5169</v>
      </c>
      <c r="EY4273" s="33" t="s">
        <v>1004</v>
      </c>
      <c r="EZ4273" s="33" t="s">
        <v>1005</v>
      </c>
      <c r="FA4273" s="33" t="s">
        <v>343</v>
      </c>
      <c r="FB4273" s="33" t="s">
        <v>344</v>
      </c>
      <c r="FC4273" s="33" t="s">
        <v>345</v>
      </c>
      <c r="FD4273" s="33" t="s">
        <v>346</v>
      </c>
      <c r="FE4273" s="33">
        <v>2025</v>
      </c>
      <c r="FF4273" s="33" t="s">
        <v>59</v>
      </c>
      <c r="FG4273" s="33" t="s">
        <v>386</v>
      </c>
      <c r="FH4273" s="33" t="s">
        <v>387</v>
      </c>
      <c r="FI4273" s="33" t="s">
        <v>407</v>
      </c>
      <c r="FJ4273" t="s">
        <v>59</v>
      </c>
    </row>
    <row r="4274" spans="153:166" x14ac:dyDescent="0.35">
      <c r="EW4274" t="s">
        <v>4093</v>
      </c>
      <c r="EX4274" s="33" t="s">
        <v>5170</v>
      </c>
      <c r="EY4274" s="33" t="s">
        <v>1006</v>
      </c>
      <c r="EZ4274" s="33" t="s">
        <v>1007</v>
      </c>
      <c r="FA4274" s="33" t="s">
        <v>343</v>
      </c>
      <c r="FB4274" s="33" t="s">
        <v>344</v>
      </c>
      <c r="FC4274" s="33" t="s">
        <v>345</v>
      </c>
      <c r="FD4274" s="33" t="s">
        <v>346</v>
      </c>
      <c r="FE4274" s="33">
        <v>2025</v>
      </c>
      <c r="FF4274" s="33" t="s">
        <v>59</v>
      </c>
      <c r="FG4274" s="33" t="s">
        <v>477</v>
      </c>
      <c r="FH4274" s="33" t="s">
        <v>478</v>
      </c>
      <c r="FI4274" s="33" t="s">
        <v>479</v>
      </c>
      <c r="FJ4274" t="s">
        <v>59</v>
      </c>
    </row>
    <row r="4275" spans="153:166" x14ac:dyDescent="0.35">
      <c r="EW4275" t="s">
        <v>4093</v>
      </c>
      <c r="EX4275" s="33" t="s">
        <v>5171</v>
      </c>
      <c r="EY4275" s="33" t="s">
        <v>1011</v>
      </c>
      <c r="EZ4275" s="33" t="s">
        <v>1012</v>
      </c>
      <c r="FA4275" s="33" t="s">
        <v>343</v>
      </c>
      <c r="FB4275" s="33" t="s">
        <v>344</v>
      </c>
      <c r="FC4275" s="33" t="s">
        <v>345</v>
      </c>
      <c r="FD4275" s="33" t="s">
        <v>346</v>
      </c>
      <c r="FE4275" s="33">
        <v>2025</v>
      </c>
      <c r="FF4275" s="33" t="s">
        <v>59</v>
      </c>
      <c r="FG4275" s="33" t="s">
        <v>477</v>
      </c>
      <c r="FH4275" s="33" t="s">
        <v>478</v>
      </c>
      <c r="FI4275" s="33" t="s">
        <v>479</v>
      </c>
      <c r="FJ4275" t="s">
        <v>59</v>
      </c>
    </row>
    <row r="4276" spans="153:166" x14ac:dyDescent="0.35">
      <c r="EW4276" t="s">
        <v>4093</v>
      </c>
      <c r="EX4276" s="33" t="s">
        <v>5172</v>
      </c>
      <c r="EY4276" s="33" t="s">
        <v>1013</v>
      </c>
      <c r="EZ4276" s="33" t="s">
        <v>1014</v>
      </c>
      <c r="FA4276" s="33" t="s">
        <v>343</v>
      </c>
      <c r="FB4276" s="33" t="s">
        <v>344</v>
      </c>
      <c r="FC4276" s="33" t="s">
        <v>345</v>
      </c>
      <c r="FD4276" s="33" t="s">
        <v>346</v>
      </c>
      <c r="FE4276" s="33">
        <v>2025</v>
      </c>
      <c r="FF4276" s="33" t="s">
        <v>59</v>
      </c>
      <c r="FG4276" s="33" t="s">
        <v>477</v>
      </c>
      <c r="FH4276" s="33" t="s">
        <v>478</v>
      </c>
      <c r="FI4276" s="33" t="s">
        <v>479</v>
      </c>
      <c r="FJ4276" t="s">
        <v>59</v>
      </c>
    </row>
    <row r="4277" spans="153:166" x14ac:dyDescent="0.35">
      <c r="EW4277" t="s">
        <v>4093</v>
      </c>
      <c r="EX4277" s="33" t="s">
        <v>5173</v>
      </c>
      <c r="EY4277" s="33" t="s">
        <v>1015</v>
      </c>
      <c r="EZ4277" s="33" t="s">
        <v>1016</v>
      </c>
      <c r="FA4277" s="33" t="s">
        <v>343</v>
      </c>
      <c r="FB4277" s="33" t="s">
        <v>344</v>
      </c>
      <c r="FC4277" s="33" t="s">
        <v>345</v>
      </c>
      <c r="FD4277" s="33" t="s">
        <v>346</v>
      </c>
      <c r="FE4277" s="33">
        <v>2025</v>
      </c>
      <c r="FF4277" s="33" t="s">
        <v>59</v>
      </c>
      <c r="FG4277" s="33" t="s">
        <v>470</v>
      </c>
      <c r="FH4277" s="33" t="s">
        <v>471</v>
      </c>
      <c r="FI4277" s="33" t="s">
        <v>467</v>
      </c>
      <c r="FJ4277" t="s">
        <v>59</v>
      </c>
    </row>
    <row r="4278" spans="153:166" x14ac:dyDescent="0.35">
      <c r="EW4278" t="s">
        <v>4093</v>
      </c>
      <c r="EX4278" s="33" t="s">
        <v>5174</v>
      </c>
      <c r="EY4278" s="33" t="s">
        <v>1020</v>
      </c>
      <c r="EZ4278" s="33" t="s">
        <v>1021</v>
      </c>
      <c r="FA4278" s="33" t="s">
        <v>343</v>
      </c>
      <c r="FB4278" s="33" t="s">
        <v>344</v>
      </c>
      <c r="FC4278" s="33" t="s">
        <v>345</v>
      </c>
      <c r="FD4278" s="33" t="s">
        <v>346</v>
      </c>
      <c r="FE4278" s="33">
        <v>2025</v>
      </c>
      <c r="FF4278" s="33" t="s">
        <v>59</v>
      </c>
      <c r="FG4278" s="33" t="s">
        <v>470</v>
      </c>
      <c r="FH4278" s="33" t="s">
        <v>471</v>
      </c>
      <c r="FI4278" s="33" t="s">
        <v>467</v>
      </c>
      <c r="FJ4278" t="s">
        <v>59</v>
      </c>
    </row>
    <row r="4279" spans="153:166" x14ac:dyDescent="0.35">
      <c r="EW4279" t="s">
        <v>4093</v>
      </c>
      <c r="EX4279" s="33" t="s">
        <v>5175</v>
      </c>
      <c r="EY4279" s="33" t="s">
        <v>1022</v>
      </c>
      <c r="EZ4279" s="33" t="s">
        <v>1023</v>
      </c>
      <c r="FA4279" s="33" t="s">
        <v>343</v>
      </c>
      <c r="FB4279" s="33" t="s">
        <v>344</v>
      </c>
      <c r="FC4279" s="33" t="s">
        <v>345</v>
      </c>
      <c r="FD4279" s="33" t="s">
        <v>346</v>
      </c>
      <c r="FE4279" s="33">
        <v>2025</v>
      </c>
      <c r="FF4279" s="33" t="s">
        <v>59</v>
      </c>
      <c r="FG4279" s="33" t="s">
        <v>470</v>
      </c>
      <c r="FH4279" s="33" t="s">
        <v>471</v>
      </c>
      <c r="FI4279" s="33" t="s">
        <v>467</v>
      </c>
      <c r="FJ4279" t="s">
        <v>59</v>
      </c>
    </row>
    <row r="4280" spans="153:166" x14ac:dyDescent="0.35">
      <c r="EW4280" t="s">
        <v>4093</v>
      </c>
      <c r="EX4280" s="33" t="s">
        <v>5176</v>
      </c>
      <c r="EY4280" s="33" t="s">
        <v>1024</v>
      </c>
      <c r="EZ4280" s="33" t="s">
        <v>1025</v>
      </c>
      <c r="FA4280" s="33" t="s">
        <v>343</v>
      </c>
      <c r="FB4280" s="33" t="s">
        <v>344</v>
      </c>
      <c r="FC4280" s="33" t="s">
        <v>345</v>
      </c>
      <c r="FD4280" s="33" t="s">
        <v>346</v>
      </c>
      <c r="FE4280" s="33">
        <v>2025</v>
      </c>
      <c r="FF4280" s="33" t="s">
        <v>59</v>
      </c>
      <c r="FG4280" s="33" t="s">
        <v>477</v>
      </c>
      <c r="FH4280" s="33" t="s">
        <v>478</v>
      </c>
      <c r="FI4280" s="33" t="s">
        <v>479</v>
      </c>
      <c r="FJ4280" t="s">
        <v>59</v>
      </c>
    </row>
    <row r="4281" spans="153:166" x14ac:dyDescent="0.35">
      <c r="EW4281" t="s">
        <v>4093</v>
      </c>
      <c r="EX4281" s="33" t="s">
        <v>5177</v>
      </c>
      <c r="EY4281" s="33" t="s">
        <v>1026</v>
      </c>
      <c r="EZ4281" s="33" t="s">
        <v>1027</v>
      </c>
      <c r="FA4281" s="33" t="s">
        <v>343</v>
      </c>
      <c r="FB4281" s="33" t="s">
        <v>344</v>
      </c>
      <c r="FC4281" s="33" t="s">
        <v>345</v>
      </c>
      <c r="FD4281" s="33" t="s">
        <v>346</v>
      </c>
      <c r="FE4281" s="33">
        <v>2025</v>
      </c>
      <c r="FF4281" s="33" t="s">
        <v>59</v>
      </c>
      <c r="FG4281" s="33" t="s">
        <v>386</v>
      </c>
      <c r="FH4281" s="33" t="s">
        <v>387</v>
      </c>
      <c r="FI4281" s="33" t="s">
        <v>407</v>
      </c>
      <c r="FJ4281" t="s">
        <v>59</v>
      </c>
    </row>
    <row r="4282" spans="153:166" x14ac:dyDescent="0.35">
      <c r="EW4282" t="s">
        <v>4093</v>
      </c>
      <c r="EX4282" s="33" t="s">
        <v>5178</v>
      </c>
      <c r="EY4282" s="33" t="s">
        <v>1028</v>
      </c>
      <c r="EZ4282" s="33" t="s">
        <v>1029</v>
      </c>
      <c r="FA4282" s="33" t="s">
        <v>343</v>
      </c>
      <c r="FB4282" s="33" t="s">
        <v>344</v>
      </c>
      <c r="FC4282" s="33" t="s">
        <v>345</v>
      </c>
      <c r="FD4282" s="33" t="s">
        <v>346</v>
      </c>
      <c r="FE4282" s="33">
        <v>2025</v>
      </c>
      <c r="FF4282" s="33" t="s">
        <v>59</v>
      </c>
      <c r="FG4282" s="33" t="s">
        <v>470</v>
      </c>
      <c r="FH4282" s="33" t="s">
        <v>471</v>
      </c>
      <c r="FI4282" s="33" t="s">
        <v>467</v>
      </c>
      <c r="FJ4282" t="s">
        <v>59</v>
      </c>
    </row>
    <row r="4283" spans="153:166" x14ac:dyDescent="0.35">
      <c r="EW4283" t="s">
        <v>4093</v>
      </c>
      <c r="EX4283" s="33" t="s">
        <v>5179</v>
      </c>
      <c r="EY4283" s="33" t="s">
        <v>1030</v>
      </c>
      <c r="EZ4283" s="33" t="s">
        <v>1031</v>
      </c>
      <c r="FA4283" s="33" t="s">
        <v>343</v>
      </c>
      <c r="FB4283" s="33" t="s">
        <v>344</v>
      </c>
      <c r="FC4283" s="33" t="s">
        <v>345</v>
      </c>
      <c r="FD4283" s="33" t="s">
        <v>346</v>
      </c>
      <c r="FE4283" s="33">
        <v>2025</v>
      </c>
      <c r="FF4283" s="33" t="s">
        <v>59</v>
      </c>
      <c r="FG4283" s="33" t="s">
        <v>477</v>
      </c>
      <c r="FH4283" s="33" t="s">
        <v>478</v>
      </c>
      <c r="FI4283" s="33" t="s">
        <v>479</v>
      </c>
      <c r="FJ4283" t="s">
        <v>59</v>
      </c>
    </row>
    <row r="4284" spans="153:166" x14ac:dyDescent="0.35">
      <c r="EW4284" t="s">
        <v>4093</v>
      </c>
      <c r="EX4284" s="33" t="s">
        <v>5180</v>
      </c>
      <c r="EY4284" s="33" t="s">
        <v>1032</v>
      </c>
      <c r="EZ4284" s="33" t="s">
        <v>1033</v>
      </c>
      <c r="FA4284" s="33" t="s">
        <v>343</v>
      </c>
      <c r="FB4284" s="33" t="s">
        <v>344</v>
      </c>
      <c r="FC4284" s="33" t="s">
        <v>345</v>
      </c>
      <c r="FD4284" s="33" t="s">
        <v>346</v>
      </c>
      <c r="FE4284" s="33">
        <v>2025</v>
      </c>
      <c r="FF4284" s="33" t="s">
        <v>59</v>
      </c>
      <c r="FG4284" s="33" t="s">
        <v>470</v>
      </c>
      <c r="FH4284" s="33" t="s">
        <v>471</v>
      </c>
      <c r="FI4284" s="33" t="s">
        <v>467</v>
      </c>
      <c r="FJ4284" t="s">
        <v>59</v>
      </c>
    </row>
    <row r="4285" spans="153:166" x14ac:dyDescent="0.35">
      <c r="EW4285" t="s">
        <v>4093</v>
      </c>
      <c r="EX4285" s="33" t="s">
        <v>5181</v>
      </c>
      <c r="EY4285" s="33" t="s">
        <v>1037</v>
      </c>
      <c r="EZ4285" s="33" t="s">
        <v>1038</v>
      </c>
      <c r="FA4285" s="33" t="s">
        <v>343</v>
      </c>
      <c r="FB4285" s="33" t="s">
        <v>344</v>
      </c>
      <c r="FC4285" s="33" t="s">
        <v>345</v>
      </c>
      <c r="FD4285" s="33" t="s">
        <v>346</v>
      </c>
      <c r="FE4285" s="33">
        <v>2025</v>
      </c>
      <c r="FF4285" s="33" t="s">
        <v>59</v>
      </c>
      <c r="FG4285" s="33" t="s">
        <v>470</v>
      </c>
      <c r="FH4285" s="33" t="s">
        <v>471</v>
      </c>
      <c r="FI4285" s="33" t="s">
        <v>467</v>
      </c>
      <c r="FJ4285" t="s">
        <v>59</v>
      </c>
    </row>
    <row r="4286" spans="153:166" x14ac:dyDescent="0.35">
      <c r="EW4286" t="s">
        <v>4093</v>
      </c>
      <c r="EX4286" s="33" t="s">
        <v>5182</v>
      </c>
      <c r="EY4286" s="33" t="s">
        <v>1039</v>
      </c>
      <c r="EZ4286" s="33" t="s">
        <v>1040</v>
      </c>
      <c r="FA4286" s="33" t="s">
        <v>343</v>
      </c>
      <c r="FB4286" s="33" t="s">
        <v>344</v>
      </c>
      <c r="FC4286" s="33" t="s">
        <v>345</v>
      </c>
      <c r="FD4286" s="33" t="s">
        <v>346</v>
      </c>
      <c r="FE4286" s="33">
        <v>2025</v>
      </c>
      <c r="FF4286" s="33" t="s">
        <v>59</v>
      </c>
      <c r="FG4286" s="33" t="s">
        <v>477</v>
      </c>
      <c r="FH4286" s="33" t="s">
        <v>478</v>
      </c>
      <c r="FI4286" s="33" t="s">
        <v>479</v>
      </c>
      <c r="FJ4286" t="s">
        <v>59</v>
      </c>
    </row>
    <row r="4287" spans="153:166" x14ac:dyDescent="0.35">
      <c r="EW4287" t="s">
        <v>4093</v>
      </c>
      <c r="EX4287" s="33" t="s">
        <v>5183</v>
      </c>
      <c r="EY4287" s="33" t="s">
        <v>1041</v>
      </c>
      <c r="EZ4287" s="33" t="s">
        <v>1042</v>
      </c>
      <c r="FA4287" s="33" t="s">
        <v>343</v>
      </c>
      <c r="FB4287" s="33" t="s">
        <v>344</v>
      </c>
      <c r="FC4287" s="33" t="s">
        <v>345</v>
      </c>
      <c r="FD4287" s="33" t="s">
        <v>346</v>
      </c>
      <c r="FE4287" s="33">
        <v>2025</v>
      </c>
      <c r="FF4287" s="33" t="s">
        <v>59</v>
      </c>
      <c r="FG4287" s="33" t="s">
        <v>477</v>
      </c>
      <c r="FH4287" s="33" t="s">
        <v>478</v>
      </c>
      <c r="FI4287" s="33" t="s">
        <v>479</v>
      </c>
      <c r="FJ4287" t="s">
        <v>59</v>
      </c>
    </row>
    <row r="4288" spans="153:166" x14ac:dyDescent="0.35">
      <c r="EW4288" t="s">
        <v>4093</v>
      </c>
      <c r="EX4288" s="33" t="s">
        <v>5184</v>
      </c>
      <c r="EY4288" s="33" t="s">
        <v>1043</v>
      </c>
      <c r="EZ4288" s="33" t="s">
        <v>1044</v>
      </c>
      <c r="FA4288" s="33" t="s">
        <v>343</v>
      </c>
      <c r="FB4288" s="33" t="s">
        <v>344</v>
      </c>
      <c r="FC4288" s="33" t="s">
        <v>345</v>
      </c>
      <c r="FD4288" s="33" t="s">
        <v>346</v>
      </c>
      <c r="FE4288" s="33">
        <v>2025</v>
      </c>
      <c r="FF4288" s="33" t="s">
        <v>59</v>
      </c>
      <c r="FG4288" s="33" t="s">
        <v>477</v>
      </c>
      <c r="FH4288" s="33" t="s">
        <v>478</v>
      </c>
      <c r="FI4288" s="33" t="s">
        <v>479</v>
      </c>
      <c r="FJ4288" t="s">
        <v>59</v>
      </c>
    </row>
    <row r="4289" spans="153:166" x14ac:dyDescent="0.35">
      <c r="EW4289" t="s">
        <v>4093</v>
      </c>
      <c r="EX4289" s="33" t="s">
        <v>5185</v>
      </c>
      <c r="EY4289" s="33" t="s">
        <v>1045</v>
      </c>
      <c r="EZ4289" s="33" t="s">
        <v>1046</v>
      </c>
      <c r="FA4289" s="33" t="s">
        <v>343</v>
      </c>
      <c r="FB4289" s="33" t="s">
        <v>344</v>
      </c>
      <c r="FC4289" s="33" t="s">
        <v>345</v>
      </c>
      <c r="FD4289" s="33" t="s">
        <v>346</v>
      </c>
      <c r="FE4289" s="33">
        <v>2025</v>
      </c>
      <c r="FF4289" s="33" t="s">
        <v>59</v>
      </c>
      <c r="FG4289" s="33" t="s">
        <v>470</v>
      </c>
      <c r="FH4289" s="33" t="s">
        <v>471</v>
      </c>
      <c r="FI4289" s="33" t="s">
        <v>467</v>
      </c>
      <c r="FJ4289" t="s">
        <v>59</v>
      </c>
    </row>
    <row r="4290" spans="153:166" x14ac:dyDescent="0.35">
      <c r="EW4290" t="s">
        <v>4093</v>
      </c>
      <c r="EX4290" s="33" t="s">
        <v>5186</v>
      </c>
      <c r="EY4290" s="33" t="s">
        <v>1047</v>
      </c>
      <c r="EZ4290" s="33" t="s">
        <v>1048</v>
      </c>
      <c r="FA4290" s="33" t="s">
        <v>343</v>
      </c>
      <c r="FB4290" s="33" t="s">
        <v>344</v>
      </c>
      <c r="FC4290" s="33" t="s">
        <v>345</v>
      </c>
      <c r="FD4290" s="33" t="s">
        <v>346</v>
      </c>
      <c r="FE4290" s="33">
        <v>2025</v>
      </c>
      <c r="FF4290" s="33" t="s">
        <v>59</v>
      </c>
      <c r="FG4290" s="33" t="s">
        <v>477</v>
      </c>
      <c r="FH4290" s="33" t="s">
        <v>478</v>
      </c>
      <c r="FI4290" s="33" t="s">
        <v>479</v>
      </c>
      <c r="FJ4290" t="s">
        <v>59</v>
      </c>
    </row>
    <row r="4291" spans="153:166" x14ac:dyDescent="0.35">
      <c r="EW4291" t="s">
        <v>4093</v>
      </c>
      <c r="EX4291" s="33" t="s">
        <v>5187</v>
      </c>
      <c r="EY4291" s="33" t="s">
        <v>1049</v>
      </c>
      <c r="EZ4291" s="33" t="s">
        <v>1050</v>
      </c>
      <c r="FA4291" s="33" t="s">
        <v>343</v>
      </c>
      <c r="FB4291" s="33" t="s">
        <v>344</v>
      </c>
      <c r="FC4291" s="33" t="s">
        <v>345</v>
      </c>
      <c r="FD4291" s="33" t="s">
        <v>346</v>
      </c>
      <c r="FE4291" s="33">
        <v>2025</v>
      </c>
      <c r="FF4291" s="33" t="s">
        <v>59</v>
      </c>
      <c r="FG4291" s="33" t="s">
        <v>477</v>
      </c>
      <c r="FH4291" s="33" t="s">
        <v>478</v>
      </c>
      <c r="FI4291" s="33" t="s">
        <v>479</v>
      </c>
      <c r="FJ4291" t="s">
        <v>59</v>
      </c>
    </row>
    <row r="4292" spans="153:166" x14ac:dyDescent="0.35">
      <c r="EW4292" t="s">
        <v>4093</v>
      </c>
      <c r="EX4292" s="33" t="s">
        <v>5188</v>
      </c>
      <c r="EY4292" s="33" t="s">
        <v>1051</v>
      </c>
      <c r="EZ4292" s="33" t="s">
        <v>1052</v>
      </c>
      <c r="FA4292" s="33" t="s">
        <v>343</v>
      </c>
      <c r="FB4292" s="33" t="s">
        <v>344</v>
      </c>
      <c r="FC4292" s="33" t="s">
        <v>345</v>
      </c>
      <c r="FD4292" s="33" t="s">
        <v>346</v>
      </c>
      <c r="FE4292" s="33">
        <v>2025</v>
      </c>
      <c r="FF4292" s="33" t="s">
        <v>59</v>
      </c>
      <c r="FG4292" s="33" t="s">
        <v>386</v>
      </c>
      <c r="FH4292" s="33" t="s">
        <v>387</v>
      </c>
      <c r="FI4292" s="33" t="s">
        <v>407</v>
      </c>
      <c r="FJ4292" t="s">
        <v>59</v>
      </c>
    </row>
    <row r="4293" spans="153:166" x14ac:dyDescent="0.35">
      <c r="EW4293" t="s">
        <v>4093</v>
      </c>
      <c r="EX4293" s="33" t="s">
        <v>5189</v>
      </c>
      <c r="EY4293" s="33" t="s">
        <v>1053</v>
      </c>
      <c r="EZ4293" s="33" t="s">
        <v>1054</v>
      </c>
      <c r="FA4293" s="33" t="s">
        <v>343</v>
      </c>
      <c r="FB4293" s="33" t="s">
        <v>344</v>
      </c>
      <c r="FC4293" s="33" t="s">
        <v>345</v>
      </c>
      <c r="FD4293" s="33" t="s">
        <v>346</v>
      </c>
      <c r="FE4293" s="33">
        <v>2025</v>
      </c>
      <c r="FF4293" s="33" t="s">
        <v>59</v>
      </c>
      <c r="FG4293" s="33" t="s">
        <v>470</v>
      </c>
      <c r="FH4293" s="33" t="s">
        <v>471</v>
      </c>
      <c r="FI4293" s="33" t="s">
        <v>467</v>
      </c>
      <c r="FJ4293" t="s">
        <v>59</v>
      </c>
    </row>
    <row r="4294" spans="153:166" x14ac:dyDescent="0.35">
      <c r="EW4294" t="s">
        <v>4093</v>
      </c>
      <c r="EX4294" s="33" t="s">
        <v>5190</v>
      </c>
      <c r="EY4294" s="33" t="s">
        <v>1055</v>
      </c>
      <c r="EZ4294" s="33" t="s">
        <v>1056</v>
      </c>
      <c r="FA4294" s="33" t="s">
        <v>343</v>
      </c>
      <c r="FB4294" s="33" t="s">
        <v>344</v>
      </c>
      <c r="FC4294" s="33" t="s">
        <v>345</v>
      </c>
      <c r="FD4294" s="33" t="s">
        <v>346</v>
      </c>
      <c r="FE4294" s="33">
        <v>2025</v>
      </c>
      <c r="FF4294" s="33" t="s">
        <v>59</v>
      </c>
      <c r="FG4294" s="33" t="s">
        <v>470</v>
      </c>
      <c r="FH4294" s="33" t="s">
        <v>471</v>
      </c>
      <c r="FI4294" s="33" t="s">
        <v>467</v>
      </c>
      <c r="FJ4294" t="s">
        <v>59</v>
      </c>
    </row>
    <row r="4295" spans="153:166" x14ac:dyDescent="0.35">
      <c r="EW4295" t="s">
        <v>4093</v>
      </c>
      <c r="EX4295" s="33" t="s">
        <v>5191</v>
      </c>
      <c r="EY4295" s="33" t="s">
        <v>1057</v>
      </c>
      <c r="EZ4295" s="33" t="s">
        <v>1058</v>
      </c>
      <c r="FA4295" s="33" t="s">
        <v>343</v>
      </c>
      <c r="FB4295" s="33" t="s">
        <v>344</v>
      </c>
      <c r="FC4295" s="33" t="s">
        <v>345</v>
      </c>
      <c r="FD4295" s="33" t="s">
        <v>346</v>
      </c>
      <c r="FE4295" s="33">
        <v>2025</v>
      </c>
      <c r="FF4295" s="33" t="s">
        <v>59</v>
      </c>
      <c r="FG4295" s="33" t="s">
        <v>477</v>
      </c>
      <c r="FH4295" s="33" t="s">
        <v>478</v>
      </c>
      <c r="FI4295" s="33" t="s">
        <v>479</v>
      </c>
      <c r="FJ4295" t="s">
        <v>59</v>
      </c>
    </row>
    <row r="4296" spans="153:166" x14ac:dyDescent="0.35">
      <c r="EW4296" t="s">
        <v>4093</v>
      </c>
      <c r="EX4296" s="33" t="s">
        <v>5192</v>
      </c>
      <c r="EY4296" s="33" t="s">
        <v>1062</v>
      </c>
      <c r="EZ4296" s="33" t="s">
        <v>1063</v>
      </c>
      <c r="FA4296" s="33" t="s">
        <v>343</v>
      </c>
      <c r="FB4296" s="33" t="s">
        <v>344</v>
      </c>
      <c r="FC4296" s="33" t="s">
        <v>345</v>
      </c>
      <c r="FD4296" s="33" t="s">
        <v>346</v>
      </c>
      <c r="FE4296" s="33">
        <v>2025</v>
      </c>
      <c r="FF4296" s="33" t="s">
        <v>59</v>
      </c>
      <c r="FG4296" s="33" t="s">
        <v>477</v>
      </c>
      <c r="FH4296" s="33" t="s">
        <v>478</v>
      </c>
      <c r="FI4296" s="33" t="s">
        <v>479</v>
      </c>
      <c r="FJ4296" t="s">
        <v>59</v>
      </c>
    </row>
    <row r="4297" spans="153:166" x14ac:dyDescent="0.35">
      <c r="EW4297" t="s">
        <v>4093</v>
      </c>
      <c r="EX4297" s="33" t="s">
        <v>5193</v>
      </c>
      <c r="EY4297" s="33" t="s">
        <v>1064</v>
      </c>
      <c r="EZ4297" s="33" t="s">
        <v>1065</v>
      </c>
      <c r="FA4297" s="33" t="s">
        <v>343</v>
      </c>
      <c r="FB4297" s="33" t="s">
        <v>344</v>
      </c>
      <c r="FC4297" s="33" t="s">
        <v>345</v>
      </c>
      <c r="FD4297" s="33" t="s">
        <v>346</v>
      </c>
      <c r="FE4297" s="33">
        <v>2025</v>
      </c>
      <c r="FF4297" s="33" t="s">
        <v>59</v>
      </c>
      <c r="FG4297" s="33" t="s">
        <v>477</v>
      </c>
      <c r="FH4297" s="33" t="s">
        <v>478</v>
      </c>
      <c r="FI4297" s="33" t="s">
        <v>479</v>
      </c>
      <c r="FJ4297" t="s">
        <v>59</v>
      </c>
    </row>
    <row r="4298" spans="153:166" x14ac:dyDescent="0.35">
      <c r="EW4298" t="s">
        <v>4093</v>
      </c>
      <c r="EX4298" s="33" t="s">
        <v>5194</v>
      </c>
      <c r="EY4298" s="33" t="s">
        <v>1066</v>
      </c>
      <c r="EZ4298" s="33" t="s">
        <v>1067</v>
      </c>
      <c r="FA4298" s="33" t="s">
        <v>343</v>
      </c>
      <c r="FB4298" s="33" t="s">
        <v>344</v>
      </c>
      <c r="FC4298" s="33" t="s">
        <v>345</v>
      </c>
      <c r="FD4298" s="33" t="s">
        <v>346</v>
      </c>
      <c r="FE4298" s="33">
        <v>2025</v>
      </c>
      <c r="FF4298" s="33" t="s">
        <v>59</v>
      </c>
      <c r="FG4298" s="33" t="s">
        <v>477</v>
      </c>
      <c r="FH4298" s="33" t="s">
        <v>478</v>
      </c>
      <c r="FI4298" s="33" t="s">
        <v>479</v>
      </c>
      <c r="FJ4298" t="s">
        <v>59</v>
      </c>
    </row>
    <row r="4299" spans="153:166" x14ac:dyDescent="0.35">
      <c r="EW4299" t="s">
        <v>4093</v>
      </c>
      <c r="EX4299" s="33" t="s">
        <v>5195</v>
      </c>
      <c r="EY4299" s="33" t="s">
        <v>1068</v>
      </c>
      <c r="EZ4299" s="33" t="s">
        <v>1069</v>
      </c>
      <c r="FA4299" s="33" t="s">
        <v>343</v>
      </c>
      <c r="FB4299" s="33" t="s">
        <v>344</v>
      </c>
      <c r="FC4299" s="33" t="s">
        <v>345</v>
      </c>
      <c r="FD4299" s="33" t="s">
        <v>346</v>
      </c>
      <c r="FE4299" s="33">
        <v>2025</v>
      </c>
      <c r="FF4299" s="33" t="s">
        <v>59</v>
      </c>
      <c r="FG4299" s="33" t="s">
        <v>56</v>
      </c>
      <c r="FH4299" s="33" t="s">
        <v>57</v>
      </c>
      <c r="FI4299" s="33" t="s">
        <v>58</v>
      </c>
      <c r="FJ4299" t="s">
        <v>59</v>
      </c>
    </row>
    <row r="4300" spans="153:166" x14ac:dyDescent="0.35">
      <c r="EW4300" t="s">
        <v>4093</v>
      </c>
      <c r="EX4300" s="33" t="s">
        <v>5196</v>
      </c>
      <c r="EY4300" s="33" t="s">
        <v>1070</v>
      </c>
      <c r="EZ4300" s="33" t="s">
        <v>1071</v>
      </c>
      <c r="FA4300" s="33" t="s">
        <v>343</v>
      </c>
      <c r="FB4300" s="33" t="s">
        <v>344</v>
      </c>
      <c r="FC4300" s="33" t="s">
        <v>345</v>
      </c>
      <c r="FD4300" s="33" t="s">
        <v>346</v>
      </c>
      <c r="FE4300" s="33">
        <v>2025</v>
      </c>
      <c r="FF4300" s="33" t="s">
        <v>59</v>
      </c>
      <c r="FG4300" s="33" t="s">
        <v>56</v>
      </c>
      <c r="FH4300" s="33" t="s">
        <v>57</v>
      </c>
      <c r="FI4300" s="33" t="s">
        <v>58</v>
      </c>
      <c r="FJ4300" t="s">
        <v>59</v>
      </c>
    </row>
    <row r="4301" spans="153:166" x14ac:dyDescent="0.35">
      <c r="EW4301" t="s">
        <v>4093</v>
      </c>
      <c r="EX4301" s="33" t="s">
        <v>5197</v>
      </c>
      <c r="EY4301" s="33" t="s">
        <v>1072</v>
      </c>
      <c r="EZ4301" s="33" t="s">
        <v>1073</v>
      </c>
      <c r="FA4301" s="33" t="s">
        <v>343</v>
      </c>
      <c r="FB4301" s="33" t="s">
        <v>344</v>
      </c>
      <c r="FC4301" s="33" t="s">
        <v>345</v>
      </c>
      <c r="FD4301" s="33" t="s">
        <v>346</v>
      </c>
      <c r="FE4301" s="33">
        <v>2025</v>
      </c>
      <c r="FF4301" s="33" t="s">
        <v>59</v>
      </c>
      <c r="FG4301" s="33" t="s">
        <v>56</v>
      </c>
      <c r="FH4301" s="33" t="s">
        <v>57</v>
      </c>
      <c r="FI4301" s="33" t="s">
        <v>58</v>
      </c>
      <c r="FJ4301" t="s">
        <v>59</v>
      </c>
    </row>
    <row r="4302" spans="153:166" x14ac:dyDescent="0.35">
      <c r="EW4302" t="s">
        <v>4093</v>
      </c>
      <c r="EX4302" s="33" t="s">
        <v>5198</v>
      </c>
      <c r="EY4302" s="33" t="s">
        <v>1074</v>
      </c>
      <c r="EZ4302" s="33" t="s">
        <v>1075</v>
      </c>
      <c r="FA4302" s="33" t="s">
        <v>343</v>
      </c>
      <c r="FB4302" s="33" t="s">
        <v>344</v>
      </c>
      <c r="FC4302" s="33" t="s">
        <v>345</v>
      </c>
      <c r="FD4302" s="33" t="s">
        <v>346</v>
      </c>
      <c r="FE4302" s="33">
        <v>2025</v>
      </c>
      <c r="FF4302" s="33" t="s">
        <v>59</v>
      </c>
      <c r="FG4302" s="33" t="s">
        <v>386</v>
      </c>
      <c r="FH4302" s="33" t="s">
        <v>387</v>
      </c>
      <c r="FI4302" s="33" t="s">
        <v>407</v>
      </c>
      <c r="FJ4302" t="s">
        <v>59</v>
      </c>
    </row>
    <row r="4303" spans="153:166" x14ac:dyDescent="0.35">
      <c r="EW4303" t="s">
        <v>4093</v>
      </c>
      <c r="EX4303" s="33" t="s">
        <v>5199</v>
      </c>
      <c r="EY4303" s="33" t="s">
        <v>1076</v>
      </c>
      <c r="EZ4303" s="33" t="s">
        <v>1077</v>
      </c>
      <c r="FA4303" s="33" t="s">
        <v>343</v>
      </c>
      <c r="FB4303" s="33" t="s">
        <v>344</v>
      </c>
      <c r="FC4303" s="33" t="s">
        <v>345</v>
      </c>
      <c r="FD4303" s="33" t="s">
        <v>346</v>
      </c>
      <c r="FE4303" s="33">
        <v>2025</v>
      </c>
      <c r="FF4303" s="33" t="s">
        <v>59</v>
      </c>
      <c r="FG4303" s="33" t="s">
        <v>477</v>
      </c>
      <c r="FH4303" s="33" t="s">
        <v>478</v>
      </c>
      <c r="FI4303" s="33" t="s">
        <v>479</v>
      </c>
      <c r="FJ4303" t="s">
        <v>59</v>
      </c>
    </row>
    <row r="4304" spans="153:166" x14ac:dyDescent="0.35">
      <c r="EW4304" t="s">
        <v>4093</v>
      </c>
      <c r="EX4304" s="33" t="s">
        <v>5200</v>
      </c>
      <c r="EY4304" s="33" t="s">
        <v>1078</v>
      </c>
      <c r="EZ4304" s="33" t="s">
        <v>1079</v>
      </c>
      <c r="FA4304" s="33" t="s">
        <v>343</v>
      </c>
      <c r="FB4304" s="33" t="s">
        <v>344</v>
      </c>
      <c r="FC4304" s="33" t="s">
        <v>345</v>
      </c>
      <c r="FD4304" s="33" t="s">
        <v>346</v>
      </c>
      <c r="FE4304" s="33">
        <v>2025</v>
      </c>
      <c r="FF4304" s="33" t="s">
        <v>59</v>
      </c>
      <c r="FG4304" s="33" t="s">
        <v>470</v>
      </c>
      <c r="FH4304" s="33" t="s">
        <v>471</v>
      </c>
      <c r="FI4304" s="33" t="s">
        <v>467</v>
      </c>
      <c r="FJ4304" t="s">
        <v>59</v>
      </c>
    </row>
    <row r="4305" spans="153:166" x14ac:dyDescent="0.35">
      <c r="EW4305" t="s">
        <v>4093</v>
      </c>
      <c r="EX4305" s="33" t="s">
        <v>5201</v>
      </c>
      <c r="EY4305" s="33" t="s">
        <v>1080</v>
      </c>
      <c r="EZ4305" s="33" t="s">
        <v>1081</v>
      </c>
      <c r="FA4305" s="33" t="s">
        <v>343</v>
      </c>
      <c r="FB4305" s="33" t="s">
        <v>344</v>
      </c>
      <c r="FC4305" s="33" t="s">
        <v>345</v>
      </c>
      <c r="FD4305" s="33" t="s">
        <v>346</v>
      </c>
      <c r="FE4305" s="33">
        <v>2025</v>
      </c>
      <c r="FF4305" s="33" t="s">
        <v>59</v>
      </c>
      <c r="FG4305" s="33" t="s">
        <v>386</v>
      </c>
      <c r="FH4305" s="33" t="s">
        <v>387</v>
      </c>
      <c r="FI4305" s="33" t="s">
        <v>407</v>
      </c>
      <c r="FJ4305" t="s">
        <v>59</v>
      </c>
    </row>
    <row r="4306" spans="153:166" x14ac:dyDescent="0.35">
      <c r="EW4306" t="s">
        <v>4093</v>
      </c>
      <c r="EX4306" s="33" t="s">
        <v>5202</v>
      </c>
      <c r="EY4306" s="33" t="s">
        <v>1085</v>
      </c>
      <c r="EZ4306" s="33" t="s">
        <v>1086</v>
      </c>
      <c r="FA4306" s="33" t="s">
        <v>343</v>
      </c>
      <c r="FB4306" s="33" t="s">
        <v>344</v>
      </c>
      <c r="FC4306" s="33" t="s">
        <v>345</v>
      </c>
      <c r="FD4306" s="33" t="s">
        <v>346</v>
      </c>
      <c r="FE4306" s="33">
        <v>2025</v>
      </c>
      <c r="FF4306" s="33" t="s">
        <v>59</v>
      </c>
      <c r="FG4306" s="33" t="s">
        <v>477</v>
      </c>
      <c r="FH4306" s="33" t="s">
        <v>478</v>
      </c>
      <c r="FI4306" s="33" t="s">
        <v>479</v>
      </c>
      <c r="FJ4306" t="s">
        <v>59</v>
      </c>
    </row>
    <row r="4307" spans="153:166" x14ac:dyDescent="0.35">
      <c r="EW4307" t="s">
        <v>4093</v>
      </c>
      <c r="EX4307" s="33" t="s">
        <v>5203</v>
      </c>
      <c r="EY4307" s="33" t="s">
        <v>1087</v>
      </c>
      <c r="EZ4307" s="33" t="s">
        <v>1088</v>
      </c>
      <c r="FA4307" s="33" t="s">
        <v>343</v>
      </c>
      <c r="FB4307" s="33" t="s">
        <v>344</v>
      </c>
      <c r="FC4307" s="33" t="s">
        <v>345</v>
      </c>
      <c r="FD4307" s="33" t="s">
        <v>346</v>
      </c>
      <c r="FE4307" s="33">
        <v>2025</v>
      </c>
      <c r="FF4307" s="33" t="s">
        <v>59</v>
      </c>
      <c r="FG4307" s="33" t="s">
        <v>386</v>
      </c>
      <c r="FH4307" s="33" t="s">
        <v>387</v>
      </c>
      <c r="FI4307" s="33" t="s">
        <v>407</v>
      </c>
      <c r="FJ4307" t="s">
        <v>59</v>
      </c>
    </row>
    <row r="4308" spans="153:166" x14ac:dyDescent="0.35">
      <c r="EW4308" t="s">
        <v>4093</v>
      </c>
      <c r="EX4308" s="33" t="s">
        <v>5204</v>
      </c>
      <c r="EY4308" s="33" t="s">
        <v>1089</v>
      </c>
      <c r="EZ4308" s="33" t="s">
        <v>1090</v>
      </c>
      <c r="FA4308" s="33" t="s">
        <v>343</v>
      </c>
      <c r="FB4308" s="33" t="s">
        <v>344</v>
      </c>
      <c r="FC4308" s="33" t="s">
        <v>345</v>
      </c>
      <c r="FD4308" s="33" t="s">
        <v>346</v>
      </c>
      <c r="FE4308" s="33">
        <v>2025</v>
      </c>
      <c r="FF4308" s="33" t="s">
        <v>59</v>
      </c>
      <c r="FG4308" s="33" t="s">
        <v>477</v>
      </c>
      <c r="FH4308" s="33" t="s">
        <v>478</v>
      </c>
      <c r="FI4308" s="33" t="s">
        <v>479</v>
      </c>
      <c r="FJ4308" t="s">
        <v>59</v>
      </c>
    </row>
    <row r="4309" spans="153:166" x14ac:dyDescent="0.35">
      <c r="EW4309" t="s">
        <v>4093</v>
      </c>
      <c r="EX4309" s="33" t="s">
        <v>5205</v>
      </c>
      <c r="EY4309" s="33" t="s">
        <v>1091</v>
      </c>
      <c r="EZ4309" s="33" t="s">
        <v>1092</v>
      </c>
      <c r="FA4309" s="33" t="s">
        <v>343</v>
      </c>
      <c r="FB4309" s="33" t="s">
        <v>344</v>
      </c>
      <c r="FC4309" s="33" t="s">
        <v>345</v>
      </c>
      <c r="FD4309" s="33" t="s">
        <v>346</v>
      </c>
      <c r="FE4309" s="33">
        <v>2025</v>
      </c>
      <c r="FF4309" s="33" t="s">
        <v>59</v>
      </c>
      <c r="FG4309" s="33" t="s">
        <v>477</v>
      </c>
      <c r="FH4309" s="33" t="s">
        <v>478</v>
      </c>
      <c r="FI4309" s="33" t="s">
        <v>479</v>
      </c>
      <c r="FJ4309" t="s">
        <v>59</v>
      </c>
    </row>
    <row r="4310" spans="153:166" x14ac:dyDescent="0.35">
      <c r="EW4310" t="s">
        <v>4093</v>
      </c>
      <c r="EX4310" s="33" t="s">
        <v>5206</v>
      </c>
      <c r="EY4310" s="33" t="s">
        <v>1093</v>
      </c>
      <c r="EZ4310" s="33" t="s">
        <v>1094</v>
      </c>
      <c r="FA4310" s="33" t="s">
        <v>343</v>
      </c>
      <c r="FB4310" s="33" t="s">
        <v>344</v>
      </c>
      <c r="FC4310" s="33" t="s">
        <v>345</v>
      </c>
      <c r="FD4310" s="33" t="s">
        <v>346</v>
      </c>
      <c r="FE4310" s="33">
        <v>2025</v>
      </c>
      <c r="FF4310" s="33" t="s">
        <v>59</v>
      </c>
      <c r="FG4310" s="33" t="s">
        <v>477</v>
      </c>
      <c r="FH4310" s="33" t="s">
        <v>478</v>
      </c>
      <c r="FI4310" s="33" t="s">
        <v>479</v>
      </c>
      <c r="FJ4310" t="s">
        <v>59</v>
      </c>
    </row>
    <row r="4311" spans="153:166" x14ac:dyDescent="0.35">
      <c r="EW4311" t="s">
        <v>4093</v>
      </c>
      <c r="EX4311" s="33" t="s">
        <v>5207</v>
      </c>
      <c r="EY4311" s="33" t="s">
        <v>1095</v>
      </c>
      <c r="EZ4311" s="33" t="s">
        <v>1096</v>
      </c>
      <c r="FA4311" s="33" t="s">
        <v>343</v>
      </c>
      <c r="FB4311" s="33" t="s">
        <v>344</v>
      </c>
      <c r="FC4311" s="33" t="s">
        <v>345</v>
      </c>
      <c r="FD4311" s="33" t="s">
        <v>346</v>
      </c>
      <c r="FE4311" s="33">
        <v>2025</v>
      </c>
      <c r="FF4311" s="33" t="s">
        <v>59</v>
      </c>
      <c r="FG4311" s="33" t="s">
        <v>477</v>
      </c>
      <c r="FH4311" s="33" t="s">
        <v>478</v>
      </c>
      <c r="FI4311" s="33" t="s">
        <v>479</v>
      </c>
      <c r="FJ4311" t="s">
        <v>59</v>
      </c>
    </row>
    <row r="4312" spans="153:166" x14ac:dyDescent="0.35">
      <c r="EW4312" t="s">
        <v>4093</v>
      </c>
      <c r="EX4312" s="33" t="s">
        <v>5208</v>
      </c>
      <c r="EY4312" s="33" t="s">
        <v>1097</v>
      </c>
      <c r="EZ4312" s="33" t="s">
        <v>1098</v>
      </c>
      <c r="FA4312" s="33" t="s">
        <v>343</v>
      </c>
      <c r="FB4312" s="33" t="s">
        <v>344</v>
      </c>
      <c r="FC4312" s="33" t="s">
        <v>345</v>
      </c>
      <c r="FD4312" s="33" t="s">
        <v>346</v>
      </c>
      <c r="FE4312" s="33">
        <v>2025</v>
      </c>
      <c r="FF4312" s="33" t="s">
        <v>59</v>
      </c>
      <c r="FG4312" s="33" t="s">
        <v>477</v>
      </c>
      <c r="FH4312" s="33" t="s">
        <v>478</v>
      </c>
      <c r="FI4312" s="33" t="s">
        <v>479</v>
      </c>
      <c r="FJ4312" t="s">
        <v>59</v>
      </c>
    </row>
    <row r="4313" spans="153:166" x14ac:dyDescent="0.35">
      <c r="EW4313" t="s">
        <v>4093</v>
      </c>
      <c r="EX4313" s="33" t="s">
        <v>5209</v>
      </c>
      <c r="EY4313" s="33" t="s">
        <v>1102</v>
      </c>
      <c r="EZ4313" s="33" t="s">
        <v>1103</v>
      </c>
      <c r="FA4313" s="33" t="s">
        <v>343</v>
      </c>
      <c r="FB4313" s="33" t="s">
        <v>344</v>
      </c>
      <c r="FC4313" s="33" t="s">
        <v>345</v>
      </c>
      <c r="FD4313" s="33" t="s">
        <v>346</v>
      </c>
      <c r="FE4313" s="33">
        <v>2025</v>
      </c>
      <c r="FF4313" s="33" t="s">
        <v>59</v>
      </c>
      <c r="FG4313" s="33" t="s">
        <v>477</v>
      </c>
      <c r="FH4313" s="33" t="s">
        <v>478</v>
      </c>
      <c r="FI4313" s="33" t="s">
        <v>479</v>
      </c>
      <c r="FJ4313" t="s">
        <v>59</v>
      </c>
    </row>
    <row r="4314" spans="153:166" x14ac:dyDescent="0.35">
      <c r="EW4314" t="s">
        <v>4093</v>
      </c>
      <c r="EX4314" s="33" t="s">
        <v>5210</v>
      </c>
      <c r="EY4314" s="33" t="s">
        <v>1104</v>
      </c>
      <c r="EZ4314" s="33" t="s">
        <v>1105</v>
      </c>
      <c r="FA4314" s="33" t="s">
        <v>343</v>
      </c>
      <c r="FB4314" s="33" t="s">
        <v>344</v>
      </c>
      <c r="FC4314" s="33" t="s">
        <v>345</v>
      </c>
      <c r="FD4314" s="33" t="s">
        <v>346</v>
      </c>
      <c r="FE4314" s="33">
        <v>2025</v>
      </c>
      <c r="FF4314" s="33" t="s">
        <v>59</v>
      </c>
      <c r="FG4314" s="33" t="s">
        <v>477</v>
      </c>
      <c r="FH4314" s="33" t="s">
        <v>478</v>
      </c>
      <c r="FI4314" s="33" t="s">
        <v>479</v>
      </c>
      <c r="FJ4314" t="s">
        <v>59</v>
      </c>
    </row>
    <row r="4315" spans="153:166" x14ac:dyDescent="0.35">
      <c r="EW4315" t="s">
        <v>5211</v>
      </c>
      <c r="EX4315" t="s">
        <v>43</v>
      </c>
      <c r="FF4315" t="s">
        <v>59</v>
      </c>
      <c r="FJ4315" t="s">
        <v>59</v>
      </c>
    </row>
    <row r="4316" spans="153:166" x14ac:dyDescent="0.35">
      <c r="EW4316" t="s">
        <v>5211</v>
      </c>
      <c r="EX4316" t="s">
        <v>43</v>
      </c>
      <c r="FF4316" t="s">
        <v>59</v>
      </c>
      <c r="FJ4316" t="s">
        <v>59</v>
      </c>
    </row>
    <row r="4317" spans="153:166" x14ac:dyDescent="0.35">
      <c r="EW4317" t="s">
        <v>5211</v>
      </c>
      <c r="EX4317" t="s">
        <v>43</v>
      </c>
      <c r="FF4317" t="s">
        <v>59</v>
      </c>
      <c r="FJ4317" t="s">
        <v>59</v>
      </c>
    </row>
    <row r="4318" spans="153:166" x14ac:dyDescent="0.35">
      <c r="EW4318" t="s">
        <v>5211</v>
      </c>
      <c r="EX4318" t="s">
        <v>43</v>
      </c>
      <c r="FF4318" t="s">
        <v>59</v>
      </c>
      <c r="FJ4318" t="s">
        <v>59</v>
      </c>
    </row>
    <row r="4319" spans="153:166" x14ac:dyDescent="0.35">
      <c r="EW4319" t="s">
        <v>5211</v>
      </c>
      <c r="EX4319" t="s">
        <v>43</v>
      </c>
      <c r="FF4319" t="s">
        <v>59</v>
      </c>
      <c r="FJ4319" t="s">
        <v>59</v>
      </c>
    </row>
    <row r="4320" spans="153:166" x14ac:dyDescent="0.35">
      <c r="EW4320" t="s">
        <v>5211</v>
      </c>
      <c r="EX4320" t="s">
        <v>66</v>
      </c>
      <c r="FF4320" t="s">
        <v>59</v>
      </c>
      <c r="FJ4320" t="s">
        <v>59</v>
      </c>
    </row>
    <row r="4321" spans="153:166" x14ac:dyDescent="0.35">
      <c r="EW4321" t="s">
        <v>5211</v>
      </c>
      <c r="EX4321" t="s">
        <v>66</v>
      </c>
      <c r="FF4321" t="s">
        <v>59</v>
      </c>
      <c r="FJ4321" t="s">
        <v>59</v>
      </c>
    </row>
    <row r="4322" spans="153:166" x14ac:dyDescent="0.35">
      <c r="EW4322" t="s">
        <v>5211</v>
      </c>
      <c r="EX4322" t="s">
        <v>66</v>
      </c>
      <c r="FF4322" t="s">
        <v>59</v>
      </c>
      <c r="FJ4322" t="s">
        <v>59</v>
      </c>
    </row>
    <row r="4323" spans="153:166" x14ac:dyDescent="0.35">
      <c r="EW4323" t="s">
        <v>5211</v>
      </c>
      <c r="EX4323" t="s">
        <v>66</v>
      </c>
      <c r="FF4323" t="s">
        <v>59</v>
      </c>
      <c r="FJ4323" t="s">
        <v>59</v>
      </c>
    </row>
    <row r="4324" spans="153:166" x14ac:dyDescent="0.35">
      <c r="EW4324" t="s">
        <v>5211</v>
      </c>
      <c r="EX4324" t="s">
        <v>66</v>
      </c>
      <c r="FF4324" t="s">
        <v>59</v>
      </c>
      <c r="FJ4324" t="s">
        <v>59</v>
      </c>
    </row>
    <row r="4325" spans="153:166" x14ac:dyDescent="0.35">
      <c r="EW4325" t="s">
        <v>5211</v>
      </c>
      <c r="EX4325" t="s">
        <v>66</v>
      </c>
      <c r="FF4325" t="s">
        <v>59</v>
      </c>
      <c r="FJ4325" t="s">
        <v>59</v>
      </c>
    </row>
    <row r="4326" spans="153:166" x14ac:dyDescent="0.35">
      <c r="EW4326" t="s">
        <v>5211</v>
      </c>
      <c r="EX4326" t="s">
        <v>66</v>
      </c>
      <c r="FF4326" t="s">
        <v>59</v>
      </c>
      <c r="FJ4326" t="s">
        <v>59</v>
      </c>
    </row>
    <row r="4327" spans="153:166" x14ac:dyDescent="0.35">
      <c r="EW4327" t="s">
        <v>5211</v>
      </c>
      <c r="EX4327" t="s">
        <v>66</v>
      </c>
      <c r="FF4327" t="s">
        <v>59</v>
      </c>
      <c r="FJ4327" t="s">
        <v>59</v>
      </c>
    </row>
    <row r="4328" spans="153:166" x14ac:dyDescent="0.35">
      <c r="EW4328" t="s">
        <v>5211</v>
      </c>
      <c r="EX4328" t="s">
        <v>88</v>
      </c>
      <c r="FF4328" t="s">
        <v>59</v>
      </c>
      <c r="FJ4328" t="s">
        <v>59</v>
      </c>
    </row>
    <row r="4329" spans="153:166" x14ac:dyDescent="0.35">
      <c r="EW4329" t="s">
        <v>5211</v>
      </c>
      <c r="EX4329" t="s">
        <v>88</v>
      </c>
      <c r="FF4329" t="s">
        <v>59</v>
      </c>
      <c r="FJ4329" t="s">
        <v>59</v>
      </c>
    </row>
    <row r="4330" spans="153:166" x14ac:dyDescent="0.35">
      <c r="EW4330" t="s">
        <v>5211</v>
      </c>
      <c r="EX4330" t="s">
        <v>88</v>
      </c>
      <c r="FF4330" t="s">
        <v>59</v>
      </c>
      <c r="FJ4330" t="s">
        <v>59</v>
      </c>
    </row>
    <row r="4331" spans="153:166" x14ac:dyDescent="0.35">
      <c r="EW4331" t="s">
        <v>5211</v>
      </c>
      <c r="EX4331" t="s">
        <v>88</v>
      </c>
      <c r="FF4331" t="s">
        <v>59</v>
      </c>
      <c r="FJ4331" t="s">
        <v>59</v>
      </c>
    </row>
    <row r="4332" spans="153:166" x14ac:dyDescent="0.35">
      <c r="EW4332" t="s">
        <v>5211</v>
      </c>
      <c r="EX4332" t="s">
        <v>88</v>
      </c>
      <c r="FF4332" t="s">
        <v>59</v>
      </c>
      <c r="FJ4332" t="s">
        <v>59</v>
      </c>
    </row>
    <row r="4333" spans="153:166" x14ac:dyDescent="0.35">
      <c r="EW4333" t="s">
        <v>5211</v>
      </c>
      <c r="EX4333" t="s">
        <v>88</v>
      </c>
      <c r="FF4333" t="s">
        <v>59</v>
      </c>
      <c r="FJ4333" t="s">
        <v>59</v>
      </c>
    </row>
    <row r="4334" spans="153:166" x14ac:dyDescent="0.35">
      <c r="EW4334" t="s">
        <v>5211</v>
      </c>
      <c r="EX4334" t="s">
        <v>88</v>
      </c>
      <c r="FF4334" t="s">
        <v>59</v>
      </c>
      <c r="FJ4334" t="s">
        <v>59</v>
      </c>
    </row>
    <row r="4335" spans="153:166" x14ac:dyDescent="0.35">
      <c r="EW4335" t="s">
        <v>5211</v>
      </c>
      <c r="EX4335" t="s">
        <v>88</v>
      </c>
      <c r="FF4335" t="s">
        <v>59</v>
      </c>
      <c r="FJ4335" t="s">
        <v>59</v>
      </c>
    </row>
    <row r="4336" spans="153:166" x14ac:dyDescent="0.35">
      <c r="EW4336" t="s">
        <v>5211</v>
      </c>
      <c r="EX4336" t="s">
        <v>107</v>
      </c>
      <c r="FF4336" t="s">
        <v>59</v>
      </c>
      <c r="FJ4336" t="s">
        <v>59</v>
      </c>
    </row>
    <row r="4337" spans="153:166" x14ac:dyDescent="0.35">
      <c r="EW4337" t="s">
        <v>5211</v>
      </c>
      <c r="EX4337" t="s">
        <v>107</v>
      </c>
      <c r="FF4337" t="s">
        <v>59</v>
      </c>
      <c r="FJ4337" t="s">
        <v>59</v>
      </c>
    </row>
    <row r="4338" spans="153:166" x14ac:dyDescent="0.35">
      <c r="EW4338" t="s">
        <v>5211</v>
      </c>
      <c r="EX4338" t="s">
        <v>107</v>
      </c>
      <c r="FF4338" t="s">
        <v>59</v>
      </c>
      <c r="FJ4338" t="s">
        <v>59</v>
      </c>
    </row>
    <row r="4339" spans="153:166" x14ac:dyDescent="0.35">
      <c r="EW4339" t="s">
        <v>5211</v>
      </c>
      <c r="EX4339" t="s">
        <v>107</v>
      </c>
      <c r="FF4339" t="s">
        <v>59</v>
      </c>
      <c r="FJ4339" t="s">
        <v>59</v>
      </c>
    </row>
    <row r="4340" spans="153:166" x14ac:dyDescent="0.35">
      <c r="EW4340" t="s">
        <v>5211</v>
      </c>
      <c r="EX4340" t="s">
        <v>107</v>
      </c>
      <c r="FF4340" t="s">
        <v>59</v>
      </c>
      <c r="FJ4340" t="s">
        <v>59</v>
      </c>
    </row>
    <row r="4341" spans="153:166" x14ac:dyDescent="0.35">
      <c r="EW4341" t="s">
        <v>5211</v>
      </c>
      <c r="EX4341" t="s">
        <v>120</v>
      </c>
      <c r="FF4341" t="s">
        <v>59</v>
      </c>
      <c r="FJ4341" t="s">
        <v>59</v>
      </c>
    </row>
    <row r="4342" spans="153:166" x14ac:dyDescent="0.35">
      <c r="EW4342" t="s">
        <v>5211</v>
      </c>
      <c r="EX4342" t="s">
        <v>120</v>
      </c>
      <c r="FF4342" t="s">
        <v>59</v>
      </c>
      <c r="FJ4342" t="s">
        <v>59</v>
      </c>
    </row>
    <row r="4343" spans="153:166" x14ac:dyDescent="0.35">
      <c r="EW4343" t="s">
        <v>5211</v>
      </c>
      <c r="EX4343" t="s">
        <v>120</v>
      </c>
      <c r="FF4343" t="s">
        <v>59</v>
      </c>
      <c r="FJ4343" t="s">
        <v>59</v>
      </c>
    </row>
    <row r="4344" spans="153:166" x14ac:dyDescent="0.35">
      <c r="EW4344" t="s">
        <v>5211</v>
      </c>
      <c r="EX4344" t="s">
        <v>120</v>
      </c>
      <c r="FF4344" t="s">
        <v>59</v>
      </c>
      <c r="FJ4344" t="s">
        <v>59</v>
      </c>
    </row>
    <row r="4345" spans="153:166" x14ac:dyDescent="0.35">
      <c r="EW4345" t="s">
        <v>5211</v>
      </c>
      <c r="EX4345" t="s">
        <v>120</v>
      </c>
      <c r="FF4345" t="s">
        <v>59</v>
      </c>
      <c r="FJ4345" t="s">
        <v>59</v>
      </c>
    </row>
    <row r="4346" spans="153:166" x14ac:dyDescent="0.35">
      <c r="EW4346" t="s">
        <v>5211</v>
      </c>
      <c r="EX4346" t="s">
        <v>133</v>
      </c>
      <c r="FF4346" t="s">
        <v>59</v>
      </c>
      <c r="FJ4346" t="s">
        <v>59</v>
      </c>
    </row>
    <row r="4347" spans="153:166" x14ac:dyDescent="0.35">
      <c r="EW4347" t="s">
        <v>5211</v>
      </c>
      <c r="EX4347" t="s">
        <v>133</v>
      </c>
      <c r="FF4347" t="s">
        <v>59</v>
      </c>
      <c r="FJ4347" t="s">
        <v>59</v>
      </c>
    </row>
    <row r="4348" spans="153:166" x14ac:dyDescent="0.35">
      <c r="EW4348" t="s">
        <v>5211</v>
      </c>
      <c r="EX4348" t="s">
        <v>140</v>
      </c>
      <c r="FF4348" t="s">
        <v>59</v>
      </c>
      <c r="FJ4348" t="s">
        <v>59</v>
      </c>
    </row>
    <row r="4349" spans="153:166" x14ac:dyDescent="0.35">
      <c r="EW4349" t="s">
        <v>5211</v>
      </c>
      <c r="EX4349" t="s">
        <v>140</v>
      </c>
      <c r="FF4349" t="s">
        <v>59</v>
      </c>
      <c r="FJ4349" t="s">
        <v>59</v>
      </c>
    </row>
    <row r="4350" spans="153:166" x14ac:dyDescent="0.35">
      <c r="EW4350" t="s">
        <v>5211</v>
      </c>
      <c r="EX4350" t="s">
        <v>140</v>
      </c>
      <c r="FF4350" t="s">
        <v>59</v>
      </c>
      <c r="FJ4350" t="s">
        <v>59</v>
      </c>
    </row>
    <row r="4351" spans="153:166" x14ac:dyDescent="0.35">
      <c r="EW4351" t="s">
        <v>5211</v>
      </c>
      <c r="EX4351" t="s">
        <v>140</v>
      </c>
      <c r="FF4351" t="s">
        <v>59</v>
      </c>
      <c r="FJ4351" t="s">
        <v>59</v>
      </c>
    </row>
    <row r="4352" spans="153:166" x14ac:dyDescent="0.35">
      <c r="EW4352" t="s">
        <v>5211</v>
      </c>
      <c r="EX4352" t="s">
        <v>151</v>
      </c>
      <c r="FF4352" t="s">
        <v>59</v>
      </c>
      <c r="FJ4352" t="s">
        <v>59</v>
      </c>
    </row>
    <row r="4353" spans="153:166" x14ac:dyDescent="0.35">
      <c r="EW4353" t="s">
        <v>5211</v>
      </c>
      <c r="EX4353" t="s">
        <v>151</v>
      </c>
      <c r="FF4353" t="s">
        <v>59</v>
      </c>
      <c r="FJ4353" t="s">
        <v>59</v>
      </c>
    </row>
    <row r="4354" spans="153:166" x14ac:dyDescent="0.35">
      <c r="EW4354" t="s">
        <v>5211</v>
      </c>
      <c r="EX4354" t="s">
        <v>151</v>
      </c>
      <c r="FF4354" t="s">
        <v>59</v>
      </c>
      <c r="FJ4354" t="s">
        <v>59</v>
      </c>
    </row>
    <row r="4355" spans="153:166" x14ac:dyDescent="0.35">
      <c r="EW4355" t="s">
        <v>5211</v>
      </c>
      <c r="EX4355" t="s">
        <v>151</v>
      </c>
      <c r="FF4355" t="s">
        <v>59</v>
      </c>
      <c r="FJ4355" t="s">
        <v>59</v>
      </c>
    </row>
    <row r="4356" spans="153:166" x14ac:dyDescent="0.35">
      <c r="EW4356" t="s">
        <v>5211</v>
      </c>
      <c r="EX4356" t="s">
        <v>162</v>
      </c>
      <c r="FF4356" t="s">
        <v>59</v>
      </c>
      <c r="FJ4356" t="s">
        <v>59</v>
      </c>
    </row>
    <row r="4357" spans="153:166" x14ac:dyDescent="0.35">
      <c r="EW4357" t="s">
        <v>5211</v>
      </c>
      <c r="EX4357" t="s">
        <v>162</v>
      </c>
      <c r="FF4357" t="s">
        <v>59</v>
      </c>
      <c r="FJ4357" t="s">
        <v>59</v>
      </c>
    </row>
    <row r="4358" spans="153:166" x14ac:dyDescent="0.35">
      <c r="EW4358" t="s">
        <v>5211</v>
      </c>
      <c r="EX4358" t="s">
        <v>162</v>
      </c>
      <c r="FF4358" t="s">
        <v>59</v>
      </c>
      <c r="FJ4358" t="s">
        <v>59</v>
      </c>
    </row>
    <row r="4359" spans="153:166" x14ac:dyDescent="0.35">
      <c r="EW4359" t="s">
        <v>5211</v>
      </c>
      <c r="EX4359" t="s">
        <v>162</v>
      </c>
      <c r="FF4359" t="s">
        <v>59</v>
      </c>
      <c r="FJ4359" t="s">
        <v>59</v>
      </c>
    </row>
    <row r="4360" spans="153:166" x14ac:dyDescent="0.35">
      <c r="EW4360" t="s">
        <v>5211</v>
      </c>
      <c r="EX4360" t="s">
        <v>162</v>
      </c>
      <c r="FF4360" t="s">
        <v>59</v>
      </c>
      <c r="FJ4360" t="s">
        <v>59</v>
      </c>
    </row>
    <row r="4361" spans="153:166" x14ac:dyDescent="0.35">
      <c r="EW4361" t="s">
        <v>5211</v>
      </c>
      <c r="EX4361" t="s">
        <v>162</v>
      </c>
      <c r="FF4361" t="s">
        <v>59</v>
      </c>
      <c r="FJ4361" t="s">
        <v>59</v>
      </c>
    </row>
    <row r="4362" spans="153:166" x14ac:dyDescent="0.35">
      <c r="EW4362" t="s">
        <v>5211</v>
      </c>
      <c r="EX4362" t="s">
        <v>177</v>
      </c>
      <c r="FF4362" t="s">
        <v>59</v>
      </c>
      <c r="FJ4362" t="s">
        <v>59</v>
      </c>
    </row>
    <row r="4363" spans="153:166" x14ac:dyDescent="0.35">
      <c r="EW4363" t="s">
        <v>5211</v>
      </c>
      <c r="EX4363" t="s">
        <v>177</v>
      </c>
      <c r="FF4363" t="s">
        <v>59</v>
      </c>
      <c r="FJ4363" t="s">
        <v>59</v>
      </c>
    </row>
    <row r="4364" spans="153:166" x14ac:dyDescent="0.35">
      <c r="EW4364" t="s">
        <v>5211</v>
      </c>
      <c r="EX4364" t="s">
        <v>177</v>
      </c>
      <c r="FF4364" t="s">
        <v>59</v>
      </c>
      <c r="FJ4364" t="s">
        <v>59</v>
      </c>
    </row>
    <row r="4365" spans="153:166" x14ac:dyDescent="0.35">
      <c r="EW4365" t="s">
        <v>5211</v>
      </c>
      <c r="EX4365" t="s">
        <v>186</v>
      </c>
      <c r="FF4365" t="s">
        <v>59</v>
      </c>
      <c r="FJ4365" t="s">
        <v>59</v>
      </c>
    </row>
    <row r="4366" spans="153:166" x14ac:dyDescent="0.35">
      <c r="EW4366" t="s">
        <v>5211</v>
      </c>
      <c r="EX4366" t="s">
        <v>186</v>
      </c>
      <c r="FF4366" t="s">
        <v>59</v>
      </c>
      <c r="FJ4366" t="s">
        <v>59</v>
      </c>
    </row>
    <row r="4367" spans="153:166" x14ac:dyDescent="0.35">
      <c r="EW4367" t="s">
        <v>5211</v>
      </c>
      <c r="EX4367" t="s">
        <v>186</v>
      </c>
      <c r="FF4367" t="s">
        <v>59</v>
      </c>
      <c r="FJ4367" t="s">
        <v>59</v>
      </c>
    </row>
    <row r="4368" spans="153:166" x14ac:dyDescent="0.35">
      <c r="EW4368" t="s">
        <v>5211</v>
      </c>
      <c r="EX4368" t="s">
        <v>186</v>
      </c>
      <c r="FF4368" t="s">
        <v>59</v>
      </c>
      <c r="FJ4368" t="s">
        <v>59</v>
      </c>
    </row>
    <row r="4369" spans="153:166" x14ac:dyDescent="0.35">
      <c r="EW4369" t="s">
        <v>5211</v>
      </c>
      <c r="EX4369" t="s">
        <v>197</v>
      </c>
      <c r="FF4369" t="s">
        <v>59</v>
      </c>
      <c r="FJ4369" t="s">
        <v>59</v>
      </c>
    </row>
    <row r="4370" spans="153:166" x14ac:dyDescent="0.35">
      <c r="EW4370" t="s">
        <v>5211</v>
      </c>
      <c r="EX4370" t="s">
        <v>197</v>
      </c>
      <c r="FF4370" t="s">
        <v>59</v>
      </c>
      <c r="FJ4370" t="s">
        <v>59</v>
      </c>
    </row>
    <row r="4371" spans="153:166" x14ac:dyDescent="0.35">
      <c r="EW4371" t="s">
        <v>5211</v>
      </c>
      <c r="EX4371" t="s">
        <v>197</v>
      </c>
      <c r="FF4371" t="s">
        <v>59</v>
      </c>
      <c r="FJ4371" t="s">
        <v>59</v>
      </c>
    </row>
    <row r="4372" spans="153:166" x14ac:dyDescent="0.35">
      <c r="EW4372" t="s">
        <v>5211</v>
      </c>
      <c r="EX4372" t="s">
        <v>206</v>
      </c>
      <c r="FF4372" t="s">
        <v>59</v>
      </c>
      <c r="FJ4372" t="s">
        <v>59</v>
      </c>
    </row>
    <row r="4373" spans="153:166" x14ac:dyDescent="0.35">
      <c r="EW4373" t="s">
        <v>5211</v>
      </c>
      <c r="EX4373" t="s">
        <v>206</v>
      </c>
      <c r="FF4373" t="s">
        <v>59</v>
      </c>
      <c r="FJ4373" t="s">
        <v>59</v>
      </c>
    </row>
    <row r="4374" spans="153:166" x14ac:dyDescent="0.35">
      <c r="EW4374" t="s">
        <v>5211</v>
      </c>
      <c r="EX4374" t="s">
        <v>206</v>
      </c>
      <c r="FF4374" t="s">
        <v>59</v>
      </c>
      <c r="FJ4374" t="s">
        <v>59</v>
      </c>
    </row>
    <row r="4375" spans="153:166" x14ac:dyDescent="0.35">
      <c r="EW4375" t="s">
        <v>5211</v>
      </c>
      <c r="EX4375" t="s">
        <v>206</v>
      </c>
      <c r="FF4375" t="s">
        <v>59</v>
      </c>
      <c r="FJ4375" t="s">
        <v>59</v>
      </c>
    </row>
    <row r="4376" spans="153:166" x14ac:dyDescent="0.35">
      <c r="EW4376" t="s">
        <v>5211</v>
      </c>
      <c r="EX4376" t="s">
        <v>217</v>
      </c>
      <c r="FF4376" t="s">
        <v>59</v>
      </c>
      <c r="FJ4376" t="s">
        <v>59</v>
      </c>
    </row>
    <row r="4377" spans="153:166" x14ac:dyDescent="0.35">
      <c r="EW4377" t="s">
        <v>5211</v>
      </c>
      <c r="EX4377" t="s">
        <v>217</v>
      </c>
      <c r="FF4377" t="s">
        <v>59</v>
      </c>
      <c r="FJ4377" t="s">
        <v>59</v>
      </c>
    </row>
    <row r="4378" spans="153:166" x14ac:dyDescent="0.35">
      <c r="EW4378" t="s">
        <v>5211</v>
      </c>
      <c r="EX4378" t="s">
        <v>217</v>
      </c>
      <c r="FF4378" t="s">
        <v>59</v>
      </c>
      <c r="FJ4378" t="s">
        <v>59</v>
      </c>
    </row>
    <row r="4379" spans="153:166" x14ac:dyDescent="0.35">
      <c r="EW4379" t="s">
        <v>5211</v>
      </c>
      <c r="EX4379" t="s">
        <v>226</v>
      </c>
      <c r="FF4379" t="s">
        <v>59</v>
      </c>
      <c r="FJ4379" t="s">
        <v>59</v>
      </c>
    </row>
    <row r="4380" spans="153:166" x14ac:dyDescent="0.35">
      <c r="EW4380" t="s">
        <v>5211</v>
      </c>
      <c r="EX4380" t="s">
        <v>226</v>
      </c>
      <c r="FF4380" t="s">
        <v>59</v>
      </c>
      <c r="FJ4380" t="s">
        <v>59</v>
      </c>
    </row>
    <row r="4381" spans="153:166" x14ac:dyDescent="0.35">
      <c r="EW4381" t="s">
        <v>5211</v>
      </c>
      <c r="EX4381" t="s">
        <v>226</v>
      </c>
      <c r="FF4381" t="s">
        <v>59</v>
      </c>
      <c r="FJ4381" t="s">
        <v>59</v>
      </c>
    </row>
    <row r="4382" spans="153:166" x14ac:dyDescent="0.35">
      <c r="EW4382" t="s">
        <v>5211</v>
      </c>
      <c r="EX4382" t="s">
        <v>226</v>
      </c>
      <c r="FF4382" t="s">
        <v>59</v>
      </c>
      <c r="FJ4382" t="s">
        <v>59</v>
      </c>
    </row>
    <row r="4383" spans="153:166" x14ac:dyDescent="0.35">
      <c r="EW4383" t="s">
        <v>5211</v>
      </c>
      <c r="EX4383" t="s">
        <v>226</v>
      </c>
      <c r="FF4383" t="s">
        <v>59</v>
      </c>
      <c r="FJ4383" t="s">
        <v>59</v>
      </c>
    </row>
    <row r="4384" spans="153:166" x14ac:dyDescent="0.35">
      <c r="EW4384" t="s">
        <v>5211</v>
      </c>
      <c r="EX4384" t="s">
        <v>226</v>
      </c>
      <c r="FF4384" t="s">
        <v>59</v>
      </c>
      <c r="FJ4384" t="s">
        <v>59</v>
      </c>
    </row>
    <row r="4385" spans="153:166" x14ac:dyDescent="0.35">
      <c r="EW4385" t="s">
        <v>5211</v>
      </c>
      <c r="EX4385" t="s">
        <v>226</v>
      </c>
      <c r="FF4385" t="s">
        <v>59</v>
      </c>
      <c r="FJ4385" t="s">
        <v>59</v>
      </c>
    </row>
    <row r="4386" spans="153:166" x14ac:dyDescent="0.35">
      <c r="EW4386" t="s">
        <v>5211</v>
      </c>
      <c r="EX4386" t="s">
        <v>226</v>
      </c>
      <c r="FF4386" t="s">
        <v>59</v>
      </c>
      <c r="FJ4386" t="s">
        <v>59</v>
      </c>
    </row>
    <row r="4387" spans="153:166" x14ac:dyDescent="0.35">
      <c r="EW4387" t="s">
        <v>5211</v>
      </c>
      <c r="EX4387" t="s">
        <v>245</v>
      </c>
      <c r="FF4387" t="s">
        <v>59</v>
      </c>
      <c r="FJ4387" t="s">
        <v>59</v>
      </c>
    </row>
    <row r="4388" spans="153:166" x14ac:dyDescent="0.35">
      <c r="EW4388" t="s">
        <v>5211</v>
      </c>
      <c r="EX4388" t="s">
        <v>245</v>
      </c>
      <c r="FF4388" t="s">
        <v>59</v>
      </c>
      <c r="FJ4388" t="s">
        <v>59</v>
      </c>
    </row>
    <row r="4389" spans="153:166" x14ac:dyDescent="0.35">
      <c r="EW4389" t="s">
        <v>5211</v>
      </c>
      <c r="EX4389" t="s">
        <v>245</v>
      </c>
      <c r="FF4389" t="s">
        <v>59</v>
      </c>
      <c r="FJ4389" t="s">
        <v>59</v>
      </c>
    </row>
    <row r="4390" spans="153:166" x14ac:dyDescent="0.35">
      <c r="EW4390" t="s">
        <v>5211</v>
      </c>
      <c r="EX4390" t="s">
        <v>245</v>
      </c>
      <c r="FF4390" t="s">
        <v>59</v>
      </c>
      <c r="FJ4390" t="s">
        <v>59</v>
      </c>
    </row>
    <row r="4391" spans="153:166" x14ac:dyDescent="0.35">
      <c r="EW4391" t="s">
        <v>5211</v>
      </c>
      <c r="EX4391" t="s">
        <v>245</v>
      </c>
      <c r="FF4391" t="s">
        <v>59</v>
      </c>
      <c r="FJ4391" t="s">
        <v>59</v>
      </c>
    </row>
    <row r="4392" spans="153:166" x14ac:dyDescent="0.35">
      <c r="EW4392" t="s">
        <v>5211</v>
      </c>
      <c r="EX4392" t="s">
        <v>258</v>
      </c>
      <c r="FF4392" t="s">
        <v>59</v>
      </c>
      <c r="FJ4392" t="s">
        <v>59</v>
      </c>
    </row>
    <row r="4393" spans="153:166" x14ac:dyDescent="0.35">
      <c r="EW4393" t="s">
        <v>5211</v>
      </c>
      <c r="EX4393" t="s">
        <v>258</v>
      </c>
      <c r="FF4393" t="s">
        <v>59</v>
      </c>
      <c r="FJ4393" t="s">
        <v>59</v>
      </c>
    </row>
    <row r="4394" spans="153:166" x14ac:dyDescent="0.35">
      <c r="EW4394" t="s">
        <v>5211</v>
      </c>
      <c r="EX4394" t="s">
        <v>258</v>
      </c>
      <c r="FF4394" t="s">
        <v>59</v>
      </c>
      <c r="FJ4394" t="s">
        <v>59</v>
      </c>
    </row>
    <row r="4395" spans="153:166" x14ac:dyDescent="0.35">
      <c r="EW4395" t="s">
        <v>5211</v>
      </c>
      <c r="EX4395" t="s">
        <v>258</v>
      </c>
      <c r="FF4395" t="s">
        <v>59</v>
      </c>
      <c r="FJ4395" t="s">
        <v>59</v>
      </c>
    </row>
    <row r="4396" spans="153:166" x14ac:dyDescent="0.35">
      <c r="EW4396" t="s">
        <v>5211</v>
      </c>
      <c r="EX4396" t="s">
        <v>258</v>
      </c>
      <c r="FF4396" t="s">
        <v>59</v>
      </c>
      <c r="FJ4396" t="s">
        <v>59</v>
      </c>
    </row>
    <row r="4397" spans="153:166" x14ac:dyDescent="0.35">
      <c r="EW4397" t="s">
        <v>5211</v>
      </c>
      <c r="EX4397" t="s">
        <v>271</v>
      </c>
      <c r="FF4397" t="s">
        <v>59</v>
      </c>
      <c r="FJ4397" t="s">
        <v>59</v>
      </c>
    </row>
    <row r="4398" spans="153:166" x14ac:dyDescent="0.35">
      <c r="EW4398" t="s">
        <v>5211</v>
      </c>
      <c r="EX4398" t="s">
        <v>271</v>
      </c>
      <c r="FF4398" t="s">
        <v>59</v>
      </c>
      <c r="FJ4398" t="s">
        <v>59</v>
      </c>
    </row>
    <row r="4399" spans="153:166" x14ac:dyDescent="0.35">
      <c r="EW4399" t="s">
        <v>5211</v>
      </c>
      <c r="EX4399" t="s">
        <v>278</v>
      </c>
      <c r="FF4399" t="s">
        <v>59</v>
      </c>
      <c r="FJ4399" t="s">
        <v>59</v>
      </c>
    </row>
    <row r="4400" spans="153:166" x14ac:dyDescent="0.35">
      <c r="EW4400" t="s">
        <v>5211</v>
      </c>
      <c r="EX4400" t="s">
        <v>278</v>
      </c>
      <c r="FF4400" t="s">
        <v>59</v>
      </c>
      <c r="FJ4400" t="s">
        <v>59</v>
      </c>
    </row>
    <row r="4401" spans="153:166" x14ac:dyDescent="0.35">
      <c r="EW4401" t="s">
        <v>5211</v>
      </c>
      <c r="EX4401" t="s">
        <v>278</v>
      </c>
      <c r="FF4401" t="s">
        <v>59</v>
      </c>
      <c r="FJ4401" t="s">
        <v>59</v>
      </c>
    </row>
    <row r="4402" spans="153:166" x14ac:dyDescent="0.35">
      <c r="EW4402" t="s">
        <v>5211</v>
      </c>
      <c r="EX4402" t="s">
        <v>278</v>
      </c>
      <c r="FF4402" t="s">
        <v>59</v>
      </c>
      <c r="FJ4402" t="s">
        <v>59</v>
      </c>
    </row>
    <row r="4403" spans="153:166" x14ac:dyDescent="0.35">
      <c r="EW4403" t="s">
        <v>5211</v>
      </c>
      <c r="EX4403" t="s">
        <v>278</v>
      </c>
      <c r="FF4403" t="s">
        <v>59</v>
      </c>
      <c r="FJ4403" t="s">
        <v>59</v>
      </c>
    </row>
    <row r="4404" spans="153:166" x14ac:dyDescent="0.35">
      <c r="EW4404" t="s">
        <v>5211</v>
      </c>
      <c r="EX4404" t="s">
        <v>278</v>
      </c>
      <c r="FF4404" t="s">
        <v>59</v>
      </c>
      <c r="FJ4404" t="s">
        <v>59</v>
      </c>
    </row>
    <row r="4405" spans="153:166" x14ac:dyDescent="0.35">
      <c r="EW4405" t="s">
        <v>5211</v>
      </c>
      <c r="EX4405" t="s">
        <v>278</v>
      </c>
      <c r="FF4405" t="s">
        <v>59</v>
      </c>
      <c r="FJ4405" t="s">
        <v>59</v>
      </c>
    </row>
    <row r="4406" spans="153:166" x14ac:dyDescent="0.35">
      <c r="EW4406" t="s">
        <v>5211</v>
      </c>
      <c r="EX4406" t="s">
        <v>295</v>
      </c>
      <c r="FF4406" t="s">
        <v>59</v>
      </c>
      <c r="FJ4406" t="s">
        <v>59</v>
      </c>
    </row>
    <row r="4407" spans="153:166" x14ac:dyDescent="0.35">
      <c r="EW4407" t="s">
        <v>5211</v>
      </c>
      <c r="EX4407" t="s">
        <v>295</v>
      </c>
      <c r="FF4407" t="s">
        <v>59</v>
      </c>
      <c r="FJ4407" t="s">
        <v>59</v>
      </c>
    </row>
    <row r="4408" spans="153:166" x14ac:dyDescent="0.35">
      <c r="EW4408" t="s">
        <v>5211</v>
      </c>
      <c r="EX4408" t="s">
        <v>295</v>
      </c>
      <c r="FF4408" t="s">
        <v>59</v>
      </c>
      <c r="FJ4408" t="s">
        <v>59</v>
      </c>
    </row>
    <row r="4409" spans="153:166" x14ac:dyDescent="0.35">
      <c r="EW4409" t="s">
        <v>5211</v>
      </c>
      <c r="EX4409" t="s">
        <v>295</v>
      </c>
      <c r="FF4409" t="s">
        <v>59</v>
      </c>
      <c r="FJ4409" t="s">
        <v>59</v>
      </c>
    </row>
    <row r="4410" spans="153:166" x14ac:dyDescent="0.35">
      <c r="EW4410" t="s">
        <v>5211</v>
      </c>
      <c r="EX4410" t="s">
        <v>295</v>
      </c>
      <c r="FF4410" t="s">
        <v>59</v>
      </c>
      <c r="FJ4410" t="s">
        <v>59</v>
      </c>
    </row>
    <row r="4411" spans="153:166" x14ac:dyDescent="0.35">
      <c r="EW4411" t="s">
        <v>5211</v>
      </c>
      <c r="EX4411" t="s">
        <v>308</v>
      </c>
      <c r="FF4411" t="s">
        <v>59</v>
      </c>
      <c r="FJ4411" t="s">
        <v>59</v>
      </c>
    </row>
    <row r="4412" spans="153:166" x14ac:dyDescent="0.35">
      <c r="EW4412" t="s">
        <v>5211</v>
      </c>
      <c r="EX4412" t="s">
        <v>308</v>
      </c>
      <c r="FF4412" t="s">
        <v>59</v>
      </c>
      <c r="FJ4412" t="s">
        <v>59</v>
      </c>
    </row>
    <row r="4413" spans="153:166" x14ac:dyDescent="0.35">
      <c r="EW4413" t="s">
        <v>5211</v>
      </c>
      <c r="EX4413" t="s">
        <v>308</v>
      </c>
      <c r="FF4413" t="s">
        <v>59</v>
      </c>
      <c r="FJ4413" t="s">
        <v>59</v>
      </c>
    </row>
    <row r="4414" spans="153:166" x14ac:dyDescent="0.35">
      <c r="EW4414" t="s">
        <v>5211</v>
      </c>
      <c r="EX4414" t="s">
        <v>308</v>
      </c>
      <c r="FF4414" t="s">
        <v>59</v>
      </c>
      <c r="FJ4414" t="s">
        <v>59</v>
      </c>
    </row>
    <row r="4415" spans="153:166" x14ac:dyDescent="0.35">
      <c r="EW4415" t="s">
        <v>5211</v>
      </c>
      <c r="EX4415" t="s">
        <v>319</v>
      </c>
      <c r="FF4415" t="s">
        <v>59</v>
      </c>
      <c r="FJ4415" t="s">
        <v>59</v>
      </c>
    </row>
    <row r="4416" spans="153:166" x14ac:dyDescent="0.35">
      <c r="EW4416" t="s">
        <v>5211</v>
      </c>
      <c r="EX4416" t="s">
        <v>319</v>
      </c>
      <c r="FF4416" t="s">
        <v>59</v>
      </c>
      <c r="FJ4416" t="s">
        <v>59</v>
      </c>
    </row>
    <row r="4417" spans="153:166" x14ac:dyDescent="0.35">
      <c r="EW4417" t="s">
        <v>5211</v>
      </c>
      <c r="EX4417" t="s">
        <v>319</v>
      </c>
      <c r="FF4417" t="s">
        <v>59</v>
      </c>
      <c r="FJ4417" t="s">
        <v>59</v>
      </c>
    </row>
    <row r="4418" spans="153:166" x14ac:dyDescent="0.35">
      <c r="EW4418" t="s">
        <v>5211</v>
      </c>
      <c r="EX4418" t="s">
        <v>319</v>
      </c>
      <c r="FF4418" t="s">
        <v>59</v>
      </c>
      <c r="FJ4418" t="s">
        <v>59</v>
      </c>
    </row>
    <row r="4419" spans="153:166" x14ac:dyDescent="0.35">
      <c r="EW4419" t="s">
        <v>5211</v>
      </c>
      <c r="EX4419" t="s">
        <v>319</v>
      </c>
      <c r="FF4419" t="s">
        <v>59</v>
      </c>
      <c r="FJ4419" t="s">
        <v>59</v>
      </c>
    </row>
    <row r="4420" spans="153:166" x14ac:dyDescent="0.35">
      <c r="EW4420" t="s">
        <v>5211</v>
      </c>
      <c r="EX4420" t="s">
        <v>319</v>
      </c>
      <c r="FF4420" t="s">
        <v>59</v>
      </c>
      <c r="FJ4420" t="s">
        <v>59</v>
      </c>
    </row>
    <row r="4421" spans="153:166" x14ac:dyDescent="0.35">
      <c r="EW4421" t="s">
        <v>5211</v>
      </c>
      <c r="EX4421" t="s">
        <v>319</v>
      </c>
      <c r="FF4421" t="s">
        <v>59</v>
      </c>
      <c r="FJ4421" t="s">
        <v>59</v>
      </c>
    </row>
    <row r="4422" spans="153:166" x14ac:dyDescent="0.35">
      <c r="EW4422" t="s">
        <v>5211</v>
      </c>
      <c r="EX4422" t="s">
        <v>319</v>
      </c>
      <c r="FF4422" t="s">
        <v>59</v>
      </c>
      <c r="FJ4422" t="s">
        <v>59</v>
      </c>
    </row>
    <row r="4423" spans="153:166" x14ac:dyDescent="0.35">
      <c r="EW4423" t="s">
        <v>5211</v>
      </c>
      <c r="EX4423" t="s">
        <v>338</v>
      </c>
      <c r="FF4423" t="s">
        <v>59</v>
      </c>
      <c r="FJ4423" t="s">
        <v>59</v>
      </c>
    </row>
    <row r="4424" spans="153:166" x14ac:dyDescent="0.35">
      <c r="EW4424" t="s">
        <v>5211</v>
      </c>
      <c r="EX4424" t="s">
        <v>347</v>
      </c>
      <c r="FF4424" t="s">
        <v>59</v>
      </c>
      <c r="FJ4424" t="s">
        <v>59</v>
      </c>
    </row>
    <row r="4425" spans="153:166" x14ac:dyDescent="0.35">
      <c r="EW4425" t="s">
        <v>5211</v>
      </c>
      <c r="EX4425" t="s">
        <v>347</v>
      </c>
      <c r="FF4425" t="s">
        <v>59</v>
      </c>
      <c r="FJ4425" t="s">
        <v>59</v>
      </c>
    </row>
    <row r="4426" spans="153:166" x14ac:dyDescent="0.35">
      <c r="EW4426" t="s">
        <v>5211</v>
      </c>
      <c r="EX4426" t="s">
        <v>347</v>
      </c>
      <c r="FF4426" t="s">
        <v>59</v>
      </c>
      <c r="FJ4426" t="s">
        <v>59</v>
      </c>
    </row>
    <row r="4427" spans="153:166" x14ac:dyDescent="0.35">
      <c r="EW4427" t="s">
        <v>5211</v>
      </c>
      <c r="EX4427" t="s">
        <v>347</v>
      </c>
      <c r="FF4427" t="s">
        <v>59</v>
      </c>
      <c r="FJ4427" t="s">
        <v>59</v>
      </c>
    </row>
    <row r="4428" spans="153:166" x14ac:dyDescent="0.35">
      <c r="EW4428" t="s">
        <v>5211</v>
      </c>
      <c r="EX4428" t="s">
        <v>347</v>
      </c>
      <c r="FF4428" t="s">
        <v>59</v>
      </c>
      <c r="FJ4428" t="s">
        <v>59</v>
      </c>
    </row>
    <row r="4429" spans="153:166" x14ac:dyDescent="0.35">
      <c r="EW4429" t="s">
        <v>5211</v>
      </c>
      <c r="EX4429" t="s">
        <v>360</v>
      </c>
      <c r="FF4429" t="s">
        <v>59</v>
      </c>
      <c r="FJ4429" t="s">
        <v>59</v>
      </c>
    </row>
    <row r="4430" spans="153:166" x14ac:dyDescent="0.35">
      <c r="EW4430" t="s">
        <v>5211</v>
      </c>
      <c r="EX4430" t="s">
        <v>360</v>
      </c>
      <c r="FF4430" t="s">
        <v>59</v>
      </c>
      <c r="FJ4430" t="s">
        <v>59</v>
      </c>
    </row>
    <row r="4431" spans="153:166" x14ac:dyDescent="0.35">
      <c r="EW4431" t="s">
        <v>5211</v>
      </c>
      <c r="EX4431" t="s">
        <v>360</v>
      </c>
      <c r="FF4431" t="s">
        <v>59</v>
      </c>
      <c r="FJ4431" t="s">
        <v>59</v>
      </c>
    </row>
    <row r="4432" spans="153:166" x14ac:dyDescent="0.35">
      <c r="EW4432" t="s">
        <v>5211</v>
      </c>
      <c r="EX4432" t="s">
        <v>360</v>
      </c>
      <c r="FF4432" t="s">
        <v>59</v>
      </c>
      <c r="FJ4432" t="s">
        <v>59</v>
      </c>
    </row>
    <row r="4433" spans="153:166" x14ac:dyDescent="0.35">
      <c r="EW4433" t="s">
        <v>5211</v>
      </c>
      <c r="EX4433" t="s">
        <v>360</v>
      </c>
      <c r="FF4433" t="s">
        <v>59</v>
      </c>
      <c r="FJ4433" t="s">
        <v>59</v>
      </c>
    </row>
    <row r="4434" spans="153:166" x14ac:dyDescent="0.35">
      <c r="EW4434" t="s">
        <v>5211</v>
      </c>
      <c r="EX4434" t="s">
        <v>360</v>
      </c>
      <c r="FF4434" t="s">
        <v>59</v>
      </c>
      <c r="FJ4434" t="s">
        <v>59</v>
      </c>
    </row>
    <row r="4435" spans="153:166" x14ac:dyDescent="0.35">
      <c r="EW4435" t="s">
        <v>5211</v>
      </c>
      <c r="EX4435" t="s">
        <v>375</v>
      </c>
      <c r="FF4435" t="s">
        <v>59</v>
      </c>
      <c r="FJ4435" t="s">
        <v>59</v>
      </c>
    </row>
    <row r="4436" spans="153:166" x14ac:dyDescent="0.35">
      <c r="EW4436" t="s">
        <v>5211</v>
      </c>
      <c r="EX4436" t="s">
        <v>375</v>
      </c>
      <c r="FF4436" t="s">
        <v>59</v>
      </c>
      <c r="FJ4436" t="s">
        <v>59</v>
      </c>
    </row>
    <row r="4437" spans="153:166" x14ac:dyDescent="0.35">
      <c r="EW4437" t="s">
        <v>5211</v>
      </c>
      <c r="EX4437" t="s">
        <v>375</v>
      </c>
      <c r="FF4437" t="s">
        <v>59</v>
      </c>
      <c r="FJ4437" t="s">
        <v>59</v>
      </c>
    </row>
    <row r="4438" spans="153:166" x14ac:dyDescent="0.35">
      <c r="EW4438" t="s">
        <v>5211</v>
      </c>
      <c r="EX4438" t="s">
        <v>375</v>
      </c>
      <c r="FF4438" t="s">
        <v>59</v>
      </c>
      <c r="FJ4438" t="s">
        <v>59</v>
      </c>
    </row>
    <row r="4439" spans="153:166" x14ac:dyDescent="0.35">
      <c r="EW4439" t="s">
        <v>5211</v>
      </c>
      <c r="EX4439" t="s">
        <v>375</v>
      </c>
      <c r="FF4439" t="s">
        <v>59</v>
      </c>
      <c r="FJ4439" t="s">
        <v>59</v>
      </c>
    </row>
    <row r="4440" spans="153:166" x14ac:dyDescent="0.35">
      <c r="EW4440" t="s">
        <v>5211</v>
      </c>
      <c r="EX4440" t="s">
        <v>375</v>
      </c>
      <c r="FF4440" t="s">
        <v>59</v>
      </c>
      <c r="FJ4440" t="s">
        <v>59</v>
      </c>
    </row>
    <row r="4441" spans="153:166" x14ac:dyDescent="0.35">
      <c r="EW4441" t="s">
        <v>5211</v>
      </c>
      <c r="EX4441" t="s">
        <v>375</v>
      </c>
      <c r="FF4441" t="s">
        <v>59</v>
      </c>
      <c r="FJ4441" t="s">
        <v>59</v>
      </c>
    </row>
    <row r="4442" spans="153:166" x14ac:dyDescent="0.35">
      <c r="EW4442" t="s">
        <v>5211</v>
      </c>
      <c r="EX4442" t="s">
        <v>375</v>
      </c>
      <c r="FF4442" t="s">
        <v>59</v>
      </c>
      <c r="FJ4442" t="s">
        <v>59</v>
      </c>
    </row>
    <row r="4443" spans="153:166" x14ac:dyDescent="0.35">
      <c r="EW4443" t="s">
        <v>5211</v>
      </c>
      <c r="EX4443" t="s">
        <v>396</v>
      </c>
      <c r="FF4443" t="s">
        <v>59</v>
      </c>
      <c r="FJ4443" t="s">
        <v>59</v>
      </c>
    </row>
    <row r="4444" spans="153:166" x14ac:dyDescent="0.35">
      <c r="EW4444" t="s">
        <v>5211</v>
      </c>
      <c r="EX4444" t="s">
        <v>396</v>
      </c>
      <c r="FF4444" t="s">
        <v>59</v>
      </c>
      <c r="FJ4444" t="s">
        <v>59</v>
      </c>
    </row>
    <row r="4445" spans="153:166" x14ac:dyDescent="0.35">
      <c r="EW4445" t="s">
        <v>5211</v>
      </c>
      <c r="EX4445" t="s">
        <v>396</v>
      </c>
      <c r="FF4445" t="s">
        <v>59</v>
      </c>
      <c r="FJ4445" t="s">
        <v>59</v>
      </c>
    </row>
    <row r="4446" spans="153:166" x14ac:dyDescent="0.35">
      <c r="EW4446" t="s">
        <v>5211</v>
      </c>
      <c r="EX4446" t="s">
        <v>396</v>
      </c>
      <c r="FF4446" t="s">
        <v>59</v>
      </c>
      <c r="FJ4446" t="s">
        <v>59</v>
      </c>
    </row>
    <row r="4447" spans="153:166" x14ac:dyDescent="0.35">
      <c r="EW4447" t="s">
        <v>5211</v>
      </c>
      <c r="EX4447" t="s">
        <v>396</v>
      </c>
      <c r="FF4447" t="s">
        <v>59</v>
      </c>
      <c r="FJ4447" t="s">
        <v>59</v>
      </c>
    </row>
    <row r="4448" spans="153:166" x14ac:dyDescent="0.35">
      <c r="EW4448" t="s">
        <v>5211</v>
      </c>
      <c r="EX4448" t="s">
        <v>396</v>
      </c>
      <c r="FF4448" t="s">
        <v>59</v>
      </c>
      <c r="FJ4448" t="s">
        <v>59</v>
      </c>
    </row>
    <row r="4449" spans="153:166" x14ac:dyDescent="0.35">
      <c r="EW4449" t="s">
        <v>5211</v>
      </c>
      <c r="EX4449" t="s">
        <v>412</v>
      </c>
      <c r="FF4449" t="s">
        <v>59</v>
      </c>
      <c r="FJ4449" t="s">
        <v>59</v>
      </c>
    </row>
    <row r="4450" spans="153:166" x14ac:dyDescent="0.35">
      <c r="EW4450" t="s">
        <v>5211</v>
      </c>
      <c r="EX4450" t="s">
        <v>412</v>
      </c>
      <c r="FF4450" t="s">
        <v>59</v>
      </c>
      <c r="FJ4450" t="s">
        <v>59</v>
      </c>
    </row>
    <row r="4451" spans="153:166" x14ac:dyDescent="0.35">
      <c r="EW4451" t="s">
        <v>5211</v>
      </c>
      <c r="EX4451" t="s">
        <v>412</v>
      </c>
      <c r="FF4451" t="s">
        <v>59</v>
      </c>
      <c r="FJ4451" t="s">
        <v>59</v>
      </c>
    </row>
    <row r="4452" spans="153:166" x14ac:dyDescent="0.35">
      <c r="EW4452" t="s">
        <v>5211</v>
      </c>
      <c r="EX4452" t="s">
        <v>412</v>
      </c>
      <c r="FF4452" t="s">
        <v>59</v>
      </c>
      <c r="FJ4452" t="s">
        <v>59</v>
      </c>
    </row>
    <row r="4453" spans="153:166" x14ac:dyDescent="0.35">
      <c r="EW4453" t="s">
        <v>5211</v>
      </c>
      <c r="EX4453" t="s">
        <v>412</v>
      </c>
      <c r="FF4453" t="s">
        <v>59</v>
      </c>
      <c r="FJ4453" t="s">
        <v>59</v>
      </c>
    </row>
    <row r="4454" spans="153:166" x14ac:dyDescent="0.35">
      <c r="EW4454" t="s">
        <v>5211</v>
      </c>
      <c r="EX4454" t="s">
        <v>425</v>
      </c>
      <c r="FF4454" t="s">
        <v>59</v>
      </c>
      <c r="FJ4454" t="s">
        <v>59</v>
      </c>
    </row>
    <row r="4455" spans="153:166" x14ac:dyDescent="0.35">
      <c r="EW4455" t="s">
        <v>5211</v>
      </c>
      <c r="EX4455" t="s">
        <v>425</v>
      </c>
      <c r="FF4455" t="s">
        <v>59</v>
      </c>
      <c r="FJ4455" t="s">
        <v>59</v>
      </c>
    </row>
    <row r="4456" spans="153:166" x14ac:dyDescent="0.35">
      <c r="EW4456" t="s">
        <v>5211</v>
      </c>
      <c r="EX4456" t="s">
        <v>425</v>
      </c>
      <c r="FF4456" t="s">
        <v>59</v>
      </c>
      <c r="FJ4456" t="s">
        <v>59</v>
      </c>
    </row>
    <row r="4457" spans="153:166" x14ac:dyDescent="0.35">
      <c r="EW4457" t="s">
        <v>5211</v>
      </c>
      <c r="EX4457" t="s">
        <v>425</v>
      </c>
      <c r="FF4457" t="s">
        <v>59</v>
      </c>
      <c r="FJ4457" t="s">
        <v>59</v>
      </c>
    </row>
    <row r="4458" spans="153:166" x14ac:dyDescent="0.35">
      <c r="EW4458" t="s">
        <v>5211</v>
      </c>
      <c r="EX4458" t="s">
        <v>436</v>
      </c>
      <c r="FF4458" t="s">
        <v>59</v>
      </c>
      <c r="FJ4458" t="s">
        <v>59</v>
      </c>
    </row>
    <row r="4459" spans="153:166" x14ac:dyDescent="0.35">
      <c r="EW4459" t="s">
        <v>5211</v>
      </c>
      <c r="EX4459" t="s">
        <v>436</v>
      </c>
      <c r="FF4459" t="s">
        <v>59</v>
      </c>
      <c r="FJ4459" t="s">
        <v>59</v>
      </c>
    </row>
    <row r="4460" spans="153:166" x14ac:dyDescent="0.35">
      <c r="EW4460" t="s">
        <v>5211</v>
      </c>
      <c r="EX4460" t="s">
        <v>436</v>
      </c>
      <c r="FF4460" t="s">
        <v>59</v>
      </c>
      <c r="FJ4460" t="s">
        <v>59</v>
      </c>
    </row>
    <row r="4461" spans="153:166" x14ac:dyDescent="0.35">
      <c r="EW4461" t="s">
        <v>5211</v>
      </c>
      <c r="EX4461" t="s">
        <v>436</v>
      </c>
      <c r="FF4461" t="s">
        <v>59</v>
      </c>
      <c r="FJ4461" t="s">
        <v>59</v>
      </c>
    </row>
    <row r="4462" spans="153:166" x14ac:dyDescent="0.35">
      <c r="EW4462" t="s">
        <v>5211</v>
      </c>
      <c r="EX4462" t="s">
        <v>436</v>
      </c>
      <c r="FF4462" t="s">
        <v>59</v>
      </c>
      <c r="FJ4462" t="s">
        <v>59</v>
      </c>
    </row>
    <row r="4463" spans="153:166" x14ac:dyDescent="0.35">
      <c r="EW4463" t="s">
        <v>5211</v>
      </c>
      <c r="EX4463" t="s">
        <v>436</v>
      </c>
      <c r="FF4463" t="s">
        <v>59</v>
      </c>
      <c r="FJ4463" t="s">
        <v>59</v>
      </c>
    </row>
    <row r="4464" spans="153:166" x14ac:dyDescent="0.35">
      <c r="EW4464" t="s">
        <v>5211</v>
      </c>
      <c r="EX4464" t="s">
        <v>451</v>
      </c>
      <c r="FF4464" t="s">
        <v>59</v>
      </c>
      <c r="FJ4464" t="s">
        <v>59</v>
      </c>
    </row>
    <row r="4465" spans="153:166" x14ac:dyDescent="0.35">
      <c r="EW4465" t="s">
        <v>5211</v>
      </c>
      <c r="EX4465" t="s">
        <v>451</v>
      </c>
      <c r="FF4465" t="s">
        <v>59</v>
      </c>
      <c r="FJ4465" t="s">
        <v>59</v>
      </c>
    </row>
    <row r="4466" spans="153:166" x14ac:dyDescent="0.35">
      <c r="EW4466" t="s">
        <v>5211</v>
      </c>
      <c r="EX4466" t="s">
        <v>451</v>
      </c>
      <c r="FF4466" t="s">
        <v>59</v>
      </c>
      <c r="FJ4466" t="s">
        <v>59</v>
      </c>
    </row>
    <row r="4467" spans="153:166" x14ac:dyDescent="0.35">
      <c r="EW4467" t="s">
        <v>5211</v>
      </c>
      <c r="EX4467" t="s">
        <v>451</v>
      </c>
      <c r="FF4467" t="s">
        <v>59</v>
      </c>
      <c r="FJ4467" t="s">
        <v>59</v>
      </c>
    </row>
    <row r="4468" spans="153:166" x14ac:dyDescent="0.35">
      <c r="EW4468" t="s">
        <v>5211</v>
      </c>
      <c r="EX4468" t="s">
        <v>462</v>
      </c>
      <c r="FF4468" t="s">
        <v>59</v>
      </c>
      <c r="FJ4468" t="s">
        <v>59</v>
      </c>
    </row>
    <row r="4469" spans="153:166" x14ac:dyDescent="0.35">
      <c r="EW4469" t="s">
        <v>5211</v>
      </c>
      <c r="EX4469" t="s">
        <v>462</v>
      </c>
      <c r="FF4469" t="s">
        <v>59</v>
      </c>
      <c r="FJ4469" t="s">
        <v>59</v>
      </c>
    </row>
    <row r="4470" spans="153:166" x14ac:dyDescent="0.35">
      <c r="EW4470" t="s">
        <v>5211</v>
      </c>
      <c r="EX4470" t="s">
        <v>462</v>
      </c>
      <c r="FF4470" t="s">
        <v>59</v>
      </c>
      <c r="FJ4470" t="s">
        <v>59</v>
      </c>
    </row>
    <row r="4471" spans="153:166" x14ac:dyDescent="0.35">
      <c r="EW4471" t="s">
        <v>5211</v>
      </c>
      <c r="EX4471" t="s">
        <v>462</v>
      </c>
      <c r="FF4471" t="s">
        <v>59</v>
      </c>
      <c r="FJ4471" t="s">
        <v>59</v>
      </c>
    </row>
    <row r="4472" spans="153:166" x14ac:dyDescent="0.35">
      <c r="EW4472" t="s">
        <v>5211</v>
      </c>
      <c r="EX4472" t="s">
        <v>480</v>
      </c>
      <c r="FF4472" t="s">
        <v>59</v>
      </c>
      <c r="FJ4472" t="s">
        <v>59</v>
      </c>
    </row>
    <row r="4473" spans="153:166" x14ac:dyDescent="0.35">
      <c r="EW4473" t="s">
        <v>5211</v>
      </c>
      <c r="EX4473" t="s">
        <v>484</v>
      </c>
      <c r="FF4473" t="s">
        <v>59</v>
      </c>
      <c r="FJ4473" t="s">
        <v>59</v>
      </c>
    </row>
    <row r="4474" spans="153:166" x14ac:dyDescent="0.35">
      <c r="EW4474" t="s">
        <v>5211</v>
      </c>
      <c r="EX4474" t="s">
        <v>484</v>
      </c>
      <c r="FF4474" t="s">
        <v>59</v>
      </c>
      <c r="FJ4474" t="s">
        <v>59</v>
      </c>
    </row>
    <row r="4475" spans="153:166" x14ac:dyDescent="0.35">
      <c r="EW4475" t="s">
        <v>5211</v>
      </c>
      <c r="EX4475" t="s">
        <v>484</v>
      </c>
      <c r="FF4475" t="s">
        <v>59</v>
      </c>
      <c r="FJ4475" t="s">
        <v>59</v>
      </c>
    </row>
    <row r="4476" spans="153:166" x14ac:dyDescent="0.35">
      <c r="EW4476" t="s">
        <v>5211</v>
      </c>
      <c r="EX4476" t="s">
        <v>484</v>
      </c>
      <c r="FF4476" t="s">
        <v>59</v>
      </c>
      <c r="FJ4476" t="s">
        <v>59</v>
      </c>
    </row>
    <row r="4477" spans="153:166" x14ac:dyDescent="0.35">
      <c r="EW4477" t="s">
        <v>5211</v>
      </c>
      <c r="EX4477" t="s">
        <v>484</v>
      </c>
      <c r="FF4477" t="s">
        <v>59</v>
      </c>
      <c r="FJ4477" t="s">
        <v>59</v>
      </c>
    </row>
    <row r="4478" spans="153:166" x14ac:dyDescent="0.35">
      <c r="EW4478" t="s">
        <v>5211</v>
      </c>
      <c r="EX4478" t="s">
        <v>484</v>
      </c>
      <c r="FF4478" t="s">
        <v>59</v>
      </c>
      <c r="FJ4478" t="s">
        <v>59</v>
      </c>
    </row>
    <row r="4479" spans="153:166" x14ac:dyDescent="0.35">
      <c r="EW4479" t="s">
        <v>5211</v>
      </c>
      <c r="EX4479" t="s">
        <v>484</v>
      </c>
      <c r="FF4479" t="s">
        <v>59</v>
      </c>
      <c r="FJ4479" t="s">
        <v>59</v>
      </c>
    </row>
    <row r="4480" spans="153:166" x14ac:dyDescent="0.35">
      <c r="EW4480" t="s">
        <v>5211</v>
      </c>
      <c r="EX4480" t="s">
        <v>484</v>
      </c>
      <c r="FF4480" t="s">
        <v>59</v>
      </c>
      <c r="FJ4480" t="s">
        <v>59</v>
      </c>
    </row>
    <row r="4481" spans="153:166" x14ac:dyDescent="0.35">
      <c r="EW4481" t="s">
        <v>5211</v>
      </c>
      <c r="EX4481" t="s">
        <v>484</v>
      </c>
      <c r="FF4481" t="s">
        <v>59</v>
      </c>
      <c r="FJ4481" t="s">
        <v>59</v>
      </c>
    </row>
    <row r="4482" spans="153:166" x14ac:dyDescent="0.35">
      <c r="EW4482" t="s">
        <v>5211</v>
      </c>
      <c r="EX4482" t="s">
        <v>484</v>
      </c>
      <c r="FF4482" t="s">
        <v>59</v>
      </c>
      <c r="FJ4482" t="s">
        <v>59</v>
      </c>
    </row>
    <row r="4483" spans="153:166" x14ac:dyDescent="0.35">
      <c r="EW4483" t="s">
        <v>5211</v>
      </c>
      <c r="EX4483" t="s">
        <v>497</v>
      </c>
      <c r="FF4483" t="s">
        <v>59</v>
      </c>
      <c r="FJ4483" t="s">
        <v>59</v>
      </c>
    </row>
    <row r="4484" spans="153:166" x14ac:dyDescent="0.35">
      <c r="EW4484" t="s">
        <v>5211</v>
      </c>
      <c r="EX4484" t="s">
        <v>497</v>
      </c>
      <c r="FF4484" t="s">
        <v>59</v>
      </c>
      <c r="FJ4484" t="s">
        <v>59</v>
      </c>
    </row>
    <row r="4485" spans="153:166" x14ac:dyDescent="0.35">
      <c r="EW4485" t="s">
        <v>5211</v>
      </c>
      <c r="EX4485" t="s">
        <v>502</v>
      </c>
      <c r="FF4485" t="s">
        <v>59</v>
      </c>
      <c r="FJ4485" t="s">
        <v>59</v>
      </c>
    </row>
    <row r="4486" spans="153:166" x14ac:dyDescent="0.35">
      <c r="EW4486" t="s">
        <v>5211</v>
      </c>
      <c r="EX4486" t="s">
        <v>502</v>
      </c>
      <c r="FF4486" t="s">
        <v>59</v>
      </c>
      <c r="FJ4486" t="s">
        <v>59</v>
      </c>
    </row>
    <row r="4487" spans="153:166" x14ac:dyDescent="0.35">
      <c r="EW4487" t="s">
        <v>5211</v>
      </c>
      <c r="EX4487" t="s">
        <v>502</v>
      </c>
      <c r="FF4487" t="s">
        <v>59</v>
      </c>
      <c r="FJ4487" t="s">
        <v>59</v>
      </c>
    </row>
    <row r="4488" spans="153:166" x14ac:dyDescent="0.35">
      <c r="EW4488" t="s">
        <v>5211</v>
      </c>
      <c r="EX4488" t="s">
        <v>502</v>
      </c>
      <c r="FF4488" t="s">
        <v>59</v>
      </c>
      <c r="FJ4488" t="s">
        <v>59</v>
      </c>
    </row>
    <row r="4489" spans="153:166" x14ac:dyDescent="0.35">
      <c r="EW4489" t="s">
        <v>5211</v>
      </c>
      <c r="EX4489" t="s">
        <v>502</v>
      </c>
      <c r="FF4489" t="s">
        <v>59</v>
      </c>
      <c r="FJ4489" t="s">
        <v>59</v>
      </c>
    </row>
    <row r="4490" spans="153:166" x14ac:dyDescent="0.35">
      <c r="EW4490" t="s">
        <v>5211</v>
      </c>
      <c r="EX4490" t="s">
        <v>510</v>
      </c>
      <c r="FF4490" t="s">
        <v>59</v>
      </c>
      <c r="FJ4490" t="s">
        <v>59</v>
      </c>
    </row>
    <row r="4491" spans="153:166" x14ac:dyDescent="0.35">
      <c r="EW4491" t="s">
        <v>5211</v>
      </c>
      <c r="EX4491" t="s">
        <v>510</v>
      </c>
      <c r="FF4491" t="s">
        <v>59</v>
      </c>
      <c r="FJ4491" t="s">
        <v>59</v>
      </c>
    </row>
    <row r="4492" spans="153:166" x14ac:dyDescent="0.35">
      <c r="EW4492" t="s">
        <v>5211</v>
      </c>
      <c r="EX4492" t="s">
        <v>510</v>
      </c>
      <c r="FF4492" t="s">
        <v>59</v>
      </c>
      <c r="FJ4492" t="s">
        <v>59</v>
      </c>
    </row>
    <row r="4493" spans="153:166" x14ac:dyDescent="0.35">
      <c r="EW4493" t="s">
        <v>5211</v>
      </c>
      <c r="EX4493" t="s">
        <v>510</v>
      </c>
      <c r="FF4493" t="s">
        <v>59</v>
      </c>
      <c r="FJ4493" t="s">
        <v>59</v>
      </c>
    </row>
    <row r="4494" spans="153:166" x14ac:dyDescent="0.35">
      <c r="EW4494" t="s">
        <v>5211</v>
      </c>
      <c r="EX4494" t="s">
        <v>510</v>
      </c>
      <c r="FF4494" t="s">
        <v>59</v>
      </c>
      <c r="FJ4494" t="s">
        <v>59</v>
      </c>
    </row>
    <row r="4495" spans="153:166" x14ac:dyDescent="0.35">
      <c r="EW4495" t="s">
        <v>5211</v>
      </c>
      <c r="EX4495" t="s">
        <v>510</v>
      </c>
      <c r="FF4495" t="s">
        <v>59</v>
      </c>
      <c r="FJ4495" t="s">
        <v>59</v>
      </c>
    </row>
    <row r="4496" spans="153:166" x14ac:dyDescent="0.35">
      <c r="EW4496" t="s">
        <v>5211</v>
      </c>
      <c r="EX4496" t="s">
        <v>519</v>
      </c>
      <c r="FF4496" t="s">
        <v>59</v>
      </c>
      <c r="FJ4496" t="s">
        <v>59</v>
      </c>
    </row>
    <row r="4497" spans="153:166" x14ac:dyDescent="0.35">
      <c r="EW4497" t="s">
        <v>5211</v>
      </c>
      <c r="EX4497" t="s">
        <v>519</v>
      </c>
      <c r="FF4497" t="s">
        <v>59</v>
      </c>
      <c r="FJ4497" t="s">
        <v>59</v>
      </c>
    </row>
    <row r="4498" spans="153:166" x14ac:dyDescent="0.35">
      <c r="EW4498" t="s">
        <v>5211</v>
      </c>
      <c r="EX4498" t="s">
        <v>519</v>
      </c>
      <c r="FF4498" t="s">
        <v>59</v>
      </c>
      <c r="FJ4498" t="s">
        <v>59</v>
      </c>
    </row>
    <row r="4499" spans="153:166" x14ac:dyDescent="0.35">
      <c r="EW4499" t="s">
        <v>5211</v>
      </c>
      <c r="EX4499" t="s">
        <v>519</v>
      </c>
      <c r="FF4499" t="s">
        <v>59</v>
      </c>
      <c r="FJ4499" t="s">
        <v>59</v>
      </c>
    </row>
    <row r="4500" spans="153:166" x14ac:dyDescent="0.35">
      <c r="EW4500" t="s">
        <v>5211</v>
      </c>
      <c r="EX4500" t="s">
        <v>519</v>
      </c>
      <c r="FF4500" t="s">
        <v>59</v>
      </c>
      <c r="FJ4500" t="s">
        <v>59</v>
      </c>
    </row>
    <row r="4501" spans="153:166" x14ac:dyDescent="0.35">
      <c r="EW4501" t="s">
        <v>5211</v>
      </c>
      <c r="EX4501" t="s">
        <v>519</v>
      </c>
      <c r="FF4501" t="s">
        <v>59</v>
      </c>
      <c r="FJ4501" t="s">
        <v>59</v>
      </c>
    </row>
    <row r="4502" spans="153:166" x14ac:dyDescent="0.35">
      <c r="EW4502" t="s">
        <v>5211</v>
      </c>
      <c r="EX4502" t="s">
        <v>528</v>
      </c>
      <c r="FF4502" t="s">
        <v>59</v>
      </c>
      <c r="FJ4502" t="s">
        <v>59</v>
      </c>
    </row>
    <row r="4503" spans="153:166" x14ac:dyDescent="0.35">
      <c r="EW4503" t="s">
        <v>5211</v>
      </c>
      <c r="EX4503" t="s">
        <v>528</v>
      </c>
      <c r="FF4503" t="s">
        <v>59</v>
      </c>
      <c r="FJ4503" t="s">
        <v>59</v>
      </c>
    </row>
    <row r="4504" spans="153:166" x14ac:dyDescent="0.35">
      <c r="EW4504" t="s">
        <v>5211</v>
      </c>
      <c r="EX4504" t="s">
        <v>528</v>
      </c>
      <c r="FF4504" t="s">
        <v>59</v>
      </c>
      <c r="FJ4504" t="s">
        <v>59</v>
      </c>
    </row>
    <row r="4505" spans="153:166" x14ac:dyDescent="0.35">
      <c r="EW4505" t="s">
        <v>5211</v>
      </c>
      <c r="EX4505" t="s">
        <v>528</v>
      </c>
      <c r="FF4505" t="s">
        <v>59</v>
      </c>
      <c r="FJ4505" t="s">
        <v>59</v>
      </c>
    </row>
    <row r="4506" spans="153:166" x14ac:dyDescent="0.35">
      <c r="EW4506" t="s">
        <v>5211</v>
      </c>
      <c r="EX4506" t="s">
        <v>528</v>
      </c>
      <c r="FF4506" t="s">
        <v>59</v>
      </c>
      <c r="FJ4506" t="s">
        <v>59</v>
      </c>
    </row>
    <row r="4507" spans="153:166" x14ac:dyDescent="0.35">
      <c r="EW4507" t="s">
        <v>5211</v>
      </c>
      <c r="EX4507" t="s">
        <v>528</v>
      </c>
      <c r="FF4507" t="s">
        <v>59</v>
      </c>
      <c r="FJ4507" t="s">
        <v>59</v>
      </c>
    </row>
    <row r="4508" spans="153:166" x14ac:dyDescent="0.35">
      <c r="EW4508" t="s">
        <v>5211</v>
      </c>
      <c r="EX4508" t="s">
        <v>537</v>
      </c>
      <c r="FF4508" t="s">
        <v>59</v>
      </c>
      <c r="FJ4508" t="s">
        <v>59</v>
      </c>
    </row>
    <row r="4509" spans="153:166" x14ac:dyDescent="0.35">
      <c r="EW4509" t="s">
        <v>5211</v>
      </c>
      <c r="EX4509" t="s">
        <v>537</v>
      </c>
      <c r="FF4509" t="s">
        <v>59</v>
      </c>
      <c r="FJ4509" t="s">
        <v>59</v>
      </c>
    </row>
    <row r="4510" spans="153:166" x14ac:dyDescent="0.35">
      <c r="EW4510" t="s">
        <v>5211</v>
      </c>
      <c r="EX4510" t="s">
        <v>537</v>
      </c>
      <c r="FF4510" t="s">
        <v>59</v>
      </c>
      <c r="FJ4510" t="s">
        <v>59</v>
      </c>
    </row>
    <row r="4511" spans="153:166" x14ac:dyDescent="0.35">
      <c r="EW4511" t="s">
        <v>5211</v>
      </c>
      <c r="EX4511" t="s">
        <v>537</v>
      </c>
      <c r="FF4511" t="s">
        <v>59</v>
      </c>
      <c r="FJ4511" t="s">
        <v>59</v>
      </c>
    </row>
    <row r="4512" spans="153:166" x14ac:dyDescent="0.35">
      <c r="EW4512" t="s">
        <v>5211</v>
      </c>
      <c r="EX4512" t="s">
        <v>537</v>
      </c>
      <c r="FF4512" t="s">
        <v>59</v>
      </c>
      <c r="FJ4512" t="s">
        <v>59</v>
      </c>
    </row>
    <row r="4513" spans="153:166" x14ac:dyDescent="0.35">
      <c r="EW4513" t="s">
        <v>5211</v>
      </c>
      <c r="EX4513" t="s">
        <v>537</v>
      </c>
      <c r="FF4513" t="s">
        <v>59</v>
      </c>
      <c r="FJ4513" t="s">
        <v>59</v>
      </c>
    </row>
    <row r="4514" spans="153:166" x14ac:dyDescent="0.35">
      <c r="EW4514" t="s">
        <v>5211</v>
      </c>
      <c r="EX4514" t="s">
        <v>537</v>
      </c>
      <c r="FF4514" t="s">
        <v>59</v>
      </c>
      <c r="FJ4514" t="s">
        <v>59</v>
      </c>
    </row>
    <row r="4515" spans="153:166" x14ac:dyDescent="0.35">
      <c r="EW4515" t="s">
        <v>5211</v>
      </c>
      <c r="EX4515" t="s">
        <v>547</v>
      </c>
      <c r="FF4515" t="s">
        <v>59</v>
      </c>
      <c r="FJ4515" t="s">
        <v>59</v>
      </c>
    </row>
    <row r="4516" spans="153:166" x14ac:dyDescent="0.35">
      <c r="EW4516" t="s">
        <v>5211</v>
      </c>
      <c r="EX4516" t="s">
        <v>547</v>
      </c>
      <c r="FF4516" t="s">
        <v>59</v>
      </c>
      <c r="FJ4516" t="s">
        <v>59</v>
      </c>
    </row>
    <row r="4517" spans="153:166" x14ac:dyDescent="0.35">
      <c r="EW4517" t="s">
        <v>5211</v>
      </c>
      <c r="EX4517" t="s">
        <v>547</v>
      </c>
      <c r="FF4517" t="s">
        <v>59</v>
      </c>
      <c r="FJ4517" t="s">
        <v>59</v>
      </c>
    </row>
    <row r="4518" spans="153:166" x14ac:dyDescent="0.35">
      <c r="EW4518" t="s">
        <v>5211</v>
      </c>
      <c r="EX4518" t="s">
        <v>547</v>
      </c>
      <c r="FF4518" t="s">
        <v>59</v>
      </c>
      <c r="FJ4518" t="s">
        <v>59</v>
      </c>
    </row>
    <row r="4519" spans="153:166" x14ac:dyDescent="0.35">
      <c r="EW4519" t="s">
        <v>5211</v>
      </c>
      <c r="EX4519" t="s">
        <v>554</v>
      </c>
      <c r="FF4519" t="s">
        <v>59</v>
      </c>
      <c r="FJ4519" t="s">
        <v>59</v>
      </c>
    </row>
    <row r="4520" spans="153:166" x14ac:dyDescent="0.35">
      <c r="EW4520" t="s">
        <v>5211</v>
      </c>
      <c r="EX4520" t="s">
        <v>554</v>
      </c>
      <c r="FF4520" t="s">
        <v>59</v>
      </c>
      <c r="FJ4520" t="s">
        <v>59</v>
      </c>
    </row>
    <row r="4521" spans="153:166" x14ac:dyDescent="0.35">
      <c r="EW4521" t="s">
        <v>5211</v>
      </c>
      <c r="EX4521" t="s">
        <v>559</v>
      </c>
      <c r="FF4521" t="s">
        <v>59</v>
      </c>
      <c r="FJ4521" t="s">
        <v>59</v>
      </c>
    </row>
    <row r="4522" spans="153:166" x14ac:dyDescent="0.35">
      <c r="EW4522" t="s">
        <v>5211</v>
      </c>
      <c r="EX4522" t="s">
        <v>563</v>
      </c>
      <c r="FF4522" t="s">
        <v>59</v>
      </c>
      <c r="FJ4522" t="s">
        <v>59</v>
      </c>
    </row>
    <row r="4523" spans="153:166" x14ac:dyDescent="0.35">
      <c r="EW4523" t="s">
        <v>5211</v>
      </c>
      <c r="EX4523" t="s">
        <v>563</v>
      </c>
      <c r="FF4523" t="s">
        <v>59</v>
      </c>
      <c r="FJ4523" t="s">
        <v>59</v>
      </c>
    </row>
    <row r="4524" spans="153:166" x14ac:dyDescent="0.35">
      <c r="EW4524" t="s">
        <v>5211</v>
      </c>
      <c r="EX4524" t="s">
        <v>563</v>
      </c>
      <c r="FF4524" t="s">
        <v>59</v>
      </c>
      <c r="FJ4524" t="s">
        <v>59</v>
      </c>
    </row>
    <row r="4525" spans="153:166" x14ac:dyDescent="0.35">
      <c r="EW4525" t="s">
        <v>5211</v>
      </c>
      <c r="EX4525" t="s">
        <v>563</v>
      </c>
      <c r="FF4525" t="s">
        <v>59</v>
      </c>
      <c r="FJ4525" t="s">
        <v>59</v>
      </c>
    </row>
    <row r="4526" spans="153:166" x14ac:dyDescent="0.35">
      <c r="EW4526" t="s">
        <v>5211</v>
      </c>
      <c r="EX4526" t="s">
        <v>563</v>
      </c>
      <c r="FF4526" t="s">
        <v>59</v>
      </c>
      <c r="FJ4526" t="s">
        <v>59</v>
      </c>
    </row>
    <row r="4527" spans="153:166" x14ac:dyDescent="0.35">
      <c r="EW4527" t="s">
        <v>5211</v>
      </c>
      <c r="EX4527" t="s">
        <v>563</v>
      </c>
      <c r="FF4527" t="s">
        <v>59</v>
      </c>
      <c r="FJ4527" t="s">
        <v>59</v>
      </c>
    </row>
    <row r="4528" spans="153:166" x14ac:dyDescent="0.35">
      <c r="EW4528" t="s">
        <v>5211</v>
      </c>
      <c r="EX4528" t="s">
        <v>573</v>
      </c>
      <c r="FF4528" t="s">
        <v>59</v>
      </c>
      <c r="FJ4528" t="s">
        <v>59</v>
      </c>
    </row>
    <row r="4529" spans="153:166" x14ac:dyDescent="0.35">
      <c r="EW4529" t="s">
        <v>5211</v>
      </c>
      <c r="EX4529" t="s">
        <v>573</v>
      </c>
      <c r="FF4529" t="s">
        <v>59</v>
      </c>
      <c r="FJ4529" t="s">
        <v>59</v>
      </c>
    </row>
    <row r="4530" spans="153:166" x14ac:dyDescent="0.35">
      <c r="EW4530" t="s">
        <v>5211</v>
      </c>
      <c r="EX4530" t="s">
        <v>578</v>
      </c>
      <c r="FF4530" t="s">
        <v>59</v>
      </c>
      <c r="FJ4530" t="s">
        <v>59</v>
      </c>
    </row>
    <row r="4531" spans="153:166" x14ac:dyDescent="0.35">
      <c r="EW4531" t="s">
        <v>5211</v>
      </c>
      <c r="EX4531" t="s">
        <v>578</v>
      </c>
      <c r="FF4531" t="s">
        <v>59</v>
      </c>
      <c r="FJ4531" t="s">
        <v>59</v>
      </c>
    </row>
    <row r="4532" spans="153:166" x14ac:dyDescent="0.35">
      <c r="EW4532" t="s">
        <v>5211</v>
      </c>
      <c r="EX4532" t="s">
        <v>578</v>
      </c>
      <c r="FF4532" t="s">
        <v>59</v>
      </c>
      <c r="FJ4532" t="s">
        <v>59</v>
      </c>
    </row>
    <row r="4533" spans="153:166" x14ac:dyDescent="0.35">
      <c r="EW4533" t="s">
        <v>5211</v>
      </c>
      <c r="EX4533" t="s">
        <v>578</v>
      </c>
      <c r="FF4533" t="s">
        <v>59</v>
      </c>
      <c r="FJ4533" t="s">
        <v>59</v>
      </c>
    </row>
    <row r="4534" spans="153:166" x14ac:dyDescent="0.35">
      <c r="EW4534" t="s">
        <v>5211</v>
      </c>
      <c r="EX4534" t="s">
        <v>578</v>
      </c>
      <c r="FF4534" t="s">
        <v>59</v>
      </c>
      <c r="FJ4534" t="s">
        <v>59</v>
      </c>
    </row>
    <row r="4535" spans="153:166" x14ac:dyDescent="0.35">
      <c r="EW4535" t="s">
        <v>5211</v>
      </c>
      <c r="EX4535" t="s">
        <v>586</v>
      </c>
      <c r="FF4535" t="s">
        <v>59</v>
      </c>
      <c r="FJ4535" t="s">
        <v>59</v>
      </c>
    </row>
    <row r="4536" spans="153:166" x14ac:dyDescent="0.35">
      <c r="EW4536" t="s">
        <v>5211</v>
      </c>
      <c r="EX4536" t="s">
        <v>586</v>
      </c>
      <c r="FF4536" t="s">
        <v>59</v>
      </c>
      <c r="FJ4536" t="s">
        <v>59</v>
      </c>
    </row>
    <row r="4537" spans="153:166" x14ac:dyDescent="0.35">
      <c r="EW4537" t="s">
        <v>5211</v>
      </c>
      <c r="EX4537" t="s">
        <v>586</v>
      </c>
      <c r="FF4537" t="s">
        <v>59</v>
      </c>
      <c r="FJ4537" t="s">
        <v>59</v>
      </c>
    </row>
    <row r="4538" spans="153:166" x14ac:dyDescent="0.35">
      <c r="EW4538" t="s">
        <v>5211</v>
      </c>
      <c r="EX4538" t="s">
        <v>586</v>
      </c>
      <c r="FF4538" t="s">
        <v>59</v>
      </c>
      <c r="FJ4538" t="s">
        <v>59</v>
      </c>
    </row>
    <row r="4539" spans="153:166" x14ac:dyDescent="0.35">
      <c r="EW4539" t="s">
        <v>5211</v>
      </c>
      <c r="EX4539" t="s">
        <v>593</v>
      </c>
      <c r="FF4539" t="s">
        <v>59</v>
      </c>
      <c r="FJ4539" t="s">
        <v>59</v>
      </c>
    </row>
    <row r="4540" spans="153:166" x14ac:dyDescent="0.35">
      <c r="EW4540" t="s">
        <v>5211</v>
      </c>
      <c r="EX4540" t="s">
        <v>593</v>
      </c>
      <c r="FF4540" t="s">
        <v>59</v>
      </c>
      <c r="FJ4540" t="s">
        <v>59</v>
      </c>
    </row>
    <row r="4541" spans="153:166" x14ac:dyDescent="0.35">
      <c r="EW4541" t="s">
        <v>5211</v>
      </c>
      <c r="EX4541" t="s">
        <v>598</v>
      </c>
      <c r="FF4541" t="s">
        <v>59</v>
      </c>
      <c r="FJ4541" t="s">
        <v>59</v>
      </c>
    </row>
    <row r="4542" spans="153:166" x14ac:dyDescent="0.35">
      <c r="EW4542" t="s">
        <v>5211</v>
      </c>
      <c r="EX4542" t="s">
        <v>598</v>
      </c>
      <c r="FF4542" t="s">
        <v>59</v>
      </c>
      <c r="FJ4542" t="s">
        <v>59</v>
      </c>
    </row>
    <row r="4543" spans="153:166" x14ac:dyDescent="0.35">
      <c r="EW4543" t="s">
        <v>5211</v>
      </c>
      <c r="EX4543" t="s">
        <v>598</v>
      </c>
      <c r="FF4543" t="s">
        <v>59</v>
      </c>
      <c r="FJ4543" t="s">
        <v>59</v>
      </c>
    </row>
    <row r="4544" spans="153:166" x14ac:dyDescent="0.35">
      <c r="EW4544" t="s">
        <v>5211</v>
      </c>
      <c r="EX4544" t="s">
        <v>604</v>
      </c>
      <c r="FF4544" t="s">
        <v>59</v>
      </c>
      <c r="FJ4544" t="s">
        <v>59</v>
      </c>
    </row>
    <row r="4545" spans="153:166" x14ac:dyDescent="0.35">
      <c r="EW4545" t="s">
        <v>5211</v>
      </c>
      <c r="EX4545" t="s">
        <v>604</v>
      </c>
      <c r="FF4545" t="s">
        <v>59</v>
      </c>
      <c r="FJ4545" t="s">
        <v>59</v>
      </c>
    </row>
    <row r="4546" spans="153:166" x14ac:dyDescent="0.35">
      <c r="EW4546" t="s">
        <v>5211</v>
      </c>
      <c r="EX4546" t="s">
        <v>604</v>
      </c>
      <c r="FF4546" t="s">
        <v>59</v>
      </c>
      <c r="FJ4546" t="s">
        <v>59</v>
      </c>
    </row>
    <row r="4547" spans="153:166" x14ac:dyDescent="0.35">
      <c r="EW4547" t="s">
        <v>5211</v>
      </c>
      <c r="EX4547" t="s">
        <v>610</v>
      </c>
      <c r="FF4547" t="s">
        <v>59</v>
      </c>
      <c r="FJ4547" t="s">
        <v>59</v>
      </c>
    </row>
    <row r="4548" spans="153:166" x14ac:dyDescent="0.35">
      <c r="EW4548" t="s">
        <v>5211</v>
      </c>
      <c r="EX4548" t="s">
        <v>610</v>
      </c>
      <c r="FF4548" t="s">
        <v>59</v>
      </c>
      <c r="FJ4548" t="s">
        <v>59</v>
      </c>
    </row>
    <row r="4549" spans="153:166" x14ac:dyDescent="0.35">
      <c r="EW4549" t="s">
        <v>5211</v>
      </c>
      <c r="EX4549" t="s">
        <v>615</v>
      </c>
      <c r="FF4549" t="s">
        <v>59</v>
      </c>
      <c r="FJ4549" t="s">
        <v>59</v>
      </c>
    </row>
    <row r="4550" spans="153:166" x14ac:dyDescent="0.35">
      <c r="EW4550" t="s">
        <v>5211</v>
      </c>
      <c r="EX4550" t="s">
        <v>615</v>
      </c>
      <c r="FF4550" t="s">
        <v>59</v>
      </c>
      <c r="FJ4550" t="s">
        <v>59</v>
      </c>
    </row>
    <row r="4551" spans="153:166" x14ac:dyDescent="0.35">
      <c r="EW4551" t="s">
        <v>5211</v>
      </c>
      <c r="EX4551" t="s">
        <v>615</v>
      </c>
      <c r="FF4551" t="s">
        <v>59</v>
      </c>
      <c r="FJ4551" t="s">
        <v>59</v>
      </c>
    </row>
    <row r="4552" spans="153:166" x14ac:dyDescent="0.35">
      <c r="EW4552" t="s">
        <v>5211</v>
      </c>
      <c r="EX4552" t="s">
        <v>615</v>
      </c>
      <c r="FF4552" t="s">
        <v>59</v>
      </c>
      <c r="FJ4552" t="s">
        <v>59</v>
      </c>
    </row>
    <row r="4553" spans="153:166" x14ac:dyDescent="0.35">
      <c r="EW4553" t="s">
        <v>5211</v>
      </c>
      <c r="EX4553" t="s">
        <v>615</v>
      </c>
      <c r="FF4553" t="s">
        <v>59</v>
      </c>
      <c r="FJ4553" t="s">
        <v>59</v>
      </c>
    </row>
    <row r="4554" spans="153:166" x14ac:dyDescent="0.35">
      <c r="EW4554" t="s">
        <v>5211</v>
      </c>
      <c r="EX4554" t="s">
        <v>615</v>
      </c>
      <c r="FF4554" t="s">
        <v>59</v>
      </c>
      <c r="FJ4554" t="s">
        <v>59</v>
      </c>
    </row>
    <row r="4555" spans="153:166" x14ac:dyDescent="0.35">
      <c r="EW4555" t="s">
        <v>5211</v>
      </c>
      <c r="EX4555" t="s">
        <v>624</v>
      </c>
      <c r="FF4555" t="s">
        <v>59</v>
      </c>
      <c r="FJ4555" t="s">
        <v>59</v>
      </c>
    </row>
    <row r="4556" spans="153:166" x14ac:dyDescent="0.35">
      <c r="EW4556" t="s">
        <v>5211</v>
      </c>
      <c r="EX4556" t="s">
        <v>624</v>
      </c>
      <c r="FF4556" t="s">
        <v>59</v>
      </c>
      <c r="FJ4556" t="s">
        <v>59</v>
      </c>
    </row>
    <row r="4557" spans="153:166" x14ac:dyDescent="0.35">
      <c r="EW4557" t="s">
        <v>5211</v>
      </c>
      <c r="EX4557" t="s">
        <v>624</v>
      </c>
      <c r="FF4557" t="s">
        <v>59</v>
      </c>
      <c r="FJ4557" t="s">
        <v>59</v>
      </c>
    </row>
    <row r="4558" spans="153:166" x14ac:dyDescent="0.35">
      <c r="EW4558" t="s">
        <v>5211</v>
      </c>
      <c r="EX4558" t="s">
        <v>624</v>
      </c>
      <c r="FF4558" t="s">
        <v>59</v>
      </c>
      <c r="FJ4558" t="s">
        <v>59</v>
      </c>
    </row>
    <row r="4559" spans="153:166" x14ac:dyDescent="0.35">
      <c r="EW4559" t="s">
        <v>5211</v>
      </c>
      <c r="EX4559" t="s">
        <v>624</v>
      </c>
      <c r="FF4559" t="s">
        <v>59</v>
      </c>
      <c r="FJ4559" t="s">
        <v>59</v>
      </c>
    </row>
    <row r="4560" spans="153:166" x14ac:dyDescent="0.35">
      <c r="EW4560" t="s">
        <v>5211</v>
      </c>
      <c r="EX4560" t="s">
        <v>624</v>
      </c>
      <c r="FF4560" t="s">
        <v>59</v>
      </c>
      <c r="FJ4560" t="s">
        <v>59</v>
      </c>
    </row>
    <row r="4561" spans="153:166" x14ac:dyDescent="0.35">
      <c r="EW4561" t="s">
        <v>5211</v>
      </c>
      <c r="EX4561" t="s">
        <v>624</v>
      </c>
      <c r="FF4561" t="s">
        <v>59</v>
      </c>
      <c r="FJ4561" t="s">
        <v>59</v>
      </c>
    </row>
    <row r="4562" spans="153:166" x14ac:dyDescent="0.35">
      <c r="EW4562" t="s">
        <v>5211</v>
      </c>
      <c r="EX4562" t="s">
        <v>624</v>
      </c>
      <c r="FF4562" t="s">
        <v>59</v>
      </c>
      <c r="FJ4562" t="s">
        <v>59</v>
      </c>
    </row>
    <row r="4563" spans="153:166" x14ac:dyDescent="0.35">
      <c r="EW4563" t="s">
        <v>5211</v>
      </c>
      <c r="EX4563" t="s">
        <v>624</v>
      </c>
      <c r="FF4563" t="s">
        <v>59</v>
      </c>
      <c r="FJ4563" t="s">
        <v>59</v>
      </c>
    </row>
    <row r="4564" spans="153:166" x14ac:dyDescent="0.35">
      <c r="EW4564" t="s">
        <v>5211</v>
      </c>
      <c r="EX4564" t="s">
        <v>636</v>
      </c>
      <c r="FF4564" t="s">
        <v>59</v>
      </c>
      <c r="FJ4564" t="s">
        <v>59</v>
      </c>
    </row>
    <row r="4565" spans="153:166" x14ac:dyDescent="0.35">
      <c r="EW4565" t="s">
        <v>5211</v>
      </c>
      <c r="EX4565" t="s">
        <v>636</v>
      </c>
      <c r="FF4565" t="s">
        <v>59</v>
      </c>
      <c r="FJ4565" t="s">
        <v>59</v>
      </c>
    </row>
    <row r="4566" spans="153:166" x14ac:dyDescent="0.35">
      <c r="EW4566" t="s">
        <v>5211</v>
      </c>
      <c r="EX4566" t="s">
        <v>636</v>
      </c>
      <c r="FF4566" t="s">
        <v>59</v>
      </c>
      <c r="FJ4566" t="s">
        <v>59</v>
      </c>
    </row>
    <row r="4567" spans="153:166" x14ac:dyDescent="0.35">
      <c r="EW4567" t="s">
        <v>5211</v>
      </c>
      <c r="EX4567" t="s">
        <v>636</v>
      </c>
      <c r="FF4567" t="s">
        <v>59</v>
      </c>
      <c r="FJ4567" t="s">
        <v>59</v>
      </c>
    </row>
    <row r="4568" spans="153:166" x14ac:dyDescent="0.35">
      <c r="EW4568" t="s">
        <v>5211</v>
      </c>
      <c r="EX4568" t="s">
        <v>636</v>
      </c>
      <c r="FF4568" t="s">
        <v>59</v>
      </c>
      <c r="FJ4568" t="s">
        <v>59</v>
      </c>
    </row>
    <row r="4569" spans="153:166" x14ac:dyDescent="0.35">
      <c r="EW4569" t="s">
        <v>5211</v>
      </c>
      <c r="EX4569" t="s">
        <v>636</v>
      </c>
      <c r="FF4569" t="s">
        <v>59</v>
      </c>
      <c r="FJ4569" t="s">
        <v>59</v>
      </c>
    </row>
    <row r="4570" spans="153:166" x14ac:dyDescent="0.35">
      <c r="EW4570" t="s">
        <v>5211</v>
      </c>
      <c r="EX4570" t="s">
        <v>636</v>
      </c>
      <c r="FF4570" t="s">
        <v>59</v>
      </c>
      <c r="FJ4570" t="s">
        <v>59</v>
      </c>
    </row>
    <row r="4571" spans="153:166" x14ac:dyDescent="0.35">
      <c r="EW4571" t="s">
        <v>5211</v>
      </c>
      <c r="EX4571" t="s">
        <v>652</v>
      </c>
      <c r="FF4571" t="s">
        <v>59</v>
      </c>
      <c r="FJ4571" t="s">
        <v>59</v>
      </c>
    </row>
    <row r="4572" spans="153:166" x14ac:dyDescent="0.35">
      <c r="EW4572" t="s">
        <v>5211</v>
      </c>
      <c r="EX4572" t="s">
        <v>652</v>
      </c>
      <c r="FF4572" t="s">
        <v>59</v>
      </c>
      <c r="FJ4572" t="s">
        <v>59</v>
      </c>
    </row>
    <row r="4573" spans="153:166" x14ac:dyDescent="0.35">
      <c r="EW4573" t="s">
        <v>5211</v>
      </c>
      <c r="EX4573" t="s">
        <v>652</v>
      </c>
      <c r="FF4573" t="s">
        <v>59</v>
      </c>
      <c r="FJ4573" t="s">
        <v>59</v>
      </c>
    </row>
    <row r="4574" spans="153:166" x14ac:dyDescent="0.35">
      <c r="EW4574" t="s">
        <v>5211</v>
      </c>
      <c r="EX4574" t="s">
        <v>652</v>
      </c>
      <c r="FF4574" t="s">
        <v>59</v>
      </c>
      <c r="FJ4574" t="s">
        <v>59</v>
      </c>
    </row>
    <row r="4575" spans="153:166" x14ac:dyDescent="0.35">
      <c r="EW4575" t="s">
        <v>5211</v>
      </c>
      <c r="EX4575" t="s">
        <v>652</v>
      </c>
      <c r="FF4575" t="s">
        <v>59</v>
      </c>
      <c r="FJ4575" t="s">
        <v>59</v>
      </c>
    </row>
    <row r="4576" spans="153:166" x14ac:dyDescent="0.35">
      <c r="EW4576" t="s">
        <v>5211</v>
      </c>
      <c r="EX4576" t="s">
        <v>665</v>
      </c>
      <c r="FF4576" t="s">
        <v>59</v>
      </c>
      <c r="FJ4576" t="s">
        <v>59</v>
      </c>
    </row>
    <row r="4577" spans="153:166" x14ac:dyDescent="0.35">
      <c r="EW4577" t="s">
        <v>5211</v>
      </c>
      <c r="EX4577" t="s">
        <v>670</v>
      </c>
      <c r="FF4577" t="s">
        <v>59</v>
      </c>
      <c r="FJ4577" t="s">
        <v>59</v>
      </c>
    </row>
    <row r="4578" spans="153:166" x14ac:dyDescent="0.35">
      <c r="EW4578" t="s">
        <v>5211</v>
      </c>
      <c r="EX4578" t="s">
        <v>670</v>
      </c>
      <c r="FF4578" t="s">
        <v>59</v>
      </c>
      <c r="FJ4578" t="s">
        <v>59</v>
      </c>
    </row>
    <row r="4579" spans="153:166" x14ac:dyDescent="0.35">
      <c r="EW4579" t="s">
        <v>5211</v>
      </c>
      <c r="EX4579" t="s">
        <v>670</v>
      </c>
      <c r="FF4579" t="s">
        <v>59</v>
      </c>
      <c r="FJ4579" t="s">
        <v>59</v>
      </c>
    </row>
    <row r="4580" spans="153:166" x14ac:dyDescent="0.35">
      <c r="EW4580" t="s">
        <v>5211</v>
      </c>
      <c r="EX4580" t="s">
        <v>670</v>
      </c>
      <c r="FF4580" t="s">
        <v>59</v>
      </c>
      <c r="FJ4580" t="s">
        <v>59</v>
      </c>
    </row>
    <row r="4581" spans="153:166" x14ac:dyDescent="0.35">
      <c r="EW4581" t="s">
        <v>5211</v>
      </c>
      <c r="EX4581" t="s">
        <v>670</v>
      </c>
      <c r="FF4581" t="s">
        <v>59</v>
      </c>
      <c r="FJ4581" t="s">
        <v>59</v>
      </c>
    </row>
    <row r="4582" spans="153:166" x14ac:dyDescent="0.35">
      <c r="EW4582" t="s">
        <v>5211</v>
      </c>
      <c r="EX4582" t="s">
        <v>670</v>
      </c>
      <c r="FF4582" t="s">
        <v>59</v>
      </c>
      <c r="FJ4582" t="s">
        <v>59</v>
      </c>
    </row>
    <row r="4583" spans="153:166" x14ac:dyDescent="0.35">
      <c r="EW4583" t="s">
        <v>5211</v>
      </c>
      <c r="EX4583" t="s">
        <v>685</v>
      </c>
      <c r="FF4583" t="s">
        <v>59</v>
      </c>
      <c r="FJ4583" t="s">
        <v>59</v>
      </c>
    </row>
    <row r="4584" spans="153:166" x14ac:dyDescent="0.35">
      <c r="EW4584" t="s">
        <v>5211</v>
      </c>
      <c r="EX4584" t="s">
        <v>685</v>
      </c>
      <c r="FF4584" t="s">
        <v>59</v>
      </c>
      <c r="FJ4584" t="s">
        <v>59</v>
      </c>
    </row>
    <row r="4585" spans="153:166" x14ac:dyDescent="0.35">
      <c r="EW4585" t="s">
        <v>5211</v>
      </c>
      <c r="EX4585" t="s">
        <v>685</v>
      </c>
      <c r="FF4585" t="s">
        <v>59</v>
      </c>
      <c r="FJ4585" t="s">
        <v>59</v>
      </c>
    </row>
    <row r="4586" spans="153:166" x14ac:dyDescent="0.35">
      <c r="EW4586" t="s">
        <v>5211</v>
      </c>
      <c r="EX4586" t="s">
        <v>685</v>
      </c>
      <c r="FF4586" t="s">
        <v>59</v>
      </c>
      <c r="FJ4586" t="s">
        <v>59</v>
      </c>
    </row>
    <row r="4587" spans="153:166" x14ac:dyDescent="0.35">
      <c r="EW4587" t="s">
        <v>5211</v>
      </c>
      <c r="EX4587" t="s">
        <v>685</v>
      </c>
      <c r="FF4587" t="s">
        <v>59</v>
      </c>
      <c r="FJ4587" t="s">
        <v>59</v>
      </c>
    </row>
    <row r="4588" spans="153:166" x14ac:dyDescent="0.35">
      <c r="EW4588" t="s">
        <v>5211</v>
      </c>
      <c r="EX4588" t="s">
        <v>698</v>
      </c>
      <c r="FF4588" t="s">
        <v>59</v>
      </c>
      <c r="FJ4588" t="s">
        <v>59</v>
      </c>
    </row>
    <row r="4589" spans="153:166" x14ac:dyDescent="0.35">
      <c r="EW4589" t="s">
        <v>5211</v>
      </c>
      <c r="EX4589" t="s">
        <v>698</v>
      </c>
      <c r="FF4589" t="s">
        <v>59</v>
      </c>
      <c r="FJ4589" t="s">
        <v>59</v>
      </c>
    </row>
    <row r="4590" spans="153:166" x14ac:dyDescent="0.35">
      <c r="EW4590" t="s">
        <v>5211</v>
      </c>
      <c r="EX4590" t="s">
        <v>705</v>
      </c>
      <c r="FF4590" t="s">
        <v>59</v>
      </c>
      <c r="FJ4590" t="s">
        <v>59</v>
      </c>
    </row>
    <row r="4591" spans="153:166" x14ac:dyDescent="0.35">
      <c r="EW4591" t="s">
        <v>5211</v>
      </c>
      <c r="EX4591" t="s">
        <v>710</v>
      </c>
      <c r="FF4591" t="s">
        <v>59</v>
      </c>
      <c r="FJ4591" t="s">
        <v>59</v>
      </c>
    </row>
    <row r="4592" spans="153:166" x14ac:dyDescent="0.35">
      <c r="EW4592" t="s">
        <v>5211</v>
      </c>
      <c r="EX4592" t="s">
        <v>710</v>
      </c>
      <c r="FF4592" t="s">
        <v>59</v>
      </c>
      <c r="FJ4592" t="s">
        <v>59</v>
      </c>
    </row>
    <row r="4593" spans="153:166" x14ac:dyDescent="0.35">
      <c r="EW4593" t="s">
        <v>5211</v>
      </c>
      <c r="EX4593" t="s">
        <v>710</v>
      </c>
      <c r="FF4593" t="s">
        <v>59</v>
      </c>
      <c r="FJ4593" t="s">
        <v>59</v>
      </c>
    </row>
    <row r="4594" spans="153:166" x14ac:dyDescent="0.35">
      <c r="EW4594" t="s">
        <v>5211</v>
      </c>
      <c r="EX4594" t="s">
        <v>710</v>
      </c>
      <c r="FF4594" t="s">
        <v>59</v>
      </c>
      <c r="FJ4594" t="s">
        <v>59</v>
      </c>
    </row>
    <row r="4595" spans="153:166" x14ac:dyDescent="0.35">
      <c r="EW4595" t="s">
        <v>5211</v>
      </c>
      <c r="EX4595" t="s">
        <v>710</v>
      </c>
      <c r="FF4595" t="s">
        <v>59</v>
      </c>
      <c r="FJ4595" t="s">
        <v>59</v>
      </c>
    </row>
    <row r="4596" spans="153:166" x14ac:dyDescent="0.35">
      <c r="EW4596" t="s">
        <v>5211</v>
      </c>
      <c r="EX4596" t="s">
        <v>723</v>
      </c>
      <c r="FF4596" t="s">
        <v>59</v>
      </c>
      <c r="FJ4596" t="s">
        <v>59</v>
      </c>
    </row>
    <row r="4597" spans="153:166" x14ac:dyDescent="0.35">
      <c r="EW4597" t="s">
        <v>5211</v>
      </c>
      <c r="EX4597" t="s">
        <v>728</v>
      </c>
      <c r="FF4597" t="s">
        <v>59</v>
      </c>
      <c r="FJ4597" t="s">
        <v>59</v>
      </c>
    </row>
    <row r="4598" spans="153:166" x14ac:dyDescent="0.35">
      <c r="EW4598" t="s">
        <v>5211</v>
      </c>
      <c r="EX4598" t="s">
        <v>728</v>
      </c>
      <c r="FF4598" t="s">
        <v>59</v>
      </c>
      <c r="FJ4598" t="s">
        <v>59</v>
      </c>
    </row>
    <row r="4599" spans="153:166" x14ac:dyDescent="0.35">
      <c r="EW4599" t="s">
        <v>5211</v>
      </c>
      <c r="EX4599" t="s">
        <v>735</v>
      </c>
      <c r="FF4599" t="s">
        <v>59</v>
      </c>
      <c r="FJ4599" t="s">
        <v>59</v>
      </c>
    </row>
    <row r="4600" spans="153:166" x14ac:dyDescent="0.35">
      <c r="EW4600" t="s">
        <v>5211</v>
      </c>
      <c r="EX4600" t="s">
        <v>735</v>
      </c>
      <c r="FF4600" t="s">
        <v>59</v>
      </c>
      <c r="FJ4600" t="s">
        <v>59</v>
      </c>
    </row>
    <row r="4601" spans="153:166" x14ac:dyDescent="0.35">
      <c r="EW4601" t="s">
        <v>5211</v>
      </c>
      <c r="EX4601" t="s">
        <v>735</v>
      </c>
      <c r="FF4601" t="s">
        <v>59</v>
      </c>
      <c r="FJ4601" t="s">
        <v>59</v>
      </c>
    </row>
    <row r="4602" spans="153:166" x14ac:dyDescent="0.35">
      <c r="EW4602" t="s">
        <v>5211</v>
      </c>
      <c r="EX4602" t="s">
        <v>744</v>
      </c>
      <c r="FF4602" t="s">
        <v>59</v>
      </c>
      <c r="FJ4602" t="s">
        <v>59</v>
      </c>
    </row>
    <row r="4603" spans="153:166" x14ac:dyDescent="0.35">
      <c r="EW4603" t="s">
        <v>5211</v>
      </c>
      <c r="EX4603" t="s">
        <v>749</v>
      </c>
      <c r="FF4603" t="s">
        <v>59</v>
      </c>
      <c r="FJ4603" t="s">
        <v>59</v>
      </c>
    </row>
    <row r="4604" spans="153:166" x14ac:dyDescent="0.35">
      <c r="EW4604" t="s">
        <v>5211</v>
      </c>
      <c r="EX4604" t="s">
        <v>749</v>
      </c>
      <c r="FF4604" t="s">
        <v>59</v>
      </c>
      <c r="FJ4604" t="s">
        <v>59</v>
      </c>
    </row>
    <row r="4605" spans="153:166" x14ac:dyDescent="0.35">
      <c r="EW4605" t="s">
        <v>5211</v>
      </c>
      <c r="EX4605" t="s">
        <v>749</v>
      </c>
      <c r="FF4605" t="s">
        <v>59</v>
      </c>
      <c r="FJ4605" t="s">
        <v>59</v>
      </c>
    </row>
    <row r="4606" spans="153:166" x14ac:dyDescent="0.35">
      <c r="EW4606" t="s">
        <v>5211</v>
      </c>
      <c r="EX4606" t="s">
        <v>749</v>
      </c>
      <c r="FF4606" t="s">
        <v>59</v>
      </c>
      <c r="FJ4606" t="s">
        <v>59</v>
      </c>
    </row>
    <row r="4607" spans="153:166" x14ac:dyDescent="0.35">
      <c r="EW4607" t="s">
        <v>5211</v>
      </c>
      <c r="EX4607" t="s">
        <v>749</v>
      </c>
      <c r="FF4607" t="s">
        <v>59</v>
      </c>
      <c r="FJ4607" t="s">
        <v>59</v>
      </c>
    </row>
    <row r="4608" spans="153:166" x14ac:dyDescent="0.35">
      <c r="EW4608" t="s">
        <v>5211</v>
      </c>
      <c r="EX4608" t="s">
        <v>749</v>
      </c>
      <c r="FF4608" t="s">
        <v>59</v>
      </c>
      <c r="FJ4608" t="s">
        <v>59</v>
      </c>
    </row>
    <row r="4609" spans="153:166" x14ac:dyDescent="0.35">
      <c r="EW4609" t="s">
        <v>5211</v>
      </c>
      <c r="EX4609" t="s">
        <v>749</v>
      </c>
      <c r="FF4609" t="s">
        <v>59</v>
      </c>
      <c r="FJ4609" t="s">
        <v>59</v>
      </c>
    </row>
    <row r="4610" spans="153:166" x14ac:dyDescent="0.35">
      <c r="EW4610" t="s">
        <v>5211</v>
      </c>
      <c r="EX4610" t="s">
        <v>749</v>
      </c>
      <c r="FF4610" t="s">
        <v>59</v>
      </c>
      <c r="FJ4610" t="s">
        <v>59</v>
      </c>
    </row>
    <row r="4611" spans="153:166" x14ac:dyDescent="0.35">
      <c r="EW4611" t="s">
        <v>5211</v>
      </c>
      <c r="EX4611" t="s">
        <v>749</v>
      </c>
      <c r="FF4611" t="s">
        <v>59</v>
      </c>
      <c r="FJ4611" t="s">
        <v>59</v>
      </c>
    </row>
    <row r="4612" spans="153:166" x14ac:dyDescent="0.35">
      <c r="EW4612" t="s">
        <v>5211</v>
      </c>
      <c r="EX4612" t="s">
        <v>770</v>
      </c>
      <c r="FF4612" t="s">
        <v>59</v>
      </c>
      <c r="FJ4612" t="s">
        <v>59</v>
      </c>
    </row>
    <row r="4613" spans="153:166" x14ac:dyDescent="0.35">
      <c r="EW4613" t="s">
        <v>5211</v>
      </c>
      <c r="EX4613" t="s">
        <v>775</v>
      </c>
      <c r="FF4613" t="s">
        <v>59</v>
      </c>
      <c r="FJ4613" t="s">
        <v>59</v>
      </c>
    </row>
    <row r="4614" spans="153:166" x14ac:dyDescent="0.35">
      <c r="EW4614" t="s">
        <v>5211</v>
      </c>
      <c r="EX4614" t="s">
        <v>775</v>
      </c>
      <c r="FF4614" t="s">
        <v>59</v>
      </c>
      <c r="FJ4614" t="s">
        <v>59</v>
      </c>
    </row>
    <row r="4615" spans="153:166" x14ac:dyDescent="0.35">
      <c r="EW4615" t="s">
        <v>5211</v>
      </c>
      <c r="EX4615" t="s">
        <v>775</v>
      </c>
      <c r="FF4615" t="s">
        <v>59</v>
      </c>
      <c r="FJ4615" t="s">
        <v>59</v>
      </c>
    </row>
    <row r="4616" spans="153:166" x14ac:dyDescent="0.35">
      <c r="EW4616" t="s">
        <v>5211</v>
      </c>
      <c r="EX4616" t="s">
        <v>784</v>
      </c>
      <c r="FF4616" t="s">
        <v>59</v>
      </c>
      <c r="FJ4616" t="s">
        <v>59</v>
      </c>
    </row>
    <row r="4617" spans="153:166" x14ac:dyDescent="0.35">
      <c r="EW4617" t="s">
        <v>5211</v>
      </c>
      <c r="EX4617" t="s">
        <v>784</v>
      </c>
      <c r="FF4617" t="s">
        <v>59</v>
      </c>
      <c r="FJ4617" t="s">
        <v>59</v>
      </c>
    </row>
    <row r="4618" spans="153:166" x14ac:dyDescent="0.35">
      <c r="EW4618" t="s">
        <v>5211</v>
      </c>
      <c r="EX4618" t="s">
        <v>784</v>
      </c>
      <c r="FF4618" t="s">
        <v>59</v>
      </c>
      <c r="FJ4618" t="s">
        <v>59</v>
      </c>
    </row>
    <row r="4619" spans="153:166" x14ac:dyDescent="0.35">
      <c r="EW4619" t="s">
        <v>5211</v>
      </c>
      <c r="EX4619" t="s">
        <v>784</v>
      </c>
      <c r="FF4619" t="s">
        <v>59</v>
      </c>
      <c r="FJ4619" t="s">
        <v>59</v>
      </c>
    </row>
    <row r="4620" spans="153:166" x14ac:dyDescent="0.35">
      <c r="EW4620" t="s">
        <v>5211</v>
      </c>
      <c r="EX4620" t="s">
        <v>795</v>
      </c>
      <c r="FF4620" t="s">
        <v>59</v>
      </c>
      <c r="FJ4620" t="s">
        <v>59</v>
      </c>
    </row>
    <row r="4621" spans="153:166" x14ac:dyDescent="0.35">
      <c r="EW4621" t="s">
        <v>5211</v>
      </c>
      <c r="EX4621" t="s">
        <v>795</v>
      </c>
      <c r="FF4621" t="s">
        <v>59</v>
      </c>
      <c r="FJ4621" t="s">
        <v>59</v>
      </c>
    </row>
    <row r="4622" spans="153:166" x14ac:dyDescent="0.35">
      <c r="EW4622" t="s">
        <v>5211</v>
      </c>
      <c r="EX4622" t="s">
        <v>795</v>
      </c>
      <c r="FF4622" t="s">
        <v>59</v>
      </c>
      <c r="FJ4622" t="s">
        <v>59</v>
      </c>
    </row>
    <row r="4623" spans="153:166" x14ac:dyDescent="0.35">
      <c r="EW4623" t="s">
        <v>5211</v>
      </c>
      <c r="EX4623" t="s">
        <v>795</v>
      </c>
      <c r="FF4623" t="s">
        <v>59</v>
      </c>
      <c r="FJ4623" t="s">
        <v>59</v>
      </c>
    </row>
    <row r="4624" spans="153:166" x14ac:dyDescent="0.35">
      <c r="EW4624" t="s">
        <v>5211</v>
      </c>
      <c r="EX4624" t="s">
        <v>795</v>
      </c>
      <c r="FF4624" t="s">
        <v>59</v>
      </c>
      <c r="FJ4624" t="s">
        <v>59</v>
      </c>
    </row>
    <row r="4625" spans="153:166" x14ac:dyDescent="0.35">
      <c r="EW4625" t="s">
        <v>5211</v>
      </c>
      <c r="EX4625" t="s">
        <v>808</v>
      </c>
      <c r="FF4625" t="s">
        <v>59</v>
      </c>
      <c r="FJ4625" t="s">
        <v>59</v>
      </c>
    </row>
    <row r="4626" spans="153:166" x14ac:dyDescent="0.35">
      <c r="EW4626" t="s">
        <v>5211</v>
      </c>
      <c r="EX4626" t="s">
        <v>808</v>
      </c>
      <c r="FF4626" t="s">
        <v>59</v>
      </c>
      <c r="FJ4626" t="s">
        <v>59</v>
      </c>
    </row>
    <row r="4627" spans="153:166" x14ac:dyDescent="0.35">
      <c r="EW4627" t="s">
        <v>5211</v>
      </c>
      <c r="EX4627" t="s">
        <v>808</v>
      </c>
      <c r="FF4627" t="s">
        <v>59</v>
      </c>
      <c r="FJ4627" t="s">
        <v>59</v>
      </c>
    </row>
    <row r="4628" spans="153:166" x14ac:dyDescent="0.35">
      <c r="EW4628" t="s">
        <v>5211</v>
      </c>
      <c r="EX4628" t="s">
        <v>817</v>
      </c>
      <c r="FF4628" t="s">
        <v>59</v>
      </c>
      <c r="FJ4628" t="s">
        <v>59</v>
      </c>
    </row>
    <row r="4629" spans="153:166" x14ac:dyDescent="0.35">
      <c r="EW4629" t="s">
        <v>5211</v>
      </c>
      <c r="EX4629" t="s">
        <v>817</v>
      </c>
      <c r="FF4629" t="s">
        <v>59</v>
      </c>
      <c r="FJ4629" t="s">
        <v>59</v>
      </c>
    </row>
    <row r="4630" spans="153:166" x14ac:dyDescent="0.35">
      <c r="EW4630" t="s">
        <v>5211</v>
      </c>
      <c r="EX4630" t="s">
        <v>817</v>
      </c>
      <c r="FF4630" t="s">
        <v>59</v>
      </c>
      <c r="FJ4630" t="s">
        <v>59</v>
      </c>
    </row>
    <row r="4631" spans="153:166" x14ac:dyDescent="0.35">
      <c r="EW4631" t="s">
        <v>5211</v>
      </c>
      <c r="EX4631" t="s">
        <v>817</v>
      </c>
      <c r="FF4631" t="s">
        <v>59</v>
      </c>
      <c r="FJ4631" t="s">
        <v>59</v>
      </c>
    </row>
    <row r="4632" spans="153:166" x14ac:dyDescent="0.35">
      <c r="EW4632" t="s">
        <v>5211</v>
      </c>
      <c r="EX4632" t="s">
        <v>817</v>
      </c>
      <c r="FF4632" t="s">
        <v>59</v>
      </c>
      <c r="FJ4632" t="s">
        <v>59</v>
      </c>
    </row>
    <row r="4633" spans="153:166" x14ac:dyDescent="0.35">
      <c r="EW4633" t="s">
        <v>5211</v>
      </c>
      <c r="EX4633" t="s">
        <v>817</v>
      </c>
      <c r="FF4633" t="s">
        <v>59</v>
      </c>
      <c r="FJ4633" t="s">
        <v>59</v>
      </c>
    </row>
    <row r="4634" spans="153:166" x14ac:dyDescent="0.35">
      <c r="EW4634" t="s">
        <v>5211</v>
      </c>
      <c r="EX4634" t="s">
        <v>817</v>
      </c>
      <c r="FF4634" t="s">
        <v>59</v>
      </c>
      <c r="FJ4634" t="s">
        <v>59</v>
      </c>
    </row>
    <row r="4635" spans="153:166" x14ac:dyDescent="0.35">
      <c r="EW4635" t="s">
        <v>5211</v>
      </c>
      <c r="EX4635" t="s">
        <v>834</v>
      </c>
      <c r="FF4635" t="s">
        <v>59</v>
      </c>
      <c r="FJ4635" t="s">
        <v>59</v>
      </c>
    </row>
    <row r="4636" spans="153:166" x14ac:dyDescent="0.35">
      <c r="EW4636" t="s">
        <v>5211</v>
      </c>
      <c r="EX4636" t="s">
        <v>834</v>
      </c>
      <c r="FF4636" t="s">
        <v>59</v>
      </c>
      <c r="FJ4636" t="s">
        <v>59</v>
      </c>
    </row>
    <row r="4637" spans="153:166" x14ac:dyDescent="0.35">
      <c r="EW4637" t="s">
        <v>5211</v>
      </c>
      <c r="EX4637" t="s">
        <v>841</v>
      </c>
      <c r="FF4637" t="s">
        <v>59</v>
      </c>
      <c r="FJ4637" t="s">
        <v>59</v>
      </c>
    </row>
    <row r="4638" spans="153:166" x14ac:dyDescent="0.35">
      <c r="EW4638" t="s">
        <v>5211</v>
      </c>
      <c r="EX4638" t="s">
        <v>846</v>
      </c>
      <c r="FF4638" t="s">
        <v>59</v>
      </c>
      <c r="FJ4638" t="s">
        <v>59</v>
      </c>
    </row>
    <row r="4639" spans="153:166" x14ac:dyDescent="0.35">
      <c r="EW4639" t="s">
        <v>5211</v>
      </c>
      <c r="EX4639" t="s">
        <v>846</v>
      </c>
      <c r="FF4639" t="s">
        <v>59</v>
      </c>
      <c r="FJ4639" t="s">
        <v>59</v>
      </c>
    </row>
    <row r="4640" spans="153:166" x14ac:dyDescent="0.35">
      <c r="EW4640" t="s">
        <v>5211</v>
      </c>
      <c r="EX4640" t="s">
        <v>846</v>
      </c>
      <c r="FF4640" t="s">
        <v>59</v>
      </c>
      <c r="FJ4640" t="s">
        <v>59</v>
      </c>
    </row>
    <row r="4641" spans="153:166" x14ac:dyDescent="0.35">
      <c r="EW4641" t="s">
        <v>5211</v>
      </c>
      <c r="EX4641" t="s">
        <v>855</v>
      </c>
      <c r="FF4641" t="s">
        <v>59</v>
      </c>
      <c r="FJ4641" t="s">
        <v>59</v>
      </c>
    </row>
    <row r="4642" spans="153:166" x14ac:dyDescent="0.35">
      <c r="EW4642" t="s">
        <v>5211</v>
      </c>
      <c r="EX4642" t="s">
        <v>855</v>
      </c>
      <c r="FF4642" t="s">
        <v>59</v>
      </c>
      <c r="FJ4642" t="s">
        <v>59</v>
      </c>
    </row>
    <row r="4643" spans="153:166" x14ac:dyDescent="0.35">
      <c r="EW4643" t="s">
        <v>5211</v>
      </c>
      <c r="EX4643" t="s">
        <v>855</v>
      </c>
      <c r="FF4643" t="s">
        <v>59</v>
      </c>
      <c r="FJ4643" t="s">
        <v>59</v>
      </c>
    </row>
    <row r="4644" spans="153:166" x14ac:dyDescent="0.35">
      <c r="EW4644" t="s">
        <v>5211</v>
      </c>
      <c r="EX4644" t="s">
        <v>855</v>
      </c>
      <c r="FF4644" t="s">
        <v>59</v>
      </c>
      <c r="FJ4644" t="s">
        <v>59</v>
      </c>
    </row>
    <row r="4645" spans="153:166" x14ac:dyDescent="0.35">
      <c r="EW4645" t="s">
        <v>5211</v>
      </c>
      <c r="EX4645" t="s">
        <v>855</v>
      </c>
      <c r="FF4645" t="s">
        <v>59</v>
      </c>
      <c r="FJ4645" t="s">
        <v>59</v>
      </c>
    </row>
    <row r="4646" spans="153:166" x14ac:dyDescent="0.35">
      <c r="EW4646" t="s">
        <v>5211</v>
      </c>
      <c r="EX4646" t="s">
        <v>868</v>
      </c>
      <c r="FF4646" t="s">
        <v>59</v>
      </c>
      <c r="FJ4646" t="s">
        <v>59</v>
      </c>
    </row>
    <row r="4647" spans="153:166" x14ac:dyDescent="0.35">
      <c r="EW4647" t="s">
        <v>5211</v>
      </c>
      <c r="EX4647" t="s">
        <v>868</v>
      </c>
      <c r="FF4647" t="s">
        <v>59</v>
      </c>
      <c r="FJ4647" t="s">
        <v>59</v>
      </c>
    </row>
    <row r="4648" spans="153:166" x14ac:dyDescent="0.35">
      <c r="EW4648" t="s">
        <v>5211</v>
      </c>
      <c r="EX4648" t="s">
        <v>868</v>
      </c>
      <c r="FF4648" t="s">
        <v>59</v>
      </c>
      <c r="FJ4648" t="s">
        <v>59</v>
      </c>
    </row>
    <row r="4649" spans="153:166" x14ac:dyDescent="0.35">
      <c r="EW4649" t="s">
        <v>5211</v>
      </c>
      <c r="EX4649" t="s">
        <v>868</v>
      </c>
      <c r="FF4649" t="s">
        <v>59</v>
      </c>
      <c r="FJ4649" t="s">
        <v>59</v>
      </c>
    </row>
    <row r="4650" spans="153:166" x14ac:dyDescent="0.35">
      <c r="EW4650" t="s">
        <v>5211</v>
      </c>
      <c r="EX4650" t="s">
        <v>868</v>
      </c>
      <c r="FF4650" t="s">
        <v>59</v>
      </c>
      <c r="FJ4650" t="s">
        <v>59</v>
      </c>
    </row>
    <row r="4651" spans="153:166" x14ac:dyDescent="0.35">
      <c r="EW4651" t="s">
        <v>5211</v>
      </c>
      <c r="EX4651" t="s">
        <v>868</v>
      </c>
      <c r="FF4651" t="s">
        <v>59</v>
      </c>
      <c r="FJ4651" t="s">
        <v>59</v>
      </c>
    </row>
    <row r="4652" spans="153:166" x14ac:dyDescent="0.35">
      <c r="EW4652" t="s">
        <v>5211</v>
      </c>
      <c r="EX4652" t="s">
        <v>868</v>
      </c>
      <c r="FF4652" t="s">
        <v>59</v>
      </c>
      <c r="FJ4652" t="s">
        <v>59</v>
      </c>
    </row>
    <row r="4653" spans="153:166" x14ac:dyDescent="0.35">
      <c r="EW4653" t="s">
        <v>5211</v>
      </c>
      <c r="EX4653" t="s">
        <v>868</v>
      </c>
      <c r="FF4653" t="s">
        <v>59</v>
      </c>
      <c r="FJ4653" t="s">
        <v>59</v>
      </c>
    </row>
    <row r="4654" spans="153:166" x14ac:dyDescent="0.35">
      <c r="EW4654" t="s">
        <v>5211</v>
      </c>
      <c r="EX4654" t="s">
        <v>887</v>
      </c>
      <c r="FF4654" t="s">
        <v>59</v>
      </c>
      <c r="FJ4654" t="s">
        <v>59</v>
      </c>
    </row>
    <row r="4655" spans="153:166" x14ac:dyDescent="0.35">
      <c r="EW4655" t="s">
        <v>5211</v>
      </c>
      <c r="EX4655" t="s">
        <v>887</v>
      </c>
      <c r="FF4655" t="s">
        <v>59</v>
      </c>
      <c r="FJ4655" t="s">
        <v>59</v>
      </c>
    </row>
    <row r="4656" spans="153:166" x14ac:dyDescent="0.35">
      <c r="EW4656" t="s">
        <v>5211</v>
      </c>
      <c r="EX4656" t="s">
        <v>887</v>
      </c>
      <c r="FF4656" t="s">
        <v>59</v>
      </c>
      <c r="FJ4656" t="s">
        <v>59</v>
      </c>
    </row>
    <row r="4657" spans="153:166" x14ac:dyDescent="0.35">
      <c r="EW4657" t="s">
        <v>5211</v>
      </c>
      <c r="EX4657" t="s">
        <v>887</v>
      </c>
      <c r="FF4657" t="s">
        <v>59</v>
      </c>
      <c r="FJ4657" t="s">
        <v>59</v>
      </c>
    </row>
    <row r="4658" spans="153:166" x14ac:dyDescent="0.35">
      <c r="EW4658" t="s">
        <v>5211</v>
      </c>
      <c r="EX4658" t="s">
        <v>898</v>
      </c>
      <c r="FF4658" t="s">
        <v>59</v>
      </c>
      <c r="FJ4658" t="s">
        <v>59</v>
      </c>
    </row>
    <row r="4659" spans="153:166" x14ac:dyDescent="0.35">
      <c r="EW4659" t="s">
        <v>5211</v>
      </c>
      <c r="EX4659" t="s">
        <v>898</v>
      </c>
      <c r="FF4659" t="s">
        <v>59</v>
      </c>
      <c r="FJ4659" t="s">
        <v>59</v>
      </c>
    </row>
    <row r="4660" spans="153:166" x14ac:dyDescent="0.35">
      <c r="EW4660" t="s">
        <v>5211</v>
      </c>
      <c r="EX4660" t="s">
        <v>898</v>
      </c>
      <c r="FF4660" t="s">
        <v>59</v>
      </c>
      <c r="FJ4660" t="s">
        <v>59</v>
      </c>
    </row>
    <row r="4661" spans="153:166" x14ac:dyDescent="0.35">
      <c r="EW4661" t="s">
        <v>5211</v>
      </c>
      <c r="EX4661" t="s">
        <v>898</v>
      </c>
      <c r="FF4661" t="s">
        <v>59</v>
      </c>
      <c r="FJ4661" t="s">
        <v>59</v>
      </c>
    </row>
    <row r="4662" spans="153:166" x14ac:dyDescent="0.35">
      <c r="EW4662" t="s">
        <v>5211</v>
      </c>
      <c r="EX4662" t="s">
        <v>898</v>
      </c>
      <c r="FF4662" t="s">
        <v>59</v>
      </c>
      <c r="FJ4662" t="s">
        <v>59</v>
      </c>
    </row>
    <row r="4663" spans="153:166" x14ac:dyDescent="0.35">
      <c r="EW4663" t="s">
        <v>5211</v>
      </c>
      <c r="EX4663" t="s">
        <v>911</v>
      </c>
      <c r="FF4663" t="s">
        <v>59</v>
      </c>
      <c r="FJ4663" t="s">
        <v>59</v>
      </c>
    </row>
    <row r="4664" spans="153:166" x14ac:dyDescent="0.35">
      <c r="EW4664" t="s">
        <v>5211</v>
      </c>
      <c r="EX4664" t="s">
        <v>911</v>
      </c>
      <c r="FF4664" t="s">
        <v>59</v>
      </c>
      <c r="FJ4664" t="s">
        <v>59</v>
      </c>
    </row>
    <row r="4665" spans="153:166" x14ac:dyDescent="0.35">
      <c r="EW4665" t="s">
        <v>5211</v>
      </c>
      <c r="EX4665" t="s">
        <v>911</v>
      </c>
      <c r="FF4665" t="s">
        <v>59</v>
      </c>
      <c r="FJ4665" t="s">
        <v>59</v>
      </c>
    </row>
    <row r="4666" spans="153:166" x14ac:dyDescent="0.35">
      <c r="EW4666" t="s">
        <v>5211</v>
      </c>
      <c r="EX4666" t="s">
        <v>911</v>
      </c>
      <c r="FF4666" t="s">
        <v>59</v>
      </c>
      <c r="FJ4666" t="s">
        <v>59</v>
      </c>
    </row>
    <row r="4667" spans="153:166" x14ac:dyDescent="0.35">
      <c r="EW4667" t="s">
        <v>5211</v>
      </c>
      <c r="EX4667" t="s">
        <v>922</v>
      </c>
      <c r="FF4667" t="s">
        <v>59</v>
      </c>
      <c r="FJ4667" t="s">
        <v>59</v>
      </c>
    </row>
    <row r="4668" spans="153:166" x14ac:dyDescent="0.35">
      <c r="EW4668" t="s">
        <v>5211</v>
      </c>
      <c r="EX4668" t="s">
        <v>922</v>
      </c>
      <c r="FF4668" t="s">
        <v>59</v>
      </c>
      <c r="FJ4668" t="s">
        <v>59</v>
      </c>
    </row>
    <row r="4669" spans="153:166" x14ac:dyDescent="0.35">
      <c r="EW4669" t="s">
        <v>5211</v>
      </c>
      <c r="EX4669" t="s">
        <v>922</v>
      </c>
      <c r="FF4669" t="s">
        <v>59</v>
      </c>
      <c r="FJ4669" t="s">
        <v>59</v>
      </c>
    </row>
    <row r="4670" spans="153:166" x14ac:dyDescent="0.35">
      <c r="EW4670" t="s">
        <v>5211</v>
      </c>
      <c r="EX4670" t="s">
        <v>922</v>
      </c>
      <c r="FF4670" t="s">
        <v>59</v>
      </c>
      <c r="FJ4670" t="s">
        <v>59</v>
      </c>
    </row>
    <row r="4671" spans="153:166" x14ac:dyDescent="0.35">
      <c r="EW4671" t="s">
        <v>5211</v>
      </c>
      <c r="EX4671" t="s">
        <v>922</v>
      </c>
      <c r="FF4671" t="s">
        <v>59</v>
      </c>
      <c r="FJ4671" t="s">
        <v>59</v>
      </c>
    </row>
    <row r="4672" spans="153:166" x14ac:dyDescent="0.35">
      <c r="EW4672" t="s">
        <v>5211</v>
      </c>
      <c r="EX4672" t="s">
        <v>922</v>
      </c>
      <c r="FF4672" t="s">
        <v>59</v>
      </c>
      <c r="FJ4672" t="s">
        <v>59</v>
      </c>
    </row>
    <row r="4673" spans="153:166" x14ac:dyDescent="0.35">
      <c r="EW4673" t="s">
        <v>5211</v>
      </c>
      <c r="EX4673" t="s">
        <v>922</v>
      </c>
      <c r="FF4673" t="s">
        <v>59</v>
      </c>
      <c r="FJ4673" t="s">
        <v>59</v>
      </c>
    </row>
    <row r="4674" spans="153:166" x14ac:dyDescent="0.35">
      <c r="EW4674" t="s">
        <v>5211</v>
      </c>
      <c r="EX4674" t="s">
        <v>922</v>
      </c>
      <c r="FF4674" t="s">
        <v>59</v>
      </c>
      <c r="FJ4674" t="s">
        <v>59</v>
      </c>
    </row>
    <row r="4675" spans="153:166" x14ac:dyDescent="0.35">
      <c r="EW4675" t="s">
        <v>5211</v>
      </c>
      <c r="EX4675" t="s">
        <v>941</v>
      </c>
      <c r="FF4675" t="s">
        <v>59</v>
      </c>
      <c r="FJ4675" t="s">
        <v>59</v>
      </c>
    </row>
    <row r="4676" spans="153:166" x14ac:dyDescent="0.35">
      <c r="EW4676" t="s">
        <v>5211</v>
      </c>
      <c r="EX4676" t="s">
        <v>941</v>
      </c>
      <c r="FF4676" t="s">
        <v>59</v>
      </c>
      <c r="FJ4676" t="s">
        <v>59</v>
      </c>
    </row>
    <row r="4677" spans="153:166" x14ac:dyDescent="0.35">
      <c r="EW4677" t="s">
        <v>5211</v>
      </c>
      <c r="EX4677" t="s">
        <v>941</v>
      </c>
      <c r="FF4677" t="s">
        <v>59</v>
      </c>
      <c r="FJ4677" t="s">
        <v>59</v>
      </c>
    </row>
    <row r="4678" spans="153:166" x14ac:dyDescent="0.35">
      <c r="EW4678" t="s">
        <v>5211</v>
      </c>
      <c r="EX4678" t="s">
        <v>950</v>
      </c>
      <c r="FF4678" t="s">
        <v>59</v>
      </c>
      <c r="FJ4678" t="s">
        <v>59</v>
      </c>
    </row>
    <row r="4679" spans="153:166" x14ac:dyDescent="0.35">
      <c r="EW4679" t="s">
        <v>5211</v>
      </c>
      <c r="EX4679" t="s">
        <v>950</v>
      </c>
      <c r="FF4679" t="s">
        <v>59</v>
      </c>
      <c r="FJ4679" t="s">
        <v>59</v>
      </c>
    </row>
    <row r="4680" spans="153:166" x14ac:dyDescent="0.35">
      <c r="EW4680" t="s">
        <v>5211</v>
      </c>
      <c r="EX4680" t="s">
        <v>950</v>
      </c>
      <c r="FF4680" t="s">
        <v>59</v>
      </c>
      <c r="FJ4680" t="s">
        <v>59</v>
      </c>
    </row>
    <row r="4681" spans="153:166" x14ac:dyDescent="0.35">
      <c r="EW4681" t="s">
        <v>5211</v>
      </c>
      <c r="EX4681" t="s">
        <v>950</v>
      </c>
      <c r="FF4681" t="s">
        <v>59</v>
      </c>
      <c r="FJ4681" t="s">
        <v>59</v>
      </c>
    </row>
    <row r="4682" spans="153:166" x14ac:dyDescent="0.35">
      <c r="EW4682" t="s">
        <v>5211</v>
      </c>
      <c r="EX4682" t="s">
        <v>961</v>
      </c>
      <c r="FF4682" t="s">
        <v>59</v>
      </c>
      <c r="FJ4682" t="s">
        <v>59</v>
      </c>
    </row>
    <row r="4683" spans="153:166" x14ac:dyDescent="0.35">
      <c r="EW4683" t="s">
        <v>5211</v>
      </c>
      <c r="EX4683" t="s">
        <v>961</v>
      </c>
      <c r="FF4683" t="s">
        <v>59</v>
      </c>
      <c r="FJ4683" t="s">
        <v>59</v>
      </c>
    </row>
    <row r="4684" spans="153:166" x14ac:dyDescent="0.35">
      <c r="EW4684" t="s">
        <v>5211</v>
      </c>
      <c r="EX4684" t="s">
        <v>961</v>
      </c>
      <c r="FF4684" t="s">
        <v>59</v>
      </c>
      <c r="FJ4684" t="s">
        <v>59</v>
      </c>
    </row>
    <row r="4685" spans="153:166" x14ac:dyDescent="0.35">
      <c r="EW4685" t="s">
        <v>5211</v>
      </c>
      <c r="EX4685" t="s">
        <v>961</v>
      </c>
      <c r="FF4685" t="s">
        <v>59</v>
      </c>
      <c r="FJ4685" t="s">
        <v>59</v>
      </c>
    </row>
    <row r="4686" spans="153:166" x14ac:dyDescent="0.35">
      <c r="EW4686" t="s">
        <v>5211</v>
      </c>
      <c r="EX4686" t="s">
        <v>961</v>
      </c>
      <c r="FF4686" t="s">
        <v>59</v>
      </c>
      <c r="FJ4686" t="s">
        <v>59</v>
      </c>
    </row>
    <row r="4687" spans="153:166" x14ac:dyDescent="0.35">
      <c r="EW4687" t="s">
        <v>5211</v>
      </c>
      <c r="EX4687" t="s">
        <v>961</v>
      </c>
      <c r="FF4687" t="s">
        <v>59</v>
      </c>
      <c r="FJ4687" t="s">
        <v>59</v>
      </c>
    </row>
    <row r="4688" spans="153:166" x14ac:dyDescent="0.35">
      <c r="EW4688" t="s">
        <v>5211</v>
      </c>
      <c r="EX4688" t="s">
        <v>961</v>
      </c>
      <c r="FF4688" t="s">
        <v>59</v>
      </c>
      <c r="FJ4688" t="s">
        <v>59</v>
      </c>
    </row>
    <row r="4689" spans="153:166" x14ac:dyDescent="0.35">
      <c r="EW4689" t="s">
        <v>5211</v>
      </c>
      <c r="EX4689" t="s">
        <v>961</v>
      </c>
      <c r="FF4689" t="s">
        <v>59</v>
      </c>
      <c r="FJ4689" t="s">
        <v>59</v>
      </c>
    </row>
    <row r="4690" spans="153:166" x14ac:dyDescent="0.35">
      <c r="EW4690" t="s">
        <v>5211</v>
      </c>
      <c r="EX4690" t="s">
        <v>961</v>
      </c>
      <c r="FF4690" t="s">
        <v>59</v>
      </c>
      <c r="FJ4690" t="s">
        <v>59</v>
      </c>
    </row>
    <row r="4691" spans="153:166" x14ac:dyDescent="0.35">
      <c r="EW4691" t="s">
        <v>5211</v>
      </c>
      <c r="EX4691" t="s">
        <v>982</v>
      </c>
      <c r="FF4691" t="s">
        <v>59</v>
      </c>
      <c r="FJ4691" t="s">
        <v>59</v>
      </c>
    </row>
    <row r="4692" spans="153:166" x14ac:dyDescent="0.35">
      <c r="EW4692" t="s">
        <v>5211</v>
      </c>
      <c r="EX4692" t="s">
        <v>982</v>
      </c>
      <c r="FF4692" t="s">
        <v>59</v>
      </c>
      <c r="FJ4692" t="s">
        <v>59</v>
      </c>
    </row>
    <row r="4693" spans="153:166" x14ac:dyDescent="0.35">
      <c r="EW4693" t="s">
        <v>5211</v>
      </c>
      <c r="EX4693" t="s">
        <v>982</v>
      </c>
      <c r="FF4693" t="s">
        <v>59</v>
      </c>
      <c r="FJ4693" t="s">
        <v>59</v>
      </c>
    </row>
    <row r="4694" spans="153:166" x14ac:dyDescent="0.35">
      <c r="EW4694" t="s">
        <v>5211</v>
      </c>
      <c r="EX4694" t="s">
        <v>982</v>
      </c>
      <c r="FF4694" t="s">
        <v>59</v>
      </c>
      <c r="FJ4694" t="s">
        <v>59</v>
      </c>
    </row>
    <row r="4695" spans="153:166" x14ac:dyDescent="0.35">
      <c r="EW4695" t="s">
        <v>5211</v>
      </c>
      <c r="EX4695" t="s">
        <v>982</v>
      </c>
      <c r="FF4695" t="s">
        <v>59</v>
      </c>
      <c r="FJ4695" t="s">
        <v>59</v>
      </c>
    </row>
    <row r="4696" spans="153:166" x14ac:dyDescent="0.35">
      <c r="EW4696" t="s">
        <v>5211</v>
      </c>
      <c r="EX4696" t="s">
        <v>995</v>
      </c>
      <c r="FF4696" t="s">
        <v>59</v>
      </c>
      <c r="FJ4696" t="s">
        <v>59</v>
      </c>
    </row>
    <row r="4697" spans="153:166" x14ac:dyDescent="0.35">
      <c r="EW4697" t="s">
        <v>5211</v>
      </c>
      <c r="EX4697" t="s">
        <v>995</v>
      </c>
      <c r="FF4697" t="s">
        <v>59</v>
      </c>
      <c r="FJ4697" t="s">
        <v>59</v>
      </c>
    </row>
    <row r="4698" spans="153:166" x14ac:dyDescent="0.35">
      <c r="EW4698" t="s">
        <v>5211</v>
      </c>
      <c r="EX4698" t="s">
        <v>995</v>
      </c>
      <c r="FF4698" t="s">
        <v>59</v>
      </c>
      <c r="FJ4698" t="s">
        <v>59</v>
      </c>
    </row>
    <row r="4699" spans="153:166" x14ac:dyDescent="0.35">
      <c r="EW4699" t="s">
        <v>5211</v>
      </c>
      <c r="EX4699" t="s">
        <v>995</v>
      </c>
      <c r="FF4699" t="s">
        <v>59</v>
      </c>
      <c r="FJ4699" t="s">
        <v>59</v>
      </c>
    </row>
    <row r="4700" spans="153:166" x14ac:dyDescent="0.35">
      <c r="EW4700" t="s">
        <v>5211</v>
      </c>
      <c r="EX4700" t="s">
        <v>995</v>
      </c>
      <c r="FF4700" t="s">
        <v>59</v>
      </c>
      <c r="FJ4700" t="s">
        <v>59</v>
      </c>
    </row>
    <row r="4701" spans="153:166" x14ac:dyDescent="0.35">
      <c r="EW4701" t="s">
        <v>5211</v>
      </c>
      <c r="EX4701" t="s">
        <v>1008</v>
      </c>
      <c r="FF4701" t="s">
        <v>59</v>
      </c>
      <c r="FJ4701" t="s">
        <v>59</v>
      </c>
    </row>
    <row r="4702" spans="153:166" x14ac:dyDescent="0.35">
      <c r="EW4702" t="s">
        <v>5211</v>
      </c>
      <c r="EX4702" t="s">
        <v>1008</v>
      </c>
      <c r="FF4702" t="s">
        <v>59</v>
      </c>
      <c r="FJ4702" t="s">
        <v>59</v>
      </c>
    </row>
    <row r="4703" spans="153:166" x14ac:dyDescent="0.35">
      <c r="EW4703" t="s">
        <v>5211</v>
      </c>
      <c r="EX4703" t="s">
        <v>1008</v>
      </c>
      <c r="FF4703" t="s">
        <v>59</v>
      </c>
      <c r="FJ4703" t="s">
        <v>59</v>
      </c>
    </row>
    <row r="4704" spans="153:166" x14ac:dyDescent="0.35">
      <c r="EW4704" t="s">
        <v>5211</v>
      </c>
      <c r="EX4704" t="s">
        <v>1017</v>
      </c>
      <c r="FF4704" t="s">
        <v>59</v>
      </c>
      <c r="FJ4704" t="s">
        <v>59</v>
      </c>
    </row>
    <row r="4705" spans="153:166" x14ac:dyDescent="0.35">
      <c r="EW4705" t="s">
        <v>5211</v>
      </c>
      <c r="EX4705" t="s">
        <v>1017</v>
      </c>
      <c r="FF4705" t="s">
        <v>59</v>
      </c>
      <c r="FJ4705" t="s">
        <v>59</v>
      </c>
    </row>
    <row r="4706" spans="153:166" x14ac:dyDescent="0.35">
      <c r="EW4706" t="s">
        <v>5211</v>
      </c>
      <c r="EX4706" t="s">
        <v>1017</v>
      </c>
      <c r="FF4706" t="s">
        <v>59</v>
      </c>
      <c r="FJ4706" t="s">
        <v>59</v>
      </c>
    </row>
    <row r="4707" spans="153:166" x14ac:dyDescent="0.35">
      <c r="EW4707" t="s">
        <v>5211</v>
      </c>
      <c r="EX4707" t="s">
        <v>1017</v>
      </c>
      <c r="FF4707" t="s">
        <v>59</v>
      </c>
      <c r="FJ4707" t="s">
        <v>59</v>
      </c>
    </row>
    <row r="4708" spans="153:166" x14ac:dyDescent="0.35">
      <c r="EW4708" t="s">
        <v>5211</v>
      </c>
      <c r="EX4708" t="s">
        <v>1017</v>
      </c>
      <c r="FF4708" t="s">
        <v>59</v>
      </c>
      <c r="FJ4708" t="s">
        <v>59</v>
      </c>
    </row>
    <row r="4709" spans="153:166" x14ac:dyDescent="0.35">
      <c r="EW4709" t="s">
        <v>5211</v>
      </c>
      <c r="EX4709" t="s">
        <v>1017</v>
      </c>
      <c r="FF4709" t="s">
        <v>59</v>
      </c>
      <c r="FJ4709" t="s">
        <v>59</v>
      </c>
    </row>
    <row r="4710" spans="153:166" x14ac:dyDescent="0.35">
      <c r="EW4710" t="s">
        <v>5211</v>
      </c>
      <c r="EX4710" t="s">
        <v>1017</v>
      </c>
      <c r="FF4710" t="s">
        <v>59</v>
      </c>
      <c r="FJ4710" t="s">
        <v>59</v>
      </c>
    </row>
    <row r="4711" spans="153:166" x14ac:dyDescent="0.35">
      <c r="EW4711" t="s">
        <v>5211</v>
      </c>
      <c r="EX4711" t="s">
        <v>1034</v>
      </c>
      <c r="FF4711" t="s">
        <v>59</v>
      </c>
      <c r="FJ4711" t="s">
        <v>59</v>
      </c>
    </row>
    <row r="4712" spans="153:166" x14ac:dyDescent="0.35">
      <c r="EW4712" t="s">
        <v>5211</v>
      </c>
      <c r="EX4712" t="s">
        <v>1034</v>
      </c>
      <c r="FF4712" t="s">
        <v>59</v>
      </c>
      <c r="FJ4712" t="s">
        <v>59</v>
      </c>
    </row>
    <row r="4713" spans="153:166" x14ac:dyDescent="0.35">
      <c r="EW4713" t="s">
        <v>5211</v>
      </c>
      <c r="EX4713" t="s">
        <v>1034</v>
      </c>
      <c r="FF4713" t="s">
        <v>59</v>
      </c>
      <c r="FJ4713" t="s">
        <v>59</v>
      </c>
    </row>
    <row r="4714" spans="153:166" x14ac:dyDescent="0.35">
      <c r="EW4714" t="s">
        <v>5211</v>
      </c>
      <c r="EX4714" t="s">
        <v>1034</v>
      </c>
      <c r="FF4714" t="s">
        <v>59</v>
      </c>
      <c r="FJ4714" t="s">
        <v>59</v>
      </c>
    </row>
    <row r="4715" spans="153:166" x14ac:dyDescent="0.35">
      <c r="EW4715" t="s">
        <v>5211</v>
      </c>
      <c r="EX4715" t="s">
        <v>1034</v>
      </c>
      <c r="FF4715" t="s">
        <v>59</v>
      </c>
      <c r="FJ4715" t="s">
        <v>59</v>
      </c>
    </row>
    <row r="4716" spans="153:166" x14ac:dyDescent="0.35">
      <c r="EW4716" t="s">
        <v>5211</v>
      </c>
      <c r="EX4716" t="s">
        <v>1034</v>
      </c>
      <c r="FF4716" t="s">
        <v>59</v>
      </c>
      <c r="FJ4716" t="s">
        <v>59</v>
      </c>
    </row>
    <row r="4717" spans="153:166" x14ac:dyDescent="0.35">
      <c r="EW4717" t="s">
        <v>5211</v>
      </c>
      <c r="EX4717" t="s">
        <v>1034</v>
      </c>
      <c r="FF4717" t="s">
        <v>59</v>
      </c>
      <c r="FJ4717" t="s">
        <v>59</v>
      </c>
    </row>
    <row r="4718" spans="153:166" x14ac:dyDescent="0.35">
      <c r="EW4718" t="s">
        <v>5211</v>
      </c>
      <c r="EX4718" t="s">
        <v>1034</v>
      </c>
      <c r="FF4718" t="s">
        <v>59</v>
      </c>
      <c r="FJ4718" t="s">
        <v>59</v>
      </c>
    </row>
    <row r="4719" spans="153:166" x14ac:dyDescent="0.35">
      <c r="EW4719" t="s">
        <v>5211</v>
      </c>
      <c r="EX4719" t="s">
        <v>1034</v>
      </c>
      <c r="FF4719" t="s">
        <v>59</v>
      </c>
      <c r="FJ4719" t="s">
        <v>59</v>
      </c>
    </row>
    <row r="4720" spans="153:166" x14ac:dyDescent="0.35">
      <c r="EW4720" t="s">
        <v>5211</v>
      </c>
      <c r="EX4720" t="s">
        <v>1034</v>
      </c>
      <c r="FF4720" t="s">
        <v>59</v>
      </c>
      <c r="FJ4720" t="s">
        <v>59</v>
      </c>
    </row>
    <row r="4721" spans="153:166" x14ac:dyDescent="0.35">
      <c r="EW4721" t="s">
        <v>5211</v>
      </c>
      <c r="EX4721" t="s">
        <v>1034</v>
      </c>
      <c r="FF4721" t="s">
        <v>59</v>
      </c>
      <c r="FJ4721" t="s">
        <v>59</v>
      </c>
    </row>
    <row r="4722" spans="153:166" x14ac:dyDescent="0.35">
      <c r="EW4722" t="s">
        <v>5211</v>
      </c>
      <c r="EX4722" t="s">
        <v>1059</v>
      </c>
      <c r="FF4722" t="s">
        <v>59</v>
      </c>
      <c r="FJ4722" t="s">
        <v>59</v>
      </c>
    </row>
    <row r="4723" spans="153:166" x14ac:dyDescent="0.35">
      <c r="EW4723" t="s">
        <v>5211</v>
      </c>
      <c r="EX4723" t="s">
        <v>1059</v>
      </c>
      <c r="FF4723" t="s">
        <v>59</v>
      </c>
      <c r="FJ4723" t="s">
        <v>59</v>
      </c>
    </row>
    <row r="4724" spans="153:166" x14ac:dyDescent="0.35">
      <c r="EW4724" t="s">
        <v>5211</v>
      </c>
      <c r="EX4724" t="s">
        <v>1059</v>
      </c>
      <c r="FF4724" t="s">
        <v>59</v>
      </c>
      <c r="FJ4724" t="s">
        <v>59</v>
      </c>
    </row>
    <row r="4725" spans="153:166" x14ac:dyDescent="0.35">
      <c r="EW4725" t="s">
        <v>5211</v>
      </c>
      <c r="EX4725" t="s">
        <v>1059</v>
      </c>
      <c r="FF4725" t="s">
        <v>59</v>
      </c>
      <c r="FJ4725" t="s">
        <v>59</v>
      </c>
    </row>
    <row r="4726" spans="153:166" x14ac:dyDescent="0.35">
      <c r="EW4726" t="s">
        <v>5211</v>
      </c>
      <c r="EX4726" t="s">
        <v>1059</v>
      </c>
      <c r="FF4726" t="s">
        <v>59</v>
      </c>
      <c r="FJ4726" t="s">
        <v>59</v>
      </c>
    </row>
    <row r="4727" spans="153:166" x14ac:dyDescent="0.35">
      <c r="EW4727" t="s">
        <v>5211</v>
      </c>
      <c r="EX4727" t="s">
        <v>1059</v>
      </c>
      <c r="FF4727" t="s">
        <v>59</v>
      </c>
      <c r="FJ4727" t="s">
        <v>59</v>
      </c>
    </row>
    <row r="4728" spans="153:166" x14ac:dyDescent="0.35">
      <c r="EW4728" t="s">
        <v>5211</v>
      </c>
      <c r="EX4728" t="s">
        <v>1059</v>
      </c>
      <c r="FF4728" t="s">
        <v>59</v>
      </c>
      <c r="FJ4728" t="s">
        <v>59</v>
      </c>
    </row>
    <row r="4729" spans="153:166" x14ac:dyDescent="0.35">
      <c r="EW4729" t="s">
        <v>5211</v>
      </c>
      <c r="EX4729" t="s">
        <v>1059</v>
      </c>
      <c r="FF4729" t="s">
        <v>59</v>
      </c>
      <c r="FJ4729" t="s">
        <v>59</v>
      </c>
    </row>
    <row r="4730" spans="153:166" x14ac:dyDescent="0.35">
      <c r="EW4730" t="s">
        <v>5211</v>
      </c>
      <c r="EX4730" t="s">
        <v>1059</v>
      </c>
      <c r="FF4730" t="s">
        <v>59</v>
      </c>
      <c r="FJ4730" t="s">
        <v>59</v>
      </c>
    </row>
    <row r="4731" spans="153:166" x14ac:dyDescent="0.35">
      <c r="EW4731" t="s">
        <v>5211</v>
      </c>
      <c r="EX4731" t="s">
        <v>1059</v>
      </c>
      <c r="FF4731" t="s">
        <v>59</v>
      </c>
      <c r="FJ4731" t="s">
        <v>59</v>
      </c>
    </row>
    <row r="4732" spans="153:166" x14ac:dyDescent="0.35">
      <c r="EW4732" t="s">
        <v>5211</v>
      </c>
      <c r="EX4732" t="s">
        <v>1082</v>
      </c>
      <c r="FF4732" t="s">
        <v>59</v>
      </c>
      <c r="FJ4732" t="s">
        <v>59</v>
      </c>
    </row>
    <row r="4733" spans="153:166" x14ac:dyDescent="0.35">
      <c r="EW4733" t="s">
        <v>5211</v>
      </c>
      <c r="EX4733" t="s">
        <v>1082</v>
      </c>
      <c r="FF4733" t="s">
        <v>59</v>
      </c>
      <c r="FJ4733" t="s">
        <v>59</v>
      </c>
    </row>
    <row r="4734" spans="153:166" x14ac:dyDescent="0.35">
      <c r="EW4734" t="s">
        <v>5211</v>
      </c>
      <c r="EX4734" t="s">
        <v>1082</v>
      </c>
      <c r="FF4734" t="s">
        <v>59</v>
      </c>
      <c r="FJ4734" t="s">
        <v>59</v>
      </c>
    </row>
    <row r="4735" spans="153:166" x14ac:dyDescent="0.35">
      <c r="EW4735" t="s">
        <v>5211</v>
      </c>
      <c r="EX4735" t="s">
        <v>1082</v>
      </c>
      <c r="FF4735" t="s">
        <v>59</v>
      </c>
      <c r="FJ4735" t="s">
        <v>59</v>
      </c>
    </row>
    <row r="4736" spans="153:166" x14ac:dyDescent="0.35">
      <c r="EW4736" t="s">
        <v>5211</v>
      </c>
      <c r="EX4736" t="s">
        <v>1082</v>
      </c>
      <c r="FF4736" t="s">
        <v>59</v>
      </c>
      <c r="FJ4736" t="s">
        <v>59</v>
      </c>
    </row>
    <row r="4737" spans="153:166" x14ac:dyDescent="0.35">
      <c r="EW4737" t="s">
        <v>5211</v>
      </c>
      <c r="EX4737" t="s">
        <v>1082</v>
      </c>
      <c r="FF4737" t="s">
        <v>59</v>
      </c>
      <c r="FJ4737" t="s">
        <v>59</v>
      </c>
    </row>
    <row r="4738" spans="153:166" x14ac:dyDescent="0.35">
      <c r="EW4738" t="s">
        <v>5211</v>
      </c>
      <c r="EX4738" t="s">
        <v>1082</v>
      </c>
      <c r="FF4738" t="s">
        <v>59</v>
      </c>
      <c r="FJ4738" t="s">
        <v>59</v>
      </c>
    </row>
    <row r="4739" spans="153:166" x14ac:dyDescent="0.35">
      <c r="EW4739" t="s">
        <v>5211</v>
      </c>
      <c r="EX4739" t="s">
        <v>1099</v>
      </c>
      <c r="FF4739" t="s">
        <v>59</v>
      </c>
      <c r="FJ4739" t="s">
        <v>59</v>
      </c>
    </row>
    <row r="4740" spans="153:166" x14ac:dyDescent="0.35">
      <c r="EW4740" t="s">
        <v>5211</v>
      </c>
      <c r="EX4740" t="s">
        <v>1099</v>
      </c>
      <c r="FF4740" t="s">
        <v>59</v>
      </c>
      <c r="FJ4740" t="s">
        <v>59</v>
      </c>
    </row>
    <row r="4741" spans="153:166" x14ac:dyDescent="0.35">
      <c r="EW4741" t="s">
        <v>5211</v>
      </c>
      <c r="EX4741" t="s">
        <v>1099</v>
      </c>
      <c r="FF4741" t="s">
        <v>59</v>
      </c>
      <c r="FJ4741" t="s">
        <v>59</v>
      </c>
    </row>
    <row r="4742" spans="153:166" x14ac:dyDescent="0.35">
      <c r="EW4742" t="s">
        <v>5211</v>
      </c>
      <c r="EX4742" t="s">
        <v>1099</v>
      </c>
      <c r="FF4742" t="s">
        <v>59</v>
      </c>
      <c r="FJ4742" t="s">
        <v>59</v>
      </c>
    </row>
    <row r="4743" spans="153:166" x14ac:dyDescent="0.35">
      <c r="EW4743" t="s">
        <v>5211</v>
      </c>
      <c r="EX4743" t="s">
        <v>1099</v>
      </c>
      <c r="FF4743" t="s">
        <v>59</v>
      </c>
      <c r="FJ4743" t="s">
        <v>59</v>
      </c>
    </row>
    <row r="4744" spans="153:166" x14ac:dyDescent="0.35">
      <c r="EW4744" t="s">
        <v>5211</v>
      </c>
      <c r="EX4744" t="s">
        <v>1099</v>
      </c>
      <c r="FF4744" t="s">
        <v>59</v>
      </c>
      <c r="FJ4744" t="s">
        <v>59</v>
      </c>
    </row>
    <row r="4745" spans="153:166" x14ac:dyDescent="0.35">
      <c r="EW4745" t="s">
        <v>5211</v>
      </c>
      <c r="EX4745" t="s">
        <v>1099</v>
      </c>
      <c r="FF4745" t="s">
        <v>59</v>
      </c>
      <c r="FJ4745" t="s">
        <v>59</v>
      </c>
    </row>
    <row r="4746" spans="153:166" x14ac:dyDescent="0.35">
      <c r="EW4746" t="s">
        <v>5211</v>
      </c>
      <c r="EX4746" t="s">
        <v>1099</v>
      </c>
      <c r="FF4746" t="s">
        <v>59</v>
      </c>
      <c r="FJ4746" t="s">
        <v>59</v>
      </c>
    </row>
    <row r="4747" spans="153:166" x14ac:dyDescent="0.35">
      <c r="EW4747" t="s">
        <v>5211</v>
      </c>
      <c r="EX4747" t="s">
        <v>1120</v>
      </c>
      <c r="FF4747" t="s">
        <v>1727</v>
      </c>
      <c r="FJ4747" t="s">
        <v>1727</v>
      </c>
    </row>
    <row r="4748" spans="153:166" x14ac:dyDescent="0.35">
      <c r="EW4748" t="s">
        <v>5211</v>
      </c>
      <c r="EX4748" t="s">
        <v>1125</v>
      </c>
      <c r="FF4748" t="s">
        <v>1727</v>
      </c>
      <c r="FJ4748" t="s">
        <v>1727</v>
      </c>
    </row>
    <row r="4749" spans="153:166" x14ac:dyDescent="0.35">
      <c r="EW4749" t="s">
        <v>5211</v>
      </c>
      <c r="EX4749" t="s">
        <v>1125</v>
      </c>
      <c r="FF4749" t="s">
        <v>1727</v>
      </c>
      <c r="FJ4749" t="s">
        <v>1727</v>
      </c>
    </row>
    <row r="4750" spans="153:166" x14ac:dyDescent="0.35">
      <c r="EW4750" t="s">
        <v>5211</v>
      </c>
      <c r="EX4750" t="s">
        <v>1132</v>
      </c>
      <c r="FF4750" t="s">
        <v>474</v>
      </c>
      <c r="FJ4750" t="s">
        <v>474</v>
      </c>
    </row>
    <row r="4751" spans="153:166" x14ac:dyDescent="0.35">
      <c r="EW4751" t="s">
        <v>5211</v>
      </c>
      <c r="EX4751" t="s">
        <v>1132</v>
      </c>
      <c r="FF4751" t="s">
        <v>474</v>
      </c>
      <c r="FJ4751" t="s">
        <v>474</v>
      </c>
    </row>
    <row r="4752" spans="153:166" x14ac:dyDescent="0.35">
      <c r="EW4752" t="s">
        <v>5211</v>
      </c>
      <c r="EX4752" t="s">
        <v>1132</v>
      </c>
      <c r="FF4752" t="s">
        <v>474</v>
      </c>
      <c r="FJ4752" t="s">
        <v>474</v>
      </c>
    </row>
    <row r="4753" spans="153:166" x14ac:dyDescent="0.35">
      <c r="EW4753" t="s">
        <v>5211</v>
      </c>
      <c r="EX4753" t="s">
        <v>1132</v>
      </c>
      <c r="FF4753" t="s">
        <v>474</v>
      </c>
      <c r="FJ4753" t="s">
        <v>474</v>
      </c>
    </row>
    <row r="4754" spans="153:166" x14ac:dyDescent="0.35">
      <c r="EW4754" t="s">
        <v>5211</v>
      </c>
      <c r="EX4754" t="s">
        <v>1132</v>
      </c>
      <c r="FF4754" t="s">
        <v>474</v>
      </c>
      <c r="FJ4754" t="s">
        <v>474</v>
      </c>
    </row>
    <row r="4755" spans="153:166" x14ac:dyDescent="0.35">
      <c r="EW4755" t="s">
        <v>5211</v>
      </c>
      <c r="EX4755" t="s">
        <v>1132</v>
      </c>
      <c r="FF4755" t="s">
        <v>474</v>
      </c>
      <c r="FJ4755" t="s">
        <v>474</v>
      </c>
    </row>
    <row r="4756" spans="153:166" x14ac:dyDescent="0.35">
      <c r="EW4756" t="s">
        <v>5211</v>
      </c>
      <c r="EX4756" t="s">
        <v>1132</v>
      </c>
      <c r="FF4756" t="s">
        <v>474</v>
      </c>
      <c r="FJ4756" t="s">
        <v>474</v>
      </c>
    </row>
    <row r="4757" spans="153:166" x14ac:dyDescent="0.35">
      <c r="EW4757" t="s">
        <v>5211</v>
      </c>
      <c r="EX4757" t="s">
        <v>1132</v>
      </c>
      <c r="FF4757" t="s">
        <v>474</v>
      </c>
      <c r="FJ4757" t="s">
        <v>474</v>
      </c>
    </row>
    <row r="4758" spans="153:166" x14ac:dyDescent="0.35">
      <c r="EW4758" t="s">
        <v>5211</v>
      </c>
      <c r="EX4758" t="s">
        <v>1132</v>
      </c>
      <c r="FF4758" t="s">
        <v>474</v>
      </c>
      <c r="FJ4758" t="s">
        <v>474</v>
      </c>
    </row>
    <row r="4759" spans="153:166" x14ac:dyDescent="0.35">
      <c r="EW4759" t="s">
        <v>5211</v>
      </c>
      <c r="EX4759" t="s">
        <v>1153</v>
      </c>
      <c r="FF4759" t="s">
        <v>474</v>
      </c>
      <c r="FJ4759" t="s">
        <v>474</v>
      </c>
    </row>
    <row r="4760" spans="153:166" x14ac:dyDescent="0.35">
      <c r="EW4760" t="s">
        <v>5211</v>
      </c>
      <c r="EX4760" t="s">
        <v>1153</v>
      </c>
      <c r="FF4760" t="s">
        <v>474</v>
      </c>
      <c r="FJ4760" t="s">
        <v>474</v>
      </c>
    </row>
    <row r="4761" spans="153:166" x14ac:dyDescent="0.35">
      <c r="EW4761" t="s">
        <v>5211</v>
      </c>
      <c r="EX4761" t="s">
        <v>1153</v>
      </c>
      <c r="FF4761" t="s">
        <v>474</v>
      </c>
      <c r="FJ4761" t="s">
        <v>474</v>
      </c>
    </row>
    <row r="4762" spans="153:166" x14ac:dyDescent="0.35">
      <c r="EW4762" t="s">
        <v>5211</v>
      </c>
      <c r="EX4762" t="s">
        <v>1162</v>
      </c>
      <c r="FF4762" t="s">
        <v>474</v>
      </c>
      <c r="FJ4762" t="s">
        <v>474</v>
      </c>
    </row>
    <row r="4763" spans="153:166" x14ac:dyDescent="0.35">
      <c r="EW4763" t="s">
        <v>5211</v>
      </c>
      <c r="EX4763" t="s">
        <v>1162</v>
      </c>
      <c r="FF4763" t="s">
        <v>474</v>
      </c>
      <c r="FJ4763" t="s">
        <v>474</v>
      </c>
    </row>
    <row r="4764" spans="153:166" x14ac:dyDescent="0.35">
      <c r="EW4764" t="s">
        <v>5211</v>
      </c>
      <c r="EX4764" t="s">
        <v>1162</v>
      </c>
      <c r="FF4764" t="s">
        <v>474</v>
      </c>
      <c r="FJ4764" t="s">
        <v>474</v>
      </c>
    </row>
    <row r="4765" spans="153:166" x14ac:dyDescent="0.35">
      <c r="EW4765" t="s">
        <v>5211</v>
      </c>
      <c r="EX4765" t="s">
        <v>1162</v>
      </c>
      <c r="FF4765" t="s">
        <v>474</v>
      </c>
      <c r="FJ4765" t="s">
        <v>474</v>
      </c>
    </row>
    <row r="4766" spans="153:166" x14ac:dyDescent="0.35">
      <c r="EW4766" t="s">
        <v>5211</v>
      </c>
      <c r="EX4766" t="s">
        <v>1173</v>
      </c>
      <c r="FF4766" t="s">
        <v>474</v>
      </c>
      <c r="FJ4766" t="s">
        <v>474</v>
      </c>
    </row>
    <row r="4767" spans="153:166" x14ac:dyDescent="0.35">
      <c r="EW4767" t="s">
        <v>5211</v>
      </c>
      <c r="EX4767" t="s">
        <v>1173</v>
      </c>
      <c r="FF4767" t="s">
        <v>474</v>
      </c>
      <c r="FJ4767" t="s">
        <v>474</v>
      </c>
    </row>
    <row r="4768" spans="153:166" x14ac:dyDescent="0.35">
      <c r="EW4768" t="s">
        <v>5211</v>
      </c>
      <c r="EX4768" t="s">
        <v>1173</v>
      </c>
      <c r="FF4768" t="s">
        <v>474</v>
      </c>
      <c r="FJ4768" t="s">
        <v>474</v>
      </c>
    </row>
    <row r="4769" spans="153:166" x14ac:dyDescent="0.35">
      <c r="EW4769" t="s">
        <v>5211</v>
      </c>
      <c r="EX4769" t="s">
        <v>1173</v>
      </c>
      <c r="FF4769" t="s">
        <v>474</v>
      </c>
      <c r="FJ4769" t="s">
        <v>474</v>
      </c>
    </row>
    <row r="4770" spans="153:166" x14ac:dyDescent="0.35">
      <c r="EW4770" t="s">
        <v>5211</v>
      </c>
      <c r="EX4770" t="s">
        <v>1173</v>
      </c>
      <c r="FF4770" t="s">
        <v>474</v>
      </c>
      <c r="FJ4770" t="s">
        <v>474</v>
      </c>
    </row>
    <row r="4771" spans="153:166" x14ac:dyDescent="0.35">
      <c r="EW4771" t="s">
        <v>5211</v>
      </c>
      <c r="EX4771" t="s">
        <v>1173</v>
      </c>
      <c r="FF4771" t="s">
        <v>474</v>
      </c>
      <c r="FJ4771" t="s">
        <v>474</v>
      </c>
    </row>
    <row r="4772" spans="153:166" x14ac:dyDescent="0.35">
      <c r="EW4772" t="s">
        <v>5211</v>
      </c>
      <c r="EX4772" t="s">
        <v>1173</v>
      </c>
      <c r="FF4772" t="s">
        <v>474</v>
      </c>
      <c r="FJ4772" t="s">
        <v>474</v>
      </c>
    </row>
    <row r="4773" spans="153:166" x14ac:dyDescent="0.35">
      <c r="EW4773" t="s">
        <v>5211</v>
      </c>
      <c r="EX4773" t="s">
        <v>1173</v>
      </c>
      <c r="FF4773" t="s">
        <v>474</v>
      </c>
      <c r="FJ4773" t="s">
        <v>474</v>
      </c>
    </row>
    <row r="4774" spans="153:166" x14ac:dyDescent="0.35">
      <c r="EW4774" t="s">
        <v>5211</v>
      </c>
      <c r="EX4774" t="s">
        <v>1194</v>
      </c>
      <c r="FF4774" t="s">
        <v>474</v>
      </c>
      <c r="FJ4774" t="s">
        <v>474</v>
      </c>
    </row>
    <row r="4775" spans="153:166" x14ac:dyDescent="0.35">
      <c r="EW4775" t="s">
        <v>5211</v>
      </c>
      <c r="EX4775" t="s">
        <v>1198</v>
      </c>
      <c r="FF4775" t="s">
        <v>474</v>
      </c>
      <c r="FJ4775" t="s">
        <v>474</v>
      </c>
    </row>
    <row r="4776" spans="153:166" x14ac:dyDescent="0.35">
      <c r="EW4776" t="s">
        <v>5211</v>
      </c>
      <c r="EX4776" t="s">
        <v>1202</v>
      </c>
      <c r="FF4776" t="s">
        <v>59</v>
      </c>
      <c r="FJ4776" t="s">
        <v>59</v>
      </c>
    </row>
    <row r="4777" spans="153:166" x14ac:dyDescent="0.35">
      <c r="EW4777" t="s">
        <v>5211</v>
      </c>
      <c r="EX4777" t="s">
        <v>1206</v>
      </c>
      <c r="FF4777" t="s">
        <v>59</v>
      </c>
      <c r="FJ4777" t="s">
        <v>59</v>
      </c>
    </row>
    <row r="4778" spans="153:166" x14ac:dyDescent="0.35">
      <c r="EW4778" t="s">
        <v>5211</v>
      </c>
      <c r="EX4778" t="s">
        <v>1211</v>
      </c>
      <c r="FF4778" t="s">
        <v>474</v>
      </c>
      <c r="FJ4778" t="s">
        <v>474</v>
      </c>
    </row>
    <row r="4779" spans="153:166" x14ac:dyDescent="0.35">
      <c r="EW4779" t="s">
        <v>5211</v>
      </c>
      <c r="EX4779" t="s">
        <v>1215</v>
      </c>
      <c r="FF4779" t="s">
        <v>474</v>
      </c>
      <c r="FJ4779" t="s">
        <v>474</v>
      </c>
    </row>
    <row r="4780" spans="153:166" x14ac:dyDescent="0.35">
      <c r="EW4780" t="s">
        <v>5211</v>
      </c>
      <c r="EX4780" t="s">
        <v>347</v>
      </c>
      <c r="FF4780" t="s">
        <v>59</v>
      </c>
      <c r="FJ4780" t="s">
        <v>59</v>
      </c>
    </row>
    <row r="4781" spans="153:166" x14ac:dyDescent="0.35">
      <c r="EW4781" t="s">
        <v>5211</v>
      </c>
      <c r="EX4781" t="s">
        <v>1221</v>
      </c>
      <c r="FF4781" t="s">
        <v>474</v>
      </c>
      <c r="FJ4781" t="s">
        <v>474</v>
      </c>
    </row>
    <row r="4782" spans="153:166" x14ac:dyDescent="0.35">
      <c r="EW4782" t="s">
        <v>5211</v>
      </c>
      <c r="EX4782" t="s">
        <v>1225</v>
      </c>
      <c r="FF4782" t="s">
        <v>59</v>
      </c>
      <c r="FJ4782" t="s">
        <v>59</v>
      </c>
    </row>
    <row r="4783" spans="153:166" x14ac:dyDescent="0.35">
      <c r="EW4783" t="s">
        <v>5211</v>
      </c>
      <c r="EX4783" t="s">
        <v>1229</v>
      </c>
      <c r="FF4783" t="s">
        <v>474</v>
      </c>
      <c r="FJ4783" t="s">
        <v>474</v>
      </c>
    </row>
    <row r="4784" spans="153:166" x14ac:dyDescent="0.35">
      <c r="EW4784" t="s">
        <v>5211</v>
      </c>
      <c r="EX4784" t="s">
        <v>1233</v>
      </c>
      <c r="FF4784" t="s">
        <v>474</v>
      </c>
      <c r="FJ4784" t="s">
        <v>474</v>
      </c>
    </row>
    <row r="4785" spans="153:166" x14ac:dyDescent="0.35">
      <c r="EW4785" t="s">
        <v>5211</v>
      </c>
      <c r="EX4785" t="s">
        <v>1237</v>
      </c>
      <c r="FF4785" t="s">
        <v>474</v>
      </c>
      <c r="FJ4785" t="s">
        <v>474</v>
      </c>
    </row>
    <row r="4786" spans="153:166" x14ac:dyDescent="0.35">
      <c r="EW4786" t="s">
        <v>5211</v>
      </c>
      <c r="EX4786" t="s">
        <v>1242</v>
      </c>
      <c r="FF4786" t="s">
        <v>474</v>
      </c>
      <c r="FJ4786" t="s">
        <v>474</v>
      </c>
    </row>
    <row r="4787" spans="153:166" x14ac:dyDescent="0.35">
      <c r="EW4787" t="s">
        <v>5211</v>
      </c>
      <c r="EX4787" t="s">
        <v>1215</v>
      </c>
      <c r="FF4787" t="s">
        <v>474</v>
      </c>
      <c r="FJ4787" t="s">
        <v>474</v>
      </c>
    </row>
    <row r="4788" spans="153:166" x14ac:dyDescent="0.35">
      <c r="EW4788" t="s">
        <v>5211</v>
      </c>
      <c r="EX4788" t="s">
        <v>1248</v>
      </c>
      <c r="FF4788" t="s">
        <v>474</v>
      </c>
      <c r="FJ4788" t="s">
        <v>474</v>
      </c>
    </row>
    <row r="4789" spans="153:166" x14ac:dyDescent="0.35">
      <c r="EW4789" t="s">
        <v>5211</v>
      </c>
      <c r="EX4789" t="s">
        <v>1252</v>
      </c>
      <c r="FF4789" t="s">
        <v>474</v>
      </c>
      <c r="FJ4789" t="s">
        <v>474</v>
      </c>
    </row>
    <row r="4790" spans="153:166" x14ac:dyDescent="0.35">
      <c r="EW4790" t="s">
        <v>5211</v>
      </c>
      <c r="EX4790" t="s">
        <v>1256</v>
      </c>
      <c r="FF4790" t="s">
        <v>474</v>
      </c>
      <c r="FJ4790" t="s">
        <v>474</v>
      </c>
    </row>
    <row r="4791" spans="153:166" x14ac:dyDescent="0.35">
      <c r="EW4791" t="s">
        <v>5211</v>
      </c>
      <c r="EX4791" t="s">
        <v>1260</v>
      </c>
      <c r="FF4791" t="s">
        <v>474</v>
      </c>
      <c r="FJ4791" t="s">
        <v>474</v>
      </c>
    </row>
    <row r="4792" spans="153:166" x14ac:dyDescent="0.35">
      <c r="EW4792" t="s">
        <v>5211</v>
      </c>
      <c r="EX4792" t="s">
        <v>1264</v>
      </c>
      <c r="FF4792" t="s">
        <v>474</v>
      </c>
      <c r="FJ4792" t="s">
        <v>474</v>
      </c>
    </row>
    <row r="4793" spans="153:166" x14ac:dyDescent="0.35">
      <c r="EW4793" t="s">
        <v>5211</v>
      </c>
      <c r="EX4793" t="s">
        <v>1268</v>
      </c>
      <c r="FF4793" t="s">
        <v>474</v>
      </c>
      <c r="FJ4793" t="s">
        <v>474</v>
      </c>
    </row>
    <row r="4794" spans="153:166" x14ac:dyDescent="0.35">
      <c r="EW4794" t="s">
        <v>5211</v>
      </c>
      <c r="EX4794" t="s">
        <v>1195</v>
      </c>
      <c r="FF4794" t="s">
        <v>474</v>
      </c>
      <c r="FJ4794" t="s">
        <v>474</v>
      </c>
    </row>
    <row r="4795" spans="153:166" x14ac:dyDescent="0.35">
      <c r="EW4795" t="s">
        <v>5211</v>
      </c>
      <c r="EX4795" t="s">
        <v>1273</v>
      </c>
      <c r="FF4795" t="s">
        <v>474</v>
      </c>
      <c r="FJ4795" t="s">
        <v>474</v>
      </c>
    </row>
    <row r="4796" spans="153:166" x14ac:dyDescent="0.35">
      <c r="EW4796" t="s">
        <v>5211</v>
      </c>
      <c r="EX4796" t="s">
        <v>179</v>
      </c>
      <c r="FF4796" t="s">
        <v>59</v>
      </c>
      <c r="FJ4796" t="s">
        <v>59</v>
      </c>
    </row>
    <row r="4797" spans="153:166" x14ac:dyDescent="0.35">
      <c r="EW4797" t="s">
        <v>5211</v>
      </c>
      <c r="EX4797" t="s">
        <v>1278</v>
      </c>
      <c r="FF4797" t="s">
        <v>474</v>
      </c>
      <c r="FJ4797" t="s">
        <v>474</v>
      </c>
    </row>
    <row r="4798" spans="153:166" x14ac:dyDescent="0.35">
      <c r="EW4798" t="s">
        <v>5211</v>
      </c>
      <c r="EX4798" t="s">
        <v>1253</v>
      </c>
      <c r="FF4798" t="s">
        <v>474</v>
      </c>
      <c r="FJ4798" t="s">
        <v>474</v>
      </c>
    </row>
    <row r="4799" spans="153:166" x14ac:dyDescent="0.35">
      <c r="EW4799" t="s">
        <v>5211</v>
      </c>
      <c r="EX4799" t="s">
        <v>1283</v>
      </c>
      <c r="FF4799" t="s">
        <v>474</v>
      </c>
      <c r="FJ4799" t="s">
        <v>474</v>
      </c>
    </row>
    <row r="4800" spans="153:166" x14ac:dyDescent="0.35">
      <c r="EW4800" t="s">
        <v>5211</v>
      </c>
      <c r="EX4800" t="s">
        <v>1286</v>
      </c>
      <c r="FF4800" t="s">
        <v>474</v>
      </c>
      <c r="FJ4800" t="s">
        <v>474</v>
      </c>
    </row>
    <row r="4801" spans="153:166" x14ac:dyDescent="0.35">
      <c r="EW4801" t="s">
        <v>5211</v>
      </c>
      <c r="EX4801" t="s">
        <v>1289</v>
      </c>
      <c r="FF4801" t="s">
        <v>474</v>
      </c>
      <c r="FJ4801" t="s">
        <v>474</v>
      </c>
    </row>
    <row r="4802" spans="153:166" x14ac:dyDescent="0.35">
      <c r="EW4802" t="s">
        <v>5211</v>
      </c>
      <c r="EX4802" t="s">
        <v>1292</v>
      </c>
      <c r="FF4802" t="s">
        <v>474</v>
      </c>
      <c r="FJ4802" t="s">
        <v>474</v>
      </c>
    </row>
    <row r="4803" spans="153:166" x14ac:dyDescent="0.35">
      <c r="EW4803" t="s">
        <v>5211</v>
      </c>
      <c r="EX4803" t="s">
        <v>1229</v>
      </c>
      <c r="FF4803" t="s">
        <v>474</v>
      </c>
      <c r="FJ4803" t="s">
        <v>474</v>
      </c>
    </row>
    <row r="4804" spans="153:166" x14ac:dyDescent="0.35">
      <c r="EW4804" t="s">
        <v>5211</v>
      </c>
      <c r="EX4804" t="s">
        <v>1298</v>
      </c>
      <c r="FF4804" t="s">
        <v>474</v>
      </c>
      <c r="FJ4804" t="s">
        <v>474</v>
      </c>
    </row>
    <row r="4805" spans="153:166" x14ac:dyDescent="0.35">
      <c r="EW4805" t="s">
        <v>5211</v>
      </c>
      <c r="EX4805" t="s">
        <v>1194</v>
      </c>
      <c r="FF4805" t="s">
        <v>474</v>
      </c>
      <c r="FJ4805" t="s">
        <v>474</v>
      </c>
    </row>
    <row r="4806" spans="153:166" x14ac:dyDescent="0.35">
      <c r="EW4806" t="s">
        <v>5211</v>
      </c>
      <c r="EX4806" t="s">
        <v>1198</v>
      </c>
      <c r="FF4806" t="s">
        <v>474</v>
      </c>
      <c r="FJ4806" t="s">
        <v>474</v>
      </c>
    </row>
    <row r="4807" spans="153:166" x14ac:dyDescent="0.35">
      <c r="EW4807" t="s">
        <v>5211</v>
      </c>
      <c r="EX4807" t="s">
        <v>1306</v>
      </c>
      <c r="FF4807" t="s">
        <v>474</v>
      </c>
      <c r="FJ4807" t="s">
        <v>474</v>
      </c>
    </row>
    <row r="4808" spans="153:166" x14ac:dyDescent="0.35">
      <c r="EW4808" t="s">
        <v>5211</v>
      </c>
      <c r="EX4808" t="s">
        <v>1203</v>
      </c>
      <c r="FF4808" t="s">
        <v>59</v>
      </c>
      <c r="FJ4808" t="s">
        <v>59</v>
      </c>
    </row>
    <row r="4809" spans="153:166" x14ac:dyDescent="0.35">
      <c r="EW4809" t="s">
        <v>5211</v>
      </c>
      <c r="EX4809" t="s">
        <v>1207</v>
      </c>
      <c r="FF4809" t="s">
        <v>59</v>
      </c>
      <c r="FJ4809" t="s">
        <v>59</v>
      </c>
    </row>
    <row r="4810" spans="153:166" x14ac:dyDescent="0.35">
      <c r="EW4810" t="s">
        <v>5211</v>
      </c>
      <c r="EX4810" t="s">
        <v>1211</v>
      </c>
      <c r="FF4810" t="s">
        <v>474</v>
      </c>
      <c r="FJ4810" t="s">
        <v>474</v>
      </c>
    </row>
    <row r="4811" spans="153:166" x14ac:dyDescent="0.35">
      <c r="EW4811" t="s">
        <v>5211</v>
      </c>
      <c r="EX4811" t="s">
        <v>1215</v>
      </c>
      <c r="FF4811" t="s">
        <v>474</v>
      </c>
      <c r="FJ4811" t="s">
        <v>474</v>
      </c>
    </row>
    <row r="4812" spans="153:166" x14ac:dyDescent="0.35">
      <c r="EW4812" t="s">
        <v>5211</v>
      </c>
      <c r="EX4812" t="s">
        <v>1225</v>
      </c>
      <c r="FF4812" t="s">
        <v>59</v>
      </c>
      <c r="FJ4812" t="s">
        <v>59</v>
      </c>
    </row>
    <row r="4813" spans="153:166" x14ac:dyDescent="0.35">
      <c r="EW4813" t="s">
        <v>5211</v>
      </c>
      <c r="EX4813" t="s">
        <v>347</v>
      </c>
      <c r="FF4813" t="s">
        <v>59</v>
      </c>
      <c r="FJ4813" t="s">
        <v>59</v>
      </c>
    </row>
    <row r="4814" spans="153:166" x14ac:dyDescent="0.35">
      <c r="EW4814" t="s">
        <v>5211</v>
      </c>
      <c r="EX4814" t="s">
        <v>1221</v>
      </c>
      <c r="FF4814" t="s">
        <v>474</v>
      </c>
      <c r="FJ4814" t="s">
        <v>474</v>
      </c>
    </row>
    <row r="4815" spans="153:166" x14ac:dyDescent="0.35">
      <c r="EW4815" t="s">
        <v>5211</v>
      </c>
      <c r="EX4815" t="s">
        <v>1229</v>
      </c>
      <c r="FF4815" t="s">
        <v>474</v>
      </c>
      <c r="FJ4815" t="s">
        <v>474</v>
      </c>
    </row>
    <row r="4816" spans="153:166" x14ac:dyDescent="0.35">
      <c r="EW4816" t="s">
        <v>5211</v>
      </c>
      <c r="EX4816" t="s">
        <v>1233</v>
      </c>
      <c r="FF4816" t="s">
        <v>474</v>
      </c>
      <c r="FJ4816" t="s">
        <v>474</v>
      </c>
    </row>
    <row r="4817" spans="153:166" x14ac:dyDescent="0.35">
      <c r="EW4817" t="s">
        <v>5211</v>
      </c>
      <c r="EX4817" t="s">
        <v>1328</v>
      </c>
      <c r="FF4817" t="s">
        <v>474</v>
      </c>
      <c r="FJ4817" t="s">
        <v>474</v>
      </c>
    </row>
    <row r="4818" spans="153:166" x14ac:dyDescent="0.35">
      <c r="EW4818" t="s">
        <v>5211</v>
      </c>
      <c r="EX4818" t="s">
        <v>1332</v>
      </c>
      <c r="FF4818" t="s">
        <v>59</v>
      </c>
      <c r="FJ4818" t="s">
        <v>59</v>
      </c>
    </row>
    <row r="4819" spans="153:166" x14ac:dyDescent="0.35">
      <c r="EW4819" t="s">
        <v>5211</v>
      </c>
      <c r="EX4819" t="s">
        <v>1237</v>
      </c>
      <c r="FF4819" t="s">
        <v>474</v>
      </c>
      <c r="FJ4819" t="s">
        <v>474</v>
      </c>
    </row>
    <row r="4820" spans="153:166" x14ac:dyDescent="0.35">
      <c r="EW4820" t="s">
        <v>5211</v>
      </c>
      <c r="EX4820" t="s">
        <v>1243</v>
      </c>
      <c r="FF4820" t="s">
        <v>474</v>
      </c>
      <c r="FJ4820" t="s">
        <v>474</v>
      </c>
    </row>
    <row r="4821" spans="153:166" x14ac:dyDescent="0.35">
      <c r="EW4821" t="s">
        <v>5211</v>
      </c>
      <c r="EX4821" t="s">
        <v>1340</v>
      </c>
      <c r="FF4821" t="s">
        <v>474</v>
      </c>
      <c r="FJ4821" t="s">
        <v>474</v>
      </c>
    </row>
    <row r="4822" spans="153:166" x14ac:dyDescent="0.35">
      <c r="EW4822" t="s">
        <v>5211</v>
      </c>
      <c r="EX4822" t="s">
        <v>1343</v>
      </c>
      <c r="FF4822" t="s">
        <v>474</v>
      </c>
      <c r="FJ4822" t="s">
        <v>474</v>
      </c>
    </row>
    <row r="4823" spans="153:166" x14ac:dyDescent="0.35">
      <c r="EW4823" t="s">
        <v>5211</v>
      </c>
      <c r="EX4823" t="s">
        <v>1346</v>
      </c>
      <c r="FF4823" t="s">
        <v>59</v>
      </c>
      <c r="FJ4823" t="s">
        <v>59</v>
      </c>
    </row>
    <row r="4824" spans="153:166" x14ac:dyDescent="0.35">
      <c r="EW4824" t="s">
        <v>5211</v>
      </c>
      <c r="EX4824" t="s">
        <v>1350</v>
      </c>
      <c r="FF4824" t="s">
        <v>474</v>
      </c>
      <c r="FJ4824" t="s">
        <v>474</v>
      </c>
    </row>
    <row r="4825" spans="153:166" x14ac:dyDescent="0.35">
      <c r="EW4825" t="s">
        <v>5211</v>
      </c>
      <c r="EX4825" t="s">
        <v>1354</v>
      </c>
      <c r="FF4825" t="s">
        <v>474</v>
      </c>
      <c r="FJ4825" t="s">
        <v>474</v>
      </c>
    </row>
    <row r="4826" spans="153:166" x14ac:dyDescent="0.35">
      <c r="EW4826" t="s">
        <v>5211</v>
      </c>
      <c r="EX4826" t="s">
        <v>1358</v>
      </c>
      <c r="FF4826" t="s">
        <v>474</v>
      </c>
      <c r="FJ4826" t="s">
        <v>474</v>
      </c>
    </row>
    <row r="4827" spans="153:166" x14ac:dyDescent="0.35">
      <c r="EW4827" t="s">
        <v>5211</v>
      </c>
      <c r="EX4827" t="s">
        <v>1362</v>
      </c>
      <c r="FF4827" t="s">
        <v>474</v>
      </c>
      <c r="FJ4827" t="s">
        <v>474</v>
      </c>
    </row>
    <row r="4828" spans="153:166" x14ac:dyDescent="0.35">
      <c r="EW4828" t="s">
        <v>5211</v>
      </c>
      <c r="EX4828" t="s">
        <v>1366</v>
      </c>
      <c r="FF4828" t="s">
        <v>474</v>
      </c>
      <c r="FJ4828" t="s">
        <v>474</v>
      </c>
    </row>
    <row r="4829" spans="153:166" x14ac:dyDescent="0.35">
      <c r="EW4829" t="s">
        <v>5211</v>
      </c>
      <c r="EX4829" t="s">
        <v>1370</v>
      </c>
      <c r="FF4829" t="s">
        <v>474</v>
      </c>
      <c r="FJ4829" t="s">
        <v>474</v>
      </c>
    </row>
    <row r="4830" spans="153:166" x14ac:dyDescent="0.35">
      <c r="EW4830" t="s">
        <v>5211</v>
      </c>
      <c r="EX4830" t="s">
        <v>1374</v>
      </c>
      <c r="FF4830" t="s">
        <v>474</v>
      </c>
      <c r="FJ4830" t="s">
        <v>474</v>
      </c>
    </row>
    <row r="4831" spans="153:166" x14ac:dyDescent="0.35">
      <c r="EW4831" t="s">
        <v>5211</v>
      </c>
      <c r="EX4831" t="s">
        <v>1378</v>
      </c>
      <c r="FF4831" t="s">
        <v>474</v>
      </c>
      <c r="FJ4831" t="s">
        <v>474</v>
      </c>
    </row>
    <row r="4832" spans="153:166" x14ac:dyDescent="0.35">
      <c r="EW4832" t="s">
        <v>5211</v>
      </c>
      <c r="EX4832" t="s">
        <v>1237</v>
      </c>
      <c r="FF4832" t="s">
        <v>474</v>
      </c>
      <c r="FJ4832" t="s">
        <v>474</v>
      </c>
    </row>
    <row r="4833" spans="153:166" x14ac:dyDescent="0.35">
      <c r="EW4833" t="s">
        <v>5211</v>
      </c>
      <c r="EX4833" t="s">
        <v>1384</v>
      </c>
      <c r="FF4833" t="s">
        <v>474</v>
      </c>
      <c r="FJ4833" t="s">
        <v>474</v>
      </c>
    </row>
    <row r="4834" spans="153:166" x14ac:dyDescent="0.35">
      <c r="EW4834" t="s">
        <v>5211</v>
      </c>
      <c r="EX4834" t="s">
        <v>1388</v>
      </c>
      <c r="FF4834" t="s">
        <v>474</v>
      </c>
      <c r="FJ4834" t="s">
        <v>474</v>
      </c>
    </row>
    <row r="4835" spans="153:166" x14ac:dyDescent="0.35">
      <c r="EW4835" t="s">
        <v>5211</v>
      </c>
      <c r="EX4835" t="s">
        <v>1392</v>
      </c>
      <c r="FF4835" t="s">
        <v>474</v>
      </c>
      <c r="FJ4835" t="s">
        <v>474</v>
      </c>
    </row>
    <row r="4836" spans="153:166" x14ac:dyDescent="0.35">
      <c r="EW4836" t="s">
        <v>5211</v>
      </c>
      <c r="EX4836" t="s">
        <v>1354</v>
      </c>
      <c r="FF4836" t="s">
        <v>474</v>
      </c>
      <c r="FJ4836" t="s">
        <v>474</v>
      </c>
    </row>
    <row r="4837" spans="153:166" x14ac:dyDescent="0.35">
      <c r="EW4837" t="s">
        <v>5211</v>
      </c>
      <c r="EX4837" t="s">
        <v>1350</v>
      </c>
      <c r="FF4837" t="s">
        <v>474</v>
      </c>
      <c r="FJ4837" t="s">
        <v>474</v>
      </c>
    </row>
    <row r="4838" spans="153:166" x14ac:dyDescent="0.35">
      <c r="EW4838" t="s">
        <v>5211</v>
      </c>
      <c r="EX4838" t="s">
        <v>1362</v>
      </c>
      <c r="FF4838" t="s">
        <v>474</v>
      </c>
      <c r="FJ4838" t="s">
        <v>474</v>
      </c>
    </row>
    <row r="4839" spans="153:166" x14ac:dyDescent="0.35">
      <c r="EW4839" t="s">
        <v>5211</v>
      </c>
      <c r="EX4839" t="s">
        <v>1358</v>
      </c>
      <c r="FF4839" t="s">
        <v>474</v>
      </c>
      <c r="FJ4839" t="s">
        <v>474</v>
      </c>
    </row>
    <row r="4840" spans="153:166" x14ac:dyDescent="0.35">
      <c r="EW4840" t="s">
        <v>5211</v>
      </c>
      <c r="EX4840" t="s">
        <v>1404</v>
      </c>
      <c r="FF4840" t="s">
        <v>474</v>
      </c>
      <c r="FJ4840" t="s">
        <v>474</v>
      </c>
    </row>
    <row r="4841" spans="153:166" x14ac:dyDescent="0.35">
      <c r="EW4841" t="s">
        <v>5211</v>
      </c>
      <c r="EX4841" t="s">
        <v>1408</v>
      </c>
      <c r="FF4841" t="s">
        <v>474</v>
      </c>
      <c r="FJ4841" t="s">
        <v>474</v>
      </c>
    </row>
    <row r="4842" spans="153:166" x14ac:dyDescent="0.35">
      <c r="EW4842" t="s">
        <v>5211</v>
      </c>
      <c r="EX4842" t="s">
        <v>1370</v>
      </c>
      <c r="FF4842" t="s">
        <v>474</v>
      </c>
      <c r="FJ4842" t="s">
        <v>474</v>
      </c>
    </row>
    <row r="4843" spans="153:166" x14ac:dyDescent="0.35">
      <c r="EW4843" t="s">
        <v>5211</v>
      </c>
      <c r="EX4843" t="s">
        <v>1366</v>
      </c>
      <c r="FF4843" t="s">
        <v>474</v>
      </c>
      <c r="FJ4843" t="s">
        <v>474</v>
      </c>
    </row>
    <row r="4844" spans="153:166" x14ac:dyDescent="0.35">
      <c r="EW4844" t="s">
        <v>5211</v>
      </c>
      <c r="EX4844" t="s">
        <v>1378</v>
      </c>
      <c r="FF4844" t="s">
        <v>474</v>
      </c>
      <c r="FJ4844" t="s">
        <v>474</v>
      </c>
    </row>
    <row r="4845" spans="153:166" x14ac:dyDescent="0.35">
      <c r="EW4845" t="s">
        <v>5211</v>
      </c>
      <c r="EX4845" t="s">
        <v>1418</v>
      </c>
      <c r="FF4845" t="s">
        <v>474</v>
      </c>
      <c r="FJ4845" t="s">
        <v>474</v>
      </c>
    </row>
    <row r="4846" spans="153:166" x14ac:dyDescent="0.35">
      <c r="EW4846" t="s">
        <v>5211</v>
      </c>
      <c r="EX4846" t="s">
        <v>1237</v>
      </c>
      <c r="FF4846" t="s">
        <v>474</v>
      </c>
      <c r="FJ4846" t="s">
        <v>474</v>
      </c>
    </row>
    <row r="4847" spans="153:166" x14ac:dyDescent="0.35">
      <c r="EW4847" t="s">
        <v>5211</v>
      </c>
      <c r="EX4847" t="s">
        <v>1384</v>
      </c>
      <c r="FF4847" t="s">
        <v>474</v>
      </c>
      <c r="FJ4847" t="s">
        <v>474</v>
      </c>
    </row>
    <row r="4848" spans="153:166" x14ac:dyDescent="0.35">
      <c r="EW4848" t="s">
        <v>5211</v>
      </c>
      <c r="EX4848" t="s">
        <v>1426</v>
      </c>
      <c r="FF4848" t="s">
        <v>474</v>
      </c>
      <c r="FJ4848" t="s">
        <v>474</v>
      </c>
    </row>
    <row r="4849" spans="153:166" x14ac:dyDescent="0.35">
      <c r="EW4849" t="s">
        <v>5211</v>
      </c>
      <c r="EX4849" t="s">
        <v>1392</v>
      </c>
      <c r="FF4849" t="s">
        <v>474</v>
      </c>
      <c r="FJ4849" t="s">
        <v>474</v>
      </c>
    </row>
    <row r="4850" spans="153:166" x14ac:dyDescent="0.35">
      <c r="EW4850" t="s">
        <v>5211</v>
      </c>
      <c r="EX4850" t="s">
        <v>1388</v>
      </c>
      <c r="FF4850" t="s">
        <v>474</v>
      </c>
      <c r="FJ4850" t="s">
        <v>474</v>
      </c>
    </row>
    <row r="4851" spans="153:166" x14ac:dyDescent="0.35">
      <c r="EW4851" t="s">
        <v>5211</v>
      </c>
      <c r="EX4851" t="s">
        <v>1351</v>
      </c>
      <c r="FF4851" t="s">
        <v>474</v>
      </c>
      <c r="FJ4851" t="s">
        <v>474</v>
      </c>
    </row>
    <row r="4852" spans="153:166" x14ac:dyDescent="0.35">
      <c r="EW4852" t="s">
        <v>5211</v>
      </c>
      <c r="EX4852" t="s">
        <v>1363</v>
      </c>
      <c r="FF4852" t="s">
        <v>474</v>
      </c>
      <c r="FJ4852" t="s">
        <v>474</v>
      </c>
    </row>
    <row r="4853" spans="153:166" x14ac:dyDescent="0.35">
      <c r="EW4853" t="s">
        <v>5211</v>
      </c>
      <c r="EX4853" t="s">
        <v>1355</v>
      </c>
      <c r="FF4853" t="s">
        <v>474</v>
      </c>
      <c r="FJ4853" t="s">
        <v>474</v>
      </c>
    </row>
    <row r="4854" spans="153:166" x14ac:dyDescent="0.35">
      <c r="EW4854" t="s">
        <v>5211</v>
      </c>
      <c r="EX4854" t="s">
        <v>1359</v>
      </c>
      <c r="FF4854" t="s">
        <v>474</v>
      </c>
      <c r="FJ4854" t="s">
        <v>474</v>
      </c>
    </row>
    <row r="4855" spans="153:166" x14ac:dyDescent="0.35">
      <c r="EW4855" t="s">
        <v>5211</v>
      </c>
      <c r="EX4855" t="s">
        <v>1405</v>
      </c>
      <c r="FF4855" t="s">
        <v>474</v>
      </c>
      <c r="FJ4855" t="s">
        <v>474</v>
      </c>
    </row>
    <row r="4856" spans="153:166" x14ac:dyDescent="0.35">
      <c r="EW4856" t="s">
        <v>5211</v>
      </c>
      <c r="EX4856" t="s">
        <v>1367</v>
      </c>
      <c r="FF4856" t="s">
        <v>474</v>
      </c>
      <c r="FJ4856" t="s">
        <v>474</v>
      </c>
    </row>
    <row r="4857" spans="153:166" x14ac:dyDescent="0.35">
      <c r="EW4857" t="s">
        <v>5211</v>
      </c>
      <c r="EX4857" t="s">
        <v>499</v>
      </c>
      <c r="FF4857" t="s">
        <v>59</v>
      </c>
      <c r="FJ4857" t="s">
        <v>59</v>
      </c>
    </row>
    <row r="4858" spans="153:166" x14ac:dyDescent="0.35">
      <c r="EW4858" t="s">
        <v>5211</v>
      </c>
      <c r="EX4858" t="s">
        <v>1367</v>
      </c>
      <c r="FF4858" t="s">
        <v>474</v>
      </c>
      <c r="FJ4858" t="s">
        <v>474</v>
      </c>
    </row>
    <row r="4859" spans="153:166" x14ac:dyDescent="0.35">
      <c r="EW4859" t="s">
        <v>5211</v>
      </c>
      <c r="EX4859" t="s">
        <v>1450</v>
      </c>
      <c r="FF4859" t="s">
        <v>59</v>
      </c>
      <c r="FJ4859" t="s">
        <v>59</v>
      </c>
    </row>
    <row r="4860" spans="153:166" x14ac:dyDescent="0.35">
      <c r="EW4860" t="s">
        <v>5211</v>
      </c>
      <c r="EX4860" t="s">
        <v>1409</v>
      </c>
      <c r="FF4860" t="s">
        <v>474</v>
      </c>
      <c r="FJ4860" t="s">
        <v>474</v>
      </c>
    </row>
    <row r="4861" spans="153:166" x14ac:dyDescent="0.35">
      <c r="EW4861" t="s">
        <v>5211</v>
      </c>
      <c r="EX4861" t="s">
        <v>1384</v>
      </c>
      <c r="FF4861" t="s">
        <v>474</v>
      </c>
      <c r="FJ4861" t="s">
        <v>474</v>
      </c>
    </row>
    <row r="4862" spans="153:166" x14ac:dyDescent="0.35">
      <c r="EW4862" t="s">
        <v>5211</v>
      </c>
      <c r="EX4862" t="s">
        <v>1378</v>
      </c>
      <c r="FF4862" t="s">
        <v>474</v>
      </c>
      <c r="FJ4862" t="s">
        <v>474</v>
      </c>
    </row>
    <row r="4863" spans="153:166" x14ac:dyDescent="0.35">
      <c r="EW4863" t="s">
        <v>5211</v>
      </c>
      <c r="EX4863" t="s">
        <v>1237</v>
      </c>
      <c r="FF4863" t="s">
        <v>474</v>
      </c>
      <c r="FJ4863" t="s">
        <v>474</v>
      </c>
    </row>
    <row r="4864" spans="153:166" x14ac:dyDescent="0.35">
      <c r="EW4864" t="s">
        <v>5211</v>
      </c>
      <c r="EX4864" t="s">
        <v>1392</v>
      </c>
      <c r="FF4864" t="s">
        <v>474</v>
      </c>
      <c r="FJ4864" t="s">
        <v>474</v>
      </c>
    </row>
    <row r="4865" spans="153:166" x14ac:dyDescent="0.35">
      <c r="EW4865" t="s">
        <v>5211</v>
      </c>
      <c r="EX4865" t="s">
        <v>1388</v>
      </c>
      <c r="FF4865" t="s">
        <v>474</v>
      </c>
      <c r="FJ4865" t="s">
        <v>474</v>
      </c>
    </row>
    <row r="4866" spans="153:166" x14ac:dyDescent="0.35">
      <c r="EW4866" t="s">
        <v>5211</v>
      </c>
      <c r="EX4866" t="s">
        <v>1358</v>
      </c>
      <c r="FF4866" t="s">
        <v>474</v>
      </c>
      <c r="FJ4866" t="s">
        <v>474</v>
      </c>
    </row>
    <row r="4867" spans="153:166" x14ac:dyDescent="0.35">
      <c r="EW4867" t="s">
        <v>5211</v>
      </c>
      <c r="EX4867" t="s">
        <v>1362</v>
      </c>
      <c r="FF4867" t="s">
        <v>474</v>
      </c>
      <c r="FJ4867" t="s">
        <v>474</v>
      </c>
    </row>
    <row r="4868" spans="153:166" x14ac:dyDescent="0.35">
      <c r="EW4868" t="s">
        <v>5211</v>
      </c>
      <c r="EX4868" t="s">
        <v>497</v>
      </c>
      <c r="FF4868" t="s">
        <v>59</v>
      </c>
      <c r="FJ4868" t="s">
        <v>59</v>
      </c>
    </row>
    <row r="4869" spans="153:166" x14ac:dyDescent="0.35">
      <c r="EW4869" t="s">
        <v>5211</v>
      </c>
      <c r="EX4869" t="s">
        <v>1292</v>
      </c>
      <c r="FF4869" t="s">
        <v>474</v>
      </c>
      <c r="FJ4869" t="s">
        <v>474</v>
      </c>
    </row>
    <row r="4870" spans="153:166" x14ac:dyDescent="0.35">
      <c r="EW4870" t="s">
        <v>5211</v>
      </c>
      <c r="EX4870" t="s">
        <v>1404</v>
      </c>
      <c r="FF4870" t="s">
        <v>474</v>
      </c>
      <c r="FJ4870" t="s">
        <v>474</v>
      </c>
    </row>
    <row r="4871" spans="153:166" x14ac:dyDescent="0.35">
      <c r="EW4871" t="s">
        <v>5211</v>
      </c>
      <c r="EX4871" t="s">
        <v>1450</v>
      </c>
      <c r="FF4871" t="s">
        <v>59</v>
      </c>
      <c r="FJ4871" t="s">
        <v>59</v>
      </c>
    </row>
    <row r="4872" spans="153:166" x14ac:dyDescent="0.35">
      <c r="EW4872" t="s">
        <v>5211</v>
      </c>
      <c r="EX4872" t="s">
        <v>273</v>
      </c>
      <c r="FF4872" t="s">
        <v>59</v>
      </c>
      <c r="FJ4872" t="s">
        <v>59</v>
      </c>
    </row>
    <row r="4873" spans="153:166" x14ac:dyDescent="0.35">
      <c r="EW4873" t="s">
        <v>5211</v>
      </c>
      <c r="EX4873" t="s">
        <v>1379</v>
      </c>
      <c r="FF4873" t="s">
        <v>474</v>
      </c>
      <c r="FJ4873" t="s">
        <v>474</v>
      </c>
    </row>
    <row r="4874" spans="153:166" x14ac:dyDescent="0.35">
      <c r="EW4874" t="s">
        <v>5211</v>
      </c>
      <c r="EX4874" t="s">
        <v>1409</v>
      </c>
      <c r="FF4874" t="s">
        <v>474</v>
      </c>
      <c r="FJ4874" t="s">
        <v>474</v>
      </c>
    </row>
    <row r="4875" spans="153:166" x14ac:dyDescent="0.35">
      <c r="EW4875" t="s">
        <v>5211</v>
      </c>
      <c r="EX4875" t="s">
        <v>1483</v>
      </c>
      <c r="FF4875" t="s">
        <v>59</v>
      </c>
      <c r="FJ4875" t="s">
        <v>59</v>
      </c>
    </row>
    <row r="4876" spans="153:166" x14ac:dyDescent="0.35">
      <c r="EW4876" t="s">
        <v>5211</v>
      </c>
      <c r="EX4876" t="s">
        <v>1237</v>
      </c>
      <c r="FF4876" t="s">
        <v>474</v>
      </c>
      <c r="FJ4876" t="s">
        <v>474</v>
      </c>
    </row>
    <row r="4877" spans="153:166" x14ac:dyDescent="0.35">
      <c r="EW4877" t="s">
        <v>5211</v>
      </c>
      <c r="EX4877" t="s">
        <v>1426</v>
      </c>
      <c r="FF4877" t="s">
        <v>474</v>
      </c>
      <c r="FJ4877" t="s">
        <v>474</v>
      </c>
    </row>
    <row r="4878" spans="153:166" x14ac:dyDescent="0.35">
      <c r="EW4878" t="s">
        <v>5211</v>
      </c>
      <c r="EX4878" t="s">
        <v>1491</v>
      </c>
      <c r="FF4878" t="s">
        <v>474</v>
      </c>
      <c r="FJ4878" t="s">
        <v>474</v>
      </c>
    </row>
    <row r="4879" spans="153:166" x14ac:dyDescent="0.35">
      <c r="EW4879" t="s">
        <v>5211</v>
      </c>
      <c r="EX4879" t="s">
        <v>1388</v>
      </c>
      <c r="FF4879" t="s">
        <v>474</v>
      </c>
      <c r="FJ4879" t="s">
        <v>474</v>
      </c>
    </row>
    <row r="4880" spans="153:166" x14ac:dyDescent="0.35">
      <c r="EW4880" t="s">
        <v>5211</v>
      </c>
      <c r="EX4880" t="s">
        <v>1497</v>
      </c>
      <c r="FF4880" t="s">
        <v>474</v>
      </c>
      <c r="FJ4880" t="s">
        <v>474</v>
      </c>
    </row>
    <row r="4881" spans="153:166" x14ac:dyDescent="0.35">
      <c r="EW4881" t="s">
        <v>5211</v>
      </c>
      <c r="EX4881" t="s">
        <v>1362</v>
      </c>
      <c r="FF4881" t="s">
        <v>474</v>
      </c>
      <c r="FJ4881" t="s">
        <v>474</v>
      </c>
    </row>
    <row r="4882" spans="153:166" x14ac:dyDescent="0.35">
      <c r="EW4882" t="s">
        <v>5211</v>
      </c>
      <c r="EX4882" t="s">
        <v>573</v>
      </c>
      <c r="FF4882" t="s">
        <v>59</v>
      </c>
      <c r="FJ4882" t="s">
        <v>59</v>
      </c>
    </row>
    <row r="4883" spans="153:166" x14ac:dyDescent="0.35">
      <c r="EW4883" t="s">
        <v>5211</v>
      </c>
      <c r="EX4883" t="s">
        <v>1392</v>
      </c>
      <c r="FF4883" t="s">
        <v>474</v>
      </c>
      <c r="FJ4883" t="s">
        <v>474</v>
      </c>
    </row>
    <row r="4884" spans="153:166" x14ac:dyDescent="0.35">
      <c r="EW4884" t="s">
        <v>5211</v>
      </c>
      <c r="EX4884" t="s">
        <v>1358</v>
      </c>
      <c r="FF4884" t="s">
        <v>474</v>
      </c>
      <c r="FJ4884" t="s">
        <v>474</v>
      </c>
    </row>
    <row r="4885" spans="153:166" x14ac:dyDescent="0.35">
      <c r="EW4885" t="s">
        <v>5211</v>
      </c>
      <c r="EX4885" t="s">
        <v>497</v>
      </c>
      <c r="FF4885" t="s">
        <v>59</v>
      </c>
      <c r="FJ4885" t="s">
        <v>59</v>
      </c>
    </row>
    <row r="4886" spans="153:166" x14ac:dyDescent="0.35">
      <c r="EW4886" t="s">
        <v>5211</v>
      </c>
      <c r="EX4886" t="s">
        <v>1511</v>
      </c>
      <c r="FF4886" t="s">
        <v>474</v>
      </c>
      <c r="FJ4886" t="s">
        <v>474</v>
      </c>
    </row>
    <row r="4887" spans="153:166" x14ac:dyDescent="0.35">
      <c r="EW4887" t="s">
        <v>5211</v>
      </c>
      <c r="EX4887" t="s">
        <v>1354</v>
      </c>
      <c r="FF4887" t="s">
        <v>474</v>
      </c>
      <c r="FJ4887" t="s">
        <v>474</v>
      </c>
    </row>
    <row r="4888" spans="153:166" x14ac:dyDescent="0.35">
      <c r="EW4888" t="s">
        <v>5211</v>
      </c>
      <c r="EX4888" t="s">
        <v>1292</v>
      </c>
      <c r="FF4888" t="s">
        <v>474</v>
      </c>
      <c r="FJ4888" t="s">
        <v>474</v>
      </c>
    </row>
    <row r="4889" spans="153:166" x14ac:dyDescent="0.35">
      <c r="EW4889" t="s">
        <v>5211</v>
      </c>
      <c r="EX4889" t="s">
        <v>1366</v>
      </c>
      <c r="FF4889" t="s">
        <v>474</v>
      </c>
      <c r="FJ4889" t="s">
        <v>474</v>
      </c>
    </row>
    <row r="4890" spans="153:166" x14ac:dyDescent="0.35">
      <c r="EW4890" t="s">
        <v>5211</v>
      </c>
      <c r="EX4890" t="s">
        <v>1378</v>
      </c>
      <c r="FF4890" t="s">
        <v>474</v>
      </c>
      <c r="FJ4890" t="s">
        <v>474</v>
      </c>
    </row>
    <row r="4891" spans="153:166" x14ac:dyDescent="0.35">
      <c r="EW4891" t="s">
        <v>5211</v>
      </c>
      <c r="EX4891" t="s">
        <v>271</v>
      </c>
      <c r="FF4891" t="s">
        <v>59</v>
      </c>
      <c r="FJ4891" t="s">
        <v>59</v>
      </c>
    </row>
    <row r="4892" spans="153:166" x14ac:dyDescent="0.35">
      <c r="EW4892" t="s">
        <v>5211</v>
      </c>
      <c r="EX4892" t="s">
        <v>1525</v>
      </c>
      <c r="FF4892" t="s">
        <v>474</v>
      </c>
      <c r="FJ4892" t="s">
        <v>474</v>
      </c>
    </row>
    <row r="4893" spans="153:166" x14ac:dyDescent="0.35">
      <c r="EW4893" t="s">
        <v>5211</v>
      </c>
      <c r="EX4893" t="s">
        <v>1529</v>
      </c>
      <c r="FF4893" t="s">
        <v>474</v>
      </c>
      <c r="FJ4893" t="s">
        <v>474</v>
      </c>
    </row>
    <row r="4894" spans="153:166" x14ac:dyDescent="0.35">
      <c r="EW4894" t="s">
        <v>5211</v>
      </c>
      <c r="EX4894" t="s">
        <v>1483</v>
      </c>
      <c r="FF4894" t="s">
        <v>59</v>
      </c>
      <c r="FJ4894" t="s">
        <v>59</v>
      </c>
    </row>
    <row r="4895" spans="153:166" x14ac:dyDescent="0.35">
      <c r="EW4895" t="s">
        <v>5211</v>
      </c>
      <c r="EX4895" t="s">
        <v>1408</v>
      </c>
      <c r="FF4895" t="s">
        <v>474</v>
      </c>
      <c r="FJ4895" t="s">
        <v>474</v>
      </c>
    </row>
    <row r="4896" spans="153:166" x14ac:dyDescent="0.35">
      <c r="EW4896" t="s">
        <v>5211</v>
      </c>
      <c r="EX4896" t="s">
        <v>1426</v>
      </c>
      <c r="FF4896" t="s">
        <v>474</v>
      </c>
      <c r="FJ4896" t="s">
        <v>474</v>
      </c>
    </row>
    <row r="4897" spans="153:166" x14ac:dyDescent="0.35">
      <c r="EW4897" t="s">
        <v>5211</v>
      </c>
      <c r="EX4897" t="s">
        <v>1491</v>
      </c>
      <c r="FF4897" t="s">
        <v>474</v>
      </c>
      <c r="FJ4897" t="s">
        <v>474</v>
      </c>
    </row>
    <row r="4898" spans="153:166" x14ac:dyDescent="0.35">
      <c r="EW4898" t="s">
        <v>5211</v>
      </c>
      <c r="EX4898" t="s">
        <v>573</v>
      </c>
      <c r="FF4898" t="s">
        <v>59</v>
      </c>
      <c r="FJ4898" t="s">
        <v>59</v>
      </c>
    </row>
    <row r="4899" spans="153:166" x14ac:dyDescent="0.35">
      <c r="EW4899" t="s">
        <v>5211</v>
      </c>
      <c r="EX4899" t="s">
        <v>1362</v>
      </c>
      <c r="FF4899" t="s">
        <v>474</v>
      </c>
      <c r="FJ4899" t="s">
        <v>474</v>
      </c>
    </row>
    <row r="4900" spans="153:166" x14ac:dyDescent="0.35">
      <c r="EW4900" t="s">
        <v>5211</v>
      </c>
      <c r="EX4900" t="s">
        <v>1388</v>
      </c>
      <c r="FF4900" t="s">
        <v>474</v>
      </c>
      <c r="FJ4900" t="s">
        <v>474</v>
      </c>
    </row>
    <row r="4901" spans="153:166" x14ac:dyDescent="0.35">
      <c r="EW4901" t="s">
        <v>5211</v>
      </c>
      <c r="EX4901" t="s">
        <v>1547</v>
      </c>
      <c r="FF4901" t="s">
        <v>474</v>
      </c>
      <c r="FJ4901" t="s">
        <v>474</v>
      </c>
    </row>
    <row r="4902" spans="153:166" x14ac:dyDescent="0.35">
      <c r="EW4902" t="s">
        <v>5211</v>
      </c>
      <c r="EX4902" t="s">
        <v>1551</v>
      </c>
      <c r="FF4902" t="s">
        <v>474</v>
      </c>
      <c r="FJ4902" t="s">
        <v>474</v>
      </c>
    </row>
    <row r="4903" spans="153:166" x14ac:dyDescent="0.35">
      <c r="EW4903" t="s">
        <v>5211</v>
      </c>
      <c r="EX4903" t="s">
        <v>1554</v>
      </c>
      <c r="FF4903" t="s">
        <v>474</v>
      </c>
      <c r="FJ4903" t="s">
        <v>474</v>
      </c>
    </row>
    <row r="4904" spans="153:166" x14ac:dyDescent="0.35">
      <c r="EW4904" t="s">
        <v>5211</v>
      </c>
      <c r="EX4904" t="s">
        <v>340</v>
      </c>
      <c r="FF4904" t="s">
        <v>59</v>
      </c>
      <c r="FJ4904" t="s">
        <v>59</v>
      </c>
    </row>
    <row r="4905" spans="153:166" x14ac:dyDescent="0.35">
      <c r="EW4905" t="s">
        <v>5211</v>
      </c>
      <c r="EX4905" t="s">
        <v>1283</v>
      </c>
      <c r="FF4905" t="s">
        <v>474</v>
      </c>
      <c r="FJ4905" t="s">
        <v>474</v>
      </c>
    </row>
    <row r="4906" spans="153:166" x14ac:dyDescent="0.35">
      <c r="EW4906" t="s">
        <v>5211</v>
      </c>
      <c r="EX4906" t="s">
        <v>1366</v>
      </c>
      <c r="FF4906" t="s">
        <v>474</v>
      </c>
      <c r="FJ4906" t="s">
        <v>474</v>
      </c>
    </row>
    <row r="4907" spans="153:166" x14ac:dyDescent="0.35">
      <c r="EW4907" t="s">
        <v>5211</v>
      </c>
      <c r="EX4907" t="s">
        <v>1511</v>
      </c>
      <c r="FF4907" t="s">
        <v>474</v>
      </c>
      <c r="FJ4907" t="s">
        <v>474</v>
      </c>
    </row>
    <row r="4908" spans="153:166" x14ac:dyDescent="0.35">
      <c r="EW4908" t="s">
        <v>5211</v>
      </c>
      <c r="EX4908" t="s">
        <v>1529</v>
      </c>
      <c r="FF4908" t="s">
        <v>474</v>
      </c>
      <c r="FJ4908" t="s">
        <v>474</v>
      </c>
    </row>
    <row r="4909" spans="153:166" x14ac:dyDescent="0.35">
      <c r="EW4909" t="s">
        <v>5211</v>
      </c>
      <c r="EX4909" t="s">
        <v>705</v>
      </c>
      <c r="FF4909" t="s">
        <v>59</v>
      </c>
      <c r="FJ4909" t="s">
        <v>59</v>
      </c>
    </row>
    <row r="4910" spans="153:166" x14ac:dyDescent="0.35">
      <c r="EW4910" t="s">
        <v>5211</v>
      </c>
      <c r="EX4910" t="s">
        <v>1492</v>
      </c>
      <c r="FF4910" t="s">
        <v>474</v>
      </c>
      <c r="FJ4910" t="s">
        <v>474</v>
      </c>
    </row>
    <row r="4911" spans="153:166" x14ac:dyDescent="0.35">
      <c r="EW4911" t="s">
        <v>5211</v>
      </c>
      <c r="EX4911" t="s">
        <v>1379</v>
      </c>
      <c r="FF4911" t="s">
        <v>474</v>
      </c>
      <c r="FJ4911" t="s">
        <v>474</v>
      </c>
    </row>
    <row r="4912" spans="153:166" x14ac:dyDescent="0.35">
      <c r="EW4912" t="s">
        <v>5211</v>
      </c>
      <c r="EX4912" t="s">
        <v>559</v>
      </c>
      <c r="FF4912" t="s">
        <v>59</v>
      </c>
      <c r="FJ4912" t="s">
        <v>59</v>
      </c>
    </row>
    <row r="4913" spans="153:166" x14ac:dyDescent="0.35">
      <c r="EW4913" t="s">
        <v>5211</v>
      </c>
      <c r="EX4913" t="s">
        <v>1575</v>
      </c>
      <c r="FF4913" t="s">
        <v>474</v>
      </c>
      <c r="FJ4913" t="s">
        <v>474</v>
      </c>
    </row>
    <row r="4914" spans="153:166" x14ac:dyDescent="0.35">
      <c r="EW4914" t="s">
        <v>5211</v>
      </c>
      <c r="EX4914" t="s">
        <v>338</v>
      </c>
      <c r="FF4914" t="s">
        <v>59</v>
      </c>
      <c r="FJ4914" t="s">
        <v>59</v>
      </c>
    </row>
    <row r="4915" spans="153:166" x14ac:dyDescent="0.35">
      <c r="EW4915" t="s">
        <v>5211</v>
      </c>
      <c r="EX4915" t="s">
        <v>1581</v>
      </c>
      <c r="FF4915" t="s">
        <v>474</v>
      </c>
      <c r="FJ4915" t="s">
        <v>474</v>
      </c>
    </row>
    <row r="4916" spans="153:166" x14ac:dyDescent="0.35">
      <c r="EW4916" t="s">
        <v>5211</v>
      </c>
      <c r="EX4916" t="s">
        <v>1363</v>
      </c>
      <c r="FF4916" t="s">
        <v>474</v>
      </c>
      <c r="FJ4916" t="s">
        <v>474</v>
      </c>
    </row>
    <row r="4917" spans="153:166" x14ac:dyDescent="0.35">
      <c r="EW4917" t="s">
        <v>5211</v>
      </c>
      <c r="EX4917" t="s">
        <v>1551</v>
      </c>
      <c r="FF4917" t="s">
        <v>474</v>
      </c>
      <c r="FJ4917" t="s">
        <v>474</v>
      </c>
    </row>
    <row r="4918" spans="153:166" x14ac:dyDescent="0.35">
      <c r="EW4918" t="s">
        <v>5211</v>
      </c>
      <c r="EX4918" t="s">
        <v>1589</v>
      </c>
      <c r="FF4918" t="s">
        <v>474</v>
      </c>
      <c r="FJ4918" t="s">
        <v>474</v>
      </c>
    </row>
    <row r="4919" spans="153:166" x14ac:dyDescent="0.35">
      <c r="EW4919" t="s">
        <v>5211</v>
      </c>
      <c r="EX4919" t="s">
        <v>1592</v>
      </c>
      <c r="FF4919" t="s">
        <v>474</v>
      </c>
      <c r="FJ4919" t="s">
        <v>474</v>
      </c>
    </row>
    <row r="4920" spans="153:166" x14ac:dyDescent="0.35">
      <c r="EW4920" t="s">
        <v>5211</v>
      </c>
      <c r="EX4920" t="s">
        <v>1367</v>
      </c>
      <c r="FF4920" t="s">
        <v>474</v>
      </c>
      <c r="FJ4920" t="s">
        <v>474</v>
      </c>
    </row>
    <row r="4921" spans="153:166" x14ac:dyDescent="0.35">
      <c r="EW4921" t="s">
        <v>5211</v>
      </c>
      <c r="EX4921" t="s">
        <v>1597</v>
      </c>
      <c r="FF4921" t="s">
        <v>474</v>
      </c>
      <c r="FJ4921" t="s">
        <v>474</v>
      </c>
    </row>
    <row r="4922" spans="153:166" x14ac:dyDescent="0.35">
      <c r="EW4922" t="s">
        <v>5211</v>
      </c>
      <c r="EX4922" t="s">
        <v>1491</v>
      </c>
      <c r="FF4922" t="s">
        <v>474</v>
      </c>
      <c r="FJ4922" t="s">
        <v>474</v>
      </c>
    </row>
    <row r="4923" spans="153:166" x14ac:dyDescent="0.35">
      <c r="EW4923" t="s">
        <v>5211</v>
      </c>
      <c r="EX4923" t="s">
        <v>1529</v>
      </c>
      <c r="FF4923" t="s">
        <v>474</v>
      </c>
      <c r="FJ4923" t="s">
        <v>474</v>
      </c>
    </row>
    <row r="4924" spans="153:166" x14ac:dyDescent="0.35">
      <c r="EW4924" t="s">
        <v>5211</v>
      </c>
      <c r="EX4924" t="s">
        <v>707</v>
      </c>
      <c r="FF4924" t="s">
        <v>59</v>
      </c>
      <c r="FJ4924" t="s">
        <v>59</v>
      </c>
    </row>
    <row r="4925" spans="153:166" x14ac:dyDescent="0.35">
      <c r="EW4925" t="s">
        <v>5211</v>
      </c>
      <c r="EX4925" t="s">
        <v>1378</v>
      </c>
      <c r="FF4925" t="s">
        <v>474</v>
      </c>
      <c r="FJ4925" t="s">
        <v>474</v>
      </c>
    </row>
    <row r="4926" spans="153:166" x14ac:dyDescent="0.35">
      <c r="EW4926" t="s">
        <v>5211</v>
      </c>
      <c r="EX4926" t="s">
        <v>1608</v>
      </c>
      <c r="FF4926" t="s">
        <v>474</v>
      </c>
      <c r="FJ4926" t="s">
        <v>474</v>
      </c>
    </row>
    <row r="4927" spans="153:166" x14ac:dyDescent="0.35">
      <c r="EW4927" t="s">
        <v>5211</v>
      </c>
      <c r="EX4927" t="s">
        <v>561</v>
      </c>
      <c r="FF4927" t="s">
        <v>59</v>
      </c>
      <c r="FJ4927" t="s">
        <v>59</v>
      </c>
    </row>
    <row r="4928" spans="153:166" x14ac:dyDescent="0.35">
      <c r="EW4928" t="s">
        <v>5211</v>
      </c>
      <c r="EX4928" t="s">
        <v>1575</v>
      </c>
      <c r="FF4928" t="s">
        <v>474</v>
      </c>
      <c r="FJ4928" t="s">
        <v>474</v>
      </c>
    </row>
    <row r="4929" spans="153:166" x14ac:dyDescent="0.35">
      <c r="EW4929" t="s">
        <v>5211</v>
      </c>
      <c r="EX4929" t="s">
        <v>1616</v>
      </c>
      <c r="FF4929" t="s">
        <v>474</v>
      </c>
      <c r="FJ4929" t="s">
        <v>474</v>
      </c>
    </row>
    <row r="4930" spans="153:166" x14ac:dyDescent="0.35">
      <c r="EW4930" t="s">
        <v>5211</v>
      </c>
      <c r="EX4930" t="s">
        <v>1363</v>
      </c>
      <c r="FF4930" t="s">
        <v>474</v>
      </c>
      <c r="FJ4930" t="s">
        <v>474</v>
      </c>
    </row>
    <row r="4931" spans="153:166" x14ac:dyDescent="0.35">
      <c r="EW4931" t="s">
        <v>5211</v>
      </c>
      <c r="EX4931" t="s">
        <v>1621</v>
      </c>
      <c r="FF4931" t="s">
        <v>474</v>
      </c>
      <c r="FJ4931" t="s">
        <v>474</v>
      </c>
    </row>
    <row r="4932" spans="153:166" x14ac:dyDescent="0.35">
      <c r="EW4932" t="s">
        <v>5211</v>
      </c>
      <c r="EX4932" t="s">
        <v>1624</v>
      </c>
      <c r="FF4932" t="s">
        <v>474</v>
      </c>
      <c r="FJ4932" t="s">
        <v>474</v>
      </c>
    </row>
    <row r="4933" spans="153:166" x14ac:dyDescent="0.35">
      <c r="EW4933" t="s">
        <v>5211</v>
      </c>
      <c r="EX4933" t="s">
        <v>1627</v>
      </c>
      <c r="FF4933" t="s">
        <v>474</v>
      </c>
      <c r="FJ4933" t="s">
        <v>474</v>
      </c>
    </row>
    <row r="4934" spans="153:166" x14ac:dyDescent="0.35">
      <c r="EW4934" t="s">
        <v>5211</v>
      </c>
      <c r="EX4934" t="s">
        <v>1631</v>
      </c>
      <c r="FF4934" t="s">
        <v>474</v>
      </c>
      <c r="FJ4934" t="s">
        <v>474</v>
      </c>
    </row>
    <row r="4935" spans="153:166" x14ac:dyDescent="0.35">
      <c r="EW4935" t="s">
        <v>5211</v>
      </c>
      <c r="EX4935" t="s">
        <v>481</v>
      </c>
      <c r="FF4935" t="s">
        <v>59</v>
      </c>
      <c r="FJ4935" t="s">
        <v>59</v>
      </c>
    </row>
    <row r="4936" spans="153:166" x14ac:dyDescent="0.35">
      <c r="EW4936" t="s">
        <v>5211</v>
      </c>
      <c r="EX4936" t="s">
        <v>1636</v>
      </c>
      <c r="FF4936" t="s">
        <v>474</v>
      </c>
      <c r="FJ4936" t="s">
        <v>474</v>
      </c>
    </row>
    <row r="4937" spans="153:166" x14ac:dyDescent="0.35">
      <c r="EW4937" t="s">
        <v>5211</v>
      </c>
      <c r="EX4937" t="s">
        <v>1491</v>
      </c>
      <c r="FF4937" t="s">
        <v>474</v>
      </c>
      <c r="FJ4937" t="s">
        <v>474</v>
      </c>
    </row>
    <row r="4938" spans="153:166" x14ac:dyDescent="0.35">
      <c r="EW4938" t="s">
        <v>5211</v>
      </c>
      <c r="EX4938" t="s">
        <v>1530</v>
      </c>
      <c r="FF4938" t="s">
        <v>474</v>
      </c>
      <c r="FJ4938" t="s">
        <v>474</v>
      </c>
    </row>
    <row r="4939" spans="153:166" x14ac:dyDescent="0.35">
      <c r="EW4939" t="s">
        <v>5211</v>
      </c>
      <c r="EX4939" t="s">
        <v>707</v>
      </c>
      <c r="FF4939" t="s">
        <v>59</v>
      </c>
      <c r="FJ4939" t="s">
        <v>59</v>
      </c>
    </row>
    <row r="4940" spans="153:166" x14ac:dyDescent="0.35">
      <c r="EW4940" t="s">
        <v>5211</v>
      </c>
      <c r="EX4940" t="s">
        <v>1379</v>
      </c>
      <c r="FF4940" t="s">
        <v>474</v>
      </c>
      <c r="FJ4940" t="s">
        <v>474</v>
      </c>
    </row>
    <row r="4941" spans="153:166" x14ac:dyDescent="0.35">
      <c r="EW4941" t="s">
        <v>5211</v>
      </c>
      <c r="EX4941" t="s">
        <v>1647</v>
      </c>
      <c r="FF4941" t="s">
        <v>474</v>
      </c>
      <c r="FJ4941" t="s">
        <v>474</v>
      </c>
    </row>
    <row r="4942" spans="153:166" x14ac:dyDescent="0.35">
      <c r="EW4942" t="s">
        <v>5211</v>
      </c>
      <c r="EX4942" t="s">
        <v>560</v>
      </c>
      <c r="FF4942" t="s">
        <v>59</v>
      </c>
      <c r="FJ4942" t="s">
        <v>59</v>
      </c>
    </row>
    <row r="4943" spans="153:166" x14ac:dyDescent="0.35">
      <c r="EW4943" t="s">
        <v>5211</v>
      </c>
      <c r="EX4943" t="s">
        <v>1575</v>
      </c>
      <c r="FF4943" t="s">
        <v>474</v>
      </c>
      <c r="FJ4943" t="s">
        <v>474</v>
      </c>
    </row>
    <row r="4944" spans="153:166" x14ac:dyDescent="0.35">
      <c r="EW4944" t="s">
        <v>5211</v>
      </c>
      <c r="EX4944" t="s">
        <v>1581</v>
      </c>
      <c r="FF4944" t="s">
        <v>474</v>
      </c>
      <c r="FJ4944" t="s">
        <v>474</v>
      </c>
    </row>
    <row r="4945" spans="153:166" x14ac:dyDescent="0.35">
      <c r="EW4945" t="s">
        <v>5211</v>
      </c>
      <c r="EX4945" t="s">
        <v>1656</v>
      </c>
      <c r="FF4945" t="s">
        <v>474</v>
      </c>
      <c r="FJ4945" t="s">
        <v>474</v>
      </c>
    </row>
    <row r="4946" spans="153:166" x14ac:dyDescent="0.35">
      <c r="EW4946" t="s">
        <v>5211</v>
      </c>
      <c r="EX4946" t="s">
        <v>1621</v>
      </c>
      <c r="FF4946" t="s">
        <v>474</v>
      </c>
      <c r="FJ4946" t="s">
        <v>474</v>
      </c>
    </row>
    <row r="4947" spans="153:166" x14ac:dyDescent="0.35">
      <c r="EW4947" t="s">
        <v>5211</v>
      </c>
      <c r="EX4947" t="s">
        <v>1628</v>
      </c>
      <c r="FF4947" t="s">
        <v>474</v>
      </c>
      <c r="FJ4947" t="s">
        <v>474</v>
      </c>
    </row>
    <row r="4948" spans="153:166" x14ac:dyDescent="0.35">
      <c r="EW4948" t="s">
        <v>5211</v>
      </c>
      <c r="EX4948" t="s">
        <v>1374</v>
      </c>
      <c r="FF4948" t="s">
        <v>474</v>
      </c>
      <c r="FJ4948" t="s">
        <v>474</v>
      </c>
    </row>
    <row r="4949" spans="153:166" x14ac:dyDescent="0.35">
      <c r="EW4949" t="s">
        <v>5211</v>
      </c>
      <c r="EX4949" t="s">
        <v>1257</v>
      </c>
      <c r="FF4949" t="s">
        <v>474</v>
      </c>
      <c r="FJ4949" t="s">
        <v>474</v>
      </c>
    </row>
    <row r="4950" spans="153:166" x14ac:dyDescent="0.35">
      <c r="EW4950" t="s">
        <v>5211</v>
      </c>
      <c r="EX4950" t="s">
        <v>481</v>
      </c>
      <c r="FF4950" t="s">
        <v>59</v>
      </c>
      <c r="FJ4950" t="s">
        <v>59</v>
      </c>
    </row>
    <row r="4951" spans="153:166" x14ac:dyDescent="0.35">
      <c r="EW4951" t="s">
        <v>5211</v>
      </c>
      <c r="EX4951" t="s">
        <v>1636</v>
      </c>
      <c r="FF4951" t="s">
        <v>474</v>
      </c>
      <c r="FJ4951" t="s">
        <v>474</v>
      </c>
    </row>
    <row r="4952" spans="153:166" x14ac:dyDescent="0.35">
      <c r="EW4952" t="s">
        <v>5211</v>
      </c>
      <c r="EX4952" t="s">
        <v>1491</v>
      </c>
      <c r="FF4952" t="s">
        <v>474</v>
      </c>
      <c r="FJ4952" t="s">
        <v>474</v>
      </c>
    </row>
    <row r="4953" spans="153:166" x14ac:dyDescent="0.35">
      <c r="EW4953" t="s">
        <v>5211</v>
      </c>
      <c r="EX4953" t="s">
        <v>1529</v>
      </c>
      <c r="FF4953" t="s">
        <v>474</v>
      </c>
      <c r="FJ4953" t="s">
        <v>474</v>
      </c>
    </row>
    <row r="4954" spans="153:166" x14ac:dyDescent="0.35">
      <c r="EW4954" t="s">
        <v>5211</v>
      </c>
      <c r="EX4954" t="s">
        <v>1675</v>
      </c>
      <c r="FF4954" t="s">
        <v>59</v>
      </c>
      <c r="FJ4954" t="s">
        <v>59</v>
      </c>
    </row>
    <row r="4955" spans="153:166" x14ac:dyDescent="0.35">
      <c r="EW4955" t="s">
        <v>5211</v>
      </c>
      <c r="EX4955" t="s">
        <v>1378</v>
      </c>
      <c r="FF4955" t="s">
        <v>474</v>
      </c>
      <c r="FJ4955" t="s">
        <v>474</v>
      </c>
    </row>
    <row r="4956" spans="153:166" x14ac:dyDescent="0.35">
      <c r="EW4956" t="s">
        <v>5211</v>
      </c>
      <c r="EX4956" t="s">
        <v>1362</v>
      </c>
      <c r="FF4956" t="s">
        <v>474</v>
      </c>
      <c r="FJ4956" t="s">
        <v>474</v>
      </c>
    </row>
    <row r="4957" spans="153:166" x14ac:dyDescent="0.35">
      <c r="EW4957" t="s">
        <v>5211</v>
      </c>
      <c r="EX4957" t="s">
        <v>561</v>
      </c>
      <c r="FF4957" t="s">
        <v>59</v>
      </c>
      <c r="FJ4957" t="s">
        <v>59</v>
      </c>
    </row>
    <row r="4958" spans="153:166" x14ac:dyDescent="0.35">
      <c r="EW4958" t="s">
        <v>5211</v>
      </c>
      <c r="EX4958" t="s">
        <v>1656</v>
      </c>
      <c r="FF4958" t="s">
        <v>474</v>
      </c>
      <c r="FJ4958" t="s">
        <v>474</v>
      </c>
    </row>
    <row r="4959" spans="153:166" x14ac:dyDescent="0.35">
      <c r="EW4959" t="s">
        <v>5211</v>
      </c>
      <c r="EX4959" t="s">
        <v>1581</v>
      </c>
      <c r="FF4959" t="s">
        <v>474</v>
      </c>
      <c r="FJ4959" t="s">
        <v>474</v>
      </c>
    </row>
    <row r="4960" spans="153:166" x14ac:dyDescent="0.35">
      <c r="EW4960" t="s">
        <v>5211</v>
      </c>
      <c r="EX4960" t="s">
        <v>1627</v>
      </c>
      <c r="FF4960" t="s">
        <v>474</v>
      </c>
      <c r="FJ4960" t="s">
        <v>474</v>
      </c>
    </row>
    <row r="4961" spans="153:166" x14ac:dyDescent="0.35">
      <c r="EW4961" t="s">
        <v>5211</v>
      </c>
      <c r="EX4961" t="s">
        <v>1374</v>
      </c>
      <c r="FF4961" t="s">
        <v>474</v>
      </c>
      <c r="FJ4961" t="s">
        <v>474</v>
      </c>
    </row>
    <row r="4962" spans="153:166" x14ac:dyDescent="0.35">
      <c r="EW4962" t="s">
        <v>5211</v>
      </c>
      <c r="EX4962" t="s">
        <v>1597</v>
      </c>
      <c r="FF4962" t="s">
        <v>474</v>
      </c>
      <c r="FJ4962" t="s">
        <v>474</v>
      </c>
    </row>
    <row r="4963" spans="153:166" x14ac:dyDescent="0.35">
      <c r="EW4963" t="s">
        <v>5211</v>
      </c>
      <c r="EX4963" t="s">
        <v>482</v>
      </c>
      <c r="FF4963" t="s">
        <v>59</v>
      </c>
      <c r="FJ4963" t="s">
        <v>59</v>
      </c>
    </row>
    <row r="4964" spans="153:166" x14ac:dyDescent="0.35">
      <c r="EW4964" t="s">
        <v>5211</v>
      </c>
      <c r="EX4964" t="s">
        <v>1491</v>
      </c>
      <c r="FF4964" t="s">
        <v>474</v>
      </c>
      <c r="FJ4964" t="s">
        <v>474</v>
      </c>
    </row>
    <row r="4965" spans="153:166" x14ac:dyDescent="0.35">
      <c r="EW4965" t="s">
        <v>5211</v>
      </c>
      <c r="EX4965" t="s">
        <v>1529</v>
      </c>
      <c r="FF4965" t="s">
        <v>474</v>
      </c>
      <c r="FJ4965" t="s">
        <v>474</v>
      </c>
    </row>
    <row r="4966" spans="153:166" x14ac:dyDescent="0.35">
      <c r="EW4966" t="s">
        <v>5211</v>
      </c>
      <c r="EX4966" t="s">
        <v>1362</v>
      </c>
      <c r="FF4966" t="s">
        <v>474</v>
      </c>
      <c r="FJ4966" t="s">
        <v>474</v>
      </c>
    </row>
    <row r="4967" spans="153:166" x14ac:dyDescent="0.35">
      <c r="EW4967" t="s">
        <v>5211</v>
      </c>
      <c r="EX4967" t="s">
        <v>1378</v>
      </c>
      <c r="FF4967" t="s">
        <v>474</v>
      </c>
      <c r="FJ4967" t="s">
        <v>474</v>
      </c>
    </row>
    <row r="4968" spans="153:166" x14ac:dyDescent="0.35">
      <c r="EW4968" t="s">
        <v>5211</v>
      </c>
      <c r="EX4968" t="s">
        <v>1656</v>
      </c>
      <c r="FF4968" t="s">
        <v>474</v>
      </c>
      <c r="FJ4968" t="s">
        <v>474</v>
      </c>
    </row>
    <row r="4969" spans="153:166" x14ac:dyDescent="0.35">
      <c r="EW4969" t="s">
        <v>5211</v>
      </c>
      <c r="EX4969" t="s">
        <v>1706</v>
      </c>
      <c r="FF4969" t="s">
        <v>474</v>
      </c>
      <c r="FJ4969" t="s">
        <v>474</v>
      </c>
    </row>
    <row r="4970" spans="153:166" x14ac:dyDescent="0.35">
      <c r="EW4970" t="s">
        <v>5211</v>
      </c>
      <c r="EX4970" t="s">
        <v>1624</v>
      </c>
      <c r="FF4970" t="s">
        <v>474</v>
      </c>
      <c r="FJ4970" t="s">
        <v>474</v>
      </c>
    </row>
    <row r="4971" spans="153:166" x14ac:dyDescent="0.35">
      <c r="EW4971" t="s">
        <v>5211</v>
      </c>
      <c r="EX4971" t="s">
        <v>1374</v>
      </c>
      <c r="FF4971" t="s">
        <v>474</v>
      </c>
      <c r="FJ4971" t="s">
        <v>474</v>
      </c>
    </row>
    <row r="4972" spans="153:166" x14ac:dyDescent="0.35">
      <c r="EW4972" t="s">
        <v>5211</v>
      </c>
      <c r="EX4972" t="s">
        <v>1581</v>
      </c>
      <c r="FF4972" t="s">
        <v>474</v>
      </c>
      <c r="FJ4972" t="s">
        <v>474</v>
      </c>
    </row>
    <row r="4973" spans="153:166" x14ac:dyDescent="0.35">
      <c r="EW4973" t="s">
        <v>5211</v>
      </c>
      <c r="EX4973" t="s">
        <v>1627</v>
      </c>
      <c r="FF4973" t="s">
        <v>474</v>
      </c>
      <c r="FJ4973" t="s">
        <v>474</v>
      </c>
    </row>
    <row r="4974" spans="153:166" x14ac:dyDescent="0.35">
      <c r="EW4974" t="s">
        <v>5211</v>
      </c>
      <c r="EX4974" t="s">
        <v>1718</v>
      </c>
      <c r="FF4974" t="s">
        <v>474</v>
      </c>
      <c r="FJ4974" t="s">
        <v>474</v>
      </c>
    </row>
    <row r="4975" spans="153:166" x14ac:dyDescent="0.35">
      <c r="EW4975" t="s">
        <v>5211</v>
      </c>
      <c r="EX4975" t="s">
        <v>480</v>
      </c>
      <c r="FF4975" t="s">
        <v>59</v>
      </c>
      <c r="FJ4975" t="s">
        <v>59</v>
      </c>
    </row>
    <row r="4976" spans="153:166" x14ac:dyDescent="0.35">
      <c r="EW4976" t="s">
        <v>5211</v>
      </c>
      <c r="EX4976" t="s">
        <v>1362</v>
      </c>
      <c r="FF4976" t="s">
        <v>474</v>
      </c>
      <c r="FJ4976" t="s">
        <v>474</v>
      </c>
    </row>
    <row r="4977" spans="153:166" x14ac:dyDescent="0.35">
      <c r="EW4977" t="s">
        <v>5211</v>
      </c>
      <c r="EX4977" t="s">
        <v>1730</v>
      </c>
      <c r="FF4977" t="s">
        <v>474</v>
      </c>
      <c r="FJ4977" t="s">
        <v>474</v>
      </c>
    </row>
    <row r="4978" spans="153:166" x14ac:dyDescent="0.35">
      <c r="EW4978" t="s">
        <v>5211</v>
      </c>
      <c r="EX4978" t="s">
        <v>1621</v>
      </c>
      <c r="FF4978" t="s">
        <v>474</v>
      </c>
      <c r="FJ4978" t="s">
        <v>474</v>
      </c>
    </row>
    <row r="4979" spans="153:166" x14ac:dyDescent="0.35">
      <c r="EW4979" t="s">
        <v>5211</v>
      </c>
      <c r="EX4979" t="s">
        <v>1132</v>
      </c>
      <c r="FF4979" t="s">
        <v>474</v>
      </c>
      <c r="FJ4979" t="s">
        <v>474</v>
      </c>
    </row>
    <row r="4980" spans="153:166" x14ac:dyDescent="0.35">
      <c r="EW4980" t="s">
        <v>5211</v>
      </c>
      <c r="EX4980" t="s">
        <v>1735</v>
      </c>
      <c r="FF4980" t="s">
        <v>474</v>
      </c>
      <c r="FJ4980" t="s">
        <v>474</v>
      </c>
    </row>
    <row r="4981" spans="153:166" x14ac:dyDescent="0.35">
      <c r="EW4981" t="s">
        <v>5211</v>
      </c>
      <c r="EX4981" t="s">
        <v>1738</v>
      </c>
      <c r="FF4981" t="s">
        <v>474</v>
      </c>
      <c r="FJ4981" t="s">
        <v>474</v>
      </c>
    </row>
    <row r="4982" spans="153:166" x14ac:dyDescent="0.35">
      <c r="EW4982" t="s">
        <v>5211</v>
      </c>
      <c r="EX4982" t="s">
        <v>1741</v>
      </c>
      <c r="FF4982" t="s">
        <v>474</v>
      </c>
      <c r="FJ4982" t="s">
        <v>474</v>
      </c>
    </row>
    <row r="4983" spans="153:166" x14ac:dyDescent="0.35">
      <c r="EW4983" t="s">
        <v>5211</v>
      </c>
      <c r="EX4983" t="s">
        <v>1744</v>
      </c>
      <c r="FF4983" t="s">
        <v>474</v>
      </c>
      <c r="FJ4983" t="s">
        <v>474</v>
      </c>
    </row>
    <row r="4984" spans="153:166" x14ac:dyDescent="0.35">
      <c r="EW4984" t="s">
        <v>5211</v>
      </c>
      <c r="EX4984" t="s">
        <v>1529</v>
      </c>
      <c r="FF4984" t="s">
        <v>474</v>
      </c>
      <c r="FJ4984" t="s">
        <v>474</v>
      </c>
    </row>
    <row r="4985" spans="153:166" x14ac:dyDescent="0.35">
      <c r="EW4985" t="s">
        <v>5211</v>
      </c>
      <c r="EX4985" t="s">
        <v>1636</v>
      </c>
      <c r="FF4985" t="s">
        <v>474</v>
      </c>
      <c r="FJ4985" t="s">
        <v>474</v>
      </c>
    </row>
    <row r="4986" spans="153:166" x14ac:dyDescent="0.35">
      <c r="EW4986" t="s">
        <v>5211</v>
      </c>
      <c r="EX4986" t="s">
        <v>1298</v>
      </c>
      <c r="FF4986" t="s">
        <v>474</v>
      </c>
      <c r="FJ4986" t="s">
        <v>474</v>
      </c>
    </row>
    <row r="4987" spans="153:166" x14ac:dyDescent="0.35">
      <c r="EW4987" t="s">
        <v>5211</v>
      </c>
      <c r="EX4987" t="s">
        <v>1750</v>
      </c>
      <c r="FF4987" t="s">
        <v>474</v>
      </c>
      <c r="FJ4987" t="s">
        <v>474</v>
      </c>
    </row>
    <row r="4988" spans="153:166" x14ac:dyDescent="0.35">
      <c r="EW4988" t="s">
        <v>5211</v>
      </c>
      <c r="EX4988" t="s">
        <v>1753</v>
      </c>
      <c r="FF4988" t="s">
        <v>474</v>
      </c>
      <c r="FJ4988" t="s">
        <v>474</v>
      </c>
    </row>
    <row r="4989" spans="153:166" x14ac:dyDescent="0.35">
      <c r="EW4989" t="s">
        <v>5211</v>
      </c>
      <c r="EX4989" t="s">
        <v>1756</v>
      </c>
      <c r="FF4989" t="s">
        <v>474</v>
      </c>
      <c r="FJ4989" t="s">
        <v>474</v>
      </c>
    </row>
    <row r="4990" spans="153:166" x14ac:dyDescent="0.35">
      <c r="EW4990" t="s">
        <v>5211</v>
      </c>
      <c r="EX4990" t="s">
        <v>1759</v>
      </c>
      <c r="FF4990" t="s">
        <v>474</v>
      </c>
      <c r="FJ4990" t="s">
        <v>474</v>
      </c>
    </row>
    <row r="4991" spans="153:166" x14ac:dyDescent="0.35">
      <c r="EW4991" t="s">
        <v>5211</v>
      </c>
      <c r="EX4991" t="s">
        <v>1762</v>
      </c>
      <c r="FF4991" t="s">
        <v>474</v>
      </c>
      <c r="FJ4991" t="s">
        <v>474</v>
      </c>
    </row>
    <row r="4992" spans="153:166" x14ac:dyDescent="0.35">
      <c r="EW4992" t="s">
        <v>5211</v>
      </c>
      <c r="EX4992" t="s">
        <v>1765</v>
      </c>
      <c r="FF4992" t="s">
        <v>474</v>
      </c>
      <c r="FJ4992" t="s">
        <v>474</v>
      </c>
    </row>
    <row r="4993" spans="153:166" x14ac:dyDescent="0.35">
      <c r="EW4993" t="s">
        <v>5211</v>
      </c>
      <c r="EX4993" t="s">
        <v>1768</v>
      </c>
      <c r="FF4993" t="s">
        <v>474</v>
      </c>
      <c r="FJ4993" t="s">
        <v>474</v>
      </c>
    </row>
    <row r="4994" spans="153:166" x14ac:dyDescent="0.35">
      <c r="EW4994" t="s">
        <v>5211</v>
      </c>
      <c r="EX4994" t="s">
        <v>1771</v>
      </c>
      <c r="FF4994" t="s">
        <v>474</v>
      </c>
      <c r="FJ4994" t="s">
        <v>474</v>
      </c>
    </row>
    <row r="4995" spans="153:166" x14ac:dyDescent="0.35">
      <c r="EW4995" t="s">
        <v>5211</v>
      </c>
      <c r="EX4995" t="s">
        <v>1774</v>
      </c>
      <c r="FF4995" t="s">
        <v>474</v>
      </c>
      <c r="FJ4995" t="s">
        <v>474</v>
      </c>
    </row>
    <row r="4996" spans="153:166" x14ac:dyDescent="0.35">
      <c r="EW4996" t="s">
        <v>5211</v>
      </c>
      <c r="EX4996" t="s">
        <v>1777</v>
      </c>
      <c r="FF4996" t="s">
        <v>474</v>
      </c>
      <c r="FJ4996" t="s">
        <v>474</v>
      </c>
    </row>
    <row r="4997" spans="153:166" x14ac:dyDescent="0.35">
      <c r="EW4997" t="s">
        <v>5211</v>
      </c>
      <c r="EX4997" t="s">
        <v>1173</v>
      </c>
      <c r="FF4997" t="s">
        <v>474</v>
      </c>
      <c r="FJ4997" t="s">
        <v>474</v>
      </c>
    </row>
    <row r="4998" spans="153:166" x14ac:dyDescent="0.35">
      <c r="EW4998" t="s">
        <v>5211</v>
      </c>
      <c r="EX4998" t="s">
        <v>1781</v>
      </c>
      <c r="FF4998" t="s">
        <v>474</v>
      </c>
      <c r="FJ4998" t="s">
        <v>474</v>
      </c>
    </row>
    <row r="4999" spans="153:166" x14ac:dyDescent="0.35">
      <c r="EW4999" t="s">
        <v>5211</v>
      </c>
      <c r="EX4999" t="s">
        <v>1784</v>
      </c>
      <c r="FF4999" t="s">
        <v>474</v>
      </c>
      <c r="FJ4999" t="s">
        <v>474</v>
      </c>
    </row>
    <row r="5000" spans="153:166" x14ac:dyDescent="0.35">
      <c r="EW5000" t="s">
        <v>5211</v>
      </c>
      <c r="EX5000" t="s">
        <v>1787</v>
      </c>
      <c r="FF5000" t="s">
        <v>474</v>
      </c>
      <c r="FJ5000" t="s">
        <v>474</v>
      </c>
    </row>
    <row r="5001" spans="153:166" x14ac:dyDescent="0.35">
      <c r="EW5001" t="s">
        <v>5211</v>
      </c>
      <c r="EX5001" t="s">
        <v>1790</v>
      </c>
      <c r="FF5001" t="s">
        <v>474</v>
      </c>
      <c r="FJ5001" t="s">
        <v>474</v>
      </c>
    </row>
    <row r="5002" spans="153:166" x14ac:dyDescent="0.35">
      <c r="EW5002" t="s">
        <v>5211</v>
      </c>
      <c r="EX5002" t="s">
        <v>1581</v>
      </c>
      <c r="FF5002" t="s">
        <v>474</v>
      </c>
      <c r="FJ5002" t="s">
        <v>474</v>
      </c>
    </row>
    <row r="5003" spans="153:166" x14ac:dyDescent="0.35">
      <c r="EW5003" t="s">
        <v>5211</v>
      </c>
      <c r="EX5003" t="s">
        <v>1794</v>
      </c>
      <c r="FF5003" t="s">
        <v>474</v>
      </c>
      <c r="FJ5003" t="s">
        <v>474</v>
      </c>
    </row>
    <row r="5004" spans="153:166" x14ac:dyDescent="0.35">
      <c r="EW5004" t="s">
        <v>5211</v>
      </c>
      <c r="EX5004" t="s">
        <v>1797</v>
      </c>
      <c r="FF5004" t="s">
        <v>474</v>
      </c>
      <c r="FJ5004" t="s">
        <v>474</v>
      </c>
    </row>
    <row r="5005" spans="153:166" x14ac:dyDescent="0.35">
      <c r="EW5005" t="s">
        <v>5211</v>
      </c>
      <c r="EX5005" t="s">
        <v>1800</v>
      </c>
      <c r="FF5005" t="s">
        <v>474</v>
      </c>
      <c r="FJ5005" t="s">
        <v>474</v>
      </c>
    </row>
    <row r="5006" spans="153:166" x14ac:dyDescent="0.35">
      <c r="EW5006" t="s">
        <v>5211</v>
      </c>
      <c r="EX5006" t="s">
        <v>1132</v>
      </c>
      <c r="FF5006" t="s">
        <v>474</v>
      </c>
      <c r="FJ5006" t="s">
        <v>474</v>
      </c>
    </row>
    <row r="5007" spans="153:166" x14ac:dyDescent="0.35">
      <c r="EW5007" t="s">
        <v>5211</v>
      </c>
      <c r="EX5007" t="s">
        <v>1804</v>
      </c>
      <c r="FF5007" t="s">
        <v>474</v>
      </c>
      <c r="FJ5007" t="s">
        <v>474</v>
      </c>
    </row>
    <row r="5008" spans="153:166" x14ac:dyDescent="0.35">
      <c r="EW5008" t="s">
        <v>5211</v>
      </c>
      <c r="EX5008" t="s">
        <v>1807</v>
      </c>
      <c r="FF5008" t="s">
        <v>474</v>
      </c>
      <c r="FJ5008" t="s">
        <v>474</v>
      </c>
    </row>
    <row r="5009" spans="153:166" x14ac:dyDescent="0.35">
      <c r="EW5009" t="s">
        <v>5211</v>
      </c>
      <c r="EX5009" t="s">
        <v>1738</v>
      </c>
      <c r="FF5009" t="s">
        <v>474</v>
      </c>
      <c r="FJ5009" t="s">
        <v>474</v>
      </c>
    </row>
    <row r="5010" spans="153:166" x14ac:dyDescent="0.35">
      <c r="EW5010" t="s">
        <v>5211</v>
      </c>
      <c r="EX5010" t="s">
        <v>1811</v>
      </c>
      <c r="FF5010" t="s">
        <v>474</v>
      </c>
      <c r="FJ5010" t="s">
        <v>474</v>
      </c>
    </row>
    <row r="5011" spans="153:166" x14ac:dyDescent="0.35">
      <c r="EW5011" t="s">
        <v>5211</v>
      </c>
      <c r="EX5011" t="s">
        <v>1814</v>
      </c>
      <c r="FF5011" t="s">
        <v>474</v>
      </c>
      <c r="FJ5011" t="s">
        <v>474</v>
      </c>
    </row>
    <row r="5012" spans="153:166" x14ac:dyDescent="0.35">
      <c r="EW5012" t="s">
        <v>5211</v>
      </c>
      <c r="EX5012" t="s">
        <v>1817</v>
      </c>
      <c r="FF5012" t="s">
        <v>474</v>
      </c>
      <c r="FJ5012" t="s">
        <v>474</v>
      </c>
    </row>
    <row r="5013" spans="153:166" x14ac:dyDescent="0.35">
      <c r="EW5013" t="s">
        <v>5211</v>
      </c>
      <c r="EX5013" t="s">
        <v>1636</v>
      </c>
      <c r="FF5013" t="s">
        <v>474</v>
      </c>
      <c r="FJ5013" t="s">
        <v>474</v>
      </c>
    </row>
    <row r="5014" spans="153:166" x14ac:dyDescent="0.35">
      <c r="EW5014" t="s">
        <v>5211</v>
      </c>
      <c r="EX5014" t="s">
        <v>1821</v>
      </c>
      <c r="FF5014" t="s">
        <v>474</v>
      </c>
      <c r="FJ5014" t="s">
        <v>474</v>
      </c>
    </row>
    <row r="5015" spans="153:166" x14ac:dyDescent="0.35">
      <c r="EW5015" t="s">
        <v>5211</v>
      </c>
      <c r="EX5015" t="s">
        <v>1328</v>
      </c>
      <c r="FF5015" t="s">
        <v>474</v>
      </c>
      <c r="FJ5015" t="s">
        <v>474</v>
      </c>
    </row>
    <row r="5016" spans="153:166" x14ac:dyDescent="0.35">
      <c r="EW5016" t="s">
        <v>5211</v>
      </c>
      <c r="EX5016" t="s">
        <v>1825</v>
      </c>
      <c r="FF5016" t="s">
        <v>474</v>
      </c>
      <c r="FJ5016" t="s">
        <v>474</v>
      </c>
    </row>
    <row r="5017" spans="153:166" x14ac:dyDescent="0.35">
      <c r="EW5017" t="s">
        <v>5211</v>
      </c>
      <c r="EX5017" t="s">
        <v>245</v>
      </c>
      <c r="FF5017" t="s">
        <v>59</v>
      </c>
      <c r="FJ5017" t="s">
        <v>59</v>
      </c>
    </row>
    <row r="5018" spans="153:166" x14ac:dyDescent="0.35">
      <c r="EW5018" t="s">
        <v>5211</v>
      </c>
      <c r="EX5018" t="s">
        <v>1765</v>
      </c>
      <c r="FF5018" t="s">
        <v>474</v>
      </c>
      <c r="FJ5018" t="s">
        <v>474</v>
      </c>
    </row>
    <row r="5019" spans="153:166" x14ac:dyDescent="0.35">
      <c r="EW5019" t="s">
        <v>5211</v>
      </c>
      <c r="EX5019" t="s">
        <v>1759</v>
      </c>
      <c r="FF5019" t="s">
        <v>474</v>
      </c>
      <c r="FJ5019" t="s">
        <v>474</v>
      </c>
    </row>
    <row r="5020" spans="153:166" x14ac:dyDescent="0.35">
      <c r="EW5020" t="s">
        <v>5211</v>
      </c>
      <c r="EX5020" t="s">
        <v>1756</v>
      </c>
      <c r="FF5020" t="s">
        <v>474</v>
      </c>
      <c r="FJ5020" t="s">
        <v>474</v>
      </c>
    </row>
    <row r="5021" spans="153:166" x14ac:dyDescent="0.35">
      <c r="EW5021" t="s">
        <v>5211</v>
      </c>
      <c r="EX5021" t="s">
        <v>1194</v>
      </c>
      <c r="FF5021" t="s">
        <v>474</v>
      </c>
      <c r="FJ5021" t="s">
        <v>474</v>
      </c>
    </row>
    <row r="5022" spans="153:166" x14ac:dyDescent="0.35">
      <c r="EW5022" t="s">
        <v>5211</v>
      </c>
      <c r="EX5022" t="s">
        <v>1833</v>
      </c>
      <c r="FF5022" t="s">
        <v>474</v>
      </c>
      <c r="FJ5022" t="s">
        <v>474</v>
      </c>
    </row>
    <row r="5023" spans="153:166" x14ac:dyDescent="0.35">
      <c r="EW5023" t="s">
        <v>5211</v>
      </c>
      <c r="EX5023" t="s">
        <v>1836</v>
      </c>
      <c r="FF5023" t="s">
        <v>474</v>
      </c>
      <c r="FJ5023" t="s">
        <v>474</v>
      </c>
    </row>
    <row r="5024" spans="153:166" x14ac:dyDescent="0.35">
      <c r="EW5024" t="s">
        <v>5211</v>
      </c>
      <c r="EX5024" t="s">
        <v>1839</v>
      </c>
      <c r="FF5024" t="s">
        <v>474</v>
      </c>
      <c r="FJ5024" t="s">
        <v>474</v>
      </c>
    </row>
    <row r="5025" spans="153:166" x14ac:dyDescent="0.35">
      <c r="EW5025" t="s">
        <v>5211</v>
      </c>
      <c r="EX5025" t="s">
        <v>1777</v>
      </c>
      <c r="FF5025" t="s">
        <v>474</v>
      </c>
      <c r="FJ5025" t="s">
        <v>474</v>
      </c>
    </row>
    <row r="5026" spans="153:166" x14ac:dyDescent="0.35">
      <c r="EW5026" t="s">
        <v>5211</v>
      </c>
      <c r="EX5026" t="s">
        <v>1843</v>
      </c>
      <c r="FF5026" t="s">
        <v>474</v>
      </c>
      <c r="FJ5026" t="s">
        <v>474</v>
      </c>
    </row>
    <row r="5027" spans="153:166" x14ac:dyDescent="0.35">
      <c r="EW5027" t="s">
        <v>5211</v>
      </c>
      <c r="EX5027" t="s">
        <v>1845</v>
      </c>
      <c r="FF5027" t="s">
        <v>474</v>
      </c>
      <c r="FJ5027" t="s">
        <v>474</v>
      </c>
    </row>
    <row r="5028" spans="153:166" x14ac:dyDescent="0.35">
      <c r="EW5028" t="s">
        <v>5211</v>
      </c>
      <c r="EX5028" t="s">
        <v>1848</v>
      </c>
      <c r="FF5028" t="s">
        <v>474</v>
      </c>
      <c r="FJ5028" t="s">
        <v>474</v>
      </c>
    </row>
    <row r="5029" spans="153:166" x14ac:dyDescent="0.35">
      <c r="EW5029" t="s">
        <v>5211</v>
      </c>
      <c r="EX5029" t="s">
        <v>1851</v>
      </c>
      <c r="FF5029" t="s">
        <v>474</v>
      </c>
      <c r="FJ5029" t="s">
        <v>474</v>
      </c>
    </row>
    <row r="5030" spans="153:166" x14ac:dyDescent="0.35">
      <c r="EW5030" t="s">
        <v>5211</v>
      </c>
      <c r="EX5030" t="s">
        <v>1017</v>
      </c>
      <c r="FF5030" t="s">
        <v>59</v>
      </c>
      <c r="FJ5030" t="s">
        <v>59</v>
      </c>
    </row>
    <row r="5031" spans="153:166" x14ac:dyDescent="0.35">
      <c r="EW5031" t="s">
        <v>5211</v>
      </c>
      <c r="EX5031" t="s">
        <v>1855</v>
      </c>
      <c r="FF5031" t="s">
        <v>474</v>
      </c>
      <c r="FJ5031" t="s">
        <v>474</v>
      </c>
    </row>
    <row r="5032" spans="153:166" x14ac:dyDescent="0.35">
      <c r="EW5032" t="s">
        <v>5211</v>
      </c>
      <c r="EX5032" t="s">
        <v>1794</v>
      </c>
      <c r="FF5032" t="s">
        <v>474</v>
      </c>
      <c r="FJ5032" t="s">
        <v>474</v>
      </c>
    </row>
    <row r="5033" spans="153:166" x14ac:dyDescent="0.35">
      <c r="EW5033" t="s">
        <v>5211</v>
      </c>
      <c r="EX5033" t="s">
        <v>1198</v>
      </c>
      <c r="FF5033" t="s">
        <v>474</v>
      </c>
      <c r="FJ5033" t="s">
        <v>474</v>
      </c>
    </row>
    <row r="5034" spans="153:166" x14ac:dyDescent="0.35">
      <c r="EW5034" t="s">
        <v>5211</v>
      </c>
      <c r="EX5034" t="s">
        <v>1860</v>
      </c>
      <c r="FF5034" t="s">
        <v>474</v>
      </c>
      <c r="FJ5034" t="s">
        <v>474</v>
      </c>
    </row>
    <row r="5035" spans="153:166" x14ac:dyDescent="0.35">
      <c r="EW5035" t="s">
        <v>5211</v>
      </c>
      <c r="EX5035" t="s">
        <v>1730</v>
      </c>
      <c r="FF5035" t="s">
        <v>474</v>
      </c>
      <c r="FJ5035" t="s">
        <v>474</v>
      </c>
    </row>
    <row r="5036" spans="153:166" x14ac:dyDescent="0.35">
      <c r="EW5036" t="s">
        <v>5211</v>
      </c>
      <c r="EX5036" t="s">
        <v>1864</v>
      </c>
      <c r="FF5036" t="s">
        <v>474</v>
      </c>
      <c r="FJ5036" t="s">
        <v>474</v>
      </c>
    </row>
    <row r="5037" spans="153:166" x14ac:dyDescent="0.35">
      <c r="EW5037" t="s">
        <v>5211</v>
      </c>
      <c r="EX5037" t="s">
        <v>1243</v>
      </c>
      <c r="FF5037" t="s">
        <v>474</v>
      </c>
      <c r="FJ5037" t="s">
        <v>474</v>
      </c>
    </row>
    <row r="5038" spans="153:166" x14ac:dyDescent="0.35">
      <c r="EW5038" t="s">
        <v>5211</v>
      </c>
      <c r="EX5038" t="s">
        <v>1867</v>
      </c>
      <c r="FF5038" t="s">
        <v>474</v>
      </c>
      <c r="FJ5038" t="s">
        <v>474</v>
      </c>
    </row>
    <row r="5039" spans="153:166" x14ac:dyDescent="0.35">
      <c r="EW5039" t="s">
        <v>5211</v>
      </c>
      <c r="EX5039" t="s">
        <v>1754</v>
      </c>
      <c r="FF5039" t="s">
        <v>474</v>
      </c>
      <c r="FJ5039" t="s">
        <v>474</v>
      </c>
    </row>
    <row r="5040" spans="153:166" x14ac:dyDescent="0.35">
      <c r="EW5040" t="s">
        <v>5211</v>
      </c>
      <c r="EX5040" t="s">
        <v>1155</v>
      </c>
      <c r="FF5040" t="s">
        <v>474</v>
      </c>
      <c r="FJ5040" t="s">
        <v>474</v>
      </c>
    </row>
    <row r="5041" spans="153:166" x14ac:dyDescent="0.35">
      <c r="EW5041" t="s">
        <v>5211</v>
      </c>
      <c r="EX5041" t="s">
        <v>1498</v>
      </c>
      <c r="FF5041" t="s">
        <v>474</v>
      </c>
      <c r="FJ5041" t="s">
        <v>474</v>
      </c>
    </row>
    <row r="5042" spans="153:166" x14ac:dyDescent="0.35">
      <c r="EW5042" t="s">
        <v>5211</v>
      </c>
      <c r="EX5042" t="s">
        <v>1812</v>
      </c>
      <c r="FF5042" t="s">
        <v>474</v>
      </c>
      <c r="FJ5042" t="s">
        <v>474</v>
      </c>
    </row>
    <row r="5043" spans="153:166" x14ac:dyDescent="0.35">
      <c r="EW5043" t="s">
        <v>5211</v>
      </c>
      <c r="EX5043" t="s">
        <v>1706</v>
      </c>
      <c r="FF5043" t="s">
        <v>474</v>
      </c>
      <c r="FJ5043" t="s">
        <v>474</v>
      </c>
    </row>
    <row r="5044" spans="153:166" x14ac:dyDescent="0.35">
      <c r="EW5044" t="s">
        <v>5211</v>
      </c>
      <c r="EX5044" t="s">
        <v>1874</v>
      </c>
      <c r="FF5044" t="s">
        <v>474</v>
      </c>
      <c r="FJ5044" t="s">
        <v>474</v>
      </c>
    </row>
    <row r="5045" spans="153:166" x14ac:dyDescent="0.35">
      <c r="EW5045" t="s">
        <v>5211</v>
      </c>
      <c r="EX5045" t="s">
        <v>598</v>
      </c>
      <c r="FF5045" t="s">
        <v>59</v>
      </c>
      <c r="FJ5045" t="s">
        <v>59</v>
      </c>
    </row>
    <row r="5046" spans="153:166" x14ac:dyDescent="0.35">
      <c r="EW5046" t="s">
        <v>5211</v>
      </c>
      <c r="EX5046" t="s">
        <v>1877</v>
      </c>
      <c r="FF5046" t="s">
        <v>474</v>
      </c>
      <c r="FJ5046" t="s">
        <v>474</v>
      </c>
    </row>
    <row r="5047" spans="153:166" x14ac:dyDescent="0.35">
      <c r="EW5047" t="s">
        <v>5211</v>
      </c>
      <c r="EX5047" t="s">
        <v>1750</v>
      </c>
      <c r="FF5047" t="s">
        <v>474</v>
      </c>
      <c r="FJ5047" t="s">
        <v>474</v>
      </c>
    </row>
    <row r="5048" spans="153:166" x14ac:dyDescent="0.35">
      <c r="EW5048" t="s">
        <v>5211</v>
      </c>
      <c r="EX5048" t="s">
        <v>1771</v>
      </c>
      <c r="FF5048" t="s">
        <v>474</v>
      </c>
      <c r="FJ5048" t="s">
        <v>474</v>
      </c>
    </row>
    <row r="5049" spans="153:166" x14ac:dyDescent="0.35">
      <c r="EW5049" t="s">
        <v>5211</v>
      </c>
      <c r="EX5049" t="s">
        <v>1882</v>
      </c>
      <c r="FF5049" t="s">
        <v>474</v>
      </c>
      <c r="FJ5049" t="s">
        <v>474</v>
      </c>
    </row>
    <row r="5050" spans="153:166" x14ac:dyDescent="0.35">
      <c r="EW5050" t="s">
        <v>5211</v>
      </c>
      <c r="EX5050" t="s">
        <v>1774</v>
      </c>
      <c r="FF5050" t="s">
        <v>474</v>
      </c>
      <c r="FJ5050" t="s">
        <v>474</v>
      </c>
    </row>
    <row r="5051" spans="153:166" x14ac:dyDescent="0.35">
      <c r="EW5051" t="s">
        <v>5211</v>
      </c>
      <c r="EX5051" t="s">
        <v>1886</v>
      </c>
      <c r="FF5051" t="s">
        <v>474</v>
      </c>
      <c r="FJ5051" t="s">
        <v>474</v>
      </c>
    </row>
    <row r="5052" spans="153:166" x14ac:dyDescent="0.35">
      <c r="EW5052" t="s">
        <v>5211</v>
      </c>
      <c r="EX5052" t="s">
        <v>1426</v>
      </c>
      <c r="FF5052" t="s">
        <v>474</v>
      </c>
      <c r="FJ5052" t="s">
        <v>474</v>
      </c>
    </row>
    <row r="5053" spans="153:166" x14ac:dyDescent="0.35">
      <c r="EW5053" t="s">
        <v>5211</v>
      </c>
      <c r="EX5053" t="s">
        <v>1252</v>
      </c>
      <c r="FF5053" t="s">
        <v>474</v>
      </c>
      <c r="FJ5053" t="s">
        <v>474</v>
      </c>
    </row>
    <row r="5054" spans="153:166" x14ac:dyDescent="0.35">
      <c r="EW5054" t="s">
        <v>5211</v>
      </c>
      <c r="EX5054" t="s">
        <v>1784</v>
      </c>
      <c r="FF5054" t="s">
        <v>474</v>
      </c>
      <c r="FJ5054" t="s">
        <v>474</v>
      </c>
    </row>
    <row r="5055" spans="153:166" x14ac:dyDescent="0.35">
      <c r="EW5055" t="s">
        <v>5211</v>
      </c>
      <c r="EX5055" t="s">
        <v>1836</v>
      </c>
      <c r="FF5055" t="s">
        <v>474</v>
      </c>
      <c r="FJ5055" t="s">
        <v>474</v>
      </c>
    </row>
    <row r="5056" spans="153:166" x14ac:dyDescent="0.35">
      <c r="EW5056" t="s">
        <v>5211</v>
      </c>
      <c r="EX5056" t="s">
        <v>1800</v>
      </c>
      <c r="FF5056" t="s">
        <v>474</v>
      </c>
      <c r="FJ5056" t="s">
        <v>474</v>
      </c>
    </row>
    <row r="5057" spans="153:166" x14ac:dyDescent="0.35">
      <c r="EW5057" t="s">
        <v>5211</v>
      </c>
      <c r="EX5057" t="s">
        <v>1894</v>
      </c>
      <c r="FF5057" t="s">
        <v>474</v>
      </c>
      <c r="FJ5057" t="s">
        <v>474</v>
      </c>
    </row>
    <row r="5058" spans="153:166" x14ac:dyDescent="0.35">
      <c r="EW5058" t="s">
        <v>5211</v>
      </c>
      <c r="EX5058" t="s">
        <v>1897</v>
      </c>
      <c r="FF5058" t="s">
        <v>474</v>
      </c>
      <c r="FJ5058" t="s">
        <v>474</v>
      </c>
    </row>
    <row r="5059" spans="153:166" x14ac:dyDescent="0.35">
      <c r="EW5059" t="s">
        <v>5211</v>
      </c>
      <c r="EX5059" t="s">
        <v>1900</v>
      </c>
      <c r="FF5059" t="s">
        <v>474</v>
      </c>
      <c r="FJ5059" t="s">
        <v>474</v>
      </c>
    </row>
    <row r="5060" spans="153:166" x14ac:dyDescent="0.35">
      <c r="EW5060" t="s">
        <v>5211</v>
      </c>
      <c r="EX5060" t="s">
        <v>1418</v>
      </c>
      <c r="FF5060" t="s">
        <v>474</v>
      </c>
      <c r="FJ5060" t="s">
        <v>474</v>
      </c>
    </row>
    <row r="5061" spans="153:166" x14ac:dyDescent="0.35">
      <c r="EW5061" t="s">
        <v>5211</v>
      </c>
      <c r="EX5061" t="s">
        <v>1845</v>
      </c>
      <c r="FF5061" t="s">
        <v>474</v>
      </c>
      <c r="FJ5061" t="s">
        <v>474</v>
      </c>
    </row>
    <row r="5062" spans="153:166" x14ac:dyDescent="0.35">
      <c r="EW5062" t="s">
        <v>5211</v>
      </c>
      <c r="EX5062" t="s">
        <v>1328</v>
      </c>
      <c r="FF5062" t="s">
        <v>474</v>
      </c>
      <c r="FJ5062" t="s">
        <v>474</v>
      </c>
    </row>
    <row r="5063" spans="153:166" x14ac:dyDescent="0.35">
      <c r="EW5063" t="s">
        <v>5211</v>
      </c>
      <c r="EX5063" t="s">
        <v>1906</v>
      </c>
      <c r="FF5063" t="s">
        <v>474</v>
      </c>
      <c r="FJ5063" t="s">
        <v>474</v>
      </c>
    </row>
    <row r="5064" spans="153:166" x14ac:dyDescent="0.35">
      <c r="EW5064" t="s">
        <v>5211</v>
      </c>
      <c r="EX5064" t="s">
        <v>1909</v>
      </c>
      <c r="FF5064" t="s">
        <v>474</v>
      </c>
      <c r="FJ5064" t="s">
        <v>474</v>
      </c>
    </row>
    <row r="5065" spans="153:166" x14ac:dyDescent="0.35">
      <c r="EW5065" t="s">
        <v>5211</v>
      </c>
      <c r="EX5065" t="s">
        <v>1911</v>
      </c>
      <c r="FF5065" t="s">
        <v>474</v>
      </c>
      <c r="FJ5065" t="s">
        <v>474</v>
      </c>
    </row>
    <row r="5066" spans="153:166" x14ac:dyDescent="0.35">
      <c r="EW5066" t="s">
        <v>5211</v>
      </c>
      <c r="EX5066" t="s">
        <v>1914</v>
      </c>
      <c r="FF5066" t="s">
        <v>474</v>
      </c>
      <c r="FJ5066" t="s">
        <v>474</v>
      </c>
    </row>
    <row r="5067" spans="153:166" x14ac:dyDescent="0.35">
      <c r="EW5067" t="s">
        <v>5211</v>
      </c>
      <c r="EX5067" t="s">
        <v>1797</v>
      </c>
      <c r="FF5067" t="s">
        <v>474</v>
      </c>
      <c r="FJ5067" t="s">
        <v>474</v>
      </c>
    </row>
    <row r="5068" spans="153:166" x14ac:dyDescent="0.35">
      <c r="EW5068" t="s">
        <v>5211</v>
      </c>
      <c r="EX5068" t="s">
        <v>1855</v>
      </c>
      <c r="FF5068" t="s">
        <v>474</v>
      </c>
      <c r="FJ5068" t="s">
        <v>474</v>
      </c>
    </row>
    <row r="5069" spans="153:166" x14ac:dyDescent="0.35">
      <c r="EW5069" t="s">
        <v>5211</v>
      </c>
      <c r="EX5069" t="s">
        <v>1237</v>
      </c>
      <c r="FF5069" t="s">
        <v>474</v>
      </c>
      <c r="FJ5069" t="s">
        <v>474</v>
      </c>
    </row>
    <row r="5070" spans="153:166" x14ac:dyDescent="0.35">
      <c r="EW5070" t="s">
        <v>5211</v>
      </c>
      <c r="EX5070" t="s">
        <v>1920</v>
      </c>
      <c r="FF5070" t="s">
        <v>59</v>
      </c>
      <c r="FJ5070" t="s">
        <v>59</v>
      </c>
    </row>
    <row r="5071" spans="153:166" x14ac:dyDescent="0.35">
      <c r="EW5071" t="s">
        <v>5211</v>
      </c>
      <c r="EX5071" t="s">
        <v>1817</v>
      </c>
      <c r="FF5071" t="s">
        <v>474</v>
      </c>
      <c r="FJ5071" t="s">
        <v>474</v>
      </c>
    </row>
    <row r="5072" spans="153:166" x14ac:dyDescent="0.35">
      <c r="EW5072" t="s">
        <v>5211</v>
      </c>
      <c r="EX5072" t="s">
        <v>1242</v>
      </c>
      <c r="FF5072" t="s">
        <v>474</v>
      </c>
      <c r="FJ5072" t="s">
        <v>474</v>
      </c>
    </row>
    <row r="5073" spans="153:166" x14ac:dyDescent="0.35">
      <c r="EW5073" t="s">
        <v>5211</v>
      </c>
      <c r="EX5073" t="s">
        <v>1811</v>
      </c>
      <c r="FF5073" t="s">
        <v>474</v>
      </c>
      <c r="FJ5073" t="s">
        <v>474</v>
      </c>
    </row>
    <row r="5074" spans="153:166" x14ac:dyDescent="0.35">
      <c r="EW5074" t="s">
        <v>5211</v>
      </c>
      <c r="EX5074" t="s">
        <v>1926</v>
      </c>
      <c r="FF5074" t="s">
        <v>474</v>
      </c>
      <c r="FJ5074" t="s">
        <v>474</v>
      </c>
    </row>
    <row r="5075" spans="153:166" x14ac:dyDescent="0.35">
      <c r="EW5075" t="s">
        <v>5211</v>
      </c>
      <c r="EX5075" t="s">
        <v>1929</v>
      </c>
      <c r="FF5075" t="s">
        <v>474</v>
      </c>
      <c r="FJ5075" t="s">
        <v>474</v>
      </c>
    </row>
    <row r="5076" spans="153:166" x14ac:dyDescent="0.35">
      <c r="EW5076" t="s">
        <v>5211</v>
      </c>
      <c r="EX5076" t="s">
        <v>1931</v>
      </c>
      <c r="FF5076" t="s">
        <v>474</v>
      </c>
      <c r="FJ5076" t="s">
        <v>474</v>
      </c>
    </row>
    <row r="5077" spans="153:166" x14ac:dyDescent="0.35">
      <c r="EW5077" t="s">
        <v>5211</v>
      </c>
      <c r="EX5077" t="s">
        <v>1933</v>
      </c>
      <c r="FF5077" t="s">
        <v>474</v>
      </c>
      <c r="FJ5077" t="s">
        <v>474</v>
      </c>
    </row>
    <row r="5078" spans="153:166" x14ac:dyDescent="0.35">
      <c r="EW5078" t="s">
        <v>5211</v>
      </c>
      <c r="EX5078" t="s">
        <v>1384</v>
      </c>
      <c r="FF5078" t="s">
        <v>474</v>
      </c>
      <c r="FJ5078" t="s">
        <v>474</v>
      </c>
    </row>
    <row r="5079" spans="153:166" x14ac:dyDescent="0.35">
      <c r="EW5079" t="s">
        <v>5211</v>
      </c>
      <c r="EX5079" t="s">
        <v>1937</v>
      </c>
      <c r="FF5079" t="s">
        <v>474</v>
      </c>
      <c r="FJ5079" t="s">
        <v>474</v>
      </c>
    </row>
    <row r="5080" spans="153:166" x14ac:dyDescent="0.35">
      <c r="EW5080" t="s">
        <v>5211</v>
      </c>
      <c r="EX5080" t="s">
        <v>1260</v>
      </c>
      <c r="FF5080" t="s">
        <v>474</v>
      </c>
      <c r="FJ5080" t="s">
        <v>474</v>
      </c>
    </row>
    <row r="5081" spans="153:166" x14ac:dyDescent="0.35">
      <c r="EW5081" t="s">
        <v>5211</v>
      </c>
      <c r="EX5081" t="s">
        <v>1821</v>
      </c>
      <c r="FF5081" t="s">
        <v>474</v>
      </c>
      <c r="FJ5081" t="s">
        <v>474</v>
      </c>
    </row>
    <row r="5082" spans="153:166" x14ac:dyDescent="0.35">
      <c r="EW5082" t="s">
        <v>5211</v>
      </c>
      <c r="EX5082" t="s">
        <v>1942</v>
      </c>
      <c r="FF5082" t="s">
        <v>474</v>
      </c>
      <c r="FJ5082" t="s">
        <v>474</v>
      </c>
    </row>
    <row r="5083" spans="153:166" x14ac:dyDescent="0.35">
      <c r="EW5083" t="s">
        <v>5211</v>
      </c>
      <c r="EX5083" t="s">
        <v>1945</v>
      </c>
      <c r="FF5083" t="s">
        <v>474</v>
      </c>
      <c r="FJ5083" t="s">
        <v>474</v>
      </c>
    </row>
    <row r="5084" spans="153:166" x14ac:dyDescent="0.35">
      <c r="EW5084" t="s">
        <v>5211</v>
      </c>
      <c r="EX5084" t="s">
        <v>1750</v>
      </c>
      <c r="FF5084" t="s">
        <v>474</v>
      </c>
      <c r="FJ5084" t="s">
        <v>474</v>
      </c>
    </row>
    <row r="5085" spans="153:166" x14ac:dyDescent="0.35">
      <c r="EW5085" t="s">
        <v>5211</v>
      </c>
      <c r="EX5085" t="s">
        <v>1774</v>
      </c>
      <c r="FF5085" t="s">
        <v>474</v>
      </c>
      <c r="FJ5085" t="s">
        <v>474</v>
      </c>
    </row>
    <row r="5086" spans="153:166" x14ac:dyDescent="0.35">
      <c r="EW5086" t="s">
        <v>5211</v>
      </c>
      <c r="EX5086" t="s">
        <v>1525</v>
      </c>
      <c r="FF5086" t="s">
        <v>474</v>
      </c>
      <c r="FJ5086" t="s">
        <v>474</v>
      </c>
    </row>
    <row r="5087" spans="153:166" x14ac:dyDescent="0.35">
      <c r="EW5087" t="s">
        <v>5211</v>
      </c>
      <c r="EX5087" t="s">
        <v>1951</v>
      </c>
      <c r="FF5087" t="s">
        <v>474</v>
      </c>
      <c r="FJ5087" t="s">
        <v>474</v>
      </c>
    </row>
    <row r="5088" spans="153:166" x14ac:dyDescent="0.35">
      <c r="EW5088" t="s">
        <v>5211</v>
      </c>
      <c r="EX5088" t="s">
        <v>624</v>
      </c>
      <c r="FF5088" t="s">
        <v>59</v>
      </c>
      <c r="FJ5088" t="s">
        <v>59</v>
      </c>
    </row>
    <row r="5089" spans="153:166" x14ac:dyDescent="0.35">
      <c r="EW5089" t="s">
        <v>5211</v>
      </c>
      <c r="EX5089" t="s">
        <v>1955</v>
      </c>
      <c r="FF5089" t="s">
        <v>474</v>
      </c>
      <c r="FJ5089" t="s">
        <v>474</v>
      </c>
    </row>
    <row r="5090" spans="153:166" x14ac:dyDescent="0.35">
      <c r="EW5090" t="s">
        <v>5211</v>
      </c>
      <c r="EX5090" t="s">
        <v>1358</v>
      </c>
      <c r="FF5090" t="s">
        <v>474</v>
      </c>
      <c r="FJ5090" t="s">
        <v>474</v>
      </c>
    </row>
    <row r="5091" spans="153:166" x14ac:dyDescent="0.35">
      <c r="EW5091" t="s">
        <v>5211</v>
      </c>
      <c r="EX5091" t="s">
        <v>1807</v>
      </c>
      <c r="FF5091" t="s">
        <v>474</v>
      </c>
      <c r="FJ5091" t="s">
        <v>474</v>
      </c>
    </row>
    <row r="5092" spans="153:166" x14ac:dyDescent="0.35">
      <c r="EW5092" t="s">
        <v>5211</v>
      </c>
      <c r="EX5092" t="s">
        <v>1900</v>
      </c>
      <c r="FF5092" t="s">
        <v>474</v>
      </c>
      <c r="FJ5092" t="s">
        <v>474</v>
      </c>
    </row>
    <row r="5093" spans="153:166" x14ac:dyDescent="0.35">
      <c r="EW5093" t="s">
        <v>5211</v>
      </c>
      <c r="EX5093" t="s">
        <v>1851</v>
      </c>
      <c r="FF5093" t="s">
        <v>474</v>
      </c>
      <c r="FJ5093" t="s">
        <v>474</v>
      </c>
    </row>
    <row r="5094" spans="153:166" x14ac:dyDescent="0.35">
      <c r="EW5094" t="s">
        <v>5211</v>
      </c>
      <c r="EX5094" t="s">
        <v>1771</v>
      </c>
      <c r="FF5094" t="s">
        <v>474</v>
      </c>
      <c r="FJ5094" t="s">
        <v>474</v>
      </c>
    </row>
    <row r="5095" spans="153:166" x14ac:dyDescent="0.35">
      <c r="EW5095" t="s">
        <v>5211</v>
      </c>
      <c r="EX5095" t="s">
        <v>1906</v>
      </c>
      <c r="FF5095" t="s">
        <v>474</v>
      </c>
      <c r="FJ5095" t="s">
        <v>474</v>
      </c>
    </row>
    <row r="5096" spans="153:166" x14ac:dyDescent="0.35">
      <c r="EW5096" t="s">
        <v>5211</v>
      </c>
      <c r="EX5096" t="s">
        <v>1845</v>
      </c>
      <c r="FF5096" t="s">
        <v>474</v>
      </c>
      <c r="FJ5096" t="s">
        <v>474</v>
      </c>
    </row>
    <row r="5097" spans="153:166" x14ac:dyDescent="0.35">
      <c r="EW5097" t="s">
        <v>5211</v>
      </c>
      <c r="EX5097" t="s">
        <v>1909</v>
      </c>
      <c r="FF5097" t="s">
        <v>474</v>
      </c>
      <c r="FJ5097" t="s">
        <v>474</v>
      </c>
    </row>
    <row r="5098" spans="153:166" x14ac:dyDescent="0.35">
      <c r="EW5098" t="s">
        <v>5211</v>
      </c>
      <c r="EX5098" t="s">
        <v>1388</v>
      </c>
      <c r="FF5098" t="s">
        <v>474</v>
      </c>
      <c r="FJ5098" t="s">
        <v>474</v>
      </c>
    </row>
    <row r="5099" spans="153:166" x14ac:dyDescent="0.35">
      <c r="EW5099" t="s">
        <v>5211</v>
      </c>
      <c r="EX5099" t="s">
        <v>1911</v>
      </c>
      <c r="FF5099" t="s">
        <v>474</v>
      </c>
      <c r="FJ5099" t="s">
        <v>474</v>
      </c>
    </row>
    <row r="5100" spans="153:166" x14ac:dyDescent="0.35">
      <c r="EW5100" t="s">
        <v>5211</v>
      </c>
      <c r="EX5100" t="s">
        <v>1730</v>
      </c>
      <c r="FF5100" t="s">
        <v>474</v>
      </c>
      <c r="FJ5100" t="s">
        <v>474</v>
      </c>
    </row>
    <row r="5101" spans="153:166" x14ac:dyDescent="0.35">
      <c r="EW5101" t="s">
        <v>5211</v>
      </c>
      <c r="EX5101" t="s">
        <v>1198</v>
      </c>
      <c r="FF5101" t="s">
        <v>474</v>
      </c>
      <c r="FJ5101" t="s">
        <v>474</v>
      </c>
    </row>
    <row r="5102" spans="153:166" x14ac:dyDescent="0.35">
      <c r="EW5102" t="s">
        <v>5211</v>
      </c>
      <c r="EX5102" t="s">
        <v>1817</v>
      </c>
      <c r="FF5102" t="s">
        <v>474</v>
      </c>
      <c r="FJ5102" t="s">
        <v>474</v>
      </c>
    </row>
    <row r="5103" spans="153:166" x14ac:dyDescent="0.35">
      <c r="EW5103" t="s">
        <v>5211</v>
      </c>
      <c r="EX5103" t="s">
        <v>1843</v>
      </c>
      <c r="FF5103" t="s">
        <v>474</v>
      </c>
      <c r="FJ5103" t="s">
        <v>474</v>
      </c>
    </row>
    <row r="5104" spans="153:166" x14ac:dyDescent="0.35">
      <c r="EW5104" t="s">
        <v>5211</v>
      </c>
      <c r="EX5104" t="s">
        <v>1855</v>
      </c>
      <c r="FF5104" t="s">
        <v>474</v>
      </c>
      <c r="FJ5104" t="s">
        <v>474</v>
      </c>
    </row>
    <row r="5105" spans="153:166" x14ac:dyDescent="0.35">
      <c r="EW5105" t="s">
        <v>5211</v>
      </c>
      <c r="EX5105" t="s">
        <v>1350</v>
      </c>
      <c r="FF5105" t="s">
        <v>474</v>
      </c>
      <c r="FJ5105" t="s">
        <v>474</v>
      </c>
    </row>
    <row r="5106" spans="153:166" x14ac:dyDescent="0.35">
      <c r="EW5106" t="s">
        <v>5211</v>
      </c>
      <c r="EX5106" t="s">
        <v>1497</v>
      </c>
      <c r="FF5106" t="s">
        <v>474</v>
      </c>
      <c r="FJ5106" t="s">
        <v>474</v>
      </c>
    </row>
    <row r="5107" spans="153:166" x14ac:dyDescent="0.35">
      <c r="EW5107" t="s">
        <v>5211</v>
      </c>
      <c r="EX5107" t="s">
        <v>1744</v>
      </c>
      <c r="FF5107" t="s">
        <v>474</v>
      </c>
      <c r="FJ5107" t="s">
        <v>474</v>
      </c>
    </row>
    <row r="5108" spans="153:166" x14ac:dyDescent="0.35">
      <c r="EW5108" t="s">
        <v>5211</v>
      </c>
      <c r="EX5108" t="s">
        <v>1811</v>
      </c>
      <c r="FF5108" t="s">
        <v>474</v>
      </c>
      <c r="FJ5108" t="s">
        <v>474</v>
      </c>
    </row>
    <row r="5109" spans="153:166" x14ac:dyDescent="0.35">
      <c r="EW5109" t="s">
        <v>5211</v>
      </c>
      <c r="EX5109" t="s">
        <v>1977</v>
      </c>
      <c r="FF5109" t="s">
        <v>474</v>
      </c>
      <c r="FJ5109" t="s">
        <v>474</v>
      </c>
    </row>
    <row r="5110" spans="153:166" x14ac:dyDescent="0.35">
      <c r="EW5110" t="s">
        <v>5211</v>
      </c>
      <c r="EX5110" t="s">
        <v>1750</v>
      </c>
      <c r="FF5110" t="s">
        <v>474</v>
      </c>
      <c r="FJ5110" t="s">
        <v>474</v>
      </c>
    </row>
    <row r="5111" spans="153:166" x14ac:dyDescent="0.35">
      <c r="EW5111" t="s">
        <v>5211</v>
      </c>
      <c r="EX5111" t="s">
        <v>1759</v>
      </c>
      <c r="FF5111" t="s">
        <v>474</v>
      </c>
      <c r="FJ5111" t="s">
        <v>474</v>
      </c>
    </row>
    <row r="5112" spans="153:166" x14ac:dyDescent="0.35">
      <c r="EW5112" t="s">
        <v>5211</v>
      </c>
      <c r="EX5112" t="s">
        <v>1756</v>
      </c>
      <c r="FF5112" t="s">
        <v>474</v>
      </c>
      <c r="FJ5112" t="s">
        <v>474</v>
      </c>
    </row>
    <row r="5113" spans="153:166" x14ac:dyDescent="0.35">
      <c r="EW5113" t="s">
        <v>5211</v>
      </c>
      <c r="EX5113" t="s">
        <v>1762</v>
      </c>
      <c r="FF5113" t="s">
        <v>474</v>
      </c>
      <c r="FJ5113" t="s">
        <v>474</v>
      </c>
    </row>
    <row r="5114" spans="153:166" x14ac:dyDescent="0.35">
      <c r="EW5114" t="s">
        <v>5211</v>
      </c>
      <c r="EX5114" t="s">
        <v>1768</v>
      </c>
      <c r="FF5114" t="s">
        <v>474</v>
      </c>
      <c r="FJ5114" t="s">
        <v>474</v>
      </c>
    </row>
    <row r="5115" spans="153:166" x14ac:dyDescent="0.35">
      <c r="EW5115" t="s">
        <v>5211</v>
      </c>
      <c r="EX5115" t="s">
        <v>1765</v>
      </c>
      <c r="FF5115" t="s">
        <v>474</v>
      </c>
      <c r="FJ5115" t="s">
        <v>474</v>
      </c>
    </row>
    <row r="5116" spans="153:166" x14ac:dyDescent="0.35">
      <c r="EW5116" t="s">
        <v>5211</v>
      </c>
      <c r="EX5116" t="s">
        <v>1771</v>
      </c>
      <c r="FF5116" t="s">
        <v>474</v>
      </c>
      <c r="FJ5116" t="s">
        <v>474</v>
      </c>
    </row>
    <row r="5117" spans="153:166" x14ac:dyDescent="0.35">
      <c r="EW5117" t="s">
        <v>5211</v>
      </c>
      <c r="EX5117" t="s">
        <v>1777</v>
      </c>
      <c r="FF5117" t="s">
        <v>474</v>
      </c>
      <c r="FJ5117" t="s">
        <v>474</v>
      </c>
    </row>
    <row r="5118" spans="153:166" x14ac:dyDescent="0.35">
      <c r="EW5118" t="s">
        <v>5211</v>
      </c>
      <c r="EX5118" t="s">
        <v>1781</v>
      </c>
      <c r="FF5118" t="s">
        <v>474</v>
      </c>
      <c r="FJ5118" t="s">
        <v>474</v>
      </c>
    </row>
    <row r="5119" spans="153:166" x14ac:dyDescent="0.35">
      <c r="EW5119" t="s">
        <v>5211</v>
      </c>
      <c r="EX5119" t="s">
        <v>1787</v>
      </c>
      <c r="FF5119" t="s">
        <v>474</v>
      </c>
      <c r="FJ5119" t="s">
        <v>474</v>
      </c>
    </row>
    <row r="5120" spans="153:166" x14ac:dyDescent="0.35">
      <c r="EW5120" t="s">
        <v>5211</v>
      </c>
      <c r="EX5120" t="s">
        <v>1173</v>
      </c>
      <c r="FF5120" t="s">
        <v>474</v>
      </c>
      <c r="FJ5120" t="s">
        <v>474</v>
      </c>
    </row>
    <row r="5121" spans="153:166" x14ac:dyDescent="0.35">
      <c r="EW5121" t="s">
        <v>5211</v>
      </c>
      <c r="EX5121" t="s">
        <v>1581</v>
      </c>
      <c r="FF5121" t="s">
        <v>474</v>
      </c>
      <c r="FJ5121" t="s">
        <v>474</v>
      </c>
    </row>
    <row r="5122" spans="153:166" x14ac:dyDescent="0.35">
      <c r="EW5122" t="s">
        <v>5211</v>
      </c>
      <c r="EX5122" t="s">
        <v>1784</v>
      </c>
      <c r="FF5122" t="s">
        <v>474</v>
      </c>
      <c r="FJ5122" t="s">
        <v>474</v>
      </c>
    </row>
    <row r="5123" spans="153:166" x14ac:dyDescent="0.35">
      <c r="EW5123" t="s">
        <v>5211</v>
      </c>
      <c r="EX5123" t="s">
        <v>1794</v>
      </c>
      <c r="FF5123" t="s">
        <v>474</v>
      </c>
      <c r="FJ5123" t="s">
        <v>474</v>
      </c>
    </row>
    <row r="5124" spans="153:166" x14ac:dyDescent="0.35">
      <c r="EW5124" t="s">
        <v>5211</v>
      </c>
      <c r="EX5124" t="s">
        <v>1797</v>
      </c>
      <c r="FF5124" t="s">
        <v>474</v>
      </c>
      <c r="FJ5124" t="s">
        <v>474</v>
      </c>
    </row>
    <row r="5125" spans="153:166" x14ac:dyDescent="0.35">
      <c r="EW5125" t="s">
        <v>5211</v>
      </c>
      <c r="EX5125" t="s">
        <v>1800</v>
      </c>
      <c r="FF5125" t="s">
        <v>474</v>
      </c>
      <c r="FJ5125" t="s">
        <v>474</v>
      </c>
    </row>
    <row r="5126" spans="153:166" x14ac:dyDescent="0.35">
      <c r="EW5126" t="s">
        <v>5211</v>
      </c>
      <c r="EX5126" t="s">
        <v>1804</v>
      </c>
      <c r="FF5126" t="s">
        <v>474</v>
      </c>
      <c r="FJ5126" t="s">
        <v>474</v>
      </c>
    </row>
    <row r="5127" spans="153:166" x14ac:dyDescent="0.35">
      <c r="EW5127" t="s">
        <v>5211</v>
      </c>
      <c r="EX5127" t="s">
        <v>1132</v>
      </c>
      <c r="FF5127" t="s">
        <v>474</v>
      </c>
      <c r="FJ5127" t="s">
        <v>474</v>
      </c>
    </row>
    <row r="5128" spans="153:166" x14ac:dyDescent="0.35">
      <c r="EW5128" t="s">
        <v>5211</v>
      </c>
      <c r="EX5128" t="s">
        <v>1807</v>
      </c>
      <c r="FF5128" t="s">
        <v>474</v>
      </c>
      <c r="FJ5128" t="s">
        <v>474</v>
      </c>
    </row>
    <row r="5129" spans="153:166" x14ac:dyDescent="0.35">
      <c r="EW5129" t="s">
        <v>5211</v>
      </c>
      <c r="EX5129" t="s">
        <v>1735</v>
      </c>
      <c r="FF5129" t="s">
        <v>474</v>
      </c>
      <c r="FJ5129" t="s">
        <v>474</v>
      </c>
    </row>
    <row r="5130" spans="153:166" x14ac:dyDescent="0.35">
      <c r="EW5130" t="s">
        <v>5211</v>
      </c>
      <c r="EX5130" t="s">
        <v>1738</v>
      </c>
      <c r="FF5130" t="s">
        <v>474</v>
      </c>
      <c r="FJ5130" t="s">
        <v>474</v>
      </c>
    </row>
    <row r="5131" spans="153:166" x14ac:dyDescent="0.35">
      <c r="EW5131" t="s">
        <v>5211</v>
      </c>
      <c r="EX5131" t="s">
        <v>1627</v>
      </c>
      <c r="FF5131" t="s">
        <v>474</v>
      </c>
      <c r="FJ5131" t="s">
        <v>474</v>
      </c>
    </row>
    <row r="5132" spans="153:166" x14ac:dyDescent="0.35">
      <c r="EW5132" t="s">
        <v>5211</v>
      </c>
      <c r="EX5132" t="s">
        <v>1741</v>
      </c>
      <c r="FF5132" t="s">
        <v>474</v>
      </c>
      <c r="FJ5132" t="s">
        <v>474</v>
      </c>
    </row>
    <row r="5133" spans="153:166" x14ac:dyDescent="0.35">
      <c r="EW5133" t="s">
        <v>5211</v>
      </c>
      <c r="EX5133" t="s">
        <v>1811</v>
      </c>
      <c r="FF5133" t="s">
        <v>474</v>
      </c>
      <c r="FJ5133" t="s">
        <v>474</v>
      </c>
    </row>
    <row r="5134" spans="153:166" x14ac:dyDescent="0.35">
      <c r="EW5134" t="s">
        <v>5211</v>
      </c>
      <c r="EX5134" t="s">
        <v>1956</v>
      </c>
      <c r="FF5134" t="s">
        <v>474</v>
      </c>
      <c r="FJ5134" t="s">
        <v>474</v>
      </c>
    </row>
    <row r="5135" spans="153:166" x14ac:dyDescent="0.35">
      <c r="EW5135" t="s">
        <v>5211</v>
      </c>
      <c r="EX5135" t="s">
        <v>1745</v>
      </c>
      <c r="FF5135" t="s">
        <v>474</v>
      </c>
      <c r="FJ5135" t="s">
        <v>474</v>
      </c>
    </row>
    <row r="5136" spans="153:166" x14ac:dyDescent="0.35">
      <c r="EW5136" t="s">
        <v>5211</v>
      </c>
      <c r="EX5136" t="s">
        <v>1529</v>
      </c>
      <c r="FF5136" t="s">
        <v>474</v>
      </c>
      <c r="FJ5136" t="s">
        <v>474</v>
      </c>
    </row>
    <row r="5137" spans="153:166" x14ac:dyDescent="0.35">
      <c r="EW5137" t="s">
        <v>5211</v>
      </c>
      <c r="EX5137" t="s">
        <v>1821</v>
      </c>
      <c r="FF5137" t="s">
        <v>474</v>
      </c>
      <c r="FJ5137" t="s">
        <v>474</v>
      </c>
    </row>
    <row r="5138" spans="153:166" x14ac:dyDescent="0.35">
      <c r="EW5138" t="s">
        <v>5211</v>
      </c>
      <c r="EX5138" t="s">
        <v>1814</v>
      </c>
      <c r="FF5138" t="s">
        <v>474</v>
      </c>
      <c r="FJ5138" t="s">
        <v>474</v>
      </c>
    </row>
    <row r="5139" spans="153:166" x14ac:dyDescent="0.35">
      <c r="EW5139" t="s">
        <v>5211</v>
      </c>
      <c r="EX5139" t="s">
        <v>1636</v>
      </c>
      <c r="FF5139" t="s">
        <v>474</v>
      </c>
      <c r="FJ5139" t="s">
        <v>474</v>
      </c>
    </row>
    <row r="5140" spans="153:166" x14ac:dyDescent="0.35">
      <c r="EW5140" t="s">
        <v>5211</v>
      </c>
      <c r="EX5140" t="s">
        <v>2021</v>
      </c>
      <c r="FF5140" t="s">
        <v>474</v>
      </c>
      <c r="FJ5140" t="s">
        <v>474</v>
      </c>
    </row>
    <row r="5141" spans="153:166" x14ac:dyDescent="0.35">
      <c r="EW5141" t="s">
        <v>5211</v>
      </c>
      <c r="EX5141" t="s">
        <v>1298</v>
      </c>
      <c r="FF5141" t="s">
        <v>474</v>
      </c>
      <c r="FJ5141" t="s">
        <v>474</v>
      </c>
    </row>
    <row r="5142" spans="153:166" x14ac:dyDescent="0.35">
      <c r="EW5142" t="s">
        <v>5211</v>
      </c>
      <c r="EX5142" t="s">
        <v>1825</v>
      </c>
      <c r="FF5142" t="s">
        <v>474</v>
      </c>
      <c r="FJ5142" t="s">
        <v>474</v>
      </c>
    </row>
    <row r="5143" spans="153:166" x14ac:dyDescent="0.35">
      <c r="EW5143" t="s">
        <v>5211</v>
      </c>
      <c r="EX5143" t="s">
        <v>245</v>
      </c>
      <c r="FF5143" t="s">
        <v>59</v>
      </c>
      <c r="FJ5143" t="s">
        <v>59</v>
      </c>
    </row>
    <row r="5144" spans="153:166" x14ac:dyDescent="0.35">
      <c r="EW5144" t="s">
        <v>5211</v>
      </c>
      <c r="EX5144" t="s">
        <v>1756</v>
      </c>
      <c r="FF5144" t="s">
        <v>474</v>
      </c>
      <c r="FJ5144" t="s">
        <v>474</v>
      </c>
    </row>
    <row r="5145" spans="153:166" x14ac:dyDescent="0.35">
      <c r="EW5145" t="s">
        <v>5211</v>
      </c>
      <c r="EX5145" t="s">
        <v>1759</v>
      </c>
      <c r="FF5145" t="s">
        <v>474</v>
      </c>
      <c r="FJ5145" t="s">
        <v>474</v>
      </c>
    </row>
    <row r="5146" spans="153:166" x14ac:dyDescent="0.35">
      <c r="EW5146" t="s">
        <v>5211</v>
      </c>
      <c r="EX5146" t="s">
        <v>1765</v>
      </c>
      <c r="FF5146" t="s">
        <v>474</v>
      </c>
      <c r="FJ5146" t="s">
        <v>474</v>
      </c>
    </row>
    <row r="5147" spans="153:166" x14ac:dyDescent="0.35">
      <c r="EW5147" t="s">
        <v>5211</v>
      </c>
      <c r="EX5147" t="s">
        <v>1837</v>
      </c>
      <c r="FF5147" t="s">
        <v>474</v>
      </c>
      <c r="FJ5147" t="s">
        <v>474</v>
      </c>
    </row>
    <row r="5148" spans="153:166" x14ac:dyDescent="0.35">
      <c r="EW5148" t="s">
        <v>5211</v>
      </c>
      <c r="EX5148" t="s">
        <v>1833</v>
      </c>
      <c r="FF5148" t="s">
        <v>474</v>
      </c>
      <c r="FJ5148" t="s">
        <v>474</v>
      </c>
    </row>
    <row r="5149" spans="153:166" x14ac:dyDescent="0.35">
      <c r="EW5149" t="s">
        <v>5211</v>
      </c>
      <c r="EX5149" t="s">
        <v>1886</v>
      </c>
      <c r="FF5149" t="s">
        <v>474</v>
      </c>
      <c r="FJ5149" t="s">
        <v>474</v>
      </c>
    </row>
    <row r="5150" spans="153:166" x14ac:dyDescent="0.35">
      <c r="EW5150" t="s">
        <v>5211</v>
      </c>
      <c r="EX5150" t="s">
        <v>1768</v>
      </c>
      <c r="FF5150" t="s">
        <v>474</v>
      </c>
      <c r="FJ5150" t="s">
        <v>474</v>
      </c>
    </row>
    <row r="5151" spans="153:166" x14ac:dyDescent="0.35">
      <c r="EW5151" t="s">
        <v>5211</v>
      </c>
      <c r="EX5151" t="s">
        <v>1843</v>
      </c>
      <c r="FF5151" t="s">
        <v>474</v>
      </c>
      <c r="FJ5151" t="s">
        <v>474</v>
      </c>
    </row>
    <row r="5152" spans="153:166" x14ac:dyDescent="0.35">
      <c r="EW5152" t="s">
        <v>5211</v>
      </c>
      <c r="EX5152" t="s">
        <v>1840</v>
      </c>
      <c r="FF5152" t="s">
        <v>474</v>
      </c>
      <c r="FJ5152" t="s">
        <v>474</v>
      </c>
    </row>
    <row r="5153" spans="153:166" x14ac:dyDescent="0.35">
      <c r="EW5153" t="s">
        <v>5211</v>
      </c>
      <c r="EX5153" t="s">
        <v>1778</v>
      </c>
      <c r="FF5153" t="s">
        <v>474</v>
      </c>
      <c r="FJ5153" t="s">
        <v>474</v>
      </c>
    </row>
    <row r="5154" spans="153:166" x14ac:dyDescent="0.35">
      <c r="EW5154" t="s">
        <v>5211</v>
      </c>
      <c r="EX5154" t="s">
        <v>1846</v>
      </c>
      <c r="FF5154" t="s">
        <v>474</v>
      </c>
      <c r="FJ5154" t="s">
        <v>474</v>
      </c>
    </row>
    <row r="5155" spans="153:166" x14ac:dyDescent="0.35">
      <c r="EW5155" t="s">
        <v>5211</v>
      </c>
      <c r="EX5155" t="s">
        <v>1848</v>
      </c>
      <c r="FF5155" t="s">
        <v>474</v>
      </c>
      <c r="FJ5155" t="s">
        <v>474</v>
      </c>
    </row>
    <row r="5156" spans="153:166" x14ac:dyDescent="0.35">
      <c r="EW5156" t="s">
        <v>5211</v>
      </c>
      <c r="EX5156" t="s">
        <v>1895</v>
      </c>
      <c r="FF5156" t="s">
        <v>474</v>
      </c>
      <c r="FJ5156" t="s">
        <v>474</v>
      </c>
    </row>
    <row r="5157" spans="153:166" x14ac:dyDescent="0.35">
      <c r="EW5157" t="s">
        <v>5211</v>
      </c>
      <c r="EX5157" t="s">
        <v>1790</v>
      </c>
      <c r="FF5157" t="s">
        <v>474</v>
      </c>
      <c r="FJ5157" t="s">
        <v>474</v>
      </c>
    </row>
    <row r="5158" spans="153:166" x14ac:dyDescent="0.35">
      <c r="EW5158" t="s">
        <v>5211</v>
      </c>
      <c r="EX5158" t="s">
        <v>1855</v>
      </c>
      <c r="FF5158" t="s">
        <v>474</v>
      </c>
      <c r="FJ5158" t="s">
        <v>474</v>
      </c>
    </row>
    <row r="5159" spans="153:166" x14ac:dyDescent="0.35">
      <c r="EW5159" t="s">
        <v>5211</v>
      </c>
      <c r="EX5159" t="s">
        <v>1851</v>
      </c>
      <c r="FF5159" t="s">
        <v>474</v>
      </c>
      <c r="FJ5159" t="s">
        <v>474</v>
      </c>
    </row>
    <row r="5160" spans="153:166" x14ac:dyDescent="0.35">
      <c r="EW5160" t="s">
        <v>5211</v>
      </c>
      <c r="EX5160" t="s">
        <v>1198</v>
      </c>
      <c r="FF5160" t="s">
        <v>474</v>
      </c>
      <c r="FJ5160" t="s">
        <v>474</v>
      </c>
    </row>
    <row r="5161" spans="153:166" x14ac:dyDescent="0.35">
      <c r="EW5161" t="s">
        <v>5211</v>
      </c>
      <c r="EX5161" t="s">
        <v>1860</v>
      </c>
      <c r="FF5161" t="s">
        <v>474</v>
      </c>
      <c r="FJ5161" t="s">
        <v>474</v>
      </c>
    </row>
    <row r="5162" spans="153:166" x14ac:dyDescent="0.35">
      <c r="EW5162" t="s">
        <v>5211</v>
      </c>
      <c r="EX5162" t="s">
        <v>1794</v>
      </c>
      <c r="FF5162" t="s">
        <v>474</v>
      </c>
      <c r="FJ5162" t="s">
        <v>474</v>
      </c>
    </row>
    <row r="5163" spans="153:166" x14ac:dyDescent="0.35">
      <c r="EW5163" t="s">
        <v>5211</v>
      </c>
      <c r="EX5163" t="s">
        <v>1242</v>
      </c>
      <c r="FF5163" t="s">
        <v>474</v>
      </c>
      <c r="FJ5163" t="s">
        <v>474</v>
      </c>
    </row>
    <row r="5164" spans="153:166" x14ac:dyDescent="0.35">
      <c r="EW5164" t="s">
        <v>5211</v>
      </c>
      <c r="EX5164" t="s">
        <v>2071</v>
      </c>
      <c r="FF5164" t="s">
        <v>474</v>
      </c>
      <c r="FJ5164" t="s">
        <v>474</v>
      </c>
    </row>
    <row r="5165" spans="153:166" x14ac:dyDescent="0.35">
      <c r="EW5165" t="s">
        <v>5211</v>
      </c>
      <c r="EX5165" t="s">
        <v>1931</v>
      </c>
      <c r="FF5165" t="s">
        <v>474</v>
      </c>
      <c r="FJ5165" t="s">
        <v>474</v>
      </c>
    </row>
    <row r="5166" spans="153:166" x14ac:dyDescent="0.35">
      <c r="EW5166" t="s">
        <v>5211</v>
      </c>
      <c r="EX5166" t="s">
        <v>1153</v>
      </c>
      <c r="FF5166" t="s">
        <v>474</v>
      </c>
      <c r="FJ5166" t="s">
        <v>474</v>
      </c>
    </row>
    <row r="5167" spans="153:166" x14ac:dyDescent="0.35">
      <c r="EW5167" t="s">
        <v>5211</v>
      </c>
      <c r="EX5167" t="s">
        <v>1811</v>
      </c>
      <c r="FF5167" t="s">
        <v>474</v>
      </c>
      <c r="FJ5167" t="s">
        <v>474</v>
      </c>
    </row>
    <row r="5168" spans="153:166" x14ac:dyDescent="0.35">
      <c r="EW5168" t="s">
        <v>5211</v>
      </c>
      <c r="EX5168" t="s">
        <v>1706</v>
      </c>
      <c r="FF5168" t="s">
        <v>474</v>
      </c>
      <c r="FJ5168" t="s">
        <v>474</v>
      </c>
    </row>
    <row r="5169" spans="153:166" x14ac:dyDescent="0.35">
      <c r="EW5169" t="s">
        <v>5211</v>
      </c>
      <c r="EX5169" t="s">
        <v>2082</v>
      </c>
      <c r="FF5169" t="s">
        <v>474</v>
      </c>
      <c r="FJ5169" t="s">
        <v>474</v>
      </c>
    </row>
    <row r="5170" spans="153:166" x14ac:dyDescent="0.35">
      <c r="EW5170" t="s">
        <v>5211</v>
      </c>
      <c r="EX5170" t="s">
        <v>1937</v>
      </c>
      <c r="FF5170" t="s">
        <v>474</v>
      </c>
      <c r="FJ5170" t="s">
        <v>474</v>
      </c>
    </row>
    <row r="5171" spans="153:166" x14ac:dyDescent="0.35">
      <c r="EW5171" t="s">
        <v>5211</v>
      </c>
      <c r="EX5171" t="s">
        <v>1900</v>
      </c>
      <c r="FF5171" t="s">
        <v>474</v>
      </c>
      <c r="FJ5171" t="s">
        <v>474</v>
      </c>
    </row>
    <row r="5172" spans="153:166" x14ac:dyDescent="0.35">
      <c r="EW5172" t="s">
        <v>5211</v>
      </c>
      <c r="EX5172" t="s">
        <v>1877</v>
      </c>
      <c r="FF5172" t="s">
        <v>474</v>
      </c>
      <c r="FJ5172" t="s">
        <v>474</v>
      </c>
    </row>
    <row r="5173" spans="153:166" x14ac:dyDescent="0.35">
      <c r="EW5173" t="s">
        <v>5211</v>
      </c>
      <c r="EX5173" t="s">
        <v>1750</v>
      </c>
      <c r="FF5173" t="s">
        <v>474</v>
      </c>
      <c r="FJ5173" t="s">
        <v>474</v>
      </c>
    </row>
    <row r="5174" spans="153:166" x14ac:dyDescent="0.35">
      <c r="EW5174" t="s">
        <v>5211</v>
      </c>
      <c r="EX5174" t="s">
        <v>2094</v>
      </c>
      <c r="FF5174" t="s">
        <v>474</v>
      </c>
      <c r="FJ5174" t="s">
        <v>474</v>
      </c>
    </row>
    <row r="5175" spans="153:166" x14ac:dyDescent="0.35">
      <c r="EW5175" t="s">
        <v>5211</v>
      </c>
      <c r="EX5175" t="s">
        <v>1328</v>
      </c>
      <c r="FF5175" t="s">
        <v>474</v>
      </c>
      <c r="FJ5175" t="s">
        <v>474</v>
      </c>
    </row>
    <row r="5176" spans="153:166" x14ac:dyDescent="0.35">
      <c r="EW5176" t="s">
        <v>5211</v>
      </c>
      <c r="EX5176" t="s">
        <v>1771</v>
      </c>
      <c r="FF5176" t="s">
        <v>474</v>
      </c>
      <c r="FJ5176" t="s">
        <v>474</v>
      </c>
    </row>
    <row r="5177" spans="153:166" x14ac:dyDescent="0.35">
      <c r="EW5177" t="s">
        <v>5211</v>
      </c>
      <c r="EX5177" t="s">
        <v>1248</v>
      </c>
      <c r="FF5177" t="s">
        <v>474</v>
      </c>
      <c r="FJ5177" t="s">
        <v>474</v>
      </c>
    </row>
    <row r="5178" spans="153:166" x14ac:dyDescent="0.35">
      <c r="EW5178" t="s">
        <v>5211</v>
      </c>
      <c r="EX5178" t="s">
        <v>1759</v>
      </c>
      <c r="FF5178" t="s">
        <v>474</v>
      </c>
      <c r="FJ5178" t="s">
        <v>474</v>
      </c>
    </row>
    <row r="5179" spans="153:166" x14ac:dyDescent="0.35">
      <c r="EW5179" t="s">
        <v>5211</v>
      </c>
      <c r="EX5179" t="s">
        <v>1882</v>
      </c>
      <c r="FF5179" t="s">
        <v>474</v>
      </c>
      <c r="FJ5179" t="s">
        <v>474</v>
      </c>
    </row>
    <row r="5180" spans="153:166" x14ac:dyDescent="0.35">
      <c r="EW5180" t="s">
        <v>5211</v>
      </c>
      <c r="EX5180" t="s">
        <v>1774</v>
      </c>
      <c r="FF5180" t="s">
        <v>474</v>
      </c>
      <c r="FJ5180" t="s">
        <v>474</v>
      </c>
    </row>
    <row r="5181" spans="153:166" x14ac:dyDescent="0.35">
      <c r="EW5181" t="s">
        <v>5211</v>
      </c>
      <c r="EX5181" t="s">
        <v>1821</v>
      </c>
      <c r="FF5181" t="s">
        <v>474</v>
      </c>
      <c r="FJ5181" t="s">
        <v>474</v>
      </c>
    </row>
    <row r="5182" spans="153:166" x14ac:dyDescent="0.35">
      <c r="EW5182" t="s">
        <v>5211</v>
      </c>
      <c r="EX5182" t="s">
        <v>1253</v>
      </c>
      <c r="FF5182" t="s">
        <v>474</v>
      </c>
      <c r="FJ5182" t="s">
        <v>474</v>
      </c>
    </row>
    <row r="5183" spans="153:166" x14ac:dyDescent="0.35">
      <c r="EW5183" t="s">
        <v>5211</v>
      </c>
      <c r="EX5183" t="s">
        <v>1785</v>
      </c>
      <c r="FF5183" t="s">
        <v>474</v>
      </c>
      <c r="FJ5183" t="s">
        <v>474</v>
      </c>
    </row>
    <row r="5184" spans="153:166" x14ac:dyDescent="0.35">
      <c r="EW5184" t="s">
        <v>5211</v>
      </c>
      <c r="EX5184" t="s">
        <v>1801</v>
      </c>
      <c r="FF5184" t="s">
        <v>474</v>
      </c>
      <c r="FJ5184" t="s">
        <v>474</v>
      </c>
    </row>
    <row r="5185" spans="153:166" x14ac:dyDescent="0.35">
      <c r="EW5185" t="s">
        <v>5211</v>
      </c>
      <c r="EX5185" t="s">
        <v>1895</v>
      </c>
      <c r="FF5185" t="s">
        <v>474</v>
      </c>
      <c r="FJ5185" t="s">
        <v>474</v>
      </c>
    </row>
    <row r="5186" spans="153:166" x14ac:dyDescent="0.35">
      <c r="EW5186" t="s">
        <v>5211</v>
      </c>
      <c r="EX5186" t="s">
        <v>1898</v>
      </c>
      <c r="FF5186" t="s">
        <v>474</v>
      </c>
      <c r="FJ5186" t="s">
        <v>474</v>
      </c>
    </row>
    <row r="5187" spans="153:166" x14ac:dyDescent="0.35">
      <c r="EW5187" t="s">
        <v>5211</v>
      </c>
      <c r="EX5187" t="s">
        <v>1419</v>
      </c>
      <c r="FF5187" t="s">
        <v>474</v>
      </c>
      <c r="FJ5187" t="s">
        <v>474</v>
      </c>
    </row>
    <row r="5188" spans="153:166" x14ac:dyDescent="0.35">
      <c r="EW5188" t="s">
        <v>5211</v>
      </c>
      <c r="EX5188" t="s">
        <v>1212</v>
      </c>
      <c r="FF5188" t="s">
        <v>474</v>
      </c>
      <c r="FJ5188" t="s">
        <v>474</v>
      </c>
    </row>
    <row r="5189" spans="153:166" x14ac:dyDescent="0.35">
      <c r="EW5189" t="s">
        <v>5211</v>
      </c>
      <c r="EX5189" t="s">
        <v>1846</v>
      </c>
      <c r="FF5189" t="s">
        <v>474</v>
      </c>
      <c r="FJ5189" t="s">
        <v>474</v>
      </c>
    </row>
    <row r="5190" spans="153:166" x14ac:dyDescent="0.35">
      <c r="EW5190" t="s">
        <v>5211</v>
      </c>
      <c r="EX5190" t="s">
        <v>1906</v>
      </c>
      <c r="FF5190" t="s">
        <v>474</v>
      </c>
      <c r="FJ5190" t="s">
        <v>474</v>
      </c>
    </row>
    <row r="5191" spans="153:166" x14ac:dyDescent="0.35">
      <c r="EW5191" t="s">
        <v>5211</v>
      </c>
      <c r="EX5191" t="s">
        <v>1911</v>
      </c>
      <c r="FF5191" t="s">
        <v>474</v>
      </c>
      <c r="FJ5191" t="s">
        <v>474</v>
      </c>
    </row>
    <row r="5192" spans="153:166" x14ac:dyDescent="0.35">
      <c r="EW5192" t="s">
        <v>5211</v>
      </c>
      <c r="EX5192" t="s">
        <v>1914</v>
      </c>
      <c r="FF5192" t="s">
        <v>474</v>
      </c>
      <c r="FJ5192" t="s">
        <v>474</v>
      </c>
    </row>
    <row r="5193" spans="153:166" x14ac:dyDescent="0.35">
      <c r="EW5193" t="s">
        <v>5211</v>
      </c>
      <c r="EX5193" t="s">
        <v>1797</v>
      </c>
      <c r="FF5193" t="s">
        <v>474</v>
      </c>
      <c r="FJ5193" t="s">
        <v>474</v>
      </c>
    </row>
    <row r="5194" spans="153:166" x14ac:dyDescent="0.35">
      <c r="EW5194" t="s">
        <v>5211</v>
      </c>
      <c r="EX5194" t="s">
        <v>1855</v>
      </c>
      <c r="FF5194" t="s">
        <v>474</v>
      </c>
      <c r="FJ5194" t="s">
        <v>474</v>
      </c>
    </row>
    <row r="5195" spans="153:166" x14ac:dyDescent="0.35">
      <c r="EW5195" t="s">
        <v>5211</v>
      </c>
      <c r="EX5195" t="s">
        <v>1237</v>
      </c>
      <c r="FF5195" t="s">
        <v>474</v>
      </c>
      <c r="FJ5195" t="s">
        <v>474</v>
      </c>
    </row>
    <row r="5196" spans="153:166" x14ac:dyDescent="0.35">
      <c r="EW5196" t="s">
        <v>5211</v>
      </c>
      <c r="EX5196" t="s">
        <v>2139</v>
      </c>
      <c r="FF5196" t="s">
        <v>474</v>
      </c>
      <c r="FJ5196" t="s">
        <v>474</v>
      </c>
    </row>
    <row r="5197" spans="153:166" x14ac:dyDescent="0.35">
      <c r="EW5197" t="s">
        <v>5211</v>
      </c>
      <c r="EX5197" t="s">
        <v>1920</v>
      </c>
      <c r="FF5197" t="s">
        <v>59</v>
      </c>
      <c r="FJ5197" t="s">
        <v>59</v>
      </c>
    </row>
    <row r="5198" spans="153:166" x14ac:dyDescent="0.35">
      <c r="EW5198" t="s">
        <v>5211</v>
      </c>
      <c r="EX5198" t="s">
        <v>1817</v>
      </c>
      <c r="FF5198" t="s">
        <v>474</v>
      </c>
      <c r="FJ5198" t="s">
        <v>474</v>
      </c>
    </row>
    <row r="5199" spans="153:166" x14ac:dyDescent="0.35">
      <c r="EW5199" t="s">
        <v>5211</v>
      </c>
      <c r="EX5199" t="s">
        <v>1242</v>
      </c>
      <c r="FF5199" t="s">
        <v>474</v>
      </c>
      <c r="FJ5199" t="s">
        <v>474</v>
      </c>
    </row>
    <row r="5200" spans="153:166" x14ac:dyDescent="0.35">
      <c r="EW5200" t="s">
        <v>5211</v>
      </c>
      <c r="EX5200" t="s">
        <v>1926</v>
      </c>
      <c r="FF5200" t="s">
        <v>474</v>
      </c>
      <c r="FJ5200" t="s">
        <v>474</v>
      </c>
    </row>
    <row r="5201" spans="153:166" x14ac:dyDescent="0.35">
      <c r="EW5201" t="s">
        <v>5211</v>
      </c>
      <c r="EX5201" t="s">
        <v>1929</v>
      </c>
      <c r="FF5201" t="s">
        <v>474</v>
      </c>
      <c r="FJ5201" t="s">
        <v>474</v>
      </c>
    </row>
    <row r="5202" spans="153:166" x14ac:dyDescent="0.35">
      <c r="EW5202" t="s">
        <v>5211</v>
      </c>
      <c r="EX5202" t="s">
        <v>1811</v>
      </c>
      <c r="FF5202" t="s">
        <v>474</v>
      </c>
      <c r="FJ5202" t="s">
        <v>474</v>
      </c>
    </row>
    <row r="5203" spans="153:166" x14ac:dyDescent="0.35">
      <c r="EW5203" t="s">
        <v>5211</v>
      </c>
      <c r="EX5203" t="s">
        <v>1931</v>
      </c>
      <c r="FF5203" t="s">
        <v>474</v>
      </c>
      <c r="FJ5203" t="s">
        <v>474</v>
      </c>
    </row>
    <row r="5204" spans="153:166" x14ac:dyDescent="0.35">
      <c r="EW5204" t="s">
        <v>5211</v>
      </c>
      <c r="EX5204" t="s">
        <v>1384</v>
      </c>
      <c r="FF5204" t="s">
        <v>474</v>
      </c>
      <c r="FJ5204" t="s">
        <v>474</v>
      </c>
    </row>
    <row r="5205" spans="153:166" x14ac:dyDescent="0.35">
      <c r="EW5205" t="s">
        <v>5211</v>
      </c>
      <c r="EX5205" t="s">
        <v>1933</v>
      </c>
      <c r="FF5205" t="s">
        <v>474</v>
      </c>
      <c r="FJ5205" t="s">
        <v>474</v>
      </c>
    </row>
    <row r="5206" spans="153:166" x14ac:dyDescent="0.35">
      <c r="EW5206" t="s">
        <v>5211</v>
      </c>
      <c r="EX5206" t="s">
        <v>1706</v>
      </c>
      <c r="FF5206" t="s">
        <v>474</v>
      </c>
      <c r="FJ5206" t="s">
        <v>474</v>
      </c>
    </row>
    <row r="5207" spans="153:166" x14ac:dyDescent="0.35">
      <c r="EW5207" t="s">
        <v>5211</v>
      </c>
      <c r="EX5207" t="s">
        <v>1260</v>
      </c>
      <c r="FF5207" t="s">
        <v>474</v>
      </c>
      <c r="FJ5207" t="s">
        <v>474</v>
      </c>
    </row>
    <row r="5208" spans="153:166" x14ac:dyDescent="0.35">
      <c r="EW5208" t="s">
        <v>5211</v>
      </c>
      <c r="EX5208" t="s">
        <v>1937</v>
      </c>
      <c r="FF5208" t="s">
        <v>474</v>
      </c>
      <c r="FJ5208" t="s">
        <v>474</v>
      </c>
    </row>
    <row r="5209" spans="153:166" x14ac:dyDescent="0.35">
      <c r="EW5209" t="s">
        <v>5211</v>
      </c>
      <c r="EX5209" t="s">
        <v>1821</v>
      </c>
      <c r="FF5209" t="s">
        <v>474</v>
      </c>
      <c r="FJ5209" t="s">
        <v>474</v>
      </c>
    </row>
    <row r="5210" spans="153:166" x14ac:dyDescent="0.35">
      <c r="EW5210" t="s">
        <v>5211</v>
      </c>
      <c r="EX5210" t="s">
        <v>1942</v>
      </c>
      <c r="FF5210" t="s">
        <v>474</v>
      </c>
      <c r="FJ5210" t="s">
        <v>474</v>
      </c>
    </row>
    <row r="5211" spans="153:166" x14ac:dyDescent="0.35">
      <c r="EW5211" t="s">
        <v>5211</v>
      </c>
      <c r="EX5211" t="s">
        <v>1945</v>
      </c>
      <c r="FF5211" t="s">
        <v>474</v>
      </c>
      <c r="FJ5211" t="s">
        <v>474</v>
      </c>
    </row>
    <row r="5212" spans="153:166" x14ac:dyDescent="0.35">
      <c r="EW5212" t="s">
        <v>5211</v>
      </c>
      <c r="EX5212" t="s">
        <v>1750</v>
      </c>
      <c r="FF5212" t="s">
        <v>474</v>
      </c>
      <c r="FJ5212" t="s">
        <v>474</v>
      </c>
    </row>
    <row r="5213" spans="153:166" x14ac:dyDescent="0.35">
      <c r="EW5213" t="s">
        <v>5211</v>
      </c>
      <c r="EX5213" t="s">
        <v>1525</v>
      </c>
      <c r="FF5213" t="s">
        <v>474</v>
      </c>
      <c r="FJ5213" t="s">
        <v>474</v>
      </c>
    </row>
    <row r="5214" spans="153:166" x14ac:dyDescent="0.35">
      <c r="EW5214" t="s">
        <v>5211</v>
      </c>
      <c r="EX5214" t="s">
        <v>1886</v>
      </c>
      <c r="FF5214" t="s">
        <v>474</v>
      </c>
      <c r="FJ5214" t="s">
        <v>474</v>
      </c>
    </row>
    <row r="5215" spans="153:166" x14ac:dyDescent="0.35">
      <c r="EW5215" t="s">
        <v>5211</v>
      </c>
      <c r="EX5215" t="s">
        <v>1774</v>
      </c>
      <c r="FF5215" t="s">
        <v>474</v>
      </c>
      <c r="FJ5215" t="s">
        <v>474</v>
      </c>
    </row>
    <row r="5216" spans="153:166" x14ac:dyDescent="0.35">
      <c r="EW5216" t="s">
        <v>5211</v>
      </c>
      <c r="EX5216" t="s">
        <v>1951</v>
      </c>
      <c r="FF5216" t="s">
        <v>474</v>
      </c>
      <c r="FJ5216" t="s">
        <v>474</v>
      </c>
    </row>
    <row r="5217" spans="153:166" x14ac:dyDescent="0.35">
      <c r="EW5217" t="s">
        <v>5211</v>
      </c>
      <c r="EX5217" t="s">
        <v>784</v>
      </c>
      <c r="FF5217" t="s">
        <v>59</v>
      </c>
      <c r="FJ5217" t="s">
        <v>59</v>
      </c>
    </row>
    <row r="5218" spans="153:166" x14ac:dyDescent="0.35">
      <c r="EW5218" t="s">
        <v>5211</v>
      </c>
      <c r="EX5218" t="s">
        <v>624</v>
      </c>
      <c r="FF5218" t="s">
        <v>59</v>
      </c>
      <c r="FJ5218" t="s">
        <v>59</v>
      </c>
    </row>
    <row r="5219" spans="153:166" x14ac:dyDescent="0.35">
      <c r="EW5219" t="s">
        <v>5211</v>
      </c>
      <c r="EX5219" t="s">
        <v>1955</v>
      </c>
      <c r="FF5219" t="s">
        <v>474</v>
      </c>
      <c r="FJ5219" t="s">
        <v>474</v>
      </c>
    </row>
    <row r="5220" spans="153:166" x14ac:dyDescent="0.35">
      <c r="EW5220" t="s">
        <v>5211</v>
      </c>
      <c r="EX5220" t="s">
        <v>1807</v>
      </c>
      <c r="FF5220" t="s">
        <v>474</v>
      </c>
      <c r="FJ5220" t="s">
        <v>474</v>
      </c>
    </row>
    <row r="5221" spans="153:166" x14ac:dyDescent="0.35">
      <c r="EW5221" t="s">
        <v>5211</v>
      </c>
      <c r="EX5221" t="s">
        <v>1358</v>
      </c>
      <c r="FF5221" t="s">
        <v>474</v>
      </c>
      <c r="FJ5221" t="s">
        <v>474</v>
      </c>
    </row>
    <row r="5222" spans="153:166" x14ac:dyDescent="0.35">
      <c r="EW5222" t="s">
        <v>5211</v>
      </c>
      <c r="EX5222" t="s">
        <v>1851</v>
      </c>
      <c r="FF5222" t="s">
        <v>474</v>
      </c>
      <c r="FJ5222" t="s">
        <v>474</v>
      </c>
    </row>
    <row r="5223" spans="153:166" x14ac:dyDescent="0.35">
      <c r="EW5223" t="s">
        <v>5211</v>
      </c>
      <c r="EX5223" t="s">
        <v>1771</v>
      </c>
      <c r="FF5223" t="s">
        <v>474</v>
      </c>
      <c r="FJ5223" t="s">
        <v>474</v>
      </c>
    </row>
    <row r="5224" spans="153:166" x14ac:dyDescent="0.35">
      <c r="EW5224" t="s">
        <v>5211</v>
      </c>
      <c r="EX5224" t="s">
        <v>1900</v>
      </c>
      <c r="FF5224" t="s">
        <v>474</v>
      </c>
      <c r="FJ5224" t="s">
        <v>474</v>
      </c>
    </row>
    <row r="5225" spans="153:166" x14ac:dyDescent="0.35">
      <c r="EW5225" t="s">
        <v>5211</v>
      </c>
      <c r="EX5225" t="s">
        <v>1845</v>
      </c>
      <c r="FF5225" t="s">
        <v>474</v>
      </c>
      <c r="FJ5225" t="s">
        <v>474</v>
      </c>
    </row>
    <row r="5226" spans="153:166" x14ac:dyDescent="0.35">
      <c r="EW5226" t="s">
        <v>5211</v>
      </c>
      <c r="EX5226" t="s">
        <v>1906</v>
      </c>
      <c r="FF5226" t="s">
        <v>474</v>
      </c>
      <c r="FJ5226" t="s">
        <v>474</v>
      </c>
    </row>
    <row r="5227" spans="153:166" x14ac:dyDescent="0.35">
      <c r="EW5227" t="s">
        <v>5211</v>
      </c>
      <c r="EX5227" t="s">
        <v>1794</v>
      </c>
      <c r="FF5227" t="s">
        <v>474</v>
      </c>
      <c r="FJ5227" t="s">
        <v>474</v>
      </c>
    </row>
    <row r="5228" spans="153:166" x14ac:dyDescent="0.35">
      <c r="EW5228" t="s">
        <v>5211</v>
      </c>
      <c r="EX5228" t="s">
        <v>1909</v>
      </c>
      <c r="FF5228" t="s">
        <v>474</v>
      </c>
      <c r="FJ5228" t="s">
        <v>474</v>
      </c>
    </row>
    <row r="5229" spans="153:166" x14ac:dyDescent="0.35">
      <c r="EW5229" t="s">
        <v>5211</v>
      </c>
      <c r="EX5229" t="s">
        <v>2207</v>
      </c>
      <c r="FF5229" t="s">
        <v>474</v>
      </c>
      <c r="FJ5229" t="s">
        <v>474</v>
      </c>
    </row>
    <row r="5230" spans="153:166" x14ac:dyDescent="0.35">
      <c r="EW5230" t="s">
        <v>5211</v>
      </c>
      <c r="EX5230" t="s">
        <v>1909</v>
      </c>
      <c r="FF5230" t="s">
        <v>474</v>
      </c>
      <c r="FJ5230" t="s">
        <v>474</v>
      </c>
    </row>
    <row r="5231" spans="153:166" x14ac:dyDescent="0.35">
      <c r="EW5231" t="s">
        <v>5211</v>
      </c>
      <c r="EX5231" t="s">
        <v>1388</v>
      </c>
      <c r="FF5231" t="s">
        <v>474</v>
      </c>
      <c r="FJ5231" t="s">
        <v>474</v>
      </c>
    </row>
    <row r="5232" spans="153:166" x14ac:dyDescent="0.35">
      <c r="EW5232" t="s">
        <v>5211</v>
      </c>
      <c r="EX5232" t="s">
        <v>1911</v>
      </c>
      <c r="FF5232" t="s">
        <v>474</v>
      </c>
      <c r="FJ5232" t="s">
        <v>474</v>
      </c>
    </row>
    <row r="5233" spans="153:166" x14ac:dyDescent="0.35">
      <c r="EW5233" t="s">
        <v>5211</v>
      </c>
      <c r="EX5233" t="s">
        <v>1730</v>
      </c>
      <c r="FF5233" t="s">
        <v>474</v>
      </c>
      <c r="FJ5233" t="s">
        <v>474</v>
      </c>
    </row>
    <row r="5234" spans="153:166" x14ac:dyDescent="0.35">
      <c r="EW5234" t="s">
        <v>5211</v>
      </c>
      <c r="EX5234" t="s">
        <v>1198</v>
      </c>
      <c r="FF5234" t="s">
        <v>474</v>
      </c>
      <c r="FJ5234" t="s">
        <v>474</v>
      </c>
    </row>
    <row r="5235" spans="153:166" x14ac:dyDescent="0.35">
      <c r="EW5235" t="s">
        <v>5211</v>
      </c>
      <c r="EX5235" t="s">
        <v>1817</v>
      </c>
      <c r="FF5235" t="s">
        <v>474</v>
      </c>
      <c r="FJ5235" t="s">
        <v>474</v>
      </c>
    </row>
    <row r="5236" spans="153:166" x14ac:dyDescent="0.35">
      <c r="EW5236" t="s">
        <v>5211</v>
      </c>
      <c r="EX5236" t="s">
        <v>1843</v>
      </c>
      <c r="FF5236" t="s">
        <v>474</v>
      </c>
      <c r="FJ5236" t="s">
        <v>474</v>
      </c>
    </row>
    <row r="5237" spans="153:166" x14ac:dyDescent="0.35">
      <c r="EW5237" t="s">
        <v>5211</v>
      </c>
      <c r="EX5237" t="s">
        <v>1855</v>
      </c>
      <c r="FF5237" t="s">
        <v>474</v>
      </c>
      <c r="FJ5237" t="s">
        <v>474</v>
      </c>
    </row>
    <row r="5238" spans="153:166" x14ac:dyDescent="0.35">
      <c r="EW5238" t="s">
        <v>5211</v>
      </c>
      <c r="EX5238" t="s">
        <v>1350</v>
      </c>
      <c r="FF5238" t="s">
        <v>474</v>
      </c>
      <c r="FJ5238" t="s">
        <v>474</v>
      </c>
    </row>
    <row r="5239" spans="153:166" x14ac:dyDescent="0.35">
      <c r="EW5239" t="s">
        <v>5211</v>
      </c>
      <c r="EX5239" t="s">
        <v>1497</v>
      </c>
      <c r="FF5239" t="s">
        <v>474</v>
      </c>
      <c r="FJ5239" t="s">
        <v>474</v>
      </c>
    </row>
    <row r="5240" spans="153:166" x14ac:dyDescent="0.35">
      <c r="EW5240" t="s">
        <v>5211</v>
      </c>
      <c r="EX5240" t="s">
        <v>1744</v>
      </c>
      <c r="FF5240" t="s">
        <v>474</v>
      </c>
      <c r="FJ5240" t="s">
        <v>474</v>
      </c>
    </row>
    <row r="5241" spans="153:166" x14ac:dyDescent="0.35">
      <c r="EW5241" t="s">
        <v>5211</v>
      </c>
      <c r="EX5241" t="s">
        <v>2071</v>
      </c>
      <c r="FF5241" t="s">
        <v>474</v>
      </c>
      <c r="FJ5241" t="s">
        <v>474</v>
      </c>
    </row>
    <row r="5242" spans="153:166" x14ac:dyDescent="0.35">
      <c r="EW5242" t="s">
        <v>5211</v>
      </c>
      <c r="EX5242" t="s">
        <v>1759</v>
      </c>
      <c r="FF5242" t="s">
        <v>474</v>
      </c>
      <c r="FJ5242" t="s">
        <v>474</v>
      </c>
    </row>
    <row r="5243" spans="153:166" x14ac:dyDescent="0.35">
      <c r="EW5243" t="s">
        <v>5211</v>
      </c>
      <c r="EX5243" t="s">
        <v>1977</v>
      </c>
      <c r="FF5243" t="s">
        <v>474</v>
      </c>
      <c r="FJ5243" t="s">
        <v>474</v>
      </c>
    </row>
    <row r="5244" spans="153:166" x14ac:dyDescent="0.35">
      <c r="EW5244" t="s">
        <v>5211</v>
      </c>
      <c r="EX5244" t="s">
        <v>1750</v>
      </c>
      <c r="FF5244" t="s">
        <v>474</v>
      </c>
      <c r="FJ5244" t="s">
        <v>474</v>
      </c>
    </row>
    <row r="5245" spans="153:166" x14ac:dyDescent="0.35">
      <c r="EW5245" t="s">
        <v>5211</v>
      </c>
      <c r="EX5245" t="s">
        <v>1264</v>
      </c>
      <c r="FF5245" t="s">
        <v>474</v>
      </c>
      <c r="FJ5245" t="s">
        <v>474</v>
      </c>
    </row>
    <row r="5246" spans="153:166" x14ac:dyDescent="0.35">
      <c r="EW5246" t="s">
        <v>5211</v>
      </c>
      <c r="EX5246" t="s">
        <v>1237</v>
      </c>
      <c r="FF5246" t="s">
        <v>474</v>
      </c>
      <c r="FJ5246" t="s">
        <v>474</v>
      </c>
    </row>
    <row r="5247" spans="153:166" x14ac:dyDescent="0.35">
      <c r="EW5247" t="s">
        <v>5211</v>
      </c>
      <c r="EX5247" t="s">
        <v>1765</v>
      </c>
      <c r="FF5247" t="s">
        <v>474</v>
      </c>
      <c r="FJ5247" t="s">
        <v>474</v>
      </c>
    </row>
    <row r="5248" spans="153:166" x14ac:dyDescent="0.35">
      <c r="EW5248" t="s">
        <v>5211</v>
      </c>
      <c r="EX5248" t="s">
        <v>1914</v>
      </c>
      <c r="FF5248" t="s">
        <v>474</v>
      </c>
      <c r="FJ5248" t="s">
        <v>474</v>
      </c>
    </row>
    <row r="5249" spans="153:166" x14ac:dyDescent="0.35">
      <c r="EW5249" t="s">
        <v>5211</v>
      </c>
      <c r="EX5249" t="s">
        <v>2245</v>
      </c>
      <c r="FF5249" t="s">
        <v>474</v>
      </c>
      <c r="FJ5249" t="s">
        <v>474</v>
      </c>
    </row>
    <row r="5250" spans="153:166" x14ac:dyDescent="0.35">
      <c r="EW5250" t="s">
        <v>5211</v>
      </c>
      <c r="EX5250" t="s">
        <v>1804</v>
      </c>
      <c r="FF5250" t="s">
        <v>474</v>
      </c>
      <c r="FJ5250" t="s">
        <v>474</v>
      </c>
    </row>
    <row r="5251" spans="153:166" x14ac:dyDescent="0.35">
      <c r="EW5251" t="s">
        <v>5211</v>
      </c>
      <c r="EX5251" t="s">
        <v>2251</v>
      </c>
      <c r="FF5251" t="s">
        <v>474</v>
      </c>
      <c r="FJ5251" t="s">
        <v>474</v>
      </c>
    </row>
    <row r="5252" spans="153:166" x14ac:dyDescent="0.35">
      <c r="EW5252" t="s">
        <v>5211</v>
      </c>
      <c r="EX5252" t="s">
        <v>1911</v>
      </c>
      <c r="FF5252" t="s">
        <v>474</v>
      </c>
      <c r="FJ5252" t="s">
        <v>474</v>
      </c>
    </row>
    <row r="5253" spans="153:166" x14ac:dyDescent="0.35">
      <c r="EW5253" t="s">
        <v>5211</v>
      </c>
      <c r="EX5253" t="s">
        <v>1647</v>
      </c>
      <c r="FF5253" t="s">
        <v>474</v>
      </c>
      <c r="FJ5253" t="s">
        <v>474</v>
      </c>
    </row>
    <row r="5254" spans="153:166" x14ac:dyDescent="0.35">
      <c r="EW5254" t="s">
        <v>5211</v>
      </c>
      <c r="EX5254" t="s">
        <v>2259</v>
      </c>
      <c r="FF5254" t="s">
        <v>474</v>
      </c>
      <c r="FJ5254" t="s">
        <v>474</v>
      </c>
    </row>
    <row r="5255" spans="153:166" x14ac:dyDescent="0.35">
      <c r="EW5255" t="s">
        <v>5211</v>
      </c>
      <c r="EX5255" t="s">
        <v>1900</v>
      </c>
      <c r="FF5255" t="s">
        <v>474</v>
      </c>
      <c r="FJ5255" t="s">
        <v>474</v>
      </c>
    </row>
    <row r="5256" spans="153:166" x14ac:dyDescent="0.35">
      <c r="EW5256" t="s">
        <v>5211</v>
      </c>
      <c r="EX5256" t="s">
        <v>1877</v>
      </c>
      <c r="FF5256" t="s">
        <v>474</v>
      </c>
      <c r="FJ5256" t="s">
        <v>474</v>
      </c>
    </row>
    <row r="5257" spans="153:166" x14ac:dyDescent="0.35">
      <c r="EW5257" t="s">
        <v>5211</v>
      </c>
      <c r="EX5257" t="s">
        <v>1825</v>
      </c>
      <c r="FF5257" t="s">
        <v>474</v>
      </c>
      <c r="FJ5257" t="s">
        <v>474</v>
      </c>
    </row>
    <row r="5258" spans="153:166" x14ac:dyDescent="0.35">
      <c r="EW5258" t="s">
        <v>5211</v>
      </c>
      <c r="EX5258" t="s">
        <v>1575</v>
      </c>
      <c r="FF5258" t="s">
        <v>474</v>
      </c>
      <c r="FJ5258" t="s">
        <v>474</v>
      </c>
    </row>
    <row r="5259" spans="153:166" x14ac:dyDescent="0.35">
      <c r="EW5259" t="s">
        <v>5211</v>
      </c>
      <c r="EX5259" t="s">
        <v>2271</v>
      </c>
      <c r="FF5259" t="s">
        <v>474</v>
      </c>
      <c r="FJ5259" t="s">
        <v>474</v>
      </c>
    </row>
    <row r="5260" spans="153:166" x14ac:dyDescent="0.35">
      <c r="EW5260" t="s">
        <v>5211</v>
      </c>
      <c r="EX5260" t="s">
        <v>1937</v>
      </c>
      <c r="FF5260" t="s">
        <v>474</v>
      </c>
      <c r="FJ5260" t="s">
        <v>474</v>
      </c>
    </row>
    <row r="5261" spans="153:166" x14ac:dyDescent="0.35">
      <c r="EW5261" t="s">
        <v>5211</v>
      </c>
      <c r="EX5261" t="s">
        <v>1886</v>
      </c>
      <c r="FF5261" t="s">
        <v>474</v>
      </c>
      <c r="FJ5261" t="s">
        <v>474</v>
      </c>
    </row>
    <row r="5262" spans="153:166" x14ac:dyDescent="0.35">
      <c r="EW5262" t="s">
        <v>5211</v>
      </c>
      <c r="EX5262" t="s">
        <v>2139</v>
      </c>
      <c r="FF5262" t="s">
        <v>474</v>
      </c>
      <c r="FJ5262" t="s">
        <v>474</v>
      </c>
    </row>
    <row r="5263" spans="153:166" x14ac:dyDescent="0.35">
      <c r="EW5263" t="s">
        <v>5211</v>
      </c>
      <c r="EX5263" t="s">
        <v>1833</v>
      </c>
      <c r="FF5263" t="s">
        <v>474</v>
      </c>
      <c r="FJ5263" t="s">
        <v>474</v>
      </c>
    </row>
    <row r="5264" spans="153:166" x14ac:dyDescent="0.35">
      <c r="EW5264" t="s">
        <v>5211</v>
      </c>
      <c r="EX5264" t="s">
        <v>1845</v>
      </c>
      <c r="FF5264" t="s">
        <v>474</v>
      </c>
      <c r="FJ5264" t="s">
        <v>474</v>
      </c>
    </row>
    <row r="5265" spans="153:166" x14ac:dyDescent="0.35">
      <c r="EW5265" t="s">
        <v>5211</v>
      </c>
      <c r="EX5265" t="s">
        <v>1894</v>
      </c>
      <c r="FF5265" t="s">
        <v>474</v>
      </c>
      <c r="FJ5265" t="s">
        <v>474</v>
      </c>
    </row>
    <row r="5266" spans="153:166" x14ac:dyDescent="0.35">
      <c r="EW5266" t="s">
        <v>5211</v>
      </c>
      <c r="EX5266" t="s">
        <v>1855</v>
      </c>
      <c r="FF5266" t="s">
        <v>474</v>
      </c>
      <c r="FJ5266" t="s">
        <v>474</v>
      </c>
    </row>
    <row r="5267" spans="153:166" x14ac:dyDescent="0.35">
      <c r="EW5267" t="s">
        <v>5211</v>
      </c>
      <c r="EX5267" t="s">
        <v>1656</v>
      </c>
      <c r="FF5267" t="s">
        <v>474</v>
      </c>
      <c r="FJ5267" t="s">
        <v>474</v>
      </c>
    </row>
    <row r="5268" spans="153:166" x14ac:dyDescent="0.35">
      <c r="EW5268" t="s">
        <v>5211</v>
      </c>
      <c r="EX5268" t="s">
        <v>1848</v>
      </c>
      <c r="FF5268" t="s">
        <v>474</v>
      </c>
      <c r="FJ5268" t="s">
        <v>474</v>
      </c>
    </row>
    <row r="5269" spans="153:166" x14ac:dyDescent="0.35">
      <c r="EW5269" t="s">
        <v>5211</v>
      </c>
      <c r="EX5269" t="s">
        <v>1897</v>
      </c>
      <c r="FF5269" t="s">
        <v>474</v>
      </c>
      <c r="FJ5269" t="s">
        <v>474</v>
      </c>
    </row>
    <row r="5270" spans="153:166" x14ac:dyDescent="0.35">
      <c r="EW5270" t="s">
        <v>5211</v>
      </c>
      <c r="EX5270" t="s">
        <v>1977</v>
      </c>
      <c r="FF5270" t="s">
        <v>474</v>
      </c>
      <c r="FJ5270" t="s">
        <v>474</v>
      </c>
    </row>
    <row r="5271" spans="153:166" x14ac:dyDescent="0.35">
      <c r="EW5271" t="s">
        <v>5211</v>
      </c>
      <c r="EX5271" t="s">
        <v>1926</v>
      </c>
      <c r="FF5271" t="s">
        <v>474</v>
      </c>
      <c r="FJ5271" t="s">
        <v>474</v>
      </c>
    </row>
    <row r="5272" spans="153:166" x14ac:dyDescent="0.35">
      <c r="EW5272" t="s">
        <v>5211</v>
      </c>
      <c r="EX5272" t="s">
        <v>1198</v>
      </c>
      <c r="FF5272" t="s">
        <v>474</v>
      </c>
      <c r="FJ5272" t="s">
        <v>474</v>
      </c>
    </row>
    <row r="5273" spans="153:166" x14ac:dyDescent="0.35">
      <c r="EW5273" t="s">
        <v>5211</v>
      </c>
      <c r="EX5273" t="s">
        <v>2301</v>
      </c>
      <c r="FF5273" t="s">
        <v>474</v>
      </c>
      <c r="FJ5273" t="s">
        <v>474</v>
      </c>
    </row>
    <row r="5274" spans="153:166" x14ac:dyDescent="0.35">
      <c r="EW5274" t="s">
        <v>5211</v>
      </c>
      <c r="EX5274" t="s">
        <v>1860</v>
      </c>
      <c r="FF5274" t="s">
        <v>474</v>
      </c>
      <c r="FJ5274" t="s">
        <v>474</v>
      </c>
    </row>
    <row r="5275" spans="153:166" x14ac:dyDescent="0.35">
      <c r="EW5275" t="s">
        <v>5211</v>
      </c>
      <c r="EX5275" t="s">
        <v>2307</v>
      </c>
      <c r="FF5275" t="s">
        <v>474</v>
      </c>
      <c r="FJ5275" t="s">
        <v>474</v>
      </c>
    </row>
    <row r="5276" spans="153:166" x14ac:dyDescent="0.35">
      <c r="EW5276" t="s">
        <v>5211</v>
      </c>
      <c r="EX5276" t="s">
        <v>1306</v>
      </c>
      <c r="FF5276" t="s">
        <v>474</v>
      </c>
      <c r="FJ5276" t="s">
        <v>474</v>
      </c>
    </row>
    <row r="5277" spans="153:166" x14ac:dyDescent="0.35">
      <c r="EW5277" t="s">
        <v>5211</v>
      </c>
      <c r="EX5277" t="s">
        <v>1242</v>
      </c>
      <c r="FF5277" t="s">
        <v>474</v>
      </c>
      <c r="FJ5277" t="s">
        <v>474</v>
      </c>
    </row>
    <row r="5278" spans="153:166" x14ac:dyDescent="0.35">
      <c r="EW5278" t="s">
        <v>5211</v>
      </c>
      <c r="EX5278" t="s">
        <v>2315</v>
      </c>
      <c r="FF5278" t="s">
        <v>474</v>
      </c>
      <c r="FJ5278" t="s">
        <v>474</v>
      </c>
    </row>
    <row r="5279" spans="153:166" x14ac:dyDescent="0.35">
      <c r="EW5279" t="s">
        <v>5211</v>
      </c>
      <c r="EX5279" t="s">
        <v>396</v>
      </c>
      <c r="FF5279" t="s">
        <v>59</v>
      </c>
      <c r="FJ5279" t="s">
        <v>59</v>
      </c>
    </row>
    <row r="5280" spans="153:166" x14ac:dyDescent="0.35">
      <c r="EW5280" t="s">
        <v>5211</v>
      </c>
      <c r="EX5280" t="s">
        <v>2321</v>
      </c>
      <c r="FF5280" t="s">
        <v>474</v>
      </c>
      <c r="FJ5280" t="s">
        <v>474</v>
      </c>
    </row>
    <row r="5281" spans="153:166" x14ac:dyDescent="0.35">
      <c r="EW5281" t="s">
        <v>5211</v>
      </c>
      <c r="EX5281" t="s">
        <v>1911</v>
      </c>
      <c r="FF5281" t="s">
        <v>474</v>
      </c>
      <c r="FJ5281" t="s">
        <v>474</v>
      </c>
    </row>
    <row r="5282" spans="153:166" x14ac:dyDescent="0.35">
      <c r="EW5282" t="s">
        <v>5211</v>
      </c>
      <c r="EX5282" t="s">
        <v>2094</v>
      </c>
      <c r="FF5282" t="s">
        <v>474</v>
      </c>
      <c r="FJ5282" t="s">
        <v>474</v>
      </c>
    </row>
    <row r="5283" spans="153:166" x14ac:dyDescent="0.35">
      <c r="EW5283" t="s">
        <v>5211</v>
      </c>
      <c r="EX5283" t="s">
        <v>1931</v>
      </c>
      <c r="FF5283" t="s">
        <v>474</v>
      </c>
      <c r="FJ5283" t="s">
        <v>474</v>
      </c>
    </row>
    <row r="5284" spans="153:166" x14ac:dyDescent="0.35">
      <c r="EW5284" t="s">
        <v>5211</v>
      </c>
      <c r="EX5284" t="s">
        <v>1906</v>
      </c>
      <c r="FF5284" t="s">
        <v>474</v>
      </c>
      <c r="FJ5284" t="s">
        <v>474</v>
      </c>
    </row>
    <row r="5285" spans="153:166" x14ac:dyDescent="0.35">
      <c r="EW5285" t="s">
        <v>5211</v>
      </c>
      <c r="EX5285" t="s">
        <v>1547</v>
      </c>
      <c r="FF5285" t="s">
        <v>474</v>
      </c>
      <c r="FJ5285" t="s">
        <v>474</v>
      </c>
    </row>
    <row r="5286" spans="153:166" x14ac:dyDescent="0.35">
      <c r="EW5286" t="s">
        <v>5211</v>
      </c>
      <c r="EX5286" t="s">
        <v>2335</v>
      </c>
      <c r="FF5286" t="s">
        <v>474</v>
      </c>
      <c r="FJ5286" t="s">
        <v>474</v>
      </c>
    </row>
    <row r="5287" spans="153:166" x14ac:dyDescent="0.35">
      <c r="EW5287" t="s">
        <v>5211</v>
      </c>
      <c r="EX5287" t="s">
        <v>1647</v>
      </c>
      <c r="FF5287" t="s">
        <v>474</v>
      </c>
      <c r="FJ5287" t="s">
        <v>474</v>
      </c>
    </row>
    <row r="5288" spans="153:166" x14ac:dyDescent="0.35">
      <c r="EW5288" t="s">
        <v>5211</v>
      </c>
      <c r="EX5288" t="s">
        <v>2082</v>
      </c>
      <c r="FF5288" t="s">
        <v>474</v>
      </c>
      <c r="FJ5288" t="s">
        <v>474</v>
      </c>
    </row>
    <row r="5289" spans="153:166" x14ac:dyDescent="0.35">
      <c r="EW5289" t="s">
        <v>5211</v>
      </c>
      <c r="EX5289" t="s">
        <v>2259</v>
      </c>
      <c r="FF5289" t="s">
        <v>474</v>
      </c>
      <c r="FJ5289" t="s">
        <v>474</v>
      </c>
    </row>
    <row r="5290" spans="153:166" x14ac:dyDescent="0.35">
      <c r="EW5290" t="s">
        <v>5211</v>
      </c>
      <c r="EX5290" t="s">
        <v>1900</v>
      </c>
      <c r="FF5290" t="s">
        <v>474</v>
      </c>
      <c r="FJ5290" t="s">
        <v>474</v>
      </c>
    </row>
    <row r="5291" spans="153:166" x14ac:dyDescent="0.35">
      <c r="EW5291" t="s">
        <v>5211</v>
      </c>
      <c r="EX5291" t="s">
        <v>1256</v>
      </c>
      <c r="FF5291" t="s">
        <v>474</v>
      </c>
      <c r="FJ5291" t="s">
        <v>474</v>
      </c>
    </row>
    <row r="5292" spans="153:166" x14ac:dyDescent="0.35">
      <c r="EW5292" t="s">
        <v>5211</v>
      </c>
      <c r="EX5292" t="s">
        <v>1753</v>
      </c>
      <c r="FF5292" t="s">
        <v>474</v>
      </c>
      <c r="FJ5292" t="s">
        <v>474</v>
      </c>
    </row>
    <row r="5293" spans="153:166" x14ac:dyDescent="0.35">
      <c r="EW5293" t="s">
        <v>5211</v>
      </c>
      <c r="EX5293" t="s">
        <v>1750</v>
      </c>
      <c r="FF5293" t="s">
        <v>474</v>
      </c>
      <c r="FJ5293" t="s">
        <v>474</v>
      </c>
    </row>
    <row r="5294" spans="153:166" x14ac:dyDescent="0.35">
      <c r="EW5294" t="s">
        <v>5211</v>
      </c>
      <c r="EX5294" t="s">
        <v>1933</v>
      </c>
      <c r="FF5294" t="s">
        <v>474</v>
      </c>
      <c r="FJ5294" t="s">
        <v>474</v>
      </c>
    </row>
    <row r="5295" spans="153:166" x14ac:dyDescent="0.35">
      <c r="EW5295" t="s">
        <v>5211</v>
      </c>
      <c r="EX5295" t="s">
        <v>1877</v>
      </c>
      <c r="FF5295" t="s">
        <v>474</v>
      </c>
      <c r="FJ5295" t="s">
        <v>474</v>
      </c>
    </row>
    <row r="5296" spans="153:166" x14ac:dyDescent="0.35">
      <c r="EW5296" t="s">
        <v>5211</v>
      </c>
      <c r="EX5296" t="s">
        <v>1882</v>
      </c>
      <c r="FF5296" t="s">
        <v>474</v>
      </c>
      <c r="FJ5296" t="s">
        <v>474</v>
      </c>
    </row>
    <row r="5297" spans="153:166" x14ac:dyDescent="0.35">
      <c r="EW5297" t="s">
        <v>5211</v>
      </c>
      <c r="EX5297" t="s">
        <v>1248</v>
      </c>
      <c r="FF5297" t="s">
        <v>474</v>
      </c>
      <c r="FJ5297" t="s">
        <v>474</v>
      </c>
    </row>
    <row r="5298" spans="153:166" x14ac:dyDescent="0.35">
      <c r="EW5298" t="s">
        <v>5211</v>
      </c>
      <c r="EX5298" t="s">
        <v>2351</v>
      </c>
      <c r="FF5298" t="s">
        <v>474</v>
      </c>
      <c r="FJ5298" t="s">
        <v>474</v>
      </c>
    </row>
    <row r="5299" spans="153:166" x14ac:dyDescent="0.35">
      <c r="EW5299" t="s">
        <v>5211</v>
      </c>
      <c r="EX5299" t="s">
        <v>1289</v>
      </c>
      <c r="FF5299" t="s">
        <v>474</v>
      </c>
      <c r="FJ5299" t="s">
        <v>474</v>
      </c>
    </row>
    <row r="5300" spans="153:166" x14ac:dyDescent="0.35">
      <c r="EW5300" t="s">
        <v>5211</v>
      </c>
      <c r="EX5300" t="s">
        <v>1762</v>
      </c>
      <c r="FF5300" t="s">
        <v>474</v>
      </c>
      <c r="FJ5300" t="s">
        <v>474</v>
      </c>
    </row>
    <row r="5301" spans="153:166" x14ac:dyDescent="0.35">
      <c r="EW5301" t="s">
        <v>5211</v>
      </c>
      <c r="EX5301" t="s">
        <v>1942</v>
      </c>
      <c r="FF5301" t="s">
        <v>474</v>
      </c>
      <c r="FJ5301" t="s">
        <v>474</v>
      </c>
    </row>
    <row r="5302" spans="153:166" x14ac:dyDescent="0.35">
      <c r="EW5302" t="s">
        <v>5211</v>
      </c>
      <c r="EX5302" t="s">
        <v>1581</v>
      </c>
      <c r="FF5302" t="s">
        <v>474</v>
      </c>
      <c r="FJ5302" t="s">
        <v>474</v>
      </c>
    </row>
    <row r="5303" spans="153:166" x14ac:dyDescent="0.35">
      <c r="EW5303" t="s">
        <v>5211</v>
      </c>
      <c r="EX5303" t="s">
        <v>1771</v>
      </c>
      <c r="FF5303" t="s">
        <v>474</v>
      </c>
      <c r="FJ5303" t="s">
        <v>474</v>
      </c>
    </row>
    <row r="5304" spans="153:166" x14ac:dyDescent="0.35">
      <c r="EW5304" t="s">
        <v>5211</v>
      </c>
      <c r="EX5304" t="s">
        <v>1774</v>
      </c>
      <c r="FF5304" t="s">
        <v>474</v>
      </c>
      <c r="FJ5304" t="s">
        <v>474</v>
      </c>
    </row>
    <row r="5305" spans="153:166" x14ac:dyDescent="0.35">
      <c r="EW5305" t="s">
        <v>5211</v>
      </c>
      <c r="EX5305" t="s">
        <v>1252</v>
      </c>
      <c r="FF5305" t="s">
        <v>474</v>
      </c>
      <c r="FJ5305" t="s">
        <v>474</v>
      </c>
    </row>
    <row r="5306" spans="153:166" x14ac:dyDescent="0.35">
      <c r="EW5306" t="s">
        <v>5211</v>
      </c>
      <c r="EX5306" t="s">
        <v>1525</v>
      </c>
      <c r="FF5306" t="s">
        <v>474</v>
      </c>
      <c r="FJ5306" t="s">
        <v>474</v>
      </c>
    </row>
    <row r="5307" spans="153:166" x14ac:dyDescent="0.35">
      <c r="EW5307" t="s">
        <v>5211</v>
      </c>
      <c r="EX5307" t="s">
        <v>1173</v>
      </c>
      <c r="FF5307" t="s">
        <v>474</v>
      </c>
      <c r="FJ5307" t="s">
        <v>474</v>
      </c>
    </row>
    <row r="5308" spans="153:166" x14ac:dyDescent="0.35">
      <c r="EW5308" t="s">
        <v>5211</v>
      </c>
      <c r="EX5308" t="s">
        <v>1784</v>
      </c>
      <c r="FF5308" t="s">
        <v>474</v>
      </c>
      <c r="FJ5308" t="s">
        <v>474</v>
      </c>
    </row>
    <row r="5309" spans="153:166" x14ac:dyDescent="0.35">
      <c r="EW5309" t="s">
        <v>5211</v>
      </c>
      <c r="EX5309" t="s">
        <v>2364</v>
      </c>
      <c r="FF5309" t="s">
        <v>474</v>
      </c>
      <c r="FJ5309" t="s">
        <v>474</v>
      </c>
    </row>
    <row r="5310" spans="153:166" x14ac:dyDescent="0.35">
      <c r="EW5310" t="s">
        <v>5211</v>
      </c>
      <c r="EX5310" t="s">
        <v>1781</v>
      </c>
      <c r="FF5310" t="s">
        <v>474</v>
      </c>
      <c r="FJ5310" t="s">
        <v>474</v>
      </c>
    </row>
    <row r="5311" spans="153:166" x14ac:dyDescent="0.35">
      <c r="EW5311" t="s">
        <v>5211</v>
      </c>
      <c r="EX5311" t="s">
        <v>1926</v>
      </c>
      <c r="FF5311" t="s">
        <v>474</v>
      </c>
      <c r="FJ5311" t="s">
        <v>474</v>
      </c>
    </row>
    <row r="5312" spans="153:166" x14ac:dyDescent="0.35">
      <c r="EW5312" t="s">
        <v>5211</v>
      </c>
      <c r="EX5312" t="s">
        <v>1897</v>
      </c>
      <c r="FF5312" t="s">
        <v>474</v>
      </c>
      <c r="FJ5312" t="s">
        <v>474</v>
      </c>
    </row>
    <row r="5313" spans="153:166" x14ac:dyDescent="0.35">
      <c r="EW5313" t="s">
        <v>5211</v>
      </c>
      <c r="EX5313" t="s">
        <v>1797</v>
      </c>
      <c r="FF5313" t="s">
        <v>474</v>
      </c>
      <c r="FJ5313" t="s">
        <v>474</v>
      </c>
    </row>
    <row r="5314" spans="153:166" x14ac:dyDescent="0.35">
      <c r="EW5314" t="s">
        <v>5211</v>
      </c>
      <c r="EX5314" t="s">
        <v>1306</v>
      </c>
      <c r="FF5314" t="s">
        <v>474</v>
      </c>
      <c r="FJ5314" t="s">
        <v>474</v>
      </c>
    </row>
    <row r="5315" spans="153:166" x14ac:dyDescent="0.35">
      <c r="EW5315" t="s">
        <v>5211</v>
      </c>
      <c r="EX5315" t="s">
        <v>1132</v>
      </c>
      <c r="FF5315" t="s">
        <v>474</v>
      </c>
      <c r="FJ5315" t="s">
        <v>474</v>
      </c>
    </row>
    <row r="5316" spans="153:166" x14ac:dyDescent="0.35">
      <c r="EW5316" t="s">
        <v>5211</v>
      </c>
      <c r="EX5316" t="s">
        <v>1911</v>
      </c>
      <c r="FF5316" t="s">
        <v>474</v>
      </c>
      <c r="FJ5316" t="s">
        <v>474</v>
      </c>
    </row>
    <row r="5317" spans="153:166" x14ac:dyDescent="0.35">
      <c r="EW5317" t="s">
        <v>5211</v>
      </c>
      <c r="EX5317" t="s">
        <v>1804</v>
      </c>
      <c r="FF5317" t="s">
        <v>474</v>
      </c>
      <c r="FJ5317" t="s">
        <v>474</v>
      </c>
    </row>
    <row r="5318" spans="153:166" x14ac:dyDescent="0.35">
      <c r="EW5318" t="s">
        <v>5211</v>
      </c>
      <c r="EX5318" t="s">
        <v>1738</v>
      </c>
      <c r="FF5318" t="s">
        <v>474</v>
      </c>
      <c r="FJ5318" t="s">
        <v>474</v>
      </c>
    </row>
    <row r="5319" spans="153:166" x14ac:dyDescent="0.35">
      <c r="EW5319" t="s">
        <v>5211</v>
      </c>
      <c r="EX5319" t="s">
        <v>2245</v>
      </c>
      <c r="FF5319" t="s">
        <v>474</v>
      </c>
      <c r="FJ5319" t="s">
        <v>474</v>
      </c>
    </row>
    <row r="5320" spans="153:166" x14ac:dyDescent="0.35">
      <c r="EW5320" t="s">
        <v>5211</v>
      </c>
      <c r="EX5320" t="s">
        <v>1817</v>
      </c>
      <c r="FF5320" t="s">
        <v>474</v>
      </c>
      <c r="FJ5320" t="s">
        <v>474</v>
      </c>
    </row>
    <row r="5321" spans="153:166" x14ac:dyDescent="0.35">
      <c r="EW5321" t="s">
        <v>5211</v>
      </c>
      <c r="EX5321" t="s">
        <v>1929</v>
      </c>
      <c r="FF5321" t="s">
        <v>474</v>
      </c>
      <c r="FJ5321" t="s">
        <v>474</v>
      </c>
    </row>
    <row r="5322" spans="153:166" x14ac:dyDescent="0.35">
      <c r="EW5322" t="s">
        <v>5211</v>
      </c>
      <c r="EX5322" t="s">
        <v>2379</v>
      </c>
      <c r="FF5322" t="s">
        <v>474</v>
      </c>
      <c r="FJ5322" t="s">
        <v>474</v>
      </c>
    </row>
    <row r="5323" spans="153:166" x14ac:dyDescent="0.35">
      <c r="EW5323" t="s">
        <v>5211</v>
      </c>
      <c r="EX5323" t="s">
        <v>1289</v>
      </c>
      <c r="FF5323" t="s">
        <v>474</v>
      </c>
      <c r="FJ5323" t="s">
        <v>474</v>
      </c>
    </row>
    <row r="5324" spans="153:166" x14ac:dyDescent="0.35">
      <c r="EW5324" t="s">
        <v>5211</v>
      </c>
      <c r="EX5324" t="s">
        <v>1744</v>
      </c>
      <c r="FF5324" t="s">
        <v>474</v>
      </c>
      <c r="FJ5324" t="s">
        <v>474</v>
      </c>
    </row>
    <row r="5325" spans="153:166" x14ac:dyDescent="0.35">
      <c r="EW5325" t="s">
        <v>5211</v>
      </c>
      <c r="EX5325" t="s">
        <v>1260</v>
      </c>
      <c r="FF5325" t="s">
        <v>474</v>
      </c>
      <c r="FJ5325" t="s">
        <v>474</v>
      </c>
    </row>
    <row r="5326" spans="153:166" x14ac:dyDescent="0.35">
      <c r="EW5326" t="s">
        <v>5211</v>
      </c>
      <c r="EX5326" t="s">
        <v>1977</v>
      </c>
      <c r="FF5326" t="s">
        <v>474</v>
      </c>
      <c r="FJ5326" t="s">
        <v>474</v>
      </c>
    </row>
    <row r="5327" spans="153:166" x14ac:dyDescent="0.35">
      <c r="EW5327" t="s">
        <v>5211</v>
      </c>
      <c r="EX5327" t="s">
        <v>1945</v>
      </c>
      <c r="FF5327" t="s">
        <v>474</v>
      </c>
      <c r="FJ5327" t="s">
        <v>474</v>
      </c>
    </row>
    <row r="5328" spans="153:166" x14ac:dyDescent="0.35">
      <c r="EW5328" t="s">
        <v>5211</v>
      </c>
      <c r="EX5328" t="s">
        <v>1942</v>
      </c>
      <c r="FF5328" t="s">
        <v>474</v>
      </c>
      <c r="FJ5328" t="s">
        <v>474</v>
      </c>
    </row>
    <row r="5329" spans="153:166" x14ac:dyDescent="0.35">
      <c r="EW5329" t="s">
        <v>5211</v>
      </c>
      <c r="EX5329" t="s">
        <v>2388</v>
      </c>
      <c r="FF5329" t="s">
        <v>474</v>
      </c>
      <c r="FJ5329" t="s">
        <v>474</v>
      </c>
    </row>
    <row r="5330" spans="153:166" x14ac:dyDescent="0.35">
      <c r="EW5330" t="s">
        <v>5211</v>
      </c>
      <c r="EX5330" t="s">
        <v>1298</v>
      </c>
      <c r="FF5330" t="s">
        <v>474</v>
      </c>
      <c r="FJ5330" t="s">
        <v>474</v>
      </c>
    </row>
    <row r="5331" spans="153:166" x14ac:dyDescent="0.35">
      <c r="EW5331" t="s">
        <v>5211</v>
      </c>
      <c r="EX5331" t="s">
        <v>1951</v>
      </c>
      <c r="FF5331" t="s">
        <v>474</v>
      </c>
      <c r="FJ5331" t="s">
        <v>474</v>
      </c>
    </row>
    <row r="5332" spans="153:166" x14ac:dyDescent="0.35">
      <c r="EW5332" t="s">
        <v>5211</v>
      </c>
      <c r="EX5332" t="s">
        <v>1833</v>
      </c>
      <c r="FF5332" t="s">
        <v>474</v>
      </c>
      <c r="FJ5332" t="s">
        <v>474</v>
      </c>
    </row>
    <row r="5333" spans="153:166" x14ac:dyDescent="0.35">
      <c r="EW5333" t="s">
        <v>5211</v>
      </c>
      <c r="EX5333" t="s">
        <v>1173</v>
      </c>
      <c r="FF5333" t="s">
        <v>474</v>
      </c>
      <c r="FJ5333" t="s">
        <v>474</v>
      </c>
    </row>
    <row r="5334" spans="153:166" x14ac:dyDescent="0.35">
      <c r="EW5334" t="s">
        <v>5211</v>
      </c>
      <c r="EX5334" t="s">
        <v>1256</v>
      </c>
      <c r="FF5334" t="s">
        <v>474</v>
      </c>
      <c r="FJ5334" t="s">
        <v>474</v>
      </c>
    </row>
    <row r="5335" spans="153:166" x14ac:dyDescent="0.35">
      <c r="EW5335" t="s">
        <v>5211</v>
      </c>
      <c r="EX5335" t="s">
        <v>2364</v>
      </c>
      <c r="FF5335" t="s">
        <v>474</v>
      </c>
      <c r="FJ5335" t="s">
        <v>474</v>
      </c>
    </row>
    <row r="5336" spans="153:166" x14ac:dyDescent="0.35">
      <c r="EW5336" t="s">
        <v>5211</v>
      </c>
      <c r="EX5336" t="s">
        <v>1839</v>
      </c>
      <c r="FF5336" t="s">
        <v>474</v>
      </c>
      <c r="FJ5336" t="s">
        <v>474</v>
      </c>
    </row>
    <row r="5337" spans="153:166" x14ac:dyDescent="0.35">
      <c r="EW5337" t="s">
        <v>5211</v>
      </c>
      <c r="EX5337" t="s">
        <v>2398</v>
      </c>
      <c r="FF5337" t="s">
        <v>474</v>
      </c>
      <c r="FJ5337" t="s">
        <v>474</v>
      </c>
    </row>
    <row r="5338" spans="153:166" x14ac:dyDescent="0.35">
      <c r="EW5338" t="s">
        <v>5211</v>
      </c>
      <c r="EX5338" t="s">
        <v>1843</v>
      </c>
      <c r="FF5338" t="s">
        <v>474</v>
      </c>
      <c r="FJ5338" t="s">
        <v>474</v>
      </c>
    </row>
    <row r="5339" spans="153:166" x14ac:dyDescent="0.35">
      <c r="EW5339" t="s">
        <v>5211</v>
      </c>
      <c r="EX5339" t="s">
        <v>1215</v>
      </c>
      <c r="FF5339" t="s">
        <v>474</v>
      </c>
      <c r="FJ5339" t="s">
        <v>474</v>
      </c>
    </row>
    <row r="5340" spans="153:166" x14ac:dyDescent="0.35">
      <c r="EW5340" t="s">
        <v>5211</v>
      </c>
      <c r="EX5340" t="s">
        <v>2207</v>
      </c>
      <c r="FF5340" t="s">
        <v>474</v>
      </c>
      <c r="FJ5340" t="s">
        <v>474</v>
      </c>
    </row>
    <row r="5341" spans="153:166" x14ac:dyDescent="0.35">
      <c r="EW5341" t="s">
        <v>5211</v>
      </c>
      <c r="EX5341" t="s">
        <v>1350</v>
      </c>
      <c r="FF5341" t="s">
        <v>474</v>
      </c>
      <c r="FJ5341" t="s">
        <v>474</v>
      </c>
    </row>
    <row r="5342" spans="153:166" x14ac:dyDescent="0.35">
      <c r="EW5342" t="s">
        <v>5211</v>
      </c>
      <c r="EX5342" t="s">
        <v>1768</v>
      </c>
      <c r="FF5342" t="s">
        <v>474</v>
      </c>
      <c r="FJ5342" t="s">
        <v>474</v>
      </c>
    </row>
    <row r="5343" spans="153:166" x14ac:dyDescent="0.35">
      <c r="EW5343" t="s">
        <v>5211</v>
      </c>
      <c r="EX5343" t="s">
        <v>1794</v>
      </c>
      <c r="FF5343" t="s">
        <v>474</v>
      </c>
      <c r="FJ5343" t="s">
        <v>474</v>
      </c>
    </row>
    <row r="5344" spans="153:166" x14ac:dyDescent="0.35">
      <c r="EW5344" t="s">
        <v>5211</v>
      </c>
      <c r="EX5344" t="s">
        <v>1804</v>
      </c>
      <c r="FF5344" t="s">
        <v>474</v>
      </c>
      <c r="FJ5344" t="s">
        <v>474</v>
      </c>
    </row>
    <row r="5345" spans="153:166" x14ac:dyDescent="0.35">
      <c r="EW5345" t="s">
        <v>5211</v>
      </c>
      <c r="EX5345" t="s">
        <v>2245</v>
      </c>
      <c r="FF5345" t="s">
        <v>474</v>
      </c>
      <c r="FJ5345" t="s">
        <v>474</v>
      </c>
    </row>
    <row r="5346" spans="153:166" x14ac:dyDescent="0.35">
      <c r="EW5346" t="s">
        <v>5211</v>
      </c>
      <c r="EX5346" t="s">
        <v>1730</v>
      </c>
      <c r="FF5346" t="s">
        <v>474</v>
      </c>
      <c r="FJ5346" t="s">
        <v>474</v>
      </c>
    </row>
    <row r="5347" spans="153:166" x14ac:dyDescent="0.35">
      <c r="EW5347" t="s">
        <v>5211</v>
      </c>
      <c r="EX5347" t="s">
        <v>2307</v>
      </c>
      <c r="FF5347" t="s">
        <v>474</v>
      </c>
      <c r="FJ5347" t="s">
        <v>474</v>
      </c>
    </row>
    <row r="5348" spans="153:166" x14ac:dyDescent="0.35">
      <c r="EW5348" t="s">
        <v>5211</v>
      </c>
      <c r="EX5348" t="s">
        <v>2351</v>
      </c>
      <c r="FF5348" t="s">
        <v>474</v>
      </c>
      <c r="FJ5348" t="s">
        <v>474</v>
      </c>
    </row>
    <row r="5349" spans="153:166" x14ac:dyDescent="0.35">
      <c r="EW5349" t="s">
        <v>5211</v>
      </c>
      <c r="EX5349" t="s">
        <v>2412</v>
      </c>
      <c r="FF5349" t="s">
        <v>474</v>
      </c>
      <c r="FJ5349" t="s">
        <v>474</v>
      </c>
    </row>
    <row r="5350" spans="153:166" x14ac:dyDescent="0.35">
      <c r="EW5350" t="s">
        <v>5211</v>
      </c>
      <c r="EX5350" t="s">
        <v>2414</v>
      </c>
      <c r="FF5350" t="s">
        <v>474</v>
      </c>
      <c r="FJ5350" t="s">
        <v>474</v>
      </c>
    </row>
    <row r="5351" spans="153:166" x14ac:dyDescent="0.35">
      <c r="EW5351" t="s">
        <v>5211</v>
      </c>
      <c r="EX5351" t="s">
        <v>2082</v>
      </c>
      <c r="FF5351" t="s">
        <v>474</v>
      </c>
      <c r="FJ5351" t="s">
        <v>474</v>
      </c>
    </row>
    <row r="5352" spans="153:166" x14ac:dyDescent="0.35">
      <c r="EW5352" t="s">
        <v>5211</v>
      </c>
      <c r="EX5352" t="s">
        <v>1744</v>
      </c>
      <c r="FF5352" t="s">
        <v>474</v>
      </c>
      <c r="FJ5352" t="s">
        <v>474</v>
      </c>
    </row>
    <row r="5353" spans="153:166" x14ac:dyDescent="0.35">
      <c r="EW5353" t="s">
        <v>5211</v>
      </c>
      <c r="EX5353" t="s">
        <v>1977</v>
      </c>
      <c r="FF5353" t="s">
        <v>474</v>
      </c>
      <c r="FJ5353" t="s">
        <v>474</v>
      </c>
    </row>
    <row r="5354" spans="153:166" x14ac:dyDescent="0.35">
      <c r="EW5354" t="s">
        <v>5211</v>
      </c>
      <c r="EX5354" t="s">
        <v>2315</v>
      </c>
      <c r="FF5354" t="s">
        <v>474</v>
      </c>
      <c r="FJ5354" t="s">
        <v>474</v>
      </c>
    </row>
    <row r="5355" spans="153:166" x14ac:dyDescent="0.35">
      <c r="EW5355" t="s">
        <v>5211</v>
      </c>
      <c r="EX5355" t="s">
        <v>2421</v>
      </c>
      <c r="FF5355" t="s">
        <v>474</v>
      </c>
      <c r="FJ5355" t="s">
        <v>474</v>
      </c>
    </row>
    <row r="5356" spans="153:166" x14ac:dyDescent="0.35">
      <c r="EW5356" t="s">
        <v>5211</v>
      </c>
      <c r="EX5356" t="s">
        <v>1497</v>
      </c>
      <c r="FF5356" t="s">
        <v>474</v>
      </c>
      <c r="FJ5356" t="s">
        <v>474</v>
      </c>
    </row>
    <row r="5357" spans="153:166" x14ac:dyDescent="0.35">
      <c r="EW5357" t="s">
        <v>5211</v>
      </c>
      <c r="EX5357" t="s">
        <v>2364</v>
      </c>
      <c r="FF5357" t="s">
        <v>474</v>
      </c>
      <c r="FJ5357" t="s">
        <v>474</v>
      </c>
    </row>
    <row r="5358" spans="153:166" x14ac:dyDescent="0.35">
      <c r="EW5358" t="s">
        <v>5211</v>
      </c>
      <c r="EX5358" t="s">
        <v>2388</v>
      </c>
      <c r="FF5358" t="s">
        <v>474</v>
      </c>
      <c r="FJ5358" t="s">
        <v>474</v>
      </c>
    </row>
    <row r="5359" spans="153:166" x14ac:dyDescent="0.35">
      <c r="EW5359" t="s">
        <v>5211</v>
      </c>
      <c r="EX5359" t="s">
        <v>2427</v>
      </c>
      <c r="FF5359" t="s">
        <v>474</v>
      </c>
      <c r="FJ5359" t="s">
        <v>474</v>
      </c>
    </row>
    <row r="5360" spans="153:166" x14ac:dyDescent="0.35">
      <c r="EW5360" t="s">
        <v>5211</v>
      </c>
      <c r="EX5360" t="s">
        <v>1759</v>
      </c>
      <c r="FF5360" t="s">
        <v>474</v>
      </c>
      <c r="FJ5360" t="s">
        <v>474</v>
      </c>
    </row>
    <row r="5361" spans="153:166" x14ac:dyDescent="0.35">
      <c r="EW5361" t="s">
        <v>5211</v>
      </c>
      <c r="EX5361" t="s">
        <v>1848</v>
      </c>
      <c r="FF5361" t="s">
        <v>474</v>
      </c>
      <c r="FJ5361" t="s">
        <v>474</v>
      </c>
    </row>
    <row r="5362" spans="153:166" x14ac:dyDescent="0.35">
      <c r="EW5362" t="s">
        <v>5211</v>
      </c>
      <c r="EX5362" t="s">
        <v>1264</v>
      </c>
      <c r="FF5362" t="s">
        <v>474</v>
      </c>
      <c r="FJ5362" t="s">
        <v>474</v>
      </c>
    </row>
    <row r="5363" spans="153:166" x14ac:dyDescent="0.35">
      <c r="EW5363" t="s">
        <v>5211</v>
      </c>
      <c r="EX5363" t="s">
        <v>1839</v>
      </c>
      <c r="FF5363" t="s">
        <v>474</v>
      </c>
      <c r="FJ5363" t="s">
        <v>474</v>
      </c>
    </row>
    <row r="5364" spans="153:166" x14ac:dyDescent="0.35">
      <c r="EW5364" t="s">
        <v>5211</v>
      </c>
      <c r="EX5364" t="s">
        <v>1718</v>
      </c>
      <c r="FF5364" t="s">
        <v>474</v>
      </c>
      <c r="FJ5364" t="s">
        <v>474</v>
      </c>
    </row>
    <row r="5365" spans="153:166" x14ac:dyDescent="0.35">
      <c r="EW5365" t="s">
        <v>5211</v>
      </c>
      <c r="EX5365" t="s">
        <v>1252</v>
      </c>
      <c r="FF5365" t="s">
        <v>474</v>
      </c>
      <c r="FJ5365" t="s">
        <v>474</v>
      </c>
    </row>
    <row r="5366" spans="153:166" x14ac:dyDescent="0.35">
      <c r="EW5366" t="s">
        <v>5211</v>
      </c>
      <c r="EX5366" t="s">
        <v>1836</v>
      </c>
      <c r="FF5366" t="s">
        <v>474</v>
      </c>
      <c r="FJ5366" t="s">
        <v>474</v>
      </c>
    </row>
    <row r="5367" spans="153:166" x14ac:dyDescent="0.35">
      <c r="EW5367" t="s">
        <v>5211</v>
      </c>
      <c r="EX5367" t="s">
        <v>206</v>
      </c>
      <c r="FF5367" t="s">
        <v>59</v>
      </c>
      <c r="FJ5367" t="s">
        <v>59</v>
      </c>
    </row>
    <row r="5368" spans="153:166" x14ac:dyDescent="0.35">
      <c r="EW5368" t="s">
        <v>5211</v>
      </c>
      <c r="EX5368" t="s">
        <v>2398</v>
      </c>
      <c r="FF5368" t="s">
        <v>474</v>
      </c>
      <c r="FJ5368" t="s">
        <v>474</v>
      </c>
    </row>
    <row r="5369" spans="153:166" x14ac:dyDescent="0.35">
      <c r="EW5369" t="s">
        <v>5211</v>
      </c>
      <c r="EX5369" t="s">
        <v>2335</v>
      </c>
      <c r="FF5369" t="s">
        <v>474</v>
      </c>
      <c r="FJ5369" t="s">
        <v>474</v>
      </c>
    </row>
    <row r="5370" spans="153:166" x14ac:dyDescent="0.35">
      <c r="EW5370" t="s">
        <v>5211</v>
      </c>
      <c r="EX5370" t="s">
        <v>1894</v>
      </c>
      <c r="FF5370" t="s">
        <v>474</v>
      </c>
      <c r="FJ5370" t="s">
        <v>474</v>
      </c>
    </row>
    <row r="5371" spans="153:166" x14ac:dyDescent="0.35">
      <c r="EW5371" t="s">
        <v>5211</v>
      </c>
      <c r="EX5371" t="s">
        <v>2251</v>
      </c>
      <c r="FF5371" t="s">
        <v>474</v>
      </c>
      <c r="FJ5371" t="s">
        <v>474</v>
      </c>
    </row>
    <row r="5372" spans="153:166" x14ac:dyDescent="0.35">
      <c r="EW5372" t="s">
        <v>5211</v>
      </c>
      <c r="EX5372" t="s">
        <v>1897</v>
      </c>
      <c r="FF5372" t="s">
        <v>474</v>
      </c>
      <c r="FJ5372" t="s">
        <v>474</v>
      </c>
    </row>
    <row r="5373" spans="153:166" x14ac:dyDescent="0.35">
      <c r="EW5373" t="s">
        <v>5211</v>
      </c>
      <c r="EX5373" t="s">
        <v>1800</v>
      </c>
      <c r="FF5373" t="s">
        <v>474</v>
      </c>
      <c r="FJ5373" t="s">
        <v>474</v>
      </c>
    </row>
    <row r="5374" spans="153:166" x14ac:dyDescent="0.35">
      <c r="EW5374" t="s">
        <v>5211</v>
      </c>
      <c r="EX5374" t="s">
        <v>1418</v>
      </c>
      <c r="FF5374" t="s">
        <v>474</v>
      </c>
      <c r="FJ5374" t="s">
        <v>474</v>
      </c>
    </row>
    <row r="5375" spans="153:166" x14ac:dyDescent="0.35">
      <c r="EW5375" t="s">
        <v>5211</v>
      </c>
      <c r="EX5375" t="s">
        <v>2271</v>
      </c>
      <c r="FF5375" t="s">
        <v>474</v>
      </c>
      <c r="FJ5375" t="s">
        <v>474</v>
      </c>
    </row>
    <row r="5376" spans="153:166" x14ac:dyDescent="0.35">
      <c r="EW5376" t="s">
        <v>5211</v>
      </c>
      <c r="EX5376" t="s">
        <v>1292</v>
      </c>
      <c r="FF5376" t="s">
        <v>474</v>
      </c>
      <c r="FJ5376" t="s">
        <v>474</v>
      </c>
    </row>
    <row r="5377" spans="153:166" x14ac:dyDescent="0.35">
      <c r="EW5377" t="s">
        <v>5211</v>
      </c>
      <c r="EX5377" t="s">
        <v>1860</v>
      </c>
      <c r="FF5377" t="s">
        <v>474</v>
      </c>
      <c r="FJ5377" t="s">
        <v>474</v>
      </c>
    </row>
    <row r="5378" spans="153:166" x14ac:dyDescent="0.35">
      <c r="EW5378" t="s">
        <v>5211</v>
      </c>
      <c r="EX5378" t="s">
        <v>1914</v>
      </c>
      <c r="FF5378" t="s">
        <v>474</v>
      </c>
      <c r="FJ5378" t="s">
        <v>474</v>
      </c>
    </row>
    <row r="5379" spans="153:166" x14ac:dyDescent="0.35">
      <c r="EW5379" t="s">
        <v>5211</v>
      </c>
      <c r="EX5379" t="s">
        <v>2245</v>
      </c>
      <c r="FF5379" t="s">
        <v>474</v>
      </c>
      <c r="FJ5379" t="s">
        <v>474</v>
      </c>
    </row>
    <row r="5380" spans="153:166" x14ac:dyDescent="0.35">
      <c r="EW5380" t="s">
        <v>5211</v>
      </c>
      <c r="EX5380" t="s">
        <v>1804</v>
      </c>
      <c r="FF5380" t="s">
        <v>474</v>
      </c>
      <c r="FJ5380" t="s">
        <v>474</v>
      </c>
    </row>
    <row r="5381" spans="153:166" x14ac:dyDescent="0.35">
      <c r="EW5381" t="s">
        <v>5211</v>
      </c>
      <c r="EX5381" t="s">
        <v>2351</v>
      </c>
      <c r="FF5381" t="s">
        <v>474</v>
      </c>
      <c r="FJ5381" t="s">
        <v>474</v>
      </c>
    </row>
    <row r="5382" spans="153:166" x14ac:dyDescent="0.35">
      <c r="EW5382" t="s">
        <v>5211</v>
      </c>
      <c r="EX5382" t="s">
        <v>1768</v>
      </c>
      <c r="FF5382" t="s">
        <v>474</v>
      </c>
      <c r="FJ5382" t="s">
        <v>474</v>
      </c>
    </row>
    <row r="5383" spans="153:166" x14ac:dyDescent="0.35">
      <c r="EW5383" t="s">
        <v>5211</v>
      </c>
      <c r="EX5383" t="s">
        <v>1173</v>
      </c>
      <c r="FF5383" t="s">
        <v>474</v>
      </c>
      <c r="FJ5383" t="s">
        <v>474</v>
      </c>
    </row>
    <row r="5384" spans="153:166" x14ac:dyDescent="0.35">
      <c r="EW5384" t="s">
        <v>5211</v>
      </c>
      <c r="EX5384" t="s">
        <v>2454</v>
      </c>
      <c r="FF5384" t="s">
        <v>474</v>
      </c>
      <c r="FJ5384" t="s">
        <v>474</v>
      </c>
    </row>
    <row r="5385" spans="153:166" x14ac:dyDescent="0.35">
      <c r="EW5385" t="s">
        <v>5211</v>
      </c>
      <c r="EX5385" t="s">
        <v>2379</v>
      </c>
      <c r="FF5385" t="s">
        <v>474</v>
      </c>
      <c r="FJ5385" t="s">
        <v>474</v>
      </c>
    </row>
    <row r="5386" spans="153:166" x14ac:dyDescent="0.35">
      <c r="EW5386" t="s">
        <v>5211</v>
      </c>
      <c r="EX5386" t="s">
        <v>2307</v>
      </c>
      <c r="FF5386" t="s">
        <v>474</v>
      </c>
      <c r="FJ5386" t="s">
        <v>474</v>
      </c>
    </row>
    <row r="5387" spans="153:166" x14ac:dyDescent="0.35">
      <c r="EW5387" t="s">
        <v>5211</v>
      </c>
      <c r="EX5387" t="s">
        <v>1937</v>
      </c>
      <c r="FF5387" t="s">
        <v>474</v>
      </c>
      <c r="FJ5387" t="s">
        <v>474</v>
      </c>
    </row>
    <row r="5388" spans="153:166" x14ac:dyDescent="0.35">
      <c r="EW5388" t="s">
        <v>5211</v>
      </c>
      <c r="EX5388" t="s">
        <v>2427</v>
      </c>
      <c r="FF5388" t="s">
        <v>474</v>
      </c>
      <c r="FJ5388" t="s">
        <v>474</v>
      </c>
    </row>
    <row r="5389" spans="153:166" x14ac:dyDescent="0.35">
      <c r="EW5389" t="s">
        <v>5211</v>
      </c>
      <c r="EX5389" t="s">
        <v>1162</v>
      </c>
      <c r="FF5389" t="s">
        <v>474</v>
      </c>
      <c r="FJ5389" t="s">
        <v>474</v>
      </c>
    </row>
    <row r="5390" spans="153:166" x14ac:dyDescent="0.35">
      <c r="EW5390" t="s">
        <v>5211</v>
      </c>
      <c r="EX5390" t="s">
        <v>1839</v>
      </c>
      <c r="FF5390" t="s">
        <v>474</v>
      </c>
      <c r="FJ5390" t="s">
        <v>474</v>
      </c>
    </row>
    <row r="5391" spans="153:166" x14ac:dyDescent="0.35">
      <c r="EW5391" t="s">
        <v>5211</v>
      </c>
      <c r="EX5391" t="s">
        <v>1955</v>
      </c>
      <c r="FF5391" t="s">
        <v>474</v>
      </c>
      <c r="FJ5391" t="s">
        <v>474</v>
      </c>
    </row>
    <row r="5392" spans="153:166" x14ac:dyDescent="0.35">
      <c r="EW5392" t="s">
        <v>5211</v>
      </c>
      <c r="EX5392" t="s">
        <v>1774</v>
      </c>
      <c r="FF5392" t="s">
        <v>474</v>
      </c>
      <c r="FJ5392" t="s">
        <v>474</v>
      </c>
    </row>
    <row r="5393" spans="153:166" x14ac:dyDescent="0.35">
      <c r="EW5393" t="s">
        <v>5211</v>
      </c>
      <c r="EX5393" t="s">
        <v>1328</v>
      </c>
      <c r="FF5393" t="s">
        <v>474</v>
      </c>
      <c r="FJ5393" t="s">
        <v>474</v>
      </c>
    </row>
    <row r="5394" spans="153:166" x14ac:dyDescent="0.35">
      <c r="EW5394" t="s">
        <v>5211</v>
      </c>
      <c r="EX5394" t="s">
        <v>1242</v>
      </c>
      <c r="FF5394" t="s">
        <v>474</v>
      </c>
      <c r="FJ5394" t="s">
        <v>474</v>
      </c>
    </row>
    <row r="5395" spans="153:166" x14ac:dyDescent="0.35">
      <c r="EW5395" t="s">
        <v>5211</v>
      </c>
      <c r="EX5395" t="s">
        <v>1215</v>
      </c>
      <c r="FF5395" t="s">
        <v>474</v>
      </c>
      <c r="FJ5395" t="s">
        <v>474</v>
      </c>
    </row>
    <row r="5396" spans="153:166" x14ac:dyDescent="0.35">
      <c r="EW5396" t="s">
        <v>5211</v>
      </c>
      <c r="EX5396" t="s">
        <v>1292</v>
      </c>
      <c r="FF5396" t="s">
        <v>474</v>
      </c>
      <c r="FJ5396" t="s">
        <v>474</v>
      </c>
    </row>
    <row r="5397" spans="153:166" x14ac:dyDescent="0.35">
      <c r="EW5397" t="s">
        <v>5211</v>
      </c>
      <c r="EX5397" t="s">
        <v>1252</v>
      </c>
      <c r="FF5397" t="s">
        <v>474</v>
      </c>
      <c r="FJ5397" t="s">
        <v>474</v>
      </c>
    </row>
    <row r="5398" spans="153:166" x14ac:dyDescent="0.35">
      <c r="EW5398" t="s">
        <v>5211</v>
      </c>
      <c r="EX5398" t="s">
        <v>2469</v>
      </c>
      <c r="FF5398" t="s">
        <v>474</v>
      </c>
      <c r="FJ5398" t="s">
        <v>474</v>
      </c>
    </row>
    <row r="5399" spans="153:166" x14ac:dyDescent="0.35">
      <c r="EW5399" t="s">
        <v>5211</v>
      </c>
      <c r="EX5399" t="s">
        <v>2245</v>
      </c>
      <c r="FF5399" t="s">
        <v>474</v>
      </c>
      <c r="FJ5399" t="s">
        <v>474</v>
      </c>
    </row>
    <row r="5400" spans="153:166" x14ac:dyDescent="0.35">
      <c r="EW5400" t="s">
        <v>5211</v>
      </c>
      <c r="EX5400" t="s">
        <v>1762</v>
      </c>
      <c r="FF5400" t="s">
        <v>474</v>
      </c>
      <c r="FJ5400" t="s">
        <v>474</v>
      </c>
    </row>
    <row r="5401" spans="153:166" x14ac:dyDescent="0.35">
      <c r="EW5401" t="s">
        <v>5211</v>
      </c>
      <c r="EX5401" t="s">
        <v>1909</v>
      </c>
      <c r="FF5401" t="s">
        <v>474</v>
      </c>
      <c r="FJ5401" t="s">
        <v>474</v>
      </c>
    </row>
    <row r="5402" spans="153:166" x14ac:dyDescent="0.35">
      <c r="EW5402" t="s">
        <v>5211</v>
      </c>
      <c r="EX5402" t="s">
        <v>2301</v>
      </c>
      <c r="FF5402" t="s">
        <v>474</v>
      </c>
      <c r="FJ5402" t="s">
        <v>474</v>
      </c>
    </row>
    <row r="5403" spans="153:166" x14ac:dyDescent="0.35">
      <c r="EW5403" t="s">
        <v>5211</v>
      </c>
      <c r="EX5403" t="s">
        <v>1860</v>
      </c>
      <c r="FF5403" t="s">
        <v>474</v>
      </c>
      <c r="FJ5403" t="s">
        <v>474</v>
      </c>
    </row>
    <row r="5404" spans="153:166" x14ac:dyDescent="0.35">
      <c r="EW5404" t="s">
        <v>5211</v>
      </c>
      <c r="EX5404" t="s">
        <v>2094</v>
      </c>
      <c r="FF5404" t="s">
        <v>474</v>
      </c>
      <c r="FJ5404" t="s">
        <v>474</v>
      </c>
    </row>
    <row r="5405" spans="153:166" x14ac:dyDescent="0.35">
      <c r="EW5405" t="s">
        <v>5211</v>
      </c>
      <c r="EX5405" t="s">
        <v>2315</v>
      </c>
      <c r="FF5405" t="s">
        <v>474</v>
      </c>
      <c r="FJ5405" t="s">
        <v>474</v>
      </c>
    </row>
    <row r="5406" spans="153:166" x14ac:dyDescent="0.35">
      <c r="EW5406" t="s">
        <v>5211</v>
      </c>
      <c r="EX5406" t="s">
        <v>1911</v>
      </c>
      <c r="FF5406" t="s">
        <v>474</v>
      </c>
      <c r="FJ5406" t="s">
        <v>474</v>
      </c>
    </row>
    <row r="5407" spans="153:166" x14ac:dyDescent="0.35">
      <c r="EW5407" t="s">
        <v>5211</v>
      </c>
      <c r="EX5407" t="s">
        <v>1547</v>
      </c>
      <c r="FF5407" t="s">
        <v>474</v>
      </c>
      <c r="FJ5407" t="s">
        <v>474</v>
      </c>
    </row>
    <row r="5408" spans="153:166" x14ac:dyDescent="0.35">
      <c r="EW5408" t="s">
        <v>5211</v>
      </c>
      <c r="EX5408" t="s">
        <v>1647</v>
      </c>
      <c r="FF5408" t="s">
        <v>474</v>
      </c>
      <c r="FJ5408" t="s">
        <v>474</v>
      </c>
    </row>
    <row r="5409" spans="153:166" x14ac:dyDescent="0.35">
      <c r="EW5409" t="s">
        <v>5211</v>
      </c>
      <c r="EX5409" t="s">
        <v>1491</v>
      </c>
      <c r="FF5409" t="s">
        <v>474</v>
      </c>
      <c r="FJ5409" t="s">
        <v>474</v>
      </c>
    </row>
    <row r="5410" spans="153:166" x14ac:dyDescent="0.35">
      <c r="EW5410" t="s">
        <v>5211</v>
      </c>
      <c r="EX5410" t="s">
        <v>2259</v>
      </c>
      <c r="FF5410" t="s">
        <v>474</v>
      </c>
      <c r="FJ5410" t="s">
        <v>474</v>
      </c>
    </row>
    <row r="5411" spans="153:166" x14ac:dyDescent="0.35">
      <c r="EW5411" t="s">
        <v>5211</v>
      </c>
      <c r="EX5411" t="s">
        <v>1900</v>
      </c>
      <c r="FF5411" t="s">
        <v>474</v>
      </c>
      <c r="FJ5411" t="s">
        <v>474</v>
      </c>
    </row>
    <row r="5412" spans="153:166" x14ac:dyDescent="0.35">
      <c r="EW5412" t="s">
        <v>5211</v>
      </c>
      <c r="EX5412" t="s">
        <v>1933</v>
      </c>
      <c r="FF5412" t="s">
        <v>474</v>
      </c>
      <c r="FJ5412" t="s">
        <v>474</v>
      </c>
    </row>
    <row r="5413" spans="153:166" x14ac:dyDescent="0.35">
      <c r="EW5413" t="s">
        <v>5211</v>
      </c>
      <c r="EX5413" t="s">
        <v>1825</v>
      </c>
      <c r="FF5413" t="s">
        <v>474</v>
      </c>
      <c r="FJ5413" t="s">
        <v>474</v>
      </c>
    </row>
    <row r="5414" spans="153:166" x14ac:dyDescent="0.35">
      <c r="EW5414" t="s">
        <v>5211</v>
      </c>
      <c r="EX5414" t="s">
        <v>1877</v>
      </c>
      <c r="FF5414" t="s">
        <v>474</v>
      </c>
      <c r="FJ5414" t="s">
        <v>474</v>
      </c>
    </row>
    <row r="5415" spans="153:166" x14ac:dyDescent="0.35">
      <c r="EW5415" t="s">
        <v>5211</v>
      </c>
      <c r="EX5415" t="s">
        <v>2351</v>
      </c>
      <c r="FF5415" t="s">
        <v>474</v>
      </c>
      <c r="FJ5415" t="s">
        <v>474</v>
      </c>
    </row>
    <row r="5416" spans="153:166" x14ac:dyDescent="0.35">
      <c r="EW5416" t="s">
        <v>5211</v>
      </c>
      <c r="EX5416" t="s">
        <v>1575</v>
      </c>
      <c r="FF5416" t="s">
        <v>474</v>
      </c>
      <c r="FJ5416" t="s">
        <v>474</v>
      </c>
    </row>
    <row r="5417" spans="153:166" x14ac:dyDescent="0.35">
      <c r="EW5417" t="s">
        <v>5211</v>
      </c>
      <c r="EX5417" t="s">
        <v>1937</v>
      </c>
      <c r="FF5417" t="s">
        <v>474</v>
      </c>
      <c r="FJ5417" t="s">
        <v>474</v>
      </c>
    </row>
    <row r="5418" spans="153:166" x14ac:dyDescent="0.35">
      <c r="EW5418" t="s">
        <v>5211</v>
      </c>
      <c r="EX5418" t="s">
        <v>2491</v>
      </c>
      <c r="FF5418" t="s">
        <v>474</v>
      </c>
      <c r="FJ5418" t="s">
        <v>474</v>
      </c>
    </row>
    <row r="5419" spans="153:166" x14ac:dyDescent="0.35">
      <c r="EW5419" t="s">
        <v>5211</v>
      </c>
      <c r="EX5419" t="s">
        <v>1008</v>
      </c>
      <c r="FF5419" t="s">
        <v>59</v>
      </c>
      <c r="FJ5419" t="s">
        <v>59</v>
      </c>
    </row>
    <row r="5420" spans="153:166" x14ac:dyDescent="0.35">
      <c r="EW5420" t="s">
        <v>5211</v>
      </c>
      <c r="EX5420" t="s">
        <v>1833</v>
      </c>
      <c r="FF5420" t="s">
        <v>474</v>
      </c>
      <c r="FJ5420" t="s">
        <v>474</v>
      </c>
    </row>
    <row r="5421" spans="153:166" x14ac:dyDescent="0.35">
      <c r="EW5421" t="s">
        <v>5211</v>
      </c>
      <c r="EX5421" t="s">
        <v>2414</v>
      </c>
      <c r="FF5421" t="s">
        <v>474</v>
      </c>
      <c r="FJ5421" t="s">
        <v>474</v>
      </c>
    </row>
    <row r="5422" spans="153:166" x14ac:dyDescent="0.35">
      <c r="EW5422" t="s">
        <v>5211</v>
      </c>
      <c r="EX5422" t="s">
        <v>1886</v>
      </c>
      <c r="FF5422" t="s">
        <v>474</v>
      </c>
      <c r="FJ5422" t="s">
        <v>474</v>
      </c>
    </row>
    <row r="5423" spans="153:166" x14ac:dyDescent="0.35">
      <c r="EW5423" t="s">
        <v>5211</v>
      </c>
      <c r="EX5423" t="s">
        <v>2498</v>
      </c>
      <c r="FF5423" t="s">
        <v>59</v>
      </c>
      <c r="FJ5423" t="s">
        <v>59</v>
      </c>
    </row>
    <row r="5424" spans="153:166" x14ac:dyDescent="0.35">
      <c r="EW5424" t="s">
        <v>5211</v>
      </c>
      <c r="EX5424" t="s">
        <v>1845</v>
      </c>
      <c r="FF5424" t="s">
        <v>474</v>
      </c>
      <c r="FJ5424" t="s">
        <v>474</v>
      </c>
    </row>
    <row r="5425" spans="153:166" x14ac:dyDescent="0.35">
      <c r="EW5425" t="s">
        <v>5211</v>
      </c>
      <c r="EX5425" t="s">
        <v>685</v>
      </c>
      <c r="FF5425" t="s">
        <v>59</v>
      </c>
      <c r="FJ5425" t="s">
        <v>59</v>
      </c>
    </row>
    <row r="5426" spans="153:166" x14ac:dyDescent="0.35">
      <c r="EW5426" t="s">
        <v>5211</v>
      </c>
      <c r="EX5426" t="s">
        <v>1855</v>
      </c>
      <c r="FF5426" t="s">
        <v>474</v>
      </c>
      <c r="FJ5426" t="s">
        <v>474</v>
      </c>
    </row>
    <row r="5427" spans="153:166" x14ac:dyDescent="0.35">
      <c r="EW5427" t="s">
        <v>5211</v>
      </c>
      <c r="EX5427" t="s">
        <v>1894</v>
      </c>
      <c r="FF5427" t="s">
        <v>474</v>
      </c>
      <c r="FJ5427" t="s">
        <v>474</v>
      </c>
    </row>
    <row r="5428" spans="153:166" x14ac:dyDescent="0.35">
      <c r="EW5428" t="s">
        <v>5211</v>
      </c>
      <c r="EX5428" t="s">
        <v>1656</v>
      </c>
      <c r="FF5428" t="s">
        <v>474</v>
      </c>
      <c r="FJ5428" t="s">
        <v>474</v>
      </c>
    </row>
    <row r="5429" spans="153:166" x14ac:dyDescent="0.35">
      <c r="EW5429" t="s">
        <v>5211</v>
      </c>
      <c r="EX5429" t="s">
        <v>1848</v>
      </c>
      <c r="FF5429" t="s">
        <v>474</v>
      </c>
      <c r="FJ5429" t="s">
        <v>474</v>
      </c>
    </row>
    <row r="5430" spans="153:166" x14ac:dyDescent="0.35">
      <c r="EW5430" t="s">
        <v>5211</v>
      </c>
      <c r="EX5430" t="s">
        <v>1125</v>
      </c>
      <c r="FF5430" t="s">
        <v>1727</v>
      </c>
      <c r="FJ5430" t="s">
        <v>1727</v>
      </c>
    </row>
    <row r="5431" spans="153:166" x14ac:dyDescent="0.35">
      <c r="EW5431" t="s">
        <v>5211</v>
      </c>
      <c r="EX5431" t="s">
        <v>2508</v>
      </c>
      <c r="FF5431" t="s">
        <v>59</v>
      </c>
      <c r="FJ5431" t="s">
        <v>59</v>
      </c>
    </row>
    <row r="5432" spans="153:166" x14ac:dyDescent="0.35">
      <c r="EW5432" t="s">
        <v>5211</v>
      </c>
      <c r="EX5432" t="s">
        <v>1926</v>
      </c>
      <c r="FF5432" t="s">
        <v>474</v>
      </c>
      <c r="FJ5432" t="s">
        <v>474</v>
      </c>
    </row>
    <row r="5433" spans="153:166" x14ac:dyDescent="0.35">
      <c r="EW5433" t="s">
        <v>5211</v>
      </c>
      <c r="EX5433" t="s">
        <v>1897</v>
      </c>
      <c r="FF5433" t="s">
        <v>474</v>
      </c>
      <c r="FJ5433" t="s">
        <v>474</v>
      </c>
    </row>
    <row r="5434" spans="153:166" x14ac:dyDescent="0.35">
      <c r="EW5434" t="s">
        <v>5211</v>
      </c>
      <c r="EX5434" t="s">
        <v>1198</v>
      </c>
      <c r="FF5434" t="s">
        <v>474</v>
      </c>
      <c r="FJ5434" t="s">
        <v>474</v>
      </c>
    </row>
    <row r="5435" spans="153:166" x14ac:dyDescent="0.35">
      <c r="EW5435" t="s">
        <v>5211</v>
      </c>
      <c r="EX5435" t="s">
        <v>2071</v>
      </c>
      <c r="FF5435" t="s">
        <v>474</v>
      </c>
      <c r="FJ5435" t="s">
        <v>474</v>
      </c>
    </row>
    <row r="5436" spans="153:166" x14ac:dyDescent="0.35">
      <c r="EW5436" t="s">
        <v>5211</v>
      </c>
      <c r="EX5436" t="s">
        <v>1977</v>
      </c>
      <c r="FF5436" t="s">
        <v>474</v>
      </c>
      <c r="FJ5436" t="s">
        <v>474</v>
      </c>
    </row>
    <row r="5437" spans="153:166" x14ac:dyDescent="0.35">
      <c r="EW5437" t="s">
        <v>5211</v>
      </c>
      <c r="EX5437" t="s">
        <v>1860</v>
      </c>
      <c r="FF5437" t="s">
        <v>474</v>
      </c>
      <c r="FJ5437" t="s">
        <v>474</v>
      </c>
    </row>
    <row r="5438" spans="153:166" x14ac:dyDescent="0.35">
      <c r="EW5438" t="s">
        <v>5211</v>
      </c>
      <c r="EX5438" t="s">
        <v>2307</v>
      </c>
      <c r="FF5438" t="s">
        <v>474</v>
      </c>
      <c r="FJ5438" t="s">
        <v>474</v>
      </c>
    </row>
    <row r="5439" spans="153:166" x14ac:dyDescent="0.35">
      <c r="EW5439" t="s">
        <v>5211</v>
      </c>
      <c r="EX5439" t="s">
        <v>1306</v>
      </c>
      <c r="FF5439" t="s">
        <v>474</v>
      </c>
      <c r="FJ5439" t="s">
        <v>474</v>
      </c>
    </row>
    <row r="5440" spans="153:166" x14ac:dyDescent="0.35">
      <c r="EW5440" t="s">
        <v>5211</v>
      </c>
      <c r="EX5440" t="s">
        <v>1242</v>
      </c>
      <c r="FF5440" t="s">
        <v>474</v>
      </c>
      <c r="FJ5440" t="s">
        <v>474</v>
      </c>
    </row>
    <row r="5441" spans="153:166" x14ac:dyDescent="0.35">
      <c r="EW5441" t="s">
        <v>5211</v>
      </c>
      <c r="EX5441" t="s">
        <v>1931</v>
      </c>
      <c r="FF5441" t="s">
        <v>474</v>
      </c>
      <c r="FJ5441" t="s">
        <v>474</v>
      </c>
    </row>
    <row r="5442" spans="153:166" x14ac:dyDescent="0.35">
      <c r="EW5442" t="s">
        <v>5211</v>
      </c>
      <c r="EX5442" t="s">
        <v>2321</v>
      </c>
      <c r="FF5442" t="s">
        <v>474</v>
      </c>
      <c r="FJ5442" t="s">
        <v>474</v>
      </c>
    </row>
    <row r="5443" spans="153:166" x14ac:dyDescent="0.35">
      <c r="EW5443" t="s">
        <v>5211</v>
      </c>
      <c r="EX5443" t="s">
        <v>1911</v>
      </c>
      <c r="FF5443" t="s">
        <v>474</v>
      </c>
      <c r="FJ5443" t="s">
        <v>474</v>
      </c>
    </row>
    <row r="5444" spans="153:166" x14ac:dyDescent="0.35">
      <c r="EW5444" t="s">
        <v>5211</v>
      </c>
      <c r="EX5444" t="s">
        <v>1647</v>
      </c>
      <c r="FF5444" t="s">
        <v>474</v>
      </c>
      <c r="FJ5444" t="s">
        <v>474</v>
      </c>
    </row>
    <row r="5445" spans="153:166" x14ac:dyDescent="0.35">
      <c r="EW5445" t="s">
        <v>5211</v>
      </c>
      <c r="EX5445" t="s">
        <v>2082</v>
      </c>
      <c r="FF5445" t="s">
        <v>474</v>
      </c>
      <c r="FJ5445" t="s">
        <v>474</v>
      </c>
    </row>
    <row r="5446" spans="153:166" x14ac:dyDescent="0.35">
      <c r="EW5446" t="s">
        <v>5211</v>
      </c>
      <c r="EX5446" t="s">
        <v>1900</v>
      </c>
      <c r="FF5446" t="s">
        <v>474</v>
      </c>
      <c r="FJ5446" t="s">
        <v>474</v>
      </c>
    </row>
    <row r="5447" spans="153:166" x14ac:dyDescent="0.35">
      <c r="EW5447" t="s">
        <v>5211</v>
      </c>
      <c r="EX5447" t="s">
        <v>1877</v>
      </c>
      <c r="FF5447" t="s">
        <v>474</v>
      </c>
      <c r="FJ5447" t="s">
        <v>474</v>
      </c>
    </row>
    <row r="5448" spans="153:166" x14ac:dyDescent="0.35">
      <c r="EW5448" t="s">
        <v>5211</v>
      </c>
      <c r="EX5448" t="s">
        <v>1750</v>
      </c>
      <c r="FF5448" t="s">
        <v>474</v>
      </c>
      <c r="FJ5448" t="s">
        <v>474</v>
      </c>
    </row>
    <row r="5449" spans="153:166" x14ac:dyDescent="0.35">
      <c r="EW5449" t="s">
        <v>5211</v>
      </c>
      <c r="EX5449" t="s">
        <v>1762</v>
      </c>
      <c r="FF5449" t="s">
        <v>474</v>
      </c>
      <c r="FJ5449" t="s">
        <v>474</v>
      </c>
    </row>
    <row r="5450" spans="153:166" x14ac:dyDescent="0.35">
      <c r="EW5450" t="s">
        <v>5211</v>
      </c>
      <c r="EX5450" t="s">
        <v>1248</v>
      </c>
      <c r="FF5450" t="s">
        <v>474</v>
      </c>
      <c r="FJ5450" t="s">
        <v>474</v>
      </c>
    </row>
    <row r="5451" spans="153:166" x14ac:dyDescent="0.35">
      <c r="EW5451" t="s">
        <v>5211</v>
      </c>
      <c r="EX5451" t="s">
        <v>1771</v>
      </c>
      <c r="FF5451" t="s">
        <v>474</v>
      </c>
      <c r="FJ5451" t="s">
        <v>474</v>
      </c>
    </row>
    <row r="5452" spans="153:166" x14ac:dyDescent="0.35">
      <c r="EW5452" t="s">
        <v>5211</v>
      </c>
      <c r="EX5452" t="s">
        <v>1942</v>
      </c>
      <c r="FF5452" t="s">
        <v>474</v>
      </c>
      <c r="FJ5452" t="s">
        <v>474</v>
      </c>
    </row>
    <row r="5453" spans="153:166" x14ac:dyDescent="0.35">
      <c r="EW5453" t="s">
        <v>5211</v>
      </c>
      <c r="EX5453" t="s">
        <v>1774</v>
      </c>
      <c r="FF5453" t="s">
        <v>474</v>
      </c>
      <c r="FJ5453" t="s">
        <v>474</v>
      </c>
    </row>
    <row r="5454" spans="153:166" x14ac:dyDescent="0.35">
      <c r="EW5454" t="s">
        <v>5211</v>
      </c>
      <c r="EX5454" t="s">
        <v>1252</v>
      </c>
      <c r="FF5454" t="s">
        <v>474</v>
      </c>
      <c r="FJ5454" t="s">
        <v>474</v>
      </c>
    </row>
    <row r="5455" spans="153:166" x14ac:dyDescent="0.35">
      <c r="EW5455" t="s">
        <v>5211</v>
      </c>
      <c r="EX5455" t="s">
        <v>1173</v>
      </c>
      <c r="FF5455" t="s">
        <v>474</v>
      </c>
      <c r="FJ5455" t="s">
        <v>474</v>
      </c>
    </row>
    <row r="5456" spans="153:166" x14ac:dyDescent="0.35">
      <c r="EW5456" t="s">
        <v>5211</v>
      </c>
      <c r="EX5456" t="s">
        <v>1784</v>
      </c>
      <c r="FF5456" t="s">
        <v>474</v>
      </c>
      <c r="FJ5456" t="s">
        <v>474</v>
      </c>
    </row>
    <row r="5457" spans="153:166" x14ac:dyDescent="0.35">
      <c r="EW5457" t="s">
        <v>5211</v>
      </c>
      <c r="EX5457" t="s">
        <v>2364</v>
      </c>
      <c r="FF5457" t="s">
        <v>474</v>
      </c>
      <c r="FJ5457" t="s">
        <v>474</v>
      </c>
    </row>
    <row r="5458" spans="153:166" x14ac:dyDescent="0.35">
      <c r="EW5458" t="s">
        <v>5211</v>
      </c>
      <c r="EX5458" t="s">
        <v>1781</v>
      </c>
      <c r="FF5458" t="s">
        <v>474</v>
      </c>
      <c r="FJ5458" t="s">
        <v>474</v>
      </c>
    </row>
    <row r="5459" spans="153:166" x14ac:dyDescent="0.35">
      <c r="EW5459" t="s">
        <v>5211</v>
      </c>
      <c r="EX5459" t="s">
        <v>1897</v>
      </c>
      <c r="FF5459" t="s">
        <v>474</v>
      </c>
      <c r="FJ5459" t="s">
        <v>474</v>
      </c>
    </row>
    <row r="5460" spans="153:166" x14ac:dyDescent="0.35">
      <c r="EW5460" t="s">
        <v>5211</v>
      </c>
      <c r="EX5460" t="s">
        <v>1132</v>
      </c>
      <c r="FF5460" t="s">
        <v>474</v>
      </c>
      <c r="FJ5460" t="s">
        <v>474</v>
      </c>
    </row>
    <row r="5461" spans="153:166" x14ac:dyDescent="0.35">
      <c r="EW5461" t="s">
        <v>5211</v>
      </c>
      <c r="EX5461" t="s">
        <v>1306</v>
      </c>
      <c r="FF5461" t="s">
        <v>474</v>
      </c>
      <c r="FJ5461" t="s">
        <v>474</v>
      </c>
    </row>
    <row r="5462" spans="153:166" x14ac:dyDescent="0.35">
      <c r="EW5462" t="s">
        <v>5211</v>
      </c>
      <c r="EX5462" t="s">
        <v>1797</v>
      </c>
      <c r="FF5462" t="s">
        <v>474</v>
      </c>
      <c r="FJ5462" t="s">
        <v>474</v>
      </c>
    </row>
    <row r="5463" spans="153:166" x14ac:dyDescent="0.35">
      <c r="EW5463" t="s">
        <v>5211</v>
      </c>
      <c r="EX5463" t="s">
        <v>1911</v>
      </c>
      <c r="FF5463" t="s">
        <v>474</v>
      </c>
      <c r="FJ5463" t="s">
        <v>474</v>
      </c>
    </row>
    <row r="5464" spans="153:166" x14ac:dyDescent="0.35">
      <c r="EW5464" t="s">
        <v>5211</v>
      </c>
      <c r="EX5464" t="s">
        <v>2427</v>
      </c>
      <c r="FF5464" t="s">
        <v>474</v>
      </c>
      <c r="FJ5464" t="s">
        <v>474</v>
      </c>
    </row>
    <row r="5465" spans="153:166" x14ac:dyDescent="0.35">
      <c r="EW5465" t="s">
        <v>5211</v>
      </c>
      <c r="EX5465" t="s">
        <v>1738</v>
      </c>
      <c r="FF5465" t="s">
        <v>474</v>
      </c>
      <c r="FJ5465" t="s">
        <v>474</v>
      </c>
    </row>
    <row r="5466" spans="153:166" x14ac:dyDescent="0.35">
      <c r="EW5466" t="s">
        <v>5211</v>
      </c>
      <c r="EX5466" t="s">
        <v>1804</v>
      </c>
      <c r="FF5466" t="s">
        <v>474</v>
      </c>
      <c r="FJ5466" t="s">
        <v>474</v>
      </c>
    </row>
    <row r="5467" spans="153:166" x14ac:dyDescent="0.35">
      <c r="EW5467" t="s">
        <v>5211</v>
      </c>
      <c r="EX5467" t="s">
        <v>1237</v>
      </c>
      <c r="FF5467" t="s">
        <v>474</v>
      </c>
      <c r="FJ5467" t="s">
        <v>474</v>
      </c>
    </row>
    <row r="5468" spans="153:166" x14ac:dyDescent="0.35">
      <c r="EW5468" t="s">
        <v>5211</v>
      </c>
      <c r="EX5468" t="s">
        <v>2245</v>
      </c>
      <c r="FF5468" t="s">
        <v>474</v>
      </c>
      <c r="FJ5468" t="s">
        <v>474</v>
      </c>
    </row>
    <row r="5469" spans="153:166" x14ac:dyDescent="0.35">
      <c r="EW5469" t="s">
        <v>5211</v>
      </c>
      <c r="EX5469" t="s">
        <v>2379</v>
      </c>
      <c r="FF5469" t="s">
        <v>474</v>
      </c>
      <c r="FJ5469" t="s">
        <v>474</v>
      </c>
    </row>
    <row r="5470" spans="153:166" x14ac:dyDescent="0.35">
      <c r="EW5470" t="s">
        <v>5211</v>
      </c>
      <c r="EX5470" t="s">
        <v>1929</v>
      </c>
      <c r="FF5470" t="s">
        <v>474</v>
      </c>
      <c r="FJ5470" t="s">
        <v>474</v>
      </c>
    </row>
    <row r="5471" spans="153:166" x14ac:dyDescent="0.35">
      <c r="EW5471" t="s">
        <v>5211</v>
      </c>
      <c r="EX5471" t="s">
        <v>2351</v>
      </c>
      <c r="FF5471" t="s">
        <v>474</v>
      </c>
      <c r="FJ5471" t="s">
        <v>474</v>
      </c>
    </row>
    <row r="5472" spans="153:166" x14ac:dyDescent="0.35">
      <c r="EW5472" t="s">
        <v>5211</v>
      </c>
      <c r="EX5472" t="s">
        <v>2412</v>
      </c>
      <c r="FF5472" t="s">
        <v>474</v>
      </c>
      <c r="FJ5472" t="s">
        <v>474</v>
      </c>
    </row>
    <row r="5473" spans="153:166" x14ac:dyDescent="0.35">
      <c r="EW5473" t="s">
        <v>5211</v>
      </c>
      <c r="EX5473" t="s">
        <v>1289</v>
      </c>
      <c r="FF5473" t="s">
        <v>474</v>
      </c>
      <c r="FJ5473" t="s">
        <v>474</v>
      </c>
    </row>
    <row r="5474" spans="153:166" x14ac:dyDescent="0.35">
      <c r="EW5474" t="s">
        <v>5211</v>
      </c>
      <c r="EX5474" t="s">
        <v>2414</v>
      </c>
      <c r="FF5474" t="s">
        <v>474</v>
      </c>
      <c r="FJ5474" t="s">
        <v>474</v>
      </c>
    </row>
    <row r="5475" spans="153:166" x14ac:dyDescent="0.35">
      <c r="EW5475" t="s">
        <v>5211</v>
      </c>
      <c r="EX5475" t="s">
        <v>1744</v>
      </c>
      <c r="FF5475" t="s">
        <v>474</v>
      </c>
      <c r="FJ5475" t="s">
        <v>474</v>
      </c>
    </row>
    <row r="5476" spans="153:166" x14ac:dyDescent="0.35">
      <c r="EW5476" t="s">
        <v>5211</v>
      </c>
      <c r="EX5476" t="s">
        <v>1260</v>
      </c>
      <c r="FF5476" t="s">
        <v>474</v>
      </c>
      <c r="FJ5476" t="s">
        <v>474</v>
      </c>
    </row>
    <row r="5477" spans="153:166" x14ac:dyDescent="0.35">
      <c r="EW5477" t="s">
        <v>5211</v>
      </c>
      <c r="EX5477" t="s">
        <v>1977</v>
      </c>
      <c r="FF5477" t="s">
        <v>474</v>
      </c>
      <c r="FJ5477" t="s">
        <v>474</v>
      </c>
    </row>
    <row r="5478" spans="153:166" x14ac:dyDescent="0.35">
      <c r="EW5478" t="s">
        <v>5211</v>
      </c>
      <c r="EX5478" t="s">
        <v>1945</v>
      </c>
      <c r="FF5478" t="s">
        <v>474</v>
      </c>
      <c r="FJ5478" t="s">
        <v>474</v>
      </c>
    </row>
    <row r="5479" spans="153:166" x14ac:dyDescent="0.35">
      <c r="EW5479" t="s">
        <v>5211</v>
      </c>
      <c r="EX5479" t="s">
        <v>1298</v>
      </c>
      <c r="FF5479" t="s">
        <v>474</v>
      </c>
      <c r="FJ5479" t="s">
        <v>474</v>
      </c>
    </row>
    <row r="5480" spans="153:166" x14ac:dyDescent="0.35">
      <c r="EW5480" t="s">
        <v>5211</v>
      </c>
      <c r="EX5480" t="s">
        <v>2388</v>
      </c>
      <c r="FF5480" t="s">
        <v>474</v>
      </c>
      <c r="FJ5480" t="s">
        <v>474</v>
      </c>
    </row>
    <row r="5481" spans="153:166" x14ac:dyDescent="0.35">
      <c r="EW5481" t="s">
        <v>5211</v>
      </c>
      <c r="EX5481" t="s">
        <v>1256</v>
      </c>
      <c r="FF5481" t="s">
        <v>474</v>
      </c>
      <c r="FJ5481" t="s">
        <v>474</v>
      </c>
    </row>
    <row r="5482" spans="153:166" x14ac:dyDescent="0.35">
      <c r="EW5482" t="s">
        <v>5211</v>
      </c>
      <c r="EX5482" t="s">
        <v>1173</v>
      </c>
      <c r="FF5482" t="s">
        <v>474</v>
      </c>
      <c r="FJ5482" t="s">
        <v>474</v>
      </c>
    </row>
    <row r="5483" spans="153:166" x14ac:dyDescent="0.35">
      <c r="EW5483" t="s">
        <v>5211</v>
      </c>
      <c r="EX5483" t="s">
        <v>1825</v>
      </c>
      <c r="FF5483" t="s">
        <v>474</v>
      </c>
      <c r="FJ5483" t="s">
        <v>474</v>
      </c>
    </row>
    <row r="5484" spans="153:166" x14ac:dyDescent="0.35">
      <c r="EW5484" t="s">
        <v>5211</v>
      </c>
      <c r="EX5484" t="s">
        <v>1833</v>
      </c>
      <c r="FF5484" t="s">
        <v>474</v>
      </c>
      <c r="FJ5484" t="s">
        <v>474</v>
      </c>
    </row>
    <row r="5485" spans="153:166" x14ac:dyDescent="0.35">
      <c r="EW5485" t="s">
        <v>5211</v>
      </c>
      <c r="EX5485" t="s">
        <v>1718</v>
      </c>
      <c r="FF5485" t="s">
        <v>474</v>
      </c>
      <c r="FJ5485" t="s">
        <v>474</v>
      </c>
    </row>
    <row r="5486" spans="153:166" x14ac:dyDescent="0.35">
      <c r="EW5486" t="s">
        <v>5211</v>
      </c>
      <c r="EX5486" t="s">
        <v>1839</v>
      </c>
      <c r="FF5486" t="s">
        <v>474</v>
      </c>
      <c r="FJ5486" t="s">
        <v>474</v>
      </c>
    </row>
    <row r="5487" spans="153:166" x14ac:dyDescent="0.35">
      <c r="EW5487" t="s">
        <v>5211</v>
      </c>
      <c r="EX5487" t="s">
        <v>2398</v>
      </c>
      <c r="FF5487" t="s">
        <v>474</v>
      </c>
      <c r="FJ5487" t="s">
        <v>474</v>
      </c>
    </row>
    <row r="5488" spans="153:166" x14ac:dyDescent="0.35">
      <c r="EW5488" t="s">
        <v>5211</v>
      </c>
      <c r="EX5488" t="s">
        <v>1215</v>
      </c>
      <c r="FF5488" t="s">
        <v>474</v>
      </c>
      <c r="FJ5488" t="s">
        <v>474</v>
      </c>
    </row>
    <row r="5489" spans="153:166" x14ac:dyDescent="0.35">
      <c r="EW5489" t="s">
        <v>5211</v>
      </c>
      <c r="EX5489" t="s">
        <v>1843</v>
      </c>
      <c r="FF5489" t="s">
        <v>474</v>
      </c>
      <c r="FJ5489" t="s">
        <v>474</v>
      </c>
    </row>
    <row r="5490" spans="153:166" x14ac:dyDescent="0.35">
      <c r="EW5490" t="s">
        <v>5211</v>
      </c>
      <c r="EX5490" t="s">
        <v>2207</v>
      </c>
      <c r="FF5490" t="s">
        <v>474</v>
      </c>
      <c r="FJ5490" t="s">
        <v>474</v>
      </c>
    </row>
    <row r="5491" spans="153:166" x14ac:dyDescent="0.35">
      <c r="EW5491" t="s">
        <v>5211</v>
      </c>
      <c r="EX5491" t="s">
        <v>1350</v>
      </c>
      <c r="FF5491" t="s">
        <v>474</v>
      </c>
      <c r="FJ5491" t="s">
        <v>474</v>
      </c>
    </row>
    <row r="5492" spans="153:166" x14ac:dyDescent="0.35">
      <c r="EW5492" t="s">
        <v>5211</v>
      </c>
      <c r="EX5492" t="s">
        <v>1388</v>
      </c>
      <c r="FF5492" t="s">
        <v>474</v>
      </c>
      <c r="FJ5492" t="s">
        <v>474</v>
      </c>
    </row>
    <row r="5493" spans="153:166" x14ac:dyDescent="0.35">
      <c r="EW5493" t="s">
        <v>5211</v>
      </c>
      <c r="EX5493" t="s">
        <v>1777</v>
      </c>
      <c r="FF5493" t="s">
        <v>474</v>
      </c>
      <c r="FJ5493" t="s">
        <v>474</v>
      </c>
    </row>
    <row r="5494" spans="153:166" x14ac:dyDescent="0.35">
      <c r="EW5494" t="s">
        <v>5211</v>
      </c>
      <c r="EX5494" t="s">
        <v>1794</v>
      </c>
      <c r="FF5494" t="s">
        <v>474</v>
      </c>
      <c r="FJ5494" t="s">
        <v>474</v>
      </c>
    </row>
    <row r="5495" spans="153:166" x14ac:dyDescent="0.35">
      <c r="EW5495" t="s">
        <v>5211</v>
      </c>
      <c r="EX5495" t="s">
        <v>1804</v>
      </c>
      <c r="FF5495" t="s">
        <v>474</v>
      </c>
      <c r="FJ5495" t="s">
        <v>474</v>
      </c>
    </row>
    <row r="5496" spans="153:166" x14ac:dyDescent="0.35">
      <c r="EW5496" t="s">
        <v>5211</v>
      </c>
      <c r="EX5496" t="s">
        <v>1768</v>
      </c>
      <c r="FF5496" t="s">
        <v>474</v>
      </c>
      <c r="FJ5496" t="s">
        <v>474</v>
      </c>
    </row>
    <row r="5497" spans="153:166" x14ac:dyDescent="0.35">
      <c r="EW5497" t="s">
        <v>5211</v>
      </c>
      <c r="EX5497" t="s">
        <v>2245</v>
      </c>
      <c r="FF5497" t="s">
        <v>474</v>
      </c>
      <c r="FJ5497" t="s">
        <v>474</v>
      </c>
    </row>
    <row r="5498" spans="153:166" x14ac:dyDescent="0.35">
      <c r="EW5498" t="s">
        <v>5211</v>
      </c>
      <c r="EX5498" t="s">
        <v>1730</v>
      </c>
      <c r="FF5498" t="s">
        <v>474</v>
      </c>
      <c r="FJ5498" t="s">
        <v>474</v>
      </c>
    </row>
    <row r="5499" spans="153:166" x14ac:dyDescent="0.35">
      <c r="EW5499" t="s">
        <v>5211</v>
      </c>
      <c r="EX5499" t="s">
        <v>2351</v>
      </c>
      <c r="FF5499" t="s">
        <v>474</v>
      </c>
      <c r="FJ5499" t="s">
        <v>474</v>
      </c>
    </row>
    <row r="5500" spans="153:166" x14ac:dyDescent="0.35">
      <c r="EW5500" t="s">
        <v>5211</v>
      </c>
      <c r="EX5500" t="s">
        <v>2307</v>
      </c>
      <c r="FF5500" t="s">
        <v>474</v>
      </c>
      <c r="FJ5500" t="s">
        <v>474</v>
      </c>
    </row>
    <row r="5501" spans="153:166" x14ac:dyDescent="0.35">
      <c r="EW5501" t="s">
        <v>5211</v>
      </c>
      <c r="EX5501" t="s">
        <v>2454</v>
      </c>
      <c r="FF5501" t="s">
        <v>474</v>
      </c>
      <c r="FJ5501" t="s">
        <v>474</v>
      </c>
    </row>
    <row r="5502" spans="153:166" x14ac:dyDescent="0.35">
      <c r="EW5502" t="s">
        <v>5211</v>
      </c>
      <c r="EX5502" t="s">
        <v>2412</v>
      </c>
      <c r="FF5502" t="s">
        <v>474</v>
      </c>
      <c r="FJ5502" t="s">
        <v>474</v>
      </c>
    </row>
    <row r="5503" spans="153:166" x14ac:dyDescent="0.35">
      <c r="EW5503" t="s">
        <v>5211</v>
      </c>
      <c r="EX5503" t="s">
        <v>2414</v>
      </c>
      <c r="FF5503" t="s">
        <v>474</v>
      </c>
      <c r="FJ5503" t="s">
        <v>474</v>
      </c>
    </row>
    <row r="5504" spans="153:166" x14ac:dyDescent="0.35">
      <c r="EW5504" t="s">
        <v>5211</v>
      </c>
      <c r="EX5504" t="s">
        <v>2082</v>
      </c>
      <c r="FF5504" t="s">
        <v>474</v>
      </c>
      <c r="FJ5504" t="s">
        <v>474</v>
      </c>
    </row>
    <row r="5505" spans="153:166" x14ac:dyDescent="0.35">
      <c r="EW5505" t="s">
        <v>5211</v>
      </c>
      <c r="EX5505" t="s">
        <v>1744</v>
      </c>
      <c r="FF5505" t="s">
        <v>474</v>
      </c>
      <c r="FJ5505" t="s">
        <v>474</v>
      </c>
    </row>
    <row r="5506" spans="153:166" x14ac:dyDescent="0.35">
      <c r="EW5506" t="s">
        <v>5211</v>
      </c>
      <c r="EX5506" t="s">
        <v>1977</v>
      </c>
      <c r="FF5506" t="s">
        <v>474</v>
      </c>
      <c r="FJ5506" t="s">
        <v>474</v>
      </c>
    </row>
    <row r="5507" spans="153:166" x14ac:dyDescent="0.35">
      <c r="EW5507" t="s">
        <v>5211</v>
      </c>
      <c r="EX5507" t="s">
        <v>2315</v>
      </c>
      <c r="FF5507" t="s">
        <v>474</v>
      </c>
      <c r="FJ5507" t="s">
        <v>474</v>
      </c>
    </row>
    <row r="5508" spans="153:166" x14ac:dyDescent="0.35">
      <c r="EW5508" t="s">
        <v>5211</v>
      </c>
      <c r="EX5508" t="s">
        <v>1497</v>
      </c>
      <c r="FF5508" t="s">
        <v>474</v>
      </c>
      <c r="FJ5508" t="s">
        <v>474</v>
      </c>
    </row>
    <row r="5509" spans="153:166" x14ac:dyDescent="0.35">
      <c r="EW5509" t="s">
        <v>5211</v>
      </c>
      <c r="EX5509" t="s">
        <v>2421</v>
      </c>
      <c r="FF5509" t="s">
        <v>474</v>
      </c>
      <c r="FJ5509" t="s">
        <v>474</v>
      </c>
    </row>
    <row r="5510" spans="153:166" x14ac:dyDescent="0.35">
      <c r="EW5510" t="s">
        <v>5211</v>
      </c>
      <c r="EX5510" t="s">
        <v>2364</v>
      </c>
      <c r="FF5510" t="s">
        <v>474</v>
      </c>
      <c r="FJ5510" t="s">
        <v>474</v>
      </c>
    </row>
    <row r="5511" spans="153:166" x14ac:dyDescent="0.35">
      <c r="EW5511" t="s">
        <v>5211</v>
      </c>
      <c r="EX5511" t="s">
        <v>2388</v>
      </c>
      <c r="FF5511" t="s">
        <v>474</v>
      </c>
      <c r="FJ5511" t="s">
        <v>474</v>
      </c>
    </row>
    <row r="5512" spans="153:166" x14ac:dyDescent="0.35">
      <c r="EW5512" t="s">
        <v>5211</v>
      </c>
      <c r="EX5512" t="s">
        <v>1848</v>
      </c>
      <c r="FF5512" t="s">
        <v>474</v>
      </c>
      <c r="FJ5512" t="s">
        <v>474</v>
      </c>
    </row>
    <row r="5513" spans="153:166" x14ac:dyDescent="0.35">
      <c r="EW5513" t="s">
        <v>5211</v>
      </c>
      <c r="EX5513" t="s">
        <v>2427</v>
      </c>
      <c r="FF5513" t="s">
        <v>474</v>
      </c>
      <c r="FJ5513" t="s">
        <v>474</v>
      </c>
    </row>
    <row r="5514" spans="153:166" x14ac:dyDescent="0.35">
      <c r="EW5514" t="s">
        <v>5211</v>
      </c>
      <c r="EX5514" t="s">
        <v>1877</v>
      </c>
      <c r="FF5514" t="s">
        <v>474</v>
      </c>
      <c r="FJ5514" t="s">
        <v>474</v>
      </c>
    </row>
    <row r="5515" spans="153:166" x14ac:dyDescent="0.35">
      <c r="EW5515" t="s">
        <v>5211</v>
      </c>
      <c r="EX5515" t="s">
        <v>1759</v>
      </c>
      <c r="FF5515" t="s">
        <v>474</v>
      </c>
      <c r="FJ5515" t="s">
        <v>474</v>
      </c>
    </row>
    <row r="5516" spans="153:166" x14ac:dyDescent="0.35">
      <c r="EW5516" t="s">
        <v>5211</v>
      </c>
      <c r="EX5516" t="s">
        <v>1264</v>
      </c>
      <c r="FF5516" t="s">
        <v>474</v>
      </c>
      <c r="FJ5516" t="s">
        <v>474</v>
      </c>
    </row>
    <row r="5517" spans="153:166" x14ac:dyDescent="0.35">
      <c r="EW5517" t="s">
        <v>5211</v>
      </c>
      <c r="EX5517" t="s">
        <v>1839</v>
      </c>
      <c r="FF5517" t="s">
        <v>474</v>
      </c>
      <c r="FJ5517" t="s">
        <v>474</v>
      </c>
    </row>
    <row r="5518" spans="153:166" x14ac:dyDescent="0.35">
      <c r="EW5518" t="s">
        <v>5211</v>
      </c>
      <c r="EX5518" t="s">
        <v>1836</v>
      </c>
      <c r="FF5518" t="s">
        <v>474</v>
      </c>
      <c r="FJ5518" t="s">
        <v>474</v>
      </c>
    </row>
    <row r="5519" spans="153:166" x14ac:dyDescent="0.35">
      <c r="EW5519" t="s">
        <v>5211</v>
      </c>
      <c r="EX5519" t="s">
        <v>2398</v>
      </c>
      <c r="FF5519" t="s">
        <v>474</v>
      </c>
      <c r="FJ5519" t="s">
        <v>474</v>
      </c>
    </row>
    <row r="5520" spans="153:166" x14ac:dyDescent="0.35">
      <c r="EW5520" t="s">
        <v>5211</v>
      </c>
      <c r="EX5520" t="s">
        <v>206</v>
      </c>
      <c r="FF5520" t="s">
        <v>59</v>
      </c>
      <c r="FJ5520" t="s">
        <v>59</v>
      </c>
    </row>
    <row r="5521" spans="153:166" x14ac:dyDescent="0.35">
      <c r="EW5521" t="s">
        <v>5211</v>
      </c>
      <c r="EX5521" t="s">
        <v>2335</v>
      </c>
      <c r="FF5521" t="s">
        <v>474</v>
      </c>
      <c r="FJ5521" t="s">
        <v>474</v>
      </c>
    </row>
    <row r="5522" spans="153:166" x14ac:dyDescent="0.35">
      <c r="EW5522" t="s">
        <v>5211</v>
      </c>
      <c r="EX5522" t="s">
        <v>2251</v>
      </c>
      <c r="FF5522" t="s">
        <v>474</v>
      </c>
      <c r="FJ5522" t="s">
        <v>474</v>
      </c>
    </row>
    <row r="5523" spans="153:166" x14ac:dyDescent="0.35">
      <c r="EW5523" t="s">
        <v>5211</v>
      </c>
      <c r="EX5523" t="s">
        <v>1894</v>
      </c>
      <c r="FF5523" t="s">
        <v>474</v>
      </c>
      <c r="FJ5523" t="s">
        <v>474</v>
      </c>
    </row>
    <row r="5524" spans="153:166" x14ac:dyDescent="0.35">
      <c r="EW5524" t="s">
        <v>5211</v>
      </c>
      <c r="EX5524" t="s">
        <v>1897</v>
      </c>
      <c r="FF5524" t="s">
        <v>474</v>
      </c>
      <c r="FJ5524" t="s">
        <v>474</v>
      </c>
    </row>
    <row r="5525" spans="153:166" x14ac:dyDescent="0.35">
      <c r="EW5525" t="s">
        <v>5211</v>
      </c>
      <c r="EX5525" t="s">
        <v>1800</v>
      </c>
      <c r="FF5525" t="s">
        <v>474</v>
      </c>
      <c r="FJ5525" t="s">
        <v>474</v>
      </c>
    </row>
    <row r="5526" spans="153:166" x14ac:dyDescent="0.35">
      <c r="EW5526" t="s">
        <v>5211</v>
      </c>
      <c r="EX5526" t="s">
        <v>1418</v>
      </c>
      <c r="FF5526" t="s">
        <v>474</v>
      </c>
      <c r="FJ5526" t="s">
        <v>474</v>
      </c>
    </row>
    <row r="5527" spans="153:166" x14ac:dyDescent="0.35">
      <c r="EW5527" t="s">
        <v>5211</v>
      </c>
      <c r="EX5527" t="s">
        <v>1292</v>
      </c>
      <c r="FF5527" t="s">
        <v>474</v>
      </c>
      <c r="FJ5527" t="s">
        <v>474</v>
      </c>
    </row>
    <row r="5528" spans="153:166" x14ac:dyDescent="0.35">
      <c r="EW5528" t="s">
        <v>5211</v>
      </c>
      <c r="EX5528" t="s">
        <v>1914</v>
      </c>
      <c r="FF5528" t="s">
        <v>474</v>
      </c>
      <c r="FJ5528" t="s">
        <v>474</v>
      </c>
    </row>
    <row r="5529" spans="153:166" x14ac:dyDescent="0.35">
      <c r="EW5529" t="s">
        <v>5211</v>
      </c>
      <c r="EX5529" t="s">
        <v>1804</v>
      </c>
      <c r="FF5529" t="s">
        <v>474</v>
      </c>
      <c r="FJ5529" t="s">
        <v>474</v>
      </c>
    </row>
    <row r="5530" spans="153:166" x14ac:dyDescent="0.35">
      <c r="EW5530" t="s">
        <v>5211</v>
      </c>
      <c r="EX5530" t="s">
        <v>2351</v>
      </c>
      <c r="FF5530" t="s">
        <v>474</v>
      </c>
      <c r="FJ5530" t="s">
        <v>474</v>
      </c>
    </row>
    <row r="5531" spans="153:166" x14ac:dyDescent="0.35">
      <c r="EW5531" t="s">
        <v>5211</v>
      </c>
      <c r="EX5531" t="s">
        <v>1768</v>
      </c>
      <c r="FF5531" t="s">
        <v>474</v>
      </c>
      <c r="FJ5531" t="s">
        <v>474</v>
      </c>
    </row>
    <row r="5532" spans="153:166" x14ac:dyDescent="0.35">
      <c r="EW5532" t="s">
        <v>5211</v>
      </c>
      <c r="EX5532" t="s">
        <v>2454</v>
      </c>
      <c r="FF5532" t="s">
        <v>474</v>
      </c>
      <c r="FJ5532" t="s">
        <v>474</v>
      </c>
    </row>
    <row r="5533" spans="153:166" x14ac:dyDescent="0.35">
      <c r="EW5533" t="s">
        <v>5211</v>
      </c>
      <c r="EX5533" t="s">
        <v>1173</v>
      </c>
      <c r="FF5533" t="s">
        <v>474</v>
      </c>
      <c r="FJ5533" t="s">
        <v>474</v>
      </c>
    </row>
    <row r="5534" spans="153:166" x14ac:dyDescent="0.35">
      <c r="EW5534" t="s">
        <v>5211</v>
      </c>
      <c r="EX5534" t="s">
        <v>2427</v>
      </c>
      <c r="FF5534" t="s">
        <v>474</v>
      </c>
      <c r="FJ5534" t="s">
        <v>474</v>
      </c>
    </row>
    <row r="5535" spans="153:166" x14ac:dyDescent="0.35">
      <c r="EW5535" t="s">
        <v>5211</v>
      </c>
      <c r="EX5535" t="s">
        <v>1162</v>
      </c>
      <c r="FF5535" t="s">
        <v>474</v>
      </c>
      <c r="FJ5535" t="s">
        <v>474</v>
      </c>
    </row>
    <row r="5536" spans="153:166" x14ac:dyDescent="0.35">
      <c r="EW5536" t="s">
        <v>5211</v>
      </c>
      <c r="EX5536" t="s">
        <v>1839</v>
      </c>
      <c r="FF5536" t="s">
        <v>474</v>
      </c>
      <c r="FJ5536" t="s">
        <v>474</v>
      </c>
    </row>
    <row r="5537" spans="153:166" x14ac:dyDescent="0.35">
      <c r="EW5537" t="s">
        <v>5211</v>
      </c>
      <c r="EX5537" t="s">
        <v>1955</v>
      </c>
      <c r="FF5537" t="s">
        <v>474</v>
      </c>
      <c r="FJ5537" t="s">
        <v>474</v>
      </c>
    </row>
    <row r="5538" spans="153:166" x14ac:dyDescent="0.35">
      <c r="EW5538" t="s">
        <v>5211</v>
      </c>
      <c r="EX5538" t="s">
        <v>1774</v>
      </c>
      <c r="FF5538" t="s">
        <v>474</v>
      </c>
      <c r="FJ5538" t="s">
        <v>474</v>
      </c>
    </row>
    <row r="5539" spans="153:166" x14ac:dyDescent="0.35">
      <c r="EW5539" t="s">
        <v>5211</v>
      </c>
      <c r="EX5539" t="s">
        <v>1008</v>
      </c>
      <c r="FF5539" t="s">
        <v>59</v>
      </c>
      <c r="FJ5539" t="s">
        <v>59</v>
      </c>
    </row>
    <row r="5540" spans="153:166" x14ac:dyDescent="0.35">
      <c r="EW5540" t="s">
        <v>5211</v>
      </c>
      <c r="EX5540" t="s">
        <v>1125</v>
      </c>
      <c r="FF5540" t="s">
        <v>1727</v>
      </c>
      <c r="FJ5540" t="s">
        <v>1727</v>
      </c>
    </row>
    <row r="5541" spans="153:166" x14ac:dyDescent="0.35">
      <c r="EW5541" t="s">
        <v>5211</v>
      </c>
      <c r="EX5541" t="s">
        <v>1120</v>
      </c>
      <c r="FF5541" t="s">
        <v>1727</v>
      </c>
      <c r="FJ5541" t="s">
        <v>1727</v>
      </c>
    </row>
    <row r="5542" spans="153:166" x14ac:dyDescent="0.35">
      <c r="EW5542" t="s">
        <v>5211</v>
      </c>
      <c r="EX5542" t="s">
        <v>217</v>
      </c>
      <c r="FF5542" t="s">
        <v>59</v>
      </c>
      <c r="FJ5542" t="s">
        <v>59</v>
      </c>
    </row>
    <row r="5543" spans="153:166" x14ac:dyDescent="0.35">
      <c r="EW5543" t="s">
        <v>5211</v>
      </c>
      <c r="EX5543" t="s">
        <v>685</v>
      </c>
      <c r="FF5543" t="s">
        <v>59</v>
      </c>
      <c r="FJ5543" t="s">
        <v>59</v>
      </c>
    </row>
    <row r="5544" spans="153:166" x14ac:dyDescent="0.35">
      <c r="EW5544" t="s">
        <v>5211</v>
      </c>
      <c r="EX5544" t="s">
        <v>1082</v>
      </c>
      <c r="FF5544" t="s">
        <v>59</v>
      </c>
      <c r="FJ5544" t="s">
        <v>59</v>
      </c>
    </row>
    <row r="5545" spans="153:166" x14ac:dyDescent="0.35">
      <c r="EW5545" t="s">
        <v>5211</v>
      </c>
      <c r="EX5545" t="s">
        <v>730</v>
      </c>
      <c r="FF5545" t="s">
        <v>59</v>
      </c>
      <c r="FJ5545" t="s">
        <v>59</v>
      </c>
    </row>
    <row r="5546" spans="153:166" x14ac:dyDescent="0.35">
      <c r="EW5546" t="s">
        <v>5211</v>
      </c>
      <c r="EX5546" t="s">
        <v>2624</v>
      </c>
      <c r="FF5546" t="s">
        <v>59</v>
      </c>
      <c r="FJ5546" t="s">
        <v>59</v>
      </c>
    </row>
    <row r="5547" spans="153:166" x14ac:dyDescent="0.35">
      <c r="EW5547" t="s">
        <v>5211</v>
      </c>
      <c r="EX5547" t="s">
        <v>482</v>
      </c>
      <c r="FF5547" t="s">
        <v>59</v>
      </c>
      <c r="FJ5547" t="s">
        <v>59</v>
      </c>
    </row>
    <row r="5548" spans="153:166" x14ac:dyDescent="0.35">
      <c r="EW5548" t="s">
        <v>5211</v>
      </c>
      <c r="EX5548" t="s">
        <v>556</v>
      </c>
      <c r="FF5548" t="s">
        <v>59</v>
      </c>
      <c r="FJ5548" t="s">
        <v>59</v>
      </c>
    </row>
    <row r="5549" spans="153:166" x14ac:dyDescent="0.35">
      <c r="EW5549" t="s">
        <v>5211</v>
      </c>
      <c r="EX5549" t="s">
        <v>2628</v>
      </c>
      <c r="FF5549" t="s">
        <v>59</v>
      </c>
      <c r="FJ5549" t="s">
        <v>59</v>
      </c>
    </row>
    <row r="5550" spans="153:166" x14ac:dyDescent="0.35">
      <c r="EW5550" t="s">
        <v>5211</v>
      </c>
      <c r="EX5550" t="s">
        <v>2630</v>
      </c>
      <c r="FF5550" t="s">
        <v>59</v>
      </c>
      <c r="FJ5550" t="s">
        <v>59</v>
      </c>
    </row>
    <row r="5551" spans="153:166" x14ac:dyDescent="0.35">
      <c r="EW5551" t="s">
        <v>5211</v>
      </c>
      <c r="EX5551" t="s">
        <v>700</v>
      </c>
      <c r="FF5551" t="s">
        <v>59</v>
      </c>
      <c r="FJ5551" t="s">
        <v>59</v>
      </c>
    </row>
    <row r="5552" spans="153:166" x14ac:dyDescent="0.35">
      <c r="EW5552" t="s">
        <v>5211</v>
      </c>
      <c r="EX5552" t="s">
        <v>2509</v>
      </c>
      <c r="FF5552" t="s">
        <v>59</v>
      </c>
      <c r="FJ5552" t="s">
        <v>59</v>
      </c>
    </row>
    <row r="5553" spans="153:166" x14ac:dyDescent="0.35">
      <c r="EW5553" t="s">
        <v>5211</v>
      </c>
      <c r="EX5553" t="s">
        <v>2634</v>
      </c>
      <c r="FF5553" t="s">
        <v>59</v>
      </c>
      <c r="FJ5553" t="s">
        <v>59</v>
      </c>
    </row>
    <row r="5554" spans="153:166" x14ac:dyDescent="0.35">
      <c r="EW5554" t="s">
        <v>5211</v>
      </c>
      <c r="EX5554" t="s">
        <v>2636</v>
      </c>
      <c r="FF5554" t="s">
        <v>59</v>
      </c>
      <c r="FJ5554" t="s">
        <v>59</v>
      </c>
    </row>
    <row r="5555" spans="153:166" x14ac:dyDescent="0.35">
      <c r="EW5555" t="s">
        <v>5211</v>
      </c>
      <c r="EX5555" t="s">
        <v>1484</v>
      </c>
      <c r="FF5555" t="s">
        <v>59</v>
      </c>
      <c r="FJ5555" t="s">
        <v>59</v>
      </c>
    </row>
    <row r="5556" spans="153:166" x14ac:dyDescent="0.35">
      <c r="EW5556" t="s">
        <v>5211</v>
      </c>
      <c r="EX5556" t="s">
        <v>2639</v>
      </c>
      <c r="FF5556" t="s">
        <v>59</v>
      </c>
      <c r="FJ5556" t="s">
        <v>59</v>
      </c>
    </row>
    <row r="5557" spans="153:166" x14ac:dyDescent="0.35">
      <c r="EW5557" t="s">
        <v>5211</v>
      </c>
      <c r="EX5557" t="s">
        <v>273</v>
      </c>
      <c r="FF5557" t="s">
        <v>59</v>
      </c>
      <c r="FJ5557" t="s">
        <v>59</v>
      </c>
    </row>
    <row r="5558" spans="153:166" x14ac:dyDescent="0.35">
      <c r="EW5558" t="s">
        <v>5211</v>
      </c>
      <c r="EX5558" t="s">
        <v>707</v>
      </c>
      <c r="FF5558" t="s">
        <v>59</v>
      </c>
      <c r="FJ5558" t="s">
        <v>59</v>
      </c>
    </row>
    <row r="5559" spans="153:166" x14ac:dyDescent="0.35">
      <c r="EW5559" t="s">
        <v>5211</v>
      </c>
      <c r="EX5559" t="s">
        <v>2643</v>
      </c>
      <c r="FF5559" t="s">
        <v>59</v>
      </c>
      <c r="FJ5559" t="s">
        <v>59</v>
      </c>
    </row>
    <row r="5560" spans="153:166" x14ac:dyDescent="0.35">
      <c r="EW5560" t="s">
        <v>5211</v>
      </c>
      <c r="EX5560" t="s">
        <v>848</v>
      </c>
      <c r="FF5560" t="s">
        <v>59</v>
      </c>
      <c r="FJ5560" t="s">
        <v>59</v>
      </c>
    </row>
    <row r="5561" spans="153:166" x14ac:dyDescent="0.35">
      <c r="EW5561" t="s">
        <v>5211</v>
      </c>
      <c r="EX5561" t="s">
        <v>135</v>
      </c>
      <c r="FF5561" t="s">
        <v>59</v>
      </c>
      <c r="FJ5561" t="s">
        <v>59</v>
      </c>
    </row>
    <row r="5562" spans="153:166" x14ac:dyDescent="0.35">
      <c r="EW5562" t="s">
        <v>5211</v>
      </c>
      <c r="EX5562" t="s">
        <v>2647</v>
      </c>
      <c r="FF5562" t="s">
        <v>59</v>
      </c>
      <c r="FJ5562" t="s">
        <v>59</v>
      </c>
    </row>
    <row r="5563" spans="153:166" x14ac:dyDescent="0.35">
      <c r="EW5563" t="s">
        <v>5211</v>
      </c>
      <c r="EX5563" t="s">
        <v>561</v>
      </c>
      <c r="FF5563" t="s">
        <v>59</v>
      </c>
      <c r="FJ5563" t="s">
        <v>59</v>
      </c>
    </row>
    <row r="5564" spans="153:166" x14ac:dyDescent="0.35">
      <c r="EW5564" t="s">
        <v>5211</v>
      </c>
      <c r="EX5564" t="s">
        <v>777</v>
      </c>
      <c r="FF5564" t="s">
        <v>59</v>
      </c>
      <c r="FJ5564" t="s">
        <v>59</v>
      </c>
    </row>
    <row r="5565" spans="153:166" x14ac:dyDescent="0.35">
      <c r="EW5565" t="s">
        <v>5211</v>
      </c>
      <c r="EX5565" t="s">
        <v>2651</v>
      </c>
      <c r="FF5565" t="s">
        <v>59</v>
      </c>
      <c r="FJ5565" t="s">
        <v>59</v>
      </c>
    </row>
    <row r="5566" spans="153:166" x14ac:dyDescent="0.35">
      <c r="EW5566" t="s">
        <v>5211</v>
      </c>
      <c r="EX5566" t="s">
        <v>730</v>
      </c>
      <c r="FF5566" t="s">
        <v>59</v>
      </c>
      <c r="FJ5566" t="s">
        <v>59</v>
      </c>
    </row>
    <row r="5567" spans="153:166" x14ac:dyDescent="0.35">
      <c r="EW5567" t="s">
        <v>5211</v>
      </c>
      <c r="EX5567" t="s">
        <v>600</v>
      </c>
      <c r="FF5567" t="s">
        <v>59</v>
      </c>
      <c r="FJ5567" t="s">
        <v>59</v>
      </c>
    </row>
    <row r="5568" spans="153:166" x14ac:dyDescent="0.35">
      <c r="EW5568" t="s">
        <v>5211</v>
      </c>
      <c r="EX5568" t="s">
        <v>2624</v>
      </c>
      <c r="FF5568" t="s">
        <v>59</v>
      </c>
      <c r="FJ5568" t="s">
        <v>59</v>
      </c>
    </row>
    <row r="5569" spans="153:166" x14ac:dyDescent="0.35">
      <c r="EW5569" t="s">
        <v>5211</v>
      </c>
      <c r="EX5569" t="s">
        <v>482</v>
      </c>
      <c r="FF5569" t="s">
        <v>59</v>
      </c>
      <c r="FJ5569" t="s">
        <v>59</v>
      </c>
    </row>
    <row r="5570" spans="153:166" x14ac:dyDescent="0.35">
      <c r="EW5570" t="s">
        <v>5211</v>
      </c>
      <c r="EX5570" t="s">
        <v>1019</v>
      </c>
      <c r="FF5570" t="s">
        <v>59</v>
      </c>
      <c r="FJ5570" t="s">
        <v>59</v>
      </c>
    </row>
    <row r="5571" spans="153:166" x14ac:dyDescent="0.35">
      <c r="EW5571" t="s">
        <v>5211</v>
      </c>
      <c r="EX5571" t="s">
        <v>2658</v>
      </c>
      <c r="FF5571" t="s">
        <v>59</v>
      </c>
      <c r="FJ5571" t="s">
        <v>59</v>
      </c>
    </row>
    <row r="5572" spans="153:166" x14ac:dyDescent="0.35">
      <c r="EW5572" t="s">
        <v>5211</v>
      </c>
      <c r="EX5572" t="s">
        <v>952</v>
      </c>
      <c r="FF5572" t="s">
        <v>59</v>
      </c>
      <c r="FJ5572" t="s">
        <v>59</v>
      </c>
    </row>
    <row r="5573" spans="153:166" x14ac:dyDescent="0.35">
      <c r="EW5573" t="s">
        <v>5211</v>
      </c>
      <c r="EX5573" t="s">
        <v>2661</v>
      </c>
      <c r="FF5573" t="s">
        <v>59</v>
      </c>
      <c r="FJ5573" t="s">
        <v>59</v>
      </c>
    </row>
    <row r="5574" spans="153:166" x14ac:dyDescent="0.35">
      <c r="EW5574" t="s">
        <v>5211</v>
      </c>
      <c r="EX5574" t="s">
        <v>2663</v>
      </c>
      <c r="FF5574" t="e">
        <v>#N/A</v>
      </c>
      <c r="FJ5574" t="e">
        <v>#N/A</v>
      </c>
    </row>
    <row r="5575" spans="153:166" x14ac:dyDescent="0.35">
      <c r="EW5575" t="s">
        <v>5211</v>
      </c>
      <c r="EX5575" t="s">
        <v>730</v>
      </c>
      <c r="FF5575" t="s">
        <v>59</v>
      </c>
      <c r="FJ5575" t="s">
        <v>59</v>
      </c>
    </row>
    <row r="5576" spans="153:166" x14ac:dyDescent="0.35">
      <c r="EW5576" t="s">
        <v>5211</v>
      </c>
      <c r="EX5576" t="s">
        <v>2628</v>
      </c>
      <c r="FF5576" t="s">
        <v>59</v>
      </c>
      <c r="FJ5576" t="s">
        <v>59</v>
      </c>
    </row>
    <row r="5577" spans="153:166" x14ac:dyDescent="0.35">
      <c r="EW5577" t="s">
        <v>5211</v>
      </c>
      <c r="EX5577" t="s">
        <v>1010</v>
      </c>
      <c r="FF5577" t="s">
        <v>59</v>
      </c>
      <c r="FJ5577" t="s">
        <v>59</v>
      </c>
    </row>
    <row r="5578" spans="153:166" x14ac:dyDescent="0.35">
      <c r="EW5578" t="s">
        <v>5211</v>
      </c>
      <c r="EX5578" t="s">
        <v>834</v>
      </c>
      <c r="FF5578" t="s">
        <v>59</v>
      </c>
      <c r="FJ5578" t="s">
        <v>59</v>
      </c>
    </row>
    <row r="5579" spans="153:166" x14ac:dyDescent="0.35">
      <c r="EW5579" t="s">
        <v>5211</v>
      </c>
      <c r="EX5579" t="s">
        <v>133</v>
      </c>
      <c r="FF5579" t="s">
        <v>59</v>
      </c>
      <c r="FJ5579" t="s">
        <v>59</v>
      </c>
    </row>
    <row r="5580" spans="153:166" x14ac:dyDescent="0.35">
      <c r="EW5580" t="s">
        <v>5211</v>
      </c>
      <c r="EX5580" t="s">
        <v>775</v>
      </c>
      <c r="FF5580" t="s">
        <v>59</v>
      </c>
      <c r="FJ5580" t="s">
        <v>59</v>
      </c>
    </row>
    <row r="5581" spans="153:166" x14ac:dyDescent="0.35">
      <c r="EW5581" t="s">
        <v>5211</v>
      </c>
      <c r="EX5581" t="s">
        <v>295</v>
      </c>
      <c r="FF5581" t="s">
        <v>59</v>
      </c>
      <c r="FJ5581" t="s">
        <v>59</v>
      </c>
    </row>
    <row r="5582" spans="153:166" x14ac:dyDescent="0.35">
      <c r="EW5582" t="s">
        <v>5211</v>
      </c>
      <c r="EX5582" t="s">
        <v>2672</v>
      </c>
      <c r="FF5582" t="s">
        <v>59</v>
      </c>
      <c r="FJ5582" t="s">
        <v>59</v>
      </c>
    </row>
    <row r="5583" spans="153:166" x14ac:dyDescent="0.35">
      <c r="EW5583" t="s">
        <v>5211</v>
      </c>
      <c r="EX5583" t="s">
        <v>604</v>
      </c>
      <c r="FF5583" t="s">
        <v>59</v>
      </c>
      <c r="FJ5583" t="s">
        <v>59</v>
      </c>
    </row>
    <row r="5584" spans="153:166" x14ac:dyDescent="0.35">
      <c r="EW5584" t="s">
        <v>5211</v>
      </c>
      <c r="EX5584" t="s">
        <v>271</v>
      </c>
      <c r="FF5584" t="s">
        <v>59</v>
      </c>
      <c r="FJ5584" t="s">
        <v>59</v>
      </c>
    </row>
    <row r="5585" spans="153:166" x14ac:dyDescent="0.35">
      <c r="EW5585" t="s">
        <v>5211</v>
      </c>
      <c r="EX5585" t="s">
        <v>2677</v>
      </c>
      <c r="FF5585" t="s">
        <v>59</v>
      </c>
      <c r="FJ5585" t="s">
        <v>59</v>
      </c>
    </row>
    <row r="5586" spans="153:166" x14ac:dyDescent="0.35">
      <c r="EW5586" t="s">
        <v>5211</v>
      </c>
      <c r="EX5586" t="s">
        <v>950</v>
      </c>
      <c r="FF5586" t="s">
        <v>59</v>
      </c>
      <c r="FJ5586" t="s">
        <v>59</v>
      </c>
    </row>
    <row r="5587" spans="153:166" x14ac:dyDescent="0.35">
      <c r="EW5587" t="s">
        <v>5211</v>
      </c>
      <c r="EX5587" t="s">
        <v>728</v>
      </c>
      <c r="FF5587" t="s">
        <v>59</v>
      </c>
      <c r="FJ5587" t="s">
        <v>59</v>
      </c>
    </row>
    <row r="5588" spans="153:166" x14ac:dyDescent="0.35">
      <c r="EW5588" t="s">
        <v>5211</v>
      </c>
      <c r="EX5588" t="s">
        <v>848</v>
      </c>
      <c r="FF5588" t="s">
        <v>59</v>
      </c>
      <c r="FJ5588" t="s">
        <v>59</v>
      </c>
    </row>
    <row r="5589" spans="153:166" x14ac:dyDescent="0.35">
      <c r="EW5589" t="s">
        <v>5211</v>
      </c>
      <c r="EX5589" t="s">
        <v>135</v>
      </c>
      <c r="FF5589" t="s">
        <v>59</v>
      </c>
      <c r="FJ5589" t="s">
        <v>59</v>
      </c>
    </row>
    <row r="5590" spans="153:166" x14ac:dyDescent="0.35">
      <c r="EW5590" t="s">
        <v>5211</v>
      </c>
      <c r="EX5590" t="s">
        <v>2647</v>
      </c>
      <c r="FF5590" t="s">
        <v>59</v>
      </c>
      <c r="FJ5590" t="s">
        <v>59</v>
      </c>
    </row>
    <row r="5591" spans="153:166" x14ac:dyDescent="0.35">
      <c r="EW5591" t="s">
        <v>5211</v>
      </c>
      <c r="EX5591" t="s">
        <v>561</v>
      </c>
      <c r="FF5591" t="s">
        <v>59</v>
      </c>
      <c r="FJ5591" t="s">
        <v>59</v>
      </c>
    </row>
    <row r="5592" spans="153:166" x14ac:dyDescent="0.35">
      <c r="EW5592" t="s">
        <v>5211</v>
      </c>
      <c r="EX5592" t="s">
        <v>777</v>
      </c>
      <c r="FF5592" t="s">
        <v>59</v>
      </c>
      <c r="FJ5592" t="s">
        <v>59</v>
      </c>
    </row>
    <row r="5593" spans="153:166" x14ac:dyDescent="0.35">
      <c r="EW5593" t="s">
        <v>5211</v>
      </c>
      <c r="EX5593" t="s">
        <v>2651</v>
      </c>
      <c r="FF5593" t="s">
        <v>59</v>
      </c>
      <c r="FJ5593" t="s">
        <v>59</v>
      </c>
    </row>
    <row r="5594" spans="153:166" x14ac:dyDescent="0.35">
      <c r="EW5594" t="s">
        <v>5211</v>
      </c>
      <c r="EX5594" t="s">
        <v>2628</v>
      </c>
      <c r="FF5594" t="s">
        <v>59</v>
      </c>
      <c r="FJ5594" t="s">
        <v>59</v>
      </c>
    </row>
    <row r="5595" spans="153:166" x14ac:dyDescent="0.35">
      <c r="EW5595" t="s">
        <v>5211</v>
      </c>
      <c r="EX5595" t="s">
        <v>730</v>
      </c>
      <c r="FF5595" t="s">
        <v>59</v>
      </c>
      <c r="FJ5595" t="s">
        <v>59</v>
      </c>
    </row>
    <row r="5596" spans="153:166" x14ac:dyDescent="0.35">
      <c r="EW5596" t="s">
        <v>5211</v>
      </c>
      <c r="EX5596" t="s">
        <v>2624</v>
      </c>
      <c r="FF5596" t="s">
        <v>59</v>
      </c>
      <c r="FJ5596" t="s">
        <v>59</v>
      </c>
    </row>
    <row r="5597" spans="153:166" x14ac:dyDescent="0.35">
      <c r="EW5597" t="s">
        <v>5211</v>
      </c>
      <c r="EX5597" t="s">
        <v>482</v>
      </c>
      <c r="FF5597" t="s">
        <v>59</v>
      </c>
      <c r="FJ5597" t="s">
        <v>59</v>
      </c>
    </row>
    <row r="5598" spans="153:166" x14ac:dyDescent="0.35">
      <c r="EW5598" t="s">
        <v>5211</v>
      </c>
      <c r="EX5598" t="s">
        <v>2658</v>
      </c>
      <c r="FF5598" t="s">
        <v>59</v>
      </c>
      <c r="FJ5598" t="s">
        <v>59</v>
      </c>
    </row>
    <row r="5599" spans="153:166" x14ac:dyDescent="0.35">
      <c r="EW5599" t="s">
        <v>5211</v>
      </c>
      <c r="EX5599" t="s">
        <v>2630</v>
      </c>
      <c r="FF5599" t="s">
        <v>59</v>
      </c>
      <c r="FJ5599" t="s">
        <v>59</v>
      </c>
    </row>
    <row r="5600" spans="153:166" x14ac:dyDescent="0.35">
      <c r="EW5600" t="s">
        <v>5211</v>
      </c>
      <c r="EX5600" t="s">
        <v>700</v>
      </c>
      <c r="FF5600" t="s">
        <v>59</v>
      </c>
      <c r="FJ5600" t="s">
        <v>59</v>
      </c>
    </row>
    <row r="5601" spans="153:166" x14ac:dyDescent="0.35">
      <c r="EW5601" t="s">
        <v>5211</v>
      </c>
      <c r="EX5601" t="s">
        <v>698</v>
      </c>
      <c r="FF5601" t="s">
        <v>59</v>
      </c>
      <c r="FJ5601" t="s">
        <v>59</v>
      </c>
    </row>
    <row r="5602" spans="153:166" x14ac:dyDescent="0.35">
      <c r="EW5602" t="s">
        <v>5211</v>
      </c>
      <c r="EX5602" t="s">
        <v>775</v>
      </c>
      <c r="FF5602" t="s">
        <v>59</v>
      </c>
      <c r="FJ5602" t="s">
        <v>59</v>
      </c>
    </row>
    <row r="5603" spans="153:166" x14ac:dyDescent="0.35">
      <c r="EW5603" t="s">
        <v>5211</v>
      </c>
      <c r="EX5603" t="s">
        <v>295</v>
      </c>
      <c r="FF5603" t="s">
        <v>59</v>
      </c>
      <c r="FJ5603" t="s">
        <v>59</v>
      </c>
    </row>
    <row r="5604" spans="153:166" x14ac:dyDescent="0.35">
      <c r="EW5604" t="s">
        <v>5211</v>
      </c>
      <c r="EX5604" t="s">
        <v>2673</v>
      </c>
      <c r="FF5604" t="s">
        <v>59</v>
      </c>
      <c r="FJ5604" t="s">
        <v>59</v>
      </c>
    </row>
    <row r="5605" spans="153:166" x14ac:dyDescent="0.35">
      <c r="EW5605" t="s">
        <v>5211</v>
      </c>
      <c r="EX5605" t="s">
        <v>606</v>
      </c>
      <c r="FF5605" t="s">
        <v>59</v>
      </c>
      <c r="FJ5605" t="s">
        <v>59</v>
      </c>
    </row>
    <row r="5606" spans="153:166" x14ac:dyDescent="0.35">
      <c r="EW5606" t="s">
        <v>5211</v>
      </c>
      <c r="EX5606" t="s">
        <v>273</v>
      </c>
      <c r="FF5606" t="s">
        <v>59</v>
      </c>
      <c r="FJ5606" t="s">
        <v>59</v>
      </c>
    </row>
    <row r="5607" spans="153:166" x14ac:dyDescent="0.35">
      <c r="EW5607" t="s">
        <v>5211</v>
      </c>
      <c r="EX5607" t="s">
        <v>952</v>
      </c>
      <c r="FF5607" t="s">
        <v>59</v>
      </c>
      <c r="FJ5607" t="s">
        <v>59</v>
      </c>
    </row>
    <row r="5608" spans="153:166" x14ac:dyDescent="0.35">
      <c r="EW5608" t="s">
        <v>5211</v>
      </c>
      <c r="EX5608" t="s">
        <v>2677</v>
      </c>
      <c r="FF5608" t="s">
        <v>59</v>
      </c>
      <c r="FJ5608" t="s">
        <v>59</v>
      </c>
    </row>
    <row r="5609" spans="153:166" x14ac:dyDescent="0.35">
      <c r="EW5609" t="s">
        <v>5211</v>
      </c>
      <c r="EX5609" t="s">
        <v>941</v>
      </c>
      <c r="FF5609" t="s">
        <v>59</v>
      </c>
      <c r="FJ5609" t="s">
        <v>59</v>
      </c>
    </row>
    <row r="5610" spans="153:166" x14ac:dyDescent="0.35">
      <c r="EW5610" t="s">
        <v>5211</v>
      </c>
      <c r="EX5610" t="s">
        <v>728</v>
      </c>
      <c r="FF5610" t="s">
        <v>59</v>
      </c>
      <c r="FJ5610" t="s">
        <v>59</v>
      </c>
    </row>
    <row r="5611" spans="153:166" x14ac:dyDescent="0.35">
      <c r="EW5611" t="s">
        <v>5211</v>
      </c>
      <c r="EX5611" t="s">
        <v>1332</v>
      </c>
      <c r="FF5611" t="s">
        <v>59</v>
      </c>
      <c r="FJ5611" t="s">
        <v>59</v>
      </c>
    </row>
    <row r="5612" spans="153:166" x14ac:dyDescent="0.35">
      <c r="EW5612" t="s">
        <v>5211</v>
      </c>
      <c r="EX5612" t="s">
        <v>2706</v>
      </c>
      <c r="FF5612" t="s">
        <v>59</v>
      </c>
      <c r="FJ5612" t="s">
        <v>59</v>
      </c>
    </row>
    <row r="5613" spans="153:166" x14ac:dyDescent="0.35">
      <c r="EW5613" t="s">
        <v>5211</v>
      </c>
      <c r="EX5613" t="s">
        <v>1008</v>
      </c>
      <c r="FF5613" t="s">
        <v>59</v>
      </c>
      <c r="FJ5613" t="s">
        <v>59</v>
      </c>
    </row>
    <row r="5614" spans="153:166" x14ac:dyDescent="0.35">
      <c r="EW5614" t="s">
        <v>5211</v>
      </c>
      <c r="EX5614" t="s">
        <v>834</v>
      </c>
      <c r="FF5614" t="s">
        <v>59</v>
      </c>
      <c r="FJ5614" t="s">
        <v>59</v>
      </c>
    </row>
    <row r="5615" spans="153:166" x14ac:dyDescent="0.35">
      <c r="EW5615" t="s">
        <v>5211</v>
      </c>
      <c r="EX5615" t="s">
        <v>133</v>
      </c>
      <c r="FF5615" t="s">
        <v>59</v>
      </c>
      <c r="FJ5615" t="s">
        <v>59</v>
      </c>
    </row>
    <row r="5616" spans="153:166" x14ac:dyDescent="0.35">
      <c r="EW5616" t="s">
        <v>5211</v>
      </c>
      <c r="EX5616" t="s">
        <v>2711</v>
      </c>
      <c r="FF5616" t="s">
        <v>59</v>
      </c>
      <c r="FJ5616" t="s">
        <v>59</v>
      </c>
    </row>
    <row r="5617" spans="153:166" x14ac:dyDescent="0.35">
      <c r="EW5617" t="s">
        <v>5211</v>
      </c>
      <c r="EX5617" t="s">
        <v>698</v>
      </c>
      <c r="FF5617" t="s">
        <v>59</v>
      </c>
      <c r="FJ5617" t="s">
        <v>59</v>
      </c>
    </row>
    <row r="5618" spans="153:166" x14ac:dyDescent="0.35">
      <c r="EW5618" t="s">
        <v>5211</v>
      </c>
      <c r="EX5618" t="s">
        <v>775</v>
      </c>
      <c r="FF5618" t="s">
        <v>59</v>
      </c>
      <c r="FJ5618" t="s">
        <v>59</v>
      </c>
    </row>
    <row r="5619" spans="153:166" x14ac:dyDescent="0.35">
      <c r="EW5619" t="s">
        <v>5211</v>
      </c>
      <c r="EX5619" t="s">
        <v>295</v>
      </c>
      <c r="FF5619" t="s">
        <v>59</v>
      </c>
      <c r="FJ5619" t="s">
        <v>59</v>
      </c>
    </row>
    <row r="5620" spans="153:166" x14ac:dyDescent="0.35">
      <c r="EW5620" t="s">
        <v>5211</v>
      </c>
      <c r="EX5620" t="s">
        <v>836</v>
      </c>
      <c r="FF5620" t="s">
        <v>59</v>
      </c>
      <c r="FJ5620" t="s">
        <v>59</v>
      </c>
    </row>
    <row r="5621" spans="153:166" x14ac:dyDescent="0.35">
      <c r="EW5621" t="s">
        <v>5211</v>
      </c>
      <c r="EX5621" t="s">
        <v>2711</v>
      </c>
      <c r="FF5621" t="s">
        <v>59</v>
      </c>
      <c r="FJ5621" t="s">
        <v>59</v>
      </c>
    </row>
    <row r="5622" spans="153:166" x14ac:dyDescent="0.35">
      <c r="EW5622" t="s">
        <v>5211</v>
      </c>
      <c r="EX5622" t="s">
        <v>2718</v>
      </c>
      <c r="FF5622" t="s">
        <v>59</v>
      </c>
      <c r="FJ5622" t="s">
        <v>59</v>
      </c>
    </row>
    <row r="5623" spans="153:166" x14ac:dyDescent="0.35">
      <c r="EW5623" t="s">
        <v>5211</v>
      </c>
      <c r="EX5623" t="s">
        <v>375</v>
      </c>
      <c r="FF5623" t="s">
        <v>59</v>
      </c>
      <c r="FJ5623" t="s">
        <v>59</v>
      </c>
    </row>
    <row r="5624" spans="153:166" x14ac:dyDescent="0.35">
      <c r="EW5624" t="s">
        <v>5211</v>
      </c>
      <c r="EX5624" t="s">
        <v>2722</v>
      </c>
      <c r="FF5624" t="s">
        <v>59</v>
      </c>
      <c r="FJ5624" t="s">
        <v>59</v>
      </c>
    </row>
    <row r="5625" spans="153:166" x14ac:dyDescent="0.35">
      <c r="EW5625" t="s">
        <v>5211</v>
      </c>
      <c r="EX5625" t="s">
        <v>841</v>
      </c>
      <c r="FF5625" t="s">
        <v>59</v>
      </c>
      <c r="FJ5625" t="s">
        <v>59</v>
      </c>
    </row>
    <row r="5626" spans="153:166" x14ac:dyDescent="0.35">
      <c r="EW5626" t="s">
        <v>5211</v>
      </c>
      <c r="EX5626" t="s">
        <v>226</v>
      </c>
      <c r="FF5626" t="s">
        <v>59</v>
      </c>
      <c r="FJ5626" t="s">
        <v>59</v>
      </c>
    </row>
    <row r="5627" spans="153:166" x14ac:dyDescent="0.35">
      <c r="EW5627" t="s">
        <v>5211</v>
      </c>
      <c r="EX5627" t="s">
        <v>308</v>
      </c>
      <c r="FF5627" t="s">
        <v>59</v>
      </c>
      <c r="FJ5627" t="s">
        <v>59</v>
      </c>
    </row>
    <row r="5628" spans="153:166" x14ac:dyDescent="0.35">
      <c r="EW5628" t="s">
        <v>5211</v>
      </c>
      <c r="EX5628" t="s">
        <v>898</v>
      </c>
      <c r="FF5628" t="s">
        <v>59</v>
      </c>
      <c r="FJ5628" t="s">
        <v>59</v>
      </c>
    </row>
    <row r="5629" spans="153:166" x14ac:dyDescent="0.35">
      <c r="EW5629" t="s">
        <v>5211</v>
      </c>
      <c r="EX5629" t="s">
        <v>2729</v>
      </c>
      <c r="FF5629" t="s">
        <v>59</v>
      </c>
      <c r="FJ5629" t="s">
        <v>59</v>
      </c>
    </row>
    <row r="5630" spans="153:166" x14ac:dyDescent="0.35">
      <c r="EW5630" t="s">
        <v>5211</v>
      </c>
      <c r="EX5630" t="s">
        <v>565</v>
      </c>
      <c r="FF5630" t="s">
        <v>59</v>
      </c>
      <c r="FJ5630" t="s">
        <v>59</v>
      </c>
    </row>
    <row r="5631" spans="153:166" x14ac:dyDescent="0.35">
      <c r="EW5631" t="s">
        <v>5211</v>
      </c>
      <c r="EX5631" t="s">
        <v>1202</v>
      </c>
      <c r="FF5631" t="s">
        <v>59</v>
      </c>
      <c r="FJ5631" t="s">
        <v>59</v>
      </c>
    </row>
    <row r="5632" spans="153:166" x14ac:dyDescent="0.35">
      <c r="EW5632" t="s">
        <v>5211</v>
      </c>
      <c r="EX5632" t="s">
        <v>950</v>
      </c>
      <c r="FF5632" t="s">
        <v>59</v>
      </c>
      <c r="FJ5632" t="s">
        <v>59</v>
      </c>
    </row>
    <row r="5633" spans="153:166" x14ac:dyDescent="0.35">
      <c r="EW5633" t="s">
        <v>5211</v>
      </c>
      <c r="EX5633" t="s">
        <v>2718</v>
      </c>
      <c r="FF5633" t="s">
        <v>59</v>
      </c>
      <c r="FJ5633" t="s">
        <v>59</v>
      </c>
    </row>
    <row r="5634" spans="153:166" x14ac:dyDescent="0.35">
      <c r="EW5634" t="s">
        <v>5211</v>
      </c>
      <c r="EX5634" t="s">
        <v>510</v>
      </c>
      <c r="FF5634" t="s">
        <v>59</v>
      </c>
      <c r="FJ5634" t="s">
        <v>59</v>
      </c>
    </row>
    <row r="5635" spans="153:166" x14ac:dyDescent="0.35">
      <c r="EW5635" t="s">
        <v>5211</v>
      </c>
      <c r="EX5635" t="s">
        <v>817</v>
      </c>
      <c r="FF5635" t="s">
        <v>59</v>
      </c>
      <c r="FJ5635" t="s">
        <v>59</v>
      </c>
    </row>
    <row r="5636" spans="153:166" x14ac:dyDescent="0.35">
      <c r="EW5636" t="s">
        <v>5211</v>
      </c>
      <c r="EX5636" t="s">
        <v>375</v>
      </c>
      <c r="FF5636" t="s">
        <v>59</v>
      </c>
      <c r="FJ5636" t="s">
        <v>59</v>
      </c>
    </row>
    <row r="5637" spans="153:166" x14ac:dyDescent="0.35">
      <c r="EW5637" t="s">
        <v>5211</v>
      </c>
      <c r="EX5637" t="s">
        <v>2739</v>
      </c>
      <c r="FF5637" t="s">
        <v>59</v>
      </c>
      <c r="FJ5637" t="s">
        <v>59</v>
      </c>
    </row>
    <row r="5638" spans="153:166" x14ac:dyDescent="0.35">
      <c r="EW5638" t="s">
        <v>5211</v>
      </c>
      <c r="EX5638" t="s">
        <v>2722</v>
      </c>
      <c r="FF5638" t="s">
        <v>59</v>
      </c>
      <c r="FJ5638" t="s">
        <v>59</v>
      </c>
    </row>
    <row r="5639" spans="153:166" x14ac:dyDescent="0.35">
      <c r="EW5639" t="s">
        <v>5211</v>
      </c>
      <c r="EX5639" t="s">
        <v>66</v>
      </c>
      <c r="FF5639" t="s">
        <v>59</v>
      </c>
      <c r="FJ5639" t="s">
        <v>59</v>
      </c>
    </row>
    <row r="5640" spans="153:166" x14ac:dyDescent="0.35">
      <c r="EW5640" t="s">
        <v>5211</v>
      </c>
      <c r="EX5640" t="s">
        <v>2744</v>
      </c>
      <c r="FF5640" t="s">
        <v>59</v>
      </c>
      <c r="FJ5640" t="s">
        <v>59</v>
      </c>
    </row>
    <row r="5641" spans="153:166" x14ac:dyDescent="0.35">
      <c r="EW5641" t="s">
        <v>5211</v>
      </c>
      <c r="EX5641" t="s">
        <v>436</v>
      </c>
      <c r="FF5641" t="s">
        <v>59</v>
      </c>
      <c r="FJ5641" t="s">
        <v>59</v>
      </c>
    </row>
    <row r="5642" spans="153:166" x14ac:dyDescent="0.35">
      <c r="EW5642" t="s">
        <v>5211</v>
      </c>
      <c r="EX5642" t="s">
        <v>2672</v>
      </c>
      <c r="FF5642" t="s">
        <v>59</v>
      </c>
      <c r="FJ5642" t="s">
        <v>59</v>
      </c>
    </row>
    <row r="5643" spans="153:166" x14ac:dyDescent="0.35">
      <c r="EW5643" t="s">
        <v>5211</v>
      </c>
      <c r="EX5643" t="s">
        <v>2749</v>
      </c>
      <c r="FF5643" t="s">
        <v>59</v>
      </c>
      <c r="FJ5643" t="s">
        <v>59</v>
      </c>
    </row>
    <row r="5644" spans="153:166" x14ac:dyDescent="0.35">
      <c r="EW5644" t="s">
        <v>5211</v>
      </c>
      <c r="EX5644" t="s">
        <v>1951</v>
      </c>
      <c r="FF5644" t="s">
        <v>474</v>
      </c>
      <c r="FJ5644" t="s">
        <v>474</v>
      </c>
    </row>
    <row r="5645" spans="153:166" x14ac:dyDescent="0.35">
      <c r="EW5645" t="s">
        <v>5211</v>
      </c>
      <c r="EX5645" t="s">
        <v>1264</v>
      </c>
      <c r="FF5645" t="s">
        <v>474</v>
      </c>
      <c r="FJ5645" t="s">
        <v>474</v>
      </c>
    </row>
    <row r="5646" spans="153:166" x14ac:dyDescent="0.35">
      <c r="EW5646" t="s">
        <v>5211</v>
      </c>
      <c r="EX5646" t="s">
        <v>1260</v>
      </c>
      <c r="FF5646" t="s">
        <v>474</v>
      </c>
      <c r="FJ5646" t="s">
        <v>474</v>
      </c>
    </row>
    <row r="5647" spans="153:166" x14ac:dyDescent="0.35">
      <c r="EW5647" t="s">
        <v>5211</v>
      </c>
      <c r="EX5647" t="s">
        <v>563</v>
      </c>
      <c r="FF5647" t="s">
        <v>59</v>
      </c>
      <c r="FJ5647" t="s">
        <v>59</v>
      </c>
    </row>
    <row r="5648" spans="153:166" x14ac:dyDescent="0.35">
      <c r="EW5648" t="s">
        <v>5211</v>
      </c>
      <c r="EX5648" t="s">
        <v>2756</v>
      </c>
      <c r="FF5648" t="s">
        <v>59</v>
      </c>
      <c r="FJ5648" t="s">
        <v>59</v>
      </c>
    </row>
    <row r="5649" spans="153:166" x14ac:dyDescent="0.35">
      <c r="EW5649" t="s">
        <v>5211</v>
      </c>
      <c r="EX5649" t="s">
        <v>2759</v>
      </c>
      <c r="FF5649" t="s">
        <v>59</v>
      </c>
      <c r="FJ5649" t="s">
        <v>59</v>
      </c>
    </row>
    <row r="5650" spans="153:166" x14ac:dyDescent="0.35">
      <c r="EW5650" t="s">
        <v>5211</v>
      </c>
      <c r="EX5650" t="s">
        <v>206</v>
      </c>
      <c r="FF5650" t="s">
        <v>59</v>
      </c>
      <c r="FJ5650" t="s">
        <v>59</v>
      </c>
    </row>
    <row r="5651" spans="153:166" x14ac:dyDescent="0.35">
      <c r="EW5651" t="s">
        <v>5211</v>
      </c>
      <c r="EX5651" t="s">
        <v>502</v>
      </c>
      <c r="FF5651" t="s">
        <v>59</v>
      </c>
      <c r="FJ5651" t="s">
        <v>59</v>
      </c>
    </row>
    <row r="5652" spans="153:166" x14ac:dyDescent="0.35">
      <c r="EW5652" t="s">
        <v>5211</v>
      </c>
      <c r="EX5652" t="s">
        <v>2388</v>
      </c>
      <c r="FF5652" t="s">
        <v>474</v>
      </c>
      <c r="FJ5652" t="s">
        <v>474</v>
      </c>
    </row>
    <row r="5653" spans="153:166" x14ac:dyDescent="0.35">
      <c r="EW5653" t="s">
        <v>5211</v>
      </c>
      <c r="EX5653" t="s">
        <v>528</v>
      </c>
      <c r="FF5653" t="s">
        <v>59</v>
      </c>
      <c r="FJ5653" t="s">
        <v>59</v>
      </c>
    </row>
    <row r="5654" spans="153:166" x14ac:dyDescent="0.35">
      <c r="EW5654" t="s">
        <v>5211</v>
      </c>
      <c r="EX5654" t="s">
        <v>2766</v>
      </c>
      <c r="FF5654" t="s">
        <v>59</v>
      </c>
      <c r="FJ5654" t="s">
        <v>59</v>
      </c>
    </row>
    <row r="5655" spans="153:166" x14ac:dyDescent="0.35">
      <c r="EW5655" t="s">
        <v>5211</v>
      </c>
      <c r="EX5655" t="s">
        <v>817</v>
      </c>
      <c r="FF5655" t="s">
        <v>59</v>
      </c>
      <c r="FJ5655" t="s">
        <v>59</v>
      </c>
    </row>
    <row r="5656" spans="153:166" x14ac:dyDescent="0.35">
      <c r="EW5656" t="s">
        <v>5211</v>
      </c>
      <c r="EX5656" t="s">
        <v>652</v>
      </c>
      <c r="FF5656" t="s">
        <v>59</v>
      </c>
      <c r="FJ5656" t="s">
        <v>59</v>
      </c>
    </row>
    <row r="5657" spans="153:166" x14ac:dyDescent="0.35">
      <c r="EW5657" t="s">
        <v>5211</v>
      </c>
      <c r="EX5657" t="s">
        <v>375</v>
      </c>
      <c r="FF5657" t="s">
        <v>59</v>
      </c>
      <c r="FJ5657" t="s">
        <v>59</v>
      </c>
    </row>
    <row r="5658" spans="153:166" x14ac:dyDescent="0.35">
      <c r="EW5658" t="s">
        <v>5211</v>
      </c>
      <c r="EX5658" t="s">
        <v>2739</v>
      </c>
      <c r="FF5658" t="s">
        <v>59</v>
      </c>
      <c r="FJ5658" t="s">
        <v>59</v>
      </c>
    </row>
    <row r="5659" spans="153:166" x14ac:dyDescent="0.35">
      <c r="EW5659" t="s">
        <v>5211</v>
      </c>
      <c r="EX5659" t="s">
        <v>66</v>
      </c>
      <c r="FF5659" t="s">
        <v>59</v>
      </c>
      <c r="FJ5659" t="s">
        <v>59</v>
      </c>
    </row>
    <row r="5660" spans="153:166" x14ac:dyDescent="0.35">
      <c r="EW5660" t="s">
        <v>5211</v>
      </c>
      <c r="EX5660" t="s">
        <v>2508</v>
      </c>
      <c r="FF5660" t="s">
        <v>59</v>
      </c>
      <c r="FJ5660" t="s">
        <v>59</v>
      </c>
    </row>
    <row r="5661" spans="153:166" x14ac:dyDescent="0.35">
      <c r="EW5661" t="s">
        <v>5211</v>
      </c>
      <c r="EX5661" t="s">
        <v>2722</v>
      </c>
      <c r="FF5661" t="s">
        <v>59</v>
      </c>
      <c r="FJ5661" t="s">
        <v>59</v>
      </c>
    </row>
    <row r="5662" spans="153:166" x14ac:dyDescent="0.35">
      <c r="EW5662" t="s">
        <v>5211</v>
      </c>
      <c r="EX5662" t="s">
        <v>278</v>
      </c>
      <c r="FF5662" t="s">
        <v>59</v>
      </c>
      <c r="FJ5662" t="s">
        <v>59</v>
      </c>
    </row>
    <row r="5663" spans="153:166" x14ac:dyDescent="0.35">
      <c r="EW5663" t="s">
        <v>5211</v>
      </c>
      <c r="EX5663" t="s">
        <v>2744</v>
      </c>
      <c r="FF5663" t="s">
        <v>59</v>
      </c>
      <c r="FJ5663" t="s">
        <v>59</v>
      </c>
    </row>
    <row r="5664" spans="153:166" x14ac:dyDescent="0.35">
      <c r="EW5664" t="s">
        <v>5211</v>
      </c>
      <c r="EX5664" t="s">
        <v>436</v>
      </c>
      <c r="FF5664" t="s">
        <v>59</v>
      </c>
      <c r="FJ5664" t="s">
        <v>59</v>
      </c>
    </row>
    <row r="5665" spans="153:166" x14ac:dyDescent="0.35">
      <c r="EW5665" t="s">
        <v>5211</v>
      </c>
      <c r="EX5665" t="s">
        <v>396</v>
      </c>
      <c r="FF5665" t="s">
        <v>59</v>
      </c>
      <c r="FJ5665" t="s">
        <v>59</v>
      </c>
    </row>
    <row r="5666" spans="153:166" x14ac:dyDescent="0.35">
      <c r="EW5666" t="s">
        <v>5211</v>
      </c>
      <c r="EX5666" t="s">
        <v>226</v>
      </c>
      <c r="FF5666" t="s">
        <v>59</v>
      </c>
      <c r="FJ5666" t="s">
        <v>59</v>
      </c>
    </row>
    <row r="5667" spans="153:166" x14ac:dyDescent="0.35">
      <c r="EW5667" t="s">
        <v>5211</v>
      </c>
      <c r="EX5667" t="s">
        <v>2781</v>
      </c>
      <c r="FF5667" t="s">
        <v>59</v>
      </c>
      <c r="FJ5667" t="s">
        <v>59</v>
      </c>
    </row>
    <row r="5668" spans="153:166" x14ac:dyDescent="0.35">
      <c r="EW5668" t="s">
        <v>5211</v>
      </c>
      <c r="EX5668" t="s">
        <v>2784</v>
      </c>
      <c r="FF5668" t="s">
        <v>59</v>
      </c>
      <c r="FJ5668" t="s">
        <v>59</v>
      </c>
    </row>
    <row r="5669" spans="153:166" x14ac:dyDescent="0.35">
      <c r="EW5669" t="s">
        <v>5211</v>
      </c>
      <c r="EX5669" t="s">
        <v>412</v>
      </c>
      <c r="FF5669" t="s">
        <v>59</v>
      </c>
      <c r="FJ5669" t="s">
        <v>59</v>
      </c>
    </row>
    <row r="5670" spans="153:166" x14ac:dyDescent="0.35">
      <c r="EW5670" t="s">
        <v>5211</v>
      </c>
      <c r="EX5670" t="s">
        <v>563</v>
      </c>
      <c r="FF5670" t="s">
        <v>59</v>
      </c>
      <c r="FJ5670" t="s">
        <v>59</v>
      </c>
    </row>
    <row r="5671" spans="153:166" x14ac:dyDescent="0.35">
      <c r="EW5671" t="s">
        <v>5211</v>
      </c>
      <c r="EX5671" t="s">
        <v>1202</v>
      </c>
      <c r="FF5671" t="s">
        <v>59</v>
      </c>
      <c r="FJ5671" t="s">
        <v>59</v>
      </c>
    </row>
    <row r="5672" spans="153:166" x14ac:dyDescent="0.35">
      <c r="EW5672" t="s">
        <v>5211</v>
      </c>
      <c r="EX5672" t="s">
        <v>2790</v>
      </c>
      <c r="FF5672" t="s">
        <v>59</v>
      </c>
      <c r="FJ5672" t="s">
        <v>59</v>
      </c>
    </row>
    <row r="5673" spans="153:166" x14ac:dyDescent="0.35">
      <c r="EW5673" t="s">
        <v>5211</v>
      </c>
      <c r="EX5673" t="s">
        <v>846</v>
      </c>
      <c r="FF5673" t="s">
        <v>59</v>
      </c>
      <c r="FJ5673" t="s">
        <v>59</v>
      </c>
    </row>
    <row r="5674" spans="153:166" x14ac:dyDescent="0.35">
      <c r="EW5674" t="s">
        <v>5211</v>
      </c>
      <c r="EX5674" t="s">
        <v>995</v>
      </c>
      <c r="FF5674" t="s">
        <v>59</v>
      </c>
      <c r="FJ5674" t="s">
        <v>59</v>
      </c>
    </row>
    <row r="5675" spans="153:166" x14ac:dyDescent="0.35">
      <c r="EW5675" t="s">
        <v>5211</v>
      </c>
      <c r="EX5675" t="s">
        <v>2795</v>
      </c>
      <c r="FF5675" t="s">
        <v>59</v>
      </c>
      <c r="FJ5675" t="s">
        <v>59</v>
      </c>
    </row>
    <row r="5676" spans="153:166" x14ac:dyDescent="0.35">
      <c r="EW5676" t="s">
        <v>5211</v>
      </c>
      <c r="EX5676" t="s">
        <v>911</v>
      </c>
      <c r="FF5676" t="s">
        <v>59</v>
      </c>
      <c r="FJ5676" t="s">
        <v>59</v>
      </c>
    </row>
    <row r="5677" spans="153:166" x14ac:dyDescent="0.35">
      <c r="EW5677" t="s">
        <v>5211</v>
      </c>
      <c r="EX5677" t="s">
        <v>2799</v>
      </c>
      <c r="FF5677" t="s">
        <v>59</v>
      </c>
      <c r="FJ5677" t="s">
        <v>59</v>
      </c>
    </row>
    <row r="5678" spans="153:166" x14ac:dyDescent="0.35">
      <c r="EW5678" t="s">
        <v>5211</v>
      </c>
      <c r="EX5678" t="s">
        <v>610</v>
      </c>
      <c r="FF5678" t="s">
        <v>59</v>
      </c>
      <c r="FJ5678" t="s">
        <v>59</v>
      </c>
    </row>
    <row r="5679" spans="153:166" x14ac:dyDescent="0.35">
      <c r="EW5679" t="s">
        <v>5211</v>
      </c>
      <c r="EX5679" t="s">
        <v>652</v>
      </c>
      <c r="FF5679" t="s">
        <v>59</v>
      </c>
      <c r="FJ5679" t="s">
        <v>59</v>
      </c>
    </row>
    <row r="5680" spans="153:166" x14ac:dyDescent="0.35">
      <c r="EW5680" t="s">
        <v>5211</v>
      </c>
      <c r="EX5680" t="s">
        <v>2804</v>
      </c>
      <c r="FF5680" t="s">
        <v>59</v>
      </c>
      <c r="FJ5680" t="s">
        <v>59</v>
      </c>
    </row>
    <row r="5681" spans="153:166" x14ac:dyDescent="0.35">
      <c r="EW5681" t="s">
        <v>5211</v>
      </c>
      <c r="EX5681" t="s">
        <v>1225</v>
      </c>
      <c r="FF5681" t="s">
        <v>59</v>
      </c>
      <c r="FJ5681" t="s">
        <v>59</v>
      </c>
    </row>
    <row r="5682" spans="153:166" x14ac:dyDescent="0.35">
      <c r="EW5682" t="s">
        <v>5211</v>
      </c>
      <c r="EX5682" t="s">
        <v>2808</v>
      </c>
      <c r="FF5682" t="s">
        <v>59</v>
      </c>
      <c r="FJ5682" t="s">
        <v>59</v>
      </c>
    </row>
    <row r="5683" spans="153:166" x14ac:dyDescent="0.35">
      <c r="EW5683" t="s">
        <v>5211</v>
      </c>
      <c r="EX5683" t="s">
        <v>2811</v>
      </c>
      <c r="FF5683" t="s">
        <v>59</v>
      </c>
      <c r="FJ5683" t="s">
        <v>59</v>
      </c>
    </row>
    <row r="5684" spans="153:166" x14ac:dyDescent="0.35">
      <c r="EW5684" t="s">
        <v>5211</v>
      </c>
      <c r="EX5684" t="s">
        <v>2729</v>
      </c>
      <c r="FF5684" t="s">
        <v>59</v>
      </c>
      <c r="FJ5684" t="s">
        <v>59</v>
      </c>
    </row>
    <row r="5685" spans="153:166" x14ac:dyDescent="0.35">
      <c r="EW5685" t="s">
        <v>5211</v>
      </c>
      <c r="EX5685" t="s">
        <v>1408</v>
      </c>
      <c r="FF5685" t="s">
        <v>474</v>
      </c>
      <c r="FJ5685" t="s">
        <v>474</v>
      </c>
    </row>
    <row r="5686" spans="153:166" x14ac:dyDescent="0.35">
      <c r="EW5686" t="s">
        <v>5211</v>
      </c>
      <c r="EX5686" t="s">
        <v>537</v>
      </c>
      <c r="FF5686" t="s">
        <v>59</v>
      </c>
      <c r="FJ5686" t="s">
        <v>59</v>
      </c>
    </row>
    <row r="5687" spans="153:166" x14ac:dyDescent="0.35">
      <c r="EW5687" t="s">
        <v>5211</v>
      </c>
      <c r="EX5687" t="s">
        <v>1511</v>
      </c>
      <c r="FF5687" t="s">
        <v>474</v>
      </c>
      <c r="FJ5687" t="s">
        <v>474</v>
      </c>
    </row>
    <row r="5688" spans="153:166" x14ac:dyDescent="0.35">
      <c r="EW5688" t="s">
        <v>5211</v>
      </c>
      <c r="EX5688" t="s">
        <v>2498</v>
      </c>
      <c r="FF5688" t="s">
        <v>59</v>
      </c>
      <c r="FJ5688" t="s">
        <v>59</v>
      </c>
    </row>
    <row r="5689" spans="153:166" x14ac:dyDescent="0.35">
      <c r="EW5689" t="s">
        <v>5211</v>
      </c>
      <c r="EX5689" t="s">
        <v>710</v>
      </c>
      <c r="FF5689" t="s">
        <v>59</v>
      </c>
      <c r="FJ5689" t="s">
        <v>59</v>
      </c>
    </row>
    <row r="5690" spans="153:166" x14ac:dyDescent="0.35">
      <c r="EW5690" t="s">
        <v>5211</v>
      </c>
      <c r="EX5690" t="s">
        <v>2756</v>
      </c>
      <c r="FF5690" t="s">
        <v>59</v>
      </c>
      <c r="FJ5690" t="s">
        <v>59</v>
      </c>
    </row>
    <row r="5691" spans="153:166" x14ac:dyDescent="0.35">
      <c r="EW5691" t="s">
        <v>5211</v>
      </c>
      <c r="EX5691" t="s">
        <v>1099</v>
      </c>
      <c r="FF5691" t="s">
        <v>59</v>
      </c>
      <c r="FJ5691" t="s">
        <v>59</v>
      </c>
    </row>
    <row r="5692" spans="153:166" x14ac:dyDescent="0.35">
      <c r="EW5692" t="s">
        <v>5211</v>
      </c>
      <c r="EX5692" t="s">
        <v>2822</v>
      </c>
      <c r="FF5692" t="s">
        <v>59</v>
      </c>
      <c r="FJ5692" t="s">
        <v>59</v>
      </c>
    </row>
    <row r="5693" spans="153:166" x14ac:dyDescent="0.35">
      <c r="EW5693" t="s">
        <v>5211</v>
      </c>
      <c r="EX5693" t="s">
        <v>1346</v>
      </c>
      <c r="FF5693" t="s">
        <v>59</v>
      </c>
      <c r="FJ5693" t="s">
        <v>59</v>
      </c>
    </row>
    <row r="5694" spans="153:166" x14ac:dyDescent="0.35">
      <c r="EW5694" t="s">
        <v>5211</v>
      </c>
      <c r="EX5694" t="s">
        <v>2826</v>
      </c>
      <c r="FF5694" t="s">
        <v>59</v>
      </c>
      <c r="FJ5694" t="s">
        <v>59</v>
      </c>
    </row>
    <row r="5695" spans="153:166" x14ac:dyDescent="0.35">
      <c r="EW5695" t="s">
        <v>5211</v>
      </c>
      <c r="EX5695" t="s">
        <v>2722</v>
      </c>
      <c r="FF5695" t="s">
        <v>59</v>
      </c>
      <c r="FJ5695" t="s">
        <v>59</v>
      </c>
    </row>
    <row r="5696" spans="153:166" x14ac:dyDescent="0.35">
      <c r="EW5696" t="s">
        <v>5211</v>
      </c>
      <c r="EX5696" t="s">
        <v>528</v>
      </c>
      <c r="FF5696" t="s">
        <v>59</v>
      </c>
      <c r="FJ5696" t="s">
        <v>59</v>
      </c>
    </row>
    <row r="5697" spans="153:166" x14ac:dyDescent="0.35">
      <c r="EW5697" t="s">
        <v>5211</v>
      </c>
      <c r="EX5697" t="s">
        <v>2781</v>
      </c>
      <c r="FF5697" t="s">
        <v>59</v>
      </c>
      <c r="FJ5697" t="s">
        <v>59</v>
      </c>
    </row>
    <row r="5698" spans="153:166" x14ac:dyDescent="0.35">
      <c r="EW5698" t="s">
        <v>5211</v>
      </c>
      <c r="EX5698" t="s">
        <v>2784</v>
      </c>
      <c r="FF5698" t="s">
        <v>59</v>
      </c>
      <c r="FJ5698" t="s">
        <v>59</v>
      </c>
    </row>
    <row r="5699" spans="153:166" x14ac:dyDescent="0.35">
      <c r="EW5699" t="s">
        <v>5211</v>
      </c>
      <c r="EX5699" t="s">
        <v>2744</v>
      </c>
      <c r="FF5699" t="s">
        <v>59</v>
      </c>
      <c r="FJ5699" t="s">
        <v>59</v>
      </c>
    </row>
    <row r="5700" spans="153:166" x14ac:dyDescent="0.35">
      <c r="EW5700" t="s">
        <v>5211</v>
      </c>
      <c r="EX5700" t="s">
        <v>2811</v>
      </c>
      <c r="FF5700" t="s">
        <v>59</v>
      </c>
      <c r="FJ5700" t="s">
        <v>59</v>
      </c>
    </row>
    <row r="5701" spans="153:166" x14ac:dyDescent="0.35">
      <c r="EW5701" t="s">
        <v>5211</v>
      </c>
      <c r="EX5701" t="s">
        <v>2729</v>
      </c>
      <c r="FF5701" t="s">
        <v>59</v>
      </c>
      <c r="FJ5701" t="s">
        <v>59</v>
      </c>
    </row>
    <row r="5702" spans="153:166" x14ac:dyDescent="0.35">
      <c r="EW5702" t="s">
        <v>5211</v>
      </c>
      <c r="EX5702" t="s">
        <v>2766</v>
      </c>
      <c r="FF5702" t="s">
        <v>59</v>
      </c>
      <c r="FJ5702" t="s">
        <v>59</v>
      </c>
    </row>
    <row r="5703" spans="153:166" x14ac:dyDescent="0.35">
      <c r="EW5703" t="s">
        <v>5211</v>
      </c>
      <c r="EX5703" t="s">
        <v>1408</v>
      </c>
      <c r="FF5703" t="s">
        <v>474</v>
      </c>
      <c r="FJ5703" t="s">
        <v>474</v>
      </c>
    </row>
    <row r="5704" spans="153:166" x14ac:dyDescent="0.35">
      <c r="EW5704" t="s">
        <v>5211</v>
      </c>
      <c r="EX5704" t="s">
        <v>911</v>
      </c>
      <c r="FF5704" t="s">
        <v>59</v>
      </c>
      <c r="FJ5704" t="s">
        <v>59</v>
      </c>
    </row>
    <row r="5705" spans="153:166" x14ac:dyDescent="0.35">
      <c r="EW5705" t="s">
        <v>5211</v>
      </c>
      <c r="EX5705" t="s">
        <v>710</v>
      </c>
      <c r="FF5705" t="s">
        <v>59</v>
      </c>
      <c r="FJ5705" t="s">
        <v>59</v>
      </c>
    </row>
    <row r="5706" spans="153:166" x14ac:dyDescent="0.35">
      <c r="EW5706" t="s">
        <v>5211</v>
      </c>
      <c r="EX5706" t="s">
        <v>2840</v>
      </c>
      <c r="FF5706" t="s">
        <v>59</v>
      </c>
      <c r="FJ5706" t="s">
        <v>59</v>
      </c>
    </row>
    <row r="5707" spans="153:166" x14ac:dyDescent="0.35">
      <c r="EW5707" t="s">
        <v>5211</v>
      </c>
      <c r="EX5707" t="s">
        <v>2756</v>
      </c>
      <c r="FF5707" t="s">
        <v>59</v>
      </c>
      <c r="FJ5707" t="s">
        <v>59</v>
      </c>
    </row>
    <row r="5708" spans="153:166" x14ac:dyDescent="0.35">
      <c r="EW5708" t="s">
        <v>5211</v>
      </c>
      <c r="EX5708" t="s">
        <v>2781</v>
      </c>
      <c r="FF5708" t="s">
        <v>59</v>
      </c>
      <c r="FJ5708" t="s">
        <v>59</v>
      </c>
    </row>
    <row r="5709" spans="153:166" x14ac:dyDescent="0.35">
      <c r="EW5709" t="s">
        <v>5211</v>
      </c>
      <c r="EX5709" t="s">
        <v>319</v>
      </c>
      <c r="FF5709" t="s">
        <v>59</v>
      </c>
      <c r="FJ5709" t="s">
        <v>59</v>
      </c>
    </row>
    <row r="5710" spans="153:166" x14ac:dyDescent="0.35">
      <c r="EW5710" t="s">
        <v>5211</v>
      </c>
      <c r="EX5710" t="s">
        <v>245</v>
      </c>
      <c r="FF5710" t="s">
        <v>59</v>
      </c>
      <c r="FJ5710" t="s">
        <v>59</v>
      </c>
    </row>
    <row r="5711" spans="153:166" x14ac:dyDescent="0.35">
      <c r="EW5711" t="s">
        <v>5211</v>
      </c>
      <c r="EX5711" t="s">
        <v>528</v>
      </c>
      <c r="FF5711" t="s">
        <v>59</v>
      </c>
      <c r="FJ5711" t="s">
        <v>59</v>
      </c>
    </row>
    <row r="5712" spans="153:166" x14ac:dyDescent="0.35">
      <c r="EW5712" t="s">
        <v>5211</v>
      </c>
      <c r="EX5712" t="s">
        <v>226</v>
      </c>
      <c r="FF5712" t="s">
        <v>59</v>
      </c>
      <c r="FJ5712" t="s">
        <v>59</v>
      </c>
    </row>
    <row r="5713" spans="153:166" x14ac:dyDescent="0.35">
      <c r="EW5713" t="s">
        <v>5211</v>
      </c>
      <c r="EX5713" t="s">
        <v>898</v>
      </c>
      <c r="FF5713" t="s">
        <v>59</v>
      </c>
      <c r="FJ5713" t="s">
        <v>59</v>
      </c>
    </row>
    <row r="5714" spans="153:166" x14ac:dyDescent="0.35">
      <c r="EW5714" t="s">
        <v>5211</v>
      </c>
      <c r="EX5714" t="s">
        <v>2729</v>
      </c>
      <c r="FF5714" t="s">
        <v>59</v>
      </c>
      <c r="FJ5714" t="s">
        <v>59</v>
      </c>
    </row>
    <row r="5715" spans="153:166" x14ac:dyDescent="0.35">
      <c r="EW5715" t="s">
        <v>5211</v>
      </c>
      <c r="EX5715" t="s">
        <v>950</v>
      </c>
      <c r="FF5715" t="s">
        <v>59</v>
      </c>
      <c r="FJ5715" t="s">
        <v>59</v>
      </c>
    </row>
    <row r="5716" spans="153:166" x14ac:dyDescent="0.35">
      <c r="EW5716" t="s">
        <v>5211</v>
      </c>
      <c r="EX5716" t="s">
        <v>1202</v>
      </c>
      <c r="FF5716" t="s">
        <v>59</v>
      </c>
      <c r="FJ5716" t="s">
        <v>59</v>
      </c>
    </row>
    <row r="5717" spans="153:166" x14ac:dyDescent="0.35">
      <c r="EW5717" t="s">
        <v>5211</v>
      </c>
      <c r="EX5717" t="s">
        <v>2718</v>
      </c>
      <c r="FF5717" t="s">
        <v>59</v>
      </c>
      <c r="FJ5717" t="s">
        <v>59</v>
      </c>
    </row>
    <row r="5718" spans="153:166" x14ac:dyDescent="0.35">
      <c r="EW5718" t="s">
        <v>5211</v>
      </c>
      <c r="EX5718" t="s">
        <v>510</v>
      </c>
      <c r="FF5718" t="s">
        <v>59</v>
      </c>
      <c r="FJ5718" t="s">
        <v>59</v>
      </c>
    </row>
    <row r="5719" spans="153:166" x14ac:dyDescent="0.35">
      <c r="EW5719" t="s">
        <v>5211</v>
      </c>
      <c r="EX5719" t="s">
        <v>817</v>
      </c>
      <c r="FF5719" t="s">
        <v>59</v>
      </c>
      <c r="FJ5719" t="s">
        <v>59</v>
      </c>
    </row>
    <row r="5720" spans="153:166" x14ac:dyDescent="0.35">
      <c r="EW5720" t="s">
        <v>5211</v>
      </c>
      <c r="EX5720" t="s">
        <v>377</v>
      </c>
      <c r="FF5720" t="s">
        <v>59</v>
      </c>
      <c r="FJ5720" t="s">
        <v>59</v>
      </c>
    </row>
    <row r="5721" spans="153:166" x14ac:dyDescent="0.35">
      <c r="EW5721" t="s">
        <v>5211</v>
      </c>
      <c r="EX5721" t="s">
        <v>2740</v>
      </c>
      <c r="FF5721" t="s">
        <v>59</v>
      </c>
      <c r="FJ5721" t="s">
        <v>59</v>
      </c>
    </row>
    <row r="5722" spans="153:166" x14ac:dyDescent="0.35">
      <c r="EW5722" t="s">
        <v>5211</v>
      </c>
      <c r="EX5722" t="s">
        <v>68</v>
      </c>
      <c r="FF5722" t="s">
        <v>59</v>
      </c>
      <c r="FJ5722" t="s">
        <v>59</v>
      </c>
    </row>
    <row r="5723" spans="153:166" x14ac:dyDescent="0.35">
      <c r="EW5723" t="s">
        <v>5211</v>
      </c>
      <c r="EX5723" t="s">
        <v>2723</v>
      </c>
      <c r="FF5723" t="s">
        <v>59</v>
      </c>
      <c r="FJ5723" t="s">
        <v>59</v>
      </c>
    </row>
    <row r="5724" spans="153:166" x14ac:dyDescent="0.35">
      <c r="EW5724" t="s">
        <v>5211</v>
      </c>
      <c r="EX5724" t="s">
        <v>2745</v>
      </c>
      <c r="FF5724" t="s">
        <v>59</v>
      </c>
      <c r="FJ5724" t="s">
        <v>59</v>
      </c>
    </row>
    <row r="5725" spans="153:166" x14ac:dyDescent="0.35">
      <c r="EW5725" t="s">
        <v>5211</v>
      </c>
      <c r="EX5725" t="s">
        <v>438</v>
      </c>
      <c r="FF5725" t="s">
        <v>59</v>
      </c>
      <c r="FJ5725" t="s">
        <v>59</v>
      </c>
    </row>
    <row r="5726" spans="153:166" x14ac:dyDescent="0.35">
      <c r="EW5726" t="s">
        <v>5211</v>
      </c>
      <c r="EX5726" t="s">
        <v>228</v>
      </c>
      <c r="FF5726" t="s">
        <v>59</v>
      </c>
      <c r="FJ5726" t="s">
        <v>59</v>
      </c>
    </row>
    <row r="5727" spans="153:166" x14ac:dyDescent="0.35">
      <c r="EW5727" t="s">
        <v>5211</v>
      </c>
      <c r="EX5727" t="s">
        <v>308</v>
      </c>
      <c r="FF5727" t="s">
        <v>59</v>
      </c>
      <c r="FJ5727" t="s">
        <v>59</v>
      </c>
    </row>
    <row r="5728" spans="153:166" x14ac:dyDescent="0.35">
      <c r="EW5728" t="s">
        <v>5211</v>
      </c>
      <c r="EX5728" t="s">
        <v>2749</v>
      </c>
      <c r="FF5728" t="s">
        <v>59</v>
      </c>
      <c r="FJ5728" t="s">
        <v>59</v>
      </c>
    </row>
    <row r="5729" spans="153:166" x14ac:dyDescent="0.35">
      <c r="EW5729" t="s">
        <v>5211</v>
      </c>
      <c r="EX5729" t="s">
        <v>1951</v>
      </c>
      <c r="FF5729" t="s">
        <v>474</v>
      </c>
      <c r="FJ5729" t="s">
        <v>474</v>
      </c>
    </row>
    <row r="5730" spans="153:166" x14ac:dyDescent="0.35">
      <c r="EW5730" t="s">
        <v>5211</v>
      </c>
      <c r="EX5730" t="s">
        <v>1264</v>
      </c>
      <c r="FF5730" t="s">
        <v>474</v>
      </c>
      <c r="FJ5730" t="s">
        <v>474</v>
      </c>
    </row>
    <row r="5731" spans="153:166" x14ac:dyDescent="0.35">
      <c r="EW5731" t="s">
        <v>5211</v>
      </c>
      <c r="EX5731" t="s">
        <v>563</v>
      </c>
      <c r="FF5731" t="s">
        <v>59</v>
      </c>
      <c r="FJ5731" t="s">
        <v>59</v>
      </c>
    </row>
    <row r="5732" spans="153:166" x14ac:dyDescent="0.35">
      <c r="EW5732" t="s">
        <v>5211</v>
      </c>
      <c r="EX5732" t="s">
        <v>2756</v>
      </c>
      <c r="FF5732" t="s">
        <v>59</v>
      </c>
      <c r="FJ5732" t="s">
        <v>59</v>
      </c>
    </row>
    <row r="5733" spans="153:166" x14ac:dyDescent="0.35">
      <c r="EW5733" t="s">
        <v>5211</v>
      </c>
      <c r="EX5733" t="s">
        <v>2759</v>
      </c>
      <c r="FF5733" t="s">
        <v>59</v>
      </c>
      <c r="FJ5733" t="s">
        <v>59</v>
      </c>
    </row>
    <row r="5734" spans="153:166" x14ac:dyDescent="0.35">
      <c r="EW5734" t="s">
        <v>5211</v>
      </c>
      <c r="EX5734" t="s">
        <v>206</v>
      </c>
      <c r="FF5734" t="s">
        <v>59</v>
      </c>
      <c r="FJ5734" t="s">
        <v>59</v>
      </c>
    </row>
    <row r="5735" spans="153:166" x14ac:dyDescent="0.35">
      <c r="EW5735" t="s">
        <v>5211</v>
      </c>
      <c r="EX5735" t="s">
        <v>2718</v>
      </c>
      <c r="FF5735" t="s">
        <v>59</v>
      </c>
      <c r="FJ5735" t="s">
        <v>59</v>
      </c>
    </row>
    <row r="5736" spans="153:166" x14ac:dyDescent="0.35">
      <c r="EW5736" t="s">
        <v>5211</v>
      </c>
      <c r="EX5736" t="s">
        <v>502</v>
      </c>
      <c r="FF5736" t="s">
        <v>59</v>
      </c>
      <c r="FJ5736" t="s">
        <v>59</v>
      </c>
    </row>
    <row r="5737" spans="153:166" x14ac:dyDescent="0.35">
      <c r="EW5737" t="s">
        <v>5211</v>
      </c>
      <c r="EX5737" t="s">
        <v>2766</v>
      </c>
      <c r="FF5737" t="s">
        <v>59</v>
      </c>
      <c r="FJ5737" t="s">
        <v>59</v>
      </c>
    </row>
    <row r="5738" spans="153:166" x14ac:dyDescent="0.35">
      <c r="EW5738" t="s">
        <v>5211</v>
      </c>
      <c r="EX5738" t="s">
        <v>817</v>
      </c>
      <c r="FF5738" t="s">
        <v>59</v>
      </c>
      <c r="FJ5738" t="s">
        <v>59</v>
      </c>
    </row>
    <row r="5739" spans="153:166" x14ac:dyDescent="0.35">
      <c r="EW5739" t="s">
        <v>5211</v>
      </c>
      <c r="EX5739" t="s">
        <v>652</v>
      </c>
      <c r="FF5739" t="s">
        <v>59</v>
      </c>
      <c r="FJ5739" t="s">
        <v>59</v>
      </c>
    </row>
    <row r="5740" spans="153:166" x14ac:dyDescent="0.35">
      <c r="EW5740" t="s">
        <v>5211</v>
      </c>
      <c r="EX5740" t="s">
        <v>375</v>
      </c>
      <c r="FF5740" t="s">
        <v>59</v>
      </c>
      <c r="FJ5740" t="s">
        <v>59</v>
      </c>
    </row>
    <row r="5741" spans="153:166" x14ac:dyDescent="0.35">
      <c r="EW5741" t="s">
        <v>5211</v>
      </c>
      <c r="EX5741" t="s">
        <v>2739</v>
      </c>
      <c r="FF5741" t="s">
        <v>59</v>
      </c>
      <c r="FJ5741" t="s">
        <v>59</v>
      </c>
    </row>
    <row r="5742" spans="153:166" x14ac:dyDescent="0.35">
      <c r="EW5742" t="s">
        <v>5211</v>
      </c>
      <c r="EX5742" t="s">
        <v>2508</v>
      </c>
      <c r="FF5742" t="s">
        <v>59</v>
      </c>
      <c r="FJ5742" t="s">
        <v>59</v>
      </c>
    </row>
    <row r="5743" spans="153:166" x14ac:dyDescent="0.35">
      <c r="EW5743" t="s">
        <v>5211</v>
      </c>
      <c r="EX5743" t="s">
        <v>2722</v>
      </c>
      <c r="FF5743" t="s">
        <v>59</v>
      </c>
      <c r="FJ5743" t="s">
        <v>59</v>
      </c>
    </row>
    <row r="5744" spans="153:166" x14ac:dyDescent="0.35">
      <c r="EW5744" t="s">
        <v>5211</v>
      </c>
      <c r="EX5744" t="s">
        <v>66</v>
      </c>
      <c r="FF5744" t="s">
        <v>59</v>
      </c>
      <c r="FJ5744" t="s">
        <v>59</v>
      </c>
    </row>
    <row r="5745" spans="153:166" x14ac:dyDescent="0.35">
      <c r="EW5745" t="s">
        <v>5211</v>
      </c>
      <c r="EX5745" t="s">
        <v>278</v>
      </c>
      <c r="FF5745" t="s">
        <v>59</v>
      </c>
      <c r="FJ5745" t="s">
        <v>59</v>
      </c>
    </row>
    <row r="5746" spans="153:166" x14ac:dyDescent="0.35">
      <c r="EW5746" t="s">
        <v>5211</v>
      </c>
      <c r="EX5746" t="s">
        <v>2744</v>
      </c>
      <c r="FF5746" t="s">
        <v>59</v>
      </c>
      <c r="FJ5746" t="s">
        <v>59</v>
      </c>
    </row>
    <row r="5747" spans="153:166" x14ac:dyDescent="0.35">
      <c r="EW5747" t="s">
        <v>5211</v>
      </c>
      <c r="EX5747" t="s">
        <v>436</v>
      </c>
      <c r="FF5747" t="s">
        <v>59</v>
      </c>
      <c r="FJ5747" t="s">
        <v>59</v>
      </c>
    </row>
    <row r="5748" spans="153:166" x14ac:dyDescent="0.35">
      <c r="EW5748" t="s">
        <v>5211</v>
      </c>
      <c r="EX5748" t="s">
        <v>226</v>
      </c>
      <c r="FF5748" t="s">
        <v>59</v>
      </c>
      <c r="FJ5748" t="s">
        <v>59</v>
      </c>
    </row>
    <row r="5749" spans="153:166" x14ac:dyDescent="0.35">
      <c r="EW5749" t="s">
        <v>5211</v>
      </c>
      <c r="EX5749" t="s">
        <v>396</v>
      </c>
      <c r="FF5749" t="s">
        <v>59</v>
      </c>
      <c r="FJ5749" t="s">
        <v>59</v>
      </c>
    </row>
    <row r="5750" spans="153:166" x14ac:dyDescent="0.35">
      <c r="EW5750" t="s">
        <v>5211</v>
      </c>
      <c r="EX5750" t="s">
        <v>2784</v>
      </c>
      <c r="FF5750" t="s">
        <v>59</v>
      </c>
      <c r="FJ5750" t="s">
        <v>59</v>
      </c>
    </row>
    <row r="5751" spans="153:166" x14ac:dyDescent="0.35">
      <c r="EW5751" t="s">
        <v>5211</v>
      </c>
      <c r="EX5751" t="s">
        <v>412</v>
      </c>
      <c r="FF5751" t="s">
        <v>59</v>
      </c>
      <c r="FJ5751" t="s">
        <v>59</v>
      </c>
    </row>
    <row r="5752" spans="153:166" x14ac:dyDescent="0.35">
      <c r="EW5752" t="s">
        <v>5211</v>
      </c>
      <c r="EX5752" t="s">
        <v>2781</v>
      </c>
      <c r="FF5752" t="s">
        <v>59</v>
      </c>
      <c r="FJ5752" t="s">
        <v>59</v>
      </c>
    </row>
    <row r="5753" spans="153:166" x14ac:dyDescent="0.35">
      <c r="EW5753" t="s">
        <v>5211</v>
      </c>
      <c r="EX5753" t="s">
        <v>563</v>
      </c>
      <c r="FF5753" t="s">
        <v>59</v>
      </c>
      <c r="FJ5753" t="s">
        <v>59</v>
      </c>
    </row>
    <row r="5754" spans="153:166" x14ac:dyDescent="0.35">
      <c r="EW5754" t="s">
        <v>5211</v>
      </c>
      <c r="EX5754" t="s">
        <v>1202</v>
      </c>
      <c r="FF5754" t="s">
        <v>59</v>
      </c>
      <c r="FJ5754" t="s">
        <v>59</v>
      </c>
    </row>
    <row r="5755" spans="153:166" x14ac:dyDescent="0.35">
      <c r="EW5755" t="s">
        <v>5211</v>
      </c>
      <c r="EX5755" t="s">
        <v>2790</v>
      </c>
      <c r="FF5755" t="s">
        <v>59</v>
      </c>
      <c r="FJ5755" t="s">
        <v>59</v>
      </c>
    </row>
    <row r="5756" spans="153:166" x14ac:dyDescent="0.35">
      <c r="EW5756" t="s">
        <v>5211</v>
      </c>
      <c r="EX5756" t="s">
        <v>2795</v>
      </c>
      <c r="FF5756" t="s">
        <v>59</v>
      </c>
      <c r="FJ5756" t="s">
        <v>59</v>
      </c>
    </row>
    <row r="5757" spans="153:166" x14ac:dyDescent="0.35">
      <c r="EW5757" t="s">
        <v>5211</v>
      </c>
      <c r="EX5757" t="s">
        <v>995</v>
      </c>
      <c r="FF5757" t="s">
        <v>59</v>
      </c>
      <c r="FJ5757" t="s">
        <v>59</v>
      </c>
    </row>
    <row r="5758" spans="153:166" x14ac:dyDescent="0.35">
      <c r="EW5758" t="s">
        <v>5211</v>
      </c>
      <c r="EX5758" t="s">
        <v>911</v>
      </c>
      <c r="FF5758" t="s">
        <v>59</v>
      </c>
      <c r="FJ5758" t="s">
        <v>59</v>
      </c>
    </row>
    <row r="5759" spans="153:166" x14ac:dyDescent="0.35">
      <c r="EW5759" t="s">
        <v>5211</v>
      </c>
      <c r="EX5759" t="s">
        <v>2799</v>
      </c>
      <c r="FF5759" t="s">
        <v>59</v>
      </c>
      <c r="FJ5759" t="s">
        <v>59</v>
      </c>
    </row>
    <row r="5760" spans="153:166" x14ac:dyDescent="0.35">
      <c r="EW5760" t="s">
        <v>5211</v>
      </c>
      <c r="EX5760" t="s">
        <v>610</v>
      </c>
      <c r="FF5760" t="s">
        <v>59</v>
      </c>
      <c r="FJ5760" t="s">
        <v>59</v>
      </c>
    </row>
    <row r="5761" spans="153:166" x14ac:dyDescent="0.35">
      <c r="EW5761" t="s">
        <v>5211</v>
      </c>
      <c r="EX5761" t="s">
        <v>652</v>
      </c>
      <c r="FF5761" t="s">
        <v>59</v>
      </c>
      <c r="FJ5761" t="s">
        <v>59</v>
      </c>
    </row>
    <row r="5762" spans="153:166" x14ac:dyDescent="0.35">
      <c r="EW5762" t="s">
        <v>5211</v>
      </c>
      <c r="EX5762" t="s">
        <v>2804</v>
      </c>
      <c r="FF5762" t="s">
        <v>59</v>
      </c>
      <c r="FJ5762" t="s">
        <v>59</v>
      </c>
    </row>
    <row r="5763" spans="153:166" x14ac:dyDescent="0.35">
      <c r="EW5763" t="s">
        <v>5211</v>
      </c>
      <c r="EX5763" t="s">
        <v>1225</v>
      </c>
      <c r="FF5763" t="s">
        <v>59</v>
      </c>
      <c r="FJ5763" t="s">
        <v>59</v>
      </c>
    </row>
    <row r="5764" spans="153:166" x14ac:dyDescent="0.35">
      <c r="EW5764" t="s">
        <v>5211</v>
      </c>
      <c r="EX5764" t="s">
        <v>2808</v>
      </c>
      <c r="FF5764" t="s">
        <v>59</v>
      </c>
      <c r="FJ5764" t="s">
        <v>59</v>
      </c>
    </row>
    <row r="5765" spans="153:166" x14ac:dyDescent="0.35">
      <c r="EW5765" t="s">
        <v>5211</v>
      </c>
      <c r="EX5765" t="s">
        <v>2811</v>
      </c>
      <c r="FF5765" t="s">
        <v>59</v>
      </c>
      <c r="FJ5765" t="s">
        <v>59</v>
      </c>
    </row>
    <row r="5766" spans="153:166" x14ac:dyDescent="0.35">
      <c r="EW5766" t="s">
        <v>5211</v>
      </c>
      <c r="EX5766" t="s">
        <v>2729</v>
      </c>
      <c r="FF5766" t="s">
        <v>59</v>
      </c>
      <c r="FJ5766" t="s">
        <v>59</v>
      </c>
    </row>
    <row r="5767" spans="153:166" x14ac:dyDescent="0.35">
      <c r="EW5767" t="s">
        <v>5211</v>
      </c>
      <c r="EX5767" t="s">
        <v>537</v>
      </c>
      <c r="FF5767" t="s">
        <v>59</v>
      </c>
      <c r="FJ5767" t="s">
        <v>59</v>
      </c>
    </row>
    <row r="5768" spans="153:166" x14ac:dyDescent="0.35">
      <c r="EW5768" t="s">
        <v>5211</v>
      </c>
      <c r="EX5768" t="s">
        <v>2888</v>
      </c>
      <c r="FF5768" t="s">
        <v>59</v>
      </c>
      <c r="FJ5768" t="s">
        <v>59</v>
      </c>
    </row>
    <row r="5769" spans="153:166" x14ac:dyDescent="0.35">
      <c r="EW5769" t="s">
        <v>5211</v>
      </c>
      <c r="EX5769" t="s">
        <v>710</v>
      </c>
      <c r="FF5769" t="s">
        <v>59</v>
      </c>
      <c r="FJ5769" t="s">
        <v>59</v>
      </c>
    </row>
    <row r="5770" spans="153:166" x14ac:dyDescent="0.35">
      <c r="EW5770" t="s">
        <v>5211</v>
      </c>
      <c r="EX5770" t="s">
        <v>2498</v>
      </c>
      <c r="FF5770" t="s">
        <v>59</v>
      </c>
      <c r="FJ5770" t="s">
        <v>59</v>
      </c>
    </row>
    <row r="5771" spans="153:166" x14ac:dyDescent="0.35">
      <c r="EW5771" t="s">
        <v>5211</v>
      </c>
      <c r="EX5771" t="s">
        <v>2756</v>
      </c>
      <c r="FF5771" t="s">
        <v>59</v>
      </c>
      <c r="FJ5771" t="s">
        <v>59</v>
      </c>
    </row>
    <row r="5772" spans="153:166" x14ac:dyDescent="0.35">
      <c r="EW5772" t="s">
        <v>5211</v>
      </c>
      <c r="EX5772" t="s">
        <v>1099</v>
      </c>
      <c r="FF5772" t="s">
        <v>59</v>
      </c>
      <c r="FJ5772" t="s">
        <v>59</v>
      </c>
    </row>
    <row r="5773" spans="153:166" x14ac:dyDescent="0.35">
      <c r="EW5773" t="s">
        <v>5211</v>
      </c>
      <c r="EX5773" t="s">
        <v>2822</v>
      </c>
      <c r="FF5773" t="s">
        <v>59</v>
      </c>
      <c r="FJ5773" t="s">
        <v>59</v>
      </c>
    </row>
    <row r="5774" spans="153:166" x14ac:dyDescent="0.35">
      <c r="EW5774" t="s">
        <v>5211</v>
      </c>
      <c r="EX5774" t="s">
        <v>2826</v>
      </c>
      <c r="FF5774" t="s">
        <v>59</v>
      </c>
      <c r="FJ5774" t="s">
        <v>59</v>
      </c>
    </row>
    <row r="5775" spans="153:166" x14ac:dyDescent="0.35">
      <c r="EW5775" t="s">
        <v>5211</v>
      </c>
      <c r="EX5775" t="s">
        <v>1346</v>
      </c>
      <c r="FF5775" t="s">
        <v>59</v>
      </c>
      <c r="FJ5775" t="s">
        <v>59</v>
      </c>
    </row>
    <row r="5776" spans="153:166" x14ac:dyDescent="0.35">
      <c r="EW5776" t="s">
        <v>5211</v>
      </c>
      <c r="EX5776" t="s">
        <v>2722</v>
      </c>
      <c r="FF5776" t="s">
        <v>59</v>
      </c>
      <c r="FJ5776" t="s">
        <v>59</v>
      </c>
    </row>
    <row r="5777" spans="153:166" x14ac:dyDescent="0.35">
      <c r="EW5777" t="s">
        <v>5211</v>
      </c>
      <c r="EX5777" t="s">
        <v>528</v>
      </c>
      <c r="FF5777" t="s">
        <v>59</v>
      </c>
      <c r="FJ5777" t="s">
        <v>59</v>
      </c>
    </row>
    <row r="5778" spans="153:166" x14ac:dyDescent="0.35">
      <c r="EW5778" t="s">
        <v>5211</v>
      </c>
      <c r="EX5778" t="s">
        <v>2781</v>
      </c>
      <c r="FF5778" t="s">
        <v>59</v>
      </c>
      <c r="FJ5778" t="s">
        <v>59</v>
      </c>
    </row>
    <row r="5779" spans="153:166" x14ac:dyDescent="0.35">
      <c r="EW5779" t="s">
        <v>5211</v>
      </c>
      <c r="EX5779" t="s">
        <v>2784</v>
      </c>
      <c r="FF5779" t="s">
        <v>59</v>
      </c>
      <c r="FJ5779" t="s">
        <v>59</v>
      </c>
    </row>
    <row r="5780" spans="153:166" x14ac:dyDescent="0.35">
      <c r="EW5780" t="s">
        <v>5211</v>
      </c>
      <c r="EX5780" t="s">
        <v>2744</v>
      </c>
      <c r="FF5780" t="s">
        <v>59</v>
      </c>
      <c r="FJ5780" t="s">
        <v>59</v>
      </c>
    </row>
    <row r="5781" spans="153:166" x14ac:dyDescent="0.35">
      <c r="EW5781" t="s">
        <v>5211</v>
      </c>
      <c r="EX5781" t="s">
        <v>2766</v>
      </c>
      <c r="FF5781" t="s">
        <v>59</v>
      </c>
      <c r="FJ5781" t="s">
        <v>59</v>
      </c>
    </row>
    <row r="5782" spans="153:166" x14ac:dyDescent="0.35">
      <c r="EW5782" t="s">
        <v>5211</v>
      </c>
      <c r="EX5782" t="s">
        <v>2811</v>
      </c>
      <c r="FF5782" t="s">
        <v>59</v>
      </c>
      <c r="FJ5782" t="s">
        <v>59</v>
      </c>
    </row>
    <row r="5783" spans="153:166" x14ac:dyDescent="0.35">
      <c r="EW5783" t="s">
        <v>5211</v>
      </c>
      <c r="EX5783" t="s">
        <v>2729</v>
      </c>
      <c r="FF5783" t="s">
        <v>59</v>
      </c>
      <c r="FJ5783" t="s">
        <v>59</v>
      </c>
    </row>
    <row r="5784" spans="153:166" x14ac:dyDescent="0.35">
      <c r="EW5784" t="s">
        <v>5211</v>
      </c>
      <c r="EX5784" t="s">
        <v>1408</v>
      </c>
      <c r="FF5784" t="s">
        <v>474</v>
      </c>
      <c r="FJ5784" t="s">
        <v>474</v>
      </c>
    </row>
    <row r="5785" spans="153:166" x14ac:dyDescent="0.35">
      <c r="EW5785" t="s">
        <v>5211</v>
      </c>
      <c r="EX5785" t="s">
        <v>2894</v>
      </c>
      <c r="FF5785" t="s">
        <v>59</v>
      </c>
      <c r="FJ5785" t="s">
        <v>59</v>
      </c>
    </row>
    <row r="5786" spans="153:166" x14ac:dyDescent="0.35">
      <c r="EW5786" t="s">
        <v>5211</v>
      </c>
      <c r="EX5786" t="s">
        <v>1511</v>
      </c>
      <c r="FF5786" t="s">
        <v>474</v>
      </c>
      <c r="FJ5786" t="s">
        <v>474</v>
      </c>
    </row>
    <row r="5787" spans="153:166" x14ac:dyDescent="0.35">
      <c r="EW5787" t="s">
        <v>5211</v>
      </c>
      <c r="EX5787" t="s">
        <v>911</v>
      </c>
      <c r="FF5787" t="s">
        <v>59</v>
      </c>
      <c r="FJ5787" t="s">
        <v>59</v>
      </c>
    </row>
    <row r="5788" spans="153:166" x14ac:dyDescent="0.35">
      <c r="EW5788" t="s">
        <v>5211</v>
      </c>
      <c r="EX5788" t="s">
        <v>710</v>
      </c>
      <c r="FF5788" t="s">
        <v>59</v>
      </c>
      <c r="FJ5788" t="s">
        <v>59</v>
      </c>
    </row>
    <row r="5789" spans="153:166" x14ac:dyDescent="0.35">
      <c r="EW5789" t="s">
        <v>5211</v>
      </c>
      <c r="EX5789" t="s">
        <v>2840</v>
      </c>
      <c r="FF5789" t="s">
        <v>59</v>
      </c>
      <c r="FJ5789" t="s">
        <v>59</v>
      </c>
    </row>
    <row r="5790" spans="153:166" x14ac:dyDescent="0.35">
      <c r="EW5790" t="s">
        <v>5211</v>
      </c>
      <c r="EX5790" t="s">
        <v>2756</v>
      </c>
      <c r="FF5790" t="s">
        <v>59</v>
      </c>
      <c r="FJ5790" t="s">
        <v>59</v>
      </c>
    </row>
    <row r="5791" spans="153:166" x14ac:dyDescent="0.35">
      <c r="EW5791" t="s">
        <v>5211</v>
      </c>
      <c r="EX5791" t="s">
        <v>2781</v>
      </c>
      <c r="FF5791" t="s">
        <v>59</v>
      </c>
      <c r="FJ5791" t="s">
        <v>59</v>
      </c>
    </row>
    <row r="5792" spans="153:166" x14ac:dyDescent="0.35">
      <c r="EW5792" t="s">
        <v>5211</v>
      </c>
      <c r="EX5792" t="s">
        <v>319</v>
      </c>
      <c r="FF5792" t="s">
        <v>59</v>
      </c>
      <c r="FJ5792" t="s">
        <v>59</v>
      </c>
    </row>
    <row r="5793" spans="153:166" x14ac:dyDescent="0.35">
      <c r="EW5793" t="s">
        <v>5211</v>
      </c>
      <c r="EX5793" t="s">
        <v>245</v>
      </c>
      <c r="FF5793" t="s">
        <v>59</v>
      </c>
      <c r="FJ5793" t="s">
        <v>59</v>
      </c>
    </row>
    <row r="5794" spans="153:166" x14ac:dyDescent="0.35">
      <c r="EW5794" t="s">
        <v>5211</v>
      </c>
      <c r="EX5794" t="s">
        <v>528</v>
      </c>
      <c r="FF5794" t="s">
        <v>59</v>
      </c>
      <c r="FJ5794" t="s">
        <v>59</v>
      </c>
    </row>
    <row r="5795" spans="153:166" x14ac:dyDescent="0.35">
      <c r="EW5795" t="s">
        <v>5211</v>
      </c>
      <c r="EX5795" t="s">
        <v>2744</v>
      </c>
      <c r="FF5795" t="s">
        <v>59</v>
      </c>
      <c r="FJ5795" t="s">
        <v>59</v>
      </c>
    </row>
    <row r="5796" spans="153:166" x14ac:dyDescent="0.35">
      <c r="EW5796" t="s">
        <v>5211</v>
      </c>
      <c r="EX5796" t="s">
        <v>2784</v>
      </c>
      <c r="FF5796" t="s">
        <v>59</v>
      </c>
      <c r="FJ5796" t="s">
        <v>59</v>
      </c>
    </row>
    <row r="5797" spans="153:166" x14ac:dyDescent="0.35">
      <c r="EW5797" t="s">
        <v>5211</v>
      </c>
      <c r="EX5797" t="s">
        <v>1483</v>
      </c>
      <c r="FF5797" t="s">
        <v>59</v>
      </c>
      <c r="FJ5797" t="s">
        <v>59</v>
      </c>
    </row>
    <row r="5798" spans="153:166" x14ac:dyDescent="0.35">
      <c r="EW5798" t="s">
        <v>5211</v>
      </c>
      <c r="EX5798" t="s">
        <v>2795</v>
      </c>
      <c r="FF5798" t="s">
        <v>59</v>
      </c>
      <c r="FJ5798" t="s">
        <v>59</v>
      </c>
    </row>
    <row r="5799" spans="153:166" x14ac:dyDescent="0.35">
      <c r="EW5799" t="s">
        <v>5211</v>
      </c>
      <c r="EX5799" t="s">
        <v>2905</v>
      </c>
      <c r="FF5799" t="s">
        <v>59</v>
      </c>
      <c r="FJ5799" t="s">
        <v>59</v>
      </c>
    </row>
    <row r="5800" spans="153:166" x14ac:dyDescent="0.35">
      <c r="EW5800" t="s">
        <v>5211</v>
      </c>
      <c r="EX5800" t="s">
        <v>2840</v>
      </c>
      <c r="FF5800" t="s">
        <v>59</v>
      </c>
      <c r="FJ5800" t="s">
        <v>59</v>
      </c>
    </row>
    <row r="5801" spans="153:166" x14ac:dyDescent="0.35">
      <c r="EW5801" t="s">
        <v>5211</v>
      </c>
      <c r="EX5801" t="s">
        <v>982</v>
      </c>
      <c r="FF5801" t="s">
        <v>59</v>
      </c>
      <c r="FJ5801" t="s">
        <v>59</v>
      </c>
    </row>
    <row r="5802" spans="153:166" x14ac:dyDescent="0.35">
      <c r="EW5802" t="s">
        <v>5211</v>
      </c>
      <c r="EX5802" t="s">
        <v>2908</v>
      </c>
      <c r="FF5802" t="s">
        <v>59</v>
      </c>
      <c r="FJ5802" t="s">
        <v>59</v>
      </c>
    </row>
    <row r="5803" spans="153:166" x14ac:dyDescent="0.35">
      <c r="EW5803" t="s">
        <v>5211</v>
      </c>
      <c r="EX5803" t="s">
        <v>519</v>
      </c>
      <c r="FF5803" t="s">
        <v>59</v>
      </c>
      <c r="FJ5803" t="s">
        <v>59</v>
      </c>
    </row>
    <row r="5804" spans="153:166" x14ac:dyDescent="0.35">
      <c r="EW5804" t="s">
        <v>5211</v>
      </c>
      <c r="EX5804" t="s">
        <v>462</v>
      </c>
      <c r="FF5804" t="s">
        <v>59</v>
      </c>
      <c r="FJ5804" t="s">
        <v>59</v>
      </c>
    </row>
    <row r="5805" spans="153:166" x14ac:dyDescent="0.35">
      <c r="EW5805" t="s">
        <v>5211</v>
      </c>
      <c r="EX5805" t="s">
        <v>922</v>
      </c>
      <c r="FF5805" t="s">
        <v>59</v>
      </c>
      <c r="FJ5805" t="s">
        <v>59</v>
      </c>
    </row>
    <row r="5806" spans="153:166" x14ac:dyDescent="0.35">
      <c r="EW5806" t="s">
        <v>5211</v>
      </c>
      <c r="EX5806" t="s">
        <v>982</v>
      </c>
      <c r="FF5806" t="s">
        <v>59</v>
      </c>
      <c r="FJ5806" t="s">
        <v>59</v>
      </c>
    </row>
    <row r="5807" spans="153:166" x14ac:dyDescent="0.35">
      <c r="EW5807" t="s">
        <v>5211</v>
      </c>
      <c r="EX5807" t="s">
        <v>425</v>
      </c>
      <c r="FF5807" t="s">
        <v>59</v>
      </c>
      <c r="FJ5807" t="s">
        <v>59</v>
      </c>
    </row>
    <row r="5808" spans="153:166" x14ac:dyDescent="0.35">
      <c r="EW5808" t="s">
        <v>5211</v>
      </c>
      <c r="EX5808" t="s">
        <v>2908</v>
      </c>
      <c r="FF5808" t="s">
        <v>59</v>
      </c>
      <c r="FJ5808" t="s">
        <v>59</v>
      </c>
    </row>
    <row r="5809" spans="153:166" x14ac:dyDescent="0.35">
      <c r="EW5809" t="s">
        <v>5211</v>
      </c>
      <c r="EX5809" t="s">
        <v>43</v>
      </c>
      <c r="FF5809" t="s">
        <v>59</v>
      </c>
      <c r="FJ5809" t="s">
        <v>59</v>
      </c>
    </row>
    <row r="5810" spans="153:166" x14ac:dyDescent="0.35">
      <c r="EW5810" t="s">
        <v>5211</v>
      </c>
      <c r="EX5810" t="s">
        <v>217</v>
      </c>
      <c r="FF5810" t="s">
        <v>59</v>
      </c>
      <c r="FJ5810" t="s">
        <v>59</v>
      </c>
    </row>
    <row r="5811" spans="153:166" x14ac:dyDescent="0.35">
      <c r="EW5811" t="s">
        <v>5211</v>
      </c>
      <c r="EX5811" t="s">
        <v>519</v>
      </c>
      <c r="FF5811" t="s">
        <v>59</v>
      </c>
      <c r="FJ5811" t="s">
        <v>59</v>
      </c>
    </row>
    <row r="5812" spans="153:166" x14ac:dyDescent="0.35">
      <c r="EW5812" t="s">
        <v>5211</v>
      </c>
      <c r="EX5812" t="s">
        <v>462</v>
      </c>
      <c r="FF5812" t="s">
        <v>59</v>
      </c>
      <c r="FJ5812" t="s">
        <v>59</v>
      </c>
    </row>
    <row r="5813" spans="153:166" x14ac:dyDescent="0.35">
      <c r="EW5813" t="s">
        <v>5211</v>
      </c>
      <c r="EX5813" t="s">
        <v>922</v>
      </c>
      <c r="FF5813" t="s">
        <v>59</v>
      </c>
      <c r="FJ5813" t="s">
        <v>59</v>
      </c>
    </row>
    <row r="5814" spans="153:166" x14ac:dyDescent="0.35">
      <c r="EW5814" t="s">
        <v>5211</v>
      </c>
      <c r="EX5814" t="s">
        <v>982</v>
      </c>
      <c r="FF5814" t="s">
        <v>59</v>
      </c>
      <c r="FJ5814" t="s">
        <v>59</v>
      </c>
    </row>
    <row r="5815" spans="153:166" x14ac:dyDescent="0.35">
      <c r="EW5815" t="s">
        <v>5211</v>
      </c>
      <c r="EX5815" t="s">
        <v>855</v>
      </c>
      <c r="FF5815" t="s">
        <v>59</v>
      </c>
      <c r="FJ5815" t="s">
        <v>59</v>
      </c>
    </row>
    <row r="5816" spans="153:166" x14ac:dyDescent="0.35">
      <c r="EW5816" t="s">
        <v>5211</v>
      </c>
      <c r="EX5816" t="s">
        <v>425</v>
      </c>
      <c r="FF5816" t="s">
        <v>59</v>
      </c>
      <c r="FJ5816" t="s">
        <v>59</v>
      </c>
    </row>
    <row r="5817" spans="153:166" x14ac:dyDescent="0.35">
      <c r="EW5817" t="s">
        <v>5211</v>
      </c>
      <c r="EX5817" t="s">
        <v>519</v>
      </c>
      <c r="FF5817" t="s">
        <v>59</v>
      </c>
      <c r="FJ5817" t="s">
        <v>59</v>
      </c>
    </row>
    <row r="5818" spans="153:166" x14ac:dyDescent="0.35">
      <c r="EW5818" t="s">
        <v>5211</v>
      </c>
      <c r="EX5818" t="s">
        <v>43</v>
      </c>
      <c r="FF5818" t="s">
        <v>59</v>
      </c>
      <c r="FJ5818" t="s">
        <v>59</v>
      </c>
    </row>
    <row r="5819" spans="153:166" x14ac:dyDescent="0.35">
      <c r="EW5819" t="s">
        <v>5211</v>
      </c>
      <c r="EX5819" t="s">
        <v>217</v>
      </c>
      <c r="FF5819" t="s">
        <v>59</v>
      </c>
      <c r="FJ5819" t="s">
        <v>59</v>
      </c>
    </row>
    <row r="5820" spans="153:166" x14ac:dyDescent="0.35">
      <c r="EW5820" t="s">
        <v>5211</v>
      </c>
      <c r="EX5820" t="s">
        <v>670</v>
      </c>
      <c r="FF5820" t="s">
        <v>59</v>
      </c>
      <c r="FJ5820" t="s">
        <v>59</v>
      </c>
    </row>
    <row r="5821" spans="153:166" x14ac:dyDescent="0.35">
      <c r="EW5821" t="s">
        <v>5211</v>
      </c>
      <c r="EX5821" t="s">
        <v>462</v>
      </c>
      <c r="FF5821" t="s">
        <v>59</v>
      </c>
      <c r="FJ5821" t="s">
        <v>59</v>
      </c>
    </row>
    <row r="5822" spans="153:166" x14ac:dyDescent="0.35">
      <c r="EW5822" t="s">
        <v>5211</v>
      </c>
      <c r="EX5822" t="s">
        <v>922</v>
      </c>
      <c r="FF5822" t="s">
        <v>59</v>
      </c>
      <c r="FJ5822" t="s">
        <v>59</v>
      </c>
    </row>
    <row r="5823" spans="153:166" x14ac:dyDescent="0.35">
      <c r="EW5823" t="s">
        <v>5211</v>
      </c>
      <c r="EX5823" t="s">
        <v>855</v>
      </c>
      <c r="FF5823" t="s">
        <v>59</v>
      </c>
      <c r="FJ5823" t="s">
        <v>59</v>
      </c>
    </row>
    <row r="5824" spans="153:166" x14ac:dyDescent="0.35">
      <c r="EW5824" t="s">
        <v>5211</v>
      </c>
      <c r="EX5824" t="s">
        <v>2908</v>
      </c>
      <c r="FF5824" t="s">
        <v>59</v>
      </c>
      <c r="FJ5824" t="s">
        <v>59</v>
      </c>
    </row>
    <row r="5825" spans="153:166" x14ac:dyDescent="0.35">
      <c r="EW5825" t="s">
        <v>5211</v>
      </c>
      <c r="EX5825" t="s">
        <v>484</v>
      </c>
      <c r="FF5825" t="s">
        <v>59</v>
      </c>
      <c r="FJ5825" t="s">
        <v>59</v>
      </c>
    </row>
    <row r="5826" spans="153:166" x14ac:dyDescent="0.35">
      <c r="EW5826" t="s">
        <v>5211</v>
      </c>
      <c r="EX5826" t="s">
        <v>43</v>
      </c>
      <c r="FF5826" t="s">
        <v>59</v>
      </c>
      <c r="FJ5826" t="s">
        <v>59</v>
      </c>
    </row>
    <row r="5827" spans="153:166" x14ac:dyDescent="0.35">
      <c r="EW5827" t="s">
        <v>5211</v>
      </c>
      <c r="EX5827" t="s">
        <v>462</v>
      </c>
      <c r="FF5827" t="s">
        <v>59</v>
      </c>
      <c r="FJ5827" t="s">
        <v>59</v>
      </c>
    </row>
    <row r="5828" spans="153:166" x14ac:dyDescent="0.35">
      <c r="EW5828" t="s">
        <v>5211</v>
      </c>
      <c r="EX5828" t="s">
        <v>120</v>
      </c>
      <c r="FF5828" t="s">
        <v>59</v>
      </c>
      <c r="FJ5828" t="s">
        <v>59</v>
      </c>
    </row>
    <row r="5829" spans="153:166" x14ac:dyDescent="0.35">
      <c r="EW5829" t="s">
        <v>5211</v>
      </c>
      <c r="EX5829" t="s">
        <v>670</v>
      </c>
      <c r="FF5829" t="s">
        <v>59</v>
      </c>
      <c r="FJ5829" t="s">
        <v>59</v>
      </c>
    </row>
    <row r="5830" spans="153:166" x14ac:dyDescent="0.35">
      <c r="EW5830" t="s">
        <v>5211</v>
      </c>
      <c r="EX5830" t="s">
        <v>922</v>
      </c>
      <c r="FF5830" t="s">
        <v>59</v>
      </c>
      <c r="FJ5830" t="s">
        <v>59</v>
      </c>
    </row>
    <row r="5831" spans="153:166" x14ac:dyDescent="0.35">
      <c r="EW5831" t="s">
        <v>5211</v>
      </c>
      <c r="EX5831" t="s">
        <v>140</v>
      </c>
      <c r="FF5831" t="s">
        <v>59</v>
      </c>
      <c r="FJ5831" t="s">
        <v>59</v>
      </c>
    </row>
    <row r="5832" spans="153:166" x14ac:dyDescent="0.35">
      <c r="EW5832" t="s">
        <v>5211</v>
      </c>
      <c r="EX5832" t="s">
        <v>1082</v>
      </c>
      <c r="FF5832" t="s">
        <v>59</v>
      </c>
      <c r="FJ5832" t="s">
        <v>59</v>
      </c>
    </row>
    <row r="5833" spans="153:166" x14ac:dyDescent="0.35">
      <c r="EW5833" t="s">
        <v>5211</v>
      </c>
      <c r="EX5833" t="s">
        <v>855</v>
      </c>
      <c r="FF5833" t="s">
        <v>59</v>
      </c>
      <c r="FJ5833" t="s">
        <v>59</v>
      </c>
    </row>
    <row r="5834" spans="153:166" x14ac:dyDescent="0.35">
      <c r="EW5834" t="s">
        <v>5211</v>
      </c>
      <c r="EX5834" t="s">
        <v>554</v>
      </c>
      <c r="FF5834" t="s">
        <v>59</v>
      </c>
      <c r="FJ5834" t="s">
        <v>59</v>
      </c>
    </row>
    <row r="5835" spans="153:166" x14ac:dyDescent="0.35">
      <c r="EW5835" t="s">
        <v>5211</v>
      </c>
      <c r="EX5835" t="s">
        <v>120</v>
      </c>
      <c r="FF5835" t="s">
        <v>59</v>
      </c>
      <c r="FJ5835" t="s">
        <v>59</v>
      </c>
    </row>
    <row r="5836" spans="153:166" x14ac:dyDescent="0.35">
      <c r="EW5836" t="s">
        <v>5211</v>
      </c>
      <c r="EX5836" t="s">
        <v>43</v>
      </c>
      <c r="FF5836" t="s">
        <v>59</v>
      </c>
      <c r="FJ5836" t="s">
        <v>59</v>
      </c>
    </row>
    <row r="5837" spans="153:166" x14ac:dyDescent="0.35">
      <c r="EW5837" t="s">
        <v>5211</v>
      </c>
      <c r="EX5837" t="s">
        <v>140</v>
      </c>
      <c r="FF5837" t="s">
        <v>59</v>
      </c>
      <c r="FJ5837" t="s">
        <v>59</v>
      </c>
    </row>
    <row r="5838" spans="153:166" x14ac:dyDescent="0.35">
      <c r="EW5838" t="s">
        <v>5211</v>
      </c>
      <c r="EX5838" t="s">
        <v>278</v>
      </c>
      <c r="FF5838" t="s">
        <v>59</v>
      </c>
      <c r="FJ5838" t="s">
        <v>59</v>
      </c>
    </row>
    <row r="5839" spans="153:166" x14ac:dyDescent="0.35">
      <c r="EW5839" t="s">
        <v>5211</v>
      </c>
      <c r="EX5839" t="s">
        <v>120</v>
      </c>
      <c r="FF5839" t="s">
        <v>59</v>
      </c>
      <c r="FJ5839" t="s">
        <v>59</v>
      </c>
    </row>
    <row r="5840" spans="153:166" x14ac:dyDescent="0.35">
      <c r="EW5840" t="s">
        <v>5211</v>
      </c>
      <c r="EX5840" t="s">
        <v>375</v>
      </c>
      <c r="FF5840" t="s">
        <v>59</v>
      </c>
      <c r="FJ5840" t="s">
        <v>59</v>
      </c>
    </row>
    <row r="5841" spans="153:166" x14ac:dyDescent="0.35">
      <c r="EW5841" t="s">
        <v>5211</v>
      </c>
      <c r="EX5841" t="s">
        <v>88</v>
      </c>
      <c r="FF5841" t="s">
        <v>59</v>
      </c>
      <c r="FJ5841" t="s">
        <v>59</v>
      </c>
    </row>
    <row r="5842" spans="153:166" x14ac:dyDescent="0.35">
      <c r="EW5842" t="s">
        <v>5211</v>
      </c>
      <c r="EX5842" t="s">
        <v>43</v>
      </c>
      <c r="FF5842" t="s">
        <v>59</v>
      </c>
      <c r="FJ5842" t="s">
        <v>59</v>
      </c>
    </row>
    <row r="5843" spans="153:166" x14ac:dyDescent="0.35">
      <c r="EW5843" t="s">
        <v>5211</v>
      </c>
      <c r="EX5843" t="s">
        <v>140</v>
      </c>
      <c r="FF5843" t="s">
        <v>59</v>
      </c>
      <c r="FJ5843" t="s">
        <v>59</v>
      </c>
    </row>
    <row r="5844" spans="153:166" x14ac:dyDescent="0.35">
      <c r="EW5844" t="s">
        <v>5211</v>
      </c>
      <c r="EX5844" t="s">
        <v>547</v>
      </c>
      <c r="FF5844" t="s">
        <v>59</v>
      </c>
      <c r="FJ5844" t="s">
        <v>59</v>
      </c>
    </row>
    <row r="5845" spans="153:166" x14ac:dyDescent="0.35">
      <c r="EW5845" t="s">
        <v>5211</v>
      </c>
      <c r="EX5845" t="s">
        <v>278</v>
      </c>
      <c r="FF5845" t="s">
        <v>59</v>
      </c>
      <c r="FJ5845" t="s">
        <v>59</v>
      </c>
    </row>
    <row r="5846" spans="153:166" x14ac:dyDescent="0.35">
      <c r="EW5846" t="s">
        <v>5211</v>
      </c>
      <c r="EX5846" t="s">
        <v>177</v>
      </c>
      <c r="FF5846" t="s">
        <v>59</v>
      </c>
      <c r="FJ5846" t="s">
        <v>59</v>
      </c>
    </row>
    <row r="5847" spans="153:166" x14ac:dyDescent="0.35">
      <c r="EW5847" t="s">
        <v>5211</v>
      </c>
      <c r="EX5847" t="s">
        <v>360</v>
      </c>
      <c r="FF5847" t="s">
        <v>59</v>
      </c>
      <c r="FJ5847" t="s">
        <v>59</v>
      </c>
    </row>
    <row r="5848" spans="153:166" x14ac:dyDescent="0.35">
      <c r="EW5848" t="s">
        <v>5211</v>
      </c>
      <c r="EX5848" t="s">
        <v>375</v>
      </c>
      <c r="FF5848" t="s">
        <v>59</v>
      </c>
      <c r="FJ5848" t="s">
        <v>59</v>
      </c>
    </row>
    <row r="5849" spans="153:166" x14ac:dyDescent="0.35">
      <c r="EW5849" t="s">
        <v>5211</v>
      </c>
      <c r="EX5849" t="s">
        <v>425</v>
      </c>
      <c r="FF5849" t="s">
        <v>59</v>
      </c>
      <c r="FJ5849" t="s">
        <v>59</v>
      </c>
    </row>
    <row r="5850" spans="153:166" x14ac:dyDescent="0.35">
      <c r="EW5850" t="s">
        <v>5211</v>
      </c>
      <c r="EX5850" t="s">
        <v>88</v>
      </c>
      <c r="FF5850" t="s">
        <v>59</v>
      </c>
      <c r="FJ5850" t="s">
        <v>59</v>
      </c>
    </row>
    <row r="5851" spans="153:166" x14ac:dyDescent="0.35">
      <c r="EW5851" t="s">
        <v>5211</v>
      </c>
      <c r="EX5851" t="s">
        <v>140</v>
      </c>
      <c r="FF5851" t="s">
        <v>59</v>
      </c>
      <c r="FJ5851" t="s">
        <v>59</v>
      </c>
    </row>
    <row r="5852" spans="153:166" x14ac:dyDescent="0.35">
      <c r="EW5852" t="s">
        <v>5211</v>
      </c>
      <c r="EX5852" t="s">
        <v>547</v>
      </c>
      <c r="FF5852" t="s">
        <v>59</v>
      </c>
      <c r="FJ5852" t="s">
        <v>59</v>
      </c>
    </row>
    <row r="5853" spans="153:166" x14ac:dyDescent="0.35">
      <c r="EW5853" t="s">
        <v>5211</v>
      </c>
      <c r="EX5853" t="s">
        <v>278</v>
      </c>
      <c r="FF5853" t="s">
        <v>59</v>
      </c>
      <c r="FJ5853" t="s">
        <v>59</v>
      </c>
    </row>
    <row r="5854" spans="153:166" x14ac:dyDescent="0.35">
      <c r="EW5854" t="s">
        <v>5211</v>
      </c>
      <c r="EX5854" t="s">
        <v>177</v>
      </c>
      <c r="FF5854" t="s">
        <v>59</v>
      </c>
      <c r="FJ5854" t="s">
        <v>59</v>
      </c>
    </row>
    <row r="5855" spans="153:166" x14ac:dyDescent="0.35">
      <c r="EW5855" t="s">
        <v>5211</v>
      </c>
      <c r="EX5855" t="s">
        <v>308</v>
      </c>
      <c r="FF5855" t="s">
        <v>59</v>
      </c>
      <c r="FJ5855" t="s">
        <v>59</v>
      </c>
    </row>
    <row r="5856" spans="153:166" x14ac:dyDescent="0.35">
      <c r="EW5856" t="s">
        <v>5211</v>
      </c>
      <c r="EX5856" t="s">
        <v>375</v>
      </c>
      <c r="FF5856" t="s">
        <v>59</v>
      </c>
      <c r="FJ5856" t="s">
        <v>59</v>
      </c>
    </row>
    <row r="5857" spans="153:166" x14ac:dyDescent="0.35">
      <c r="EW5857" t="s">
        <v>5211</v>
      </c>
      <c r="EX5857" t="s">
        <v>177</v>
      </c>
      <c r="FF5857" t="s">
        <v>59</v>
      </c>
      <c r="FJ5857" t="s">
        <v>59</v>
      </c>
    </row>
    <row r="5858" spans="153:166" x14ac:dyDescent="0.35">
      <c r="EW5858" t="s">
        <v>5211</v>
      </c>
      <c r="EX5858" t="s">
        <v>308</v>
      </c>
      <c r="FF5858" t="s">
        <v>59</v>
      </c>
      <c r="FJ5858" t="s">
        <v>59</v>
      </c>
    </row>
    <row r="5859" spans="153:166" x14ac:dyDescent="0.35">
      <c r="EW5859" t="s">
        <v>5211</v>
      </c>
      <c r="EX5859" t="s">
        <v>375</v>
      </c>
      <c r="FF5859" t="s">
        <v>59</v>
      </c>
      <c r="FJ5859" t="s">
        <v>59</v>
      </c>
    </row>
    <row r="5860" spans="153:166" x14ac:dyDescent="0.35">
      <c r="EW5860" t="s">
        <v>5211</v>
      </c>
      <c r="EX5860" t="s">
        <v>593</v>
      </c>
      <c r="FF5860" t="s">
        <v>59</v>
      </c>
      <c r="FJ5860" t="s">
        <v>59</v>
      </c>
    </row>
    <row r="5861" spans="153:166" x14ac:dyDescent="0.35">
      <c r="EW5861" t="s">
        <v>5211</v>
      </c>
      <c r="EX5861" t="s">
        <v>2962</v>
      </c>
      <c r="FF5861" t="s">
        <v>59</v>
      </c>
      <c r="FJ5861" t="s">
        <v>59</v>
      </c>
    </row>
    <row r="5862" spans="153:166" x14ac:dyDescent="0.35">
      <c r="EW5862" t="s">
        <v>5211</v>
      </c>
      <c r="EX5862" t="s">
        <v>484</v>
      </c>
      <c r="FF5862" t="s">
        <v>59</v>
      </c>
      <c r="FJ5862" t="s">
        <v>59</v>
      </c>
    </row>
    <row r="5863" spans="153:166" x14ac:dyDescent="0.35">
      <c r="EW5863" t="s">
        <v>5211</v>
      </c>
      <c r="EX5863" t="s">
        <v>2749</v>
      </c>
      <c r="FF5863" t="s">
        <v>59</v>
      </c>
      <c r="FJ5863" t="s">
        <v>59</v>
      </c>
    </row>
    <row r="5864" spans="153:166" x14ac:dyDescent="0.35">
      <c r="EW5864" t="s">
        <v>5211</v>
      </c>
      <c r="EX5864" t="s">
        <v>624</v>
      </c>
      <c r="FF5864" t="s">
        <v>59</v>
      </c>
      <c r="FJ5864" t="s">
        <v>59</v>
      </c>
    </row>
    <row r="5865" spans="153:166" x14ac:dyDescent="0.35">
      <c r="EW5865" t="s">
        <v>5211</v>
      </c>
      <c r="EX5865" t="s">
        <v>66</v>
      </c>
      <c r="FF5865" t="s">
        <v>59</v>
      </c>
      <c r="FJ5865" t="s">
        <v>59</v>
      </c>
    </row>
    <row r="5866" spans="153:166" x14ac:dyDescent="0.35">
      <c r="EW5866" t="s">
        <v>5211</v>
      </c>
      <c r="EX5866" t="s">
        <v>412</v>
      </c>
      <c r="FF5866" t="s">
        <v>59</v>
      </c>
      <c r="FJ5866" t="s">
        <v>59</v>
      </c>
    </row>
    <row r="5867" spans="153:166" x14ac:dyDescent="0.35">
      <c r="EW5867" t="s">
        <v>5211</v>
      </c>
      <c r="EX5867" t="s">
        <v>615</v>
      </c>
      <c r="FF5867" t="s">
        <v>59</v>
      </c>
      <c r="FJ5867" t="s">
        <v>59</v>
      </c>
    </row>
    <row r="5868" spans="153:166" x14ac:dyDescent="0.35">
      <c r="EW5868" t="s">
        <v>5211</v>
      </c>
      <c r="EX5868" t="s">
        <v>1099</v>
      </c>
      <c r="FF5868" t="s">
        <v>59</v>
      </c>
      <c r="FJ5868" t="s">
        <v>59</v>
      </c>
    </row>
    <row r="5869" spans="153:166" x14ac:dyDescent="0.35">
      <c r="EW5869" t="s">
        <v>5211</v>
      </c>
      <c r="EX5869" t="s">
        <v>186</v>
      </c>
      <c r="FF5869" t="s">
        <v>59</v>
      </c>
      <c r="FJ5869" t="s">
        <v>59</v>
      </c>
    </row>
    <row r="5870" spans="153:166" x14ac:dyDescent="0.35">
      <c r="EW5870" t="s">
        <v>5211</v>
      </c>
      <c r="EX5870" t="s">
        <v>1017</v>
      </c>
      <c r="FF5870" t="s">
        <v>59</v>
      </c>
      <c r="FJ5870" t="s">
        <v>59</v>
      </c>
    </row>
    <row r="5871" spans="153:166" x14ac:dyDescent="0.35">
      <c r="EW5871" t="s">
        <v>5211</v>
      </c>
      <c r="EX5871" t="s">
        <v>749</v>
      </c>
      <c r="FF5871" t="s">
        <v>59</v>
      </c>
      <c r="FJ5871" t="s">
        <v>59</v>
      </c>
    </row>
    <row r="5872" spans="153:166" x14ac:dyDescent="0.35">
      <c r="EW5872" t="s">
        <v>5211</v>
      </c>
      <c r="EX5872" t="s">
        <v>1034</v>
      </c>
      <c r="FF5872" t="s">
        <v>59</v>
      </c>
      <c r="FJ5872" t="s">
        <v>59</v>
      </c>
    </row>
    <row r="5873" spans="153:166" x14ac:dyDescent="0.35">
      <c r="EW5873" t="s">
        <v>5211</v>
      </c>
      <c r="EX5873" t="s">
        <v>1059</v>
      </c>
      <c r="FF5873" t="s">
        <v>59</v>
      </c>
      <c r="FJ5873" t="s">
        <v>59</v>
      </c>
    </row>
    <row r="5874" spans="153:166" x14ac:dyDescent="0.35">
      <c r="EW5874" t="s">
        <v>5211</v>
      </c>
      <c r="EX5874" t="s">
        <v>670</v>
      </c>
      <c r="FF5874" t="s">
        <v>59</v>
      </c>
      <c r="FJ5874" t="s">
        <v>59</v>
      </c>
    </row>
    <row r="5875" spans="153:166" x14ac:dyDescent="0.35">
      <c r="EW5875" t="s">
        <v>5211</v>
      </c>
      <c r="EX5875" t="s">
        <v>1082</v>
      </c>
      <c r="FF5875" t="s">
        <v>59</v>
      </c>
      <c r="FJ5875" t="s">
        <v>59</v>
      </c>
    </row>
    <row r="5876" spans="153:166" x14ac:dyDescent="0.35">
      <c r="EW5876" t="s">
        <v>5211</v>
      </c>
      <c r="EX5876" t="s">
        <v>2804</v>
      </c>
      <c r="FF5876" t="s">
        <v>59</v>
      </c>
      <c r="FJ5876" t="s">
        <v>59</v>
      </c>
    </row>
    <row r="5877" spans="153:166" x14ac:dyDescent="0.35">
      <c r="EW5877" t="s">
        <v>5211</v>
      </c>
      <c r="EX5877" t="s">
        <v>88</v>
      </c>
      <c r="FF5877" t="s">
        <v>59</v>
      </c>
      <c r="FJ5877" t="s">
        <v>59</v>
      </c>
    </row>
    <row r="5878" spans="153:166" x14ac:dyDescent="0.35">
      <c r="EW5878" t="s">
        <v>5211</v>
      </c>
      <c r="EX5878" t="s">
        <v>2980</v>
      </c>
      <c r="FF5878" t="s">
        <v>59</v>
      </c>
      <c r="FJ5878" t="s">
        <v>59</v>
      </c>
    </row>
    <row r="5879" spans="153:166" x14ac:dyDescent="0.35">
      <c r="EW5879" t="s">
        <v>5211</v>
      </c>
      <c r="EX5879" t="s">
        <v>2962</v>
      </c>
      <c r="FF5879" t="s">
        <v>59</v>
      </c>
      <c r="FJ5879" t="s">
        <v>59</v>
      </c>
    </row>
    <row r="5880" spans="153:166" x14ac:dyDescent="0.35">
      <c r="EW5880" t="s">
        <v>5211</v>
      </c>
      <c r="EX5880" t="s">
        <v>961</v>
      </c>
      <c r="FF5880" t="s">
        <v>59</v>
      </c>
      <c r="FJ5880" t="s">
        <v>59</v>
      </c>
    </row>
    <row r="5881" spans="153:166" x14ac:dyDescent="0.35">
      <c r="EW5881" t="s">
        <v>5211</v>
      </c>
      <c r="EX5881" t="s">
        <v>636</v>
      </c>
      <c r="FF5881" t="s">
        <v>59</v>
      </c>
      <c r="FJ5881" t="s">
        <v>59</v>
      </c>
    </row>
    <row r="5882" spans="153:166" x14ac:dyDescent="0.35">
      <c r="EW5882" t="s">
        <v>5211</v>
      </c>
      <c r="EX5882" t="s">
        <v>868</v>
      </c>
      <c r="FF5882" t="s">
        <v>59</v>
      </c>
      <c r="FJ5882" t="s">
        <v>59</v>
      </c>
    </row>
    <row r="5883" spans="153:166" x14ac:dyDescent="0.35">
      <c r="EW5883" t="s">
        <v>5211</v>
      </c>
      <c r="EX5883" t="s">
        <v>360</v>
      </c>
      <c r="FF5883" t="s">
        <v>59</v>
      </c>
      <c r="FJ5883" t="s">
        <v>59</v>
      </c>
    </row>
    <row r="5884" spans="153:166" x14ac:dyDescent="0.35">
      <c r="EW5884" t="s">
        <v>5211</v>
      </c>
      <c r="EX5884" t="s">
        <v>120</v>
      </c>
      <c r="FF5884" t="s">
        <v>59</v>
      </c>
      <c r="FJ5884" t="s">
        <v>59</v>
      </c>
    </row>
    <row r="5885" spans="153:166" x14ac:dyDescent="0.35">
      <c r="EW5885" t="s">
        <v>5211</v>
      </c>
      <c r="EX5885" t="s">
        <v>784</v>
      </c>
      <c r="FF5885" t="s">
        <v>59</v>
      </c>
      <c r="FJ5885" t="s">
        <v>59</v>
      </c>
    </row>
    <row r="5886" spans="153:166" x14ac:dyDescent="0.35">
      <c r="EW5886" t="s">
        <v>5211</v>
      </c>
      <c r="EX5886" t="s">
        <v>484</v>
      </c>
      <c r="FF5886" t="s">
        <v>59</v>
      </c>
      <c r="FJ5886" t="s">
        <v>59</v>
      </c>
    </row>
    <row r="5887" spans="153:166" x14ac:dyDescent="0.35">
      <c r="EW5887" t="s">
        <v>5211</v>
      </c>
      <c r="EX5887" t="s">
        <v>162</v>
      </c>
      <c r="FF5887" t="s">
        <v>59</v>
      </c>
      <c r="FJ5887" t="s">
        <v>59</v>
      </c>
    </row>
    <row r="5888" spans="153:166" x14ac:dyDescent="0.35">
      <c r="EW5888" t="s">
        <v>5211</v>
      </c>
      <c r="EX5888" t="s">
        <v>1099</v>
      </c>
      <c r="FF5888" t="s">
        <v>59</v>
      </c>
      <c r="FJ5888" t="s">
        <v>59</v>
      </c>
    </row>
    <row r="5889" spans="153:166" x14ac:dyDescent="0.35">
      <c r="EW5889" t="s">
        <v>5211</v>
      </c>
      <c r="EX5889" t="s">
        <v>615</v>
      </c>
      <c r="FF5889" t="s">
        <v>59</v>
      </c>
      <c r="FJ5889" t="s">
        <v>59</v>
      </c>
    </row>
    <row r="5890" spans="153:166" x14ac:dyDescent="0.35">
      <c r="EW5890" t="s">
        <v>5211</v>
      </c>
      <c r="EX5890" t="s">
        <v>624</v>
      </c>
      <c r="FF5890" t="s">
        <v>59</v>
      </c>
      <c r="FJ5890" t="s">
        <v>59</v>
      </c>
    </row>
    <row r="5891" spans="153:166" x14ac:dyDescent="0.35">
      <c r="EW5891" t="s">
        <v>5211</v>
      </c>
      <c r="EX5891" t="s">
        <v>1059</v>
      </c>
      <c r="FF5891" t="s">
        <v>59</v>
      </c>
      <c r="FJ5891" t="s">
        <v>59</v>
      </c>
    </row>
    <row r="5892" spans="153:166" x14ac:dyDescent="0.35">
      <c r="EW5892" t="s">
        <v>5211</v>
      </c>
      <c r="EX5892" t="s">
        <v>749</v>
      </c>
      <c r="FF5892" t="s">
        <v>59</v>
      </c>
      <c r="FJ5892" t="s">
        <v>59</v>
      </c>
    </row>
    <row r="5893" spans="153:166" x14ac:dyDescent="0.35">
      <c r="EW5893" t="s">
        <v>5211</v>
      </c>
      <c r="EX5893" t="s">
        <v>1034</v>
      </c>
      <c r="FF5893" t="s">
        <v>59</v>
      </c>
      <c r="FJ5893" t="s">
        <v>59</v>
      </c>
    </row>
    <row r="5894" spans="153:166" x14ac:dyDescent="0.35">
      <c r="EW5894" t="s">
        <v>5211</v>
      </c>
      <c r="EX5894" t="s">
        <v>1082</v>
      </c>
      <c r="FF5894" t="s">
        <v>59</v>
      </c>
      <c r="FJ5894" t="s">
        <v>59</v>
      </c>
    </row>
    <row r="5895" spans="153:166" x14ac:dyDescent="0.35">
      <c r="EW5895" t="s">
        <v>5211</v>
      </c>
      <c r="EX5895" t="s">
        <v>412</v>
      </c>
      <c r="FF5895" t="s">
        <v>59</v>
      </c>
      <c r="FJ5895" t="s">
        <v>59</v>
      </c>
    </row>
    <row r="5896" spans="153:166" x14ac:dyDescent="0.35">
      <c r="EW5896" t="s">
        <v>5211</v>
      </c>
      <c r="EX5896" t="s">
        <v>961</v>
      </c>
      <c r="FF5896" t="s">
        <v>59</v>
      </c>
      <c r="FJ5896" t="s">
        <v>59</v>
      </c>
    </row>
    <row r="5897" spans="153:166" x14ac:dyDescent="0.35">
      <c r="EW5897" t="s">
        <v>5211</v>
      </c>
      <c r="EX5897" t="s">
        <v>2804</v>
      </c>
      <c r="FF5897" t="s">
        <v>59</v>
      </c>
      <c r="FJ5897" t="s">
        <v>59</v>
      </c>
    </row>
    <row r="5898" spans="153:166" x14ac:dyDescent="0.35">
      <c r="EW5898" t="s">
        <v>5211</v>
      </c>
      <c r="EX5898" t="s">
        <v>537</v>
      </c>
      <c r="FF5898" t="s">
        <v>59</v>
      </c>
      <c r="FJ5898" t="s">
        <v>59</v>
      </c>
    </row>
    <row r="5899" spans="153:166" x14ac:dyDescent="0.35">
      <c r="EW5899" t="s">
        <v>5211</v>
      </c>
      <c r="EX5899" t="s">
        <v>2980</v>
      </c>
      <c r="FF5899" t="s">
        <v>59</v>
      </c>
      <c r="FJ5899" t="s">
        <v>59</v>
      </c>
    </row>
    <row r="5900" spans="153:166" x14ac:dyDescent="0.35">
      <c r="EW5900" t="s">
        <v>5211</v>
      </c>
      <c r="EX5900" t="s">
        <v>685</v>
      </c>
      <c r="FF5900" t="s">
        <v>59</v>
      </c>
      <c r="FJ5900" t="s">
        <v>59</v>
      </c>
    </row>
    <row r="5901" spans="153:166" x14ac:dyDescent="0.35">
      <c r="EW5901" t="s">
        <v>5211</v>
      </c>
      <c r="EX5901" t="s">
        <v>360</v>
      </c>
      <c r="FF5901" t="s">
        <v>59</v>
      </c>
      <c r="FJ5901" t="s">
        <v>59</v>
      </c>
    </row>
    <row r="5902" spans="153:166" x14ac:dyDescent="0.35">
      <c r="EW5902" t="s">
        <v>5211</v>
      </c>
      <c r="EX5902" t="s">
        <v>1099</v>
      </c>
      <c r="FF5902" t="s">
        <v>59</v>
      </c>
      <c r="FJ5902" t="s">
        <v>59</v>
      </c>
    </row>
    <row r="5903" spans="153:166" x14ac:dyDescent="0.35">
      <c r="EW5903" t="s">
        <v>5211</v>
      </c>
      <c r="EX5903" t="s">
        <v>88</v>
      </c>
      <c r="FF5903" t="s">
        <v>59</v>
      </c>
      <c r="FJ5903" t="s">
        <v>59</v>
      </c>
    </row>
    <row r="5904" spans="153:166" x14ac:dyDescent="0.35">
      <c r="EW5904" t="s">
        <v>5211</v>
      </c>
      <c r="EX5904" t="s">
        <v>795</v>
      </c>
      <c r="FF5904" t="s">
        <v>59</v>
      </c>
      <c r="FJ5904" t="s">
        <v>59</v>
      </c>
    </row>
    <row r="5905" spans="153:166" x14ac:dyDescent="0.35">
      <c r="EW5905" t="s">
        <v>5211</v>
      </c>
      <c r="EX5905" t="s">
        <v>868</v>
      </c>
      <c r="FF5905" t="s">
        <v>59</v>
      </c>
      <c r="FJ5905" t="s">
        <v>59</v>
      </c>
    </row>
    <row r="5906" spans="153:166" x14ac:dyDescent="0.35">
      <c r="EW5906" t="s">
        <v>5211</v>
      </c>
      <c r="EX5906" t="s">
        <v>624</v>
      </c>
      <c r="FF5906" t="s">
        <v>59</v>
      </c>
      <c r="FJ5906" t="s">
        <v>59</v>
      </c>
    </row>
    <row r="5907" spans="153:166" x14ac:dyDescent="0.35">
      <c r="EW5907" t="s">
        <v>5211</v>
      </c>
      <c r="EX5907" t="s">
        <v>1059</v>
      </c>
      <c r="FF5907" t="s">
        <v>59</v>
      </c>
      <c r="FJ5907" t="s">
        <v>59</v>
      </c>
    </row>
    <row r="5908" spans="153:166" x14ac:dyDescent="0.35">
      <c r="EW5908" t="s">
        <v>5211</v>
      </c>
      <c r="EX5908" t="s">
        <v>784</v>
      </c>
      <c r="FF5908" t="s">
        <v>59</v>
      </c>
      <c r="FJ5908" t="s">
        <v>59</v>
      </c>
    </row>
    <row r="5909" spans="153:166" x14ac:dyDescent="0.35">
      <c r="EW5909" t="s">
        <v>5211</v>
      </c>
      <c r="EX5909" t="s">
        <v>961</v>
      </c>
      <c r="FF5909" t="s">
        <v>59</v>
      </c>
      <c r="FJ5909" t="s">
        <v>59</v>
      </c>
    </row>
    <row r="5910" spans="153:166" x14ac:dyDescent="0.35">
      <c r="EW5910" t="s">
        <v>5211</v>
      </c>
      <c r="EX5910" t="s">
        <v>2962</v>
      </c>
      <c r="FF5910" t="s">
        <v>59</v>
      </c>
      <c r="FJ5910" t="s">
        <v>59</v>
      </c>
    </row>
    <row r="5911" spans="153:166" x14ac:dyDescent="0.35">
      <c r="EW5911" t="s">
        <v>5211</v>
      </c>
      <c r="EX5911" t="s">
        <v>604</v>
      </c>
      <c r="FF5911" t="s">
        <v>59</v>
      </c>
      <c r="FJ5911" t="s">
        <v>59</v>
      </c>
    </row>
    <row r="5912" spans="153:166" x14ac:dyDescent="0.35">
      <c r="EW5912" t="s">
        <v>5211</v>
      </c>
      <c r="EX5912" t="s">
        <v>1034</v>
      </c>
      <c r="FF5912" t="s">
        <v>59</v>
      </c>
      <c r="FJ5912" t="s">
        <v>59</v>
      </c>
    </row>
    <row r="5913" spans="153:166" x14ac:dyDescent="0.35">
      <c r="EW5913" t="s">
        <v>5211</v>
      </c>
      <c r="EX5913" t="s">
        <v>3016</v>
      </c>
      <c r="FF5913" t="s">
        <v>59</v>
      </c>
      <c r="FJ5913" t="s">
        <v>59</v>
      </c>
    </row>
    <row r="5914" spans="153:166" x14ac:dyDescent="0.35">
      <c r="EW5914" t="s">
        <v>5211</v>
      </c>
      <c r="EX5914" t="s">
        <v>319</v>
      </c>
      <c r="FF5914" t="s">
        <v>59</v>
      </c>
      <c r="FJ5914" t="s">
        <v>59</v>
      </c>
    </row>
    <row r="5915" spans="153:166" x14ac:dyDescent="0.35">
      <c r="EW5915" t="s">
        <v>5211</v>
      </c>
      <c r="EX5915" t="s">
        <v>451</v>
      </c>
      <c r="FF5915" t="s">
        <v>59</v>
      </c>
      <c r="FJ5915" t="s">
        <v>59</v>
      </c>
    </row>
    <row r="5916" spans="153:166" x14ac:dyDescent="0.35">
      <c r="EW5916" t="s">
        <v>5211</v>
      </c>
      <c r="EX5916" t="s">
        <v>484</v>
      </c>
      <c r="FF5916" t="s">
        <v>59</v>
      </c>
      <c r="FJ5916" t="s">
        <v>59</v>
      </c>
    </row>
    <row r="5917" spans="153:166" x14ac:dyDescent="0.35">
      <c r="EW5917" t="s">
        <v>5211</v>
      </c>
      <c r="EX5917" t="s">
        <v>162</v>
      </c>
      <c r="FF5917" t="s">
        <v>59</v>
      </c>
      <c r="FJ5917" t="s">
        <v>59</v>
      </c>
    </row>
    <row r="5918" spans="153:166" x14ac:dyDescent="0.35">
      <c r="EW5918" t="s">
        <v>5211</v>
      </c>
      <c r="EX5918" t="s">
        <v>88</v>
      </c>
      <c r="FF5918" t="s">
        <v>59</v>
      </c>
      <c r="FJ5918" t="s">
        <v>59</v>
      </c>
    </row>
    <row r="5919" spans="153:166" x14ac:dyDescent="0.35">
      <c r="EW5919" t="s">
        <v>5211</v>
      </c>
      <c r="EX5919" t="s">
        <v>547</v>
      </c>
      <c r="FF5919" t="s">
        <v>59</v>
      </c>
      <c r="FJ5919" t="s">
        <v>59</v>
      </c>
    </row>
    <row r="5920" spans="153:166" x14ac:dyDescent="0.35">
      <c r="EW5920" t="s">
        <v>5211</v>
      </c>
      <c r="EX5920" t="s">
        <v>868</v>
      </c>
      <c r="FF5920" t="s">
        <v>59</v>
      </c>
      <c r="FJ5920" t="s">
        <v>59</v>
      </c>
    </row>
    <row r="5921" spans="153:166" x14ac:dyDescent="0.35">
      <c r="EW5921" t="s">
        <v>5211</v>
      </c>
      <c r="EX5921" t="s">
        <v>1059</v>
      </c>
      <c r="FF5921" t="s">
        <v>59</v>
      </c>
      <c r="FJ5921" t="s">
        <v>59</v>
      </c>
    </row>
    <row r="5922" spans="153:166" x14ac:dyDescent="0.35">
      <c r="EW5922" t="s">
        <v>5211</v>
      </c>
      <c r="EX5922" t="s">
        <v>258</v>
      </c>
      <c r="FF5922" t="s">
        <v>59</v>
      </c>
      <c r="FJ5922" t="s">
        <v>59</v>
      </c>
    </row>
    <row r="5923" spans="153:166" x14ac:dyDescent="0.35">
      <c r="EW5923" t="s">
        <v>5211</v>
      </c>
      <c r="EX5923" t="s">
        <v>2962</v>
      </c>
      <c r="FF5923" t="s">
        <v>59</v>
      </c>
      <c r="FJ5923" t="s">
        <v>59</v>
      </c>
    </row>
    <row r="5924" spans="153:166" x14ac:dyDescent="0.35">
      <c r="EW5924" t="s">
        <v>5211</v>
      </c>
      <c r="EX5924" t="s">
        <v>1034</v>
      </c>
      <c r="FF5924" t="s">
        <v>59</v>
      </c>
      <c r="FJ5924" t="s">
        <v>59</v>
      </c>
    </row>
    <row r="5925" spans="153:166" x14ac:dyDescent="0.35">
      <c r="EW5925" t="s">
        <v>5211</v>
      </c>
      <c r="EX5925" t="s">
        <v>749</v>
      </c>
      <c r="FF5925" t="s">
        <v>59</v>
      </c>
      <c r="FJ5925" t="s">
        <v>59</v>
      </c>
    </row>
    <row r="5926" spans="153:166" x14ac:dyDescent="0.35">
      <c r="EW5926" t="s">
        <v>5211</v>
      </c>
      <c r="EX5926" t="s">
        <v>2980</v>
      </c>
      <c r="FF5926" t="s">
        <v>59</v>
      </c>
      <c r="FJ5926" t="s">
        <v>59</v>
      </c>
    </row>
    <row r="5927" spans="153:166" x14ac:dyDescent="0.35">
      <c r="EW5927" t="s">
        <v>5211</v>
      </c>
      <c r="EX5927" t="s">
        <v>162</v>
      </c>
      <c r="FF5927" t="s">
        <v>59</v>
      </c>
      <c r="FJ5927" t="s">
        <v>59</v>
      </c>
    </row>
    <row r="5928" spans="153:166" x14ac:dyDescent="0.35">
      <c r="EW5928" t="s">
        <v>5211</v>
      </c>
      <c r="EX5928" t="s">
        <v>484</v>
      </c>
      <c r="FF5928" t="s">
        <v>59</v>
      </c>
      <c r="FJ5928" t="s">
        <v>59</v>
      </c>
    </row>
    <row r="5929" spans="153:166" x14ac:dyDescent="0.35">
      <c r="EW5929" t="s">
        <v>5211</v>
      </c>
      <c r="EX5929" t="s">
        <v>107</v>
      </c>
      <c r="FF5929" t="s">
        <v>59</v>
      </c>
      <c r="FJ5929" t="s">
        <v>59</v>
      </c>
    </row>
    <row r="5930" spans="153:166" x14ac:dyDescent="0.35">
      <c r="EW5930" t="s">
        <v>5211</v>
      </c>
      <c r="EX5930" t="s">
        <v>66</v>
      </c>
      <c r="FF5930" t="s">
        <v>59</v>
      </c>
      <c r="FJ5930" t="s">
        <v>59</v>
      </c>
    </row>
    <row r="5931" spans="153:166" x14ac:dyDescent="0.35">
      <c r="EW5931" t="s">
        <v>5211</v>
      </c>
      <c r="EX5931" t="s">
        <v>961</v>
      </c>
      <c r="FF5931" t="s">
        <v>59</v>
      </c>
      <c r="FJ5931" t="s">
        <v>59</v>
      </c>
    </row>
    <row r="5932" spans="153:166" x14ac:dyDescent="0.35">
      <c r="EW5932" t="s">
        <v>5211</v>
      </c>
      <c r="EX5932" t="s">
        <v>670</v>
      </c>
      <c r="FF5932" t="s">
        <v>59</v>
      </c>
      <c r="FJ5932" t="s">
        <v>59</v>
      </c>
    </row>
    <row r="5933" spans="153:166" x14ac:dyDescent="0.35">
      <c r="EW5933" t="s">
        <v>5211</v>
      </c>
      <c r="EX5933" t="s">
        <v>3016</v>
      </c>
      <c r="FF5933" t="s">
        <v>59</v>
      </c>
      <c r="FJ5933" t="s">
        <v>59</v>
      </c>
    </row>
    <row r="5934" spans="153:166" x14ac:dyDescent="0.35">
      <c r="EW5934" t="s">
        <v>5211</v>
      </c>
      <c r="EX5934" t="s">
        <v>451</v>
      </c>
      <c r="FF5934" t="s">
        <v>59</v>
      </c>
      <c r="FJ5934" t="s">
        <v>59</v>
      </c>
    </row>
    <row r="5935" spans="153:166" x14ac:dyDescent="0.35">
      <c r="EW5935" t="s">
        <v>5211</v>
      </c>
      <c r="EX5935" t="s">
        <v>396</v>
      </c>
      <c r="FF5935" t="s">
        <v>59</v>
      </c>
      <c r="FJ5935" t="s">
        <v>59</v>
      </c>
    </row>
    <row r="5936" spans="153:166" x14ac:dyDescent="0.35">
      <c r="EW5936" t="s">
        <v>5211</v>
      </c>
      <c r="EX5936" t="s">
        <v>855</v>
      </c>
      <c r="FF5936" t="s">
        <v>59</v>
      </c>
      <c r="FJ5936" t="s">
        <v>59</v>
      </c>
    </row>
    <row r="5937" spans="153:166" x14ac:dyDescent="0.35">
      <c r="EW5937" t="s">
        <v>5211</v>
      </c>
      <c r="EX5937" t="s">
        <v>868</v>
      </c>
      <c r="FF5937" t="s">
        <v>59</v>
      </c>
      <c r="FJ5937" t="s">
        <v>59</v>
      </c>
    </row>
    <row r="5938" spans="153:166" x14ac:dyDescent="0.35">
      <c r="EW5938" t="s">
        <v>5211</v>
      </c>
      <c r="EX5938" t="s">
        <v>735</v>
      </c>
      <c r="FF5938" t="s">
        <v>59</v>
      </c>
      <c r="FJ5938" t="s">
        <v>59</v>
      </c>
    </row>
    <row r="5939" spans="153:166" x14ac:dyDescent="0.35">
      <c r="EW5939" t="s">
        <v>5211</v>
      </c>
      <c r="EX5939" t="s">
        <v>226</v>
      </c>
      <c r="FF5939" t="s">
        <v>59</v>
      </c>
      <c r="FJ5939" t="s">
        <v>59</v>
      </c>
    </row>
    <row r="5940" spans="153:166" x14ac:dyDescent="0.35">
      <c r="EW5940" t="s">
        <v>5211</v>
      </c>
      <c r="EX5940" t="s">
        <v>578</v>
      </c>
      <c r="FF5940" t="s">
        <v>59</v>
      </c>
      <c r="FJ5940" t="s">
        <v>59</v>
      </c>
    </row>
    <row r="5941" spans="153:166" x14ac:dyDescent="0.35">
      <c r="EW5941" t="s">
        <v>5211</v>
      </c>
      <c r="EX5941" t="s">
        <v>652</v>
      </c>
      <c r="FF5941" t="s">
        <v>59</v>
      </c>
      <c r="FJ5941" t="s">
        <v>59</v>
      </c>
    </row>
    <row r="5942" spans="153:166" x14ac:dyDescent="0.35">
      <c r="EW5942" t="s">
        <v>5211</v>
      </c>
      <c r="EX5942" t="s">
        <v>636</v>
      </c>
      <c r="FF5942" t="s">
        <v>59</v>
      </c>
      <c r="FJ5942" t="s">
        <v>59</v>
      </c>
    </row>
    <row r="5943" spans="153:166" x14ac:dyDescent="0.35">
      <c r="EW5943" t="s">
        <v>5211</v>
      </c>
      <c r="EX5943" t="s">
        <v>2980</v>
      </c>
      <c r="FF5943" t="s">
        <v>59</v>
      </c>
      <c r="FJ5943" t="s">
        <v>59</v>
      </c>
    </row>
    <row r="5944" spans="153:166" x14ac:dyDescent="0.35">
      <c r="EW5944" t="s">
        <v>5211</v>
      </c>
      <c r="EX5944" t="s">
        <v>107</v>
      </c>
      <c r="FF5944" t="s">
        <v>59</v>
      </c>
      <c r="FJ5944" t="s">
        <v>59</v>
      </c>
    </row>
    <row r="5945" spans="153:166" x14ac:dyDescent="0.35">
      <c r="EW5945" t="s">
        <v>5211</v>
      </c>
      <c r="EX5945" t="s">
        <v>484</v>
      </c>
      <c r="FF5945" t="s">
        <v>59</v>
      </c>
      <c r="FJ5945" t="s">
        <v>59</v>
      </c>
    </row>
    <row r="5946" spans="153:166" x14ac:dyDescent="0.35">
      <c r="EW5946" t="s">
        <v>5211</v>
      </c>
      <c r="EX5946" t="s">
        <v>258</v>
      </c>
      <c r="FF5946" t="s">
        <v>59</v>
      </c>
      <c r="FJ5946" t="s">
        <v>59</v>
      </c>
    </row>
    <row r="5947" spans="153:166" x14ac:dyDescent="0.35">
      <c r="EW5947" t="s">
        <v>5211</v>
      </c>
      <c r="EX5947" t="s">
        <v>749</v>
      </c>
      <c r="FF5947" t="s">
        <v>59</v>
      </c>
      <c r="FJ5947" t="s">
        <v>59</v>
      </c>
    </row>
    <row r="5948" spans="153:166" x14ac:dyDescent="0.35">
      <c r="EW5948" t="s">
        <v>5211</v>
      </c>
      <c r="EX5948" t="s">
        <v>438</v>
      </c>
      <c r="FF5948" t="s">
        <v>59</v>
      </c>
      <c r="FJ5948" t="s">
        <v>59</v>
      </c>
    </row>
    <row r="5949" spans="153:166" x14ac:dyDescent="0.35">
      <c r="EW5949" t="s">
        <v>5211</v>
      </c>
      <c r="EX5949" t="s">
        <v>1034</v>
      </c>
      <c r="FF5949" t="s">
        <v>59</v>
      </c>
      <c r="FJ5949" t="s">
        <v>59</v>
      </c>
    </row>
    <row r="5950" spans="153:166" x14ac:dyDescent="0.35">
      <c r="EW5950" t="s">
        <v>5211</v>
      </c>
      <c r="EX5950" t="s">
        <v>66</v>
      </c>
      <c r="FF5950" t="s">
        <v>59</v>
      </c>
      <c r="FJ5950" t="s">
        <v>59</v>
      </c>
    </row>
    <row r="5951" spans="153:166" x14ac:dyDescent="0.35">
      <c r="EW5951" t="s">
        <v>5211</v>
      </c>
      <c r="EX5951" t="s">
        <v>396</v>
      </c>
      <c r="FF5951" t="s">
        <v>59</v>
      </c>
      <c r="FJ5951" t="s">
        <v>59</v>
      </c>
    </row>
    <row r="5952" spans="153:166" x14ac:dyDescent="0.35">
      <c r="EW5952" t="s">
        <v>5211</v>
      </c>
      <c r="EX5952" t="s">
        <v>2962</v>
      </c>
      <c r="FF5952" t="s">
        <v>59</v>
      </c>
      <c r="FJ5952" t="s">
        <v>59</v>
      </c>
    </row>
    <row r="5953" spans="153:166" x14ac:dyDescent="0.35">
      <c r="EW5953" t="s">
        <v>5211</v>
      </c>
      <c r="EX5953" t="s">
        <v>636</v>
      </c>
      <c r="FF5953" t="s">
        <v>59</v>
      </c>
      <c r="FJ5953" t="s">
        <v>59</v>
      </c>
    </row>
    <row r="5954" spans="153:166" x14ac:dyDescent="0.35">
      <c r="EW5954" t="s">
        <v>5211</v>
      </c>
      <c r="EX5954" t="s">
        <v>502</v>
      </c>
      <c r="FF5954" t="s">
        <v>59</v>
      </c>
      <c r="FJ5954" t="s">
        <v>59</v>
      </c>
    </row>
    <row r="5955" spans="153:166" x14ac:dyDescent="0.35">
      <c r="EW5955" t="s">
        <v>5211</v>
      </c>
      <c r="EX5955" t="s">
        <v>226</v>
      </c>
      <c r="FF5955" t="s">
        <v>59</v>
      </c>
      <c r="FJ5955" t="s">
        <v>59</v>
      </c>
    </row>
    <row r="5956" spans="153:166" x14ac:dyDescent="0.35">
      <c r="EW5956" t="s">
        <v>5211</v>
      </c>
      <c r="EX5956" t="s">
        <v>436</v>
      </c>
      <c r="FF5956" t="s">
        <v>59</v>
      </c>
      <c r="FJ5956" t="s">
        <v>59</v>
      </c>
    </row>
    <row r="5957" spans="153:166" x14ac:dyDescent="0.35">
      <c r="EW5957" t="s">
        <v>5211</v>
      </c>
      <c r="EX5957" t="s">
        <v>2962</v>
      </c>
      <c r="FF5957" t="s">
        <v>59</v>
      </c>
      <c r="FJ5957" t="s">
        <v>59</v>
      </c>
    </row>
    <row r="5958" spans="153:166" x14ac:dyDescent="0.35">
      <c r="EW5958" t="s">
        <v>5211</v>
      </c>
      <c r="EX5958" t="s">
        <v>484</v>
      </c>
      <c r="FF5958" t="s">
        <v>59</v>
      </c>
      <c r="FJ5958" t="s">
        <v>59</v>
      </c>
    </row>
    <row r="5959" spans="153:166" x14ac:dyDescent="0.35">
      <c r="EW5959" t="s">
        <v>5211</v>
      </c>
      <c r="EX5959" t="s">
        <v>2749</v>
      </c>
      <c r="FF5959" t="s">
        <v>59</v>
      </c>
      <c r="FJ5959" t="s">
        <v>59</v>
      </c>
    </row>
    <row r="5960" spans="153:166" x14ac:dyDescent="0.35">
      <c r="EW5960" t="s">
        <v>5211</v>
      </c>
      <c r="EX5960" t="s">
        <v>412</v>
      </c>
      <c r="FF5960" t="s">
        <v>59</v>
      </c>
      <c r="FJ5960" t="s">
        <v>59</v>
      </c>
    </row>
    <row r="5961" spans="153:166" x14ac:dyDescent="0.35">
      <c r="EW5961" t="s">
        <v>5211</v>
      </c>
      <c r="EX5961" t="s">
        <v>624</v>
      </c>
      <c r="FF5961" t="s">
        <v>59</v>
      </c>
      <c r="FJ5961" t="s">
        <v>59</v>
      </c>
    </row>
    <row r="5962" spans="153:166" x14ac:dyDescent="0.35">
      <c r="EW5962" t="s">
        <v>5211</v>
      </c>
      <c r="EX5962" t="s">
        <v>186</v>
      </c>
      <c r="FF5962" t="s">
        <v>59</v>
      </c>
      <c r="FJ5962" t="s">
        <v>59</v>
      </c>
    </row>
    <row r="5963" spans="153:166" x14ac:dyDescent="0.35">
      <c r="EW5963" t="s">
        <v>5211</v>
      </c>
      <c r="EX5963" t="s">
        <v>1099</v>
      </c>
      <c r="FF5963" t="s">
        <v>59</v>
      </c>
      <c r="FJ5963" t="s">
        <v>59</v>
      </c>
    </row>
    <row r="5964" spans="153:166" x14ac:dyDescent="0.35">
      <c r="EW5964" t="s">
        <v>5211</v>
      </c>
      <c r="EX5964" t="s">
        <v>1017</v>
      </c>
      <c r="FF5964" t="s">
        <v>59</v>
      </c>
      <c r="FJ5964" t="s">
        <v>59</v>
      </c>
    </row>
    <row r="5965" spans="153:166" x14ac:dyDescent="0.35">
      <c r="EW5965" t="s">
        <v>5211</v>
      </c>
      <c r="EX5965" t="s">
        <v>749</v>
      </c>
      <c r="FF5965" t="s">
        <v>59</v>
      </c>
      <c r="FJ5965" t="s">
        <v>59</v>
      </c>
    </row>
    <row r="5966" spans="153:166" x14ac:dyDescent="0.35">
      <c r="EW5966" t="s">
        <v>5211</v>
      </c>
      <c r="EX5966" t="s">
        <v>1034</v>
      </c>
      <c r="FF5966" t="s">
        <v>59</v>
      </c>
      <c r="FJ5966" t="s">
        <v>59</v>
      </c>
    </row>
    <row r="5967" spans="153:166" x14ac:dyDescent="0.35">
      <c r="EW5967" t="s">
        <v>5211</v>
      </c>
      <c r="EX5967" t="s">
        <v>1059</v>
      </c>
      <c r="FF5967" t="s">
        <v>59</v>
      </c>
      <c r="FJ5967" t="s">
        <v>59</v>
      </c>
    </row>
    <row r="5968" spans="153:166" x14ac:dyDescent="0.35">
      <c r="EW5968" t="s">
        <v>5211</v>
      </c>
      <c r="EX5968" t="s">
        <v>1082</v>
      </c>
      <c r="FF5968" t="s">
        <v>59</v>
      </c>
      <c r="FJ5968" t="s">
        <v>59</v>
      </c>
    </row>
    <row r="5969" spans="153:166" x14ac:dyDescent="0.35">
      <c r="EW5969" t="s">
        <v>5211</v>
      </c>
      <c r="EX5969" t="s">
        <v>670</v>
      </c>
      <c r="FF5969" t="s">
        <v>59</v>
      </c>
      <c r="FJ5969" t="s">
        <v>59</v>
      </c>
    </row>
    <row r="5970" spans="153:166" x14ac:dyDescent="0.35">
      <c r="EW5970" t="s">
        <v>5211</v>
      </c>
      <c r="EX5970" t="s">
        <v>2804</v>
      </c>
      <c r="FF5970" t="s">
        <v>59</v>
      </c>
      <c r="FJ5970" t="s">
        <v>59</v>
      </c>
    </row>
    <row r="5971" spans="153:166" x14ac:dyDescent="0.35">
      <c r="EW5971" t="s">
        <v>5211</v>
      </c>
      <c r="EX5971" t="s">
        <v>88</v>
      </c>
      <c r="FF5971" t="s">
        <v>59</v>
      </c>
      <c r="FJ5971" t="s">
        <v>59</v>
      </c>
    </row>
    <row r="5972" spans="153:166" x14ac:dyDescent="0.35">
      <c r="EW5972" t="s">
        <v>5211</v>
      </c>
      <c r="EX5972" t="s">
        <v>2980</v>
      </c>
      <c r="FF5972" t="s">
        <v>59</v>
      </c>
      <c r="FJ5972" t="s">
        <v>59</v>
      </c>
    </row>
    <row r="5973" spans="153:166" x14ac:dyDescent="0.35">
      <c r="EW5973" t="s">
        <v>5211</v>
      </c>
      <c r="EX5973" t="s">
        <v>2962</v>
      </c>
      <c r="FF5973" t="s">
        <v>59</v>
      </c>
      <c r="FJ5973" t="s">
        <v>59</v>
      </c>
    </row>
    <row r="5974" spans="153:166" x14ac:dyDescent="0.35">
      <c r="EW5974" t="s">
        <v>5211</v>
      </c>
      <c r="EX5974" t="s">
        <v>961</v>
      </c>
      <c r="FF5974" t="s">
        <v>59</v>
      </c>
      <c r="FJ5974" t="s">
        <v>59</v>
      </c>
    </row>
    <row r="5975" spans="153:166" x14ac:dyDescent="0.35">
      <c r="EW5975" t="s">
        <v>5211</v>
      </c>
      <c r="EX5975" t="s">
        <v>636</v>
      </c>
      <c r="FF5975" t="s">
        <v>59</v>
      </c>
      <c r="FJ5975" t="s">
        <v>59</v>
      </c>
    </row>
    <row r="5976" spans="153:166" x14ac:dyDescent="0.35">
      <c r="EW5976" t="s">
        <v>5211</v>
      </c>
      <c r="EX5976" t="s">
        <v>360</v>
      </c>
      <c r="FF5976" t="s">
        <v>59</v>
      </c>
      <c r="FJ5976" t="s">
        <v>59</v>
      </c>
    </row>
    <row r="5977" spans="153:166" x14ac:dyDescent="0.35">
      <c r="EW5977" t="s">
        <v>5211</v>
      </c>
      <c r="EX5977" t="s">
        <v>868</v>
      </c>
      <c r="FF5977" t="s">
        <v>59</v>
      </c>
      <c r="FJ5977" t="s">
        <v>59</v>
      </c>
    </row>
    <row r="5978" spans="153:166" x14ac:dyDescent="0.35">
      <c r="EW5978" t="s">
        <v>5211</v>
      </c>
      <c r="EX5978" t="s">
        <v>120</v>
      </c>
      <c r="FF5978" t="s">
        <v>59</v>
      </c>
      <c r="FJ5978" t="s">
        <v>59</v>
      </c>
    </row>
    <row r="5979" spans="153:166" x14ac:dyDescent="0.35">
      <c r="EW5979" t="s">
        <v>5211</v>
      </c>
      <c r="EX5979" t="s">
        <v>784</v>
      </c>
      <c r="FF5979" t="s">
        <v>59</v>
      </c>
      <c r="FJ5979" t="s">
        <v>59</v>
      </c>
    </row>
    <row r="5980" spans="153:166" x14ac:dyDescent="0.35">
      <c r="EW5980" t="s">
        <v>5211</v>
      </c>
      <c r="EX5980" t="s">
        <v>537</v>
      </c>
      <c r="FF5980" t="s">
        <v>59</v>
      </c>
      <c r="FJ5980" t="s">
        <v>59</v>
      </c>
    </row>
    <row r="5981" spans="153:166" x14ac:dyDescent="0.35">
      <c r="EW5981" t="s">
        <v>5211</v>
      </c>
      <c r="EX5981" t="s">
        <v>484</v>
      </c>
      <c r="FF5981" t="s">
        <v>59</v>
      </c>
      <c r="FJ5981" t="s">
        <v>59</v>
      </c>
    </row>
    <row r="5982" spans="153:166" x14ac:dyDescent="0.35">
      <c r="EW5982" t="s">
        <v>5211</v>
      </c>
      <c r="EX5982" t="s">
        <v>162</v>
      </c>
      <c r="FF5982" t="s">
        <v>59</v>
      </c>
      <c r="FJ5982" t="s">
        <v>59</v>
      </c>
    </row>
    <row r="5983" spans="153:166" x14ac:dyDescent="0.35">
      <c r="EW5983" t="s">
        <v>5211</v>
      </c>
      <c r="EX5983" t="s">
        <v>1099</v>
      </c>
      <c r="FF5983" t="s">
        <v>59</v>
      </c>
      <c r="FJ5983" t="s">
        <v>59</v>
      </c>
    </row>
    <row r="5984" spans="153:166" x14ac:dyDescent="0.35">
      <c r="EW5984" t="s">
        <v>5211</v>
      </c>
      <c r="EX5984" t="s">
        <v>615</v>
      </c>
      <c r="FF5984" t="s">
        <v>59</v>
      </c>
      <c r="FJ5984" t="s">
        <v>59</v>
      </c>
    </row>
    <row r="5985" spans="153:166" x14ac:dyDescent="0.35">
      <c r="EW5985" t="s">
        <v>5211</v>
      </c>
      <c r="EX5985" t="s">
        <v>624</v>
      </c>
      <c r="FF5985" t="s">
        <v>59</v>
      </c>
      <c r="FJ5985" t="s">
        <v>59</v>
      </c>
    </row>
    <row r="5986" spans="153:166" x14ac:dyDescent="0.35">
      <c r="EW5986" t="s">
        <v>5211</v>
      </c>
      <c r="EX5986" t="s">
        <v>1059</v>
      </c>
      <c r="FF5986" t="s">
        <v>59</v>
      </c>
      <c r="FJ5986" t="s">
        <v>59</v>
      </c>
    </row>
    <row r="5987" spans="153:166" x14ac:dyDescent="0.35">
      <c r="EW5987" t="s">
        <v>5211</v>
      </c>
      <c r="EX5987" t="s">
        <v>749</v>
      </c>
      <c r="FF5987" t="s">
        <v>59</v>
      </c>
      <c r="FJ5987" t="s">
        <v>59</v>
      </c>
    </row>
    <row r="5988" spans="153:166" x14ac:dyDescent="0.35">
      <c r="EW5988" t="s">
        <v>5211</v>
      </c>
      <c r="EX5988" t="s">
        <v>1034</v>
      </c>
      <c r="FF5988" t="s">
        <v>59</v>
      </c>
      <c r="FJ5988" t="s">
        <v>59</v>
      </c>
    </row>
    <row r="5989" spans="153:166" x14ac:dyDescent="0.35">
      <c r="EW5989" t="s">
        <v>5211</v>
      </c>
      <c r="EX5989" t="s">
        <v>1082</v>
      </c>
      <c r="FF5989" t="s">
        <v>59</v>
      </c>
      <c r="FJ5989" t="s">
        <v>59</v>
      </c>
    </row>
    <row r="5990" spans="153:166" x14ac:dyDescent="0.35">
      <c r="EW5990" t="s">
        <v>5211</v>
      </c>
      <c r="EX5990" t="s">
        <v>2962</v>
      </c>
      <c r="FF5990" t="s">
        <v>59</v>
      </c>
      <c r="FJ5990" t="s">
        <v>59</v>
      </c>
    </row>
    <row r="5991" spans="153:166" x14ac:dyDescent="0.35">
      <c r="EW5991" t="s">
        <v>5211</v>
      </c>
      <c r="EX5991" t="s">
        <v>636</v>
      </c>
      <c r="FF5991" t="s">
        <v>59</v>
      </c>
      <c r="FJ5991" t="s">
        <v>59</v>
      </c>
    </row>
    <row r="5992" spans="153:166" x14ac:dyDescent="0.35">
      <c r="EW5992" t="s">
        <v>5211</v>
      </c>
      <c r="EX5992" t="s">
        <v>961</v>
      </c>
      <c r="FF5992" t="s">
        <v>59</v>
      </c>
      <c r="FJ5992" t="s">
        <v>59</v>
      </c>
    </row>
    <row r="5993" spans="153:166" x14ac:dyDescent="0.35">
      <c r="EW5993" t="s">
        <v>5211</v>
      </c>
      <c r="EX5993" t="s">
        <v>2804</v>
      </c>
      <c r="FF5993" t="s">
        <v>59</v>
      </c>
      <c r="FJ5993" t="s">
        <v>59</v>
      </c>
    </row>
    <row r="5994" spans="153:166" x14ac:dyDescent="0.35">
      <c r="EW5994" t="s">
        <v>5211</v>
      </c>
      <c r="EX5994" t="s">
        <v>537</v>
      </c>
      <c r="FF5994" t="s">
        <v>59</v>
      </c>
      <c r="FJ5994" t="s">
        <v>59</v>
      </c>
    </row>
    <row r="5995" spans="153:166" x14ac:dyDescent="0.35">
      <c r="EW5995" t="s">
        <v>5211</v>
      </c>
      <c r="EX5995" t="s">
        <v>2980</v>
      </c>
      <c r="FF5995" t="s">
        <v>59</v>
      </c>
      <c r="FJ5995" t="s">
        <v>59</v>
      </c>
    </row>
    <row r="5996" spans="153:166" x14ac:dyDescent="0.35">
      <c r="EW5996" t="s">
        <v>5211</v>
      </c>
      <c r="EX5996" t="s">
        <v>685</v>
      </c>
      <c r="FF5996" t="s">
        <v>59</v>
      </c>
      <c r="FJ5996" t="s">
        <v>59</v>
      </c>
    </row>
    <row r="5997" spans="153:166" x14ac:dyDescent="0.35">
      <c r="EW5997" t="s">
        <v>5211</v>
      </c>
      <c r="EX5997" t="s">
        <v>360</v>
      </c>
      <c r="FF5997" t="s">
        <v>59</v>
      </c>
      <c r="FJ5997" t="s">
        <v>59</v>
      </c>
    </row>
    <row r="5998" spans="153:166" x14ac:dyDescent="0.35">
      <c r="EW5998" t="s">
        <v>5211</v>
      </c>
      <c r="EX5998" t="s">
        <v>1099</v>
      </c>
      <c r="FF5998" t="s">
        <v>59</v>
      </c>
      <c r="FJ5998" t="s">
        <v>59</v>
      </c>
    </row>
    <row r="5999" spans="153:166" x14ac:dyDescent="0.35">
      <c r="EW5999" t="s">
        <v>5211</v>
      </c>
      <c r="EX5999" t="s">
        <v>88</v>
      </c>
      <c r="FF5999" t="s">
        <v>59</v>
      </c>
      <c r="FJ5999" t="s">
        <v>59</v>
      </c>
    </row>
    <row r="6000" spans="153:166" x14ac:dyDescent="0.35">
      <c r="EW6000" t="s">
        <v>5211</v>
      </c>
      <c r="EX6000" t="s">
        <v>795</v>
      </c>
      <c r="FF6000" t="s">
        <v>59</v>
      </c>
      <c r="FJ6000" t="s">
        <v>59</v>
      </c>
    </row>
    <row r="6001" spans="153:166" x14ac:dyDescent="0.35">
      <c r="EW6001" t="s">
        <v>5211</v>
      </c>
      <c r="EX6001" t="s">
        <v>868</v>
      </c>
      <c r="FF6001" t="s">
        <v>59</v>
      </c>
      <c r="FJ6001" t="s">
        <v>59</v>
      </c>
    </row>
    <row r="6002" spans="153:166" x14ac:dyDescent="0.35">
      <c r="EW6002" t="s">
        <v>5211</v>
      </c>
      <c r="EX6002" t="s">
        <v>624</v>
      </c>
      <c r="FF6002" t="s">
        <v>59</v>
      </c>
      <c r="FJ6002" t="s">
        <v>59</v>
      </c>
    </row>
    <row r="6003" spans="153:166" x14ac:dyDescent="0.35">
      <c r="EW6003" t="s">
        <v>5211</v>
      </c>
      <c r="EX6003" t="s">
        <v>1059</v>
      </c>
      <c r="FF6003" t="s">
        <v>59</v>
      </c>
      <c r="FJ6003" t="s">
        <v>59</v>
      </c>
    </row>
    <row r="6004" spans="153:166" x14ac:dyDescent="0.35">
      <c r="EW6004" t="s">
        <v>5211</v>
      </c>
      <c r="EX6004" t="s">
        <v>961</v>
      </c>
      <c r="FF6004" t="s">
        <v>59</v>
      </c>
      <c r="FJ6004" t="s">
        <v>59</v>
      </c>
    </row>
    <row r="6005" spans="153:166" x14ac:dyDescent="0.35">
      <c r="EW6005" t="s">
        <v>5211</v>
      </c>
      <c r="EX6005" t="s">
        <v>2962</v>
      </c>
      <c r="FF6005" t="s">
        <v>59</v>
      </c>
      <c r="FJ6005" t="s">
        <v>59</v>
      </c>
    </row>
    <row r="6006" spans="153:166" x14ac:dyDescent="0.35">
      <c r="EW6006" t="s">
        <v>5211</v>
      </c>
      <c r="EX6006" t="s">
        <v>604</v>
      </c>
      <c r="FF6006" t="s">
        <v>59</v>
      </c>
      <c r="FJ6006" t="s">
        <v>59</v>
      </c>
    </row>
    <row r="6007" spans="153:166" x14ac:dyDescent="0.35">
      <c r="EW6007" t="s">
        <v>5211</v>
      </c>
      <c r="EX6007" t="s">
        <v>1034</v>
      </c>
      <c r="FF6007" t="s">
        <v>59</v>
      </c>
      <c r="FJ6007" t="s">
        <v>59</v>
      </c>
    </row>
    <row r="6008" spans="153:166" x14ac:dyDescent="0.35">
      <c r="EW6008" t="s">
        <v>5211</v>
      </c>
      <c r="EX6008" t="s">
        <v>3016</v>
      </c>
      <c r="FF6008" t="s">
        <v>59</v>
      </c>
      <c r="FJ6008" t="s">
        <v>59</v>
      </c>
    </row>
    <row r="6009" spans="153:166" x14ac:dyDescent="0.35">
      <c r="EW6009" t="s">
        <v>5211</v>
      </c>
      <c r="EX6009" t="s">
        <v>319</v>
      </c>
      <c r="FF6009" t="s">
        <v>59</v>
      </c>
      <c r="FJ6009" t="s">
        <v>59</v>
      </c>
    </row>
    <row r="6010" spans="153:166" x14ac:dyDescent="0.35">
      <c r="EW6010" t="s">
        <v>5211</v>
      </c>
      <c r="EX6010" t="s">
        <v>749</v>
      </c>
      <c r="FF6010" t="s">
        <v>59</v>
      </c>
      <c r="FJ6010" t="s">
        <v>59</v>
      </c>
    </row>
    <row r="6011" spans="153:166" x14ac:dyDescent="0.35">
      <c r="EW6011" t="s">
        <v>5211</v>
      </c>
      <c r="EX6011" t="s">
        <v>451</v>
      </c>
      <c r="FF6011" t="s">
        <v>59</v>
      </c>
      <c r="FJ6011" t="s">
        <v>59</v>
      </c>
    </row>
    <row r="6012" spans="153:166" x14ac:dyDescent="0.35">
      <c r="EW6012" t="s">
        <v>5211</v>
      </c>
      <c r="EX6012" t="s">
        <v>685</v>
      </c>
      <c r="FF6012" t="s">
        <v>59</v>
      </c>
      <c r="FJ6012" t="s">
        <v>59</v>
      </c>
    </row>
    <row r="6013" spans="153:166" x14ac:dyDescent="0.35">
      <c r="EW6013" t="s">
        <v>5211</v>
      </c>
      <c r="EX6013" t="s">
        <v>484</v>
      </c>
      <c r="FF6013" t="s">
        <v>59</v>
      </c>
      <c r="FJ6013" t="s">
        <v>59</v>
      </c>
    </row>
    <row r="6014" spans="153:166" x14ac:dyDescent="0.35">
      <c r="EW6014" t="s">
        <v>5211</v>
      </c>
      <c r="EX6014" t="s">
        <v>547</v>
      </c>
      <c r="FF6014" t="s">
        <v>59</v>
      </c>
      <c r="FJ6014" t="s">
        <v>59</v>
      </c>
    </row>
    <row r="6015" spans="153:166" x14ac:dyDescent="0.35">
      <c r="EW6015" t="s">
        <v>5211</v>
      </c>
      <c r="EX6015" t="s">
        <v>88</v>
      </c>
      <c r="FF6015" t="s">
        <v>59</v>
      </c>
      <c r="FJ6015" t="s">
        <v>59</v>
      </c>
    </row>
    <row r="6016" spans="153:166" x14ac:dyDescent="0.35">
      <c r="EW6016" t="s">
        <v>5211</v>
      </c>
      <c r="EX6016" t="s">
        <v>868</v>
      </c>
      <c r="FF6016" t="s">
        <v>59</v>
      </c>
      <c r="FJ6016" t="s">
        <v>59</v>
      </c>
    </row>
    <row r="6017" spans="153:166" x14ac:dyDescent="0.35">
      <c r="EW6017" t="s">
        <v>5211</v>
      </c>
      <c r="EX6017" t="s">
        <v>1059</v>
      </c>
      <c r="FF6017" t="s">
        <v>59</v>
      </c>
      <c r="FJ6017" t="s">
        <v>59</v>
      </c>
    </row>
    <row r="6018" spans="153:166" x14ac:dyDescent="0.35">
      <c r="EW6018" t="s">
        <v>5211</v>
      </c>
      <c r="EX6018" t="s">
        <v>258</v>
      </c>
      <c r="FF6018" t="s">
        <v>59</v>
      </c>
      <c r="FJ6018" t="s">
        <v>59</v>
      </c>
    </row>
    <row r="6019" spans="153:166" x14ac:dyDescent="0.35">
      <c r="EW6019" t="s">
        <v>5211</v>
      </c>
      <c r="EX6019" t="s">
        <v>2962</v>
      </c>
      <c r="FF6019" t="s">
        <v>59</v>
      </c>
      <c r="FJ6019" t="s">
        <v>59</v>
      </c>
    </row>
    <row r="6020" spans="153:166" x14ac:dyDescent="0.35">
      <c r="EW6020" t="s">
        <v>5211</v>
      </c>
      <c r="EX6020" t="s">
        <v>1034</v>
      </c>
      <c r="FF6020" t="s">
        <v>59</v>
      </c>
      <c r="FJ6020" t="s">
        <v>59</v>
      </c>
    </row>
    <row r="6021" spans="153:166" x14ac:dyDescent="0.35">
      <c r="EW6021" t="s">
        <v>5211</v>
      </c>
      <c r="EX6021" t="s">
        <v>2980</v>
      </c>
      <c r="FF6021" t="s">
        <v>59</v>
      </c>
      <c r="FJ6021" t="s">
        <v>59</v>
      </c>
    </row>
    <row r="6022" spans="153:166" x14ac:dyDescent="0.35">
      <c r="EW6022" t="s">
        <v>5211</v>
      </c>
      <c r="EX6022" t="s">
        <v>749</v>
      </c>
      <c r="FF6022" t="s">
        <v>59</v>
      </c>
      <c r="FJ6022" t="s">
        <v>59</v>
      </c>
    </row>
    <row r="6023" spans="153:166" x14ac:dyDescent="0.35">
      <c r="EW6023" t="s">
        <v>5211</v>
      </c>
      <c r="EX6023" t="s">
        <v>107</v>
      </c>
      <c r="FF6023" t="s">
        <v>59</v>
      </c>
      <c r="FJ6023" t="s">
        <v>59</v>
      </c>
    </row>
    <row r="6024" spans="153:166" x14ac:dyDescent="0.35">
      <c r="EW6024" t="s">
        <v>5211</v>
      </c>
      <c r="EX6024" t="s">
        <v>66</v>
      </c>
      <c r="FF6024" t="s">
        <v>59</v>
      </c>
      <c r="FJ6024" t="s">
        <v>59</v>
      </c>
    </row>
    <row r="6025" spans="153:166" x14ac:dyDescent="0.35">
      <c r="EW6025" t="s">
        <v>5211</v>
      </c>
      <c r="EX6025" t="s">
        <v>484</v>
      </c>
      <c r="FF6025" t="s">
        <v>59</v>
      </c>
      <c r="FJ6025" t="s">
        <v>59</v>
      </c>
    </row>
    <row r="6026" spans="153:166" x14ac:dyDescent="0.35">
      <c r="EW6026" t="s">
        <v>5211</v>
      </c>
      <c r="EX6026" t="s">
        <v>961</v>
      </c>
      <c r="FF6026" t="s">
        <v>59</v>
      </c>
      <c r="FJ6026" t="s">
        <v>59</v>
      </c>
    </row>
    <row r="6027" spans="153:166" x14ac:dyDescent="0.35">
      <c r="EW6027" t="s">
        <v>5211</v>
      </c>
      <c r="EX6027" t="s">
        <v>670</v>
      </c>
      <c r="FF6027" t="s">
        <v>59</v>
      </c>
      <c r="FJ6027" t="s">
        <v>59</v>
      </c>
    </row>
    <row r="6028" spans="153:166" x14ac:dyDescent="0.35">
      <c r="EW6028" t="s">
        <v>5211</v>
      </c>
      <c r="EX6028" t="s">
        <v>3016</v>
      </c>
      <c r="FF6028" t="s">
        <v>59</v>
      </c>
      <c r="FJ6028" t="s">
        <v>59</v>
      </c>
    </row>
    <row r="6029" spans="153:166" x14ac:dyDescent="0.35">
      <c r="EW6029" t="s">
        <v>5211</v>
      </c>
      <c r="EX6029" t="s">
        <v>451</v>
      </c>
      <c r="FF6029" t="s">
        <v>59</v>
      </c>
      <c r="FJ6029" t="s">
        <v>59</v>
      </c>
    </row>
    <row r="6030" spans="153:166" x14ac:dyDescent="0.35">
      <c r="EW6030" t="s">
        <v>5211</v>
      </c>
      <c r="EX6030" t="s">
        <v>855</v>
      </c>
      <c r="FF6030" t="s">
        <v>59</v>
      </c>
      <c r="FJ6030" t="s">
        <v>59</v>
      </c>
    </row>
    <row r="6031" spans="153:166" x14ac:dyDescent="0.35">
      <c r="EW6031" t="s">
        <v>5211</v>
      </c>
      <c r="EX6031" t="s">
        <v>868</v>
      </c>
      <c r="FF6031" t="s">
        <v>59</v>
      </c>
      <c r="FJ6031" t="s">
        <v>59</v>
      </c>
    </row>
    <row r="6032" spans="153:166" x14ac:dyDescent="0.35">
      <c r="EW6032" t="s">
        <v>5211</v>
      </c>
      <c r="EX6032" t="s">
        <v>735</v>
      </c>
      <c r="FF6032" t="s">
        <v>59</v>
      </c>
      <c r="FJ6032" t="s">
        <v>59</v>
      </c>
    </row>
    <row r="6033" spans="153:166" x14ac:dyDescent="0.35">
      <c r="EW6033" t="s">
        <v>5211</v>
      </c>
      <c r="EX6033" t="s">
        <v>578</v>
      </c>
      <c r="FF6033" t="s">
        <v>59</v>
      </c>
      <c r="FJ6033" t="s">
        <v>59</v>
      </c>
    </row>
    <row r="6034" spans="153:166" x14ac:dyDescent="0.35">
      <c r="EW6034" t="s">
        <v>5211</v>
      </c>
      <c r="EX6034" t="s">
        <v>226</v>
      </c>
      <c r="FF6034" t="s">
        <v>59</v>
      </c>
      <c r="FJ6034" t="s">
        <v>59</v>
      </c>
    </row>
    <row r="6035" spans="153:166" x14ac:dyDescent="0.35">
      <c r="EW6035" t="s">
        <v>5211</v>
      </c>
      <c r="EX6035" t="s">
        <v>652</v>
      </c>
      <c r="FF6035" t="s">
        <v>59</v>
      </c>
      <c r="FJ6035" t="s">
        <v>59</v>
      </c>
    </row>
    <row r="6036" spans="153:166" x14ac:dyDescent="0.35">
      <c r="EW6036" t="s">
        <v>5211</v>
      </c>
      <c r="EX6036" t="s">
        <v>636</v>
      </c>
      <c r="FF6036" t="s">
        <v>59</v>
      </c>
      <c r="FJ6036" t="s">
        <v>59</v>
      </c>
    </row>
    <row r="6037" spans="153:166" x14ac:dyDescent="0.35">
      <c r="EW6037" t="s">
        <v>5211</v>
      </c>
      <c r="EX6037" t="s">
        <v>2980</v>
      </c>
      <c r="FF6037" t="s">
        <v>59</v>
      </c>
      <c r="FJ6037" t="s">
        <v>59</v>
      </c>
    </row>
    <row r="6038" spans="153:166" x14ac:dyDescent="0.35">
      <c r="EW6038" t="s">
        <v>5211</v>
      </c>
      <c r="EX6038" t="s">
        <v>107</v>
      </c>
      <c r="FF6038" t="s">
        <v>59</v>
      </c>
      <c r="FJ6038" t="s">
        <v>59</v>
      </c>
    </row>
    <row r="6039" spans="153:166" x14ac:dyDescent="0.35">
      <c r="EW6039" t="s">
        <v>5211</v>
      </c>
      <c r="EX6039" t="s">
        <v>258</v>
      </c>
      <c r="FF6039" t="s">
        <v>59</v>
      </c>
      <c r="FJ6039" t="s">
        <v>59</v>
      </c>
    </row>
    <row r="6040" spans="153:166" x14ac:dyDescent="0.35">
      <c r="EW6040" t="s">
        <v>5211</v>
      </c>
      <c r="EX6040" t="s">
        <v>162</v>
      </c>
      <c r="FF6040" t="s">
        <v>59</v>
      </c>
      <c r="FJ6040" t="s">
        <v>59</v>
      </c>
    </row>
    <row r="6041" spans="153:166" x14ac:dyDescent="0.35">
      <c r="EW6041" t="s">
        <v>5211</v>
      </c>
      <c r="EX6041" t="s">
        <v>749</v>
      </c>
      <c r="FF6041" t="s">
        <v>59</v>
      </c>
      <c r="FJ6041" t="s">
        <v>59</v>
      </c>
    </row>
    <row r="6042" spans="153:166" x14ac:dyDescent="0.35">
      <c r="EW6042" t="s">
        <v>5211</v>
      </c>
      <c r="EX6042" t="s">
        <v>502</v>
      </c>
      <c r="FF6042" t="s">
        <v>59</v>
      </c>
      <c r="FJ6042" t="s">
        <v>59</v>
      </c>
    </row>
    <row r="6043" spans="153:166" x14ac:dyDescent="0.35">
      <c r="EW6043" t="s">
        <v>5211</v>
      </c>
      <c r="EX6043" t="s">
        <v>961</v>
      </c>
      <c r="FF6043" t="s">
        <v>59</v>
      </c>
      <c r="FJ6043" t="s">
        <v>59</v>
      </c>
    </row>
    <row r="6044" spans="153:166" x14ac:dyDescent="0.35">
      <c r="EW6044" t="s">
        <v>5211</v>
      </c>
      <c r="EX6044" t="s">
        <v>436</v>
      </c>
      <c r="FF6044" t="s">
        <v>59</v>
      </c>
      <c r="FJ6044" t="s">
        <v>59</v>
      </c>
    </row>
    <row r="6045" spans="153:166" x14ac:dyDescent="0.35">
      <c r="EW6045" t="s">
        <v>5211</v>
      </c>
      <c r="EX6045" t="s">
        <v>1034</v>
      </c>
      <c r="FF6045" t="s">
        <v>59</v>
      </c>
      <c r="FJ6045" t="s">
        <v>59</v>
      </c>
    </row>
    <row r="6046" spans="153:166" x14ac:dyDescent="0.35">
      <c r="EW6046" t="s">
        <v>5211</v>
      </c>
      <c r="EX6046" t="s">
        <v>66</v>
      </c>
      <c r="FF6046" t="s">
        <v>59</v>
      </c>
      <c r="FJ6046" t="s">
        <v>59</v>
      </c>
    </row>
    <row r="6047" spans="153:166" x14ac:dyDescent="0.35">
      <c r="EW6047" t="s">
        <v>5211</v>
      </c>
      <c r="EX6047" t="s">
        <v>396</v>
      </c>
      <c r="FF6047" t="s">
        <v>59</v>
      </c>
      <c r="FJ6047" t="s">
        <v>59</v>
      </c>
    </row>
    <row r="6048" spans="153:166" x14ac:dyDescent="0.35">
      <c r="EW6048" t="s">
        <v>5211</v>
      </c>
      <c r="EX6048" t="s">
        <v>3016</v>
      </c>
      <c r="FF6048" t="s">
        <v>59</v>
      </c>
      <c r="FJ6048" t="s">
        <v>59</v>
      </c>
    </row>
    <row r="6049" spans="153:166" x14ac:dyDescent="0.35">
      <c r="EW6049" t="s">
        <v>5211</v>
      </c>
      <c r="EX6049" t="s">
        <v>2962</v>
      </c>
      <c r="FF6049" t="s">
        <v>59</v>
      </c>
      <c r="FJ6049" t="s">
        <v>59</v>
      </c>
    </row>
    <row r="6050" spans="153:166" x14ac:dyDescent="0.35">
      <c r="EW6050" t="s">
        <v>5211</v>
      </c>
      <c r="EX6050" t="s">
        <v>502</v>
      </c>
      <c r="FF6050" t="s">
        <v>59</v>
      </c>
      <c r="FJ6050" t="s">
        <v>59</v>
      </c>
    </row>
    <row r="6051" spans="153:166" x14ac:dyDescent="0.35">
      <c r="EW6051" t="s">
        <v>5211</v>
      </c>
      <c r="EX6051" t="s">
        <v>360</v>
      </c>
      <c r="FF6051" t="s">
        <v>59</v>
      </c>
      <c r="FJ6051" t="s">
        <v>59</v>
      </c>
    </row>
    <row r="6052" spans="153:166" x14ac:dyDescent="0.35">
      <c r="EW6052" t="s">
        <v>5211</v>
      </c>
      <c r="EX6052" t="s">
        <v>636</v>
      </c>
      <c r="FF6052" t="s">
        <v>59</v>
      </c>
      <c r="FJ6052" t="s">
        <v>59</v>
      </c>
    </row>
    <row r="6053" spans="153:166" x14ac:dyDescent="0.35">
      <c r="EW6053" t="s">
        <v>5211</v>
      </c>
      <c r="EX6053" t="s">
        <v>1034</v>
      </c>
      <c r="FF6053" t="s">
        <v>59</v>
      </c>
      <c r="FJ6053" t="s">
        <v>59</v>
      </c>
    </row>
    <row r="6054" spans="153:166" x14ac:dyDescent="0.35">
      <c r="EW6054" t="s">
        <v>5211</v>
      </c>
      <c r="EX6054" t="s">
        <v>226</v>
      </c>
      <c r="FF6054" t="s">
        <v>59</v>
      </c>
      <c r="FJ6054" t="s">
        <v>59</v>
      </c>
    </row>
    <row r="6055" spans="153:166" x14ac:dyDescent="0.35">
      <c r="EW6055" t="s">
        <v>5211</v>
      </c>
      <c r="EX6055" t="s">
        <v>436</v>
      </c>
      <c r="FF6055" t="s">
        <v>59</v>
      </c>
      <c r="FJ6055" t="s">
        <v>59</v>
      </c>
    </row>
    <row r="6056" spans="153:166" x14ac:dyDescent="0.35">
      <c r="EW6056" t="s">
        <v>5211</v>
      </c>
      <c r="EX6056" s="12" t="s">
        <v>624</v>
      </c>
      <c r="FF6056" t="s">
        <v>59</v>
      </c>
      <c r="FJ6056" t="s">
        <v>59</v>
      </c>
    </row>
    <row r="6057" spans="153:166" x14ac:dyDescent="0.35">
      <c r="EW6057" t="s">
        <v>5212</v>
      </c>
      <c r="EX6057" s="44" t="s">
        <v>5213</v>
      </c>
      <c r="FF6057" s="44" t="s">
        <v>55</v>
      </c>
      <c r="FJ6057" s="44" t="s">
        <v>55</v>
      </c>
    </row>
    <row r="6058" spans="153:166" x14ac:dyDescent="0.35">
      <c r="EW6058" t="s">
        <v>5212</v>
      </c>
      <c r="EX6058" s="44" t="s">
        <v>5214</v>
      </c>
      <c r="FF6058" s="44" t="s">
        <v>55</v>
      </c>
      <c r="FJ6058" s="44" t="s">
        <v>55</v>
      </c>
    </row>
    <row r="6059" spans="153:166" x14ac:dyDescent="0.35">
      <c r="EW6059" t="s">
        <v>5212</v>
      </c>
      <c r="EX6059" s="44" t="s">
        <v>5215</v>
      </c>
      <c r="FF6059" s="44" t="s">
        <v>55</v>
      </c>
      <c r="FJ6059" s="44" t="s">
        <v>55</v>
      </c>
    </row>
    <row r="6060" spans="153:166" x14ac:dyDescent="0.35">
      <c r="EW6060" t="s">
        <v>5212</v>
      </c>
      <c r="EX6060" s="44" t="s">
        <v>5216</v>
      </c>
      <c r="FF6060" s="44" t="s">
        <v>55</v>
      </c>
      <c r="FJ6060" s="44" t="s">
        <v>55</v>
      </c>
    </row>
    <row r="6061" spans="153:166" x14ac:dyDescent="0.35">
      <c r="EW6061" t="s">
        <v>5212</v>
      </c>
      <c r="EX6061" s="44" t="s">
        <v>5217</v>
      </c>
      <c r="FF6061" s="44" t="s">
        <v>55</v>
      </c>
      <c r="FJ6061" s="44" t="s">
        <v>55</v>
      </c>
    </row>
    <row r="6062" spans="153:166" x14ac:dyDescent="0.35">
      <c r="EW6062" t="s">
        <v>5212</v>
      </c>
      <c r="EX6062" s="44" t="s">
        <v>5218</v>
      </c>
      <c r="FF6062" s="44" t="s">
        <v>55</v>
      </c>
      <c r="FJ6062" s="44" t="s">
        <v>55</v>
      </c>
    </row>
    <row r="6063" spans="153:166" x14ac:dyDescent="0.35">
      <c r="EW6063" t="s">
        <v>5212</v>
      </c>
      <c r="EX6063" s="44" t="s">
        <v>5219</v>
      </c>
      <c r="FF6063" s="44" t="s">
        <v>55</v>
      </c>
      <c r="FJ6063" s="44" t="s">
        <v>55</v>
      </c>
    </row>
    <row r="6064" spans="153:166" x14ac:dyDescent="0.35">
      <c r="EW6064" t="s">
        <v>5212</v>
      </c>
      <c r="EX6064" s="44" t="s">
        <v>5220</v>
      </c>
      <c r="FF6064" s="44" t="s">
        <v>55</v>
      </c>
      <c r="FJ6064" s="44" t="s">
        <v>55</v>
      </c>
    </row>
    <row r="6065" spans="153:166" x14ac:dyDescent="0.35">
      <c r="EW6065" t="s">
        <v>5212</v>
      </c>
      <c r="EX6065" s="44" t="s">
        <v>5221</v>
      </c>
      <c r="FF6065" s="44" t="s">
        <v>55</v>
      </c>
      <c r="FJ6065" s="44" t="s">
        <v>55</v>
      </c>
    </row>
    <row r="6066" spans="153:166" x14ac:dyDescent="0.35">
      <c r="EW6066" t="s">
        <v>5212</v>
      </c>
      <c r="EX6066" s="44" t="s">
        <v>5222</v>
      </c>
      <c r="FF6066" s="44" t="s">
        <v>55</v>
      </c>
      <c r="FJ6066" s="44" t="s">
        <v>55</v>
      </c>
    </row>
    <row r="6067" spans="153:166" x14ac:dyDescent="0.35">
      <c r="EW6067" t="s">
        <v>5212</v>
      </c>
      <c r="EX6067" s="44" t="s">
        <v>5223</v>
      </c>
      <c r="FF6067" s="44" t="s">
        <v>55</v>
      </c>
      <c r="FJ6067" s="44" t="s">
        <v>55</v>
      </c>
    </row>
    <row r="6068" spans="153:166" x14ac:dyDescent="0.35">
      <c r="EW6068" t="s">
        <v>5212</v>
      </c>
      <c r="EX6068" s="44" t="s">
        <v>5224</v>
      </c>
      <c r="FF6068" s="44" t="s">
        <v>55</v>
      </c>
      <c r="FJ6068" s="44" t="s">
        <v>55</v>
      </c>
    </row>
    <row r="6069" spans="153:166" x14ac:dyDescent="0.35">
      <c r="EW6069" t="s">
        <v>5212</v>
      </c>
      <c r="EX6069" s="44" t="s">
        <v>5225</v>
      </c>
      <c r="FF6069" s="44" t="s">
        <v>55</v>
      </c>
      <c r="FJ6069" s="44" t="s">
        <v>55</v>
      </c>
    </row>
    <row r="6070" spans="153:166" x14ac:dyDescent="0.35">
      <c r="EW6070" t="s">
        <v>5212</v>
      </c>
      <c r="EX6070" s="44" t="s">
        <v>5226</v>
      </c>
      <c r="FF6070" s="44" t="s">
        <v>55</v>
      </c>
      <c r="FJ6070" s="44" t="s">
        <v>55</v>
      </c>
    </row>
    <row r="6071" spans="153:166" x14ac:dyDescent="0.35">
      <c r="EW6071" t="s">
        <v>5212</v>
      </c>
      <c r="EX6071" s="44" t="s">
        <v>5227</v>
      </c>
      <c r="FF6071" s="44" t="s">
        <v>55</v>
      </c>
      <c r="FJ6071" s="44" t="s">
        <v>55</v>
      </c>
    </row>
    <row r="6072" spans="153:166" x14ac:dyDescent="0.35">
      <c r="EW6072" t="s">
        <v>5212</v>
      </c>
      <c r="EX6072" s="44" t="s">
        <v>5228</v>
      </c>
      <c r="FF6072" s="44" t="s">
        <v>55</v>
      </c>
      <c r="FJ6072" s="44" t="s">
        <v>55</v>
      </c>
    </row>
    <row r="6073" spans="153:166" x14ac:dyDescent="0.35">
      <c r="EW6073" t="s">
        <v>5212</v>
      </c>
      <c r="EX6073" s="44" t="s">
        <v>5229</v>
      </c>
      <c r="FF6073" s="44" t="s">
        <v>55</v>
      </c>
      <c r="FJ6073" s="44" t="s">
        <v>55</v>
      </c>
    </row>
    <row r="6074" spans="153:166" x14ac:dyDescent="0.35">
      <c r="EW6074" t="s">
        <v>5212</v>
      </c>
      <c r="EX6074" s="44" t="s">
        <v>5230</v>
      </c>
      <c r="FF6074" s="44" t="s">
        <v>55</v>
      </c>
      <c r="FJ6074" s="44" t="s">
        <v>55</v>
      </c>
    </row>
    <row r="6075" spans="153:166" x14ac:dyDescent="0.35">
      <c r="EW6075" t="s">
        <v>5212</v>
      </c>
      <c r="EX6075" s="44" t="s">
        <v>5231</v>
      </c>
      <c r="FF6075" s="44" t="s">
        <v>55</v>
      </c>
      <c r="FJ6075" s="44" t="s">
        <v>55</v>
      </c>
    </row>
    <row r="6076" spans="153:166" x14ac:dyDescent="0.35">
      <c r="EW6076" t="s">
        <v>5212</v>
      </c>
      <c r="EX6076" s="44" t="s">
        <v>5232</v>
      </c>
      <c r="FF6076" s="44" t="s">
        <v>55</v>
      </c>
      <c r="FJ6076" s="44" t="s">
        <v>55</v>
      </c>
    </row>
    <row r="6077" spans="153:166" x14ac:dyDescent="0.35">
      <c r="EW6077" t="s">
        <v>5212</v>
      </c>
      <c r="EX6077" s="44" t="s">
        <v>5233</v>
      </c>
      <c r="FF6077" s="44" t="s">
        <v>55</v>
      </c>
      <c r="FJ6077" s="44" t="s">
        <v>55</v>
      </c>
    </row>
    <row r="6078" spans="153:166" x14ac:dyDescent="0.35">
      <c r="EW6078" t="s">
        <v>5212</v>
      </c>
      <c r="EX6078" s="44" t="s">
        <v>5234</v>
      </c>
      <c r="FF6078" s="44" t="s">
        <v>55</v>
      </c>
      <c r="FJ6078" s="44" t="s">
        <v>55</v>
      </c>
    </row>
    <row r="6079" spans="153:166" x14ac:dyDescent="0.35">
      <c r="EW6079" t="s">
        <v>5212</v>
      </c>
      <c r="EX6079" s="44" t="s">
        <v>5235</v>
      </c>
      <c r="FF6079" s="44" t="s">
        <v>55</v>
      </c>
      <c r="FJ6079" s="44" t="s">
        <v>55</v>
      </c>
    </row>
    <row r="6080" spans="153:166" x14ac:dyDescent="0.35">
      <c r="EW6080" t="s">
        <v>5212</v>
      </c>
      <c r="EX6080" s="44" t="s">
        <v>5236</v>
      </c>
      <c r="FF6080" s="44" t="s">
        <v>55</v>
      </c>
      <c r="FJ6080" s="44" t="s">
        <v>55</v>
      </c>
    </row>
    <row r="6081" spans="153:166" x14ac:dyDescent="0.35">
      <c r="EW6081" t="s">
        <v>5212</v>
      </c>
      <c r="EX6081" s="44" t="s">
        <v>5237</v>
      </c>
      <c r="FF6081" s="44" t="s">
        <v>55</v>
      </c>
      <c r="FJ6081" s="44" t="s">
        <v>55</v>
      </c>
    </row>
    <row r="6082" spans="153:166" x14ac:dyDescent="0.35">
      <c r="EW6082" t="s">
        <v>5212</v>
      </c>
      <c r="EX6082" s="44" t="s">
        <v>5238</v>
      </c>
      <c r="FF6082" s="44" t="s">
        <v>55</v>
      </c>
      <c r="FJ6082" s="44" t="s">
        <v>55</v>
      </c>
    </row>
    <row r="6083" spans="153:166" x14ac:dyDescent="0.35">
      <c r="EW6083" t="s">
        <v>5212</v>
      </c>
      <c r="EX6083" s="44" t="s">
        <v>5239</v>
      </c>
      <c r="FF6083" s="44" t="s">
        <v>55</v>
      </c>
      <c r="FJ6083" s="44" t="s">
        <v>55</v>
      </c>
    </row>
    <row r="6084" spans="153:166" x14ac:dyDescent="0.35">
      <c r="EW6084" t="s">
        <v>5212</v>
      </c>
      <c r="EX6084" s="44" t="s">
        <v>5240</v>
      </c>
      <c r="FF6084" s="44" t="s">
        <v>55</v>
      </c>
      <c r="FJ6084" s="44" t="s">
        <v>55</v>
      </c>
    </row>
    <row r="6085" spans="153:166" x14ac:dyDescent="0.35">
      <c r="EW6085" t="s">
        <v>5212</v>
      </c>
      <c r="EX6085" s="44" t="s">
        <v>5241</v>
      </c>
      <c r="FF6085" s="44" t="s">
        <v>55</v>
      </c>
      <c r="FJ6085" s="44" t="s">
        <v>55</v>
      </c>
    </row>
    <row r="6086" spans="153:166" x14ac:dyDescent="0.35">
      <c r="EW6086" t="s">
        <v>5212</v>
      </c>
      <c r="EX6086" s="44" t="s">
        <v>5242</v>
      </c>
      <c r="FF6086" s="44" t="s">
        <v>55</v>
      </c>
      <c r="FJ6086" s="44" t="s">
        <v>55</v>
      </c>
    </row>
    <row r="6087" spans="153:166" x14ac:dyDescent="0.35">
      <c r="EW6087" t="s">
        <v>5212</v>
      </c>
      <c r="EX6087" s="44" t="s">
        <v>5243</v>
      </c>
      <c r="FF6087" s="44" t="s">
        <v>55</v>
      </c>
      <c r="FJ6087" s="44" t="s">
        <v>55</v>
      </c>
    </row>
    <row r="6088" spans="153:166" x14ac:dyDescent="0.35">
      <c r="EW6088" t="s">
        <v>5212</v>
      </c>
      <c r="EX6088" s="44" t="s">
        <v>5244</v>
      </c>
      <c r="FF6088" s="44" t="s">
        <v>55</v>
      </c>
      <c r="FJ6088" s="44" t="s">
        <v>55</v>
      </c>
    </row>
    <row r="6089" spans="153:166" x14ac:dyDescent="0.35">
      <c r="EW6089" t="s">
        <v>5212</v>
      </c>
      <c r="EX6089" s="44" t="s">
        <v>5245</v>
      </c>
      <c r="FF6089" s="44" t="s">
        <v>55</v>
      </c>
      <c r="FJ6089" s="44" t="s">
        <v>55</v>
      </c>
    </row>
    <row r="6090" spans="153:166" x14ac:dyDescent="0.35">
      <c r="EW6090" t="s">
        <v>5212</v>
      </c>
      <c r="EX6090" s="44" t="s">
        <v>5246</v>
      </c>
      <c r="FF6090" s="44" t="s">
        <v>55</v>
      </c>
      <c r="FJ6090" s="44" t="s">
        <v>55</v>
      </c>
    </row>
    <row r="6091" spans="153:166" x14ac:dyDescent="0.35">
      <c r="EW6091" t="s">
        <v>5212</v>
      </c>
      <c r="EX6091" s="44" t="s">
        <v>5247</v>
      </c>
      <c r="FF6091" s="44" t="s">
        <v>55</v>
      </c>
      <c r="FJ6091" s="44" t="s">
        <v>55</v>
      </c>
    </row>
    <row r="6092" spans="153:166" x14ac:dyDescent="0.35">
      <c r="EW6092" t="s">
        <v>5212</v>
      </c>
      <c r="EX6092" s="44" t="s">
        <v>5248</v>
      </c>
      <c r="FF6092" s="44" t="s">
        <v>55</v>
      </c>
      <c r="FJ6092" s="44" t="s">
        <v>55</v>
      </c>
    </row>
    <row r="6093" spans="153:166" x14ac:dyDescent="0.35">
      <c r="EW6093" t="s">
        <v>5212</v>
      </c>
      <c r="EX6093" s="44" t="s">
        <v>5249</v>
      </c>
      <c r="FF6093" s="44" t="s">
        <v>55</v>
      </c>
      <c r="FJ6093" s="44" t="s">
        <v>55</v>
      </c>
    </row>
    <row r="6094" spans="153:166" x14ac:dyDescent="0.35">
      <c r="EW6094" t="s">
        <v>5212</v>
      </c>
      <c r="EX6094" s="44" t="s">
        <v>5250</v>
      </c>
      <c r="FF6094" s="44" t="s">
        <v>55</v>
      </c>
      <c r="FJ6094" s="44" t="s">
        <v>55</v>
      </c>
    </row>
    <row r="6095" spans="153:166" x14ac:dyDescent="0.35">
      <c r="EW6095" t="s">
        <v>5212</v>
      </c>
      <c r="EX6095" s="44" t="s">
        <v>5251</v>
      </c>
      <c r="FF6095" s="44" t="s">
        <v>55</v>
      </c>
      <c r="FJ6095" s="44" t="s">
        <v>55</v>
      </c>
    </row>
    <row r="6096" spans="153:166" x14ac:dyDescent="0.35">
      <c r="EW6096" t="s">
        <v>5212</v>
      </c>
      <c r="EX6096" s="44" t="s">
        <v>5252</v>
      </c>
      <c r="FF6096" s="44" t="s">
        <v>55</v>
      </c>
      <c r="FJ6096" s="44" t="s">
        <v>55</v>
      </c>
    </row>
    <row r="6097" spans="153:166" x14ac:dyDescent="0.35">
      <c r="EW6097" t="s">
        <v>5212</v>
      </c>
      <c r="EX6097" s="44" t="s">
        <v>5253</v>
      </c>
      <c r="FF6097" s="44" t="s">
        <v>55</v>
      </c>
      <c r="FJ6097" s="44" t="s">
        <v>55</v>
      </c>
    </row>
    <row r="6098" spans="153:166" x14ac:dyDescent="0.35">
      <c r="EW6098" t="s">
        <v>5212</v>
      </c>
      <c r="EX6098" s="44" t="s">
        <v>5254</v>
      </c>
      <c r="FF6098" s="44" t="s">
        <v>55</v>
      </c>
      <c r="FJ6098" s="44" t="s">
        <v>55</v>
      </c>
    </row>
    <row r="6099" spans="153:166" x14ac:dyDescent="0.35">
      <c r="EW6099" t="s">
        <v>5212</v>
      </c>
      <c r="EX6099" s="44" t="s">
        <v>5255</v>
      </c>
      <c r="FF6099" s="44" t="s">
        <v>55</v>
      </c>
      <c r="FJ6099" s="44" t="s">
        <v>55</v>
      </c>
    </row>
    <row r="6100" spans="153:166" x14ac:dyDescent="0.35">
      <c r="EW6100" t="s">
        <v>5212</v>
      </c>
      <c r="EX6100" s="44" t="s">
        <v>5256</v>
      </c>
      <c r="FF6100" s="44" t="s">
        <v>55</v>
      </c>
      <c r="FJ6100" s="44" t="s">
        <v>55</v>
      </c>
    </row>
    <row r="6101" spans="153:166" x14ac:dyDescent="0.35">
      <c r="EW6101" t="s">
        <v>5212</v>
      </c>
      <c r="EX6101" s="44" t="s">
        <v>5257</v>
      </c>
      <c r="FF6101" s="44" t="s">
        <v>55</v>
      </c>
      <c r="FJ6101" s="44" t="s">
        <v>55</v>
      </c>
    </row>
    <row r="6102" spans="153:166" x14ac:dyDescent="0.35">
      <c r="EW6102" t="s">
        <v>5212</v>
      </c>
      <c r="EX6102" s="44" t="s">
        <v>5258</v>
      </c>
      <c r="FF6102" s="44" t="s">
        <v>55</v>
      </c>
      <c r="FJ6102" s="44" t="s">
        <v>55</v>
      </c>
    </row>
    <row r="6103" spans="153:166" x14ac:dyDescent="0.35">
      <c r="EW6103" t="s">
        <v>5212</v>
      </c>
      <c r="EX6103" s="44" t="s">
        <v>5259</v>
      </c>
      <c r="FF6103" s="44" t="s">
        <v>55</v>
      </c>
      <c r="FJ6103" s="44" t="s">
        <v>55</v>
      </c>
    </row>
    <row r="6104" spans="153:166" x14ac:dyDescent="0.35">
      <c r="EW6104" t="s">
        <v>5212</v>
      </c>
      <c r="EX6104" s="44" t="s">
        <v>5260</v>
      </c>
      <c r="FF6104" s="44" t="s">
        <v>55</v>
      </c>
      <c r="FJ6104" s="44" t="s">
        <v>55</v>
      </c>
    </row>
    <row r="6105" spans="153:166" x14ac:dyDescent="0.35">
      <c r="EW6105" t="s">
        <v>5212</v>
      </c>
      <c r="EX6105" s="44" t="s">
        <v>5261</v>
      </c>
      <c r="FF6105" s="44" t="s">
        <v>55</v>
      </c>
      <c r="FJ6105" s="44" t="s">
        <v>55</v>
      </c>
    </row>
    <row r="6106" spans="153:166" x14ac:dyDescent="0.35">
      <c r="EW6106" t="s">
        <v>5212</v>
      </c>
      <c r="EX6106" s="44" t="s">
        <v>5262</v>
      </c>
      <c r="FF6106" s="44" t="s">
        <v>55</v>
      </c>
      <c r="FJ6106" s="44" t="s">
        <v>55</v>
      </c>
    </row>
    <row r="6107" spans="153:166" x14ac:dyDescent="0.35">
      <c r="EW6107" t="s">
        <v>5212</v>
      </c>
      <c r="EX6107" s="44" t="s">
        <v>5263</v>
      </c>
      <c r="FF6107" s="44" t="s">
        <v>55</v>
      </c>
      <c r="FJ6107" s="44" t="s">
        <v>55</v>
      </c>
    </row>
    <row r="6108" spans="153:166" x14ac:dyDescent="0.35">
      <c r="EW6108" t="s">
        <v>5212</v>
      </c>
      <c r="EX6108" s="44" t="s">
        <v>5264</v>
      </c>
      <c r="FF6108" s="44" t="s">
        <v>55</v>
      </c>
      <c r="FJ6108" s="44" t="s">
        <v>55</v>
      </c>
    </row>
    <row r="6109" spans="153:166" x14ac:dyDescent="0.35">
      <c r="EW6109" t="s">
        <v>5212</v>
      </c>
      <c r="EX6109" s="44" t="s">
        <v>5265</v>
      </c>
      <c r="FF6109" s="44" t="s">
        <v>55</v>
      </c>
      <c r="FJ6109" s="44" t="s">
        <v>55</v>
      </c>
    </row>
    <row r="6110" spans="153:166" x14ac:dyDescent="0.35">
      <c r="EW6110" t="s">
        <v>5212</v>
      </c>
      <c r="EX6110" s="44" t="s">
        <v>5266</v>
      </c>
      <c r="FF6110" s="44" t="s">
        <v>55</v>
      </c>
      <c r="FJ6110" s="44" t="s">
        <v>55</v>
      </c>
    </row>
    <row r="6111" spans="153:166" x14ac:dyDescent="0.35">
      <c r="EW6111" t="s">
        <v>5212</v>
      </c>
      <c r="EX6111" s="44" t="s">
        <v>5267</v>
      </c>
      <c r="FF6111" s="44" t="s">
        <v>55</v>
      </c>
      <c r="FJ6111" s="44" t="s">
        <v>55</v>
      </c>
    </row>
    <row r="6112" spans="153:166" x14ac:dyDescent="0.35">
      <c r="EW6112" t="s">
        <v>5212</v>
      </c>
      <c r="EX6112" s="44" t="s">
        <v>5268</v>
      </c>
      <c r="FF6112" s="44" t="s">
        <v>55</v>
      </c>
      <c r="FJ6112" s="44" t="s">
        <v>55</v>
      </c>
    </row>
    <row r="6113" spans="153:166" x14ac:dyDescent="0.35">
      <c r="EW6113" t="s">
        <v>5212</v>
      </c>
      <c r="EX6113" s="44" t="s">
        <v>5269</v>
      </c>
      <c r="FF6113" s="44" t="s">
        <v>55</v>
      </c>
      <c r="FJ6113" s="44" t="s">
        <v>55</v>
      </c>
    </row>
    <row r="6114" spans="153:166" x14ac:dyDescent="0.35">
      <c r="EW6114" t="s">
        <v>5212</v>
      </c>
      <c r="EX6114" s="44" t="s">
        <v>5270</v>
      </c>
      <c r="FF6114" s="44" t="s">
        <v>55</v>
      </c>
      <c r="FJ6114" s="44" t="s">
        <v>55</v>
      </c>
    </row>
    <row r="6115" spans="153:166" x14ac:dyDescent="0.35">
      <c r="EW6115" t="s">
        <v>5212</v>
      </c>
      <c r="EX6115" s="44" t="s">
        <v>5271</v>
      </c>
      <c r="FF6115" s="44" t="s">
        <v>55</v>
      </c>
      <c r="FJ6115" s="44" t="s">
        <v>55</v>
      </c>
    </row>
    <row r="6116" spans="153:166" x14ac:dyDescent="0.35">
      <c r="EW6116" t="s">
        <v>5212</v>
      </c>
      <c r="EX6116" s="44" t="s">
        <v>5272</v>
      </c>
      <c r="FF6116" s="44" t="s">
        <v>55</v>
      </c>
      <c r="FJ6116" s="44" t="s">
        <v>55</v>
      </c>
    </row>
    <row r="6117" spans="153:166" x14ac:dyDescent="0.35">
      <c r="EW6117" t="s">
        <v>5212</v>
      </c>
      <c r="EX6117" s="44" t="s">
        <v>5273</v>
      </c>
      <c r="FF6117" s="44" t="s">
        <v>55</v>
      </c>
      <c r="FJ6117" s="44" t="s">
        <v>55</v>
      </c>
    </row>
    <row r="6118" spans="153:166" x14ac:dyDescent="0.35">
      <c r="EW6118" t="s">
        <v>5212</v>
      </c>
      <c r="EX6118" s="44" t="s">
        <v>5274</v>
      </c>
      <c r="FF6118" s="44" t="s">
        <v>55</v>
      </c>
      <c r="FJ6118" s="44" t="s">
        <v>55</v>
      </c>
    </row>
    <row r="6119" spans="153:166" x14ac:dyDescent="0.35">
      <c r="EW6119" t="s">
        <v>5212</v>
      </c>
      <c r="EX6119" s="44" t="s">
        <v>5275</v>
      </c>
      <c r="FF6119" s="44" t="s">
        <v>55</v>
      </c>
      <c r="FJ6119" s="44" t="s">
        <v>55</v>
      </c>
    </row>
    <row r="6120" spans="153:166" x14ac:dyDescent="0.35">
      <c r="EW6120" t="s">
        <v>5212</v>
      </c>
      <c r="EX6120" s="44" t="s">
        <v>5276</v>
      </c>
      <c r="FF6120" s="44" t="s">
        <v>55</v>
      </c>
      <c r="FJ6120" s="44" t="s">
        <v>55</v>
      </c>
    </row>
    <row r="6121" spans="153:166" x14ac:dyDescent="0.35">
      <c r="EW6121" t="s">
        <v>5212</v>
      </c>
      <c r="EX6121" s="44" t="s">
        <v>5277</v>
      </c>
      <c r="FF6121" s="44" t="s">
        <v>55</v>
      </c>
      <c r="FJ6121" s="44" t="s">
        <v>55</v>
      </c>
    </row>
    <row r="6122" spans="153:166" x14ac:dyDescent="0.35">
      <c r="EW6122" t="s">
        <v>5212</v>
      </c>
      <c r="EX6122" s="44" t="s">
        <v>5278</v>
      </c>
      <c r="FF6122" s="44" t="s">
        <v>55</v>
      </c>
      <c r="FJ6122" s="44" t="s">
        <v>55</v>
      </c>
    </row>
    <row r="6123" spans="153:166" x14ac:dyDescent="0.35">
      <c r="EW6123" t="s">
        <v>5212</v>
      </c>
      <c r="EX6123" s="44" t="s">
        <v>5279</v>
      </c>
      <c r="FF6123" s="44" t="s">
        <v>55</v>
      </c>
      <c r="FJ6123" s="44" t="s">
        <v>55</v>
      </c>
    </row>
    <row r="6124" spans="153:166" x14ac:dyDescent="0.35">
      <c r="EW6124" t="s">
        <v>5212</v>
      </c>
      <c r="EX6124" s="44" t="s">
        <v>5280</v>
      </c>
      <c r="FF6124" s="44" t="s">
        <v>55</v>
      </c>
      <c r="FJ6124" s="44" t="s">
        <v>55</v>
      </c>
    </row>
    <row r="6125" spans="153:166" x14ac:dyDescent="0.35">
      <c r="EW6125" t="s">
        <v>5212</v>
      </c>
      <c r="EX6125" s="44" t="s">
        <v>5281</v>
      </c>
      <c r="FF6125" s="44" t="s">
        <v>55</v>
      </c>
      <c r="FJ6125" s="44" t="s">
        <v>55</v>
      </c>
    </row>
    <row r="6126" spans="153:166" x14ac:dyDescent="0.35">
      <c r="EW6126" t="s">
        <v>5212</v>
      </c>
      <c r="EX6126" s="44" t="s">
        <v>5282</v>
      </c>
      <c r="FF6126" s="44" t="s">
        <v>55</v>
      </c>
      <c r="FJ6126" s="44" t="s">
        <v>55</v>
      </c>
    </row>
    <row r="6127" spans="153:166" x14ac:dyDescent="0.35">
      <c r="EW6127" t="s">
        <v>5212</v>
      </c>
      <c r="EX6127" s="44" t="s">
        <v>5283</v>
      </c>
      <c r="FF6127" s="44" t="s">
        <v>55</v>
      </c>
      <c r="FJ6127" s="44" t="s">
        <v>55</v>
      </c>
    </row>
    <row r="6128" spans="153:166" x14ac:dyDescent="0.35">
      <c r="EW6128" t="s">
        <v>5212</v>
      </c>
      <c r="EX6128" s="44" t="s">
        <v>5284</v>
      </c>
      <c r="FF6128" s="44" t="s">
        <v>55</v>
      </c>
      <c r="FJ6128" s="44" t="s">
        <v>55</v>
      </c>
    </row>
    <row r="6129" spans="153:166" x14ac:dyDescent="0.35">
      <c r="EW6129" t="s">
        <v>5212</v>
      </c>
      <c r="EX6129" s="44" t="s">
        <v>5285</v>
      </c>
      <c r="FF6129" s="44" t="s">
        <v>55</v>
      </c>
      <c r="FJ6129" s="44" t="s">
        <v>55</v>
      </c>
    </row>
    <row r="6130" spans="153:166" x14ac:dyDescent="0.35">
      <c r="EW6130" t="s">
        <v>5212</v>
      </c>
      <c r="EX6130" s="44" t="s">
        <v>5286</v>
      </c>
      <c r="FF6130" s="44" t="s">
        <v>55</v>
      </c>
      <c r="FJ6130" s="44" t="s">
        <v>55</v>
      </c>
    </row>
    <row r="6131" spans="153:166" x14ac:dyDescent="0.35">
      <c r="EW6131" t="s">
        <v>5212</v>
      </c>
      <c r="EX6131" s="44" t="s">
        <v>5287</v>
      </c>
      <c r="FF6131" s="44" t="s">
        <v>55</v>
      </c>
      <c r="FJ6131" s="44" t="s">
        <v>55</v>
      </c>
    </row>
    <row r="6132" spans="153:166" x14ac:dyDescent="0.35">
      <c r="EW6132" t="s">
        <v>5212</v>
      </c>
      <c r="EX6132" s="44" t="s">
        <v>5288</v>
      </c>
      <c r="FF6132" s="44" t="s">
        <v>55</v>
      </c>
      <c r="FJ6132" s="44" t="s">
        <v>55</v>
      </c>
    </row>
    <row r="6133" spans="153:166" x14ac:dyDescent="0.35">
      <c r="EW6133" t="s">
        <v>5212</v>
      </c>
      <c r="EX6133" s="44" t="s">
        <v>5289</v>
      </c>
      <c r="FF6133" s="44" t="s">
        <v>55</v>
      </c>
      <c r="FJ6133" s="44" t="s">
        <v>55</v>
      </c>
    </row>
    <row r="6134" spans="153:166" x14ac:dyDescent="0.35">
      <c r="EW6134" t="s">
        <v>5212</v>
      </c>
      <c r="EX6134" s="44" t="s">
        <v>5290</v>
      </c>
      <c r="FF6134" s="44" t="s">
        <v>55</v>
      </c>
      <c r="FJ6134" s="44" t="s">
        <v>55</v>
      </c>
    </row>
    <row r="6135" spans="153:166" x14ac:dyDescent="0.35">
      <c r="EW6135" t="s">
        <v>5212</v>
      </c>
      <c r="EX6135" s="44" t="s">
        <v>5291</v>
      </c>
      <c r="FF6135" s="44" t="s">
        <v>55</v>
      </c>
      <c r="FJ6135" s="44" t="s">
        <v>55</v>
      </c>
    </row>
    <row r="6136" spans="153:166" x14ac:dyDescent="0.35">
      <c r="EW6136" t="s">
        <v>5212</v>
      </c>
      <c r="EX6136" s="44" t="s">
        <v>5292</v>
      </c>
      <c r="FF6136" s="44" t="s">
        <v>55</v>
      </c>
      <c r="FJ6136" s="44" t="s">
        <v>55</v>
      </c>
    </row>
    <row r="6137" spans="153:166" x14ac:dyDescent="0.35">
      <c r="EW6137" t="s">
        <v>5212</v>
      </c>
      <c r="EX6137" s="44" t="s">
        <v>5293</v>
      </c>
      <c r="FF6137" s="44" t="s">
        <v>55</v>
      </c>
      <c r="FJ6137" s="44" t="s">
        <v>55</v>
      </c>
    </row>
    <row r="6138" spans="153:166" x14ac:dyDescent="0.35">
      <c r="EW6138" t="s">
        <v>5212</v>
      </c>
      <c r="EX6138" s="44" t="s">
        <v>5294</v>
      </c>
      <c r="FF6138" s="44" t="s">
        <v>55</v>
      </c>
      <c r="FJ6138" s="44" t="s">
        <v>55</v>
      </c>
    </row>
    <row r="6139" spans="153:166" x14ac:dyDescent="0.35">
      <c r="EW6139" t="s">
        <v>5212</v>
      </c>
      <c r="EX6139" s="44" t="s">
        <v>5295</v>
      </c>
      <c r="FF6139" s="44" t="s">
        <v>55</v>
      </c>
      <c r="FJ6139" s="44" t="s">
        <v>55</v>
      </c>
    </row>
    <row r="6140" spans="153:166" x14ac:dyDescent="0.35">
      <c r="EW6140" t="s">
        <v>5212</v>
      </c>
      <c r="EX6140" s="44" t="s">
        <v>5296</v>
      </c>
      <c r="FF6140" s="44" t="s">
        <v>55</v>
      </c>
      <c r="FJ6140" s="44" t="s">
        <v>55</v>
      </c>
    </row>
    <row r="6141" spans="153:166" x14ac:dyDescent="0.35">
      <c r="EW6141" t="s">
        <v>5212</v>
      </c>
      <c r="EX6141" s="44" t="s">
        <v>5297</v>
      </c>
      <c r="FF6141" s="44" t="s">
        <v>55</v>
      </c>
      <c r="FJ6141" s="44" t="s">
        <v>55</v>
      </c>
    </row>
    <row r="6142" spans="153:166" x14ac:dyDescent="0.35">
      <c r="EW6142" t="s">
        <v>5212</v>
      </c>
      <c r="EX6142" s="44" t="s">
        <v>5298</v>
      </c>
      <c r="FF6142" s="44" t="s">
        <v>55</v>
      </c>
      <c r="FJ6142" s="44" t="s">
        <v>55</v>
      </c>
    </row>
    <row r="6143" spans="153:166" x14ac:dyDescent="0.35">
      <c r="EW6143" t="s">
        <v>5212</v>
      </c>
      <c r="EX6143" s="44" t="s">
        <v>5299</v>
      </c>
      <c r="FF6143" s="44" t="s">
        <v>55</v>
      </c>
      <c r="FJ6143" s="44" t="s">
        <v>55</v>
      </c>
    </row>
    <row r="6144" spans="153:166" x14ac:dyDescent="0.35">
      <c r="EW6144" t="s">
        <v>5212</v>
      </c>
      <c r="EX6144" s="44" t="s">
        <v>5300</v>
      </c>
      <c r="FF6144" s="44" t="s">
        <v>55</v>
      </c>
      <c r="FJ6144" s="44" t="s">
        <v>55</v>
      </c>
    </row>
    <row r="6145" spans="153:166" x14ac:dyDescent="0.35">
      <c r="EW6145" t="s">
        <v>5212</v>
      </c>
      <c r="EX6145" s="44" t="s">
        <v>5301</v>
      </c>
      <c r="FF6145" s="44" t="s">
        <v>55</v>
      </c>
      <c r="FJ6145" s="44" t="s">
        <v>55</v>
      </c>
    </row>
    <row r="6146" spans="153:166" x14ac:dyDescent="0.35">
      <c r="EW6146" t="s">
        <v>5212</v>
      </c>
      <c r="EX6146" s="44" t="s">
        <v>5302</v>
      </c>
      <c r="FF6146" s="44" t="s">
        <v>55</v>
      </c>
      <c r="FJ6146" s="44" t="s">
        <v>55</v>
      </c>
    </row>
    <row r="6147" spans="153:166" x14ac:dyDescent="0.35">
      <c r="EW6147" t="s">
        <v>5212</v>
      </c>
      <c r="EX6147" s="44" t="s">
        <v>5303</v>
      </c>
      <c r="FF6147" s="44" t="s">
        <v>55</v>
      </c>
      <c r="FJ6147" s="44" t="s">
        <v>55</v>
      </c>
    </row>
    <row r="6148" spans="153:166" x14ac:dyDescent="0.35">
      <c r="EW6148" t="s">
        <v>5212</v>
      </c>
      <c r="EX6148" s="44" t="s">
        <v>5304</v>
      </c>
      <c r="FF6148" s="44" t="s">
        <v>55</v>
      </c>
      <c r="FJ6148" s="44" t="s">
        <v>55</v>
      </c>
    </row>
    <row r="6149" spans="153:166" x14ac:dyDescent="0.35">
      <c r="EW6149" t="s">
        <v>5212</v>
      </c>
      <c r="EX6149" s="44" t="s">
        <v>5305</v>
      </c>
      <c r="FF6149" s="44" t="s">
        <v>55</v>
      </c>
      <c r="FJ6149" s="44" t="s">
        <v>55</v>
      </c>
    </row>
    <row r="6150" spans="153:166" x14ac:dyDescent="0.35">
      <c r="EW6150" t="s">
        <v>5212</v>
      </c>
      <c r="EX6150" s="44" t="s">
        <v>5306</v>
      </c>
      <c r="FF6150" s="44" t="s">
        <v>55</v>
      </c>
      <c r="FJ6150" s="44" t="s">
        <v>55</v>
      </c>
    </row>
    <row r="6151" spans="153:166" x14ac:dyDescent="0.35">
      <c r="EW6151" t="s">
        <v>5212</v>
      </c>
      <c r="EX6151" s="44" t="s">
        <v>5307</v>
      </c>
      <c r="FF6151" s="44" t="s">
        <v>55</v>
      </c>
      <c r="FJ6151" s="44" t="s">
        <v>55</v>
      </c>
    </row>
    <row r="6152" spans="153:166" x14ac:dyDescent="0.35">
      <c r="EW6152" t="s">
        <v>5212</v>
      </c>
      <c r="EX6152" s="44" t="s">
        <v>5308</v>
      </c>
      <c r="FF6152" s="44" t="s">
        <v>55</v>
      </c>
      <c r="FJ6152" s="44" t="s">
        <v>55</v>
      </c>
    </row>
    <row r="6153" spans="153:166" x14ac:dyDescent="0.35">
      <c r="EW6153" t="s">
        <v>5212</v>
      </c>
      <c r="EX6153" s="44" t="s">
        <v>5308</v>
      </c>
      <c r="FF6153" s="44" t="s">
        <v>55</v>
      </c>
      <c r="FJ6153" s="44" t="s">
        <v>55</v>
      </c>
    </row>
    <row r="6154" spans="153:166" x14ac:dyDescent="0.35">
      <c r="EW6154" t="s">
        <v>5212</v>
      </c>
      <c r="EX6154" s="44" t="s">
        <v>5309</v>
      </c>
      <c r="FF6154" s="44" t="s">
        <v>55</v>
      </c>
      <c r="FJ6154" s="44" t="s">
        <v>55</v>
      </c>
    </row>
    <row r="6155" spans="153:166" x14ac:dyDescent="0.35">
      <c r="EW6155" t="s">
        <v>5212</v>
      </c>
      <c r="EX6155" s="44" t="s">
        <v>5310</v>
      </c>
      <c r="FF6155" s="44" t="s">
        <v>55</v>
      </c>
      <c r="FJ6155" s="44" t="s">
        <v>55</v>
      </c>
    </row>
    <row r="6156" spans="153:166" x14ac:dyDescent="0.35">
      <c r="EW6156" t="s">
        <v>5212</v>
      </c>
      <c r="EX6156" s="44" t="s">
        <v>5311</v>
      </c>
      <c r="FF6156" s="44" t="s">
        <v>55</v>
      </c>
      <c r="FJ6156" s="44" t="s">
        <v>55</v>
      </c>
    </row>
    <row r="6157" spans="153:166" x14ac:dyDescent="0.35">
      <c r="EW6157" t="s">
        <v>5212</v>
      </c>
      <c r="EX6157" s="44" t="s">
        <v>5312</v>
      </c>
      <c r="FF6157" s="44" t="s">
        <v>55</v>
      </c>
      <c r="FJ6157" s="44" t="s">
        <v>55</v>
      </c>
    </row>
    <row r="6158" spans="153:166" x14ac:dyDescent="0.35">
      <c r="EW6158" t="s">
        <v>5212</v>
      </c>
      <c r="EX6158" s="44" t="s">
        <v>5313</v>
      </c>
      <c r="FF6158" s="44" t="s">
        <v>55</v>
      </c>
      <c r="FJ6158" s="44" t="s">
        <v>55</v>
      </c>
    </row>
    <row r="6159" spans="153:166" x14ac:dyDescent="0.35">
      <c r="EW6159" t="s">
        <v>5212</v>
      </c>
      <c r="EX6159" s="44" t="s">
        <v>5314</v>
      </c>
      <c r="FF6159" s="44" t="s">
        <v>55</v>
      </c>
      <c r="FJ6159" s="44" t="s">
        <v>55</v>
      </c>
    </row>
    <row r="6160" spans="153:166" x14ac:dyDescent="0.35">
      <c r="EW6160" t="s">
        <v>5212</v>
      </c>
      <c r="EX6160" s="44" t="s">
        <v>5315</v>
      </c>
      <c r="FF6160" s="44" t="s">
        <v>55</v>
      </c>
      <c r="FJ6160" s="44" t="s">
        <v>55</v>
      </c>
    </row>
    <row r="6161" spans="153:166" x14ac:dyDescent="0.35">
      <c r="EW6161" t="s">
        <v>5212</v>
      </c>
      <c r="EX6161" s="44" t="s">
        <v>5316</v>
      </c>
      <c r="FF6161" s="44" t="s">
        <v>55</v>
      </c>
      <c r="FJ6161" s="44" t="s">
        <v>55</v>
      </c>
    </row>
    <row r="6162" spans="153:166" x14ac:dyDescent="0.35">
      <c r="EW6162" t="s">
        <v>5212</v>
      </c>
      <c r="EX6162" s="44" t="s">
        <v>5317</v>
      </c>
      <c r="FF6162" s="44" t="s">
        <v>55</v>
      </c>
      <c r="FJ6162" s="44" t="s">
        <v>55</v>
      </c>
    </row>
    <row r="6163" spans="153:166" x14ac:dyDescent="0.35">
      <c r="EW6163" t="s">
        <v>5212</v>
      </c>
      <c r="EX6163" s="44" t="s">
        <v>5318</v>
      </c>
      <c r="FF6163" s="44" t="s">
        <v>59</v>
      </c>
      <c r="FJ6163" s="44" t="s">
        <v>59</v>
      </c>
    </row>
    <row r="6164" spans="153:166" x14ac:dyDescent="0.35">
      <c r="EW6164" t="s">
        <v>5212</v>
      </c>
      <c r="EX6164" s="44" t="s">
        <v>5319</v>
      </c>
      <c r="FF6164" s="44" t="s">
        <v>59</v>
      </c>
      <c r="FJ6164" s="44" t="s">
        <v>59</v>
      </c>
    </row>
    <row r="6165" spans="153:166" x14ac:dyDescent="0.35">
      <c r="EW6165" t="s">
        <v>5212</v>
      </c>
      <c r="EX6165" s="44" t="s">
        <v>5320</v>
      </c>
      <c r="FF6165" s="44" t="s">
        <v>59</v>
      </c>
      <c r="FJ6165" s="44" t="s">
        <v>59</v>
      </c>
    </row>
    <row r="6166" spans="153:166" x14ac:dyDescent="0.35">
      <c r="EW6166" t="s">
        <v>5212</v>
      </c>
      <c r="EX6166" s="44" t="s">
        <v>5321</v>
      </c>
      <c r="FF6166" s="44" t="s">
        <v>59</v>
      </c>
      <c r="FJ6166" s="44" t="s">
        <v>59</v>
      </c>
    </row>
    <row r="6167" spans="153:166" x14ac:dyDescent="0.35">
      <c r="EW6167" t="s">
        <v>5212</v>
      </c>
      <c r="EX6167" s="44" t="s">
        <v>5322</v>
      </c>
      <c r="FF6167" s="44" t="s">
        <v>59</v>
      </c>
      <c r="FJ6167" s="44" t="s">
        <v>59</v>
      </c>
    </row>
    <row r="6168" spans="153:166" x14ac:dyDescent="0.35">
      <c r="EW6168" t="s">
        <v>5212</v>
      </c>
      <c r="EX6168" s="44" t="s">
        <v>5323</v>
      </c>
      <c r="FF6168" s="44" t="s">
        <v>59</v>
      </c>
      <c r="FJ6168" s="44" t="s">
        <v>59</v>
      </c>
    </row>
    <row r="6169" spans="153:166" x14ac:dyDescent="0.35">
      <c r="EW6169" t="s">
        <v>5212</v>
      </c>
      <c r="EX6169" s="44" t="s">
        <v>5324</v>
      </c>
      <c r="FF6169" s="44" t="s">
        <v>59</v>
      </c>
      <c r="FJ6169" s="44" t="s">
        <v>59</v>
      </c>
    </row>
    <row r="6170" spans="153:166" x14ac:dyDescent="0.35">
      <c r="EW6170" t="s">
        <v>5212</v>
      </c>
      <c r="EX6170" s="44" t="s">
        <v>5325</v>
      </c>
      <c r="FF6170" s="44" t="s">
        <v>59</v>
      </c>
      <c r="FJ6170" s="44" t="s">
        <v>59</v>
      </c>
    </row>
    <row r="6171" spans="153:166" x14ac:dyDescent="0.35">
      <c r="EW6171" t="s">
        <v>5212</v>
      </c>
      <c r="EX6171" s="44" t="s">
        <v>5326</v>
      </c>
      <c r="FF6171" s="44" t="s">
        <v>59</v>
      </c>
      <c r="FJ6171" s="44" t="s">
        <v>59</v>
      </c>
    </row>
    <row r="6172" spans="153:166" x14ac:dyDescent="0.35">
      <c r="EW6172" t="s">
        <v>5212</v>
      </c>
      <c r="EX6172" s="44" t="s">
        <v>5327</v>
      </c>
      <c r="FF6172" s="44" t="s">
        <v>59</v>
      </c>
      <c r="FJ6172" s="44" t="s">
        <v>59</v>
      </c>
    </row>
    <row r="6173" spans="153:166" x14ac:dyDescent="0.35">
      <c r="EW6173" t="s">
        <v>5212</v>
      </c>
      <c r="EX6173" s="44" t="s">
        <v>5328</v>
      </c>
      <c r="FF6173" s="44" t="s">
        <v>59</v>
      </c>
      <c r="FJ6173" s="44" t="s">
        <v>59</v>
      </c>
    </row>
    <row r="6174" spans="153:166" x14ac:dyDescent="0.35">
      <c r="EW6174" t="s">
        <v>5212</v>
      </c>
      <c r="EX6174" s="44" t="s">
        <v>5329</v>
      </c>
      <c r="FF6174" s="44" t="s">
        <v>59</v>
      </c>
      <c r="FJ6174" s="44" t="s">
        <v>59</v>
      </c>
    </row>
    <row r="6175" spans="153:166" x14ac:dyDescent="0.35">
      <c r="EW6175" t="s">
        <v>5212</v>
      </c>
      <c r="EX6175" s="44" t="s">
        <v>5330</v>
      </c>
      <c r="FF6175" s="44" t="s">
        <v>59</v>
      </c>
      <c r="FJ6175" s="44" t="s">
        <v>59</v>
      </c>
    </row>
    <row r="6176" spans="153:166" x14ac:dyDescent="0.35">
      <c r="EW6176" t="s">
        <v>5212</v>
      </c>
      <c r="EX6176" s="44" t="s">
        <v>5331</v>
      </c>
      <c r="FF6176" s="44" t="s">
        <v>59</v>
      </c>
      <c r="FJ6176" s="44" t="s">
        <v>59</v>
      </c>
    </row>
    <row r="6177" spans="153:166" x14ac:dyDescent="0.35">
      <c r="EW6177" t="s">
        <v>5212</v>
      </c>
      <c r="EX6177" s="44" t="s">
        <v>5332</v>
      </c>
      <c r="FF6177" s="44" t="s">
        <v>59</v>
      </c>
      <c r="FJ6177" s="44" t="s">
        <v>59</v>
      </c>
    </row>
    <row r="6178" spans="153:166" x14ac:dyDescent="0.35">
      <c r="EW6178" t="s">
        <v>5212</v>
      </c>
      <c r="EX6178" s="44" t="s">
        <v>5333</v>
      </c>
      <c r="FF6178" s="44" t="s">
        <v>59</v>
      </c>
      <c r="FJ6178" s="44" t="s">
        <v>59</v>
      </c>
    </row>
    <row r="6179" spans="153:166" x14ac:dyDescent="0.35">
      <c r="EW6179" t="s">
        <v>5212</v>
      </c>
      <c r="EX6179" s="44" t="s">
        <v>5334</v>
      </c>
      <c r="FF6179" s="44" t="s">
        <v>59</v>
      </c>
      <c r="FJ6179" s="44" t="s">
        <v>59</v>
      </c>
    </row>
    <row r="6180" spans="153:166" x14ac:dyDescent="0.35">
      <c r="EW6180" t="s">
        <v>5212</v>
      </c>
      <c r="EX6180" s="44" t="s">
        <v>5335</v>
      </c>
      <c r="FF6180" s="44" t="s">
        <v>59</v>
      </c>
      <c r="FJ6180" s="44" t="s">
        <v>59</v>
      </c>
    </row>
    <row r="6181" spans="153:166" x14ac:dyDescent="0.35">
      <c r="EW6181" t="s">
        <v>5212</v>
      </c>
      <c r="EX6181" s="44" t="s">
        <v>5336</v>
      </c>
      <c r="FF6181" s="44" t="s">
        <v>59</v>
      </c>
      <c r="FJ6181" s="44" t="s">
        <v>59</v>
      </c>
    </row>
    <row r="6182" spans="153:166" x14ac:dyDescent="0.35">
      <c r="EW6182" t="s">
        <v>5212</v>
      </c>
      <c r="EX6182" s="44" t="s">
        <v>5337</v>
      </c>
      <c r="FF6182" s="44" t="s">
        <v>59</v>
      </c>
      <c r="FJ6182" s="44" t="s">
        <v>59</v>
      </c>
    </row>
    <row r="6183" spans="153:166" x14ac:dyDescent="0.35">
      <c r="EW6183" t="s">
        <v>5212</v>
      </c>
      <c r="EX6183" s="44" t="s">
        <v>5338</v>
      </c>
      <c r="FF6183" s="44" t="s">
        <v>59</v>
      </c>
      <c r="FJ6183" s="44" t="s">
        <v>59</v>
      </c>
    </row>
    <row r="6184" spans="153:166" x14ac:dyDescent="0.35">
      <c r="EW6184" t="s">
        <v>5212</v>
      </c>
      <c r="EX6184" s="44" t="s">
        <v>5339</v>
      </c>
      <c r="FF6184" s="44" t="s">
        <v>59</v>
      </c>
      <c r="FJ6184" s="44" t="s">
        <v>59</v>
      </c>
    </row>
    <row r="6185" spans="153:166" x14ac:dyDescent="0.35">
      <c r="EW6185" t="s">
        <v>5212</v>
      </c>
      <c r="EX6185" s="44" t="s">
        <v>5340</v>
      </c>
      <c r="FF6185" s="44" t="s">
        <v>59</v>
      </c>
      <c r="FJ6185" s="44" t="s">
        <v>59</v>
      </c>
    </row>
    <row r="6186" spans="153:166" x14ac:dyDescent="0.35">
      <c r="EW6186" t="s">
        <v>5212</v>
      </c>
      <c r="EX6186" s="44" t="s">
        <v>5341</v>
      </c>
      <c r="FF6186" s="44" t="s">
        <v>59</v>
      </c>
      <c r="FJ6186" s="44" t="s">
        <v>59</v>
      </c>
    </row>
    <row r="6187" spans="153:166" x14ac:dyDescent="0.35">
      <c r="EW6187" t="s">
        <v>5212</v>
      </c>
      <c r="EX6187" s="44" t="s">
        <v>5342</v>
      </c>
      <c r="FF6187" s="44" t="s">
        <v>59</v>
      </c>
      <c r="FJ6187" s="44" t="s">
        <v>59</v>
      </c>
    </row>
    <row r="6188" spans="153:166" x14ac:dyDescent="0.35">
      <c r="EW6188" t="s">
        <v>5212</v>
      </c>
      <c r="EX6188" s="44" t="s">
        <v>5343</v>
      </c>
      <c r="FF6188" s="44" t="s">
        <v>59</v>
      </c>
      <c r="FJ6188" s="44" t="s">
        <v>59</v>
      </c>
    </row>
    <row r="6189" spans="153:166" x14ac:dyDescent="0.35">
      <c r="EW6189" t="s">
        <v>5212</v>
      </c>
      <c r="EX6189" s="44" t="s">
        <v>5344</v>
      </c>
      <c r="FF6189" s="44" t="s">
        <v>59</v>
      </c>
      <c r="FJ6189" s="44" t="s">
        <v>59</v>
      </c>
    </row>
    <row r="6190" spans="153:166" x14ac:dyDescent="0.35">
      <c r="EW6190" t="s">
        <v>5212</v>
      </c>
      <c r="EX6190" s="44" t="s">
        <v>5345</v>
      </c>
      <c r="FF6190" s="44" t="s">
        <v>59</v>
      </c>
      <c r="FJ6190" s="44" t="s">
        <v>59</v>
      </c>
    </row>
    <row r="6191" spans="153:166" x14ac:dyDescent="0.35">
      <c r="EW6191" t="s">
        <v>5212</v>
      </c>
      <c r="EX6191" s="44" t="s">
        <v>5346</v>
      </c>
      <c r="FF6191" s="44" t="s">
        <v>59</v>
      </c>
      <c r="FJ6191" s="44" t="s">
        <v>59</v>
      </c>
    </row>
    <row r="6192" spans="153:166" x14ac:dyDescent="0.35">
      <c r="EW6192" t="s">
        <v>5212</v>
      </c>
      <c r="EX6192" s="44" t="s">
        <v>5347</v>
      </c>
      <c r="FF6192" s="44" t="s">
        <v>59</v>
      </c>
      <c r="FJ6192" s="44" t="s">
        <v>59</v>
      </c>
    </row>
    <row r="6193" spans="153:166" x14ac:dyDescent="0.35">
      <c r="EW6193" t="s">
        <v>5212</v>
      </c>
      <c r="EX6193" s="44" t="s">
        <v>5348</v>
      </c>
      <c r="FF6193" s="44" t="s">
        <v>59</v>
      </c>
      <c r="FJ6193" s="44" t="s">
        <v>59</v>
      </c>
    </row>
    <row r="6194" spans="153:166" x14ac:dyDescent="0.35">
      <c r="EW6194" t="s">
        <v>5212</v>
      </c>
      <c r="EX6194" s="44" t="s">
        <v>5349</v>
      </c>
      <c r="FF6194" s="44" t="s">
        <v>59</v>
      </c>
      <c r="FJ6194" s="44" t="s">
        <v>59</v>
      </c>
    </row>
    <row r="6195" spans="153:166" x14ac:dyDescent="0.35">
      <c r="EW6195" t="s">
        <v>5212</v>
      </c>
      <c r="EX6195" s="44" t="s">
        <v>5350</v>
      </c>
      <c r="FF6195" s="44" t="s">
        <v>59</v>
      </c>
      <c r="FJ6195" s="44" t="s">
        <v>59</v>
      </c>
    </row>
    <row r="6196" spans="153:166" x14ac:dyDescent="0.35">
      <c r="EW6196" t="s">
        <v>5212</v>
      </c>
      <c r="EX6196" s="44" t="s">
        <v>5351</v>
      </c>
      <c r="FF6196" s="44" t="s">
        <v>59</v>
      </c>
      <c r="FJ6196" s="44" t="s">
        <v>59</v>
      </c>
    </row>
    <row r="6197" spans="153:166" x14ac:dyDescent="0.35">
      <c r="EW6197" t="s">
        <v>5212</v>
      </c>
      <c r="EX6197" s="44" t="s">
        <v>5352</v>
      </c>
      <c r="FF6197" s="44" t="s">
        <v>59</v>
      </c>
      <c r="FJ6197" s="44" t="s">
        <v>59</v>
      </c>
    </row>
    <row r="6198" spans="153:166" x14ac:dyDescent="0.35">
      <c r="EW6198" t="s">
        <v>5212</v>
      </c>
      <c r="EX6198" s="44" t="s">
        <v>5353</v>
      </c>
      <c r="FF6198" s="44" t="s">
        <v>59</v>
      </c>
      <c r="FJ6198" s="44" t="s">
        <v>59</v>
      </c>
    </row>
    <row r="6199" spans="153:166" x14ac:dyDescent="0.35">
      <c r="EW6199" t="s">
        <v>5212</v>
      </c>
      <c r="EX6199" s="44" t="s">
        <v>5354</v>
      </c>
      <c r="FF6199" s="44" t="s">
        <v>59</v>
      </c>
      <c r="FJ6199" s="44" t="s">
        <v>59</v>
      </c>
    </row>
    <row r="6200" spans="153:166" x14ac:dyDescent="0.35">
      <c r="EW6200" t="s">
        <v>5212</v>
      </c>
      <c r="EX6200" s="44" t="s">
        <v>5355</v>
      </c>
      <c r="FF6200" s="44" t="s">
        <v>59</v>
      </c>
      <c r="FJ6200" s="44" t="s">
        <v>59</v>
      </c>
    </row>
    <row r="6201" spans="153:166" x14ac:dyDescent="0.35">
      <c r="EW6201" t="s">
        <v>5212</v>
      </c>
      <c r="EX6201" s="44" t="s">
        <v>5356</v>
      </c>
      <c r="FF6201" s="44" t="s">
        <v>59</v>
      </c>
      <c r="FJ6201" s="44" t="s">
        <v>59</v>
      </c>
    </row>
    <row r="6202" spans="153:166" x14ac:dyDescent="0.35">
      <c r="EW6202" t="s">
        <v>5212</v>
      </c>
      <c r="EX6202" s="44" t="s">
        <v>5357</v>
      </c>
      <c r="FF6202" s="44" t="s">
        <v>59</v>
      </c>
      <c r="FJ6202" s="44" t="s">
        <v>59</v>
      </c>
    </row>
    <row r="6203" spans="153:166" x14ac:dyDescent="0.35">
      <c r="EW6203" t="s">
        <v>5212</v>
      </c>
      <c r="EX6203" s="44" t="s">
        <v>5358</v>
      </c>
      <c r="FF6203" s="44" t="s">
        <v>59</v>
      </c>
      <c r="FJ6203" s="44" t="s">
        <v>59</v>
      </c>
    </row>
    <row r="6204" spans="153:166" x14ac:dyDescent="0.35">
      <c r="EW6204" t="s">
        <v>5212</v>
      </c>
      <c r="EX6204" s="44" t="s">
        <v>5359</v>
      </c>
      <c r="FF6204" s="44" t="s">
        <v>59</v>
      </c>
      <c r="FJ6204" s="44" t="s">
        <v>59</v>
      </c>
    </row>
    <row r="6205" spans="153:166" x14ac:dyDescent="0.35">
      <c r="EW6205" t="s">
        <v>5212</v>
      </c>
      <c r="EX6205" s="44" t="s">
        <v>5360</v>
      </c>
      <c r="FF6205" s="44" t="s">
        <v>59</v>
      </c>
      <c r="FJ6205" s="44" t="s">
        <v>59</v>
      </c>
    </row>
    <row r="6206" spans="153:166" x14ac:dyDescent="0.35">
      <c r="EW6206" t="s">
        <v>5212</v>
      </c>
      <c r="EX6206" s="44" t="s">
        <v>5361</v>
      </c>
      <c r="FF6206" s="44" t="s">
        <v>59</v>
      </c>
      <c r="FJ6206" s="44" t="s">
        <v>59</v>
      </c>
    </row>
    <row r="6207" spans="153:166" x14ac:dyDescent="0.35">
      <c r="EW6207" t="s">
        <v>5212</v>
      </c>
      <c r="EX6207" s="44" t="s">
        <v>5362</v>
      </c>
      <c r="FF6207" s="44" t="s">
        <v>59</v>
      </c>
      <c r="FJ6207" s="44" t="s">
        <v>59</v>
      </c>
    </row>
    <row r="6208" spans="153:166" x14ac:dyDescent="0.35">
      <c r="EW6208" t="s">
        <v>5212</v>
      </c>
      <c r="EX6208" s="44" t="s">
        <v>5363</v>
      </c>
      <c r="FF6208" s="44" t="s">
        <v>59</v>
      </c>
      <c r="FJ6208" s="44" t="s">
        <v>59</v>
      </c>
    </row>
    <row r="6209" spans="153:166" x14ac:dyDescent="0.35">
      <c r="EW6209" t="s">
        <v>5212</v>
      </c>
      <c r="EX6209" s="44" t="s">
        <v>5364</v>
      </c>
      <c r="FF6209" s="44" t="s">
        <v>59</v>
      </c>
      <c r="FJ6209" s="44" t="s">
        <v>59</v>
      </c>
    </row>
    <row r="6210" spans="153:166" x14ac:dyDescent="0.35">
      <c r="EW6210" t="s">
        <v>5212</v>
      </c>
      <c r="EX6210" s="44" t="s">
        <v>5365</v>
      </c>
      <c r="FF6210" s="44" t="s">
        <v>474</v>
      </c>
      <c r="FJ6210" s="44" t="s">
        <v>474</v>
      </c>
    </row>
    <row r="6211" spans="153:166" x14ac:dyDescent="0.35">
      <c r="EW6211" t="s">
        <v>5212</v>
      </c>
      <c r="EX6211" s="44" t="s">
        <v>5366</v>
      </c>
      <c r="FF6211" s="44" t="s">
        <v>474</v>
      </c>
      <c r="FJ6211" s="44" t="s">
        <v>474</v>
      </c>
    </row>
    <row r="6212" spans="153:166" x14ac:dyDescent="0.35">
      <c r="EW6212" t="s">
        <v>5212</v>
      </c>
      <c r="EX6212" s="44" t="s">
        <v>5367</v>
      </c>
      <c r="FF6212" s="44" t="s">
        <v>474</v>
      </c>
      <c r="FJ6212" s="44" t="s">
        <v>474</v>
      </c>
    </row>
    <row r="6213" spans="153:166" x14ac:dyDescent="0.35">
      <c r="EW6213" t="s">
        <v>5212</v>
      </c>
      <c r="EX6213" s="44" t="s">
        <v>5368</v>
      </c>
      <c r="FF6213" s="44" t="s">
        <v>474</v>
      </c>
      <c r="FJ6213" s="44" t="s">
        <v>474</v>
      </c>
    </row>
    <row r="6214" spans="153:166" x14ac:dyDescent="0.35">
      <c r="EW6214" t="s">
        <v>5212</v>
      </c>
      <c r="EX6214" s="44" t="s">
        <v>5369</v>
      </c>
      <c r="FF6214" s="44" t="s">
        <v>474</v>
      </c>
      <c r="FJ6214" s="44" t="s">
        <v>474</v>
      </c>
    </row>
    <row r="6215" spans="153:166" x14ac:dyDescent="0.35">
      <c r="EW6215" t="s">
        <v>5212</v>
      </c>
      <c r="EX6215" s="44" t="s">
        <v>5370</v>
      </c>
      <c r="FF6215" s="44" t="s">
        <v>474</v>
      </c>
      <c r="FJ6215" s="44" t="s">
        <v>474</v>
      </c>
    </row>
    <row r="6216" spans="153:166" x14ac:dyDescent="0.35">
      <c r="EW6216" t="s">
        <v>5212</v>
      </c>
      <c r="EX6216" s="44" t="s">
        <v>5371</v>
      </c>
      <c r="FF6216" s="44" t="s">
        <v>474</v>
      </c>
      <c r="FJ6216" s="44" t="s">
        <v>474</v>
      </c>
    </row>
    <row r="6217" spans="153:166" x14ac:dyDescent="0.35">
      <c r="EW6217" t="s">
        <v>5212</v>
      </c>
      <c r="EX6217" s="44" t="s">
        <v>5372</v>
      </c>
      <c r="FF6217" s="44" t="s">
        <v>474</v>
      </c>
      <c r="FJ6217" s="44" t="s">
        <v>474</v>
      </c>
    </row>
    <row r="6218" spans="153:166" x14ac:dyDescent="0.35">
      <c r="EW6218" t="s">
        <v>5212</v>
      </c>
      <c r="EX6218" s="44" t="s">
        <v>5373</v>
      </c>
      <c r="FF6218" s="44" t="s">
        <v>474</v>
      </c>
      <c r="FJ6218" s="44" t="s">
        <v>474</v>
      </c>
    </row>
    <row r="6219" spans="153:166" x14ac:dyDescent="0.35">
      <c r="EW6219" t="s">
        <v>5212</v>
      </c>
      <c r="EX6219" s="44" t="s">
        <v>5374</v>
      </c>
      <c r="FF6219" s="44" t="s">
        <v>474</v>
      </c>
      <c r="FJ6219" s="44" t="s">
        <v>474</v>
      </c>
    </row>
    <row r="6220" spans="153:166" x14ac:dyDescent="0.35">
      <c r="EW6220" t="s">
        <v>5212</v>
      </c>
      <c r="EX6220" s="44" t="s">
        <v>5375</v>
      </c>
      <c r="FF6220" s="44" t="s">
        <v>474</v>
      </c>
      <c r="FJ6220" s="44" t="s">
        <v>474</v>
      </c>
    </row>
    <row r="6221" spans="153:166" x14ac:dyDescent="0.35">
      <c r="EW6221" t="s">
        <v>5212</v>
      </c>
      <c r="EX6221" s="44" t="s">
        <v>5376</v>
      </c>
      <c r="FF6221" s="44" t="s">
        <v>474</v>
      </c>
      <c r="FJ6221" s="44" t="s">
        <v>474</v>
      </c>
    </row>
    <row r="6222" spans="153:166" x14ac:dyDescent="0.35">
      <c r="EW6222" t="s">
        <v>5212</v>
      </c>
      <c r="EX6222" s="44" t="s">
        <v>5377</v>
      </c>
      <c r="FF6222" s="44" t="s">
        <v>474</v>
      </c>
      <c r="FJ6222" s="44" t="s">
        <v>474</v>
      </c>
    </row>
    <row r="6223" spans="153:166" x14ac:dyDescent="0.35">
      <c r="EW6223" t="s">
        <v>5212</v>
      </c>
      <c r="EX6223" s="44" t="s">
        <v>5378</v>
      </c>
      <c r="FF6223" s="44" t="s">
        <v>474</v>
      </c>
      <c r="FJ6223" s="44" t="s">
        <v>474</v>
      </c>
    </row>
    <row r="6224" spans="153:166" x14ac:dyDescent="0.35">
      <c r="EW6224" t="s">
        <v>5212</v>
      </c>
      <c r="EX6224" s="44" t="s">
        <v>5379</v>
      </c>
      <c r="FF6224" s="44" t="s">
        <v>474</v>
      </c>
      <c r="FJ6224" s="44" t="s">
        <v>474</v>
      </c>
    </row>
    <row r="6225" spans="153:166" x14ac:dyDescent="0.35">
      <c r="EW6225" t="s">
        <v>5212</v>
      </c>
      <c r="EX6225" s="44" t="s">
        <v>5380</v>
      </c>
      <c r="FF6225" s="44" t="s">
        <v>474</v>
      </c>
      <c r="FJ6225" s="44" t="s">
        <v>474</v>
      </c>
    </row>
    <row r="6226" spans="153:166" x14ac:dyDescent="0.35">
      <c r="EW6226" t="s">
        <v>5212</v>
      </c>
      <c r="EX6226" s="44" t="s">
        <v>5381</v>
      </c>
      <c r="FF6226" s="44" t="s">
        <v>474</v>
      </c>
      <c r="FJ6226" s="44" t="s">
        <v>474</v>
      </c>
    </row>
    <row r="6227" spans="153:166" x14ac:dyDescent="0.35">
      <c r="EW6227" t="s">
        <v>5212</v>
      </c>
      <c r="EX6227" s="44" t="s">
        <v>5382</v>
      </c>
      <c r="FF6227" s="44" t="s">
        <v>474</v>
      </c>
      <c r="FJ6227" s="44" t="s">
        <v>474</v>
      </c>
    </row>
    <row r="6228" spans="153:166" x14ac:dyDescent="0.35">
      <c r="EW6228" t="s">
        <v>5212</v>
      </c>
      <c r="EX6228" s="44" t="s">
        <v>5383</v>
      </c>
      <c r="FF6228" s="44" t="s">
        <v>474</v>
      </c>
      <c r="FJ6228" s="44" t="s">
        <v>474</v>
      </c>
    </row>
    <row r="6229" spans="153:166" x14ac:dyDescent="0.35">
      <c r="EW6229" t="s">
        <v>5212</v>
      </c>
      <c r="EX6229" s="44" t="s">
        <v>5384</v>
      </c>
      <c r="FF6229" s="44" t="s">
        <v>474</v>
      </c>
      <c r="FJ6229" s="44" t="s">
        <v>474</v>
      </c>
    </row>
    <row r="6230" spans="153:166" x14ac:dyDescent="0.35">
      <c r="EW6230" t="s">
        <v>5212</v>
      </c>
      <c r="EX6230" s="44" t="s">
        <v>5385</v>
      </c>
      <c r="FF6230" s="44" t="s">
        <v>474</v>
      </c>
      <c r="FJ6230" s="44" t="s">
        <v>474</v>
      </c>
    </row>
    <row r="6231" spans="153:166" x14ac:dyDescent="0.35">
      <c r="EW6231" t="s">
        <v>5212</v>
      </c>
      <c r="EX6231" s="44" t="s">
        <v>5386</v>
      </c>
      <c r="FF6231" s="44" t="s">
        <v>474</v>
      </c>
      <c r="FJ6231" s="44" t="s">
        <v>474</v>
      </c>
    </row>
    <row r="6232" spans="153:166" x14ac:dyDescent="0.35">
      <c r="EW6232" t="s">
        <v>5212</v>
      </c>
      <c r="EX6232" s="44" t="s">
        <v>5387</v>
      </c>
      <c r="FF6232" s="44" t="s">
        <v>474</v>
      </c>
      <c r="FJ6232" s="44" t="s">
        <v>474</v>
      </c>
    </row>
    <row r="6233" spans="153:166" x14ac:dyDescent="0.35">
      <c r="EW6233" t="s">
        <v>5212</v>
      </c>
      <c r="EX6233" s="44" t="s">
        <v>5388</v>
      </c>
      <c r="FF6233" s="44" t="s">
        <v>474</v>
      </c>
      <c r="FJ6233" s="44" t="s">
        <v>474</v>
      </c>
    </row>
    <row r="6234" spans="153:166" x14ac:dyDescent="0.35">
      <c r="EW6234" t="s">
        <v>5212</v>
      </c>
      <c r="EX6234" s="44" t="s">
        <v>5389</v>
      </c>
      <c r="FF6234" s="44" t="s">
        <v>474</v>
      </c>
      <c r="FJ6234" s="44" t="s">
        <v>474</v>
      </c>
    </row>
    <row r="6235" spans="153:166" x14ac:dyDescent="0.35">
      <c r="EW6235" t="s">
        <v>5212</v>
      </c>
      <c r="EX6235" s="44" t="s">
        <v>5390</v>
      </c>
      <c r="FF6235" s="44" t="s">
        <v>474</v>
      </c>
      <c r="FJ6235" s="44" t="s">
        <v>474</v>
      </c>
    </row>
    <row r="6236" spans="153:166" x14ac:dyDescent="0.35">
      <c r="EW6236" t="s">
        <v>5212</v>
      </c>
      <c r="EX6236" s="44" t="s">
        <v>5391</v>
      </c>
      <c r="FF6236" s="44" t="s">
        <v>474</v>
      </c>
      <c r="FJ6236" s="44" t="s">
        <v>474</v>
      </c>
    </row>
    <row r="6237" spans="153:166" x14ac:dyDescent="0.35">
      <c r="EW6237" t="s">
        <v>5212</v>
      </c>
      <c r="EX6237" s="44" t="s">
        <v>5392</v>
      </c>
      <c r="FF6237" s="44" t="s">
        <v>474</v>
      </c>
      <c r="FJ6237" s="44" t="s">
        <v>474</v>
      </c>
    </row>
    <row r="6238" spans="153:166" x14ac:dyDescent="0.35">
      <c r="EW6238" t="s">
        <v>5212</v>
      </c>
      <c r="EX6238" s="44" t="s">
        <v>5393</v>
      </c>
      <c r="FF6238" s="44" t="s">
        <v>474</v>
      </c>
      <c r="FJ6238" s="44" t="s">
        <v>474</v>
      </c>
    </row>
    <row r="6239" spans="153:166" x14ac:dyDescent="0.35">
      <c r="EW6239" t="s">
        <v>5212</v>
      </c>
      <c r="EX6239" s="44" t="s">
        <v>5394</v>
      </c>
      <c r="FF6239" s="44" t="s">
        <v>474</v>
      </c>
      <c r="FJ6239" s="44" t="s">
        <v>474</v>
      </c>
    </row>
    <row r="6240" spans="153:166" x14ac:dyDescent="0.35">
      <c r="EW6240" t="s">
        <v>5212</v>
      </c>
      <c r="EX6240" s="44" t="s">
        <v>5395</v>
      </c>
      <c r="FF6240" s="44" t="s">
        <v>474</v>
      </c>
      <c r="FJ6240" s="44" t="s">
        <v>474</v>
      </c>
    </row>
    <row r="6241" spans="153:166" x14ac:dyDescent="0.35">
      <c r="EW6241" t="s">
        <v>5212</v>
      </c>
      <c r="EX6241" s="44" t="s">
        <v>5396</v>
      </c>
      <c r="FF6241" s="44" t="s">
        <v>474</v>
      </c>
      <c r="FJ6241" s="44" t="s">
        <v>474</v>
      </c>
    </row>
    <row r="6242" spans="153:166" x14ac:dyDescent="0.35">
      <c r="EW6242" t="s">
        <v>5212</v>
      </c>
      <c r="EX6242" s="44" t="s">
        <v>5397</v>
      </c>
      <c r="FF6242" s="44" t="s">
        <v>474</v>
      </c>
      <c r="FJ6242" s="44" t="s">
        <v>474</v>
      </c>
    </row>
    <row r="6243" spans="153:166" x14ac:dyDescent="0.35">
      <c r="EW6243" t="s">
        <v>5212</v>
      </c>
      <c r="EX6243" s="44" t="s">
        <v>5398</v>
      </c>
      <c r="FF6243" s="44" t="s">
        <v>474</v>
      </c>
      <c r="FJ6243" s="44" t="s">
        <v>474</v>
      </c>
    </row>
    <row r="6244" spans="153:166" x14ac:dyDescent="0.35">
      <c r="EW6244" t="s">
        <v>5212</v>
      </c>
      <c r="EX6244" s="44" t="s">
        <v>5399</v>
      </c>
      <c r="FF6244" s="44" t="s">
        <v>474</v>
      </c>
      <c r="FJ6244" s="44" t="s">
        <v>474</v>
      </c>
    </row>
    <row r="6245" spans="153:166" x14ac:dyDescent="0.35">
      <c r="EW6245" t="s">
        <v>5212</v>
      </c>
      <c r="EX6245" s="44" t="s">
        <v>5400</v>
      </c>
      <c r="FF6245" s="44" t="s">
        <v>474</v>
      </c>
      <c r="FJ6245" s="44" t="s">
        <v>474</v>
      </c>
    </row>
    <row r="6246" spans="153:166" x14ac:dyDescent="0.35">
      <c r="EW6246" t="s">
        <v>5212</v>
      </c>
      <c r="EX6246" s="44" t="s">
        <v>5401</v>
      </c>
      <c r="FF6246" s="44" t="s">
        <v>474</v>
      </c>
      <c r="FJ6246" s="44" t="s">
        <v>474</v>
      </c>
    </row>
    <row r="6247" spans="153:166" x14ac:dyDescent="0.35">
      <c r="EW6247" t="s">
        <v>5212</v>
      </c>
      <c r="EX6247" s="44" t="s">
        <v>5402</v>
      </c>
      <c r="FF6247" s="44" t="s">
        <v>474</v>
      </c>
      <c r="FJ6247" s="44" t="s">
        <v>474</v>
      </c>
    </row>
    <row r="6248" spans="153:166" x14ac:dyDescent="0.35">
      <c r="EW6248" t="s">
        <v>5212</v>
      </c>
      <c r="EX6248" s="44" t="s">
        <v>5403</v>
      </c>
      <c r="FF6248" s="44" t="s">
        <v>474</v>
      </c>
      <c r="FJ6248" s="44" t="s">
        <v>474</v>
      </c>
    </row>
    <row r="6249" spans="153:166" x14ac:dyDescent="0.35">
      <c r="EW6249" t="s">
        <v>5212</v>
      </c>
      <c r="EX6249" s="44" t="s">
        <v>5404</v>
      </c>
      <c r="FF6249" s="44" t="s">
        <v>474</v>
      </c>
      <c r="FJ6249" s="44" t="s">
        <v>474</v>
      </c>
    </row>
    <row r="6250" spans="153:166" x14ac:dyDescent="0.35">
      <c r="EW6250" t="s">
        <v>5212</v>
      </c>
      <c r="EX6250" s="44" t="s">
        <v>5405</v>
      </c>
      <c r="FF6250" s="44" t="s">
        <v>474</v>
      </c>
      <c r="FJ6250" s="44" t="s">
        <v>474</v>
      </c>
    </row>
    <row r="6251" spans="153:166" x14ac:dyDescent="0.35">
      <c r="EW6251" t="s">
        <v>5212</v>
      </c>
      <c r="EX6251" s="44" t="s">
        <v>5406</v>
      </c>
      <c r="FF6251" s="44" t="s">
        <v>474</v>
      </c>
      <c r="FJ6251" s="44" t="s">
        <v>474</v>
      </c>
    </row>
    <row r="6252" spans="153:166" x14ac:dyDescent="0.35">
      <c r="EW6252" t="s">
        <v>5212</v>
      </c>
      <c r="EX6252" s="44" t="s">
        <v>5407</v>
      </c>
      <c r="FF6252" s="44" t="s">
        <v>474</v>
      </c>
      <c r="FJ6252" s="44" t="s">
        <v>474</v>
      </c>
    </row>
    <row r="6253" spans="153:166" x14ac:dyDescent="0.35">
      <c r="EW6253" t="s">
        <v>5212</v>
      </c>
      <c r="EX6253" s="44" t="s">
        <v>5408</v>
      </c>
      <c r="FF6253" s="44" t="s">
        <v>474</v>
      </c>
      <c r="FJ6253" s="44" t="s">
        <v>474</v>
      </c>
    </row>
    <row r="6254" spans="153:166" x14ac:dyDescent="0.35">
      <c r="EW6254" t="s">
        <v>5212</v>
      </c>
      <c r="EX6254" s="44" t="s">
        <v>5409</v>
      </c>
      <c r="FF6254" s="44" t="s">
        <v>474</v>
      </c>
      <c r="FJ6254" s="44" t="s">
        <v>474</v>
      </c>
    </row>
    <row r="6255" spans="153:166" x14ac:dyDescent="0.35">
      <c r="EW6255" t="s">
        <v>5212</v>
      </c>
      <c r="EX6255" s="44" t="s">
        <v>5410</v>
      </c>
      <c r="FF6255" s="44" t="s">
        <v>474</v>
      </c>
      <c r="FJ6255" s="44" t="s">
        <v>474</v>
      </c>
    </row>
    <row r="6256" spans="153:166" x14ac:dyDescent="0.35">
      <c r="EW6256" t="s">
        <v>5212</v>
      </c>
      <c r="EX6256" s="44" t="s">
        <v>5411</v>
      </c>
      <c r="FF6256" s="44" t="s">
        <v>474</v>
      </c>
      <c r="FJ6256" s="44" t="s">
        <v>474</v>
      </c>
    </row>
    <row r="6257" spans="153:166" x14ac:dyDescent="0.35">
      <c r="EW6257" t="s">
        <v>5212</v>
      </c>
      <c r="EX6257" s="44" t="s">
        <v>5412</v>
      </c>
      <c r="FF6257" s="44" t="s">
        <v>474</v>
      </c>
      <c r="FJ6257" s="44" t="s">
        <v>474</v>
      </c>
    </row>
    <row r="6258" spans="153:166" x14ac:dyDescent="0.35">
      <c r="EW6258" t="s">
        <v>5212</v>
      </c>
      <c r="EX6258" s="44" t="s">
        <v>5413</v>
      </c>
      <c r="FF6258" s="44" t="s">
        <v>474</v>
      </c>
      <c r="FJ6258" s="44" t="s">
        <v>474</v>
      </c>
    </row>
    <row r="6259" spans="153:166" x14ac:dyDescent="0.35">
      <c r="EW6259" t="s">
        <v>5212</v>
      </c>
      <c r="EX6259" s="44" t="s">
        <v>5414</v>
      </c>
      <c r="FF6259" s="44" t="s">
        <v>474</v>
      </c>
      <c r="FJ6259" s="44" t="s">
        <v>474</v>
      </c>
    </row>
    <row r="6260" spans="153:166" x14ac:dyDescent="0.35">
      <c r="EW6260" t="s">
        <v>5212</v>
      </c>
      <c r="EX6260" s="44" t="s">
        <v>5415</v>
      </c>
      <c r="FF6260" s="44" t="s">
        <v>474</v>
      </c>
      <c r="FJ6260" s="44" t="s">
        <v>474</v>
      </c>
    </row>
    <row r="6261" spans="153:166" x14ac:dyDescent="0.35">
      <c r="EW6261" t="s">
        <v>5212</v>
      </c>
      <c r="EX6261" s="44" t="s">
        <v>5416</v>
      </c>
      <c r="FF6261" s="44" t="s">
        <v>474</v>
      </c>
      <c r="FJ6261" s="44" t="s">
        <v>474</v>
      </c>
    </row>
    <row r="6262" spans="153:166" x14ac:dyDescent="0.35">
      <c r="EW6262" t="s">
        <v>5212</v>
      </c>
      <c r="EX6262" s="44" t="s">
        <v>5417</v>
      </c>
      <c r="FF6262" s="44" t="s">
        <v>474</v>
      </c>
      <c r="FJ6262" s="44" t="s">
        <v>474</v>
      </c>
    </row>
    <row r="6263" spans="153:166" x14ac:dyDescent="0.35">
      <c r="EW6263" t="s">
        <v>5212</v>
      </c>
      <c r="EX6263" s="44" t="s">
        <v>5418</v>
      </c>
      <c r="FF6263" s="44" t="s">
        <v>474</v>
      </c>
      <c r="FJ6263" s="44" t="s">
        <v>474</v>
      </c>
    </row>
    <row r="6264" spans="153:166" x14ac:dyDescent="0.35">
      <c r="EW6264" t="s">
        <v>5212</v>
      </c>
      <c r="EX6264" s="44" t="s">
        <v>5419</v>
      </c>
      <c r="FF6264" s="44" t="s">
        <v>474</v>
      </c>
      <c r="FJ6264" s="44" t="s">
        <v>474</v>
      </c>
    </row>
    <row r="6265" spans="153:166" x14ac:dyDescent="0.35">
      <c r="EW6265" t="s">
        <v>5212</v>
      </c>
      <c r="EX6265" s="44" t="s">
        <v>5420</v>
      </c>
      <c r="FF6265" s="44" t="s">
        <v>474</v>
      </c>
      <c r="FJ6265" s="44" t="s">
        <v>474</v>
      </c>
    </row>
    <row r="6266" spans="153:166" x14ac:dyDescent="0.35">
      <c r="EW6266" t="s">
        <v>5212</v>
      </c>
      <c r="EX6266" s="44" t="s">
        <v>5421</v>
      </c>
      <c r="FF6266" s="44" t="s">
        <v>474</v>
      </c>
      <c r="FJ6266" s="44" t="s">
        <v>474</v>
      </c>
    </row>
    <row r="6267" spans="153:166" x14ac:dyDescent="0.35">
      <c r="EW6267" t="s">
        <v>5212</v>
      </c>
      <c r="EX6267" s="44" t="s">
        <v>5422</v>
      </c>
      <c r="FF6267" s="44" t="s">
        <v>474</v>
      </c>
      <c r="FJ6267" s="44" t="s">
        <v>474</v>
      </c>
    </row>
    <row r="6268" spans="153:166" x14ac:dyDescent="0.35">
      <c r="EW6268" t="s">
        <v>5212</v>
      </c>
      <c r="EX6268" s="44" t="s">
        <v>5423</v>
      </c>
      <c r="FF6268" s="44" t="s">
        <v>474</v>
      </c>
      <c r="FJ6268" s="44" t="s">
        <v>474</v>
      </c>
    </row>
    <row r="6269" spans="153:166" x14ac:dyDescent="0.35">
      <c r="EW6269" t="s">
        <v>5212</v>
      </c>
      <c r="EX6269" s="44" t="s">
        <v>5424</v>
      </c>
      <c r="FF6269" s="44" t="s">
        <v>474</v>
      </c>
      <c r="FJ6269" s="44" t="s">
        <v>474</v>
      </c>
    </row>
    <row r="6270" spans="153:166" x14ac:dyDescent="0.35">
      <c r="EW6270" t="s">
        <v>5212</v>
      </c>
      <c r="EX6270" s="44" t="s">
        <v>5425</v>
      </c>
      <c r="FF6270" s="44" t="s">
        <v>474</v>
      </c>
      <c r="FJ6270" s="44" t="s">
        <v>474</v>
      </c>
    </row>
    <row r="6271" spans="153:166" x14ac:dyDescent="0.35">
      <c r="EW6271" t="s">
        <v>5212</v>
      </c>
      <c r="EX6271" s="44" t="s">
        <v>5426</v>
      </c>
      <c r="FF6271" s="44" t="s">
        <v>474</v>
      </c>
      <c r="FJ6271" s="44" t="s">
        <v>474</v>
      </c>
    </row>
    <row r="6272" spans="153:166" x14ac:dyDescent="0.35">
      <c r="EW6272" t="s">
        <v>5212</v>
      </c>
      <c r="EX6272" s="44" t="s">
        <v>5427</v>
      </c>
      <c r="FF6272" s="44" t="s">
        <v>474</v>
      </c>
      <c r="FJ6272" s="44" t="s">
        <v>474</v>
      </c>
    </row>
    <row r="6273" spans="153:166" x14ac:dyDescent="0.35">
      <c r="EW6273" t="s">
        <v>5212</v>
      </c>
      <c r="EX6273" s="44" t="s">
        <v>5428</v>
      </c>
      <c r="FF6273" s="44" t="s">
        <v>474</v>
      </c>
      <c r="FJ6273" s="44" t="s">
        <v>474</v>
      </c>
    </row>
    <row r="6274" spans="153:166" x14ac:dyDescent="0.35">
      <c r="EW6274" t="s">
        <v>5212</v>
      </c>
      <c r="EX6274" s="44" t="s">
        <v>5429</v>
      </c>
      <c r="FF6274" s="44" t="s">
        <v>474</v>
      </c>
      <c r="FJ6274" s="44" t="s">
        <v>474</v>
      </c>
    </row>
    <row r="6275" spans="153:166" x14ac:dyDescent="0.35">
      <c r="EW6275" t="s">
        <v>5212</v>
      </c>
      <c r="EX6275" s="44" t="s">
        <v>5430</v>
      </c>
      <c r="FF6275" s="44" t="s">
        <v>474</v>
      </c>
      <c r="FJ6275" s="44" t="s">
        <v>474</v>
      </c>
    </row>
    <row r="6276" spans="153:166" x14ac:dyDescent="0.35">
      <c r="EW6276" t="s">
        <v>5212</v>
      </c>
      <c r="EX6276" s="44" t="s">
        <v>5431</v>
      </c>
      <c r="FF6276" s="44" t="s">
        <v>474</v>
      </c>
      <c r="FJ6276" s="44" t="s">
        <v>474</v>
      </c>
    </row>
    <row r="6277" spans="153:166" x14ac:dyDescent="0.35">
      <c r="EW6277" t="s">
        <v>5212</v>
      </c>
      <c r="EX6277" s="44" t="s">
        <v>5432</v>
      </c>
      <c r="FF6277" s="44" t="s">
        <v>474</v>
      </c>
      <c r="FJ6277" s="44" t="s">
        <v>474</v>
      </c>
    </row>
    <row r="6278" spans="153:166" x14ac:dyDescent="0.35">
      <c r="EW6278" t="s">
        <v>5212</v>
      </c>
      <c r="EX6278" s="44" t="s">
        <v>5433</v>
      </c>
      <c r="FF6278" s="44" t="s">
        <v>474</v>
      </c>
      <c r="FJ6278" s="44" t="s">
        <v>474</v>
      </c>
    </row>
    <row r="6279" spans="153:166" x14ac:dyDescent="0.35">
      <c r="EW6279" t="s">
        <v>5212</v>
      </c>
      <c r="EX6279" s="44" t="s">
        <v>5434</v>
      </c>
      <c r="FF6279" s="44" t="s">
        <v>474</v>
      </c>
      <c r="FJ6279" s="44" t="s">
        <v>474</v>
      </c>
    </row>
    <row r="6280" spans="153:166" x14ac:dyDescent="0.35">
      <c r="EW6280" t="s">
        <v>5212</v>
      </c>
      <c r="EX6280" s="44" t="s">
        <v>5435</v>
      </c>
      <c r="FF6280" s="44" t="s">
        <v>474</v>
      </c>
      <c r="FJ6280" s="44" t="s">
        <v>474</v>
      </c>
    </row>
    <row r="6281" spans="153:166" x14ac:dyDescent="0.35">
      <c r="EW6281" t="s">
        <v>5212</v>
      </c>
      <c r="EX6281" s="44" t="s">
        <v>5436</v>
      </c>
      <c r="FF6281" s="44" t="s">
        <v>474</v>
      </c>
      <c r="FJ6281" s="44" t="s">
        <v>474</v>
      </c>
    </row>
    <row r="6282" spans="153:166" x14ac:dyDescent="0.35">
      <c r="EW6282" t="s">
        <v>5212</v>
      </c>
      <c r="EX6282" s="44" t="s">
        <v>5437</v>
      </c>
      <c r="FF6282" s="44" t="s">
        <v>474</v>
      </c>
      <c r="FJ6282" s="44" t="s">
        <v>474</v>
      </c>
    </row>
    <row r="6283" spans="153:166" x14ac:dyDescent="0.35">
      <c r="EW6283" t="s">
        <v>5212</v>
      </c>
      <c r="EX6283" s="44" t="s">
        <v>5438</v>
      </c>
      <c r="FF6283" s="44" t="s">
        <v>474</v>
      </c>
      <c r="FJ6283" s="44" t="s">
        <v>474</v>
      </c>
    </row>
    <row r="6284" spans="153:166" x14ac:dyDescent="0.35">
      <c r="EW6284" t="s">
        <v>5212</v>
      </c>
      <c r="EX6284" s="44" t="s">
        <v>5439</v>
      </c>
      <c r="FF6284" s="44" t="s">
        <v>474</v>
      </c>
      <c r="FJ6284" s="44" t="s">
        <v>474</v>
      </c>
    </row>
    <row r="6285" spans="153:166" x14ac:dyDescent="0.35">
      <c r="EW6285" t="s">
        <v>5212</v>
      </c>
      <c r="EX6285" s="44" t="s">
        <v>5440</v>
      </c>
      <c r="FF6285" s="44" t="s">
        <v>474</v>
      </c>
      <c r="FJ6285" s="44" t="s">
        <v>474</v>
      </c>
    </row>
    <row r="6286" spans="153:166" x14ac:dyDescent="0.35">
      <c r="EW6286" t="s">
        <v>5212</v>
      </c>
      <c r="EX6286" s="44" t="s">
        <v>5441</v>
      </c>
      <c r="FF6286" s="44" t="s">
        <v>474</v>
      </c>
      <c r="FJ6286" s="44" t="s">
        <v>474</v>
      </c>
    </row>
    <row r="6287" spans="153:166" x14ac:dyDescent="0.35">
      <c r="EW6287" t="s">
        <v>5212</v>
      </c>
      <c r="EX6287" s="44" t="s">
        <v>5442</v>
      </c>
      <c r="FF6287" s="44" t="s">
        <v>474</v>
      </c>
      <c r="FJ6287" s="44" t="s">
        <v>474</v>
      </c>
    </row>
    <row r="6288" spans="153:166" x14ac:dyDescent="0.35">
      <c r="EW6288" t="s">
        <v>5212</v>
      </c>
      <c r="EX6288" s="44" t="s">
        <v>5443</v>
      </c>
      <c r="FF6288" s="44" t="s">
        <v>474</v>
      </c>
      <c r="FJ6288" s="44" t="s">
        <v>474</v>
      </c>
    </row>
    <row r="6289" spans="153:166" x14ac:dyDescent="0.35">
      <c r="EW6289" t="s">
        <v>5212</v>
      </c>
      <c r="EX6289" s="44" t="s">
        <v>5444</v>
      </c>
      <c r="FF6289" s="44" t="s">
        <v>474</v>
      </c>
      <c r="FJ6289" s="44" t="s">
        <v>474</v>
      </c>
    </row>
    <row r="6290" spans="153:166" x14ac:dyDescent="0.35">
      <c r="EW6290" t="s">
        <v>5212</v>
      </c>
      <c r="EX6290" s="44" t="s">
        <v>5445</v>
      </c>
      <c r="FF6290" s="44" t="s">
        <v>474</v>
      </c>
      <c r="FJ6290" s="44" t="s">
        <v>474</v>
      </c>
    </row>
    <row r="6291" spans="153:166" x14ac:dyDescent="0.35">
      <c r="EW6291" t="s">
        <v>5212</v>
      </c>
      <c r="EX6291" s="44" t="s">
        <v>5446</v>
      </c>
      <c r="FF6291" s="44" t="s">
        <v>474</v>
      </c>
      <c r="FJ6291" s="44" t="s">
        <v>474</v>
      </c>
    </row>
    <row r="6292" spans="153:166" x14ac:dyDescent="0.35">
      <c r="EW6292" t="s">
        <v>5212</v>
      </c>
      <c r="EX6292" s="44" t="s">
        <v>5447</v>
      </c>
      <c r="FF6292" s="44" t="s">
        <v>474</v>
      </c>
      <c r="FJ6292" s="44" t="s">
        <v>474</v>
      </c>
    </row>
    <row r="6293" spans="153:166" x14ac:dyDescent="0.35">
      <c r="EW6293" t="s">
        <v>5212</v>
      </c>
      <c r="EX6293" s="44" t="s">
        <v>5448</v>
      </c>
      <c r="FF6293" s="44" t="s">
        <v>474</v>
      </c>
      <c r="FJ6293" s="44" t="s">
        <v>474</v>
      </c>
    </row>
    <row r="6294" spans="153:166" x14ac:dyDescent="0.35">
      <c r="EW6294" t="s">
        <v>5212</v>
      </c>
      <c r="EX6294" s="44" t="s">
        <v>5449</v>
      </c>
      <c r="FF6294" s="44" t="s">
        <v>474</v>
      </c>
      <c r="FJ6294" s="44" t="s">
        <v>474</v>
      </c>
    </row>
    <row r="6295" spans="153:166" x14ac:dyDescent="0.35">
      <c r="EW6295" t="s">
        <v>5212</v>
      </c>
      <c r="EX6295" s="44" t="s">
        <v>5450</v>
      </c>
      <c r="FF6295" s="44" t="s">
        <v>474</v>
      </c>
      <c r="FJ6295" s="44" t="s">
        <v>474</v>
      </c>
    </row>
    <row r="6296" spans="153:166" x14ac:dyDescent="0.35">
      <c r="EW6296" t="s">
        <v>5212</v>
      </c>
      <c r="EX6296" s="44" t="s">
        <v>5451</v>
      </c>
      <c r="FF6296" s="44" t="s">
        <v>474</v>
      </c>
      <c r="FJ6296" s="44" t="s">
        <v>474</v>
      </c>
    </row>
    <row r="6297" spans="153:166" x14ac:dyDescent="0.35">
      <c r="EW6297" t="s">
        <v>5212</v>
      </c>
      <c r="EX6297" s="44" t="s">
        <v>5452</v>
      </c>
      <c r="FF6297" s="44" t="s">
        <v>474</v>
      </c>
      <c r="FJ6297" s="44" t="s">
        <v>474</v>
      </c>
    </row>
    <row r="6298" spans="153:166" x14ac:dyDescent="0.35">
      <c r="EW6298" t="s">
        <v>5212</v>
      </c>
      <c r="EX6298" s="44" t="s">
        <v>5453</v>
      </c>
      <c r="FF6298" s="44" t="s">
        <v>474</v>
      </c>
      <c r="FJ6298" s="44" t="s">
        <v>474</v>
      </c>
    </row>
    <row r="6299" spans="153:166" x14ac:dyDescent="0.35">
      <c r="EW6299" t="s">
        <v>5212</v>
      </c>
      <c r="EX6299" s="44" t="s">
        <v>5454</v>
      </c>
      <c r="FF6299" s="44" t="s">
        <v>474</v>
      </c>
      <c r="FJ6299" s="44" t="s">
        <v>474</v>
      </c>
    </row>
    <row r="6300" spans="153:166" x14ac:dyDescent="0.35">
      <c r="EW6300" t="s">
        <v>5212</v>
      </c>
      <c r="EX6300" s="44" t="s">
        <v>5455</v>
      </c>
      <c r="FF6300" s="44" t="s">
        <v>474</v>
      </c>
      <c r="FJ6300" s="44" t="s">
        <v>474</v>
      </c>
    </row>
    <row r="6301" spans="153:166" x14ac:dyDescent="0.35">
      <c r="EW6301" t="s">
        <v>5212</v>
      </c>
      <c r="EX6301" s="44" t="s">
        <v>5456</v>
      </c>
      <c r="FF6301" s="44" t="s">
        <v>474</v>
      </c>
      <c r="FJ6301" s="44" t="s">
        <v>474</v>
      </c>
    </row>
    <row r="6302" spans="153:166" x14ac:dyDescent="0.35">
      <c r="EW6302" t="s">
        <v>5212</v>
      </c>
      <c r="EX6302" s="44" t="s">
        <v>5457</v>
      </c>
      <c r="FF6302" s="44" t="s">
        <v>474</v>
      </c>
      <c r="FJ6302" s="44" t="s">
        <v>474</v>
      </c>
    </row>
    <row r="6303" spans="153:166" x14ac:dyDescent="0.35">
      <c r="EW6303" t="s">
        <v>5212</v>
      </c>
      <c r="EX6303" s="44" t="s">
        <v>5458</v>
      </c>
      <c r="FF6303" s="44" t="s">
        <v>474</v>
      </c>
      <c r="FJ6303" s="44" t="s">
        <v>474</v>
      </c>
    </row>
    <row r="6304" spans="153:166" x14ac:dyDescent="0.35">
      <c r="EW6304" t="s">
        <v>5212</v>
      </c>
      <c r="EX6304" s="44" t="s">
        <v>5459</v>
      </c>
      <c r="FF6304" s="44" t="s">
        <v>59</v>
      </c>
      <c r="FJ6304" s="44" t="s">
        <v>59</v>
      </c>
    </row>
    <row r="6305" spans="153:166" x14ac:dyDescent="0.35">
      <c r="EW6305" t="s">
        <v>5212</v>
      </c>
      <c r="EX6305" s="44" t="s">
        <v>5460</v>
      </c>
      <c r="FF6305" s="44" t="s">
        <v>59</v>
      </c>
      <c r="FJ6305" s="44" t="s">
        <v>59</v>
      </c>
    </row>
    <row r="6306" spans="153:166" x14ac:dyDescent="0.35">
      <c r="EW6306" t="s">
        <v>5212</v>
      </c>
      <c r="EX6306" s="44" t="s">
        <v>5461</v>
      </c>
      <c r="FF6306" s="44" t="s">
        <v>59</v>
      </c>
      <c r="FJ6306" s="44" t="s">
        <v>59</v>
      </c>
    </row>
    <row r="6307" spans="153:166" x14ac:dyDescent="0.35">
      <c r="EW6307" t="s">
        <v>5212</v>
      </c>
      <c r="EX6307" s="44" t="s">
        <v>5462</v>
      </c>
      <c r="FF6307" s="44" t="s">
        <v>59</v>
      </c>
      <c r="FJ6307" s="44" t="s">
        <v>59</v>
      </c>
    </row>
    <row r="6308" spans="153:166" x14ac:dyDescent="0.35">
      <c r="EW6308" t="s">
        <v>5212</v>
      </c>
      <c r="EX6308" s="44" t="s">
        <v>5463</v>
      </c>
      <c r="FF6308" s="44" t="s">
        <v>59</v>
      </c>
      <c r="FJ6308" s="44" t="s">
        <v>59</v>
      </c>
    </row>
    <row r="6309" spans="153:166" x14ac:dyDescent="0.35">
      <c r="EW6309" t="s">
        <v>5212</v>
      </c>
      <c r="EX6309" s="44" t="s">
        <v>5464</v>
      </c>
      <c r="FF6309" s="44" t="s">
        <v>59</v>
      </c>
      <c r="FJ6309" s="44" t="s">
        <v>59</v>
      </c>
    </row>
    <row r="6310" spans="153:166" x14ac:dyDescent="0.35">
      <c r="EW6310" t="s">
        <v>5212</v>
      </c>
      <c r="EX6310" s="44" t="s">
        <v>5465</v>
      </c>
      <c r="FF6310" s="44" t="s">
        <v>59</v>
      </c>
      <c r="FJ6310" s="44" t="s">
        <v>59</v>
      </c>
    </row>
    <row r="6311" spans="153:166" x14ac:dyDescent="0.35">
      <c r="EW6311" t="s">
        <v>5212</v>
      </c>
      <c r="EX6311" s="44" t="s">
        <v>5466</v>
      </c>
      <c r="FF6311" s="44" t="s">
        <v>59</v>
      </c>
      <c r="FJ6311" s="44" t="s">
        <v>59</v>
      </c>
    </row>
    <row r="6312" spans="153:166" x14ac:dyDescent="0.35">
      <c r="EW6312" t="s">
        <v>5212</v>
      </c>
      <c r="EX6312" s="44" t="s">
        <v>5467</v>
      </c>
      <c r="FF6312" s="44" t="s">
        <v>59</v>
      </c>
      <c r="FJ6312" s="44" t="s">
        <v>59</v>
      </c>
    </row>
    <row r="6313" spans="153:166" x14ac:dyDescent="0.35">
      <c r="EW6313" t="s">
        <v>5212</v>
      </c>
      <c r="EX6313" s="44" t="s">
        <v>5468</v>
      </c>
      <c r="FF6313" s="44" t="s">
        <v>59</v>
      </c>
      <c r="FJ6313" s="44" t="s">
        <v>59</v>
      </c>
    </row>
    <row r="6314" spans="153:166" x14ac:dyDescent="0.35">
      <c r="EW6314" t="s">
        <v>5212</v>
      </c>
      <c r="EX6314" s="44" t="s">
        <v>5469</v>
      </c>
      <c r="FF6314" s="44" t="s">
        <v>59</v>
      </c>
      <c r="FJ6314" s="44" t="s">
        <v>59</v>
      </c>
    </row>
    <row r="6315" spans="153:166" x14ac:dyDescent="0.35">
      <c r="EW6315" t="s">
        <v>5212</v>
      </c>
      <c r="EX6315" s="44" t="s">
        <v>5470</v>
      </c>
      <c r="FF6315" s="44" t="s">
        <v>59</v>
      </c>
      <c r="FJ6315" s="44" t="s">
        <v>59</v>
      </c>
    </row>
    <row r="6316" spans="153:166" x14ac:dyDescent="0.35">
      <c r="EW6316" t="s">
        <v>5212</v>
      </c>
      <c r="EX6316" s="44" t="s">
        <v>5471</v>
      </c>
      <c r="FF6316" s="44" t="s">
        <v>59</v>
      </c>
      <c r="FJ6316" s="44" t="s">
        <v>59</v>
      </c>
    </row>
    <row r="6317" spans="153:166" x14ac:dyDescent="0.35">
      <c r="EW6317" t="s">
        <v>5212</v>
      </c>
      <c r="EX6317" s="44" t="s">
        <v>5472</v>
      </c>
      <c r="FF6317" s="44" t="s">
        <v>59</v>
      </c>
      <c r="FJ6317" s="44" t="s">
        <v>59</v>
      </c>
    </row>
    <row r="6318" spans="153:166" x14ac:dyDescent="0.35">
      <c r="EW6318" t="s">
        <v>5212</v>
      </c>
      <c r="EX6318" s="44" t="s">
        <v>5473</v>
      </c>
      <c r="FF6318" s="44" t="s">
        <v>59</v>
      </c>
      <c r="FJ6318" s="44" t="s">
        <v>59</v>
      </c>
    </row>
    <row r="6319" spans="153:166" x14ac:dyDescent="0.35">
      <c r="EW6319" t="s">
        <v>5212</v>
      </c>
      <c r="EX6319" s="44" t="s">
        <v>5474</v>
      </c>
      <c r="FF6319" s="44" t="s">
        <v>59</v>
      </c>
      <c r="FJ6319" s="44" t="s">
        <v>59</v>
      </c>
    </row>
    <row r="6320" spans="153:166" x14ac:dyDescent="0.35">
      <c r="EW6320" t="s">
        <v>5212</v>
      </c>
      <c r="EX6320" s="44" t="s">
        <v>5475</v>
      </c>
      <c r="FF6320" s="44" t="s">
        <v>59</v>
      </c>
      <c r="FJ6320" s="44" t="s">
        <v>59</v>
      </c>
    </row>
    <row r="6321" spans="153:166" x14ac:dyDescent="0.35">
      <c r="EW6321" t="s">
        <v>5212</v>
      </c>
      <c r="EX6321" s="44" t="s">
        <v>5476</v>
      </c>
      <c r="FF6321" s="44" t="s">
        <v>59</v>
      </c>
      <c r="FJ6321" s="44" t="s">
        <v>59</v>
      </c>
    </row>
    <row r="6322" spans="153:166" x14ac:dyDescent="0.35">
      <c r="EW6322" t="s">
        <v>5212</v>
      </c>
      <c r="EX6322" s="44" t="s">
        <v>5477</v>
      </c>
      <c r="FF6322" s="44" t="s">
        <v>59</v>
      </c>
      <c r="FJ6322" s="44" t="s">
        <v>59</v>
      </c>
    </row>
    <row r="6323" spans="153:166" x14ac:dyDescent="0.35">
      <c r="EW6323" t="s">
        <v>5212</v>
      </c>
      <c r="EX6323" s="44" t="s">
        <v>5478</v>
      </c>
      <c r="FF6323" s="44" t="s">
        <v>59</v>
      </c>
      <c r="FJ6323" s="44" t="s">
        <v>59</v>
      </c>
    </row>
    <row r="6324" spans="153:166" x14ac:dyDescent="0.35">
      <c r="EW6324" t="s">
        <v>5212</v>
      </c>
      <c r="EX6324" s="44" t="s">
        <v>5479</v>
      </c>
      <c r="FF6324" s="44" t="s">
        <v>59</v>
      </c>
      <c r="FJ6324" s="44" t="s">
        <v>59</v>
      </c>
    </row>
    <row r="6325" spans="153:166" x14ac:dyDescent="0.35">
      <c r="EW6325" t="s">
        <v>5212</v>
      </c>
      <c r="EX6325" s="44" t="s">
        <v>5480</v>
      </c>
      <c r="FF6325" s="44" t="s">
        <v>59</v>
      </c>
      <c r="FJ6325" s="44" t="s">
        <v>59</v>
      </c>
    </row>
    <row r="6326" spans="153:166" x14ac:dyDescent="0.35">
      <c r="EW6326" t="s">
        <v>5212</v>
      </c>
      <c r="EX6326" s="44" t="s">
        <v>5481</v>
      </c>
      <c r="FF6326" s="44" t="s">
        <v>59</v>
      </c>
      <c r="FJ6326" s="44" t="s">
        <v>59</v>
      </c>
    </row>
    <row r="6327" spans="153:166" x14ac:dyDescent="0.35">
      <c r="EW6327" t="s">
        <v>5212</v>
      </c>
      <c r="EX6327" s="44" t="s">
        <v>5482</v>
      </c>
      <c r="FF6327" s="44" t="s">
        <v>59</v>
      </c>
      <c r="FJ6327" s="44" t="s">
        <v>59</v>
      </c>
    </row>
    <row r="6328" spans="153:166" x14ac:dyDescent="0.35">
      <c r="EW6328" t="s">
        <v>5212</v>
      </c>
      <c r="EX6328" s="44" t="s">
        <v>5483</v>
      </c>
      <c r="FF6328" s="44" t="s">
        <v>59</v>
      </c>
      <c r="FJ6328" s="44" t="s">
        <v>59</v>
      </c>
    </row>
    <row r="6329" spans="153:166" x14ac:dyDescent="0.35">
      <c r="EW6329" t="s">
        <v>5212</v>
      </c>
      <c r="EX6329" s="44" t="s">
        <v>5484</v>
      </c>
      <c r="FF6329" s="44" t="s">
        <v>59</v>
      </c>
      <c r="FJ6329" s="44" t="s">
        <v>59</v>
      </c>
    </row>
    <row r="6330" spans="153:166" x14ac:dyDescent="0.35">
      <c r="EW6330" t="s">
        <v>5212</v>
      </c>
      <c r="EX6330" s="44" t="s">
        <v>5485</v>
      </c>
      <c r="FF6330" s="44" t="s">
        <v>59</v>
      </c>
      <c r="FJ6330" s="44" t="s">
        <v>59</v>
      </c>
    </row>
    <row r="6331" spans="153:166" x14ac:dyDescent="0.35">
      <c r="EW6331" t="s">
        <v>5212</v>
      </c>
      <c r="EX6331" s="44" t="s">
        <v>5486</v>
      </c>
      <c r="FF6331" s="44" t="s">
        <v>59</v>
      </c>
      <c r="FJ6331" s="44" t="s">
        <v>59</v>
      </c>
    </row>
    <row r="6332" spans="153:166" x14ac:dyDescent="0.35">
      <c r="EW6332" t="s">
        <v>5212</v>
      </c>
      <c r="EX6332" s="44" t="s">
        <v>5487</v>
      </c>
      <c r="FF6332" s="44" t="s">
        <v>59</v>
      </c>
      <c r="FJ6332" s="44" t="s">
        <v>59</v>
      </c>
    </row>
    <row r="6333" spans="153:166" x14ac:dyDescent="0.35">
      <c r="EW6333" t="s">
        <v>5212</v>
      </c>
      <c r="EX6333" s="44" t="s">
        <v>5488</v>
      </c>
      <c r="FF6333" s="44" t="s">
        <v>59</v>
      </c>
      <c r="FJ6333" s="44" t="s">
        <v>59</v>
      </c>
    </row>
    <row r="6334" spans="153:166" x14ac:dyDescent="0.35">
      <c r="EW6334" t="s">
        <v>5212</v>
      </c>
      <c r="EX6334" s="44" t="s">
        <v>5489</v>
      </c>
      <c r="FF6334" s="44" t="s">
        <v>59</v>
      </c>
      <c r="FJ6334" s="44" t="s">
        <v>59</v>
      </c>
    </row>
    <row r="6335" spans="153:166" x14ac:dyDescent="0.35">
      <c r="EW6335" t="s">
        <v>5212</v>
      </c>
      <c r="EX6335" s="44" t="s">
        <v>5490</v>
      </c>
      <c r="FF6335" s="44" t="s">
        <v>59</v>
      </c>
      <c r="FJ6335" s="44" t="s">
        <v>59</v>
      </c>
    </row>
    <row r="6336" spans="153:166" x14ac:dyDescent="0.35">
      <c r="EW6336" t="s">
        <v>5212</v>
      </c>
      <c r="EX6336" s="44" t="s">
        <v>5491</v>
      </c>
      <c r="FF6336" s="44" t="s">
        <v>59</v>
      </c>
      <c r="FJ6336" s="44" t="s">
        <v>59</v>
      </c>
    </row>
    <row r="6337" spans="153:166" x14ac:dyDescent="0.35">
      <c r="EW6337" t="s">
        <v>5212</v>
      </c>
      <c r="EX6337" s="44" t="s">
        <v>5492</v>
      </c>
      <c r="FF6337" s="44" t="s">
        <v>59</v>
      </c>
      <c r="FJ6337" s="44" t="s">
        <v>59</v>
      </c>
    </row>
    <row r="6338" spans="153:166" x14ac:dyDescent="0.35">
      <c r="EW6338" t="s">
        <v>5212</v>
      </c>
      <c r="EX6338" s="44" t="s">
        <v>5493</v>
      </c>
      <c r="FF6338" s="44" t="s">
        <v>59</v>
      </c>
      <c r="FJ6338" s="44" t="s">
        <v>59</v>
      </c>
    </row>
    <row r="6339" spans="153:166" x14ac:dyDescent="0.35">
      <c r="EW6339" t="s">
        <v>5212</v>
      </c>
      <c r="EX6339" s="44" t="s">
        <v>5494</v>
      </c>
      <c r="FF6339" s="44" t="s">
        <v>59</v>
      </c>
      <c r="FJ6339" s="44" t="s">
        <v>59</v>
      </c>
    </row>
    <row r="6340" spans="153:166" x14ac:dyDescent="0.35">
      <c r="EW6340" t="s">
        <v>5212</v>
      </c>
      <c r="EX6340" s="44" t="s">
        <v>5495</v>
      </c>
      <c r="FF6340" s="44" t="s">
        <v>59</v>
      </c>
      <c r="FJ6340" s="44" t="s">
        <v>59</v>
      </c>
    </row>
    <row r="6341" spans="153:166" x14ac:dyDescent="0.35">
      <c r="EW6341" t="s">
        <v>5212</v>
      </c>
      <c r="EX6341" s="44" t="s">
        <v>5496</v>
      </c>
      <c r="FF6341" s="44" t="s">
        <v>59</v>
      </c>
      <c r="FJ6341" s="44" t="s">
        <v>59</v>
      </c>
    </row>
    <row r="6342" spans="153:166" x14ac:dyDescent="0.35">
      <c r="EW6342" t="s">
        <v>5212</v>
      </c>
      <c r="EX6342" s="44" t="s">
        <v>5497</v>
      </c>
      <c r="FF6342" s="44" t="s">
        <v>59</v>
      </c>
      <c r="FJ6342" s="44" t="s">
        <v>59</v>
      </c>
    </row>
    <row r="6343" spans="153:166" x14ac:dyDescent="0.35">
      <c r="EW6343" t="s">
        <v>5212</v>
      </c>
      <c r="EX6343" s="44" t="s">
        <v>5498</v>
      </c>
      <c r="FF6343" s="44" t="s">
        <v>59</v>
      </c>
      <c r="FJ6343" s="44" t="s">
        <v>59</v>
      </c>
    </row>
    <row r="6344" spans="153:166" x14ac:dyDescent="0.35">
      <c r="EW6344" t="s">
        <v>5212</v>
      </c>
      <c r="EX6344" s="44" t="s">
        <v>5499</v>
      </c>
      <c r="FF6344" s="44" t="s">
        <v>59</v>
      </c>
      <c r="FJ6344" s="44" t="s">
        <v>59</v>
      </c>
    </row>
    <row r="6345" spans="153:166" x14ac:dyDescent="0.35">
      <c r="EW6345" t="s">
        <v>5212</v>
      </c>
      <c r="EX6345" s="44" t="s">
        <v>5500</v>
      </c>
      <c r="FF6345" s="44" t="s">
        <v>59</v>
      </c>
      <c r="FJ6345" s="44" t="s">
        <v>59</v>
      </c>
    </row>
    <row r="6346" spans="153:166" x14ac:dyDescent="0.35">
      <c r="EW6346" t="s">
        <v>5212</v>
      </c>
      <c r="EX6346" s="44" t="s">
        <v>5501</v>
      </c>
      <c r="FF6346" s="44" t="s">
        <v>59</v>
      </c>
      <c r="FJ6346" s="44" t="s">
        <v>59</v>
      </c>
    </row>
    <row r="6347" spans="153:166" x14ac:dyDescent="0.35">
      <c r="EW6347" t="s">
        <v>5212</v>
      </c>
      <c r="EX6347" s="44" t="s">
        <v>5502</v>
      </c>
      <c r="FF6347" s="44" t="s">
        <v>59</v>
      </c>
      <c r="FJ6347" s="44" t="s">
        <v>59</v>
      </c>
    </row>
    <row r="6348" spans="153:166" x14ac:dyDescent="0.35">
      <c r="EW6348" t="s">
        <v>5212</v>
      </c>
      <c r="EX6348" s="44" t="s">
        <v>5503</v>
      </c>
      <c r="FF6348" s="44" t="s">
        <v>59</v>
      </c>
      <c r="FJ6348" s="44" t="s">
        <v>59</v>
      </c>
    </row>
    <row r="6349" spans="153:166" x14ac:dyDescent="0.35">
      <c r="EW6349" t="s">
        <v>5212</v>
      </c>
      <c r="EX6349" s="44" t="s">
        <v>5504</v>
      </c>
      <c r="FF6349" s="44" t="s">
        <v>59</v>
      </c>
      <c r="FJ6349" s="44" t="s">
        <v>59</v>
      </c>
    </row>
    <row r="6350" spans="153:166" x14ac:dyDescent="0.35">
      <c r="EW6350" t="s">
        <v>5212</v>
      </c>
      <c r="EX6350" s="44" t="s">
        <v>5505</v>
      </c>
      <c r="FF6350" s="44" t="s">
        <v>59</v>
      </c>
      <c r="FJ6350" s="44" t="s">
        <v>59</v>
      </c>
    </row>
    <row r="6351" spans="153:166" x14ac:dyDescent="0.35">
      <c r="EW6351" t="s">
        <v>5212</v>
      </c>
      <c r="EX6351" s="44" t="s">
        <v>5506</v>
      </c>
      <c r="FF6351" s="44" t="s">
        <v>59</v>
      </c>
      <c r="FJ6351" s="44" t="s">
        <v>59</v>
      </c>
    </row>
    <row r="6352" spans="153:166" x14ac:dyDescent="0.35">
      <c r="EW6352" t="s">
        <v>5212</v>
      </c>
      <c r="EX6352" s="44" t="s">
        <v>5507</v>
      </c>
      <c r="FF6352" s="44" t="s">
        <v>59</v>
      </c>
      <c r="FJ6352" s="44" t="s">
        <v>59</v>
      </c>
    </row>
    <row r="6353" spans="153:166" x14ac:dyDescent="0.35">
      <c r="EW6353" t="s">
        <v>5212</v>
      </c>
      <c r="EX6353" s="44" t="s">
        <v>5508</v>
      </c>
      <c r="FF6353" s="44" t="s">
        <v>59</v>
      </c>
      <c r="FJ6353" s="44" t="s">
        <v>59</v>
      </c>
    </row>
    <row r="6354" spans="153:166" x14ac:dyDescent="0.35">
      <c r="EW6354" t="s">
        <v>5212</v>
      </c>
      <c r="EX6354" s="44" t="s">
        <v>5509</v>
      </c>
      <c r="FF6354" s="44" t="s">
        <v>59</v>
      </c>
      <c r="FJ6354" s="44" t="s">
        <v>59</v>
      </c>
    </row>
    <row r="6355" spans="153:166" x14ac:dyDescent="0.35">
      <c r="EW6355" t="s">
        <v>5212</v>
      </c>
      <c r="EX6355" s="44" t="s">
        <v>5510</v>
      </c>
      <c r="FF6355" s="44" t="s">
        <v>59</v>
      </c>
      <c r="FJ6355" s="44" t="s">
        <v>59</v>
      </c>
    </row>
    <row r="6356" spans="153:166" x14ac:dyDescent="0.35">
      <c r="EW6356" t="s">
        <v>5212</v>
      </c>
      <c r="EX6356" s="44" t="s">
        <v>5511</v>
      </c>
      <c r="FF6356" s="44" t="s">
        <v>59</v>
      </c>
      <c r="FJ6356" s="44" t="s">
        <v>59</v>
      </c>
    </row>
    <row r="6357" spans="153:166" x14ac:dyDescent="0.35">
      <c r="EW6357" t="s">
        <v>5212</v>
      </c>
      <c r="EX6357" s="44" t="s">
        <v>5512</v>
      </c>
      <c r="FF6357" s="44" t="s">
        <v>59</v>
      </c>
      <c r="FJ6357" s="44" t="s">
        <v>59</v>
      </c>
    </row>
    <row r="6358" spans="153:166" x14ac:dyDescent="0.35">
      <c r="EW6358" t="s">
        <v>5212</v>
      </c>
      <c r="EX6358" s="44" t="s">
        <v>5513</v>
      </c>
      <c r="FF6358" s="44" t="s">
        <v>59</v>
      </c>
      <c r="FJ6358" s="44" t="s">
        <v>59</v>
      </c>
    </row>
    <row r="6359" spans="153:166" x14ac:dyDescent="0.35">
      <c r="EW6359" t="s">
        <v>5212</v>
      </c>
      <c r="EX6359" s="44" t="s">
        <v>5514</v>
      </c>
      <c r="FF6359" s="44" t="s">
        <v>59</v>
      </c>
      <c r="FJ6359" s="44" t="s">
        <v>59</v>
      </c>
    </row>
    <row r="6360" spans="153:166" x14ac:dyDescent="0.35">
      <c r="EW6360" t="s">
        <v>5212</v>
      </c>
      <c r="EX6360" s="44" t="s">
        <v>5515</v>
      </c>
      <c r="FF6360" s="44" t="s">
        <v>59</v>
      </c>
      <c r="FJ6360" s="44" t="s">
        <v>59</v>
      </c>
    </row>
    <row r="6361" spans="153:166" x14ac:dyDescent="0.35">
      <c r="EW6361" t="s">
        <v>5212</v>
      </c>
      <c r="EX6361" s="44" t="s">
        <v>5516</v>
      </c>
      <c r="FF6361" s="44" t="s">
        <v>59</v>
      </c>
      <c r="FJ6361" s="44" t="s">
        <v>59</v>
      </c>
    </row>
    <row r="6362" spans="153:166" x14ac:dyDescent="0.35">
      <c r="EW6362" t="s">
        <v>5212</v>
      </c>
      <c r="EX6362" s="44" t="s">
        <v>5517</v>
      </c>
      <c r="FF6362" s="44" t="s">
        <v>59</v>
      </c>
      <c r="FJ6362" s="44" t="s">
        <v>59</v>
      </c>
    </row>
    <row r="6363" spans="153:166" x14ac:dyDescent="0.35">
      <c r="EW6363" t="s">
        <v>5212</v>
      </c>
      <c r="EX6363" s="44" t="s">
        <v>5518</v>
      </c>
      <c r="FF6363" s="44" t="s">
        <v>59</v>
      </c>
      <c r="FJ6363" s="44" t="s">
        <v>59</v>
      </c>
    </row>
    <row r="6364" spans="153:166" x14ac:dyDescent="0.35">
      <c r="EW6364" t="s">
        <v>5212</v>
      </c>
      <c r="EX6364" s="44" t="s">
        <v>5519</v>
      </c>
      <c r="FF6364" s="44" t="s">
        <v>59</v>
      </c>
      <c r="FJ6364" s="44" t="s">
        <v>59</v>
      </c>
    </row>
    <row r="6365" spans="153:166" x14ac:dyDescent="0.35">
      <c r="EW6365" t="s">
        <v>5212</v>
      </c>
      <c r="EX6365" s="44" t="s">
        <v>5520</v>
      </c>
      <c r="FF6365" s="44" t="s">
        <v>59</v>
      </c>
      <c r="FJ6365" s="44" t="s">
        <v>59</v>
      </c>
    </row>
    <row r="6366" spans="153:166" x14ac:dyDescent="0.35">
      <c r="EW6366" t="s">
        <v>5212</v>
      </c>
      <c r="EX6366" s="44" t="s">
        <v>5521</v>
      </c>
      <c r="FF6366" s="44" t="s">
        <v>59</v>
      </c>
      <c r="FJ6366" s="44" t="s">
        <v>59</v>
      </c>
    </row>
    <row r="6367" spans="153:166" x14ac:dyDescent="0.35">
      <c r="EW6367" t="s">
        <v>5212</v>
      </c>
      <c r="EX6367" s="44" t="s">
        <v>5522</v>
      </c>
      <c r="FF6367" s="44" t="s">
        <v>59</v>
      </c>
      <c r="FJ6367" s="44" t="s">
        <v>59</v>
      </c>
    </row>
    <row r="6368" spans="153:166" x14ac:dyDescent="0.35">
      <c r="EW6368" t="s">
        <v>5212</v>
      </c>
      <c r="EX6368" s="44" t="s">
        <v>5523</v>
      </c>
      <c r="FF6368" s="44" t="s">
        <v>59</v>
      </c>
      <c r="FJ6368" s="44" t="s">
        <v>59</v>
      </c>
    </row>
    <row r="6369" spans="153:166" x14ac:dyDescent="0.35">
      <c r="EW6369" t="s">
        <v>5212</v>
      </c>
      <c r="EX6369" s="44" t="s">
        <v>5524</v>
      </c>
      <c r="FF6369" s="44" t="s">
        <v>59</v>
      </c>
      <c r="FJ6369" s="44" t="s">
        <v>59</v>
      </c>
    </row>
    <row r="6370" spans="153:166" x14ac:dyDescent="0.35">
      <c r="EW6370" t="s">
        <v>5212</v>
      </c>
      <c r="EX6370" s="44" t="s">
        <v>5525</v>
      </c>
      <c r="FF6370" s="44" t="s">
        <v>59</v>
      </c>
      <c r="FJ6370" s="44" t="s">
        <v>59</v>
      </c>
    </row>
    <row r="6371" spans="153:166" x14ac:dyDescent="0.35">
      <c r="EW6371" t="s">
        <v>5212</v>
      </c>
      <c r="EX6371" s="44" t="s">
        <v>5526</v>
      </c>
      <c r="FF6371" s="44" t="s">
        <v>59</v>
      </c>
      <c r="FJ6371" s="44" t="s">
        <v>59</v>
      </c>
    </row>
    <row r="6372" spans="153:166" x14ac:dyDescent="0.35">
      <c r="EW6372" t="s">
        <v>5212</v>
      </c>
      <c r="EX6372" s="44" t="s">
        <v>5527</v>
      </c>
      <c r="FF6372" s="44" t="s">
        <v>59</v>
      </c>
      <c r="FJ6372" s="44" t="s">
        <v>59</v>
      </c>
    </row>
    <row r="6373" spans="153:166" x14ac:dyDescent="0.35">
      <c r="EW6373" t="s">
        <v>5212</v>
      </c>
      <c r="EX6373" s="44" t="s">
        <v>5528</v>
      </c>
      <c r="FF6373" s="44" t="s">
        <v>59</v>
      </c>
      <c r="FJ6373" s="44" t="s">
        <v>59</v>
      </c>
    </row>
    <row r="6374" spans="153:166" x14ac:dyDescent="0.35">
      <c r="EW6374" t="s">
        <v>5212</v>
      </c>
      <c r="EX6374" s="44" t="s">
        <v>5529</v>
      </c>
      <c r="FF6374" s="44" t="s">
        <v>59</v>
      </c>
      <c r="FJ6374" s="44" t="s">
        <v>59</v>
      </c>
    </row>
    <row r="6375" spans="153:166" x14ac:dyDescent="0.35">
      <c r="EW6375" t="s">
        <v>5212</v>
      </c>
      <c r="EX6375" s="44" t="s">
        <v>5530</v>
      </c>
      <c r="FF6375" s="44" t="s">
        <v>59</v>
      </c>
      <c r="FJ6375" s="44" t="s">
        <v>59</v>
      </c>
    </row>
    <row r="6376" spans="153:166" x14ac:dyDescent="0.35">
      <c r="EW6376" t="s">
        <v>5212</v>
      </c>
      <c r="EX6376" s="44" t="s">
        <v>5531</v>
      </c>
      <c r="FF6376" s="44" t="s">
        <v>59</v>
      </c>
      <c r="FJ6376" s="44" t="s">
        <v>59</v>
      </c>
    </row>
    <row r="6377" spans="153:166" x14ac:dyDescent="0.35">
      <c r="EW6377" t="s">
        <v>5212</v>
      </c>
      <c r="EX6377" s="44" t="s">
        <v>5532</v>
      </c>
      <c r="FF6377" s="44" t="s">
        <v>59</v>
      </c>
      <c r="FJ6377" s="44" t="s">
        <v>59</v>
      </c>
    </row>
    <row r="6378" spans="153:166" x14ac:dyDescent="0.35">
      <c r="EW6378" t="s">
        <v>5212</v>
      </c>
      <c r="EX6378" s="44" t="s">
        <v>5533</v>
      </c>
      <c r="FF6378" s="44" t="s">
        <v>59</v>
      </c>
      <c r="FJ6378" s="44" t="s">
        <v>59</v>
      </c>
    </row>
    <row r="6379" spans="153:166" x14ac:dyDescent="0.35">
      <c r="EW6379" t="s">
        <v>5212</v>
      </c>
      <c r="EX6379" s="44" t="s">
        <v>5534</v>
      </c>
      <c r="FF6379" s="44" t="s">
        <v>59</v>
      </c>
      <c r="FJ6379" s="44" t="s">
        <v>59</v>
      </c>
    </row>
    <row r="6380" spans="153:166" x14ac:dyDescent="0.35">
      <c r="EW6380" t="s">
        <v>5212</v>
      </c>
      <c r="EX6380" s="44" t="s">
        <v>5535</v>
      </c>
      <c r="FF6380" s="44" t="s">
        <v>59</v>
      </c>
      <c r="FJ6380" s="44" t="s">
        <v>59</v>
      </c>
    </row>
    <row r="6381" spans="153:166" x14ac:dyDescent="0.35">
      <c r="EW6381" t="s">
        <v>5212</v>
      </c>
      <c r="EX6381" s="44" t="s">
        <v>5536</v>
      </c>
      <c r="FF6381" s="44" t="s">
        <v>59</v>
      </c>
      <c r="FJ6381" s="44" t="s">
        <v>59</v>
      </c>
    </row>
    <row r="6382" spans="153:166" x14ac:dyDescent="0.35">
      <c r="EW6382" t="s">
        <v>5212</v>
      </c>
      <c r="EX6382" s="44" t="s">
        <v>5537</v>
      </c>
      <c r="FF6382" s="44" t="s">
        <v>59</v>
      </c>
      <c r="FJ6382" s="44" t="s">
        <v>59</v>
      </c>
    </row>
    <row r="6383" spans="153:166" x14ac:dyDescent="0.35">
      <c r="EW6383" t="s">
        <v>5212</v>
      </c>
      <c r="EX6383" s="44" t="s">
        <v>5538</v>
      </c>
      <c r="FF6383" s="44" t="s">
        <v>59</v>
      </c>
      <c r="FJ6383" s="44" t="s">
        <v>59</v>
      </c>
    </row>
    <row r="6384" spans="153:166" x14ac:dyDescent="0.35">
      <c r="EW6384" t="s">
        <v>5212</v>
      </c>
      <c r="EX6384" s="44" t="s">
        <v>5539</v>
      </c>
      <c r="FF6384" s="44" t="s">
        <v>59</v>
      </c>
      <c r="FJ6384" s="44" t="s">
        <v>59</v>
      </c>
    </row>
    <row r="6385" spans="153:166" x14ac:dyDescent="0.35">
      <c r="EW6385" t="s">
        <v>5212</v>
      </c>
      <c r="EX6385" s="44" t="s">
        <v>5540</v>
      </c>
      <c r="FF6385" s="44" t="s">
        <v>59</v>
      </c>
      <c r="FJ6385" s="44" t="s">
        <v>59</v>
      </c>
    </row>
    <row r="6386" spans="153:166" x14ac:dyDescent="0.35">
      <c r="EW6386" t="s">
        <v>5212</v>
      </c>
      <c r="EX6386" s="44" t="s">
        <v>5541</v>
      </c>
      <c r="FF6386" s="44" t="s">
        <v>59</v>
      </c>
      <c r="FJ6386" s="44" t="s">
        <v>59</v>
      </c>
    </row>
    <row r="6387" spans="153:166" x14ac:dyDescent="0.35">
      <c r="EW6387" t="s">
        <v>5212</v>
      </c>
      <c r="EX6387" s="44" t="s">
        <v>5542</v>
      </c>
      <c r="FF6387" s="44" t="s">
        <v>59</v>
      </c>
      <c r="FJ6387" s="44" t="s">
        <v>59</v>
      </c>
    </row>
    <row r="6388" spans="153:166" x14ac:dyDescent="0.35">
      <c r="EW6388" t="s">
        <v>5212</v>
      </c>
      <c r="EX6388" s="44" t="s">
        <v>5543</v>
      </c>
      <c r="FF6388" s="44" t="s">
        <v>59</v>
      </c>
      <c r="FJ6388" s="44" t="s">
        <v>59</v>
      </c>
    </row>
    <row r="6389" spans="153:166" x14ac:dyDescent="0.35">
      <c r="EW6389" t="s">
        <v>5212</v>
      </c>
      <c r="EX6389" s="44" t="s">
        <v>5544</v>
      </c>
      <c r="FF6389" s="44" t="s">
        <v>59</v>
      </c>
      <c r="FJ6389" s="44" t="s">
        <v>59</v>
      </c>
    </row>
    <row r="6390" spans="153:166" x14ac:dyDescent="0.35">
      <c r="EW6390" t="s">
        <v>5212</v>
      </c>
      <c r="EX6390" s="44" t="s">
        <v>5545</v>
      </c>
      <c r="FF6390" s="44" t="s">
        <v>59</v>
      </c>
      <c r="FJ6390" s="44" t="s">
        <v>59</v>
      </c>
    </row>
    <row r="6391" spans="153:166" x14ac:dyDescent="0.35">
      <c r="EW6391" t="s">
        <v>5212</v>
      </c>
      <c r="EX6391" s="44" t="s">
        <v>5546</v>
      </c>
      <c r="FF6391" s="44" t="s">
        <v>59</v>
      </c>
      <c r="FJ6391" s="44" t="s">
        <v>59</v>
      </c>
    </row>
    <row r="6392" spans="153:166" x14ac:dyDescent="0.35">
      <c r="EW6392" t="s">
        <v>5212</v>
      </c>
      <c r="EX6392" s="44" t="s">
        <v>5547</v>
      </c>
      <c r="FF6392" s="44" t="s">
        <v>59</v>
      </c>
      <c r="FJ6392" s="44" t="s">
        <v>59</v>
      </c>
    </row>
    <row r="6393" spans="153:166" x14ac:dyDescent="0.35">
      <c r="EW6393" t="s">
        <v>5212</v>
      </c>
      <c r="EX6393" s="44" t="s">
        <v>5548</v>
      </c>
      <c r="FF6393" s="44" t="s">
        <v>59</v>
      </c>
      <c r="FJ6393" s="44" t="s">
        <v>59</v>
      </c>
    </row>
    <row r="6394" spans="153:166" x14ac:dyDescent="0.35">
      <c r="EW6394" t="s">
        <v>5212</v>
      </c>
      <c r="EX6394" s="44" t="s">
        <v>5549</v>
      </c>
      <c r="FF6394" s="44" t="s">
        <v>59</v>
      </c>
      <c r="FJ6394" s="44" t="s">
        <v>59</v>
      </c>
    </row>
    <row r="6395" spans="153:166" x14ac:dyDescent="0.35">
      <c r="EW6395" t="s">
        <v>5212</v>
      </c>
      <c r="EX6395" s="44" t="s">
        <v>5550</v>
      </c>
      <c r="FF6395" s="44" t="s">
        <v>59</v>
      </c>
      <c r="FJ6395" s="44" t="s">
        <v>59</v>
      </c>
    </row>
    <row r="6396" spans="153:166" x14ac:dyDescent="0.35">
      <c r="EW6396" t="s">
        <v>5212</v>
      </c>
      <c r="EX6396" s="44" t="s">
        <v>5551</v>
      </c>
      <c r="FF6396" s="44" t="s">
        <v>59</v>
      </c>
      <c r="FJ6396" s="44" t="s">
        <v>59</v>
      </c>
    </row>
    <row r="6397" spans="153:166" x14ac:dyDescent="0.35">
      <c r="EW6397" t="s">
        <v>5212</v>
      </c>
      <c r="EX6397" s="44" t="s">
        <v>5552</v>
      </c>
      <c r="FF6397" s="44" t="s">
        <v>59</v>
      </c>
      <c r="FJ6397" s="44" t="s">
        <v>59</v>
      </c>
    </row>
    <row r="6398" spans="153:166" x14ac:dyDescent="0.35">
      <c r="EW6398" t="s">
        <v>5212</v>
      </c>
      <c r="EX6398" s="44" t="s">
        <v>5553</v>
      </c>
      <c r="FF6398" s="44" t="s">
        <v>59</v>
      </c>
      <c r="FJ6398" s="44" t="s">
        <v>59</v>
      </c>
    </row>
    <row r="6399" spans="153:166" x14ac:dyDescent="0.35">
      <c r="EW6399" t="s">
        <v>5212</v>
      </c>
      <c r="EX6399" s="44" t="s">
        <v>5554</v>
      </c>
      <c r="FF6399" s="44" t="s">
        <v>59</v>
      </c>
      <c r="FJ6399" s="44" t="s">
        <v>59</v>
      </c>
    </row>
    <row r="6400" spans="153:166" x14ac:dyDescent="0.35">
      <c r="EW6400" t="s">
        <v>5212</v>
      </c>
      <c r="EX6400" s="44" t="s">
        <v>5555</v>
      </c>
      <c r="FF6400" s="44" t="s">
        <v>59</v>
      </c>
      <c r="FJ6400" s="44" t="s">
        <v>59</v>
      </c>
    </row>
    <row r="6401" spans="153:166" x14ac:dyDescent="0.35">
      <c r="EW6401" t="s">
        <v>5212</v>
      </c>
      <c r="EX6401" s="44" t="s">
        <v>5556</v>
      </c>
      <c r="FF6401" s="44" t="s">
        <v>59</v>
      </c>
      <c r="FJ6401" s="44" t="s">
        <v>59</v>
      </c>
    </row>
    <row r="6402" spans="153:166" x14ac:dyDescent="0.35">
      <c r="EW6402" t="s">
        <v>5212</v>
      </c>
      <c r="EX6402" s="44" t="s">
        <v>5557</v>
      </c>
      <c r="FF6402" s="44" t="s">
        <v>59</v>
      </c>
      <c r="FJ6402" s="44" t="s">
        <v>59</v>
      </c>
    </row>
    <row r="6403" spans="153:166" x14ac:dyDescent="0.35">
      <c r="EW6403" t="s">
        <v>5212</v>
      </c>
      <c r="EX6403" s="44" t="s">
        <v>5558</v>
      </c>
      <c r="FF6403" s="44" t="s">
        <v>59</v>
      </c>
      <c r="FJ6403" s="44" t="s">
        <v>59</v>
      </c>
    </row>
    <row r="6404" spans="153:166" x14ac:dyDescent="0.35">
      <c r="EW6404" t="s">
        <v>5212</v>
      </c>
      <c r="EX6404" s="44" t="s">
        <v>5559</v>
      </c>
      <c r="FF6404" s="44" t="s">
        <v>59</v>
      </c>
      <c r="FJ6404" s="44" t="s">
        <v>59</v>
      </c>
    </row>
    <row r="6405" spans="153:166" x14ac:dyDescent="0.35">
      <c r="EW6405" t="s">
        <v>5212</v>
      </c>
      <c r="EX6405" s="44" t="s">
        <v>5560</v>
      </c>
      <c r="FF6405" s="44" t="s">
        <v>59</v>
      </c>
      <c r="FJ6405" s="44" t="s">
        <v>59</v>
      </c>
    </row>
    <row r="6406" spans="153:166" x14ac:dyDescent="0.35">
      <c r="EW6406" t="s">
        <v>5212</v>
      </c>
      <c r="EX6406" s="44" t="s">
        <v>5561</v>
      </c>
      <c r="FF6406" s="44" t="s">
        <v>59</v>
      </c>
      <c r="FJ6406" s="44" t="s">
        <v>59</v>
      </c>
    </row>
    <row r="6407" spans="153:166" x14ac:dyDescent="0.35">
      <c r="EW6407" t="s">
        <v>5212</v>
      </c>
      <c r="EX6407" s="44" t="s">
        <v>5562</v>
      </c>
      <c r="FF6407" s="44" t="s">
        <v>59</v>
      </c>
      <c r="FJ6407" s="44" t="s">
        <v>59</v>
      </c>
    </row>
    <row r="6408" spans="153:166" x14ac:dyDescent="0.35">
      <c r="EW6408" t="s">
        <v>5212</v>
      </c>
      <c r="EX6408" s="44" t="s">
        <v>5563</v>
      </c>
      <c r="FF6408" s="44" t="s">
        <v>59</v>
      </c>
      <c r="FJ6408" s="44" t="s">
        <v>59</v>
      </c>
    </row>
    <row r="6409" spans="153:166" x14ac:dyDescent="0.35">
      <c r="EW6409" t="s">
        <v>5212</v>
      </c>
      <c r="EX6409" s="44" t="s">
        <v>5564</v>
      </c>
      <c r="FF6409" s="44" t="s">
        <v>59</v>
      </c>
      <c r="FJ6409" s="44" t="s">
        <v>59</v>
      </c>
    </row>
    <row r="6410" spans="153:166" x14ac:dyDescent="0.35">
      <c r="EW6410" t="s">
        <v>5212</v>
      </c>
      <c r="EX6410" s="44" t="s">
        <v>5565</v>
      </c>
      <c r="FF6410" s="44" t="s">
        <v>59</v>
      </c>
      <c r="FJ6410" s="44" t="s">
        <v>59</v>
      </c>
    </row>
    <row r="6411" spans="153:166" x14ac:dyDescent="0.35">
      <c r="EW6411" t="s">
        <v>5212</v>
      </c>
      <c r="EX6411" s="44" t="s">
        <v>5566</v>
      </c>
      <c r="FF6411" s="44" t="s">
        <v>59</v>
      </c>
      <c r="FJ6411" s="44" t="s">
        <v>59</v>
      </c>
    </row>
    <row r="6412" spans="153:166" x14ac:dyDescent="0.35">
      <c r="EW6412" t="s">
        <v>5212</v>
      </c>
      <c r="EX6412" s="44" t="s">
        <v>5567</v>
      </c>
      <c r="FF6412" s="44" t="s">
        <v>59</v>
      </c>
      <c r="FJ6412" s="44" t="s">
        <v>59</v>
      </c>
    </row>
    <row r="6413" spans="153:166" x14ac:dyDescent="0.35">
      <c r="EW6413" t="s">
        <v>5212</v>
      </c>
      <c r="EX6413" s="44" t="s">
        <v>5568</v>
      </c>
      <c r="FF6413" s="44" t="s">
        <v>59</v>
      </c>
      <c r="FJ6413" s="44" t="s">
        <v>59</v>
      </c>
    </row>
    <row r="6414" spans="153:166" x14ac:dyDescent="0.35">
      <c r="EW6414" t="s">
        <v>5212</v>
      </c>
      <c r="EX6414" s="44" t="s">
        <v>5569</v>
      </c>
      <c r="FF6414" s="44" t="s">
        <v>59</v>
      </c>
      <c r="FJ6414" s="44" t="s">
        <v>59</v>
      </c>
    </row>
    <row r="6415" spans="153:166" x14ac:dyDescent="0.35">
      <c r="EW6415" t="s">
        <v>5212</v>
      </c>
      <c r="EX6415" s="44" t="s">
        <v>5570</v>
      </c>
      <c r="FF6415" s="44" t="s">
        <v>59</v>
      </c>
      <c r="FJ6415" s="44" t="s">
        <v>59</v>
      </c>
    </row>
    <row r="6416" spans="153:166" x14ac:dyDescent="0.35">
      <c r="EW6416" t="s">
        <v>5212</v>
      </c>
      <c r="EX6416" s="44" t="s">
        <v>5571</v>
      </c>
      <c r="FF6416" s="44" t="s">
        <v>59</v>
      </c>
      <c r="FJ6416" s="44" t="s">
        <v>59</v>
      </c>
    </row>
    <row r="6417" spans="153:166" x14ac:dyDescent="0.35">
      <c r="EW6417" t="s">
        <v>5212</v>
      </c>
      <c r="EX6417" s="44" t="s">
        <v>5572</v>
      </c>
      <c r="FF6417" s="44" t="s">
        <v>59</v>
      </c>
      <c r="FJ6417" s="44" t="s">
        <v>59</v>
      </c>
    </row>
    <row r="6418" spans="153:166" x14ac:dyDescent="0.35">
      <c r="EW6418" t="s">
        <v>5212</v>
      </c>
      <c r="EX6418" s="44" t="s">
        <v>5573</v>
      </c>
      <c r="FF6418" s="44" t="s">
        <v>59</v>
      </c>
      <c r="FJ6418" s="44" t="s">
        <v>59</v>
      </c>
    </row>
    <row r="6419" spans="153:166" x14ac:dyDescent="0.35">
      <c r="EW6419" t="s">
        <v>5212</v>
      </c>
      <c r="EX6419" s="44" t="s">
        <v>5574</v>
      </c>
      <c r="FF6419" s="44" t="s">
        <v>59</v>
      </c>
      <c r="FJ6419" s="44" t="s">
        <v>59</v>
      </c>
    </row>
    <row r="6420" spans="153:166" x14ac:dyDescent="0.35">
      <c r="EW6420" t="s">
        <v>5212</v>
      </c>
      <c r="EX6420" s="44" t="s">
        <v>5575</v>
      </c>
      <c r="FF6420" s="44" t="s">
        <v>59</v>
      </c>
      <c r="FJ6420" s="44" t="s">
        <v>59</v>
      </c>
    </row>
    <row r="6421" spans="153:166" x14ac:dyDescent="0.35">
      <c r="EW6421" t="s">
        <v>5212</v>
      </c>
      <c r="EX6421" s="44" t="s">
        <v>5576</v>
      </c>
      <c r="FF6421" s="44" t="s">
        <v>59</v>
      </c>
      <c r="FJ6421" s="44" t="s">
        <v>59</v>
      </c>
    </row>
    <row r="6422" spans="153:166" x14ac:dyDescent="0.35">
      <c r="EW6422" t="s">
        <v>5212</v>
      </c>
      <c r="EX6422" s="44" t="s">
        <v>5577</v>
      </c>
      <c r="FF6422" s="44" t="s">
        <v>59</v>
      </c>
      <c r="FJ6422" s="44" t="s">
        <v>59</v>
      </c>
    </row>
    <row r="6423" spans="153:166" x14ac:dyDescent="0.35">
      <c r="EW6423" t="s">
        <v>5212</v>
      </c>
      <c r="EX6423" s="44" t="s">
        <v>5578</v>
      </c>
      <c r="FF6423" s="44" t="s">
        <v>59</v>
      </c>
      <c r="FJ6423" s="44" t="s">
        <v>59</v>
      </c>
    </row>
    <row r="6424" spans="153:166" x14ac:dyDescent="0.35">
      <c r="EW6424" t="s">
        <v>5212</v>
      </c>
      <c r="EX6424" s="44" t="s">
        <v>5579</v>
      </c>
      <c r="FF6424" s="44" t="s">
        <v>59</v>
      </c>
      <c r="FJ6424" s="44" t="s">
        <v>59</v>
      </c>
    </row>
    <row r="6425" spans="153:166" x14ac:dyDescent="0.35">
      <c r="EW6425" t="s">
        <v>5212</v>
      </c>
      <c r="EX6425" s="44" t="s">
        <v>5580</v>
      </c>
      <c r="FF6425" s="44" t="s">
        <v>59</v>
      </c>
      <c r="FJ6425" s="44" t="s">
        <v>59</v>
      </c>
    </row>
    <row r="6426" spans="153:166" x14ac:dyDescent="0.35">
      <c r="EW6426" t="s">
        <v>5212</v>
      </c>
      <c r="EX6426" s="44" t="s">
        <v>5581</v>
      </c>
      <c r="FF6426" s="44" t="s">
        <v>59</v>
      </c>
      <c r="FJ6426" s="44" t="s">
        <v>59</v>
      </c>
    </row>
    <row r="6427" spans="153:166" x14ac:dyDescent="0.35">
      <c r="EW6427" t="s">
        <v>5212</v>
      </c>
      <c r="EX6427" s="44" t="s">
        <v>5582</v>
      </c>
      <c r="FF6427" s="44" t="s">
        <v>59</v>
      </c>
      <c r="FJ6427" s="44" t="s">
        <v>59</v>
      </c>
    </row>
    <row r="6428" spans="153:166" x14ac:dyDescent="0.35">
      <c r="EW6428" t="s">
        <v>5212</v>
      </c>
      <c r="EX6428" s="44" t="s">
        <v>5583</v>
      </c>
      <c r="FF6428" s="44" t="s">
        <v>59</v>
      </c>
      <c r="FJ6428" s="44" t="s">
        <v>59</v>
      </c>
    </row>
    <row r="6429" spans="153:166" x14ac:dyDescent="0.35">
      <c r="EW6429" t="s">
        <v>5212</v>
      </c>
      <c r="EX6429" s="44" t="s">
        <v>5584</v>
      </c>
      <c r="FF6429" s="44" t="s">
        <v>59</v>
      </c>
      <c r="FJ6429" s="44" t="s">
        <v>59</v>
      </c>
    </row>
    <row r="6430" spans="153:166" x14ac:dyDescent="0.35">
      <c r="EW6430" t="s">
        <v>5212</v>
      </c>
      <c r="EX6430" s="44" t="s">
        <v>5585</v>
      </c>
      <c r="FF6430" s="44" t="s">
        <v>59</v>
      </c>
      <c r="FJ6430" s="44" t="s">
        <v>59</v>
      </c>
    </row>
    <row r="6431" spans="153:166" x14ac:dyDescent="0.35">
      <c r="EW6431" t="s">
        <v>5212</v>
      </c>
      <c r="EX6431" s="44" t="s">
        <v>5586</v>
      </c>
      <c r="FF6431" s="44" t="s">
        <v>59</v>
      </c>
      <c r="FJ6431" s="44" t="s">
        <v>59</v>
      </c>
    </row>
    <row r="6432" spans="153:166" x14ac:dyDescent="0.35">
      <c r="EW6432" t="s">
        <v>5212</v>
      </c>
      <c r="EX6432" s="44" t="s">
        <v>5587</v>
      </c>
      <c r="FF6432" s="44" t="s">
        <v>59</v>
      </c>
      <c r="FJ6432" s="44" t="s">
        <v>59</v>
      </c>
    </row>
    <row r="6433" spans="153:166" x14ac:dyDescent="0.35">
      <c r="EW6433" t="s">
        <v>5212</v>
      </c>
      <c r="EX6433" s="44" t="s">
        <v>5588</v>
      </c>
      <c r="FF6433" s="44" t="s">
        <v>59</v>
      </c>
      <c r="FJ6433" s="44" t="s">
        <v>59</v>
      </c>
    </row>
    <row r="6434" spans="153:166" x14ac:dyDescent="0.35">
      <c r="EW6434" t="s">
        <v>5212</v>
      </c>
      <c r="EX6434" s="44" t="s">
        <v>5589</v>
      </c>
      <c r="FF6434" s="44" t="s">
        <v>59</v>
      </c>
      <c r="FJ6434" s="44" t="s">
        <v>59</v>
      </c>
    </row>
    <row r="6435" spans="153:166" x14ac:dyDescent="0.35">
      <c r="EW6435" t="s">
        <v>5212</v>
      </c>
      <c r="EX6435" s="44" t="s">
        <v>5590</v>
      </c>
      <c r="FF6435" s="44" t="s">
        <v>59</v>
      </c>
      <c r="FJ6435" s="44" t="s">
        <v>59</v>
      </c>
    </row>
    <row r="6436" spans="153:166" x14ac:dyDescent="0.35">
      <c r="EW6436" t="s">
        <v>5212</v>
      </c>
      <c r="EX6436" s="44" t="s">
        <v>5591</v>
      </c>
      <c r="FF6436" s="44" t="s">
        <v>59</v>
      </c>
      <c r="FJ6436" s="44" t="s">
        <v>59</v>
      </c>
    </row>
    <row r="6437" spans="153:166" x14ac:dyDescent="0.35">
      <c r="EW6437" t="s">
        <v>5212</v>
      </c>
      <c r="EX6437" s="44" t="s">
        <v>5592</v>
      </c>
      <c r="FF6437" s="44" t="s">
        <v>59</v>
      </c>
      <c r="FJ6437" s="44" t="s">
        <v>59</v>
      </c>
    </row>
    <row r="6438" spans="153:166" x14ac:dyDescent="0.35">
      <c r="EW6438" t="s">
        <v>5212</v>
      </c>
      <c r="EX6438" s="44" t="s">
        <v>5593</v>
      </c>
      <c r="FF6438" s="44" t="s">
        <v>59</v>
      </c>
      <c r="FJ6438" s="44" t="s">
        <v>59</v>
      </c>
    </row>
    <row r="6439" spans="153:166" x14ac:dyDescent="0.35">
      <c r="EW6439" t="s">
        <v>5212</v>
      </c>
      <c r="EX6439" s="44" t="s">
        <v>5594</v>
      </c>
      <c r="FF6439" s="44" t="s">
        <v>59</v>
      </c>
      <c r="FJ6439" s="44" t="s">
        <v>59</v>
      </c>
    </row>
    <row r="6440" spans="153:166" x14ac:dyDescent="0.35">
      <c r="EW6440" t="s">
        <v>5212</v>
      </c>
      <c r="EX6440" s="44" t="s">
        <v>5595</v>
      </c>
      <c r="FF6440" s="44" t="s">
        <v>59</v>
      </c>
      <c r="FJ6440" s="44" t="s">
        <v>59</v>
      </c>
    </row>
    <row r="6441" spans="153:166" x14ac:dyDescent="0.35">
      <c r="EW6441" t="s">
        <v>5212</v>
      </c>
      <c r="EX6441" s="44" t="s">
        <v>5596</v>
      </c>
      <c r="FF6441" s="44" t="s">
        <v>59</v>
      </c>
      <c r="FJ6441" s="44" t="s">
        <v>59</v>
      </c>
    </row>
    <row r="6442" spans="153:166" x14ac:dyDescent="0.35">
      <c r="EW6442" t="s">
        <v>5212</v>
      </c>
      <c r="EX6442" s="44" t="s">
        <v>5597</v>
      </c>
      <c r="FF6442" s="44" t="s">
        <v>59</v>
      </c>
      <c r="FJ6442" s="44" t="s">
        <v>59</v>
      </c>
    </row>
    <row r="6443" spans="153:166" x14ac:dyDescent="0.35">
      <c r="EW6443" t="s">
        <v>5212</v>
      </c>
      <c r="EX6443" s="44" t="s">
        <v>5598</v>
      </c>
      <c r="FF6443" s="44" t="s">
        <v>59</v>
      </c>
      <c r="FJ6443" s="44" t="s">
        <v>59</v>
      </c>
    </row>
    <row r="6444" spans="153:166" x14ac:dyDescent="0.35">
      <c r="EW6444" t="s">
        <v>5212</v>
      </c>
      <c r="EX6444" s="44" t="s">
        <v>5599</v>
      </c>
      <c r="FF6444" s="44" t="s">
        <v>59</v>
      </c>
      <c r="FJ6444" s="44" t="s">
        <v>59</v>
      </c>
    </row>
    <row r="6445" spans="153:166" x14ac:dyDescent="0.35">
      <c r="EW6445" t="s">
        <v>5212</v>
      </c>
      <c r="EX6445" s="44" t="s">
        <v>5600</v>
      </c>
      <c r="FF6445" s="44" t="s">
        <v>59</v>
      </c>
      <c r="FJ6445" s="44" t="s">
        <v>59</v>
      </c>
    </row>
    <row r="6446" spans="153:166" x14ac:dyDescent="0.35">
      <c r="EW6446" t="s">
        <v>5212</v>
      </c>
      <c r="EX6446" s="44" t="s">
        <v>5601</v>
      </c>
      <c r="FF6446" s="44" t="s">
        <v>59</v>
      </c>
      <c r="FJ6446" s="44" t="s">
        <v>59</v>
      </c>
    </row>
    <row r="6447" spans="153:166" x14ac:dyDescent="0.35">
      <c r="EW6447" t="s">
        <v>5212</v>
      </c>
      <c r="EX6447" s="44" t="s">
        <v>5602</v>
      </c>
      <c r="FF6447" s="44" t="s">
        <v>59</v>
      </c>
      <c r="FJ6447" s="44" t="s">
        <v>59</v>
      </c>
    </row>
    <row r="6448" spans="153:166" x14ac:dyDescent="0.35">
      <c r="EW6448" t="s">
        <v>5212</v>
      </c>
      <c r="EX6448" s="44" t="s">
        <v>5603</v>
      </c>
      <c r="FF6448" s="44" t="s">
        <v>59</v>
      </c>
      <c r="FJ6448" s="44" t="s">
        <v>59</v>
      </c>
    </row>
    <row r="6449" spans="153:166" x14ac:dyDescent="0.35">
      <c r="EW6449" t="s">
        <v>5212</v>
      </c>
      <c r="EX6449" s="44" t="s">
        <v>5604</v>
      </c>
      <c r="FF6449" s="44" t="s">
        <v>59</v>
      </c>
      <c r="FJ6449" s="44" t="s">
        <v>59</v>
      </c>
    </row>
    <row r="6450" spans="153:166" x14ac:dyDescent="0.35">
      <c r="EW6450" t="s">
        <v>5212</v>
      </c>
      <c r="EX6450" s="44" t="s">
        <v>5605</v>
      </c>
      <c r="FF6450" s="44" t="s">
        <v>59</v>
      </c>
      <c r="FJ6450" s="44" t="s">
        <v>59</v>
      </c>
    </row>
    <row r="6451" spans="153:166" x14ac:dyDescent="0.35">
      <c r="EW6451" t="s">
        <v>5212</v>
      </c>
      <c r="EX6451" s="44" t="s">
        <v>5606</v>
      </c>
      <c r="FF6451" s="44" t="s">
        <v>59</v>
      </c>
      <c r="FJ6451" s="44" t="s">
        <v>59</v>
      </c>
    </row>
    <row r="6452" spans="153:166" x14ac:dyDescent="0.35">
      <c r="EW6452" t="s">
        <v>5212</v>
      </c>
      <c r="EX6452" s="44" t="s">
        <v>5607</v>
      </c>
      <c r="FF6452" s="44" t="s">
        <v>59</v>
      </c>
      <c r="FJ6452" s="44" t="s">
        <v>59</v>
      </c>
    </row>
    <row r="6453" spans="153:166" x14ac:dyDescent="0.35">
      <c r="EW6453" t="s">
        <v>5212</v>
      </c>
      <c r="EX6453" s="44" t="s">
        <v>5608</v>
      </c>
      <c r="FF6453" s="44" t="s">
        <v>59</v>
      </c>
      <c r="FJ6453" s="44" t="s">
        <v>59</v>
      </c>
    </row>
    <row r="6454" spans="153:166" x14ac:dyDescent="0.35">
      <c r="EW6454" t="s">
        <v>5212</v>
      </c>
      <c r="EX6454" s="44" t="s">
        <v>5609</v>
      </c>
      <c r="FF6454" s="44" t="s">
        <v>59</v>
      </c>
      <c r="FJ6454" s="44" t="s">
        <v>59</v>
      </c>
    </row>
    <row r="6455" spans="153:166" x14ac:dyDescent="0.35">
      <c r="EW6455" t="s">
        <v>5212</v>
      </c>
      <c r="EX6455" s="44" t="s">
        <v>5610</v>
      </c>
      <c r="FF6455" s="44" t="s">
        <v>59</v>
      </c>
      <c r="FJ6455" s="44" t="s">
        <v>59</v>
      </c>
    </row>
    <row r="6456" spans="153:166" x14ac:dyDescent="0.35">
      <c r="EW6456" t="s">
        <v>5212</v>
      </c>
      <c r="EX6456" s="44" t="s">
        <v>5611</v>
      </c>
      <c r="FF6456" s="44" t="s">
        <v>59</v>
      </c>
      <c r="FJ6456" s="44" t="s">
        <v>59</v>
      </c>
    </row>
    <row r="6457" spans="153:166" x14ac:dyDescent="0.35">
      <c r="EW6457" t="s">
        <v>5212</v>
      </c>
      <c r="EX6457" s="44" t="s">
        <v>5612</v>
      </c>
      <c r="FF6457" s="44" t="s">
        <v>59</v>
      </c>
      <c r="FJ6457" s="44" t="s">
        <v>59</v>
      </c>
    </row>
    <row r="6458" spans="153:166" x14ac:dyDescent="0.35">
      <c r="EW6458" t="s">
        <v>5212</v>
      </c>
      <c r="EX6458" s="44" t="s">
        <v>5613</v>
      </c>
      <c r="FF6458" s="44" t="s">
        <v>59</v>
      </c>
      <c r="FJ6458" s="44" t="s">
        <v>59</v>
      </c>
    </row>
    <row r="6459" spans="153:166" x14ac:dyDescent="0.35">
      <c r="EW6459" t="s">
        <v>5212</v>
      </c>
      <c r="EX6459" s="44" t="s">
        <v>5614</v>
      </c>
      <c r="FF6459" s="44" t="s">
        <v>59</v>
      </c>
      <c r="FJ6459" s="44" t="s">
        <v>59</v>
      </c>
    </row>
    <row r="6460" spans="153:166" x14ac:dyDescent="0.35">
      <c r="EW6460" t="s">
        <v>5212</v>
      </c>
      <c r="EX6460" s="44" t="s">
        <v>5615</v>
      </c>
      <c r="FF6460" s="44" t="s">
        <v>59</v>
      </c>
      <c r="FJ6460" s="44" t="s">
        <v>59</v>
      </c>
    </row>
    <row r="6461" spans="153:166" x14ac:dyDescent="0.35">
      <c r="EW6461" t="s">
        <v>5212</v>
      </c>
      <c r="EX6461" s="44" t="s">
        <v>5616</v>
      </c>
      <c r="FF6461" s="44" t="s">
        <v>59</v>
      </c>
      <c r="FJ6461" s="44" t="s">
        <v>59</v>
      </c>
    </row>
    <row r="6462" spans="153:166" x14ac:dyDescent="0.35">
      <c r="EW6462" t="s">
        <v>5212</v>
      </c>
      <c r="EX6462" s="44" t="s">
        <v>5617</v>
      </c>
      <c r="FF6462" s="44" t="s">
        <v>59</v>
      </c>
      <c r="FJ6462" s="44" t="s">
        <v>59</v>
      </c>
    </row>
    <row r="6463" spans="153:166" x14ac:dyDescent="0.35">
      <c r="EW6463" t="s">
        <v>5212</v>
      </c>
      <c r="EX6463" s="44" t="s">
        <v>5618</v>
      </c>
      <c r="FF6463" s="44" t="s">
        <v>59</v>
      </c>
      <c r="FJ6463" s="44" t="s">
        <v>59</v>
      </c>
    </row>
    <row r="6464" spans="153:166" x14ac:dyDescent="0.35">
      <c r="EW6464" t="s">
        <v>5212</v>
      </c>
      <c r="EX6464" s="44" t="s">
        <v>5619</v>
      </c>
      <c r="FF6464" s="44" t="s">
        <v>59</v>
      </c>
      <c r="FJ6464" s="44" t="s">
        <v>59</v>
      </c>
    </row>
    <row r="6465" spans="153:166" x14ac:dyDescent="0.35">
      <c r="EW6465" t="s">
        <v>5212</v>
      </c>
      <c r="EX6465" s="44" t="s">
        <v>5620</v>
      </c>
      <c r="FF6465" s="44" t="s">
        <v>59</v>
      </c>
      <c r="FJ6465" s="44" t="s">
        <v>59</v>
      </c>
    </row>
    <row r="6466" spans="153:166" x14ac:dyDescent="0.35">
      <c r="EW6466" t="s">
        <v>5212</v>
      </c>
      <c r="EX6466" s="44" t="s">
        <v>5621</v>
      </c>
      <c r="FF6466" s="44" t="s">
        <v>59</v>
      </c>
      <c r="FJ6466" s="44" t="s">
        <v>59</v>
      </c>
    </row>
    <row r="6467" spans="153:166" x14ac:dyDescent="0.35">
      <c r="EW6467" t="s">
        <v>5212</v>
      </c>
      <c r="EX6467" s="44" t="s">
        <v>5622</v>
      </c>
      <c r="FF6467" s="44" t="s">
        <v>59</v>
      </c>
      <c r="FJ6467" s="44" t="s">
        <v>59</v>
      </c>
    </row>
    <row r="6468" spans="153:166" x14ac:dyDescent="0.35">
      <c r="EW6468" t="s">
        <v>5212</v>
      </c>
      <c r="EX6468" s="44" t="s">
        <v>5623</v>
      </c>
      <c r="FF6468" s="44" t="s">
        <v>59</v>
      </c>
      <c r="FJ6468" s="44" t="s">
        <v>59</v>
      </c>
    </row>
    <row r="6469" spans="153:166" x14ac:dyDescent="0.35">
      <c r="EW6469" t="s">
        <v>5212</v>
      </c>
      <c r="EX6469" s="44" t="s">
        <v>5624</v>
      </c>
      <c r="FF6469" s="44" t="s">
        <v>59</v>
      </c>
      <c r="FJ6469" s="44" t="s">
        <v>59</v>
      </c>
    </row>
    <row r="6470" spans="153:166" x14ac:dyDescent="0.35">
      <c r="EW6470" t="s">
        <v>5212</v>
      </c>
      <c r="EX6470" s="44" t="s">
        <v>5625</v>
      </c>
      <c r="FF6470" s="44" t="s">
        <v>59</v>
      </c>
      <c r="FJ6470" s="44" t="s">
        <v>59</v>
      </c>
    </row>
    <row r="6471" spans="153:166" x14ac:dyDescent="0.35">
      <c r="EW6471" t="s">
        <v>5212</v>
      </c>
      <c r="EX6471" s="44" t="s">
        <v>5626</v>
      </c>
      <c r="FF6471" s="44" t="s">
        <v>59</v>
      </c>
      <c r="FJ6471" s="44" t="s">
        <v>59</v>
      </c>
    </row>
    <row r="6472" spans="153:166" x14ac:dyDescent="0.35">
      <c r="EW6472" t="s">
        <v>5212</v>
      </c>
      <c r="EX6472" s="44" t="s">
        <v>5627</v>
      </c>
      <c r="FF6472" s="44" t="s">
        <v>59</v>
      </c>
      <c r="FJ6472" s="44" t="s">
        <v>59</v>
      </c>
    </row>
    <row r="6473" spans="153:166" x14ac:dyDescent="0.35">
      <c r="EW6473" t="s">
        <v>5212</v>
      </c>
      <c r="EX6473" s="44" t="s">
        <v>5628</v>
      </c>
      <c r="FF6473" s="44" t="s">
        <v>59</v>
      </c>
      <c r="FJ6473" s="44" t="s">
        <v>59</v>
      </c>
    </row>
    <row r="6474" spans="153:166" x14ac:dyDescent="0.35">
      <c r="EW6474" t="s">
        <v>5212</v>
      </c>
      <c r="EX6474" s="44" t="s">
        <v>5629</v>
      </c>
      <c r="FF6474" s="44" t="s">
        <v>59</v>
      </c>
      <c r="FJ6474" s="44" t="s">
        <v>59</v>
      </c>
    </row>
    <row r="6475" spans="153:166" x14ac:dyDescent="0.35">
      <c r="EW6475" t="s">
        <v>5212</v>
      </c>
      <c r="EX6475" s="44" t="s">
        <v>5630</v>
      </c>
      <c r="FF6475" s="44" t="s">
        <v>59</v>
      </c>
      <c r="FJ6475" s="44" t="s">
        <v>59</v>
      </c>
    </row>
    <row r="6476" spans="153:166" x14ac:dyDescent="0.35">
      <c r="EW6476" t="s">
        <v>5212</v>
      </c>
      <c r="EX6476" s="44" t="s">
        <v>5631</v>
      </c>
      <c r="FF6476" s="44" t="s">
        <v>59</v>
      </c>
      <c r="FJ6476" s="44" t="s">
        <v>59</v>
      </c>
    </row>
    <row r="6477" spans="153:166" x14ac:dyDescent="0.35">
      <c r="EW6477" t="s">
        <v>5212</v>
      </c>
      <c r="EX6477" s="44" t="s">
        <v>5632</v>
      </c>
      <c r="FF6477" s="44" t="s">
        <v>59</v>
      </c>
      <c r="FJ6477" s="44" t="s">
        <v>59</v>
      </c>
    </row>
    <row r="6478" spans="153:166" x14ac:dyDescent="0.35">
      <c r="EW6478" t="s">
        <v>5212</v>
      </c>
      <c r="EX6478" s="44" t="s">
        <v>5633</v>
      </c>
      <c r="FF6478" s="44" t="s">
        <v>59</v>
      </c>
      <c r="FJ6478" s="44" t="s">
        <v>59</v>
      </c>
    </row>
    <row r="6479" spans="153:166" x14ac:dyDescent="0.35">
      <c r="EW6479" t="s">
        <v>5212</v>
      </c>
      <c r="EX6479" s="44" t="s">
        <v>5634</v>
      </c>
      <c r="FF6479" s="44" t="s">
        <v>59</v>
      </c>
      <c r="FJ6479" s="44" t="s">
        <v>59</v>
      </c>
    </row>
    <row r="6480" spans="153:166" x14ac:dyDescent="0.35">
      <c r="EW6480" t="s">
        <v>5212</v>
      </c>
      <c r="EX6480" s="44" t="s">
        <v>5635</v>
      </c>
      <c r="FF6480" s="44" t="s">
        <v>59</v>
      </c>
      <c r="FJ6480" s="44" t="s">
        <v>59</v>
      </c>
    </row>
    <row r="6481" spans="153:166" x14ac:dyDescent="0.35">
      <c r="EW6481" t="s">
        <v>5212</v>
      </c>
      <c r="EX6481" s="44" t="s">
        <v>5636</v>
      </c>
      <c r="FF6481" s="44" t="s">
        <v>1727</v>
      </c>
      <c r="FJ6481" s="44" t="s">
        <v>1727</v>
      </c>
    </row>
    <row r="6482" spans="153:166" x14ac:dyDescent="0.35">
      <c r="EW6482" t="s">
        <v>5212</v>
      </c>
      <c r="EX6482" s="44" t="s">
        <v>5637</v>
      </c>
      <c r="FF6482" s="44" t="s">
        <v>1727</v>
      </c>
      <c r="FJ6482" s="44" t="s">
        <v>1727</v>
      </c>
    </row>
    <row r="6483" spans="153:166" x14ac:dyDescent="0.35">
      <c r="EW6483" t="s">
        <v>5212</v>
      </c>
      <c r="EX6483" s="44" t="s">
        <v>5638</v>
      </c>
      <c r="FF6483" s="44" t="s">
        <v>1727</v>
      </c>
      <c r="FJ6483" s="44" t="s">
        <v>1727</v>
      </c>
    </row>
    <row r="6484" spans="153:166" x14ac:dyDescent="0.35">
      <c r="EW6484" t="s">
        <v>5212</v>
      </c>
      <c r="EX6484" s="44" t="s">
        <v>5639</v>
      </c>
      <c r="FF6484" s="44" t="s">
        <v>1727</v>
      </c>
      <c r="FJ6484" s="44" t="s">
        <v>1727</v>
      </c>
    </row>
    <row r="6485" spans="153:166" x14ac:dyDescent="0.35">
      <c r="EW6485" t="s">
        <v>5212</v>
      </c>
      <c r="EX6485" s="44" t="s">
        <v>5640</v>
      </c>
      <c r="FF6485" s="44" t="s">
        <v>1727</v>
      </c>
      <c r="FJ6485" s="44" t="s">
        <v>1727</v>
      </c>
    </row>
    <row r="6486" spans="153:166" x14ac:dyDescent="0.35">
      <c r="EW6486" t="s">
        <v>5212</v>
      </c>
      <c r="EX6486" s="44" t="s">
        <v>5641</v>
      </c>
      <c r="FF6486" s="44" t="s">
        <v>1727</v>
      </c>
      <c r="FJ6486" s="44" t="s">
        <v>1727</v>
      </c>
    </row>
    <row r="6487" spans="153:166" x14ac:dyDescent="0.35">
      <c r="EW6487" t="s">
        <v>5212</v>
      </c>
      <c r="EX6487" s="44" t="s">
        <v>5642</v>
      </c>
      <c r="FF6487" s="44" t="s">
        <v>1727</v>
      </c>
      <c r="FJ6487" s="44" t="s">
        <v>1727</v>
      </c>
    </row>
    <row r="6488" spans="153:166" x14ac:dyDescent="0.35">
      <c r="EW6488" t="s">
        <v>5212</v>
      </c>
      <c r="EX6488" s="44" t="s">
        <v>5643</v>
      </c>
      <c r="FF6488" s="44" t="s">
        <v>1727</v>
      </c>
      <c r="FJ6488" s="44" t="s">
        <v>1727</v>
      </c>
    </row>
    <row r="6489" spans="153:166" x14ac:dyDescent="0.35">
      <c r="EW6489" t="s">
        <v>5212</v>
      </c>
      <c r="EX6489" s="44" t="s">
        <v>5644</v>
      </c>
      <c r="FF6489" s="44" t="s">
        <v>55</v>
      </c>
      <c r="FJ6489" s="44" t="s">
        <v>55</v>
      </c>
    </row>
    <row r="6490" spans="153:166" x14ac:dyDescent="0.35">
      <c r="EW6490" t="s">
        <v>5212</v>
      </c>
      <c r="EX6490" s="44" t="s">
        <v>5645</v>
      </c>
      <c r="FF6490" s="44" t="s">
        <v>55</v>
      </c>
      <c r="FJ6490" s="44" t="s">
        <v>55</v>
      </c>
    </row>
    <row r="6491" spans="153:166" x14ac:dyDescent="0.35">
      <c r="EW6491" t="s">
        <v>5212</v>
      </c>
      <c r="EX6491" s="44" t="s">
        <v>5646</v>
      </c>
      <c r="FF6491" s="44" t="s">
        <v>1727</v>
      </c>
      <c r="FJ6491" s="44" t="s">
        <v>1727</v>
      </c>
    </row>
    <row r="6492" spans="153:166" x14ac:dyDescent="0.35">
      <c r="EW6492" t="s">
        <v>5212</v>
      </c>
      <c r="EX6492" s="44" t="s">
        <v>5647</v>
      </c>
      <c r="FF6492" s="44" t="s">
        <v>1727</v>
      </c>
      <c r="FJ6492" s="44" t="s">
        <v>1727</v>
      </c>
    </row>
    <row r="6493" spans="153:166" x14ac:dyDescent="0.35">
      <c r="EW6493" t="s">
        <v>5212</v>
      </c>
      <c r="EX6493" s="44" t="s">
        <v>5648</v>
      </c>
      <c r="FF6493" s="44" t="s">
        <v>474</v>
      </c>
      <c r="FJ6493" s="44" t="s">
        <v>474</v>
      </c>
    </row>
    <row r="6494" spans="153:166" x14ac:dyDescent="0.35">
      <c r="EW6494" t="s">
        <v>5212</v>
      </c>
      <c r="EX6494" s="44" t="s">
        <v>5649</v>
      </c>
      <c r="FF6494" s="44" t="s">
        <v>474</v>
      </c>
      <c r="FJ6494" s="44" t="s">
        <v>474</v>
      </c>
    </row>
    <row r="6495" spans="153:166" x14ac:dyDescent="0.35">
      <c r="EW6495" t="s">
        <v>5212</v>
      </c>
      <c r="EX6495" s="44" t="s">
        <v>5650</v>
      </c>
      <c r="FF6495" s="44" t="s">
        <v>474</v>
      </c>
      <c r="FJ6495" s="44" t="s">
        <v>474</v>
      </c>
    </row>
    <row r="6496" spans="153:166" x14ac:dyDescent="0.35">
      <c r="EW6496" t="s">
        <v>5212</v>
      </c>
      <c r="EX6496" s="44" t="s">
        <v>5651</v>
      </c>
      <c r="FF6496" s="44" t="s">
        <v>474</v>
      </c>
      <c r="FJ6496" s="44" t="s">
        <v>474</v>
      </c>
    </row>
    <row r="6497" spans="153:166" x14ac:dyDescent="0.35">
      <c r="EW6497" t="s">
        <v>5212</v>
      </c>
      <c r="EX6497" s="44" t="s">
        <v>5652</v>
      </c>
      <c r="FF6497" s="44" t="s">
        <v>474</v>
      </c>
      <c r="FJ6497" s="44" t="s">
        <v>474</v>
      </c>
    </row>
    <row r="6498" spans="153:166" x14ac:dyDescent="0.35">
      <c r="EW6498" t="s">
        <v>5212</v>
      </c>
      <c r="EX6498" s="44" t="s">
        <v>5653</v>
      </c>
      <c r="FF6498" s="44" t="s">
        <v>474</v>
      </c>
      <c r="FJ6498" s="44" t="s">
        <v>474</v>
      </c>
    </row>
    <row r="6499" spans="153:166" x14ac:dyDescent="0.35">
      <c r="EW6499" t="s">
        <v>5212</v>
      </c>
      <c r="EX6499" s="44" t="s">
        <v>5654</v>
      </c>
      <c r="FF6499" s="44" t="s">
        <v>474</v>
      </c>
      <c r="FJ6499" s="44" t="s">
        <v>474</v>
      </c>
    </row>
    <row r="6500" spans="153:166" x14ac:dyDescent="0.35">
      <c r="EW6500" t="s">
        <v>5212</v>
      </c>
      <c r="EX6500" s="44" t="s">
        <v>5655</v>
      </c>
      <c r="FF6500" s="44" t="s">
        <v>474</v>
      </c>
      <c r="FJ6500" s="44" t="s">
        <v>474</v>
      </c>
    </row>
    <row r="6501" spans="153:166" x14ac:dyDescent="0.35">
      <c r="EW6501" t="s">
        <v>5212</v>
      </c>
      <c r="EX6501" s="44" t="s">
        <v>5656</v>
      </c>
      <c r="FF6501" s="44" t="s">
        <v>474</v>
      </c>
      <c r="FJ6501" s="44" t="s">
        <v>474</v>
      </c>
    </row>
    <row r="6502" spans="153:166" x14ac:dyDescent="0.35">
      <c r="EW6502" t="s">
        <v>5212</v>
      </c>
      <c r="EX6502" s="44" t="s">
        <v>5657</v>
      </c>
      <c r="FF6502" s="44" t="s">
        <v>474</v>
      </c>
      <c r="FJ6502" s="44" t="s">
        <v>474</v>
      </c>
    </row>
    <row r="6503" spans="153:166" x14ac:dyDescent="0.35">
      <c r="EW6503" t="s">
        <v>5212</v>
      </c>
      <c r="EX6503" s="44" t="s">
        <v>5658</v>
      </c>
      <c r="FF6503" s="44" t="s">
        <v>474</v>
      </c>
      <c r="FJ6503" s="44" t="s">
        <v>474</v>
      </c>
    </row>
    <row r="6504" spans="153:166" x14ac:dyDescent="0.35">
      <c r="EW6504" t="s">
        <v>5212</v>
      </c>
      <c r="EX6504" s="44" t="s">
        <v>5659</v>
      </c>
      <c r="FF6504" s="44" t="s">
        <v>474</v>
      </c>
      <c r="FJ6504" s="44" t="s">
        <v>474</v>
      </c>
    </row>
    <row r="6505" spans="153:166" x14ac:dyDescent="0.35">
      <c r="EW6505" t="s">
        <v>5212</v>
      </c>
      <c r="EX6505" s="44" t="s">
        <v>5660</v>
      </c>
      <c r="FF6505" s="44" t="s">
        <v>474</v>
      </c>
      <c r="FJ6505" s="44" t="s">
        <v>474</v>
      </c>
    </row>
    <row r="6506" spans="153:166" x14ac:dyDescent="0.35">
      <c r="EW6506" t="s">
        <v>5212</v>
      </c>
      <c r="EX6506" s="44" t="s">
        <v>5661</v>
      </c>
      <c r="FF6506" s="44" t="s">
        <v>474</v>
      </c>
      <c r="FJ6506" s="44" t="s">
        <v>474</v>
      </c>
    </row>
    <row r="6507" spans="153:166" x14ac:dyDescent="0.35">
      <c r="EW6507" t="s">
        <v>5212</v>
      </c>
      <c r="EX6507" s="44" t="s">
        <v>5662</v>
      </c>
      <c r="FF6507" s="44" t="s">
        <v>474</v>
      </c>
      <c r="FJ6507" s="44" t="s">
        <v>474</v>
      </c>
    </row>
    <row r="6508" spans="153:166" x14ac:dyDescent="0.35">
      <c r="EW6508" t="s">
        <v>5212</v>
      </c>
      <c r="EX6508" s="44" t="s">
        <v>5663</v>
      </c>
      <c r="FF6508" s="44" t="s">
        <v>474</v>
      </c>
      <c r="FJ6508" s="44" t="s">
        <v>474</v>
      </c>
    </row>
    <row r="6509" spans="153:166" x14ac:dyDescent="0.35">
      <c r="EW6509" t="s">
        <v>5212</v>
      </c>
      <c r="EX6509" s="44" t="s">
        <v>5664</v>
      </c>
      <c r="FF6509" s="44" t="s">
        <v>474</v>
      </c>
      <c r="FJ6509" s="44" t="s">
        <v>474</v>
      </c>
    </row>
    <row r="6510" spans="153:166" x14ac:dyDescent="0.35">
      <c r="EW6510" t="s">
        <v>5212</v>
      </c>
      <c r="EX6510" s="44" t="s">
        <v>5665</v>
      </c>
      <c r="FF6510" s="44" t="s">
        <v>474</v>
      </c>
      <c r="FJ6510" s="44" t="s">
        <v>474</v>
      </c>
    </row>
    <row r="6511" spans="153:166" x14ac:dyDescent="0.35">
      <c r="EW6511" t="s">
        <v>5212</v>
      </c>
      <c r="EX6511" s="44" t="s">
        <v>5666</v>
      </c>
      <c r="FF6511" s="44" t="s">
        <v>474</v>
      </c>
      <c r="FJ6511" s="44" t="s">
        <v>474</v>
      </c>
    </row>
    <row r="6512" spans="153:166" x14ac:dyDescent="0.35">
      <c r="EW6512" t="s">
        <v>5212</v>
      </c>
      <c r="EX6512" s="44" t="s">
        <v>5667</v>
      </c>
      <c r="FF6512" s="44" t="s">
        <v>474</v>
      </c>
      <c r="FJ6512" s="44" t="s">
        <v>474</v>
      </c>
    </row>
    <row r="6513" spans="153:166" x14ac:dyDescent="0.35">
      <c r="EW6513" t="s">
        <v>5212</v>
      </c>
      <c r="EX6513" s="44" t="s">
        <v>5668</v>
      </c>
      <c r="FF6513" s="44" t="s">
        <v>474</v>
      </c>
      <c r="FJ6513" s="44" t="s">
        <v>474</v>
      </c>
    </row>
    <row r="6514" spans="153:166" x14ac:dyDescent="0.35">
      <c r="EW6514" t="s">
        <v>5212</v>
      </c>
      <c r="EX6514" s="44" t="s">
        <v>5669</v>
      </c>
      <c r="FF6514" s="44" t="s">
        <v>474</v>
      </c>
      <c r="FJ6514" s="44" t="s">
        <v>474</v>
      </c>
    </row>
    <row r="6515" spans="153:166" x14ac:dyDescent="0.35">
      <c r="EW6515" t="s">
        <v>5212</v>
      </c>
      <c r="EX6515" s="44" t="s">
        <v>5670</v>
      </c>
      <c r="FF6515" s="44" t="s">
        <v>474</v>
      </c>
      <c r="FJ6515" s="44" t="s">
        <v>474</v>
      </c>
    </row>
    <row r="6516" spans="153:166" x14ac:dyDescent="0.35">
      <c r="EW6516" t="s">
        <v>5212</v>
      </c>
      <c r="EX6516" s="44" t="s">
        <v>5671</v>
      </c>
      <c r="FF6516" s="44" t="s">
        <v>474</v>
      </c>
      <c r="FJ6516" s="44" t="s">
        <v>474</v>
      </c>
    </row>
    <row r="6517" spans="153:166" x14ac:dyDescent="0.35">
      <c r="EW6517" t="s">
        <v>5212</v>
      </c>
      <c r="EX6517" s="44" t="s">
        <v>5672</v>
      </c>
      <c r="FF6517" s="44" t="s">
        <v>474</v>
      </c>
      <c r="FJ6517" s="44" t="s">
        <v>474</v>
      </c>
    </row>
    <row r="6518" spans="153:166" x14ac:dyDescent="0.35">
      <c r="EW6518" t="s">
        <v>5212</v>
      </c>
      <c r="EX6518" s="44" t="s">
        <v>5673</v>
      </c>
      <c r="FF6518" s="44" t="s">
        <v>474</v>
      </c>
      <c r="FJ6518" s="44" t="s">
        <v>474</v>
      </c>
    </row>
    <row r="6519" spans="153:166" x14ac:dyDescent="0.35">
      <c r="EW6519" t="s">
        <v>5212</v>
      </c>
      <c r="EX6519" s="44" t="s">
        <v>5674</v>
      </c>
      <c r="FF6519" s="44" t="s">
        <v>474</v>
      </c>
      <c r="FJ6519" s="44" t="s">
        <v>474</v>
      </c>
    </row>
    <row r="6520" spans="153:166" x14ac:dyDescent="0.35">
      <c r="EW6520" t="s">
        <v>5212</v>
      </c>
      <c r="EX6520" s="44" t="s">
        <v>5675</v>
      </c>
      <c r="FF6520" s="44" t="s">
        <v>474</v>
      </c>
      <c r="FJ6520" s="44" t="s">
        <v>474</v>
      </c>
    </row>
    <row r="6521" spans="153:166" x14ac:dyDescent="0.35">
      <c r="EW6521" t="s">
        <v>5212</v>
      </c>
      <c r="EX6521" s="44" t="s">
        <v>5676</v>
      </c>
      <c r="FF6521" s="44" t="s">
        <v>474</v>
      </c>
      <c r="FJ6521" s="44" t="s">
        <v>474</v>
      </c>
    </row>
    <row r="6522" spans="153:166" x14ac:dyDescent="0.35">
      <c r="EW6522" t="s">
        <v>5212</v>
      </c>
      <c r="EX6522" s="44" t="s">
        <v>5677</v>
      </c>
      <c r="FF6522" s="44" t="s">
        <v>474</v>
      </c>
      <c r="FJ6522" s="44" t="s">
        <v>474</v>
      </c>
    </row>
    <row r="6523" spans="153:166" x14ac:dyDescent="0.35">
      <c r="EW6523" t="s">
        <v>5212</v>
      </c>
      <c r="EX6523" s="44" t="s">
        <v>5678</v>
      </c>
      <c r="FF6523" s="44" t="s">
        <v>474</v>
      </c>
      <c r="FJ6523" s="44" t="s">
        <v>474</v>
      </c>
    </row>
    <row r="6524" spans="153:166" x14ac:dyDescent="0.35">
      <c r="EW6524" t="s">
        <v>5212</v>
      </c>
      <c r="EX6524" s="44" t="s">
        <v>5679</v>
      </c>
      <c r="FF6524" s="44" t="s">
        <v>474</v>
      </c>
      <c r="FJ6524" s="44" t="s">
        <v>474</v>
      </c>
    </row>
    <row r="6525" spans="153:166" x14ac:dyDescent="0.35">
      <c r="EW6525" t="s">
        <v>5212</v>
      </c>
      <c r="EX6525" s="44" t="s">
        <v>5680</v>
      </c>
      <c r="FF6525" s="44" t="s">
        <v>474</v>
      </c>
      <c r="FJ6525" s="44" t="s">
        <v>474</v>
      </c>
    </row>
    <row r="6526" spans="153:166" x14ac:dyDescent="0.35">
      <c r="EW6526" t="s">
        <v>5212</v>
      </c>
      <c r="EX6526" s="44" t="s">
        <v>5681</v>
      </c>
      <c r="FF6526" s="44" t="s">
        <v>474</v>
      </c>
      <c r="FJ6526" s="44" t="s">
        <v>474</v>
      </c>
    </row>
    <row r="6527" spans="153:166" x14ac:dyDescent="0.35">
      <c r="EW6527" t="s">
        <v>5212</v>
      </c>
      <c r="EX6527" s="44" t="s">
        <v>5682</v>
      </c>
      <c r="FF6527" s="44" t="s">
        <v>474</v>
      </c>
      <c r="FJ6527" s="44" t="s">
        <v>474</v>
      </c>
    </row>
    <row r="6528" spans="153:166" x14ac:dyDescent="0.35">
      <c r="EW6528" t="s">
        <v>5212</v>
      </c>
      <c r="EX6528" s="44" t="s">
        <v>5683</v>
      </c>
      <c r="FF6528" s="44" t="s">
        <v>474</v>
      </c>
      <c r="FJ6528" s="44" t="s">
        <v>474</v>
      </c>
    </row>
    <row r="6529" spans="153:166" x14ac:dyDescent="0.35">
      <c r="EW6529" t="s">
        <v>5212</v>
      </c>
      <c r="EX6529" s="44" t="s">
        <v>5684</v>
      </c>
      <c r="FF6529" s="44" t="s">
        <v>474</v>
      </c>
      <c r="FJ6529" s="44" t="s">
        <v>474</v>
      </c>
    </row>
    <row r="6530" spans="153:166" x14ac:dyDescent="0.35">
      <c r="EW6530" t="s">
        <v>5212</v>
      </c>
      <c r="EX6530" s="44" t="s">
        <v>5685</v>
      </c>
      <c r="FF6530" s="44" t="s">
        <v>474</v>
      </c>
      <c r="FJ6530" s="44" t="s">
        <v>474</v>
      </c>
    </row>
    <row r="6531" spans="153:166" x14ac:dyDescent="0.35">
      <c r="EW6531" t="s">
        <v>5212</v>
      </c>
      <c r="EX6531" s="44" t="s">
        <v>5686</v>
      </c>
      <c r="FF6531" s="44" t="s">
        <v>474</v>
      </c>
      <c r="FJ6531" s="44" t="s">
        <v>474</v>
      </c>
    </row>
    <row r="6532" spans="153:166" x14ac:dyDescent="0.35">
      <c r="EW6532" t="s">
        <v>5212</v>
      </c>
      <c r="EX6532" s="44" t="s">
        <v>5687</v>
      </c>
      <c r="FF6532" s="44" t="s">
        <v>474</v>
      </c>
      <c r="FJ6532" s="44" t="s">
        <v>474</v>
      </c>
    </row>
    <row r="6533" spans="153:166" x14ac:dyDescent="0.35">
      <c r="EW6533" t="s">
        <v>5212</v>
      </c>
      <c r="EX6533" s="44" t="s">
        <v>5688</v>
      </c>
      <c r="FF6533" s="44" t="s">
        <v>474</v>
      </c>
      <c r="FJ6533" s="44" t="s">
        <v>474</v>
      </c>
    </row>
    <row r="6534" spans="153:166" x14ac:dyDescent="0.35">
      <c r="EW6534" t="s">
        <v>5212</v>
      </c>
      <c r="EX6534" s="44" t="s">
        <v>5689</v>
      </c>
      <c r="FF6534" s="44" t="s">
        <v>474</v>
      </c>
      <c r="FJ6534" s="44" t="s">
        <v>474</v>
      </c>
    </row>
    <row r="6535" spans="153:166" x14ac:dyDescent="0.35">
      <c r="EW6535" t="s">
        <v>5212</v>
      </c>
      <c r="EX6535" s="44" t="s">
        <v>5690</v>
      </c>
      <c r="FF6535" s="44" t="s">
        <v>474</v>
      </c>
      <c r="FJ6535" s="44" t="s">
        <v>474</v>
      </c>
    </row>
    <row r="6536" spans="153:166" x14ac:dyDescent="0.35">
      <c r="EW6536" t="s">
        <v>5212</v>
      </c>
      <c r="EX6536" s="44" t="s">
        <v>5691</v>
      </c>
      <c r="FF6536" s="44" t="s">
        <v>474</v>
      </c>
      <c r="FJ6536" s="44" t="s">
        <v>474</v>
      </c>
    </row>
    <row r="6537" spans="153:166" x14ac:dyDescent="0.35">
      <c r="EW6537" t="s">
        <v>5212</v>
      </c>
      <c r="EX6537" s="44" t="s">
        <v>5692</v>
      </c>
      <c r="FF6537" s="44" t="s">
        <v>474</v>
      </c>
      <c r="FJ6537" s="44" t="s">
        <v>474</v>
      </c>
    </row>
    <row r="6538" spans="153:166" x14ac:dyDescent="0.35">
      <c r="EW6538" t="s">
        <v>5212</v>
      </c>
      <c r="EX6538" s="44" t="s">
        <v>5693</v>
      </c>
      <c r="FF6538" s="44" t="s">
        <v>474</v>
      </c>
      <c r="FJ6538" s="44" t="s">
        <v>474</v>
      </c>
    </row>
    <row r="6539" spans="153:166" x14ac:dyDescent="0.35">
      <c r="EW6539" t="s">
        <v>5212</v>
      </c>
      <c r="EX6539" s="44" t="s">
        <v>5694</v>
      </c>
      <c r="FF6539" s="44" t="s">
        <v>474</v>
      </c>
      <c r="FJ6539" s="44" t="s">
        <v>474</v>
      </c>
    </row>
    <row r="6540" spans="153:166" x14ac:dyDescent="0.35">
      <c r="EW6540" t="s">
        <v>5212</v>
      </c>
      <c r="EX6540" s="44" t="s">
        <v>5695</v>
      </c>
      <c r="FF6540" s="44" t="s">
        <v>474</v>
      </c>
      <c r="FJ6540" s="44" t="s">
        <v>474</v>
      </c>
    </row>
    <row r="6541" spans="153:166" x14ac:dyDescent="0.35">
      <c r="EW6541" t="s">
        <v>5212</v>
      </c>
      <c r="EX6541" s="44" t="s">
        <v>5696</v>
      </c>
      <c r="FF6541" s="44" t="s">
        <v>474</v>
      </c>
      <c r="FJ6541" s="44" t="s">
        <v>474</v>
      </c>
    </row>
    <row r="6542" spans="153:166" x14ac:dyDescent="0.35">
      <c r="EW6542" t="s">
        <v>5212</v>
      </c>
      <c r="EX6542" s="44" t="s">
        <v>5697</v>
      </c>
      <c r="FF6542" s="44" t="s">
        <v>474</v>
      </c>
      <c r="FJ6542" s="44" t="s">
        <v>474</v>
      </c>
    </row>
    <row r="6543" spans="153:166" x14ac:dyDescent="0.35">
      <c r="EW6543" t="s">
        <v>5212</v>
      </c>
      <c r="EX6543" s="44" t="s">
        <v>5698</v>
      </c>
      <c r="FF6543" s="44" t="s">
        <v>474</v>
      </c>
      <c r="FJ6543" s="44" t="s">
        <v>474</v>
      </c>
    </row>
    <row r="6544" spans="153:166" x14ac:dyDescent="0.35">
      <c r="EW6544" t="s">
        <v>5212</v>
      </c>
      <c r="EX6544" s="44" t="s">
        <v>5699</v>
      </c>
      <c r="FF6544" s="44" t="s">
        <v>474</v>
      </c>
      <c r="FJ6544" s="44" t="s">
        <v>474</v>
      </c>
    </row>
    <row r="6545" spans="153:166" x14ac:dyDescent="0.35">
      <c r="EW6545" t="s">
        <v>5212</v>
      </c>
      <c r="EX6545" s="44" t="s">
        <v>5700</v>
      </c>
      <c r="FF6545" s="44" t="s">
        <v>474</v>
      </c>
      <c r="FJ6545" s="44" t="s">
        <v>474</v>
      </c>
    </row>
    <row r="6546" spans="153:166" x14ac:dyDescent="0.35">
      <c r="EW6546" t="s">
        <v>5212</v>
      </c>
      <c r="EX6546" s="44" t="s">
        <v>5701</v>
      </c>
      <c r="FF6546" s="44" t="s">
        <v>474</v>
      </c>
      <c r="FJ6546" s="44" t="s">
        <v>474</v>
      </c>
    </row>
    <row r="6547" spans="153:166" x14ac:dyDescent="0.35">
      <c r="EW6547" t="s">
        <v>5212</v>
      </c>
      <c r="EX6547" s="44" t="s">
        <v>5702</v>
      </c>
      <c r="FF6547" s="44" t="s">
        <v>474</v>
      </c>
      <c r="FJ6547" s="44" t="s">
        <v>474</v>
      </c>
    </row>
    <row r="6548" spans="153:166" x14ac:dyDescent="0.35">
      <c r="EW6548" t="s">
        <v>5212</v>
      </c>
      <c r="EX6548" s="44" t="s">
        <v>5703</v>
      </c>
      <c r="FF6548" s="44" t="s">
        <v>474</v>
      </c>
      <c r="FJ6548" s="44" t="s">
        <v>474</v>
      </c>
    </row>
    <row r="6549" spans="153:166" x14ac:dyDescent="0.35">
      <c r="EW6549" t="s">
        <v>5212</v>
      </c>
      <c r="EX6549" s="44" t="s">
        <v>5704</v>
      </c>
      <c r="FF6549" s="44" t="s">
        <v>474</v>
      </c>
      <c r="FJ6549" s="44" t="s">
        <v>474</v>
      </c>
    </row>
    <row r="6550" spans="153:166" x14ac:dyDescent="0.35">
      <c r="EW6550" t="s">
        <v>5212</v>
      </c>
      <c r="EX6550" s="44" t="s">
        <v>5705</v>
      </c>
      <c r="FF6550" s="44" t="s">
        <v>474</v>
      </c>
      <c r="FJ6550" s="44" t="s">
        <v>474</v>
      </c>
    </row>
    <row r="6551" spans="153:166" x14ac:dyDescent="0.35">
      <c r="EW6551" t="s">
        <v>5212</v>
      </c>
      <c r="EX6551" s="44" t="s">
        <v>5706</v>
      </c>
      <c r="FF6551" s="44" t="s">
        <v>474</v>
      </c>
      <c r="FJ6551" s="44" t="s">
        <v>474</v>
      </c>
    </row>
    <row r="6552" spans="153:166" x14ac:dyDescent="0.35">
      <c r="EW6552" t="s">
        <v>5212</v>
      </c>
      <c r="EX6552" s="44" t="s">
        <v>5707</v>
      </c>
      <c r="FF6552" s="44" t="s">
        <v>474</v>
      </c>
      <c r="FJ6552" s="44" t="s">
        <v>474</v>
      </c>
    </row>
    <row r="6553" spans="153:166" x14ac:dyDescent="0.35">
      <c r="EW6553" t="s">
        <v>5212</v>
      </c>
      <c r="EX6553" s="44" t="s">
        <v>5708</v>
      </c>
      <c r="FF6553" s="44" t="s">
        <v>474</v>
      </c>
      <c r="FJ6553" s="44" t="s">
        <v>474</v>
      </c>
    </row>
    <row r="6554" spans="153:166" x14ac:dyDescent="0.35">
      <c r="EW6554" t="s">
        <v>5212</v>
      </c>
      <c r="EX6554" s="44" t="s">
        <v>5709</v>
      </c>
      <c r="FF6554" s="44" t="s">
        <v>474</v>
      </c>
      <c r="FJ6554" s="44" t="s">
        <v>474</v>
      </c>
    </row>
    <row r="6555" spans="153:166" x14ac:dyDescent="0.35">
      <c r="EW6555" t="s">
        <v>5212</v>
      </c>
      <c r="EX6555" s="44" t="s">
        <v>5710</v>
      </c>
      <c r="FF6555" s="44" t="s">
        <v>474</v>
      </c>
      <c r="FJ6555" s="44" t="s">
        <v>474</v>
      </c>
    </row>
    <row r="6556" spans="153:166" x14ac:dyDescent="0.35">
      <c r="EW6556" t="s">
        <v>5212</v>
      </c>
      <c r="EX6556" s="44" t="s">
        <v>5711</v>
      </c>
      <c r="FF6556" s="44" t="s">
        <v>474</v>
      </c>
      <c r="FJ6556" s="44" t="s">
        <v>474</v>
      </c>
    </row>
    <row r="6557" spans="153:166" x14ac:dyDescent="0.35">
      <c r="EW6557" t="s">
        <v>5212</v>
      </c>
      <c r="EX6557" s="44" t="s">
        <v>5712</v>
      </c>
      <c r="FF6557" s="44" t="s">
        <v>474</v>
      </c>
      <c r="FJ6557" s="44" t="s">
        <v>474</v>
      </c>
    </row>
    <row r="6558" spans="153:166" x14ac:dyDescent="0.35">
      <c r="EW6558" t="s">
        <v>5212</v>
      </c>
      <c r="EX6558" s="44" t="s">
        <v>5713</v>
      </c>
      <c r="FF6558" s="44" t="s">
        <v>474</v>
      </c>
      <c r="FJ6558" s="44" t="s">
        <v>474</v>
      </c>
    </row>
    <row r="6559" spans="153:166" x14ac:dyDescent="0.35">
      <c r="EW6559" t="s">
        <v>5212</v>
      </c>
      <c r="EX6559" s="44" t="s">
        <v>5714</v>
      </c>
      <c r="FF6559" s="44" t="s">
        <v>474</v>
      </c>
      <c r="FJ6559" s="44" t="s">
        <v>474</v>
      </c>
    </row>
    <row r="6560" spans="153:166" x14ac:dyDescent="0.35">
      <c r="EW6560" t="s">
        <v>5212</v>
      </c>
      <c r="EX6560" s="44" t="s">
        <v>5715</v>
      </c>
      <c r="FF6560" s="44" t="s">
        <v>474</v>
      </c>
      <c r="FJ6560" s="44" t="s">
        <v>474</v>
      </c>
    </row>
    <row r="6561" spans="153:166" x14ac:dyDescent="0.35">
      <c r="EW6561" t="s">
        <v>5212</v>
      </c>
      <c r="EX6561" s="44" t="s">
        <v>5716</v>
      </c>
      <c r="FF6561" s="44" t="s">
        <v>474</v>
      </c>
      <c r="FJ6561" s="44" t="s">
        <v>474</v>
      </c>
    </row>
    <row r="6562" spans="153:166" x14ac:dyDescent="0.35">
      <c r="EW6562" t="s">
        <v>5212</v>
      </c>
      <c r="EX6562" s="44" t="s">
        <v>5717</v>
      </c>
      <c r="FF6562" s="44" t="s">
        <v>474</v>
      </c>
      <c r="FJ6562" s="44" t="s">
        <v>474</v>
      </c>
    </row>
    <row r="6563" spans="153:166" x14ac:dyDescent="0.35">
      <c r="EW6563" t="s">
        <v>5212</v>
      </c>
      <c r="EX6563" s="44" t="s">
        <v>5718</v>
      </c>
      <c r="FF6563" s="44" t="s">
        <v>474</v>
      </c>
      <c r="FJ6563" s="44" t="s">
        <v>474</v>
      </c>
    </row>
    <row r="6564" spans="153:166" x14ac:dyDescent="0.35">
      <c r="EW6564" t="s">
        <v>5212</v>
      </c>
      <c r="EX6564" s="44" t="s">
        <v>5719</v>
      </c>
      <c r="FF6564" s="44" t="s">
        <v>474</v>
      </c>
      <c r="FJ6564" s="44" t="s">
        <v>474</v>
      </c>
    </row>
    <row r="6565" spans="153:166" x14ac:dyDescent="0.35">
      <c r="EW6565" t="s">
        <v>5212</v>
      </c>
      <c r="EX6565" s="44" t="s">
        <v>5720</v>
      </c>
      <c r="FF6565" s="44" t="s">
        <v>474</v>
      </c>
      <c r="FJ6565" s="44" t="s">
        <v>474</v>
      </c>
    </row>
    <row r="6566" spans="153:166" x14ac:dyDescent="0.35">
      <c r="EW6566" t="s">
        <v>5212</v>
      </c>
      <c r="EX6566" s="44" t="s">
        <v>5721</v>
      </c>
      <c r="FF6566" s="44" t="s">
        <v>474</v>
      </c>
      <c r="FJ6566" s="44" t="s">
        <v>474</v>
      </c>
    </row>
    <row r="6567" spans="153:166" x14ac:dyDescent="0.35">
      <c r="EW6567" t="s">
        <v>5212</v>
      </c>
      <c r="EX6567" s="44" t="s">
        <v>5722</v>
      </c>
      <c r="FF6567" s="44" t="s">
        <v>474</v>
      </c>
      <c r="FJ6567" s="44" t="s">
        <v>474</v>
      </c>
    </row>
    <row r="6568" spans="153:166" x14ac:dyDescent="0.35">
      <c r="EW6568" t="s">
        <v>5212</v>
      </c>
      <c r="EX6568" s="44" t="s">
        <v>5723</v>
      </c>
      <c r="FF6568" s="44" t="s">
        <v>474</v>
      </c>
      <c r="FJ6568" s="44" t="s">
        <v>474</v>
      </c>
    </row>
    <row r="6569" spans="153:166" x14ac:dyDescent="0.35">
      <c r="EW6569" t="s">
        <v>5212</v>
      </c>
      <c r="EX6569" s="44" t="s">
        <v>5724</v>
      </c>
      <c r="FF6569" s="44" t="s">
        <v>474</v>
      </c>
      <c r="FJ6569" s="44" t="s">
        <v>474</v>
      </c>
    </row>
    <row r="6570" spans="153:166" x14ac:dyDescent="0.35">
      <c r="EW6570" t="s">
        <v>5212</v>
      </c>
      <c r="EX6570" s="44" t="s">
        <v>5725</v>
      </c>
      <c r="FF6570" s="44" t="s">
        <v>474</v>
      </c>
      <c r="FJ6570" s="44" t="s">
        <v>474</v>
      </c>
    </row>
    <row r="6571" spans="153:166" x14ac:dyDescent="0.35">
      <c r="EW6571" t="s">
        <v>5212</v>
      </c>
      <c r="EX6571" s="44" t="s">
        <v>5726</v>
      </c>
      <c r="FF6571" s="44" t="s">
        <v>474</v>
      </c>
      <c r="FJ6571" s="44" t="s">
        <v>474</v>
      </c>
    </row>
    <row r="6572" spans="153:166" x14ac:dyDescent="0.35">
      <c r="EW6572" t="s">
        <v>5212</v>
      </c>
      <c r="EX6572" s="44" t="s">
        <v>5727</v>
      </c>
      <c r="FF6572" s="44" t="s">
        <v>474</v>
      </c>
      <c r="FJ6572" s="44" t="s">
        <v>474</v>
      </c>
    </row>
    <row r="6573" spans="153:166" x14ac:dyDescent="0.35">
      <c r="EW6573" t="s">
        <v>5212</v>
      </c>
      <c r="EX6573" s="44" t="s">
        <v>5728</v>
      </c>
      <c r="FF6573" s="44" t="s">
        <v>474</v>
      </c>
      <c r="FJ6573" s="44" t="s">
        <v>474</v>
      </c>
    </row>
    <row r="6574" spans="153:166" x14ac:dyDescent="0.35">
      <c r="EW6574" t="s">
        <v>5212</v>
      </c>
      <c r="EX6574" s="44" t="s">
        <v>5729</v>
      </c>
      <c r="FF6574" s="44" t="s">
        <v>474</v>
      </c>
      <c r="FJ6574" s="44" t="s">
        <v>474</v>
      </c>
    </row>
    <row r="6575" spans="153:166" x14ac:dyDescent="0.35">
      <c r="EW6575" t="s">
        <v>5212</v>
      </c>
      <c r="EX6575" s="44" t="s">
        <v>5730</v>
      </c>
      <c r="FF6575" s="44" t="s">
        <v>474</v>
      </c>
      <c r="FJ6575" s="44" t="s">
        <v>474</v>
      </c>
    </row>
    <row r="6576" spans="153:166" x14ac:dyDescent="0.35">
      <c r="EW6576" t="s">
        <v>5212</v>
      </c>
      <c r="EX6576" s="44" t="s">
        <v>5731</v>
      </c>
      <c r="FF6576" s="44" t="s">
        <v>474</v>
      </c>
      <c r="FJ6576" s="44" t="s">
        <v>474</v>
      </c>
    </row>
    <row r="6577" spans="153:166" x14ac:dyDescent="0.35">
      <c r="EW6577" t="s">
        <v>5212</v>
      </c>
      <c r="EX6577" s="44" t="s">
        <v>5732</v>
      </c>
      <c r="FF6577" s="44" t="s">
        <v>474</v>
      </c>
      <c r="FJ6577" s="44" t="s">
        <v>474</v>
      </c>
    </row>
    <row r="6578" spans="153:166" x14ac:dyDescent="0.35">
      <c r="EW6578" t="s">
        <v>5212</v>
      </c>
      <c r="EX6578" s="44" t="s">
        <v>5733</v>
      </c>
      <c r="FF6578" s="44" t="s">
        <v>474</v>
      </c>
      <c r="FJ6578" s="44" t="s">
        <v>474</v>
      </c>
    </row>
    <row r="6579" spans="153:166" x14ac:dyDescent="0.35">
      <c r="EW6579" t="s">
        <v>5212</v>
      </c>
      <c r="EX6579" s="44" t="s">
        <v>5734</v>
      </c>
      <c r="FF6579" s="44" t="s">
        <v>474</v>
      </c>
      <c r="FJ6579" s="44" t="s">
        <v>474</v>
      </c>
    </row>
    <row r="6580" spans="153:166" x14ac:dyDescent="0.35">
      <c r="EW6580" t="s">
        <v>5212</v>
      </c>
      <c r="EX6580" s="44" t="s">
        <v>5735</v>
      </c>
      <c r="FF6580" s="44" t="s">
        <v>474</v>
      </c>
      <c r="FJ6580" s="44" t="s">
        <v>474</v>
      </c>
    </row>
    <row r="6581" spans="153:166" x14ac:dyDescent="0.35">
      <c r="EW6581" t="s">
        <v>5212</v>
      </c>
      <c r="EX6581" s="44" t="s">
        <v>5736</v>
      </c>
      <c r="FF6581" s="44" t="s">
        <v>474</v>
      </c>
      <c r="FJ6581" s="44" t="s">
        <v>474</v>
      </c>
    </row>
    <row r="6582" spans="153:166" x14ac:dyDescent="0.35">
      <c r="EW6582" t="s">
        <v>5212</v>
      </c>
      <c r="EX6582" s="44" t="s">
        <v>5737</v>
      </c>
      <c r="FF6582" s="44" t="s">
        <v>474</v>
      </c>
      <c r="FJ6582" s="44" t="s">
        <v>474</v>
      </c>
    </row>
    <row r="6583" spans="153:166" x14ac:dyDescent="0.35">
      <c r="EW6583" t="s">
        <v>5212</v>
      </c>
      <c r="EX6583" s="44" t="s">
        <v>5738</v>
      </c>
      <c r="FF6583" s="44" t="s">
        <v>474</v>
      </c>
      <c r="FJ6583" s="44" t="s">
        <v>474</v>
      </c>
    </row>
    <row r="6584" spans="153:166" x14ac:dyDescent="0.35">
      <c r="EW6584" t="s">
        <v>5212</v>
      </c>
      <c r="EX6584" s="44" t="s">
        <v>5739</v>
      </c>
      <c r="FF6584" s="44" t="s">
        <v>474</v>
      </c>
      <c r="FJ6584" s="44" t="s">
        <v>474</v>
      </c>
    </row>
    <row r="6585" spans="153:166" x14ac:dyDescent="0.35">
      <c r="EW6585" t="s">
        <v>5212</v>
      </c>
      <c r="EX6585" s="44" t="s">
        <v>5740</v>
      </c>
      <c r="FF6585" s="44" t="s">
        <v>474</v>
      </c>
      <c r="FJ6585" s="44" t="s">
        <v>474</v>
      </c>
    </row>
    <row r="6586" spans="153:166" x14ac:dyDescent="0.35">
      <c r="EW6586" t="s">
        <v>5212</v>
      </c>
      <c r="EX6586" s="44" t="s">
        <v>5741</v>
      </c>
      <c r="FF6586" s="44" t="s">
        <v>474</v>
      </c>
      <c r="FJ6586" s="44" t="s">
        <v>474</v>
      </c>
    </row>
    <row r="6587" spans="153:166" x14ac:dyDescent="0.35">
      <c r="EW6587" t="s">
        <v>5212</v>
      </c>
      <c r="EX6587" s="44" t="s">
        <v>5742</v>
      </c>
      <c r="FF6587" s="44" t="s">
        <v>474</v>
      </c>
      <c r="FJ6587" s="44" t="s">
        <v>474</v>
      </c>
    </row>
    <row r="6588" spans="153:166" x14ac:dyDescent="0.35">
      <c r="EW6588" t="s">
        <v>5212</v>
      </c>
      <c r="EX6588" s="44" t="s">
        <v>5743</v>
      </c>
      <c r="FF6588" s="44" t="s">
        <v>474</v>
      </c>
      <c r="FJ6588" s="44" t="s">
        <v>474</v>
      </c>
    </row>
    <row r="6589" spans="153:166" x14ac:dyDescent="0.35">
      <c r="EW6589" t="s">
        <v>5212</v>
      </c>
      <c r="EX6589" s="44" t="s">
        <v>5744</v>
      </c>
      <c r="FF6589" s="44" t="s">
        <v>474</v>
      </c>
      <c r="FJ6589" s="44" t="s">
        <v>474</v>
      </c>
    </row>
    <row r="6590" spans="153:166" x14ac:dyDescent="0.35">
      <c r="EW6590" t="s">
        <v>5212</v>
      </c>
      <c r="EX6590" s="44" t="s">
        <v>5745</v>
      </c>
      <c r="FF6590" s="44" t="s">
        <v>474</v>
      </c>
      <c r="FJ6590" s="44" t="s">
        <v>474</v>
      </c>
    </row>
    <row r="6591" spans="153:166" x14ac:dyDescent="0.35">
      <c r="EW6591" t="s">
        <v>5212</v>
      </c>
      <c r="EX6591" s="44" t="s">
        <v>5746</v>
      </c>
      <c r="FF6591" s="44" t="s">
        <v>474</v>
      </c>
      <c r="FJ6591" s="44" t="s">
        <v>474</v>
      </c>
    </row>
    <row r="6592" spans="153:166" x14ac:dyDescent="0.35">
      <c r="EW6592" t="s">
        <v>5212</v>
      </c>
      <c r="EX6592" s="44" t="s">
        <v>5747</v>
      </c>
      <c r="FF6592" s="44" t="s">
        <v>474</v>
      </c>
      <c r="FJ6592" s="44" t="s">
        <v>474</v>
      </c>
    </row>
    <row r="6593" spans="153:166" x14ac:dyDescent="0.35">
      <c r="EW6593" t="s">
        <v>5212</v>
      </c>
      <c r="EX6593" s="44" t="s">
        <v>5748</v>
      </c>
      <c r="FF6593" s="44" t="s">
        <v>474</v>
      </c>
      <c r="FJ6593" s="44" t="s">
        <v>474</v>
      </c>
    </row>
    <row r="6594" spans="153:166" x14ac:dyDescent="0.35">
      <c r="EW6594" t="s">
        <v>5212</v>
      </c>
      <c r="EX6594" s="44" t="s">
        <v>5749</v>
      </c>
      <c r="FF6594" s="44" t="s">
        <v>474</v>
      </c>
      <c r="FJ6594" s="44" t="s">
        <v>474</v>
      </c>
    </row>
    <row r="6595" spans="153:166" x14ac:dyDescent="0.35">
      <c r="EW6595" t="s">
        <v>5212</v>
      </c>
      <c r="EX6595" s="44" t="s">
        <v>5750</v>
      </c>
      <c r="FF6595" s="44" t="s">
        <v>474</v>
      </c>
      <c r="FJ6595" s="44" t="s">
        <v>474</v>
      </c>
    </row>
    <row r="6596" spans="153:166" x14ac:dyDescent="0.35">
      <c r="EW6596" t="s">
        <v>5212</v>
      </c>
      <c r="EX6596" s="44" t="s">
        <v>5751</v>
      </c>
      <c r="FF6596" s="44" t="s">
        <v>474</v>
      </c>
      <c r="FJ6596" s="44" t="s">
        <v>474</v>
      </c>
    </row>
    <row r="6597" spans="153:166" x14ac:dyDescent="0.35">
      <c r="EW6597" t="s">
        <v>5212</v>
      </c>
      <c r="EX6597" s="44" t="s">
        <v>5752</v>
      </c>
      <c r="FF6597" s="44" t="s">
        <v>474</v>
      </c>
      <c r="FJ6597" s="44" t="s">
        <v>474</v>
      </c>
    </row>
    <row r="6598" spans="153:166" x14ac:dyDescent="0.35">
      <c r="EW6598" t="s">
        <v>5212</v>
      </c>
      <c r="EX6598" s="44" t="s">
        <v>5753</v>
      </c>
      <c r="FF6598" s="44" t="s">
        <v>474</v>
      </c>
      <c r="FJ6598" s="44" t="s">
        <v>474</v>
      </c>
    </row>
    <row r="6599" spans="153:166" x14ac:dyDescent="0.35">
      <c r="EW6599" t="s">
        <v>5212</v>
      </c>
      <c r="EX6599" s="44" t="s">
        <v>5754</v>
      </c>
      <c r="FF6599" s="44" t="s">
        <v>474</v>
      </c>
      <c r="FJ6599" s="44" t="s">
        <v>474</v>
      </c>
    </row>
    <row r="6600" spans="153:166" x14ac:dyDescent="0.35">
      <c r="EW6600" t="s">
        <v>5212</v>
      </c>
      <c r="EX6600" s="44" t="s">
        <v>5755</v>
      </c>
      <c r="FF6600" s="44" t="s">
        <v>474</v>
      </c>
      <c r="FJ6600" s="44" t="s">
        <v>474</v>
      </c>
    </row>
    <row r="6601" spans="153:166" x14ac:dyDescent="0.35">
      <c r="EW6601" t="s">
        <v>5212</v>
      </c>
      <c r="EX6601" s="44" t="s">
        <v>5756</v>
      </c>
      <c r="FF6601" s="44" t="s">
        <v>474</v>
      </c>
      <c r="FJ6601" s="44" t="s">
        <v>474</v>
      </c>
    </row>
    <row r="6602" spans="153:166" x14ac:dyDescent="0.35">
      <c r="EW6602" t="s">
        <v>5212</v>
      </c>
      <c r="EX6602" s="44" t="s">
        <v>5757</v>
      </c>
      <c r="FF6602" s="44" t="s">
        <v>474</v>
      </c>
      <c r="FJ6602" s="44" t="s">
        <v>474</v>
      </c>
    </row>
    <row r="6603" spans="153:166" x14ac:dyDescent="0.35">
      <c r="EW6603" t="s">
        <v>5212</v>
      </c>
      <c r="EX6603" s="44" t="s">
        <v>5758</v>
      </c>
      <c r="FF6603" s="44" t="s">
        <v>474</v>
      </c>
      <c r="FJ6603" s="44" t="s">
        <v>474</v>
      </c>
    </row>
    <row r="6604" spans="153:166" x14ac:dyDescent="0.35">
      <c r="EW6604" t="s">
        <v>5212</v>
      </c>
      <c r="EX6604" s="44" t="s">
        <v>5759</v>
      </c>
      <c r="FF6604" s="44" t="s">
        <v>474</v>
      </c>
      <c r="FJ6604" s="44" t="s">
        <v>474</v>
      </c>
    </row>
    <row r="6605" spans="153:166" x14ac:dyDescent="0.35">
      <c r="EW6605" t="s">
        <v>5212</v>
      </c>
      <c r="EX6605" s="44" t="s">
        <v>5760</v>
      </c>
      <c r="FF6605" s="44" t="s">
        <v>474</v>
      </c>
      <c r="FJ6605" s="44" t="s">
        <v>474</v>
      </c>
    </row>
    <row r="6606" spans="153:166" x14ac:dyDescent="0.35">
      <c r="EW6606" t="s">
        <v>5212</v>
      </c>
      <c r="EX6606" s="44" t="s">
        <v>5761</v>
      </c>
      <c r="FF6606" s="44" t="s">
        <v>474</v>
      </c>
      <c r="FJ6606" s="44" t="s">
        <v>474</v>
      </c>
    </row>
    <row r="6607" spans="153:166" x14ac:dyDescent="0.35">
      <c r="EW6607" t="s">
        <v>5212</v>
      </c>
      <c r="EX6607" s="44" t="s">
        <v>5762</v>
      </c>
      <c r="FF6607" s="44" t="s">
        <v>474</v>
      </c>
      <c r="FJ6607" s="44" t="s">
        <v>474</v>
      </c>
    </row>
    <row r="6608" spans="153:166" x14ac:dyDescent="0.35">
      <c r="EW6608" t="s">
        <v>5212</v>
      </c>
      <c r="EX6608" s="44" t="s">
        <v>5763</v>
      </c>
      <c r="FF6608" s="44" t="s">
        <v>474</v>
      </c>
      <c r="FJ6608" s="44" t="s">
        <v>474</v>
      </c>
    </row>
    <row r="6609" spans="153:166" x14ac:dyDescent="0.35">
      <c r="EW6609" t="s">
        <v>5212</v>
      </c>
      <c r="EX6609" s="44" t="s">
        <v>5764</v>
      </c>
      <c r="FF6609" s="44" t="s">
        <v>474</v>
      </c>
      <c r="FJ6609" s="44" t="s">
        <v>474</v>
      </c>
    </row>
    <row r="6610" spans="153:166" x14ac:dyDescent="0.35">
      <c r="EW6610" t="s">
        <v>5212</v>
      </c>
      <c r="EX6610" s="44" t="s">
        <v>5765</v>
      </c>
      <c r="FF6610" s="44" t="s">
        <v>474</v>
      </c>
      <c r="FJ6610" s="44" t="s">
        <v>474</v>
      </c>
    </row>
    <row r="6611" spans="153:166" x14ac:dyDescent="0.35">
      <c r="EW6611" t="s">
        <v>5212</v>
      </c>
      <c r="EX6611" s="44" t="s">
        <v>5766</v>
      </c>
      <c r="FF6611" s="44" t="s">
        <v>474</v>
      </c>
      <c r="FJ6611" s="44" t="s">
        <v>474</v>
      </c>
    </row>
    <row r="6612" spans="153:166" x14ac:dyDescent="0.35">
      <c r="EW6612" t="s">
        <v>5212</v>
      </c>
      <c r="EX6612" s="44" t="s">
        <v>5767</v>
      </c>
      <c r="FF6612" s="44" t="s">
        <v>474</v>
      </c>
      <c r="FJ6612" s="44" t="s">
        <v>474</v>
      </c>
    </row>
    <row r="6613" spans="153:166" x14ac:dyDescent="0.35">
      <c r="EW6613" t="s">
        <v>5212</v>
      </c>
      <c r="EX6613" s="44" t="s">
        <v>5768</v>
      </c>
      <c r="FF6613" s="44" t="s">
        <v>474</v>
      </c>
      <c r="FJ6613" s="44" t="s">
        <v>474</v>
      </c>
    </row>
    <row r="6614" spans="153:166" x14ac:dyDescent="0.35">
      <c r="EW6614" t="s">
        <v>5212</v>
      </c>
      <c r="EX6614" s="44" t="s">
        <v>5769</v>
      </c>
      <c r="FF6614" s="44" t="s">
        <v>474</v>
      </c>
      <c r="FJ6614" s="44" t="s">
        <v>474</v>
      </c>
    </row>
    <row r="6615" spans="153:166" x14ac:dyDescent="0.35">
      <c r="EW6615" t="s">
        <v>5212</v>
      </c>
      <c r="EX6615" s="44" t="s">
        <v>5770</v>
      </c>
      <c r="FF6615" s="44" t="s">
        <v>474</v>
      </c>
      <c r="FJ6615" s="44" t="s">
        <v>474</v>
      </c>
    </row>
    <row r="6616" spans="153:166" x14ac:dyDescent="0.35">
      <c r="EW6616" t="s">
        <v>5212</v>
      </c>
      <c r="EX6616" s="44" t="s">
        <v>5771</v>
      </c>
      <c r="FF6616" s="44" t="s">
        <v>474</v>
      </c>
      <c r="FJ6616" s="44" t="s">
        <v>474</v>
      </c>
    </row>
    <row r="6617" spans="153:166" x14ac:dyDescent="0.35">
      <c r="EW6617" t="s">
        <v>5212</v>
      </c>
      <c r="EX6617" s="44" t="s">
        <v>5772</v>
      </c>
      <c r="FF6617" s="44" t="s">
        <v>474</v>
      </c>
      <c r="FJ6617" s="44" t="s">
        <v>474</v>
      </c>
    </row>
    <row r="6618" spans="153:166" x14ac:dyDescent="0.35">
      <c r="EW6618" t="s">
        <v>5212</v>
      </c>
      <c r="EX6618" s="44" t="s">
        <v>5773</v>
      </c>
      <c r="FF6618" s="44" t="s">
        <v>474</v>
      </c>
      <c r="FJ6618" s="44" t="s">
        <v>474</v>
      </c>
    </row>
    <row r="6619" spans="153:166" x14ac:dyDescent="0.35">
      <c r="EW6619" t="s">
        <v>5212</v>
      </c>
      <c r="EX6619" s="44" t="s">
        <v>5774</v>
      </c>
      <c r="FF6619" s="44" t="s">
        <v>474</v>
      </c>
      <c r="FJ6619" s="44" t="s">
        <v>474</v>
      </c>
    </row>
    <row r="6620" spans="153:166" x14ac:dyDescent="0.35">
      <c r="EW6620" t="s">
        <v>5212</v>
      </c>
      <c r="EX6620" s="44" t="s">
        <v>5775</v>
      </c>
      <c r="FF6620" s="44" t="s">
        <v>474</v>
      </c>
      <c r="FJ6620" s="44" t="s">
        <v>474</v>
      </c>
    </row>
    <row r="6621" spans="153:166" x14ac:dyDescent="0.35">
      <c r="EW6621" t="s">
        <v>5212</v>
      </c>
      <c r="EX6621" s="44" t="s">
        <v>5776</v>
      </c>
      <c r="FF6621" s="44" t="s">
        <v>474</v>
      </c>
      <c r="FJ6621" s="44" t="s">
        <v>474</v>
      </c>
    </row>
    <row r="6622" spans="153:166" x14ac:dyDescent="0.35">
      <c r="EW6622" t="s">
        <v>5212</v>
      </c>
      <c r="EX6622" s="44" t="s">
        <v>5777</v>
      </c>
      <c r="FF6622" s="44" t="s">
        <v>474</v>
      </c>
      <c r="FJ6622" s="44" t="s">
        <v>474</v>
      </c>
    </row>
    <row r="6623" spans="153:166" x14ac:dyDescent="0.35">
      <c r="EW6623" t="s">
        <v>5212</v>
      </c>
      <c r="EX6623" s="44" t="s">
        <v>5778</v>
      </c>
      <c r="FF6623" s="44" t="s">
        <v>474</v>
      </c>
      <c r="FJ6623" s="44" t="s">
        <v>474</v>
      </c>
    </row>
    <row r="6624" spans="153:166" x14ac:dyDescent="0.35">
      <c r="EW6624" t="s">
        <v>5212</v>
      </c>
      <c r="EX6624" s="44" t="s">
        <v>5779</v>
      </c>
      <c r="FF6624" s="44" t="s">
        <v>474</v>
      </c>
      <c r="FJ6624" s="44" t="s">
        <v>474</v>
      </c>
    </row>
    <row r="6625" spans="153:166" x14ac:dyDescent="0.35">
      <c r="EW6625" t="s">
        <v>5212</v>
      </c>
      <c r="EX6625" s="44" t="s">
        <v>5780</v>
      </c>
      <c r="FF6625" s="44" t="s">
        <v>474</v>
      </c>
      <c r="FJ6625" s="44" t="s">
        <v>474</v>
      </c>
    </row>
    <row r="6626" spans="153:166" x14ac:dyDescent="0.35">
      <c r="EW6626" t="s">
        <v>5212</v>
      </c>
      <c r="EX6626" s="44" t="s">
        <v>5781</v>
      </c>
      <c r="FF6626" s="44" t="s">
        <v>474</v>
      </c>
      <c r="FJ6626" s="44" t="s">
        <v>474</v>
      </c>
    </row>
    <row r="6627" spans="153:166" x14ac:dyDescent="0.35">
      <c r="EW6627" t="s">
        <v>5212</v>
      </c>
      <c r="EX6627" s="44" t="s">
        <v>5782</v>
      </c>
      <c r="FF6627" s="44" t="s">
        <v>474</v>
      </c>
      <c r="FJ6627" s="44" t="s">
        <v>474</v>
      </c>
    </row>
    <row r="6628" spans="153:166" x14ac:dyDescent="0.35">
      <c r="EW6628" t="s">
        <v>5212</v>
      </c>
      <c r="EX6628" s="44" t="s">
        <v>5783</v>
      </c>
      <c r="FF6628" s="44" t="s">
        <v>474</v>
      </c>
      <c r="FJ6628" s="44" t="s">
        <v>474</v>
      </c>
    </row>
    <row r="6629" spans="153:166" x14ac:dyDescent="0.35">
      <c r="EW6629" t="s">
        <v>5212</v>
      </c>
      <c r="EX6629" s="44" t="s">
        <v>5784</v>
      </c>
      <c r="FF6629" s="44" t="s">
        <v>474</v>
      </c>
      <c r="FJ6629" s="44" t="s">
        <v>474</v>
      </c>
    </row>
    <row r="6630" spans="153:166" x14ac:dyDescent="0.35">
      <c r="EW6630" t="s">
        <v>5212</v>
      </c>
      <c r="EX6630" s="44" t="s">
        <v>5785</v>
      </c>
      <c r="FF6630" s="44" t="s">
        <v>474</v>
      </c>
      <c r="FJ6630" s="44" t="s">
        <v>474</v>
      </c>
    </row>
    <row r="6631" spans="153:166" x14ac:dyDescent="0.35">
      <c r="EW6631" t="s">
        <v>5212</v>
      </c>
      <c r="EX6631" s="44" t="s">
        <v>5786</v>
      </c>
      <c r="FF6631" s="44" t="s">
        <v>474</v>
      </c>
      <c r="FJ6631" s="44" t="s">
        <v>474</v>
      </c>
    </row>
    <row r="6632" spans="153:166" x14ac:dyDescent="0.35">
      <c r="EW6632" t="s">
        <v>5212</v>
      </c>
      <c r="EX6632" s="44" t="s">
        <v>5787</v>
      </c>
      <c r="FF6632" s="44" t="s">
        <v>474</v>
      </c>
      <c r="FJ6632" s="44" t="s">
        <v>474</v>
      </c>
    </row>
    <row r="6633" spans="153:166" x14ac:dyDescent="0.35">
      <c r="EW6633" t="s">
        <v>5212</v>
      </c>
      <c r="EX6633" s="44" t="s">
        <v>5788</v>
      </c>
      <c r="FF6633" s="44" t="s">
        <v>474</v>
      </c>
      <c r="FJ6633" s="44" t="s">
        <v>474</v>
      </c>
    </row>
    <row r="6634" spans="153:166" x14ac:dyDescent="0.35">
      <c r="EW6634" t="s">
        <v>5212</v>
      </c>
      <c r="EX6634" s="44" t="s">
        <v>5789</v>
      </c>
      <c r="FF6634" s="44" t="s">
        <v>474</v>
      </c>
      <c r="FJ6634" s="44" t="s">
        <v>474</v>
      </c>
    </row>
    <row r="6635" spans="153:166" x14ac:dyDescent="0.35">
      <c r="EW6635" t="s">
        <v>5212</v>
      </c>
      <c r="EX6635" s="44" t="s">
        <v>5790</v>
      </c>
      <c r="FF6635" s="44" t="s">
        <v>474</v>
      </c>
      <c r="FJ6635" s="44" t="s">
        <v>474</v>
      </c>
    </row>
    <row r="6636" spans="153:166" x14ac:dyDescent="0.35">
      <c r="EW6636" t="s">
        <v>5212</v>
      </c>
      <c r="EX6636" s="44" t="s">
        <v>5791</v>
      </c>
      <c r="FF6636" s="44" t="s">
        <v>474</v>
      </c>
      <c r="FJ6636" s="44" t="s">
        <v>474</v>
      </c>
    </row>
    <row r="6637" spans="153:166" x14ac:dyDescent="0.35">
      <c r="EW6637" t="s">
        <v>5212</v>
      </c>
      <c r="EX6637" s="44" t="s">
        <v>5792</v>
      </c>
      <c r="FF6637" s="44" t="s">
        <v>474</v>
      </c>
      <c r="FJ6637" s="44" t="s">
        <v>474</v>
      </c>
    </row>
    <row r="6638" spans="153:166" x14ac:dyDescent="0.35">
      <c r="EW6638" t="s">
        <v>5212</v>
      </c>
      <c r="EX6638" s="44" t="s">
        <v>5793</v>
      </c>
      <c r="FF6638" s="44" t="s">
        <v>59</v>
      </c>
      <c r="FJ6638" s="44" t="s">
        <v>59</v>
      </c>
    </row>
    <row r="6639" spans="153:166" x14ac:dyDescent="0.35">
      <c r="EW6639" t="s">
        <v>5212</v>
      </c>
      <c r="EX6639" s="44" t="s">
        <v>5794</v>
      </c>
      <c r="FF6639" s="44" t="s">
        <v>59</v>
      </c>
      <c r="FJ6639" s="44" t="s">
        <v>59</v>
      </c>
    </row>
    <row r="6640" spans="153:166" x14ac:dyDescent="0.35">
      <c r="EW6640" t="s">
        <v>5212</v>
      </c>
      <c r="EX6640" s="44" t="s">
        <v>5795</v>
      </c>
      <c r="FF6640" s="44" t="s">
        <v>59</v>
      </c>
      <c r="FJ6640" s="44" t="s">
        <v>59</v>
      </c>
    </row>
    <row r="6641" spans="153:166" x14ac:dyDescent="0.35">
      <c r="EW6641" t="s">
        <v>5212</v>
      </c>
      <c r="EX6641" s="44" t="s">
        <v>5796</v>
      </c>
      <c r="FF6641" s="44" t="s">
        <v>59</v>
      </c>
      <c r="FJ6641" s="44" t="s">
        <v>59</v>
      </c>
    </row>
    <row r="6642" spans="153:166" x14ac:dyDescent="0.35">
      <c r="EW6642" t="s">
        <v>5212</v>
      </c>
      <c r="EX6642" s="44" t="s">
        <v>5797</v>
      </c>
      <c r="FF6642" s="44" t="s">
        <v>59</v>
      </c>
      <c r="FJ6642" s="44" t="s">
        <v>59</v>
      </c>
    </row>
    <row r="6643" spans="153:166" x14ac:dyDescent="0.35">
      <c r="EW6643" t="s">
        <v>5212</v>
      </c>
      <c r="EX6643" s="44" t="s">
        <v>5798</v>
      </c>
      <c r="FF6643" s="44" t="s">
        <v>59</v>
      </c>
      <c r="FJ6643" s="44" t="s">
        <v>59</v>
      </c>
    </row>
    <row r="6644" spans="153:166" x14ac:dyDescent="0.35">
      <c r="EW6644" t="s">
        <v>5212</v>
      </c>
      <c r="EX6644" s="44" t="s">
        <v>5799</v>
      </c>
      <c r="FF6644" s="44" t="s">
        <v>59</v>
      </c>
      <c r="FJ6644" s="44" t="s">
        <v>59</v>
      </c>
    </row>
    <row r="6645" spans="153:166" x14ac:dyDescent="0.35">
      <c r="EW6645" t="s">
        <v>5212</v>
      </c>
      <c r="EX6645" s="44" t="s">
        <v>5800</v>
      </c>
      <c r="FF6645" s="44" t="s">
        <v>59</v>
      </c>
      <c r="FJ6645" s="44" t="s">
        <v>59</v>
      </c>
    </row>
    <row r="6646" spans="153:166" x14ac:dyDescent="0.35">
      <c r="EW6646" t="s">
        <v>5212</v>
      </c>
      <c r="EX6646" s="44" t="s">
        <v>5801</v>
      </c>
      <c r="FF6646" s="44" t="s">
        <v>59</v>
      </c>
      <c r="FJ6646" s="44" t="s">
        <v>59</v>
      </c>
    </row>
    <row r="6647" spans="153:166" x14ac:dyDescent="0.35">
      <c r="EW6647" t="s">
        <v>5212</v>
      </c>
      <c r="EX6647" s="44" t="s">
        <v>5802</v>
      </c>
      <c r="FF6647" s="44" t="s">
        <v>59</v>
      </c>
      <c r="FJ6647" s="44" t="s">
        <v>59</v>
      </c>
    </row>
    <row r="6648" spans="153:166" x14ac:dyDescent="0.35">
      <c r="EW6648" t="s">
        <v>5212</v>
      </c>
      <c r="EX6648" s="44" t="s">
        <v>5803</v>
      </c>
      <c r="FF6648" s="44" t="s">
        <v>59</v>
      </c>
      <c r="FJ6648" s="44" t="s">
        <v>59</v>
      </c>
    </row>
    <row r="6649" spans="153:166" x14ac:dyDescent="0.35">
      <c r="EW6649" t="s">
        <v>5212</v>
      </c>
      <c r="EX6649" s="44" t="s">
        <v>5804</v>
      </c>
      <c r="FF6649" s="44" t="s">
        <v>59</v>
      </c>
      <c r="FJ6649" s="44" t="s">
        <v>59</v>
      </c>
    </row>
    <row r="6650" spans="153:166" x14ac:dyDescent="0.35">
      <c r="EW6650" t="s">
        <v>5212</v>
      </c>
      <c r="EX6650" s="44" t="s">
        <v>5805</v>
      </c>
      <c r="FF6650" s="44" t="s">
        <v>59</v>
      </c>
      <c r="FJ6650" s="44" t="s">
        <v>59</v>
      </c>
    </row>
    <row r="6651" spans="153:166" x14ac:dyDescent="0.35">
      <c r="EW6651" t="s">
        <v>5212</v>
      </c>
      <c r="EX6651" s="44" t="s">
        <v>5806</v>
      </c>
      <c r="FF6651" s="44" t="s">
        <v>59</v>
      </c>
      <c r="FJ6651" s="44" t="s">
        <v>59</v>
      </c>
    </row>
    <row r="6652" spans="153:166" x14ac:dyDescent="0.35">
      <c r="EW6652" t="s">
        <v>5212</v>
      </c>
      <c r="EX6652" s="44" t="s">
        <v>5807</v>
      </c>
      <c r="FF6652" s="44" t="s">
        <v>59</v>
      </c>
      <c r="FJ6652" s="44" t="s">
        <v>59</v>
      </c>
    </row>
    <row r="6653" spans="153:166" x14ac:dyDescent="0.35">
      <c r="EW6653" t="s">
        <v>5212</v>
      </c>
      <c r="EX6653" s="44" t="s">
        <v>5808</v>
      </c>
      <c r="FF6653" s="44" t="s">
        <v>59</v>
      </c>
      <c r="FJ6653" s="44" t="s">
        <v>59</v>
      </c>
    </row>
    <row r="6654" spans="153:166" x14ac:dyDescent="0.35">
      <c r="EW6654" t="s">
        <v>5212</v>
      </c>
      <c r="EX6654" s="44" t="s">
        <v>5809</v>
      </c>
      <c r="FF6654" s="44" t="s">
        <v>59</v>
      </c>
      <c r="FJ6654" s="44" t="s">
        <v>59</v>
      </c>
    </row>
    <row r="6655" spans="153:166" x14ac:dyDescent="0.35">
      <c r="EW6655" t="s">
        <v>5212</v>
      </c>
      <c r="EX6655" s="44" t="s">
        <v>5810</v>
      </c>
      <c r="FF6655" s="44" t="s">
        <v>59</v>
      </c>
      <c r="FJ6655" s="44" t="s">
        <v>59</v>
      </c>
    </row>
    <row r="6656" spans="153:166" x14ac:dyDescent="0.35">
      <c r="EW6656" t="s">
        <v>5212</v>
      </c>
      <c r="EX6656" s="44" t="s">
        <v>5811</v>
      </c>
      <c r="FF6656" s="44" t="s">
        <v>59</v>
      </c>
      <c r="FJ6656" s="44" t="s">
        <v>59</v>
      </c>
    </row>
    <row r="6657" spans="153:166" x14ac:dyDescent="0.35">
      <c r="EW6657" t="s">
        <v>5212</v>
      </c>
      <c r="EX6657" s="44" t="s">
        <v>5812</v>
      </c>
      <c r="FF6657" s="44" t="s">
        <v>59</v>
      </c>
      <c r="FJ6657" s="44" t="s">
        <v>59</v>
      </c>
    </row>
    <row r="6658" spans="153:166" x14ac:dyDescent="0.35">
      <c r="EW6658" t="s">
        <v>5212</v>
      </c>
      <c r="EX6658" s="44" t="s">
        <v>5813</v>
      </c>
      <c r="FF6658" s="44" t="s">
        <v>59</v>
      </c>
      <c r="FJ6658" s="44" t="s">
        <v>59</v>
      </c>
    </row>
    <row r="6659" spans="153:166" x14ac:dyDescent="0.35">
      <c r="EW6659" t="s">
        <v>5212</v>
      </c>
      <c r="EX6659" s="44" t="s">
        <v>5814</v>
      </c>
      <c r="FF6659" s="44" t="s">
        <v>59</v>
      </c>
      <c r="FJ6659" s="44" t="s">
        <v>59</v>
      </c>
    </row>
    <row r="6660" spans="153:166" x14ac:dyDescent="0.35">
      <c r="EW6660" t="s">
        <v>5212</v>
      </c>
      <c r="EX6660" s="44" t="s">
        <v>5815</v>
      </c>
      <c r="FF6660" s="44" t="s">
        <v>59</v>
      </c>
      <c r="FJ6660" s="44" t="s">
        <v>59</v>
      </c>
    </row>
    <row r="6661" spans="153:166" x14ac:dyDescent="0.35">
      <c r="EW6661" t="s">
        <v>5212</v>
      </c>
      <c r="EX6661" s="44" t="s">
        <v>5816</v>
      </c>
      <c r="FF6661" s="44" t="s">
        <v>59</v>
      </c>
      <c r="FJ6661" s="44" t="s">
        <v>59</v>
      </c>
    </row>
    <row r="6662" spans="153:166" x14ac:dyDescent="0.35">
      <c r="EW6662" t="s">
        <v>5212</v>
      </c>
      <c r="EX6662" s="44" t="s">
        <v>5817</v>
      </c>
      <c r="FF6662" s="44" t="s">
        <v>59</v>
      </c>
      <c r="FJ6662" s="44" t="s">
        <v>59</v>
      </c>
    </row>
    <row r="6663" spans="153:166" x14ac:dyDescent="0.35">
      <c r="EW6663" t="s">
        <v>5212</v>
      </c>
      <c r="EX6663" s="44" t="s">
        <v>5818</v>
      </c>
      <c r="FF6663" s="44" t="s">
        <v>59</v>
      </c>
      <c r="FJ6663" s="44" t="s">
        <v>59</v>
      </c>
    </row>
    <row r="6664" spans="153:166" x14ac:dyDescent="0.35">
      <c r="EW6664" t="s">
        <v>5212</v>
      </c>
      <c r="EX6664" s="44" t="s">
        <v>5819</v>
      </c>
      <c r="FF6664" s="44" t="s">
        <v>59</v>
      </c>
      <c r="FJ6664" s="44" t="s">
        <v>59</v>
      </c>
    </row>
    <row r="6665" spans="153:166" x14ac:dyDescent="0.35">
      <c r="EW6665" t="s">
        <v>5212</v>
      </c>
      <c r="EX6665" s="44" t="s">
        <v>5820</v>
      </c>
      <c r="FF6665" s="44" t="s">
        <v>59</v>
      </c>
      <c r="FJ6665" s="44" t="s">
        <v>59</v>
      </c>
    </row>
    <row r="6666" spans="153:166" x14ac:dyDescent="0.35">
      <c r="EW6666" t="s">
        <v>5212</v>
      </c>
      <c r="EX6666" s="44" t="s">
        <v>5821</v>
      </c>
      <c r="FF6666" s="44" t="s">
        <v>59</v>
      </c>
      <c r="FJ6666" s="44" t="s">
        <v>59</v>
      </c>
    </row>
    <row r="6667" spans="153:166" x14ac:dyDescent="0.35">
      <c r="EW6667" t="s">
        <v>5212</v>
      </c>
      <c r="EX6667" s="44" t="s">
        <v>5822</v>
      </c>
      <c r="FF6667" s="44" t="s">
        <v>59</v>
      </c>
      <c r="FJ6667" s="44" t="s">
        <v>59</v>
      </c>
    </row>
    <row r="6668" spans="153:166" x14ac:dyDescent="0.35">
      <c r="EW6668" t="s">
        <v>5212</v>
      </c>
      <c r="EX6668" s="44" t="s">
        <v>5823</v>
      </c>
      <c r="FF6668" s="44" t="s">
        <v>59</v>
      </c>
      <c r="FJ6668" s="44" t="s">
        <v>59</v>
      </c>
    </row>
    <row r="6669" spans="153:166" x14ac:dyDescent="0.35">
      <c r="EW6669" t="s">
        <v>5212</v>
      </c>
      <c r="EX6669" s="44" t="s">
        <v>5824</v>
      </c>
      <c r="FF6669" s="44" t="s">
        <v>59</v>
      </c>
      <c r="FJ6669" s="44" t="s">
        <v>59</v>
      </c>
    </row>
    <row r="6670" spans="153:166" x14ac:dyDescent="0.35">
      <c r="EW6670" t="s">
        <v>5212</v>
      </c>
      <c r="EX6670" s="44" t="s">
        <v>5825</v>
      </c>
      <c r="FF6670" s="44" t="s">
        <v>59</v>
      </c>
      <c r="FJ6670" s="44" t="s">
        <v>59</v>
      </c>
    </row>
    <row r="6671" spans="153:166" x14ac:dyDescent="0.35">
      <c r="EW6671" t="s">
        <v>5212</v>
      </c>
      <c r="EX6671" s="44" t="s">
        <v>5826</v>
      </c>
      <c r="FF6671" s="44" t="s">
        <v>59</v>
      </c>
      <c r="FJ6671" s="44" t="s">
        <v>59</v>
      </c>
    </row>
    <row r="6672" spans="153:166" x14ac:dyDescent="0.35">
      <c r="EW6672" t="s">
        <v>5212</v>
      </c>
      <c r="EX6672" s="44" t="s">
        <v>5827</v>
      </c>
      <c r="FF6672" s="44" t="s">
        <v>59</v>
      </c>
      <c r="FJ6672" s="44" t="s">
        <v>59</v>
      </c>
    </row>
    <row r="6673" spans="153:166" x14ac:dyDescent="0.35">
      <c r="EW6673" t="s">
        <v>5212</v>
      </c>
      <c r="EX6673" s="44" t="s">
        <v>5828</v>
      </c>
      <c r="FF6673" s="44" t="s">
        <v>59</v>
      </c>
      <c r="FJ6673" s="44" t="s">
        <v>59</v>
      </c>
    </row>
    <row r="6674" spans="153:166" x14ac:dyDescent="0.35">
      <c r="EW6674" t="s">
        <v>5212</v>
      </c>
      <c r="EX6674" s="44" t="s">
        <v>5829</v>
      </c>
      <c r="FF6674" s="44" t="s">
        <v>59</v>
      </c>
      <c r="FJ6674" s="44" t="s">
        <v>59</v>
      </c>
    </row>
    <row r="6675" spans="153:166" x14ac:dyDescent="0.35">
      <c r="EW6675" t="s">
        <v>5212</v>
      </c>
      <c r="EX6675" s="44" t="s">
        <v>5830</v>
      </c>
      <c r="FF6675" s="44" t="s">
        <v>59</v>
      </c>
      <c r="FJ6675" s="44" t="s">
        <v>59</v>
      </c>
    </row>
    <row r="6676" spans="153:166" x14ac:dyDescent="0.35">
      <c r="EW6676" t="s">
        <v>5212</v>
      </c>
      <c r="EX6676" s="44" t="s">
        <v>5831</v>
      </c>
      <c r="FF6676" s="44" t="s">
        <v>59</v>
      </c>
      <c r="FJ6676" s="44" t="s">
        <v>59</v>
      </c>
    </row>
    <row r="6677" spans="153:166" x14ac:dyDescent="0.35">
      <c r="EW6677" t="s">
        <v>5212</v>
      </c>
      <c r="EX6677" s="44" t="s">
        <v>5832</v>
      </c>
      <c r="FF6677" s="44" t="s">
        <v>59</v>
      </c>
      <c r="FJ6677" s="44" t="s">
        <v>59</v>
      </c>
    </row>
    <row r="6678" spans="153:166" x14ac:dyDescent="0.35">
      <c r="EW6678" t="s">
        <v>5212</v>
      </c>
      <c r="EX6678" s="44" t="s">
        <v>5833</v>
      </c>
      <c r="FF6678" s="44" t="s">
        <v>59</v>
      </c>
      <c r="FJ6678" s="44" t="s">
        <v>59</v>
      </c>
    </row>
    <row r="6679" spans="153:166" x14ac:dyDescent="0.35">
      <c r="EW6679" t="s">
        <v>5212</v>
      </c>
      <c r="EX6679" s="44" t="s">
        <v>5834</v>
      </c>
      <c r="FF6679" s="44" t="s">
        <v>59</v>
      </c>
      <c r="FJ6679" s="44" t="s">
        <v>59</v>
      </c>
    </row>
    <row r="6680" spans="153:166" x14ac:dyDescent="0.35">
      <c r="EW6680" t="s">
        <v>5212</v>
      </c>
      <c r="EX6680" s="44" t="s">
        <v>5835</v>
      </c>
      <c r="FF6680" s="44" t="s">
        <v>59</v>
      </c>
      <c r="FJ6680" s="44" t="s">
        <v>59</v>
      </c>
    </row>
    <row r="6681" spans="153:166" x14ac:dyDescent="0.35">
      <c r="EW6681" t="s">
        <v>5212</v>
      </c>
      <c r="EX6681" s="44" t="s">
        <v>5836</v>
      </c>
      <c r="FF6681" s="44" t="s">
        <v>59</v>
      </c>
      <c r="FJ6681" s="44" t="s">
        <v>59</v>
      </c>
    </row>
    <row r="6682" spans="153:166" x14ac:dyDescent="0.35">
      <c r="EW6682" t="s">
        <v>5212</v>
      </c>
      <c r="EX6682" s="44" t="s">
        <v>5837</v>
      </c>
      <c r="FF6682" s="44" t="s">
        <v>59</v>
      </c>
      <c r="FJ6682" s="44" t="s">
        <v>59</v>
      </c>
    </row>
    <row r="6683" spans="153:166" x14ac:dyDescent="0.35">
      <c r="EW6683" t="s">
        <v>5212</v>
      </c>
      <c r="EX6683" s="44" t="s">
        <v>5838</v>
      </c>
      <c r="FF6683" s="44" t="s">
        <v>59</v>
      </c>
      <c r="FJ6683" s="44" t="s">
        <v>59</v>
      </c>
    </row>
    <row r="6684" spans="153:166" x14ac:dyDescent="0.35">
      <c r="EW6684" t="s">
        <v>5212</v>
      </c>
      <c r="EX6684" s="44" t="s">
        <v>5839</v>
      </c>
      <c r="FF6684" s="44" t="s">
        <v>59</v>
      </c>
      <c r="FJ6684" s="44" t="s">
        <v>59</v>
      </c>
    </row>
    <row r="6685" spans="153:166" x14ac:dyDescent="0.35">
      <c r="EW6685" t="s">
        <v>5212</v>
      </c>
      <c r="EX6685" s="44" t="s">
        <v>5840</v>
      </c>
      <c r="FF6685" s="44" t="s">
        <v>59</v>
      </c>
      <c r="FJ6685" s="44" t="s">
        <v>59</v>
      </c>
    </row>
    <row r="6686" spans="153:166" x14ac:dyDescent="0.35">
      <c r="EW6686" t="s">
        <v>5212</v>
      </c>
      <c r="EX6686" s="44" t="s">
        <v>5841</v>
      </c>
      <c r="FF6686" s="44" t="s">
        <v>59</v>
      </c>
      <c r="FJ6686" s="44" t="s">
        <v>59</v>
      </c>
    </row>
    <row r="6687" spans="153:166" x14ac:dyDescent="0.35">
      <c r="EW6687" t="s">
        <v>5212</v>
      </c>
      <c r="EX6687" s="44" t="s">
        <v>5842</v>
      </c>
      <c r="FF6687" s="44" t="s">
        <v>59</v>
      </c>
      <c r="FJ6687" s="44" t="s">
        <v>59</v>
      </c>
    </row>
    <row r="6688" spans="153:166" x14ac:dyDescent="0.35">
      <c r="EW6688" t="s">
        <v>5212</v>
      </c>
      <c r="EX6688" s="44" t="s">
        <v>5843</v>
      </c>
      <c r="FF6688" s="44" t="s">
        <v>59</v>
      </c>
      <c r="FJ6688" s="44" t="s">
        <v>59</v>
      </c>
    </row>
    <row r="6689" spans="153:166" x14ac:dyDescent="0.35">
      <c r="EW6689" t="s">
        <v>5212</v>
      </c>
      <c r="EX6689" s="44" t="s">
        <v>5844</v>
      </c>
      <c r="FF6689" s="44" t="s">
        <v>59</v>
      </c>
      <c r="FJ6689" s="44" t="s">
        <v>59</v>
      </c>
    </row>
    <row r="6690" spans="153:166" x14ac:dyDescent="0.35">
      <c r="EW6690" t="s">
        <v>5212</v>
      </c>
      <c r="EX6690" s="44" t="s">
        <v>5845</v>
      </c>
      <c r="FF6690" s="44" t="s">
        <v>59</v>
      </c>
      <c r="FJ6690" s="44" t="s">
        <v>59</v>
      </c>
    </row>
    <row r="6691" spans="153:166" x14ac:dyDescent="0.35">
      <c r="EW6691" t="s">
        <v>5212</v>
      </c>
      <c r="EX6691" s="44" t="s">
        <v>5846</v>
      </c>
      <c r="FF6691" s="44" t="s">
        <v>59</v>
      </c>
      <c r="FJ6691" s="44" t="s">
        <v>59</v>
      </c>
    </row>
    <row r="6692" spans="153:166" x14ac:dyDescent="0.35">
      <c r="EW6692" t="s">
        <v>5212</v>
      </c>
      <c r="EX6692" s="44" t="s">
        <v>5847</v>
      </c>
      <c r="FF6692" s="44" t="s">
        <v>59</v>
      </c>
      <c r="FJ6692" s="44" t="s">
        <v>59</v>
      </c>
    </row>
    <row r="6693" spans="153:166" x14ac:dyDescent="0.35">
      <c r="EW6693" t="s">
        <v>5212</v>
      </c>
      <c r="EX6693" s="44" t="s">
        <v>5848</v>
      </c>
      <c r="FF6693" s="44" t="s">
        <v>59</v>
      </c>
      <c r="FJ6693" s="44" t="s">
        <v>59</v>
      </c>
    </row>
    <row r="6694" spans="153:166" x14ac:dyDescent="0.35">
      <c r="EW6694" t="s">
        <v>5212</v>
      </c>
      <c r="EX6694" s="44" t="s">
        <v>5849</v>
      </c>
      <c r="FF6694" s="44" t="s">
        <v>59</v>
      </c>
      <c r="FJ6694" s="44" t="s">
        <v>59</v>
      </c>
    </row>
    <row r="6695" spans="153:166" x14ac:dyDescent="0.35">
      <c r="EW6695" t="s">
        <v>5212</v>
      </c>
      <c r="EX6695" s="44" t="s">
        <v>5850</v>
      </c>
      <c r="FF6695" s="44" t="s">
        <v>59</v>
      </c>
      <c r="FJ6695" s="44" t="s">
        <v>59</v>
      </c>
    </row>
    <row r="6696" spans="153:166" x14ac:dyDescent="0.35">
      <c r="EW6696" t="s">
        <v>5212</v>
      </c>
      <c r="EX6696" s="44" t="s">
        <v>5851</v>
      </c>
      <c r="FF6696" s="44" t="s">
        <v>59</v>
      </c>
      <c r="FJ6696" s="44" t="s">
        <v>59</v>
      </c>
    </row>
    <row r="6697" spans="153:166" x14ac:dyDescent="0.35">
      <c r="EW6697" t="s">
        <v>5212</v>
      </c>
      <c r="EX6697" s="44" t="s">
        <v>5852</v>
      </c>
      <c r="FF6697" s="44" t="s">
        <v>59</v>
      </c>
      <c r="FJ6697" s="44" t="s">
        <v>59</v>
      </c>
    </row>
    <row r="6698" spans="153:166" x14ac:dyDescent="0.35">
      <c r="EW6698" t="s">
        <v>5212</v>
      </c>
      <c r="EX6698" s="44" t="s">
        <v>5853</v>
      </c>
      <c r="FF6698" s="44" t="s">
        <v>59</v>
      </c>
      <c r="FJ6698" s="44" t="s">
        <v>59</v>
      </c>
    </row>
    <row r="6699" spans="153:166" x14ac:dyDescent="0.35">
      <c r="EW6699" t="s">
        <v>5212</v>
      </c>
      <c r="EX6699" s="44" t="s">
        <v>5854</v>
      </c>
      <c r="FF6699" s="44" t="s">
        <v>59</v>
      </c>
      <c r="FJ6699" s="44" t="s">
        <v>59</v>
      </c>
    </row>
    <row r="6700" spans="153:166" x14ac:dyDescent="0.35">
      <c r="EW6700" t="s">
        <v>5212</v>
      </c>
      <c r="EX6700" s="44" t="s">
        <v>5855</v>
      </c>
      <c r="FF6700" s="44" t="s">
        <v>59</v>
      </c>
      <c r="FJ6700" s="44" t="s">
        <v>59</v>
      </c>
    </row>
    <row r="6701" spans="153:166" x14ac:dyDescent="0.35">
      <c r="EW6701" t="s">
        <v>5212</v>
      </c>
      <c r="EX6701" s="44" t="s">
        <v>5856</v>
      </c>
      <c r="FF6701" s="44" t="s">
        <v>59</v>
      </c>
      <c r="FJ6701" s="44" t="s">
        <v>59</v>
      </c>
    </row>
    <row r="6702" spans="153:166" x14ac:dyDescent="0.35">
      <c r="EW6702" t="s">
        <v>5212</v>
      </c>
      <c r="EX6702" s="44" t="s">
        <v>5857</v>
      </c>
      <c r="FF6702" s="44" t="s">
        <v>59</v>
      </c>
      <c r="FJ6702" s="44" t="s">
        <v>59</v>
      </c>
    </row>
    <row r="6703" spans="153:166" x14ac:dyDescent="0.35">
      <c r="EW6703" t="s">
        <v>5212</v>
      </c>
      <c r="EX6703" s="44" t="s">
        <v>5858</v>
      </c>
      <c r="FF6703" s="44" t="s">
        <v>59</v>
      </c>
      <c r="FJ6703" s="44" t="s">
        <v>59</v>
      </c>
    </row>
    <row r="6704" spans="153:166" x14ac:dyDescent="0.35">
      <c r="EW6704" t="s">
        <v>5212</v>
      </c>
      <c r="EX6704" s="44" t="s">
        <v>5859</v>
      </c>
      <c r="FF6704" s="44" t="s">
        <v>59</v>
      </c>
      <c r="FJ6704" s="44" t="s">
        <v>59</v>
      </c>
    </row>
    <row r="6705" spans="153:166" x14ac:dyDescent="0.35">
      <c r="EW6705" t="s">
        <v>5212</v>
      </c>
      <c r="EX6705" s="44" t="s">
        <v>5860</v>
      </c>
      <c r="FF6705" s="44" t="s">
        <v>59</v>
      </c>
      <c r="FJ6705" s="44" t="s">
        <v>59</v>
      </c>
    </row>
    <row r="6706" spans="153:166" x14ac:dyDescent="0.35">
      <c r="EW6706" t="s">
        <v>5212</v>
      </c>
      <c r="EX6706" s="44" t="s">
        <v>5861</v>
      </c>
      <c r="FF6706" s="44" t="s">
        <v>59</v>
      </c>
      <c r="FJ6706" s="44" t="s">
        <v>59</v>
      </c>
    </row>
    <row r="6707" spans="153:166" x14ac:dyDescent="0.35">
      <c r="EW6707" t="s">
        <v>5212</v>
      </c>
      <c r="EX6707" s="44" t="s">
        <v>5862</v>
      </c>
      <c r="FF6707" s="44" t="s">
        <v>59</v>
      </c>
      <c r="FJ6707" s="44" t="s">
        <v>59</v>
      </c>
    </row>
    <row r="6708" spans="153:166" x14ac:dyDescent="0.35">
      <c r="EW6708" t="s">
        <v>5212</v>
      </c>
      <c r="EX6708" s="44" t="s">
        <v>5863</v>
      </c>
      <c r="FF6708" s="44" t="s">
        <v>59</v>
      </c>
      <c r="FJ6708" s="44" t="s">
        <v>59</v>
      </c>
    </row>
    <row r="6709" spans="153:166" x14ac:dyDescent="0.35">
      <c r="EW6709" t="s">
        <v>5212</v>
      </c>
      <c r="EX6709" s="44" t="s">
        <v>5864</v>
      </c>
      <c r="FF6709" s="44" t="s">
        <v>59</v>
      </c>
      <c r="FJ6709" s="44" t="s">
        <v>59</v>
      </c>
    </row>
    <row r="6710" spans="153:166" x14ac:dyDescent="0.35">
      <c r="EW6710" t="s">
        <v>5212</v>
      </c>
      <c r="EX6710" s="44" t="s">
        <v>5865</v>
      </c>
      <c r="FF6710" s="44" t="s">
        <v>59</v>
      </c>
      <c r="FJ6710" s="44" t="s">
        <v>59</v>
      </c>
    </row>
    <row r="6711" spans="153:166" x14ac:dyDescent="0.35">
      <c r="EW6711" t="s">
        <v>5212</v>
      </c>
      <c r="EX6711" s="44" t="s">
        <v>5866</v>
      </c>
      <c r="FF6711" s="44" t="s">
        <v>59</v>
      </c>
      <c r="FJ6711" s="44" t="s">
        <v>59</v>
      </c>
    </row>
    <row r="6712" spans="153:166" x14ac:dyDescent="0.35">
      <c r="EW6712" t="s">
        <v>5212</v>
      </c>
      <c r="EX6712" s="44" t="s">
        <v>5867</v>
      </c>
      <c r="FF6712" s="44" t="s">
        <v>59</v>
      </c>
      <c r="FJ6712" s="44" t="s">
        <v>59</v>
      </c>
    </row>
    <row r="6713" spans="153:166" x14ac:dyDescent="0.35">
      <c r="EW6713" t="s">
        <v>5212</v>
      </c>
      <c r="EX6713" s="44" t="s">
        <v>5868</v>
      </c>
      <c r="FF6713" s="44" t="s">
        <v>59</v>
      </c>
      <c r="FJ6713" s="44" t="s">
        <v>59</v>
      </c>
    </row>
    <row r="6714" spans="153:166" x14ac:dyDescent="0.35">
      <c r="EW6714" t="s">
        <v>5212</v>
      </c>
      <c r="EX6714" s="44" t="s">
        <v>5869</v>
      </c>
      <c r="FF6714" s="44" t="s">
        <v>59</v>
      </c>
      <c r="FJ6714" s="44" t="s">
        <v>59</v>
      </c>
    </row>
    <row r="6715" spans="153:166" x14ac:dyDescent="0.35">
      <c r="EW6715" t="s">
        <v>5212</v>
      </c>
      <c r="EX6715" s="44" t="s">
        <v>5870</v>
      </c>
      <c r="FF6715" s="44" t="s">
        <v>59</v>
      </c>
      <c r="FJ6715" s="44" t="s">
        <v>59</v>
      </c>
    </row>
    <row r="6716" spans="153:166" x14ac:dyDescent="0.35">
      <c r="EW6716" t="s">
        <v>5212</v>
      </c>
      <c r="EX6716" s="44" t="s">
        <v>5871</v>
      </c>
      <c r="FF6716" s="44" t="s">
        <v>59</v>
      </c>
      <c r="FJ6716" s="44" t="s">
        <v>59</v>
      </c>
    </row>
    <row r="6717" spans="153:166" x14ac:dyDescent="0.35">
      <c r="EW6717" t="s">
        <v>5212</v>
      </c>
      <c r="EX6717" s="44" t="s">
        <v>5872</v>
      </c>
      <c r="FF6717" s="44" t="s">
        <v>59</v>
      </c>
      <c r="FJ6717" s="44" t="s">
        <v>59</v>
      </c>
    </row>
    <row r="6718" spans="153:166" x14ac:dyDescent="0.35">
      <c r="EW6718" t="s">
        <v>5212</v>
      </c>
      <c r="EX6718" s="44" t="s">
        <v>5873</v>
      </c>
      <c r="FF6718" s="44" t="s">
        <v>59</v>
      </c>
      <c r="FJ6718" s="44" t="s">
        <v>59</v>
      </c>
    </row>
    <row r="6719" spans="153:166" x14ac:dyDescent="0.35">
      <c r="EW6719" t="s">
        <v>5212</v>
      </c>
      <c r="EX6719" s="44" t="s">
        <v>5874</v>
      </c>
      <c r="FF6719" s="44" t="s">
        <v>59</v>
      </c>
      <c r="FJ6719" s="44" t="s">
        <v>59</v>
      </c>
    </row>
    <row r="6720" spans="153:166" x14ac:dyDescent="0.35">
      <c r="EW6720" t="s">
        <v>5212</v>
      </c>
      <c r="EX6720" s="44" t="s">
        <v>5875</v>
      </c>
      <c r="FF6720" s="44" t="s">
        <v>59</v>
      </c>
      <c r="FJ6720" s="44" t="s">
        <v>59</v>
      </c>
    </row>
    <row r="6721" spans="153:166" x14ac:dyDescent="0.35">
      <c r="EW6721" t="s">
        <v>5212</v>
      </c>
      <c r="EX6721" s="44" t="s">
        <v>5876</v>
      </c>
      <c r="FF6721" s="44" t="s">
        <v>59</v>
      </c>
      <c r="FJ6721" s="44" t="s">
        <v>59</v>
      </c>
    </row>
    <row r="6722" spans="153:166" x14ac:dyDescent="0.35">
      <c r="EW6722" t="s">
        <v>5212</v>
      </c>
      <c r="EX6722" s="44" t="s">
        <v>5877</v>
      </c>
      <c r="FF6722" s="44" t="s">
        <v>59</v>
      </c>
      <c r="FJ6722" s="44" t="s">
        <v>59</v>
      </c>
    </row>
    <row r="6723" spans="153:166" x14ac:dyDescent="0.35">
      <c r="EW6723" t="s">
        <v>5212</v>
      </c>
      <c r="EX6723" s="44" t="s">
        <v>5878</v>
      </c>
      <c r="FF6723" s="44" t="s">
        <v>59</v>
      </c>
      <c r="FJ6723" s="44" t="s">
        <v>59</v>
      </c>
    </row>
    <row r="6724" spans="153:166" x14ac:dyDescent="0.35">
      <c r="EW6724" t="s">
        <v>5212</v>
      </c>
      <c r="EX6724" s="44" t="s">
        <v>5879</v>
      </c>
      <c r="FF6724" s="44" t="s">
        <v>59</v>
      </c>
      <c r="FJ6724" s="44" t="s">
        <v>59</v>
      </c>
    </row>
    <row r="6725" spans="153:166" x14ac:dyDescent="0.35">
      <c r="EW6725" t="s">
        <v>5212</v>
      </c>
      <c r="EX6725" s="44" t="s">
        <v>5880</v>
      </c>
      <c r="FF6725" s="44" t="s">
        <v>59</v>
      </c>
      <c r="FJ6725" s="44" t="s">
        <v>59</v>
      </c>
    </row>
    <row r="6726" spans="153:166" x14ac:dyDescent="0.35">
      <c r="EW6726" t="s">
        <v>5212</v>
      </c>
      <c r="EX6726" s="44" t="s">
        <v>5881</v>
      </c>
      <c r="FF6726" s="44" t="s">
        <v>59</v>
      </c>
      <c r="FJ6726" s="44" t="s">
        <v>59</v>
      </c>
    </row>
    <row r="6727" spans="153:166" x14ac:dyDescent="0.35">
      <c r="EW6727" t="s">
        <v>5212</v>
      </c>
      <c r="EX6727" s="44" t="s">
        <v>5882</v>
      </c>
      <c r="FF6727" s="44" t="s">
        <v>59</v>
      </c>
      <c r="FJ6727" s="44" t="s">
        <v>59</v>
      </c>
    </row>
    <row r="6728" spans="153:166" x14ac:dyDescent="0.35">
      <c r="EW6728" t="s">
        <v>5212</v>
      </c>
      <c r="EX6728" s="44" t="s">
        <v>5883</v>
      </c>
      <c r="FF6728" s="44" t="s">
        <v>59</v>
      </c>
      <c r="FJ6728" s="44" t="s">
        <v>59</v>
      </c>
    </row>
    <row r="6729" spans="153:166" x14ac:dyDescent="0.35">
      <c r="EW6729" t="s">
        <v>5212</v>
      </c>
      <c r="EX6729" s="44" t="s">
        <v>5884</v>
      </c>
      <c r="FF6729" s="44" t="s">
        <v>59</v>
      </c>
      <c r="FJ6729" s="44" t="s">
        <v>59</v>
      </c>
    </row>
    <row r="6730" spans="153:166" x14ac:dyDescent="0.35">
      <c r="EW6730" t="s">
        <v>5212</v>
      </c>
      <c r="EX6730" s="44" t="s">
        <v>5885</v>
      </c>
      <c r="FF6730" s="44" t="s">
        <v>59</v>
      </c>
      <c r="FJ6730" s="44" t="s">
        <v>59</v>
      </c>
    </row>
    <row r="6731" spans="153:166" x14ac:dyDescent="0.35">
      <c r="EW6731" t="s">
        <v>5212</v>
      </c>
      <c r="EX6731" s="44" t="s">
        <v>5886</v>
      </c>
      <c r="FF6731" s="44" t="s">
        <v>59</v>
      </c>
      <c r="FJ6731" s="44" t="s">
        <v>59</v>
      </c>
    </row>
    <row r="6732" spans="153:166" x14ac:dyDescent="0.35">
      <c r="EW6732" t="s">
        <v>5212</v>
      </c>
      <c r="EX6732" s="44" t="s">
        <v>5887</v>
      </c>
      <c r="FF6732" s="44" t="s">
        <v>59</v>
      </c>
      <c r="FJ6732" s="44" t="s">
        <v>59</v>
      </c>
    </row>
    <row r="6733" spans="153:166" x14ac:dyDescent="0.35">
      <c r="EW6733" t="s">
        <v>5212</v>
      </c>
      <c r="EX6733" s="44" t="s">
        <v>5888</v>
      </c>
      <c r="FF6733" s="44" t="s">
        <v>59</v>
      </c>
      <c r="FJ6733" s="44" t="s">
        <v>59</v>
      </c>
    </row>
    <row r="6734" spans="153:166" x14ac:dyDescent="0.35">
      <c r="EW6734" t="s">
        <v>5212</v>
      </c>
      <c r="EX6734" s="44" t="s">
        <v>5889</v>
      </c>
      <c r="FF6734" s="44" t="s">
        <v>59</v>
      </c>
      <c r="FJ6734" s="44" t="s">
        <v>59</v>
      </c>
    </row>
    <row r="6735" spans="153:166" x14ac:dyDescent="0.35">
      <c r="EW6735" t="s">
        <v>5212</v>
      </c>
      <c r="EX6735" s="44" t="s">
        <v>5890</v>
      </c>
      <c r="FF6735" s="44" t="s">
        <v>59</v>
      </c>
      <c r="FJ6735" s="44" t="s">
        <v>59</v>
      </c>
    </row>
    <row r="6736" spans="153:166" x14ac:dyDescent="0.35">
      <c r="EW6736" t="s">
        <v>5212</v>
      </c>
      <c r="EX6736" s="44" t="s">
        <v>5891</v>
      </c>
      <c r="FF6736" s="44" t="s">
        <v>59</v>
      </c>
      <c r="FJ6736" s="44" t="s">
        <v>59</v>
      </c>
    </row>
    <row r="6737" spans="153:166" x14ac:dyDescent="0.35">
      <c r="EW6737" t="s">
        <v>5212</v>
      </c>
      <c r="EX6737" s="44" t="s">
        <v>5892</v>
      </c>
      <c r="FF6737" s="44" t="s">
        <v>59</v>
      </c>
      <c r="FJ6737" s="44" t="s">
        <v>59</v>
      </c>
    </row>
    <row r="6738" spans="153:166" x14ac:dyDescent="0.35">
      <c r="EW6738" t="s">
        <v>5212</v>
      </c>
      <c r="EX6738" s="44" t="s">
        <v>5893</v>
      </c>
      <c r="FF6738" s="44" t="s">
        <v>59</v>
      </c>
      <c r="FJ6738" s="44" t="s">
        <v>59</v>
      </c>
    </row>
    <row r="6739" spans="153:166" x14ac:dyDescent="0.35">
      <c r="EW6739" t="s">
        <v>5212</v>
      </c>
      <c r="EX6739" s="44" t="s">
        <v>5894</v>
      </c>
      <c r="FF6739" s="44" t="s">
        <v>59</v>
      </c>
      <c r="FJ6739" s="44" t="s">
        <v>59</v>
      </c>
    </row>
    <row r="6740" spans="153:166" x14ac:dyDescent="0.35">
      <c r="EW6740" t="s">
        <v>5212</v>
      </c>
      <c r="EX6740" s="44" t="s">
        <v>5895</v>
      </c>
      <c r="FF6740" s="44" t="s">
        <v>59</v>
      </c>
      <c r="FJ6740" s="44" t="s">
        <v>59</v>
      </c>
    </row>
    <row r="6741" spans="153:166" x14ac:dyDescent="0.35">
      <c r="EW6741" t="s">
        <v>5212</v>
      </c>
      <c r="EX6741" s="44" t="s">
        <v>5896</v>
      </c>
      <c r="FF6741" s="44" t="s">
        <v>59</v>
      </c>
      <c r="FJ6741" s="44" t="s">
        <v>59</v>
      </c>
    </row>
    <row r="6742" spans="153:166" x14ac:dyDescent="0.35">
      <c r="EW6742" t="s">
        <v>5212</v>
      </c>
      <c r="EX6742" s="44" t="s">
        <v>5897</v>
      </c>
      <c r="FF6742" s="44" t="s">
        <v>59</v>
      </c>
      <c r="FJ6742" s="44" t="s">
        <v>59</v>
      </c>
    </row>
    <row r="6743" spans="153:166" x14ac:dyDescent="0.35">
      <c r="EW6743" t="s">
        <v>5212</v>
      </c>
      <c r="EX6743" s="44" t="s">
        <v>5898</v>
      </c>
      <c r="FF6743" s="44" t="s">
        <v>59</v>
      </c>
      <c r="FJ6743" s="44" t="s">
        <v>59</v>
      </c>
    </row>
    <row r="6744" spans="153:166" x14ac:dyDescent="0.35">
      <c r="EW6744" t="s">
        <v>5212</v>
      </c>
      <c r="EX6744" s="44" t="s">
        <v>5899</v>
      </c>
      <c r="FF6744" s="44" t="s">
        <v>474</v>
      </c>
      <c r="FJ6744" s="44" t="s">
        <v>474</v>
      </c>
    </row>
    <row r="6745" spans="153:166" x14ac:dyDescent="0.35">
      <c r="EW6745" t="s">
        <v>5212</v>
      </c>
      <c r="EX6745" s="44" t="s">
        <v>5900</v>
      </c>
      <c r="FF6745" s="44" t="s">
        <v>474</v>
      </c>
      <c r="FJ6745" s="44" t="s">
        <v>474</v>
      </c>
    </row>
    <row r="6746" spans="153:166" x14ac:dyDescent="0.35">
      <c r="EW6746" t="s">
        <v>5212</v>
      </c>
      <c r="EX6746" s="44" t="s">
        <v>5901</v>
      </c>
      <c r="FF6746" s="44" t="s">
        <v>474</v>
      </c>
      <c r="FJ6746" s="44" t="s">
        <v>474</v>
      </c>
    </row>
    <row r="6747" spans="153:166" x14ac:dyDescent="0.35">
      <c r="EW6747" t="s">
        <v>5212</v>
      </c>
      <c r="EX6747" s="44" t="s">
        <v>5902</v>
      </c>
      <c r="FF6747" s="44" t="s">
        <v>474</v>
      </c>
      <c r="FJ6747" s="44" t="s">
        <v>474</v>
      </c>
    </row>
    <row r="6748" spans="153:166" x14ac:dyDescent="0.35">
      <c r="EW6748" t="s">
        <v>5212</v>
      </c>
      <c r="EX6748" s="44" t="s">
        <v>5903</v>
      </c>
      <c r="FF6748" s="44" t="s">
        <v>1109</v>
      </c>
      <c r="FJ6748" s="44" t="s">
        <v>1109</v>
      </c>
    </row>
    <row r="6749" spans="153:166" x14ac:dyDescent="0.35">
      <c r="EW6749" t="s">
        <v>5212</v>
      </c>
      <c r="EX6749" s="44" t="s">
        <v>5904</v>
      </c>
      <c r="FF6749" s="44" t="s">
        <v>1109</v>
      </c>
      <c r="FJ6749" s="44" t="s">
        <v>1109</v>
      </c>
    </row>
    <row r="6750" spans="153:166" x14ac:dyDescent="0.35">
      <c r="EW6750" t="s">
        <v>5212</v>
      </c>
      <c r="EX6750" s="44" t="s">
        <v>5905</v>
      </c>
      <c r="FF6750" s="44" t="s">
        <v>1109</v>
      </c>
      <c r="FJ6750" s="44" t="s">
        <v>1109</v>
      </c>
    </row>
    <row r="6751" spans="153:166" x14ac:dyDescent="0.35">
      <c r="EW6751" t="s">
        <v>5212</v>
      </c>
      <c r="EX6751" s="44" t="s">
        <v>5906</v>
      </c>
      <c r="FF6751" s="44" t="s">
        <v>1109</v>
      </c>
      <c r="FJ6751" s="44" t="s">
        <v>1109</v>
      </c>
    </row>
    <row r="6752" spans="153:166" x14ac:dyDescent="0.35">
      <c r="EW6752" t="s">
        <v>5212</v>
      </c>
      <c r="EX6752" s="44" t="s">
        <v>5907</v>
      </c>
      <c r="FF6752" s="44" t="s">
        <v>1109</v>
      </c>
      <c r="FJ6752" s="44" t="s">
        <v>1109</v>
      </c>
    </row>
    <row r="6753" spans="153:166" x14ac:dyDescent="0.35">
      <c r="EW6753" t="s">
        <v>5212</v>
      </c>
      <c r="EX6753" s="44" t="s">
        <v>5908</v>
      </c>
      <c r="FF6753" s="44" t="s">
        <v>1109</v>
      </c>
      <c r="FJ6753" s="44" t="s">
        <v>1109</v>
      </c>
    </row>
    <row r="6754" spans="153:166" x14ac:dyDescent="0.35">
      <c r="EW6754" t="s">
        <v>5212</v>
      </c>
      <c r="EX6754" s="44" t="s">
        <v>5909</v>
      </c>
      <c r="FF6754" s="44" t="s">
        <v>1109</v>
      </c>
      <c r="FJ6754" s="44" t="s">
        <v>1109</v>
      </c>
    </row>
    <row r="6755" spans="153:166" x14ac:dyDescent="0.35">
      <c r="EW6755" t="s">
        <v>5212</v>
      </c>
      <c r="EX6755" s="44" t="s">
        <v>5910</v>
      </c>
      <c r="FF6755" s="44" t="s">
        <v>1109</v>
      </c>
      <c r="FJ6755" s="44" t="s">
        <v>1109</v>
      </c>
    </row>
    <row r="6756" spans="153:166" x14ac:dyDescent="0.35">
      <c r="EW6756" t="s">
        <v>5212</v>
      </c>
      <c r="EX6756" s="44" t="s">
        <v>5911</v>
      </c>
      <c r="FF6756" s="44" t="s">
        <v>1109</v>
      </c>
      <c r="FJ6756" s="44" t="s">
        <v>1109</v>
      </c>
    </row>
    <row r="6757" spans="153:166" x14ac:dyDescent="0.35">
      <c r="EW6757" t="s">
        <v>5212</v>
      </c>
      <c r="EX6757" s="44" t="s">
        <v>5912</v>
      </c>
      <c r="FF6757" s="44" t="s">
        <v>1109</v>
      </c>
      <c r="FJ6757" s="44" t="s">
        <v>1109</v>
      </c>
    </row>
    <row r="6758" spans="153:166" x14ac:dyDescent="0.35">
      <c r="EW6758" t="s">
        <v>5212</v>
      </c>
      <c r="EX6758" s="44" t="s">
        <v>5913</v>
      </c>
      <c r="FF6758" s="44" t="s">
        <v>1109</v>
      </c>
      <c r="FJ6758" s="44" t="s">
        <v>1109</v>
      </c>
    </row>
    <row r="6759" spans="153:166" x14ac:dyDescent="0.35">
      <c r="EW6759" t="s">
        <v>5212</v>
      </c>
      <c r="EX6759" s="44" t="s">
        <v>5914</v>
      </c>
      <c r="FF6759" s="44" t="s">
        <v>1109</v>
      </c>
      <c r="FJ6759" s="44" t="s">
        <v>1109</v>
      </c>
    </row>
    <row r="6760" spans="153:166" x14ac:dyDescent="0.35">
      <c r="EW6760" t="s">
        <v>5212</v>
      </c>
      <c r="EX6760" s="44" t="s">
        <v>5915</v>
      </c>
      <c r="FF6760" s="44" t="s">
        <v>1109</v>
      </c>
      <c r="FJ6760" s="44" t="s">
        <v>1109</v>
      </c>
    </row>
    <row r="6761" spans="153:166" x14ac:dyDescent="0.35">
      <c r="EW6761" t="s">
        <v>5212</v>
      </c>
      <c r="EX6761" s="44" t="s">
        <v>5916</v>
      </c>
      <c r="FF6761" s="44" t="s">
        <v>1109</v>
      </c>
      <c r="FJ6761" s="44" t="s">
        <v>1109</v>
      </c>
    </row>
    <row r="6762" spans="153:166" x14ac:dyDescent="0.35">
      <c r="EW6762" t="s">
        <v>5212</v>
      </c>
      <c r="EX6762" s="44" t="s">
        <v>5917</v>
      </c>
      <c r="FF6762" s="44" t="s">
        <v>1109</v>
      </c>
      <c r="FJ6762" s="44" t="s">
        <v>1109</v>
      </c>
    </row>
    <row r="6763" spans="153:166" x14ac:dyDescent="0.35">
      <c r="EW6763" t="s">
        <v>5212</v>
      </c>
      <c r="EX6763" s="44" t="s">
        <v>5918</v>
      </c>
      <c r="FF6763" s="44" t="s">
        <v>1109</v>
      </c>
      <c r="FJ6763" s="44" t="s">
        <v>1109</v>
      </c>
    </row>
    <row r="6764" spans="153:166" x14ac:dyDescent="0.35">
      <c r="EW6764" t="s">
        <v>5212</v>
      </c>
      <c r="EX6764" s="44" t="s">
        <v>5919</v>
      </c>
      <c r="FF6764" s="44" t="s">
        <v>1109</v>
      </c>
      <c r="FJ6764" s="44" t="s">
        <v>1109</v>
      </c>
    </row>
    <row r="6765" spans="153:166" x14ac:dyDescent="0.35">
      <c r="EW6765" t="s">
        <v>5212</v>
      </c>
      <c r="EX6765" s="44" t="s">
        <v>5920</v>
      </c>
      <c r="FF6765" s="44" t="s">
        <v>1109</v>
      </c>
      <c r="FJ6765" s="44" t="s">
        <v>1109</v>
      </c>
    </row>
    <row r="6766" spans="153:166" x14ac:dyDescent="0.35">
      <c r="EW6766" t="s">
        <v>5212</v>
      </c>
      <c r="EX6766" s="44" t="s">
        <v>5921</v>
      </c>
      <c r="FF6766" s="44" t="s">
        <v>1109</v>
      </c>
      <c r="FJ6766" s="44" t="s">
        <v>1109</v>
      </c>
    </row>
    <row r="6767" spans="153:166" x14ac:dyDescent="0.35">
      <c r="EW6767" t="s">
        <v>5212</v>
      </c>
      <c r="EX6767" s="44" t="s">
        <v>5922</v>
      </c>
      <c r="FF6767" s="44" t="s">
        <v>1109</v>
      </c>
      <c r="FJ6767" s="44" t="s">
        <v>1109</v>
      </c>
    </row>
    <row r="6768" spans="153:166" x14ac:dyDescent="0.35">
      <c r="EW6768" t="s">
        <v>5212</v>
      </c>
      <c r="EX6768" s="44" t="s">
        <v>5923</v>
      </c>
      <c r="FF6768" s="44" t="s">
        <v>1109</v>
      </c>
      <c r="FJ6768" s="44" t="s">
        <v>1109</v>
      </c>
    </row>
    <row r="6769" spans="153:166" x14ac:dyDescent="0.35">
      <c r="EW6769" t="s">
        <v>5212</v>
      </c>
      <c r="EX6769" s="44" t="s">
        <v>5924</v>
      </c>
      <c r="FF6769" s="44" t="s">
        <v>1109</v>
      </c>
      <c r="FJ6769" s="44" t="s">
        <v>1109</v>
      </c>
    </row>
    <row r="6770" spans="153:166" x14ac:dyDescent="0.35">
      <c r="EW6770" t="s">
        <v>5212</v>
      </c>
      <c r="EX6770" s="44" t="s">
        <v>5925</v>
      </c>
      <c r="FF6770" s="44" t="s">
        <v>1109</v>
      </c>
      <c r="FJ6770" s="44" t="s">
        <v>1109</v>
      </c>
    </row>
    <row r="6771" spans="153:166" x14ac:dyDescent="0.35">
      <c r="EW6771" t="s">
        <v>5212</v>
      </c>
      <c r="EX6771" s="44" t="s">
        <v>5926</v>
      </c>
      <c r="FF6771" s="44" t="s">
        <v>1109</v>
      </c>
      <c r="FJ6771" s="44" t="s">
        <v>1109</v>
      </c>
    </row>
    <row r="6772" spans="153:166" x14ac:dyDescent="0.35">
      <c r="EW6772" t="s">
        <v>5212</v>
      </c>
      <c r="EX6772" s="44" t="s">
        <v>5927</v>
      </c>
      <c r="FF6772" s="44" t="s">
        <v>1109</v>
      </c>
      <c r="FJ6772" s="44" t="s">
        <v>1109</v>
      </c>
    </row>
    <row r="6773" spans="153:166" x14ac:dyDescent="0.35">
      <c r="EW6773" t="s">
        <v>5212</v>
      </c>
      <c r="EX6773" s="44" t="s">
        <v>5928</v>
      </c>
      <c r="FF6773" s="44" t="s">
        <v>1109</v>
      </c>
      <c r="FJ6773" s="44" t="s">
        <v>1109</v>
      </c>
    </row>
    <row r="6774" spans="153:166" x14ac:dyDescent="0.35">
      <c r="EW6774" t="s">
        <v>5212</v>
      </c>
      <c r="EX6774" s="44" t="s">
        <v>5929</v>
      </c>
      <c r="FF6774" s="44" t="s">
        <v>1109</v>
      </c>
      <c r="FJ6774" s="44" t="s">
        <v>1109</v>
      </c>
    </row>
    <row r="6775" spans="153:166" x14ac:dyDescent="0.35">
      <c r="EW6775" t="s">
        <v>5212</v>
      </c>
      <c r="EX6775" s="44" t="s">
        <v>5930</v>
      </c>
      <c r="FF6775" s="44" t="s">
        <v>1109</v>
      </c>
      <c r="FJ6775" s="44" t="s">
        <v>1109</v>
      </c>
    </row>
    <row r="6776" spans="153:166" x14ac:dyDescent="0.35">
      <c r="EW6776" t="s">
        <v>5212</v>
      </c>
      <c r="EX6776" s="44" t="s">
        <v>5931</v>
      </c>
      <c r="FF6776" s="44" t="s">
        <v>1109</v>
      </c>
      <c r="FJ6776" s="44" t="s">
        <v>1109</v>
      </c>
    </row>
    <row r="6777" spans="153:166" x14ac:dyDescent="0.35">
      <c r="EW6777" t="s">
        <v>5212</v>
      </c>
      <c r="EX6777" s="44" t="s">
        <v>5932</v>
      </c>
      <c r="FF6777" s="44" t="s">
        <v>1109</v>
      </c>
      <c r="FJ6777" s="44" t="s">
        <v>1109</v>
      </c>
    </row>
    <row r="6778" spans="153:166" x14ac:dyDescent="0.35">
      <c r="EW6778" t="s">
        <v>5212</v>
      </c>
      <c r="EX6778" s="44" t="s">
        <v>5933</v>
      </c>
      <c r="FF6778" s="44" t="s">
        <v>1109</v>
      </c>
      <c r="FJ6778" s="44" t="s">
        <v>1109</v>
      </c>
    </row>
    <row r="6779" spans="153:166" x14ac:dyDescent="0.35">
      <c r="EW6779" t="s">
        <v>5212</v>
      </c>
      <c r="EX6779" s="44" t="s">
        <v>5934</v>
      </c>
      <c r="FF6779" s="44" t="s">
        <v>1109</v>
      </c>
      <c r="FJ6779" s="44" t="s">
        <v>1109</v>
      </c>
    </row>
    <row r="6780" spans="153:166" x14ac:dyDescent="0.35">
      <c r="EW6780" t="s">
        <v>5212</v>
      </c>
      <c r="EX6780" s="44" t="s">
        <v>5935</v>
      </c>
      <c r="FF6780" s="44" t="s">
        <v>59</v>
      </c>
      <c r="FJ6780" s="44" t="s">
        <v>59</v>
      </c>
    </row>
    <row r="6781" spans="153:166" x14ac:dyDescent="0.35">
      <c r="EW6781" t="s">
        <v>5212</v>
      </c>
      <c r="EX6781" s="44" t="s">
        <v>5936</v>
      </c>
      <c r="FF6781" s="44" t="s">
        <v>59</v>
      </c>
      <c r="FJ6781" s="44" t="s">
        <v>59</v>
      </c>
    </row>
    <row r="6782" spans="153:166" x14ac:dyDescent="0.35">
      <c r="EW6782" t="s">
        <v>5212</v>
      </c>
      <c r="EX6782" s="44" t="s">
        <v>5937</v>
      </c>
      <c r="FF6782" s="44" t="s">
        <v>59</v>
      </c>
      <c r="FJ6782" s="44" t="s">
        <v>59</v>
      </c>
    </row>
    <row r="6783" spans="153:166" x14ac:dyDescent="0.35">
      <c r="EW6783" t="s">
        <v>5212</v>
      </c>
      <c r="EX6783" s="44" t="s">
        <v>5938</v>
      </c>
      <c r="FF6783" s="44" t="s">
        <v>59</v>
      </c>
      <c r="FJ6783" s="44" t="s">
        <v>59</v>
      </c>
    </row>
    <row r="6784" spans="153:166" x14ac:dyDescent="0.35">
      <c r="EW6784" t="s">
        <v>5212</v>
      </c>
      <c r="EX6784" s="44" t="s">
        <v>5939</v>
      </c>
      <c r="FF6784" s="44" t="s">
        <v>59</v>
      </c>
      <c r="FJ6784" s="44" t="s">
        <v>59</v>
      </c>
    </row>
    <row r="6785" spans="153:166" x14ac:dyDescent="0.35">
      <c r="EW6785" t="s">
        <v>5212</v>
      </c>
      <c r="EX6785" s="44" t="s">
        <v>5940</v>
      </c>
      <c r="FF6785" s="44" t="s">
        <v>59</v>
      </c>
      <c r="FJ6785" s="44" t="s">
        <v>59</v>
      </c>
    </row>
    <row r="6786" spans="153:166" x14ac:dyDescent="0.35">
      <c r="EW6786" t="s">
        <v>5212</v>
      </c>
      <c r="EX6786" s="44" t="s">
        <v>5941</v>
      </c>
      <c r="FF6786" s="44" t="s">
        <v>59</v>
      </c>
      <c r="FJ6786" s="44" t="s">
        <v>59</v>
      </c>
    </row>
    <row r="6787" spans="153:166" x14ac:dyDescent="0.35">
      <c r="EW6787" t="s">
        <v>5212</v>
      </c>
      <c r="EX6787" s="44" t="s">
        <v>5942</v>
      </c>
      <c r="FF6787" s="44" t="s">
        <v>59</v>
      </c>
      <c r="FJ6787" s="44" t="s">
        <v>59</v>
      </c>
    </row>
    <row r="6788" spans="153:166" x14ac:dyDescent="0.35">
      <c r="EW6788" t="s">
        <v>5212</v>
      </c>
      <c r="EX6788" s="44" t="s">
        <v>5943</v>
      </c>
      <c r="FF6788" s="44" t="s">
        <v>59</v>
      </c>
      <c r="FJ6788" s="44" t="s">
        <v>59</v>
      </c>
    </row>
    <row r="6789" spans="153:166" x14ac:dyDescent="0.35">
      <c r="EW6789" t="s">
        <v>5212</v>
      </c>
      <c r="EX6789" s="44" t="s">
        <v>5944</v>
      </c>
      <c r="FF6789" s="44" t="s">
        <v>59</v>
      </c>
      <c r="FJ6789" s="44" t="s">
        <v>59</v>
      </c>
    </row>
    <row r="6790" spans="153:166" x14ac:dyDescent="0.35">
      <c r="EW6790" t="s">
        <v>5212</v>
      </c>
      <c r="EX6790" s="44" t="s">
        <v>5945</v>
      </c>
      <c r="FF6790" s="44" t="s">
        <v>59</v>
      </c>
      <c r="FJ6790" s="44" t="s">
        <v>59</v>
      </c>
    </row>
    <row r="6791" spans="153:166" x14ac:dyDescent="0.35">
      <c r="EW6791" t="s">
        <v>5212</v>
      </c>
      <c r="EX6791" s="44" t="s">
        <v>5946</v>
      </c>
      <c r="FF6791" s="44" t="s">
        <v>59</v>
      </c>
      <c r="FJ6791" s="44" t="s">
        <v>59</v>
      </c>
    </row>
    <row r="6792" spans="153:166" x14ac:dyDescent="0.35">
      <c r="EW6792" t="s">
        <v>5212</v>
      </c>
      <c r="EX6792" s="44" t="s">
        <v>5947</v>
      </c>
      <c r="FF6792" s="44" t="s">
        <v>59</v>
      </c>
      <c r="FJ6792" s="44" t="s">
        <v>59</v>
      </c>
    </row>
    <row r="6793" spans="153:166" x14ac:dyDescent="0.35">
      <c r="EW6793" t="s">
        <v>5212</v>
      </c>
      <c r="EX6793" s="44" t="s">
        <v>5948</v>
      </c>
      <c r="FF6793" s="44" t="s">
        <v>59</v>
      </c>
      <c r="FJ6793" s="44" t="s">
        <v>59</v>
      </c>
    </row>
    <row r="6794" spans="153:166" x14ac:dyDescent="0.35">
      <c r="EW6794" t="s">
        <v>5212</v>
      </c>
      <c r="EX6794" s="44" t="s">
        <v>5949</v>
      </c>
      <c r="FF6794" s="44" t="s">
        <v>59</v>
      </c>
      <c r="FJ6794" s="44" t="s">
        <v>59</v>
      </c>
    </row>
    <row r="6795" spans="153:166" x14ac:dyDescent="0.35">
      <c r="EW6795" t="s">
        <v>5212</v>
      </c>
      <c r="EX6795" s="44" t="s">
        <v>5950</v>
      </c>
      <c r="FF6795" s="44" t="s">
        <v>59</v>
      </c>
      <c r="FJ6795" s="44" t="s">
        <v>59</v>
      </c>
    </row>
    <row r="6796" spans="153:166" x14ac:dyDescent="0.35">
      <c r="EW6796" t="s">
        <v>5212</v>
      </c>
      <c r="EX6796" s="44" t="s">
        <v>5951</v>
      </c>
      <c r="FF6796" s="44" t="s">
        <v>59</v>
      </c>
      <c r="FJ6796" s="44" t="s">
        <v>59</v>
      </c>
    </row>
    <row r="6797" spans="153:166" x14ac:dyDescent="0.35">
      <c r="EW6797" t="s">
        <v>5212</v>
      </c>
      <c r="EX6797" s="44" t="s">
        <v>5952</v>
      </c>
      <c r="FF6797" s="44" t="s">
        <v>59</v>
      </c>
      <c r="FJ6797" s="44" t="s">
        <v>59</v>
      </c>
    </row>
    <row r="6798" spans="153:166" x14ac:dyDescent="0.35">
      <c r="EW6798" t="s">
        <v>5212</v>
      </c>
      <c r="EX6798" s="44" t="s">
        <v>5953</v>
      </c>
      <c r="FF6798" s="44" t="s">
        <v>59</v>
      </c>
      <c r="FJ6798" s="44" t="s">
        <v>59</v>
      </c>
    </row>
    <row r="6799" spans="153:166" x14ac:dyDescent="0.35">
      <c r="EW6799" t="s">
        <v>5212</v>
      </c>
      <c r="EX6799" s="44" t="s">
        <v>5954</v>
      </c>
      <c r="FF6799" s="44" t="s">
        <v>59</v>
      </c>
      <c r="FJ6799" s="44" t="s">
        <v>59</v>
      </c>
    </row>
    <row r="6800" spans="153:166" x14ac:dyDescent="0.35">
      <c r="EW6800" t="s">
        <v>5212</v>
      </c>
      <c r="EX6800" s="44" t="s">
        <v>5955</v>
      </c>
      <c r="FF6800" s="44" t="s">
        <v>59</v>
      </c>
      <c r="FJ6800" s="44" t="s">
        <v>59</v>
      </c>
    </row>
    <row r="6801" spans="153:166" x14ac:dyDescent="0.35">
      <c r="EW6801" t="s">
        <v>5212</v>
      </c>
      <c r="EX6801" s="44" t="s">
        <v>5956</v>
      </c>
      <c r="FF6801" s="44" t="s">
        <v>59</v>
      </c>
      <c r="FJ6801" s="44" t="s">
        <v>59</v>
      </c>
    </row>
    <row r="6802" spans="153:166" x14ac:dyDescent="0.35">
      <c r="EW6802" t="s">
        <v>5212</v>
      </c>
      <c r="EX6802" s="44" t="s">
        <v>5957</v>
      </c>
      <c r="FF6802" s="44" t="s">
        <v>59</v>
      </c>
      <c r="FJ6802" s="44" t="s">
        <v>59</v>
      </c>
    </row>
    <row r="6803" spans="153:166" x14ac:dyDescent="0.35">
      <c r="EW6803" t="s">
        <v>5212</v>
      </c>
      <c r="EX6803" s="44" t="s">
        <v>5958</v>
      </c>
      <c r="FF6803" s="44" t="s">
        <v>59</v>
      </c>
      <c r="FJ6803" s="44" t="s">
        <v>59</v>
      </c>
    </row>
    <row r="6804" spans="153:166" x14ac:dyDescent="0.35">
      <c r="EW6804" t="s">
        <v>5212</v>
      </c>
      <c r="EX6804" s="44" t="s">
        <v>5959</v>
      </c>
      <c r="FF6804" s="44" t="s">
        <v>59</v>
      </c>
      <c r="FJ6804" s="44" t="s">
        <v>59</v>
      </c>
    </row>
    <row r="6805" spans="153:166" x14ac:dyDescent="0.35">
      <c r="EW6805" t="s">
        <v>5212</v>
      </c>
      <c r="EX6805" s="44" t="s">
        <v>5960</v>
      </c>
      <c r="FF6805" s="44" t="s">
        <v>59</v>
      </c>
      <c r="FJ6805" s="44" t="s">
        <v>59</v>
      </c>
    </row>
    <row r="6806" spans="153:166" x14ac:dyDescent="0.35">
      <c r="EW6806" t="s">
        <v>5212</v>
      </c>
      <c r="EX6806" s="44" t="s">
        <v>5961</v>
      </c>
      <c r="FF6806" s="44" t="s">
        <v>59</v>
      </c>
      <c r="FJ6806" s="44" t="s">
        <v>59</v>
      </c>
    </row>
    <row r="6807" spans="153:166" x14ac:dyDescent="0.35">
      <c r="EW6807" t="s">
        <v>5212</v>
      </c>
      <c r="EX6807" s="44" t="s">
        <v>5962</v>
      </c>
      <c r="FF6807" s="44" t="s">
        <v>59</v>
      </c>
      <c r="FJ6807" s="44" t="s">
        <v>59</v>
      </c>
    </row>
    <row r="6808" spans="153:166" x14ac:dyDescent="0.35">
      <c r="EW6808" t="s">
        <v>5212</v>
      </c>
      <c r="EX6808" s="44" t="s">
        <v>5963</v>
      </c>
      <c r="FF6808" s="44" t="s">
        <v>59</v>
      </c>
      <c r="FJ6808" s="44" t="s">
        <v>59</v>
      </c>
    </row>
    <row r="6809" spans="153:166" x14ac:dyDescent="0.35">
      <c r="EW6809" t="s">
        <v>5212</v>
      </c>
      <c r="EX6809" s="44" t="s">
        <v>5964</v>
      </c>
      <c r="FF6809" s="44" t="s">
        <v>59</v>
      </c>
      <c r="FJ6809" s="44" t="s">
        <v>59</v>
      </c>
    </row>
    <row r="6810" spans="153:166" x14ac:dyDescent="0.35">
      <c r="EW6810" t="s">
        <v>5212</v>
      </c>
      <c r="EX6810" s="44" t="s">
        <v>5965</v>
      </c>
      <c r="FF6810" s="44" t="s">
        <v>59</v>
      </c>
      <c r="FJ6810" s="44" t="s">
        <v>59</v>
      </c>
    </row>
    <row r="6811" spans="153:166" x14ac:dyDescent="0.35">
      <c r="EW6811" t="s">
        <v>5212</v>
      </c>
      <c r="EX6811" s="44" t="s">
        <v>5966</v>
      </c>
      <c r="FF6811" s="44" t="s">
        <v>59</v>
      </c>
      <c r="FJ6811" s="44" t="s">
        <v>59</v>
      </c>
    </row>
    <row r="6812" spans="153:166" x14ac:dyDescent="0.35">
      <c r="EW6812" t="s">
        <v>5212</v>
      </c>
      <c r="EX6812" s="44" t="s">
        <v>5967</v>
      </c>
      <c r="FF6812" s="44" t="s">
        <v>59</v>
      </c>
      <c r="FJ6812" s="44" t="s">
        <v>59</v>
      </c>
    </row>
    <row r="6813" spans="153:166" x14ac:dyDescent="0.35">
      <c r="EW6813" t="s">
        <v>5212</v>
      </c>
      <c r="EX6813" s="44" t="s">
        <v>5968</v>
      </c>
      <c r="FF6813" s="44" t="s">
        <v>59</v>
      </c>
      <c r="FJ6813" s="44" t="s">
        <v>59</v>
      </c>
    </row>
    <row r="6814" spans="153:166" x14ac:dyDescent="0.35">
      <c r="EW6814" t="s">
        <v>5212</v>
      </c>
      <c r="EX6814" s="44" t="s">
        <v>5969</v>
      </c>
      <c r="FF6814" s="44" t="s">
        <v>59</v>
      </c>
      <c r="FJ6814" s="44" t="s">
        <v>59</v>
      </c>
    </row>
    <row r="6815" spans="153:166" x14ac:dyDescent="0.35">
      <c r="EW6815" t="s">
        <v>5212</v>
      </c>
      <c r="EX6815" s="44" t="s">
        <v>5970</v>
      </c>
      <c r="FF6815" s="44" t="s">
        <v>59</v>
      </c>
      <c r="FJ6815" s="44" t="s">
        <v>59</v>
      </c>
    </row>
    <row r="6816" spans="153:166" x14ac:dyDescent="0.35">
      <c r="EW6816" t="s">
        <v>5212</v>
      </c>
      <c r="EX6816" s="44" t="s">
        <v>5971</v>
      </c>
      <c r="FF6816" s="44" t="s">
        <v>59</v>
      </c>
      <c r="FJ6816" s="44" t="s">
        <v>59</v>
      </c>
    </row>
    <row r="6817" spans="153:166" x14ac:dyDescent="0.35">
      <c r="EW6817" t="s">
        <v>5212</v>
      </c>
      <c r="EX6817" s="44" t="s">
        <v>5972</v>
      </c>
      <c r="FF6817" s="44" t="s">
        <v>59</v>
      </c>
      <c r="FJ6817" s="44" t="s">
        <v>59</v>
      </c>
    </row>
    <row r="6818" spans="153:166" x14ac:dyDescent="0.35">
      <c r="EW6818" t="s">
        <v>5212</v>
      </c>
      <c r="EX6818" s="44" t="s">
        <v>5973</v>
      </c>
      <c r="FF6818" s="44" t="s">
        <v>59</v>
      </c>
      <c r="FJ6818" s="44" t="s">
        <v>59</v>
      </c>
    </row>
    <row r="6819" spans="153:166" x14ac:dyDescent="0.35">
      <c r="EW6819" t="s">
        <v>5212</v>
      </c>
      <c r="EX6819" s="44" t="s">
        <v>5974</v>
      </c>
      <c r="FF6819" s="44" t="s">
        <v>59</v>
      </c>
      <c r="FJ6819" s="44" t="s">
        <v>59</v>
      </c>
    </row>
    <row r="6820" spans="153:166" x14ac:dyDescent="0.35">
      <c r="EW6820" t="s">
        <v>5212</v>
      </c>
      <c r="EX6820" s="44" t="s">
        <v>5975</v>
      </c>
      <c r="FF6820" s="44" t="s">
        <v>59</v>
      </c>
      <c r="FJ6820" s="44" t="s">
        <v>59</v>
      </c>
    </row>
    <row r="6821" spans="153:166" x14ac:dyDescent="0.35">
      <c r="EW6821" t="s">
        <v>5212</v>
      </c>
      <c r="EX6821" s="44" t="s">
        <v>5976</v>
      </c>
      <c r="FF6821" s="44" t="s">
        <v>59</v>
      </c>
      <c r="FJ6821" s="44" t="s">
        <v>59</v>
      </c>
    </row>
    <row r="6822" spans="153:166" x14ac:dyDescent="0.35">
      <c r="EW6822" t="s">
        <v>5212</v>
      </c>
      <c r="EX6822" s="44" t="s">
        <v>5977</v>
      </c>
      <c r="FF6822" s="44" t="s">
        <v>59</v>
      </c>
      <c r="FJ6822" s="44" t="s">
        <v>59</v>
      </c>
    </row>
    <row r="6823" spans="153:166" x14ac:dyDescent="0.35">
      <c r="EW6823" t="s">
        <v>5212</v>
      </c>
      <c r="EX6823" s="44" t="s">
        <v>5978</v>
      </c>
      <c r="FF6823" s="44" t="s">
        <v>59</v>
      </c>
      <c r="FJ6823" s="44" t="s">
        <v>59</v>
      </c>
    </row>
    <row r="6824" spans="153:166" x14ac:dyDescent="0.35">
      <c r="EW6824" t="s">
        <v>5212</v>
      </c>
      <c r="EX6824" s="44" t="s">
        <v>5979</v>
      </c>
      <c r="FF6824" s="44" t="s">
        <v>59</v>
      </c>
      <c r="FJ6824" s="44" t="s">
        <v>59</v>
      </c>
    </row>
    <row r="6825" spans="153:166" x14ac:dyDescent="0.35">
      <c r="EW6825" t="s">
        <v>5212</v>
      </c>
      <c r="EX6825" s="44" t="s">
        <v>5980</v>
      </c>
      <c r="FF6825" s="44" t="s">
        <v>59</v>
      </c>
      <c r="FJ6825" s="44" t="s">
        <v>59</v>
      </c>
    </row>
    <row r="6826" spans="153:166" x14ac:dyDescent="0.35">
      <c r="EW6826" t="s">
        <v>5212</v>
      </c>
      <c r="EX6826" s="44" t="s">
        <v>5981</v>
      </c>
      <c r="FF6826" s="44" t="s">
        <v>59</v>
      </c>
      <c r="FJ6826" s="44" t="s">
        <v>59</v>
      </c>
    </row>
    <row r="6827" spans="153:166" x14ac:dyDescent="0.35">
      <c r="EW6827" t="s">
        <v>5212</v>
      </c>
      <c r="EX6827" s="44" t="s">
        <v>5982</v>
      </c>
      <c r="FF6827" s="44" t="s">
        <v>59</v>
      </c>
      <c r="FJ6827" s="44" t="s">
        <v>59</v>
      </c>
    </row>
    <row r="6828" spans="153:166" x14ac:dyDescent="0.35">
      <c r="EW6828" t="s">
        <v>5212</v>
      </c>
      <c r="EX6828" s="44" t="s">
        <v>5983</v>
      </c>
      <c r="FF6828" s="44" t="s">
        <v>59</v>
      </c>
      <c r="FJ6828" s="44" t="s">
        <v>59</v>
      </c>
    </row>
    <row r="6829" spans="153:166" x14ac:dyDescent="0.35">
      <c r="EW6829" t="s">
        <v>5212</v>
      </c>
      <c r="EX6829" s="44" t="s">
        <v>5984</v>
      </c>
      <c r="FF6829" s="44" t="s">
        <v>59</v>
      </c>
      <c r="FJ6829" s="44" t="s">
        <v>59</v>
      </c>
    </row>
    <row r="6830" spans="153:166" x14ac:dyDescent="0.35">
      <c r="EW6830" t="s">
        <v>5212</v>
      </c>
      <c r="EX6830" s="44" t="s">
        <v>5985</v>
      </c>
      <c r="FF6830" s="44" t="s">
        <v>59</v>
      </c>
      <c r="FJ6830" s="44" t="s">
        <v>59</v>
      </c>
    </row>
    <row r="6831" spans="153:166" x14ac:dyDescent="0.35">
      <c r="EW6831" t="s">
        <v>5212</v>
      </c>
      <c r="EX6831" s="44" t="s">
        <v>5986</v>
      </c>
      <c r="FF6831" s="44" t="s">
        <v>59</v>
      </c>
      <c r="FJ6831" s="44" t="s">
        <v>59</v>
      </c>
    </row>
    <row r="6832" spans="153:166" x14ac:dyDescent="0.35">
      <c r="EW6832" t="s">
        <v>5212</v>
      </c>
      <c r="EX6832" s="44" t="s">
        <v>5987</v>
      </c>
      <c r="FF6832" s="44" t="s">
        <v>59</v>
      </c>
      <c r="FJ6832" s="44" t="s">
        <v>59</v>
      </c>
    </row>
    <row r="6833" spans="153:166" x14ac:dyDescent="0.35">
      <c r="EW6833" t="s">
        <v>5212</v>
      </c>
      <c r="EX6833" s="44" t="s">
        <v>5988</v>
      </c>
      <c r="FF6833" s="44" t="s">
        <v>59</v>
      </c>
      <c r="FJ6833" s="44" t="s">
        <v>59</v>
      </c>
    </row>
    <row r="6834" spans="153:166" x14ac:dyDescent="0.35">
      <c r="EW6834" t="s">
        <v>5212</v>
      </c>
      <c r="EX6834" s="44" t="s">
        <v>5989</v>
      </c>
      <c r="FF6834" s="44" t="s">
        <v>59</v>
      </c>
      <c r="FJ6834" s="44" t="s">
        <v>59</v>
      </c>
    </row>
    <row r="6835" spans="153:166" x14ac:dyDescent="0.35">
      <c r="EW6835" t="s">
        <v>5212</v>
      </c>
      <c r="EX6835" s="44" t="s">
        <v>5990</v>
      </c>
      <c r="FF6835" s="44" t="s">
        <v>59</v>
      </c>
      <c r="FJ6835" s="44" t="s">
        <v>59</v>
      </c>
    </row>
    <row r="6836" spans="153:166" x14ac:dyDescent="0.35">
      <c r="EW6836" t="s">
        <v>5212</v>
      </c>
      <c r="EX6836" s="44" t="s">
        <v>5991</v>
      </c>
      <c r="FF6836" s="44" t="s">
        <v>59</v>
      </c>
      <c r="FJ6836" s="44" t="s">
        <v>59</v>
      </c>
    </row>
    <row r="6837" spans="153:166" x14ac:dyDescent="0.35">
      <c r="EW6837" t="s">
        <v>5212</v>
      </c>
      <c r="EX6837" s="44" t="s">
        <v>5992</v>
      </c>
      <c r="FF6837" s="44" t="s">
        <v>59</v>
      </c>
      <c r="FJ6837" s="44" t="s">
        <v>59</v>
      </c>
    </row>
    <row r="6838" spans="153:166" x14ac:dyDescent="0.35">
      <c r="EW6838" t="s">
        <v>5212</v>
      </c>
      <c r="EX6838" s="44" t="s">
        <v>5993</v>
      </c>
      <c r="FF6838" s="44" t="s">
        <v>59</v>
      </c>
      <c r="FJ6838" s="44" t="s">
        <v>59</v>
      </c>
    </row>
    <row r="6839" spans="153:166" x14ac:dyDescent="0.35">
      <c r="EW6839" t="s">
        <v>5212</v>
      </c>
      <c r="EX6839" s="44" t="s">
        <v>5994</v>
      </c>
      <c r="FF6839" s="44" t="s">
        <v>59</v>
      </c>
      <c r="FJ6839" s="44" t="s">
        <v>59</v>
      </c>
    </row>
    <row r="6840" spans="153:166" x14ac:dyDescent="0.35">
      <c r="EW6840" t="s">
        <v>5212</v>
      </c>
      <c r="EX6840" s="44" t="s">
        <v>5995</v>
      </c>
      <c r="FF6840" s="44" t="s">
        <v>59</v>
      </c>
      <c r="FJ6840" s="44" t="s">
        <v>59</v>
      </c>
    </row>
    <row r="6841" spans="153:166" x14ac:dyDescent="0.35">
      <c r="EW6841" t="s">
        <v>5212</v>
      </c>
      <c r="EX6841" s="44" t="s">
        <v>5996</v>
      </c>
      <c r="FF6841" s="44" t="s">
        <v>59</v>
      </c>
      <c r="FJ6841" s="44" t="s">
        <v>59</v>
      </c>
    </row>
    <row r="6842" spans="153:166" x14ac:dyDescent="0.35">
      <c r="EW6842" t="s">
        <v>5212</v>
      </c>
      <c r="EX6842" s="44" t="s">
        <v>5997</v>
      </c>
      <c r="FF6842" s="44" t="s">
        <v>59</v>
      </c>
      <c r="FJ6842" s="44" t="s">
        <v>59</v>
      </c>
    </row>
    <row r="6843" spans="153:166" x14ac:dyDescent="0.35">
      <c r="EW6843" t="s">
        <v>5212</v>
      </c>
      <c r="EX6843" s="44" t="s">
        <v>5998</v>
      </c>
      <c r="FF6843" s="44" t="s">
        <v>59</v>
      </c>
      <c r="FJ6843" s="44" t="s">
        <v>59</v>
      </c>
    </row>
    <row r="6844" spans="153:166" x14ac:dyDescent="0.35">
      <c r="EW6844" t="s">
        <v>5212</v>
      </c>
      <c r="EX6844" s="44" t="s">
        <v>5999</v>
      </c>
      <c r="FF6844" s="44" t="s">
        <v>59</v>
      </c>
      <c r="FJ6844" s="44" t="s">
        <v>59</v>
      </c>
    </row>
    <row r="6845" spans="153:166" x14ac:dyDescent="0.35">
      <c r="EW6845" t="s">
        <v>5212</v>
      </c>
      <c r="EX6845" s="44" t="s">
        <v>6000</v>
      </c>
      <c r="FF6845" s="44" t="s">
        <v>59</v>
      </c>
      <c r="FJ6845" s="44" t="s">
        <v>59</v>
      </c>
    </row>
    <row r="6846" spans="153:166" x14ac:dyDescent="0.35">
      <c r="EW6846" t="s">
        <v>5212</v>
      </c>
      <c r="EX6846" s="44" t="s">
        <v>6001</v>
      </c>
      <c r="FF6846" s="44" t="s">
        <v>59</v>
      </c>
      <c r="FJ6846" s="44" t="s">
        <v>59</v>
      </c>
    </row>
    <row r="6847" spans="153:166" x14ac:dyDescent="0.35">
      <c r="EW6847" t="s">
        <v>5212</v>
      </c>
      <c r="EX6847" s="44" t="s">
        <v>6002</v>
      </c>
      <c r="FF6847" s="44" t="s">
        <v>59</v>
      </c>
      <c r="FJ6847" s="44" t="s">
        <v>59</v>
      </c>
    </row>
    <row r="6848" spans="153:166" x14ac:dyDescent="0.35">
      <c r="EW6848" t="s">
        <v>5212</v>
      </c>
      <c r="EX6848" s="44" t="s">
        <v>6003</v>
      </c>
      <c r="FF6848" s="44" t="s">
        <v>59</v>
      </c>
      <c r="FJ6848" s="44" t="s">
        <v>59</v>
      </c>
    </row>
    <row r="6849" spans="153:166" x14ac:dyDescent="0.35">
      <c r="EW6849" t="s">
        <v>5212</v>
      </c>
      <c r="EX6849" s="44" t="s">
        <v>6004</v>
      </c>
      <c r="FF6849" s="44" t="s">
        <v>59</v>
      </c>
      <c r="FJ6849" s="44" t="s">
        <v>59</v>
      </c>
    </row>
    <row r="6850" spans="153:166" x14ac:dyDescent="0.35">
      <c r="EW6850" t="s">
        <v>5212</v>
      </c>
      <c r="EX6850" s="44" t="s">
        <v>6005</v>
      </c>
      <c r="FF6850" s="44" t="s">
        <v>59</v>
      </c>
      <c r="FJ6850" s="44" t="s">
        <v>59</v>
      </c>
    </row>
    <row r="6851" spans="153:166" x14ac:dyDescent="0.35">
      <c r="EW6851" t="s">
        <v>5212</v>
      </c>
      <c r="EX6851" s="44" t="s">
        <v>6006</v>
      </c>
      <c r="FF6851" s="44" t="s">
        <v>59</v>
      </c>
      <c r="FJ6851" s="44" t="s">
        <v>59</v>
      </c>
    </row>
    <row r="6852" spans="153:166" x14ac:dyDescent="0.35">
      <c r="EW6852" t="s">
        <v>5212</v>
      </c>
      <c r="EX6852" s="44" t="s">
        <v>6007</v>
      </c>
      <c r="FF6852" s="44" t="s">
        <v>59</v>
      </c>
      <c r="FJ6852" s="44" t="s">
        <v>59</v>
      </c>
    </row>
    <row r="6853" spans="153:166" x14ac:dyDescent="0.35">
      <c r="EW6853" t="s">
        <v>5212</v>
      </c>
      <c r="EX6853" s="44" t="s">
        <v>6008</v>
      </c>
      <c r="FF6853" s="44" t="s">
        <v>59</v>
      </c>
      <c r="FJ6853" s="44" t="s">
        <v>59</v>
      </c>
    </row>
    <row r="6854" spans="153:166" x14ac:dyDescent="0.35">
      <c r="EW6854" t="s">
        <v>5212</v>
      </c>
      <c r="EX6854" s="44" t="s">
        <v>6009</v>
      </c>
      <c r="FF6854" s="44" t="s">
        <v>59</v>
      </c>
      <c r="FJ6854" s="44" t="s">
        <v>59</v>
      </c>
    </row>
    <row r="6855" spans="153:166" x14ac:dyDescent="0.35">
      <c r="EW6855" t="s">
        <v>5212</v>
      </c>
      <c r="EX6855" s="44" t="s">
        <v>6010</v>
      </c>
      <c r="FF6855" s="44" t="s">
        <v>59</v>
      </c>
      <c r="FJ6855" s="44" t="s">
        <v>59</v>
      </c>
    </row>
    <row r="6856" spans="153:166" x14ac:dyDescent="0.35">
      <c r="EW6856" t="s">
        <v>5212</v>
      </c>
      <c r="EX6856" s="44" t="s">
        <v>6011</v>
      </c>
      <c r="FF6856" s="44" t="s">
        <v>59</v>
      </c>
      <c r="FJ6856" s="44" t="s">
        <v>59</v>
      </c>
    </row>
    <row r="6857" spans="153:166" x14ac:dyDescent="0.35">
      <c r="EW6857" t="s">
        <v>5212</v>
      </c>
      <c r="EX6857" s="44" t="s">
        <v>6012</v>
      </c>
      <c r="FF6857" s="44" t="s">
        <v>59</v>
      </c>
      <c r="FJ6857" s="44" t="s">
        <v>59</v>
      </c>
    </row>
    <row r="6858" spans="153:166" x14ac:dyDescent="0.35">
      <c r="EW6858" t="s">
        <v>5212</v>
      </c>
      <c r="EX6858" s="44" t="s">
        <v>6013</v>
      </c>
      <c r="FF6858" s="44" t="s">
        <v>59</v>
      </c>
      <c r="FJ6858" s="44" t="s">
        <v>59</v>
      </c>
    </row>
    <row r="6859" spans="153:166" x14ac:dyDescent="0.35">
      <c r="EW6859" t="s">
        <v>5212</v>
      </c>
      <c r="EX6859" s="44" t="s">
        <v>6014</v>
      </c>
      <c r="FF6859" s="44" t="s">
        <v>59</v>
      </c>
      <c r="FJ6859" s="44" t="s">
        <v>59</v>
      </c>
    </row>
    <row r="6860" spans="153:166" x14ac:dyDescent="0.35">
      <c r="EW6860" t="s">
        <v>5212</v>
      </c>
      <c r="EX6860" s="44" t="s">
        <v>6015</v>
      </c>
      <c r="FF6860" s="44" t="s">
        <v>59</v>
      </c>
      <c r="FJ6860" s="44" t="s">
        <v>59</v>
      </c>
    </row>
    <row r="6861" spans="153:166" x14ac:dyDescent="0.35">
      <c r="EW6861" t="s">
        <v>5212</v>
      </c>
      <c r="EX6861" s="44" t="s">
        <v>6016</v>
      </c>
      <c r="FF6861" s="44" t="s">
        <v>59</v>
      </c>
      <c r="FJ6861" s="44" t="s">
        <v>59</v>
      </c>
    </row>
    <row r="6862" spans="153:166" x14ac:dyDescent="0.35">
      <c r="EW6862" t="s">
        <v>5212</v>
      </c>
      <c r="EX6862" s="44" t="s">
        <v>6017</v>
      </c>
      <c r="FF6862" s="44" t="s">
        <v>59</v>
      </c>
      <c r="FJ6862" s="44" t="s">
        <v>59</v>
      </c>
    </row>
    <row r="6863" spans="153:166" x14ac:dyDescent="0.35">
      <c r="EW6863" t="s">
        <v>5212</v>
      </c>
      <c r="EX6863" s="44" t="s">
        <v>6018</v>
      </c>
      <c r="FF6863" s="44" t="s">
        <v>59</v>
      </c>
      <c r="FJ6863" s="44" t="s">
        <v>59</v>
      </c>
    </row>
    <row r="6864" spans="153:166" x14ac:dyDescent="0.35">
      <c r="EW6864" t="s">
        <v>5212</v>
      </c>
      <c r="EX6864" s="44" t="s">
        <v>6019</v>
      </c>
      <c r="FF6864" s="44" t="s">
        <v>59</v>
      </c>
      <c r="FJ6864" s="44" t="s">
        <v>59</v>
      </c>
    </row>
    <row r="6865" spans="153:166" x14ac:dyDescent="0.35">
      <c r="EW6865" t="s">
        <v>5212</v>
      </c>
      <c r="EX6865" s="44" t="s">
        <v>6020</v>
      </c>
      <c r="FF6865" s="44" t="s">
        <v>59</v>
      </c>
      <c r="FJ6865" s="44" t="s">
        <v>59</v>
      </c>
    </row>
    <row r="6866" spans="153:166" x14ac:dyDescent="0.35">
      <c r="EW6866" t="s">
        <v>5212</v>
      </c>
      <c r="EX6866" s="44" t="s">
        <v>6021</v>
      </c>
      <c r="FF6866" s="44" t="s">
        <v>59</v>
      </c>
      <c r="FJ6866" s="44" t="s">
        <v>59</v>
      </c>
    </row>
    <row r="6867" spans="153:166" x14ac:dyDescent="0.35">
      <c r="EW6867" t="s">
        <v>5212</v>
      </c>
      <c r="EX6867" s="44" t="s">
        <v>6022</v>
      </c>
      <c r="FF6867" s="44" t="s">
        <v>59</v>
      </c>
      <c r="FJ6867" s="44" t="s">
        <v>59</v>
      </c>
    </row>
    <row r="6868" spans="153:166" x14ac:dyDescent="0.35">
      <c r="EW6868" t="s">
        <v>5212</v>
      </c>
      <c r="EX6868" s="44" t="s">
        <v>6023</v>
      </c>
      <c r="FF6868" s="44" t="s">
        <v>59</v>
      </c>
      <c r="FJ6868" s="44" t="s">
        <v>59</v>
      </c>
    </row>
    <row r="6869" spans="153:166" x14ac:dyDescent="0.35">
      <c r="EW6869" t="s">
        <v>5212</v>
      </c>
      <c r="EX6869" s="44" t="s">
        <v>6024</v>
      </c>
      <c r="FF6869" s="44" t="s">
        <v>59</v>
      </c>
      <c r="FJ6869" s="44" t="s">
        <v>59</v>
      </c>
    </row>
    <row r="6870" spans="153:166" x14ac:dyDescent="0.35">
      <c r="EW6870" t="s">
        <v>5212</v>
      </c>
      <c r="EX6870" s="44" t="s">
        <v>6025</v>
      </c>
      <c r="FF6870" s="44" t="s">
        <v>59</v>
      </c>
      <c r="FJ6870" s="44" t="s">
        <v>59</v>
      </c>
    </row>
    <row r="6871" spans="153:166" x14ac:dyDescent="0.35">
      <c r="EW6871" t="s">
        <v>5212</v>
      </c>
      <c r="EX6871" s="44" t="s">
        <v>6026</v>
      </c>
      <c r="FF6871" s="44" t="s">
        <v>59</v>
      </c>
      <c r="FJ6871" s="44" t="s">
        <v>59</v>
      </c>
    </row>
    <row r="6872" spans="153:166" x14ac:dyDescent="0.35">
      <c r="EW6872" t="s">
        <v>5212</v>
      </c>
      <c r="EX6872" s="44" t="s">
        <v>6027</v>
      </c>
      <c r="FF6872" s="44" t="s">
        <v>59</v>
      </c>
      <c r="FJ6872" s="44" t="s">
        <v>59</v>
      </c>
    </row>
    <row r="6873" spans="153:166" x14ac:dyDescent="0.35">
      <c r="EW6873" t="s">
        <v>5212</v>
      </c>
      <c r="EX6873" s="44" t="s">
        <v>6028</v>
      </c>
      <c r="FF6873" s="44" t="s">
        <v>59</v>
      </c>
      <c r="FJ6873" s="44" t="s">
        <v>59</v>
      </c>
    </row>
    <row r="6874" spans="153:166" x14ac:dyDescent="0.35">
      <c r="EW6874" t="s">
        <v>5212</v>
      </c>
      <c r="EX6874" s="44" t="s">
        <v>6029</v>
      </c>
      <c r="FF6874" s="44" t="s">
        <v>59</v>
      </c>
      <c r="FJ6874" s="44" t="s">
        <v>59</v>
      </c>
    </row>
    <row r="6875" spans="153:166" x14ac:dyDescent="0.35">
      <c r="EW6875" t="s">
        <v>5212</v>
      </c>
      <c r="EX6875" s="44" t="s">
        <v>6030</v>
      </c>
      <c r="FF6875" s="44" t="s">
        <v>59</v>
      </c>
      <c r="FJ6875" s="44" t="s">
        <v>59</v>
      </c>
    </row>
    <row r="6876" spans="153:166" x14ac:dyDescent="0.35">
      <c r="EW6876" t="s">
        <v>5212</v>
      </c>
      <c r="EX6876" s="44" t="s">
        <v>6031</v>
      </c>
      <c r="FF6876" s="44" t="s">
        <v>59</v>
      </c>
      <c r="FJ6876" s="44" t="s">
        <v>59</v>
      </c>
    </row>
    <row r="6877" spans="153:166" x14ac:dyDescent="0.35">
      <c r="EW6877" t="s">
        <v>5212</v>
      </c>
      <c r="EX6877" s="44" t="s">
        <v>6032</v>
      </c>
      <c r="FF6877" s="44" t="s">
        <v>59</v>
      </c>
      <c r="FJ6877" s="44" t="s">
        <v>59</v>
      </c>
    </row>
    <row r="6878" spans="153:166" x14ac:dyDescent="0.35">
      <c r="EW6878" t="s">
        <v>5212</v>
      </c>
      <c r="EX6878" s="44" t="s">
        <v>6033</v>
      </c>
      <c r="FF6878" s="44" t="s">
        <v>59</v>
      </c>
      <c r="FJ6878" s="44" t="s">
        <v>59</v>
      </c>
    </row>
    <row r="6879" spans="153:166" x14ac:dyDescent="0.35">
      <c r="EW6879" t="s">
        <v>5212</v>
      </c>
      <c r="EX6879" s="44" t="s">
        <v>6034</v>
      </c>
      <c r="FF6879" s="44" t="s">
        <v>59</v>
      </c>
      <c r="FJ6879" s="44" t="s">
        <v>59</v>
      </c>
    </row>
    <row r="6880" spans="153:166" x14ac:dyDescent="0.35">
      <c r="EW6880" t="s">
        <v>5212</v>
      </c>
      <c r="EX6880" s="44" t="s">
        <v>6035</v>
      </c>
      <c r="FF6880" s="44" t="s">
        <v>59</v>
      </c>
      <c r="FJ6880" s="44" t="s">
        <v>59</v>
      </c>
    </row>
    <row r="6881" spans="153:166" x14ac:dyDescent="0.35">
      <c r="EW6881" t="s">
        <v>5212</v>
      </c>
      <c r="EX6881" s="44" t="s">
        <v>6036</v>
      </c>
      <c r="FF6881" s="44" t="s">
        <v>59</v>
      </c>
      <c r="FJ6881" s="44" t="s">
        <v>59</v>
      </c>
    </row>
    <row r="6882" spans="153:166" x14ac:dyDescent="0.35">
      <c r="EW6882" t="s">
        <v>5212</v>
      </c>
      <c r="EX6882" s="44" t="s">
        <v>6037</v>
      </c>
      <c r="FF6882" s="44" t="s">
        <v>59</v>
      </c>
      <c r="FJ6882" s="44" t="s">
        <v>59</v>
      </c>
    </row>
    <row r="6883" spans="153:166" x14ac:dyDescent="0.35">
      <c r="EW6883" t="s">
        <v>5212</v>
      </c>
      <c r="EX6883" s="44" t="s">
        <v>6038</v>
      </c>
      <c r="FF6883" s="44" t="s">
        <v>59</v>
      </c>
      <c r="FJ6883" s="44" t="s">
        <v>59</v>
      </c>
    </row>
    <row r="6884" spans="153:166" x14ac:dyDescent="0.35">
      <c r="EW6884" t="s">
        <v>5212</v>
      </c>
      <c r="EX6884" s="44" t="s">
        <v>6039</v>
      </c>
      <c r="FF6884" s="44" t="s">
        <v>59</v>
      </c>
      <c r="FJ6884" s="44" t="s">
        <v>59</v>
      </c>
    </row>
    <row r="6885" spans="153:166" x14ac:dyDescent="0.35">
      <c r="EW6885" t="s">
        <v>5212</v>
      </c>
      <c r="EX6885" s="44" t="s">
        <v>6040</v>
      </c>
      <c r="FF6885" s="44" t="s">
        <v>59</v>
      </c>
      <c r="FJ6885" s="44" t="s">
        <v>59</v>
      </c>
    </row>
    <row r="6886" spans="153:166" x14ac:dyDescent="0.35">
      <c r="EW6886" t="s">
        <v>5212</v>
      </c>
      <c r="EX6886" s="44" t="s">
        <v>6041</v>
      </c>
      <c r="FF6886" s="44" t="s">
        <v>59</v>
      </c>
      <c r="FJ6886" s="44" t="s">
        <v>59</v>
      </c>
    </row>
    <row r="6887" spans="153:166" x14ac:dyDescent="0.35">
      <c r="EW6887" t="s">
        <v>5212</v>
      </c>
      <c r="EX6887" s="44" t="s">
        <v>6042</v>
      </c>
      <c r="FF6887" s="44" t="s">
        <v>59</v>
      </c>
      <c r="FJ6887" s="44" t="s">
        <v>59</v>
      </c>
    </row>
    <row r="6888" spans="153:166" x14ac:dyDescent="0.35">
      <c r="EW6888" t="s">
        <v>5212</v>
      </c>
      <c r="EX6888" s="44" t="s">
        <v>6043</v>
      </c>
      <c r="FF6888" s="44" t="s">
        <v>59</v>
      </c>
      <c r="FJ6888" s="44" t="s">
        <v>59</v>
      </c>
    </row>
    <row r="6889" spans="153:166" x14ac:dyDescent="0.35">
      <c r="EW6889" t="s">
        <v>5212</v>
      </c>
      <c r="EX6889" s="44" t="s">
        <v>6044</v>
      </c>
      <c r="FF6889" s="44" t="s">
        <v>59</v>
      </c>
      <c r="FJ6889" s="44" t="s">
        <v>59</v>
      </c>
    </row>
    <row r="6890" spans="153:166" x14ac:dyDescent="0.35">
      <c r="EW6890" t="s">
        <v>5212</v>
      </c>
      <c r="EX6890" s="44" t="s">
        <v>6045</v>
      </c>
      <c r="FF6890" s="44" t="s">
        <v>59</v>
      </c>
      <c r="FJ6890" s="44" t="s">
        <v>59</v>
      </c>
    </row>
    <row r="6891" spans="153:166" x14ac:dyDescent="0.35">
      <c r="EW6891" t="s">
        <v>5212</v>
      </c>
      <c r="EX6891" s="44" t="s">
        <v>6046</v>
      </c>
      <c r="FF6891" s="44" t="s">
        <v>59</v>
      </c>
      <c r="FJ6891" s="44" t="s">
        <v>59</v>
      </c>
    </row>
    <row r="6892" spans="153:166" x14ac:dyDescent="0.35">
      <c r="EW6892" t="s">
        <v>5212</v>
      </c>
      <c r="EX6892" s="44" t="s">
        <v>6047</v>
      </c>
      <c r="FF6892" s="44" t="s">
        <v>59</v>
      </c>
      <c r="FJ6892" s="44" t="s">
        <v>59</v>
      </c>
    </row>
    <row r="6893" spans="153:166" x14ac:dyDescent="0.35">
      <c r="EW6893" t="s">
        <v>5212</v>
      </c>
      <c r="EX6893" s="44" t="s">
        <v>6048</v>
      </c>
      <c r="FF6893" s="44" t="s">
        <v>59</v>
      </c>
      <c r="FJ6893" s="44" t="s">
        <v>59</v>
      </c>
    </row>
    <row r="6894" spans="153:166" x14ac:dyDescent="0.35">
      <c r="EW6894" t="s">
        <v>5212</v>
      </c>
      <c r="EX6894" s="44" t="s">
        <v>6049</v>
      </c>
      <c r="FF6894" s="44" t="s">
        <v>59</v>
      </c>
      <c r="FJ6894" s="44" t="s">
        <v>59</v>
      </c>
    </row>
    <row r="6895" spans="153:166" x14ac:dyDescent="0.35">
      <c r="EW6895" t="s">
        <v>5212</v>
      </c>
      <c r="EX6895" s="44" t="s">
        <v>6050</v>
      </c>
      <c r="FF6895" s="44" t="s">
        <v>59</v>
      </c>
      <c r="FJ6895" s="44" t="s">
        <v>59</v>
      </c>
    </row>
    <row r="6896" spans="153:166" x14ac:dyDescent="0.35">
      <c r="EW6896" t="s">
        <v>5212</v>
      </c>
      <c r="EX6896" s="44" t="s">
        <v>6051</v>
      </c>
      <c r="FF6896" s="44" t="s">
        <v>59</v>
      </c>
      <c r="FJ6896" s="44" t="s">
        <v>59</v>
      </c>
    </row>
    <row r="6897" spans="153:166" x14ac:dyDescent="0.35">
      <c r="EW6897" t="s">
        <v>5212</v>
      </c>
      <c r="EX6897" s="44" t="s">
        <v>6052</v>
      </c>
      <c r="FF6897" s="44" t="s">
        <v>59</v>
      </c>
      <c r="FJ6897" s="44" t="s">
        <v>59</v>
      </c>
    </row>
    <row r="6898" spans="153:166" x14ac:dyDescent="0.35">
      <c r="EW6898" t="s">
        <v>5212</v>
      </c>
      <c r="EX6898" s="44" t="s">
        <v>6053</v>
      </c>
      <c r="FF6898" s="44" t="s">
        <v>59</v>
      </c>
      <c r="FJ6898" s="44" t="s">
        <v>59</v>
      </c>
    </row>
    <row r="6899" spans="153:166" x14ac:dyDescent="0.35">
      <c r="EW6899" t="s">
        <v>5212</v>
      </c>
      <c r="EX6899" s="44" t="s">
        <v>6054</v>
      </c>
      <c r="FF6899" s="44" t="s">
        <v>59</v>
      </c>
      <c r="FJ6899" s="44" t="s">
        <v>59</v>
      </c>
    </row>
    <row r="6900" spans="153:166" x14ac:dyDescent="0.35">
      <c r="EW6900" t="s">
        <v>5212</v>
      </c>
      <c r="EX6900" s="44" t="s">
        <v>6055</v>
      </c>
      <c r="FF6900" s="44" t="s">
        <v>59</v>
      </c>
      <c r="FJ6900" s="44" t="s">
        <v>59</v>
      </c>
    </row>
    <row r="6901" spans="153:166" x14ac:dyDescent="0.35">
      <c r="EW6901" t="s">
        <v>5212</v>
      </c>
      <c r="EX6901" s="44" t="s">
        <v>6056</v>
      </c>
      <c r="FF6901" s="44" t="s">
        <v>59</v>
      </c>
      <c r="FJ6901" s="44" t="s">
        <v>59</v>
      </c>
    </row>
    <row r="6902" spans="153:166" x14ac:dyDescent="0.35">
      <c r="EW6902" t="s">
        <v>5212</v>
      </c>
      <c r="EX6902" s="44" t="s">
        <v>6057</v>
      </c>
      <c r="FF6902" s="44" t="s">
        <v>59</v>
      </c>
      <c r="FJ6902" s="44" t="s">
        <v>59</v>
      </c>
    </row>
    <row r="6903" spans="153:166" x14ac:dyDescent="0.35">
      <c r="EW6903" t="s">
        <v>5212</v>
      </c>
      <c r="EX6903" s="44" t="s">
        <v>6058</v>
      </c>
      <c r="FF6903" s="44" t="s">
        <v>59</v>
      </c>
      <c r="FJ6903" s="44" t="s">
        <v>59</v>
      </c>
    </row>
    <row r="6904" spans="153:166" x14ac:dyDescent="0.35">
      <c r="EW6904" t="s">
        <v>5212</v>
      </c>
      <c r="EX6904" s="44" t="s">
        <v>6059</v>
      </c>
      <c r="FF6904" s="44" t="s">
        <v>59</v>
      </c>
      <c r="FJ6904" s="44" t="s">
        <v>59</v>
      </c>
    </row>
    <row r="6905" spans="153:166" x14ac:dyDescent="0.35">
      <c r="EW6905" t="s">
        <v>5212</v>
      </c>
      <c r="EX6905" s="44" t="s">
        <v>6060</v>
      </c>
      <c r="FF6905" s="44" t="s">
        <v>59</v>
      </c>
      <c r="FJ6905" s="44" t="s">
        <v>59</v>
      </c>
    </row>
    <row r="6906" spans="153:166" x14ac:dyDescent="0.35">
      <c r="EW6906" t="s">
        <v>5212</v>
      </c>
      <c r="EX6906" s="44" t="s">
        <v>6061</v>
      </c>
      <c r="FF6906" s="44" t="s">
        <v>59</v>
      </c>
      <c r="FJ6906" s="44" t="s">
        <v>59</v>
      </c>
    </row>
    <row r="6907" spans="153:166" x14ac:dyDescent="0.35">
      <c r="EW6907" t="s">
        <v>5212</v>
      </c>
      <c r="EX6907" s="44" t="s">
        <v>6062</v>
      </c>
      <c r="FF6907" s="44" t="s">
        <v>59</v>
      </c>
      <c r="FJ6907" s="44" t="s">
        <v>59</v>
      </c>
    </row>
    <row r="6908" spans="153:166" x14ac:dyDescent="0.35">
      <c r="EW6908" t="s">
        <v>5212</v>
      </c>
      <c r="EX6908" s="44" t="s">
        <v>6063</v>
      </c>
      <c r="FF6908" s="44" t="s">
        <v>59</v>
      </c>
      <c r="FJ6908" s="44" t="s">
        <v>59</v>
      </c>
    </row>
    <row r="6909" spans="153:166" x14ac:dyDescent="0.35">
      <c r="EW6909" t="s">
        <v>5212</v>
      </c>
      <c r="EX6909" s="44" t="s">
        <v>6064</v>
      </c>
      <c r="FF6909" s="44" t="s">
        <v>59</v>
      </c>
      <c r="FJ6909" s="44" t="s">
        <v>59</v>
      </c>
    </row>
    <row r="6910" spans="153:166" x14ac:dyDescent="0.35">
      <c r="EW6910" t="s">
        <v>5212</v>
      </c>
      <c r="EX6910" s="44" t="s">
        <v>6065</v>
      </c>
      <c r="FF6910" s="44" t="s">
        <v>59</v>
      </c>
      <c r="FJ6910" s="44" t="s">
        <v>59</v>
      </c>
    </row>
    <row r="6911" spans="153:166" x14ac:dyDescent="0.35">
      <c r="EW6911" t="s">
        <v>5212</v>
      </c>
      <c r="EX6911" s="44" t="s">
        <v>6066</v>
      </c>
      <c r="FF6911" s="44" t="s">
        <v>59</v>
      </c>
      <c r="FJ6911" s="44" t="s">
        <v>59</v>
      </c>
    </row>
    <row r="6912" spans="153:166" x14ac:dyDescent="0.35">
      <c r="EW6912" t="s">
        <v>5212</v>
      </c>
      <c r="EX6912" s="44" t="s">
        <v>6067</v>
      </c>
      <c r="FF6912" s="44" t="s">
        <v>59</v>
      </c>
      <c r="FJ6912" s="44" t="s">
        <v>59</v>
      </c>
    </row>
    <row r="6913" spans="153:166" x14ac:dyDescent="0.35">
      <c r="EW6913" t="s">
        <v>5212</v>
      </c>
      <c r="EX6913" s="44" t="s">
        <v>6068</v>
      </c>
      <c r="FF6913" s="44" t="s">
        <v>59</v>
      </c>
      <c r="FJ6913" s="44" t="s">
        <v>59</v>
      </c>
    </row>
    <row r="6914" spans="153:166" x14ac:dyDescent="0.35">
      <c r="EW6914" t="s">
        <v>5212</v>
      </c>
      <c r="EX6914" s="44" t="s">
        <v>6069</v>
      </c>
      <c r="FF6914" s="44" t="s">
        <v>59</v>
      </c>
      <c r="FJ6914" s="44" t="s">
        <v>59</v>
      </c>
    </row>
    <row r="6915" spans="153:166" x14ac:dyDescent="0.35">
      <c r="EW6915" t="s">
        <v>5212</v>
      </c>
      <c r="EX6915" s="44" t="s">
        <v>6070</v>
      </c>
      <c r="FF6915" s="44" t="s">
        <v>59</v>
      </c>
      <c r="FJ6915" s="44" t="s">
        <v>59</v>
      </c>
    </row>
    <row r="6916" spans="153:166" x14ac:dyDescent="0.35">
      <c r="EW6916" t="s">
        <v>5212</v>
      </c>
      <c r="EX6916" s="44" t="s">
        <v>6071</v>
      </c>
      <c r="FF6916" s="44" t="s">
        <v>59</v>
      </c>
      <c r="FJ6916" s="44" t="s">
        <v>59</v>
      </c>
    </row>
    <row r="6917" spans="153:166" x14ac:dyDescent="0.35">
      <c r="EW6917" t="s">
        <v>5212</v>
      </c>
      <c r="EX6917" s="44" t="s">
        <v>6072</v>
      </c>
      <c r="FF6917" s="44" t="s">
        <v>59</v>
      </c>
      <c r="FJ6917" s="44" t="s">
        <v>59</v>
      </c>
    </row>
    <row r="6918" spans="153:166" x14ac:dyDescent="0.35">
      <c r="EW6918" t="s">
        <v>5212</v>
      </c>
      <c r="EX6918" s="44" t="s">
        <v>6073</v>
      </c>
      <c r="FF6918" s="44" t="s">
        <v>59</v>
      </c>
      <c r="FJ6918" s="44" t="s">
        <v>59</v>
      </c>
    </row>
    <row r="6919" spans="153:166" x14ac:dyDescent="0.35">
      <c r="EW6919" t="s">
        <v>5212</v>
      </c>
      <c r="EX6919" s="44" t="s">
        <v>6074</v>
      </c>
      <c r="FF6919" s="44" t="s">
        <v>59</v>
      </c>
      <c r="FJ6919" s="44" t="s">
        <v>59</v>
      </c>
    </row>
    <row r="6920" spans="153:166" x14ac:dyDescent="0.35">
      <c r="EW6920" t="s">
        <v>5212</v>
      </c>
      <c r="EX6920" s="44" t="s">
        <v>6075</v>
      </c>
      <c r="FF6920" s="44" t="s">
        <v>59</v>
      </c>
      <c r="FJ6920" s="44" t="s">
        <v>59</v>
      </c>
    </row>
    <row r="6921" spans="153:166" x14ac:dyDescent="0.35">
      <c r="EW6921" t="s">
        <v>5212</v>
      </c>
      <c r="EX6921" s="44" t="s">
        <v>6076</v>
      </c>
      <c r="FF6921" s="44" t="s">
        <v>59</v>
      </c>
      <c r="FJ6921" s="44" t="s">
        <v>59</v>
      </c>
    </row>
    <row r="6922" spans="153:166" x14ac:dyDescent="0.35">
      <c r="EW6922" t="s">
        <v>5212</v>
      </c>
      <c r="EX6922" s="44" t="s">
        <v>6077</v>
      </c>
      <c r="FF6922" s="44" t="s">
        <v>59</v>
      </c>
      <c r="FJ6922" s="44" t="s">
        <v>59</v>
      </c>
    </row>
    <row r="6923" spans="153:166" x14ac:dyDescent="0.35">
      <c r="EW6923" t="s">
        <v>5212</v>
      </c>
      <c r="EX6923" s="44" t="s">
        <v>6078</v>
      </c>
      <c r="FF6923" s="44" t="s">
        <v>59</v>
      </c>
      <c r="FJ6923" s="44" t="s">
        <v>59</v>
      </c>
    </row>
    <row r="6924" spans="153:166" x14ac:dyDescent="0.35">
      <c r="EW6924" t="s">
        <v>5212</v>
      </c>
      <c r="EX6924" s="44" t="s">
        <v>6079</v>
      </c>
      <c r="FF6924" s="44" t="s">
        <v>59</v>
      </c>
      <c r="FJ6924" s="44" t="s">
        <v>59</v>
      </c>
    </row>
    <row r="6925" spans="153:166" x14ac:dyDescent="0.35">
      <c r="EW6925" t="s">
        <v>5212</v>
      </c>
      <c r="EX6925" s="44" t="s">
        <v>6080</v>
      </c>
      <c r="FF6925" s="44" t="s">
        <v>59</v>
      </c>
      <c r="FJ6925" s="44" t="s">
        <v>59</v>
      </c>
    </row>
    <row r="6926" spans="153:166" x14ac:dyDescent="0.35">
      <c r="EW6926" t="s">
        <v>5212</v>
      </c>
      <c r="EX6926" s="44" t="s">
        <v>6081</v>
      </c>
      <c r="FF6926" s="44" t="s">
        <v>59</v>
      </c>
      <c r="FJ6926" s="44" t="s">
        <v>59</v>
      </c>
    </row>
    <row r="6927" spans="153:166" x14ac:dyDescent="0.35">
      <c r="EW6927" t="s">
        <v>5212</v>
      </c>
      <c r="EX6927" s="44" t="s">
        <v>6082</v>
      </c>
      <c r="FF6927" s="44" t="s">
        <v>59</v>
      </c>
      <c r="FJ6927" s="44" t="s">
        <v>59</v>
      </c>
    </row>
    <row r="6928" spans="153:166" x14ac:dyDescent="0.35">
      <c r="EW6928" t="s">
        <v>5212</v>
      </c>
      <c r="EX6928" s="44" t="s">
        <v>6083</v>
      </c>
      <c r="FF6928" s="44" t="s">
        <v>59</v>
      </c>
      <c r="FJ6928" s="44" t="s">
        <v>59</v>
      </c>
    </row>
    <row r="6929" spans="153:166" x14ac:dyDescent="0.35">
      <c r="EW6929" t="s">
        <v>5212</v>
      </c>
      <c r="EX6929" s="44" t="s">
        <v>6084</v>
      </c>
      <c r="FF6929" s="44" t="s">
        <v>59</v>
      </c>
      <c r="FJ6929" s="44" t="s">
        <v>59</v>
      </c>
    </row>
    <row r="6930" spans="153:166" x14ac:dyDescent="0.35">
      <c r="EW6930" t="s">
        <v>5212</v>
      </c>
      <c r="EX6930" s="44" t="s">
        <v>6085</v>
      </c>
      <c r="FF6930" s="44" t="s">
        <v>59</v>
      </c>
      <c r="FJ6930" s="44" t="s">
        <v>59</v>
      </c>
    </row>
    <row r="6931" spans="153:166" x14ac:dyDescent="0.35">
      <c r="EW6931" t="s">
        <v>5212</v>
      </c>
      <c r="EX6931" s="44" t="s">
        <v>6086</v>
      </c>
      <c r="FF6931" s="44" t="s">
        <v>59</v>
      </c>
      <c r="FJ6931" s="44" t="s">
        <v>59</v>
      </c>
    </row>
    <row r="6932" spans="153:166" x14ac:dyDescent="0.35">
      <c r="EW6932" t="s">
        <v>5212</v>
      </c>
      <c r="EX6932" s="44" t="s">
        <v>6087</v>
      </c>
      <c r="FF6932" s="44" t="s">
        <v>59</v>
      </c>
      <c r="FJ6932" s="44" t="s">
        <v>59</v>
      </c>
    </row>
    <row r="6933" spans="153:166" x14ac:dyDescent="0.35">
      <c r="EW6933" t="s">
        <v>5212</v>
      </c>
      <c r="EX6933" s="44" t="s">
        <v>6088</v>
      </c>
      <c r="FF6933" s="44" t="s">
        <v>1109</v>
      </c>
      <c r="FJ6933" s="44" t="s">
        <v>1109</v>
      </c>
    </row>
    <row r="6934" spans="153:166" x14ac:dyDescent="0.35">
      <c r="EW6934" t="s">
        <v>5212</v>
      </c>
      <c r="EX6934" s="44" t="s">
        <v>6089</v>
      </c>
      <c r="FF6934" s="44" t="s">
        <v>1109</v>
      </c>
      <c r="FJ6934" s="44" t="s">
        <v>1109</v>
      </c>
    </row>
    <row r="6935" spans="153:166" x14ac:dyDescent="0.35">
      <c r="EW6935" t="s">
        <v>5212</v>
      </c>
      <c r="EX6935" s="44" t="s">
        <v>6090</v>
      </c>
      <c r="FF6935" s="44" t="s">
        <v>1109</v>
      </c>
      <c r="FJ6935" s="44" t="s">
        <v>1109</v>
      </c>
    </row>
    <row r="6936" spans="153:166" x14ac:dyDescent="0.35">
      <c r="EW6936" t="s">
        <v>5212</v>
      </c>
      <c r="EX6936" s="44" t="s">
        <v>6091</v>
      </c>
      <c r="FF6936" s="44" t="s">
        <v>1109</v>
      </c>
      <c r="FJ6936" s="44" t="s">
        <v>1109</v>
      </c>
    </row>
    <row r="6937" spans="153:166" x14ac:dyDescent="0.35">
      <c r="EW6937" t="s">
        <v>5212</v>
      </c>
      <c r="EX6937" s="44" t="s">
        <v>6092</v>
      </c>
      <c r="FF6937" s="44" t="s">
        <v>1109</v>
      </c>
      <c r="FJ6937" s="44" t="s">
        <v>1109</v>
      </c>
    </row>
    <row r="6938" spans="153:166" x14ac:dyDescent="0.35">
      <c r="EW6938" t="s">
        <v>5212</v>
      </c>
      <c r="EX6938" s="44" t="s">
        <v>6093</v>
      </c>
      <c r="FF6938" s="44" t="s">
        <v>1109</v>
      </c>
      <c r="FJ6938" s="44" t="s">
        <v>1109</v>
      </c>
    </row>
    <row r="6939" spans="153:166" x14ac:dyDescent="0.35">
      <c r="EW6939" t="s">
        <v>5212</v>
      </c>
      <c r="EX6939" s="44" t="s">
        <v>6094</v>
      </c>
      <c r="FF6939" s="44" t="s">
        <v>1109</v>
      </c>
      <c r="FJ6939" s="44" t="s">
        <v>1109</v>
      </c>
    </row>
    <row r="6940" spans="153:166" x14ac:dyDescent="0.35">
      <c r="EW6940" t="s">
        <v>5212</v>
      </c>
      <c r="EX6940" s="44" t="s">
        <v>6095</v>
      </c>
      <c r="FF6940" s="44" t="s">
        <v>1109</v>
      </c>
      <c r="FJ6940" s="44" t="s">
        <v>1109</v>
      </c>
    </row>
    <row r="6941" spans="153:166" x14ac:dyDescent="0.35">
      <c r="EW6941" t="s">
        <v>5212</v>
      </c>
      <c r="EX6941" s="44" t="s">
        <v>6096</v>
      </c>
      <c r="FF6941" s="44" t="s">
        <v>1109</v>
      </c>
      <c r="FJ6941" s="44" t="s">
        <v>1109</v>
      </c>
    </row>
    <row r="6942" spans="153:166" x14ac:dyDescent="0.35">
      <c r="EW6942" t="s">
        <v>5212</v>
      </c>
      <c r="EX6942" s="44" t="s">
        <v>6097</v>
      </c>
      <c r="FF6942" s="44" t="s">
        <v>59</v>
      </c>
      <c r="FJ6942" s="44" t="s">
        <v>59</v>
      </c>
    </row>
    <row r="6943" spans="153:166" x14ac:dyDescent="0.35">
      <c r="EW6943" t="s">
        <v>5212</v>
      </c>
      <c r="EX6943" s="44" t="s">
        <v>6098</v>
      </c>
      <c r="FF6943" s="44" t="s">
        <v>59</v>
      </c>
      <c r="FJ6943" s="44" t="s">
        <v>59</v>
      </c>
    </row>
    <row r="6944" spans="153:166" x14ac:dyDescent="0.35">
      <c r="EW6944" t="s">
        <v>5212</v>
      </c>
      <c r="EX6944" s="44" t="s">
        <v>6099</v>
      </c>
      <c r="FF6944" s="44" t="s">
        <v>59</v>
      </c>
      <c r="FJ6944" s="44" t="s">
        <v>59</v>
      </c>
    </row>
    <row r="6945" spans="153:166" x14ac:dyDescent="0.35">
      <c r="EW6945" t="s">
        <v>5212</v>
      </c>
      <c r="EX6945" s="44" t="s">
        <v>6100</v>
      </c>
      <c r="FF6945" s="44" t="s">
        <v>59</v>
      </c>
      <c r="FJ6945" s="44" t="s">
        <v>59</v>
      </c>
    </row>
    <row r="6946" spans="153:166" x14ac:dyDescent="0.35">
      <c r="EW6946" t="s">
        <v>5212</v>
      </c>
      <c r="EX6946" s="44" t="s">
        <v>6101</v>
      </c>
      <c r="FF6946" s="44" t="s">
        <v>59</v>
      </c>
      <c r="FJ6946" s="44" t="s">
        <v>59</v>
      </c>
    </row>
    <row r="6947" spans="153:166" x14ac:dyDescent="0.35">
      <c r="EW6947" t="s">
        <v>5212</v>
      </c>
      <c r="EX6947" s="44" t="s">
        <v>6102</v>
      </c>
      <c r="FF6947" s="44" t="s">
        <v>59</v>
      </c>
      <c r="FJ6947" s="44" t="s">
        <v>59</v>
      </c>
    </row>
    <row r="6948" spans="153:166" x14ac:dyDescent="0.35">
      <c r="EW6948" t="s">
        <v>5212</v>
      </c>
      <c r="EX6948" s="44" t="s">
        <v>6103</v>
      </c>
      <c r="FF6948" s="44" t="s">
        <v>59</v>
      </c>
      <c r="FJ6948" s="44" t="s">
        <v>59</v>
      </c>
    </row>
    <row r="6949" spans="153:166" x14ac:dyDescent="0.35">
      <c r="EW6949" t="s">
        <v>5212</v>
      </c>
      <c r="EX6949" s="44" t="s">
        <v>6104</v>
      </c>
      <c r="FF6949" s="44" t="s">
        <v>59</v>
      </c>
      <c r="FJ6949" s="44" t="s">
        <v>59</v>
      </c>
    </row>
    <row r="6950" spans="153:166" x14ac:dyDescent="0.35">
      <c r="EW6950" t="s">
        <v>5212</v>
      </c>
      <c r="EX6950" s="44" t="s">
        <v>6105</v>
      </c>
      <c r="FF6950" s="44" t="s">
        <v>59</v>
      </c>
      <c r="FJ6950" s="44" t="s">
        <v>59</v>
      </c>
    </row>
    <row r="6951" spans="153:166" x14ac:dyDescent="0.35">
      <c r="EW6951" t="s">
        <v>5212</v>
      </c>
      <c r="EX6951" s="44" t="s">
        <v>6106</v>
      </c>
      <c r="FF6951" s="44" t="s">
        <v>59</v>
      </c>
      <c r="FJ6951" s="44" t="s">
        <v>59</v>
      </c>
    </row>
    <row r="6952" spans="153:166" x14ac:dyDescent="0.35">
      <c r="EW6952" t="s">
        <v>5212</v>
      </c>
      <c r="EX6952" s="44" t="s">
        <v>6107</v>
      </c>
      <c r="FF6952" s="44" t="s">
        <v>59</v>
      </c>
      <c r="FJ6952" s="44" t="s">
        <v>59</v>
      </c>
    </row>
    <row r="6953" spans="153:166" x14ac:dyDescent="0.35">
      <c r="EW6953" t="s">
        <v>5212</v>
      </c>
      <c r="EX6953" s="44" t="s">
        <v>6108</v>
      </c>
      <c r="FF6953" s="44" t="s">
        <v>59</v>
      </c>
      <c r="FJ6953" s="44" t="s">
        <v>59</v>
      </c>
    </row>
    <row r="6954" spans="153:166" x14ac:dyDescent="0.35">
      <c r="EW6954" t="s">
        <v>5212</v>
      </c>
      <c r="EX6954" s="44" t="s">
        <v>6109</v>
      </c>
      <c r="FF6954" s="44" t="s">
        <v>59</v>
      </c>
      <c r="FJ6954" s="44" t="s">
        <v>59</v>
      </c>
    </row>
    <row r="6955" spans="153:166" x14ac:dyDescent="0.35">
      <c r="EW6955" t="s">
        <v>5212</v>
      </c>
      <c r="EX6955" s="44" t="s">
        <v>6110</v>
      </c>
      <c r="FF6955" s="44" t="s">
        <v>59</v>
      </c>
      <c r="FJ6955" s="44" t="s">
        <v>59</v>
      </c>
    </row>
    <row r="6956" spans="153:166" x14ac:dyDescent="0.35">
      <c r="EW6956" t="s">
        <v>5212</v>
      </c>
      <c r="EX6956" s="44" t="s">
        <v>6111</v>
      </c>
      <c r="FF6956" s="44" t="s">
        <v>59</v>
      </c>
      <c r="FJ6956" s="44" t="s">
        <v>59</v>
      </c>
    </row>
    <row r="6957" spans="153:166" x14ac:dyDescent="0.35">
      <c r="EW6957" t="s">
        <v>5212</v>
      </c>
      <c r="EX6957" s="44" t="s">
        <v>6112</v>
      </c>
      <c r="FF6957" s="44" t="s">
        <v>59</v>
      </c>
      <c r="FJ6957" s="44" t="s">
        <v>59</v>
      </c>
    </row>
    <row r="6958" spans="153:166" x14ac:dyDescent="0.35">
      <c r="EW6958" t="s">
        <v>5212</v>
      </c>
      <c r="EX6958" s="44" t="s">
        <v>6113</v>
      </c>
      <c r="FF6958" s="44" t="s">
        <v>59</v>
      </c>
      <c r="FJ6958" s="44" t="s">
        <v>59</v>
      </c>
    </row>
    <row r="6959" spans="153:166" x14ac:dyDescent="0.35">
      <c r="EW6959" t="s">
        <v>5212</v>
      </c>
      <c r="EX6959" s="44" t="s">
        <v>6114</v>
      </c>
      <c r="FF6959" s="44" t="s">
        <v>59</v>
      </c>
      <c r="FJ6959" s="44" t="s">
        <v>59</v>
      </c>
    </row>
    <row r="6960" spans="153:166" x14ac:dyDescent="0.35">
      <c r="EW6960" t="s">
        <v>5212</v>
      </c>
      <c r="EX6960" s="44" t="s">
        <v>6115</v>
      </c>
      <c r="FF6960" s="44" t="s">
        <v>59</v>
      </c>
      <c r="FJ6960" s="44" t="s">
        <v>59</v>
      </c>
    </row>
    <row r="6961" spans="153:166" x14ac:dyDescent="0.35">
      <c r="EW6961" t="s">
        <v>5212</v>
      </c>
      <c r="EX6961" s="44" t="s">
        <v>6116</v>
      </c>
      <c r="FF6961" s="44" t="s">
        <v>59</v>
      </c>
      <c r="FJ6961" s="44" t="s">
        <v>59</v>
      </c>
    </row>
    <row r="6962" spans="153:166" x14ac:dyDescent="0.35">
      <c r="EW6962" t="s">
        <v>5212</v>
      </c>
      <c r="EX6962" s="44" t="s">
        <v>6117</v>
      </c>
      <c r="FF6962" s="44" t="s">
        <v>59</v>
      </c>
      <c r="FJ6962" s="44" t="s">
        <v>59</v>
      </c>
    </row>
    <row r="6963" spans="153:166" x14ac:dyDescent="0.35">
      <c r="EW6963" t="s">
        <v>5212</v>
      </c>
      <c r="EX6963" s="44" t="s">
        <v>6118</v>
      </c>
      <c r="FF6963" s="44" t="s">
        <v>59</v>
      </c>
      <c r="FJ6963" s="44" t="s">
        <v>59</v>
      </c>
    </row>
    <row r="6964" spans="153:166" x14ac:dyDescent="0.35">
      <c r="EW6964" t="s">
        <v>5212</v>
      </c>
      <c r="EX6964" s="44" t="s">
        <v>6119</v>
      </c>
      <c r="FF6964" s="44" t="s">
        <v>59</v>
      </c>
      <c r="FJ6964" s="44" t="s">
        <v>59</v>
      </c>
    </row>
    <row r="6965" spans="153:166" x14ac:dyDescent="0.35">
      <c r="EW6965" t="s">
        <v>5212</v>
      </c>
      <c r="EX6965" s="44" t="s">
        <v>6120</v>
      </c>
      <c r="FF6965" s="44" t="s">
        <v>59</v>
      </c>
      <c r="FJ6965" s="44" t="s">
        <v>59</v>
      </c>
    </row>
    <row r="6966" spans="153:166" x14ac:dyDescent="0.35">
      <c r="EW6966" t="s">
        <v>5212</v>
      </c>
      <c r="EX6966" s="44" t="s">
        <v>6121</v>
      </c>
      <c r="FF6966" s="44" t="s">
        <v>59</v>
      </c>
      <c r="FJ6966" s="44" t="s">
        <v>59</v>
      </c>
    </row>
    <row r="6967" spans="153:166" x14ac:dyDescent="0.35">
      <c r="EW6967" t="s">
        <v>5212</v>
      </c>
      <c r="EX6967" s="44" t="s">
        <v>6122</v>
      </c>
      <c r="FF6967" s="44" t="s">
        <v>59</v>
      </c>
      <c r="FJ6967" s="44" t="s">
        <v>59</v>
      </c>
    </row>
    <row r="6968" spans="153:166" x14ac:dyDescent="0.35">
      <c r="EW6968" t="s">
        <v>5212</v>
      </c>
      <c r="EX6968" s="44" t="s">
        <v>6123</v>
      </c>
      <c r="FF6968" s="44" t="s">
        <v>59</v>
      </c>
      <c r="FJ6968" s="44" t="s">
        <v>59</v>
      </c>
    </row>
    <row r="6969" spans="153:166" x14ac:dyDescent="0.35">
      <c r="EW6969" t="s">
        <v>5212</v>
      </c>
      <c r="EX6969" s="44" t="s">
        <v>6124</v>
      </c>
      <c r="FF6969" s="44" t="s">
        <v>59</v>
      </c>
      <c r="FJ6969" s="44" t="s">
        <v>59</v>
      </c>
    </row>
    <row r="6970" spans="153:166" x14ac:dyDescent="0.35">
      <c r="EW6970" t="s">
        <v>5212</v>
      </c>
      <c r="EX6970" s="44" t="s">
        <v>6125</v>
      </c>
      <c r="FF6970" s="44" t="s">
        <v>59</v>
      </c>
      <c r="FJ6970" s="44" t="s">
        <v>59</v>
      </c>
    </row>
    <row r="6971" spans="153:166" x14ac:dyDescent="0.35">
      <c r="EW6971" t="s">
        <v>5212</v>
      </c>
      <c r="EX6971" s="44" t="s">
        <v>6126</v>
      </c>
      <c r="FF6971" s="44" t="s">
        <v>59</v>
      </c>
      <c r="FJ6971" s="44" t="s">
        <v>59</v>
      </c>
    </row>
    <row r="6972" spans="153:166" x14ac:dyDescent="0.35">
      <c r="EW6972" t="s">
        <v>5212</v>
      </c>
      <c r="EX6972" s="44" t="s">
        <v>6127</v>
      </c>
      <c r="FF6972" s="44" t="s">
        <v>59</v>
      </c>
      <c r="FJ6972" s="44" t="s">
        <v>59</v>
      </c>
    </row>
    <row r="6973" spans="153:166" x14ac:dyDescent="0.35">
      <c r="EW6973" t="s">
        <v>5212</v>
      </c>
      <c r="EX6973" s="44" t="s">
        <v>6128</v>
      </c>
      <c r="FF6973" s="44" t="s">
        <v>59</v>
      </c>
      <c r="FJ6973" s="44" t="s">
        <v>59</v>
      </c>
    </row>
    <row r="6974" spans="153:166" x14ac:dyDescent="0.35">
      <c r="EW6974" t="s">
        <v>5212</v>
      </c>
      <c r="EX6974" s="44" t="s">
        <v>6129</v>
      </c>
      <c r="FF6974" s="44" t="s">
        <v>59</v>
      </c>
      <c r="FJ6974" s="44" t="s">
        <v>59</v>
      </c>
    </row>
    <row r="6975" spans="153:166" x14ac:dyDescent="0.35">
      <c r="EW6975" t="s">
        <v>5212</v>
      </c>
      <c r="EX6975" s="44" t="s">
        <v>6130</v>
      </c>
      <c r="FF6975" s="44" t="s">
        <v>59</v>
      </c>
      <c r="FJ6975" s="44" t="s">
        <v>59</v>
      </c>
    </row>
    <row r="6976" spans="153:166" x14ac:dyDescent="0.35">
      <c r="EW6976" t="s">
        <v>5212</v>
      </c>
      <c r="EX6976" s="44" t="s">
        <v>6131</v>
      </c>
      <c r="FF6976" s="44" t="s">
        <v>59</v>
      </c>
      <c r="FJ6976" s="44" t="s">
        <v>59</v>
      </c>
    </row>
    <row r="6977" spans="153:166" x14ac:dyDescent="0.35">
      <c r="EW6977" t="s">
        <v>5212</v>
      </c>
      <c r="EX6977" s="44" t="s">
        <v>6132</v>
      </c>
      <c r="FF6977" s="44" t="s">
        <v>59</v>
      </c>
      <c r="FJ6977" s="44" t="s">
        <v>59</v>
      </c>
    </row>
    <row r="6978" spans="153:166" x14ac:dyDescent="0.35">
      <c r="EW6978" t="s">
        <v>5212</v>
      </c>
      <c r="EX6978" s="44" t="s">
        <v>6133</v>
      </c>
      <c r="FF6978" s="44" t="s">
        <v>59</v>
      </c>
      <c r="FJ6978" s="44" t="s">
        <v>59</v>
      </c>
    </row>
    <row r="6979" spans="153:166" x14ac:dyDescent="0.35">
      <c r="EW6979" t="s">
        <v>5212</v>
      </c>
      <c r="EX6979" s="44" t="s">
        <v>6134</v>
      </c>
      <c r="FF6979" s="44" t="s">
        <v>59</v>
      </c>
      <c r="FJ6979" s="44" t="s">
        <v>59</v>
      </c>
    </row>
    <row r="6980" spans="153:166" x14ac:dyDescent="0.35">
      <c r="EW6980" t="s">
        <v>5212</v>
      </c>
      <c r="EX6980" s="44" t="s">
        <v>6135</v>
      </c>
      <c r="FF6980" s="44" t="s">
        <v>59</v>
      </c>
      <c r="FJ6980" s="44" t="s">
        <v>59</v>
      </c>
    </row>
    <row r="6981" spans="153:166" x14ac:dyDescent="0.35">
      <c r="EW6981" t="s">
        <v>5212</v>
      </c>
      <c r="EX6981" s="44" t="s">
        <v>6136</v>
      </c>
      <c r="FF6981" s="44" t="s">
        <v>59</v>
      </c>
      <c r="FJ6981" s="44" t="s">
        <v>59</v>
      </c>
    </row>
    <row r="6982" spans="153:166" x14ac:dyDescent="0.35">
      <c r="EW6982" t="s">
        <v>5212</v>
      </c>
      <c r="EX6982" s="44" t="s">
        <v>6137</v>
      </c>
      <c r="FF6982" s="44" t="s">
        <v>59</v>
      </c>
      <c r="FJ6982" s="44" t="s">
        <v>59</v>
      </c>
    </row>
    <row r="6983" spans="153:166" x14ac:dyDescent="0.35">
      <c r="EW6983" t="s">
        <v>5212</v>
      </c>
      <c r="EX6983" s="44" t="s">
        <v>6138</v>
      </c>
      <c r="FF6983" s="44" t="s">
        <v>59</v>
      </c>
      <c r="FJ6983" s="44" t="s">
        <v>59</v>
      </c>
    </row>
    <row r="6984" spans="153:166" x14ac:dyDescent="0.35">
      <c r="EW6984" t="s">
        <v>5212</v>
      </c>
      <c r="EX6984" s="44" t="s">
        <v>6139</v>
      </c>
      <c r="FF6984" s="44" t="s">
        <v>59</v>
      </c>
      <c r="FJ6984" s="44" t="s">
        <v>59</v>
      </c>
    </row>
    <row r="6985" spans="153:166" x14ac:dyDescent="0.35">
      <c r="EW6985" t="s">
        <v>5212</v>
      </c>
      <c r="EX6985" s="44" t="s">
        <v>6140</v>
      </c>
      <c r="FF6985" s="44" t="s">
        <v>59</v>
      </c>
      <c r="FJ6985" s="44" t="s">
        <v>59</v>
      </c>
    </row>
    <row r="6986" spans="153:166" x14ac:dyDescent="0.35">
      <c r="EW6986" t="s">
        <v>5212</v>
      </c>
      <c r="EX6986" s="44" t="s">
        <v>6141</v>
      </c>
      <c r="FF6986" s="44" t="s">
        <v>59</v>
      </c>
      <c r="FJ6986" s="44" t="s">
        <v>59</v>
      </c>
    </row>
    <row r="6987" spans="153:166" x14ac:dyDescent="0.35">
      <c r="EW6987" t="s">
        <v>5212</v>
      </c>
      <c r="EX6987" s="44" t="s">
        <v>6142</v>
      </c>
      <c r="FF6987" s="44" t="s">
        <v>59</v>
      </c>
      <c r="FJ6987" s="44" t="s">
        <v>59</v>
      </c>
    </row>
    <row r="6988" spans="153:166" x14ac:dyDescent="0.35">
      <c r="EW6988" t="s">
        <v>5212</v>
      </c>
      <c r="EX6988" s="44" t="s">
        <v>6143</v>
      </c>
      <c r="FF6988" s="44" t="s">
        <v>59</v>
      </c>
      <c r="FJ6988" s="44" t="s">
        <v>59</v>
      </c>
    </row>
    <row r="6989" spans="153:166" x14ac:dyDescent="0.35">
      <c r="EW6989" t="s">
        <v>5212</v>
      </c>
      <c r="EX6989" s="44" t="s">
        <v>6144</v>
      </c>
      <c r="FF6989" s="44" t="s">
        <v>59</v>
      </c>
      <c r="FJ6989" s="44" t="s">
        <v>59</v>
      </c>
    </row>
    <row r="6990" spans="153:166" x14ac:dyDescent="0.35">
      <c r="EW6990" t="s">
        <v>5212</v>
      </c>
      <c r="EX6990" s="44" t="s">
        <v>6145</v>
      </c>
      <c r="FF6990" s="44" t="s">
        <v>59</v>
      </c>
      <c r="FJ6990" s="44" t="s">
        <v>59</v>
      </c>
    </row>
    <row r="6991" spans="153:166" x14ac:dyDescent="0.35">
      <c r="EW6991" t="s">
        <v>5212</v>
      </c>
      <c r="EX6991" s="44" t="s">
        <v>6146</v>
      </c>
      <c r="FF6991" s="44" t="s">
        <v>59</v>
      </c>
      <c r="FJ6991" s="44" t="s">
        <v>59</v>
      </c>
    </row>
    <row r="6992" spans="153:166" x14ac:dyDescent="0.35">
      <c r="EW6992" t="s">
        <v>5212</v>
      </c>
      <c r="EX6992" s="44" t="s">
        <v>6147</v>
      </c>
      <c r="FF6992" s="44" t="s">
        <v>59</v>
      </c>
      <c r="FJ6992" s="44" t="s">
        <v>59</v>
      </c>
    </row>
    <row r="6993" spans="153:166" x14ac:dyDescent="0.35">
      <c r="EW6993" t="s">
        <v>5212</v>
      </c>
      <c r="EX6993" s="44" t="s">
        <v>6148</v>
      </c>
      <c r="FF6993" s="44" t="s">
        <v>59</v>
      </c>
      <c r="FJ6993" s="44" t="s">
        <v>59</v>
      </c>
    </row>
    <row r="6994" spans="153:166" x14ac:dyDescent="0.35">
      <c r="EW6994" t="s">
        <v>5212</v>
      </c>
      <c r="EX6994" s="44" t="s">
        <v>6149</v>
      </c>
      <c r="FF6994" s="44" t="s">
        <v>59</v>
      </c>
      <c r="FJ6994" s="44" t="s">
        <v>59</v>
      </c>
    </row>
    <row r="6995" spans="153:166" x14ac:dyDescent="0.35">
      <c r="EW6995" t="s">
        <v>5212</v>
      </c>
      <c r="EX6995" s="44" t="s">
        <v>6150</v>
      </c>
      <c r="FF6995" s="44" t="s">
        <v>59</v>
      </c>
      <c r="FJ6995" s="44" t="s">
        <v>59</v>
      </c>
    </row>
    <row r="6996" spans="153:166" x14ac:dyDescent="0.35">
      <c r="EW6996" t="s">
        <v>5212</v>
      </c>
      <c r="EX6996" s="44" t="s">
        <v>6151</v>
      </c>
      <c r="FF6996" s="44" t="s">
        <v>59</v>
      </c>
      <c r="FJ6996" s="44" t="s">
        <v>59</v>
      </c>
    </row>
    <row r="6997" spans="153:166" x14ac:dyDescent="0.35">
      <c r="EW6997" t="s">
        <v>5212</v>
      </c>
      <c r="EX6997" s="44" t="s">
        <v>6152</v>
      </c>
      <c r="FF6997" s="44" t="s">
        <v>59</v>
      </c>
      <c r="FJ6997" s="44" t="s">
        <v>59</v>
      </c>
    </row>
    <row r="6998" spans="153:166" x14ac:dyDescent="0.35">
      <c r="EW6998" t="s">
        <v>5212</v>
      </c>
      <c r="EX6998" s="44" t="s">
        <v>6153</v>
      </c>
      <c r="FF6998" s="44" t="s">
        <v>59</v>
      </c>
      <c r="FJ6998" s="44" t="s">
        <v>59</v>
      </c>
    </row>
    <row r="6999" spans="153:166" x14ac:dyDescent="0.35">
      <c r="EW6999" t="s">
        <v>5212</v>
      </c>
      <c r="EX6999" s="44" t="s">
        <v>6154</v>
      </c>
      <c r="FF6999" s="44" t="s">
        <v>59</v>
      </c>
      <c r="FJ6999" s="44" t="s">
        <v>59</v>
      </c>
    </row>
    <row r="7000" spans="153:166" x14ac:dyDescent="0.35">
      <c r="EW7000" t="s">
        <v>5212</v>
      </c>
      <c r="EX7000" s="44" t="s">
        <v>6155</v>
      </c>
      <c r="FF7000" s="44" t="s">
        <v>59</v>
      </c>
      <c r="FJ7000" s="44" t="s">
        <v>59</v>
      </c>
    </row>
    <row r="7001" spans="153:166" x14ac:dyDescent="0.35">
      <c r="EW7001" t="s">
        <v>5212</v>
      </c>
      <c r="EX7001" s="44" t="s">
        <v>6156</v>
      </c>
      <c r="FF7001" s="44" t="s">
        <v>59</v>
      </c>
      <c r="FJ7001" s="44" t="s">
        <v>59</v>
      </c>
    </row>
    <row r="7002" spans="153:166" x14ac:dyDescent="0.35">
      <c r="EW7002" t="s">
        <v>5212</v>
      </c>
      <c r="EX7002" s="44" t="s">
        <v>6157</v>
      </c>
      <c r="FF7002" s="44" t="s">
        <v>59</v>
      </c>
      <c r="FJ7002" s="44" t="s">
        <v>59</v>
      </c>
    </row>
    <row r="7003" spans="153:166" x14ac:dyDescent="0.35">
      <c r="EW7003" t="s">
        <v>5212</v>
      </c>
      <c r="EX7003" s="44" t="s">
        <v>6158</v>
      </c>
      <c r="FF7003" s="44" t="s">
        <v>59</v>
      </c>
      <c r="FJ7003" s="44" t="s">
        <v>59</v>
      </c>
    </row>
    <row r="7004" spans="153:166" x14ac:dyDescent="0.35">
      <c r="EW7004" t="s">
        <v>5212</v>
      </c>
      <c r="EX7004" s="44" t="s">
        <v>6159</v>
      </c>
      <c r="FF7004" s="44" t="s">
        <v>59</v>
      </c>
      <c r="FJ7004" s="44" t="s">
        <v>59</v>
      </c>
    </row>
    <row r="7005" spans="153:166" x14ac:dyDescent="0.35">
      <c r="EW7005" t="s">
        <v>5212</v>
      </c>
      <c r="EX7005" s="44" t="s">
        <v>6160</v>
      </c>
      <c r="FF7005" s="44" t="s">
        <v>59</v>
      </c>
      <c r="FJ7005" s="44" t="s">
        <v>59</v>
      </c>
    </row>
    <row r="7006" spans="153:166" x14ac:dyDescent="0.35">
      <c r="EW7006" t="s">
        <v>5212</v>
      </c>
      <c r="EX7006" s="44" t="s">
        <v>6161</v>
      </c>
      <c r="FF7006" s="44" t="s">
        <v>59</v>
      </c>
      <c r="FJ7006" s="44" t="s">
        <v>59</v>
      </c>
    </row>
    <row r="7007" spans="153:166" x14ac:dyDescent="0.35">
      <c r="EW7007" t="s">
        <v>5212</v>
      </c>
      <c r="EX7007" s="44" t="s">
        <v>6162</v>
      </c>
      <c r="FF7007" s="44" t="s">
        <v>59</v>
      </c>
      <c r="FJ7007" s="44" t="s">
        <v>59</v>
      </c>
    </row>
    <row r="7008" spans="153:166" x14ac:dyDescent="0.35">
      <c r="EW7008" t="s">
        <v>5212</v>
      </c>
      <c r="EX7008" s="44" t="s">
        <v>6163</v>
      </c>
      <c r="FF7008" s="44" t="s">
        <v>59</v>
      </c>
      <c r="FJ7008" s="44" t="s">
        <v>59</v>
      </c>
    </row>
    <row r="7009" spans="153:166" x14ac:dyDescent="0.35">
      <c r="EW7009" t="s">
        <v>5212</v>
      </c>
      <c r="EX7009" s="44" t="s">
        <v>6164</v>
      </c>
      <c r="FF7009" s="44" t="s">
        <v>59</v>
      </c>
      <c r="FJ7009" s="44" t="s">
        <v>59</v>
      </c>
    </row>
    <row r="7010" spans="153:166" x14ac:dyDescent="0.35">
      <c r="EW7010" t="s">
        <v>5212</v>
      </c>
      <c r="EX7010" s="44" t="s">
        <v>6165</v>
      </c>
      <c r="FF7010" s="44" t="s">
        <v>59</v>
      </c>
      <c r="FJ7010" s="44" t="s">
        <v>59</v>
      </c>
    </row>
    <row r="7011" spans="153:166" x14ac:dyDescent="0.35">
      <c r="EW7011" t="s">
        <v>5212</v>
      </c>
      <c r="EX7011" s="44" t="s">
        <v>6166</v>
      </c>
      <c r="FF7011" s="44" t="s">
        <v>59</v>
      </c>
      <c r="FJ7011" s="44" t="s">
        <v>59</v>
      </c>
    </row>
    <row r="7012" spans="153:166" x14ac:dyDescent="0.35">
      <c r="EW7012" t="s">
        <v>5212</v>
      </c>
      <c r="EX7012" s="44" t="s">
        <v>6167</v>
      </c>
      <c r="FF7012" s="44" t="s">
        <v>59</v>
      </c>
      <c r="FJ7012" s="44" t="s">
        <v>59</v>
      </c>
    </row>
    <row r="7013" spans="153:166" x14ac:dyDescent="0.35">
      <c r="EW7013" t="s">
        <v>5212</v>
      </c>
      <c r="EX7013" s="44" t="s">
        <v>6168</v>
      </c>
      <c r="FF7013" s="44" t="s">
        <v>59</v>
      </c>
      <c r="FJ7013" s="44" t="s">
        <v>59</v>
      </c>
    </row>
    <row r="7014" spans="153:166" x14ac:dyDescent="0.35">
      <c r="EW7014" t="s">
        <v>5212</v>
      </c>
      <c r="EX7014" s="44" t="s">
        <v>6169</v>
      </c>
      <c r="FF7014" s="44" t="s">
        <v>59</v>
      </c>
      <c r="FI7014" t="s">
        <v>6170</v>
      </c>
      <c r="FJ7014" s="44" t="s">
        <v>59</v>
      </c>
    </row>
    <row r="7015" spans="153:166" x14ac:dyDescent="0.35">
      <c r="EW7015" t="s">
        <v>5212</v>
      </c>
      <c r="EX7015" s="44" t="s">
        <v>6171</v>
      </c>
      <c r="FF7015" s="44" t="s">
        <v>59</v>
      </c>
      <c r="FJ7015" s="44" t="s">
        <v>59</v>
      </c>
    </row>
    <row r="7016" spans="153:166" x14ac:dyDescent="0.35">
      <c r="EW7016" t="s">
        <v>5212</v>
      </c>
      <c r="EX7016" s="44" t="s">
        <v>6172</v>
      </c>
      <c r="FF7016" s="44" t="s">
        <v>59</v>
      </c>
      <c r="FJ7016" s="44" t="s">
        <v>59</v>
      </c>
    </row>
    <row r="7017" spans="153:166" x14ac:dyDescent="0.35">
      <c r="EW7017" t="s">
        <v>5212</v>
      </c>
      <c r="EX7017" s="44" t="s">
        <v>6173</v>
      </c>
      <c r="FF7017" s="44" t="s">
        <v>59</v>
      </c>
      <c r="FJ7017" s="44" t="s">
        <v>59</v>
      </c>
    </row>
    <row r="7018" spans="153:166" x14ac:dyDescent="0.35">
      <c r="EW7018" t="s">
        <v>5212</v>
      </c>
      <c r="EX7018" s="44" t="s">
        <v>6174</v>
      </c>
      <c r="FF7018" s="44" t="s">
        <v>59</v>
      </c>
      <c r="FJ7018" s="44" t="s">
        <v>59</v>
      </c>
    </row>
    <row r="7019" spans="153:166" x14ac:dyDescent="0.35">
      <c r="EW7019" t="s">
        <v>5212</v>
      </c>
      <c r="EX7019" s="44" t="s">
        <v>6175</v>
      </c>
      <c r="FF7019" s="44" t="s">
        <v>59</v>
      </c>
      <c r="FJ7019" s="44" t="s">
        <v>59</v>
      </c>
    </row>
    <row r="7020" spans="153:166" x14ac:dyDescent="0.35">
      <c r="EW7020" t="s">
        <v>5212</v>
      </c>
      <c r="EX7020" s="44" t="s">
        <v>6176</v>
      </c>
      <c r="FF7020" s="44" t="s">
        <v>59</v>
      </c>
      <c r="FJ7020" s="44" t="s">
        <v>59</v>
      </c>
    </row>
    <row r="7021" spans="153:166" x14ac:dyDescent="0.35">
      <c r="EW7021" t="s">
        <v>5212</v>
      </c>
      <c r="EX7021" s="44" t="s">
        <v>6177</v>
      </c>
      <c r="FF7021" s="44" t="s">
        <v>59</v>
      </c>
      <c r="FJ7021" s="44" t="s">
        <v>59</v>
      </c>
    </row>
    <row r="7022" spans="153:166" x14ac:dyDescent="0.35">
      <c r="EW7022" t="s">
        <v>5212</v>
      </c>
      <c r="EX7022" s="44" t="s">
        <v>6178</v>
      </c>
      <c r="FF7022" s="44" t="s">
        <v>59</v>
      </c>
      <c r="FJ7022" s="44" t="s">
        <v>59</v>
      </c>
    </row>
    <row r="7023" spans="153:166" x14ac:dyDescent="0.35">
      <c r="EW7023" t="s">
        <v>5212</v>
      </c>
      <c r="EX7023" s="44" t="s">
        <v>6179</v>
      </c>
      <c r="FF7023" s="44" t="s">
        <v>59</v>
      </c>
      <c r="FJ7023" s="44" t="s">
        <v>59</v>
      </c>
    </row>
    <row r="7024" spans="153:166" x14ac:dyDescent="0.35">
      <c r="EW7024" t="s">
        <v>5212</v>
      </c>
      <c r="EX7024" s="44" t="s">
        <v>6180</v>
      </c>
      <c r="FF7024" s="44" t="s">
        <v>59</v>
      </c>
      <c r="FJ7024" s="44" t="s">
        <v>59</v>
      </c>
    </row>
    <row r="7025" spans="153:166" x14ac:dyDescent="0.35">
      <c r="EW7025" t="s">
        <v>5212</v>
      </c>
      <c r="EX7025" s="44" t="s">
        <v>6181</v>
      </c>
      <c r="FF7025" s="44" t="s">
        <v>59</v>
      </c>
      <c r="FJ7025" s="44" t="s">
        <v>59</v>
      </c>
    </row>
    <row r="7026" spans="153:166" x14ac:dyDescent="0.35">
      <c r="EW7026" t="s">
        <v>6182</v>
      </c>
      <c r="EX7026" s="44" t="s">
        <v>5213</v>
      </c>
      <c r="FF7026" s="45" t="s">
        <v>55</v>
      </c>
      <c r="FJ7026" s="45" t="s">
        <v>55</v>
      </c>
    </row>
    <row r="7027" spans="153:166" x14ac:dyDescent="0.35">
      <c r="EW7027" t="s">
        <v>6182</v>
      </c>
      <c r="EX7027" s="44" t="s">
        <v>5214</v>
      </c>
      <c r="FF7027" s="45" t="s">
        <v>55</v>
      </c>
      <c r="FJ7027" s="45" t="s">
        <v>55</v>
      </c>
    </row>
    <row r="7028" spans="153:166" x14ac:dyDescent="0.35">
      <c r="EW7028" t="s">
        <v>6182</v>
      </c>
      <c r="EX7028" s="44" t="s">
        <v>5215</v>
      </c>
      <c r="FF7028" s="45" t="s">
        <v>55</v>
      </c>
      <c r="FJ7028" s="45" t="s">
        <v>55</v>
      </c>
    </row>
    <row r="7029" spans="153:166" x14ac:dyDescent="0.35">
      <c r="EW7029" t="s">
        <v>6182</v>
      </c>
      <c r="EX7029" s="44" t="s">
        <v>5216</v>
      </c>
      <c r="FF7029" s="45" t="s">
        <v>55</v>
      </c>
      <c r="FJ7029" s="45" t="s">
        <v>55</v>
      </c>
    </row>
    <row r="7030" spans="153:166" x14ac:dyDescent="0.35">
      <c r="EW7030" t="s">
        <v>6182</v>
      </c>
      <c r="EX7030" s="44" t="s">
        <v>5217</v>
      </c>
      <c r="FF7030" s="45" t="s">
        <v>55</v>
      </c>
      <c r="FJ7030" s="45" t="s">
        <v>55</v>
      </c>
    </row>
    <row r="7031" spans="153:166" x14ac:dyDescent="0.35">
      <c r="EW7031" t="s">
        <v>6182</v>
      </c>
      <c r="EX7031" s="44" t="s">
        <v>5218</v>
      </c>
      <c r="FF7031" s="45" t="s">
        <v>55</v>
      </c>
      <c r="FJ7031" s="45" t="s">
        <v>55</v>
      </c>
    </row>
    <row r="7032" spans="153:166" x14ac:dyDescent="0.35">
      <c r="EW7032" t="s">
        <v>6182</v>
      </c>
      <c r="EX7032" s="44" t="s">
        <v>5219</v>
      </c>
      <c r="FF7032" s="45" t="s">
        <v>55</v>
      </c>
      <c r="FJ7032" s="45" t="s">
        <v>55</v>
      </c>
    </row>
    <row r="7033" spans="153:166" x14ac:dyDescent="0.35">
      <c r="EW7033" t="s">
        <v>6182</v>
      </c>
      <c r="EX7033" s="44" t="s">
        <v>5220</v>
      </c>
      <c r="FF7033" s="45" t="s">
        <v>55</v>
      </c>
      <c r="FJ7033" s="45" t="s">
        <v>55</v>
      </c>
    </row>
    <row r="7034" spans="153:166" x14ac:dyDescent="0.35">
      <c r="EW7034" t="s">
        <v>6182</v>
      </c>
      <c r="EX7034" s="44" t="s">
        <v>5221</v>
      </c>
      <c r="FF7034" s="45" t="s">
        <v>55</v>
      </c>
      <c r="FJ7034" s="45" t="s">
        <v>55</v>
      </c>
    </row>
    <row r="7035" spans="153:166" x14ac:dyDescent="0.35">
      <c r="EW7035" t="s">
        <v>6182</v>
      </c>
      <c r="EX7035" s="44" t="s">
        <v>5222</v>
      </c>
      <c r="FF7035" s="45" t="s">
        <v>55</v>
      </c>
      <c r="FJ7035" s="45" t="s">
        <v>55</v>
      </c>
    </row>
    <row r="7036" spans="153:166" x14ac:dyDescent="0.35">
      <c r="EW7036" t="s">
        <v>6182</v>
      </c>
      <c r="EX7036" s="44" t="s">
        <v>5223</v>
      </c>
      <c r="FF7036" s="45" t="s">
        <v>55</v>
      </c>
      <c r="FJ7036" s="45" t="s">
        <v>55</v>
      </c>
    </row>
    <row r="7037" spans="153:166" x14ac:dyDescent="0.35">
      <c r="EW7037" t="s">
        <v>6182</v>
      </c>
      <c r="EX7037" s="44" t="s">
        <v>5224</v>
      </c>
      <c r="FF7037" s="45" t="s">
        <v>55</v>
      </c>
      <c r="FJ7037" s="45" t="s">
        <v>55</v>
      </c>
    </row>
    <row r="7038" spans="153:166" x14ac:dyDescent="0.35">
      <c r="EW7038" t="s">
        <v>6182</v>
      </c>
      <c r="EX7038" s="44" t="s">
        <v>5225</v>
      </c>
      <c r="FF7038" s="45" t="s">
        <v>55</v>
      </c>
      <c r="FJ7038" s="45" t="s">
        <v>55</v>
      </c>
    </row>
    <row r="7039" spans="153:166" x14ac:dyDescent="0.35">
      <c r="EW7039" t="s">
        <v>6182</v>
      </c>
      <c r="EX7039" s="44" t="s">
        <v>5226</v>
      </c>
      <c r="FF7039" s="45" t="s">
        <v>55</v>
      </c>
      <c r="FJ7039" s="45" t="s">
        <v>55</v>
      </c>
    </row>
    <row r="7040" spans="153:166" x14ac:dyDescent="0.35">
      <c r="EW7040" t="s">
        <v>6182</v>
      </c>
      <c r="EX7040" s="44" t="s">
        <v>5227</v>
      </c>
      <c r="FF7040" s="45" t="s">
        <v>55</v>
      </c>
      <c r="FJ7040" s="45" t="s">
        <v>55</v>
      </c>
    </row>
    <row r="7041" spans="153:166" x14ac:dyDescent="0.35">
      <c r="EW7041" t="s">
        <v>6182</v>
      </c>
      <c r="EX7041" s="44" t="s">
        <v>5228</v>
      </c>
      <c r="FF7041" s="45" t="s">
        <v>55</v>
      </c>
      <c r="FJ7041" s="45" t="s">
        <v>55</v>
      </c>
    </row>
    <row r="7042" spans="153:166" x14ac:dyDescent="0.35">
      <c r="EW7042" t="s">
        <v>6182</v>
      </c>
      <c r="EX7042" s="44" t="s">
        <v>5229</v>
      </c>
      <c r="FF7042" s="45" t="s">
        <v>55</v>
      </c>
      <c r="FJ7042" s="45" t="s">
        <v>55</v>
      </c>
    </row>
    <row r="7043" spans="153:166" x14ac:dyDescent="0.35">
      <c r="EW7043" t="s">
        <v>6182</v>
      </c>
      <c r="EX7043" s="44" t="s">
        <v>5230</v>
      </c>
      <c r="FF7043" s="45" t="s">
        <v>55</v>
      </c>
      <c r="FJ7043" s="45" t="s">
        <v>55</v>
      </c>
    </row>
    <row r="7044" spans="153:166" x14ac:dyDescent="0.35">
      <c r="EW7044" t="s">
        <v>6182</v>
      </c>
      <c r="EX7044" s="44" t="s">
        <v>5231</v>
      </c>
      <c r="FF7044" s="45" t="s">
        <v>55</v>
      </c>
      <c r="FJ7044" s="45" t="s">
        <v>55</v>
      </c>
    </row>
    <row r="7045" spans="153:166" x14ac:dyDescent="0.35">
      <c r="EW7045" t="s">
        <v>6182</v>
      </c>
      <c r="EX7045" s="44" t="s">
        <v>5232</v>
      </c>
      <c r="FF7045" s="45" t="s">
        <v>55</v>
      </c>
      <c r="FJ7045" s="45" t="s">
        <v>55</v>
      </c>
    </row>
    <row r="7046" spans="153:166" x14ac:dyDescent="0.35">
      <c r="EW7046" t="s">
        <v>6182</v>
      </c>
      <c r="EX7046" s="44" t="s">
        <v>5233</v>
      </c>
      <c r="FF7046" s="45" t="s">
        <v>55</v>
      </c>
      <c r="FJ7046" s="45" t="s">
        <v>55</v>
      </c>
    </row>
    <row r="7047" spans="153:166" x14ac:dyDescent="0.35">
      <c r="EW7047" t="s">
        <v>6182</v>
      </c>
      <c r="EX7047" s="44" t="s">
        <v>5234</v>
      </c>
      <c r="FF7047" s="45" t="s">
        <v>55</v>
      </c>
      <c r="FJ7047" s="45" t="s">
        <v>55</v>
      </c>
    </row>
    <row r="7048" spans="153:166" x14ac:dyDescent="0.35">
      <c r="EW7048" t="s">
        <v>6182</v>
      </c>
      <c r="EX7048" s="44" t="s">
        <v>5235</v>
      </c>
      <c r="FF7048" s="45" t="s">
        <v>55</v>
      </c>
      <c r="FJ7048" s="45" t="s">
        <v>55</v>
      </c>
    </row>
    <row r="7049" spans="153:166" x14ac:dyDescent="0.35">
      <c r="EW7049" t="s">
        <v>6182</v>
      </c>
      <c r="EX7049" s="44" t="s">
        <v>5236</v>
      </c>
      <c r="FF7049" s="45" t="s">
        <v>55</v>
      </c>
      <c r="FJ7049" s="45" t="s">
        <v>55</v>
      </c>
    </row>
    <row r="7050" spans="153:166" x14ac:dyDescent="0.35">
      <c r="EW7050" t="s">
        <v>6182</v>
      </c>
      <c r="EX7050" s="44" t="s">
        <v>5237</v>
      </c>
      <c r="FF7050" s="45" t="s">
        <v>55</v>
      </c>
      <c r="FJ7050" s="45" t="s">
        <v>55</v>
      </c>
    </row>
    <row r="7051" spans="153:166" x14ac:dyDescent="0.35">
      <c r="EW7051" t="s">
        <v>6182</v>
      </c>
      <c r="EX7051" s="44" t="s">
        <v>5238</v>
      </c>
      <c r="FF7051" s="45" t="s">
        <v>55</v>
      </c>
      <c r="FJ7051" s="45" t="s">
        <v>55</v>
      </c>
    </row>
    <row r="7052" spans="153:166" x14ac:dyDescent="0.35">
      <c r="EW7052" t="s">
        <v>6182</v>
      </c>
      <c r="EX7052" s="44" t="s">
        <v>5239</v>
      </c>
      <c r="FF7052" s="45" t="s">
        <v>55</v>
      </c>
      <c r="FJ7052" s="45" t="s">
        <v>55</v>
      </c>
    </row>
    <row r="7053" spans="153:166" x14ac:dyDescent="0.35">
      <c r="EW7053" t="s">
        <v>6182</v>
      </c>
      <c r="EX7053" s="44" t="s">
        <v>5240</v>
      </c>
      <c r="FF7053" s="45" t="s">
        <v>55</v>
      </c>
      <c r="FJ7053" s="45" t="s">
        <v>55</v>
      </c>
    </row>
    <row r="7054" spans="153:166" x14ac:dyDescent="0.35">
      <c r="EW7054" t="s">
        <v>6182</v>
      </c>
      <c r="EX7054" s="44" t="s">
        <v>5241</v>
      </c>
      <c r="FF7054" s="45" t="s">
        <v>55</v>
      </c>
      <c r="FJ7054" s="45" t="s">
        <v>55</v>
      </c>
    </row>
    <row r="7055" spans="153:166" x14ac:dyDescent="0.35">
      <c r="EW7055" t="s">
        <v>6182</v>
      </c>
      <c r="EX7055" s="44" t="s">
        <v>5242</v>
      </c>
      <c r="FF7055" s="45" t="s">
        <v>55</v>
      </c>
      <c r="FJ7055" s="45" t="s">
        <v>55</v>
      </c>
    </row>
    <row r="7056" spans="153:166" x14ac:dyDescent="0.35">
      <c r="EW7056" t="s">
        <v>6182</v>
      </c>
      <c r="EX7056" s="44" t="s">
        <v>5243</v>
      </c>
      <c r="FF7056" s="45" t="s">
        <v>55</v>
      </c>
      <c r="FJ7056" s="45" t="s">
        <v>55</v>
      </c>
    </row>
    <row r="7057" spans="153:166" x14ac:dyDescent="0.35">
      <c r="EW7057" t="s">
        <v>6182</v>
      </c>
      <c r="EX7057" s="44" t="s">
        <v>5244</v>
      </c>
      <c r="FF7057" s="45" t="s">
        <v>55</v>
      </c>
      <c r="FJ7057" s="45" t="s">
        <v>55</v>
      </c>
    </row>
    <row r="7058" spans="153:166" x14ac:dyDescent="0.35">
      <c r="EW7058" t="s">
        <v>6182</v>
      </c>
      <c r="EX7058" s="44" t="s">
        <v>5245</v>
      </c>
      <c r="FF7058" s="45" t="s">
        <v>55</v>
      </c>
      <c r="FJ7058" s="45" t="s">
        <v>55</v>
      </c>
    </row>
    <row r="7059" spans="153:166" x14ac:dyDescent="0.35">
      <c r="EW7059" t="s">
        <v>6182</v>
      </c>
      <c r="EX7059" s="44" t="s">
        <v>5246</v>
      </c>
      <c r="FF7059" s="45" t="s">
        <v>55</v>
      </c>
      <c r="FJ7059" s="45" t="s">
        <v>55</v>
      </c>
    </row>
    <row r="7060" spans="153:166" x14ac:dyDescent="0.35">
      <c r="EW7060" t="s">
        <v>6182</v>
      </c>
      <c r="EX7060" s="44" t="s">
        <v>5247</v>
      </c>
      <c r="FF7060" s="45" t="s">
        <v>55</v>
      </c>
      <c r="FJ7060" s="45" t="s">
        <v>55</v>
      </c>
    </row>
    <row r="7061" spans="153:166" x14ac:dyDescent="0.35">
      <c r="EW7061" t="s">
        <v>6182</v>
      </c>
      <c r="EX7061" s="44" t="s">
        <v>5248</v>
      </c>
      <c r="FF7061" s="45" t="s">
        <v>55</v>
      </c>
      <c r="FJ7061" s="45" t="s">
        <v>55</v>
      </c>
    </row>
    <row r="7062" spans="153:166" x14ac:dyDescent="0.35">
      <c r="EW7062" t="s">
        <v>6182</v>
      </c>
      <c r="EX7062" s="44" t="s">
        <v>5249</v>
      </c>
      <c r="FF7062" s="45" t="s">
        <v>55</v>
      </c>
      <c r="FJ7062" s="45" t="s">
        <v>55</v>
      </c>
    </row>
    <row r="7063" spans="153:166" x14ac:dyDescent="0.35">
      <c r="EW7063" t="s">
        <v>6182</v>
      </c>
      <c r="EX7063" s="44" t="s">
        <v>5250</v>
      </c>
      <c r="FF7063" s="45" t="s">
        <v>55</v>
      </c>
      <c r="FJ7063" s="45" t="s">
        <v>55</v>
      </c>
    </row>
    <row r="7064" spans="153:166" x14ac:dyDescent="0.35">
      <c r="EW7064" t="s">
        <v>6182</v>
      </c>
      <c r="EX7064" s="44" t="s">
        <v>5251</v>
      </c>
      <c r="FF7064" s="45" t="s">
        <v>55</v>
      </c>
      <c r="FJ7064" s="45" t="s">
        <v>55</v>
      </c>
    </row>
    <row r="7065" spans="153:166" x14ac:dyDescent="0.35">
      <c r="EW7065" t="s">
        <v>6182</v>
      </c>
      <c r="EX7065" s="44" t="s">
        <v>5252</v>
      </c>
      <c r="FF7065" s="45" t="s">
        <v>55</v>
      </c>
      <c r="FJ7065" s="45" t="s">
        <v>55</v>
      </c>
    </row>
    <row r="7066" spans="153:166" x14ac:dyDescent="0.35">
      <c r="EW7066" t="s">
        <v>6182</v>
      </c>
      <c r="EX7066" s="44" t="s">
        <v>5253</v>
      </c>
      <c r="FF7066" s="45" t="s">
        <v>55</v>
      </c>
      <c r="FJ7066" s="45" t="s">
        <v>55</v>
      </c>
    </row>
    <row r="7067" spans="153:166" x14ac:dyDescent="0.35">
      <c r="EW7067" t="s">
        <v>6182</v>
      </c>
      <c r="EX7067" s="44" t="s">
        <v>5254</v>
      </c>
      <c r="FF7067" s="45" t="s">
        <v>55</v>
      </c>
      <c r="FJ7067" s="45" t="s">
        <v>55</v>
      </c>
    </row>
    <row r="7068" spans="153:166" x14ac:dyDescent="0.35">
      <c r="EW7068" t="s">
        <v>6182</v>
      </c>
      <c r="EX7068" s="44" t="s">
        <v>5255</v>
      </c>
      <c r="FF7068" s="45" t="s">
        <v>55</v>
      </c>
      <c r="FJ7068" s="45" t="s">
        <v>55</v>
      </c>
    </row>
    <row r="7069" spans="153:166" x14ac:dyDescent="0.35">
      <c r="EW7069" t="s">
        <v>6182</v>
      </c>
      <c r="EX7069" s="44" t="s">
        <v>5256</v>
      </c>
      <c r="FF7069" s="45" t="s">
        <v>55</v>
      </c>
      <c r="FJ7069" s="45" t="s">
        <v>55</v>
      </c>
    </row>
    <row r="7070" spans="153:166" x14ac:dyDescent="0.35">
      <c r="EW7070" t="s">
        <v>6182</v>
      </c>
      <c r="EX7070" s="44" t="s">
        <v>5257</v>
      </c>
      <c r="FF7070" s="45" t="s">
        <v>55</v>
      </c>
      <c r="FJ7070" s="45" t="s">
        <v>55</v>
      </c>
    </row>
    <row r="7071" spans="153:166" x14ac:dyDescent="0.35">
      <c r="EW7071" t="s">
        <v>6182</v>
      </c>
      <c r="EX7071" s="44" t="s">
        <v>5258</v>
      </c>
      <c r="FF7071" s="45" t="s">
        <v>55</v>
      </c>
      <c r="FJ7071" s="45" t="s">
        <v>55</v>
      </c>
    </row>
    <row r="7072" spans="153:166" x14ac:dyDescent="0.35">
      <c r="EW7072" t="s">
        <v>6182</v>
      </c>
      <c r="EX7072" s="44" t="s">
        <v>5259</v>
      </c>
      <c r="FF7072" s="45" t="s">
        <v>55</v>
      </c>
      <c r="FJ7072" s="45" t="s">
        <v>55</v>
      </c>
    </row>
    <row r="7073" spans="153:166" x14ac:dyDescent="0.35">
      <c r="EW7073" t="s">
        <v>6182</v>
      </c>
      <c r="EX7073" s="44" t="s">
        <v>5260</v>
      </c>
      <c r="FF7073" s="45" t="s">
        <v>55</v>
      </c>
      <c r="FJ7073" s="45" t="s">
        <v>55</v>
      </c>
    </row>
    <row r="7074" spans="153:166" x14ac:dyDescent="0.35">
      <c r="EW7074" t="s">
        <v>6182</v>
      </c>
      <c r="EX7074" s="44" t="s">
        <v>5261</v>
      </c>
      <c r="FF7074" s="45" t="s">
        <v>55</v>
      </c>
      <c r="FJ7074" s="45" t="s">
        <v>55</v>
      </c>
    </row>
    <row r="7075" spans="153:166" x14ac:dyDescent="0.35">
      <c r="EW7075" t="s">
        <v>6182</v>
      </c>
      <c r="EX7075" s="44" t="s">
        <v>5262</v>
      </c>
      <c r="FF7075" s="45" t="s">
        <v>55</v>
      </c>
      <c r="FJ7075" s="45" t="s">
        <v>55</v>
      </c>
    </row>
    <row r="7076" spans="153:166" x14ac:dyDescent="0.35">
      <c r="EW7076" t="s">
        <v>6182</v>
      </c>
      <c r="EX7076" s="44" t="s">
        <v>5263</v>
      </c>
      <c r="FF7076" s="45" t="s">
        <v>55</v>
      </c>
      <c r="FJ7076" s="45" t="s">
        <v>55</v>
      </c>
    </row>
    <row r="7077" spans="153:166" x14ac:dyDescent="0.35">
      <c r="EW7077" t="s">
        <v>6182</v>
      </c>
      <c r="EX7077" s="44" t="s">
        <v>5264</v>
      </c>
      <c r="FF7077" s="45" t="s">
        <v>55</v>
      </c>
      <c r="FJ7077" s="45" t="s">
        <v>55</v>
      </c>
    </row>
    <row r="7078" spans="153:166" x14ac:dyDescent="0.35">
      <c r="EW7078" t="s">
        <v>6182</v>
      </c>
      <c r="EX7078" s="44" t="s">
        <v>5265</v>
      </c>
      <c r="FF7078" s="45" t="s">
        <v>55</v>
      </c>
      <c r="FJ7078" s="45" t="s">
        <v>55</v>
      </c>
    </row>
    <row r="7079" spans="153:166" x14ac:dyDescent="0.35">
      <c r="EW7079" t="s">
        <v>6182</v>
      </c>
      <c r="EX7079" s="44" t="s">
        <v>5266</v>
      </c>
      <c r="FF7079" s="45" t="s">
        <v>55</v>
      </c>
      <c r="FJ7079" s="45" t="s">
        <v>55</v>
      </c>
    </row>
    <row r="7080" spans="153:166" x14ac:dyDescent="0.35">
      <c r="EW7080" t="s">
        <v>6182</v>
      </c>
      <c r="EX7080" s="44" t="s">
        <v>5267</v>
      </c>
      <c r="FF7080" s="45" t="s">
        <v>55</v>
      </c>
      <c r="FJ7080" s="45" t="s">
        <v>55</v>
      </c>
    </row>
    <row r="7081" spans="153:166" x14ac:dyDescent="0.35">
      <c r="EW7081" t="s">
        <v>6182</v>
      </c>
      <c r="EX7081" s="44" t="s">
        <v>5268</v>
      </c>
      <c r="FF7081" s="45" t="s">
        <v>55</v>
      </c>
      <c r="FJ7081" s="45" t="s">
        <v>55</v>
      </c>
    </row>
    <row r="7082" spans="153:166" x14ac:dyDescent="0.35">
      <c r="EW7082" t="s">
        <v>6182</v>
      </c>
      <c r="EX7082" s="44" t="s">
        <v>5269</v>
      </c>
      <c r="FF7082" s="45" t="s">
        <v>55</v>
      </c>
      <c r="FJ7082" s="45" t="s">
        <v>55</v>
      </c>
    </row>
    <row r="7083" spans="153:166" x14ac:dyDescent="0.35">
      <c r="EW7083" t="s">
        <v>6182</v>
      </c>
      <c r="EX7083" s="44" t="s">
        <v>5270</v>
      </c>
      <c r="FF7083" s="45" t="s">
        <v>55</v>
      </c>
      <c r="FJ7083" s="45" t="s">
        <v>55</v>
      </c>
    </row>
    <row r="7084" spans="153:166" x14ac:dyDescent="0.35">
      <c r="EW7084" t="s">
        <v>6182</v>
      </c>
      <c r="EX7084" s="44" t="s">
        <v>5271</v>
      </c>
      <c r="FF7084" s="45" t="s">
        <v>55</v>
      </c>
      <c r="FJ7084" s="45" t="s">
        <v>55</v>
      </c>
    </row>
    <row r="7085" spans="153:166" x14ac:dyDescent="0.35">
      <c r="EW7085" t="s">
        <v>6182</v>
      </c>
      <c r="EX7085" s="44" t="s">
        <v>5272</v>
      </c>
      <c r="FF7085" s="45" t="s">
        <v>55</v>
      </c>
      <c r="FJ7085" s="45" t="s">
        <v>55</v>
      </c>
    </row>
    <row r="7086" spans="153:166" x14ac:dyDescent="0.35">
      <c r="EW7086" t="s">
        <v>6182</v>
      </c>
      <c r="EX7086" s="44" t="s">
        <v>5273</v>
      </c>
      <c r="FF7086" s="45" t="s">
        <v>55</v>
      </c>
      <c r="FJ7086" s="45" t="s">
        <v>55</v>
      </c>
    </row>
    <row r="7087" spans="153:166" x14ac:dyDescent="0.35">
      <c r="EW7087" t="s">
        <v>6182</v>
      </c>
      <c r="EX7087" s="44" t="s">
        <v>5274</v>
      </c>
      <c r="FF7087" s="45" t="s">
        <v>55</v>
      </c>
      <c r="FJ7087" s="45" t="s">
        <v>55</v>
      </c>
    </row>
    <row r="7088" spans="153:166" x14ac:dyDescent="0.35">
      <c r="EW7088" t="s">
        <v>6182</v>
      </c>
      <c r="EX7088" s="44" t="s">
        <v>5275</v>
      </c>
      <c r="FF7088" s="45" t="s">
        <v>55</v>
      </c>
      <c r="FJ7088" s="45" t="s">
        <v>55</v>
      </c>
    </row>
    <row r="7089" spans="153:166" x14ac:dyDescent="0.35">
      <c r="EW7089" t="s">
        <v>6182</v>
      </c>
      <c r="EX7089" s="44" t="s">
        <v>5276</v>
      </c>
      <c r="FF7089" s="45" t="s">
        <v>55</v>
      </c>
      <c r="FJ7089" s="45" t="s">
        <v>55</v>
      </c>
    </row>
    <row r="7090" spans="153:166" x14ac:dyDescent="0.35">
      <c r="EW7090" t="s">
        <v>6182</v>
      </c>
      <c r="EX7090" s="44" t="s">
        <v>5277</v>
      </c>
      <c r="FF7090" s="45" t="s">
        <v>55</v>
      </c>
      <c r="FJ7090" s="45" t="s">
        <v>55</v>
      </c>
    </row>
    <row r="7091" spans="153:166" x14ac:dyDescent="0.35">
      <c r="EW7091" t="s">
        <v>6182</v>
      </c>
      <c r="EX7091" s="44" t="s">
        <v>5278</v>
      </c>
      <c r="FF7091" s="45" t="s">
        <v>55</v>
      </c>
      <c r="FJ7091" s="45" t="s">
        <v>55</v>
      </c>
    </row>
    <row r="7092" spans="153:166" x14ac:dyDescent="0.35">
      <c r="EW7092" t="s">
        <v>6182</v>
      </c>
      <c r="EX7092" s="44" t="s">
        <v>5279</v>
      </c>
      <c r="FF7092" s="45" t="s">
        <v>55</v>
      </c>
      <c r="FJ7092" s="45" t="s">
        <v>55</v>
      </c>
    </row>
    <row r="7093" spans="153:166" x14ac:dyDescent="0.35">
      <c r="EW7093" t="s">
        <v>6182</v>
      </c>
      <c r="EX7093" s="44" t="s">
        <v>5280</v>
      </c>
      <c r="FF7093" s="45" t="s">
        <v>55</v>
      </c>
      <c r="FJ7093" s="45" t="s">
        <v>55</v>
      </c>
    </row>
    <row r="7094" spans="153:166" x14ac:dyDescent="0.35">
      <c r="EW7094" t="s">
        <v>6182</v>
      </c>
      <c r="EX7094" s="44" t="s">
        <v>5281</v>
      </c>
      <c r="FF7094" s="45" t="s">
        <v>55</v>
      </c>
      <c r="FJ7094" s="45" t="s">
        <v>55</v>
      </c>
    </row>
    <row r="7095" spans="153:166" x14ac:dyDescent="0.35">
      <c r="EW7095" t="s">
        <v>6182</v>
      </c>
      <c r="EX7095" s="44" t="s">
        <v>5282</v>
      </c>
      <c r="FF7095" s="45" t="s">
        <v>55</v>
      </c>
      <c r="FJ7095" s="45" t="s">
        <v>55</v>
      </c>
    </row>
    <row r="7096" spans="153:166" x14ac:dyDescent="0.35">
      <c r="EW7096" t="s">
        <v>6182</v>
      </c>
      <c r="EX7096" s="44" t="s">
        <v>5283</v>
      </c>
      <c r="FF7096" s="45" t="s">
        <v>55</v>
      </c>
      <c r="FJ7096" s="45" t="s">
        <v>55</v>
      </c>
    </row>
    <row r="7097" spans="153:166" x14ac:dyDescent="0.35">
      <c r="EW7097" t="s">
        <v>6182</v>
      </c>
      <c r="EX7097" s="44" t="s">
        <v>5284</v>
      </c>
      <c r="FF7097" s="45" t="s">
        <v>55</v>
      </c>
      <c r="FJ7097" s="45" t="s">
        <v>55</v>
      </c>
    </row>
    <row r="7098" spans="153:166" x14ac:dyDescent="0.35">
      <c r="EW7098" t="s">
        <v>6182</v>
      </c>
      <c r="EX7098" s="44" t="s">
        <v>5285</v>
      </c>
      <c r="FF7098" s="45" t="s">
        <v>55</v>
      </c>
      <c r="FJ7098" s="45" t="s">
        <v>55</v>
      </c>
    </row>
    <row r="7099" spans="153:166" x14ac:dyDescent="0.35">
      <c r="EW7099" t="s">
        <v>6182</v>
      </c>
      <c r="EX7099" s="44" t="s">
        <v>5286</v>
      </c>
      <c r="FF7099" s="45" t="s">
        <v>55</v>
      </c>
      <c r="FJ7099" s="45" t="s">
        <v>55</v>
      </c>
    </row>
    <row r="7100" spans="153:166" x14ac:dyDescent="0.35">
      <c r="EW7100" t="s">
        <v>6182</v>
      </c>
      <c r="EX7100" s="44" t="s">
        <v>5287</v>
      </c>
      <c r="FF7100" s="45" t="s">
        <v>55</v>
      </c>
      <c r="FJ7100" s="45" t="s">
        <v>55</v>
      </c>
    </row>
    <row r="7101" spans="153:166" x14ac:dyDescent="0.35">
      <c r="EW7101" t="s">
        <v>6182</v>
      </c>
      <c r="EX7101" s="44" t="s">
        <v>5288</v>
      </c>
      <c r="FF7101" s="45" t="s">
        <v>55</v>
      </c>
      <c r="FJ7101" s="45" t="s">
        <v>55</v>
      </c>
    </row>
    <row r="7102" spans="153:166" x14ac:dyDescent="0.35">
      <c r="EW7102" t="s">
        <v>6182</v>
      </c>
      <c r="EX7102" s="44" t="s">
        <v>5289</v>
      </c>
      <c r="FF7102" s="45" t="s">
        <v>55</v>
      </c>
      <c r="FJ7102" s="45" t="s">
        <v>55</v>
      </c>
    </row>
    <row r="7103" spans="153:166" x14ac:dyDescent="0.35">
      <c r="EW7103" t="s">
        <v>6182</v>
      </c>
      <c r="EX7103" s="44" t="s">
        <v>5290</v>
      </c>
      <c r="FF7103" s="45" t="s">
        <v>55</v>
      </c>
      <c r="FJ7103" s="45" t="s">
        <v>55</v>
      </c>
    </row>
    <row r="7104" spans="153:166" x14ac:dyDescent="0.35">
      <c r="EW7104" t="s">
        <v>6182</v>
      </c>
      <c r="EX7104" s="44" t="s">
        <v>5291</v>
      </c>
      <c r="FF7104" s="45" t="s">
        <v>55</v>
      </c>
      <c r="FJ7104" s="45" t="s">
        <v>55</v>
      </c>
    </row>
    <row r="7105" spans="153:166" x14ac:dyDescent="0.35">
      <c r="EW7105" t="s">
        <v>6182</v>
      </c>
      <c r="EX7105" s="44" t="s">
        <v>5292</v>
      </c>
      <c r="FF7105" s="45" t="s">
        <v>55</v>
      </c>
      <c r="FJ7105" s="45" t="s">
        <v>55</v>
      </c>
    </row>
    <row r="7106" spans="153:166" x14ac:dyDescent="0.35">
      <c r="EW7106" t="s">
        <v>6182</v>
      </c>
      <c r="EX7106" s="44" t="s">
        <v>5293</v>
      </c>
      <c r="FF7106" s="45" t="s">
        <v>55</v>
      </c>
      <c r="FJ7106" s="45" t="s">
        <v>55</v>
      </c>
    </row>
    <row r="7107" spans="153:166" x14ac:dyDescent="0.35">
      <c r="EW7107" t="s">
        <v>6182</v>
      </c>
      <c r="EX7107" s="44" t="s">
        <v>5294</v>
      </c>
      <c r="FF7107" s="45" t="s">
        <v>55</v>
      </c>
      <c r="FJ7107" s="45" t="s">
        <v>55</v>
      </c>
    </row>
    <row r="7108" spans="153:166" x14ac:dyDescent="0.35">
      <c r="EW7108" t="s">
        <v>6182</v>
      </c>
      <c r="EX7108" s="44" t="s">
        <v>5295</v>
      </c>
      <c r="FF7108" s="45" t="s">
        <v>55</v>
      </c>
      <c r="FJ7108" s="45" t="s">
        <v>55</v>
      </c>
    </row>
    <row r="7109" spans="153:166" x14ac:dyDescent="0.35">
      <c r="EW7109" t="s">
        <v>6182</v>
      </c>
      <c r="EX7109" s="44" t="s">
        <v>5296</v>
      </c>
      <c r="FF7109" s="45" t="s">
        <v>55</v>
      </c>
      <c r="FJ7109" s="45" t="s">
        <v>55</v>
      </c>
    </row>
    <row r="7110" spans="153:166" x14ac:dyDescent="0.35">
      <c r="EW7110" t="s">
        <v>6182</v>
      </c>
      <c r="EX7110" s="44" t="s">
        <v>5297</v>
      </c>
      <c r="FF7110" s="45" t="s">
        <v>55</v>
      </c>
      <c r="FJ7110" s="45" t="s">
        <v>55</v>
      </c>
    </row>
    <row r="7111" spans="153:166" x14ac:dyDescent="0.35">
      <c r="EW7111" t="s">
        <v>6182</v>
      </c>
      <c r="EX7111" s="44" t="s">
        <v>5298</v>
      </c>
      <c r="FF7111" s="45" t="s">
        <v>55</v>
      </c>
      <c r="FJ7111" s="45" t="s">
        <v>55</v>
      </c>
    </row>
    <row r="7112" spans="153:166" x14ac:dyDescent="0.35">
      <c r="EW7112" t="s">
        <v>6182</v>
      </c>
      <c r="EX7112" s="44" t="s">
        <v>5299</v>
      </c>
      <c r="FF7112" s="45" t="s">
        <v>55</v>
      </c>
      <c r="FJ7112" s="45" t="s">
        <v>55</v>
      </c>
    </row>
    <row r="7113" spans="153:166" x14ac:dyDescent="0.35">
      <c r="EW7113" t="s">
        <v>6182</v>
      </c>
      <c r="EX7113" s="44" t="s">
        <v>5300</v>
      </c>
      <c r="FF7113" s="45" t="s">
        <v>55</v>
      </c>
      <c r="FJ7113" s="45" t="s">
        <v>55</v>
      </c>
    </row>
    <row r="7114" spans="153:166" x14ac:dyDescent="0.35">
      <c r="EW7114" t="s">
        <v>6182</v>
      </c>
      <c r="EX7114" s="44" t="s">
        <v>5301</v>
      </c>
      <c r="FF7114" s="45" t="s">
        <v>55</v>
      </c>
      <c r="FJ7114" s="45" t="s">
        <v>55</v>
      </c>
    </row>
    <row r="7115" spans="153:166" x14ac:dyDescent="0.35">
      <c r="EW7115" t="s">
        <v>6182</v>
      </c>
      <c r="EX7115" s="44" t="s">
        <v>5302</v>
      </c>
      <c r="FF7115" s="45" t="s">
        <v>55</v>
      </c>
      <c r="FJ7115" s="45" t="s">
        <v>55</v>
      </c>
    </row>
    <row r="7116" spans="153:166" x14ac:dyDescent="0.35">
      <c r="EW7116" t="s">
        <v>6182</v>
      </c>
      <c r="EX7116" s="44" t="s">
        <v>5303</v>
      </c>
      <c r="FF7116" s="45" t="s">
        <v>55</v>
      </c>
      <c r="FJ7116" s="45" t="s">
        <v>55</v>
      </c>
    </row>
    <row r="7117" spans="153:166" x14ac:dyDescent="0.35">
      <c r="EW7117" t="s">
        <v>6182</v>
      </c>
      <c r="EX7117" s="44" t="s">
        <v>5304</v>
      </c>
      <c r="FF7117" s="45" t="s">
        <v>55</v>
      </c>
      <c r="FJ7117" s="45" t="s">
        <v>55</v>
      </c>
    </row>
    <row r="7118" spans="153:166" x14ac:dyDescent="0.35">
      <c r="EW7118" t="s">
        <v>6182</v>
      </c>
      <c r="EX7118" s="44" t="s">
        <v>5305</v>
      </c>
      <c r="FF7118" s="45" t="s">
        <v>55</v>
      </c>
      <c r="FJ7118" s="45" t="s">
        <v>55</v>
      </c>
    </row>
    <row r="7119" spans="153:166" x14ac:dyDescent="0.35">
      <c r="EW7119" t="s">
        <v>6182</v>
      </c>
      <c r="EX7119" s="44" t="s">
        <v>5306</v>
      </c>
      <c r="FF7119" s="45" t="s">
        <v>55</v>
      </c>
      <c r="FJ7119" s="45" t="s">
        <v>55</v>
      </c>
    </row>
    <row r="7120" spans="153:166" x14ac:dyDescent="0.35">
      <c r="EW7120" t="s">
        <v>6182</v>
      </c>
      <c r="EX7120" s="44" t="s">
        <v>5307</v>
      </c>
      <c r="FF7120" s="45" t="s">
        <v>55</v>
      </c>
      <c r="FJ7120" s="45" t="s">
        <v>55</v>
      </c>
    </row>
    <row r="7121" spans="153:166" x14ac:dyDescent="0.35">
      <c r="EW7121" t="s">
        <v>6182</v>
      </c>
      <c r="EX7121" s="44" t="s">
        <v>5308</v>
      </c>
      <c r="FF7121" s="45" t="s">
        <v>55</v>
      </c>
      <c r="FJ7121" s="45" t="s">
        <v>55</v>
      </c>
    </row>
    <row r="7122" spans="153:166" x14ac:dyDescent="0.35">
      <c r="EW7122" t="s">
        <v>6182</v>
      </c>
      <c r="EX7122" s="44" t="s">
        <v>5308</v>
      </c>
      <c r="FF7122" s="45" t="s">
        <v>55</v>
      </c>
      <c r="FJ7122" s="45" t="s">
        <v>55</v>
      </c>
    </row>
    <row r="7123" spans="153:166" x14ac:dyDescent="0.35">
      <c r="EW7123" t="s">
        <v>6182</v>
      </c>
      <c r="EX7123" s="44" t="s">
        <v>5309</v>
      </c>
      <c r="FF7123" s="45" t="s">
        <v>55</v>
      </c>
      <c r="FJ7123" s="45" t="s">
        <v>55</v>
      </c>
    </row>
    <row r="7124" spans="153:166" x14ac:dyDescent="0.35">
      <c r="EW7124" t="s">
        <v>6182</v>
      </c>
      <c r="EX7124" s="44" t="s">
        <v>5310</v>
      </c>
      <c r="FF7124" s="45" t="s">
        <v>55</v>
      </c>
      <c r="FJ7124" s="45" t="s">
        <v>55</v>
      </c>
    </row>
    <row r="7125" spans="153:166" x14ac:dyDescent="0.35">
      <c r="EW7125" t="s">
        <v>6182</v>
      </c>
      <c r="EX7125" s="44" t="s">
        <v>5311</v>
      </c>
      <c r="FF7125" s="45" t="s">
        <v>55</v>
      </c>
      <c r="FJ7125" s="45" t="s">
        <v>55</v>
      </c>
    </row>
    <row r="7126" spans="153:166" x14ac:dyDescent="0.35">
      <c r="EW7126" t="s">
        <v>6182</v>
      </c>
      <c r="EX7126" s="44" t="s">
        <v>5312</v>
      </c>
      <c r="FF7126" s="45" t="s">
        <v>55</v>
      </c>
      <c r="FJ7126" s="45" t="s">
        <v>55</v>
      </c>
    </row>
    <row r="7127" spans="153:166" x14ac:dyDescent="0.35">
      <c r="EW7127" t="s">
        <v>6182</v>
      </c>
      <c r="EX7127" s="44" t="s">
        <v>5313</v>
      </c>
      <c r="FF7127" s="45" t="s">
        <v>55</v>
      </c>
      <c r="FJ7127" s="45" t="s">
        <v>55</v>
      </c>
    </row>
    <row r="7128" spans="153:166" x14ac:dyDescent="0.35">
      <c r="EW7128" t="s">
        <v>6182</v>
      </c>
      <c r="EX7128" s="44" t="s">
        <v>5314</v>
      </c>
      <c r="FF7128" s="45" t="s">
        <v>55</v>
      </c>
      <c r="FJ7128" s="45" t="s">
        <v>55</v>
      </c>
    </row>
    <row r="7129" spans="153:166" x14ac:dyDescent="0.35">
      <c r="EW7129" t="s">
        <v>6182</v>
      </c>
      <c r="EX7129" s="44" t="s">
        <v>5315</v>
      </c>
      <c r="FF7129" s="45" t="s">
        <v>55</v>
      </c>
      <c r="FJ7129" s="45" t="s">
        <v>55</v>
      </c>
    </row>
    <row r="7130" spans="153:166" x14ac:dyDescent="0.35">
      <c r="EW7130" t="s">
        <v>6182</v>
      </c>
      <c r="EX7130" s="44" t="s">
        <v>5316</v>
      </c>
      <c r="FF7130" s="45" t="s">
        <v>55</v>
      </c>
      <c r="FJ7130" s="45" t="s">
        <v>55</v>
      </c>
    </row>
    <row r="7131" spans="153:166" x14ac:dyDescent="0.35">
      <c r="EW7131" t="s">
        <v>6182</v>
      </c>
      <c r="EX7131" s="44" t="s">
        <v>5317</v>
      </c>
      <c r="FF7131" s="45" t="s">
        <v>55</v>
      </c>
      <c r="FJ7131" s="45" t="s">
        <v>55</v>
      </c>
    </row>
    <row r="7132" spans="153:166" x14ac:dyDescent="0.35">
      <c r="EW7132" t="s">
        <v>6182</v>
      </c>
      <c r="EX7132" s="44" t="s">
        <v>5318</v>
      </c>
      <c r="FF7132" s="45" t="s">
        <v>59</v>
      </c>
      <c r="FJ7132" s="45" t="s">
        <v>59</v>
      </c>
    </row>
    <row r="7133" spans="153:166" x14ac:dyDescent="0.35">
      <c r="EW7133" t="s">
        <v>6182</v>
      </c>
      <c r="EX7133" s="44" t="s">
        <v>5319</v>
      </c>
      <c r="FF7133" s="45" t="s">
        <v>59</v>
      </c>
      <c r="FJ7133" s="45" t="s">
        <v>59</v>
      </c>
    </row>
    <row r="7134" spans="153:166" x14ac:dyDescent="0.35">
      <c r="EW7134" t="s">
        <v>6182</v>
      </c>
      <c r="EX7134" s="44" t="s">
        <v>5320</v>
      </c>
      <c r="FF7134" s="45" t="s">
        <v>59</v>
      </c>
      <c r="FJ7134" s="45" t="s">
        <v>59</v>
      </c>
    </row>
    <row r="7135" spans="153:166" x14ac:dyDescent="0.35">
      <c r="EW7135" t="s">
        <v>6182</v>
      </c>
      <c r="EX7135" s="44" t="s">
        <v>5321</v>
      </c>
      <c r="FF7135" s="45" t="s">
        <v>59</v>
      </c>
      <c r="FJ7135" s="45" t="s">
        <v>59</v>
      </c>
    </row>
    <row r="7136" spans="153:166" x14ac:dyDescent="0.35">
      <c r="EW7136" t="s">
        <v>6182</v>
      </c>
      <c r="EX7136" s="44" t="s">
        <v>5322</v>
      </c>
      <c r="FF7136" s="45" t="s">
        <v>59</v>
      </c>
      <c r="FJ7136" s="45" t="s">
        <v>59</v>
      </c>
    </row>
    <row r="7137" spans="153:166" x14ac:dyDescent="0.35">
      <c r="EW7137" t="s">
        <v>6182</v>
      </c>
      <c r="EX7137" s="44" t="s">
        <v>5323</v>
      </c>
      <c r="FF7137" s="45" t="s">
        <v>59</v>
      </c>
      <c r="FJ7137" s="45" t="s">
        <v>59</v>
      </c>
    </row>
    <row r="7138" spans="153:166" x14ac:dyDescent="0.35">
      <c r="EW7138" t="s">
        <v>6182</v>
      </c>
      <c r="EX7138" s="44" t="s">
        <v>5324</v>
      </c>
      <c r="FF7138" s="45" t="s">
        <v>59</v>
      </c>
      <c r="FJ7138" s="45" t="s">
        <v>59</v>
      </c>
    </row>
    <row r="7139" spans="153:166" x14ac:dyDescent="0.35">
      <c r="EW7139" t="s">
        <v>6182</v>
      </c>
      <c r="EX7139" s="44" t="s">
        <v>5325</v>
      </c>
      <c r="FF7139" s="45" t="s">
        <v>59</v>
      </c>
      <c r="FJ7139" s="45" t="s">
        <v>59</v>
      </c>
    </row>
    <row r="7140" spans="153:166" x14ac:dyDescent="0.35">
      <c r="EW7140" t="s">
        <v>6182</v>
      </c>
      <c r="EX7140" s="44" t="s">
        <v>5326</v>
      </c>
      <c r="FF7140" s="45" t="s">
        <v>59</v>
      </c>
      <c r="FJ7140" s="45" t="s">
        <v>59</v>
      </c>
    </row>
    <row r="7141" spans="153:166" x14ac:dyDescent="0.35">
      <c r="EW7141" t="s">
        <v>6182</v>
      </c>
      <c r="EX7141" s="44" t="s">
        <v>5327</v>
      </c>
      <c r="FF7141" s="45" t="s">
        <v>59</v>
      </c>
      <c r="FJ7141" s="45" t="s">
        <v>59</v>
      </c>
    </row>
    <row r="7142" spans="153:166" x14ac:dyDescent="0.35">
      <c r="EW7142" t="s">
        <v>6182</v>
      </c>
      <c r="EX7142" s="44" t="s">
        <v>5328</v>
      </c>
      <c r="FF7142" s="45" t="s">
        <v>59</v>
      </c>
      <c r="FJ7142" s="45" t="s">
        <v>59</v>
      </c>
    </row>
    <row r="7143" spans="153:166" x14ac:dyDescent="0.35">
      <c r="EW7143" t="s">
        <v>6182</v>
      </c>
      <c r="EX7143" s="44" t="s">
        <v>5329</v>
      </c>
      <c r="FF7143" s="45" t="s">
        <v>59</v>
      </c>
      <c r="FJ7143" s="45" t="s">
        <v>59</v>
      </c>
    </row>
    <row r="7144" spans="153:166" x14ac:dyDescent="0.35">
      <c r="EW7144" t="s">
        <v>6182</v>
      </c>
      <c r="EX7144" s="44" t="s">
        <v>5330</v>
      </c>
      <c r="FF7144" s="45" t="s">
        <v>59</v>
      </c>
      <c r="FJ7144" s="45" t="s">
        <v>59</v>
      </c>
    </row>
    <row r="7145" spans="153:166" x14ac:dyDescent="0.35">
      <c r="EW7145" t="s">
        <v>6182</v>
      </c>
      <c r="EX7145" s="44" t="s">
        <v>5331</v>
      </c>
      <c r="FF7145" s="45" t="s">
        <v>59</v>
      </c>
      <c r="FJ7145" s="45" t="s">
        <v>59</v>
      </c>
    </row>
    <row r="7146" spans="153:166" x14ac:dyDescent="0.35">
      <c r="EW7146" t="s">
        <v>6182</v>
      </c>
      <c r="EX7146" s="44" t="s">
        <v>5332</v>
      </c>
      <c r="FF7146" s="45" t="s">
        <v>59</v>
      </c>
      <c r="FJ7146" s="45" t="s">
        <v>59</v>
      </c>
    </row>
    <row r="7147" spans="153:166" x14ac:dyDescent="0.35">
      <c r="EW7147" t="s">
        <v>6182</v>
      </c>
      <c r="EX7147" s="44" t="s">
        <v>5333</v>
      </c>
      <c r="FF7147" s="45" t="s">
        <v>59</v>
      </c>
      <c r="FJ7147" s="45" t="s">
        <v>59</v>
      </c>
    </row>
    <row r="7148" spans="153:166" x14ac:dyDescent="0.35">
      <c r="EW7148" t="s">
        <v>6182</v>
      </c>
      <c r="EX7148" s="44" t="s">
        <v>5334</v>
      </c>
      <c r="FF7148" s="45" t="s">
        <v>59</v>
      </c>
      <c r="FJ7148" s="45" t="s">
        <v>59</v>
      </c>
    </row>
    <row r="7149" spans="153:166" x14ac:dyDescent="0.35">
      <c r="EW7149" t="s">
        <v>6182</v>
      </c>
      <c r="EX7149" s="44" t="s">
        <v>5335</v>
      </c>
      <c r="FF7149" s="45" t="s">
        <v>59</v>
      </c>
      <c r="FJ7149" s="45" t="s">
        <v>59</v>
      </c>
    </row>
    <row r="7150" spans="153:166" x14ac:dyDescent="0.35">
      <c r="EW7150" t="s">
        <v>6182</v>
      </c>
      <c r="EX7150" s="44" t="s">
        <v>5336</v>
      </c>
      <c r="FF7150" s="45" t="s">
        <v>59</v>
      </c>
      <c r="FJ7150" s="45" t="s">
        <v>59</v>
      </c>
    </row>
    <row r="7151" spans="153:166" x14ac:dyDescent="0.35">
      <c r="EW7151" t="s">
        <v>6182</v>
      </c>
      <c r="EX7151" s="44" t="s">
        <v>5337</v>
      </c>
      <c r="FF7151" s="45" t="s">
        <v>59</v>
      </c>
      <c r="FJ7151" s="45" t="s">
        <v>59</v>
      </c>
    </row>
    <row r="7152" spans="153:166" x14ac:dyDescent="0.35">
      <c r="EW7152" t="s">
        <v>6182</v>
      </c>
      <c r="EX7152" s="44" t="s">
        <v>5338</v>
      </c>
      <c r="FF7152" s="45" t="s">
        <v>59</v>
      </c>
      <c r="FJ7152" s="45" t="s">
        <v>59</v>
      </c>
    </row>
    <row r="7153" spans="153:166" x14ac:dyDescent="0.35">
      <c r="EW7153" t="s">
        <v>6182</v>
      </c>
      <c r="EX7153" s="44" t="s">
        <v>5339</v>
      </c>
      <c r="FF7153" s="45" t="s">
        <v>59</v>
      </c>
      <c r="FJ7153" s="45" t="s">
        <v>59</v>
      </c>
    </row>
    <row r="7154" spans="153:166" x14ac:dyDescent="0.35">
      <c r="EW7154" t="s">
        <v>6182</v>
      </c>
      <c r="EX7154" s="44" t="s">
        <v>5340</v>
      </c>
      <c r="FF7154" s="45" t="s">
        <v>59</v>
      </c>
      <c r="FJ7154" s="45" t="s">
        <v>59</v>
      </c>
    </row>
    <row r="7155" spans="153:166" x14ac:dyDescent="0.35">
      <c r="EW7155" t="s">
        <v>6182</v>
      </c>
      <c r="EX7155" s="44" t="s">
        <v>5341</v>
      </c>
      <c r="FF7155" s="45" t="s">
        <v>59</v>
      </c>
      <c r="FJ7155" s="45" t="s">
        <v>59</v>
      </c>
    </row>
    <row r="7156" spans="153:166" x14ac:dyDescent="0.35">
      <c r="EW7156" t="s">
        <v>6182</v>
      </c>
      <c r="EX7156" s="44" t="s">
        <v>5342</v>
      </c>
      <c r="FF7156" s="45" t="s">
        <v>59</v>
      </c>
      <c r="FJ7156" s="45" t="s">
        <v>59</v>
      </c>
    </row>
    <row r="7157" spans="153:166" x14ac:dyDescent="0.35">
      <c r="EW7157" t="s">
        <v>6182</v>
      </c>
      <c r="EX7157" s="44" t="s">
        <v>5343</v>
      </c>
      <c r="FF7157" s="45" t="s">
        <v>59</v>
      </c>
      <c r="FJ7157" s="45" t="s">
        <v>59</v>
      </c>
    </row>
    <row r="7158" spans="153:166" x14ac:dyDescent="0.35">
      <c r="EW7158" t="s">
        <v>6182</v>
      </c>
      <c r="EX7158" s="44" t="s">
        <v>5344</v>
      </c>
      <c r="FF7158" s="45" t="s">
        <v>59</v>
      </c>
      <c r="FJ7158" s="45" t="s">
        <v>59</v>
      </c>
    </row>
    <row r="7159" spans="153:166" x14ac:dyDescent="0.35">
      <c r="EW7159" t="s">
        <v>6182</v>
      </c>
      <c r="EX7159" s="44" t="s">
        <v>5345</v>
      </c>
      <c r="FF7159" s="45" t="s">
        <v>59</v>
      </c>
      <c r="FJ7159" s="45" t="s">
        <v>59</v>
      </c>
    </row>
    <row r="7160" spans="153:166" x14ac:dyDescent="0.35">
      <c r="EW7160" t="s">
        <v>6182</v>
      </c>
      <c r="EX7160" s="44" t="s">
        <v>5346</v>
      </c>
      <c r="FF7160" s="45" t="s">
        <v>59</v>
      </c>
      <c r="FJ7160" s="45" t="s">
        <v>59</v>
      </c>
    </row>
    <row r="7161" spans="153:166" x14ac:dyDescent="0.35">
      <c r="EW7161" t="s">
        <v>6182</v>
      </c>
      <c r="EX7161" s="44" t="s">
        <v>5347</v>
      </c>
      <c r="FF7161" s="45" t="s">
        <v>59</v>
      </c>
      <c r="FJ7161" s="45" t="s">
        <v>59</v>
      </c>
    </row>
    <row r="7162" spans="153:166" x14ac:dyDescent="0.35">
      <c r="EW7162" t="s">
        <v>6182</v>
      </c>
      <c r="EX7162" s="44" t="s">
        <v>5348</v>
      </c>
      <c r="FF7162" s="45" t="s">
        <v>59</v>
      </c>
      <c r="FJ7162" s="45" t="s">
        <v>59</v>
      </c>
    </row>
    <row r="7163" spans="153:166" x14ac:dyDescent="0.35">
      <c r="EW7163" t="s">
        <v>6182</v>
      </c>
      <c r="EX7163" s="44" t="s">
        <v>5349</v>
      </c>
      <c r="FF7163" s="45" t="s">
        <v>59</v>
      </c>
      <c r="FJ7163" s="45" t="s">
        <v>59</v>
      </c>
    </row>
    <row r="7164" spans="153:166" x14ac:dyDescent="0.35">
      <c r="EW7164" t="s">
        <v>6182</v>
      </c>
      <c r="EX7164" s="44" t="s">
        <v>5350</v>
      </c>
      <c r="FF7164" s="45" t="s">
        <v>59</v>
      </c>
      <c r="FJ7164" s="45" t="s">
        <v>59</v>
      </c>
    </row>
    <row r="7165" spans="153:166" x14ac:dyDescent="0.35">
      <c r="EW7165" t="s">
        <v>6182</v>
      </c>
      <c r="EX7165" s="44" t="s">
        <v>5351</v>
      </c>
      <c r="FF7165" s="45" t="s">
        <v>59</v>
      </c>
      <c r="FJ7165" s="45" t="s">
        <v>59</v>
      </c>
    </row>
    <row r="7166" spans="153:166" x14ac:dyDescent="0.35">
      <c r="EW7166" t="s">
        <v>6182</v>
      </c>
      <c r="EX7166" s="44" t="s">
        <v>5352</v>
      </c>
      <c r="FF7166" s="45" t="s">
        <v>59</v>
      </c>
      <c r="FJ7166" s="45" t="s">
        <v>59</v>
      </c>
    </row>
    <row r="7167" spans="153:166" x14ac:dyDescent="0.35">
      <c r="EW7167" t="s">
        <v>6182</v>
      </c>
      <c r="EX7167" s="44" t="s">
        <v>5353</v>
      </c>
      <c r="FF7167" s="45" t="s">
        <v>59</v>
      </c>
      <c r="FJ7167" s="45" t="s">
        <v>59</v>
      </c>
    </row>
    <row r="7168" spans="153:166" x14ac:dyDescent="0.35">
      <c r="EW7168" t="s">
        <v>6182</v>
      </c>
      <c r="EX7168" s="44" t="s">
        <v>5354</v>
      </c>
      <c r="FF7168" s="45" t="s">
        <v>59</v>
      </c>
      <c r="FJ7168" s="45" t="s">
        <v>59</v>
      </c>
    </row>
    <row r="7169" spans="153:166" x14ac:dyDescent="0.35">
      <c r="EW7169" t="s">
        <v>6182</v>
      </c>
      <c r="EX7169" s="44" t="s">
        <v>5355</v>
      </c>
      <c r="FF7169" s="45" t="s">
        <v>59</v>
      </c>
      <c r="FJ7169" s="45" t="s">
        <v>59</v>
      </c>
    </row>
    <row r="7170" spans="153:166" x14ac:dyDescent="0.35">
      <c r="EW7170" t="s">
        <v>6182</v>
      </c>
      <c r="EX7170" s="44" t="s">
        <v>5356</v>
      </c>
      <c r="FF7170" s="45" t="s">
        <v>59</v>
      </c>
      <c r="FJ7170" s="45" t="s">
        <v>59</v>
      </c>
    </row>
    <row r="7171" spans="153:166" x14ac:dyDescent="0.35">
      <c r="EW7171" t="s">
        <v>6182</v>
      </c>
      <c r="EX7171" s="44" t="s">
        <v>5357</v>
      </c>
      <c r="FF7171" s="45" t="s">
        <v>59</v>
      </c>
      <c r="FJ7171" s="45" t="s">
        <v>59</v>
      </c>
    </row>
    <row r="7172" spans="153:166" x14ac:dyDescent="0.35">
      <c r="EW7172" t="s">
        <v>6182</v>
      </c>
      <c r="EX7172" s="44" t="s">
        <v>5358</v>
      </c>
      <c r="FF7172" s="45" t="s">
        <v>59</v>
      </c>
      <c r="FJ7172" s="45" t="s">
        <v>59</v>
      </c>
    </row>
    <row r="7173" spans="153:166" x14ac:dyDescent="0.35">
      <c r="EW7173" t="s">
        <v>6182</v>
      </c>
      <c r="EX7173" s="44" t="s">
        <v>5359</v>
      </c>
      <c r="FF7173" s="45" t="s">
        <v>59</v>
      </c>
      <c r="FJ7173" s="45" t="s">
        <v>59</v>
      </c>
    </row>
    <row r="7174" spans="153:166" x14ac:dyDescent="0.35">
      <c r="EW7174" t="s">
        <v>6182</v>
      </c>
      <c r="EX7174" s="44" t="s">
        <v>5360</v>
      </c>
      <c r="FF7174" s="45" t="s">
        <v>59</v>
      </c>
      <c r="FJ7174" s="45" t="s">
        <v>59</v>
      </c>
    </row>
    <row r="7175" spans="153:166" x14ac:dyDescent="0.35">
      <c r="EW7175" t="s">
        <v>6182</v>
      </c>
      <c r="EX7175" s="44" t="s">
        <v>5361</v>
      </c>
      <c r="FF7175" s="45" t="s">
        <v>59</v>
      </c>
      <c r="FJ7175" s="45" t="s">
        <v>59</v>
      </c>
    </row>
    <row r="7176" spans="153:166" x14ac:dyDescent="0.35">
      <c r="EW7176" t="s">
        <v>6182</v>
      </c>
      <c r="EX7176" s="44" t="s">
        <v>5362</v>
      </c>
      <c r="FF7176" s="45" t="s">
        <v>59</v>
      </c>
      <c r="FJ7176" s="45" t="s">
        <v>59</v>
      </c>
    </row>
    <row r="7177" spans="153:166" x14ac:dyDescent="0.35">
      <c r="EW7177" t="s">
        <v>6182</v>
      </c>
      <c r="EX7177" s="44" t="s">
        <v>5363</v>
      </c>
      <c r="FF7177" s="45" t="s">
        <v>59</v>
      </c>
      <c r="FJ7177" s="45" t="s">
        <v>59</v>
      </c>
    </row>
    <row r="7178" spans="153:166" x14ac:dyDescent="0.35">
      <c r="EW7178" t="s">
        <v>6182</v>
      </c>
      <c r="EX7178" s="44" t="s">
        <v>5364</v>
      </c>
      <c r="FF7178" s="45" t="s">
        <v>59</v>
      </c>
      <c r="FJ7178" s="45" t="s">
        <v>59</v>
      </c>
    </row>
    <row r="7179" spans="153:166" x14ac:dyDescent="0.35">
      <c r="EW7179" t="s">
        <v>6182</v>
      </c>
      <c r="EX7179" s="44" t="s">
        <v>5365</v>
      </c>
      <c r="FF7179" s="45" t="s">
        <v>474</v>
      </c>
      <c r="FJ7179" s="45" t="s">
        <v>474</v>
      </c>
    </row>
    <row r="7180" spans="153:166" x14ac:dyDescent="0.35">
      <c r="EW7180" t="s">
        <v>6182</v>
      </c>
      <c r="EX7180" s="44" t="s">
        <v>5366</v>
      </c>
      <c r="FF7180" s="45" t="s">
        <v>474</v>
      </c>
      <c r="FJ7180" s="45" t="s">
        <v>474</v>
      </c>
    </row>
    <row r="7181" spans="153:166" x14ac:dyDescent="0.35">
      <c r="EW7181" t="s">
        <v>6182</v>
      </c>
      <c r="EX7181" s="44" t="s">
        <v>5367</v>
      </c>
      <c r="FF7181" s="45" t="s">
        <v>474</v>
      </c>
      <c r="FJ7181" s="45" t="s">
        <v>474</v>
      </c>
    </row>
    <row r="7182" spans="153:166" x14ac:dyDescent="0.35">
      <c r="EW7182" t="s">
        <v>6182</v>
      </c>
      <c r="EX7182" s="44" t="s">
        <v>5368</v>
      </c>
      <c r="FF7182" s="45" t="s">
        <v>474</v>
      </c>
      <c r="FJ7182" s="45" t="s">
        <v>474</v>
      </c>
    </row>
    <row r="7183" spans="153:166" x14ac:dyDescent="0.35">
      <c r="EW7183" t="s">
        <v>6182</v>
      </c>
      <c r="EX7183" s="44" t="s">
        <v>5369</v>
      </c>
      <c r="FF7183" s="45" t="s">
        <v>474</v>
      </c>
      <c r="FJ7183" s="45" t="s">
        <v>474</v>
      </c>
    </row>
    <row r="7184" spans="153:166" x14ac:dyDescent="0.35">
      <c r="EW7184" t="s">
        <v>6182</v>
      </c>
      <c r="EX7184" s="44" t="s">
        <v>5370</v>
      </c>
      <c r="FF7184" s="45" t="s">
        <v>474</v>
      </c>
      <c r="FJ7184" s="45" t="s">
        <v>474</v>
      </c>
    </row>
    <row r="7185" spans="153:166" x14ac:dyDescent="0.35">
      <c r="EW7185" t="s">
        <v>6182</v>
      </c>
      <c r="EX7185" s="44" t="s">
        <v>5371</v>
      </c>
      <c r="FF7185" s="45" t="s">
        <v>474</v>
      </c>
      <c r="FJ7185" s="45" t="s">
        <v>474</v>
      </c>
    </row>
    <row r="7186" spans="153:166" x14ac:dyDescent="0.35">
      <c r="EW7186" t="s">
        <v>6182</v>
      </c>
      <c r="EX7186" s="44" t="s">
        <v>5372</v>
      </c>
      <c r="FF7186" s="45" t="s">
        <v>474</v>
      </c>
      <c r="FJ7186" s="45" t="s">
        <v>474</v>
      </c>
    </row>
    <row r="7187" spans="153:166" x14ac:dyDescent="0.35">
      <c r="EW7187" t="s">
        <v>6182</v>
      </c>
      <c r="EX7187" s="44" t="s">
        <v>5373</v>
      </c>
      <c r="FF7187" s="45" t="s">
        <v>474</v>
      </c>
      <c r="FJ7187" s="45" t="s">
        <v>474</v>
      </c>
    </row>
    <row r="7188" spans="153:166" x14ac:dyDescent="0.35">
      <c r="EW7188" t="s">
        <v>6182</v>
      </c>
      <c r="EX7188" s="44" t="s">
        <v>5374</v>
      </c>
      <c r="FF7188" s="45" t="s">
        <v>474</v>
      </c>
      <c r="FJ7188" s="45" t="s">
        <v>474</v>
      </c>
    </row>
    <row r="7189" spans="153:166" x14ac:dyDescent="0.35">
      <c r="EW7189" t="s">
        <v>6182</v>
      </c>
      <c r="EX7189" s="44" t="s">
        <v>5375</v>
      </c>
      <c r="FF7189" s="45" t="s">
        <v>474</v>
      </c>
      <c r="FJ7189" s="45" t="s">
        <v>474</v>
      </c>
    </row>
    <row r="7190" spans="153:166" x14ac:dyDescent="0.35">
      <c r="EW7190" t="s">
        <v>6182</v>
      </c>
      <c r="EX7190" s="44" t="s">
        <v>5376</v>
      </c>
      <c r="FF7190" s="45" t="s">
        <v>474</v>
      </c>
      <c r="FJ7190" s="45" t="s">
        <v>474</v>
      </c>
    </row>
    <row r="7191" spans="153:166" x14ac:dyDescent="0.35">
      <c r="EW7191" t="s">
        <v>6182</v>
      </c>
      <c r="EX7191" s="44" t="s">
        <v>5377</v>
      </c>
      <c r="FF7191" s="45" t="s">
        <v>474</v>
      </c>
      <c r="FJ7191" s="45" t="s">
        <v>474</v>
      </c>
    </row>
    <row r="7192" spans="153:166" x14ac:dyDescent="0.35">
      <c r="EW7192" t="s">
        <v>6182</v>
      </c>
      <c r="EX7192" s="44" t="s">
        <v>5378</v>
      </c>
      <c r="FF7192" s="45" t="s">
        <v>474</v>
      </c>
      <c r="FJ7192" s="45" t="s">
        <v>474</v>
      </c>
    </row>
    <row r="7193" spans="153:166" x14ac:dyDescent="0.35">
      <c r="EW7193" t="s">
        <v>6182</v>
      </c>
      <c r="EX7193" s="44" t="s">
        <v>5379</v>
      </c>
      <c r="FF7193" s="45" t="s">
        <v>474</v>
      </c>
      <c r="FJ7193" s="45" t="s">
        <v>474</v>
      </c>
    </row>
    <row r="7194" spans="153:166" x14ac:dyDescent="0.35">
      <c r="EW7194" t="s">
        <v>6182</v>
      </c>
      <c r="EX7194" s="44" t="s">
        <v>5380</v>
      </c>
      <c r="FF7194" s="45" t="s">
        <v>474</v>
      </c>
      <c r="FJ7194" s="45" t="s">
        <v>474</v>
      </c>
    </row>
    <row r="7195" spans="153:166" x14ac:dyDescent="0.35">
      <c r="EW7195" t="s">
        <v>6182</v>
      </c>
      <c r="EX7195" s="44" t="s">
        <v>5381</v>
      </c>
      <c r="FF7195" s="45" t="s">
        <v>474</v>
      </c>
      <c r="FJ7195" s="45" t="s">
        <v>474</v>
      </c>
    </row>
    <row r="7196" spans="153:166" x14ac:dyDescent="0.35">
      <c r="EW7196" t="s">
        <v>6182</v>
      </c>
      <c r="EX7196" s="44" t="s">
        <v>5382</v>
      </c>
      <c r="FF7196" s="45" t="s">
        <v>474</v>
      </c>
      <c r="FJ7196" s="45" t="s">
        <v>474</v>
      </c>
    </row>
    <row r="7197" spans="153:166" x14ac:dyDescent="0.35">
      <c r="EW7197" t="s">
        <v>6182</v>
      </c>
      <c r="EX7197" s="44" t="s">
        <v>5383</v>
      </c>
      <c r="FF7197" s="45" t="s">
        <v>474</v>
      </c>
      <c r="FJ7197" s="45" t="s">
        <v>474</v>
      </c>
    </row>
    <row r="7198" spans="153:166" x14ac:dyDescent="0.35">
      <c r="EW7198" t="s">
        <v>6182</v>
      </c>
      <c r="EX7198" s="44" t="s">
        <v>5384</v>
      </c>
      <c r="FF7198" s="45" t="s">
        <v>474</v>
      </c>
      <c r="FJ7198" s="45" t="s">
        <v>474</v>
      </c>
    </row>
    <row r="7199" spans="153:166" x14ac:dyDescent="0.35">
      <c r="EW7199" t="s">
        <v>6182</v>
      </c>
      <c r="EX7199" s="44" t="s">
        <v>5385</v>
      </c>
      <c r="FF7199" s="45" t="s">
        <v>474</v>
      </c>
      <c r="FJ7199" s="45" t="s">
        <v>474</v>
      </c>
    </row>
    <row r="7200" spans="153:166" x14ac:dyDescent="0.35">
      <c r="EW7200" t="s">
        <v>6182</v>
      </c>
      <c r="EX7200" s="44" t="s">
        <v>5386</v>
      </c>
      <c r="FF7200" s="45" t="s">
        <v>474</v>
      </c>
      <c r="FJ7200" s="45" t="s">
        <v>474</v>
      </c>
    </row>
    <row r="7201" spans="153:166" x14ac:dyDescent="0.35">
      <c r="EW7201" t="s">
        <v>6182</v>
      </c>
      <c r="EX7201" s="44" t="s">
        <v>5387</v>
      </c>
      <c r="FF7201" s="45" t="s">
        <v>474</v>
      </c>
      <c r="FJ7201" s="45" t="s">
        <v>474</v>
      </c>
    </row>
    <row r="7202" spans="153:166" x14ac:dyDescent="0.35">
      <c r="EW7202" t="s">
        <v>6182</v>
      </c>
      <c r="EX7202" s="44" t="s">
        <v>5388</v>
      </c>
      <c r="FF7202" s="45" t="s">
        <v>474</v>
      </c>
      <c r="FJ7202" s="45" t="s">
        <v>474</v>
      </c>
    </row>
    <row r="7203" spans="153:166" x14ac:dyDescent="0.35">
      <c r="EW7203" t="s">
        <v>6182</v>
      </c>
      <c r="EX7203" s="44" t="s">
        <v>5389</v>
      </c>
      <c r="FF7203" s="45" t="s">
        <v>474</v>
      </c>
      <c r="FJ7203" s="45" t="s">
        <v>474</v>
      </c>
    </row>
    <row r="7204" spans="153:166" x14ac:dyDescent="0.35">
      <c r="EW7204" t="s">
        <v>6182</v>
      </c>
      <c r="EX7204" s="44" t="s">
        <v>5390</v>
      </c>
      <c r="FF7204" s="45" t="s">
        <v>474</v>
      </c>
      <c r="FJ7204" s="45" t="s">
        <v>474</v>
      </c>
    </row>
    <row r="7205" spans="153:166" x14ac:dyDescent="0.35">
      <c r="EW7205" t="s">
        <v>6182</v>
      </c>
      <c r="EX7205" s="44" t="s">
        <v>5391</v>
      </c>
      <c r="FF7205" s="45" t="s">
        <v>474</v>
      </c>
      <c r="FJ7205" s="45" t="s">
        <v>474</v>
      </c>
    </row>
    <row r="7206" spans="153:166" x14ac:dyDescent="0.35">
      <c r="EW7206" t="s">
        <v>6182</v>
      </c>
      <c r="EX7206" s="44" t="s">
        <v>5392</v>
      </c>
      <c r="FF7206" s="45" t="s">
        <v>474</v>
      </c>
      <c r="FJ7206" s="45" t="s">
        <v>474</v>
      </c>
    </row>
    <row r="7207" spans="153:166" x14ac:dyDescent="0.35">
      <c r="EW7207" t="s">
        <v>6182</v>
      </c>
      <c r="EX7207" s="44" t="s">
        <v>5393</v>
      </c>
      <c r="FF7207" s="45" t="s">
        <v>474</v>
      </c>
      <c r="FJ7207" s="45" t="s">
        <v>474</v>
      </c>
    </row>
    <row r="7208" spans="153:166" x14ac:dyDescent="0.35">
      <c r="EW7208" t="s">
        <v>6182</v>
      </c>
      <c r="EX7208" s="44" t="s">
        <v>5394</v>
      </c>
      <c r="FF7208" s="45" t="s">
        <v>474</v>
      </c>
      <c r="FJ7208" s="45" t="s">
        <v>474</v>
      </c>
    </row>
    <row r="7209" spans="153:166" x14ac:dyDescent="0.35">
      <c r="EW7209" t="s">
        <v>6182</v>
      </c>
      <c r="EX7209" s="44" t="s">
        <v>5395</v>
      </c>
      <c r="FF7209" s="45" t="s">
        <v>474</v>
      </c>
      <c r="FJ7209" s="45" t="s">
        <v>474</v>
      </c>
    </row>
    <row r="7210" spans="153:166" x14ac:dyDescent="0.35">
      <c r="EW7210" t="s">
        <v>6182</v>
      </c>
      <c r="EX7210" s="44" t="s">
        <v>5396</v>
      </c>
      <c r="FF7210" s="45" t="s">
        <v>474</v>
      </c>
      <c r="FJ7210" s="45" t="s">
        <v>474</v>
      </c>
    </row>
    <row r="7211" spans="153:166" x14ac:dyDescent="0.35">
      <c r="EW7211" t="s">
        <v>6182</v>
      </c>
      <c r="EX7211" s="44" t="s">
        <v>5397</v>
      </c>
      <c r="FF7211" s="45" t="s">
        <v>474</v>
      </c>
      <c r="FJ7211" s="45" t="s">
        <v>474</v>
      </c>
    </row>
    <row r="7212" spans="153:166" x14ac:dyDescent="0.35">
      <c r="EW7212" t="s">
        <v>6182</v>
      </c>
      <c r="EX7212" s="44" t="s">
        <v>5398</v>
      </c>
      <c r="FF7212" s="45" t="s">
        <v>474</v>
      </c>
      <c r="FJ7212" s="45" t="s">
        <v>474</v>
      </c>
    </row>
    <row r="7213" spans="153:166" x14ac:dyDescent="0.35">
      <c r="EW7213" t="s">
        <v>6182</v>
      </c>
      <c r="EX7213" s="44" t="s">
        <v>5399</v>
      </c>
      <c r="FF7213" s="45" t="s">
        <v>474</v>
      </c>
      <c r="FJ7213" s="45" t="s">
        <v>474</v>
      </c>
    </row>
    <row r="7214" spans="153:166" x14ac:dyDescent="0.35">
      <c r="EW7214" t="s">
        <v>6182</v>
      </c>
      <c r="EX7214" s="44" t="s">
        <v>5400</v>
      </c>
      <c r="FF7214" s="45" t="s">
        <v>474</v>
      </c>
      <c r="FJ7214" s="45" t="s">
        <v>474</v>
      </c>
    </row>
    <row r="7215" spans="153:166" x14ac:dyDescent="0.35">
      <c r="EW7215" t="s">
        <v>6182</v>
      </c>
      <c r="EX7215" s="44" t="s">
        <v>5401</v>
      </c>
      <c r="FF7215" s="45" t="s">
        <v>474</v>
      </c>
      <c r="FJ7215" s="45" t="s">
        <v>474</v>
      </c>
    </row>
    <row r="7216" spans="153:166" x14ac:dyDescent="0.35">
      <c r="EW7216" t="s">
        <v>6182</v>
      </c>
      <c r="EX7216" s="44" t="s">
        <v>5402</v>
      </c>
      <c r="FF7216" s="45" t="s">
        <v>474</v>
      </c>
      <c r="FJ7216" s="45" t="s">
        <v>474</v>
      </c>
    </row>
    <row r="7217" spans="153:166" x14ac:dyDescent="0.35">
      <c r="EW7217" t="s">
        <v>6182</v>
      </c>
      <c r="EX7217" s="44" t="s">
        <v>5403</v>
      </c>
      <c r="FF7217" s="45" t="s">
        <v>474</v>
      </c>
      <c r="FJ7217" s="45" t="s">
        <v>474</v>
      </c>
    </row>
    <row r="7218" spans="153:166" x14ac:dyDescent="0.35">
      <c r="EW7218" t="s">
        <v>6182</v>
      </c>
      <c r="EX7218" s="44" t="s">
        <v>5404</v>
      </c>
      <c r="FF7218" s="45" t="s">
        <v>474</v>
      </c>
      <c r="FJ7218" s="45" t="s">
        <v>474</v>
      </c>
    </row>
    <row r="7219" spans="153:166" x14ac:dyDescent="0.35">
      <c r="EW7219" t="s">
        <v>6182</v>
      </c>
      <c r="EX7219" s="44" t="s">
        <v>5405</v>
      </c>
      <c r="FF7219" s="45" t="s">
        <v>474</v>
      </c>
      <c r="FJ7219" s="45" t="s">
        <v>474</v>
      </c>
    </row>
    <row r="7220" spans="153:166" x14ac:dyDescent="0.35">
      <c r="EW7220" t="s">
        <v>6182</v>
      </c>
      <c r="EX7220" s="44" t="s">
        <v>5406</v>
      </c>
      <c r="FF7220" s="45" t="s">
        <v>474</v>
      </c>
      <c r="FJ7220" s="45" t="s">
        <v>474</v>
      </c>
    </row>
    <row r="7221" spans="153:166" x14ac:dyDescent="0.35">
      <c r="EW7221" t="s">
        <v>6182</v>
      </c>
      <c r="EX7221" s="44" t="s">
        <v>5407</v>
      </c>
      <c r="FF7221" s="45" t="s">
        <v>474</v>
      </c>
      <c r="FJ7221" s="45" t="s">
        <v>474</v>
      </c>
    </row>
    <row r="7222" spans="153:166" x14ac:dyDescent="0.35">
      <c r="EW7222" t="s">
        <v>6182</v>
      </c>
      <c r="EX7222" s="44" t="s">
        <v>5408</v>
      </c>
      <c r="FF7222" s="45" t="s">
        <v>474</v>
      </c>
      <c r="FJ7222" s="45" t="s">
        <v>474</v>
      </c>
    </row>
    <row r="7223" spans="153:166" x14ac:dyDescent="0.35">
      <c r="EW7223" t="s">
        <v>6182</v>
      </c>
      <c r="EX7223" s="44" t="s">
        <v>5409</v>
      </c>
      <c r="FF7223" s="45" t="s">
        <v>474</v>
      </c>
      <c r="FJ7223" s="45" t="s">
        <v>474</v>
      </c>
    </row>
    <row r="7224" spans="153:166" x14ac:dyDescent="0.35">
      <c r="EW7224" t="s">
        <v>6182</v>
      </c>
      <c r="EX7224" s="44" t="s">
        <v>5410</v>
      </c>
      <c r="FF7224" s="45" t="s">
        <v>474</v>
      </c>
      <c r="FJ7224" s="45" t="s">
        <v>474</v>
      </c>
    </row>
    <row r="7225" spans="153:166" x14ac:dyDescent="0.35">
      <c r="EW7225" t="s">
        <v>6182</v>
      </c>
      <c r="EX7225" s="44" t="s">
        <v>5411</v>
      </c>
      <c r="FF7225" s="45" t="s">
        <v>474</v>
      </c>
      <c r="FJ7225" s="45" t="s">
        <v>474</v>
      </c>
    </row>
    <row r="7226" spans="153:166" x14ac:dyDescent="0.35">
      <c r="EW7226" t="s">
        <v>6182</v>
      </c>
      <c r="EX7226" s="44" t="s">
        <v>5412</v>
      </c>
      <c r="FF7226" s="45" t="s">
        <v>474</v>
      </c>
      <c r="FJ7226" s="45" t="s">
        <v>474</v>
      </c>
    </row>
    <row r="7227" spans="153:166" x14ac:dyDescent="0.35">
      <c r="EW7227" t="s">
        <v>6182</v>
      </c>
      <c r="EX7227" s="44" t="s">
        <v>5413</v>
      </c>
      <c r="FF7227" s="45" t="s">
        <v>474</v>
      </c>
      <c r="FJ7227" s="45" t="s">
        <v>474</v>
      </c>
    </row>
    <row r="7228" spans="153:166" x14ac:dyDescent="0.35">
      <c r="EW7228" t="s">
        <v>6182</v>
      </c>
      <c r="EX7228" s="44" t="s">
        <v>5414</v>
      </c>
      <c r="FF7228" s="45" t="s">
        <v>474</v>
      </c>
      <c r="FJ7228" s="45" t="s">
        <v>474</v>
      </c>
    </row>
    <row r="7229" spans="153:166" x14ac:dyDescent="0.35">
      <c r="EW7229" t="s">
        <v>6182</v>
      </c>
      <c r="EX7229" s="44" t="s">
        <v>5415</v>
      </c>
      <c r="FF7229" s="45" t="s">
        <v>474</v>
      </c>
      <c r="FJ7229" s="45" t="s">
        <v>474</v>
      </c>
    </row>
    <row r="7230" spans="153:166" x14ac:dyDescent="0.35">
      <c r="EW7230" t="s">
        <v>6182</v>
      </c>
      <c r="EX7230" s="44" t="s">
        <v>5416</v>
      </c>
      <c r="FF7230" s="45" t="s">
        <v>474</v>
      </c>
      <c r="FJ7230" s="45" t="s">
        <v>474</v>
      </c>
    </row>
    <row r="7231" spans="153:166" x14ac:dyDescent="0.35">
      <c r="EW7231" t="s">
        <v>6182</v>
      </c>
      <c r="EX7231" s="44" t="s">
        <v>5417</v>
      </c>
      <c r="FF7231" s="45" t="s">
        <v>474</v>
      </c>
      <c r="FJ7231" s="45" t="s">
        <v>474</v>
      </c>
    </row>
    <row r="7232" spans="153:166" x14ac:dyDescent="0.35">
      <c r="EW7232" t="s">
        <v>6182</v>
      </c>
      <c r="EX7232" s="44" t="s">
        <v>5418</v>
      </c>
      <c r="FF7232" s="45" t="s">
        <v>474</v>
      </c>
      <c r="FJ7232" s="45" t="s">
        <v>474</v>
      </c>
    </row>
    <row r="7233" spans="153:166" x14ac:dyDescent="0.35">
      <c r="EW7233" t="s">
        <v>6182</v>
      </c>
      <c r="EX7233" s="44" t="s">
        <v>5419</v>
      </c>
      <c r="FF7233" s="45" t="s">
        <v>474</v>
      </c>
      <c r="FJ7233" s="45" t="s">
        <v>474</v>
      </c>
    </row>
    <row r="7234" spans="153:166" x14ac:dyDescent="0.35">
      <c r="EW7234" t="s">
        <v>6182</v>
      </c>
      <c r="EX7234" s="44" t="s">
        <v>5420</v>
      </c>
      <c r="FF7234" s="45" t="s">
        <v>474</v>
      </c>
      <c r="FJ7234" s="45" t="s">
        <v>474</v>
      </c>
    </row>
    <row r="7235" spans="153:166" x14ac:dyDescent="0.35">
      <c r="EW7235" t="s">
        <v>6182</v>
      </c>
      <c r="EX7235" s="44" t="s">
        <v>5421</v>
      </c>
      <c r="FF7235" s="45" t="s">
        <v>474</v>
      </c>
      <c r="FJ7235" s="45" t="s">
        <v>474</v>
      </c>
    </row>
    <row r="7236" spans="153:166" x14ac:dyDescent="0.35">
      <c r="EW7236" t="s">
        <v>6182</v>
      </c>
      <c r="EX7236" s="44" t="s">
        <v>5422</v>
      </c>
      <c r="FF7236" s="45" t="s">
        <v>474</v>
      </c>
      <c r="FJ7236" s="45" t="s">
        <v>474</v>
      </c>
    </row>
    <row r="7237" spans="153:166" x14ac:dyDescent="0.35">
      <c r="EW7237" t="s">
        <v>6182</v>
      </c>
      <c r="EX7237" s="44" t="s">
        <v>5423</v>
      </c>
      <c r="FF7237" s="45" t="s">
        <v>474</v>
      </c>
      <c r="FJ7237" s="45" t="s">
        <v>474</v>
      </c>
    </row>
    <row r="7238" spans="153:166" x14ac:dyDescent="0.35">
      <c r="EW7238" t="s">
        <v>6182</v>
      </c>
      <c r="EX7238" s="44" t="s">
        <v>5424</v>
      </c>
      <c r="FF7238" s="45" t="s">
        <v>474</v>
      </c>
      <c r="FJ7238" s="45" t="s">
        <v>474</v>
      </c>
    </row>
    <row r="7239" spans="153:166" x14ac:dyDescent="0.35">
      <c r="EW7239" t="s">
        <v>6182</v>
      </c>
      <c r="EX7239" s="44" t="s">
        <v>5425</v>
      </c>
      <c r="FF7239" s="45" t="s">
        <v>474</v>
      </c>
      <c r="FJ7239" s="45" t="s">
        <v>474</v>
      </c>
    </row>
    <row r="7240" spans="153:166" x14ac:dyDescent="0.35">
      <c r="EW7240" t="s">
        <v>6182</v>
      </c>
      <c r="EX7240" s="44" t="s">
        <v>5426</v>
      </c>
      <c r="FF7240" s="45" t="s">
        <v>474</v>
      </c>
      <c r="FJ7240" s="45" t="s">
        <v>474</v>
      </c>
    </row>
    <row r="7241" spans="153:166" x14ac:dyDescent="0.35">
      <c r="EW7241" t="s">
        <v>6182</v>
      </c>
      <c r="EX7241" s="44" t="s">
        <v>5427</v>
      </c>
      <c r="FF7241" s="45" t="s">
        <v>474</v>
      </c>
      <c r="FJ7241" s="45" t="s">
        <v>474</v>
      </c>
    </row>
    <row r="7242" spans="153:166" x14ac:dyDescent="0.35">
      <c r="EW7242" t="s">
        <v>6182</v>
      </c>
      <c r="EX7242" s="44" t="s">
        <v>5428</v>
      </c>
      <c r="FF7242" s="45" t="s">
        <v>474</v>
      </c>
      <c r="FJ7242" s="45" t="s">
        <v>474</v>
      </c>
    </row>
    <row r="7243" spans="153:166" x14ac:dyDescent="0.35">
      <c r="EW7243" t="s">
        <v>6182</v>
      </c>
      <c r="EX7243" s="44" t="s">
        <v>5429</v>
      </c>
      <c r="FF7243" s="45" t="s">
        <v>474</v>
      </c>
      <c r="FJ7243" s="45" t="s">
        <v>474</v>
      </c>
    </row>
    <row r="7244" spans="153:166" x14ac:dyDescent="0.35">
      <c r="EW7244" t="s">
        <v>6182</v>
      </c>
      <c r="EX7244" s="44" t="s">
        <v>5430</v>
      </c>
      <c r="FF7244" s="45" t="s">
        <v>474</v>
      </c>
      <c r="FJ7244" s="45" t="s">
        <v>474</v>
      </c>
    </row>
    <row r="7245" spans="153:166" x14ac:dyDescent="0.35">
      <c r="EW7245" t="s">
        <v>6182</v>
      </c>
      <c r="EX7245" s="44" t="s">
        <v>5431</v>
      </c>
      <c r="FF7245" s="45" t="s">
        <v>474</v>
      </c>
      <c r="FJ7245" s="45" t="s">
        <v>474</v>
      </c>
    </row>
    <row r="7246" spans="153:166" x14ac:dyDescent="0.35">
      <c r="EW7246" t="s">
        <v>6182</v>
      </c>
      <c r="EX7246" s="44" t="s">
        <v>5432</v>
      </c>
      <c r="FF7246" s="45" t="s">
        <v>474</v>
      </c>
      <c r="FJ7246" s="45" t="s">
        <v>474</v>
      </c>
    </row>
    <row r="7247" spans="153:166" x14ac:dyDescent="0.35">
      <c r="EW7247" t="s">
        <v>6182</v>
      </c>
      <c r="EX7247" s="44" t="s">
        <v>5433</v>
      </c>
      <c r="FF7247" s="45" t="s">
        <v>474</v>
      </c>
      <c r="FJ7247" s="45" t="s">
        <v>474</v>
      </c>
    </row>
    <row r="7248" spans="153:166" x14ac:dyDescent="0.35">
      <c r="EW7248" t="s">
        <v>6182</v>
      </c>
      <c r="EX7248" s="44" t="s">
        <v>5434</v>
      </c>
      <c r="FF7248" s="45" t="s">
        <v>474</v>
      </c>
      <c r="FJ7248" s="45" t="s">
        <v>474</v>
      </c>
    </row>
    <row r="7249" spans="153:166" x14ac:dyDescent="0.35">
      <c r="EW7249" t="s">
        <v>6182</v>
      </c>
      <c r="EX7249" s="44" t="s">
        <v>5435</v>
      </c>
      <c r="FF7249" s="45" t="s">
        <v>474</v>
      </c>
      <c r="FJ7249" s="45" t="s">
        <v>474</v>
      </c>
    </row>
    <row r="7250" spans="153:166" x14ac:dyDescent="0.35">
      <c r="EW7250" t="s">
        <v>6182</v>
      </c>
      <c r="EX7250" s="44" t="s">
        <v>5436</v>
      </c>
      <c r="FF7250" s="45" t="s">
        <v>474</v>
      </c>
      <c r="FJ7250" s="45" t="s">
        <v>474</v>
      </c>
    </row>
    <row r="7251" spans="153:166" x14ac:dyDescent="0.35">
      <c r="EW7251" t="s">
        <v>6182</v>
      </c>
      <c r="EX7251" s="44" t="s">
        <v>5437</v>
      </c>
      <c r="FF7251" s="45" t="s">
        <v>474</v>
      </c>
      <c r="FJ7251" s="45" t="s">
        <v>474</v>
      </c>
    </row>
    <row r="7252" spans="153:166" x14ac:dyDescent="0.35">
      <c r="EW7252" t="s">
        <v>6182</v>
      </c>
      <c r="EX7252" s="44" t="s">
        <v>5438</v>
      </c>
      <c r="FF7252" s="45" t="s">
        <v>474</v>
      </c>
      <c r="FJ7252" s="45" t="s">
        <v>474</v>
      </c>
    </row>
    <row r="7253" spans="153:166" x14ac:dyDescent="0.35">
      <c r="EW7253" t="s">
        <v>6182</v>
      </c>
      <c r="EX7253" s="44" t="s">
        <v>5439</v>
      </c>
      <c r="FF7253" s="45" t="s">
        <v>474</v>
      </c>
      <c r="FJ7253" s="45" t="s">
        <v>474</v>
      </c>
    </row>
    <row r="7254" spans="153:166" x14ac:dyDescent="0.35">
      <c r="EW7254" t="s">
        <v>6182</v>
      </c>
      <c r="EX7254" s="44" t="s">
        <v>5440</v>
      </c>
      <c r="FF7254" s="45" t="s">
        <v>474</v>
      </c>
      <c r="FJ7254" s="45" t="s">
        <v>474</v>
      </c>
    </row>
    <row r="7255" spans="153:166" x14ac:dyDescent="0.35">
      <c r="EW7255" t="s">
        <v>6182</v>
      </c>
      <c r="EX7255" s="44" t="s">
        <v>5441</v>
      </c>
      <c r="FF7255" s="45" t="s">
        <v>474</v>
      </c>
      <c r="FJ7255" s="45" t="s">
        <v>474</v>
      </c>
    </row>
    <row r="7256" spans="153:166" x14ac:dyDescent="0.35">
      <c r="EW7256" t="s">
        <v>6182</v>
      </c>
      <c r="EX7256" s="44" t="s">
        <v>5442</v>
      </c>
      <c r="FF7256" s="45" t="s">
        <v>474</v>
      </c>
      <c r="FJ7256" s="45" t="s">
        <v>474</v>
      </c>
    </row>
    <row r="7257" spans="153:166" x14ac:dyDescent="0.35">
      <c r="EW7257" t="s">
        <v>6182</v>
      </c>
      <c r="EX7257" s="44" t="s">
        <v>5443</v>
      </c>
      <c r="FF7257" s="45" t="s">
        <v>474</v>
      </c>
      <c r="FJ7257" s="45" t="s">
        <v>474</v>
      </c>
    </row>
    <row r="7258" spans="153:166" x14ac:dyDescent="0.35">
      <c r="EW7258" t="s">
        <v>6182</v>
      </c>
      <c r="EX7258" s="44" t="s">
        <v>5444</v>
      </c>
      <c r="FF7258" s="45" t="s">
        <v>474</v>
      </c>
      <c r="FJ7258" s="45" t="s">
        <v>474</v>
      </c>
    </row>
    <row r="7259" spans="153:166" x14ac:dyDescent="0.35">
      <c r="EW7259" t="s">
        <v>6182</v>
      </c>
      <c r="EX7259" s="44" t="s">
        <v>5445</v>
      </c>
      <c r="FF7259" s="45" t="s">
        <v>474</v>
      </c>
      <c r="FJ7259" s="45" t="s">
        <v>474</v>
      </c>
    </row>
    <row r="7260" spans="153:166" x14ac:dyDescent="0.35">
      <c r="EW7260" t="s">
        <v>6182</v>
      </c>
      <c r="EX7260" s="44" t="s">
        <v>5446</v>
      </c>
      <c r="FF7260" s="45" t="s">
        <v>474</v>
      </c>
      <c r="FJ7260" s="45" t="s">
        <v>474</v>
      </c>
    </row>
    <row r="7261" spans="153:166" x14ac:dyDescent="0.35">
      <c r="EW7261" t="s">
        <v>6182</v>
      </c>
      <c r="EX7261" s="44" t="s">
        <v>5447</v>
      </c>
      <c r="FF7261" s="45" t="s">
        <v>474</v>
      </c>
      <c r="FJ7261" s="45" t="s">
        <v>474</v>
      </c>
    </row>
    <row r="7262" spans="153:166" x14ac:dyDescent="0.35">
      <c r="EW7262" t="s">
        <v>6182</v>
      </c>
      <c r="EX7262" s="44" t="s">
        <v>5448</v>
      </c>
      <c r="FF7262" s="45" t="s">
        <v>474</v>
      </c>
      <c r="FJ7262" s="45" t="s">
        <v>474</v>
      </c>
    </row>
    <row r="7263" spans="153:166" x14ac:dyDescent="0.35">
      <c r="EW7263" t="s">
        <v>6182</v>
      </c>
      <c r="EX7263" s="44" t="s">
        <v>5449</v>
      </c>
      <c r="FF7263" s="45" t="s">
        <v>474</v>
      </c>
      <c r="FJ7263" s="45" t="s">
        <v>474</v>
      </c>
    </row>
    <row r="7264" spans="153:166" x14ac:dyDescent="0.35">
      <c r="EW7264" t="s">
        <v>6182</v>
      </c>
      <c r="EX7264" s="44" t="s">
        <v>5450</v>
      </c>
      <c r="FF7264" s="45" t="s">
        <v>474</v>
      </c>
      <c r="FJ7264" s="45" t="s">
        <v>474</v>
      </c>
    </row>
    <row r="7265" spans="153:166" x14ac:dyDescent="0.35">
      <c r="EW7265" t="s">
        <v>6182</v>
      </c>
      <c r="EX7265" s="44" t="s">
        <v>5451</v>
      </c>
      <c r="FF7265" s="45" t="s">
        <v>474</v>
      </c>
      <c r="FJ7265" s="45" t="s">
        <v>474</v>
      </c>
    </row>
    <row r="7266" spans="153:166" x14ac:dyDescent="0.35">
      <c r="EW7266" t="s">
        <v>6182</v>
      </c>
      <c r="EX7266" s="44" t="s">
        <v>5452</v>
      </c>
      <c r="FF7266" s="45" t="s">
        <v>474</v>
      </c>
      <c r="FJ7266" s="45" t="s">
        <v>474</v>
      </c>
    </row>
    <row r="7267" spans="153:166" x14ac:dyDescent="0.35">
      <c r="EW7267" t="s">
        <v>6182</v>
      </c>
      <c r="EX7267" s="44" t="s">
        <v>5453</v>
      </c>
      <c r="FF7267" s="45" t="s">
        <v>474</v>
      </c>
      <c r="FJ7267" s="45" t="s">
        <v>474</v>
      </c>
    </row>
    <row r="7268" spans="153:166" x14ac:dyDescent="0.35">
      <c r="EW7268" t="s">
        <v>6182</v>
      </c>
      <c r="EX7268" s="44" t="s">
        <v>5454</v>
      </c>
      <c r="FF7268" s="45" t="s">
        <v>474</v>
      </c>
      <c r="FJ7268" s="45" t="s">
        <v>474</v>
      </c>
    </row>
    <row r="7269" spans="153:166" x14ac:dyDescent="0.35">
      <c r="EW7269" t="s">
        <v>6182</v>
      </c>
      <c r="EX7269" s="44" t="s">
        <v>5455</v>
      </c>
      <c r="FF7269" s="45" t="s">
        <v>474</v>
      </c>
      <c r="FJ7269" s="45" t="s">
        <v>474</v>
      </c>
    </row>
    <row r="7270" spans="153:166" x14ac:dyDescent="0.35">
      <c r="EW7270" t="s">
        <v>6182</v>
      </c>
      <c r="EX7270" s="44" t="s">
        <v>5456</v>
      </c>
      <c r="FF7270" s="45" t="s">
        <v>474</v>
      </c>
      <c r="FJ7270" s="45" t="s">
        <v>474</v>
      </c>
    </row>
    <row r="7271" spans="153:166" x14ac:dyDescent="0.35">
      <c r="EW7271" t="s">
        <v>6182</v>
      </c>
      <c r="EX7271" s="44" t="s">
        <v>5457</v>
      </c>
      <c r="FF7271" s="45" t="s">
        <v>474</v>
      </c>
      <c r="FJ7271" s="45" t="s">
        <v>474</v>
      </c>
    </row>
    <row r="7272" spans="153:166" x14ac:dyDescent="0.35">
      <c r="EW7272" t="s">
        <v>6182</v>
      </c>
      <c r="EX7272" s="44" t="s">
        <v>5458</v>
      </c>
      <c r="FF7272" s="45" t="s">
        <v>474</v>
      </c>
      <c r="FJ7272" s="45" t="s">
        <v>474</v>
      </c>
    </row>
    <row r="7273" spans="153:166" x14ac:dyDescent="0.35">
      <c r="EW7273" t="s">
        <v>6182</v>
      </c>
      <c r="EX7273" s="44" t="s">
        <v>5459</v>
      </c>
      <c r="FF7273" s="45" t="s">
        <v>59</v>
      </c>
      <c r="FJ7273" s="45" t="s">
        <v>59</v>
      </c>
    </row>
    <row r="7274" spans="153:166" x14ac:dyDescent="0.35">
      <c r="EW7274" t="s">
        <v>6182</v>
      </c>
      <c r="EX7274" s="44" t="s">
        <v>5460</v>
      </c>
      <c r="FF7274" s="45" t="s">
        <v>59</v>
      </c>
      <c r="FJ7274" s="45" t="s">
        <v>59</v>
      </c>
    </row>
    <row r="7275" spans="153:166" x14ac:dyDescent="0.35">
      <c r="EW7275" t="s">
        <v>6182</v>
      </c>
      <c r="EX7275" s="44" t="s">
        <v>5461</v>
      </c>
      <c r="FF7275" s="45" t="s">
        <v>59</v>
      </c>
      <c r="FJ7275" s="45" t="s">
        <v>59</v>
      </c>
    </row>
    <row r="7276" spans="153:166" x14ac:dyDescent="0.35">
      <c r="EW7276" t="s">
        <v>6182</v>
      </c>
      <c r="EX7276" s="44" t="s">
        <v>5462</v>
      </c>
      <c r="FF7276" s="45" t="s">
        <v>59</v>
      </c>
      <c r="FJ7276" s="45" t="s">
        <v>59</v>
      </c>
    </row>
    <row r="7277" spans="153:166" x14ac:dyDescent="0.35">
      <c r="EW7277" t="s">
        <v>6182</v>
      </c>
      <c r="EX7277" s="44" t="s">
        <v>5463</v>
      </c>
      <c r="FF7277" s="45" t="s">
        <v>59</v>
      </c>
      <c r="FJ7277" s="45" t="s">
        <v>59</v>
      </c>
    </row>
    <row r="7278" spans="153:166" x14ac:dyDescent="0.35">
      <c r="EW7278" t="s">
        <v>6182</v>
      </c>
      <c r="EX7278" s="44" t="s">
        <v>5464</v>
      </c>
      <c r="FF7278" s="45" t="s">
        <v>59</v>
      </c>
      <c r="FJ7278" s="45" t="s">
        <v>59</v>
      </c>
    </row>
    <row r="7279" spans="153:166" x14ac:dyDescent="0.35">
      <c r="EW7279" t="s">
        <v>6182</v>
      </c>
      <c r="EX7279" s="44" t="s">
        <v>5465</v>
      </c>
      <c r="FF7279" s="45" t="s">
        <v>59</v>
      </c>
      <c r="FJ7279" s="45" t="s">
        <v>59</v>
      </c>
    </row>
    <row r="7280" spans="153:166" x14ac:dyDescent="0.35">
      <c r="EW7280" t="s">
        <v>6182</v>
      </c>
      <c r="EX7280" s="44" t="s">
        <v>5466</v>
      </c>
      <c r="FF7280" s="45" t="s">
        <v>59</v>
      </c>
      <c r="FJ7280" s="45" t="s">
        <v>59</v>
      </c>
    </row>
    <row r="7281" spans="153:166" x14ac:dyDescent="0.35">
      <c r="EW7281" t="s">
        <v>6182</v>
      </c>
      <c r="EX7281" s="44" t="s">
        <v>5467</v>
      </c>
      <c r="FF7281" s="45" t="s">
        <v>59</v>
      </c>
      <c r="FJ7281" s="45" t="s">
        <v>59</v>
      </c>
    </row>
    <row r="7282" spans="153:166" x14ac:dyDescent="0.35">
      <c r="EW7282" t="s">
        <v>6182</v>
      </c>
      <c r="EX7282" s="44" t="s">
        <v>5468</v>
      </c>
      <c r="FF7282" s="45" t="s">
        <v>59</v>
      </c>
      <c r="FJ7282" s="45" t="s">
        <v>59</v>
      </c>
    </row>
    <row r="7283" spans="153:166" x14ac:dyDescent="0.35">
      <c r="EW7283" t="s">
        <v>6182</v>
      </c>
      <c r="EX7283" s="44" t="s">
        <v>5469</v>
      </c>
      <c r="FF7283" s="45" t="s">
        <v>59</v>
      </c>
      <c r="FJ7283" s="45" t="s">
        <v>59</v>
      </c>
    </row>
    <row r="7284" spans="153:166" x14ac:dyDescent="0.35">
      <c r="EW7284" t="s">
        <v>6182</v>
      </c>
      <c r="EX7284" s="44" t="s">
        <v>5470</v>
      </c>
      <c r="FF7284" s="45" t="s">
        <v>59</v>
      </c>
      <c r="FJ7284" s="45" t="s">
        <v>59</v>
      </c>
    </row>
    <row r="7285" spans="153:166" x14ac:dyDescent="0.35">
      <c r="EW7285" t="s">
        <v>6182</v>
      </c>
      <c r="EX7285" s="44" t="s">
        <v>5471</v>
      </c>
      <c r="FF7285" s="45" t="s">
        <v>59</v>
      </c>
      <c r="FJ7285" s="45" t="s">
        <v>59</v>
      </c>
    </row>
    <row r="7286" spans="153:166" x14ac:dyDescent="0.35">
      <c r="EW7286" t="s">
        <v>6182</v>
      </c>
      <c r="EX7286" s="44" t="s">
        <v>5472</v>
      </c>
      <c r="FF7286" s="45" t="s">
        <v>59</v>
      </c>
      <c r="FJ7286" s="45" t="s">
        <v>59</v>
      </c>
    </row>
    <row r="7287" spans="153:166" x14ac:dyDescent="0.35">
      <c r="EW7287" t="s">
        <v>6182</v>
      </c>
      <c r="EX7287" s="44" t="s">
        <v>5473</v>
      </c>
      <c r="FF7287" s="45" t="s">
        <v>59</v>
      </c>
      <c r="FJ7287" s="45" t="s">
        <v>59</v>
      </c>
    </row>
    <row r="7288" spans="153:166" x14ac:dyDescent="0.35">
      <c r="EW7288" t="s">
        <v>6182</v>
      </c>
      <c r="EX7288" s="44" t="s">
        <v>5474</v>
      </c>
      <c r="FF7288" s="45" t="s">
        <v>59</v>
      </c>
      <c r="FJ7288" s="45" t="s">
        <v>59</v>
      </c>
    </row>
    <row r="7289" spans="153:166" x14ac:dyDescent="0.35">
      <c r="EW7289" t="s">
        <v>6182</v>
      </c>
      <c r="EX7289" s="44" t="s">
        <v>5475</v>
      </c>
      <c r="FF7289" s="45" t="s">
        <v>59</v>
      </c>
      <c r="FJ7289" s="45" t="s">
        <v>59</v>
      </c>
    </row>
    <row r="7290" spans="153:166" x14ac:dyDescent="0.35">
      <c r="EW7290" t="s">
        <v>6182</v>
      </c>
      <c r="EX7290" s="44" t="s">
        <v>5476</v>
      </c>
      <c r="FF7290" s="45" t="s">
        <v>59</v>
      </c>
      <c r="FJ7290" s="45" t="s">
        <v>59</v>
      </c>
    </row>
    <row r="7291" spans="153:166" x14ac:dyDescent="0.35">
      <c r="EW7291" t="s">
        <v>6182</v>
      </c>
      <c r="EX7291" s="44" t="s">
        <v>5477</v>
      </c>
      <c r="FF7291" s="45" t="s">
        <v>59</v>
      </c>
      <c r="FJ7291" s="45" t="s">
        <v>59</v>
      </c>
    </row>
    <row r="7292" spans="153:166" x14ac:dyDescent="0.35">
      <c r="EW7292" t="s">
        <v>6182</v>
      </c>
      <c r="EX7292" s="44" t="s">
        <v>5478</v>
      </c>
      <c r="FF7292" s="45" t="s">
        <v>59</v>
      </c>
      <c r="FJ7292" s="45" t="s">
        <v>59</v>
      </c>
    </row>
    <row r="7293" spans="153:166" x14ac:dyDescent="0.35">
      <c r="EW7293" t="s">
        <v>6182</v>
      </c>
      <c r="EX7293" s="44" t="s">
        <v>5479</v>
      </c>
      <c r="FF7293" s="45" t="s">
        <v>59</v>
      </c>
      <c r="FJ7293" s="45" t="s">
        <v>59</v>
      </c>
    </row>
    <row r="7294" spans="153:166" x14ac:dyDescent="0.35">
      <c r="EW7294" t="s">
        <v>6182</v>
      </c>
      <c r="EX7294" s="44" t="s">
        <v>5480</v>
      </c>
      <c r="FF7294" s="45" t="s">
        <v>59</v>
      </c>
      <c r="FJ7294" s="45" t="s">
        <v>59</v>
      </c>
    </row>
    <row r="7295" spans="153:166" x14ac:dyDescent="0.35">
      <c r="EW7295" t="s">
        <v>6182</v>
      </c>
      <c r="EX7295" s="44" t="s">
        <v>5481</v>
      </c>
      <c r="FF7295" s="45" t="s">
        <v>59</v>
      </c>
      <c r="FJ7295" s="45" t="s">
        <v>59</v>
      </c>
    </row>
    <row r="7296" spans="153:166" x14ac:dyDescent="0.35">
      <c r="EW7296" t="s">
        <v>6182</v>
      </c>
      <c r="EX7296" s="44" t="s">
        <v>5482</v>
      </c>
      <c r="FF7296" s="45" t="s">
        <v>59</v>
      </c>
      <c r="FJ7296" s="45" t="s">
        <v>59</v>
      </c>
    </row>
    <row r="7297" spans="153:166" x14ac:dyDescent="0.35">
      <c r="EW7297" t="s">
        <v>6182</v>
      </c>
      <c r="EX7297" s="44" t="s">
        <v>5483</v>
      </c>
      <c r="FF7297" s="45" t="s">
        <v>59</v>
      </c>
      <c r="FJ7297" s="45" t="s">
        <v>59</v>
      </c>
    </row>
    <row r="7298" spans="153:166" x14ac:dyDescent="0.35">
      <c r="EW7298" t="s">
        <v>6182</v>
      </c>
      <c r="EX7298" s="44" t="s">
        <v>5484</v>
      </c>
      <c r="FF7298" s="45" t="s">
        <v>59</v>
      </c>
      <c r="FJ7298" s="45" t="s">
        <v>59</v>
      </c>
    </row>
    <row r="7299" spans="153:166" x14ac:dyDescent="0.35">
      <c r="EW7299" t="s">
        <v>6182</v>
      </c>
      <c r="EX7299" s="44" t="s">
        <v>5485</v>
      </c>
      <c r="FF7299" s="45" t="s">
        <v>59</v>
      </c>
      <c r="FJ7299" s="45" t="s">
        <v>59</v>
      </c>
    </row>
    <row r="7300" spans="153:166" x14ac:dyDescent="0.35">
      <c r="EW7300" t="s">
        <v>6182</v>
      </c>
      <c r="EX7300" s="44" t="s">
        <v>5486</v>
      </c>
      <c r="FF7300" s="45" t="s">
        <v>59</v>
      </c>
      <c r="FJ7300" s="45" t="s">
        <v>59</v>
      </c>
    </row>
    <row r="7301" spans="153:166" x14ac:dyDescent="0.35">
      <c r="EW7301" t="s">
        <v>6182</v>
      </c>
      <c r="EX7301" s="44" t="s">
        <v>5487</v>
      </c>
      <c r="FF7301" s="45" t="s">
        <v>59</v>
      </c>
      <c r="FJ7301" s="45" t="s">
        <v>59</v>
      </c>
    </row>
    <row r="7302" spans="153:166" x14ac:dyDescent="0.35">
      <c r="EW7302" t="s">
        <v>6182</v>
      </c>
      <c r="EX7302" s="44" t="s">
        <v>5488</v>
      </c>
      <c r="FF7302" s="45" t="s">
        <v>59</v>
      </c>
      <c r="FJ7302" s="45" t="s">
        <v>59</v>
      </c>
    </row>
    <row r="7303" spans="153:166" x14ac:dyDescent="0.35">
      <c r="EW7303" t="s">
        <v>6182</v>
      </c>
      <c r="EX7303" s="44" t="s">
        <v>5489</v>
      </c>
      <c r="FF7303" s="45" t="s">
        <v>59</v>
      </c>
      <c r="FJ7303" s="45" t="s">
        <v>59</v>
      </c>
    </row>
    <row r="7304" spans="153:166" x14ac:dyDescent="0.35">
      <c r="EW7304" t="s">
        <v>6182</v>
      </c>
      <c r="EX7304" s="44" t="s">
        <v>5490</v>
      </c>
      <c r="FF7304" s="45" t="s">
        <v>59</v>
      </c>
      <c r="FJ7304" s="45" t="s">
        <v>59</v>
      </c>
    </row>
    <row r="7305" spans="153:166" x14ac:dyDescent="0.35">
      <c r="EW7305" t="s">
        <v>6182</v>
      </c>
      <c r="EX7305" s="44" t="s">
        <v>5491</v>
      </c>
      <c r="FF7305" s="45" t="s">
        <v>59</v>
      </c>
      <c r="FJ7305" s="45" t="s">
        <v>59</v>
      </c>
    </row>
    <row r="7306" spans="153:166" x14ac:dyDescent="0.35">
      <c r="EW7306" t="s">
        <v>6182</v>
      </c>
      <c r="EX7306" s="44" t="s">
        <v>5492</v>
      </c>
      <c r="FF7306" s="45" t="s">
        <v>59</v>
      </c>
      <c r="FJ7306" s="45" t="s">
        <v>59</v>
      </c>
    </row>
    <row r="7307" spans="153:166" x14ac:dyDescent="0.35">
      <c r="EW7307" t="s">
        <v>6182</v>
      </c>
      <c r="EX7307" s="44" t="s">
        <v>5493</v>
      </c>
      <c r="FF7307" s="45" t="s">
        <v>59</v>
      </c>
      <c r="FJ7307" s="45" t="s">
        <v>59</v>
      </c>
    </row>
    <row r="7308" spans="153:166" x14ac:dyDescent="0.35">
      <c r="EW7308" t="s">
        <v>6182</v>
      </c>
      <c r="EX7308" s="44" t="s">
        <v>5494</v>
      </c>
      <c r="FF7308" s="45" t="s">
        <v>59</v>
      </c>
      <c r="FJ7308" s="45" t="s">
        <v>59</v>
      </c>
    </row>
    <row r="7309" spans="153:166" x14ac:dyDescent="0.35">
      <c r="EW7309" t="s">
        <v>6182</v>
      </c>
      <c r="EX7309" s="44" t="s">
        <v>5495</v>
      </c>
      <c r="FF7309" s="45" t="s">
        <v>59</v>
      </c>
      <c r="FJ7309" s="45" t="s">
        <v>59</v>
      </c>
    </row>
    <row r="7310" spans="153:166" x14ac:dyDescent="0.35">
      <c r="EW7310" t="s">
        <v>6182</v>
      </c>
      <c r="EX7310" s="44" t="s">
        <v>5496</v>
      </c>
      <c r="FF7310" s="45" t="s">
        <v>59</v>
      </c>
      <c r="FJ7310" s="45" t="s">
        <v>59</v>
      </c>
    </row>
    <row r="7311" spans="153:166" x14ac:dyDescent="0.35">
      <c r="EW7311" t="s">
        <v>6182</v>
      </c>
      <c r="EX7311" s="44" t="s">
        <v>5497</v>
      </c>
      <c r="FF7311" s="45" t="s">
        <v>59</v>
      </c>
      <c r="FJ7311" s="45" t="s">
        <v>59</v>
      </c>
    </row>
    <row r="7312" spans="153:166" x14ac:dyDescent="0.35">
      <c r="EW7312" t="s">
        <v>6182</v>
      </c>
      <c r="EX7312" s="44" t="s">
        <v>5498</v>
      </c>
      <c r="FF7312" s="45" t="s">
        <v>59</v>
      </c>
      <c r="FJ7312" s="45" t="s">
        <v>59</v>
      </c>
    </row>
    <row r="7313" spans="153:166" x14ac:dyDescent="0.35">
      <c r="EW7313" t="s">
        <v>6182</v>
      </c>
      <c r="EX7313" s="44" t="s">
        <v>5499</v>
      </c>
      <c r="FF7313" s="45" t="s">
        <v>59</v>
      </c>
      <c r="FJ7313" s="45" t="s">
        <v>59</v>
      </c>
    </row>
    <row r="7314" spans="153:166" x14ac:dyDescent="0.35">
      <c r="EW7314" t="s">
        <v>6182</v>
      </c>
      <c r="EX7314" s="44" t="s">
        <v>5500</v>
      </c>
      <c r="FF7314" s="45" t="s">
        <v>59</v>
      </c>
      <c r="FJ7314" s="45" t="s">
        <v>59</v>
      </c>
    </row>
    <row r="7315" spans="153:166" x14ac:dyDescent="0.35">
      <c r="EW7315" t="s">
        <v>6182</v>
      </c>
      <c r="EX7315" s="44" t="s">
        <v>5501</v>
      </c>
      <c r="FF7315" s="45" t="s">
        <v>59</v>
      </c>
      <c r="FJ7315" s="45" t="s">
        <v>59</v>
      </c>
    </row>
    <row r="7316" spans="153:166" x14ac:dyDescent="0.35">
      <c r="EW7316" t="s">
        <v>6182</v>
      </c>
      <c r="EX7316" s="44" t="s">
        <v>5502</v>
      </c>
      <c r="FF7316" s="45" t="s">
        <v>59</v>
      </c>
      <c r="FJ7316" s="45" t="s">
        <v>59</v>
      </c>
    </row>
    <row r="7317" spans="153:166" x14ac:dyDescent="0.35">
      <c r="EW7317" t="s">
        <v>6182</v>
      </c>
      <c r="EX7317" s="44" t="s">
        <v>5503</v>
      </c>
      <c r="FF7317" s="45" t="s">
        <v>59</v>
      </c>
      <c r="FJ7317" s="45" t="s">
        <v>59</v>
      </c>
    </row>
    <row r="7318" spans="153:166" x14ac:dyDescent="0.35">
      <c r="EW7318" t="s">
        <v>6182</v>
      </c>
      <c r="EX7318" s="44" t="s">
        <v>5504</v>
      </c>
      <c r="FF7318" s="45" t="s">
        <v>59</v>
      </c>
      <c r="FJ7318" s="45" t="s">
        <v>59</v>
      </c>
    </row>
    <row r="7319" spans="153:166" x14ac:dyDescent="0.35">
      <c r="EW7319" t="s">
        <v>6182</v>
      </c>
      <c r="EX7319" s="44" t="s">
        <v>5505</v>
      </c>
      <c r="FF7319" s="45" t="s">
        <v>59</v>
      </c>
      <c r="FJ7319" s="45" t="s">
        <v>59</v>
      </c>
    </row>
    <row r="7320" spans="153:166" x14ac:dyDescent="0.35">
      <c r="EW7320" t="s">
        <v>6182</v>
      </c>
      <c r="EX7320" s="44" t="s">
        <v>5506</v>
      </c>
      <c r="FF7320" s="45" t="s">
        <v>59</v>
      </c>
      <c r="FJ7320" s="45" t="s">
        <v>59</v>
      </c>
    </row>
    <row r="7321" spans="153:166" x14ac:dyDescent="0.35">
      <c r="EW7321" t="s">
        <v>6182</v>
      </c>
      <c r="EX7321" s="44" t="s">
        <v>5507</v>
      </c>
      <c r="FF7321" s="45" t="s">
        <v>59</v>
      </c>
      <c r="FJ7321" s="45" t="s">
        <v>59</v>
      </c>
    </row>
    <row r="7322" spans="153:166" x14ac:dyDescent="0.35">
      <c r="EW7322" t="s">
        <v>6182</v>
      </c>
      <c r="EX7322" s="44" t="s">
        <v>5508</v>
      </c>
      <c r="FF7322" s="45" t="s">
        <v>59</v>
      </c>
      <c r="FJ7322" s="45" t="s">
        <v>59</v>
      </c>
    </row>
    <row r="7323" spans="153:166" x14ac:dyDescent="0.35">
      <c r="EW7323" t="s">
        <v>6182</v>
      </c>
      <c r="EX7323" s="44" t="s">
        <v>5509</v>
      </c>
      <c r="FF7323" s="45" t="s">
        <v>59</v>
      </c>
      <c r="FJ7323" s="45" t="s">
        <v>59</v>
      </c>
    </row>
    <row r="7324" spans="153:166" x14ac:dyDescent="0.35">
      <c r="EW7324" t="s">
        <v>6182</v>
      </c>
      <c r="EX7324" s="44" t="s">
        <v>5510</v>
      </c>
      <c r="FF7324" s="45" t="s">
        <v>59</v>
      </c>
      <c r="FJ7324" s="45" t="s">
        <v>59</v>
      </c>
    </row>
    <row r="7325" spans="153:166" x14ac:dyDescent="0.35">
      <c r="EW7325" t="s">
        <v>6182</v>
      </c>
      <c r="EX7325" s="44" t="s">
        <v>5511</v>
      </c>
      <c r="FF7325" s="45" t="s">
        <v>59</v>
      </c>
      <c r="FJ7325" s="45" t="s">
        <v>59</v>
      </c>
    </row>
    <row r="7326" spans="153:166" x14ac:dyDescent="0.35">
      <c r="EW7326" t="s">
        <v>6182</v>
      </c>
      <c r="EX7326" s="44" t="s">
        <v>5512</v>
      </c>
      <c r="FF7326" s="45" t="s">
        <v>59</v>
      </c>
      <c r="FJ7326" s="45" t="s">
        <v>59</v>
      </c>
    </row>
    <row r="7327" spans="153:166" x14ac:dyDescent="0.35">
      <c r="EW7327" t="s">
        <v>6182</v>
      </c>
      <c r="EX7327" s="44" t="s">
        <v>5513</v>
      </c>
      <c r="FF7327" s="45" t="s">
        <v>59</v>
      </c>
      <c r="FJ7327" s="45" t="s">
        <v>59</v>
      </c>
    </row>
    <row r="7328" spans="153:166" x14ac:dyDescent="0.35">
      <c r="EW7328" t="s">
        <v>6182</v>
      </c>
      <c r="EX7328" s="44" t="s">
        <v>5514</v>
      </c>
      <c r="FF7328" s="45" t="s">
        <v>59</v>
      </c>
      <c r="FJ7328" s="45" t="s">
        <v>59</v>
      </c>
    </row>
    <row r="7329" spans="153:166" x14ac:dyDescent="0.35">
      <c r="EW7329" t="s">
        <v>6182</v>
      </c>
      <c r="EX7329" s="44" t="s">
        <v>5515</v>
      </c>
      <c r="FF7329" s="45" t="s">
        <v>59</v>
      </c>
      <c r="FJ7329" s="45" t="s">
        <v>59</v>
      </c>
    </row>
    <row r="7330" spans="153:166" x14ac:dyDescent="0.35">
      <c r="EW7330" t="s">
        <v>6182</v>
      </c>
      <c r="EX7330" s="44" t="s">
        <v>5516</v>
      </c>
      <c r="FF7330" s="45" t="s">
        <v>59</v>
      </c>
      <c r="FJ7330" s="45" t="s">
        <v>59</v>
      </c>
    </row>
    <row r="7331" spans="153:166" x14ac:dyDescent="0.35">
      <c r="EW7331" t="s">
        <v>6182</v>
      </c>
      <c r="EX7331" s="44" t="s">
        <v>5517</v>
      </c>
      <c r="FF7331" s="45" t="s">
        <v>59</v>
      </c>
      <c r="FJ7331" s="45" t="s">
        <v>59</v>
      </c>
    </row>
    <row r="7332" spans="153:166" x14ac:dyDescent="0.35">
      <c r="EW7332" t="s">
        <v>6182</v>
      </c>
      <c r="EX7332" s="44" t="s">
        <v>5518</v>
      </c>
      <c r="FF7332" s="45" t="s">
        <v>59</v>
      </c>
      <c r="FJ7332" s="45" t="s">
        <v>59</v>
      </c>
    </row>
    <row r="7333" spans="153:166" x14ac:dyDescent="0.35">
      <c r="EW7333" t="s">
        <v>6182</v>
      </c>
      <c r="EX7333" s="44" t="s">
        <v>5519</v>
      </c>
      <c r="FF7333" s="45" t="s">
        <v>59</v>
      </c>
      <c r="FJ7333" s="45" t="s">
        <v>59</v>
      </c>
    </row>
    <row r="7334" spans="153:166" x14ac:dyDescent="0.35">
      <c r="EW7334" t="s">
        <v>6182</v>
      </c>
      <c r="EX7334" s="44" t="s">
        <v>5520</v>
      </c>
      <c r="FF7334" s="45" t="s">
        <v>59</v>
      </c>
      <c r="FJ7334" s="45" t="s">
        <v>59</v>
      </c>
    </row>
    <row r="7335" spans="153:166" x14ac:dyDescent="0.35">
      <c r="EW7335" t="s">
        <v>6182</v>
      </c>
      <c r="EX7335" s="44" t="s">
        <v>5521</v>
      </c>
      <c r="FF7335" s="45" t="s">
        <v>59</v>
      </c>
      <c r="FJ7335" s="45" t="s">
        <v>59</v>
      </c>
    </row>
    <row r="7336" spans="153:166" x14ac:dyDescent="0.35">
      <c r="EW7336" t="s">
        <v>6182</v>
      </c>
      <c r="EX7336" s="44" t="s">
        <v>5522</v>
      </c>
      <c r="FF7336" s="45" t="s">
        <v>59</v>
      </c>
      <c r="FJ7336" s="45" t="s">
        <v>59</v>
      </c>
    </row>
    <row r="7337" spans="153:166" x14ac:dyDescent="0.35">
      <c r="EW7337" t="s">
        <v>6182</v>
      </c>
      <c r="EX7337" s="44" t="s">
        <v>5523</v>
      </c>
      <c r="FF7337" s="45" t="s">
        <v>59</v>
      </c>
      <c r="FJ7337" s="45" t="s">
        <v>59</v>
      </c>
    </row>
    <row r="7338" spans="153:166" x14ac:dyDescent="0.35">
      <c r="EW7338" t="s">
        <v>6182</v>
      </c>
      <c r="EX7338" s="44" t="s">
        <v>5524</v>
      </c>
      <c r="FF7338" s="45" t="s">
        <v>59</v>
      </c>
      <c r="FJ7338" s="45" t="s">
        <v>59</v>
      </c>
    </row>
    <row r="7339" spans="153:166" x14ac:dyDescent="0.35">
      <c r="EW7339" t="s">
        <v>6182</v>
      </c>
      <c r="EX7339" s="44" t="s">
        <v>5525</v>
      </c>
      <c r="FF7339" s="45" t="s">
        <v>59</v>
      </c>
      <c r="FJ7339" s="45" t="s">
        <v>59</v>
      </c>
    </row>
    <row r="7340" spans="153:166" x14ac:dyDescent="0.35">
      <c r="EW7340" t="s">
        <v>6182</v>
      </c>
      <c r="EX7340" s="44" t="s">
        <v>5526</v>
      </c>
      <c r="FF7340" s="45" t="s">
        <v>59</v>
      </c>
      <c r="FJ7340" s="45" t="s">
        <v>59</v>
      </c>
    </row>
    <row r="7341" spans="153:166" x14ac:dyDescent="0.35">
      <c r="EW7341" t="s">
        <v>6182</v>
      </c>
      <c r="EX7341" s="44" t="s">
        <v>5527</v>
      </c>
      <c r="FF7341" s="45" t="s">
        <v>59</v>
      </c>
      <c r="FJ7341" s="45" t="s">
        <v>59</v>
      </c>
    </row>
    <row r="7342" spans="153:166" x14ac:dyDescent="0.35">
      <c r="EW7342" t="s">
        <v>6182</v>
      </c>
      <c r="EX7342" s="44" t="s">
        <v>5528</v>
      </c>
      <c r="FF7342" s="45" t="s">
        <v>59</v>
      </c>
      <c r="FJ7342" s="45" t="s">
        <v>59</v>
      </c>
    </row>
    <row r="7343" spans="153:166" x14ac:dyDescent="0.35">
      <c r="EW7343" t="s">
        <v>6182</v>
      </c>
      <c r="EX7343" s="44" t="s">
        <v>5529</v>
      </c>
      <c r="FF7343" s="45" t="s">
        <v>59</v>
      </c>
      <c r="FJ7343" s="45" t="s">
        <v>59</v>
      </c>
    </row>
    <row r="7344" spans="153:166" x14ac:dyDescent="0.35">
      <c r="EW7344" t="s">
        <v>6182</v>
      </c>
      <c r="EX7344" s="44" t="s">
        <v>5530</v>
      </c>
      <c r="FF7344" s="45" t="s">
        <v>59</v>
      </c>
      <c r="FJ7344" s="45" t="s">
        <v>59</v>
      </c>
    </row>
    <row r="7345" spans="153:166" x14ac:dyDescent="0.35">
      <c r="EW7345" t="s">
        <v>6182</v>
      </c>
      <c r="EX7345" s="44" t="s">
        <v>5531</v>
      </c>
      <c r="FF7345" s="45" t="s">
        <v>59</v>
      </c>
      <c r="FJ7345" s="45" t="s">
        <v>59</v>
      </c>
    </row>
    <row r="7346" spans="153:166" x14ac:dyDescent="0.35">
      <c r="EW7346" t="s">
        <v>6182</v>
      </c>
      <c r="EX7346" s="44" t="s">
        <v>5532</v>
      </c>
      <c r="FF7346" s="45" t="s">
        <v>59</v>
      </c>
      <c r="FJ7346" s="45" t="s">
        <v>59</v>
      </c>
    </row>
    <row r="7347" spans="153:166" x14ac:dyDescent="0.35">
      <c r="EW7347" t="s">
        <v>6182</v>
      </c>
      <c r="EX7347" s="44" t="s">
        <v>5533</v>
      </c>
      <c r="FF7347" s="45" t="s">
        <v>59</v>
      </c>
      <c r="FJ7347" s="45" t="s">
        <v>59</v>
      </c>
    </row>
    <row r="7348" spans="153:166" x14ac:dyDescent="0.35">
      <c r="EW7348" t="s">
        <v>6182</v>
      </c>
      <c r="EX7348" s="44" t="s">
        <v>5534</v>
      </c>
      <c r="FF7348" s="45" t="s">
        <v>59</v>
      </c>
      <c r="FJ7348" s="45" t="s">
        <v>59</v>
      </c>
    </row>
    <row r="7349" spans="153:166" x14ac:dyDescent="0.35">
      <c r="EW7349" t="s">
        <v>6182</v>
      </c>
      <c r="EX7349" s="44" t="s">
        <v>5535</v>
      </c>
      <c r="FF7349" s="45" t="s">
        <v>59</v>
      </c>
      <c r="FJ7349" s="45" t="s">
        <v>59</v>
      </c>
    </row>
    <row r="7350" spans="153:166" x14ac:dyDescent="0.35">
      <c r="EW7350" t="s">
        <v>6182</v>
      </c>
      <c r="EX7350" s="44" t="s">
        <v>5536</v>
      </c>
      <c r="FF7350" s="45" t="s">
        <v>59</v>
      </c>
      <c r="FJ7350" s="45" t="s">
        <v>59</v>
      </c>
    </row>
    <row r="7351" spans="153:166" x14ac:dyDescent="0.35">
      <c r="EW7351" t="s">
        <v>6182</v>
      </c>
      <c r="EX7351" s="44" t="s">
        <v>5537</v>
      </c>
      <c r="FF7351" s="45" t="s">
        <v>59</v>
      </c>
      <c r="FJ7351" s="45" t="s">
        <v>59</v>
      </c>
    </row>
    <row r="7352" spans="153:166" x14ac:dyDescent="0.35">
      <c r="EW7352" t="s">
        <v>6182</v>
      </c>
      <c r="EX7352" s="44" t="s">
        <v>5538</v>
      </c>
      <c r="FF7352" s="45" t="s">
        <v>59</v>
      </c>
      <c r="FJ7352" s="45" t="s">
        <v>59</v>
      </c>
    </row>
    <row r="7353" spans="153:166" x14ac:dyDescent="0.35">
      <c r="EW7353" t="s">
        <v>6182</v>
      </c>
      <c r="EX7353" s="44" t="s">
        <v>5539</v>
      </c>
      <c r="FF7353" s="45" t="s">
        <v>59</v>
      </c>
      <c r="FJ7353" s="45" t="s">
        <v>59</v>
      </c>
    </row>
    <row r="7354" spans="153:166" x14ac:dyDescent="0.35">
      <c r="EW7354" t="s">
        <v>6182</v>
      </c>
      <c r="EX7354" s="44" t="s">
        <v>5540</v>
      </c>
      <c r="FF7354" s="45" t="s">
        <v>59</v>
      </c>
      <c r="FJ7354" s="45" t="s">
        <v>59</v>
      </c>
    </row>
    <row r="7355" spans="153:166" x14ac:dyDescent="0.35">
      <c r="EW7355" t="s">
        <v>6182</v>
      </c>
      <c r="EX7355" s="44" t="s">
        <v>5541</v>
      </c>
      <c r="FF7355" s="45" t="s">
        <v>59</v>
      </c>
      <c r="FJ7355" s="45" t="s">
        <v>59</v>
      </c>
    </row>
    <row r="7356" spans="153:166" x14ac:dyDescent="0.35">
      <c r="EW7356" t="s">
        <v>6182</v>
      </c>
      <c r="EX7356" s="44" t="s">
        <v>5542</v>
      </c>
      <c r="FF7356" s="45" t="s">
        <v>59</v>
      </c>
      <c r="FJ7356" s="45" t="s">
        <v>59</v>
      </c>
    </row>
    <row r="7357" spans="153:166" x14ac:dyDescent="0.35">
      <c r="EW7357" t="s">
        <v>6182</v>
      </c>
      <c r="EX7357" s="44" t="s">
        <v>5543</v>
      </c>
      <c r="FF7357" s="45" t="s">
        <v>59</v>
      </c>
      <c r="FJ7357" s="45" t="s">
        <v>59</v>
      </c>
    </row>
    <row r="7358" spans="153:166" x14ac:dyDescent="0.35">
      <c r="EW7358" t="s">
        <v>6182</v>
      </c>
      <c r="EX7358" s="44" t="s">
        <v>5544</v>
      </c>
      <c r="FF7358" s="45" t="s">
        <v>59</v>
      </c>
      <c r="FJ7358" s="45" t="s">
        <v>59</v>
      </c>
    </row>
    <row r="7359" spans="153:166" x14ac:dyDescent="0.35">
      <c r="EW7359" t="s">
        <v>6182</v>
      </c>
      <c r="EX7359" s="44" t="s">
        <v>5545</v>
      </c>
      <c r="FF7359" s="45" t="s">
        <v>59</v>
      </c>
      <c r="FJ7359" s="45" t="s">
        <v>59</v>
      </c>
    </row>
    <row r="7360" spans="153:166" x14ac:dyDescent="0.35">
      <c r="EW7360" t="s">
        <v>6182</v>
      </c>
      <c r="EX7360" s="44" t="s">
        <v>5546</v>
      </c>
      <c r="FF7360" s="45" t="s">
        <v>59</v>
      </c>
      <c r="FJ7360" s="45" t="s">
        <v>59</v>
      </c>
    </row>
    <row r="7361" spans="153:166" x14ac:dyDescent="0.35">
      <c r="EW7361" t="s">
        <v>6182</v>
      </c>
      <c r="EX7361" s="44" t="s">
        <v>5547</v>
      </c>
      <c r="FF7361" s="45" t="s">
        <v>59</v>
      </c>
      <c r="FJ7361" s="45" t="s">
        <v>59</v>
      </c>
    </row>
    <row r="7362" spans="153:166" x14ac:dyDescent="0.35">
      <c r="EW7362" t="s">
        <v>6182</v>
      </c>
      <c r="EX7362" s="44" t="s">
        <v>5548</v>
      </c>
      <c r="FF7362" s="45" t="s">
        <v>59</v>
      </c>
      <c r="FJ7362" s="45" t="s">
        <v>59</v>
      </c>
    </row>
    <row r="7363" spans="153:166" x14ac:dyDescent="0.35">
      <c r="EW7363" t="s">
        <v>6182</v>
      </c>
      <c r="EX7363" s="44" t="s">
        <v>5549</v>
      </c>
      <c r="FF7363" s="45" t="s">
        <v>59</v>
      </c>
      <c r="FJ7363" s="45" t="s">
        <v>59</v>
      </c>
    </row>
    <row r="7364" spans="153:166" x14ac:dyDescent="0.35">
      <c r="EW7364" t="s">
        <v>6182</v>
      </c>
      <c r="EX7364" s="44" t="s">
        <v>5550</v>
      </c>
      <c r="FF7364" s="45" t="s">
        <v>59</v>
      </c>
      <c r="FJ7364" s="45" t="s">
        <v>59</v>
      </c>
    </row>
    <row r="7365" spans="153:166" x14ac:dyDescent="0.35">
      <c r="EW7365" t="s">
        <v>6182</v>
      </c>
      <c r="EX7365" s="44" t="s">
        <v>5551</v>
      </c>
      <c r="FF7365" s="45" t="s">
        <v>59</v>
      </c>
      <c r="FJ7365" s="45" t="s">
        <v>59</v>
      </c>
    </row>
    <row r="7366" spans="153:166" x14ac:dyDescent="0.35">
      <c r="EW7366" t="s">
        <v>6182</v>
      </c>
      <c r="EX7366" s="44" t="s">
        <v>5552</v>
      </c>
      <c r="FF7366" s="45" t="s">
        <v>59</v>
      </c>
      <c r="FJ7366" s="45" t="s">
        <v>59</v>
      </c>
    </row>
    <row r="7367" spans="153:166" x14ac:dyDescent="0.35">
      <c r="EW7367" t="s">
        <v>6182</v>
      </c>
      <c r="EX7367" s="44" t="s">
        <v>5553</v>
      </c>
      <c r="FF7367" s="45" t="s">
        <v>59</v>
      </c>
      <c r="FJ7367" s="45" t="s">
        <v>59</v>
      </c>
    </row>
    <row r="7368" spans="153:166" x14ac:dyDescent="0.35">
      <c r="EW7368" t="s">
        <v>6182</v>
      </c>
      <c r="EX7368" s="44" t="s">
        <v>5554</v>
      </c>
      <c r="FF7368" s="45" t="s">
        <v>59</v>
      </c>
      <c r="FJ7368" s="45" t="s">
        <v>59</v>
      </c>
    </row>
    <row r="7369" spans="153:166" x14ac:dyDescent="0.35">
      <c r="EW7369" t="s">
        <v>6182</v>
      </c>
      <c r="EX7369" s="44" t="s">
        <v>5555</v>
      </c>
      <c r="FF7369" s="45" t="s">
        <v>59</v>
      </c>
      <c r="FJ7369" s="45" t="s">
        <v>59</v>
      </c>
    </row>
    <row r="7370" spans="153:166" x14ac:dyDescent="0.35">
      <c r="EW7370" t="s">
        <v>6182</v>
      </c>
      <c r="EX7370" s="44" t="s">
        <v>5556</v>
      </c>
      <c r="FF7370" s="45" t="s">
        <v>59</v>
      </c>
      <c r="FJ7370" s="45" t="s">
        <v>59</v>
      </c>
    </row>
    <row r="7371" spans="153:166" x14ac:dyDescent="0.35">
      <c r="EW7371" t="s">
        <v>6182</v>
      </c>
      <c r="EX7371" s="44" t="s">
        <v>5557</v>
      </c>
      <c r="FF7371" s="45" t="s">
        <v>59</v>
      </c>
      <c r="FJ7371" s="45" t="s">
        <v>59</v>
      </c>
    </row>
    <row r="7372" spans="153:166" x14ac:dyDescent="0.35">
      <c r="EW7372" t="s">
        <v>6182</v>
      </c>
      <c r="EX7372" s="44" t="s">
        <v>5558</v>
      </c>
      <c r="FF7372" s="45" t="s">
        <v>59</v>
      </c>
      <c r="FJ7372" s="45" t="s">
        <v>59</v>
      </c>
    </row>
    <row r="7373" spans="153:166" x14ac:dyDescent="0.35">
      <c r="EW7373" t="s">
        <v>6182</v>
      </c>
      <c r="EX7373" s="44" t="s">
        <v>5559</v>
      </c>
      <c r="FF7373" s="45" t="s">
        <v>59</v>
      </c>
      <c r="FJ7373" s="45" t="s">
        <v>59</v>
      </c>
    </row>
    <row r="7374" spans="153:166" x14ac:dyDescent="0.35">
      <c r="EW7374" t="s">
        <v>6182</v>
      </c>
      <c r="EX7374" s="44" t="s">
        <v>5560</v>
      </c>
      <c r="FF7374" s="45" t="s">
        <v>59</v>
      </c>
      <c r="FJ7374" s="45" t="s">
        <v>59</v>
      </c>
    </row>
    <row r="7375" spans="153:166" x14ac:dyDescent="0.35">
      <c r="EW7375" t="s">
        <v>6182</v>
      </c>
      <c r="EX7375" s="44" t="s">
        <v>5561</v>
      </c>
      <c r="FF7375" s="45" t="s">
        <v>59</v>
      </c>
      <c r="FJ7375" s="45" t="s">
        <v>59</v>
      </c>
    </row>
    <row r="7376" spans="153:166" x14ac:dyDescent="0.35">
      <c r="EW7376" t="s">
        <v>6182</v>
      </c>
      <c r="EX7376" s="44" t="s">
        <v>5562</v>
      </c>
      <c r="FF7376" s="45" t="s">
        <v>59</v>
      </c>
      <c r="FJ7376" s="45" t="s">
        <v>59</v>
      </c>
    </row>
    <row r="7377" spans="153:166" x14ac:dyDescent="0.35">
      <c r="EW7377" t="s">
        <v>6182</v>
      </c>
      <c r="EX7377" s="44" t="s">
        <v>5563</v>
      </c>
      <c r="FF7377" s="45" t="s">
        <v>59</v>
      </c>
      <c r="FJ7377" s="45" t="s">
        <v>59</v>
      </c>
    </row>
    <row r="7378" spans="153:166" x14ac:dyDescent="0.35">
      <c r="EW7378" t="s">
        <v>6182</v>
      </c>
      <c r="EX7378" s="44" t="s">
        <v>5564</v>
      </c>
      <c r="FF7378" s="45" t="s">
        <v>59</v>
      </c>
      <c r="FJ7378" s="45" t="s">
        <v>59</v>
      </c>
    </row>
    <row r="7379" spans="153:166" x14ac:dyDescent="0.35">
      <c r="EW7379" t="s">
        <v>6182</v>
      </c>
      <c r="EX7379" s="44" t="s">
        <v>5565</v>
      </c>
      <c r="FF7379" s="45" t="s">
        <v>59</v>
      </c>
      <c r="FJ7379" s="45" t="s">
        <v>59</v>
      </c>
    </row>
    <row r="7380" spans="153:166" x14ac:dyDescent="0.35">
      <c r="EW7380" t="s">
        <v>6182</v>
      </c>
      <c r="EX7380" s="44" t="s">
        <v>5566</v>
      </c>
      <c r="FF7380" s="45" t="s">
        <v>59</v>
      </c>
      <c r="FJ7380" s="45" t="s">
        <v>59</v>
      </c>
    </row>
    <row r="7381" spans="153:166" x14ac:dyDescent="0.35">
      <c r="EW7381" t="s">
        <v>6182</v>
      </c>
      <c r="EX7381" s="44" t="s">
        <v>5567</v>
      </c>
      <c r="FF7381" s="45" t="s">
        <v>59</v>
      </c>
      <c r="FJ7381" s="45" t="s">
        <v>59</v>
      </c>
    </row>
    <row r="7382" spans="153:166" x14ac:dyDescent="0.35">
      <c r="EW7382" t="s">
        <v>6182</v>
      </c>
      <c r="EX7382" s="44" t="s">
        <v>5568</v>
      </c>
      <c r="FF7382" s="45" t="s">
        <v>59</v>
      </c>
      <c r="FJ7382" s="45" t="s">
        <v>59</v>
      </c>
    </row>
    <row r="7383" spans="153:166" x14ac:dyDescent="0.35">
      <c r="EW7383" t="s">
        <v>6182</v>
      </c>
      <c r="EX7383" s="44" t="s">
        <v>5569</v>
      </c>
      <c r="FF7383" s="45" t="s">
        <v>59</v>
      </c>
      <c r="FJ7383" s="45" t="s">
        <v>59</v>
      </c>
    </row>
    <row r="7384" spans="153:166" x14ac:dyDescent="0.35">
      <c r="EW7384" t="s">
        <v>6182</v>
      </c>
      <c r="EX7384" s="44" t="s">
        <v>5570</v>
      </c>
      <c r="FF7384" s="45" t="s">
        <v>59</v>
      </c>
      <c r="FJ7384" s="45" t="s">
        <v>59</v>
      </c>
    </row>
    <row r="7385" spans="153:166" x14ac:dyDescent="0.35">
      <c r="EW7385" t="s">
        <v>6182</v>
      </c>
      <c r="EX7385" s="44" t="s">
        <v>5571</v>
      </c>
      <c r="FF7385" s="45" t="s">
        <v>59</v>
      </c>
      <c r="FJ7385" s="45" t="s">
        <v>59</v>
      </c>
    </row>
    <row r="7386" spans="153:166" x14ac:dyDescent="0.35">
      <c r="EW7386" t="s">
        <v>6182</v>
      </c>
      <c r="EX7386" s="44" t="s">
        <v>5572</v>
      </c>
      <c r="FF7386" s="45" t="s">
        <v>59</v>
      </c>
      <c r="FJ7386" s="45" t="s">
        <v>59</v>
      </c>
    </row>
    <row r="7387" spans="153:166" x14ac:dyDescent="0.35">
      <c r="EW7387" t="s">
        <v>6182</v>
      </c>
      <c r="EX7387" s="44" t="s">
        <v>5573</v>
      </c>
      <c r="FF7387" s="45" t="s">
        <v>59</v>
      </c>
      <c r="FJ7387" s="45" t="s">
        <v>59</v>
      </c>
    </row>
    <row r="7388" spans="153:166" x14ac:dyDescent="0.35">
      <c r="EW7388" t="s">
        <v>6182</v>
      </c>
      <c r="EX7388" s="44" t="s">
        <v>5574</v>
      </c>
      <c r="FF7388" s="45" t="s">
        <v>59</v>
      </c>
      <c r="FJ7388" s="45" t="s">
        <v>59</v>
      </c>
    </row>
    <row r="7389" spans="153:166" x14ac:dyDescent="0.35">
      <c r="EW7389" t="s">
        <v>6182</v>
      </c>
      <c r="EX7389" s="44" t="s">
        <v>5575</v>
      </c>
      <c r="FF7389" s="45" t="s">
        <v>59</v>
      </c>
      <c r="FJ7389" s="45" t="s">
        <v>59</v>
      </c>
    </row>
    <row r="7390" spans="153:166" x14ac:dyDescent="0.35">
      <c r="EW7390" t="s">
        <v>6182</v>
      </c>
      <c r="EX7390" s="44" t="s">
        <v>5576</v>
      </c>
      <c r="FF7390" s="45" t="s">
        <v>59</v>
      </c>
      <c r="FJ7390" s="45" t="s">
        <v>59</v>
      </c>
    </row>
    <row r="7391" spans="153:166" x14ac:dyDescent="0.35">
      <c r="EW7391" t="s">
        <v>6182</v>
      </c>
      <c r="EX7391" s="44" t="s">
        <v>5577</v>
      </c>
      <c r="FF7391" s="45" t="s">
        <v>59</v>
      </c>
      <c r="FJ7391" s="45" t="s">
        <v>59</v>
      </c>
    </row>
    <row r="7392" spans="153:166" x14ac:dyDescent="0.35">
      <c r="EW7392" t="s">
        <v>6182</v>
      </c>
      <c r="EX7392" s="44" t="s">
        <v>5578</v>
      </c>
      <c r="FF7392" s="45" t="s">
        <v>59</v>
      </c>
      <c r="FJ7392" s="45" t="s">
        <v>59</v>
      </c>
    </row>
    <row r="7393" spans="153:166" x14ac:dyDescent="0.35">
      <c r="EW7393" t="s">
        <v>6182</v>
      </c>
      <c r="EX7393" s="44" t="s">
        <v>5579</v>
      </c>
      <c r="FF7393" s="45" t="s">
        <v>59</v>
      </c>
      <c r="FJ7393" s="45" t="s">
        <v>59</v>
      </c>
    </row>
    <row r="7394" spans="153:166" x14ac:dyDescent="0.35">
      <c r="EW7394" t="s">
        <v>6182</v>
      </c>
      <c r="EX7394" s="44" t="s">
        <v>5580</v>
      </c>
      <c r="FF7394" s="45" t="s">
        <v>59</v>
      </c>
      <c r="FJ7394" s="45" t="s">
        <v>59</v>
      </c>
    </row>
    <row r="7395" spans="153:166" x14ac:dyDescent="0.35">
      <c r="EW7395" t="s">
        <v>6182</v>
      </c>
      <c r="EX7395" s="44" t="s">
        <v>5581</v>
      </c>
      <c r="FF7395" s="45" t="s">
        <v>59</v>
      </c>
      <c r="FJ7395" s="45" t="s">
        <v>59</v>
      </c>
    </row>
    <row r="7396" spans="153:166" x14ac:dyDescent="0.35">
      <c r="EW7396" t="s">
        <v>6182</v>
      </c>
      <c r="EX7396" s="44" t="s">
        <v>5582</v>
      </c>
      <c r="FF7396" s="45" t="s">
        <v>59</v>
      </c>
      <c r="FJ7396" s="45" t="s">
        <v>59</v>
      </c>
    </row>
    <row r="7397" spans="153:166" x14ac:dyDescent="0.35">
      <c r="EW7397" t="s">
        <v>6182</v>
      </c>
      <c r="EX7397" s="44" t="s">
        <v>5583</v>
      </c>
      <c r="FF7397" s="45" t="s">
        <v>59</v>
      </c>
      <c r="FJ7397" s="45" t="s">
        <v>59</v>
      </c>
    </row>
    <row r="7398" spans="153:166" x14ac:dyDescent="0.35">
      <c r="EW7398" t="s">
        <v>6182</v>
      </c>
      <c r="EX7398" s="44" t="s">
        <v>5584</v>
      </c>
      <c r="FF7398" s="45" t="s">
        <v>59</v>
      </c>
      <c r="FJ7398" s="45" t="s">
        <v>59</v>
      </c>
    </row>
    <row r="7399" spans="153:166" x14ac:dyDescent="0.35">
      <c r="EW7399" t="s">
        <v>6182</v>
      </c>
      <c r="EX7399" s="44" t="s">
        <v>5585</v>
      </c>
      <c r="FF7399" s="45" t="s">
        <v>59</v>
      </c>
      <c r="FJ7399" s="45" t="s">
        <v>59</v>
      </c>
    </row>
    <row r="7400" spans="153:166" x14ac:dyDescent="0.35">
      <c r="EW7400" t="s">
        <v>6182</v>
      </c>
      <c r="EX7400" s="44" t="s">
        <v>5586</v>
      </c>
      <c r="FF7400" s="45" t="s">
        <v>59</v>
      </c>
      <c r="FJ7400" s="45" t="s">
        <v>59</v>
      </c>
    </row>
    <row r="7401" spans="153:166" x14ac:dyDescent="0.35">
      <c r="EW7401" t="s">
        <v>6182</v>
      </c>
      <c r="EX7401" s="44" t="s">
        <v>5587</v>
      </c>
      <c r="FF7401" s="45" t="s">
        <v>59</v>
      </c>
      <c r="FJ7401" s="45" t="s">
        <v>59</v>
      </c>
    </row>
    <row r="7402" spans="153:166" x14ac:dyDescent="0.35">
      <c r="EW7402" t="s">
        <v>6182</v>
      </c>
      <c r="EX7402" s="44" t="s">
        <v>5588</v>
      </c>
      <c r="FF7402" s="45" t="s">
        <v>59</v>
      </c>
      <c r="FJ7402" s="45" t="s">
        <v>59</v>
      </c>
    </row>
    <row r="7403" spans="153:166" x14ac:dyDescent="0.35">
      <c r="EW7403" t="s">
        <v>6182</v>
      </c>
      <c r="EX7403" s="44" t="s">
        <v>5589</v>
      </c>
      <c r="FF7403" s="45" t="s">
        <v>59</v>
      </c>
      <c r="FJ7403" s="45" t="s">
        <v>59</v>
      </c>
    </row>
    <row r="7404" spans="153:166" x14ac:dyDescent="0.35">
      <c r="EW7404" t="s">
        <v>6182</v>
      </c>
      <c r="EX7404" s="44" t="s">
        <v>5590</v>
      </c>
      <c r="FF7404" s="45" t="s">
        <v>59</v>
      </c>
      <c r="FJ7404" s="45" t="s">
        <v>59</v>
      </c>
    </row>
    <row r="7405" spans="153:166" x14ac:dyDescent="0.35">
      <c r="EW7405" t="s">
        <v>6182</v>
      </c>
      <c r="EX7405" s="44" t="s">
        <v>5591</v>
      </c>
      <c r="FF7405" s="45" t="s">
        <v>59</v>
      </c>
      <c r="FJ7405" s="45" t="s">
        <v>59</v>
      </c>
    </row>
    <row r="7406" spans="153:166" x14ac:dyDescent="0.35">
      <c r="EW7406" t="s">
        <v>6182</v>
      </c>
      <c r="EX7406" s="44" t="s">
        <v>5592</v>
      </c>
      <c r="FF7406" s="45" t="s">
        <v>59</v>
      </c>
      <c r="FJ7406" s="45" t="s">
        <v>59</v>
      </c>
    </row>
    <row r="7407" spans="153:166" x14ac:dyDescent="0.35">
      <c r="EW7407" t="s">
        <v>6182</v>
      </c>
      <c r="EX7407" s="44" t="s">
        <v>5593</v>
      </c>
      <c r="FF7407" s="45" t="s">
        <v>59</v>
      </c>
      <c r="FJ7407" s="45" t="s">
        <v>59</v>
      </c>
    </row>
    <row r="7408" spans="153:166" x14ac:dyDescent="0.35">
      <c r="EW7408" t="s">
        <v>6182</v>
      </c>
      <c r="EX7408" s="44" t="s">
        <v>5594</v>
      </c>
      <c r="FF7408" s="45" t="s">
        <v>59</v>
      </c>
      <c r="FJ7408" s="45" t="s">
        <v>59</v>
      </c>
    </row>
    <row r="7409" spans="153:166" x14ac:dyDescent="0.35">
      <c r="EW7409" t="s">
        <v>6182</v>
      </c>
      <c r="EX7409" s="44" t="s">
        <v>5595</v>
      </c>
      <c r="FF7409" s="45" t="s">
        <v>59</v>
      </c>
      <c r="FJ7409" s="45" t="s">
        <v>59</v>
      </c>
    </row>
    <row r="7410" spans="153:166" x14ac:dyDescent="0.35">
      <c r="EW7410" t="s">
        <v>6182</v>
      </c>
      <c r="EX7410" s="44" t="s">
        <v>5596</v>
      </c>
      <c r="FF7410" s="45" t="s">
        <v>59</v>
      </c>
      <c r="FJ7410" s="45" t="s">
        <v>59</v>
      </c>
    </row>
    <row r="7411" spans="153:166" x14ac:dyDescent="0.35">
      <c r="EW7411" t="s">
        <v>6182</v>
      </c>
      <c r="EX7411" s="44" t="s">
        <v>5597</v>
      </c>
      <c r="FF7411" s="45" t="s">
        <v>59</v>
      </c>
      <c r="FJ7411" s="45" t="s">
        <v>59</v>
      </c>
    </row>
    <row r="7412" spans="153:166" x14ac:dyDescent="0.35">
      <c r="EW7412" t="s">
        <v>6182</v>
      </c>
      <c r="EX7412" s="44" t="s">
        <v>5598</v>
      </c>
      <c r="FF7412" s="45" t="s">
        <v>59</v>
      </c>
      <c r="FJ7412" s="45" t="s">
        <v>59</v>
      </c>
    </row>
    <row r="7413" spans="153:166" x14ac:dyDescent="0.35">
      <c r="EW7413" t="s">
        <v>6182</v>
      </c>
      <c r="EX7413" s="44" t="s">
        <v>5599</v>
      </c>
      <c r="FF7413" s="45" t="s">
        <v>59</v>
      </c>
      <c r="FJ7413" s="45" t="s">
        <v>59</v>
      </c>
    </row>
    <row r="7414" spans="153:166" x14ac:dyDescent="0.35">
      <c r="EW7414" t="s">
        <v>6182</v>
      </c>
      <c r="EX7414" s="44" t="s">
        <v>5600</v>
      </c>
      <c r="FF7414" s="45" t="s">
        <v>59</v>
      </c>
      <c r="FJ7414" s="45" t="s">
        <v>59</v>
      </c>
    </row>
    <row r="7415" spans="153:166" x14ac:dyDescent="0.35">
      <c r="EW7415" t="s">
        <v>6182</v>
      </c>
      <c r="EX7415" s="44" t="s">
        <v>5601</v>
      </c>
      <c r="FF7415" s="45" t="s">
        <v>59</v>
      </c>
      <c r="FJ7415" s="45" t="s">
        <v>59</v>
      </c>
    </row>
    <row r="7416" spans="153:166" x14ac:dyDescent="0.35">
      <c r="EW7416" t="s">
        <v>6182</v>
      </c>
      <c r="EX7416" s="44" t="s">
        <v>5602</v>
      </c>
      <c r="FF7416" s="45" t="s">
        <v>59</v>
      </c>
      <c r="FJ7416" s="45" t="s">
        <v>59</v>
      </c>
    </row>
    <row r="7417" spans="153:166" x14ac:dyDescent="0.35">
      <c r="EW7417" t="s">
        <v>6182</v>
      </c>
      <c r="EX7417" s="44" t="s">
        <v>5603</v>
      </c>
      <c r="FF7417" s="45" t="s">
        <v>59</v>
      </c>
      <c r="FJ7417" s="45" t="s">
        <v>59</v>
      </c>
    </row>
    <row r="7418" spans="153:166" x14ac:dyDescent="0.35">
      <c r="EW7418" t="s">
        <v>6182</v>
      </c>
      <c r="EX7418" s="44" t="s">
        <v>5604</v>
      </c>
      <c r="FF7418" s="45" t="s">
        <v>59</v>
      </c>
      <c r="FJ7418" s="45" t="s">
        <v>59</v>
      </c>
    </row>
    <row r="7419" spans="153:166" x14ac:dyDescent="0.35">
      <c r="EW7419" t="s">
        <v>6182</v>
      </c>
      <c r="EX7419" s="44" t="s">
        <v>5605</v>
      </c>
      <c r="FF7419" s="45" t="s">
        <v>59</v>
      </c>
      <c r="FJ7419" s="45" t="s">
        <v>59</v>
      </c>
    </row>
    <row r="7420" spans="153:166" x14ac:dyDescent="0.35">
      <c r="EW7420" t="s">
        <v>6182</v>
      </c>
      <c r="EX7420" s="44" t="s">
        <v>5606</v>
      </c>
      <c r="FF7420" s="45" t="s">
        <v>59</v>
      </c>
      <c r="FJ7420" s="45" t="s">
        <v>59</v>
      </c>
    </row>
    <row r="7421" spans="153:166" x14ac:dyDescent="0.35">
      <c r="EW7421" t="s">
        <v>6182</v>
      </c>
      <c r="EX7421" s="44" t="s">
        <v>5607</v>
      </c>
      <c r="FF7421" s="45" t="s">
        <v>59</v>
      </c>
      <c r="FJ7421" s="45" t="s">
        <v>59</v>
      </c>
    </row>
    <row r="7422" spans="153:166" x14ac:dyDescent="0.35">
      <c r="EW7422" t="s">
        <v>6182</v>
      </c>
      <c r="EX7422" s="44" t="s">
        <v>5608</v>
      </c>
      <c r="FF7422" s="45" t="s">
        <v>59</v>
      </c>
      <c r="FJ7422" s="45" t="s">
        <v>59</v>
      </c>
    </row>
    <row r="7423" spans="153:166" x14ac:dyDescent="0.35">
      <c r="EW7423" t="s">
        <v>6182</v>
      </c>
      <c r="EX7423" s="44" t="s">
        <v>5609</v>
      </c>
      <c r="FF7423" s="45" t="s">
        <v>59</v>
      </c>
      <c r="FJ7423" s="45" t="s">
        <v>59</v>
      </c>
    </row>
    <row r="7424" spans="153:166" x14ac:dyDescent="0.35">
      <c r="EW7424" t="s">
        <v>6182</v>
      </c>
      <c r="EX7424" s="44" t="s">
        <v>5610</v>
      </c>
      <c r="FF7424" s="45" t="s">
        <v>59</v>
      </c>
      <c r="FJ7424" s="45" t="s">
        <v>59</v>
      </c>
    </row>
    <row r="7425" spans="153:166" x14ac:dyDescent="0.35">
      <c r="EW7425" t="s">
        <v>6182</v>
      </c>
      <c r="EX7425" s="44" t="s">
        <v>5611</v>
      </c>
      <c r="FF7425" s="45" t="s">
        <v>59</v>
      </c>
      <c r="FJ7425" s="45" t="s">
        <v>59</v>
      </c>
    </row>
    <row r="7426" spans="153:166" x14ac:dyDescent="0.35">
      <c r="EW7426" t="s">
        <v>6182</v>
      </c>
      <c r="EX7426" s="44" t="s">
        <v>5612</v>
      </c>
      <c r="FF7426" s="45" t="s">
        <v>59</v>
      </c>
      <c r="FJ7426" s="45" t="s">
        <v>59</v>
      </c>
    </row>
    <row r="7427" spans="153:166" x14ac:dyDescent="0.35">
      <c r="EW7427" t="s">
        <v>6182</v>
      </c>
      <c r="EX7427" s="44" t="s">
        <v>5613</v>
      </c>
      <c r="FF7427" s="45" t="s">
        <v>59</v>
      </c>
      <c r="FJ7427" s="45" t="s">
        <v>59</v>
      </c>
    </row>
    <row r="7428" spans="153:166" x14ac:dyDescent="0.35">
      <c r="EW7428" t="s">
        <v>6182</v>
      </c>
      <c r="EX7428" s="44" t="s">
        <v>5614</v>
      </c>
      <c r="FF7428" s="45" t="s">
        <v>59</v>
      </c>
      <c r="FJ7428" s="45" t="s">
        <v>59</v>
      </c>
    </row>
    <row r="7429" spans="153:166" x14ac:dyDescent="0.35">
      <c r="EW7429" t="s">
        <v>6182</v>
      </c>
      <c r="EX7429" s="44" t="s">
        <v>5615</v>
      </c>
      <c r="FF7429" s="45" t="s">
        <v>59</v>
      </c>
      <c r="FJ7429" s="45" t="s">
        <v>59</v>
      </c>
    </row>
    <row r="7430" spans="153:166" x14ac:dyDescent="0.35">
      <c r="EW7430" t="s">
        <v>6182</v>
      </c>
      <c r="EX7430" s="44" t="s">
        <v>5616</v>
      </c>
      <c r="FF7430" s="45" t="s">
        <v>59</v>
      </c>
      <c r="FJ7430" s="45" t="s">
        <v>59</v>
      </c>
    </row>
    <row r="7431" spans="153:166" x14ac:dyDescent="0.35">
      <c r="EW7431" t="s">
        <v>6182</v>
      </c>
      <c r="EX7431" s="44" t="s">
        <v>5617</v>
      </c>
      <c r="FF7431" s="45" t="s">
        <v>59</v>
      </c>
      <c r="FJ7431" s="45" t="s">
        <v>59</v>
      </c>
    </row>
    <row r="7432" spans="153:166" x14ac:dyDescent="0.35">
      <c r="EW7432" t="s">
        <v>6182</v>
      </c>
      <c r="EX7432" s="44" t="s">
        <v>5618</v>
      </c>
      <c r="FF7432" s="45" t="s">
        <v>59</v>
      </c>
      <c r="FJ7432" s="45" t="s">
        <v>59</v>
      </c>
    </row>
    <row r="7433" spans="153:166" x14ac:dyDescent="0.35">
      <c r="EW7433" t="s">
        <v>6182</v>
      </c>
      <c r="EX7433" s="44" t="s">
        <v>5619</v>
      </c>
      <c r="FF7433" s="45" t="s">
        <v>59</v>
      </c>
      <c r="FJ7433" s="45" t="s">
        <v>59</v>
      </c>
    </row>
    <row r="7434" spans="153:166" x14ac:dyDescent="0.35">
      <c r="EW7434" t="s">
        <v>6182</v>
      </c>
      <c r="EX7434" s="44" t="s">
        <v>5620</v>
      </c>
      <c r="FF7434" s="45" t="s">
        <v>59</v>
      </c>
      <c r="FJ7434" s="45" t="s">
        <v>59</v>
      </c>
    </row>
    <row r="7435" spans="153:166" x14ac:dyDescent="0.35">
      <c r="EW7435" t="s">
        <v>6182</v>
      </c>
      <c r="EX7435" s="44" t="s">
        <v>5621</v>
      </c>
      <c r="FF7435" s="45" t="s">
        <v>59</v>
      </c>
      <c r="FJ7435" s="45" t="s">
        <v>59</v>
      </c>
    </row>
    <row r="7436" spans="153:166" x14ac:dyDescent="0.35">
      <c r="EW7436" t="s">
        <v>6182</v>
      </c>
      <c r="EX7436" s="44" t="s">
        <v>5622</v>
      </c>
      <c r="FF7436" s="45" t="s">
        <v>59</v>
      </c>
      <c r="FJ7436" s="45" t="s">
        <v>59</v>
      </c>
    </row>
    <row r="7437" spans="153:166" x14ac:dyDescent="0.35">
      <c r="EW7437" t="s">
        <v>6182</v>
      </c>
      <c r="EX7437" s="44" t="s">
        <v>5623</v>
      </c>
      <c r="FF7437" s="45" t="s">
        <v>59</v>
      </c>
      <c r="FJ7437" s="45" t="s">
        <v>59</v>
      </c>
    </row>
    <row r="7438" spans="153:166" x14ac:dyDescent="0.35">
      <c r="EW7438" t="s">
        <v>6182</v>
      </c>
      <c r="EX7438" s="44" t="s">
        <v>5624</v>
      </c>
      <c r="FF7438" s="45" t="s">
        <v>59</v>
      </c>
      <c r="FJ7438" s="45" t="s">
        <v>59</v>
      </c>
    </row>
    <row r="7439" spans="153:166" x14ac:dyDescent="0.35">
      <c r="EW7439" t="s">
        <v>6182</v>
      </c>
      <c r="EX7439" s="44" t="s">
        <v>5625</v>
      </c>
      <c r="FF7439" s="45" t="s">
        <v>59</v>
      </c>
      <c r="FJ7439" s="45" t="s">
        <v>59</v>
      </c>
    </row>
    <row r="7440" spans="153:166" x14ac:dyDescent="0.35">
      <c r="EW7440" t="s">
        <v>6182</v>
      </c>
      <c r="EX7440" s="44" t="s">
        <v>5626</v>
      </c>
      <c r="FF7440" s="45" t="s">
        <v>59</v>
      </c>
      <c r="FJ7440" s="45" t="s">
        <v>59</v>
      </c>
    </row>
    <row r="7441" spans="153:166" x14ac:dyDescent="0.35">
      <c r="EW7441" t="s">
        <v>6182</v>
      </c>
      <c r="EX7441" s="44" t="s">
        <v>5627</v>
      </c>
      <c r="FF7441" s="45" t="s">
        <v>59</v>
      </c>
      <c r="FJ7441" s="45" t="s">
        <v>59</v>
      </c>
    </row>
    <row r="7442" spans="153:166" x14ac:dyDescent="0.35">
      <c r="EW7442" t="s">
        <v>6182</v>
      </c>
      <c r="EX7442" s="44" t="s">
        <v>5628</v>
      </c>
      <c r="FF7442" s="45" t="s">
        <v>59</v>
      </c>
      <c r="FJ7442" s="45" t="s">
        <v>59</v>
      </c>
    </row>
    <row r="7443" spans="153:166" x14ac:dyDescent="0.35">
      <c r="EW7443" t="s">
        <v>6182</v>
      </c>
      <c r="EX7443" s="44" t="s">
        <v>5629</v>
      </c>
      <c r="FF7443" s="45" t="s">
        <v>59</v>
      </c>
      <c r="FJ7443" s="45" t="s">
        <v>59</v>
      </c>
    </row>
    <row r="7444" spans="153:166" x14ac:dyDescent="0.35">
      <c r="EW7444" t="s">
        <v>6182</v>
      </c>
      <c r="EX7444" s="44" t="s">
        <v>5630</v>
      </c>
      <c r="FF7444" s="45" t="s">
        <v>59</v>
      </c>
      <c r="FJ7444" s="45" t="s">
        <v>59</v>
      </c>
    </row>
    <row r="7445" spans="153:166" x14ac:dyDescent="0.35">
      <c r="EW7445" t="s">
        <v>6182</v>
      </c>
      <c r="EX7445" s="44" t="s">
        <v>5631</v>
      </c>
      <c r="FF7445" s="45" t="s">
        <v>59</v>
      </c>
      <c r="FJ7445" s="45" t="s">
        <v>59</v>
      </c>
    </row>
    <row r="7446" spans="153:166" x14ac:dyDescent="0.35">
      <c r="EW7446" t="s">
        <v>6182</v>
      </c>
      <c r="EX7446" s="44" t="s">
        <v>5632</v>
      </c>
      <c r="FF7446" s="45" t="s">
        <v>59</v>
      </c>
      <c r="FJ7446" s="45" t="s">
        <v>59</v>
      </c>
    </row>
    <row r="7447" spans="153:166" x14ac:dyDescent="0.35">
      <c r="EW7447" t="s">
        <v>6182</v>
      </c>
      <c r="EX7447" s="44" t="s">
        <v>5633</v>
      </c>
      <c r="FF7447" s="45" t="s">
        <v>59</v>
      </c>
      <c r="FJ7447" s="45" t="s">
        <v>59</v>
      </c>
    </row>
    <row r="7448" spans="153:166" x14ac:dyDescent="0.35">
      <c r="EW7448" t="s">
        <v>6182</v>
      </c>
      <c r="EX7448" s="44" t="s">
        <v>5634</v>
      </c>
      <c r="FF7448" s="45" t="s">
        <v>59</v>
      </c>
      <c r="FJ7448" s="45" t="s">
        <v>59</v>
      </c>
    </row>
    <row r="7449" spans="153:166" x14ac:dyDescent="0.35">
      <c r="EW7449" t="s">
        <v>6182</v>
      </c>
      <c r="EX7449" s="44" t="s">
        <v>5635</v>
      </c>
      <c r="FF7449" s="45" t="s">
        <v>59</v>
      </c>
      <c r="FJ7449" s="45" t="s">
        <v>59</v>
      </c>
    </row>
    <row r="7450" spans="153:166" x14ac:dyDescent="0.35">
      <c r="EW7450" t="s">
        <v>6182</v>
      </c>
      <c r="EX7450" s="44" t="s">
        <v>5636</v>
      </c>
      <c r="FF7450" s="45" t="s">
        <v>1727</v>
      </c>
      <c r="FJ7450" s="45" t="s">
        <v>1727</v>
      </c>
    </row>
    <row r="7451" spans="153:166" x14ac:dyDescent="0.35">
      <c r="EW7451" t="s">
        <v>6182</v>
      </c>
      <c r="EX7451" s="44" t="s">
        <v>5637</v>
      </c>
      <c r="FF7451" s="45" t="s">
        <v>1727</v>
      </c>
      <c r="FJ7451" s="45" t="s">
        <v>1727</v>
      </c>
    </row>
    <row r="7452" spans="153:166" x14ac:dyDescent="0.35">
      <c r="EW7452" t="s">
        <v>6182</v>
      </c>
      <c r="EX7452" s="44" t="s">
        <v>6183</v>
      </c>
      <c r="FF7452" s="45" t="s">
        <v>1727</v>
      </c>
      <c r="FJ7452" s="45" t="s">
        <v>1727</v>
      </c>
    </row>
    <row r="7453" spans="153:166" x14ac:dyDescent="0.35">
      <c r="EW7453" t="s">
        <v>6182</v>
      </c>
      <c r="EX7453" s="44" t="s">
        <v>5639</v>
      </c>
      <c r="FF7453" s="45" t="s">
        <v>1727</v>
      </c>
      <c r="FJ7453" s="45" t="s">
        <v>1727</v>
      </c>
    </row>
    <row r="7454" spans="153:166" x14ac:dyDescent="0.35">
      <c r="EW7454" t="s">
        <v>6182</v>
      </c>
      <c r="EX7454" s="44" t="s">
        <v>5640</v>
      </c>
      <c r="FF7454" s="45" t="s">
        <v>1727</v>
      </c>
      <c r="FJ7454" s="45" t="s">
        <v>1727</v>
      </c>
    </row>
    <row r="7455" spans="153:166" x14ac:dyDescent="0.35">
      <c r="EW7455" t="s">
        <v>6182</v>
      </c>
      <c r="EX7455" s="44" t="s">
        <v>5641</v>
      </c>
      <c r="FF7455" s="45" t="s">
        <v>1727</v>
      </c>
      <c r="FJ7455" s="45" t="s">
        <v>1727</v>
      </c>
    </row>
    <row r="7456" spans="153:166" x14ac:dyDescent="0.35">
      <c r="EW7456" t="s">
        <v>6182</v>
      </c>
      <c r="EX7456" s="44" t="s">
        <v>5642</v>
      </c>
      <c r="FF7456" s="45" t="s">
        <v>1727</v>
      </c>
      <c r="FJ7456" s="45" t="s">
        <v>1727</v>
      </c>
    </row>
    <row r="7457" spans="153:166" x14ac:dyDescent="0.35">
      <c r="EW7457" t="s">
        <v>6182</v>
      </c>
      <c r="EX7457" s="44" t="s">
        <v>5643</v>
      </c>
      <c r="FF7457" s="45" t="s">
        <v>1727</v>
      </c>
      <c r="FJ7457" s="45" t="s">
        <v>1727</v>
      </c>
    </row>
    <row r="7458" spans="153:166" x14ac:dyDescent="0.35">
      <c r="EW7458" t="s">
        <v>6182</v>
      </c>
      <c r="EX7458" s="44" t="s">
        <v>5644</v>
      </c>
      <c r="FF7458" s="45" t="s">
        <v>55</v>
      </c>
      <c r="FJ7458" s="45" t="s">
        <v>55</v>
      </c>
    </row>
    <row r="7459" spans="153:166" x14ac:dyDescent="0.35">
      <c r="EW7459" t="s">
        <v>6182</v>
      </c>
      <c r="EX7459" s="44" t="s">
        <v>5645</v>
      </c>
      <c r="FF7459" s="45" t="s">
        <v>55</v>
      </c>
      <c r="FJ7459" s="45" t="s">
        <v>55</v>
      </c>
    </row>
    <row r="7460" spans="153:166" x14ac:dyDescent="0.35">
      <c r="EW7460" t="s">
        <v>6182</v>
      </c>
      <c r="EX7460" s="44" t="s">
        <v>6184</v>
      </c>
      <c r="FF7460" s="45" t="s">
        <v>1727</v>
      </c>
      <c r="FJ7460" s="45" t="s">
        <v>1727</v>
      </c>
    </row>
    <row r="7461" spans="153:166" x14ac:dyDescent="0.35">
      <c r="EW7461" t="s">
        <v>6182</v>
      </c>
      <c r="EX7461" s="44" t="s">
        <v>5647</v>
      </c>
      <c r="FF7461" s="45" t="s">
        <v>1727</v>
      </c>
      <c r="FJ7461" s="45" t="s">
        <v>1727</v>
      </c>
    </row>
    <row r="7462" spans="153:166" x14ac:dyDescent="0.35">
      <c r="EW7462" t="s">
        <v>6182</v>
      </c>
      <c r="EX7462" s="44" t="s">
        <v>5648</v>
      </c>
      <c r="FF7462" s="45" t="s">
        <v>474</v>
      </c>
      <c r="FJ7462" s="45" t="s">
        <v>474</v>
      </c>
    </row>
    <row r="7463" spans="153:166" x14ac:dyDescent="0.35">
      <c r="EW7463" t="s">
        <v>6182</v>
      </c>
      <c r="EX7463" s="44" t="s">
        <v>5649</v>
      </c>
      <c r="FF7463" s="45" t="s">
        <v>474</v>
      </c>
      <c r="FJ7463" s="45" t="s">
        <v>474</v>
      </c>
    </row>
    <row r="7464" spans="153:166" x14ac:dyDescent="0.35">
      <c r="EW7464" t="s">
        <v>6182</v>
      </c>
      <c r="EX7464" s="44" t="s">
        <v>5650</v>
      </c>
      <c r="FF7464" s="45" t="s">
        <v>474</v>
      </c>
      <c r="FJ7464" s="45" t="s">
        <v>474</v>
      </c>
    </row>
    <row r="7465" spans="153:166" x14ac:dyDescent="0.35">
      <c r="EW7465" t="s">
        <v>6182</v>
      </c>
      <c r="EX7465" s="44" t="s">
        <v>5651</v>
      </c>
      <c r="FF7465" s="45" t="s">
        <v>474</v>
      </c>
      <c r="FJ7465" s="45" t="s">
        <v>474</v>
      </c>
    </row>
    <row r="7466" spans="153:166" x14ac:dyDescent="0.35">
      <c r="EW7466" t="s">
        <v>6182</v>
      </c>
      <c r="EX7466" s="44" t="s">
        <v>5652</v>
      </c>
      <c r="FF7466" s="45" t="s">
        <v>474</v>
      </c>
      <c r="FJ7466" s="45" t="s">
        <v>474</v>
      </c>
    </row>
    <row r="7467" spans="153:166" x14ac:dyDescent="0.35">
      <c r="EW7467" t="s">
        <v>6182</v>
      </c>
      <c r="EX7467" s="44" t="s">
        <v>5653</v>
      </c>
      <c r="FF7467" s="45" t="s">
        <v>474</v>
      </c>
      <c r="FJ7467" s="45" t="s">
        <v>474</v>
      </c>
    </row>
    <row r="7468" spans="153:166" x14ac:dyDescent="0.35">
      <c r="EW7468" t="s">
        <v>6182</v>
      </c>
      <c r="EX7468" s="44" t="s">
        <v>5654</v>
      </c>
      <c r="FF7468" s="45" t="s">
        <v>474</v>
      </c>
      <c r="FJ7468" s="45" t="s">
        <v>474</v>
      </c>
    </row>
    <row r="7469" spans="153:166" x14ac:dyDescent="0.35">
      <c r="EW7469" t="s">
        <v>6182</v>
      </c>
      <c r="EX7469" s="44" t="s">
        <v>5655</v>
      </c>
      <c r="FF7469" s="45" t="s">
        <v>474</v>
      </c>
      <c r="FJ7469" s="45" t="s">
        <v>474</v>
      </c>
    </row>
    <row r="7470" spans="153:166" x14ac:dyDescent="0.35">
      <c r="EW7470" t="s">
        <v>6182</v>
      </c>
      <c r="EX7470" s="44" t="s">
        <v>5656</v>
      </c>
      <c r="FF7470" s="45" t="s">
        <v>474</v>
      </c>
      <c r="FJ7470" s="45" t="s">
        <v>474</v>
      </c>
    </row>
    <row r="7471" spans="153:166" x14ac:dyDescent="0.35">
      <c r="EW7471" t="s">
        <v>6182</v>
      </c>
      <c r="EX7471" s="44" t="s">
        <v>5657</v>
      </c>
      <c r="FF7471" s="45" t="s">
        <v>474</v>
      </c>
      <c r="FJ7471" s="45" t="s">
        <v>474</v>
      </c>
    </row>
    <row r="7472" spans="153:166" x14ac:dyDescent="0.35">
      <c r="EW7472" t="s">
        <v>6182</v>
      </c>
      <c r="EX7472" s="44" t="s">
        <v>5658</v>
      </c>
      <c r="FF7472" s="45" t="s">
        <v>474</v>
      </c>
      <c r="FJ7472" s="45" t="s">
        <v>474</v>
      </c>
    </row>
    <row r="7473" spans="153:166" x14ac:dyDescent="0.35">
      <c r="EW7473" t="s">
        <v>6182</v>
      </c>
      <c r="EX7473" s="44" t="s">
        <v>5659</v>
      </c>
      <c r="FF7473" s="45" t="s">
        <v>474</v>
      </c>
      <c r="FJ7473" s="45" t="s">
        <v>474</v>
      </c>
    </row>
    <row r="7474" spans="153:166" x14ac:dyDescent="0.35">
      <c r="EW7474" t="s">
        <v>6182</v>
      </c>
      <c r="EX7474" s="44" t="s">
        <v>5660</v>
      </c>
      <c r="FF7474" s="45" t="s">
        <v>474</v>
      </c>
      <c r="FJ7474" s="45" t="s">
        <v>474</v>
      </c>
    </row>
    <row r="7475" spans="153:166" x14ac:dyDescent="0.35">
      <c r="EW7475" t="s">
        <v>6182</v>
      </c>
      <c r="EX7475" s="44" t="s">
        <v>5661</v>
      </c>
      <c r="FF7475" s="45" t="s">
        <v>474</v>
      </c>
      <c r="FJ7475" s="45" t="s">
        <v>474</v>
      </c>
    </row>
    <row r="7476" spans="153:166" x14ac:dyDescent="0.35">
      <c r="EW7476" t="s">
        <v>6182</v>
      </c>
      <c r="EX7476" s="44" t="s">
        <v>5662</v>
      </c>
      <c r="FF7476" s="45" t="s">
        <v>474</v>
      </c>
      <c r="FJ7476" s="45" t="s">
        <v>474</v>
      </c>
    </row>
    <row r="7477" spans="153:166" x14ac:dyDescent="0.35">
      <c r="EW7477" t="s">
        <v>6182</v>
      </c>
      <c r="EX7477" s="44" t="s">
        <v>5663</v>
      </c>
      <c r="FF7477" s="45" t="s">
        <v>474</v>
      </c>
      <c r="FJ7477" s="45" t="s">
        <v>474</v>
      </c>
    </row>
    <row r="7478" spans="153:166" x14ac:dyDescent="0.35">
      <c r="EW7478" t="s">
        <v>6182</v>
      </c>
      <c r="EX7478" s="44" t="s">
        <v>5664</v>
      </c>
      <c r="FF7478" s="45" t="s">
        <v>474</v>
      </c>
      <c r="FJ7478" s="45" t="s">
        <v>474</v>
      </c>
    </row>
    <row r="7479" spans="153:166" x14ac:dyDescent="0.35">
      <c r="EW7479" t="s">
        <v>6182</v>
      </c>
      <c r="EX7479" s="44" t="s">
        <v>5665</v>
      </c>
      <c r="FF7479" s="45" t="s">
        <v>474</v>
      </c>
      <c r="FJ7479" s="45" t="s">
        <v>474</v>
      </c>
    </row>
    <row r="7480" spans="153:166" x14ac:dyDescent="0.35">
      <c r="EW7480" t="s">
        <v>6182</v>
      </c>
      <c r="EX7480" s="44" t="s">
        <v>5666</v>
      </c>
      <c r="FF7480" s="45" t="s">
        <v>474</v>
      </c>
      <c r="FJ7480" s="45" t="s">
        <v>474</v>
      </c>
    </row>
    <row r="7481" spans="153:166" x14ac:dyDescent="0.35">
      <c r="EW7481" t="s">
        <v>6182</v>
      </c>
      <c r="EX7481" s="44" t="s">
        <v>5667</v>
      </c>
      <c r="FF7481" s="45" t="s">
        <v>474</v>
      </c>
      <c r="FJ7481" s="45" t="s">
        <v>474</v>
      </c>
    </row>
    <row r="7482" spans="153:166" x14ac:dyDescent="0.35">
      <c r="EW7482" t="s">
        <v>6182</v>
      </c>
      <c r="EX7482" s="44" t="s">
        <v>5668</v>
      </c>
      <c r="FF7482" s="45" t="s">
        <v>474</v>
      </c>
      <c r="FJ7482" s="45" t="s">
        <v>474</v>
      </c>
    </row>
    <row r="7483" spans="153:166" x14ac:dyDescent="0.35">
      <c r="EW7483" t="s">
        <v>6182</v>
      </c>
      <c r="EX7483" s="44" t="s">
        <v>5669</v>
      </c>
      <c r="FF7483" s="45" t="s">
        <v>474</v>
      </c>
      <c r="FJ7483" s="45" t="s">
        <v>474</v>
      </c>
    </row>
    <row r="7484" spans="153:166" x14ac:dyDescent="0.35">
      <c r="EW7484" t="s">
        <v>6182</v>
      </c>
      <c r="EX7484" s="44" t="s">
        <v>5670</v>
      </c>
      <c r="FF7484" s="45" t="s">
        <v>474</v>
      </c>
      <c r="FJ7484" s="45" t="s">
        <v>474</v>
      </c>
    </row>
    <row r="7485" spans="153:166" x14ac:dyDescent="0.35">
      <c r="EW7485" t="s">
        <v>6182</v>
      </c>
      <c r="EX7485" s="44" t="s">
        <v>5671</v>
      </c>
      <c r="FF7485" s="45" t="s">
        <v>474</v>
      </c>
      <c r="FJ7485" s="45" t="s">
        <v>474</v>
      </c>
    </row>
    <row r="7486" spans="153:166" x14ac:dyDescent="0.35">
      <c r="EW7486" t="s">
        <v>6182</v>
      </c>
      <c r="EX7486" s="44" t="s">
        <v>5672</v>
      </c>
      <c r="FF7486" s="45" t="s">
        <v>474</v>
      </c>
      <c r="FJ7486" s="45" t="s">
        <v>474</v>
      </c>
    </row>
    <row r="7487" spans="153:166" x14ac:dyDescent="0.35">
      <c r="EW7487" t="s">
        <v>6182</v>
      </c>
      <c r="EX7487" s="44" t="s">
        <v>5673</v>
      </c>
      <c r="FF7487" s="45" t="s">
        <v>474</v>
      </c>
      <c r="FJ7487" s="45" t="s">
        <v>474</v>
      </c>
    </row>
    <row r="7488" spans="153:166" x14ac:dyDescent="0.35">
      <c r="EW7488" t="s">
        <v>6182</v>
      </c>
      <c r="EX7488" s="44" t="s">
        <v>5674</v>
      </c>
      <c r="FF7488" s="45" t="s">
        <v>474</v>
      </c>
      <c r="FJ7488" s="45" t="s">
        <v>474</v>
      </c>
    </row>
    <row r="7489" spans="153:166" x14ac:dyDescent="0.35">
      <c r="EW7489" t="s">
        <v>6182</v>
      </c>
      <c r="EX7489" s="44" t="s">
        <v>5675</v>
      </c>
      <c r="FF7489" s="45" t="s">
        <v>474</v>
      </c>
      <c r="FJ7489" s="45" t="s">
        <v>474</v>
      </c>
    </row>
    <row r="7490" spans="153:166" x14ac:dyDescent="0.35">
      <c r="EW7490" t="s">
        <v>6182</v>
      </c>
      <c r="EX7490" s="44" t="s">
        <v>5676</v>
      </c>
      <c r="FF7490" s="45" t="s">
        <v>474</v>
      </c>
      <c r="FJ7490" s="45" t="s">
        <v>474</v>
      </c>
    </row>
    <row r="7491" spans="153:166" x14ac:dyDescent="0.35">
      <c r="EW7491" t="s">
        <v>6182</v>
      </c>
      <c r="EX7491" s="44" t="s">
        <v>5677</v>
      </c>
      <c r="FF7491" s="45" t="s">
        <v>474</v>
      </c>
      <c r="FJ7491" s="45" t="s">
        <v>474</v>
      </c>
    </row>
    <row r="7492" spans="153:166" x14ac:dyDescent="0.35">
      <c r="EW7492" t="s">
        <v>6182</v>
      </c>
      <c r="EX7492" s="44" t="s">
        <v>5678</v>
      </c>
      <c r="FF7492" s="45" t="s">
        <v>474</v>
      </c>
      <c r="FJ7492" s="45" t="s">
        <v>474</v>
      </c>
    </row>
    <row r="7493" spans="153:166" x14ac:dyDescent="0.35">
      <c r="EW7493" t="s">
        <v>6182</v>
      </c>
      <c r="EX7493" s="44" t="s">
        <v>5679</v>
      </c>
      <c r="FF7493" s="45" t="s">
        <v>474</v>
      </c>
      <c r="FJ7493" s="45" t="s">
        <v>474</v>
      </c>
    </row>
    <row r="7494" spans="153:166" x14ac:dyDescent="0.35">
      <c r="EW7494" t="s">
        <v>6182</v>
      </c>
      <c r="EX7494" s="44" t="s">
        <v>5680</v>
      </c>
      <c r="FF7494" s="45" t="s">
        <v>474</v>
      </c>
      <c r="FJ7494" s="45" t="s">
        <v>474</v>
      </c>
    </row>
    <row r="7495" spans="153:166" x14ac:dyDescent="0.35">
      <c r="EW7495" t="s">
        <v>6182</v>
      </c>
      <c r="EX7495" s="44" t="s">
        <v>5681</v>
      </c>
      <c r="FF7495" s="45" t="s">
        <v>474</v>
      </c>
      <c r="FJ7495" s="45" t="s">
        <v>474</v>
      </c>
    </row>
    <row r="7496" spans="153:166" x14ac:dyDescent="0.35">
      <c r="EW7496" t="s">
        <v>6182</v>
      </c>
      <c r="EX7496" s="44" t="s">
        <v>5682</v>
      </c>
      <c r="FF7496" s="45" t="s">
        <v>474</v>
      </c>
      <c r="FJ7496" s="45" t="s">
        <v>474</v>
      </c>
    </row>
    <row r="7497" spans="153:166" x14ac:dyDescent="0.35">
      <c r="EW7497" t="s">
        <v>6182</v>
      </c>
      <c r="EX7497" s="44" t="s">
        <v>5683</v>
      </c>
      <c r="FF7497" s="45" t="s">
        <v>474</v>
      </c>
      <c r="FJ7497" s="45" t="s">
        <v>474</v>
      </c>
    </row>
    <row r="7498" spans="153:166" x14ac:dyDescent="0.35">
      <c r="EW7498" t="s">
        <v>6182</v>
      </c>
      <c r="EX7498" s="44" t="s">
        <v>5684</v>
      </c>
      <c r="FF7498" s="45" t="s">
        <v>474</v>
      </c>
      <c r="FJ7498" s="45" t="s">
        <v>474</v>
      </c>
    </row>
    <row r="7499" spans="153:166" x14ac:dyDescent="0.35">
      <c r="EW7499" t="s">
        <v>6182</v>
      </c>
      <c r="EX7499" s="44" t="s">
        <v>5685</v>
      </c>
      <c r="FF7499" s="45" t="s">
        <v>474</v>
      </c>
      <c r="FJ7499" s="45" t="s">
        <v>474</v>
      </c>
    </row>
    <row r="7500" spans="153:166" x14ac:dyDescent="0.35">
      <c r="EW7500" t="s">
        <v>6182</v>
      </c>
      <c r="EX7500" s="44" t="s">
        <v>5686</v>
      </c>
      <c r="FF7500" s="45" t="s">
        <v>474</v>
      </c>
      <c r="FJ7500" s="45" t="s">
        <v>474</v>
      </c>
    </row>
    <row r="7501" spans="153:166" x14ac:dyDescent="0.35">
      <c r="EW7501" t="s">
        <v>6182</v>
      </c>
      <c r="EX7501" s="44" t="s">
        <v>5687</v>
      </c>
      <c r="FF7501" s="45" t="s">
        <v>474</v>
      </c>
      <c r="FJ7501" s="45" t="s">
        <v>474</v>
      </c>
    </row>
    <row r="7502" spans="153:166" x14ac:dyDescent="0.35">
      <c r="EW7502" t="s">
        <v>6182</v>
      </c>
      <c r="EX7502" s="44" t="s">
        <v>5688</v>
      </c>
      <c r="FF7502" s="45" t="s">
        <v>474</v>
      </c>
      <c r="FJ7502" s="45" t="s">
        <v>474</v>
      </c>
    </row>
    <row r="7503" spans="153:166" x14ac:dyDescent="0.35">
      <c r="EW7503" t="s">
        <v>6182</v>
      </c>
      <c r="EX7503" s="44" t="s">
        <v>5689</v>
      </c>
      <c r="FF7503" s="45" t="s">
        <v>474</v>
      </c>
      <c r="FJ7503" s="45" t="s">
        <v>474</v>
      </c>
    </row>
    <row r="7504" spans="153:166" x14ac:dyDescent="0.35">
      <c r="EW7504" t="s">
        <v>6182</v>
      </c>
      <c r="EX7504" s="44" t="s">
        <v>5690</v>
      </c>
      <c r="FF7504" s="45" t="s">
        <v>474</v>
      </c>
      <c r="FJ7504" s="45" t="s">
        <v>474</v>
      </c>
    </row>
    <row r="7505" spans="153:166" x14ac:dyDescent="0.35">
      <c r="EW7505" t="s">
        <v>6182</v>
      </c>
      <c r="EX7505" s="44" t="s">
        <v>5691</v>
      </c>
      <c r="FF7505" s="45" t="s">
        <v>474</v>
      </c>
      <c r="FJ7505" s="45" t="s">
        <v>474</v>
      </c>
    </row>
    <row r="7506" spans="153:166" x14ac:dyDescent="0.35">
      <c r="EW7506" t="s">
        <v>6182</v>
      </c>
      <c r="EX7506" s="44" t="s">
        <v>5692</v>
      </c>
      <c r="FF7506" s="45" t="s">
        <v>474</v>
      </c>
      <c r="FJ7506" s="45" t="s">
        <v>474</v>
      </c>
    </row>
    <row r="7507" spans="153:166" x14ac:dyDescent="0.35">
      <c r="EW7507" t="s">
        <v>6182</v>
      </c>
      <c r="EX7507" s="44" t="s">
        <v>5693</v>
      </c>
      <c r="FF7507" s="45" t="s">
        <v>474</v>
      </c>
      <c r="FJ7507" s="45" t="s">
        <v>474</v>
      </c>
    </row>
    <row r="7508" spans="153:166" x14ac:dyDescent="0.35">
      <c r="EW7508" t="s">
        <v>6182</v>
      </c>
      <c r="EX7508" s="44" t="s">
        <v>5694</v>
      </c>
      <c r="FF7508" s="45" t="s">
        <v>474</v>
      </c>
      <c r="FJ7508" s="45" t="s">
        <v>474</v>
      </c>
    </row>
    <row r="7509" spans="153:166" x14ac:dyDescent="0.35">
      <c r="EW7509" t="s">
        <v>6182</v>
      </c>
      <c r="EX7509" s="44" t="s">
        <v>5695</v>
      </c>
      <c r="FF7509" s="45" t="s">
        <v>474</v>
      </c>
      <c r="FJ7509" s="45" t="s">
        <v>474</v>
      </c>
    </row>
    <row r="7510" spans="153:166" x14ac:dyDescent="0.35">
      <c r="EW7510" t="s">
        <v>6182</v>
      </c>
      <c r="EX7510" s="44" t="s">
        <v>5696</v>
      </c>
      <c r="FF7510" s="45" t="s">
        <v>474</v>
      </c>
      <c r="FJ7510" s="45" t="s">
        <v>474</v>
      </c>
    </row>
    <row r="7511" spans="153:166" x14ac:dyDescent="0.35">
      <c r="EW7511" t="s">
        <v>6182</v>
      </c>
      <c r="EX7511" s="44" t="s">
        <v>5697</v>
      </c>
      <c r="FF7511" s="45" t="s">
        <v>474</v>
      </c>
      <c r="FJ7511" s="45" t="s">
        <v>474</v>
      </c>
    </row>
    <row r="7512" spans="153:166" x14ac:dyDescent="0.35">
      <c r="EW7512" t="s">
        <v>6182</v>
      </c>
      <c r="EX7512" s="44" t="s">
        <v>5698</v>
      </c>
      <c r="FF7512" s="45" t="s">
        <v>474</v>
      </c>
      <c r="FJ7512" s="45" t="s">
        <v>474</v>
      </c>
    </row>
    <row r="7513" spans="153:166" x14ac:dyDescent="0.35">
      <c r="EW7513" t="s">
        <v>6182</v>
      </c>
      <c r="EX7513" s="44" t="s">
        <v>5699</v>
      </c>
      <c r="FF7513" s="45" t="s">
        <v>474</v>
      </c>
      <c r="FJ7513" s="45" t="s">
        <v>474</v>
      </c>
    </row>
    <row r="7514" spans="153:166" x14ac:dyDescent="0.35">
      <c r="EW7514" t="s">
        <v>6182</v>
      </c>
      <c r="EX7514" s="44" t="s">
        <v>5700</v>
      </c>
      <c r="FF7514" s="45" t="s">
        <v>474</v>
      </c>
      <c r="FJ7514" s="45" t="s">
        <v>474</v>
      </c>
    </row>
    <row r="7515" spans="153:166" x14ac:dyDescent="0.35">
      <c r="EW7515" t="s">
        <v>6182</v>
      </c>
      <c r="EX7515" s="44" t="s">
        <v>5701</v>
      </c>
      <c r="FF7515" s="45" t="s">
        <v>474</v>
      </c>
      <c r="FJ7515" s="45" t="s">
        <v>474</v>
      </c>
    </row>
    <row r="7516" spans="153:166" x14ac:dyDescent="0.35">
      <c r="EW7516" t="s">
        <v>6182</v>
      </c>
      <c r="EX7516" s="44" t="s">
        <v>5702</v>
      </c>
      <c r="FF7516" s="45" t="s">
        <v>474</v>
      </c>
      <c r="FJ7516" s="45" t="s">
        <v>474</v>
      </c>
    </row>
    <row r="7517" spans="153:166" x14ac:dyDescent="0.35">
      <c r="EW7517" t="s">
        <v>6182</v>
      </c>
      <c r="EX7517" s="44" t="s">
        <v>5703</v>
      </c>
      <c r="FF7517" s="45" t="s">
        <v>474</v>
      </c>
      <c r="FJ7517" s="45" t="s">
        <v>474</v>
      </c>
    </row>
    <row r="7518" spans="153:166" x14ac:dyDescent="0.35">
      <c r="EW7518" t="s">
        <v>6182</v>
      </c>
      <c r="EX7518" s="44" t="s">
        <v>5704</v>
      </c>
      <c r="FF7518" s="45" t="s">
        <v>474</v>
      </c>
      <c r="FJ7518" s="45" t="s">
        <v>474</v>
      </c>
    </row>
    <row r="7519" spans="153:166" x14ac:dyDescent="0.35">
      <c r="EW7519" t="s">
        <v>6182</v>
      </c>
      <c r="EX7519" s="44" t="s">
        <v>5705</v>
      </c>
      <c r="FF7519" s="45" t="s">
        <v>474</v>
      </c>
      <c r="FJ7519" s="45" t="s">
        <v>474</v>
      </c>
    </row>
    <row r="7520" spans="153:166" x14ac:dyDescent="0.35">
      <c r="EW7520" t="s">
        <v>6182</v>
      </c>
      <c r="EX7520" s="44" t="s">
        <v>5706</v>
      </c>
      <c r="FF7520" s="45" t="s">
        <v>474</v>
      </c>
      <c r="FJ7520" s="45" t="s">
        <v>474</v>
      </c>
    </row>
    <row r="7521" spans="153:166" x14ac:dyDescent="0.35">
      <c r="EW7521" t="s">
        <v>6182</v>
      </c>
      <c r="EX7521" s="44" t="s">
        <v>5707</v>
      </c>
      <c r="FF7521" s="45" t="s">
        <v>474</v>
      </c>
      <c r="FJ7521" s="45" t="s">
        <v>474</v>
      </c>
    </row>
    <row r="7522" spans="153:166" x14ac:dyDescent="0.35">
      <c r="EW7522" t="s">
        <v>6182</v>
      </c>
      <c r="EX7522" s="44" t="s">
        <v>5708</v>
      </c>
      <c r="FF7522" s="45" t="s">
        <v>474</v>
      </c>
      <c r="FJ7522" s="45" t="s">
        <v>474</v>
      </c>
    </row>
    <row r="7523" spans="153:166" x14ac:dyDescent="0.35">
      <c r="EW7523" t="s">
        <v>6182</v>
      </c>
      <c r="EX7523" s="44" t="s">
        <v>5709</v>
      </c>
      <c r="FF7523" s="45" t="s">
        <v>474</v>
      </c>
      <c r="FJ7523" s="45" t="s">
        <v>474</v>
      </c>
    </row>
    <row r="7524" spans="153:166" x14ac:dyDescent="0.35">
      <c r="EW7524" t="s">
        <v>6182</v>
      </c>
      <c r="EX7524" s="44" t="s">
        <v>5710</v>
      </c>
      <c r="FF7524" s="45" t="s">
        <v>474</v>
      </c>
      <c r="FJ7524" s="45" t="s">
        <v>474</v>
      </c>
    </row>
    <row r="7525" spans="153:166" x14ac:dyDescent="0.35">
      <c r="EW7525" t="s">
        <v>6182</v>
      </c>
      <c r="EX7525" s="44" t="s">
        <v>5711</v>
      </c>
      <c r="FF7525" s="45" t="s">
        <v>474</v>
      </c>
      <c r="FJ7525" s="45" t="s">
        <v>474</v>
      </c>
    </row>
    <row r="7526" spans="153:166" x14ac:dyDescent="0.35">
      <c r="EW7526" t="s">
        <v>6182</v>
      </c>
      <c r="EX7526" s="44" t="s">
        <v>5712</v>
      </c>
      <c r="FF7526" s="45" t="s">
        <v>474</v>
      </c>
      <c r="FJ7526" s="45" t="s">
        <v>474</v>
      </c>
    </row>
    <row r="7527" spans="153:166" x14ac:dyDescent="0.35">
      <c r="EW7527" t="s">
        <v>6182</v>
      </c>
      <c r="EX7527" s="44" t="s">
        <v>5713</v>
      </c>
      <c r="FF7527" s="45" t="s">
        <v>474</v>
      </c>
      <c r="FJ7527" s="45" t="s">
        <v>474</v>
      </c>
    </row>
    <row r="7528" spans="153:166" x14ac:dyDescent="0.35">
      <c r="EW7528" t="s">
        <v>6182</v>
      </c>
      <c r="EX7528" s="44" t="s">
        <v>5714</v>
      </c>
      <c r="FF7528" s="45" t="s">
        <v>474</v>
      </c>
      <c r="FJ7528" s="45" t="s">
        <v>474</v>
      </c>
    </row>
    <row r="7529" spans="153:166" x14ac:dyDescent="0.35">
      <c r="EW7529" t="s">
        <v>6182</v>
      </c>
      <c r="EX7529" s="44" t="s">
        <v>5715</v>
      </c>
      <c r="FF7529" s="45" t="s">
        <v>474</v>
      </c>
      <c r="FJ7529" s="45" t="s">
        <v>474</v>
      </c>
    </row>
    <row r="7530" spans="153:166" x14ac:dyDescent="0.35">
      <c r="EW7530" t="s">
        <v>6182</v>
      </c>
      <c r="EX7530" s="44" t="s">
        <v>5716</v>
      </c>
      <c r="FF7530" s="45" t="s">
        <v>474</v>
      </c>
      <c r="FJ7530" s="45" t="s">
        <v>474</v>
      </c>
    </row>
    <row r="7531" spans="153:166" x14ac:dyDescent="0.35">
      <c r="EW7531" t="s">
        <v>6182</v>
      </c>
      <c r="EX7531" s="44" t="s">
        <v>5717</v>
      </c>
      <c r="FF7531" s="45" t="s">
        <v>474</v>
      </c>
      <c r="FJ7531" s="45" t="s">
        <v>474</v>
      </c>
    </row>
    <row r="7532" spans="153:166" x14ac:dyDescent="0.35">
      <c r="EW7532" t="s">
        <v>6182</v>
      </c>
      <c r="EX7532" s="44" t="s">
        <v>5718</v>
      </c>
      <c r="FF7532" s="45" t="s">
        <v>474</v>
      </c>
      <c r="FJ7532" s="45" t="s">
        <v>474</v>
      </c>
    </row>
    <row r="7533" spans="153:166" x14ac:dyDescent="0.35">
      <c r="EW7533" t="s">
        <v>6182</v>
      </c>
      <c r="EX7533" s="44" t="s">
        <v>5719</v>
      </c>
      <c r="FF7533" s="45" t="s">
        <v>474</v>
      </c>
      <c r="FJ7533" s="45" t="s">
        <v>474</v>
      </c>
    </row>
    <row r="7534" spans="153:166" x14ac:dyDescent="0.35">
      <c r="EW7534" t="s">
        <v>6182</v>
      </c>
      <c r="EX7534" s="44" t="s">
        <v>5720</v>
      </c>
      <c r="FF7534" s="45" t="s">
        <v>474</v>
      </c>
      <c r="FJ7534" s="45" t="s">
        <v>474</v>
      </c>
    </row>
    <row r="7535" spans="153:166" x14ac:dyDescent="0.35">
      <c r="EW7535" t="s">
        <v>6182</v>
      </c>
      <c r="EX7535" s="44" t="s">
        <v>5721</v>
      </c>
      <c r="FF7535" s="45" t="s">
        <v>474</v>
      </c>
      <c r="FJ7535" s="45" t="s">
        <v>474</v>
      </c>
    </row>
    <row r="7536" spans="153:166" x14ac:dyDescent="0.35">
      <c r="EW7536" t="s">
        <v>6182</v>
      </c>
      <c r="EX7536" s="44" t="s">
        <v>5722</v>
      </c>
      <c r="FF7536" s="45" t="s">
        <v>474</v>
      </c>
      <c r="FJ7536" s="45" t="s">
        <v>474</v>
      </c>
    </row>
    <row r="7537" spans="153:166" x14ac:dyDescent="0.35">
      <c r="EW7537" t="s">
        <v>6182</v>
      </c>
      <c r="EX7537" s="44" t="s">
        <v>5723</v>
      </c>
      <c r="FF7537" s="45" t="s">
        <v>474</v>
      </c>
      <c r="FJ7537" s="45" t="s">
        <v>474</v>
      </c>
    </row>
    <row r="7538" spans="153:166" x14ac:dyDescent="0.35">
      <c r="EW7538" t="s">
        <v>6182</v>
      </c>
      <c r="EX7538" s="44" t="s">
        <v>5724</v>
      </c>
      <c r="FF7538" s="45" t="s">
        <v>474</v>
      </c>
      <c r="FJ7538" s="45" t="s">
        <v>474</v>
      </c>
    </row>
    <row r="7539" spans="153:166" x14ac:dyDescent="0.35">
      <c r="EW7539" t="s">
        <v>6182</v>
      </c>
      <c r="EX7539" s="44" t="s">
        <v>5725</v>
      </c>
      <c r="FF7539" s="45" t="s">
        <v>474</v>
      </c>
      <c r="FJ7539" s="45" t="s">
        <v>474</v>
      </c>
    </row>
    <row r="7540" spans="153:166" x14ac:dyDescent="0.35">
      <c r="EW7540" t="s">
        <v>6182</v>
      </c>
      <c r="EX7540" s="44" t="s">
        <v>5726</v>
      </c>
      <c r="FF7540" s="45" t="s">
        <v>474</v>
      </c>
      <c r="FJ7540" s="45" t="s">
        <v>474</v>
      </c>
    </row>
    <row r="7541" spans="153:166" x14ac:dyDescent="0.35">
      <c r="EW7541" t="s">
        <v>6182</v>
      </c>
      <c r="EX7541" s="44" t="s">
        <v>5727</v>
      </c>
      <c r="FF7541" s="45" t="s">
        <v>474</v>
      </c>
      <c r="FJ7541" s="45" t="s">
        <v>474</v>
      </c>
    </row>
    <row r="7542" spans="153:166" x14ac:dyDescent="0.35">
      <c r="EW7542" t="s">
        <v>6182</v>
      </c>
      <c r="EX7542" s="44" t="s">
        <v>5728</v>
      </c>
      <c r="FF7542" s="45" t="s">
        <v>474</v>
      </c>
      <c r="FJ7542" s="45" t="s">
        <v>474</v>
      </c>
    </row>
    <row r="7543" spans="153:166" x14ac:dyDescent="0.35">
      <c r="EW7543" t="s">
        <v>6182</v>
      </c>
      <c r="EX7543" s="44" t="s">
        <v>5729</v>
      </c>
      <c r="FF7543" s="45" t="s">
        <v>474</v>
      </c>
      <c r="FJ7543" s="45" t="s">
        <v>474</v>
      </c>
    </row>
    <row r="7544" spans="153:166" x14ac:dyDescent="0.35">
      <c r="EW7544" t="s">
        <v>6182</v>
      </c>
      <c r="EX7544" s="44" t="s">
        <v>5730</v>
      </c>
      <c r="FF7544" s="45" t="s">
        <v>474</v>
      </c>
      <c r="FJ7544" s="45" t="s">
        <v>474</v>
      </c>
    </row>
    <row r="7545" spans="153:166" x14ac:dyDescent="0.35">
      <c r="EW7545" t="s">
        <v>6182</v>
      </c>
      <c r="EX7545" s="44" t="s">
        <v>5731</v>
      </c>
      <c r="FF7545" s="45" t="s">
        <v>474</v>
      </c>
      <c r="FJ7545" s="45" t="s">
        <v>474</v>
      </c>
    </row>
    <row r="7546" spans="153:166" x14ac:dyDescent="0.35">
      <c r="EW7546" t="s">
        <v>6182</v>
      </c>
      <c r="EX7546" s="44" t="s">
        <v>5732</v>
      </c>
      <c r="FF7546" s="45" t="s">
        <v>474</v>
      </c>
      <c r="FJ7546" s="45" t="s">
        <v>474</v>
      </c>
    </row>
    <row r="7547" spans="153:166" x14ac:dyDescent="0.35">
      <c r="EW7547" t="s">
        <v>6182</v>
      </c>
      <c r="EX7547" s="44" t="s">
        <v>5733</v>
      </c>
      <c r="FF7547" s="45" t="s">
        <v>474</v>
      </c>
      <c r="FJ7547" s="45" t="s">
        <v>474</v>
      </c>
    </row>
    <row r="7548" spans="153:166" x14ac:dyDescent="0.35">
      <c r="EW7548" t="s">
        <v>6182</v>
      </c>
      <c r="EX7548" s="44" t="s">
        <v>5734</v>
      </c>
      <c r="FF7548" s="45" t="s">
        <v>474</v>
      </c>
      <c r="FJ7548" s="45" t="s">
        <v>474</v>
      </c>
    </row>
    <row r="7549" spans="153:166" x14ac:dyDescent="0.35">
      <c r="EW7549" t="s">
        <v>6182</v>
      </c>
      <c r="EX7549" s="44" t="s">
        <v>5735</v>
      </c>
      <c r="FF7549" s="45" t="s">
        <v>474</v>
      </c>
      <c r="FJ7549" s="45" t="s">
        <v>474</v>
      </c>
    </row>
    <row r="7550" spans="153:166" x14ac:dyDescent="0.35">
      <c r="EW7550" t="s">
        <v>6182</v>
      </c>
      <c r="EX7550" s="44" t="s">
        <v>5736</v>
      </c>
      <c r="FF7550" s="45" t="s">
        <v>474</v>
      </c>
      <c r="FJ7550" s="45" t="s">
        <v>474</v>
      </c>
    </row>
    <row r="7551" spans="153:166" x14ac:dyDescent="0.35">
      <c r="EW7551" t="s">
        <v>6182</v>
      </c>
      <c r="EX7551" s="44" t="s">
        <v>5737</v>
      </c>
      <c r="FF7551" s="45" t="s">
        <v>474</v>
      </c>
      <c r="FJ7551" s="45" t="s">
        <v>474</v>
      </c>
    </row>
    <row r="7552" spans="153:166" x14ac:dyDescent="0.35">
      <c r="EW7552" t="s">
        <v>6182</v>
      </c>
      <c r="EX7552" s="44" t="s">
        <v>5738</v>
      </c>
      <c r="FF7552" s="45" t="s">
        <v>474</v>
      </c>
      <c r="FJ7552" s="45" t="s">
        <v>474</v>
      </c>
    </row>
    <row r="7553" spans="153:166" x14ac:dyDescent="0.35">
      <c r="EW7553" t="s">
        <v>6182</v>
      </c>
      <c r="EX7553" s="44" t="s">
        <v>5739</v>
      </c>
      <c r="FF7553" s="45" t="s">
        <v>474</v>
      </c>
      <c r="FJ7553" s="45" t="s">
        <v>474</v>
      </c>
    </row>
    <row r="7554" spans="153:166" x14ac:dyDescent="0.35">
      <c r="EW7554" t="s">
        <v>6182</v>
      </c>
      <c r="EX7554" s="44" t="s">
        <v>5740</v>
      </c>
      <c r="FF7554" s="45" t="s">
        <v>474</v>
      </c>
      <c r="FJ7554" s="45" t="s">
        <v>474</v>
      </c>
    </row>
    <row r="7555" spans="153:166" x14ac:dyDescent="0.35">
      <c r="EW7555" t="s">
        <v>6182</v>
      </c>
      <c r="EX7555" s="44" t="s">
        <v>5741</v>
      </c>
      <c r="FF7555" s="45" t="s">
        <v>474</v>
      </c>
      <c r="FJ7555" s="45" t="s">
        <v>474</v>
      </c>
    </row>
    <row r="7556" spans="153:166" x14ac:dyDescent="0.35">
      <c r="EW7556" t="s">
        <v>6182</v>
      </c>
      <c r="EX7556" s="44" t="s">
        <v>5742</v>
      </c>
      <c r="FF7556" s="45" t="s">
        <v>474</v>
      </c>
      <c r="FJ7556" s="45" t="s">
        <v>474</v>
      </c>
    </row>
    <row r="7557" spans="153:166" x14ac:dyDescent="0.35">
      <c r="EW7557" t="s">
        <v>6182</v>
      </c>
      <c r="EX7557" s="44" t="s">
        <v>5743</v>
      </c>
      <c r="FF7557" s="45" t="s">
        <v>474</v>
      </c>
      <c r="FJ7557" s="45" t="s">
        <v>474</v>
      </c>
    </row>
    <row r="7558" spans="153:166" x14ac:dyDescent="0.35">
      <c r="EW7558" t="s">
        <v>6182</v>
      </c>
      <c r="EX7558" s="44" t="s">
        <v>5744</v>
      </c>
      <c r="FF7558" s="45" t="s">
        <v>474</v>
      </c>
      <c r="FJ7558" s="45" t="s">
        <v>474</v>
      </c>
    </row>
    <row r="7559" spans="153:166" x14ac:dyDescent="0.35">
      <c r="EW7559" t="s">
        <v>6182</v>
      </c>
      <c r="EX7559" s="44" t="s">
        <v>5745</v>
      </c>
      <c r="FF7559" s="45" t="s">
        <v>474</v>
      </c>
      <c r="FJ7559" s="45" t="s">
        <v>474</v>
      </c>
    </row>
    <row r="7560" spans="153:166" x14ac:dyDescent="0.35">
      <c r="EW7560" t="s">
        <v>6182</v>
      </c>
      <c r="EX7560" s="44" t="s">
        <v>5746</v>
      </c>
      <c r="FF7560" s="45" t="s">
        <v>474</v>
      </c>
      <c r="FJ7560" s="45" t="s">
        <v>474</v>
      </c>
    </row>
    <row r="7561" spans="153:166" x14ac:dyDescent="0.35">
      <c r="EW7561" t="s">
        <v>6182</v>
      </c>
      <c r="EX7561" s="44" t="s">
        <v>5747</v>
      </c>
      <c r="FF7561" s="45" t="s">
        <v>474</v>
      </c>
      <c r="FJ7561" s="45" t="s">
        <v>474</v>
      </c>
    </row>
    <row r="7562" spans="153:166" x14ac:dyDescent="0.35">
      <c r="EW7562" t="s">
        <v>6182</v>
      </c>
      <c r="EX7562" s="44" t="s">
        <v>5748</v>
      </c>
      <c r="FF7562" s="45" t="s">
        <v>474</v>
      </c>
      <c r="FJ7562" s="45" t="s">
        <v>474</v>
      </c>
    </row>
    <row r="7563" spans="153:166" x14ac:dyDescent="0.35">
      <c r="EW7563" t="s">
        <v>6182</v>
      </c>
      <c r="EX7563" s="44" t="s">
        <v>5749</v>
      </c>
      <c r="FF7563" s="45" t="s">
        <v>474</v>
      </c>
      <c r="FJ7563" s="45" t="s">
        <v>474</v>
      </c>
    </row>
    <row r="7564" spans="153:166" x14ac:dyDescent="0.35">
      <c r="EW7564" t="s">
        <v>6182</v>
      </c>
      <c r="EX7564" s="44" t="s">
        <v>5750</v>
      </c>
      <c r="FF7564" s="45" t="s">
        <v>474</v>
      </c>
      <c r="FJ7564" s="45" t="s">
        <v>474</v>
      </c>
    </row>
    <row r="7565" spans="153:166" x14ac:dyDescent="0.35">
      <c r="EW7565" t="s">
        <v>6182</v>
      </c>
      <c r="EX7565" s="44" t="s">
        <v>5751</v>
      </c>
      <c r="FF7565" s="45" t="s">
        <v>474</v>
      </c>
      <c r="FJ7565" s="45" t="s">
        <v>474</v>
      </c>
    </row>
    <row r="7566" spans="153:166" x14ac:dyDescent="0.35">
      <c r="EW7566" t="s">
        <v>6182</v>
      </c>
      <c r="EX7566" s="44" t="s">
        <v>5752</v>
      </c>
      <c r="FF7566" s="45" t="s">
        <v>474</v>
      </c>
      <c r="FJ7566" s="45" t="s">
        <v>474</v>
      </c>
    </row>
    <row r="7567" spans="153:166" x14ac:dyDescent="0.35">
      <c r="EW7567" t="s">
        <v>6182</v>
      </c>
      <c r="EX7567" s="44" t="s">
        <v>5753</v>
      </c>
      <c r="FF7567" s="45" t="s">
        <v>474</v>
      </c>
      <c r="FJ7567" s="45" t="s">
        <v>474</v>
      </c>
    </row>
    <row r="7568" spans="153:166" x14ac:dyDescent="0.35">
      <c r="EW7568" t="s">
        <v>6182</v>
      </c>
      <c r="EX7568" s="44" t="s">
        <v>5754</v>
      </c>
      <c r="FF7568" s="45" t="s">
        <v>474</v>
      </c>
      <c r="FJ7568" s="45" t="s">
        <v>474</v>
      </c>
    </row>
    <row r="7569" spans="153:166" x14ac:dyDescent="0.35">
      <c r="EW7569" t="s">
        <v>6182</v>
      </c>
      <c r="EX7569" s="44" t="s">
        <v>5755</v>
      </c>
      <c r="FF7569" s="45" t="s">
        <v>474</v>
      </c>
      <c r="FJ7569" s="45" t="s">
        <v>474</v>
      </c>
    </row>
    <row r="7570" spans="153:166" x14ac:dyDescent="0.35">
      <c r="EW7570" t="s">
        <v>6182</v>
      </c>
      <c r="EX7570" s="44" t="s">
        <v>5756</v>
      </c>
      <c r="FF7570" s="45" t="s">
        <v>474</v>
      </c>
      <c r="FJ7570" s="45" t="s">
        <v>474</v>
      </c>
    </row>
    <row r="7571" spans="153:166" x14ac:dyDescent="0.35">
      <c r="EW7571" t="s">
        <v>6182</v>
      </c>
      <c r="EX7571" s="44" t="s">
        <v>5757</v>
      </c>
      <c r="FF7571" s="45" t="s">
        <v>474</v>
      </c>
      <c r="FJ7571" s="45" t="s">
        <v>474</v>
      </c>
    </row>
    <row r="7572" spans="153:166" x14ac:dyDescent="0.35">
      <c r="EW7572" t="s">
        <v>6182</v>
      </c>
      <c r="EX7572" s="44" t="s">
        <v>5758</v>
      </c>
      <c r="FF7572" s="45" t="s">
        <v>474</v>
      </c>
      <c r="FJ7572" s="45" t="s">
        <v>474</v>
      </c>
    </row>
    <row r="7573" spans="153:166" x14ac:dyDescent="0.35">
      <c r="EW7573" t="s">
        <v>6182</v>
      </c>
      <c r="EX7573" s="44" t="s">
        <v>5759</v>
      </c>
      <c r="FF7573" s="45" t="s">
        <v>474</v>
      </c>
      <c r="FJ7573" s="45" t="s">
        <v>474</v>
      </c>
    </row>
    <row r="7574" spans="153:166" x14ac:dyDescent="0.35">
      <c r="EW7574" t="s">
        <v>6182</v>
      </c>
      <c r="EX7574" s="44" t="s">
        <v>5760</v>
      </c>
      <c r="FF7574" s="45" t="s">
        <v>474</v>
      </c>
      <c r="FJ7574" s="45" t="s">
        <v>474</v>
      </c>
    </row>
    <row r="7575" spans="153:166" x14ac:dyDescent="0.35">
      <c r="EW7575" t="s">
        <v>6182</v>
      </c>
      <c r="EX7575" s="44" t="s">
        <v>5761</v>
      </c>
      <c r="FF7575" s="45" t="s">
        <v>474</v>
      </c>
      <c r="FJ7575" s="45" t="s">
        <v>474</v>
      </c>
    </row>
    <row r="7576" spans="153:166" x14ac:dyDescent="0.35">
      <c r="EW7576" t="s">
        <v>6182</v>
      </c>
      <c r="EX7576" s="44" t="s">
        <v>5762</v>
      </c>
      <c r="FF7576" s="45" t="s">
        <v>474</v>
      </c>
      <c r="FJ7576" s="45" t="s">
        <v>474</v>
      </c>
    </row>
    <row r="7577" spans="153:166" x14ac:dyDescent="0.35">
      <c r="EW7577" t="s">
        <v>6182</v>
      </c>
      <c r="EX7577" s="44" t="s">
        <v>5763</v>
      </c>
      <c r="FF7577" s="45" t="s">
        <v>474</v>
      </c>
      <c r="FJ7577" s="45" t="s">
        <v>474</v>
      </c>
    </row>
    <row r="7578" spans="153:166" x14ac:dyDescent="0.35">
      <c r="EW7578" t="s">
        <v>6182</v>
      </c>
      <c r="EX7578" s="44" t="s">
        <v>5764</v>
      </c>
      <c r="FF7578" s="45" t="s">
        <v>474</v>
      </c>
      <c r="FJ7578" s="45" t="s">
        <v>474</v>
      </c>
    </row>
    <row r="7579" spans="153:166" x14ac:dyDescent="0.35">
      <c r="EW7579" t="s">
        <v>6182</v>
      </c>
      <c r="EX7579" s="44" t="s">
        <v>5765</v>
      </c>
      <c r="FF7579" s="45" t="s">
        <v>474</v>
      </c>
      <c r="FJ7579" s="45" t="s">
        <v>474</v>
      </c>
    </row>
    <row r="7580" spans="153:166" x14ac:dyDescent="0.35">
      <c r="EW7580" t="s">
        <v>6182</v>
      </c>
      <c r="EX7580" s="44" t="s">
        <v>5766</v>
      </c>
      <c r="FF7580" s="45" t="s">
        <v>474</v>
      </c>
      <c r="FJ7580" s="45" t="s">
        <v>474</v>
      </c>
    </row>
    <row r="7581" spans="153:166" x14ac:dyDescent="0.35">
      <c r="EW7581" t="s">
        <v>6182</v>
      </c>
      <c r="EX7581" s="44" t="s">
        <v>5767</v>
      </c>
      <c r="FF7581" s="45" t="s">
        <v>474</v>
      </c>
      <c r="FJ7581" s="45" t="s">
        <v>474</v>
      </c>
    </row>
    <row r="7582" spans="153:166" x14ac:dyDescent="0.35">
      <c r="EW7582" t="s">
        <v>6182</v>
      </c>
      <c r="EX7582" s="44" t="s">
        <v>5768</v>
      </c>
      <c r="FF7582" s="45" t="s">
        <v>474</v>
      </c>
      <c r="FJ7582" s="45" t="s">
        <v>474</v>
      </c>
    </row>
    <row r="7583" spans="153:166" x14ac:dyDescent="0.35">
      <c r="EW7583" t="s">
        <v>6182</v>
      </c>
      <c r="EX7583" s="44" t="s">
        <v>5769</v>
      </c>
      <c r="FF7583" s="45" t="s">
        <v>474</v>
      </c>
      <c r="FJ7583" s="45" t="s">
        <v>474</v>
      </c>
    </row>
    <row r="7584" spans="153:166" x14ac:dyDescent="0.35">
      <c r="EW7584" t="s">
        <v>6182</v>
      </c>
      <c r="EX7584" s="44" t="s">
        <v>5770</v>
      </c>
      <c r="FF7584" s="45" t="s">
        <v>474</v>
      </c>
      <c r="FJ7584" s="45" t="s">
        <v>474</v>
      </c>
    </row>
    <row r="7585" spans="153:166" x14ac:dyDescent="0.35">
      <c r="EW7585" t="s">
        <v>6182</v>
      </c>
      <c r="EX7585" s="44" t="s">
        <v>5771</v>
      </c>
      <c r="FF7585" s="45" t="s">
        <v>474</v>
      </c>
      <c r="FJ7585" s="45" t="s">
        <v>474</v>
      </c>
    </row>
    <row r="7586" spans="153:166" x14ac:dyDescent="0.35">
      <c r="EW7586" t="s">
        <v>6182</v>
      </c>
      <c r="EX7586" s="44" t="s">
        <v>5772</v>
      </c>
      <c r="FF7586" s="45" t="s">
        <v>474</v>
      </c>
      <c r="FJ7586" s="45" t="s">
        <v>474</v>
      </c>
    </row>
    <row r="7587" spans="153:166" x14ac:dyDescent="0.35">
      <c r="EW7587" t="s">
        <v>6182</v>
      </c>
      <c r="EX7587" s="44" t="s">
        <v>5773</v>
      </c>
      <c r="FF7587" s="45" t="s">
        <v>474</v>
      </c>
      <c r="FJ7587" s="45" t="s">
        <v>474</v>
      </c>
    </row>
    <row r="7588" spans="153:166" x14ac:dyDescent="0.35">
      <c r="EW7588" t="s">
        <v>6182</v>
      </c>
      <c r="EX7588" s="44" t="s">
        <v>5774</v>
      </c>
      <c r="FF7588" s="45" t="s">
        <v>474</v>
      </c>
      <c r="FJ7588" s="45" t="s">
        <v>474</v>
      </c>
    </row>
    <row r="7589" spans="153:166" x14ac:dyDescent="0.35">
      <c r="EW7589" t="s">
        <v>6182</v>
      </c>
      <c r="EX7589" s="44" t="s">
        <v>5775</v>
      </c>
      <c r="FF7589" s="45" t="s">
        <v>474</v>
      </c>
      <c r="FJ7589" s="45" t="s">
        <v>474</v>
      </c>
    </row>
    <row r="7590" spans="153:166" x14ac:dyDescent="0.35">
      <c r="EW7590" t="s">
        <v>6182</v>
      </c>
      <c r="EX7590" s="44" t="s">
        <v>5776</v>
      </c>
      <c r="FF7590" s="45" t="s">
        <v>474</v>
      </c>
      <c r="FJ7590" s="45" t="s">
        <v>474</v>
      </c>
    </row>
    <row r="7591" spans="153:166" x14ac:dyDescent="0.35">
      <c r="EW7591" t="s">
        <v>6182</v>
      </c>
      <c r="EX7591" s="44" t="s">
        <v>5777</v>
      </c>
      <c r="FF7591" s="45" t="s">
        <v>474</v>
      </c>
      <c r="FJ7591" s="45" t="s">
        <v>474</v>
      </c>
    </row>
    <row r="7592" spans="153:166" x14ac:dyDescent="0.35">
      <c r="EW7592" t="s">
        <v>6182</v>
      </c>
      <c r="EX7592" s="44" t="s">
        <v>5778</v>
      </c>
      <c r="FF7592" s="45" t="s">
        <v>474</v>
      </c>
      <c r="FJ7592" s="45" t="s">
        <v>474</v>
      </c>
    </row>
    <row r="7593" spans="153:166" x14ac:dyDescent="0.35">
      <c r="EW7593" t="s">
        <v>6182</v>
      </c>
      <c r="EX7593" s="44" t="s">
        <v>5779</v>
      </c>
      <c r="FF7593" s="45" t="s">
        <v>474</v>
      </c>
      <c r="FJ7593" s="45" t="s">
        <v>474</v>
      </c>
    </row>
    <row r="7594" spans="153:166" x14ac:dyDescent="0.35">
      <c r="EW7594" t="s">
        <v>6182</v>
      </c>
      <c r="EX7594" s="44" t="s">
        <v>5780</v>
      </c>
      <c r="FF7594" s="45" t="s">
        <v>474</v>
      </c>
      <c r="FJ7594" s="45" t="s">
        <v>474</v>
      </c>
    </row>
    <row r="7595" spans="153:166" x14ac:dyDescent="0.35">
      <c r="EW7595" t="s">
        <v>6182</v>
      </c>
      <c r="EX7595" s="44" t="s">
        <v>5781</v>
      </c>
      <c r="FF7595" s="45" t="s">
        <v>474</v>
      </c>
      <c r="FJ7595" s="45" t="s">
        <v>474</v>
      </c>
    </row>
    <row r="7596" spans="153:166" x14ac:dyDescent="0.35">
      <c r="EW7596" t="s">
        <v>6182</v>
      </c>
      <c r="EX7596" s="44" t="s">
        <v>5782</v>
      </c>
      <c r="FF7596" s="45" t="s">
        <v>474</v>
      </c>
      <c r="FJ7596" s="45" t="s">
        <v>474</v>
      </c>
    </row>
    <row r="7597" spans="153:166" x14ac:dyDescent="0.35">
      <c r="EW7597" t="s">
        <v>6182</v>
      </c>
      <c r="EX7597" s="44" t="s">
        <v>5783</v>
      </c>
      <c r="FF7597" s="45" t="s">
        <v>474</v>
      </c>
      <c r="FJ7597" s="45" t="s">
        <v>474</v>
      </c>
    </row>
    <row r="7598" spans="153:166" x14ac:dyDescent="0.35">
      <c r="EW7598" t="s">
        <v>6182</v>
      </c>
      <c r="EX7598" s="44" t="s">
        <v>5784</v>
      </c>
      <c r="FF7598" s="45" t="s">
        <v>474</v>
      </c>
      <c r="FJ7598" s="45" t="s">
        <v>474</v>
      </c>
    </row>
    <row r="7599" spans="153:166" x14ac:dyDescent="0.35">
      <c r="EW7599" t="s">
        <v>6182</v>
      </c>
      <c r="EX7599" s="44" t="s">
        <v>5785</v>
      </c>
      <c r="FF7599" s="45" t="s">
        <v>474</v>
      </c>
      <c r="FJ7599" s="45" t="s">
        <v>474</v>
      </c>
    </row>
    <row r="7600" spans="153:166" x14ac:dyDescent="0.35">
      <c r="EW7600" t="s">
        <v>6182</v>
      </c>
      <c r="EX7600" s="44" t="s">
        <v>5786</v>
      </c>
      <c r="FF7600" s="45" t="s">
        <v>474</v>
      </c>
      <c r="FJ7600" s="45" t="s">
        <v>474</v>
      </c>
    </row>
    <row r="7601" spans="153:166" x14ac:dyDescent="0.35">
      <c r="EW7601" t="s">
        <v>6182</v>
      </c>
      <c r="EX7601" s="44" t="s">
        <v>5787</v>
      </c>
      <c r="FF7601" s="45" t="s">
        <v>474</v>
      </c>
      <c r="FJ7601" s="45" t="s">
        <v>474</v>
      </c>
    </row>
    <row r="7602" spans="153:166" x14ac:dyDescent="0.35">
      <c r="EW7602" t="s">
        <v>6182</v>
      </c>
      <c r="EX7602" s="44" t="s">
        <v>5788</v>
      </c>
      <c r="FF7602" s="45" t="s">
        <v>474</v>
      </c>
      <c r="FJ7602" s="45" t="s">
        <v>474</v>
      </c>
    </row>
    <row r="7603" spans="153:166" x14ac:dyDescent="0.35">
      <c r="EW7603" t="s">
        <v>6182</v>
      </c>
      <c r="EX7603" s="44" t="s">
        <v>5789</v>
      </c>
      <c r="FF7603" s="45" t="s">
        <v>474</v>
      </c>
      <c r="FJ7603" s="45" t="s">
        <v>474</v>
      </c>
    </row>
    <row r="7604" spans="153:166" x14ac:dyDescent="0.35">
      <c r="EW7604" t="s">
        <v>6182</v>
      </c>
      <c r="EX7604" s="44" t="s">
        <v>5790</v>
      </c>
      <c r="FF7604" s="45" t="s">
        <v>474</v>
      </c>
      <c r="FJ7604" s="45" t="s">
        <v>474</v>
      </c>
    </row>
    <row r="7605" spans="153:166" x14ac:dyDescent="0.35">
      <c r="EW7605" t="s">
        <v>6182</v>
      </c>
      <c r="EX7605" s="44" t="s">
        <v>5791</v>
      </c>
      <c r="FF7605" s="45" t="s">
        <v>474</v>
      </c>
      <c r="FJ7605" s="45" t="s">
        <v>474</v>
      </c>
    </row>
    <row r="7606" spans="153:166" x14ac:dyDescent="0.35">
      <c r="EW7606" t="s">
        <v>6182</v>
      </c>
      <c r="EX7606" s="44" t="s">
        <v>5792</v>
      </c>
      <c r="FF7606" s="45" t="s">
        <v>474</v>
      </c>
      <c r="FJ7606" s="45" t="s">
        <v>474</v>
      </c>
    </row>
    <row r="7607" spans="153:166" x14ac:dyDescent="0.35">
      <c r="EW7607" t="s">
        <v>6182</v>
      </c>
      <c r="EX7607" s="44" t="s">
        <v>6185</v>
      </c>
      <c r="FF7607" s="45" t="s">
        <v>59</v>
      </c>
      <c r="FJ7607" s="45" t="s">
        <v>59</v>
      </c>
    </row>
    <row r="7608" spans="153:166" x14ac:dyDescent="0.35">
      <c r="EW7608" t="s">
        <v>6182</v>
      </c>
      <c r="EX7608" s="44" t="s">
        <v>6186</v>
      </c>
      <c r="FF7608" s="45" t="s">
        <v>59</v>
      </c>
      <c r="FJ7608" s="45" t="s">
        <v>59</v>
      </c>
    </row>
    <row r="7609" spans="153:166" x14ac:dyDescent="0.35">
      <c r="EW7609" t="s">
        <v>6182</v>
      </c>
      <c r="EX7609" s="44" t="s">
        <v>6187</v>
      </c>
      <c r="FF7609" s="45" t="s">
        <v>59</v>
      </c>
      <c r="FJ7609" s="45" t="s">
        <v>59</v>
      </c>
    </row>
    <row r="7610" spans="153:166" x14ac:dyDescent="0.35">
      <c r="EW7610" t="s">
        <v>6182</v>
      </c>
      <c r="EX7610" s="44" t="s">
        <v>6188</v>
      </c>
      <c r="FF7610" s="45" t="s">
        <v>59</v>
      </c>
      <c r="FJ7610" s="45" t="s">
        <v>59</v>
      </c>
    </row>
    <row r="7611" spans="153:166" x14ac:dyDescent="0.35">
      <c r="EW7611" t="s">
        <v>6182</v>
      </c>
      <c r="EX7611" s="44" t="s">
        <v>6189</v>
      </c>
      <c r="FF7611" s="45" t="s">
        <v>59</v>
      </c>
      <c r="FJ7611" s="45" t="s">
        <v>59</v>
      </c>
    </row>
    <row r="7612" spans="153:166" x14ac:dyDescent="0.35">
      <c r="EW7612" t="s">
        <v>6182</v>
      </c>
      <c r="EX7612" s="44" t="s">
        <v>6190</v>
      </c>
      <c r="FF7612" s="45" t="s">
        <v>59</v>
      </c>
      <c r="FJ7612" s="45" t="s">
        <v>59</v>
      </c>
    </row>
    <row r="7613" spans="153:166" x14ac:dyDescent="0.35">
      <c r="EW7613" t="s">
        <v>6182</v>
      </c>
      <c r="EX7613" s="44" t="s">
        <v>5799</v>
      </c>
      <c r="FF7613" s="45" t="s">
        <v>59</v>
      </c>
      <c r="FJ7613" s="45" t="s">
        <v>59</v>
      </c>
    </row>
    <row r="7614" spans="153:166" x14ac:dyDescent="0.35">
      <c r="EW7614" t="s">
        <v>6182</v>
      </c>
      <c r="EX7614" s="44" t="s">
        <v>6191</v>
      </c>
      <c r="FF7614" s="45" t="s">
        <v>59</v>
      </c>
      <c r="FJ7614" s="45" t="s">
        <v>59</v>
      </c>
    </row>
    <row r="7615" spans="153:166" x14ac:dyDescent="0.35">
      <c r="EW7615" t="s">
        <v>6182</v>
      </c>
      <c r="EX7615" s="44" t="s">
        <v>6192</v>
      </c>
      <c r="FF7615" s="45" t="s">
        <v>59</v>
      </c>
      <c r="FJ7615" s="45" t="s">
        <v>59</v>
      </c>
    </row>
    <row r="7616" spans="153:166" x14ac:dyDescent="0.35">
      <c r="EW7616" t="s">
        <v>6182</v>
      </c>
      <c r="EX7616" s="44" t="s">
        <v>5802</v>
      </c>
      <c r="FF7616" s="45" t="s">
        <v>59</v>
      </c>
      <c r="FJ7616" s="45" t="s">
        <v>59</v>
      </c>
    </row>
    <row r="7617" spans="153:166" x14ac:dyDescent="0.35">
      <c r="EW7617" t="s">
        <v>6182</v>
      </c>
      <c r="EX7617" s="44" t="s">
        <v>6193</v>
      </c>
      <c r="FF7617" s="45" t="s">
        <v>59</v>
      </c>
      <c r="FJ7617" s="45" t="s">
        <v>59</v>
      </c>
    </row>
    <row r="7618" spans="153:166" x14ac:dyDescent="0.35">
      <c r="EW7618" t="s">
        <v>6182</v>
      </c>
      <c r="EX7618" s="44" t="s">
        <v>6194</v>
      </c>
      <c r="FF7618" s="45" t="s">
        <v>59</v>
      </c>
      <c r="FJ7618" s="45" t="s">
        <v>59</v>
      </c>
    </row>
    <row r="7619" spans="153:166" x14ac:dyDescent="0.35">
      <c r="EW7619" t="s">
        <v>6182</v>
      </c>
      <c r="EX7619" s="44" t="s">
        <v>6195</v>
      </c>
      <c r="FF7619" s="45" t="s">
        <v>59</v>
      </c>
      <c r="FJ7619" s="45" t="s">
        <v>59</v>
      </c>
    </row>
    <row r="7620" spans="153:166" x14ac:dyDescent="0.35">
      <c r="EW7620" t="s">
        <v>6182</v>
      </c>
      <c r="EX7620" s="44" t="s">
        <v>6196</v>
      </c>
      <c r="FF7620" s="45" t="s">
        <v>59</v>
      </c>
      <c r="FJ7620" s="45" t="s">
        <v>59</v>
      </c>
    </row>
    <row r="7621" spans="153:166" x14ac:dyDescent="0.35">
      <c r="EW7621" t="s">
        <v>6182</v>
      </c>
      <c r="EX7621" s="44" t="s">
        <v>6197</v>
      </c>
      <c r="FF7621" s="45" t="s">
        <v>59</v>
      </c>
      <c r="FJ7621" s="45" t="s">
        <v>59</v>
      </c>
    </row>
    <row r="7622" spans="153:166" x14ac:dyDescent="0.35">
      <c r="EW7622" t="s">
        <v>6182</v>
      </c>
      <c r="EX7622" s="44" t="s">
        <v>6198</v>
      </c>
      <c r="FF7622" s="45" t="s">
        <v>59</v>
      </c>
      <c r="FJ7622" s="45" t="s">
        <v>59</v>
      </c>
    </row>
    <row r="7623" spans="153:166" x14ac:dyDescent="0.35">
      <c r="EW7623" t="s">
        <v>6182</v>
      </c>
      <c r="EX7623" s="44" t="s">
        <v>6199</v>
      </c>
      <c r="FF7623" s="45" t="s">
        <v>59</v>
      </c>
      <c r="FJ7623" s="45" t="s">
        <v>59</v>
      </c>
    </row>
    <row r="7624" spans="153:166" x14ac:dyDescent="0.35">
      <c r="EW7624" t="s">
        <v>6182</v>
      </c>
      <c r="EX7624" s="44" t="s">
        <v>6200</v>
      </c>
      <c r="FF7624" s="45" t="s">
        <v>59</v>
      </c>
      <c r="FJ7624" s="45" t="s">
        <v>59</v>
      </c>
    </row>
    <row r="7625" spans="153:166" x14ac:dyDescent="0.35">
      <c r="EW7625" t="s">
        <v>6182</v>
      </c>
      <c r="EX7625" s="44" t="s">
        <v>6201</v>
      </c>
      <c r="FF7625" s="45" t="s">
        <v>59</v>
      </c>
      <c r="FJ7625" s="45" t="s">
        <v>59</v>
      </c>
    </row>
    <row r="7626" spans="153:166" x14ac:dyDescent="0.35">
      <c r="EW7626" t="s">
        <v>6182</v>
      </c>
      <c r="EX7626" s="44" t="s">
        <v>6202</v>
      </c>
      <c r="FF7626" s="45" t="s">
        <v>59</v>
      </c>
      <c r="FJ7626" s="45" t="s">
        <v>59</v>
      </c>
    </row>
    <row r="7627" spans="153:166" x14ac:dyDescent="0.35">
      <c r="EW7627" t="s">
        <v>6182</v>
      </c>
      <c r="EX7627" s="44" t="s">
        <v>6203</v>
      </c>
      <c r="FF7627" s="45" t="s">
        <v>59</v>
      </c>
      <c r="FJ7627" s="45" t="s">
        <v>59</v>
      </c>
    </row>
    <row r="7628" spans="153:166" x14ac:dyDescent="0.35">
      <c r="EW7628" t="s">
        <v>6182</v>
      </c>
      <c r="EX7628" s="44" t="s">
        <v>6204</v>
      </c>
      <c r="FF7628" s="45" t="s">
        <v>59</v>
      </c>
      <c r="FJ7628" s="45" t="s">
        <v>59</v>
      </c>
    </row>
    <row r="7629" spans="153:166" x14ac:dyDescent="0.35">
      <c r="EW7629" t="s">
        <v>6182</v>
      </c>
      <c r="EX7629" s="44" t="s">
        <v>6205</v>
      </c>
      <c r="FF7629" s="45" t="s">
        <v>59</v>
      </c>
      <c r="FJ7629" s="45" t="s">
        <v>59</v>
      </c>
    </row>
    <row r="7630" spans="153:166" x14ac:dyDescent="0.35">
      <c r="EW7630" t="s">
        <v>6182</v>
      </c>
      <c r="EX7630" s="44" t="s">
        <v>6206</v>
      </c>
      <c r="FF7630" s="45" t="s">
        <v>59</v>
      </c>
      <c r="FJ7630" s="45" t="s">
        <v>59</v>
      </c>
    </row>
    <row r="7631" spans="153:166" x14ac:dyDescent="0.35">
      <c r="EW7631" t="s">
        <v>6182</v>
      </c>
      <c r="EX7631" s="44" t="s">
        <v>6207</v>
      </c>
      <c r="FF7631" s="45" t="s">
        <v>59</v>
      </c>
      <c r="FJ7631" s="45" t="s">
        <v>59</v>
      </c>
    </row>
    <row r="7632" spans="153:166" x14ac:dyDescent="0.35">
      <c r="EW7632" t="s">
        <v>6182</v>
      </c>
      <c r="EX7632" s="44" t="s">
        <v>6208</v>
      </c>
      <c r="FF7632" s="45" t="s">
        <v>59</v>
      </c>
      <c r="FJ7632" s="45" t="s">
        <v>59</v>
      </c>
    </row>
    <row r="7633" spans="153:166" x14ac:dyDescent="0.35">
      <c r="EW7633" t="s">
        <v>6182</v>
      </c>
      <c r="EX7633" s="44" t="s">
        <v>5819</v>
      </c>
      <c r="FF7633" s="45" t="s">
        <v>59</v>
      </c>
      <c r="FJ7633" s="45" t="s">
        <v>59</v>
      </c>
    </row>
    <row r="7634" spans="153:166" x14ac:dyDescent="0.35">
      <c r="EW7634" t="s">
        <v>6182</v>
      </c>
      <c r="EX7634" s="44" t="s">
        <v>5820</v>
      </c>
      <c r="FF7634" s="45" t="s">
        <v>59</v>
      </c>
      <c r="FJ7634" s="45" t="s">
        <v>59</v>
      </c>
    </row>
    <row r="7635" spans="153:166" x14ac:dyDescent="0.35">
      <c r="EW7635" t="s">
        <v>6182</v>
      </c>
      <c r="EX7635" s="44" t="s">
        <v>6209</v>
      </c>
      <c r="FF7635" s="45" t="s">
        <v>59</v>
      </c>
      <c r="FJ7635" s="45" t="s">
        <v>59</v>
      </c>
    </row>
    <row r="7636" spans="153:166" x14ac:dyDescent="0.35">
      <c r="EW7636" t="s">
        <v>6182</v>
      </c>
      <c r="EX7636" s="44" t="s">
        <v>6210</v>
      </c>
      <c r="FF7636" s="45" t="s">
        <v>59</v>
      </c>
      <c r="FJ7636" s="45" t="s">
        <v>59</v>
      </c>
    </row>
    <row r="7637" spans="153:166" x14ac:dyDescent="0.35">
      <c r="EW7637" t="s">
        <v>6182</v>
      </c>
      <c r="EX7637" s="44" t="s">
        <v>6211</v>
      </c>
      <c r="FF7637" s="45" t="s">
        <v>59</v>
      </c>
      <c r="FJ7637" s="45" t="s">
        <v>59</v>
      </c>
    </row>
    <row r="7638" spans="153:166" x14ac:dyDescent="0.35">
      <c r="EW7638" t="s">
        <v>6182</v>
      </c>
      <c r="EX7638" s="44" t="s">
        <v>6212</v>
      </c>
      <c r="FF7638" s="45" t="s">
        <v>59</v>
      </c>
      <c r="FJ7638" s="45" t="s">
        <v>59</v>
      </c>
    </row>
    <row r="7639" spans="153:166" x14ac:dyDescent="0.35">
      <c r="EW7639" t="s">
        <v>6182</v>
      </c>
      <c r="EX7639" s="44" t="s">
        <v>6213</v>
      </c>
      <c r="FF7639" s="45" t="s">
        <v>59</v>
      </c>
      <c r="FJ7639" s="45" t="s">
        <v>59</v>
      </c>
    </row>
    <row r="7640" spans="153:166" x14ac:dyDescent="0.35">
      <c r="EW7640" t="s">
        <v>6182</v>
      </c>
      <c r="EX7640" s="44" t="s">
        <v>6214</v>
      </c>
      <c r="FF7640" s="45" t="s">
        <v>59</v>
      </c>
      <c r="FJ7640" s="45" t="s">
        <v>59</v>
      </c>
    </row>
    <row r="7641" spans="153:166" x14ac:dyDescent="0.35">
      <c r="EW7641" t="s">
        <v>6182</v>
      </c>
      <c r="EX7641" s="44" t="s">
        <v>6215</v>
      </c>
      <c r="FF7641" s="45" t="s">
        <v>59</v>
      </c>
      <c r="FJ7641" s="45" t="s">
        <v>59</v>
      </c>
    </row>
    <row r="7642" spans="153:166" x14ac:dyDescent="0.35">
      <c r="EW7642" t="s">
        <v>6182</v>
      </c>
      <c r="EX7642" s="44" t="s">
        <v>6216</v>
      </c>
      <c r="FF7642" s="45" t="s">
        <v>59</v>
      </c>
      <c r="FJ7642" s="45" t="s">
        <v>59</v>
      </c>
    </row>
    <row r="7643" spans="153:166" x14ac:dyDescent="0.35">
      <c r="EW7643" t="s">
        <v>6182</v>
      </c>
      <c r="EX7643" s="44" t="s">
        <v>6217</v>
      </c>
      <c r="FF7643" s="45" t="s">
        <v>59</v>
      </c>
      <c r="FJ7643" s="45" t="s">
        <v>59</v>
      </c>
    </row>
    <row r="7644" spans="153:166" x14ac:dyDescent="0.35">
      <c r="EW7644" t="s">
        <v>6182</v>
      </c>
      <c r="EX7644" s="44" t="s">
        <v>6218</v>
      </c>
      <c r="FF7644" s="45" t="s">
        <v>59</v>
      </c>
      <c r="FJ7644" s="45" t="s">
        <v>59</v>
      </c>
    </row>
    <row r="7645" spans="153:166" x14ac:dyDescent="0.35">
      <c r="EW7645" t="s">
        <v>6182</v>
      </c>
      <c r="EX7645" s="44" t="s">
        <v>6219</v>
      </c>
      <c r="FF7645" s="45" t="s">
        <v>59</v>
      </c>
      <c r="FJ7645" s="45" t="s">
        <v>59</v>
      </c>
    </row>
    <row r="7646" spans="153:166" x14ac:dyDescent="0.35">
      <c r="EW7646" t="s">
        <v>6182</v>
      </c>
      <c r="EX7646" s="44" t="s">
        <v>6220</v>
      </c>
      <c r="FF7646" s="45" t="s">
        <v>59</v>
      </c>
      <c r="FJ7646" s="45" t="s">
        <v>59</v>
      </c>
    </row>
    <row r="7647" spans="153:166" x14ac:dyDescent="0.35">
      <c r="EW7647" t="s">
        <v>6182</v>
      </c>
      <c r="EX7647" s="44" t="s">
        <v>6221</v>
      </c>
      <c r="FF7647" s="45" t="s">
        <v>59</v>
      </c>
      <c r="FJ7647" s="45" t="s">
        <v>59</v>
      </c>
    </row>
    <row r="7648" spans="153:166" x14ac:dyDescent="0.35">
      <c r="EW7648" t="s">
        <v>6182</v>
      </c>
      <c r="EX7648" s="44" t="s">
        <v>6222</v>
      </c>
      <c r="FF7648" s="45" t="s">
        <v>59</v>
      </c>
      <c r="FJ7648" s="45" t="s">
        <v>59</v>
      </c>
    </row>
    <row r="7649" spans="153:166" x14ac:dyDescent="0.35">
      <c r="EW7649" t="s">
        <v>6182</v>
      </c>
      <c r="EX7649" s="44" t="s">
        <v>6223</v>
      </c>
      <c r="FF7649" s="45" t="s">
        <v>59</v>
      </c>
      <c r="FJ7649" s="45" t="s">
        <v>59</v>
      </c>
    </row>
    <row r="7650" spans="153:166" x14ac:dyDescent="0.35">
      <c r="EW7650" t="s">
        <v>6182</v>
      </c>
      <c r="EX7650" s="44" t="s">
        <v>6224</v>
      </c>
      <c r="FF7650" s="45" t="s">
        <v>59</v>
      </c>
      <c r="FJ7650" s="45" t="s">
        <v>59</v>
      </c>
    </row>
    <row r="7651" spans="153:166" x14ac:dyDescent="0.35">
      <c r="EW7651" t="s">
        <v>6182</v>
      </c>
      <c r="EX7651" s="44" t="s">
        <v>6225</v>
      </c>
      <c r="FF7651" s="45" t="s">
        <v>59</v>
      </c>
      <c r="FJ7651" s="45" t="s">
        <v>59</v>
      </c>
    </row>
    <row r="7652" spans="153:166" x14ac:dyDescent="0.35">
      <c r="EW7652" t="s">
        <v>6182</v>
      </c>
      <c r="EX7652" s="44" t="s">
        <v>6226</v>
      </c>
      <c r="FF7652" s="45" t="s">
        <v>59</v>
      </c>
      <c r="FJ7652" s="45" t="s">
        <v>59</v>
      </c>
    </row>
    <row r="7653" spans="153:166" x14ac:dyDescent="0.35">
      <c r="EW7653" t="s">
        <v>6182</v>
      </c>
      <c r="EX7653" s="44" t="s">
        <v>6227</v>
      </c>
      <c r="FF7653" s="45" t="s">
        <v>59</v>
      </c>
      <c r="FJ7653" s="45" t="s">
        <v>59</v>
      </c>
    </row>
    <row r="7654" spans="153:166" x14ac:dyDescent="0.35">
      <c r="EW7654" t="s">
        <v>6182</v>
      </c>
      <c r="EX7654" s="44" t="s">
        <v>6228</v>
      </c>
      <c r="FF7654" s="45" t="s">
        <v>59</v>
      </c>
      <c r="FJ7654" s="45" t="s">
        <v>59</v>
      </c>
    </row>
    <row r="7655" spans="153:166" x14ac:dyDescent="0.35">
      <c r="EW7655" t="s">
        <v>6182</v>
      </c>
      <c r="EX7655" s="44" t="s">
        <v>5841</v>
      </c>
      <c r="FF7655" s="45" t="s">
        <v>59</v>
      </c>
      <c r="FJ7655" s="45" t="s">
        <v>59</v>
      </c>
    </row>
    <row r="7656" spans="153:166" x14ac:dyDescent="0.35">
      <c r="EW7656" t="s">
        <v>6182</v>
      </c>
      <c r="EX7656" s="44" t="s">
        <v>6229</v>
      </c>
      <c r="FF7656" s="45" t="s">
        <v>59</v>
      </c>
      <c r="FJ7656" s="45" t="s">
        <v>59</v>
      </c>
    </row>
    <row r="7657" spans="153:166" x14ac:dyDescent="0.35">
      <c r="EW7657" t="s">
        <v>6182</v>
      </c>
      <c r="EX7657" s="44" t="s">
        <v>6230</v>
      </c>
      <c r="FF7657" s="45" t="s">
        <v>59</v>
      </c>
      <c r="FJ7657" s="45" t="s">
        <v>59</v>
      </c>
    </row>
    <row r="7658" spans="153:166" x14ac:dyDescent="0.35">
      <c r="EW7658" t="s">
        <v>6182</v>
      </c>
      <c r="EX7658" s="44" t="s">
        <v>6231</v>
      </c>
      <c r="FF7658" s="45" t="s">
        <v>59</v>
      </c>
      <c r="FJ7658" s="45" t="s">
        <v>59</v>
      </c>
    </row>
    <row r="7659" spans="153:166" x14ac:dyDescent="0.35">
      <c r="EW7659" t="s">
        <v>6182</v>
      </c>
      <c r="EX7659" s="44" t="s">
        <v>6232</v>
      </c>
      <c r="FF7659" s="45" t="s">
        <v>59</v>
      </c>
      <c r="FJ7659" s="45" t="s">
        <v>59</v>
      </c>
    </row>
    <row r="7660" spans="153:166" x14ac:dyDescent="0.35">
      <c r="EW7660" t="s">
        <v>6182</v>
      </c>
      <c r="EX7660" s="44" t="s">
        <v>6233</v>
      </c>
      <c r="FF7660" s="45" t="s">
        <v>59</v>
      </c>
      <c r="FJ7660" s="45" t="s">
        <v>59</v>
      </c>
    </row>
    <row r="7661" spans="153:166" x14ac:dyDescent="0.35">
      <c r="EW7661" t="s">
        <v>6182</v>
      </c>
      <c r="EX7661" s="44" t="s">
        <v>6234</v>
      </c>
      <c r="FF7661" s="45" t="s">
        <v>59</v>
      </c>
      <c r="FJ7661" s="45" t="s">
        <v>59</v>
      </c>
    </row>
    <row r="7662" spans="153:166" x14ac:dyDescent="0.35">
      <c r="EW7662" t="s">
        <v>6182</v>
      </c>
      <c r="EX7662" s="44" t="s">
        <v>6235</v>
      </c>
      <c r="FF7662" s="45" t="s">
        <v>59</v>
      </c>
      <c r="FJ7662" s="45" t="s">
        <v>59</v>
      </c>
    </row>
    <row r="7663" spans="153:166" x14ac:dyDescent="0.35">
      <c r="EW7663" t="s">
        <v>6182</v>
      </c>
      <c r="EX7663" s="44" t="s">
        <v>6236</v>
      </c>
      <c r="FF7663" s="45" t="s">
        <v>59</v>
      </c>
      <c r="FJ7663" s="45" t="s">
        <v>59</v>
      </c>
    </row>
    <row r="7664" spans="153:166" x14ac:dyDescent="0.35">
      <c r="EW7664" t="s">
        <v>6182</v>
      </c>
      <c r="EX7664" s="44" t="s">
        <v>6237</v>
      </c>
      <c r="FF7664" s="45" t="s">
        <v>59</v>
      </c>
      <c r="FJ7664" s="45" t="s">
        <v>59</v>
      </c>
    </row>
    <row r="7665" spans="153:166" x14ac:dyDescent="0.35">
      <c r="EW7665" t="s">
        <v>6182</v>
      </c>
      <c r="EX7665" s="44" t="s">
        <v>6238</v>
      </c>
      <c r="FF7665" s="45" t="s">
        <v>59</v>
      </c>
      <c r="FJ7665" s="45" t="s">
        <v>59</v>
      </c>
    </row>
    <row r="7666" spans="153:166" x14ac:dyDescent="0.35">
      <c r="EW7666" t="s">
        <v>6182</v>
      </c>
      <c r="EX7666" s="44" t="s">
        <v>5852</v>
      </c>
      <c r="FF7666" s="45" t="s">
        <v>59</v>
      </c>
      <c r="FJ7666" s="45" t="s">
        <v>59</v>
      </c>
    </row>
    <row r="7667" spans="153:166" x14ac:dyDescent="0.35">
      <c r="EW7667" t="s">
        <v>6182</v>
      </c>
      <c r="EX7667" s="44" t="s">
        <v>5853</v>
      </c>
      <c r="FF7667" s="45" t="s">
        <v>59</v>
      </c>
      <c r="FJ7667" s="45" t="s">
        <v>59</v>
      </c>
    </row>
    <row r="7668" spans="153:166" x14ac:dyDescent="0.35">
      <c r="EW7668" t="s">
        <v>6182</v>
      </c>
      <c r="EX7668" s="44" t="s">
        <v>6239</v>
      </c>
      <c r="FF7668" s="45" t="s">
        <v>59</v>
      </c>
      <c r="FJ7668" s="45" t="s">
        <v>59</v>
      </c>
    </row>
    <row r="7669" spans="153:166" x14ac:dyDescent="0.35">
      <c r="EW7669" t="s">
        <v>6182</v>
      </c>
      <c r="EX7669" s="44" t="s">
        <v>6240</v>
      </c>
      <c r="FF7669" s="45" t="s">
        <v>59</v>
      </c>
      <c r="FJ7669" s="45" t="s">
        <v>59</v>
      </c>
    </row>
    <row r="7670" spans="153:166" x14ac:dyDescent="0.35">
      <c r="EW7670" t="s">
        <v>6182</v>
      </c>
      <c r="EX7670" s="44" t="s">
        <v>6241</v>
      </c>
      <c r="FF7670" s="45" t="s">
        <v>59</v>
      </c>
      <c r="FJ7670" s="45" t="s">
        <v>59</v>
      </c>
    </row>
    <row r="7671" spans="153:166" x14ac:dyDescent="0.35">
      <c r="EW7671" t="s">
        <v>6182</v>
      </c>
      <c r="EX7671" s="44" t="s">
        <v>6242</v>
      </c>
      <c r="FF7671" s="45" t="s">
        <v>59</v>
      </c>
      <c r="FJ7671" s="45" t="s">
        <v>59</v>
      </c>
    </row>
    <row r="7672" spans="153:166" x14ac:dyDescent="0.35">
      <c r="EW7672" t="s">
        <v>6182</v>
      </c>
      <c r="EX7672" s="44" t="s">
        <v>6243</v>
      </c>
      <c r="FF7672" s="45" t="s">
        <v>59</v>
      </c>
      <c r="FJ7672" s="45" t="s">
        <v>59</v>
      </c>
    </row>
    <row r="7673" spans="153:166" x14ac:dyDescent="0.35">
      <c r="EW7673" t="s">
        <v>6182</v>
      </c>
      <c r="EX7673" s="44" t="s">
        <v>6244</v>
      </c>
      <c r="FF7673" s="45" t="s">
        <v>59</v>
      </c>
      <c r="FJ7673" s="45" t="s">
        <v>59</v>
      </c>
    </row>
    <row r="7674" spans="153:166" x14ac:dyDescent="0.35">
      <c r="EW7674" t="s">
        <v>6182</v>
      </c>
      <c r="EX7674" s="44" t="s">
        <v>6245</v>
      </c>
      <c r="FF7674" s="45" t="s">
        <v>59</v>
      </c>
      <c r="FJ7674" s="45" t="s">
        <v>59</v>
      </c>
    </row>
    <row r="7675" spans="153:166" x14ac:dyDescent="0.35">
      <c r="EW7675" t="s">
        <v>6182</v>
      </c>
      <c r="EX7675" s="44" t="s">
        <v>6246</v>
      </c>
      <c r="FF7675" s="45" t="s">
        <v>59</v>
      </c>
      <c r="FJ7675" s="45" t="s">
        <v>59</v>
      </c>
    </row>
    <row r="7676" spans="153:166" x14ac:dyDescent="0.35">
      <c r="EW7676" t="s">
        <v>6182</v>
      </c>
      <c r="EX7676" s="44" t="s">
        <v>6247</v>
      </c>
      <c r="FF7676" s="45" t="s">
        <v>59</v>
      </c>
      <c r="FJ7676" s="45" t="s">
        <v>59</v>
      </c>
    </row>
    <row r="7677" spans="153:166" x14ac:dyDescent="0.35">
      <c r="EW7677" t="s">
        <v>6182</v>
      </c>
      <c r="EX7677" s="44" t="s">
        <v>6248</v>
      </c>
      <c r="FF7677" s="45" t="s">
        <v>59</v>
      </c>
      <c r="FJ7677" s="45" t="s">
        <v>59</v>
      </c>
    </row>
    <row r="7678" spans="153:166" x14ac:dyDescent="0.35">
      <c r="EW7678" t="s">
        <v>6182</v>
      </c>
      <c r="EX7678" s="44" t="s">
        <v>6249</v>
      </c>
      <c r="FF7678" s="45" t="s">
        <v>59</v>
      </c>
      <c r="FJ7678" s="45" t="s">
        <v>59</v>
      </c>
    </row>
    <row r="7679" spans="153:166" x14ac:dyDescent="0.35">
      <c r="EW7679" t="s">
        <v>6182</v>
      </c>
      <c r="EX7679" s="44" t="s">
        <v>6250</v>
      </c>
      <c r="FF7679" s="45" t="s">
        <v>59</v>
      </c>
      <c r="FJ7679" s="45" t="s">
        <v>59</v>
      </c>
    </row>
    <row r="7680" spans="153:166" x14ac:dyDescent="0.35">
      <c r="EW7680" t="s">
        <v>6182</v>
      </c>
      <c r="EX7680" s="44" t="s">
        <v>5866</v>
      </c>
      <c r="FF7680" s="45" t="s">
        <v>59</v>
      </c>
      <c r="FJ7680" s="45" t="s">
        <v>59</v>
      </c>
    </row>
    <row r="7681" spans="153:166" x14ac:dyDescent="0.35">
      <c r="EW7681" t="s">
        <v>6182</v>
      </c>
      <c r="EX7681" s="44" t="s">
        <v>5867</v>
      </c>
      <c r="FF7681" s="45" t="s">
        <v>59</v>
      </c>
      <c r="FJ7681" s="45" t="s">
        <v>59</v>
      </c>
    </row>
    <row r="7682" spans="153:166" x14ac:dyDescent="0.35">
      <c r="EW7682" t="s">
        <v>6182</v>
      </c>
      <c r="EX7682" s="44" t="s">
        <v>6251</v>
      </c>
      <c r="FF7682" s="45" t="s">
        <v>59</v>
      </c>
      <c r="FJ7682" s="45" t="s">
        <v>59</v>
      </c>
    </row>
    <row r="7683" spans="153:166" x14ac:dyDescent="0.35">
      <c r="EW7683" t="s">
        <v>6182</v>
      </c>
      <c r="EX7683" s="44" t="s">
        <v>6252</v>
      </c>
      <c r="FF7683" s="45" t="s">
        <v>59</v>
      </c>
      <c r="FJ7683" s="45" t="s">
        <v>59</v>
      </c>
    </row>
    <row r="7684" spans="153:166" x14ac:dyDescent="0.35">
      <c r="EW7684" t="s">
        <v>6182</v>
      </c>
      <c r="EX7684" s="44" t="s">
        <v>5870</v>
      </c>
      <c r="FF7684" s="45" t="s">
        <v>59</v>
      </c>
      <c r="FJ7684" s="45" t="s">
        <v>59</v>
      </c>
    </row>
    <row r="7685" spans="153:166" x14ac:dyDescent="0.35">
      <c r="EW7685" t="s">
        <v>6182</v>
      </c>
      <c r="EX7685" s="44" t="s">
        <v>6253</v>
      </c>
      <c r="FF7685" s="45" t="s">
        <v>59</v>
      </c>
      <c r="FJ7685" s="45" t="s">
        <v>59</v>
      </c>
    </row>
    <row r="7686" spans="153:166" x14ac:dyDescent="0.35">
      <c r="EW7686" t="s">
        <v>6182</v>
      </c>
      <c r="EX7686" s="44" t="s">
        <v>6254</v>
      </c>
      <c r="FF7686" s="45" t="s">
        <v>59</v>
      </c>
      <c r="FJ7686" s="45" t="s">
        <v>59</v>
      </c>
    </row>
    <row r="7687" spans="153:166" x14ac:dyDescent="0.35">
      <c r="EW7687" t="s">
        <v>6182</v>
      </c>
      <c r="EX7687" s="44" t="s">
        <v>6255</v>
      </c>
      <c r="FF7687" s="45" t="s">
        <v>59</v>
      </c>
      <c r="FJ7687" s="45" t="s">
        <v>59</v>
      </c>
    </row>
    <row r="7688" spans="153:166" x14ac:dyDescent="0.35">
      <c r="EW7688" t="s">
        <v>6182</v>
      </c>
      <c r="EX7688" s="44" t="s">
        <v>6256</v>
      </c>
      <c r="FF7688" s="45" t="s">
        <v>59</v>
      </c>
      <c r="FJ7688" s="45" t="s">
        <v>59</v>
      </c>
    </row>
    <row r="7689" spans="153:166" x14ac:dyDescent="0.35">
      <c r="EW7689" t="s">
        <v>6182</v>
      </c>
      <c r="EX7689" s="44" t="s">
        <v>6257</v>
      </c>
      <c r="FF7689" s="45" t="s">
        <v>59</v>
      </c>
      <c r="FJ7689" s="45" t="s">
        <v>59</v>
      </c>
    </row>
    <row r="7690" spans="153:166" x14ac:dyDescent="0.35">
      <c r="EW7690" t="s">
        <v>6182</v>
      </c>
      <c r="EX7690" s="44" t="s">
        <v>6258</v>
      </c>
      <c r="FF7690" s="45" t="s">
        <v>59</v>
      </c>
      <c r="FJ7690" s="45" t="s">
        <v>59</v>
      </c>
    </row>
    <row r="7691" spans="153:166" x14ac:dyDescent="0.35">
      <c r="EW7691" t="s">
        <v>6182</v>
      </c>
      <c r="EX7691" s="44" t="s">
        <v>6259</v>
      </c>
      <c r="FF7691" s="45" t="s">
        <v>59</v>
      </c>
      <c r="FJ7691" s="45" t="s">
        <v>59</v>
      </c>
    </row>
    <row r="7692" spans="153:166" x14ac:dyDescent="0.35">
      <c r="EW7692" t="s">
        <v>6182</v>
      </c>
      <c r="EX7692" s="44" t="s">
        <v>6260</v>
      </c>
      <c r="FF7692" s="45" t="s">
        <v>59</v>
      </c>
      <c r="FJ7692" s="45" t="s">
        <v>59</v>
      </c>
    </row>
    <row r="7693" spans="153:166" x14ac:dyDescent="0.35">
      <c r="EW7693" t="s">
        <v>6182</v>
      </c>
      <c r="EX7693" s="44" t="s">
        <v>6261</v>
      </c>
      <c r="FF7693" s="45" t="s">
        <v>59</v>
      </c>
      <c r="FJ7693" s="45" t="s">
        <v>59</v>
      </c>
    </row>
    <row r="7694" spans="153:166" x14ac:dyDescent="0.35">
      <c r="EW7694" t="s">
        <v>6182</v>
      </c>
      <c r="EX7694" s="44" t="s">
        <v>5880</v>
      </c>
      <c r="FF7694" s="45" t="s">
        <v>59</v>
      </c>
      <c r="FJ7694" s="45" t="s">
        <v>59</v>
      </c>
    </row>
    <row r="7695" spans="153:166" x14ac:dyDescent="0.35">
      <c r="EW7695" t="s">
        <v>6182</v>
      </c>
      <c r="EX7695" s="44" t="s">
        <v>6262</v>
      </c>
      <c r="FF7695" s="45" t="s">
        <v>59</v>
      </c>
      <c r="FJ7695" s="45" t="s">
        <v>59</v>
      </c>
    </row>
    <row r="7696" spans="153:166" x14ac:dyDescent="0.35">
      <c r="EW7696" t="s">
        <v>6182</v>
      </c>
      <c r="EX7696" s="44" t="s">
        <v>6263</v>
      </c>
      <c r="FF7696" s="45" t="s">
        <v>59</v>
      </c>
      <c r="FJ7696" s="45" t="s">
        <v>59</v>
      </c>
    </row>
    <row r="7697" spans="153:166" x14ac:dyDescent="0.35">
      <c r="EW7697" t="s">
        <v>6182</v>
      </c>
      <c r="EX7697" s="44" t="s">
        <v>5883</v>
      </c>
      <c r="FF7697" s="45" t="s">
        <v>59</v>
      </c>
      <c r="FJ7697" s="45" t="s">
        <v>59</v>
      </c>
    </row>
    <row r="7698" spans="153:166" x14ac:dyDescent="0.35">
      <c r="EW7698" t="s">
        <v>6182</v>
      </c>
      <c r="EX7698" s="44" t="s">
        <v>6264</v>
      </c>
      <c r="FF7698" s="45" t="s">
        <v>59</v>
      </c>
      <c r="FJ7698" s="45" t="s">
        <v>59</v>
      </c>
    </row>
    <row r="7699" spans="153:166" x14ac:dyDescent="0.35">
      <c r="EW7699" t="s">
        <v>6182</v>
      </c>
      <c r="EX7699" s="44" t="s">
        <v>6265</v>
      </c>
      <c r="FF7699" s="45" t="s">
        <v>59</v>
      </c>
      <c r="FJ7699" s="45" t="s">
        <v>59</v>
      </c>
    </row>
    <row r="7700" spans="153:166" x14ac:dyDescent="0.35">
      <c r="EW7700" t="s">
        <v>6182</v>
      </c>
      <c r="EX7700" s="44" t="s">
        <v>6266</v>
      </c>
      <c r="FF7700" s="45" t="s">
        <v>59</v>
      </c>
      <c r="FJ7700" s="45" t="s">
        <v>59</v>
      </c>
    </row>
    <row r="7701" spans="153:166" x14ac:dyDescent="0.35">
      <c r="EW7701" t="s">
        <v>6182</v>
      </c>
      <c r="EX7701" s="44" t="s">
        <v>6267</v>
      </c>
      <c r="FF7701" s="45" t="s">
        <v>59</v>
      </c>
      <c r="FJ7701" s="45" t="s">
        <v>59</v>
      </c>
    </row>
    <row r="7702" spans="153:166" x14ac:dyDescent="0.35">
      <c r="EW7702" t="s">
        <v>6182</v>
      </c>
      <c r="EX7702" s="44" t="s">
        <v>6268</v>
      </c>
      <c r="FF7702" s="45" t="s">
        <v>59</v>
      </c>
      <c r="FJ7702" s="45" t="s">
        <v>59</v>
      </c>
    </row>
    <row r="7703" spans="153:166" x14ac:dyDescent="0.35">
      <c r="EW7703" t="s">
        <v>6182</v>
      </c>
      <c r="EX7703" s="44" t="s">
        <v>6269</v>
      </c>
      <c r="FF7703" s="45" t="s">
        <v>59</v>
      </c>
      <c r="FJ7703" s="45" t="s">
        <v>59</v>
      </c>
    </row>
    <row r="7704" spans="153:166" x14ac:dyDescent="0.35">
      <c r="EW7704" t="s">
        <v>6182</v>
      </c>
      <c r="EX7704" s="44" t="s">
        <v>5890</v>
      </c>
      <c r="FF7704" s="45" t="s">
        <v>59</v>
      </c>
      <c r="FJ7704" s="45" t="s">
        <v>59</v>
      </c>
    </row>
    <row r="7705" spans="153:166" x14ac:dyDescent="0.35">
      <c r="EW7705" t="s">
        <v>6182</v>
      </c>
      <c r="EX7705" s="44" t="s">
        <v>5891</v>
      </c>
      <c r="FF7705" s="45" t="s">
        <v>59</v>
      </c>
      <c r="FJ7705" s="45" t="s">
        <v>59</v>
      </c>
    </row>
    <row r="7706" spans="153:166" x14ac:dyDescent="0.35">
      <c r="EW7706" t="s">
        <v>6182</v>
      </c>
      <c r="EX7706" s="44" t="s">
        <v>6270</v>
      </c>
      <c r="FF7706" s="45" t="s">
        <v>59</v>
      </c>
      <c r="FJ7706" s="45" t="s">
        <v>59</v>
      </c>
    </row>
    <row r="7707" spans="153:166" x14ac:dyDescent="0.35">
      <c r="EW7707" t="s">
        <v>6182</v>
      </c>
      <c r="EX7707" s="44" t="s">
        <v>6271</v>
      </c>
      <c r="FF7707" s="45" t="s">
        <v>59</v>
      </c>
      <c r="FJ7707" s="45" t="s">
        <v>59</v>
      </c>
    </row>
    <row r="7708" spans="153:166" x14ac:dyDescent="0.35">
      <c r="EW7708" t="s">
        <v>6182</v>
      </c>
      <c r="EX7708" s="44" t="s">
        <v>5894</v>
      </c>
      <c r="FF7708" s="45" t="s">
        <v>59</v>
      </c>
      <c r="FJ7708" s="45" t="s">
        <v>59</v>
      </c>
    </row>
    <row r="7709" spans="153:166" x14ac:dyDescent="0.35">
      <c r="EW7709" t="s">
        <v>6182</v>
      </c>
      <c r="EX7709" s="44" t="s">
        <v>6272</v>
      </c>
      <c r="FF7709" s="45" t="s">
        <v>59</v>
      </c>
      <c r="FJ7709" s="45" t="s">
        <v>59</v>
      </c>
    </row>
    <row r="7710" spans="153:166" x14ac:dyDescent="0.35">
      <c r="EW7710" t="s">
        <v>6182</v>
      </c>
      <c r="EX7710" s="44" t="s">
        <v>6273</v>
      </c>
      <c r="FF7710" s="45" t="s">
        <v>59</v>
      </c>
      <c r="FJ7710" s="45" t="s">
        <v>59</v>
      </c>
    </row>
    <row r="7711" spans="153:166" x14ac:dyDescent="0.35">
      <c r="EW7711" t="s">
        <v>6182</v>
      </c>
      <c r="EX7711" s="44" t="s">
        <v>6274</v>
      </c>
      <c r="FF7711" s="45" t="s">
        <v>59</v>
      </c>
      <c r="FJ7711" s="45" t="s">
        <v>59</v>
      </c>
    </row>
    <row r="7712" spans="153:166" x14ac:dyDescent="0.35">
      <c r="EW7712" t="s">
        <v>6182</v>
      </c>
      <c r="EX7712" s="44" t="s">
        <v>6275</v>
      </c>
      <c r="FF7712" s="45" t="s">
        <v>59</v>
      </c>
      <c r="FJ7712" s="45" t="s">
        <v>59</v>
      </c>
    </row>
    <row r="7713" spans="153:166" x14ac:dyDescent="0.35">
      <c r="EW7713" t="s">
        <v>6182</v>
      </c>
      <c r="EX7713" s="44" t="s">
        <v>6276</v>
      </c>
      <c r="FF7713" s="45" t="s">
        <v>474</v>
      </c>
      <c r="FJ7713" s="45" t="s">
        <v>474</v>
      </c>
    </row>
    <row r="7714" spans="153:166" x14ac:dyDescent="0.35">
      <c r="EW7714" t="s">
        <v>6182</v>
      </c>
      <c r="EX7714" s="44" t="s">
        <v>6277</v>
      </c>
      <c r="FF7714" s="45" t="s">
        <v>474</v>
      </c>
      <c r="FJ7714" s="45" t="s">
        <v>474</v>
      </c>
    </row>
    <row r="7715" spans="153:166" x14ac:dyDescent="0.35">
      <c r="EW7715" t="s">
        <v>6182</v>
      </c>
      <c r="EX7715" s="44" t="s">
        <v>6278</v>
      </c>
      <c r="FF7715" s="45" t="s">
        <v>474</v>
      </c>
      <c r="FJ7715" s="45" t="s">
        <v>474</v>
      </c>
    </row>
    <row r="7716" spans="153:166" x14ac:dyDescent="0.35">
      <c r="EW7716" t="s">
        <v>6182</v>
      </c>
      <c r="EX7716" s="44" t="s">
        <v>6279</v>
      </c>
      <c r="FF7716" s="45" t="s">
        <v>474</v>
      </c>
      <c r="FJ7716" s="45" t="s">
        <v>474</v>
      </c>
    </row>
    <row r="7717" spans="153:166" x14ac:dyDescent="0.35">
      <c r="EW7717" t="s">
        <v>6182</v>
      </c>
      <c r="EX7717" s="44" t="s">
        <v>5903</v>
      </c>
      <c r="FF7717" s="45" t="s">
        <v>1109</v>
      </c>
      <c r="FJ7717" s="45" t="s">
        <v>1109</v>
      </c>
    </row>
    <row r="7718" spans="153:166" x14ac:dyDescent="0.35">
      <c r="EW7718" t="s">
        <v>6182</v>
      </c>
      <c r="EX7718" s="44" t="s">
        <v>5904</v>
      </c>
      <c r="FF7718" s="45" t="s">
        <v>1109</v>
      </c>
      <c r="FJ7718" s="45" t="s">
        <v>1109</v>
      </c>
    </row>
    <row r="7719" spans="153:166" x14ac:dyDescent="0.35">
      <c r="EW7719" t="s">
        <v>6182</v>
      </c>
      <c r="EX7719" s="44" t="s">
        <v>5905</v>
      </c>
      <c r="FF7719" s="45" t="s">
        <v>1109</v>
      </c>
      <c r="FJ7719" s="45" t="s">
        <v>1109</v>
      </c>
    </row>
    <row r="7720" spans="153:166" x14ac:dyDescent="0.35">
      <c r="EW7720" t="s">
        <v>6182</v>
      </c>
      <c r="EX7720" s="44" t="s">
        <v>5906</v>
      </c>
      <c r="FF7720" s="45" t="s">
        <v>1109</v>
      </c>
      <c r="FJ7720" s="45" t="s">
        <v>1109</v>
      </c>
    </row>
    <row r="7721" spans="153:166" x14ac:dyDescent="0.35">
      <c r="EW7721" t="s">
        <v>6182</v>
      </c>
      <c r="EX7721" s="44" t="s">
        <v>5907</v>
      </c>
      <c r="FF7721" s="45" t="s">
        <v>1109</v>
      </c>
      <c r="FJ7721" s="45" t="s">
        <v>1109</v>
      </c>
    </row>
    <row r="7722" spans="153:166" x14ac:dyDescent="0.35">
      <c r="EW7722" t="s">
        <v>6182</v>
      </c>
      <c r="EX7722" s="44" t="s">
        <v>5908</v>
      </c>
      <c r="FF7722" s="45" t="s">
        <v>1109</v>
      </c>
      <c r="FJ7722" s="45" t="s">
        <v>1109</v>
      </c>
    </row>
    <row r="7723" spans="153:166" x14ac:dyDescent="0.35">
      <c r="EW7723" t="s">
        <v>6182</v>
      </c>
      <c r="EX7723" s="44" t="s">
        <v>5909</v>
      </c>
      <c r="FF7723" s="45" t="s">
        <v>1109</v>
      </c>
      <c r="FJ7723" s="45" t="s">
        <v>1109</v>
      </c>
    </row>
    <row r="7724" spans="153:166" x14ac:dyDescent="0.35">
      <c r="EW7724" t="s">
        <v>6182</v>
      </c>
      <c r="EX7724" s="44" t="s">
        <v>5910</v>
      </c>
      <c r="FF7724" s="45" t="s">
        <v>1109</v>
      </c>
      <c r="FJ7724" s="45" t="s">
        <v>1109</v>
      </c>
    </row>
    <row r="7725" spans="153:166" x14ac:dyDescent="0.35">
      <c r="EW7725" t="s">
        <v>6182</v>
      </c>
      <c r="EX7725" s="44" t="s">
        <v>5911</v>
      </c>
      <c r="FF7725" s="45" t="s">
        <v>1109</v>
      </c>
      <c r="FJ7725" s="45" t="s">
        <v>1109</v>
      </c>
    </row>
    <row r="7726" spans="153:166" x14ac:dyDescent="0.35">
      <c r="EW7726" t="s">
        <v>6182</v>
      </c>
      <c r="EX7726" s="44" t="s">
        <v>5912</v>
      </c>
      <c r="FF7726" s="45" t="s">
        <v>1109</v>
      </c>
      <c r="FJ7726" s="45" t="s">
        <v>1109</v>
      </c>
    </row>
    <row r="7727" spans="153:166" x14ac:dyDescent="0.35">
      <c r="EW7727" t="s">
        <v>6182</v>
      </c>
      <c r="EX7727" s="44" t="s">
        <v>5913</v>
      </c>
      <c r="FF7727" s="45" t="s">
        <v>1109</v>
      </c>
      <c r="FJ7727" s="45" t="s">
        <v>1109</v>
      </c>
    </row>
    <row r="7728" spans="153:166" x14ac:dyDescent="0.35">
      <c r="EW7728" t="s">
        <v>6182</v>
      </c>
      <c r="EX7728" s="44" t="s">
        <v>5914</v>
      </c>
      <c r="FF7728" s="45" t="s">
        <v>1109</v>
      </c>
      <c r="FJ7728" s="45" t="s">
        <v>1109</v>
      </c>
    </row>
    <row r="7729" spans="153:166" x14ac:dyDescent="0.35">
      <c r="EW7729" t="s">
        <v>6182</v>
      </c>
      <c r="EX7729" s="44" t="s">
        <v>5915</v>
      </c>
      <c r="FF7729" s="45" t="s">
        <v>1109</v>
      </c>
      <c r="FJ7729" s="45" t="s">
        <v>1109</v>
      </c>
    </row>
    <row r="7730" spans="153:166" x14ac:dyDescent="0.35">
      <c r="EW7730" t="s">
        <v>6182</v>
      </c>
      <c r="EX7730" s="44" t="s">
        <v>5916</v>
      </c>
      <c r="FF7730" s="45" t="s">
        <v>1109</v>
      </c>
      <c r="FJ7730" s="45" t="s">
        <v>1109</v>
      </c>
    </row>
    <row r="7731" spans="153:166" x14ac:dyDescent="0.35">
      <c r="EW7731" t="s">
        <v>6182</v>
      </c>
      <c r="EX7731" s="44" t="s">
        <v>5917</v>
      </c>
      <c r="FF7731" s="45" t="s">
        <v>1109</v>
      </c>
      <c r="FJ7731" s="45" t="s">
        <v>1109</v>
      </c>
    </row>
    <row r="7732" spans="153:166" x14ac:dyDescent="0.35">
      <c r="EW7732" t="s">
        <v>6182</v>
      </c>
      <c r="EX7732" s="44" t="s">
        <v>5918</v>
      </c>
      <c r="FF7732" s="45" t="s">
        <v>1109</v>
      </c>
      <c r="FJ7732" s="45" t="s">
        <v>1109</v>
      </c>
    </row>
    <row r="7733" spans="153:166" x14ac:dyDescent="0.35">
      <c r="EW7733" t="s">
        <v>6182</v>
      </c>
      <c r="EX7733" s="44" t="s">
        <v>5919</v>
      </c>
      <c r="FF7733" s="45" t="s">
        <v>1109</v>
      </c>
      <c r="FJ7733" s="45" t="s">
        <v>1109</v>
      </c>
    </row>
    <row r="7734" spans="153:166" x14ac:dyDescent="0.35">
      <c r="EW7734" t="s">
        <v>6182</v>
      </c>
      <c r="EX7734" s="44" t="s">
        <v>5920</v>
      </c>
      <c r="FF7734" s="45" t="s">
        <v>1109</v>
      </c>
      <c r="FJ7734" s="45" t="s">
        <v>1109</v>
      </c>
    </row>
    <row r="7735" spans="153:166" x14ac:dyDescent="0.35">
      <c r="EW7735" t="s">
        <v>6182</v>
      </c>
      <c r="EX7735" s="44" t="s">
        <v>5921</v>
      </c>
      <c r="FF7735" s="45" t="s">
        <v>1109</v>
      </c>
      <c r="FJ7735" s="45" t="s">
        <v>1109</v>
      </c>
    </row>
    <row r="7736" spans="153:166" x14ac:dyDescent="0.35">
      <c r="EW7736" t="s">
        <v>6182</v>
      </c>
      <c r="EX7736" s="44" t="s">
        <v>5922</v>
      </c>
      <c r="FF7736" s="45" t="s">
        <v>1109</v>
      </c>
      <c r="FJ7736" s="45" t="s">
        <v>1109</v>
      </c>
    </row>
    <row r="7737" spans="153:166" x14ac:dyDescent="0.35">
      <c r="EW7737" t="s">
        <v>6182</v>
      </c>
      <c r="EX7737" s="44" t="s">
        <v>5923</v>
      </c>
      <c r="FF7737" s="45" t="s">
        <v>1109</v>
      </c>
      <c r="FJ7737" s="45" t="s">
        <v>1109</v>
      </c>
    </row>
    <row r="7738" spans="153:166" x14ac:dyDescent="0.35">
      <c r="EW7738" t="s">
        <v>6182</v>
      </c>
      <c r="EX7738" s="44" t="s">
        <v>5924</v>
      </c>
      <c r="FF7738" s="45" t="s">
        <v>1109</v>
      </c>
      <c r="FJ7738" s="45" t="s">
        <v>1109</v>
      </c>
    </row>
    <row r="7739" spans="153:166" x14ac:dyDescent="0.35">
      <c r="EW7739" t="s">
        <v>6182</v>
      </c>
      <c r="EX7739" s="44" t="s">
        <v>5925</v>
      </c>
      <c r="FF7739" s="45" t="s">
        <v>1109</v>
      </c>
      <c r="FJ7739" s="45" t="s">
        <v>1109</v>
      </c>
    </row>
    <row r="7740" spans="153:166" x14ac:dyDescent="0.35">
      <c r="EW7740" t="s">
        <v>6182</v>
      </c>
      <c r="EX7740" s="44" t="s">
        <v>5926</v>
      </c>
      <c r="FF7740" s="45" t="s">
        <v>1109</v>
      </c>
      <c r="FJ7740" s="45" t="s">
        <v>1109</v>
      </c>
    </row>
    <row r="7741" spans="153:166" x14ac:dyDescent="0.35">
      <c r="EW7741" t="s">
        <v>6182</v>
      </c>
      <c r="EX7741" s="44" t="s">
        <v>5927</v>
      </c>
      <c r="FF7741" s="45" t="s">
        <v>1109</v>
      </c>
      <c r="FJ7741" s="45" t="s">
        <v>1109</v>
      </c>
    </row>
    <row r="7742" spans="153:166" x14ac:dyDescent="0.35">
      <c r="EW7742" t="s">
        <v>6182</v>
      </c>
      <c r="EX7742" s="44" t="s">
        <v>5928</v>
      </c>
      <c r="FF7742" s="45" t="s">
        <v>1109</v>
      </c>
      <c r="FJ7742" s="45" t="s">
        <v>1109</v>
      </c>
    </row>
    <row r="7743" spans="153:166" x14ac:dyDescent="0.35">
      <c r="EW7743" t="s">
        <v>6182</v>
      </c>
      <c r="EX7743" s="44" t="s">
        <v>5929</v>
      </c>
      <c r="FF7743" s="45" t="s">
        <v>1109</v>
      </c>
      <c r="FJ7743" s="45" t="s">
        <v>1109</v>
      </c>
    </row>
    <row r="7744" spans="153:166" x14ac:dyDescent="0.35">
      <c r="EW7744" t="s">
        <v>6182</v>
      </c>
      <c r="EX7744" s="44" t="s">
        <v>5930</v>
      </c>
      <c r="FF7744" s="45" t="s">
        <v>1109</v>
      </c>
      <c r="FJ7744" s="45" t="s">
        <v>1109</v>
      </c>
    </row>
    <row r="7745" spans="153:166" x14ac:dyDescent="0.35">
      <c r="EW7745" t="s">
        <v>6182</v>
      </c>
      <c r="EX7745" s="44" t="s">
        <v>5931</v>
      </c>
      <c r="FF7745" s="45" t="s">
        <v>1109</v>
      </c>
      <c r="FJ7745" s="45" t="s">
        <v>1109</v>
      </c>
    </row>
    <row r="7746" spans="153:166" x14ac:dyDescent="0.35">
      <c r="EW7746" t="s">
        <v>6182</v>
      </c>
      <c r="EX7746" s="44" t="s">
        <v>5932</v>
      </c>
      <c r="FF7746" s="45" t="s">
        <v>1109</v>
      </c>
      <c r="FJ7746" s="45" t="s">
        <v>1109</v>
      </c>
    </row>
    <row r="7747" spans="153:166" x14ac:dyDescent="0.35">
      <c r="EW7747" t="s">
        <v>6182</v>
      </c>
      <c r="EX7747" s="44" t="s">
        <v>5933</v>
      </c>
      <c r="FF7747" s="45" t="s">
        <v>1109</v>
      </c>
      <c r="FJ7747" s="45" t="s">
        <v>1109</v>
      </c>
    </row>
    <row r="7748" spans="153:166" x14ac:dyDescent="0.35">
      <c r="EW7748" t="s">
        <v>6182</v>
      </c>
      <c r="EX7748" s="44" t="s">
        <v>5934</v>
      </c>
      <c r="FF7748" s="45" t="s">
        <v>1109</v>
      </c>
      <c r="FJ7748" s="45" t="s">
        <v>1109</v>
      </c>
    </row>
    <row r="7749" spans="153:166" x14ac:dyDescent="0.35">
      <c r="EW7749" t="s">
        <v>6182</v>
      </c>
      <c r="EX7749" s="44" t="s">
        <v>5935</v>
      </c>
      <c r="FF7749" s="45" t="s">
        <v>59</v>
      </c>
      <c r="FJ7749" s="45" t="s">
        <v>59</v>
      </c>
    </row>
    <row r="7750" spans="153:166" x14ac:dyDescent="0.35">
      <c r="EW7750" t="s">
        <v>6182</v>
      </c>
      <c r="EX7750" s="44" t="s">
        <v>5936</v>
      </c>
      <c r="FF7750" s="45" t="s">
        <v>59</v>
      </c>
      <c r="FJ7750" s="45" t="s">
        <v>59</v>
      </c>
    </row>
    <row r="7751" spans="153:166" x14ac:dyDescent="0.35">
      <c r="EW7751" t="s">
        <v>6182</v>
      </c>
      <c r="EX7751" s="44" t="s">
        <v>5937</v>
      </c>
      <c r="FF7751" s="45" t="s">
        <v>59</v>
      </c>
      <c r="FJ7751" s="45" t="s">
        <v>59</v>
      </c>
    </row>
    <row r="7752" spans="153:166" x14ac:dyDescent="0.35">
      <c r="EW7752" t="s">
        <v>6182</v>
      </c>
      <c r="EX7752" s="44" t="s">
        <v>5938</v>
      </c>
      <c r="FF7752" s="45" t="s">
        <v>59</v>
      </c>
      <c r="FJ7752" s="45" t="s">
        <v>59</v>
      </c>
    </row>
    <row r="7753" spans="153:166" x14ac:dyDescent="0.35">
      <c r="EW7753" t="s">
        <v>6182</v>
      </c>
      <c r="EX7753" s="44" t="s">
        <v>5939</v>
      </c>
      <c r="FF7753" s="45" t="s">
        <v>59</v>
      </c>
      <c r="FJ7753" s="45" t="s">
        <v>59</v>
      </c>
    </row>
    <row r="7754" spans="153:166" x14ac:dyDescent="0.35">
      <c r="EW7754" t="s">
        <v>6182</v>
      </c>
      <c r="EX7754" s="44" t="s">
        <v>5940</v>
      </c>
      <c r="FF7754" s="45" t="s">
        <v>59</v>
      </c>
      <c r="FJ7754" s="45" t="s">
        <v>59</v>
      </c>
    </row>
    <row r="7755" spans="153:166" x14ac:dyDescent="0.35">
      <c r="EW7755" t="s">
        <v>6182</v>
      </c>
      <c r="EX7755" s="44" t="s">
        <v>5941</v>
      </c>
      <c r="FF7755" s="45" t="s">
        <v>59</v>
      </c>
      <c r="FJ7755" s="45" t="s">
        <v>59</v>
      </c>
    </row>
    <row r="7756" spans="153:166" x14ac:dyDescent="0.35">
      <c r="EW7756" t="s">
        <v>6182</v>
      </c>
      <c r="EX7756" s="44" t="s">
        <v>5942</v>
      </c>
      <c r="FF7756" s="45" t="s">
        <v>59</v>
      </c>
      <c r="FJ7756" s="45" t="s">
        <v>59</v>
      </c>
    </row>
    <row r="7757" spans="153:166" x14ac:dyDescent="0.35">
      <c r="EW7757" t="s">
        <v>6182</v>
      </c>
      <c r="EX7757" s="44" t="s">
        <v>5943</v>
      </c>
      <c r="FF7757" s="45" t="s">
        <v>59</v>
      </c>
      <c r="FJ7757" s="45" t="s">
        <v>59</v>
      </c>
    </row>
    <row r="7758" spans="153:166" x14ac:dyDescent="0.35">
      <c r="EW7758" t="s">
        <v>6182</v>
      </c>
      <c r="EX7758" s="44" t="s">
        <v>5944</v>
      </c>
      <c r="FF7758" s="45" t="s">
        <v>59</v>
      </c>
      <c r="FJ7758" s="45" t="s">
        <v>59</v>
      </c>
    </row>
    <row r="7759" spans="153:166" x14ac:dyDescent="0.35">
      <c r="EW7759" t="s">
        <v>6182</v>
      </c>
      <c r="EX7759" s="44" t="s">
        <v>5945</v>
      </c>
      <c r="FF7759" s="45" t="s">
        <v>59</v>
      </c>
      <c r="FJ7759" s="45" t="s">
        <v>59</v>
      </c>
    </row>
    <row r="7760" spans="153:166" x14ac:dyDescent="0.35">
      <c r="EW7760" t="s">
        <v>6182</v>
      </c>
      <c r="EX7760" s="44" t="s">
        <v>5946</v>
      </c>
      <c r="FF7760" s="45" t="s">
        <v>59</v>
      </c>
      <c r="FJ7760" s="45" t="s">
        <v>59</v>
      </c>
    </row>
    <row r="7761" spans="153:166" x14ac:dyDescent="0.35">
      <c r="EW7761" t="s">
        <v>6182</v>
      </c>
      <c r="EX7761" s="44" t="s">
        <v>5947</v>
      </c>
      <c r="FF7761" s="45" t="s">
        <v>59</v>
      </c>
      <c r="FJ7761" s="45" t="s">
        <v>59</v>
      </c>
    </row>
    <row r="7762" spans="153:166" x14ac:dyDescent="0.35">
      <c r="EW7762" t="s">
        <v>6182</v>
      </c>
      <c r="EX7762" s="44" t="s">
        <v>5948</v>
      </c>
      <c r="FF7762" s="45" t="s">
        <v>59</v>
      </c>
      <c r="FJ7762" s="45" t="s">
        <v>59</v>
      </c>
    </row>
    <row r="7763" spans="153:166" x14ac:dyDescent="0.35">
      <c r="EW7763" t="s">
        <v>6182</v>
      </c>
      <c r="EX7763" s="44" t="s">
        <v>5949</v>
      </c>
      <c r="FF7763" s="45" t="s">
        <v>59</v>
      </c>
      <c r="FJ7763" s="45" t="s">
        <v>59</v>
      </c>
    </row>
    <row r="7764" spans="153:166" x14ac:dyDescent="0.35">
      <c r="EW7764" t="s">
        <v>6182</v>
      </c>
      <c r="EX7764" s="44" t="s">
        <v>5950</v>
      </c>
      <c r="FF7764" s="45" t="s">
        <v>59</v>
      </c>
      <c r="FJ7764" s="45" t="s">
        <v>59</v>
      </c>
    </row>
    <row r="7765" spans="153:166" x14ac:dyDescent="0.35">
      <c r="EW7765" t="s">
        <v>6182</v>
      </c>
      <c r="EX7765" s="44" t="s">
        <v>5951</v>
      </c>
      <c r="FF7765" s="45" t="s">
        <v>59</v>
      </c>
      <c r="FJ7765" s="45" t="s">
        <v>59</v>
      </c>
    </row>
    <row r="7766" spans="153:166" x14ac:dyDescent="0.35">
      <c r="EW7766" t="s">
        <v>6182</v>
      </c>
      <c r="EX7766" s="44" t="s">
        <v>5952</v>
      </c>
      <c r="FF7766" s="45" t="s">
        <v>59</v>
      </c>
      <c r="FJ7766" s="45" t="s">
        <v>59</v>
      </c>
    </row>
    <row r="7767" spans="153:166" x14ac:dyDescent="0.35">
      <c r="EW7767" t="s">
        <v>6182</v>
      </c>
      <c r="EX7767" s="44" t="s">
        <v>5953</v>
      </c>
      <c r="FF7767" s="45" t="s">
        <v>59</v>
      </c>
      <c r="FJ7767" s="45" t="s">
        <v>59</v>
      </c>
    </row>
    <row r="7768" spans="153:166" x14ac:dyDescent="0.35">
      <c r="EW7768" t="s">
        <v>6182</v>
      </c>
      <c r="EX7768" s="44" t="s">
        <v>5954</v>
      </c>
      <c r="FF7768" s="45" t="s">
        <v>59</v>
      </c>
      <c r="FJ7768" s="45" t="s">
        <v>59</v>
      </c>
    </row>
    <row r="7769" spans="153:166" x14ac:dyDescent="0.35">
      <c r="EW7769" t="s">
        <v>6182</v>
      </c>
      <c r="EX7769" s="44" t="s">
        <v>5955</v>
      </c>
      <c r="FF7769" s="45" t="s">
        <v>59</v>
      </c>
      <c r="FJ7769" s="45" t="s">
        <v>59</v>
      </c>
    </row>
    <row r="7770" spans="153:166" x14ac:dyDescent="0.35">
      <c r="EW7770" t="s">
        <v>6182</v>
      </c>
      <c r="EX7770" s="44" t="s">
        <v>5956</v>
      </c>
      <c r="FF7770" s="45" t="s">
        <v>59</v>
      </c>
      <c r="FJ7770" s="45" t="s">
        <v>59</v>
      </c>
    </row>
    <row r="7771" spans="153:166" x14ac:dyDescent="0.35">
      <c r="EW7771" t="s">
        <v>6182</v>
      </c>
      <c r="EX7771" s="44" t="s">
        <v>5957</v>
      </c>
      <c r="FF7771" s="45" t="s">
        <v>59</v>
      </c>
      <c r="FJ7771" s="45" t="s">
        <v>59</v>
      </c>
    </row>
    <row r="7772" spans="153:166" x14ac:dyDescent="0.35">
      <c r="EW7772" t="s">
        <v>6182</v>
      </c>
      <c r="EX7772" s="44" t="s">
        <v>5958</v>
      </c>
      <c r="FF7772" s="45" t="s">
        <v>59</v>
      </c>
      <c r="FJ7772" s="45" t="s">
        <v>59</v>
      </c>
    </row>
    <row r="7773" spans="153:166" x14ac:dyDescent="0.35">
      <c r="EW7773" t="s">
        <v>6182</v>
      </c>
      <c r="EX7773" s="44" t="s">
        <v>5959</v>
      </c>
      <c r="FF7773" s="45" t="s">
        <v>59</v>
      </c>
      <c r="FJ7773" s="45" t="s">
        <v>59</v>
      </c>
    </row>
    <row r="7774" spans="153:166" x14ac:dyDescent="0.35">
      <c r="EW7774" t="s">
        <v>6182</v>
      </c>
      <c r="EX7774" s="44" t="s">
        <v>5960</v>
      </c>
      <c r="FF7774" s="45" t="s">
        <v>59</v>
      </c>
      <c r="FJ7774" s="45" t="s">
        <v>59</v>
      </c>
    </row>
    <row r="7775" spans="153:166" x14ac:dyDescent="0.35">
      <c r="EW7775" t="s">
        <v>6182</v>
      </c>
      <c r="EX7775" s="44" t="s">
        <v>5961</v>
      </c>
      <c r="FF7775" s="45" t="s">
        <v>59</v>
      </c>
      <c r="FJ7775" s="45" t="s">
        <v>59</v>
      </c>
    </row>
    <row r="7776" spans="153:166" x14ac:dyDescent="0.35">
      <c r="EW7776" t="s">
        <v>6182</v>
      </c>
      <c r="EX7776" s="44" t="s">
        <v>5962</v>
      </c>
      <c r="FF7776" s="45" t="s">
        <v>59</v>
      </c>
      <c r="FJ7776" s="45" t="s">
        <v>59</v>
      </c>
    </row>
    <row r="7777" spans="153:166" x14ac:dyDescent="0.35">
      <c r="EW7777" t="s">
        <v>6182</v>
      </c>
      <c r="EX7777" s="44" t="s">
        <v>5963</v>
      </c>
      <c r="FF7777" s="45" t="s">
        <v>59</v>
      </c>
      <c r="FJ7777" s="45" t="s">
        <v>59</v>
      </c>
    </row>
    <row r="7778" spans="153:166" x14ac:dyDescent="0.35">
      <c r="EW7778" t="s">
        <v>6182</v>
      </c>
      <c r="EX7778" s="44" t="s">
        <v>5964</v>
      </c>
      <c r="FF7778" s="45" t="s">
        <v>59</v>
      </c>
      <c r="FJ7778" s="45" t="s">
        <v>59</v>
      </c>
    </row>
    <row r="7779" spans="153:166" x14ac:dyDescent="0.35">
      <c r="EW7779" t="s">
        <v>6182</v>
      </c>
      <c r="EX7779" s="44" t="s">
        <v>5965</v>
      </c>
      <c r="FF7779" s="45" t="s">
        <v>59</v>
      </c>
      <c r="FJ7779" s="45" t="s">
        <v>59</v>
      </c>
    </row>
    <row r="7780" spans="153:166" x14ac:dyDescent="0.35">
      <c r="EW7780" t="s">
        <v>6182</v>
      </c>
      <c r="EX7780" s="44" t="s">
        <v>5966</v>
      </c>
      <c r="FF7780" s="45" t="s">
        <v>59</v>
      </c>
      <c r="FJ7780" s="45" t="s">
        <v>59</v>
      </c>
    </row>
    <row r="7781" spans="153:166" x14ac:dyDescent="0.35">
      <c r="EW7781" t="s">
        <v>6182</v>
      </c>
      <c r="EX7781" s="44" t="s">
        <v>5967</v>
      </c>
      <c r="FF7781" s="45" t="s">
        <v>59</v>
      </c>
      <c r="FJ7781" s="45" t="s">
        <v>59</v>
      </c>
    </row>
    <row r="7782" spans="153:166" x14ac:dyDescent="0.35">
      <c r="EW7782" t="s">
        <v>6182</v>
      </c>
      <c r="EX7782" s="44" t="s">
        <v>5968</v>
      </c>
      <c r="FF7782" s="45" t="s">
        <v>59</v>
      </c>
      <c r="FJ7782" s="45" t="s">
        <v>59</v>
      </c>
    </row>
    <row r="7783" spans="153:166" x14ac:dyDescent="0.35">
      <c r="EW7783" t="s">
        <v>6182</v>
      </c>
      <c r="EX7783" s="44" t="s">
        <v>5969</v>
      </c>
      <c r="FF7783" s="45" t="s">
        <v>59</v>
      </c>
      <c r="FJ7783" s="45" t="s">
        <v>59</v>
      </c>
    </row>
    <row r="7784" spans="153:166" x14ac:dyDescent="0.35">
      <c r="EW7784" t="s">
        <v>6182</v>
      </c>
      <c r="EX7784" s="44" t="s">
        <v>5970</v>
      </c>
      <c r="FF7784" s="45" t="s">
        <v>59</v>
      </c>
      <c r="FJ7784" s="45" t="s">
        <v>59</v>
      </c>
    </row>
    <row r="7785" spans="153:166" x14ac:dyDescent="0.35">
      <c r="EW7785" t="s">
        <v>6182</v>
      </c>
      <c r="EX7785" s="44" t="s">
        <v>5971</v>
      </c>
      <c r="FF7785" s="45" t="s">
        <v>59</v>
      </c>
      <c r="FJ7785" s="45" t="s">
        <v>59</v>
      </c>
    </row>
    <row r="7786" spans="153:166" x14ac:dyDescent="0.35">
      <c r="EW7786" t="s">
        <v>6182</v>
      </c>
      <c r="EX7786" s="44" t="s">
        <v>5972</v>
      </c>
      <c r="FF7786" s="45" t="s">
        <v>59</v>
      </c>
      <c r="FJ7786" s="45" t="s">
        <v>59</v>
      </c>
    </row>
    <row r="7787" spans="153:166" x14ac:dyDescent="0.35">
      <c r="EW7787" t="s">
        <v>6182</v>
      </c>
      <c r="EX7787" s="44" t="s">
        <v>5973</v>
      </c>
      <c r="FF7787" s="45" t="s">
        <v>59</v>
      </c>
      <c r="FJ7787" s="45" t="s">
        <v>59</v>
      </c>
    </row>
    <row r="7788" spans="153:166" x14ac:dyDescent="0.35">
      <c r="EW7788" t="s">
        <v>6182</v>
      </c>
      <c r="EX7788" s="44" t="s">
        <v>5974</v>
      </c>
      <c r="FF7788" s="45" t="s">
        <v>59</v>
      </c>
      <c r="FJ7788" s="45" t="s">
        <v>59</v>
      </c>
    </row>
    <row r="7789" spans="153:166" x14ac:dyDescent="0.35">
      <c r="EW7789" t="s">
        <v>6182</v>
      </c>
      <c r="EX7789" s="44" t="s">
        <v>5975</v>
      </c>
      <c r="FF7789" s="45" t="s">
        <v>59</v>
      </c>
      <c r="FJ7789" s="45" t="s">
        <v>59</v>
      </c>
    </row>
    <row r="7790" spans="153:166" x14ac:dyDescent="0.35">
      <c r="EW7790" t="s">
        <v>6182</v>
      </c>
      <c r="EX7790" s="44" t="s">
        <v>5976</v>
      </c>
      <c r="FF7790" s="45" t="s">
        <v>59</v>
      </c>
      <c r="FJ7790" s="45" t="s">
        <v>59</v>
      </c>
    </row>
    <row r="7791" spans="153:166" x14ac:dyDescent="0.35">
      <c r="EW7791" t="s">
        <v>6182</v>
      </c>
      <c r="EX7791" s="44" t="s">
        <v>5977</v>
      </c>
      <c r="FF7791" s="45" t="s">
        <v>59</v>
      </c>
      <c r="FJ7791" s="45" t="s">
        <v>59</v>
      </c>
    </row>
    <row r="7792" spans="153:166" x14ac:dyDescent="0.35">
      <c r="EW7792" t="s">
        <v>6182</v>
      </c>
      <c r="EX7792" s="44" t="s">
        <v>5978</v>
      </c>
      <c r="FF7792" s="45" t="s">
        <v>59</v>
      </c>
      <c r="FJ7792" s="45" t="s">
        <v>59</v>
      </c>
    </row>
    <row r="7793" spans="153:166" x14ac:dyDescent="0.35">
      <c r="EW7793" t="s">
        <v>6182</v>
      </c>
      <c r="EX7793" s="44" t="s">
        <v>5979</v>
      </c>
      <c r="FF7793" s="45" t="s">
        <v>59</v>
      </c>
      <c r="FJ7793" s="45" t="s">
        <v>59</v>
      </c>
    </row>
    <row r="7794" spans="153:166" x14ac:dyDescent="0.35">
      <c r="EW7794" t="s">
        <v>6182</v>
      </c>
      <c r="EX7794" s="44" t="s">
        <v>5980</v>
      </c>
      <c r="FF7794" s="45" t="s">
        <v>59</v>
      </c>
      <c r="FJ7794" s="45" t="s">
        <v>59</v>
      </c>
    </row>
    <row r="7795" spans="153:166" x14ac:dyDescent="0.35">
      <c r="EW7795" t="s">
        <v>6182</v>
      </c>
      <c r="EX7795" s="44" t="s">
        <v>5981</v>
      </c>
      <c r="FF7795" s="45" t="s">
        <v>59</v>
      </c>
      <c r="FJ7795" s="45" t="s">
        <v>59</v>
      </c>
    </row>
    <row r="7796" spans="153:166" x14ac:dyDescent="0.35">
      <c r="EW7796" t="s">
        <v>6182</v>
      </c>
      <c r="EX7796" s="44" t="s">
        <v>5982</v>
      </c>
      <c r="FF7796" s="45" t="s">
        <v>59</v>
      </c>
      <c r="FJ7796" s="45" t="s">
        <v>59</v>
      </c>
    </row>
    <row r="7797" spans="153:166" x14ac:dyDescent="0.35">
      <c r="EW7797" t="s">
        <v>6182</v>
      </c>
      <c r="EX7797" s="44" t="s">
        <v>5983</v>
      </c>
      <c r="FF7797" s="45" t="s">
        <v>59</v>
      </c>
      <c r="FJ7797" s="45" t="s">
        <v>59</v>
      </c>
    </row>
    <row r="7798" spans="153:166" x14ac:dyDescent="0.35">
      <c r="EW7798" t="s">
        <v>6182</v>
      </c>
      <c r="EX7798" s="44" t="s">
        <v>5984</v>
      </c>
      <c r="FF7798" s="45" t="s">
        <v>59</v>
      </c>
      <c r="FJ7798" s="45" t="s">
        <v>59</v>
      </c>
    </row>
    <row r="7799" spans="153:166" x14ac:dyDescent="0.35">
      <c r="EW7799" t="s">
        <v>6182</v>
      </c>
      <c r="EX7799" s="44" t="s">
        <v>5985</v>
      </c>
      <c r="FF7799" s="45" t="s">
        <v>59</v>
      </c>
      <c r="FJ7799" s="45" t="s">
        <v>59</v>
      </c>
    </row>
    <row r="7800" spans="153:166" x14ac:dyDescent="0.35">
      <c r="EW7800" t="s">
        <v>6182</v>
      </c>
      <c r="EX7800" s="44" t="s">
        <v>5986</v>
      </c>
      <c r="FF7800" s="45" t="s">
        <v>59</v>
      </c>
      <c r="FJ7800" s="45" t="s">
        <v>59</v>
      </c>
    </row>
    <row r="7801" spans="153:166" x14ac:dyDescent="0.35">
      <c r="EW7801" t="s">
        <v>6182</v>
      </c>
      <c r="EX7801" s="44" t="s">
        <v>5987</v>
      </c>
      <c r="FF7801" s="45" t="s">
        <v>59</v>
      </c>
      <c r="FJ7801" s="45" t="s">
        <v>59</v>
      </c>
    </row>
    <row r="7802" spans="153:166" x14ac:dyDescent="0.35">
      <c r="EW7802" t="s">
        <v>6182</v>
      </c>
      <c r="EX7802" s="44" t="s">
        <v>5988</v>
      </c>
      <c r="FF7802" s="45" t="s">
        <v>59</v>
      </c>
      <c r="FJ7802" s="45" t="s">
        <v>59</v>
      </c>
    </row>
    <row r="7803" spans="153:166" x14ac:dyDescent="0.35">
      <c r="EW7803" t="s">
        <v>6182</v>
      </c>
      <c r="EX7803" s="44" t="s">
        <v>5989</v>
      </c>
      <c r="FF7803" s="45" t="s">
        <v>59</v>
      </c>
      <c r="FJ7803" s="45" t="s">
        <v>59</v>
      </c>
    </row>
    <row r="7804" spans="153:166" x14ac:dyDescent="0.35">
      <c r="EW7804" t="s">
        <v>6182</v>
      </c>
      <c r="EX7804" s="44" t="s">
        <v>5990</v>
      </c>
      <c r="FF7804" s="45" t="s">
        <v>59</v>
      </c>
      <c r="FJ7804" s="45" t="s">
        <v>59</v>
      </c>
    </row>
    <row r="7805" spans="153:166" x14ac:dyDescent="0.35">
      <c r="EW7805" t="s">
        <v>6182</v>
      </c>
      <c r="EX7805" s="44" t="s">
        <v>5991</v>
      </c>
      <c r="FF7805" s="45" t="s">
        <v>59</v>
      </c>
      <c r="FJ7805" s="45" t="s">
        <v>59</v>
      </c>
    </row>
    <row r="7806" spans="153:166" x14ac:dyDescent="0.35">
      <c r="EW7806" t="s">
        <v>6182</v>
      </c>
      <c r="EX7806" s="44" t="s">
        <v>5992</v>
      </c>
      <c r="FF7806" s="45" t="s">
        <v>59</v>
      </c>
      <c r="FJ7806" s="45" t="s">
        <v>59</v>
      </c>
    </row>
    <row r="7807" spans="153:166" x14ac:dyDescent="0.35">
      <c r="EW7807" t="s">
        <v>6182</v>
      </c>
      <c r="EX7807" s="44" t="s">
        <v>5993</v>
      </c>
      <c r="FF7807" s="45" t="s">
        <v>59</v>
      </c>
      <c r="FJ7807" s="45" t="s">
        <v>59</v>
      </c>
    </row>
    <row r="7808" spans="153:166" x14ac:dyDescent="0.35">
      <c r="EW7808" t="s">
        <v>6182</v>
      </c>
      <c r="EX7808" s="44" t="s">
        <v>5994</v>
      </c>
      <c r="FF7808" s="45" t="s">
        <v>59</v>
      </c>
      <c r="FJ7808" s="45" t="s">
        <v>59</v>
      </c>
    </row>
    <row r="7809" spans="153:166" x14ac:dyDescent="0.35">
      <c r="EW7809" t="s">
        <v>6182</v>
      </c>
      <c r="EX7809" s="44" t="s">
        <v>5995</v>
      </c>
      <c r="FF7809" s="45" t="s">
        <v>59</v>
      </c>
      <c r="FJ7809" s="45" t="s">
        <v>59</v>
      </c>
    </row>
    <row r="7810" spans="153:166" x14ac:dyDescent="0.35">
      <c r="EW7810" t="s">
        <v>6182</v>
      </c>
      <c r="EX7810" s="44" t="s">
        <v>5996</v>
      </c>
      <c r="FF7810" s="45" t="s">
        <v>59</v>
      </c>
      <c r="FJ7810" s="45" t="s">
        <v>59</v>
      </c>
    </row>
    <row r="7811" spans="153:166" x14ac:dyDescent="0.35">
      <c r="EW7811" t="s">
        <v>6182</v>
      </c>
      <c r="EX7811" s="44" t="s">
        <v>5997</v>
      </c>
      <c r="FF7811" s="45" t="s">
        <v>59</v>
      </c>
      <c r="FJ7811" s="45" t="s">
        <v>59</v>
      </c>
    </row>
    <row r="7812" spans="153:166" x14ac:dyDescent="0.35">
      <c r="EW7812" t="s">
        <v>6182</v>
      </c>
      <c r="EX7812" s="44" t="s">
        <v>5998</v>
      </c>
      <c r="FF7812" s="45" t="s">
        <v>59</v>
      </c>
      <c r="FJ7812" s="45" t="s">
        <v>59</v>
      </c>
    </row>
    <row r="7813" spans="153:166" x14ac:dyDescent="0.35">
      <c r="EW7813" t="s">
        <v>6182</v>
      </c>
      <c r="EX7813" s="44" t="s">
        <v>5999</v>
      </c>
      <c r="FF7813" s="45" t="s">
        <v>59</v>
      </c>
      <c r="FJ7813" s="45" t="s">
        <v>59</v>
      </c>
    </row>
    <row r="7814" spans="153:166" x14ac:dyDescent="0.35">
      <c r="EW7814" t="s">
        <v>6182</v>
      </c>
      <c r="EX7814" s="44" t="s">
        <v>6000</v>
      </c>
      <c r="FF7814" s="45" t="s">
        <v>59</v>
      </c>
      <c r="FJ7814" s="45" t="s">
        <v>59</v>
      </c>
    </row>
    <row r="7815" spans="153:166" x14ac:dyDescent="0.35">
      <c r="EW7815" t="s">
        <v>6182</v>
      </c>
      <c r="EX7815" s="44" t="s">
        <v>6001</v>
      </c>
      <c r="FF7815" s="45" t="s">
        <v>59</v>
      </c>
      <c r="FJ7815" s="45" t="s">
        <v>59</v>
      </c>
    </row>
    <row r="7816" spans="153:166" x14ac:dyDescent="0.35">
      <c r="EW7816" t="s">
        <v>6182</v>
      </c>
      <c r="EX7816" s="44" t="s">
        <v>6002</v>
      </c>
      <c r="FF7816" s="45" t="s">
        <v>59</v>
      </c>
      <c r="FJ7816" s="45" t="s">
        <v>59</v>
      </c>
    </row>
    <row r="7817" spans="153:166" x14ac:dyDescent="0.35">
      <c r="EW7817" t="s">
        <v>6182</v>
      </c>
      <c r="EX7817" s="44" t="s">
        <v>6003</v>
      </c>
      <c r="FF7817" s="45" t="s">
        <v>59</v>
      </c>
      <c r="FJ7817" s="45" t="s">
        <v>59</v>
      </c>
    </row>
    <row r="7818" spans="153:166" x14ac:dyDescent="0.35">
      <c r="EW7818" t="s">
        <v>6182</v>
      </c>
      <c r="EX7818" s="44" t="s">
        <v>6004</v>
      </c>
      <c r="FF7818" s="45" t="s">
        <v>59</v>
      </c>
      <c r="FJ7818" s="45" t="s">
        <v>59</v>
      </c>
    </row>
    <row r="7819" spans="153:166" x14ac:dyDescent="0.35">
      <c r="EW7819" t="s">
        <v>6182</v>
      </c>
      <c r="EX7819" s="44" t="s">
        <v>6005</v>
      </c>
      <c r="FF7819" s="45" t="s">
        <v>59</v>
      </c>
      <c r="FJ7819" s="45" t="s">
        <v>59</v>
      </c>
    </row>
    <row r="7820" spans="153:166" x14ac:dyDescent="0.35">
      <c r="EW7820" t="s">
        <v>6182</v>
      </c>
      <c r="EX7820" s="44" t="s">
        <v>6006</v>
      </c>
      <c r="FF7820" s="45" t="s">
        <v>59</v>
      </c>
      <c r="FJ7820" s="45" t="s">
        <v>59</v>
      </c>
    </row>
    <row r="7821" spans="153:166" x14ac:dyDescent="0.35">
      <c r="EW7821" t="s">
        <v>6182</v>
      </c>
      <c r="EX7821" s="44" t="s">
        <v>6007</v>
      </c>
      <c r="FF7821" s="45" t="s">
        <v>59</v>
      </c>
      <c r="FJ7821" s="45" t="s">
        <v>59</v>
      </c>
    </row>
    <row r="7822" spans="153:166" x14ac:dyDescent="0.35">
      <c r="EW7822" t="s">
        <v>6182</v>
      </c>
      <c r="EX7822" s="44" t="s">
        <v>6008</v>
      </c>
      <c r="FF7822" s="45" t="s">
        <v>59</v>
      </c>
      <c r="FJ7822" s="45" t="s">
        <v>59</v>
      </c>
    </row>
    <row r="7823" spans="153:166" x14ac:dyDescent="0.35">
      <c r="EW7823" t="s">
        <v>6182</v>
      </c>
      <c r="EX7823" s="44" t="s">
        <v>6009</v>
      </c>
      <c r="FF7823" s="45" t="s">
        <v>59</v>
      </c>
      <c r="FJ7823" s="45" t="s">
        <v>59</v>
      </c>
    </row>
    <row r="7824" spans="153:166" x14ac:dyDescent="0.35">
      <c r="EW7824" t="s">
        <v>6182</v>
      </c>
      <c r="EX7824" s="44" t="s">
        <v>6010</v>
      </c>
      <c r="FF7824" s="45" t="s">
        <v>59</v>
      </c>
      <c r="FJ7824" s="45" t="s">
        <v>59</v>
      </c>
    </row>
    <row r="7825" spans="153:166" x14ac:dyDescent="0.35">
      <c r="EW7825" t="s">
        <v>6182</v>
      </c>
      <c r="EX7825" s="44" t="s">
        <v>6011</v>
      </c>
      <c r="FF7825" s="45" t="s">
        <v>59</v>
      </c>
      <c r="FJ7825" s="45" t="s">
        <v>59</v>
      </c>
    </row>
    <row r="7826" spans="153:166" x14ac:dyDescent="0.35">
      <c r="EW7826" t="s">
        <v>6182</v>
      </c>
      <c r="EX7826" s="44" t="s">
        <v>6012</v>
      </c>
      <c r="FF7826" s="45" t="s">
        <v>59</v>
      </c>
      <c r="FJ7826" s="45" t="s">
        <v>59</v>
      </c>
    </row>
    <row r="7827" spans="153:166" x14ac:dyDescent="0.35">
      <c r="EW7827" t="s">
        <v>6182</v>
      </c>
      <c r="EX7827" s="44" t="s">
        <v>6013</v>
      </c>
      <c r="FF7827" s="45" t="s">
        <v>59</v>
      </c>
      <c r="FJ7827" s="45" t="s">
        <v>59</v>
      </c>
    </row>
    <row r="7828" spans="153:166" x14ac:dyDescent="0.35">
      <c r="EW7828" t="s">
        <v>6182</v>
      </c>
      <c r="EX7828" s="44" t="s">
        <v>6014</v>
      </c>
      <c r="FF7828" s="45" t="s">
        <v>59</v>
      </c>
      <c r="FJ7828" s="45" t="s">
        <v>59</v>
      </c>
    </row>
    <row r="7829" spans="153:166" x14ac:dyDescent="0.35">
      <c r="EW7829" t="s">
        <v>6182</v>
      </c>
      <c r="EX7829" s="44" t="s">
        <v>6015</v>
      </c>
      <c r="FF7829" s="45" t="s">
        <v>59</v>
      </c>
      <c r="FJ7829" s="45" t="s">
        <v>59</v>
      </c>
    </row>
    <row r="7830" spans="153:166" x14ac:dyDescent="0.35">
      <c r="EW7830" t="s">
        <v>6182</v>
      </c>
      <c r="EX7830" s="44" t="s">
        <v>6016</v>
      </c>
      <c r="FF7830" s="45" t="s">
        <v>59</v>
      </c>
      <c r="FJ7830" s="45" t="s">
        <v>59</v>
      </c>
    </row>
    <row r="7831" spans="153:166" x14ac:dyDescent="0.35">
      <c r="EW7831" t="s">
        <v>6182</v>
      </c>
      <c r="EX7831" s="44" t="s">
        <v>6017</v>
      </c>
      <c r="FF7831" s="45" t="s">
        <v>59</v>
      </c>
      <c r="FJ7831" s="45" t="s">
        <v>59</v>
      </c>
    </row>
    <row r="7832" spans="153:166" x14ac:dyDescent="0.35">
      <c r="EW7832" t="s">
        <v>6182</v>
      </c>
      <c r="EX7832" s="44" t="s">
        <v>6018</v>
      </c>
      <c r="FF7832" s="45" t="s">
        <v>59</v>
      </c>
      <c r="FJ7832" s="45" t="s">
        <v>59</v>
      </c>
    </row>
    <row r="7833" spans="153:166" x14ac:dyDescent="0.35">
      <c r="EW7833" t="s">
        <v>6182</v>
      </c>
      <c r="EX7833" s="44" t="s">
        <v>6019</v>
      </c>
      <c r="FF7833" s="45" t="s">
        <v>59</v>
      </c>
      <c r="FJ7833" s="45" t="s">
        <v>59</v>
      </c>
    </row>
    <row r="7834" spans="153:166" x14ac:dyDescent="0.35">
      <c r="EW7834" t="s">
        <v>6182</v>
      </c>
      <c r="EX7834" s="44" t="s">
        <v>6020</v>
      </c>
      <c r="FF7834" s="45" t="s">
        <v>59</v>
      </c>
      <c r="FJ7834" s="45" t="s">
        <v>59</v>
      </c>
    </row>
    <row r="7835" spans="153:166" x14ac:dyDescent="0.35">
      <c r="EW7835" t="s">
        <v>6182</v>
      </c>
      <c r="EX7835" s="44" t="s">
        <v>6021</v>
      </c>
      <c r="FF7835" s="45" t="s">
        <v>59</v>
      </c>
      <c r="FJ7835" s="45" t="s">
        <v>59</v>
      </c>
    </row>
    <row r="7836" spans="153:166" x14ac:dyDescent="0.35">
      <c r="EW7836" t="s">
        <v>6182</v>
      </c>
      <c r="EX7836" s="44" t="s">
        <v>6022</v>
      </c>
      <c r="FF7836" s="45" t="s">
        <v>59</v>
      </c>
      <c r="FJ7836" s="45" t="s">
        <v>59</v>
      </c>
    </row>
    <row r="7837" spans="153:166" x14ac:dyDescent="0.35">
      <c r="EW7837" t="s">
        <v>6182</v>
      </c>
      <c r="EX7837" s="44" t="s">
        <v>6023</v>
      </c>
      <c r="FF7837" s="45" t="s">
        <v>59</v>
      </c>
      <c r="FJ7837" s="45" t="s">
        <v>59</v>
      </c>
    </row>
    <row r="7838" spans="153:166" x14ac:dyDescent="0.35">
      <c r="EW7838" t="s">
        <v>6182</v>
      </c>
      <c r="EX7838" s="44" t="s">
        <v>6024</v>
      </c>
      <c r="FF7838" s="45" t="s">
        <v>59</v>
      </c>
      <c r="FJ7838" s="45" t="s">
        <v>59</v>
      </c>
    </row>
    <row r="7839" spans="153:166" x14ac:dyDescent="0.35">
      <c r="EW7839" t="s">
        <v>6182</v>
      </c>
      <c r="EX7839" s="44" t="s">
        <v>6025</v>
      </c>
      <c r="FF7839" s="45" t="s">
        <v>59</v>
      </c>
      <c r="FJ7839" s="45" t="s">
        <v>59</v>
      </c>
    </row>
    <row r="7840" spans="153:166" x14ac:dyDescent="0.35">
      <c r="EW7840" t="s">
        <v>6182</v>
      </c>
      <c r="EX7840" s="44" t="s">
        <v>6026</v>
      </c>
      <c r="FF7840" s="45" t="s">
        <v>59</v>
      </c>
      <c r="FJ7840" s="45" t="s">
        <v>59</v>
      </c>
    </row>
    <row r="7841" spans="153:166" x14ac:dyDescent="0.35">
      <c r="EW7841" t="s">
        <v>6182</v>
      </c>
      <c r="EX7841" s="44" t="s">
        <v>6027</v>
      </c>
      <c r="FF7841" s="45" t="s">
        <v>59</v>
      </c>
      <c r="FJ7841" s="45" t="s">
        <v>59</v>
      </c>
    </row>
    <row r="7842" spans="153:166" x14ac:dyDescent="0.35">
      <c r="EW7842" t="s">
        <v>6182</v>
      </c>
      <c r="EX7842" s="44" t="s">
        <v>6028</v>
      </c>
      <c r="FF7842" s="45" t="s">
        <v>59</v>
      </c>
      <c r="FJ7842" s="45" t="s">
        <v>59</v>
      </c>
    </row>
    <row r="7843" spans="153:166" x14ac:dyDescent="0.35">
      <c r="EW7843" t="s">
        <v>6182</v>
      </c>
      <c r="EX7843" s="44" t="s">
        <v>6029</v>
      </c>
      <c r="FF7843" s="45" t="s">
        <v>59</v>
      </c>
      <c r="FJ7843" s="45" t="s">
        <v>59</v>
      </c>
    </row>
    <row r="7844" spans="153:166" x14ac:dyDescent="0.35">
      <c r="EW7844" t="s">
        <v>6182</v>
      </c>
      <c r="EX7844" s="44" t="s">
        <v>6030</v>
      </c>
      <c r="FF7844" s="45" t="s">
        <v>59</v>
      </c>
      <c r="FJ7844" s="45" t="s">
        <v>59</v>
      </c>
    </row>
    <row r="7845" spans="153:166" x14ac:dyDescent="0.35">
      <c r="EW7845" t="s">
        <v>6182</v>
      </c>
      <c r="EX7845" s="44" t="s">
        <v>6031</v>
      </c>
      <c r="FF7845" s="45" t="s">
        <v>59</v>
      </c>
      <c r="FJ7845" s="45" t="s">
        <v>59</v>
      </c>
    </row>
    <row r="7846" spans="153:166" x14ac:dyDescent="0.35">
      <c r="EW7846" t="s">
        <v>6182</v>
      </c>
      <c r="EX7846" s="44" t="s">
        <v>6032</v>
      </c>
      <c r="FF7846" s="45" t="s">
        <v>59</v>
      </c>
      <c r="FJ7846" s="45" t="s">
        <v>59</v>
      </c>
    </row>
    <row r="7847" spans="153:166" x14ac:dyDescent="0.35">
      <c r="EW7847" t="s">
        <v>6182</v>
      </c>
      <c r="EX7847" s="44" t="s">
        <v>6033</v>
      </c>
      <c r="FF7847" s="45" t="s">
        <v>59</v>
      </c>
      <c r="FJ7847" s="45" t="s">
        <v>59</v>
      </c>
    </row>
    <row r="7848" spans="153:166" x14ac:dyDescent="0.35">
      <c r="EW7848" t="s">
        <v>6182</v>
      </c>
      <c r="EX7848" s="44" t="s">
        <v>6034</v>
      </c>
      <c r="FF7848" s="45" t="s">
        <v>59</v>
      </c>
      <c r="FJ7848" s="45" t="s">
        <v>59</v>
      </c>
    </row>
    <row r="7849" spans="153:166" x14ac:dyDescent="0.35">
      <c r="EW7849" t="s">
        <v>6182</v>
      </c>
      <c r="EX7849" s="44" t="s">
        <v>6035</v>
      </c>
      <c r="FF7849" s="45" t="s">
        <v>59</v>
      </c>
      <c r="FJ7849" s="45" t="s">
        <v>59</v>
      </c>
    </row>
    <row r="7850" spans="153:166" x14ac:dyDescent="0.35">
      <c r="EW7850" t="s">
        <v>6182</v>
      </c>
      <c r="EX7850" s="44" t="s">
        <v>6036</v>
      </c>
      <c r="FF7850" s="45" t="s">
        <v>59</v>
      </c>
      <c r="FJ7850" s="45" t="s">
        <v>59</v>
      </c>
    </row>
    <row r="7851" spans="153:166" x14ac:dyDescent="0.35">
      <c r="EW7851" t="s">
        <v>6182</v>
      </c>
      <c r="EX7851" s="44" t="s">
        <v>6037</v>
      </c>
      <c r="FF7851" s="45" t="s">
        <v>59</v>
      </c>
      <c r="FJ7851" s="45" t="s">
        <v>59</v>
      </c>
    </row>
    <row r="7852" spans="153:166" x14ac:dyDescent="0.35">
      <c r="EW7852" t="s">
        <v>6182</v>
      </c>
      <c r="EX7852" s="44" t="s">
        <v>6038</v>
      </c>
      <c r="FF7852" s="45" t="s">
        <v>59</v>
      </c>
      <c r="FJ7852" s="45" t="s">
        <v>59</v>
      </c>
    </row>
    <row r="7853" spans="153:166" x14ac:dyDescent="0.35">
      <c r="EW7853" t="s">
        <v>6182</v>
      </c>
      <c r="EX7853" s="44" t="s">
        <v>6039</v>
      </c>
      <c r="FF7853" s="45" t="s">
        <v>59</v>
      </c>
      <c r="FJ7853" s="45" t="s">
        <v>59</v>
      </c>
    </row>
    <row r="7854" spans="153:166" x14ac:dyDescent="0.35">
      <c r="EW7854" t="s">
        <v>6182</v>
      </c>
      <c r="EX7854" s="44" t="s">
        <v>6040</v>
      </c>
      <c r="FF7854" s="45" t="s">
        <v>59</v>
      </c>
      <c r="FJ7854" s="45" t="s">
        <v>59</v>
      </c>
    </row>
    <row r="7855" spans="153:166" x14ac:dyDescent="0.35">
      <c r="EW7855" t="s">
        <v>6182</v>
      </c>
      <c r="EX7855" s="44" t="s">
        <v>6041</v>
      </c>
      <c r="FF7855" s="45" t="s">
        <v>59</v>
      </c>
      <c r="FJ7855" s="45" t="s">
        <v>59</v>
      </c>
    </row>
    <row r="7856" spans="153:166" x14ac:dyDescent="0.35">
      <c r="EW7856" t="s">
        <v>6182</v>
      </c>
      <c r="EX7856" s="44" t="s">
        <v>6042</v>
      </c>
      <c r="FF7856" s="45" t="s">
        <v>59</v>
      </c>
      <c r="FJ7856" s="45" t="s">
        <v>59</v>
      </c>
    </row>
    <row r="7857" spans="153:166" x14ac:dyDescent="0.35">
      <c r="EW7857" t="s">
        <v>6182</v>
      </c>
      <c r="EX7857" s="44" t="s">
        <v>6043</v>
      </c>
      <c r="FF7857" s="45" t="s">
        <v>59</v>
      </c>
      <c r="FJ7857" s="45" t="s">
        <v>59</v>
      </c>
    </row>
    <row r="7858" spans="153:166" x14ac:dyDescent="0.35">
      <c r="EW7858" t="s">
        <v>6182</v>
      </c>
      <c r="EX7858" s="44" t="s">
        <v>6044</v>
      </c>
      <c r="FF7858" s="45" t="s">
        <v>59</v>
      </c>
      <c r="FJ7858" s="45" t="s">
        <v>59</v>
      </c>
    </row>
    <row r="7859" spans="153:166" x14ac:dyDescent="0.35">
      <c r="EW7859" t="s">
        <v>6182</v>
      </c>
      <c r="EX7859" s="44" t="s">
        <v>6045</v>
      </c>
      <c r="FF7859" s="45" t="s">
        <v>59</v>
      </c>
      <c r="FJ7859" s="45" t="s">
        <v>59</v>
      </c>
    </row>
    <row r="7860" spans="153:166" x14ac:dyDescent="0.35">
      <c r="EW7860" t="s">
        <v>6182</v>
      </c>
      <c r="EX7860" s="44" t="s">
        <v>6046</v>
      </c>
      <c r="FF7860" s="45" t="s">
        <v>59</v>
      </c>
      <c r="FJ7860" s="45" t="s">
        <v>59</v>
      </c>
    </row>
    <row r="7861" spans="153:166" x14ac:dyDescent="0.35">
      <c r="EW7861" t="s">
        <v>6182</v>
      </c>
      <c r="EX7861" s="44" t="s">
        <v>6047</v>
      </c>
      <c r="FF7861" s="45" t="s">
        <v>59</v>
      </c>
      <c r="FJ7861" s="45" t="s">
        <v>59</v>
      </c>
    </row>
    <row r="7862" spans="153:166" x14ac:dyDescent="0.35">
      <c r="EW7862" t="s">
        <v>6182</v>
      </c>
      <c r="EX7862" s="44" t="s">
        <v>6048</v>
      </c>
      <c r="FF7862" s="45" t="s">
        <v>59</v>
      </c>
      <c r="FJ7862" s="45" t="s">
        <v>59</v>
      </c>
    </row>
    <row r="7863" spans="153:166" x14ac:dyDescent="0.35">
      <c r="EW7863" t="s">
        <v>6182</v>
      </c>
      <c r="EX7863" s="44" t="s">
        <v>6049</v>
      </c>
      <c r="FF7863" s="45" t="s">
        <v>59</v>
      </c>
      <c r="FJ7863" s="45" t="s">
        <v>59</v>
      </c>
    </row>
    <row r="7864" spans="153:166" x14ac:dyDescent="0.35">
      <c r="EW7864" t="s">
        <v>6182</v>
      </c>
      <c r="EX7864" s="44" t="s">
        <v>6050</v>
      </c>
      <c r="FF7864" s="45" t="s">
        <v>59</v>
      </c>
      <c r="FJ7864" s="45" t="s">
        <v>59</v>
      </c>
    </row>
    <row r="7865" spans="153:166" x14ac:dyDescent="0.35">
      <c r="EW7865" t="s">
        <v>6182</v>
      </c>
      <c r="EX7865" s="44" t="s">
        <v>6051</v>
      </c>
      <c r="FF7865" s="45" t="s">
        <v>59</v>
      </c>
      <c r="FJ7865" s="45" t="s">
        <v>59</v>
      </c>
    </row>
    <row r="7866" spans="153:166" x14ac:dyDescent="0.35">
      <c r="EW7866" t="s">
        <v>6182</v>
      </c>
      <c r="EX7866" s="44" t="s">
        <v>6052</v>
      </c>
      <c r="FF7866" s="45" t="s">
        <v>59</v>
      </c>
      <c r="FJ7866" s="45" t="s">
        <v>59</v>
      </c>
    </row>
    <row r="7867" spans="153:166" x14ac:dyDescent="0.35">
      <c r="EW7867" t="s">
        <v>6182</v>
      </c>
      <c r="EX7867" s="44" t="s">
        <v>6053</v>
      </c>
      <c r="FF7867" s="45" t="s">
        <v>59</v>
      </c>
      <c r="FJ7867" s="45" t="s">
        <v>59</v>
      </c>
    </row>
    <row r="7868" spans="153:166" x14ac:dyDescent="0.35">
      <c r="EW7868" t="s">
        <v>6182</v>
      </c>
      <c r="EX7868" s="44" t="s">
        <v>6054</v>
      </c>
      <c r="FF7868" s="45" t="s">
        <v>59</v>
      </c>
      <c r="FJ7868" s="45" t="s">
        <v>59</v>
      </c>
    </row>
    <row r="7869" spans="153:166" x14ac:dyDescent="0.35">
      <c r="EW7869" t="s">
        <v>6182</v>
      </c>
      <c r="EX7869" s="44" t="s">
        <v>6055</v>
      </c>
      <c r="FF7869" s="45" t="s">
        <v>59</v>
      </c>
      <c r="FJ7869" s="45" t="s">
        <v>59</v>
      </c>
    </row>
    <row r="7870" spans="153:166" x14ac:dyDescent="0.35">
      <c r="EW7870" t="s">
        <v>6182</v>
      </c>
      <c r="EX7870" s="44" t="s">
        <v>6056</v>
      </c>
      <c r="FF7870" s="45" t="s">
        <v>59</v>
      </c>
      <c r="FJ7870" s="45" t="s">
        <v>59</v>
      </c>
    </row>
    <row r="7871" spans="153:166" x14ac:dyDescent="0.35">
      <c r="EW7871" t="s">
        <v>6182</v>
      </c>
      <c r="EX7871" s="44" t="s">
        <v>6057</v>
      </c>
      <c r="FF7871" s="45" t="s">
        <v>59</v>
      </c>
      <c r="FJ7871" s="45" t="s">
        <v>59</v>
      </c>
    </row>
    <row r="7872" spans="153:166" x14ac:dyDescent="0.35">
      <c r="EW7872" t="s">
        <v>6182</v>
      </c>
      <c r="EX7872" s="44" t="s">
        <v>6058</v>
      </c>
      <c r="FF7872" s="45" t="s">
        <v>59</v>
      </c>
      <c r="FJ7872" s="45" t="s">
        <v>59</v>
      </c>
    </row>
    <row r="7873" spans="153:166" x14ac:dyDescent="0.35">
      <c r="EW7873" t="s">
        <v>6182</v>
      </c>
      <c r="EX7873" s="44" t="s">
        <v>6059</v>
      </c>
      <c r="FF7873" s="45" t="s">
        <v>59</v>
      </c>
      <c r="FJ7873" s="45" t="s">
        <v>59</v>
      </c>
    </row>
    <row r="7874" spans="153:166" x14ac:dyDescent="0.35">
      <c r="EW7874" t="s">
        <v>6182</v>
      </c>
      <c r="EX7874" s="44" t="s">
        <v>6060</v>
      </c>
      <c r="FF7874" s="45" t="s">
        <v>59</v>
      </c>
      <c r="FJ7874" s="45" t="s">
        <v>59</v>
      </c>
    </row>
    <row r="7875" spans="153:166" x14ac:dyDescent="0.35">
      <c r="EW7875" t="s">
        <v>6182</v>
      </c>
      <c r="EX7875" s="44" t="s">
        <v>6061</v>
      </c>
      <c r="FF7875" s="45" t="s">
        <v>59</v>
      </c>
      <c r="FJ7875" s="45" t="s">
        <v>59</v>
      </c>
    </row>
    <row r="7876" spans="153:166" x14ac:dyDescent="0.35">
      <c r="EW7876" t="s">
        <v>6182</v>
      </c>
      <c r="EX7876" s="44" t="s">
        <v>6062</v>
      </c>
      <c r="FF7876" s="45" t="s">
        <v>59</v>
      </c>
      <c r="FJ7876" s="45" t="s">
        <v>59</v>
      </c>
    </row>
    <row r="7877" spans="153:166" x14ac:dyDescent="0.35">
      <c r="EW7877" t="s">
        <v>6182</v>
      </c>
      <c r="EX7877" s="44" t="s">
        <v>6063</v>
      </c>
      <c r="FF7877" s="45" t="s">
        <v>59</v>
      </c>
      <c r="FJ7877" s="45" t="s">
        <v>59</v>
      </c>
    </row>
    <row r="7878" spans="153:166" x14ac:dyDescent="0.35">
      <c r="EW7878" t="s">
        <v>6182</v>
      </c>
      <c r="EX7878" s="44" t="s">
        <v>6064</v>
      </c>
      <c r="FF7878" s="45" t="s">
        <v>59</v>
      </c>
      <c r="FJ7878" s="45" t="s">
        <v>59</v>
      </c>
    </row>
    <row r="7879" spans="153:166" x14ac:dyDescent="0.35">
      <c r="EW7879" t="s">
        <v>6182</v>
      </c>
      <c r="EX7879" s="44" t="s">
        <v>6065</v>
      </c>
      <c r="FF7879" s="45" t="s">
        <v>59</v>
      </c>
      <c r="FJ7879" s="45" t="s">
        <v>59</v>
      </c>
    </row>
    <row r="7880" spans="153:166" x14ac:dyDescent="0.35">
      <c r="EW7880" t="s">
        <v>6182</v>
      </c>
      <c r="EX7880" s="44" t="s">
        <v>6066</v>
      </c>
      <c r="FF7880" s="45" t="s">
        <v>59</v>
      </c>
      <c r="FJ7880" s="45" t="s">
        <v>59</v>
      </c>
    </row>
    <row r="7881" spans="153:166" x14ac:dyDescent="0.35">
      <c r="EW7881" t="s">
        <v>6182</v>
      </c>
      <c r="EX7881" s="44" t="s">
        <v>6067</v>
      </c>
      <c r="FF7881" s="45" t="s">
        <v>59</v>
      </c>
      <c r="FJ7881" s="45" t="s">
        <v>59</v>
      </c>
    </row>
    <row r="7882" spans="153:166" x14ac:dyDescent="0.35">
      <c r="EW7882" t="s">
        <v>6182</v>
      </c>
      <c r="EX7882" s="44" t="s">
        <v>6068</v>
      </c>
      <c r="FF7882" s="45" t="s">
        <v>59</v>
      </c>
      <c r="FJ7882" s="45" t="s">
        <v>59</v>
      </c>
    </row>
    <row r="7883" spans="153:166" x14ac:dyDescent="0.35">
      <c r="EW7883" t="s">
        <v>6182</v>
      </c>
      <c r="EX7883" s="44" t="s">
        <v>6069</v>
      </c>
      <c r="FF7883" s="45" t="s">
        <v>59</v>
      </c>
      <c r="FJ7883" s="45" t="s">
        <v>59</v>
      </c>
    </row>
    <row r="7884" spans="153:166" x14ac:dyDescent="0.35">
      <c r="EW7884" t="s">
        <v>6182</v>
      </c>
      <c r="EX7884" s="44" t="s">
        <v>6070</v>
      </c>
      <c r="FF7884" s="45" t="s">
        <v>59</v>
      </c>
      <c r="FJ7884" s="45" t="s">
        <v>59</v>
      </c>
    </row>
    <row r="7885" spans="153:166" x14ac:dyDescent="0.35">
      <c r="EW7885" t="s">
        <v>6182</v>
      </c>
      <c r="EX7885" s="44" t="s">
        <v>6071</v>
      </c>
      <c r="FF7885" s="45" t="s">
        <v>59</v>
      </c>
      <c r="FJ7885" s="45" t="s">
        <v>59</v>
      </c>
    </row>
    <row r="7886" spans="153:166" x14ac:dyDescent="0.35">
      <c r="EW7886" t="s">
        <v>6182</v>
      </c>
      <c r="EX7886" s="44" t="s">
        <v>6072</v>
      </c>
      <c r="FF7886" s="45" t="s">
        <v>59</v>
      </c>
      <c r="FJ7886" s="45" t="s">
        <v>59</v>
      </c>
    </row>
    <row r="7887" spans="153:166" x14ac:dyDescent="0.35">
      <c r="EW7887" t="s">
        <v>6182</v>
      </c>
      <c r="EX7887" s="44" t="s">
        <v>6073</v>
      </c>
      <c r="FF7887" s="45" t="s">
        <v>59</v>
      </c>
      <c r="FJ7887" s="45" t="s">
        <v>59</v>
      </c>
    </row>
    <row r="7888" spans="153:166" x14ac:dyDescent="0.35">
      <c r="EW7888" t="s">
        <v>6182</v>
      </c>
      <c r="EX7888" s="44" t="s">
        <v>6074</v>
      </c>
      <c r="FF7888" s="45" t="s">
        <v>59</v>
      </c>
      <c r="FJ7888" s="45" t="s">
        <v>59</v>
      </c>
    </row>
    <row r="7889" spans="153:166" x14ac:dyDescent="0.35">
      <c r="EW7889" t="s">
        <v>6182</v>
      </c>
      <c r="EX7889" s="44" t="s">
        <v>6075</v>
      </c>
      <c r="FF7889" s="45" t="s">
        <v>59</v>
      </c>
      <c r="FJ7889" s="45" t="s">
        <v>59</v>
      </c>
    </row>
    <row r="7890" spans="153:166" x14ac:dyDescent="0.35">
      <c r="EW7890" t="s">
        <v>6182</v>
      </c>
      <c r="EX7890" s="44" t="s">
        <v>6076</v>
      </c>
      <c r="FF7890" s="45" t="s">
        <v>59</v>
      </c>
      <c r="FJ7890" s="45" t="s">
        <v>59</v>
      </c>
    </row>
    <row r="7891" spans="153:166" x14ac:dyDescent="0.35">
      <c r="EW7891" t="s">
        <v>6182</v>
      </c>
      <c r="EX7891" s="44" t="s">
        <v>6077</v>
      </c>
      <c r="FF7891" s="45" t="s">
        <v>59</v>
      </c>
      <c r="FJ7891" s="45" t="s">
        <v>59</v>
      </c>
    </row>
    <row r="7892" spans="153:166" x14ac:dyDescent="0.35">
      <c r="EW7892" t="s">
        <v>6182</v>
      </c>
      <c r="EX7892" s="44" t="s">
        <v>6078</v>
      </c>
      <c r="FF7892" s="45" t="s">
        <v>59</v>
      </c>
      <c r="FJ7892" s="45" t="s">
        <v>59</v>
      </c>
    </row>
    <row r="7893" spans="153:166" x14ac:dyDescent="0.35">
      <c r="EW7893" t="s">
        <v>6182</v>
      </c>
      <c r="EX7893" s="44" t="s">
        <v>6079</v>
      </c>
      <c r="FF7893" s="45" t="s">
        <v>59</v>
      </c>
      <c r="FJ7893" s="45" t="s">
        <v>59</v>
      </c>
    </row>
    <row r="7894" spans="153:166" x14ac:dyDescent="0.35">
      <c r="EW7894" t="s">
        <v>6182</v>
      </c>
      <c r="EX7894" s="44" t="s">
        <v>6080</v>
      </c>
      <c r="FF7894" s="45" t="s">
        <v>59</v>
      </c>
      <c r="FJ7894" s="45" t="s">
        <v>59</v>
      </c>
    </row>
    <row r="7895" spans="153:166" x14ac:dyDescent="0.35">
      <c r="EW7895" t="s">
        <v>6182</v>
      </c>
      <c r="EX7895" s="44" t="s">
        <v>6081</v>
      </c>
      <c r="FF7895" s="45" t="s">
        <v>59</v>
      </c>
      <c r="FJ7895" s="45" t="s">
        <v>59</v>
      </c>
    </row>
    <row r="7896" spans="153:166" x14ac:dyDescent="0.35">
      <c r="EW7896" t="s">
        <v>6182</v>
      </c>
      <c r="EX7896" s="44" t="s">
        <v>6082</v>
      </c>
      <c r="FF7896" s="45" t="s">
        <v>59</v>
      </c>
      <c r="FJ7896" s="45" t="s">
        <v>59</v>
      </c>
    </row>
    <row r="7897" spans="153:166" x14ac:dyDescent="0.35">
      <c r="EW7897" t="s">
        <v>6182</v>
      </c>
      <c r="EX7897" s="44" t="s">
        <v>6083</v>
      </c>
      <c r="FF7897" s="45" t="s">
        <v>59</v>
      </c>
      <c r="FJ7897" s="45" t="s">
        <v>59</v>
      </c>
    </row>
    <row r="7898" spans="153:166" x14ac:dyDescent="0.35">
      <c r="EW7898" t="s">
        <v>6182</v>
      </c>
      <c r="EX7898" s="44" t="s">
        <v>6084</v>
      </c>
      <c r="FF7898" s="45" t="s">
        <v>59</v>
      </c>
      <c r="FJ7898" s="45" t="s">
        <v>59</v>
      </c>
    </row>
    <row r="7899" spans="153:166" x14ac:dyDescent="0.35">
      <c r="EW7899" t="s">
        <v>6182</v>
      </c>
      <c r="EX7899" s="44" t="s">
        <v>6085</v>
      </c>
      <c r="FF7899" s="45" t="s">
        <v>59</v>
      </c>
      <c r="FJ7899" s="45" t="s">
        <v>59</v>
      </c>
    </row>
    <row r="7900" spans="153:166" x14ac:dyDescent="0.35">
      <c r="EW7900" t="s">
        <v>6182</v>
      </c>
      <c r="EX7900" s="44" t="s">
        <v>6086</v>
      </c>
      <c r="FF7900" s="45" t="s">
        <v>59</v>
      </c>
      <c r="FJ7900" s="45" t="s">
        <v>59</v>
      </c>
    </row>
    <row r="7901" spans="153:166" x14ac:dyDescent="0.35">
      <c r="EW7901" t="s">
        <v>6182</v>
      </c>
      <c r="EX7901" s="44" t="s">
        <v>6087</v>
      </c>
      <c r="FF7901" s="45" t="s">
        <v>59</v>
      </c>
      <c r="FJ7901" s="45" t="s">
        <v>59</v>
      </c>
    </row>
    <row r="7902" spans="153:166" x14ac:dyDescent="0.35">
      <c r="EW7902" t="s">
        <v>6182</v>
      </c>
      <c r="EX7902" s="44" t="s">
        <v>6088</v>
      </c>
      <c r="FF7902" s="45" t="s">
        <v>1109</v>
      </c>
      <c r="FJ7902" s="45" t="s">
        <v>1109</v>
      </c>
    </row>
    <row r="7903" spans="153:166" x14ac:dyDescent="0.35">
      <c r="EW7903" t="s">
        <v>6182</v>
      </c>
      <c r="EX7903" s="44" t="s">
        <v>6089</v>
      </c>
      <c r="FF7903" s="45" t="s">
        <v>1109</v>
      </c>
      <c r="FJ7903" s="45" t="s">
        <v>1109</v>
      </c>
    </row>
    <row r="7904" spans="153:166" x14ac:dyDescent="0.35">
      <c r="EW7904" t="s">
        <v>6182</v>
      </c>
      <c r="EX7904" s="44" t="s">
        <v>6090</v>
      </c>
      <c r="FF7904" s="45" t="s">
        <v>1109</v>
      </c>
      <c r="FJ7904" s="45" t="s">
        <v>1109</v>
      </c>
    </row>
    <row r="7905" spans="153:166" x14ac:dyDescent="0.35">
      <c r="EW7905" t="s">
        <v>6182</v>
      </c>
      <c r="EX7905" s="44" t="s">
        <v>6091</v>
      </c>
      <c r="FF7905" s="45" t="s">
        <v>1109</v>
      </c>
      <c r="FJ7905" s="45" t="s">
        <v>1109</v>
      </c>
    </row>
    <row r="7906" spans="153:166" x14ac:dyDescent="0.35">
      <c r="EW7906" t="s">
        <v>6182</v>
      </c>
      <c r="EX7906" s="44" t="s">
        <v>6092</v>
      </c>
      <c r="FF7906" s="45" t="s">
        <v>1109</v>
      </c>
      <c r="FJ7906" s="45" t="s">
        <v>1109</v>
      </c>
    </row>
    <row r="7907" spans="153:166" x14ac:dyDescent="0.35">
      <c r="EW7907" t="s">
        <v>6182</v>
      </c>
      <c r="EX7907" s="44" t="s">
        <v>6093</v>
      </c>
      <c r="FF7907" s="45" t="s">
        <v>1109</v>
      </c>
      <c r="FJ7907" s="45" t="s">
        <v>1109</v>
      </c>
    </row>
    <row r="7908" spans="153:166" x14ac:dyDescent="0.35">
      <c r="EW7908" t="s">
        <v>6182</v>
      </c>
      <c r="EX7908" s="44" t="s">
        <v>6094</v>
      </c>
      <c r="FF7908" s="45" t="s">
        <v>1109</v>
      </c>
      <c r="FJ7908" s="45" t="s">
        <v>1109</v>
      </c>
    </row>
    <row r="7909" spans="153:166" x14ac:dyDescent="0.35">
      <c r="EW7909" t="s">
        <v>6182</v>
      </c>
      <c r="EX7909" s="44" t="s">
        <v>6095</v>
      </c>
      <c r="FF7909" s="45" t="s">
        <v>1109</v>
      </c>
      <c r="FJ7909" s="45" t="s">
        <v>1109</v>
      </c>
    </row>
    <row r="7910" spans="153:166" x14ac:dyDescent="0.35">
      <c r="EW7910" t="s">
        <v>6182</v>
      </c>
      <c r="EX7910" s="44" t="s">
        <v>6096</v>
      </c>
      <c r="FF7910" s="45" t="s">
        <v>1109</v>
      </c>
      <c r="FJ7910" s="45" t="s">
        <v>1109</v>
      </c>
    </row>
    <row r="7911" spans="153:166" x14ac:dyDescent="0.35">
      <c r="EW7911" t="s">
        <v>6182</v>
      </c>
      <c r="EX7911" s="44" t="s">
        <v>6097</v>
      </c>
      <c r="FF7911" s="45" t="s">
        <v>59</v>
      </c>
      <c r="FJ7911" s="45" t="s">
        <v>59</v>
      </c>
    </row>
    <row r="7912" spans="153:166" x14ac:dyDescent="0.35">
      <c r="EW7912" t="s">
        <v>6182</v>
      </c>
      <c r="EX7912" s="44" t="s">
        <v>6098</v>
      </c>
      <c r="FF7912" s="45" t="s">
        <v>59</v>
      </c>
      <c r="FJ7912" s="45" t="s">
        <v>59</v>
      </c>
    </row>
    <row r="7913" spans="153:166" x14ac:dyDescent="0.35">
      <c r="EW7913" t="s">
        <v>6182</v>
      </c>
      <c r="EX7913" s="44" t="s">
        <v>6099</v>
      </c>
      <c r="FF7913" s="45" t="s">
        <v>59</v>
      </c>
      <c r="FJ7913" s="45" t="s">
        <v>59</v>
      </c>
    </row>
    <row r="7914" spans="153:166" x14ac:dyDescent="0.35">
      <c r="EW7914" t="s">
        <v>6182</v>
      </c>
      <c r="EX7914" s="44" t="s">
        <v>6100</v>
      </c>
      <c r="FF7914" s="45" t="s">
        <v>59</v>
      </c>
      <c r="FJ7914" s="45" t="s">
        <v>59</v>
      </c>
    </row>
    <row r="7915" spans="153:166" x14ac:dyDescent="0.35">
      <c r="EW7915" t="s">
        <v>6182</v>
      </c>
      <c r="EX7915" s="44" t="s">
        <v>6101</v>
      </c>
      <c r="FF7915" s="45" t="s">
        <v>59</v>
      </c>
      <c r="FJ7915" s="45" t="s">
        <v>59</v>
      </c>
    </row>
    <row r="7916" spans="153:166" x14ac:dyDescent="0.35">
      <c r="EW7916" t="s">
        <v>6182</v>
      </c>
      <c r="EX7916" s="44" t="s">
        <v>6102</v>
      </c>
      <c r="FF7916" s="45" t="s">
        <v>59</v>
      </c>
      <c r="FJ7916" s="45" t="s">
        <v>59</v>
      </c>
    </row>
    <row r="7917" spans="153:166" x14ac:dyDescent="0.35">
      <c r="EW7917" t="s">
        <v>6182</v>
      </c>
      <c r="EX7917" s="44" t="s">
        <v>6103</v>
      </c>
      <c r="FF7917" s="45" t="s">
        <v>59</v>
      </c>
      <c r="FJ7917" s="45" t="s">
        <v>59</v>
      </c>
    </row>
    <row r="7918" spans="153:166" x14ac:dyDescent="0.35">
      <c r="EW7918" t="s">
        <v>6182</v>
      </c>
      <c r="EX7918" s="44" t="s">
        <v>6104</v>
      </c>
      <c r="FF7918" s="45" t="s">
        <v>59</v>
      </c>
      <c r="FJ7918" s="45" t="s">
        <v>59</v>
      </c>
    </row>
    <row r="7919" spans="153:166" x14ac:dyDescent="0.35">
      <c r="EW7919" t="s">
        <v>6182</v>
      </c>
      <c r="EX7919" s="44" t="s">
        <v>6105</v>
      </c>
      <c r="FF7919" s="45" t="s">
        <v>59</v>
      </c>
      <c r="FJ7919" s="45" t="s">
        <v>59</v>
      </c>
    </row>
    <row r="7920" spans="153:166" x14ac:dyDescent="0.35">
      <c r="EW7920" t="s">
        <v>6182</v>
      </c>
      <c r="EX7920" s="44" t="s">
        <v>6106</v>
      </c>
      <c r="FF7920" s="45" t="s">
        <v>59</v>
      </c>
      <c r="FJ7920" s="45" t="s">
        <v>59</v>
      </c>
    </row>
    <row r="7921" spans="153:166" x14ac:dyDescent="0.35">
      <c r="EW7921" t="s">
        <v>6182</v>
      </c>
      <c r="EX7921" s="44" t="s">
        <v>6107</v>
      </c>
      <c r="FF7921" s="45" t="s">
        <v>59</v>
      </c>
      <c r="FJ7921" s="45" t="s">
        <v>59</v>
      </c>
    </row>
    <row r="7922" spans="153:166" x14ac:dyDescent="0.35">
      <c r="EW7922" t="s">
        <v>6182</v>
      </c>
      <c r="EX7922" s="44" t="s">
        <v>6108</v>
      </c>
      <c r="FF7922" s="45" t="s">
        <v>59</v>
      </c>
      <c r="FJ7922" s="45" t="s">
        <v>59</v>
      </c>
    </row>
    <row r="7923" spans="153:166" x14ac:dyDescent="0.35">
      <c r="EW7923" t="s">
        <v>6182</v>
      </c>
      <c r="EX7923" s="44" t="s">
        <v>6109</v>
      </c>
      <c r="FF7923" s="45" t="s">
        <v>59</v>
      </c>
      <c r="FJ7923" s="45" t="s">
        <v>59</v>
      </c>
    </row>
    <row r="7924" spans="153:166" x14ac:dyDescent="0.35">
      <c r="EW7924" t="s">
        <v>6182</v>
      </c>
      <c r="EX7924" s="44" t="s">
        <v>6110</v>
      </c>
      <c r="FF7924" s="45" t="s">
        <v>59</v>
      </c>
      <c r="FJ7924" s="45" t="s">
        <v>59</v>
      </c>
    </row>
    <row r="7925" spans="153:166" x14ac:dyDescent="0.35">
      <c r="EW7925" t="s">
        <v>6182</v>
      </c>
      <c r="EX7925" s="44" t="s">
        <v>6111</v>
      </c>
      <c r="FF7925" s="45" t="s">
        <v>59</v>
      </c>
      <c r="FJ7925" s="45" t="s">
        <v>59</v>
      </c>
    </row>
    <row r="7926" spans="153:166" x14ac:dyDescent="0.35">
      <c r="EW7926" t="s">
        <v>6182</v>
      </c>
      <c r="EX7926" s="44" t="s">
        <v>6112</v>
      </c>
      <c r="FF7926" s="45" t="s">
        <v>59</v>
      </c>
      <c r="FJ7926" s="45" t="s">
        <v>59</v>
      </c>
    </row>
    <row r="7927" spans="153:166" x14ac:dyDescent="0.35">
      <c r="EW7927" t="s">
        <v>6182</v>
      </c>
      <c r="EX7927" s="44" t="s">
        <v>6113</v>
      </c>
      <c r="FF7927" s="45" t="s">
        <v>59</v>
      </c>
      <c r="FJ7927" s="45" t="s">
        <v>59</v>
      </c>
    </row>
    <row r="7928" spans="153:166" x14ac:dyDescent="0.35">
      <c r="EW7928" t="s">
        <v>6182</v>
      </c>
      <c r="EX7928" s="44" t="s">
        <v>6114</v>
      </c>
      <c r="FF7928" s="45" t="s">
        <v>59</v>
      </c>
      <c r="FJ7928" s="45" t="s">
        <v>59</v>
      </c>
    </row>
    <row r="7929" spans="153:166" x14ac:dyDescent="0.35">
      <c r="EW7929" t="s">
        <v>6182</v>
      </c>
      <c r="EX7929" s="44" t="s">
        <v>6115</v>
      </c>
      <c r="FF7929" s="45" t="s">
        <v>59</v>
      </c>
      <c r="FJ7929" s="45" t="s">
        <v>59</v>
      </c>
    </row>
    <row r="7930" spans="153:166" x14ac:dyDescent="0.35">
      <c r="EW7930" t="s">
        <v>6182</v>
      </c>
      <c r="EX7930" s="44" t="s">
        <v>6116</v>
      </c>
      <c r="FF7930" s="45" t="s">
        <v>59</v>
      </c>
      <c r="FJ7930" s="45" t="s">
        <v>59</v>
      </c>
    </row>
    <row r="7931" spans="153:166" x14ac:dyDescent="0.35">
      <c r="EW7931" t="s">
        <v>6182</v>
      </c>
      <c r="EX7931" s="44" t="s">
        <v>6117</v>
      </c>
      <c r="FF7931" s="45" t="s">
        <v>59</v>
      </c>
      <c r="FJ7931" s="45" t="s">
        <v>59</v>
      </c>
    </row>
    <row r="7932" spans="153:166" x14ac:dyDescent="0.35">
      <c r="EW7932" t="s">
        <v>6182</v>
      </c>
      <c r="EX7932" s="44" t="s">
        <v>6118</v>
      </c>
      <c r="FF7932" s="45" t="s">
        <v>59</v>
      </c>
      <c r="FJ7932" s="45" t="s">
        <v>59</v>
      </c>
    </row>
    <row r="7933" spans="153:166" x14ac:dyDescent="0.35">
      <c r="EW7933" t="s">
        <v>6182</v>
      </c>
      <c r="EX7933" s="44" t="s">
        <v>6119</v>
      </c>
      <c r="FF7933" s="45" t="s">
        <v>59</v>
      </c>
      <c r="FJ7933" s="45" t="s">
        <v>59</v>
      </c>
    </row>
    <row r="7934" spans="153:166" x14ac:dyDescent="0.35">
      <c r="EW7934" t="s">
        <v>6182</v>
      </c>
      <c r="EX7934" s="44" t="s">
        <v>6120</v>
      </c>
      <c r="FF7934" s="45" t="s">
        <v>59</v>
      </c>
      <c r="FJ7934" s="45" t="s">
        <v>59</v>
      </c>
    </row>
    <row r="7935" spans="153:166" x14ac:dyDescent="0.35">
      <c r="EW7935" t="s">
        <v>6182</v>
      </c>
      <c r="EX7935" s="44" t="s">
        <v>6121</v>
      </c>
      <c r="FF7935" s="45" t="s">
        <v>59</v>
      </c>
      <c r="FJ7935" s="45" t="s">
        <v>59</v>
      </c>
    </row>
    <row r="7936" spans="153:166" x14ac:dyDescent="0.35">
      <c r="EW7936" t="s">
        <v>6182</v>
      </c>
      <c r="EX7936" s="44" t="s">
        <v>6122</v>
      </c>
      <c r="FF7936" s="45" t="s">
        <v>59</v>
      </c>
      <c r="FJ7936" s="45" t="s">
        <v>59</v>
      </c>
    </row>
    <row r="7937" spans="153:166" x14ac:dyDescent="0.35">
      <c r="EW7937" t="s">
        <v>6182</v>
      </c>
      <c r="EX7937" s="44" t="s">
        <v>6123</v>
      </c>
      <c r="FF7937" s="45" t="s">
        <v>59</v>
      </c>
      <c r="FJ7937" s="45" t="s">
        <v>59</v>
      </c>
    </row>
    <row r="7938" spans="153:166" x14ac:dyDescent="0.35">
      <c r="EW7938" t="s">
        <v>6182</v>
      </c>
      <c r="EX7938" s="44" t="s">
        <v>6124</v>
      </c>
      <c r="FF7938" s="45" t="s">
        <v>59</v>
      </c>
      <c r="FJ7938" s="45" t="s">
        <v>59</v>
      </c>
    </row>
    <row r="7939" spans="153:166" x14ac:dyDescent="0.35">
      <c r="EW7939" t="s">
        <v>6182</v>
      </c>
      <c r="EX7939" s="44" t="s">
        <v>6125</v>
      </c>
      <c r="FF7939" s="45" t="s">
        <v>59</v>
      </c>
      <c r="FJ7939" s="45" t="s">
        <v>59</v>
      </c>
    </row>
    <row r="7940" spans="153:166" x14ac:dyDescent="0.35">
      <c r="EW7940" t="s">
        <v>6182</v>
      </c>
      <c r="EX7940" s="44" t="s">
        <v>6126</v>
      </c>
      <c r="FF7940" s="45" t="s">
        <v>59</v>
      </c>
      <c r="FJ7940" s="45" t="s">
        <v>59</v>
      </c>
    </row>
    <row r="7941" spans="153:166" x14ac:dyDescent="0.35">
      <c r="EW7941" t="s">
        <v>6182</v>
      </c>
      <c r="EX7941" s="44" t="s">
        <v>6127</v>
      </c>
      <c r="FF7941" s="45" t="s">
        <v>59</v>
      </c>
      <c r="FJ7941" s="45" t="s">
        <v>59</v>
      </c>
    </row>
    <row r="7942" spans="153:166" x14ac:dyDescent="0.35">
      <c r="EW7942" t="s">
        <v>6182</v>
      </c>
      <c r="EX7942" s="44" t="s">
        <v>6128</v>
      </c>
      <c r="FF7942" s="45" t="s">
        <v>59</v>
      </c>
      <c r="FJ7942" s="45" t="s">
        <v>59</v>
      </c>
    </row>
    <row r="7943" spans="153:166" x14ac:dyDescent="0.35">
      <c r="EW7943" t="s">
        <v>6182</v>
      </c>
      <c r="EX7943" s="44" t="s">
        <v>6129</v>
      </c>
      <c r="FF7943" s="45" t="s">
        <v>59</v>
      </c>
      <c r="FJ7943" s="45" t="s">
        <v>59</v>
      </c>
    </row>
    <row r="7944" spans="153:166" x14ac:dyDescent="0.35">
      <c r="EW7944" t="s">
        <v>6182</v>
      </c>
      <c r="EX7944" s="44" t="s">
        <v>6130</v>
      </c>
      <c r="FF7944" s="45" t="s">
        <v>59</v>
      </c>
      <c r="FJ7944" s="45" t="s">
        <v>59</v>
      </c>
    </row>
    <row r="7945" spans="153:166" x14ac:dyDescent="0.35">
      <c r="EW7945" t="s">
        <v>6182</v>
      </c>
      <c r="EX7945" s="44" t="s">
        <v>6131</v>
      </c>
      <c r="FF7945" s="45" t="s">
        <v>59</v>
      </c>
      <c r="FJ7945" s="45" t="s">
        <v>59</v>
      </c>
    </row>
    <row r="7946" spans="153:166" x14ac:dyDescent="0.35">
      <c r="EW7946" t="s">
        <v>6182</v>
      </c>
      <c r="EX7946" s="44" t="s">
        <v>6132</v>
      </c>
      <c r="FF7946" s="45" t="s">
        <v>59</v>
      </c>
      <c r="FJ7946" s="45" t="s">
        <v>59</v>
      </c>
    </row>
    <row r="7947" spans="153:166" x14ac:dyDescent="0.35">
      <c r="EW7947" t="s">
        <v>6182</v>
      </c>
      <c r="EX7947" s="44" t="s">
        <v>6133</v>
      </c>
      <c r="FF7947" s="45" t="s">
        <v>59</v>
      </c>
      <c r="FJ7947" s="45" t="s">
        <v>59</v>
      </c>
    </row>
    <row r="7948" spans="153:166" x14ac:dyDescent="0.35">
      <c r="EW7948" t="s">
        <v>6182</v>
      </c>
      <c r="EX7948" s="44" t="s">
        <v>6134</v>
      </c>
      <c r="FF7948" s="45" t="s">
        <v>59</v>
      </c>
      <c r="FJ7948" s="45" t="s">
        <v>59</v>
      </c>
    </row>
    <row r="7949" spans="153:166" x14ac:dyDescent="0.35">
      <c r="EW7949" t="s">
        <v>6182</v>
      </c>
      <c r="EX7949" s="44" t="s">
        <v>6135</v>
      </c>
      <c r="FF7949" s="45" t="s">
        <v>59</v>
      </c>
      <c r="FJ7949" s="45" t="s">
        <v>59</v>
      </c>
    </row>
    <row r="7950" spans="153:166" x14ac:dyDescent="0.35">
      <c r="EW7950" t="s">
        <v>6182</v>
      </c>
      <c r="EX7950" s="44" t="s">
        <v>6136</v>
      </c>
      <c r="FF7950" s="45" t="s">
        <v>59</v>
      </c>
      <c r="FJ7950" s="45" t="s">
        <v>59</v>
      </c>
    </row>
    <row r="7951" spans="153:166" x14ac:dyDescent="0.35">
      <c r="EW7951" t="s">
        <v>6182</v>
      </c>
      <c r="EX7951" s="44" t="s">
        <v>6137</v>
      </c>
      <c r="FF7951" s="45" t="s">
        <v>59</v>
      </c>
      <c r="FJ7951" s="45" t="s">
        <v>59</v>
      </c>
    </row>
    <row r="7952" spans="153:166" x14ac:dyDescent="0.35">
      <c r="EW7952" t="s">
        <v>6182</v>
      </c>
      <c r="EX7952" s="44" t="s">
        <v>6138</v>
      </c>
      <c r="FF7952" s="45" t="s">
        <v>59</v>
      </c>
      <c r="FJ7952" s="45" t="s">
        <v>59</v>
      </c>
    </row>
    <row r="7953" spans="153:166" x14ac:dyDescent="0.35">
      <c r="EW7953" t="s">
        <v>6182</v>
      </c>
      <c r="EX7953" s="44" t="s">
        <v>6139</v>
      </c>
      <c r="FF7953" s="45" t="s">
        <v>59</v>
      </c>
      <c r="FJ7953" s="45" t="s">
        <v>59</v>
      </c>
    </row>
    <row r="7954" spans="153:166" x14ac:dyDescent="0.35">
      <c r="EW7954" t="s">
        <v>6182</v>
      </c>
      <c r="EX7954" s="44" t="s">
        <v>6140</v>
      </c>
      <c r="FF7954" s="45" t="s">
        <v>59</v>
      </c>
      <c r="FJ7954" s="45" t="s">
        <v>59</v>
      </c>
    </row>
    <row r="7955" spans="153:166" x14ac:dyDescent="0.35">
      <c r="EW7955" t="s">
        <v>6182</v>
      </c>
      <c r="EX7955" s="44" t="s">
        <v>6141</v>
      </c>
      <c r="FF7955" s="45" t="s">
        <v>59</v>
      </c>
      <c r="FJ7955" s="45" t="s">
        <v>59</v>
      </c>
    </row>
    <row r="7956" spans="153:166" x14ac:dyDescent="0.35">
      <c r="EW7956" t="s">
        <v>6182</v>
      </c>
      <c r="EX7956" s="44" t="s">
        <v>6142</v>
      </c>
      <c r="FF7956" s="45" t="s">
        <v>59</v>
      </c>
      <c r="FJ7956" s="45" t="s">
        <v>59</v>
      </c>
    </row>
    <row r="7957" spans="153:166" x14ac:dyDescent="0.35">
      <c r="EW7957" t="s">
        <v>6182</v>
      </c>
      <c r="EX7957" s="44" t="s">
        <v>6143</v>
      </c>
      <c r="FF7957" s="45" t="s">
        <v>59</v>
      </c>
      <c r="FJ7957" s="45" t="s">
        <v>59</v>
      </c>
    </row>
    <row r="7958" spans="153:166" x14ac:dyDescent="0.35">
      <c r="EW7958" t="s">
        <v>6182</v>
      </c>
      <c r="EX7958" s="44" t="s">
        <v>6144</v>
      </c>
      <c r="FF7958" s="45" t="s">
        <v>59</v>
      </c>
      <c r="FJ7958" s="45" t="s">
        <v>59</v>
      </c>
    </row>
    <row r="7959" spans="153:166" x14ac:dyDescent="0.35">
      <c r="EW7959" t="s">
        <v>6182</v>
      </c>
      <c r="EX7959" s="44" t="s">
        <v>6145</v>
      </c>
      <c r="FF7959" s="45" t="s">
        <v>59</v>
      </c>
      <c r="FJ7959" s="45" t="s">
        <v>59</v>
      </c>
    </row>
    <row r="7960" spans="153:166" x14ac:dyDescent="0.35">
      <c r="EW7960" t="s">
        <v>6182</v>
      </c>
      <c r="EX7960" s="44" t="s">
        <v>6146</v>
      </c>
      <c r="FF7960" s="45" t="s">
        <v>59</v>
      </c>
      <c r="FJ7960" s="45" t="s">
        <v>59</v>
      </c>
    </row>
    <row r="7961" spans="153:166" x14ac:dyDescent="0.35">
      <c r="EW7961" t="s">
        <v>6182</v>
      </c>
      <c r="EX7961" s="44" t="s">
        <v>6147</v>
      </c>
      <c r="FF7961" s="45" t="s">
        <v>59</v>
      </c>
      <c r="FJ7961" s="45" t="s">
        <v>59</v>
      </c>
    </row>
    <row r="7962" spans="153:166" x14ac:dyDescent="0.35">
      <c r="EW7962" t="s">
        <v>6182</v>
      </c>
      <c r="EX7962" s="44" t="s">
        <v>6148</v>
      </c>
      <c r="FF7962" s="45" t="s">
        <v>59</v>
      </c>
      <c r="FJ7962" s="45" t="s">
        <v>59</v>
      </c>
    </row>
    <row r="7963" spans="153:166" x14ac:dyDescent="0.35">
      <c r="EW7963" t="s">
        <v>6182</v>
      </c>
      <c r="EX7963" s="44" t="s">
        <v>6149</v>
      </c>
      <c r="FF7963" s="45" t="s">
        <v>59</v>
      </c>
      <c r="FJ7963" s="45" t="s">
        <v>59</v>
      </c>
    </row>
    <row r="7964" spans="153:166" x14ac:dyDescent="0.35">
      <c r="EW7964" t="s">
        <v>6182</v>
      </c>
      <c r="EX7964" s="44" t="s">
        <v>6150</v>
      </c>
      <c r="FF7964" s="45" t="s">
        <v>59</v>
      </c>
      <c r="FJ7964" s="45" t="s">
        <v>59</v>
      </c>
    </row>
    <row r="7965" spans="153:166" x14ac:dyDescent="0.35">
      <c r="EW7965" t="s">
        <v>6182</v>
      </c>
      <c r="EX7965" s="44" t="s">
        <v>6151</v>
      </c>
      <c r="FF7965" s="45" t="s">
        <v>59</v>
      </c>
      <c r="FJ7965" s="45" t="s">
        <v>59</v>
      </c>
    </row>
    <row r="7966" spans="153:166" x14ac:dyDescent="0.35">
      <c r="EW7966" t="s">
        <v>6182</v>
      </c>
      <c r="EX7966" s="44" t="s">
        <v>6152</v>
      </c>
      <c r="FF7966" s="45" t="s">
        <v>59</v>
      </c>
      <c r="FJ7966" s="45" t="s">
        <v>59</v>
      </c>
    </row>
    <row r="7967" spans="153:166" x14ac:dyDescent="0.35">
      <c r="EW7967" t="s">
        <v>6182</v>
      </c>
      <c r="EX7967" s="44" t="s">
        <v>6153</v>
      </c>
      <c r="FF7967" s="45" t="s">
        <v>59</v>
      </c>
      <c r="FJ7967" s="45" t="s">
        <v>59</v>
      </c>
    </row>
    <row r="7968" spans="153:166" x14ac:dyDescent="0.35">
      <c r="EW7968" t="s">
        <v>6182</v>
      </c>
      <c r="EX7968" s="44" t="s">
        <v>6154</v>
      </c>
      <c r="FF7968" s="45" t="s">
        <v>59</v>
      </c>
      <c r="FJ7968" s="45" t="s">
        <v>59</v>
      </c>
    </row>
    <row r="7969" spans="153:169" x14ac:dyDescent="0.35">
      <c r="EW7969" t="s">
        <v>6182</v>
      </c>
      <c r="EX7969" s="44" t="s">
        <v>6155</v>
      </c>
      <c r="FF7969" s="45" t="s">
        <v>59</v>
      </c>
      <c r="FJ7969" s="45" t="s">
        <v>59</v>
      </c>
    </row>
    <row r="7970" spans="153:169" x14ac:dyDescent="0.35">
      <c r="EW7970" t="s">
        <v>6182</v>
      </c>
      <c r="EX7970" s="44" t="s">
        <v>6156</v>
      </c>
      <c r="FF7970" s="45" t="s">
        <v>59</v>
      </c>
      <c r="FJ7970" s="45" t="s">
        <v>59</v>
      </c>
    </row>
    <row r="7971" spans="153:169" x14ac:dyDescent="0.35">
      <c r="EW7971" t="s">
        <v>6182</v>
      </c>
      <c r="EX7971" s="44" t="s">
        <v>6157</v>
      </c>
      <c r="FF7971" s="45" t="s">
        <v>59</v>
      </c>
      <c r="FJ7971" s="45" t="s">
        <v>59</v>
      </c>
    </row>
    <row r="7972" spans="153:169" x14ac:dyDescent="0.35">
      <c r="EW7972" t="s">
        <v>6182</v>
      </c>
      <c r="EX7972" s="44" t="s">
        <v>6158</v>
      </c>
      <c r="FF7972" s="45" t="s">
        <v>59</v>
      </c>
      <c r="FJ7972" s="45" t="s">
        <v>59</v>
      </c>
    </row>
    <row r="7973" spans="153:169" x14ac:dyDescent="0.35">
      <c r="EW7973" t="s">
        <v>6182</v>
      </c>
      <c r="EX7973" s="44" t="s">
        <v>6159</v>
      </c>
      <c r="FF7973" s="45" t="s">
        <v>59</v>
      </c>
      <c r="FJ7973" s="45" t="s">
        <v>59</v>
      </c>
    </row>
    <row r="7974" spans="153:169" x14ac:dyDescent="0.35">
      <c r="EW7974" t="s">
        <v>6182</v>
      </c>
      <c r="EX7974" s="44" t="s">
        <v>6160</v>
      </c>
      <c r="FF7974" s="45" t="s">
        <v>59</v>
      </c>
      <c r="FJ7974" s="45" t="s">
        <v>59</v>
      </c>
    </row>
    <row r="7975" spans="153:169" x14ac:dyDescent="0.35">
      <c r="EW7975" t="s">
        <v>6182</v>
      </c>
      <c r="EX7975" s="44" t="s">
        <v>6161</v>
      </c>
      <c r="FF7975" s="45" t="s">
        <v>59</v>
      </c>
      <c r="FJ7975" s="45" t="s">
        <v>59</v>
      </c>
    </row>
    <row r="7976" spans="153:169" x14ac:dyDescent="0.35">
      <c r="EW7976" t="s">
        <v>6182</v>
      </c>
      <c r="EX7976" s="44" t="s">
        <v>6162</v>
      </c>
      <c r="FF7976" s="45" t="s">
        <v>59</v>
      </c>
      <c r="FJ7976" s="45" t="s">
        <v>59</v>
      </c>
      <c r="FM7976" t="s">
        <v>6280</v>
      </c>
    </row>
    <row r="7977" spans="153:169" x14ac:dyDescent="0.35">
      <c r="EW7977" t="s">
        <v>6182</v>
      </c>
      <c r="EX7977" s="44" t="s">
        <v>6163</v>
      </c>
      <c r="FF7977" s="45" t="s">
        <v>59</v>
      </c>
      <c r="FJ7977" s="45" t="s">
        <v>59</v>
      </c>
    </row>
    <row r="7978" spans="153:169" x14ac:dyDescent="0.35">
      <c r="EW7978" t="s">
        <v>6182</v>
      </c>
      <c r="EX7978" s="44" t="s">
        <v>6164</v>
      </c>
      <c r="FF7978" s="45" t="s">
        <v>59</v>
      </c>
      <c r="FJ7978" s="45" t="s">
        <v>59</v>
      </c>
    </row>
    <row r="7979" spans="153:169" x14ac:dyDescent="0.35">
      <c r="EW7979" t="s">
        <v>6182</v>
      </c>
      <c r="EX7979" s="44" t="s">
        <v>6165</v>
      </c>
      <c r="FF7979" s="45" t="s">
        <v>59</v>
      </c>
      <c r="FJ7979" s="45" t="s">
        <v>59</v>
      </c>
    </row>
    <row r="7980" spans="153:169" x14ac:dyDescent="0.35">
      <c r="EW7980" t="s">
        <v>6182</v>
      </c>
      <c r="EX7980" s="44" t="s">
        <v>6166</v>
      </c>
      <c r="FF7980" s="45" t="s">
        <v>59</v>
      </c>
      <c r="FJ7980" s="45" t="s">
        <v>59</v>
      </c>
    </row>
    <row r="7981" spans="153:169" x14ac:dyDescent="0.35">
      <c r="EW7981" t="s">
        <v>6182</v>
      </c>
      <c r="EX7981" s="44" t="s">
        <v>6167</v>
      </c>
      <c r="FF7981" s="45" t="s">
        <v>59</v>
      </c>
      <c r="FJ7981" s="45" t="s">
        <v>59</v>
      </c>
    </row>
    <row r="7982" spans="153:169" x14ac:dyDescent="0.35">
      <c r="EW7982" t="s">
        <v>6182</v>
      </c>
      <c r="EX7982" s="44" t="s">
        <v>6168</v>
      </c>
      <c r="FF7982" s="45" t="s">
        <v>59</v>
      </c>
      <c r="FJ7982" s="45" t="s">
        <v>59</v>
      </c>
    </row>
    <row r="7983" spans="153:169" x14ac:dyDescent="0.35">
      <c r="EW7983" t="s">
        <v>6182</v>
      </c>
      <c r="EX7983" s="44" t="s">
        <v>6169</v>
      </c>
      <c r="FF7983" s="45" t="s">
        <v>59</v>
      </c>
      <c r="FJ7983" s="45" t="s">
        <v>59</v>
      </c>
    </row>
    <row r="7984" spans="153:169" x14ac:dyDescent="0.35">
      <c r="EW7984" t="s">
        <v>6182</v>
      </c>
      <c r="EX7984" s="44" t="s">
        <v>6171</v>
      </c>
      <c r="FF7984" s="45" t="s">
        <v>59</v>
      </c>
      <c r="FJ7984" s="45" t="s">
        <v>59</v>
      </c>
    </row>
    <row r="7985" spans="153:166" x14ac:dyDescent="0.35">
      <c r="EW7985" t="s">
        <v>6182</v>
      </c>
      <c r="EX7985" s="44" t="s">
        <v>6172</v>
      </c>
      <c r="FF7985" s="45" t="s">
        <v>59</v>
      </c>
      <c r="FJ7985" s="45" t="s">
        <v>59</v>
      </c>
    </row>
    <row r="7986" spans="153:166" x14ac:dyDescent="0.35">
      <c r="EW7986" t="s">
        <v>6182</v>
      </c>
      <c r="EX7986" s="44" t="s">
        <v>6173</v>
      </c>
      <c r="FF7986" s="45" t="s">
        <v>59</v>
      </c>
      <c r="FJ7986" s="45" t="s">
        <v>59</v>
      </c>
    </row>
    <row r="7987" spans="153:166" x14ac:dyDescent="0.35">
      <c r="EW7987" t="s">
        <v>6182</v>
      </c>
      <c r="EX7987" s="44" t="s">
        <v>6174</v>
      </c>
      <c r="FF7987" s="45" t="s">
        <v>59</v>
      </c>
      <c r="FJ7987" s="45" t="s">
        <v>59</v>
      </c>
    </row>
    <row r="7988" spans="153:166" x14ac:dyDescent="0.35">
      <c r="EW7988" t="s">
        <v>6182</v>
      </c>
      <c r="EX7988" s="44" t="s">
        <v>6175</v>
      </c>
      <c r="FF7988" s="45" t="s">
        <v>59</v>
      </c>
      <c r="FJ7988" s="45" t="s">
        <v>59</v>
      </c>
    </row>
    <row r="7989" spans="153:166" x14ac:dyDescent="0.35">
      <c r="EW7989" t="s">
        <v>6182</v>
      </c>
      <c r="EX7989" s="44" t="s">
        <v>6176</v>
      </c>
      <c r="FF7989" s="45" t="s">
        <v>59</v>
      </c>
      <c r="FJ7989" s="45" t="s">
        <v>59</v>
      </c>
    </row>
    <row r="7990" spans="153:166" x14ac:dyDescent="0.35">
      <c r="EW7990" t="s">
        <v>6182</v>
      </c>
      <c r="EX7990" s="44" t="s">
        <v>6177</v>
      </c>
      <c r="FF7990" s="45" t="s">
        <v>59</v>
      </c>
      <c r="FJ7990" s="45" t="s">
        <v>59</v>
      </c>
    </row>
    <row r="7991" spans="153:166" x14ac:dyDescent="0.35">
      <c r="EW7991" t="s">
        <v>6182</v>
      </c>
      <c r="EX7991" s="44" t="s">
        <v>6178</v>
      </c>
      <c r="FF7991" s="45" t="s">
        <v>59</v>
      </c>
      <c r="FJ7991" s="45" t="s">
        <v>59</v>
      </c>
    </row>
    <row r="7992" spans="153:166" x14ac:dyDescent="0.35">
      <c r="EW7992" t="s">
        <v>6182</v>
      </c>
      <c r="EX7992" s="44" t="s">
        <v>6179</v>
      </c>
      <c r="FF7992" s="45" t="s">
        <v>59</v>
      </c>
      <c r="FJ7992" s="45" t="s">
        <v>59</v>
      </c>
    </row>
    <row r="7993" spans="153:166" x14ac:dyDescent="0.35">
      <c r="EW7993" t="s">
        <v>6182</v>
      </c>
      <c r="EX7993" s="44" t="s">
        <v>6180</v>
      </c>
      <c r="FF7993" s="45" t="s">
        <v>59</v>
      </c>
      <c r="FJ7993" s="45" t="s">
        <v>59</v>
      </c>
    </row>
    <row r="7994" spans="153:166" x14ac:dyDescent="0.35">
      <c r="EW7994" t="s">
        <v>6182</v>
      </c>
      <c r="EX7994" s="44" t="s">
        <v>6181</v>
      </c>
      <c r="FF7994" s="45" t="s">
        <v>59</v>
      </c>
      <c r="FJ7994" s="45" t="s">
        <v>59</v>
      </c>
    </row>
    <row r="7995" spans="153:166" x14ac:dyDescent="0.35">
      <c r="EW7995" t="s">
        <v>6281</v>
      </c>
      <c r="EX7995" s="44" t="s">
        <v>6282</v>
      </c>
      <c r="FF7995" s="45" t="s">
        <v>55</v>
      </c>
      <c r="FJ7995" s="45" t="s">
        <v>55</v>
      </c>
    </row>
    <row r="7996" spans="153:166" x14ac:dyDescent="0.35">
      <c r="EW7996" t="s">
        <v>6281</v>
      </c>
      <c r="EX7996" s="44" t="s">
        <v>6283</v>
      </c>
      <c r="FF7996" s="45" t="s">
        <v>55</v>
      </c>
      <c r="FJ7996" s="45" t="s">
        <v>55</v>
      </c>
    </row>
    <row r="7997" spans="153:166" x14ac:dyDescent="0.35">
      <c r="EW7997" t="s">
        <v>6281</v>
      </c>
      <c r="EX7997" s="44" t="s">
        <v>6284</v>
      </c>
      <c r="FF7997" s="45" t="s">
        <v>55</v>
      </c>
      <c r="FJ7997" s="45" t="s">
        <v>55</v>
      </c>
    </row>
    <row r="7998" spans="153:166" x14ac:dyDescent="0.35">
      <c r="EW7998" t="s">
        <v>6281</v>
      </c>
      <c r="EX7998" s="44" t="s">
        <v>6285</v>
      </c>
      <c r="FF7998" s="45" t="s">
        <v>55</v>
      </c>
      <c r="FJ7998" s="45" t="s">
        <v>55</v>
      </c>
    </row>
    <row r="7999" spans="153:166" x14ac:dyDescent="0.35">
      <c r="EW7999" t="s">
        <v>6281</v>
      </c>
      <c r="EX7999" s="44" t="s">
        <v>6286</v>
      </c>
      <c r="FF7999" s="45" t="s">
        <v>55</v>
      </c>
      <c r="FJ7999" s="45" t="s">
        <v>55</v>
      </c>
    </row>
    <row r="8000" spans="153:166" x14ac:dyDescent="0.35">
      <c r="EW8000" t="s">
        <v>6281</v>
      </c>
      <c r="EX8000" s="44" t="s">
        <v>6287</v>
      </c>
      <c r="FF8000" s="45" t="s">
        <v>55</v>
      </c>
      <c r="FJ8000" s="45" t="s">
        <v>55</v>
      </c>
    </row>
    <row r="8001" spans="153:166" x14ac:dyDescent="0.35">
      <c r="EW8001" t="s">
        <v>6281</v>
      </c>
      <c r="EX8001" s="44" t="s">
        <v>6288</v>
      </c>
      <c r="FF8001" s="45" t="s">
        <v>55</v>
      </c>
      <c r="FJ8001" s="45" t="s">
        <v>55</v>
      </c>
    </row>
    <row r="8002" spans="153:166" x14ac:dyDescent="0.35">
      <c r="EW8002" t="s">
        <v>6281</v>
      </c>
      <c r="EX8002" s="44" t="s">
        <v>6289</v>
      </c>
      <c r="FF8002" s="45" t="s">
        <v>55</v>
      </c>
      <c r="FJ8002" s="45" t="s">
        <v>55</v>
      </c>
    </row>
    <row r="8003" spans="153:166" x14ac:dyDescent="0.35">
      <c r="EW8003" t="s">
        <v>6281</v>
      </c>
      <c r="EX8003" s="44" t="s">
        <v>6290</v>
      </c>
      <c r="FF8003" s="45" t="s">
        <v>55</v>
      </c>
      <c r="FJ8003" s="45" t="s">
        <v>55</v>
      </c>
    </row>
    <row r="8004" spans="153:166" x14ac:dyDescent="0.35">
      <c r="EW8004" t="s">
        <v>6281</v>
      </c>
      <c r="EX8004" s="44" t="s">
        <v>6291</v>
      </c>
      <c r="FF8004" s="45" t="s">
        <v>55</v>
      </c>
      <c r="FJ8004" s="45" t="s">
        <v>55</v>
      </c>
    </row>
    <row r="8005" spans="153:166" x14ac:dyDescent="0.35">
      <c r="EW8005" t="s">
        <v>6281</v>
      </c>
      <c r="EX8005" s="44" t="s">
        <v>6292</v>
      </c>
      <c r="FF8005" s="45" t="s">
        <v>55</v>
      </c>
      <c r="FJ8005" s="45" t="s">
        <v>55</v>
      </c>
    </row>
    <row r="8006" spans="153:166" x14ac:dyDescent="0.35">
      <c r="EW8006" t="s">
        <v>6281</v>
      </c>
      <c r="EX8006" s="44" t="s">
        <v>6170</v>
      </c>
      <c r="FF8006" s="45" t="s">
        <v>55</v>
      </c>
      <c r="FJ8006" s="45" t="s">
        <v>55</v>
      </c>
    </row>
    <row r="8007" spans="153:166" x14ac:dyDescent="0.35">
      <c r="EW8007" t="s">
        <v>6281</v>
      </c>
      <c r="EX8007" s="44" t="s">
        <v>6293</v>
      </c>
      <c r="FF8007" s="45" t="s">
        <v>55</v>
      </c>
      <c r="FJ8007" s="45" t="s">
        <v>55</v>
      </c>
    </row>
    <row r="8008" spans="153:166" x14ac:dyDescent="0.35">
      <c r="EW8008" t="s">
        <v>6281</v>
      </c>
      <c r="EX8008" s="44" t="s">
        <v>6294</v>
      </c>
      <c r="FF8008" s="45" t="s">
        <v>55</v>
      </c>
      <c r="FJ8008" s="45" t="s">
        <v>55</v>
      </c>
    </row>
    <row r="8009" spans="153:166" x14ac:dyDescent="0.35">
      <c r="EW8009" t="s">
        <v>6281</v>
      </c>
      <c r="EX8009" s="44" t="s">
        <v>6295</v>
      </c>
      <c r="FF8009" s="45" t="s">
        <v>55</v>
      </c>
      <c r="FJ8009" s="45" t="s">
        <v>55</v>
      </c>
    </row>
    <row r="8010" spans="153:166" x14ac:dyDescent="0.35">
      <c r="EW8010" t="s">
        <v>6281</v>
      </c>
      <c r="EX8010" s="44" t="s">
        <v>6296</v>
      </c>
      <c r="FF8010" s="45" t="s">
        <v>55</v>
      </c>
      <c r="FJ8010" s="45" t="s">
        <v>55</v>
      </c>
    </row>
    <row r="8011" spans="153:166" x14ac:dyDescent="0.35">
      <c r="EW8011" t="s">
        <v>6281</v>
      </c>
      <c r="EX8011" s="44" t="s">
        <v>6297</v>
      </c>
      <c r="FF8011" s="45" t="s">
        <v>55</v>
      </c>
      <c r="FJ8011" s="45" t="s">
        <v>55</v>
      </c>
    </row>
    <row r="8012" spans="153:166" x14ac:dyDescent="0.35">
      <c r="EW8012" t="s">
        <v>6281</v>
      </c>
      <c r="EX8012" s="44" t="s">
        <v>6298</v>
      </c>
      <c r="FF8012" s="45" t="s">
        <v>55</v>
      </c>
      <c r="FJ8012" s="45" t="s">
        <v>55</v>
      </c>
    </row>
    <row r="8013" spans="153:166" x14ac:dyDescent="0.35">
      <c r="EW8013" t="s">
        <v>6281</v>
      </c>
      <c r="EX8013" s="44" t="s">
        <v>6299</v>
      </c>
      <c r="FF8013" s="45" t="s">
        <v>55</v>
      </c>
      <c r="FJ8013" s="45" t="s">
        <v>55</v>
      </c>
    </row>
    <row r="8014" spans="153:166" x14ac:dyDescent="0.35">
      <c r="EW8014" t="s">
        <v>6281</v>
      </c>
      <c r="EX8014" s="44" t="s">
        <v>6300</v>
      </c>
      <c r="FF8014" s="45" t="s">
        <v>55</v>
      </c>
      <c r="FJ8014" s="45" t="s">
        <v>55</v>
      </c>
    </row>
    <row r="8015" spans="153:166" x14ac:dyDescent="0.35">
      <c r="EW8015" t="s">
        <v>6281</v>
      </c>
      <c r="EX8015" s="44" t="s">
        <v>6301</v>
      </c>
      <c r="FF8015" s="45" t="s">
        <v>55</v>
      </c>
      <c r="FJ8015" s="45" t="s">
        <v>55</v>
      </c>
    </row>
    <row r="8016" spans="153:166" x14ac:dyDescent="0.35">
      <c r="EW8016" t="s">
        <v>6281</v>
      </c>
      <c r="EX8016" s="44" t="s">
        <v>6302</v>
      </c>
      <c r="FF8016" s="45" t="s">
        <v>55</v>
      </c>
      <c r="FJ8016" s="45" t="s">
        <v>55</v>
      </c>
    </row>
    <row r="8017" spans="153:166" x14ac:dyDescent="0.35">
      <c r="EW8017" t="s">
        <v>6281</v>
      </c>
      <c r="EX8017" s="44" t="s">
        <v>6303</v>
      </c>
      <c r="FF8017" s="45" t="s">
        <v>55</v>
      </c>
      <c r="FJ8017" s="45" t="s">
        <v>55</v>
      </c>
    </row>
    <row r="8018" spans="153:166" x14ac:dyDescent="0.35">
      <c r="EW8018" t="s">
        <v>6281</v>
      </c>
      <c r="EX8018" s="44" t="s">
        <v>6304</v>
      </c>
      <c r="FF8018" s="45" t="s">
        <v>55</v>
      </c>
      <c r="FJ8018" s="45" t="s">
        <v>55</v>
      </c>
    </row>
    <row r="8019" spans="153:166" x14ac:dyDescent="0.35">
      <c r="EW8019" t="s">
        <v>6281</v>
      </c>
      <c r="EX8019" s="44" t="s">
        <v>6305</v>
      </c>
      <c r="FF8019" s="45" t="s">
        <v>55</v>
      </c>
      <c r="FJ8019" s="45" t="s">
        <v>55</v>
      </c>
    </row>
    <row r="8020" spans="153:166" x14ac:dyDescent="0.35">
      <c r="EW8020" t="s">
        <v>6281</v>
      </c>
      <c r="EX8020" s="44" t="s">
        <v>6306</v>
      </c>
      <c r="FF8020" s="45" t="s">
        <v>55</v>
      </c>
      <c r="FJ8020" s="45" t="s">
        <v>55</v>
      </c>
    </row>
    <row r="8021" spans="153:166" x14ac:dyDescent="0.35">
      <c r="EW8021" t="s">
        <v>6281</v>
      </c>
      <c r="EX8021" s="44" t="s">
        <v>6307</v>
      </c>
      <c r="FF8021" s="45" t="s">
        <v>55</v>
      </c>
      <c r="FJ8021" s="45" t="s">
        <v>55</v>
      </c>
    </row>
    <row r="8022" spans="153:166" x14ac:dyDescent="0.35">
      <c r="EW8022" t="s">
        <v>6281</v>
      </c>
      <c r="EX8022" s="44" t="s">
        <v>6308</v>
      </c>
      <c r="FF8022" s="45" t="s">
        <v>55</v>
      </c>
      <c r="FJ8022" s="45" t="s">
        <v>55</v>
      </c>
    </row>
    <row r="8023" spans="153:166" x14ac:dyDescent="0.35">
      <c r="EW8023" t="s">
        <v>6281</v>
      </c>
      <c r="EX8023" s="44" t="s">
        <v>6309</v>
      </c>
      <c r="FF8023" s="45" t="s">
        <v>55</v>
      </c>
      <c r="FJ8023" s="45" t="s">
        <v>55</v>
      </c>
    </row>
    <row r="8024" spans="153:166" x14ac:dyDescent="0.35">
      <c r="EW8024" t="s">
        <v>6281</v>
      </c>
      <c r="EX8024" s="44" t="s">
        <v>6310</v>
      </c>
      <c r="FF8024" s="45" t="s">
        <v>55</v>
      </c>
      <c r="FJ8024" s="45" t="s">
        <v>55</v>
      </c>
    </row>
    <row r="8025" spans="153:166" x14ac:dyDescent="0.35">
      <c r="EW8025" t="s">
        <v>6281</v>
      </c>
      <c r="EX8025" s="44" t="s">
        <v>6311</v>
      </c>
      <c r="FF8025" s="45" t="s">
        <v>55</v>
      </c>
      <c r="FJ8025" s="45" t="s">
        <v>55</v>
      </c>
    </row>
    <row r="8026" spans="153:166" x14ac:dyDescent="0.35">
      <c r="EW8026" t="s">
        <v>6281</v>
      </c>
      <c r="EX8026" s="44" t="s">
        <v>6312</v>
      </c>
      <c r="FF8026" s="45" t="s">
        <v>55</v>
      </c>
      <c r="FJ8026" s="45" t="s">
        <v>55</v>
      </c>
    </row>
    <row r="8027" spans="153:166" x14ac:dyDescent="0.35">
      <c r="EW8027" t="s">
        <v>6281</v>
      </c>
      <c r="EX8027" s="44" t="s">
        <v>6313</v>
      </c>
      <c r="FF8027" s="45" t="s">
        <v>55</v>
      </c>
      <c r="FJ8027" s="45" t="s">
        <v>55</v>
      </c>
    </row>
    <row r="8028" spans="153:166" x14ac:dyDescent="0.35">
      <c r="EW8028" t="s">
        <v>6281</v>
      </c>
      <c r="EX8028" s="44" t="s">
        <v>6314</v>
      </c>
      <c r="FF8028" s="45" t="s">
        <v>55</v>
      </c>
      <c r="FJ8028" s="45" t="s">
        <v>55</v>
      </c>
    </row>
    <row r="8029" spans="153:166" x14ac:dyDescent="0.35">
      <c r="EW8029" t="s">
        <v>6281</v>
      </c>
      <c r="EX8029" s="44" t="s">
        <v>6315</v>
      </c>
      <c r="FF8029" s="45" t="s">
        <v>55</v>
      </c>
      <c r="FJ8029" s="45" t="s">
        <v>55</v>
      </c>
    </row>
    <row r="8030" spans="153:166" x14ac:dyDescent="0.35">
      <c r="EW8030" t="s">
        <v>6281</v>
      </c>
      <c r="EX8030" s="44" t="s">
        <v>6316</v>
      </c>
      <c r="FF8030" s="45" t="s">
        <v>55</v>
      </c>
      <c r="FJ8030" s="45" t="s">
        <v>55</v>
      </c>
    </row>
    <row r="8031" spans="153:166" x14ac:dyDescent="0.35">
      <c r="EW8031" t="s">
        <v>6281</v>
      </c>
      <c r="EX8031" s="44" t="s">
        <v>6317</v>
      </c>
      <c r="FF8031" s="45" t="s">
        <v>55</v>
      </c>
      <c r="FJ8031" s="45" t="s">
        <v>55</v>
      </c>
    </row>
    <row r="8032" spans="153:166" x14ac:dyDescent="0.35">
      <c r="EW8032" t="s">
        <v>6281</v>
      </c>
      <c r="EX8032" s="44" t="s">
        <v>6318</v>
      </c>
      <c r="FF8032" s="45" t="s">
        <v>55</v>
      </c>
      <c r="FJ8032" s="45" t="s">
        <v>55</v>
      </c>
    </row>
    <row r="8033" spans="153:166" x14ac:dyDescent="0.35">
      <c r="EW8033" t="s">
        <v>6281</v>
      </c>
      <c r="EX8033" s="44" t="s">
        <v>6319</v>
      </c>
      <c r="FF8033" s="45" t="s">
        <v>55</v>
      </c>
      <c r="FJ8033" s="45" t="s">
        <v>55</v>
      </c>
    </row>
    <row r="8034" spans="153:166" x14ac:dyDescent="0.35">
      <c r="EW8034" t="s">
        <v>6281</v>
      </c>
      <c r="EX8034" s="44" t="s">
        <v>6320</v>
      </c>
      <c r="FF8034" s="45" t="s">
        <v>55</v>
      </c>
      <c r="FJ8034" s="45" t="s">
        <v>55</v>
      </c>
    </row>
    <row r="8035" spans="153:166" x14ac:dyDescent="0.35">
      <c r="EW8035" t="s">
        <v>6281</v>
      </c>
      <c r="EX8035" s="44" t="s">
        <v>6321</v>
      </c>
      <c r="FF8035" s="45" t="s">
        <v>55</v>
      </c>
      <c r="FJ8035" s="45" t="s">
        <v>55</v>
      </c>
    </row>
    <row r="8036" spans="153:166" x14ac:dyDescent="0.35">
      <c r="EW8036" t="s">
        <v>6281</v>
      </c>
      <c r="EX8036" s="44" t="s">
        <v>6322</v>
      </c>
      <c r="FF8036" s="45" t="s">
        <v>55</v>
      </c>
      <c r="FJ8036" s="45" t="s">
        <v>55</v>
      </c>
    </row>
    <row r="8037" spans="153:166" x14ac:dyDescent="0.35">
      <c r="EW8037" t="s">
        <v>6281</v>
      </c>
      <c r="EX8037" s="44" t="s">
        <v>6323</v>
      </c>
      <c r="FF8037" s="45" t="s">
        <v>55</v>
      </c>
      <c r="FJ8037" s="45" t="s">
        <v>55</v>
      </c>
    </row>
    <row r="8038" spans="153:166" x14ac:dyDescent="0.35">
      <c r="EW8038" t="s">
        <v>6281</v>
      </c>
      <c r="EX8038" s="44" t="s">
        <v>6324</v>
      </c>
      <c r="FF8038" s="45" t="s">
        <v>55</v>
      </c>
      <c r="FJ8038" s="45" t="s">
        <v>55</v>
      </c>
    </row>
    <row r="8039" spans="153:166" x14ac:dyDescent="0.35">
      <c r="EW8039" t="s">
        <v>6281</v>
      </c>
      <c r="EX8039" s="44" t="s">
        <v>6325</v>
      </c>
      <c r="FF8039" s="45" t="s">
        <v>55</v>
      </c>
      <c r="FJ8039" s="45" t="s">
        <v>55</v>
      </c>
    </row>
    <row r="8040" spans="153:166" x14ac:dyDescent="0.35">
      <c r="EW8040" t="s">
        <v>6281</v>
      </c>
      <c r="EX8040" s="44" t="s">
        <v>6326</v>
      </c>
      <c r="FF8040" s="45" t="s">
        <v>55</v>
      </c>
      <c r="FJ8040" s="45" t="s">
        <v>55</v>
      </c>
    </row>
    <row r="8041" spans="153:166" x14ac:dyDescent="0.35">
      <c r="EW8041" t="s">
        <v>6281</v>
      </c>
      <c r="EX8041" s="44" t="s">
        <v>6327</v>
      </c>
      <c r="FF8041" s="45" t="s">
        <v>55</v>
      </c>
      <c r="FJ8041" s="45" t="s">
        <v>55</v>
      </c>
    </row>
    <row r="8042" spans="153:166" x14ac:dyDescent="0.35">
      <c r="EW8042" t="s">
        <v>6281</v>
      </c>
      <c r="EX8042" s="44" t="s">
        <v>6328</v>
      </c>
      <c r="FF8042" s="45" t="s">
        <v>55</v>
      </c>
      <c r="FJ8042" s="45" t="s">
        <v>55</v>
      </c>
    </row>
    <row r="8043" spans="153:166" x14ac:dyDescent="0.35">
      <c r="EW8043" t="s">
        <v>6281</v>
      </c>
      <c r="EX8043" s="44" t="s">
        <v>6329</v>
      </c>
      <c r="FF8043" s="45" t="s">
        <v>55</v>
      </c>
      <c r="FJ8043" s="45" t="s">
        <v>55</v>
      </c>
    </row>
    <row r="8044" spans="153:166" x14ac:dyDescent="0.35">
      <c r="EW8044" t="s">
        <v>6281</v>
      </c>
      <c r="EX8044" s="44" t="s">
        <v>6330</v>
      </c>
      <c r="FF8044" s="45" t="s">
        <v>55</v>
      </c>
      <c r="FJ8044" s="45" t="s">
        <v>55</v>
      </c>
    </row>
    <row r="8045" spans="153:166" x14ac:dyDescent="0.35">
      <c r="EW8045" t="s">
        <v>6281</v>
      </c>
      <c r="EX8045" s="44" t="s">
        <v>6331</v>
      </c>
      <c r="FF8045" s="45" t="s">
        <v>55</v>
      </c>
      <c r="FJ8045" s="45" t="s">
        <v>55</v>
      </c>
    </row>
    <row r="8046" spans="153:166" x14ac:dyDescent="0.35">
      <c r="EW8046" t="s">
        <v>6281</v>
      </c>
      <c r="EX8046" s="44" t="s">
        <v>6332</v>
      </c>
      <c r="FF8046" s="45" t="s">
        <v>55</v>
      </c>
      <c r="FJ8046" s="45" t="s">
        <v>55</v>
      </c>
    </row>
    <row r="8047" spans="153:166" x14ac:dyDescent="0.35">
      <c r="EW8047" t="s">
        <v>6281</v>
      </c>
      <c r="EX8047" s="44" t="s">
        <v>6333</v>
      </c>
      <c r="FF8047" s="45" t="s">
        <v>55</v>
      </c>
      <c r="FJ8047" s="45" t="s">
        <v>55</v>
      </c>
    </row>
    <row r="8048" spans="153:166" x14ac:dyDescent="0.35">
      <c r="EW8048" t="s">
        <v>6281</v>
      </c>
      <c r="EX8048" s="44" t="s">
        <v>6334</v>
      </c>
      <c r="FF8048" s="45" t="s">
        <v>55</v>
      </c>
      <c r="FJ8048" s="45" t="s">
        <v>55</v>
      </c>
    </row>
    <row r="8049" spans="153:166" x14ac:dyDescent="0.35">
      <c r="EW8049" t="s">
        <v>6281</v>
      </c>
      <c r="EX8049" s="44" t="s">
        <v>6335</v>
      </c>
      <c r="FF8049" s="45" t="s">
        <v>55</v>
      </c>
      <c r="FJ8049" s="45" t="s">
        <v>55</v>
      </c>
    </row>
    <row r="8050" spans="153:166" x14ac:dyDescent="0.35">
      <c r="EW8050" t="s">
        <v>6281</v>
      </c>
      <c r="EX8050" s="44" t="s">
        <v>6336</v>
      </c>
      <c r="FF8050" s="45" t="s">
        <v>55</v>
      </c>
      <c r="FJ8050" s="45" t="s">
        <v>55</v>
      </c>
    </row>
    <row r="8051" spans="153:166" x14ac:dyDescent="0.35">
      <c r="EW8051" t="s">
        <v>6281</v>
      </c>
      <c r="EX8051" s="44" t="s">
        <v>6337</v>
      </c>
      <c r="FF8051" s="45" t="s">
        <v>55</v>
      </c>
      <c r="FJ8051" s="45" t="s">
        <v>55</v>
      </c>
    </row>
    <row r="8052" spans="153:166" x14ac:dyDescent="0.35">
      <c r="EW8052" t="s">
        <v>6281</v>
      </c>
      <c r="EX8052" s="44" t="s">
        <v>6338</v>
      </c>
      <c r="FF8052" s="45" t="s">
        <v>55</v>
      </c>
      <c r="FJ8052" s="45" t="s">
        <v>55</v>
      </c>
    </row>
    <row r="8053" spans="153:166" x14ac:dyDescent="0.35">
      <c r="EW8053" t="s">
        <v>6281</v>
      </c>
      <c r="EX8053" s="44" t="s">
        <v>6339</v>
      </c>
      <c r="FF8053" s="45" t="s">
        <v>55</v>
      </c>
      <c r="FJ8053" s="45" t="s">
        <v>55</v>
      </c>
    </row>
    <row r="8054" spans="153:166" x14ac:dyDescent="0.35">
      <c r="EW8054" t="s">
        <v>6281</v>
      </c>
      <c r="EX8054" s="44" t="s">
        <v>6340</v>
      </c>
      <c r="FF8054" s="45" t="s">
        <v>55</v>
      </c>
      <c r="FJ8054" s="45" t="s">
        <v>55</v>
      </c>
    </row>
    <row r="8055" spans="153:166" x14ac:dyDescent="0.35">
      <c r="EW8055" t="s">
        <v>6281</v>
      </c>
      <c r="EX8055" s="44" t="s">
        <v>6341</v>
      </c>
      <c r="FF8055" s="45" t="s">
        <v>55</v>
      </c>
      <c r="FJ8055" s="45" t="s">
        <v>55</v>
      </c>
    </row>
    <row r="8056" spans="153:166" x14ac:dyDescent="0.35">
      <c r="EW8056" t="s">
        <v>6281</v>
      </c>
      <c r="EX8056" s="44" t="s">
        <v>6342</v>
      </c>
      <c r="FF8056" s="45" t="s">
        <v>55</v>
      </c>
      <c r="FJ8056" s="45" t="s">
        <v>55</v>
      </c>
    </row>
    <row r="8057" spans="153:166" x14ac:dyDescent="0.35">
      <c r="EW8057" t="s">
        <v>6281</v>
      </c>
      <c r="EX8057" s="44" t="s">
        <v>6343</v>
      </c>
      <c r="FF8057" s="45" t="s">
        <v>55</v>
      </c>
      <c r="FJ8057" s="45" t="s">
        <v>55</v>
      </c>
    </row>
    <row r="8058" spans="153:166" x14ac:dyDescent="0.35">
      <c r="EW8058" t="s">
        <v>6281</v>
      </c>
      <c r="EX8058" s="44" t="s">
        <v>6344</v>
      </c>
      <c r="FF8058" s="45" t="s">
        <v>55</v>
      </c>
      <c r="FJ8058" s="45" t="s">
        <v>55</v>
      </c>
    </row>
    <row r="8059" spans="153:166" x14ac:dyDescent="0.35">
      <c r="EW8059" t="s">
        <v>6281</v>
      </c>
      <c r="EX8059" s="44" t="s">
        <v>6345</v>
      </c>
      <c r="FF8059" s="45" t="s">
        <v>55</v>
      </c>
      <c r="FJ8059" s="45" t="s">
        <v>55</v>
      </c>
    </row>
    <row r="8060" spans="153:166" x14ac:dyDescent="0.35">
      <c r="EW8060" t="s">
        <v>6281</v>
      </c>
      <c r="EX8060" s="44" t="s">
        <v>6346</v>
      </c>
      <c r="FF8060" s="45" t="s">
        <v>55</v>
      </c>
      <c r="FJ8060" s="45" t="s">
        <v>55</v>
      </c>
    </row>
    <row r="8061" spans="153:166" x14ac:dyDescent="0.35">
      <c r="EW8061" t="s">
        <v>6281</v>
      </c>
      <c r="EX8061" s="44" t="s">
        <v>6347</v>
      </c>
      <c r="FF8061" s="45" t="s">
        <v>55</v>
      </c>
      <c r="FJ8061" s="45" t="s">
        <v>55</v>
      </c>
    </row>
    <row r="8062" spans="153:166" x14ac:dyDescent="0.35">
      <c r="EW8062" t="s">
        <v>6281</v>
      </c>
      <c r="EX8062" s="44" t="s">
        <v>6348</v>
      </c>
      <c r="FF8062" s="45" t="s">
        <v>55</v>
      </c>
      <c r="FJ8062" s="45" t="s">
        <v>55</v>
      </c>
    </row>
    <row r="8063" spans="153:166" x14ac:dyDescent="0.35">
      <c r="EW8063" t="s">
        <v>6281</v>
      </c>
      <c r="EX8063" s="44" t="s">
        <v>6349</v>
      </c>
      <c r="FF8063" s="45" t="s">
        <v>55</v>
      </c>
      <c r="FJ8063" s="45" t="s">
        <v>55</v>
      </c>
    </row>
    <row r="8064" spans="153:166" x14ac:dyDescent="0.35">
      <c r="EW8064" t="s">
        <v>6281</v>
      </c>
      <c r="EX8064" s="44" t="s">
        <v>6350</v>
      </c>
      <c r="FF8064" s="45" t="s">
        <v>55</v>
      </c>
      <c r="FJ8064" s="45" t="s">
        <v>55</v>
      </c>
    </row>
    <row r="8065" spans="153:166" x14ac:dyDescent="0.35">
      <c r="EW8065" t="s">
        <v>6281</v>
      </c>
      <c r="EX8065" s="44" t="s">
        <v>6351</v>
      </c>
      <c r="FF8065" s="45" t="s">
        <v>55</v>
      </c>
      <c r="FJ8065" s="45" t="s">
        <v>55</v>
      </c>
    </row>
    <row r="8066" spans="153:166" x14ac:dyDescent="0.35">
      <c r="EW8066" t="s">
        <v>6281</v>
      </c>
      <c r="EX8066" s="44" t="s">
        <v>6352</v>
      </c>
      <c r="FF8066" s="45" t="s">
        <v>55</v>
      </c>
      <c r="FJ8066" s="45" t="s">
        <v>55</v>
      </c>
    </row>
    <row r="8067" spans="153:166" x14ac:dyDescent="0.35">
      <c r="EW8067" t="s">
        <v>6281</v>
      </c>
      <c r="EX8067" s="44" t="s">
        <v>6353</v>
      </c>
      <c r="FF8067" s="45" t="s">
        <v>55</v>
      </c>
      <c r="FJ8067" s="45" t="s">
        <v>55</v>
      </c>
    </row>
    <row r="8068" spans="153:166" x14ac:dyDescent="0.35">
      <c r="EW8068" t="s">
        <v>6281</v>
      </c>
      <c r="EX8068" s="44" t="s">
        <v>6354</v>
      </c>
      <c r="FF8068" s="45" t="s">
        <v>55</v>
      </c>
      <c r="FJ8068" s="45" t="s">
        <v>55</v>
      </c>
    </row>
    <row r="8069" spans="153:166" x14ac:dyDescent="0.35">
      <c r="EW8069" t="s">
        <v>6281</v>
      </c>
      <c r="EX8069" s="44" t="s">
        <v>6355</v>
      </c>
      <c r="FF8069" s="45" t="s">
        <v>55</v>
      </c>
      <c r="FJ8069" s="45" t="s">
        <v>55</v>
      </c>
    </row>
    <row r="8070" spans="153:166" x14ac:dyDescent="0.35">
      <c r="EW8070" t="s">
        <v>6281</v>
      </c>
      <c r="EX8070" s="44" t="s">
        <v>6356</v>
      </c>
      <c r="FF8070" s="45" t="s">
        <v>55</v>
      </c>
      <c r="FJ8070" s="45" t="s">
        <v>55</v>
      </c>
    </row>
    <row r="8071" spans="153:166" x14ac:dyDescent="0.35">
      <c r="EW8071" t="s">
        <v>6281</v>
      </c>
      <c r="EX8071" s="44" t="s">
        <v>6357</v>
      </c>
      <c r="FF8071" s="45" t="s">
        <v>55</v>
      </c>
      <c r="FJ8071" s="45" t="s">
        <v>55</v>
      </c>
    </row>
    <row r="8072" spans="153:166" x14ac:dyDescent="0.35">
      <c r="EW8072" t="s">
        <v>6281</v>
      </c>
      <c r="EX8072" s="44" t="s">
        <v>6358</v>
      </c>
      <c r="FF8072" s="45" t="s">
        <v>55</v>
      </c>
      <c r="FJ8072" s="45" t="s">
        <v>55</v>
      </c>
    </row>
    <row r="8073" spans="153:166" x14ac:dyDescent="0.35">
      <c r="EW8073" t="s">
        <v>6281</v>
      </c>
      <c r="EX8073" s="44" t="s">
        <v>6359</v>
      </c>
      <c r="FF8073" s="45" t="s">
        <v>55</v>
      </c>
      <c r="FJ8073" s="45" t="s">
        <v>55</v>
      </c>
    </row>
    <row r="8074" spans="153:166" x14ac:dyDescent="0.35">
      <c r="EW8074" t="s">
        <v>6281</v>
      </c>
      <c r="EX8074" s="44" t="s">
        <v>6360</v>
      </c>
      <c r="FF8074" s="45" t="s">
        <v>55</v>
      </c>
      <c r="FJ8074" s="45" t="s">
        <v>55</v>
      </c>
    </row>
    <row r="8075" spans="153:166" x14ac:dyDescent="0.35">
      <c r="EW8075" t="s">
        <v>6281</v>
      </c>
      <c r="EX8075" s="44" t="s">
        <v>6361</v>
      </c>
      <c r="FF8075" s="45" t="s">
        <v>55</v>
      </c>
      <c r="FJ8075" s="45" t="s">
        <v>55</v>
      </c>
    </row>
    <row r="8076" spans="153:166" x14ac:dyDescent="0.35">
      <c r="EW8076" t="s">
        <v>6281</v>
      </c>
      <c r="EX8076" s="44" t="s">
        <v>6362</v>
      </c>
      <c r="FF8076" s="45" t="s">
        <v>55</v>
      </c>
      <c r="FJ8076" s="45" t="s">
        <v>55</v>
      </c>
    </row>
    <row r="8077" spans="153:166" x14ac:dyDescent="0.35">
      <c r="EW8077" t="s">
        <v>6281</v>
      </c>
      <c r="EX8077" s="44" t="s">
        <v>6363</v>
      </c>
      <c r="FF8077" s="45" t="s">
        <v>55</v>
      </c>
      <c r="FJ8077" s="45" t="s">
        <v>55</v>
      </c>
    </row>
    <row r="8078" spans="153:166" x14ac:dyDescent="0.35">
      <c r="EW8078" t="s">
        <v>6281</v>
      </c>
      <c r="EX8078" s="44" t="s">
        <v>6364</v>
      </c>
      <c r="FF8078" s="45" t="s">
        <v>55</v>
      </c>
      <c r="FJ8078" s="45" t="s">
        <v>55</v>
      </c>
    </row>
    <row r="8079" spans="153:166" x14ac:dyDescent="0.35">
      <c r="EW8079" t="s">
        <v>6281</v>
      </c>
      <c r="EX8079" s="44" t="s">
        <v>6365</v>
      </c>
      <c r="FF8079" s="45" t="s">
        <v>55</v>
      </c>
      <c r="FJ8079" s="45" t="s">
        <v>55</v>
      </c>
    </row>
    <row r="8080" spans="153:166" x14ac:dyDescent="0.35">
      <c r="EW8080" t="s">
        <v>6281</v>
      </c>
      <c r="EX8080" s="44" t="s">
        <v>6366</v>
      </c>
      <c r="FF8080" s="45" t="s">
        <v>55</v>
      </c>
      <c r="FJ8080" s="45" t="s">
        <v>55</v>
      </c>
    </row>
    <row r="8081" spans="153:166" x14ac:dyDescent="0.35">
      <c r="EW8081" t="s">
        <v>6281</v>
      </c>
      <c r="EX8081" s="44" t="s">
        <v>6367</v>
      </c>
      <c r="FF8081" s="45" t="s">
        <v>55</v>
      </c>
      <c r="FJ8081" s="45" t="s">
        <v>55</v>
      </c>
    </row>
    <row r="8082" spans="153:166" x14ac:dyDescent="0.35">
      <c r="EW8082" t="s">
        <v>6281</v>
      </c>
      <c r="EX8082" s="44" t="s">
        <v>6368</v>
      </c>
      <c r="FF8082" s="45" t="s">
        <v>55</v>
      </c>
      <c r="FJ8082" s="45" t="s">
        <v>55</v>
      </c>
    </row>
    <row r="8083" spans="153:166" x14ac:dyDescent="0.35">
      <c r="EW8083" t="s">
        <v>6281</v>
      </c>
      <c r="EX8083" s="44" t="s">
        <v>6369</v>
      </c>
      <c r="FF8083" s="45" t="s">
        <v>55</v>
      </c>
      <c r="FJ8083" s="45" t="s">
        <v>55</v>
      </c>
    </row>
    <row r="8084" spans="153:166" x14ac:dyDescent="0.35">
      <c r="EW8084" t="s">
        <v>6281</v>
      </c>
      <c r="EX8084" s="44" t="s">
        <v>6370</v>
      </c>
      <c r="FF8084" s="45" t="s">
        <v>55</v>
      </c>
      <c r="FJ8084" s="45" t="s">
        <v>55</v>
      </c>
    </row>
    <row r="8085" spans="153:166" x14ac:dyDescent="0.35">
      <c r="EW8085" t="s">
        <v>6281</v>
      </c>
      <c r="EX8085" s="44" t="s">
        <v>6371</v>
      </c>
      <c r="FF8085" s="45" t="s">
        <v>55</v>
      </c>
      <c r="FJ8085" s="45" t="s">
        <v>55</v>
      </c>
    </row>
    <row r="8086" spans="153:166" x14ac:dyDescent="0.35">
      <c r="EW8086" t="s">
        <v>6281</v>
      </c>
      <c r="EX8086" s="44" t="s">
        <v>6372</v>
      </c>
      <c r="FF8086" s="45" t="s">
        <v>55</v>
      </c>
      <c r="FJ8086" s="45" t="s">
        <v>55</v>
      </c>
    </row>
    <row r="8087" spans="153:166" x14ac:dyDescent="0.35">
      <c r="EW8087" t="s">
        <v>6281</v>
      </c>
      <c r="EX8087" s="44" t="s">
        <v>6373</v>
      </c>
      <c r="FF8087" s="45" t="s">
        <v>55</v>
      </c>
      <c r="FJ8087" s="45" t="s">
        <v>55</v>
      </c>
    </row>
    <row r="8088" spans="153:166" x14ac:dyDescent="0.35">
      <c r="EW8088" t="s">
        <v>6281</v>
      </c>
      <c r="EX8088" s="44" t="s">
        <v>6374</v>
      </c>
      <c r="FF8088" s="45" t="s">
        <v>55</v>
      </c>
      <c r="FJ8088" s="45" t="s">
        <v>55</v>
      </c>
    </row>
    <row r="8089" spans="153:166" x14ac:dyDescent="0.35">
      <c r="EW8089" t="s">
        <v>6281</v>
      </c>
      <c r="EX8089" s="44" t="s">
        <v>6375</v>
      </c>
      <c r="FF8089" s="45" t="s">
        <v>55</v>
      </c>
      <c r="FJ8089" s="45" t="s">
        <v>55</v>
      </c>
    </row>
    <row r="8090" spans="153:166" x14ac:dyDescent="0.35">
      <c r="EW8090" t="s">
        <v>6281</v>
      </c>
      <c r="EX8090" s="44" t="s">
        <v>6376</v>
      </c>
      <c r="FF8090" s="45" t="s">
        <v>55</v>
      </c>
      <c r="FJ8090" s="45" t="s">
        <v>55</v>
      </c>
    </row>
    <row r="8091" spans="153:166" x14ac:dyDescent="0.35">
      <c r="EW8091" t="s">
        <v>6281</v>
      </c>
      <c r="EX8091" s="44" t="s">
        <v>6376</v>
      </c>
      <c r="FF8091" s="45" t="s">
        <v>55</v>
      </c>
      <c r="FJ8091" s="45" t="s">
        <v>55</v>
      </c>
    </row>
    <row r="8092" spans="153:166" x14ac:dyDescent="0.35">
      <c r="EW8092" t="s">
        <v>6281</v>
      </c>
      <c r="EX8092" s="44" t="s">
        <v>6377</v>
      </c>
      <c r="FF8092" s="45" t="s">
        <v>55</v>
      </c>
      <c r="FJ8092" s="45" t="s">
        <v>55</v>
      </c>
    </row>
    <row r="8093" spans="153:166" x14ac:dyDescent="0.35">
      <c r="EW8093" t="s">
        <v>6281</v>
      </c>
      <c r="EX8093" s="44" t="s">
        <v>6378</v>
      </c>
      <c r="FF8093" s="45" t="s">
        <v>55</v>
      </c>
      <c r="FJ8093" s="45" t="s">
        <v>55</v>
      </c>
    </row>
    <row r="8094" spans="153:166" x14ac:dyDescent="0.35">
      <c r="EW8094" t="s">
        <v>6281</v>
      </c>
      <c r="EX8094" s="44" t="s">
        <v>6379</v>
      </c>
      <c r="FF8094" s="45" t="s">
        <v>55</v>
      </c>
      <c r="FJ8094" s="45" t="s">
        <v>55</v>
      </c>
    </row>
    <row r="8095" spans="153:166" x14ac:dyDescent="0.35">
      <c r="EW8095" t="s">
        <v>6281</v>
      </c>
      <c r="EX8095" s="44" t="s">
        <v>6380</v>
      </c>
      <c r="FF8095" s="45" t="s">
        <v>55</v>
      </c>
      <c r="FJ8095" s="45" t="s">
        <v>55</v>
      </c>
    </row>
    <row r="8096" spans="153:166" x14ac:dyDescent="0.35">
      <c r="EW8096" t="s">
        <v>6281</v>
      </c>
      <c r="EX8096" s="44" t="s">
        <v>6381</v>
      </c>
      <c r="FF8096" s="45" t="s">
        <v>55</v>
      </c>
      <c r="FJ8096" s="45" t="s">
        <v>55</v>
      </c>
    </row>
    <row r="8097" spans="153:166" x14ac:dyDescent="0.35">
      <c r="EW8097" t="s">
        <v>6281</v>
      </c>
      <c r="EX8097" s="44" t="s">
        <v>6382</v>
      </c>
      <c r="FF8097" s="45" t="s">
        <v>55</v>
      </c>
      <c r="FJ8097" s="45" t="s">
        <v>55</v>
      </c>
    </row>
    <row r="8098" spans="153:166" x14ac:dyDescent="0.35">
      <c r="EW8098" t="s">
        <v>6281</v>
      </c>
      <c r="EX8098" s="44" t="s">
        <v>6383</v>
      </c>
      <c r="FF8098" s="45" t="s">
        <v>55</v>
      </c>
      <c r="FJ8098" s="45" t="s">
        <v>55</v>
      </c>
    </row>
    <row r="8099" spans="153:166" x14ac:dyDescent="0.35">
      <c r="EW8099" t="s">
        <v>6281</v>
      </c>
      <c r="EX8099" s="44" t="s">
        <v>6384</v>
      </c>
      <c r="FF8099" s="45" t="s">
        <v>55</v>
      </c>
      <c r="FJ8099" s="45" t="s">
        <v>55</v>
      </c>
    </row>
    <row r="8100" spans="153:166" x14ac:dyDescent="0.35">
      <c r="EW8100" t="s">
        <v>6281</v>
      </c>
      <c r="EX8100" s="44" t="s">
        <v>6385</v>
      </c>
      <c r="FF8100" s="45" t="s">
        <v>55</v>
      </c>
      <c r="FJ8100" s="45" t="s">
        <v>55</v>
      </c>
    </row>
    <row r="8101" spans="153:166" x14ac:dyDescent="0.35">
      <c r="EW8101" t="s">
        <v>6281</v>
      </c>
      <c r="EX8101" s="44" t="s">
        <v>6386</v>
      </c>
      <c r="FF8101" s="45" t="s">
        <v>59</v>
      </c>
      <c r="FJ8101" s="45" t="s">
        <v>59</v>
      </c>
    </row>
    <row r="8102" spans="153:166" x14ac:dyDescent="0.35">
      <c r="EW8102" t="s">
        <v>6281</v>
      </c>
      <c r="EX8102" s="44" t="s">
        <v>6387</v>
      </c>
      <c r="FF8102" s="45" t="s">
        <v>59</v>
      </c>
      <c r="FJ8102" s="45" t="s">
        <v>59</v>
      </c>
    </row>
    <row r="8103" spans="153:166" x14ac:dyDescent="0.35">
      <c r="EW8103" t="s">
        <v>6281</v>
      </c>
      <c r="EX8103" s="44" t="s">
        <v>6388</v>
      </c>
      <c r="FF8103" s="45" t="s">
        <v>59</v>
      </c>
      <c r="FJ8103" s="45" t="s">
        <v>59</v>
      </c>
    </row>
    <row r="8104" spans="153:166" x14ac:dyDescent="0.35">
      <c r="EW8104" t="s">
        <v>6281</v>
      </c>
      <c r="EX8104" s="44" t="s">
        <v>6389</v>
      </c>
      <c r="FF8104" s="45" t="s">
        <v>59</v>
      </c>
      <c r="FJ8104" s="45" t="s">
        <v>59</v>
      </c>
    </row>
    <row r="8105" spans="153:166" x14ac:dyDescent="0.35">
      <c r="EW8105" t="s">
        <v>6281</v>
      </c>
      <c r="EX8105" s="44" t="s">
        <v>6390</v>
      </c>
      <c r="FF8105" s="45" t="s">
        <v>59</v>
      </c>
      <c r="FJ8105" s="45" t="s">
        <v>59</v>
      </c>
    </row>
    <row r="8106" spans="153:166" x14ac:dyDescent="0.35">
      <c r="EW8106" t="s">
        <v>6281</v>
      </c>
      <c r="EX8106" s="44" t="s">
        <v>6391</v>
      </c>
      <c r="FF8106" s="45" t="s">
        <v>59</v>
      </c>
      <c r="FJ8106" s="45" t="s">
        <v>59</v>
      </c>
    </row>
    <row r="8107" spans="153:166" x14ac:dyDescent="0.35">
      <c r="EW8107" t="s">
        <v>6281</v>
      </c>
      <c r="EX8107" s="44" t="s">
        <v>6392</v>
      </c>
      <c r="FF8107" s="45" t="s">
        <v>59</v>
      </c>
      <c r="FJ8107" s="45" t="s">
        <v>59</v>
      </c>
    </row>
    <row r="8108" spans="153:166" x14ac:dyDescent="0.35">
      <c r="EW8108" t="s">
        <v>6281</v>
      </c>
      <c r="EX8108" s="44" t="s">
        <v>6393</v>
      </c>
      <c r="FF8108" s="45" t="s">
        <v>59</v>
      </c>
      <c r="FJ8108" s="45" t="s">
        <v>59</v>
      </c>
    </row>
    <row r="8109" spans="153:166" x14ac:dyDescent="0.35">
      <c r="EW8109" t="s">
        <v>6281</v>
      </c>
      <c r="EX8109" s="44" t="s">
        <v>6394</v>
      </c>
      <c r="FF8109" s="45" t="s">
        <v>59</v>
      </c>
      <c r="FJ8109" s="45" t="s">
        <v>59</v>
      </c>
    </row>
    <row r="8110" spans="153:166" x14ac:dyDescent="0.35">
      <c r="EW8110" t="s">
        <v>6281</v>
      </c>
      <c r="EX8110" s="44" t="s">
        <v>6395</v>
      </c>
      <c r="FF8110" s="45" t="s">
        <v>59</v>
      </c>
      <c r="FJ8110" s="45" t="s">
        <v>59</v>
      </c>
    </row>
    <row r="8111" spans="153:166" x14ac:dyDescent="0.35">
      <c r="EW8111" t="s">
        <v>6281</v>
      </c>
      <c r="EX8111" s="44" t="s">
        <v>6396</v>
      </c>
      <c r="FF8111" s="45" t="s">
        <v>59</v>
      </c>
      <c r="FJ8111" s="45" t="s">
        <v>59</v>
      </c>
    </row>
    <row r="8112" spans="153:166" x14ac:dyDescent="0.35">
      <c r="EW8112" t="s">
        <v>6281</v>
      </c>
      <c r="EX8112" s="44" t="s">
        <v>6397</v>
      </c>
      <c r="FF8112" s="45" t="s">
        <v>59</v>
      </c>
      <c r="FJ8112" s="45" t="s">
        <v>59</v>
      </c>
    </row>
    <row r="8113" spans="153:166" x14ac:dyDescent="0.35">
      <c r="EW8113" t="s">
        <v>6281</v>
      </c>
      <c r="EX8113" s="44" t="s">
        <v>6398</v>
      </c>
      <c r="FF8113" s="45" t="s">
        <v>59</v>
      </c>
      <c r="FJ8113" s="45" t="s">
        <v>59</v>
      </c>
    </row>
    <row r="8114" spans="153:166" x14ac:dyDescent="0.35">
      <c r="EW8114" t="s">
        <v>6281</v>
      </c>
      <c r="EX8114" s="44" t="s">
        <v>6399</v>
      </c>
      <c r="FF8114" s="45" t="s">
        <v>59</v>
      </c>
      <c r="FJ8114" s="45" t="s">
        <v>59</v>
      </c>
    </row>
    <row r="8115" spans="153:166" x14ac:dyDescent="0.35">
      <c r="EW8115" t="s">
        <v>6281</v>
      </c>
      <c r="EX8115" s="44" t="s">
        <v>6400</v>
      </c>
      <c r="FF8115" s="45" t="s">
        <v>59</v>
      </c>
      <c r="FJ8115" s="45" t="s">
        <v>59</v>
      </c>
    </row>
    <row r="8116" spans="153:166" x14ac:dyDescent="0.35">
      <c r="EW8116" t="s">
        <v>6281</v>
      </c>
      <c r="EX8116" s="44" t="s">
        <v>6401</v>
      </c>
      <c r="FF8116" s="45" t="s">
        <v>59</v>
      </c>
      <c r="FJ8116" s="45" t="s">
        <v>59</v>
      </c>
    </row>
    <row r="8117" spans="153:166" x14ac:dyDescent="0.35">
      <c r="EW8117" t="s">
        <v>6281</v>
      </c>
      <c r="EX8117" s="44" t="s">
        <v>6402</v>
      </c>
      <c r="FF8117" s="45" t="s">
        <v>59</v>
      </c>
      <c r="FJ8117" s="45" t="s">
        <v>59</v>
      </c>
    </row>
    <row r="8118" spans="153:166" x14ac:dyDescent="0.35">
      <c r="EW8118" t="s">
        <v>6281</v>
      </c>
      <c r="EX8118" s="44" t="s">
        <v>6403</v>
      </c>
      <c r="FF8118" s="45" t="s">
        <v>59</v>
      </c>
      <c r="FJ8118" s="45" t="s">
        <v>59</v>
      </c>
    </row>
    <row r="8119" spans="153:166" x14ac:dyDescent="0.35">
      <c r="EW8119" t="s">
        <v>6281</v>
      </c>
      <c r="EX8119" s="44" t="s">
        <v>6404</v>
      </c>
      <c r="FF8119" s="45" t="s">
        <v>59</v>
      </c>
      <c r="FJ8119" s="45" t="s">
        <v>59</v>
      </c>
    </row>
    <row r="8120" spans="153:166" x14ac:dyDescent="0.35">
      <c r="EW8120" t="s">
        <v>6281</v>
      </c>
      <c r="EX8120" s="44" t="s">
        <v>6405</v>
      </c>
      <c r="FF8120" s="45" t="s">
        <v>59</v>
      </c>
      <c r="FJ8120" s="45" t="s">
        <v>59</v>
      </c>
    </row>
    <row r="8121" spans="153:166" x14ac:dyDescent="0.35">
      <c r="EW8121" t="s">
        <v>6281</v>
      </c>
      <c r="EX8121" s="44" t="s">
        <v>6406</v>
      </c>
      <c r="FF8121" s="45" t="s">
        <v>59</v>
      </c>
      <c r="FJ8121" s="45" t="s">
        <v>59</v>
      </c>
    </row>
    <row r="8122" spans="153:166" x14ac:dyDescent="0.35">
      <c r="EW8122" t="s">
        <v>6281</v>
      </c>
      <c r="EX8122" s="44" t="s">
        <v>6407</v>
      </c>
      <c r="FF8122" s="45" t="s">
        <v>59</v>
      </c>
      <c r="FJ8122" s="45" t="s">
        <v>59</v>
      </c>
    </row>
    <row r="8123" spans="153:166" x14ac:dyDescent="0.35">
      <c r="EW8123" t="s">
        <v>6281</v>
      </c>
      <c r="EX8123" s="44" t="s">
        <v>6408</v>
      </c>
      <c r="FF8123" s="45" t="s">
        <v>59</v>
      </c>
      <c r="FJ8123" s="45" t="s">
        <v>59</v>
      </c>
    </row>
    <row r="8124" spans="153:166" x14ac:dyDescent="0.35">
      <c r="EW8124" t="s">
        <v>6281</v>
      </c>
      <c r="EX8124" s="44" t="s">
        <v>6409</v>
      </c>
      <c r="FF8124" s="45" t="s">
        <v>59</v>
      </c>
      <c r="FJ8124" s="45" t="s">
        <v>59</v>
      </c>
    </row>
    <row r="8125" spans="153:166" x14ac:dyDescent="0.35">
      <c r="EW8125" t="s">
        <v>6281</v>
      </c>
      <c r="EX8125" s="44" t="s">
        <v>6410</v>
      </c>
      <c r="FF8125" s="45" t="s">
        <v>59</v>
      </c>
      <c r="FJ8125" s="45" t="s">
        <v>59</v>
      </c>
    </row>
    <row r="8126" spans="153:166" x14ac:dyDescent="0.35">
      <c r="EW8126" t="s">
        <v>6281</v>
      </c>
      <c r="EX8126" s="44" t="s">
        <v>6411</v>
      </c>
      <c r="FF8126" s="45" t="s">
        <v>59</v>
      </c>
      <c r="FJ8126" s="45" t="s">
        <v>59</v>
      </c>
    </row>
    <row r="8127" spans="153:166" x14ac:dyDescent="0.35">
      <c r="EW8127" t="s">
        <v>6281</v>
      </c>
      <c r="EX8127" s="44" t="s">
        <v>6412</v>
      </c>
      <c r="FF8127" s="45" t="s">
        <v>59</v>
      </c>
      <c r="FJ8127" s="45" t="s">
        <v>59</v>
      </c>
    </row>
    <row r="8128" spans="153:166" x14ac:dyDescent="0.35">
      <c r="EW8128" t="s">
        <v>6281</v>
      </c>
      <c r="EX8128" s="44" t="s">
        <v>6413</v>
      </c>
      <c r="FF8128" s="45" t="s">
        <v>59</v>
      </c>
      <c r="FJ8128" s="45" t="s">
        <v>59</v>
      </c>
    </row>
    <row r="8129" spans="153:166" x14ac:dyDescent="0.35">
      <c r="EW8129" t="s">
        <v>6281</v>
      </c>
      <c r="EX8129" s="44" t="s">
        <v>6414</v>
      </c>
      <c r="FF8129" s="45" t="s">
        <v>59</v>
      </c>
      <c r="FJ8129" s="45" t="s">
        <v>59</v>
      </c>
    </row>
    <row r="8130" spans="153:166" x14ac:dyDescent="0.35">
      <c r="EW8130" t="s">
        <v>6281</v>
      </c>
      <c r="EX8130" s="44" t="s">
        <v>6415</v>
      </c>
      <c r="FF8130" s="45" t="s">
        <v>59</v>
      </c>
      <c r="FJ8130" s="45" t="s">
        <v>59</v>
      </c>
    </row>
    <row r="8131" spans="153:166" x14ac:dyDescent="0.35">
      <c r="EW8131" t="s">
        <v>6281</v>
      </c>
      <c r="EX8131" s="44" t="s">
        <v>6416</v>
      </c>
      <c r="FF8131" s="45" t="s">
        <v>59</v>
      </c>
      <c r="FJ8131" s="45" t="s">
        <v>59</v>
      </c>
    </row>
    <row r="8132" spans="153:166" x14ac:dyDescent="0.35">
      <c r="EW8132" t="s">
        <v>6281</v>
      </c>
      <c r="EX8132" s="44" t="s">
        <v>6417</v>
      </c>
      <c r="FF8132" s="45" t="s">
        <v>59</v>
      </c>
      <c r="FJ8132" s="45" t="s">
        <v>59</v>
      </c>
    </row>
    <row r="8133" spans="153:166" x14ac:dyDescent="0.35">
      <c r="EW8133" t="s">
        <v>6281</v>
      </c>
      <c r="EX8133" s="44" t="s">
        <v>6418</v>
      </c>
      <c r="FF8133" s="45" t="s">
        <v>59</v>
      </c>
      <c r="FJ8133" s="45" t="s">
        <v>59</v>
      </c>
    </row>
    <row r="8134" spans="153:166" x14ac:dyDescent="0.35">
      <c r="EW8134" t="s">
        <v>6281</v>
      </c>
      <c r="EX8134" s="44" t="s">
        <v>6419</v>
      </c>
      <c r="FF8134" s="45" t="s">
        <v>59</v>
      </c>
      <c r="FJ8134" s="45" t="s">
        <v>59</v>
      </c>
    </row>
    <row r="8135" spans="153:166" x14ac:dyDescent="0.35">
      <c r="EW8135" t="s">
        <v>6281</v>
      </c>
      <c r="EX8135" s="44" t="s">
        <v>6420</v>
      </c>
      <c r="FF8135" s="45" t="s">
        <v>59</v>
      </c>
      <c r="FJ8135" s="45" t="s">
        <v>59</v>
      </c>
    </row>
    <row r="8136" spans="153:166" x14ac:dyDescent="0.35">
      <c r="EW8136" t="s">
        <v>6281</v>
      </c>
      <c r="EX8136" s="44" t="s">
        <v>6421</v>
      </c>
      <c r="FF8136" s="45" t="s">
        <v>59</v>
      </c>
      <c r="FJ8136" s="45" t="s">
        <v>59</v>
      </c>
    </row>
    <row r="8137" spans="153:166" x14ac:dyDescent="0.35">
      <c r="EW8137" t="s">
        <v>6281</v>
      </c>
      <c r="EX8137" s="44" t="s">
        <v>6422</v>
      </c>
      <c r="FF8137" s="45" t="s">
        <v>59</v>
      </c>
      <c r="FJ8137" s="45" t="s">
        <v>59</v>
      </c>
    </row>
    <row r="8138" spans="153:166" x14ac:dyDescent="0.35">
      <c r="EW8138" t="s">
        <v>6281</v>
      </c>
      <c r="EX8138" s="44" t="s">
        <v>6423</v>
      </c>
      <c r="FF8138" s="45" t="s">
        <v>59</v>
      </c>
      <c r="FJ8138" s="45" t="s">
        <v>59</v>
      </c>
    </row>
    <row r="8139" spans="153:166" x14ac:dyDescent="0.35">
      <c r="EW8139" t="s">
        <v>6281</v>
      </c>
      <c r="EX8139" s="44" t="s">
        <v>6424</v>
      </c>
      <c r="FF8139" s="45" t="s">
        <v>59</v>
      </c>
      <c r="FJ8139" s="45" t="s">
        <v>59</v>
      </c>
    </row>
    <row r="8140" spans="153:166" x14ac:dyDescent="0.35">
      <c r="EW8140" t="s">
        <v>6281</v>
      </c>
      <c r="EX8140" s="44" t="s">
        <v>6425</v>
      </c>
      <c r="FF8140" s="45" t="s">
        <v>59</v>
      </c>
      <c r="FJ8140" s="45" t="s">
        <v>59</v>
      </c>
    </row>
    <row r="8141" spans="153:166" x14ac:dyDescent="0.35">
      <c r="EW8141" t="s">
        <v>6281</v>
      </c>
      <c r="EX8141" s="44" t="s">
        <v>6426</v>
      </c>
      <c r="FF8141" s="45" t="s">
        <v>59</v>
      </c>
      <c r="FJ8141" s="45" t="s">
        <v>59</v>
      </c>
    </row>
    <row r="8142" spans="153:166" x14ac:dyDescent="0.35">
      <c r="EW8142" t="s">
        <v>6281</v>
      </c>
      <c r="EX8142" s="44" t="s">
        <v>6280</v>
      </c>
      <c r="FF8142" s="45" t="s">
        <v>59</v>
      </c>
      <c r="FJ8142" s="45" t="s">
        <v>59</v>
      </c>
    </row>
    <row r="8143" spans="153:166" x14ac:dyDescent="0.35">
      <c r="EW8143" t="s">
        <v>6281</v>
      </c>
      <c r="EX8143" s="44" t="s">
        <v>6427</v>
      </c>
      <c r="FF8143" s="45" t="s">
        <v>59</v>
      </c>
      <c r="FJ8143" s="45" t="s">
        <v>59</v>
      </c>
    </row>
    <row r="8144" spans="153:166" x14ac:dyDescent="0.35">
      <c r="EW8144" t="s">
        <v>6281</v>
      </c>
      <c r="EX8144" s="44" t="s">
        <v>6428</v>
      </c>
      <c r="FF8144" s="45" t="s">
        <v>59</v>
      </c>
      <c r="FJ8144" s="45" t="s">
        <v>59</v>
      </c>
    </row>
    <row r="8145" spans="153:166" x14ac:dyDescent="0.35">
      <c r="EW8145" t="s">
        <v>6281</v>
      </c>
      <c r="EX8145" s="44" t="s">
        <v>6429</v>
      </c>
      <c r="FF8145" s="45" t="s">
        <v>59</v>
      </c>
      <c r="FJ8145" s="45" t="s">
        <v>59</v>
      </c>
    </row>
    <row r="8146" spans="153:166" x14ac:dyDescent="0.35">
      <c r="EW8146" t="s">
        <v>6281</v>
      </c>
      <c r="EX8146" s="44" t="s">
        <v>6430</v>
      </c>
      <c r="FF8146" s="45" t="s">
        <v>59</v>
      </c>
      <c r="FJ8146" s="45" t="s">
        <v>59</v>
      </c>
    </row>
    <row r="8147" spans="153:166" x14ac:dyDescent="0.35">
      <c r="EW8147" t="s">
        <v>6281</v>
      </c>
      <c r="EX8147" s="44" t="s">
        <v>6431</v>
      </c>
      <c r="FF8147" s="45" t="s">
        <v>59</v>
      </c>
      <c r="FJ8147" s="45" t="s">
        <v>59</v>
      </c>
    </row>
    <row r="8148" spans="153:166" x14ac:dyDescent="0.35">
      <c r="EW8148" t="s">
        <v>6281</v>
      </c>
      <c r="EX8148" s="44" t="s">
        <v>6432</v>
      </c>
      <c r="FF8148" s="45" t="s">
        <v>474</v>
      </c>
      <c r="FJ8148" s="45" t="s">
        <v>474</v>
      </c>
    </row>
    <row r="8149" spans="153:166" x14ac:dyDescent="0.35">
      <c r="EW8149" t="s">
        <v>6281</v>
      </c>
      <c r="EX8149" s="44" t="s">
        <v>6433</v>
      </c>
      <c r="FF8149" s="45" t="s">
        <v>474</v>
      </c>
      <c r="FJ8149" s="45" t="s">
        <v>474</v>
      </c>
    </row>
    <row r="8150" spans="153:166" x14ac:dyDescent="0.35">
      <c r="EW8150" t="s">
        <v>6281</v>
      </c>
      <c r="EX8150" s="44" t="s">
        <v>6434</v>
      </c>
      <c r="FF8150" s="45" t="s">
        <v>474</v>
      </c>
      <c r="FJ8150" s="45" t="s">
        <v>474</v>
      </c>
    </row>
    <row r="8151" spans="153:166" x14ac:dyDescent="0.35">
      <c r="EW8151" t="s">
        <v>6281</v>
      </c>
      <c r="EX8151" s="44" t="s">
        <v>6435</v>
      </c>
      <c r="FF8151" s="45" t="s">
        <v>474</v>
      </c>
      <c r="FJ8151" s="45" t="s">
        <v>474</v>
      </c>
    </row>
    <row r="8152" spans="153:166" x14ac:dyDescent="0.35">
      <c r="EW8152" t="s">
        <v>6281</v>
      </c>
      <c r="EX8152" s="44" t="s">
        <v>6436</v>
      </c>
      <c r="FF8152" s="45" t="s">
        <v>474</v>
      </c>
      <c r="FJ8152" s="45" t="s">
        <v>474</v>
      </c>
    </row>
    <row r="8153" spans="153:166" x14ac:dyDescent="0.35">
      <c r="EW8153" t="s">
        <v>6281</v>
      </c>
      <c r="EX8153" s="44" t="s">
        <v>6437</v>
      </c>
      <c r="FF8153" s="45" t="s">
        <v>474</v>
      </c>
      <c r="FJ8153" s="45" t="s">
        <v>474</v>
      </c>
    </row>
    <row r="8154" spans="153:166" x14ac:dyDescent="0.35">
      <c r="EW8154" t="s">
        <v>6281</v>
      </c>
      <c r="EX8154" s="44" t="s">
        <v>6438</v>
      </c>
      <c r="FF8154" s="45" t="s">
        <v>474</v>
      </c>
      <c r="FJ8154" s="45" t="s">
        <v>474</v>
      </c>
    </row>
    <row r="8155" spans="153:166" x14ac:dyDescent="0.35">
      <c r="EW8155" t="s">
        <v>6281</v>
      </c>
      <c r="EX8155" s="44" t="s">
        <v>6439</v>
      </c>
      <c r="FF8155" s="45" t="s">
        <v>474</v>
      </c>
      <c r="FJ8155" s="45" t="s">
        <v>474</v>
      </c>
    </row>
    <row r="8156" spans="153:166" x14ac:dyDescent="0.35">
      <c r="EW8156" t="s">
        <v>6281</v>
      </c>
      <c r="EX8156" s="44" t="s">
        <v>6440</v>
      </c>
      <c r="FF8156" s="45" t="s">
        <v>474</v>
      </c>
      <c r="FJ8156" s="45" t="s">
        <v>474</v>
      </c>
    </row>
    <row r="8157" spans="153:166" x14ac:dyDescent="0.35">
      <c r="EW8157" t="s">
        <v>6281</v>
      </c>
      <c r="EX8157" s="44" t="s">
        <v>6441</v>
      </c>
      <c r="FF8157" s="45" t="s">
        <v>474</v>
      </c>
      <c r="FJ8157" s="45" t="s">
        <v>474</v>
      </c>
    </row>
    <row r="8158" spans="153:166" x14ac:dyDescent="0.35">
      <c r="EW8158" t="s">
        <v>6281</v>
      </c>
      <c r="EX8158" s="44" t="s">
        <v>6442</v>
      </c>
      <c r="FF8158" s="45" t="s">
        <v>474</v>
      </c>
      <c r="FJ8158" s="45" t="s">
        <v>474</v>
      </c>
    </row>
    <row r="8159" spans="153:166" x14ac:dyDescent="0.35">
      <c r="EW8159" t="s">
        <v>6281</v>
      </c>
      <c r="EX8159" s="44" t="s">
        <v>6443</v>
      </c>
      <c r="FF8159" s="45" t="s">
        <v>474</v>
      </c>
      <c r="FJ8159" s="45" t="s">
        <v>474</v>
      </c>
    </row>
    <row r="8160" spans="153:166" x14ac:dyDescent="0.35">
      <c r="EW8160" t="s">
        <v>6281</v>
      </c>
      <c r="EX8160" s="44" t="s">
        <v>6444</v>
      </c>
      <c r="FF8160" s="45" t="s">
        <v>474</v>
      </c>
      <c r="FJ8160" s="45" t="s">
        <v>474</v>
      </c>
    </row>
    <row r="8161" spans="153:166" x14ac:dyDescent="0.35">
      <c r="EW8161" t="s">
        <v>6281</v>
      </c>
      <c r="EX8161" s="44" t="s">
        <v>6445</v>
      </c>
      <c r="FF8161" s="45" t="s">
        <v>474</v>
      </c>
      <c r="FJ8161" s="45" t="s">
        <v>474</v>
      </c>
    </row>
    <row r="8162" spans="153:166" x14ac:dyDescent="0.35">
      <c r="EW8162" t="s">
        <v>6281</v>
      </c>
      <c r="EX8162" s="44" t="s">
        <v>6446</v>
      </c>
      <c r="FF8162" s="45" t="s">
        <v>474</v>
      </c>
      <c r="FJ8162" s="45" t="s">
        <v>474</v>
      </c>
    </row>
    <row r="8163" spans="153:166" x14ac:dyDescent="0.35">
      <c r="EW8163" t="s">
        <v>6281</v>
      </c>
      <c r="EX8163" s="44" t="s">
        <v>6447</v>
      </c>
      <c r="FF8163" s="45" t="s">
        <v>474</v>
      </c>
      <c r="FJ8163" s="45" t="s">
        <v>474</v>
      </c>
    </row>
    <row r="8164" spans="153:166" x14ac:dyDescent="0.35">
      <c r="EW8164" t="s">
        <v>6281</v>
      </c>
      <c r="EX8164" s="44" t="s">
        <v>6448</v>
      </c>
      <c r="FF8164" s="45" t="s">
        <v>474</v>
      </c>
      <c r="FJ8164" s="45" t="s">
        <v>474</v>
      </c>
    </row>
    <row r="8165" spans="153:166" x14ac:dyDescent="0.35">
      <c r="EW8165" t="s">
        <v>6281</v>
      </c>
      <c r="EX8165" s="44" t="s">
        <v>6449</v>
      </c>
      <c r="FF8165" s="45" t="s">
        <v>474</v>
      </c>
      <c r="FJ8165" s="45" t="s">
        <v>474</v>
      </c>
    </row>
    <row r="8166" spans="153:166" x14ac:dyDescent="0.35">
      <c r="EW8166" t="s">
        <v>6281</v>
      </c>
      <c r="EX8166" s="44" t="s">
        <v>6450</v>
      </c>
      <c r="FF8166" s="45" t="s">
        <v>474</v>
      </c>
      <c r="FJ8166" s="45" t="s">
        <v>474</v>
      </c>
    </row>
    <row r="8167" spans="153:166" x14ac:dyDescent="0.35">
      <c r="EW8167" t="s">
        <v>6281</v>
      </c>
      <c r="EX8167" s="44" t="s">
        <v>6451</v>
      </c>
      <c r="FF8167" s="45" t="s">
        <v>474</v>
      </c>
      <c r="FJ8167" s="45" t="s">
        <v>474</v>
      </c>
    </row>
    <row r="8168" spans="153:166" x14ac:dyDescent="0.35">
      <c r="EW8168" t="s">
        <v>6281</v>
      </c>
      <c r="EX8168" s="44" t="s">
        <v>6452</v>
      </c>
      <c r="FF8168" s="45" t="s">
        <v>474</v>
      </c>
      <c r="FJ8168" s="45" t="s">
        <v>474</v>
      </c>
    </row>
    <row r="8169" spans="153:166" x14ac:dyDescent="0.35">
      <c r="EW8169" t="s">
        <v>6281</v>
      </c>
      <c r="EX8169" s="44" t="s">
        <v>6453</v>
      </c>
      <c r="FF8169" s="45" t="s">
        <v>474</v>
      </c>
      <c r="FJ8169" s="45" t="s">
        <v>474</v>
      </c>
    </row>
    <row r="8170" spans="153:166" x14ac:dyDescent="0.35">
      <c r="EW8170" t="s">
        <v>6281</v>
      </c>
      <c r="EX8170" s="44" t="s">
        <v>6454</v>
      </c>
      <c r="FF8170" s="45" t="s">
        <v>474</v>
      </c>
      <c r="FJ8170" s="45" t="s">
        <v>474</v>
      </c>
    </row>
    <row r="8171" spans="153:166" x14ac:dyDescent="0.35">
      <c r="EW8171" t="s">
        <v>6281</v>
      </c>
      <c r="EX8171" s="44" t="s">
        <v>6455</v>
      </c>
      <c r="FF8171" s="45" t="s">
        <v>474</v>
      </c>
      <c r="FJ8171" s="45" t="s">
        <v>474</v>
      </c>
    </row>
    <row r="8172" spans="153:166" x14ac:dyDescent="0.35">
      <c r="EW8172" t="s">
        <v>6281</v>
      </c>
      <c r="EX8172" s="44" t="s">
        <v>6456</v>
      </c>
      <c r="FF8172" s="45" t="s">
        <v>474</v>
      </c>
      <c r="FJ8172" s="45" t="s">
        <v>474</v>
      </c>
    </row>
    <row r="8173" spans="153:166" x14ac:dyDescent="0.35">
      <c r="EW8173" t="s">
        <v>6281</v>
      </c>
      <c r="EX8173" s="44" t="s">
        <v>6457</v>
      </c>
      <c r="FF8173" s="45" t="s">
        <v>474</v>
      </c>
      <c r="FJ8173" s="45" t="s">
        <v>474</v>
      </c>
    </row>
    <row r="8174" spans="153:166" x14ac:dyDescent="0.35">
      <c r="EW8174" t="s">
        <v>6281</v>
      </c>
      <c r="EX8174" s="44" t="s">
        <v>6458</v>
      </c>
      <c r="FF8174" s="45" t="s">
        <v>474</v>
      </c>
      <c r="FJ8174" s="45" t="s">
        <v>474</v>
      </c>
    </row>
    <row r="8175" spans="153:166" x14ac:dyDescent="0.35">
      <c r="EW8175" t="s">
        <v>6281</v>
      </c>
      <c r="EX8175" s="44" t="s">
        <v>6459</v>
      </c>
      <c r="FF8175" s="45" t="s">
        <v>474</v>
      </c>
      <c r="FJ8175" s="45" t="s">
        <v>474</v>
      </c>
    </row>
    <row r="8176" spans="153:166" x14ac:dyDescent="0.35">
      <c r="EW8176" t="s">
        <v>6281</v>
      </c>
      <c r="EX8176" s="44" t="s">
        <v>6460</v>
      </c>
      <c r="FF8176" s="45" t="s">
        <v>474</v>
      </c>
      <c r="FJ8176" s="45" t="s">
        <v>474</v>
      </c>
    </row>
    <row r="8177" spans="153:166" x14ac:dyDescent="0.35">
      <c r="EW8177" t="s">
        <v>6281</v>
      </c>
      <c r="EX8177" s="44" t="s">
        <v>6461</v>
      </c>
      <c r="FF8177" s="45" t="s">
        <v>474</v>
      </c>
      <c r="FJ8177" s="45" t="s">
        <v>474</v>
      </c>
    </row>
    <row r="8178" spans="153:166" x14ac:dyDescent="0.35">
      <c r="EW8178" t="s">
        <v>6281</v>
      </c>
      <c r="EX8178" s="44" t="s">
        <v>6462</v>
      </c>
      <c r="FF8178" s="45" t="s">
        <v>474</v>
      </c>
      <c r="FJ8178" s="45" t="s">
        <v>474</v>
      </c>
    </row>
    <row r="8179" spans="153:166" x14ac:dyDescent="0.35">
      <c r="EW8179" t="s">
        <v>6281</v>
      </c>
      <c r="EX8179" s="44" t="s">
        <v>6463</v>
      </c>
      <c r="FF8179" s="45" t="s">
        <v>474</v>
      </c>
      <c r="FJ8179" s="45" t="s">
        <v>474</v>
      </c>
    </row>
    <row r="8180" spans="153:166" x14ac:dyDescent="0.35">
      <c r="EW8180" t="s">
        <v>6281</v>
      </c>
      <c r="EX8180" s="44" t="s">
        <v>6464</v>
      </c>
      <c r="FF8180" s="45" t="s">
        <v>474</v>
      </c>
      <c r="FJ8180" s="45" t="s">
        <v>474</v>
      </c>
    </row>
    <row r="8181" spans="153:166" x14ac:dyDescent="0.35">
      <c r="EW8181" t="s">
        <v>6281</v>
      </c>
      <c r="EX8181" s="44" t="s">
        <v>6465</v>
      </c>
      <c r="FF8181" s="45" t="s">
        <v>474</v>
      </c>
      <c r="FJ8181" s="45" t="s">
        <v>474</v>
      </c>
    </row>
    <row r="8182" spans="153:166" x14ac:dyDescent="0.35">
      <c r="EW8182" t="s">
        <v>6281</v>
      </c>
      <c r="EX8182" s="44" t="s">
        <v>6466</v>
      </c>
      <c r="FF8182" s="45" t="s">
        <v>474</v>
      </c>
      <c r="FJ8182" s="45" t="s">
        <v>474</v>
      </c>
    </row>
    <row r="8183" spans="153:166" x14ac:dyDescent="0.35">
      <c r="EW8183" t="s">
        <v>6281</v>
      </c>
      <c r="EX8183" s="44" t="s">
        <v>6467</v>
      </c>
      <c r="FF8183" s="45" t="s">
        <v>474</v>
      </c>
      <c r="FJ8183" s="45" t="s">
        <v>474</v>
      </c>
    </row>
    <row r="8184" spans="153:166" x14ac:dyDescent="0.35">
      <c r="EW8184" t="s">
        <v>6281</v>
      </c>
      <c r="EX8184" s="44" t="s">
        <v>6468</v>
      </c>
      <c r="FF8184" s="45" t="s">
        <v>474</v>
      </c>
      <c r="FJ8184" s="45" t="s">
        <v>474</v>
      </c>
    </row>
    <row r="8185" spans="153:166" x14ac:dyDescent="0.35">
      <c r="EW8185" t="s">
        <v>6281</v>
      </c>
      <c r="EX8185" s="44" t="s">
        <v>6469</v>
      </c>
      <c r="FF8185" s="45" t="s">
        <v>474</v>
      </c>
      <c r="FJ8185" s="45" t="s">
        <v>474</v>
      </c>
    </row>
    <row r="8186" spans="153:166" x14ac:dyDescent="0.35">
      <c r="EW8186" t="s">
        <v>6281</v>
      </c>
      <c r="EX8186" s="44" t="s">
        <v>6470</v>
      </c>
      <c r="FF8186" s="45" t="s">
        <v>474</v>
      </c>
      <c r="FJ8186" s="45" t="s">
        <v>474</v>
      </c>
    </row>
    <row r="8187" spans="153:166" x14ac:dyDescent="0.35">
      <c r="EW8187" t="s">
        <v>6281</v>
      </c>
      <c r="EX8187" s="44" t="s">
        <v>6471</v>
      </c>
      <c r="FF8187" s="45" t="s">
        <v>474</v>
      </c>
      <c r="FJ8187" s="45" t="s">
        <v>474</v>
      </c>
    </row>
    <row r="8188" spans="153:166" x14ac:dyDescent="0.35">
      <c r="EW8188" t="s">
        <v>6281</v>
      </c>
      <c r="EX8188" s="44" t="s">
        <v>6472</v>
      </c>
      <c r="FF8188" s="45" t="s">
        <v>474</v>
      </c>
      <c r="FJ8188" s="45" t="s">
        <v>474</v>
      </c>
    </row>
    <row r="8189" spans="153:166" x14ac:dyDescent="0.35">
      <c r="EW8189" t="s">
        <v>6281</v>
      </c>
      <c r="EX8189" s="44" t="s">
        <v>6473</v>
      </c>
      <c r="FF8189" s="45" t="s">
        <v>474</v>
      </c>
      <c r="FJ8189" s="45" t="s">
        <v>474</v>
      </c>
    </row>
    <row r="8190" spans="153:166" x14ac:dyDescent="0.35">
      <c r="EW8190" t="s">
        <v>6281</v>
      </c>
      <c r="EX8190" s="44" t="s">
        <v>6474</v>
      </c>
      <c r="FF8190" s="45" t="s">
        <v>474</v>
      </c>
      <c r="FJ8190" s="45" t="s">
        <v>474</v>
      </c>
    </row>
    <row r="8191" spans="153:166" x14ac:dyDescent="0.35">
      <c r="EW8191" t="s">
        <v>6281</v>
      </c>
      <c r="EX8191" s="44" t="s">
        <v>6475</v>
      </c>
      <c r="FF8191" s="45" t="s">
        <v>474</v>
      </c>
      <c r="FJ8191" s="45" t="s">
        <v>474</v>
      </c>
    </row>
    <row r="8192" spans="153:166" x14ac:dyDescent="0.35">
      <c r="EW8192" t="s">
        <v>6281</v>
      </c>
      <c r="EX8192" s="44" t="s">
        <v>6476</v>
      </c>
      <c r="FF8192" s="45" t="s">
        <v>474</v>
      </c>
      <c r="FJ8192" s="45" t="s">
        <v>474</v>
      </c>
    </row>
    <row r="8193" spans="153:166" x14ac:dyDescent="0.35">
      <c r="EW8193" t="s">
        <v>6281</v>
      </c>
      <c r="EX8193" s="44" t="s">
        <v>6477</v>
      </c>
      <c r="FF8193" s="45" t="s">
        <v>474</v>
      </c>
      <c r="FJ8193" s="45" t="s">
        <v>474</v>
      </c>
    </row>
    <row r="8194" spans="153:166" x14ac:dyDescent="0.35">
      <c r="EW8194" t="s">
        <v>6281</v>
      </c>
      <c r="EX8194" s="44" t="s">
        <v>6478</v>
      </c>
      <c r="FF8194" s="45" t="s">
        <v>474</v>
      </c>
      <c r="FJ8194" s="45" t="s">
        <v>474</v>
      </c>
    </row>
    <row r="8195" spans="153:166" x14ac:dyDescent="0.35">
      <c r="EW8195" t="s">
        <v>6281</v>
      </c>
      <c r="EX8195" s="44" t="s">
        <v>6479</v>
      </c>
      <c r="FF8195" s="45" t="s">
        <v>474</v>
      </c>
      <c r="FJ8195" s="45" t="s">
        <v>474</v>
      </c>
    </row>
    <row r="8196" spans="153:166" x14ac:dyDescent="0.35">
      <c r="EW8196" t="s">
        <v>6281</v>
      </c>
      <c r="EX8196" s="44" t="s">
        <v>6480</v>
      </c>
      <c r="FF8196" s="45" t="s">
        <v>474</v>
      </c>
      <c r="FJ8196" s="45" t="s">
        <v>474</v>
      </c>
    </row>
    <row r="8197" spans="153:166" x14ac:dyDescent="0.35">
      <c r="EW8197" t="s">
        <v>6281</v>
      </c>
      <c r="EX8197" s="44" t="s">
        <v>6481</v>
      </c>
      <c r="FF8197" s="45" t="s">
        <v>474</v>
      </c>
      <c r="FJ8197" s="45" t="s">
        <v>474</v>
      </c>
    </row>
    <row r="8198" spans="153:166" x14ac:dyDescent="0.35">
      <c r="EW8198" t="s">
        <v>6281</v>
      </c>
      <c r="EX8198" s="44" t="s">
        <v>6482</v>
      </c>
      <c r="FF8198" s="45" t="s">
        <v>474</v>
      </c>
      <c r="FJ8198" s="45" t="s">
        <v>474</v>
      </c>
    </row>
    <row r="8199" spans="153:166" x14ac:dyDescent="0.35">
      <c r="EW8199" t="s">
        <v>6281</v>
      </c>
      <c r="EX8199" s="44" t="s">
        <v>6483</v>
      </c>
      <c r="FF8199" s="45" t="s">
        <v>474</v>
      </c>
      <c r="FJ8199" s="45" t="s">
        <v>474</v>
      </c>
    </row>
    <row r="8200" spans="153:166" x14ac:dyDescent="0.35">
      <c r="EW8200" t="s">
        <v>6281</v>
      </c>
      <c r="EX8200" s="44" t="s">
        <v>6484</v>
      </c>
      <c r="FF8200" s="45" t="s">
        <v>474</v>
      </c>
      <c r="FJ8200" s="45" t="s">
        <v>474</v>
      </c>
    </row>
    <row r="8201" spans="153:166" x14ac:dyDescent="0.35">
      <c r="EW8201" t="s">
        <v>6281</v>
      </c>
      <c r="EX8201" s="44" t="s">
        <v>6485</v>
      </c>
      <c r="FF8201" s="45" t="s">
        <v>474</v>
      </c>
      <c r="FJ8201" s="45" t="s">
        <v>474</v>
      </c>
    </row>
    <row r="8202" spans="153:166" x14ac:dyDescent="0.35">
      <c r="EW8202" t="s">
        <v>6281</v>
      </c>
      <c r="EX8202" s="44" t="s">
        <v>6486</v>
      </c>
      <c r="FF8202" s="45" t="s">
        <v>474</v>
      </c>
      <c r="FJ8202" s="45" t="s">
        <v>474</v>
      </c>
    </row>
    <row r="8203" spans="153:166" x14ac:dyDescent="0.35">
      <c r="EW8203" t="s">
        <v>6281</v>
      </c>
      <c r="EX8203" s="44" t="s">
        <v>6487</v>
      </c>
      <c r="FF8203" s="45" t="s">
        <v>474</v>
      </c>
      <c r="FJ8203" s="45" t="s">
        <v>474</v>
      </c>
    </row>
    <row r="8204" spans="153:166" x14ac:dyDescent="0.35">
      <c r="EW8204" t="s">
        <v>6281</v>
      </c>
      <c r="EX8204" s="44" t="s">
        <v>6488</v>
      </c>
      <c r="FF8204" s="45" t="s">
        <v>474</v>
      </c>
      <c r="FJ8204" s="45" t="s">
        <v>474</v>
      </c>
    </row>
    <row r="8205" spans="153:166" x14ac:dyDescent="0.35">
      <c r="EW8205" t="s">
        <v>6281</v>
      </c>
      <c r="EX8205" s="44" t="s">
        <v>6489</v>
      </c>
      <c r="FF8205" s="45" t="s">
        <v>474</v>
      </c>
      <c r="FJ8205" s="45" t="s">
        <v>474</v>
      </c>
    </row>
    <row r="8206" spans="153:166" x14ac:dyDescent="0.35">
      <c r="EW8206" t="s">
        <v>6281</v>
      </c>
      <c r="EX8206" s="44" t="s">
        <v>6490</v>
      </c>
      <c r="FF8206" s="45" t="s">
        <v>474</v>
      </c>
      <c r="FJ8206" s="45" t="s">
        <v>474</v>
      </c>
    </row>
    <row r="8207" spans="153:166" x14ac:dyDescent="0.35">
      <c r="EW8207" t="s">
        <v>6281</v>
      </c>
      <c r="EX8207" s="44" t="s">
        <v>6491</v>
      </c>
      <c r="FF8207" s="45" t="s">
        <v>474</v>
      </c>
      <c r="FJ8207" s="45" t="s">
        <v>474</v>
      </c>
    </row>
    <row r="8208" spans="153:166" x14ac:dyDescent="0.35">
      <c r="EW8208" t="s">
        <v>6281</v>
      </c>
      <c r="EX8208" s="44" t="s">
        <v>6492</v>
      </c>
      <c r="FF8208" s="45" t="s">
        <v>474</v>
      </c>
      <c r="FJ8208" s="45" t="s">
        <v>474</v>
      </c>
    </row>
    <row r="8209" spans="153:166" x14ac:dyDescent="0.35">
      <c r="EW8209" t="s">
        <v>6281</v>
      </c>
      <c r="EX8209" s="44" t="s">
        <v>6493</v>
      </c>
      <c r="FF8209" s="45" t="s">
        <v>474</v>
      </c>
      <c r="FJ8209" s="45" t="s">
        <v>474</v>
      </c>
    </row>
    <row r="8210" spans="153:166" x14ac:dyDescent="0.35">
      <c r="EW8210" t="s">
        <v>6281</v>
      </c>
      <c r="EX8210" s="44" t="s">
        <v>6494</v>
      </c>
      <c r="FF8210" s="45" t="s">
        <v>474</v>
      </c>
      <c r="FJ8210" s="45" t="s">
        <v>474</v>
      </c>
    </row>
    <row r="8211" spans="153:166" x14ac:dyDescent="0.35">
      <c r="EW8211" t="s">
        <v>6281</v>
      </c>
      <c r="EX8211" s="44" t="s">
        <v>6495</v>
      </c>
      <c r="FF8211" s="45" t="s">
        <v>474</v>
      </c>
      <c r="FJ8211" s="45" t="s">
        <v>474</v>
      </c>
    </row>
    <row r="8212" spans="153:166" x14ac:dyDescent="0.35">
      <c r="EW8212" t="s">
        <v>6281</v>
      </c>
      <c r="EX8212" s="44" t="s">
        <v>6496</v>
      </c>
      <c r="FF8212" s="45" t="s">
        <v>474</v>
      </c>
      <c r="FJ8212" s="45" t="s">
        <v>474</v>
      </c>
    </row>
    <row r="8213" spans="153:166" x14ac:dyDescent="0.35">
      <c r="EW8213" t="s">
        <v>6281</v>
      </c>
      <c r="EX8213" s="44" t="s">
        <v>6497</v>
      </c>
      <c r="FF8213" s="45" t="s">
        <v>474</v>
      </c>
      <c r="FJ8213" s="45" t="s">
        <v>474</v>
      </c>
    </row>
    <row r="8214" spans="153:166" x14ac:dyDescent="0.35">
      <c r="EW8214" t="s">
        <v>6281</v>
      </c>
      <c r="EX8214" s="44" t="s">
        <v>6498</v>
      </c>
      <c r="FF8214" s="45" t="s">
        <v>474</v>
      </c>
      <c r="FJ8214" s="45" t="s">
        <v>474</v>
      </c>
    </row>
    <row r="8215" spans="153:166" x14ac:dyDescent="0.35">
      <c r="EW8215" t="s">
        <v>6281</v>
      </c>
      <c r="EX8215" s="44" t="s">
        <v>6499</v>
      </c>
      <c r="FF8215" s="45" t="s">
        <v>474</v>
      </c>
      <c r="FJ8215" s="45" t="s">
        <v>474</v>
      </c>
    </row>
    <row r="8216" spans="153:166" x14ac:dyDescent="0.35">
      <c r="EW8216" t="s">
        <v>6281</v>
      </c>
      <c r="EX8216" s="44" t="s">
        <v>6500</v>
      </c>
      <c r="FF8216" s="45" t="s">
        <v>474</v>
      </c>
      <c r="FJ8216" s="45" t="s">
        <v>474</v>
      </c>
    </row>
    <row r="8217" spans="153:166" x14ac:dyDescent="0.35">
      <c r="EW8217" t="s">
        <v>6281</v>
      </c>
      <c r="EX8217" s="44" t="s">
        <v>6501</v>
      </c>
      <c r="FF8217" s="45" t="s">
        <v>474</v>
      </c>
      <c r="FJ8217" s="45" t="s">
        <v>474</v>
      </c>
    </row>
    <row r="8218" spans="153:166" x14ac:dyDescent="0.35">
      <c r="EW8218" t="s">
        <v>6281</v>
      </c>
      <c r="EX8218" s="44" t="s">
        <v>6502</v>
      </c>
      <c r="FF8218" s="45" t="s">
        <v>474</v>
      </c>
      <c r="FJ8218" s="45" t="s">
        <v>474</v>
      </c>
    </row>
    <row r="8219" spans="153:166" x14ac:dyDescent="0.35">
      <c r="EW8219" t="s">
        <v>6281</v>
      </c>
      <c r="EX8219" s="44" t="s">
        <v>6503</v>
      </c>
      <c r="FF8219" s="45" t="s">
        <v>474</v>
      </c>
      <c r="FJ8219" s="45" t="s">
        <v>474</v>
      </c>
    </row>
    <row r="8220" spans="153:166" x14ac:dyDescent="0.35">
      <c r="EW8220" t="s">
        <v>6281</v>
      </c>
      <c r="EX8220" s="44" t="s">
        <v>6504</v>
      </c>
      <c r="FF8220" s="45" t="s">
        <v>474</v>
      </c>
      <c r="FJ8220" s="45" t="s">
        <v>474</v>
      </c>
    </row>
    <row r="8221" spans="153:166" x14ac:dyDescent="0.35">
      <c r="EW8221" t="s">
        <v>6281</v>
      </c>
      <c r="EX8221" s="44" t="s">
        <v>6505</v>
      </c>
      <c r="FF8221" s="45" t="s">
        <v>474</v>
      </c>
      <c r="FJ8221" s="45" t="s">
        <v>474</v>
      </c>
    </row>
    <row r="8222" spans="153:166" x14ac:dyDescent="0.35">
      <c r="EW8222" t="s">
        <v>6281</v>
      </c>
      <c r="EX8222" s="44" t="s">
        <v>6506</v>
      </c>
      <c r="FF8222" s="45" t="s">
        <v>474</v>
      </c>
      <c r="FJ8222" s="45" t="s">
        <v>474</v>
      </c>
    </row>
    <row r="8223" spans="153:166" x14ac:dyDescent="0.35">
      <c r="EW8223" t="s">
        <v>6281</v>
      </c>
      <c r="EX8223" s="44" t="s">
        <v>6507</v>
      </c>
      <c r="FF8223" s="45" t="s">
        <v>474</v>
      </c>
      <c r="FJ8223" s="45" t="s">
        <v>474</v>
      </c>
    </row>
    <row r="8224" spans="153:166" x14ac:dyDescent="0.35">
      <c r="EW8224" t="s">
        <v>6281</v>
      </c>
      <c r="EX8224" s="44" t="s">
        <v>6508</v>
      </c>
      <c r="FF8224" s="45" t="s">
        <v>474</v>
      </c>
      <c r="FJ8224" s="45" t="s">
        <v>474</v>
      </c>
    </row>
    <row r="8225" spans="153:166" x14ac:dyDescent="0.35">
      <c r="EW8225" t="s">
        <v>6281</v>
      </c>
      <c r="EX8225" s="44" t="s">
        <v>6509</v>
      </c>
      <c r="FF8225" s="45" t="s">
        <v>474</v>
      </c>
      <c r="FJ8225" s="45" t="s">
        <v>474</v>
      </c>
    </row>
    <row r="8226" spans="153:166" x14ac:dyDescent="0.35">
      <c r="EW8226" t="s">
        <v>6281</v>
      </c>
      <c r="EX8226" s="44" t="s">
        <v>6510</v>
      </c>
      <c r="FF8226" s="45" t="s">
        <v>474</v>
      </c>
      <c r="FJ8226" s="45" t="s">
        <v>474</v>
      </c>
    </row>
    <row r="8227" spans="153:166" x14ac:dyDescent="0.35">
      <c r="EW8227" t="s">
        <v>6281</v>
      </c>
      <c r="EX8227" s="44" t="s">
        <v>6511</v>
      </c>
      <c r="FF8227" s="45" t="s">
        <v>474</v>
      </c>
      <c r="FJ8227" s="45" t="s">
        <v>474</v>
      </c>
    </row>
    <row r="8228" spans="153:166" x14ac:dyDescent="0.35">
      <c r="EW8228" t="s">
        <v>6281</v>
      </c>
      <c r="EX8228" s="44" t="s">
        <v>6512</v>
      </c>
      <c r="FF8228" s="45" t="s">
        <v>474</v>
      </c>
      <c r="FJ8228" s="45" t="s">
        <v>474</v>
      </c>
    </row>
    <row r="8229" spans="153:166" x14ac:dyDescent="0.35">
      <c r="EW8229" t="s">
        <v>6281</v>
      </c>
      <c r="EX8229" s="44" t="s">
        <v>6513</v>
      </c>
      <c r="FF8229" s="45" t="s">
        <v>474</v>
      </c>
      <c r="FJ8229" s="45" t="s">
        <v>474</v>
      </c>
    </row>
    <row r="8230" spans="153:166" x14ac:dyDescent="0.35">
      <c r="EW8230" t="s">
        <v>6281</v>
      </c>
      <c r="EX8230" s="44" t="s">
        <v>6514</v>
      </c>
      <c r="FF8230" s="45" t="s">
        <v>474</v>
      </c>
      <c r="FJ8230" s="45" t="s">
        <v>474</v>
      </c>
    </row>
    <row r="8231" spans="153:166" x14ac:dyDescent="0.35">
      <c r="EW8231" t="s">
        <v>6281</v>
      </c>
      <c r="EX8231" s="44" t="s">
        <v>6515</v>
      </c>
      <c r="FF8231" s="45" t="s">
        <v>474</v>
      </c>
      <c r="FJ8231" s="45" t="s">
        <v>474</v>
      </c>
    </row>
    <row r="8232" spans="153:166" x14ac:dyDescent="0.35">
      <c r="EW8232" t="s">
        <v>6281</v>
      </c>
      <c r="EX8232" s="44" t="s">
        <v>6516</v>
      </c>
      <c r="FF8232" s="45" t="s">
        <v>474</v>
      </c>
      <c r="FJ8232" s="45" t="s">
        <v>474</v>
      </c>
    </row>
    <row r="8233" spans="153:166" x14ac:dyDescent="0.35">
      <c r="EW8233" t="s">
        <v>6281</v>
      </c>
      <c r="EX8233" s="44" t="s">
        <v>6517</v>
      </c>
      <c r="FF8233" s="45" t="s">
        <v>474</v>
      </c>
      <c r="FJ8233" s="45" t="s">
        <v>474</v>
      </c>
    </row>
    <row r="8234" spans="153:166" x14ac:dyDescent="0.35">
      <c r="EW8234" t="s">
        <v>6281</v>
      </c>
      <c r="EX8234" s="44" t="s">
        <v>6518</v>
      </c>
      <c r="FF8234" s="45" t="s">
        <v>474</v>
      </c>
      <c r="FJ8234" s="45" t="s">
        <v>474</v>
      </c>
    </row>
    <row r="8235" spans="153:166" x14ac:dyDescent="0.35">
      <c r="EW8235" t="s">
        <v>6281</v>
      </c>
      <c r="EX8235" s="44" t="s">
        <v>6519</v>
      </c>
      <c r="FF8235" s="45" t="s">
        <v>474</v>
      </c>
      <c r="FJ8235" s="45" t="s">
        <v>474</v>
      </c>
    </row>
    <row r="8236" spans="153:166" x14ac:dyDescent="0.35">
      <c r="EW8236" t="s">
        <v>6281</v>
      </c>
      <c r="EX8236" s="44" t="s">
        <v>6520</v>
      </c>
      <c r="FF8236" s="45" t="s">
        <v>474</v>
      </c>
      <c r="FJ8236" s="45" t="s">
        <v>474</v>
      </c>
    </row>
    <row r="8237" spans="153:166" x14ac:dyDescent="0.35">
      <c r="EW8237" t="s">
        <v>6281</v>
      </c>
      <c r="EX8237" s="44" t="s">
        <v>6521</v>
      </c>
      <c r="FF8237" s="45" t="s">
        <v>474</v>
      </c>
      <c r="FJ8237" s="45" t="s">
        <v>474</v>
      </c>
    </row>
    <row r="8238" spans="153:166" x14ac:dyDescent="0.35">
      <c r="EW8238" t="s">
        <v>6281</v>
      </c>
      <c r="EX8238" s="44" t="s">
        <v>6522</v>
      </c>
      <c r="FF8238" s="45" t="s">
        <v>474</v>
      </c>
      <c r="FJ8238" s="45" t="s">
        <v>474</v>
      </c>
    </row>
    <row r="8239" spans="153:166" x14ac:dyDescent="0.35">
      <c r="EW8239" t="s">
        <v>6281</v>
      </c>
      <c r="EX8239" s="44" t="s">
        <v>6523</v>
      </c>
      <c r="FF8239" s="45" t="s">
        <v>474</v>
      </c>
      <c r="FJ8239" s="45" t="s">
        <v>474</v>
      </c>
    </row>
    <row r="8240" spans="153:166" x14ac:dyDescent="0.35">
      <c r="EW8240" t="s">
        <v>6281</v>
      </c>
      <c r="EX8240" s="44" t="s">
        <v>6524</v>
      </c>
      <c r="FF8240" s="45" t="s">
        <v>474</v>
      </c>
      <c r="FJ8240" s="45" t="s">
        <v>474</v>
      </c>
    </row>
    <row r="8241" spans="153:166" x14ac:dyDescent="0.35">
      <c r="EW8241" t="s">
        <v>6281</v>
      </c>
      <c r="EX8241" s="44" t="s">
        <v>6525</v>
      </c>
      <c r="FF8241" s="45" t="s">
        <v>474</v>
      </c>
      <c r="FJ8241" s="45" t="s">
        <v>474</v>
      </c>
    </row>
    <row r="8242" spans="153:166" x14ac:dyDescent="0.35">
      <c r="EW8242" t="s">
        <v>6281</v>
      </c>
      <c r="EX8242" s="44" t="s">
        <v>6526</v>
      </c>
      <c r="FF8242" s="45" t="s">
        <v>59</v>
      </c>
      <c r="FJ8242" s="45" t="s">
        <v>59</v>
      </c>
    </row>
    <row r="8243" spans="153:166" x14ac:dyDescent="0.35">
      <c r="EW8243" t="s">
        <v>6281</v>
      </c>
      <c r="EX8243" s="44" t="s">
        <v>6527</v>
      </c>
      <c r="FF8243" s="45" t="s">
        <v>59</v>
      </c>
      <c r="FJ8243" s="45" t="s">
        <v>59</v>
      </c>
    </row>
    <row r="8244" spans="153:166" x14ac:dyDescent="0.35">
      <c r="EW8244" t="s">
        <v>6281</v>
      </c>
      <c r="EX8244" s="44" t="s">
        <v>6528</v>
      </c>
      <c r="FF8244" s="45" t="s">
        <v>59</v>
      </c>
      <c r="FJ8244" s="45" t="s">
        <v>59</v>
      </c>
    </row>
    <row r="8245" spans="153:166" x14ac:dyDescent="0.35">
      <c r="EW8245" t="s">
        <v>6281</v>
      </c>
      <c r="EX8245" s="44" t="s">
        <v>6529</v>
      </c>
      <c r="FF8245" s="45" t="s">
        <v>59</v>
      </c>
      <c r="FJ8245" s="45" t="s">
        <v>59</v>
      </c>
    </row>
    <row r="8246" spans="153:166" x14ac:dyDescent="0.35">
      <c r="EW8246" t="s">
        <v>6281</v>
      </c>
      <c r="EX8246" s="44" t="s">
        <v>6530</v>
      </c>
      <c r="FF8246" s="45" t="s">
        <v>59</v>
      </c>
      <c r="FJ8246" s="45" t="s">
        <v>59</v>
      </c>
    </row>
    <row r="8247" spans="153:166" x14ac:dyDescent="0.35">
      <c r="EW8247" t="s">
        <v>6281</v>
      </c>
      <c r="EX8247" s="44" t="s">
        <v>6531</v>
      </c>
      <c r="FF8247" s="45" t="s">
        <v>59</v>
      </c>
      <c r="FJ8247" s="45" t="s">
        <v>59</v>
      </c>
    </row>
    <row r="8248" spans="153:166" x14ac:dyDescent="0.35">
      <c r="EW8248" t="s">
        <v>6281</v>
      </c>
      <c r="EX8248" s="44" t="s">
        <v>6532</v>
      </c>
      <c r="FF8248" s="45" t="s">
        <v>59</v>
      </c>
      <c r="FJ8248" s="45" t="s">
        <v>59</v>
      </c>
    </row>
    <row r="8249" spans="153:166" x14ac:dyDescent="0.35">
      <c r="EW8249" t="s">
        <v>6281</v>
      </c>
      <c r="EX8249" s="44" t="s">
        <v>6533</v>
      </c>
      <c r="FF8249" s="45" t="s">
        <v>59</v>
      </c>
      <c r="FJ8249" s="45" t="s">
        <v>59</v>
      </c>
    </row>
    <row r="8250" spans="153:166" x14ac:dyDescent="0.35">
      <c r="EW8250" t="s">
        <v>6281</v>
      </c>
      <c r="EX8250" s="44" t="s">
        <v>6534</v>
      </c>
      <c r="FF8250" s="45" t="s">
        <v>59</v>
      </c>
      <c r="FJ8250" s="45" t="s">
        <v>59</v>
      </c>
    </row>
    <row r="8251" spans="153:166" x14ac:dyDescent="0.35">
      <c r="EW8251" t="s">
        <v>6281</v>
      </c>
      <c r="EX8251" s="44" t="s">
        <v>6535</v>
      </c>
      <c r="FF8251" s="45" t="s">
        <v>59</v>
      </c>
      <c r="FJ8251" s="45" t="s">
        <v>59</v>
      </c>
    </row>
    <row r="8252" spans="153:166" x14ac:dyDescent="0.35">
      <c r="EW8252" t="s">
        <v>6281</v>
      </c>
      <c r="EX8252" s="44" t="s">
        <v>6536</v>
      </c>
      <c r="FF8252" s="45" t="s">
        <v>59</v>
      </c>
      <c r="FJ8252" s="45" t="s">
        <v>59</v>
      </c>
    </row>
    <row r="8253" spans="153:166" x14ac:dyDescent="0.35">
      <c r="EW8253" t="s">
        <v>6281</v>
      </c>
      <c r="EX8253" s="44" t="s">
        <v>6537</v>
      </c>
      <c r="FF8253" s="45" t="s">
        <v>59</v>
      </c>
      <c r="FJ8253" s="45" t="s">
        <v>59</v>
      </c>
    </row>
    <row r="8254" spans="153:166" x14ac:dyDescent="0.35">
      <c r="EW8254" t="s">
        <v>6281</v>
      </c>
      <c r="EX8254" s="44" t="s">
        <v>6538</v>
      </c>
      <c r="FF8254" s="45" t="s">
        <v>59</v>
      </c>
      <c r="FJ8254" s="45" t="s">
        <v>59</v>
      </c>
    </row>
    <row r="8255" spans="153:166" x14ac:dyDescent="0.35">
      <c r="EW8255" t="s">
        <v>6281</v>
      </c>
      <c r="EX8255" s="44" t="s">
        <v>6539</v>
      </c>
      <c r="FF8255" s="45" t="s">
        <v>59</v>
      </c>
      <c r="FJ8255" s="45" t="s">
        <v>59</v>
      </c>
    </row>
    <row r="8256" spans="153:166" x14ac:dyDescent="0.35">
      <c r="EW8256" t="s">
        <v>6281</v>
      </c>
      <c r="EX8256" s="44" t="s">
        <v>6540</v>
      </c>
      <c r="FF8256" s="45" t="s">
        <v>59</v>
      </c>
      <c r="FJ8256" s="45" t="s">
        <v>59</v>
      </c>
    </row>
    <row r="8257" spans="153:166" x14ac:dyDescent="0.35">
      <c r="EW8257" t="s">
        <v>6281</v>
      </c>
      <c r="EX8257" s="44" t="s">
        <v>6541</v>
      </c>
      <c r="FF8257" s="45" t="s">
        <v>59</v>
      </c>
      <c r="FJ8257" s="45" t="s">
        <v>59</v>
      </c>
    </row>
    <row r="8258" spans="153:166" x14ac:dyDescent="0.35">
      <c r="EW8258" t="s">
        <v>6281</v>
      </c>
      <c r="EX8258" s="44" t="s">
        <v>6542</v>
      </c>
      <c r="FF8258" s="45" t="s">
        <v>59</v>
      </c>
      <c r="FJ8258" s="45" t="s">
        <v>59</v>
      </c>
    </row>
    <row r="8259" spans="153:166" x14ac:dyDescent="0.35">
      <c r="EW8259" t="s">
        <v>6281</v>
      </c>
      <c r="EX8259" s="44" t="s">
        <v>6543</v>
      </c>
      <c r="FF8259" s="45" t="s">
        <v>59</v>
      </c>
      <c r="FJ8259" s="45" t="s">
        <v>59</v>
      </c>
    </row>
    <row r="8260" spans="153:166" x14ac:dyDescent="0.35">
      <c r="EW8260" t="s">
        <v>6281</v>
      </c>
      <c r="EX8260" s="44" t="s">
        <v>6544</v>
      </c>
      <c r="FF8260" s="45" t="s">
        <v>59</v>
      </c>
      <c r="FJ8260" s="45" t="s">
        <v>59</v>
      </c>
    </row>
    <row r="8261" spans="153:166" x14ac:dyDescent="0.35">
      <c r="EW8261" t="s">
        <v>6281</v>
      </c>
      <c r="EX8261" s="44" t="s">
        <v>6545</v>
      </c>
      <c r="FF8261" s="45" t="s">
        <v>59</v>
      </c>
      <c r="FJ8261" s="45" t="s">
        <v>59</v>
      </c>
    </row>
    <row r="8262" spans="153:166" x14ac:dyDescent="0.35">
      <c r="EW8262" t="s">
        <v>6281</v>
      </c>
      <c r="EX8262" s="44" t="s">
        <v>6546</v>
      </c>
      <c r="FF8262" s="45" t="s">
        <v>59</v>
      </c>
      <c r="FJ8262" s="45" t="s">
        <v>59</v>
      </c>
    </row>
    <row r="8263" spans="153:166" x14ac:dyDescent="0.35">
      <c r="EW8263" t="s">
        <v>6281</v>
      </c>
      <c r="EX8263" s="44" t="s">
        <v>6547</v>
      </c>
      <c r="FF8263" s="45" t="s">
        <v>59</v>
      </c>
      <c r="FJ8263" s="45" t="s">
        <v>59</v>
      </c>
    </row>
    <row r="8264" spans="153:166" x14ac:dyDescent="0.35">
      <c r="EW8264" t="s">
        <v>6281</v>
      </c>
      <c r="EX8264" s="44" t="s">
        <v>6548</v>
      </c>
      <c r="FF8264" s="45" t="s">
        <v>59</v>
      </c>
      <c r="FJ8264" s="45" t="s">
        <v>59</v>
      </c>
    </row>
    <row r="8265" spans="153:166" x14ac:dyDescent="0.35">
      <c r="EW8265" t="s">
        <v>6281</v>
      </c>
      <c r="EX8265" s="44" t="s">
        <v>6549</v>
      </c>
      <c r="FF8265" s="45" t="s">
        <v>59</v>
      </c>
      <c r="FJ8265" s="45" t="s">
        <v>59</v>
      </c>
    </row>
    <row r="8266" spans="153:166" x14ac:dyDescent="0.35">
      <c r="EW8266" t="s">
        <v>6281</v>
      </c>
      <c r="EX8266" s="44" t="s">
        <v>6550</v>
      </c>
      <c r="FF8266" s="45" t="s">
        <v>59</v>
      </c>
      <c r="FJ8266" s="45" t="s">
        <v>59</v>
      </c>
    </row>
    <row r="8267" spans="153:166" x14ac:dyDescent="0.35">
      <c r="EW8267" t="s">
        <v>6281</v>
      </c>
      <c r="EX8267" s="44" t="s">
        <v>6551</v>
      </c>
      <c r="FF8267" s="45" t="s">
        <v>59</v>
      </c>
      <c r="FJ8267" s="45" t="s">
        <v>59</v>
      </c>
    </row>
    <row r="8268" spans="153:166" x14ac:dyDescent="0.35">
      <c r="EW8268" t="s">
        <v>6281</v>
      </c>
      <c r="EX8268" s="44" t="s">
        <v>6552</v>
      </c>
      <c r="FF8268" s="45" t="s">
        <v>59</v>
      </c>
      <c r="FJ8268" s="45" t="s">
        <v>59</v>
      </c>
    </row>
    <row r="8269" spans="153:166" x14ac:dyDescent="0.35">
      <c r="EW8269" t="s">
        <v>6281</v>
      </c>
      <c r="EX8269" s="44" t="s">
        <v>6553</v>
      </c>
      <c r="FF8269" s="45" t="s">
        <v>59</v>
      </c>
      <c r="FJ8269" s="45" t="s">
        <v>59</v>
      </c>
    </row>
    <row r="8270" spans="153:166" x14ac:dyDescent="0.35">
      <c r="EW8270" t="s">
        <v>6281</v>
      </c>
      <c r="EX8270" s="44" t="s">
        <v>6554</v>
      </c>
      <c r="FF8270" s="45" t="s">
        <v>59</v>
      </c>
      <c r="FJ8270" s="45" t="s">
        <v>59</v>
      </c>
    </row>
    <row r="8271" spans="153:166" x14ac:dyDescent="0.35">
      <c r="EW8271" t="s">
        <v>6281</v>
      </c>
      <c r="EX8271" s="44" t="s">
        <v>6555</v>
      </c>
      <c r="FF8271" s="45" t="s">
        <v>59</v>
      </c>
      <c r="FJ8271" s="45" t="s">
        <v>59</v>
      </c>
    </row>
    <row r="8272" spans="153:166" x14ac:dyDescent="0.35">
      <c r="EW8272" t="s">
        <v>6281</v>
      </c>
      <c r="EX8272" s="44" t="s">
        <v>6556</v>
      </c>
      <c r="FF8272" s="45" t="s">
        <v>59</v>
      </c>
      <c r="FJ8272" s="45" t="s">
        <v>59</v>
      </c>
    </row>
    <row r="8273" spans="153:166" x14ac:dyDescent="0.35">
      <c r="EW8273" t="s">
        <v>6281</v>
      </c>
      <c r="EX8273" s="44" t="s">
        <v>6557</v>
      </c>
      <c r="FF8273" s="45" t="s">
        <v>59</v>
      </c>
      <c r="FJ8273" s="45" t="s">
        <v>59</v>
      </c>
    </row>
    <row r="8274" spans="153:166" x14ac:dyDescent="0.35">
      <c r="EW8274" t="s">
        <v>6281</v>
      </c>
      <c r="EX8274" s="44" t="s">
        <v>6558</v>
      </c>
      <c r="FF8274" s="45" t="s">
        <v>59</v>
      </c>
      <c r="FJ8274" s="45" t="s">
        <v>59</v>
      </c>
    </row>
    <row r="8275" spans="153:166" x14ac:dyDescent="0.35">
      <c r="EW8275" t="s">
        <v>6281</v>
      </c>
      <c r="EX8275" s="44" t="s">
        <v>6559</v>
      </c>
      <c r="FF8275" s="45" t="s">
        <v>59</v>
      </c>
      <c r="FJ8275" s="45" t="s">
        <v>59</v>
      </c>
    </row>
    <row r="8276" spans="153:166" x14ac:dyDescent="0.35">
      <c r="EW8276" t="s">
        <v>6281</v>
      </c>
      <c r="EX8276" s="44" t="s">
        <v>6560</v>
      </c>
      <c r="FF8276" s="45" t="s">
        <v>59</v>
      </c>
      <c r="FJ8276" s="45" t="s">
        <v>59</v>
      </c>
    </row>
    <row r="8277" spans="153:166" x14ac:dyDescent="0.35">
      <c r="EW8277" t="s">
        <v>6281</v>
      </c>
      <c r="EX8277" s="44" t="s">
        <v>6561</v>
      </c>
      <c r="FF8277" s="45" t="s">
        <v>59</v>
      </c>
      <c r="FJ8277" s="45" t="s">
        <v>59</v>
      </c>
    </row>
    <row r="8278" spans="153:166" x14ac:dyDescent="0.35">
      <c r="EW8278" t="s">
        <v>6281</v>
      </c>
      <c r="EX8278" s="44" t="s">
        <v>6562</v>
      </c>
      <c r="FF8278" s="45" t="s">
        <v>59</v>
      </c>
      <c r="FJ8278" s="45" t="s">
        <v>59</v>
      </c>
    </row>
    <row r="8279" spans="153:166" x14ac:dyDescent="0.35">
      <c r="EW8279" t="s">
        <v>6281</v>
      </c>
      <c r="EX8279" s="44" t="s">
        <v>6563</v>
      </c>
      <c r="FF8279" s="45" t="s">
        <v>59</v>
      </c>
      <c r="FJ8279" s="45" t="s">
        <v>59</v>
      </c>
    </row>
    <row r="8280" spans="153:166" x14ac:dyDescent="0.35">
      <c r="EW8280" t="s">
        <v>6281</v>
      </c>
      <c r="EX8280" s="44" t="s">
        <v>6564</v>
      </c>
      <c r="FF8280" s="45" t="s">
        <v>59</v>
      </c>
      <c r="FJ8280" s="45" t="s">
        <v>59</v>
      </c>
    </row>
    <row r="8281" spans="153:166" x14ac:dyDescent="0.35">
      <c r="EW8281" t="s">
        <v>6281</v>
      </c>
      <c r="EX8281" s="44" t="s">
        <v>6565</v>
      </c>
      <c r="FF8281" s="45" t="s">
        <v>59</v>
      </c>
      <c r="FJ8281" s="45" t="s">
        <v>59</v>
      </c>
    </row>
    <row r="8282" spans="153:166" x14ac:dyDescent="0.35">
      <c r="EW8282" t="s">
        <v>6281</v>
      </c>
      <c r="EX8282" s="44" t="s">
        <v>6566</v>
      </c>
      <c r="FF8282" s="45" t="s">
        <v>59</v>
      </c>
      <c r="FJ8282" s="45" t="s">
        <v>59</v>
      </c>
    </row>
    <row r="8283" spans="153:166" x14ac:dyDescent="0.35">
      <c r="EW8283" t="s">
        <v>6281</v>
      </c>
      <c r="EX8283" s="44" t="s">
        <v>6567</v>
      </c>
      <c r="FF8283" s="45" t="s">
        <v>59</v>
      </c>
      <c r="FJ8283" s="45" t="s">
        <v>59</v>
      </c>
    </row>
    <row r="8284" spans="153:166" x14ac:dyDescent="0.35">
      <c r="EW8284" t="s">
        <v>6281</v>
      </c>
      <c r="EX8284" s="44" t="s">
        <v>6568</v>
      </c>
      <c r="FF8284" s="45" t="s">
        <v>59</v>
      </c>
      <c r="FJ8284" s="45" t="s">
        <v>59</v>
      </c>
    </row>
    <row r="8285" spans="153:166" x14ac:dyDescent="0.35">
      <c r="EW8285" t="s">
        <v>6281</v>
      </c>
      <c r="EX8285" s="44" t="s">
        <v>6569</v>
      </c>
      <c r="FF8285" s="45" t="s">
        <v>59</v>
      </c>
      <c r="FJ8285" s="45" t="s">
        <v>59</v>
      </c>
    </row>
    <row r="8286" spans="153:166" x14ac:dyDescent="0.35">
      <c r="EW8286" t="s">
        <v>6281</v>
      </c>
      <c r="EX8286" s="44" t="s">
        <v>6570</v>
      </c>
      <c r="FF8286" s="45" t="s">
        <v>59</v>
      </c>
      <c r="FJ8286" s="45" t="s">
        <v>59</v>
      </c>
    </row>
    <row r="8287" spans="153:166" x14ac:dyDescent="0.35">
      <c r="EW8287" t="s">
        <v>6281</v>
      </c>
      <c r="EX8287" s="44" t="s">
        <v>6571</v>
      </c>
      <c r="FF8287" s="45" t="s">
        <v>59</v>
      </c>
      <c r="FJ8287" s="45" t="s">
        <v>59</v>
      </c>
    </row>
    <row r="8288" spans="153:166" x14ac:dyDescent="0.35">
      <c r="EW8288" t="s">
        <v>6281</v>
      </c>
      <c r="EX8288" s="44" t="s">
        <v>6572</v>
      </c>
      <c r="FF8288" s="45" t="s">
        <v>59</v>
      </c>
      <c r="FJ8288" s="45" t="s">
        <v>59</v>
      </c>
    </row>
    <row r="8289" spans="153:166" x14ac:dyDescent="0.35">
      <c r="EW8289" t="s">
        <v>6281</v>
      </c>
      <c r="EX8289" s="44" t="s">
        <v>6573</v>
      </c>
      <c r="FF8289" s="45" t="s">
        <v>59</v>
      </c>
      <c r="FJ8289" s="45" t="s">
        <v>59</v>
      </c>
    </row>
    <row r="8290" spans="153:166" x14ac:dyDescent="0.35">
      <c r="EW8290" t="s">
        <v>6281</v>
      </c>
      <c r="EX8290" s="44" t="s">
        <v>6574</v>
      </c>
      <c r="FF8290" s="45" t="s">
        <v>59</v>
      </c>
      <c r="FJ8290" s="45" t="s">
        <v>59</v>
      </c>
    </row>
    <row r="8291" spans="153:166" x14ac:dyDescent="0.35">
      <c r="EW8291" t="s">
        <v>6281</v>
      </c>
      <c r="EX8291" s="44" t="s">
        <v>6575</v>
      </c>
      <c r="FF8291" s="45" t="s">
        <v>59</v>
      </c>
      <c r="FJ8291" s="45" t="s">
        <v>59</v>
      </c>
    </row>
    <row r="8292" spans="153:166" x14ac:dyDescent="0.35">
      <c r="EW8292" t="s">
        <v>6281</v>
      </c>
      <c r="EX8292" s="44" t="s">
        <v>6576</v>
      </c>
      <c r="FF8292" s="45" t="s">
        <v>59</v>
      </c>
      <c r="FJ8292" s="45" t="s">
        <v>59</v>
      </c>
    </row>
    <row r="8293" spans="153:166" x14ac:dyDescent="0.35">
      <c r="EW8293" t="s">
        <v>6281</v>
      </c>
      <c r="EX8293" s="44" t="s">
        <v>6577</v>
      </c>
      <c r="FF8293" s="45" t="s">
        <v>59</v>
      </c>
      <c r="FJ8293" s="45" t="s">
        <v>59</v>
      </c>
    </row>
    <row r="8294" spans="153:166" x14ac:dyDescent="0.35">
      <c r="EW8294" t="s">
        <v>6281</v>
      </c>
      <c r="EX8294" s="44" t="s">
        <v>6578</v>
      </c>
      <c r="FF8294" s="45" t="s">
        <v>59</v>
      </c>
      <c r="FJ8294" s="45" t="s">
        <v>59</v>
      </c>
    </row>
    <row r="8295" spans="153:166" x14ac:dyDescent="0.35">
      <c r="EW8295" t="s">
        <v>6281</v>
      </c>
      <c r="EX8295" s="44" t="s">
        <v>6579</v>
      </c>
      <c r="FF8295" s="45" t="s">
        <v>59</v>
      </c>
      <c r="FJ8295" s="45" t="s">
        <v>59</v>
      </c>
    </row>
    <row r="8296" spans="153:166" x14ac:dyDescent="0.35">
      <c r="EW8296" t="s">
        <v>6281</v>
      </c>
      <c r="EX8296" s="44" t="s">
        <v>6580</v>
      </c>
      <c r="FF8296" s="45" t="s">
        <v>59</v>
      </c>
      <c r="FJ8296" s="45" t="s">
        <v>59</v>
      </c>
    </row>
    <row r="8297" spans="153:166" x14ac:dyDescent="0.35">
      <c r="EW8297" t="s">
        <v>6281</v>
      </c>
      <c r="EX8297" s="44" t="s">
        <v>6581</v>
      </c>
      <c r="FF8297" s="45" t="s">
        <v>59</v>
      </c>
      <c r="FJ8297" s="45" t="s">
        <v>59</v>
      </c>
    </row>
    <row r="8298" spans="153:166" x14ac:dyDescent="0.35">
      <c r="EW8298" t="s">
        <v>6281</v>
      </c>
      <c r="EX8298" s="44" t="s">
        <v>6582</v>
      </c>
      <c r="FF8298" s="45" t="s">
        <v>59</v>
      </c>
      <c r="FJ8298" s="45" t="s">
        <v>59</v>
      </c>
    </row>
    <row r="8299" spans="153:166" x14ac:dyDescent="0.35">
      <c r="EW8299" t="s">
        <v>6281</v>
      </c>
      <c r="EX8299" s="44" t="s">
        <v>6583</v>
      </c>
      <c r="FF8299" s="45" t="s">
        <v>59</v>
      </c>
      <c r="FJ8299" s="45" t="s">
        <v>59</v>
      </c>
    </row>
    <row r="8300" spans="153:166" x14ac:dyDescent="0.35">
      <c r="EW8300" t="s">
        <v>6281</v>
      </c>
      <c r="EX8300" s="44" t="s">
        <v>6584</v>
      </c>
      <c r="FF8300" s="45" t="s">
        <v>59</v>
      </c>
      <c r="FJ8300" s="45" t="s">
        <v>59</v>
      </c>
    </row>
    <row r="8301" spans="153:166" x14ac:dyDescent="0.35">
      <c r="EW8301" t="s">
        <v>6281</v>
      </c>
      <c r="EX8301" s="44" t="s">
        <v>6585</v>
      </c>
      <c r="FF8301" s="45" t="s">
        <v>59</v>
      </c>
      <c r="FJ8301" s="45" t="s">
        <v>59</v>
      </c>
    </row>
    <row r="8302" spans="153:166" x14ac:dyDescent="0.35">
      <c r="EW8302" t="s">
        <v>6281</v>
      </c>
      <c r="EX8302" s="44" t="s">
        <v>6586</v>
      </c>
      <c r="FF8302" s="45" t="s">
        <v>59</v>
      </c>
      <c r="FJ8302" s="45" t="s">
        <v>59</v>
      </c>
    </row>
    <row r="8303" spans="153:166" x14ac:dyDescent="0.35">
      <c r="EW8303" t="s">
        <v>6281</v>
      </c>
      <c r="EX8303" s="44" t="s">
        <v>6587</v>
      </c>
      <c r="FF8303" s="45" t="s">
        <v>59</v>
      </c>
      <c r="FJ8303" s="45" t="s">
        <v>59</v>
      </c>
    </row>
    <row r="8304" spans="153:166" x14ac:dyDescent="0.35">
      <c r="EW8304" t="s">
        <v>6281</v>
      </c>
      <c r="EX8304" s="44" t="s">
        <v>6588</v>
      </c>
      <c r="FF8304" s="45" t="s">
        <v>59</v>
      </c>
      <c r="FJ8304" s="45" t="s">
        <v>59</v>
      </c>
    </row>
    <row r="8305" spans="153:166" x14ac:dyDescent="0.35">
      <c r="EW8305" t="s">
        <v>6281</v>
      </c>
      <c r="EX8305" s="44" t="s">
        <v>6589</v>
      </c>
      <c r="FF8305" s="45" t="s">
        <v>59</v>
      </c>
      <c r="FJ8305" s="45" t="s">
        <v>59</v>
      </c>
    </row>
    <row r="8306" spans="153:166" x14ac:dyDescent="0.35">
      <c r="EW8306" t="s">
        <v>6281</v>
      </c>
      <c r="EX8306" s="44" t="s">
        <v>6590</v>
      </c>
      <c r="FF8306" s="45" t="s">
        <v>59</v>
      </c>
      <c r="FJ8306" s="45" t="s">
        <v>59</v>
      </c>
    </row>
    <row r="8307" spans="153:166" x14ac:dyDescent="0.35">
      <c r="EW8307" t="s">
        <v>6281</v>
      </c>
      <c r="EX8307" s="44" t="s">
        <v>6591</v>
      </c>
      <c r="FF8307" s="45" t="s">
        <v>59</v>
      </c>
      <c r="FJ8307" s="45" t="s">
        <v>59</v>
      </c>
    </row>
    <row r="8308" spans="153:166" x14ac:dyDescent="0.35">
      <c r="EW8308" t="s">
        <v>6281</v>
      </c>
      <c r="EX8308" s="44" t="s">
        <v>6592</v>
      </c>
      <c r="FF8308" s="45" t="s">
        <v>59</v>
      </c>
      <c r="FJ8308" s="45" t="s">
        <v>59</v>
      </c>
    </row>
    <row r="8309" spans="153:166" x14ac:dyDescent="0.35">
      <c r="EW8309" t="s">
        <v>6281</v>
      </c>
      <c r="EX8309" s="44" t="s">
        <v>6593</v>
      </c>
      <c r="FF8309" s="45" t="s">
        <v>59</v>
      </c>
      <c r="FJ8309" s="45" t="s">
        <v>59</v>
      </c>
    </row>
    <row r="8310" spans="153:166" x14ac:dyDescent="0.35">
      <c r="EW8310" t="s">
        <v>6281</v>
      </c>
      <c r="EX8310" s="44" t="s">
        <v>6594</v>
      </c>
      <c r="FF8310" s="45" t="s">
        <v>59</v>
      </c>
      <c r="FJ8310" s="45" t="s">
        <v>59</v>
      </c>
    </row>
    <row r="8311" spans="153:166" x14ac:dyDescent="0.35">
      <c r="EW8311" t="s">
        <v>6281</v>
      </c>
      <c r="EX8311" s="44" t="s">
        <v>6595</v>
      </c>
      <c r="FF8311" s="45" t="s">
        <v>59</v>
      </c>
      <c r="FJ8311" s="45" t="s">
        <v>59</v>
      </c>
    </row>
    <row r="8312" spans="153:166" x14ac:dyDescent="0.35">
      <c r="EW8312" t="s">
        <v>6281</v>
      </c>
      <c r="EX8312" s="44" t="s">
        <v>6596</v>
      </c>
      <c r="FF8312" s="45" t="s">
        <v>59</v>
      </c>
      <c r="FJ8312" s="45" t="s">
        <v>59</v>
      </c>
    </row>
    <row r="8313" spans="153:166" x14ac:dyDescent="0.35">
      <c r="EW8313" t="s">
        <v>6281</v>
      </c>
      <c r="EX8313" s="44" t="s">
        <v>6597</v>
      </c>
      <c r="FF8313" s="45" t="s">
        <v>59</v>
      </c>
      <c r="FJ8313" s="45" t="s">
        <v>59</v>
      </c>
    </row>
    <row r="8314" spans="153:166" x14ac:dyDescent="0.35">
      <c r="EW8314" t="s">
        <v>6281</v>
      </c>
      <c r="EX8314" s="44" t="s">
        <v>6598</v>
      </c>
      <c r="FF8314" s="45" t="s">
        <v>59</v>
      </c>
      <c r="FJ8314" s="45" t="s">
        <v>59</v>
      </c>
    </row>
    <row r="8315" spans="153:166" x14ac:dyDescent="0.35">
      <c r="EW8315" t="s">
        <v>6281</v>
      </c>
      <c r="EX8315" s="44" t="s">
        <v>6599</v>
      </c>
      <c r="FF8315" s="45" t="s">
        <v>59</v>
      </c>
      <c r="FJ8315" s="45" t="s">
        <v>59</v>
      </c>
    </row>
    <row r="8316" spans="153:166" x14ac:dyDescent="0.35">
      <c r="EW8316" t="s">
        <v>6281</v>
      </c>
      <c r="EX8316" s="44" t="s">
        <v>6600</v>
      </c>
      <c r="FF8316" s="45" t="s">
        <v>59</v>
      </c>
      <c r="FJ8316" s="45" t="s">
        <v>59</v>
      </c>
    </row>
    <row r="8317" spans="153:166" x14ac:dyDescent="0.35">
      <c r="EW8317" t="s">
        <v>6281</v>
      </c>
      <c r="EX8317" s="44" t="s">
        <v>6601</v>
      </c>
      <c r="FF8317" s="45" t="s">
        <v>59</v>
      </c>
      <c r="FJ8317" s="45" t="s">
        <v>59</v>
      </c>
    </row>
    <row r="8318" spans="153:166" x14ac:dyDescent="0.35">
      <c r="EW8318" t="s">
        <v>6281</v>
      </c>
      <c r="EX8318" s="44" t="s">
        <v>6602</v>
      </c>
      <c r="FF8318" s="45" t="s">
        <v>59</v>
      </c>
      <c r="FJ8318" s="45" t="s">
        <v>59</v>
      </c>
    </row>
    <row r="8319" spans="153:166" x14ac:dyDescent="0.35">
      <c r="EW8319" t="s">
        <v>6281</v>
      </c>
      <c r="EX8319" s="44" t="s">
        <v>6603</v>
      </c>
      <c r="FF8319" s="45" t="s">
        <v>59</v>
      </c>
      <c r="FJ8319" s="45" t="s">
        <v>59</v>
      </c>
    </row>
    <row r="8320" spans="153:166" x14ac:dyDescent="0.35">
      <c r="EW8320" t="s">
        <v>6281</v>
      </c>
      <c r="EX8320" s="44" t="s">
        <v>6604</v>
      </c>
      <c r="FF8320" s="45" t="s">
        <v>59</v>
      </c>
      <c r="FJ8320" s="45" t="s">
        <v>59</v>
      </c>
    </row>
    <row r="8321" spans="153:166" x14ac:dyDescent="0.35">
      <c r="EW8321" t="s">
        <v>6281</v>
      </c>
      <c r="EX8321" s="44" t="s">
        <v>6605</v>
      </c>
      <c r="FF8321" s="45" t="s">
        <v>59</v>
      </c>
      <c r="FJ8321" s="45" t="s">
        <v>59</v>
      </c>
    </row>
    <row r="8322" spans="153:166" x14ac:dyDescent="0.35">
      <c r="EW8322" t="s">
        <v>6281</v>
      </c>
      <c r="EX8322" s="44" t="s">
        <v>6606</v>
      </c>
      <c r="FF8322" s="45" t="s">
        <v>59</v>
      </c>
      <c r="FJ8322" s="45" t="s">
        <v>59</v>
      </c>
    </row>
    <row r="8323" spans="153:166" x14ac:dyDescent="0.35">
      <c r="EW8323" t="s">
        <v>6281</v>
      </c>
      <c r="EX8323" s="44" t="s">
        <v>6607</v>
      </c>
      <c r="FF8323" s="45" t="s">
        <v>59</v>
      </c>
      <c r="FJ8323" s="45" t="s">
        <v>59</v>
      </c>
    </row>
    <row r="8324" spans="153:166" x14ac:dyDescent="0.35">
      <c r="EW8324" t="s">
        <v>6281</v>
      </c>
      <c r="EX8324" s="44" t="s">
        <v>6608</v>
      </c>
      <c r="FF8324" s="45" t="s">
        <v>59</v>
      </c>
      <c r="FJ8324" s="45" t="s">
        <v>59</v>
      </c>
    </row>
    <row r="8325" spans="153:166" x14ac:dyDescent="0.35">
      <c r="EW8325" t="s">
        <v>6281</v>
      </c>
      <c r="EX8325" s="44" t="s">
        <v>6609</v>
      </c>
      <c r="FF8325" s="45" t="s">
        <v>59</v>
      </c>
      <c r="FJ8325" s="45" t="s">
        <v>59</v>
      </c>
    </row>
    <row r="8326" spans="153:166" x14ac:dyDescent="0.35">
      <c r="EW8326" t="s">
        <v>6281</v>
      </c>
      <c r="EX8326" s="44" t="s">
        <v>6610</v>
      </c>
      <c r="FF8326" s="45" t="s">
        <v>59</v>
      </c>
      <c r="FJ8326" s="45" t="s">
        <v>59</v>
      </c>
    </row>
    <row r="8327" spans="153:166" x14ac:dyDescent="0.35">
      <c r="EW8327" t="s">
        <v>6281</v>
      </c>
      <c r="EX8327" s="44" t="s">
        <v>6611</v>
      </c>
      <c r="FF8327" s="45" t="s">
        <v>59</v>
      </c>
      <c r="FJ8327" s="45" t="s">
        <v>59</v>
      </c>
    </row>
    <row r="8328" spans="153:166" x14ac:dyDescent="0.35">
      <c r="EW8328" t="s">
        <v>6281</v>
      </c>
      <c r="EX8328" s="44" t="s">
        <v>6612</v>
      </c>
      <c r="FF8328" s="45" t="s">
        <v>59</v>
      </c>
      <c r="FJ8328" s="45" t="s">
        <v>59</v>
      </c>
    </row>
    <row r="8329" spans="153:166" x14ac:dyDescent="0.35">
      <c r="EW8329" t="s">
        <v>6281</v>
      </c>
      <c r="EX8329" s="44" t="s">
        <v>6613</v>
      </c>
      <c r="FF8329" s="45" t="s">
        <v>59</v>
      </c>
      <c r="FJ8329" s="45" t="s">
        <v>59</v>
      </c>
    </row>
    <row r="8330" spans="153:166" x14ac:dyDescent="0.35">
      <c r="EW8330" t="s">
        <v>6281</v>
      </c>
      <c r="EX8330" s="44" t="s">
        <v>6614</v>
      </c>
      <c r="FF8330" s="45" t="s">
        <v>59</v>
      </c>
      <c r="FJ8330" s="45" t="s">
        <v>59</v>
      </c>
    </row>
    <row r="8331" spans="153:166" x14ac:dyDescent="0.35">
      <c r="EW8331" t="s">
        <v>6281</v>
      </c>
      <c r="EX8331" s="44" t="s">
        <v>6615</v>
      </c>
      <c r="FF8331" s="45" t="s">
        <v>59</v>
      </c>
      <c r="FJ8331" s="45" t="s">
        <v>59</v>
      </c>
    </row>
    <row r="8332" spans="153:166" x14ac:dyDescent="0.35">
      <c r="EW8332" t="s">
        <v>6281</v>
      </c>
      <c r="EX8332" s="44" t="s">
        <v>6616</v>
      </c>
      <c r="FF8332" s="45" t="s">
        <v>59</v>
      </c>
      <c r="FJ8332" s="45" t="s">
        <v>59</v>
      </c>
    </row>
    <row r="8333" spans="153:166" x14ac:dyDescent="0.35">
      <c r="EW8333" t="s">
        <v>6281</v>
      </c>
      <c r="EX8333" s="44" t="s">
        <v>6617</v>
      </c>
      <c r="FF8333" s="45" t="s">
        <v>59</v>
      </c>
      <c r="FJ8333" s="45" t="s">
        <v>59</v>
      </c>
    </row>
    <row r="8334" spans="153:166" x14ac:dyDescent="0.35">
      <c r="EW8334" t="s">
        <v>6281</v>
      </c>
      <c r="EX8334" s="44" t="s">
        <v>6618</v>
      </c>
      <c r="FF8334" s="45" t="s">
        <v>59</v>
      </c>
      <c r="FJ8334" s="45" t="s">
        <v>59</v>
      </c>
    </row>
    <row r="8335" spans="153:166" x14ac:dyDescent="0.35">
      <c r="EW8335" t="s">
        <v>6281</v>
      </c>
      <c r="EX8335" s="44" t="s">
        <v>6619</v>
      </c>
      <c r="FF8335" s="45" t="s">
        <v>59</v>
      </c>
      <c r="FJ8335" s="45" t="s">
        <v>59</v>
      </c>
    </row>
    <row r="8336" spans="153:166" x14ac:dyDescent="0.35">
      <c r="EW8336" t="s">
        <v>6281</v>
      </c>
      <c r="EX8336" s="44" t="s">
        <v>6620</v>
      </c>
      <c r="FF8336" s="45" t="s">
        <v>59</v>
      </c>
      <c r="FJ8336" s="45" t="s">
        <v>59</v>
      </c>
    </row>
    <row r="8337" spans="153:166" x14ac:dyDescent="0.35">
      <c r="EW8337" t="s">
        <v>6281</v>
      </c>
      <c r="EX8337" s="44" t="s">
        <v>6621</v>
      </c>
      <c r="FF8337" s="45" t="s">
        <v>59</v>
      </c>
      <c r="FJ8337" s="45" t="s">
        <v>59</v>
      </c>
    </row>
    <row r="8338" spans="153:166" x14ac:dyDescent="0.35">
      <c r="EW8338" t="s">
        <v>6281</v>
      </c>
      <c r="EX8338" s="44" t="s">
        <v>6622</v>
      </c>
      <c r="FF8338" s="45" t="s">
        <v>59</v>
      </c>
      <c r="FJ8338" s="45" t="s">
        <v>59</v>
      </c>
    </row>
    <row r="8339" spans="153:166" x14ac:dyDescent="0.35">
      <c r="EW8339" t="s">
        <v>6281</v>
      </c>
      <c r="EX8339" s="44" t="s">
        <v>6623</v>
      </c>
      <c r="FF8339" s="45" t="s">
        <v>59</v>
      </c>
      <c r="FJ8339" s="45" t="s">
        <v>59</v>
      </c>
    </row>
    <row r="8340" spans="153:166" x14ac:dyDescent="0.35">
      <c r="EW8340" t="s">
        <v>6281</v>
      </c>
      <c r="EX8340" s="44" t="s">
        <v>6624</v>
      </c>
      <c r="FF8340" s="45" t="s">
        <v>59</v>
      </c>
      <c r="FJ8340" s="45" t="s">
        <v>59</v>
      </c>
    </row>
    <row r="8341" spans="153:166" x14ac:dyDescent="0.35">
      <c r="EW8341" t="s">
        <v>6281</v>
      </c>
      <c r="EX8341" s="44" t="s">
        <v>6625</v>
      </c>
      <c r="FF8341" s="45" t="s">
        <v>59</v>
      </c>
      <c r="FJ8341" s="45" t="s">
        <v>59</v>
      </c>
    </row>
    <row r="8342" spans="153:166" x14ac:dyDescent="0.35">
      <c r="EW8342" t="s">
        <v>6281</v>
      </c>
      <c r="EX8342" s="44" t="s">
        <v>6626</v>
      </c>
      <c r="FF8342" s="45" t="s">
        <v>59</v>
      </c>
      <c r="FJ8342" s="45" t="s">
        <v>59</v>
      </c>
    </row>
    <row r="8343" spans="153:166" x14ac:dyDescent="0.35">
      <c r="EW8343" t="s">
        <v>6281</v>
      </c>
      <c r="EX8343" s="44" t="s">
        <v>6627</v>
      </c>
      <c r="FF8343" s="45" t="s">
        <v>59</v>
      </c>
      <c r="FJ8343" s="45" t="s">
        <v>59</v>
      </c>
    </row>
    <row r="8344" spans="153:166" x14ac:dyDescent="0.35">
      <c r="EW8344" t="s">
        <v>6281</v>
      </c>
      <c r="EX8344" s="44" t="s">
        <v>6628</v>
      </c>
      <c r="FF8344" s="45" t="s">
        <v>59</v>
      </c>
      <c r="FJ8344" s="45" t="s">
        <v>59</v>
      </c>
    </row>
    <row r="8345" spans="153:166" x14ac:dyDescent="0.35">
      <c r="EW8345" t="s">
        <v>6281</v>
      </c>
      <c r="EX8345" s="44" t="s">
        <v>6629</v>
      </c>
      <c r="FF8345" s="45" t="s">
        <v>59</v>
      </c>
      <c r="FJ8345" s="45" t="s">
        <v>59</v>
      </c>
    </row>
    <row r="8346" spans="153:166" x14ac:dyDescent="0.35">
      <c r="EW8346" t="s">
        <v>6281</v>
      </c>
      <c r="EX8346" s="44" t="s">
        <v>6630</v>
      </c>
      <c r="FF8346" s="45" t="s">
        <v>59</v>
      </c>
      <c r="FJ8346" s="45" t="s">
        <v>59</v>
      </c>
    </row>
    <row r="8347" spans="153:166" x14ac:dyDescent="0.35">
      <c r="EW8347" t="s">
        <v>6281</v>
      </c>
      <c r="EX8347" s="44" t="s">
        <v>6631</v>
      </c>
      <c r="FF8347" s="45" t="s">
        <v>59</v>
      </c>
      <c r="FJ8347" s="45" t="s">
        <v>59</v>
      </c>
    </row>
    <row r="8348" spans="153:166" x14ac:dyDescent="0.35">
      <c r="EW8348" t="s">
        <v>6281</v>
      </c>
      <c r="EX8348" s="44" t="s">
        <v>6632</v>
      </c>
      <c r="FF8348" s="45" t="s">
        <v>59</v>
      </c>
      <c r="FJ8348" s="45" t="s">
        <v>59</v>
      </c>
    </row>
    <row r="8349" spans="153:166" x14ac:dyDescent="0.35">
      <c r="EW8349" t="s">
        <v>6281</v>
      </c>
      <c r="EX8349" s="44" t="s">
        <v>6633</v>
      </c>
      <c r="FF8349" s="45" t="s">
        <v>59</v>
      </c>
      <c r="FJ8349" s="45" t="s">
        <v>59</v>
      </c>
    </row>
    <row r="8350" spans="153:166" x14ac:dyDescent="0.35">
      <c r="EW8350" t="s">
        <v>6281</v>
      </c>
      <c r="EX8350" s="44" t="s">
        <v>6634</v>
      </c>
      <c r="FF8350" s="45" t="s">
        <v>59</v>
      </c>
      <c r="FJ8350" s="45" t="s">
        <v>59</v>
      </c>
    </row>
    <row r="8351" spans="153:166" x14ac:dyDescent="0.35">
      <c r="EW8351" t="s">
        <v>6281</v>
      </c>
      <c r="EX8351" s="44" t="s">
        <v>6635</v>
      </c>
      <c r="FF8351" s="45" t="s">
        <v>59</v>
      </c>
      <c r="FJ8351" s="45" t="s">
        <v>59</v>
      </c>
    </row>
    <row r="8352" spans="153:166" x14ac:dyDescent="0.35">
      <c r="EW8352" t="s">
        <v>6281</v>
      </c>
      <c r="EX8352" s="44" t="s">
        <v>6636</v>
      </c>
      <c r="FF8352" s="45" t="s">
        <v>59</v>
      </c>
      <c r="FJ8352" s="45" t="s">
        <v>59</v>
      </c>
    </row>
    <row r="8353" spans="153:166" x14ac:dyDescent="0.35">
      <c r="EW8353" t="s">
        <v>6281</v>
      </c>
      <c r="EX8353" s="44" t="s">
        <v>6637</v>
      </c>
      <c r="FF8353" s="45" t="s">
        <v>59</v>
      </c>
      <c r="FJ8353" s="45" t="s">
        <v>59</v>
      </c>
    </row>
    <row r="8354" spans="153:166" x14ac:dyDescent="0.35">
      <c r="EW8354" t="s">
        <v>6281</v>
      </c>
      <c r="EX8354" s="44" t="s">
        <v>6638</v>
      </c>
      <c r="FF8354" s="45" t="s">
        <v>59</v>
      </c>
      <c r="FJ8354" s="45" t="s">
        <v>59</v>
      </c>
    </row>
    <row r="8355" spans="153:166" x14ac:dyDescent="0.35">
      <c r="EW8355" t="s">
        <v>6281</v>
      </c>
      <c r="EX8355" s="44" t="s">
        <v>6639</v>
      </c>
      <c r="FF8355" s="45" t="s">
        <v>59</v>
      </c>
      <c r="FJ8355" s="45" t="s">
        <v>59</v>
      </c>
    </row>
    <row r="8356" spans="153:166" x14ac:dyDescent="0.35">
      <c r="EW8356" t="s">
        <v>6281</v>
      </c>
      <c r="EX8356" s="44" t="s">
        <v>6640</v>
      </c>
      <c r="FF8356" s="45" t="s">
        <v>59</v>
      </c>
      <c r="FJ8356" s="45" t="s">
        <v>59</v>
      </c>
    </row>
    <row r="8357" spans="153:166" x14ac:dyDescent="0.35">
      <c r="EW8357" t="s">
        <v>6281</v>
      </c>
      <c r="EX8357" s="44" t="s">
        <v>6641</v>
      </c>
      <c r="FF8357" s="45" t="s">
        <v>59</v>
      </c>
      <c r="FJ8357" s="45" t="s">
        <v>59</v>
      </c>
    </row>
    <row r="8358" spans="153:166" x14ac:dyDescent="0.35">
      <c r="EW8358" t="s">
        <v>6281</v>
      </c>
      <c r="EX8358" s="44" t="s">
        <v>6642</v>
      </c>
      <c r="FF8358" s="45" t="s">
        <v>59</v>
      </c>
      <c r="FJ8358" s="45" t="s">
        <v>59</v>
      </c>
    </row>
    <row r="8359" spans="153:166" x14ac:dyDescent="0.35">
      <c r="EW8359" t="s">
        <v>6281</v>
      </c>
      <c r="EX8359" s="44" t="s">
        <v>6643</v>
      </c>
      <c r="FF8359" s="45" t="s">
        <v>59</v>
      </c>
      <c r="FJ8359" s="45" t="s">
        <v>59</v>
      </c>
    </row>
    <row r="8360" spans="153:166" x14ac:dyDescent="0.35">
      <c r="EW8360" t="s">
        <v>6281</v>
      </c>
      <c r="EX8360" s="44" t="s">
        <v>6644</v>
      </c>
      <c r="FF8360" s="45" t="s">
        <v>59</v>
      </c>
      <c r="FJ8360" s="45" t="s">
        <v>59</v>
      </c>
    </row>
    <row r="8361" spans="153:166" x14ac:dyDescent="0.35">
      <c r="EW8361" t="s">
        <v>6281</v>
      </c>
      <c r="EX8361" s="44" t="s">
        <v>6645</v>
      </c>
      <c r="FF8361" s="45" t="s">
        <v>59</v>
      </c>
      <c r="FJ8361" s="45" t="s">
        <v>59</v>
      </c>
    </row>
    <row r="8362" spans="153:166" x14ac:dyDescent="0.35">
      <c r="EW8362" t="s">
        <v>6281</v>
      </c>
      <c r="EX8362" s="44" t="s">
        <v>6646</v>
      </c>
      <c r="FF8362" s="45" t="s">
        <v>59</v>
      </c>
      <c r="FJ8362" s="45" t="s">
        <v>59</v>
      </c>
    </row>
    <row r="8363" spans="153:166" x14ac:dyDescent="0.35">
      <c r="EW8363" t="s">
        <v>6281</v>
      </c>
      <c r="EX8363" s="44" t="s">
        <v>6647</v>
      </c>
      <c r="FF8363" s="45" t="s">
        <v>59</v>
      </c>
      <c r="FJ8363" s="45" t="s">
        <v>59</v>
      </c>
    </row>
    <row r="8364" spans="153:166" x14ac:dyDescent="0.35">
      <c r="EW8364" t="s">
        <v>6281</v>
      </c>
      <c r="EX8364" s="44" t="s">
        <v>6648</v>
      </c>
      <c r="FF8364" s="45" t="s">
        <v>59</v>
      </c>
      <c r="FJ8364" s="45" t="s">
        <v>59</v>
      </c>
    </row>
    <row r="8365" spans="153:166" x14ac:dyDescent="0.35">
      <c r="EW8365" t="s">
        <v>6281</v>
      </c>
      <c r="EX8365" s="44" t="s">
        <v>6649</v>
      </c>
      <c r="FF8365" s="45" t="s">
        <v>59</v>
      </c>
      <c r="FJ8365" s="45" t="s">
        <v>59</v>
      </c>
    </row>
    <row r="8366" spans="153:166" x14ac:dyDescent="0.35">
      <c r="EW8366" t="s">
        <v>6281</v>
      </c>
      <c r="EX8366" s="44" t="s">
        <v>6650</v>
      </c>
      <c r="FF8366" s="45" t="s">
        <v>59</v>
      </c>
      <c r="FJ8366" s="45" t="s">
        <v>59</v>
      </c>
    </row>
    <row r="8367" spans="153:166" x14ac:dyDescent="0.35">
      <c r="EW8367" t="s">
        <v>6281</v>
      </c>
      <c r="EX8367" s="44" t="s">
        <v>6651</v>
      </c>
      <c r="FF8367" s="45" t="s">
        <v>59</v>
      </c>
      <c r="FJ8367" s="45" t="s">
        <v>59</v>
      </c>
    </row>
    <row r="8368" spans="153:166" x14ac:dyDescent="0.35">
      <c r="EW8368" t="s">
        <v>6281</v>
      </c>
      <c r="EX8368" s="44" t="s">
        <v>6652</v>
      </c>
      <c r="FF8368" s="45" t="s">
        <v>59</v>
      </c>
      <c r="FJ8368" s="45" t="s">
        <v>59</v>
      </c>
    </row>
    <row r="8369" spans="153:166" x14ac:dyDescent="0.35">
      <c r="EW8369" t="s">
        <v>6281</v>
      </c>
      <c r="EX8369" s="44" t="s">
        <v>6653</v>
      </c>
      <c r="FF8369" s="45" t="s">
        <v>59</v>
      </c>
      <c r="FJ8369" s="45" t="s">
        <v>59</v>
      </c>
    </row>
    <row r="8370" spans="153:166" x14ac:dyDescent="0.35">
      <c r="EW8370" t="s">
        <v>6281</v>
      </c>
      <c r="EX8370" s="44" t="s">
        <v>6654</v>
      </c>
      <c r="FF8370" s="45" t="s">
        <v>59</v>
      </c>
      <c r="FJ8370" s="45" t="s">
        <v>59</v>
      </c>
    </row>
    <row r="8371" spans="153:166" x14ac:dyDescent="0.35">
      <c r="EW8371" t="s">
        <v>6281</v>
      </c>
      <c r="EX8371" s="44" t="s">
        <v>6655</v>
      </c>
      <c r="FF8371" s="45" t="s">
        <v>59</v>
      </c>
      <c r="FJ8371" s="45" t="s">
        <v>59</v>
      </c>
    </row>
    <row r="8372" spans="153:166" x14ac:dyDescent="0.35">
      <c r="EW8372" t="s">
        <v>6281</v>
      </c>
      <c r="EX8372" s="44" t="s">
        <v>6656</v>
      </c>
      <c r="FF8372" s="45" t="s">
        <v>59</v>
      </c>
      <c r="FJ8372" s="45" t="s">
        <v>59</v>
      </c>
    </row>
    <row r="8373" spans="153:166" x14ac:dyDescent="0.35">
      <c r="EW8373" t="s">
        <v>6281</v>
      </c>
      <c r="EX8373" s="44" t="s">
        <v>6657</v>
      </c>
      <c r="FF8373" s="45" t="s">
        <v>59</v>
      </c>
      <c r="FJ8373" s="45" t="s">
        <v>59</v>
      </c>
    </row>
    <row r="8374" spans="153:166" x14ac:dyDescent="0.35">
      <c r="EW8374" t="s">
        <v>6281</v>
      </c>
      <c r="EX8374" s="44" t="s">
        <v>6658</v>
      </c>
      <c r="FF8374" s="45" t="s">
        <v>59</v>
      </c>
      <c r="FJ8374" s="45" t="s">
        <v>59</v>
      </c>
    </row>
    <row r="8375" spans="153:166" x14ac:dyDescent="0.35">
      <c r="EW8375" t="s">
        <v>6281</v>
      </c>
      <c r="EX8375" s="44" t="s">
        <v>6659</v>
      </c>
      <c r="FF8375" s="45" t="s">
        <v>59</v>
      </c>
      <c r="FJ8375" s="45" t="s">
        <v>59</v>
      </c>
    </row>
    <row r="8376" spans="153:166" x14ac:dyDescent="0.35">
      <c r="EW8376" t="s">
        <v>6281</v>
      </c>
      <c r="EX8376" s="44" t="s">
        <v>6660</v>
      </c>
      <c r="FF8376" s="45" t="s">
        <v>59</v>
      </c>
      <c r="FJ8376" s="45" t="s">
        <v>59</v>
      </c>
    </row>
    <row r="8377" spans="153:166" x14ac:dyDescent="0.35">
      <c r="EW8377" t="s">
        <v>6281</v>
      </c>
      <c r="EX8377" s="44" t="s">
        <v>6661</v>
      </c>
      <c r="FF8377" s="45" t="s">
        <v>59</v>
      </c>
      <c r="FJ8377" s="45" t="s">
        <v>59</v>
      </c>
    </row>
    <row r="8378" spans="153:166" x14ac:dyDescent="0.35">
      <c r="EW8378" t="s">
        <v>6281</v>
      </c>
      <c r="EX8378" s="44" t="s">
        <v>6662</v>
      </c>
      <c r="FF8378" s="45" t="s">
        <v>59</v>
      </c>
      <c r="FJ8378" s="45" t="s">
        <v>59</v>
      </c>
    </row>
    <row r="8379" spans="153:166" x14ac:dyDescent="0.35">
      <c r="EW8379" t="s">
        <v>6281</v>
      </c>
      <c r="EX8379" s="44" t="s">
        <v>6663</v>
      </c>
      <c r="FF8379" s="45" t="s">
        <v>59</v>
      </c>
      <c r="FJ8379" s="45" t="s">
        <v>59</v>
      </c>
    </row>
    <row r="8380" spans="153:166" x14ac:dyDescent="0.35">
      <c r="EW8380" t="s">
        <v>6281</v>
      </c>
      <c r="EX8380" s="44" t="s">
        <v>6664</v>
      </c>
      <c r="FF8380" s="45" t="s">
        <v>59</v>
      </c>
      <c r="FJ8380" s="45" t="s">
        <v>59</v>
      </c>
    </row>
    <row r="8381" spans="153:166" x14ac:dyDescent="0.35">
      <c r="EW8381" t="s">
        <v>6281</v>
      </c>
      <c r="EX8381" s="44" t="s">
        <v>6665</v>
      </c>
      <c r="FF8381" s="45" t="s">
        <v>59</v>
      </c>
      <c r="FJ8381" s="45" t="s">
        <v>59</v>
      </c>
    </row>
    <row r="8382" spans="153:166" x14ac:dyDescent="0.35">
      <c r="EW8382" t="s">
        <v>6281</v>
      </c>
      <c r="EX8382" s="44" t="s">
        <v>6666</v>
      </c>
      <c r="FF8382" s="45" t="s">
        <v>59</v>
      </c>
      <c r="FJ8382" s="45" t="s">
        <v>59</v>
      </c>
    </row>
    <row r="8383" spans="153:166" x14ac:dyDescent="0.35">
      <c r="EW8383" t="s">
        <v>6281</v>
      </c>
      <c r="EX8383" s="44" t="s">
        <v>6667</v>
      </c>
      <c r="FF8383" s="45" t="s">
        <v>59</v>
      </c>
      <c r="FJ8383" s="45" t="s">
        <v>59</v>
      </c>
    </row>
    <row r="8384" spans="153:166" x14ac:dyDescent="0.35">
      <c r="EW8384" t="s">
        <v>6281</v>
      </c>
      <c r="EX8384" s="44" t="s">
        <v>6668</v>
      </c>
      <c r="FF8384" s="45" t="s">
        <v>59</v>
      </c>
      <c r="FJ8384" s="45" t="s">
        <v>59</v>
      </c>
    </row>
    <row r="8385" spans="153:166" x14ac:dyDescent="0.35">
      <c r="EW8385" t="s">
        <v>6281</v>
      </c>
      <c r="EX8385" s="44" t="s">
        <v>6669</v>
      </c>
      <c r="FF8385" s="45" t="s">
        <v>59</v>
      </c>
      <c r="FJ8385" s="45" t="s">
        <v>59</v>
      </c>
    </row>
    <row r="8386" spans="153:166" x14ac:dyDescent="0.35">
      <c r="EW8386" t="s">
        <v>6281</v>
      </c>
      <c r="EX8386" s="44" t="s">
        <v>6670</v>
      </c>
      <c r="FF8386" s="45" t="s">
        <v>59</v>
      </c>
      <c r="FJ8386" s="45" t="s">
        <v>59</v>
      </c>
    </row>
    <row r="8387" spans="153:166" x14ac:dyDescent="0.35">
      <c r="EW8387" t="s">
        <v>6281</v>
      </c>
      <c r="EX8387" s="44" t="s">
        <v>6671</v>
      </c>
      <c r="FF8387" s="45" t="s">
        <v>59</v>
      </c>
      <c r="FJ8387" s="45" t="s">
        <v>59</v>
      </c>
    </row>
    <row r="8388" spans="153:166" x14ac:dyDescent="0.35">
      <c r="EW8388" t="s">
        <v>6281</v>
      </c>
      <c r="EX8388" s="44" t="s">
        <v>6672</v>
      </c>
      <c r="FF8388" s="45" t="s">
        <v>59</v>
      </c>
      <c r="FJ8388" s="45" t="s">
        <v>59</v>
      </c>
    </row>
    <row r="8389" spans="153:166" x14ac:dyDescent="0.35">
      <c r="EW8389" t="s">
        <v>6281</v>
      </c>
      <c r="EX8389" s="44" t="s">
        <v>6673</v>
      </c>
      <c r="FF8389" s="45" t="s">
        <v>59</v>
      </c>
      <c r="FJ8389" s="45" t="s">
        <v>59</v>
      </c>
    </row>
    <row r="8390" spans="153:166" x14ac:dyDescent="0.35">
      <c r="EW8390" t="s">
        <v>6281</v>
      </c>
      <c r="EX8390" s="44" t="s">
        <v>6674</v>
      </c>
      <c r="FF8390" s="45" t="s">
        <v>59</v>
      </c>
      <c r="FJ8390" s="45" t="s">
        <v>59</v>
      </c>
    </row>
    <row r="8391" spans="153:166" x14ac:dyDescent="0.35">
      <c r="EW8391" t="s">
        <v>6281</v>
      </c>
      <c r="EX8391" s="44" t="s">
        <v>6675</v>
      </c>
      <c r="FF8391" s="45" t="s">
        <v>59</v>
      </c>
      <c r="FJ8391" s="45" t="s">
        <v>59</v>
      </c>
    </row>
    <row r="8392" spans="153:166" x14ac:dyDescent="0.35">
      <c r="EW8392" t="s">
        <v>6281</v>
      </c>
      <c r="EX8392" s="44" t="s">
        <v>6676</v>
      </c>
      <c r="FF8392" s="45" t="s">
        <v>59</v>
      </c>
      <c r="FJ8392" s="45" t="s">
        <v>59</v>
      </c>
    </row>
    <row r="8393" spans="153:166" x14ac:dyDescent="0.35">
      <c r="EW8393" t="s">
        <v>6281</v>
      </c>
      <c r="EX8393" s="44" t="s">
        <v>6677</v>
      </c>
      <c r="FF8393" s="45" t="s">
        <v>59</v>
      </c>
      <c r="FJ8393" s="45" t="s">
        <v>59</v>
      </c>
    </row>
    <row r="8394" spans="153:166" x14ac:dyDescent="0.35">
      <c r="EW8394" t="s">
        <v>6281</v>
      </c>
      <c r="EX8394" s="44" t="s">
        <v>6678</v>
      </c>
      <c r="FF8394" s="45" t="s">
        <v>59</v>
      </c>
      <c r="FJ8394" s="45" t="s">
        <v>59</v>
      </c>
    </row>
    <row r="8395" spans="153:166" x14ac:dyDescent="0.35">
      <c r="EW8395" t="s">
        <v>6281</v>
      </c>
      <c r="EX8395" s="44" t="s">
        <v>6679</v>
      </c>
      <c r="FF8395" s="45" t="s">
        <v>59</v>
      </c>
      <c r="FJ8395" s="45" t="s">
        <v>59</v>
      </c>
    </row>
    <row r="8396" spans="153:166" x14ac:dyDescent="0.35">
      <c r="EW8396" t="s">
        <v>6281</v>
      </c>
      <c r="EX8396" s="44" t="s">
        <v>6680</v>
      </c>
      <c r="FF8396" s="45" t="s">
        <v>59</v>
      </c>
      <c r="FJ8396" s="45" t="s">
        <v>59</v>
      </c>
    </row>
    <row r="8397" spans="153:166" x14ac:dyDescent="0.35">
      <c r="EW8397" t="s">
        <v>6281</v>
      </c>
      <c r="EX8397" s="44" t="s">
        <v>6681</v>
      </c>
      <c r="FF8397" s="45" t="s">
        <v>59</v>
      </c>
      <c r="FJ8397" s="45" t="s">
        <v>59</v>
      </c>
    </row>
    <row r="8398" spans="153:166" x14ac:dyDescent="0.35">
      <c r="EW8398" t="s">
        <v>6281</v>
      </c>
      <c r="EX8398" s="44" t="s">
        <v>6682</v>
      </c>
      <c r="FF8398" s="45" t="s">
        <v>59</v>
      </c>
      <c r="FJ8398" s="45" t="s">
        <v>59</v>
      </c>
    </row>
    <row r="8399" spans="153:166" x14ac:dyDescent="0.35">
      <c r="EW8399" t="s">
        <v>6281</v>
      </c>
      <c r="EX8399" s="44" t="s">
        <v>6683</v>
      </c>
      <c r="FF8399" s="45" t="s">
        <v>59</v>
      </c>
      <c r="FJ8399" s="45" t="s">
        <v>59</v>
      </c>
    </row>
    <row r="8400" spans="153:166" x14ac:dyDescent="0.35">
      <c r="EW8400" t="s">
        <v>6281</v>
      </c>
      <c r="EX8400" s="44" t="s">
        <v>6684</v>
      </c>
      <c r="FF8400" s="45" t="s">
        <v>59</v>
      </c>
      <c r="FJ8400" s="45" t="s">
        <v>59</v>
      </c>
    </row>
    <row r="8401" spans="153:166" x14ac:dyDescent="0.35">
      <c r="EW8401" t="s">
        <v>6281</v>
      </c>
      <c r="EX8401" s="44" t="s">
        <v>6685</v>
      </c>
      <c r="FF8401" s="45" t="s">
        <v>59</v>
      </c>
      <c r="FJ8401" s="45" t="s">
        <v>59</v>
      </c>
    </row>
    <row r="8402" spans="153:166" x14ac:dyDescent="0.35">
      <c r="EW8402" t="s">
        <v>6281</v>
      </c>
      <c r="EX8402" s="44" t="s">
        <v>6686</v>
      </c>
      <c r="FF8402" s="45" t="s">
        <v>59</v>
      </c>
      <c r="FJ8402" s="45" t="s">
        <v>59</v>
      </c>
    </row>
    <row r="8403" spans="153:166" x14ac:dyDescent="0.35">
      <c r="EW8403" t="s">
        <v>6281</v>
      </c>
      <c r="EX8403" s="44" t="s">
        <v>6687</v>
      </c>
      <c r="FF8403" s="45" t="s">
        <v>59</v>
      </c>
      <c r="FJ8403" s="45" t="s">
        <v>59</v>
      </c>
    </row>
    <row r="8404" spans="153:166" x14ac:dyDescent="0.35">
      <c r="EW8404" t="s">
        <v>6281</v>
      </c>
      <c r="EX8404" s="44" t="s">
        <v>6688</v>
      </c>
      <c r="FF8404" s="45" t="s">
        <v>59</v>
      </c>
      <c r="FJ8404" s="45" t="s">
        <v>59</v>
      </c>
    </row>
    <row r="8405" spans="153:166" x14ac:dyDescent="0.35">
      <c r="EW8405" t="s">
        <v>6281</v>
      </c>
      <c r="EX8405" s="44" t="s">
        <v>6689</v>
      </c>
      <c r="FF8405" s="45" t="s">
        <v>59</v>
      </c>
      <c r="FJ8405" s="45" t="s">
        <v>59</v>
      </c>
    </row>
    <row r="8406" spans="153:166" x14ac:dyDescent="0.35">
      <c r="EW8406" t="s">
        <v>6281</v>
      </c>
      <c r="EX8406" s="44" t="s">
        <v>6690</v>
      </c>
      <c r="FF8406" s="45" t="s">
        <v>59</v>
      </c>
      <c r="FJ8406" s="45" t="s">
        <v>59</v>
      </c>
    </row>
    <row r="8407" spans="153:166" x14ac:dyDescent="0.35">
      <c r="EW8407" t="s">
        <v>6281</v>
      </c>
      <c r="EX8407" s="44" t="s">
        <v>6691</v>
      </c>
      <c r="FF8407" s="45" t="s">
        <v>59</v>
      </c>
      <c r="FJ8407" s="45" t="s">
        <v>59</v>
      </c>
    </row>
    <row r="8408" spans="153:166" x14ac:dyDescent="0.35">
      <c r="EW8408" t="s">
        <v>6281</v>
      </c>
      <c r="EX8408" s="44" t="s">
        <v>6692</v>
      </c>
      <c r="FF8408" s="45" t="s">
        <v>59</v>
      </c>
      <c r="FJ8408" s="45" t="s">
        <v>59</v>
      </c>
    </row>
    <row r="8409" spans="153:166" x14ac:dyDescent="0.35">
      <c r="EW8409" t="s">
        <v>6281</v>
      </c>
      <c r="EX8409" s="44" t="s">
        <v>6693</v>
      </c>
      <c r="FF8409" s="45" t="s">
        <v>59</v>
      </c>
      <c r="FJ8409" s="45" t="s">
        <v>59</v>
      </c>
    </row>
    <row r="8410" spans="153:166" x14ac:dyDescent="0.35">
      <c r="EW8410" t="s">
        <v>6281</v>
      </c>
      <c r="EX8410" s="44" t="s">
        <v>6694</v>
      </c>
      <c r="FF8410" s="45" t="s">
        <v>59</v>
      </c>
      <c r="FJ8410" s="45" t="s">
        <v>59</v>
      </c>
    </row>
    <row r="8411" spans="153:166" x14ac:dyDescent="0.35">
      <c r="EW8411" t="s">
        <v>6281</v>
      </c>
      <c r="EX8411" s="44" t="s">
        <v>6695</v>
      </c>
      <c r="FF8411" s="45" t="s">
        <v>59</v>
      </c>
      <c r="FJ8411" s="45" t="s">
        <v>59</v>
      </c>
    </row>
    <row r="8412" spans="153:166" x14ac:dyDescent="0.35">
      <c r="EW8412" t="s">
        <v>6281</v>
      </c>
      <c r="EX8412" s="44" t="s">
        <v>6696</v>
      </c>
      <c r="FF8412" s="45" t="s">
        <v>59</v>
      </c>
      <c r="FJ8412" s="45" t="s">
        <v>59</v>
      </c>
    </row>
    <row r="8413" spans="153:166" x14ac:dyDescent="0.35">
      <c r="EW8413" t="s">
        <v>6281</v>
      </c>
      <c r="EX8413" s="44" t="s">
        <v>6697</v>
      </c>
      <c r="FF8413" s="45" t="s">
        <v>59</v>
      </c>
      <c r="FJ8413" s="45" t="s">
        <v>59</v>
      </c>
    </row>
    <row r="8414" spans="153:166" x14ac:dyDescent="0.35">
      <c r="EW8414" t="s">
        <v>6281</v>
      </c>
      <c r="EX8414" s="44" t="s">
        <v>6698</v>
      </c>
      <c r="FF8414" s="45" t="s">
        <v>59</v>
      </c>
      <c r="FJ8414" s="45" t="s">
        <v>59</v>
      </c>
    </row>
    <row r="8415" spans="153:166" x14ac:dyDescent="0.35">
      <c r="EW8415" t="s">
        <v>6281</v>
      </c>
      <c r="EX8415" s="44" t="s">
        <v>6699</v>
      </c>
      <c r="FF8415" s="45" t="s">
        <v>59</v>
      </c>
      <c r="FJ8415" s="45" t="s">
        <v>59</v>
      </c>
    </row>
    <row r="8416" spans="153:166" x14ac:dyDescent="0.35">
      <c r="EW8416" t="s">
        <v>6281</v>
      </c>
      <c r="EX8416" s="44" t="s">
        <v>6700</v>
      </c>
      <c r="FF8416" s="45" t="s">
        <v>59</v>
      </c>
      <c r="FJ8416" s="45" t="s">
        <v>59</v>
      </c>
    </row>
    <row r="8417" spans="153:169" x14ac:dyDescent="0.35">
      <c r="EW8417" t="s">
        <v>6281</v>
      </c>
      <c r="EX8417" s="44" t="s">
        <v>6701</v>
      </c>
      <c r="FF8417" s="45" t="s">
        <v>59</v>
      </c>
      <c r="FJ8417" s="45" t="s">
        <v>59</v>
      </c>
    </row>
    <row r="8418" spans="153:169" x14ac:dyDescent="0.35">
      <c r="EW8418" t="s">
        <v>6281</v>
      </c>
      <c r="EX8418" s="44" t="s">
        <v>6702</v>
      </c>
      <c r="FF8418" s="45" t="s">
        <v>59</v>
      </c>
      <c r="FJ8418" s="45" t="s">
        <v>59</v>
      </c>
    </row>
    <row r="8419" spans="153:169" x14ac:dyDescent="0.35">
      <c r="EW8419" t="s">
        <v>6281</v>
      </c>
      <c r="EX8419" s="44" t="s">
        <v>6703</v>
      </c>
      <c r="FF8419" s="45" t="s">
        <v>1727</v>
      </c>
      <c r="FJ8419" s="45" t="s">
        <v>1727</v>
      </c>
    </row>
    <row r="8420" spans="153:169" x14ac:dyDescent="0.35">
      <c r="EW8420" t="s">
        <v>6281</v>
      </c>
      <c r="EX8420" s="44" t="s">
        <v>6704</v>
      </c>
      <c r="FF8420" s="45" t="s">
        <v>1727</v>
      </c>
      <c r="FJ8420" s="45" t="s">
        <v>1727</v>
      </c>
      <c r="FM8420" t="s">
        <v>6704</v>
      </c>
    </row>
    <row r="8421" spans="153:169" x14ac:dyDescent="0.35">
      <c r="EW8421" t="s">
        <v>6281</v>
      </c>
      <c r="EX8421" s="44" t="s">
        <v>6705</v>
      </c>
      <c r="FF8421" s="45" t="s">
        <v>1727</v>
      </c>
      <c r="FJ8421" s="45" t="s">
        <v>1727</v>
      </c>
    </row>
    <row r="8422" spans="153:169" x14ac:dyDescent="0.35">
      <c r="EW8422" t="s">
        <v>6281</v>
      </c>
      <c r="EX8422" s="44" t="s">
        <v>6706</v>
      </c>
      <c r="FF8422" s="45" t="s">
        <v>1727</v>
      </c>
      <c r="FJ8422" s="45" t="s">
        <v>1727</v>
      </c>
    </row>
    <row r="8423" spans="153:169" x14ac:dyDescent="0.35">
      <c r="EW8423" t="s">
        <v>6281</v>
      </c>
      <c r="EX8423" s="44" t="s">
        <v>6707</v>
      </c>
      <c r="FF8423" s="45" t="s">
        <v>1727</v>
      </c>
      <c r="FJ8423" s="45" t="s">
        <v>1727</v>
      </c>
    </row>
    <row r="8424" spans="153:169" x14ac:dyDescent="0.35">
      <c r="EW8424" t="s">
        <v>6281</v>
      </c>
      <c r="EX8424" s="44" t="s">
        <v>6708</v>
      </c>
      <c r="FF8424" s="45" t="s">
        <v>1727</v>
      </c>
      <c r="FJ8424" s="45" t="s">
        <v>1727</v>
      </c>
    </row>
    <row r="8425" spans="153:169" x14ac:dyDescent="0.35">
      <c r="EW8425" t="s">
        <v>6281</v>
      </c>
      <c r="EX8425" s="44" t="s">
        <v>6709</v>
      </c>
      <c r="FF8425" s="45" t="s">
        <v>1727</v>
      </c>
      <c r="FJ8425" s="45" t="s">
        <v>1727</v>
      </c>
    </row>
    <row r="8426" spans="153:169" x14ac:dyDescent="0.35">
      <c r="EW8426" t="s">
        <v>6281</v>
      </c>
      <c r="EX8426" s="44" t="s">
        <v>6710</v>
      </c>
      <c r="FF8426" s="45" t="s">
        <v>1727</v>
      </c>
      <c r="FJ8426" s="45" t="s">
        <v>1727</v>
      </c>
    </row>
    <row r="8427" spans="153:169" x14ac:dyDescent="0.35">
      <c r="EW8427" t="s">
        <v>6281</v>
      </c>
      <c r="EX8427" s="44" t="s">
        <v>6711</v>
      </c>
      <c r="FF8427" s="45" t="s">
        <v>55</v>
      </c>
      <c r="FJ8427" s="45" t="s">
        <v>55</v>
      </c>
    </row>
    <row r="8428" spans="153:169" x14ac:dyDescent="0.35">
      <c r="EW8428" t="s">
        <v>6281</v>
      </c>
      <c r="EX8428" s="44" t="s">
        <v>6712</v>
      </c>
      <c r="FF8428" s="45" t="s">
        <v>55</v>
      </c>
      <c r="FJ8428" s="45" t="s">
        <v>55</v>
      </c>
    </row>
    <row r="8429" spans="153:169" x14ac:dyDescent="0.35">
      <c r="EW8429" t="s">
        <v>6281</v>
      </c>
      <c r="EX8429" s="44" t="s">
        <v>6713</v>
      </c>
      <c r="FF8429" s="45" t="s">
        <v>1727</v>
      </c>
      <c r="FJ8429" s="45" t="s">
        <v>1727</v>
      </c>
    </row>
    <row r="8430" spans="153:169" x14ac:dyDescent="0.35">
      <c r="EW8430" t="s">
        <v>6281</v>
      </c>
      <c r="EX8430" s="44" t="s">
        <v>6714</v>
      </c>
      <c r="FF8430" s="45" t="s">
        <v>1727</v>
      </c>
      <c r="FJ8430" s="45" t="s">
        <v>1727</v>
      </c>
    </row>
    <row r="8431" spans="153:169" x14ac:dyDescent="0.35">
      <c r="EW8431" t="s">
        <v>6281</v>
      </c>
      <c r="EX8431" s="44" t="s">
        <v>6715</v>
      </c>
      <c r="FF8431" s="45" t="s">
        <v>474</v>
      </c>
      <c r="FJ8431" s="45" t="s">
        <v>474</v>
      </c>
    </row>
    <row r="8432" spans="153:169" x14ac:dyDescent="0.35">
      <c r="EW8432" t="s">
        <v>6281</v>
      </c>
      <c r="EX8432" s="44" t="s">
        <v>6716</v>
      </c>
      <c r="FF8432" s="45" t="s">
        <v>474</v>
      </c>
      <c r="FJ8432" s="45" t="s">
        <v>474</v>
      </c>
    </row>
    <row r="8433" spans="153:166" x14ac:dyDescent="0.35">
      <c r="EW8433" t="s">
        <v>6281</v>
      </c>
      <c r="EX8433" s="44" t="s">
        <v>6717</v>
      </c>
      <c r="FF8433" s="45" t="s">
        <v>474</v>
      </c>
      <c r="FJ8433" s="45" t="s">
        <v>474</v>
      </c>
    </row>
    <row r="8434" spans="153:166" x14ac:dyDescent="0.35">
      <c r="EW8434" t="s">
        <v>6281</v>
      </c>
      <c r="EX8434" s="44" t="s">
        <v>6718</v>
      </c>
      <c r="FF8434" s="45" t="s">
        <v>474</v>
      </c>
      <c r="FJ8434" s="45" t="s">
        <v>474</v>
      </c>
    </row>
    <row r="8435" spans="153:166" x14ac:dyDescent="0.35">
      <c r="EW8435" t="s">
        <v>6281</v>
      </c>
      <c r="EX8435" s="44" t="s">
        <v>6719</v>
      </c>
      <c r="FF8435" s="45" t="s">
        <v>474</v>
      </c>
      <c r="FJ8435" s="45" t="s">
        <v>474</v>
      </c>
    </row>
    <row r="8436" spans="153:166" x14ac:dyDescent="0.35">
      <c r="EW8436" t="s">
        <v>6281</v>
      </c>
      <c r="EX8436" s="44" t="s">
        <v>6720</v>
      </c>
      <c r="FF8436" s="45" t="s">
        <v>474</v>
      </c>
      <c r="FJ8436" s="45" t="s">
        <v>474</v>
      </c>
    </row>
    <row r="8437" spans="153:166" x14ac:dyDescent="0.35">
      <c r="EW8437" t="s">
        <v>6281</v>
      </c>
      <c r="EX8437" s="44" t="s">
        <v>6721</v>
      </c>
      <c r="FF8437" s="45" t="s">
        <v>474</v>
      </c>
      <c r="FJ8437" s="45" t="s">
        <v>474</v>
      </c>
    </row>
    <row r="8438" spans="153:166" x14ac:dyDescent="0.35">
      <c r="EW8438" t="s">
        <v>6281</v>
      </c>
      <c r="EX8438" s="44" t="s">
        <v>6722</v>
      </c>
      <c r="FF8438" s="45" t="s">
        <v>474</v>
      </c>
      <c r="FJ8438" s="45" t="s">
        <v>474</v>
      </c>
    </row>
    <row r="8439" spans="153:166" x14ac:dyDescent="0.35">
      <c r="EW8439" t="s">
        <v>6281</v>
      </c>
      <c r="EX8439" s="44" t="s">
        <v>6723</v>
      </c>
      <c r="FF8439" s="45" t="s">
        <v>474</v>
      </c>
      <c r="FJ8439" s="45" t="s">
        <v>474</v>
      </c>
    </row>
    <row r="8440" spans="153:166" x14ac:dyDescent="0.35">
      <c r="EW8440" t="s">
        <v>6281</v>
      </c>
      <c r="EX8440" s="44" t="s">
        <v>6724</v>
      </c>
      <c r="FF8440" s="45" t="s">
        <v>474</v>
      </c>
      <c r="FJ8440" s="45" t="s">
        <v>474</v>
      </c>
    </row>
    <row r="8441" spans="153:166" x14ac:dyDescent="0.35">
      <c r="EW8441" t="s">
        <v>6281</v>
      </c>
      <c r="EX8441" s="44" t="s">
        <v>6725</v>
      </c>
      <c r="FF8441" s="45" t="s">
        <v>474</v>
      </c>
      <c r="FJ8441" s="45" t="s">
        <v>474</v>
      </c>
    </row>
    <row r="8442" spans="153:166" x14ac:dyDescent="0.35">
      <c r="EW8442" t="s">
        <v>6281</v>
      </c>
      <c r="EX8442" s="44" t="s">
        <v>6726</v>
      </c>
      <c r="FF8442" s="45" t="s">
        <v>474</v>
      </c>
      <c r="FJ8442" s="45" t="s">
        <v>474</v>
      </c>
    </row>
    <row r="8443" spans="153:166" x14ac:dyDescent="0.35">
      <c r="EW8443" t="s">
        <v>6281</v>
      </c>
      <c r="EX8443" s="44" t="s">
        <v>6727</v>
      </c>
      <c r="FF8443" s="45" t="s">
        <v>474</v>
      </c>
      <c r="FJ8443" s="45" t="s">
        <v>474</v>
      </c>
    </row>
    <row r="8444" spans="153:166" x14ac:dyDescent="0.35">
      <c r="EW8444" t="s">
        <v>6281</v>
      </c>
      <c r="EX8444" s="44" t="s">
        <v>6728</v>
      </c>
      <c r="FF8444" s="45" t="s">
        <v>474</v>
      </c>
      <c r="FJ8444" s="45" t="s">
        <v>474</v>
      </c>
    </row>
    <row r="8445" spans="153:166" x14ac:dyDescent="0.35">
      <c r="EW8445" t="s">
        <v>6281</v>
      </c>
      <c r="EX8445" s="44" t="s">
        <v>6729</v>
      </c>
      <c r="FF8445" s="45" t="s">
        <v>474</v>
      </c>
      <c r="FJ8445" s="45" t="s">
        <v>474</v>
      </c>
    </row>
    <row r="8446" spans="153:166" x14ac:dyDescent="0.35">
      <c r="EW8446" t="s">
        <v>6281</v>
      </c>
      <c r="EX8446" s="44" t="s">
        <v>6730</v>
      </c>
      <c r="FF8446" s="45" t="s">
        <v>474</v>
      </c>
      <c r="FJ8446" s="45" t="s">
        <v>474</v>
      </c>
    </row>
    <row r="8447" spans="153:166" x14ac:dyDescent="0.35">
      <c r="EW8447" t="s">
        <v>6281</v>
      </c>
      <c r="EX8447" s="44" t="s">
        <v>6731</v>
      </c>
      <c r="FF8447" s="45" t="s">
        <v>474</v>
      </c>
      <c r="FJ8447" s="45" t="s">
        <v>474</v>
      </c>
    </row>
    <row r="8448" spans="153:166" x14ac:dyDescent="0.35">
      <c r="EW8448" t="s">
        <v>6281</v>
      </c>
      <c r="EX8448" s="44" t="s">
        <v>6732</v>
      </c>
      <c r="FF8448" s="45" t="s">
        <v>474</v>
      </c>
      <c r="FJ8448" s="45" t="s">
        <v>474</v>
      </c>
    </row>
    <row r="8449" spans="153:166" x14ac:dyDescent="0.35">
      <c r="EW8449" t="s">
        <v>6281</v>
      </c>
      <c r="EX8449" s="44" t="s">
        <v>6733</v>
      </c>
      <c r="FF8449" s="45" t="s">
        <v>474</v>
      </c>
      <c r="FJ8449" s="45" t="s">
        <v>474</v>
      </c>
    </row>
    <row r="8450" spans="153:166" x14ac:dyDescent="0.35">
      <c r="EW8450" t="s">
        <v>6281</v>
      </c>
      <c r="EX8450" s="44" t="s">
        <v>6734</v>
      </c>
      <c r="FF8450" s="45" t="s">
        <v>474</v>
      </c>
      <c r="FJ8450" s="45" t="s">
        <v>474</v>
      </c>
    </row>
    <row r="8451" spans="153:166" x14ac:dyDescent="0.35">
      <c r="EW8451" t="s">
        <v>6281</v>
      </c>
      <c r="EX8451" s="44" t="s">
        <v>6735</v>
      </c>
      <c r="FF8451" s="45" t="s">
        <v>474</v>
      </c>
      <c r="FJ8451" s="45" t="s">
        <v>474</v>
      </c>
    </row>
    <row r="8452" spans="153:166" x14ac:dyDescent="0.35">
      <c r="EW8452" t="s">
        <v>6281</v>
      </c>
      <c r="EX8452" s="44" t="s">
        <v>6736</v>
      </c>
      <c r="FF8452" s="45" t="s">
        <v>474</v>
      </c>
      <c r="FJ8452" s="45" t="s">
        <v>474</v>
      </c>
    </row>
    <row r="8453" spans="153:166" x14ac:dyDescent="0.35">
      <c r="EW8453" t="s">
        <v>6281</v>
      </c>
      <c r="EX8453" s="44" t="s">
        <v>6737</v>
      </c>
      <c r="FF8453" s="45" t="s">
        <v>474</v>
      </c>
      <c r="FJ8453" s="45" t="s">
        <v>474</v>
      </c>
    </row>
    <row r="8454" spans="153:166" x14ac:dyDescent="0.35">
      <c r="EW8454" t="s">
        <v>6281</v>
      </c>
      <c r="EX8454" s="44" t="s">
        <v>6738</v>
      </c>
      <c r="FF8454" s="45" t="s">
        <v>474</v>
      </c>
      <c r="FJ8454" s="45" t="s">
        <v>474</v>
      </c>
    </row>
    <row r="8455" spans="153:166" x14ac:dyDescent="0.35">
      <c r="EW8455" t="s">
        <v>6281</v>
      </c>
      <c r="EX8455" s="44" t="s">
        <v>6739</v>
      </c>
      <c r="FF8455" s="45" t="s">
        <v>474</v>
      </c>
      <c r="FJ8455" s="45" t="s">
        <v>474</v>
      </c>
    </row>
    <row r="8456" spans="153:166" x14ac:dyDescent="0.35">
      <c r="EW8456" t="s">
        <v>6281</v>
      </c>
      <c r="EX8456" s="44" t="s">
        <v>6740</v>
      </c>
      <c r="FF8456" s="45" t="s">
        <v>474</v>
      </c>
      <c r="FJ8456" s="45" t="s">
        <v>474</v>
      </c>
    </row>
    <row r="8457" spans="153:166" x14ac:dyDescent="0.35">
      <c r="EW8457" t="s">
        <v>6281</v>
      </c>
      <c r="EX8457" s="44" t="s">
        <v>6741</v>
      </c>
      <c r="FF8457" s="45" t="s">
        <v>474</v>
      </c>
      <c r="FJ8457" s="45" t="s">
        <v>474</v>
      </c>
    </row>
    <row r="8458" spans="153:166" x14ac:dyDescent="0.35">
      <c r="EW8458" t="s">
        <v>6281</v>
      </c>
      <c r="EX8458" s="44" t="s">
        <v>6742</v>
      </c>
      <c r="FF8458" s="45" t="s">
        <v>474</v>
      </c>
      <c r="FJ8458" s="45" t="s">
        <v>474</v>
      </c>
    </row>
    <row r="8459" spans="153:166" x14ac:dyDescent="0.35">
      <c r="EW8459" t="s">
        <v>6281</v>
      </c>
      <c r="EX8459" s="44" t="s">
        <v>6743</v>
      </c>
      <c r="FF8459" s="45" t="s">
        <v>474</v>
      </c>
      <c r="FJ8459" s="45" t="s">
        <v>474</v>
      </c>
    </row>
    <row r="8460" spans="153:166" x14ac:dyDescent="0.35">
      <c r="EW8460" t="s">
        <v>6281</v>
      </c>
      <c r="EX8460" s="44" t="s">
        <v>6744</v>
      </c>
      <c r="FF8460" s="45" t="s">
        <v>474</v>
      </c>
      <c r="FJ8460" s="45" t="s">
        <v>474</v>
      </c>
    </row>
    <row r="8461" spans="153:166" x14ac:dyDescent="0.35">
      <c r="EW8461" t="s">
        <v>6281</v>
      </c>
      <c r="EX8461" s="44" t="s">
        <v>6745</v>
      </c>
      <c r="FF8461" s="45" t="s">
        <v>474</v>
      </c>
      <c r="FJ8461" s="45" t="s">
        <v>474</v>
      </c>
    </row>
    <row r="8462" spans="153:166" x14ac:dyDescent="0.35">
      <c r="EW8462" t="s">
        <v>6281</v>
      </c>
      <c r="EX8462" s="44" t="s">
        <v>6746</v>
      </c>
      <c r="FF8462" s="45" t="s">
        <v>474</v>
      </c>
      <c r="FJ8462" s="45" t="s">
        <v>474</v>
      </c>
    </row>
    <row r="8463" spans="153:166" x14ac:dyDescent="0.35">
      <c r="EW8463" t="s">
        <v>6281</v>
      </c>
      <c r="EX8463" s="44" t="s">
        <v>6747</v>
      </c>
      <c r="FF8463" s="45" t="s">
        <v>474</v>
      </c>
      <c r="FJ8463" s="45" t="s">
        <v>474</v>
      </c>
    </row>
    <row r="8464" spans="153:166" x14ac:dyDescent="0.35">
      <c r="EW8464" t="s">
        <v>6281</v>
      </c>
      <c r="EX8464" s="44" t="s">
        <v>6748</v>
      </c>
      <c r="FF8464" s="45" t="s">
        <v>474</v>
      </c>
      <c r="FJ8464" s="45" t="s">
        <v>474</v>
      </c>
    </row>
    <row r="8465" spans="153:166" x14ac:dyDescent="0.35">
      <c r="EW8465" t="s">
        <v>6281</v>
      </c>
      <c r="EX8465" s="44" t="s">
        <v>6749</v>
      </c>
      <c r="FF8465" s="45" t="s">
        <v>474</v>
      </c>
      <c r="FJ8465" s="45" t="s">
        <v>474</v>
      </c>
    </row>
    <row r="8466" spans="153:166" x14ac:dyDescent="0.35">
      <c r="EW8466" t="s">
        <v>6281</v>
      </c>
      <c r="EX8466" s="44" t="s">
        <v>6750</v>
      </c>
      <c r="FF8466" s="45" t="s">
        <v>474</v>
      </c>
      <c r="FJ8466" s="45" t="s">
        <v>474</v>
      </c>
    </row>
    <row r="8467" spans="153:166" x14ac:dyDescent="0.35">
      <c r="EW8467" t="s">
        <v>6281</v>
      </c>
      <c r="EX8467" s="44" t="s">
        <v>6751</v>
      </c>
      <c r="FF8467" s="45" t="s">
        <v>474</v>
      </c>
      <c r="FJ8467" s="45" t="s">
        <v>474</v>
      </c>
    </row>
    <row r="8468" spans="153:166" x14ac:dyDescent="0.35">
      <c r="EW8468" t="s">
        <v>6281</v>
      </c>
      <c r="EX8468" s="44" t="s">
        <v>6752</v>
      </c>
      <c r="FF8468" s="45" t="s">
        <v>474</v>
      </c>
      <c r="FJ8468" s="45" t="s">
        <v>474</v>
      </c>
    </row>
    <row r="8469" spans="153:166" x14ac:dyDescent="0.35">
      <c r="EW8469" t="s">
        <v>6281</v>
      </c>
      <c r="EX8469" s="44" t="s">
        <v>6753</v>
      </c>
      <c r="FF8469" s="45" t="s">
        <v>474</v>
      </c>
      <c r="FJ8469" s="45" t="s">
        <v>474</v>
      </c>
    </row>
    <row r="8470" spans="153:166" x14ac:dyDescent="0.35">
      <c r="EW8470" t="s">
        <v>6281</v>
      </c>
      <c r="EX8470" s="44" t="s">
        <v>6754</v>
      </c>
      <c r="FF8470" s="45" t="s">
        <v>474</v>
      </c>
      <c r="FJ8470" s="45" t="s">
        <v>474</v>
      </c>
    </row>
    <row r="8471" spans="153:166" x14ac:dyDescent="0.35">
      <c r="EW8471" t="s">
        <v>6281</v>
      </c>
      <c r="EX8471" s="44" t="s">
        <v>6755</v>
      </c>
      <c r="FF8471" s="45" t="s">
        <v>474</v>
      </c>
      <c r="FJ8471" s="45" t="s">
        <v>474</v>
      </c>
    </row>
    <row r="8472" spans="153:166" x14ac:dyDescent="0.35">
      <c r="EW8472" t="s">
        <v>6281</v>
      </c>
      <c r="EX8472" s="44" t="s">
        <v>6756</v>
      </c>
      <c r="FF8472" s="45" t="s">
        <v>474</v>
      </c>
      <c r="FJ8472" s="45" t="s">
        <v>474</v>
      </c>
    </row>
    <row r="8473" spans="153:166" x14ac:dyDescent="0.35">
      <c r="EW8473" t="s">
        <v>6281</v>
      </c>
      <c r="EX8473" s="44" t="s">
        <v>6757</v>
      </c>
      <c r="FF8473" s="45" t="s">
        <v>474</v>
      </c>
      <c r="FJ8473" s="45" t="s">
        <v>474</v>
      </c>
    </row>
    <row r="8474" spans="153:166" x14ac:dyDescent="0.35">
      <c r="EW8474" t="s">
        <v>6281</v>
      </c>
      <c r="EX8474" s="44" t="s">
        <v>6758</v>
      </c>
      <c r="FF8474" s="45" t="s">
        <v>474</v>
      </c>
      <c r="FJ8474" s="45" t="s">
        <v>474</v>
      </c>
    </row>
    <row r="8475" spans="153:166" x14ac:dyDescent="0.35">
      <c r="EW8475" t="s">
        <v>6281</v>
      </c>
      <c r="EX8475" s="44" t="s">
        <v>6759</v>
      </c>
      <c r="FF8475" s="45" t="s">
        <v>474</v>
      </c>
      <c r="FJ8475" s="45" t="s">
        <v>474</v>
      </c>
    </row>
    <row r="8476" spans="153:166" x14ac:dyDescent="0.35">
      <c r="EW8476" t="s">
        <v>6281</v>
      </c>
      <c r="EX8476" s="44" t="s">
        <v>6760</v>
      </c>
      <c r="FF8476" s="45" t="s">
        <v>474</v>
      </c>
      <c r="FJ8476" s="45" t="s">
        <v>474</v>
      </c>
    </row>
    <row r="8477" spans="153:166" x14ac:dyDescent="0.35">
      <c r="EW8477" t="s">
        <v>6281</v>
      </c>
      <c r="EX8477" s="44" t="s">
        <v>6761</v>
      </c>
      <c r="FF8477" s="45" t="s">
        <v>474</v>
      </c>
      <c r="FJ8477" s="45" t="s">
        <v>474</v>
      </c>
    </row>
    <row r="8478" spans="153:166" x14ac:dyDescent="0.35">
      <c r="EW8478" t="s">
        <v>6281</v>
      </c>
      <c r="EX8478" s="44" t="s">
        <v>6762</v>
      </c>
      <c r="FF8478" s="45" t="s">
        <v>474</v>
      </c>
      <c r="FJ8478" s="45" t="s">
        <v>474</v>
      </c>
    </row>
    <row r="8479" spans="153:166" x14ac:dyDescent="0.35">
      <c r="EW8479" t="s">
        <v>6281</v>
      </c>
      <c r="EX8479" s="44" t="s">
        <v>6763</v>
      </c>
      <c r="FF8479" s="45" t="s">
        <v>474</v>
      </c>
      <c r="FJ8479" s="45" t="s">
        <v>474</v>
      </c>
    </row>
    <row r="8480" spans="153:166" x14ac:dyDescent="0.35">
      <c r="EW8480" t="s">
        <v>6281</v>
      </c>
      <c r="EX8480" s="44" t="s">
        <v>6764</v>
      </c>
      <c r="FF8480" s="45" t="s">
        <v>474</v>
      </c>
      <c r="FJ8480" s="45" t="s">
        <v>474</v>
      </c>
    </row>
    <row r="8481" spans="153:166" x14ac:dyDescent="0.35">
      <c r="EW8481" t="s">
        <v>6281</v>
      </c>
      <c r="EX8481" s="44" t="s">
        <v>6765</v>
      </c>
      <c r="FF8481" s="45" t="s">
        <v>474</v>
      </c>
      <c r="FJ8481" s="45" t="s">
        <v>474</v>
      </c>
    </row>
    <row r="8482" spans="153:166" x14ac:dyDescent="0.35">
      <c r="EW8482" t="s">
        <v>6281</v>
      </c>
      <c r="EX8482" s="44" t="s">
        <v>6766</v>
      </c>
      <c r="FF8482" s="45" t="s">
        <v>474</v>
      </c>
      <c r="FJ8482" s="45" t="s">
        <v>474</v>
      </c>
    </row>
    <row r="8483" spans="153:166" x14ac:dyDescent="0.35">
      <c r="EW8483" t="s">
        <v>6281</v>
      </c>
      <c r="EX8483" s="44" t="s">
        <v>6767</v>
      </c>
      <c r="FF8483" s="45" t="s">
        <v>474</v>
      </c>
      <c r="FJ8483" s="45" t="s">
        <v>474</v>
      </c>
    </row>
    <row r="8484" spans="153:166" x14ac:dyDescent="0.35">
      <c r="EW8484" t="s">
        <v>6281</v>
      </c>
      <c r="EX8484" s="44" t="s">
        <v>6768</v>
      </c>
      <c r="FF8484" s="45" t="s">
        <v>474</v>
      </c>
      <c r="FJ8484" s="45" t="s">
        <v>474</v>
      </c>
    </row>
    <row r="8485" spans="153:166" x14ac:dyDescent="0.35">
      <c r="EW8485" t="s">
        <v>6281</v>
      </c>
      <c r="EX8485" s="44" t="s">
        <v>6769</v>
      </c>
      <c r="FF8485" s="45" t="s">
        <v>474</v>
      </c>
      <c r="FJ8485" s="45" t="s">
        <v>474</v>
      </c>
    </row>
    <row r="8486" spans="153:166" x14ac:dyDescent="0.35">
      <c r="EW8486" t="s">
        <v>6281</v>
      </c>
      <c r="EX8486" s="44" t="s">
        <v>6770</v>
      </c>
      <c r="FF8486" s="45" t="s">
        <v>474</v>
      </c>
      <c r="FJ8486" s="45" t="s">
        <v>474</v>
      </c>
    </row>
    <row r="8487" spans="153:166" x14ac:dyDescent="0.35">
      <c r="EW8487" t="s">
        <v>6281</v>
      </c>
      <c r="EX8487" s="44" t="s">
        <v>6771</v>
      </c>
      <c r="FF8487" s="45" t="s">
        <v>474</v>
      </c>
      <c r="FJ8487" s="45" t="s">
        <v>474</v>
      </c>
    </row>
    <row r="8488" spans="153:166" x14ac:dyDescent="0.35">
      <c r="EW8488" t="s">
        <v>6281</v>
      </c>
      <c r="EX8488" s="44" t="s">
        <v>6772</v>
      </c>
      <c r="FF8488" s="45" t="s">
        <v>474</v>
      </c>
      <c r="FJ8488" s="45" t="s">
        <v>474</v>
      </c>
    </row>
    <row r="8489" spans="153:166" x14ac:dyDescent="0.35">
      <c r="EW8489" t="s">
        <v>6281</v>
      </c>
      <c r="EX8489" s="44" t="s">
        <v>6773</v>
      </c>
      <c r="FF8489" s="45" t="s">
        <v>474</v>
      </c>
      <c r="FJ8489" s="45" t="s">
        <v>474</v>
      </c>
    </row>
    <row r="8490" spans="153:166" x14ac:dyDescent="0.35">
      <c r="EW8490" t="s">
        <v>6281</v>
      </c>
      <c r="EX8490" s="44" t="s">
        <v>6774</v>
      </c>
      <c r="FF8490" s="45" t="s">
        <v>474</v>
      </c>
      <c r="FJ8490" s="45" t="s">
        <v>474</v>
      </c>
    </row>
    <row r="8491" spans="153:166" x14ac:dyDescent="0.35">
      <c r="EW8491" t="s">
        <v>6281</v>
      </c>
      <c r="EX8491" s="44" t="s">
        <v>6775</v>
      </c>
      <c r="FF8491" s="45" t="s">
        <v>474</v>
      </c>
      <c r="FJ8491" s="45" t="s">
        <v>474</v>
      </c>
    </row>
    <row r="8492" spans="153:166" x14ac:dyDescent="0.35">
      <c r="EW8492" t="s">
        <v>6281</v>
      </c>
      <c r="EX8492" s="44" t="s">
        <v>6776</v>
      </c>
      <c r="FF8492" s="45" t="s">
        <v>474</v>
      </c>
      <c r="FJ8492" s="45" t="s">
        <v>474</v>
      </c>
    </row>
    <row r="8493" spans="153:166" x14ac:dyDescent="0.35">
      <c r="EW8493" t="s">
        <v>6281</v>
      </c>
      <c r="EX8493" s="44" t="s">
        <v>6777</v>
      </c>
      <c r="FF8493" s="45" t="s">
        <v>474</v>
      </c>
      <c r="FJ8493" s="45" t="s">
        <v>474</v>
      </c>
    </row>
    <row r="8494" spans="153:166" x14ac:dyDescent="0.35">
      <c r="EW8494" t="s">
        <v>6281</v>
      </c>
      <c r="EX8494" s="44" t="s">
        <v>6778</v>
      </c>
      <c r="FF8494" s="45" t="s">
        <v>474</v>
      </c>
      <c r="FJ8494" s="45" t="s">
        <v>474</v>
      </c>
    </row>
    <row r="8495" spans="153:166" x14ac:dyDescent="0.35">
      <c r="EW8495" t="s">
        <v>6281</v>
      </c>
      <c r="EX8495" s="44" t="s">
        <v>6779</v>
      </c>
      <c r="FF8495" s="45" t="s">
        <v>474</v>
      </c>
      <c r="FJ8495" s="45" t="s">
        <v>474</v>
      </c>
    </row>
    <row r="8496" spans="153:166" x14ac:dyDescent="0.35">
      <c r="EW8496" t="s">
        <v>6281</v>
      </c>
      <c r="EX8496" s="44" t="s">
        <v>6780</v>
      </c>
      <c r="FF8496" s="45" t="s">
        <v>474</v>
      </c>
      <c r="FJ8496" s="45" t="s">
        <v>474</v>
      </c>
    </row>
    <row r="8497" spans="153:166" x14ac:dyDescent="0.35">
      <c r="EW8497" t="s">
        <v>6281</v>
      </c>
      <c r="EX8497" s="44" t="s">
        <v>6781</v>
      </c>
      <c r="FF8497" s="45" t="s">
        <v>474</v>
      </c>
      <c r="FJ8497" s="45" t="s">
        <v>474</v>
      </c>
    </row>
    <row r="8498" spans="153:166" x14ac:dyDescent="0.35">
      <c r="EW8498" t="s">
        <v>6281</v>
      </c>
      <c r="EX8498" s="44" t="s">
        <v>6782</v>
      </c>
      <c r="FF8498" s="45" t="s">
        <v>474</v>
      </c>
      <c r="FJ8498" s="45" t="s">
        <v>474</v>
      </c>
    </row>
    <row r="8499" spans="153:166" x14ac:dyDescent="0.35">
      <c r="EW8499" t="s">
        <v>6281</v>
      </c>
      <c r="EX8499" s="44" t="s">
        <v>6783</v>
      </c>
      <c r="FF8499" s="45" t="s">
        <v>474</v>
      </c>
      <c r="FJ8499" s="45" t="s">
        <v>474</v>
      </c>
    </row>
    <row r="8500" spans="153:166" x14ac:dyDescent="0.35">
      <c r="EW8500" t="s">
        <v>6281</v>
      </c>
      <c r="EX8500" s="44" t="s">
        <v>6784</v>
      </c>
      <c r="FF8500" s="45" t="s">
        <v>474</v>
      </c>
      <c r="FJ8500" s="45" t="s">
        <v>474</v>
      </c>
    </row>
    <row r="8501" spans="153:166" x14ac:dyDescent="0.35">
      <c r="EW8501" t="s">
        <v>6281</v>
      </c>
      <c r="EX8501" s="44" t="s">
        <v>6785</v>
      </c>
      <c r="FF8501" s="45" t="s">
        <v>474</v>
      </c>
      <c r="FJ8501" s="45" t="s">
        <v>474</v>
      </c>
    </row>
    <row r="8502" spans="153:166" x14ac:dyDescent="0.35">
      <c r="EW8502" t="s">
        <v>6281</v>
      </c>
      <c r="EX8502" s="44" t="s">
        <v>6786</v>
      </c>
      <c r="FF8502" s="45" t="s">
        <v>474</v>
      </c>
      <c r="FJ8502" s="45" t="s">
        <v>474</v>
      </c>
    </row>
    <row r="8503" spans="153:166" x14ac:dyDescent="0.35">
      <c r="EW8503" t="s">
        <v>6281</v>
      </c>
      <c r="EX8503" s="44" t="s">
        <v>6787</v>
      </c>
      <c r="FF8503" s="45" t="s">
        <v>474</v>
      </c>
      <c r="FJ8503" s="45" t="s">
        <v>474</v>
      </c>
    </row>
    <row r="8504" spans="153:166" x14ac:dyDescent="0.35">
      <c r="EW8504" t="s">
        <v>6281</v>
      </c>
      <c r="EX8504" s="44" t="s">
        <v>6788</v>
      </c>
      <c r="FF8504" s="45" t="s">
        <v>474</v>
      </c>
      <c r="FJ8504" s="45" t="s">
        <v>474</v>
      </c>
    </row>
    <row r="8505" spans="153:166" x14ac:dyDescent="0.35">
      <c r="EW8505" t="s">
        <v>6281</v>
      </c>
      <c r="EX8505" s="44" t="s">
        <v>6789</v>
      </c>
      <c r="FF8505" s="45" t="s">
        <v>474</v>
      </c>
      <c r="FJ8505" s="45" t="s">
        <v>474</v>
      </c>
    </row>
    <row r="8506" spans="153:166" x14ac:dyDescent="0.35">
      <c r="EW8506" t="s">
        <v>6281</v>
      </c>
      <c r="EX8506" s="44" t="s">
        <v>6790</v>
      </c>
      <c r="FF8506" s="45" t="s">
        <v>474</v>
      </c>
      <c r="FJ8506" s="45" t="s">
        <v>474</v>
      </c>
    </row>
    <row r="8507" spans="153:166" x14ac:dyDescent="0.35">
      <c r="EW8507" t="s">
        <v>6281</v>
      </c>
      <c r="EX8507" s="44" t="s">
        <v>6791</v>
      </c>
      <c r="FF8507" s="45" t="s">
        <v>474</v>
      </c>
      <c r="FJ8507" s="45" t="s">
        <v>474</v>
      </c>
    </row>
    <row r="8508" spans="153:166" x14ac:dyDescent="0.35">
      <c r="EW8508" t="s">
        <v>6281</v>
      </c>
      <c r="EX8508" s="44" t="s">
        <v>6792</v>
      </c>
      <c r="FF8508" s="45" t="s">
        <v>474</v>
      </c>
      <c r="FJ8508" s="45" t="s">
        <v>474</v>
      </c>
    </row>
    <row r="8509" spans="153:166" x14ac:dyDescent="0.35">
      <c r="EW8509" t="s">
        <v>6281</v>
      </c>
      <c r="EX8509" s="44" t="s">
        <v>6793</v>
      </c>
      <c r="FF8509" s="45" t="s">
        <v>474</v>
      </c>
      <c r="FJ8509" s="45" t="s">
        <v>474</v>
      </c>
    </row>
    <row r="8510" spans="153:166" x14ac:dyDescent="0.35">
      <c r="EW8510" t="s">
        <v>6281</v>
      </c>
      <c r="EX8510" s="44" t="s">
        <v>6794</v>
      </c>
      <c r="FF8510" s="45" t="s">
        <v>474</v>
      </c>
      <c r="FJ8510" s="45" t="s">
        <v>474</v>
      </c>
    </row>
    <row r="8511" spans="153:166" x14ac:dyDescent="0.35">
      <c r="EW8511" t="s">
        <v>6281</v>
      </c>
      <c r="EX8511" s="44" t="s">
        <v>6795</v>
      </c>
      <c r="FF8511" s="45" t="s">
        <v>474</v>
      </c>
      <c r="FJ8511" s="45" t="s">
        <v>474</v>
      </c>
    </row>
    <row r="8512" spans="153:166" x14ac:dyDescent="0.35">
      <c r="EW8512" t="s">
        <v>6281</v>
      </c>
      <c r="EX8512" s="44" t="s">
        <v>6796</v>
      </c>
      <c r="FF8512" s="45" t="s">
        <v>474</v>
      </c>
      <c r="FJ8512" s="45" t="s">
        <v>474</v>
      </c>
    </row>
    <row r="8513" spans="153:166" x14ac:dyDescent="0.35">
      <c r="EW8513" t="s">
        <v>6281</v>
      </c>
      <c r="EX8513" s="44" t="s">
        <v>6797</v>
      </c>
      <c r="FF8513" s="45" t="s">
        <v>474</v>
      </c>
      <c r="FJ8513" s="45" t="s">
        <v>474</v>
      </c>
    </row>
    <row r="8514" spans="153:166" x14ac:dyDescent="0.35">
      <c r="EW8514" t="s">
        <v>6281</v>
      </c>
      <c r="EX8514" s="44" t="s">
        <v>6798</v>
      </c>
      <c r="FF8514" s="45" t="s">
        <v>474</v>
      </c>
      <c r="FJ8514" s="45" t="s">
        <v>474</v>
      </c>
    </row>
    <row r="8515" spans="153:166" x14ac:dyDescent="0.35">
      <c r="EW8515" t="s">
        <v>6281</v>
      </c>
      <c r="EX8515" s="44" t="s">
        <v>6799</v>
      </c>
      <c r="FF8515" s="45" t="s">
        <v>474</v>
      </c>
      <c r="FJ8515" s="45" t="s">
        <v>474</v>
      </c>
    </row>
    <row r="8516" spans="153:166" x14ac:dyDescent="0.35">
      <c r="EW8516" t="s">
        <v>6281</v>
      </c>
      <c r="EX8516" s="44" t="s">
        <v>6800</v>
      </c>
      <c r="FF8516" s="45" t="s">
        <v>474</v>
      </c>
      <c r="FJ8516" s="45" t="s">
        <v>474</v>
      </c>
    </row>
    <row r="8517" spans="153:166" x14ac:dyDescent="0.35">
      <c r="EW8517" t="s">
        <v>6281</v>
      </c>
      <c r="EX8517" s="44" t="s">
        <v>6801</v>
      </c>
      <c r="FF8517" s="45" t="s">
        <v>474</v>
      </c>
      <c r="FJ8517" s="45" t="s">
        <v>474</v>
      </c>
    </row>
    <row r="8518" spans="153:166" x14ac:dyDescent="0.35">
      <c r="EW8518" t="s">
        <v>6281</v>
      </c>
      <c r="EX8518" s="44" t="s">
        <v>6802</v>
      </c>
      <c r="FF8518" s="45" t="s">
        <v>474</v>
      </c>
      <c r="FJ8518" s="45" t="s">
        <v>474</v>
      </c>
    </row>
    <row r="8519" spans="153:166" x14ac:dyDescent="0.35">
      <c r="EW8519" t="s">
        <v>6281</v>
      </c>
      <c r="EX8519" s="44" t="s">
        <v>6803</v>
      </c>
      <c r="FF8519" s="45" t="s">
        <v>474</v>
      </c>
      <c r="FJ8519" s="45" t="s">
        <v>474</v>
      </c>
    </row>
    <row r="8520" spans="153:166" x14ac:dyDescent="0.35">
      <c r="EW8520" t="s">
        <v>6281</v>
      </c>
      <c r="EX8520" s="44" t="s">
        <v>6804</v>
      </c>
      <c r="FF8520" s="45" t="s">
        <v>474</v>
      </c>
      <c r="FJ8520" s="45" t="s">
        <v>474</v>
      </c>
    </row>
    <row r="8521" spans="153:166" x14ac:dyDescent="0.35">
      <c r="EW8521" t="s">
        <v>6281</v>
      </c>
      <c r="EX8521" s="44" t="s">
        <v>6805</v>
      </c>
      <c r="FF8521" s="45" t="s">
        <v>474</v>
      </c>
      <c r="FJ8521" s="45" t="s">
        <v>474</v>
      </c>
    </row>
    <row r="8522" spans="153:166" x14ac:dyDescent="0.35">
      <c r="EW8522" t="s">
        <v>6281</v>
      </c>
      <c r="EX8522" s="44" t="s">
        <v>6806</v>
      </c>
      <c r="FF8522" s="45" t="s">
        <v>474</v>
      </c>
      <c r="FJ8522" s="45" t="s">
        <v>474</v>
      </c>
    </row>
    <row r="8523" spans="153:166" x14ac:dyDescent="0.35">
      <c r="EW8523" t="s">
        <v>6281</v>
      </c>
      <c r="EX8523" s="44" t="s">
        <v>6807</v>
      </c>
      <c r="FF8523" s="45" t="s">
        <v>474</v>
      </c>
      <c r="FJ8523" s="45" t="s">
        <v>474</v>
      </c>
    </row>
    <row r="8524" spans="153:166" x14ac:dyDescent="0.35">
      <c r="EW8524" t="s">
        <v>6281</v>
      </c>
      <c r="EX8524" s="44" t="s">
        <v>6808</v>
      </c>
      <c r="FF8524" s="45" t="s">
        <v>474</v>
      </c>
      <c r="FJ8524" s="45" t="s">
        <v>474</v>
      </c>
    </row>
    <row r="8525" spans="153:166" x14ac:dyDescent="0.35">
      <c r="EW8525" t="s">
        <v>6281</v>
      </c>
      <c r="EX8525" s="44" t="s">
        <v>6809</v>
      </c>
      <c r="FF8525" s="45" t="s">
        <v>474</v>
      </c>
      <c r="FJ8525" s="45" t="s">
        <v>474</v>
      </c>
    </row>
    <row r="8526" spans="153:166" x14ac:dyDescent="0.35">
      <c r="EW8526" t="s">
        <v>6281</v>
      </c>
      <c r="EX8526" s="44" t="s">
        <v>6810</v>
      </c>
      <c r="FF8526" s="45" t="s">
        <v>474</v>
      </c>
      <c r="FJ8526" s="45" t="s">
        <v>474</v>
      </c>
    </row>
    <row r="8527" spans="153:166" x14ac:dyDescent="0.35">
      <c r="EW8527" t="s">
        <v>6281</v>
      </c>
      <c r="EX8527" s="44" t="s">
        <v>6811</v>
      </c>
      <c r="FF8527" s="45" t="s">
        <v>474</v>
      </c>
      <c r="FJ8527" s="45" t="s">
        <v>474</v>
      </c>
    </row>
    <row r="8528" spans="153:166" x14ac:dyDescent="0.35">
      <c r="EW8528" t="s">
        <v>6281</v>
      </c>
      <c r="EX8528" s="44" t="s">
        <v>6812</v>
      </c>
      <c r="FF8528" s="45" t="s">
        <v>474</v>
      </c>
      <c r="FJ8528" s="45" t="s">
        <v>474</v>
      </c>
    </row>
    <row r="8529" spans="153:166" x14ac:dyDescent="0.35">
      <c r="EW8529" t="s">
        <v>6281</v>
      </c>
      <c r="EX8529" s="44" t="s">
        <v>6813</v>
      </c>
      <c r="FF8529" s="45" t="s">
        <v>474</v>
      </c>
      <c r="FJ8529" s="45" t="s">
        <v>474</v>
      </c>
    </row>
    <row r="8530" spans="153:166" x14ac:dyDescent="0.35">
      <c r="EW8530" t="s">
        <v>6281</v>
      </c>
      <c r="EX8530" s="44" t="s">
        <v>6814</v>
      </c>
      <c r="FF8530" s="45" t="s">
        <v>474</v>
      </c>
      <c r="FJ8530" s="45" t="s">
        <v>474</v>
      </c>
    </row>
    <row r="8531" spans="153:166" x14ac:dyDescent="0.35">
      <c r="EW8531" t="s">
        <v>6281</v>
      </c>
      <c r="EX8531" s="44" t="s">
        <v>6815</v>
      </c>
      <c r="FF8531" s="45" t="s">
        <v>474</v>
      </c>
      <c r="FJ8531" s="45" t="s">
        <v>474</v>
      </c>
    </row>
    <row r="8532" spans="153:166" x14ac:dyDescent="0.35">
      <c r="EW8532" t="s">
        <v>6281</v>
      </c>
      <c r="EX8532" s="44" t="s">
        <v>6816</v>
      </c>
      <c r="FF8532" s="45" t="s">
        <v>474</v>
      </c>
      <c r="FJ8532" s="45" t="s">
        <v>474</v>
      </c>
    </row>
    <row r="8533" spans="153:166" x14ac:dyDescent="0.35">
      <c r="EW8533" t="s">
        <v>6281</v>
      </c>
      <c r="EX8533" s="44" t="s">
        <v>6817</v>
      </c>
      <c r="FF8533" s="45" t="s">
        <v>474</v>
      </c>
      <c r="FJ8533" s="45" t="s">
        <v>474</v>
      </c>
    </row>
    <row r="8534" spans="153:166" x14ac:dyDescent="0.35">
      <c r="EW8534" t="s">
        <v>6281</v>
      </c>
      <c r="EX8534" s="44" t="s">
        <v>6818</v>
      </c>
      <c r="FF8534" s="45" t="s">
        <v>474</v>
      </c>
      <c r="FJ8534" s="45" t="s">
        <v>474</v>
      </c>
    </row>
    <row r="8535" spans="153:166" x14ac:dyDescent="0.35">
      <c r="EW8535" t="s">
        <v>6281</v>
      </c>
      <c r="EX8535" s="44" t="s">
        <v>6819</v>
      </c>
      <c r="FF8535" s="45" t="s">
        <v>474</v>
      </c>
      <c r="FJ8535" s="45" t="s">
        <v>474</v>
      </c>
    </row>
    <row r="8536" spans="153:166" x14ac:dyDescent="0.35">
      <c r="EW8536" t="s">
        <v>6281</v>
      </c>
      <c r="EX8536" s="44" t="s">
        <v>6820</v>
      </c>
      <c r="FF8536" s="45" t="s">
        <v>474</v>
      </c>
      <c r="FJ8536" s="45" t="s">
        <v>474</v>
      </c>
    </row>
    <row r="8537" spans="153:166" x14ac:dyDescent="0.35">
      <c r="EW8537" t="s">
        <v>6281</v>
      </c>
      <c r="EX8537" s="44" t="s">
        <v>6821</v>
      </c>
      <c r="FF8537" s="45" t="s">
        <v>474</v>
      </c>
      <c r="FJ8537" s="45" t="s">
        <v>474</v>
      </c>
    </row>
    <row r="8538" spans="153:166" x14ac:dyDescent="0.35">
      <c r="EW8538" t="s">
        <v>6281</v>
      </c>
      <c r="EX8538" s="44" t="s">
        <v>6822</v>
      </c>
      <c r="FF8538" s="45" t="s">
        <v>474</v>
      </c>
      <c r="FJ8538" s="45" t="s">
        <v>474</v>
      </c>
    </row>
    <row r="8539" spans="153:166" x14ac:dyDescent="0.35">
      <c r="EW8539" t="s">
        <v>6281</v>
      </c>
      <c r="EX8539" s="44" t="s">
        <v>6823</v>
      </c>
      <c r="FF8539" s="45" t="s">
        <v>474</v>
      </c>
      <c r="FJ8539" s="45" t="s">
        <v>474</v>
      </c>
    </row>
    <row r="8540" spans="153:166" x14ac:dyDescent="0.35">
      <c r="EW8540" t="s">
        <v>6281</v>
      </c>
      <c r="EX8540" s="44" t="s">
        <v>6824</v>
      </c>
      <c r="FF8540" s="45" t="s">
        <v>474</v>
      </c>
      <c r="FJ8540" s="45" t="s">
        <v>474</v>
      </c>
    </row>
    <row r="8541" spans="153:166" x14ac:dyDescent="0.35">
      <c r="EW8541" t="s">
        <v>6281</v>
      </c>
      <c r="EX8541" s="44" t="s">
        <v>6825</v>
      </c>
      <c r="FF8541" s="45" t="s">
        <v>474</v>
      </c>
      <c r="FJ8541" s="45" t="s">
        <v>474</v>
      </c>
    </row>
    <row r="8542" spans="153:166" x14ac:dyDescent="0.35">
      <c r="EW8542" t="s">
        <v>6281</v>
      </c>
      <c r="EX8542" s="44" t="s">
        <v>6826</v>
      </c>
      <c r="FF8542" s="45" t="s">
        <v>474</v>
      </c>
      <c r="FJ8542" s="45" t="s">
        <v>474</v>
      </c>
    </row>
    <row r="8543" spans="153:166" x14ac:dyDescent="0.35">
      <c r="EW8543" t="s">
        <v>6281</v>
      </c>
      <c r="EX8543" s="44" t="s">
        <v>6827</v>
      </c>
      <c r="FF8543" s="45" t="s">
        <v>474</v>
      </c>
      <c r="FJ8543" s="45" t="s">
        <v>474</v>
      </c>
    </row>
    <row r="8544" spans="153:166" x14ac:dyDescent="0.35">
      <c r="EW8544" t="s">
        <v>6281</v>
      </c>
      <c r="EX8544" s="44" t="s">
        <v>6828</v>
      </c>
      <c r="FF8544" s="45" t="s">
        <v>474</v>
      </c>
      <c r="FJ8544" s="45" t="s">
        <v>474</v>
      </c>
    </row>
    <row r="8545" spans="153:166" x14ac:dyDescent="0.35">
      <c r="EW8545" t="s">
        <v>6281</v>
      </c>
      <c r="EX8545" s="44" t="s">
        <v>6829</v>
      </c>
      <c r="FF8545" s="45" t="s">
        <v>474</v>
      </c>
      <c r="FJ8545" s="45" t="s">
        <v>474</v>
      </c>
    </row>
    <row r="8546" spans="153:166" x14ac:dyDescent="0.35">
      <c r="EW8546" t="s">
        <v>6281</v>
      </c>
      <c r="EX8546" s="44" t="s">
        <v>6830</v>
      </c>
      <c r="FF8546" s="45" t="s">
        <v>474</v>
      </c>
      <c r="FJ8546" s="45" t="s">
        <v>474</v>
      </c>
    </row>
    <row r="8547" spans="153:166" x14ac:dyDescent="0.35">
      <c r="EW8547" t="s">
        <v>6281</v>
      </c>
      <c r="EX8547" s="44" t="s">
        <v>6831</v>
      </c>
      <c r="FF8547" s="45" t="s">
        <v>474</v>
      </c>
      <c r="FJ8547" s="45" t="s">
        <v>474</v>
      </c>
    </row>
    <row r="8548" spans="153:166" x14ac:dyDescent="0.35">
      <c r="EW8548" t="s">
        <v>6281</v>
      </c>
      <c r="EX8548" s="44" t="s">
        <v>6832</v>
      </c>
      <c r="FF8548" s="45" t="s">
        <v>474</v>
      </c>
      <c r="FJ8548" s="45" t="s">
        <v>474</v>
      </c>
    </row>
    <row r="8549" spans="153:166" x14ac:dyDescent="0.35">
      <c r="EW8549" t="s">
        <v>6281</v>
      </c>
      <c r="EX8549" s="44" t="s">
        <v>6833</v>
      </c>
      <c r="FF8549" s="45" t="s">
        <v>474</v>
      </c>
      <c r="FJ8549" s="45" t="s">
        <v>474</v>
      </c>
    </row>
    <row r="8550" spans="153:166" x14ac:dyDescent="0.35">
      <c r="EW8550" t="s">
        <v>6281</v>
      </c>
      <c r="EX8550" s="44" t="s">
        <v>6834</v>
      </c>
      <c r="FF8550" s="45" t="s">
        <v>474</v>
      </c>
      <c r="FJ8550" s="45" t="s">
        <v>474</v>
      </c>
    </row>
    <row r="8551" spans="153:166" x14ac:dyDescent="0.35">
      <c r="EW8551" t="s">
        <v>6281</v>
      </c>
      <c r="EX8551" s="44" t="s">
        <v>6835</v>
      </c>
      <c r="FF8551" s="45" t="s">
        <v>474</v>
      </c>
      <c r="FJ8551" s="45" t="s">
        <v>474</v>
      </c>
    </row>
    <row r="8552" spans="153:166" x14ac:dyDescent="0.35">
      <c r="EW8552" t="s">
        <v>6281</v>
      </c>
      <c r="EX8552" s="44" t="s">
        <v>6836</v>
      </c>
      <c r="FF8552" s="45" t="s">
        <v>474</v>
      </c>
      <c r="FJ8552" s="45" t="s">
        <v>474</v>
      </c>
    </row>
    <row r="8553" spans="153:166" x14ac:dyDescent="0.35">
      <c r="EW8553" t="s">
        <v>6281</v>
      </c>
      <c r="EX8553" s="44" t="s">
        <v>6837</v>
      </c>
      <c r="FF8553" s="45" t="s">
        <v>474</v>
      </c>
      <c r="FJ8553" s="45" t="s">
        <v>474</v>
      </c>
    </row>
    <row r="8554" spans="153:166" x14ac:dyDescent="0.35">
      <c r="EW8554" t="s">
        <v>6281</v>
      </c>
      <c r="EX8554" s="44" t="s">
        <v>6838</v>
      </c>
      <c r="FF8554" s="45" t="s">
        <v>474</v>
      </c>
      <c r="FJ8554" s="45" t="s">
        <v>474</v>
      </c>
    </row>
    <row r="8555" spans="153:166" x14ac:dyDescent="0.35">
      <c r="EW8555" t="s">
        <v>6281</v>
      </c>
      <c r="EX8555" s="44" t="s">
        <v>6839</v>
      </c>
      <c r="FF8555" s="45" t="s">
        <v>474</v>
      </c>
      <c r="FJ8555" s="45" t="s">
        <v>474</v>
      </c>
    </row>
    <row r="8556" spans="153:166" x14ac:dyDescent="0.35">
      <c r="EW8556" t="s">
        <v>6281</v>
      </c>
      <c r="EX8556" s="44" t="s">
        <v>6840</v>
      </c>
      <c r="FF8556" s="45" t="s">
        <v>474</v>
      </c>
      <c r="FJ8556" s="45" t="s">
        <v>474</v>
      </c>
    </row>
    <row r="8557" spans="153:166" x14ac:dyDescent="0.35">
      <c r="EW8557" t="s">
        <v>6281</v>
      </c>
      <c r="EX8557" s="44" t="s">
        <v>6841</v>
      </c>
      <c r="FF8557" s="45" t="s">
        <v>474</v>
      </c>
      <c r="FJ8557" s="45" t="s">
        <v>474</v>
      </c>
    </row>
    <row r="8558" spans="153:166" x14ac:dyDescent="0.35">
      <c r="EW8558" t="s">
        <v>6281</v>
      </c>
      <c r="EX8558" s="44" t="s">
        <v>6842</v>
      </c>
      <c r="FF8558" s="45" t="s">
        <v>474</v>
      </c>
      <c r="FJ8558" s="45" t="s">
        <v>474</v>
      </c>
    </row>
    <row r="8559" spans="153:166" x14ac:dyDescent="0.35">
      <c r="EW8559" t="s">
        <v>6281</v>
      </c>
      <c r="EX8559" s="44" t="s">
        <v>6843</v>
      </c>
      <c r="FF8559" s="45" t="s">
        <v>474</v>
      </c>
      <c r="FJ8559" s="45" t="s">
        <v>474</v>
      </c>
    </row>
    <row r="8560" spans="153:166" x14ac:dyDescent="0.35">
      <c r="EW8560" t="s">
        <v>6281</v>
      </c>
      <c r="EX8560" s="44" t="s">
        <v>6844</v>
      </c>
      <c r="FF8560" s="45" t="s">
        <v>474</v>
      </c>
      <c r="FJ8560" s="45" t="s">
        <v>474</v>
      </c>
    </row>
    <row r="8561" spans="153:166" x14ac:dyDescent="0.35">
      <c r="EW8561" t="s">
        <v>6281</v>
      </c>
      <c r="EX8561" s="44" t="s">
        <v>6845</v>
      </c>
      <c r="FF8561" s="45" t="s">
        <v>474</v>
      </c>
      <c r="FJ8561" s="45" t="s">
        <v>474</v>
      </c>
    </row>
    <row r="8562" spans="153:166" x14ac:dyDescent="0.35">
      <c r="EW8562" t="s">
        <v>6281</v>
      </c>
      <c r="EX8562" s="44" t="s">
        <v>6846</v>
      </c>
      <c r="FF8562" s="45" t="s">
        <v>474</v>
      </c>
      <c r="FJ8562" s="45" t="s">
        <v>474</v>
      </c>
    </row>
    <row r="8563" spans="153:166" x14ac:dyDescent="0.35">
      <c r="EW8563" t="s">
        <v>6281</v>
      </c>
      <c r="EX8563" s="44" t="s">
        <v>6847</v>
      </c>
      <c r="FF8563" s="45" t="s">
        <v>474</v>
      </c>
      <c r="FJ8563" s="45" t="s">
        <v>474</v>
      </c>
    </row>
    <row r="8564" spans="153:166" x14ac:dyDescent="0.35">
      <c r="EW8564" t="s">
        <v>6281</v>
      </c>
      <c r="EX8564" s="44" t="s">
        <v>6848</v>
      </c>
      <c r="FF8564" s="45" t="s">
        <v>474</v>
      </c>
      <c r="FJ8564" s="45" t="s">
        <v>474</v>
      </c>
    </row>
    <row r="8565" spans="153:166" x14ac:dyDescent="0.35">
      <c r="EW8565" t="s">
        <v>6281</v>
      </c>
      <c r="EX8565" s="44" t="s">
        <v>6849</v>
      </c>
      <c r="FF8565" s="45" t="s">
        <v>474</v>
      </c>
      <c r="FJ8565" s="45" t="s">
        <v>474</v>
      </c>
    </row>
    <row r="8566" spans="153:166" x14ac:dyDescent="0.35">
      <c r="EW8566" t="s">
        <v>6281</v>
      </c>
      <c r="EX8566" s="44" t="s">
        <v>6850</v>
      </c>
      <c r="FF8566" s="45" t="s">
        <v>474</v>
      </c>
      <c r="FJ8566" s="45" t="s">
        <v>474</v>
      </c>
    </row>
    <row r="8567" spans="153:166" x14ac:dyDescent="0.35">
      <c r="EW8567" t="s">
        <v>6281</v>
      </c>
      <c r="EX8567" s="44" t="s">
        <v>6851</v>
      </c>
      <c r="FF8567" s="45" t="s">
        <v>474</v>
      </c>
      <c r="FJ8567" s="45" t="s">
        <v>474</v>
      </c>
    </row>
    <row r="8568" spans="153:166" x14ac:dyDescent="0.35">
      <c r="EW8568" t="s">
        <v>6281</v>
      </c>
      <c r="EX8568" s="44" t="s">
        <v>6852</v>
      </c>
      <c r="FF8568" s="45" t="s">
        <v>474</v>
      </c>
      <c r="FJ8568" s="45" t="s">
        <v>474</v>
      </c>
    </row>
    <row r="8569" spans="153:166" x14ac:dyDescent="0.35">
      <c r="EW8569" t="s">
        <v>6281</v>
      </c>
      <c r="EX8569" s="44" t="s">
        <v>6853</v>
      </c>
      <c r="FF8569" s="45" t="s">
        <v>474</v>
      </c>
      <c r="FJ8569" s="45" t="s">
        <v>474</v>
      </c>
    </row>
    <row r="8570" spans="153:166" x14ac:dyDescent="0.35">
      <c r="EW8570" t="s">
        <v>6281</v>
      </c>
      <c r="EX8570" s="44" t="s">
        <v>6854</v>
      </c>
      <c r="FF8570" s="45" t="s">
        <v>474</v>
      </c>
      <c r="FJ8570" s="45" t="s">
        <v>474</v>
      </c>
    </row>
    <row r="8571" spans="153:166" x14ac:dyDescent="0.35">
      <c r="EW8571" t="s">
        <v>6281</v>
      </c>
      <c r="EX8571" s="44" t="s">
        <v>6855</v>
      </c>
      <c r="FF8571" s="45" t="s">
        <v>474</v>
      </c>
      <c r="FJ8571" s="45" t="s">
        <v>474</v>
      </c>
    </row>
    <row r="8572" spans="153:166" x14ac:dyDescent="0.35">
      <c r="EW8572" t="s">
        <v>6281</v>
      </c>
      <c r="EX8572" s="44" t="s">
        <v>6856</v>
      </c>
      <c r="FF8572" s="45" t="s">
        <v>474</v>
      </c>
      <c r="FJ8572" s="45" t="s">
        <v>474</v>
      </c>
    </row>
    <row r="8573" spans="153:166" x14ac:dyDescent="0.35">
      <c r="EW8573" t="s">
        <v>6281</v>
      </c>
      <c r="EX8573" s="44" t="s">
        <v>6857</v>
      </c>
      <c r="FF8573" s="45" t="s">
        <v>474</v>
      </c>
      <c r="FJ8573" s="45" t="s">
        <v>474</v>
      </c>
    </row>
    <row r="8574" spans="153:166" x14ac:dyDescent="0.35">
      <c r="EW8574" t="s">
        <v>6281</v>
      </c>
      <c r="EX8574" s="44" t="s">
        <v>6858</v>
      </c>
      <c r="FF8574" s="45" t="s">
        <v>474</v>
      </c>
      <c r="FJ8574" s="45" t="s">
        <v>474</v>
      </c>
    </row>
    <row r="8575" spans="153:166" x14ac:dyDescent="0.35">
      <c r="EW8575" t="s">
        <v>6281</v>
      </c>
      <c r="EX8575" s="44" t="s">
        <v>6859</v>
      </c>
      <c r="FF8575" s="45" t="s">
        <v>474</v>
      </c>
      <c r="FJ8575" s="45" t="s">
        <v>474</v>
      </c>
    </row>
    <row r="8576" spans="153:166" x14ac:dyDescent="0.35">
      <c r="EW8576" t="s">
        <v>6281</v>
      </c>
      <c r="EX8576" s="44" t="s">
        <v>6860</v>
      </c>
      <c r="FF8576" s="45" t="s">
        <v>59</v>
      </c>
      <c r="FJ8576" s="45" t="s">
        <v>59</v>
      </c>
    </row>
    <row r="8577" spans="153:166" x14ac:dyDescent="0.35">
      <c r="EW8577" t="s">
        <v>6281</v>
      </c>
      <c r="EX8577" s="44" t="s">
        <v>6861</v>
      </c>
      <c r="FF8577" s="45" t="s">
        <v>59</v>
      </c>
      <c r="FJ8577" s="45" t="s">
        <v>59</v>
      </c>
    </row>
    <row r="8578" spans="153:166" x14ac:dyDescent="0.35">
      <c r="EW8578" t="s">
        <v>6281</v>
      </c>
      <c r="EX8578" s="44" t="s">
        <v>6862</v>
      </c>
      <c r="FF8578" s="45" t="s">
        <v>59</v>
      </c>
      <c r="FJ8578" s="45" t="s">
        <v>59</v>
      </c>
    </row>
    <row r="8579" spans="153:166" x14ac:dyDescent="0.35">
      <c r="EW8579" t="s">
        <v>6281</v>
      </c>
      <c r="EX8579" s="44" t="s">
        <v>6863</v>
      </c>
      <c r="FF8579" s="45" t="s">
        <v>59</v>
      </c>
      <c r="FJ8579" s="45" t="s">
        <v>59</v>
      </c>
    </row>
    <row r="8580" spans="153:166" x14ac:dyDescent="0.35">
      <c r="EW8580" t="s">
        <v>6281</v>
      </c>
      <c r="EX8580" s="44" t="s">
        <v>6864</v>
      </c>
      <c r="FF8580" s="45" t="s">
        <v>59</v>
      </c>
      <c r="FJ8580" s="45" t="s">
        <v>59</v>
      </c>
    </row>
    <row r="8581" spans="153:166" x14ac:dyDescent="0.35">
      <c r="EW8581" t="s">
        <v>6281</v>
      </c>
      <c r="EX8581" s="44" t="s">
        <v>6865</v>
      </c>
      <c r="FF8581" s="45" t="s">
        <v>59</v>
      </c>
      <c r="FJ8581" s="45" t="s">
        <v>59</v>
      </c>
    </row>
    <row r="8582" spans="153:166" x14ac:dyDescent="0.35">
      <c r="EW8582" t="s">
        <v>6281</v>
      </c>
      <c r="EX8582" s="44" t="s">
        <v>6866</v>
      </c>
      <c r="FF8582" s="45" t="s">
        <v>59</v>
      </c>
      <c r="FJ8582" s="45" t="s">
        <v>59</v>
      </c>
    </row>
    <row r="8583" spans="153:166" x14ac:dyDescent="0.35">
      <c r="EW8583" t="s">
        <v>6281</v>
      </c>
      <c r="EX8583" s="44" t="s">
        <v>6867</v>
      </c>
      <c r="FF8583" s="45" t="s">
        <v>59</v>
      </c>
      <c r="FJ8583" s="45" t="s">
        <v>59</v>
      </c>
    </row>
    <row r="8584" spans="153:166" x14ac:dyDescent="0.35">
      <c r="EW8584" t="s">
        <v>6281</v>
      </c>
      <c r="EX8584" s="44" t="s">
        <v>6868</v>
      </c>
      <c r="FF8584" s="45" t="s">
        <v>59</v>
      </c>
      <c r="FJ8584" s="45" t="s">
        <v>59</v>
      </c>
    </row>
    <row r="8585" spans="153:166" x14ac:dyDescent="0.35">
      <c r="EW8585" t="s">
        <v>6281</v>
      </c>
      <c r="EX8585" s="44" t="s">
        <v>6869</v>
      </c>
      <c r="FF8585" s="45" t="s">
        <v>59</v>
      </c>
      <c r="FJ8585" s="45" t="s">
        <v>59</v>
      </c>
    </row>
    <row r="8586" spans="153:166" x14ac:dyDescent="0.35">
      <c r="EW8586" t="s">
        <v>6281</v>
      </c>
      <c r="EX8586" s="44" t="s">
        <v>6870</v>
      </c>
      <c r="FF8586" s="45" t="s">
        <v>59</v>
      </c>
      <c r="FJ8586" s="45" t="s">
        <v>59</v>
      </c>
    </row>
    <row r="8587" spans="153:166" x14ac:dyDescent="0.35">
      <c r="EW8587" t="s">
        <v>6281</v>
      </c>
      <c r="EX8587" s="44" t="s">
        <v>6871</v>
      </c>
      <c r="FF8587" s="45" t="s">
        <v>59</v>
      </c>
      <c r="FJ8587" s="45" t="s">
        <v>59</v>
      </c>
    </row>
    <row r="8588" spans="153:166" x14ac:dyDescent="0.35">
      <c r="EW8588" t="s">
        <v>6281</v>
      </c>
      <c r="EX8588" s="44" t="s">
        <v>6872</v>
      </c>
      <c r="FF8588" s="45" t="s">
        <v>59</v>
      </c>
      <c r="FJ8588" s="45" t="s">
        <v>59</v>
      </c>
    </row>
    <row r="8589" spans="153:166" x14ac:dyDescent="0.35">
      <c r="EW8589" t="s">
        <v>6281</v>
      </c>
      <c r="EX8589" s="44" t="s">
        <v>6873</v>
      </c>
      <c r="FF8589" s="45" t="s">
        <v>59</v>
      </c>
      <c r="FJ8589" s="45" t="s">
        <v>59</v>
      </c>
    </row>
    <row r="8590" spans="153:166" x14ac:dyDescent="0.35">
      <c r="EW8590" t="s">
        <v>6281</v>
      </c>
      <c r="EX8590" s="44" t="s">
        <v>6874</v>
      </c>
      <c r="FF8590" s="45" t="s">
        <v>59</v>
      </c>
      <c r="FJ8590" s="45" t="s">
        <v>59</v>
      </c>
    </row>
    <row r="8591" spans="153:166" x14ac:dyDescent="0.35">
      <c r="EW8591" t="s">
        <v>6281</v>
      </c>
      <c r="EX8591" s="44" t="s">
        <v>6875</v>
      </c>
      <c r="FF8591" s="45" t="s">
        <v>59</v>
      </c>
      <c r="FJ8591" s="45" t="s">
        <v>59</v>
      </c>
    </row>
    <row r="8592" spans="153:166" x14ac:dyDescent="0.35">
      <c r="EW8592" t="s">
        <v>6281</v>
      </c>
      <c r="EX8592" s="44" t="s">
        <v>6876</v>
      </c>
      <c r="FF8592" s="45" t="s">
        <v>59</v>
      </c>
      <c r="FJ8592" s="45" t="s">
        <v>59</v>
      </c>
    </row>
    <row r="8593" spans="153:166" x14ac:dyDescent="0.35">
      <c r="EW8593" t="s">
        <v>6281</v>
      </c>
      <c r="EX8593" s="44" t="s">
        <v>6877</v>
      </c>
      <c r="FF8593" s="45" t="s">
        <v>59</v>
      </c>
      <c r="FJ8593" s="45" t="s">
        <v>59</v>
      </c>
    </row>
    <row r="8594" spans="153:166" x14ac:dyDescent="0.35">
      <c r="EW8594" t="s">
        <v>6281</v>
      </c>
      <c r="EX8594" s="44" t="s">
        <v>6878</v>
      </c>
      <c r="FF8594" s="45" t="s">
        <v>59</v>
      </c>
      <c r="FJ8594" s="45" t="s">
        <v>59</v>
      </c>
    </row>
    <row r="8595" spans="153:166" x14ac:dyDescent="0.35">
      <c r="EW8595" t="s">
        <v>6281</v>
      </c>
      <c r="EX8595" s="44" t="s">
        <v>6879</v>
      </c>
      <c r="FF8595" s="45" t="s">
        <v>59</v>
      </c>
      <c r="FJ8595" s="45" t="s">
        <v>59</v>
      </c>
    </row>
    <row r="8596" spans="153:166" x14ac:dyDescent="0.35">
      <c r="EW8596" t="s">
        <v>6281</v>
      </c>
      <c r="EX8596" s="44" t="s">
        <v>6880</v>
      </c>
      <c r="FF8596" s="45" t="s">
        <v>59</v>
      </c>
      <c r="FJ8596" s="45" t="s">
        <v>59</v>
      </c>
    </row>
    <row r="8597" spans="153:166" x14ac:dyDescent="0.35">
      <c r="EW8597" t="s">
        <v>6281</v>
      </c>
      <c r="EX8597" s="44" t="s">
        <v>6881</v>
      </c>
      <c r="FF8597" s="45" t="s">
        <v>59</v>
      </c>
      <c r="FJ8597" s="45" t="s">
        <v>59</v>
      </c>
    </row>
    <row r="8598" spans="153:166" x14ac:dyDescent="0.35">
      <c r="EW8598" t="s">
        <v>6281</v>
      </c>
      <c r="EX8598" s="44" t="s">
        <v>6882</v>
      </c>
      <c r="FF8598" s="45" t="s">
        <v>59</v>
      </c>
      <c r="FJ8598" s="45" t="s">
        <v>59</v>
      </c>
    </row>
    <row r="8599" spans="153:166" x14ac:dyDescent="0.35">
      <c r="EW8599" t="s">
        <v>6281</v>
      </c>
      <c r="EX8599" s="44" t="s">
        <v>6883</v>
      </c>
      <c r="FF8599" s="45" t="s">
        <v>59</v>
      </c>
      <c r="FJ8599" s="45" t="s">
        <v>59</v>
      </c>
    </row>
    <row r="8600" spans="153:166" x14ac:dyDescent="0.35">
      <c r="EW8600" t="s">
        <v>6281</v>
      </c>
      <c r="EX8600" s="44" t="s">
        <v>6884</v>
      </c>
      <c r="FF8600" s="45" t="s">
        <v>59</v>
      </c>
      <c r="FJ8600" s="45" t="s">
        <v>59</v>
      </c>
    </row>
    <row r="8601" spans="153:166" x14ac:dyDescent="0.35">
      <c r="EW8601" t="s">
        <v>6281</v>
      </c>
      <c r="EX8601" s="44" t="s">
        <v>6885</v>
      </c>
      <c r="FF8601" s="45" t="s">
        <v>59</v>
      </c>
      <c r="FJ8601" s="45" t="s">
        <v>59</v>
      </c>
    </row>
    <row r="8602" spans="153:166" x14ac:dyDescent="0.35">
      <c r="EW8602" t="s">
        <v>6281</v>
      </c>
      <c r="EX8602" s="44" t="s">
        <v>6886</v>
      </c>
      <c r="FF8602" s="45" t="s">
        <v>59</v>
      </c>
      <c r="FJ8602" s="45" t="s">
        <v>59</v>
      </c>
    </row>
    <row r="8603" spans="153:166" x14ac:dyDescent="0.35">
      <c r="EW8603" t="s">
        <v>6281</v>
      </c>
      <c r="EX8603" s="44" t="s">
        <v>6887</v>
      </c>
      <c r="FF8603" s="45" t="s">
        <v>59</v>
      </c>
      <c r="FJ8603" s="45" t="s">
        <v>59</v>
      </c>
    </row>
    <row r="8604" spans="153:166" x14ac:dyDescent="0.35">
      <c r="EW8604" t="s">
        <v>6281</v>
      </c>
      <c r="EX8604" s="44" t="s">
        <v>6888</v>
      </c>
      <c r="FF8604" s="45" t="s">
        <v>59</v>
      </c>
      <c r="FJ8604" s="45" t="s">
        <v>59</v>
      </c>
    </row>
    <row r="8605" spans="153:166" x14ac:dyDescent="0.35">
      <c r="EW8605" t="s">
        <v>6281</v>
      </c>
      <c r="EX8605" s="44" t="s">
        <v>6889</v>
      </c>
      <c r="FF8605" s="45" t="s">
        <v>59</v>
      </c>
      <c r="FJ8605" s="45" t="s">
        <v>59</v>
      </c>
    </row>
    <row r="8606" spans="153:166" x14ac:dyDescent="0.35">
      <c r="EW8606" t="s">
        <v>6281</v>
      </c>
      <c r="EX8606" s="44" t="s">
        <v>6890</v>
      </c>
      <c r="FF8606" s="45" t="s">
        <v>59</v>
      </c>
      <c r="FJ8606" s="45" t="s">
        <v>59</v>
      </c>
    </row>
    <row r="8607" spans="153:166" x14ac:dyDescent="0.35">
      <c r="EW8607" t="s">
        <v>6281</v>
      </c>
      <c r="EX8607" s="44" t="s">
        <v>6891</v>
      </c>
      <c r="FF8607" s="45" t="s">
        <v>59</v>
      </c>
      <c r="FJ8607" s="45" t="s">
        <v>59</v>
      </c>
    </row>
    <row r="8608" spans="153:166" x14ac:dyDescent="0.35">
      <c r="EW8608" t="s">
        <v>6281</v>
      </c>
      <c r="EX8608" s="44" t="s">
        <v>6892</v>
      </c>
      <c r="FF8608" s="45" t="s">
        <v>59</v>
      </c>
      <c r="FJ8608" s="45" t="s">
        <v>59</v>
      </c>
    </row>
    <row r="8609" spans="153:166" x14ac:dyDescent="0.35">
      <c r="EW8609" t="s">
        <v>6281</v>
      </c>
      <c r="EX8609" s="44" t="s">
        <v>6893</v>
      </c>
      <c r="FF8609" s="45" t="s">
        <v>59</v>
      </c>
      <c r="FJ8609" s="45" t="s">
        <v>59</v>
      </c>
    </row>
    <row r="8610" spans="153:166" x14ac:dyDescent="0.35">
      <c r="EW8610" t="s">
        <v>6281</v>
      </c>
      <c r="EX8610" s="44" t="s">
        <v>6894</v>
      </c>
      <c r="FF8610" s="45" t="s">
        <v>59</v>
      </c>
      <c r="FJ8610" s="45" t="s">
        <v>59</v>
      </c>
    </row>
    <row r="8611" spans="153:166" x14ac:dyDescent="0.35">
      <c r="EW8611" t="s">
        <v>6281</v>
      </c>
      <c r="EX8611" s="44" t="s">
        <v>6895</v>
      </c>
      <c r="FF8611" s="45" t="s">
        <v>59</v>
      </c>
      <c r="FJ8611" s="45" t="s">
        <v>59</v>
      </c>
    </row>
    <row r="8612" spans="153:166" x14ac:dyDescent="0.35">
      <c r="EW8612" t="s">
        <v>6281</v>
      </c>
      <c r="EX8612" s="44" t="s">
        <v>6896</v>
      </c>
      <c r="FF8612" s="45" t="s">
        <v>59</v>
      </c>
      <c r="FJ8612" s="45" t="s">
        <v>59</v>
      </c>
    </row>
    <row r="8613" spans="153:166" x14ac:dyDescent="0.35">
      <c r="EW8613" t="s">
        <v>6281</v>
      </c>
      <c r="EX8613" s="44" t="s">
        <v>6897</v>
      </c>
      <c r="FF8613" s="45" t="s">
        <v>59</v>
      </c>
      <c r="FJ8613" s="45" t="s">
        <v>59</v>
      </c>
    </row>
    <row r="8614" spans="153:166" x14ac:dyDescent="0.35">
      <c r="EW8614" t="s">
        <v>6281</v>
      </c>
      <c r="EX8614" s="44" t="s">
        <v>6898</v>
      </c>
      <c r="FF8614" s="45" t="s">
        <v>59</v>
      </c>
      <c r="FJ8614" s="45" t="s">
        <v>59</v>
      </c>
    </row>
    <row r="8615" spans="153:166" x14ac:dyDescent="0.35">
      <c r="EW8615" t="s">
        <v>6281</v>
      </c>
      <c r="EX8615" s="44" t="s">
        <v>6899</v>
      </c>
      <c r="FF8615" s="45" t="s">
        <v>59</v>
      </c>
      <c r="FJ8615" s="45" t="s">
        <v>59</v>
      </c>
    </row>
    <row r="8616" spans="153:166" x14ac:dyDescent="0.35">
      <c r="EW8616" t="s">
        <v>6281</v>
      </c>
      <c r="EX8616" s="44" t="s">
        <v>6900</v>
      </c>
      <c r="FF8616" s="45" t="s">
        <v>59</v>
      </c>
      <c r="FJ8616" s="45" t="s">
        <v>59</v>
      </c>
    </row>
    <row r="8617" spans="153:166" x14ac:dyDescent="0.35">
      <c r="EW8617" t="s">
        <v>6281</v>
      </c>
      <c r="EX8617" s="44" t="s">
        <v>6901</v>
      </c>
      <c r="FF8617" s="45" t="s">
        <v>59</v>
      </c>
      <c r="FJ8617" s="45" t="s">
        <v>59</v>
      </c>
    </row>
    <row r="8618" spans="153:166" x14ac:dyDescent="0.35">
      <c r="EW8618" t="s">
        <v>6281</v>
      </c>
      <c r="EX8618" s="44" t="s">
        <v>6902</v>
      </c>
      <c r="FF8618" s="45" t="s">
        <v>59</v>
      </c>
      <c r="FJ8618" s="45" t="s">
        <v>59</v>
      </c>
    </row>
    <row r="8619" spans="153:166" x14ac:dyDescent="0.35">
      <c r="EW8619" t="s">
        <v>6281</v>
      </c>
      <c r="EX8619" s="44" t="s">
        <v>6903</v>
      </c>
      <c r="FF8619" s="45" t="s">
        <v>59</v>
      </c>
      <c r="FJ8619" s="45" t="s">
        <v>59</v>
      </c>
    </row>
    <row r="8620" spans="153:166" x14ac:dyDescent="0.35">
      <c r="EW8620" t="s">
        <v>6281</v>
      </c>
      <c r="EX8620" s="44" t="s">
        <v>6904</v>
      </c>
      <c r="FF8620" s="45" t="s">
        <v>59</v>
      </c>
      <c r="FJ8620" s="45" t="s">
        <v>59</v>
      </c>
    </row>
    <row r="8621" spans="153:166" x14ac:dyDescent="0.35">
      <c r="EW8621" t="s">
        <v>6281</v>
      </c>
      <c r="EX8621" s="44" t="s">
        <v>6905</v>
      </c>
      <c r="FF8621" s="45" t="s">
        <v>59</v>
      </c>
      <c r="FJ8621" s="45" t="s">
        <v>59</v>
      </c>
    </row>
    <row r="8622" spans="153:166" x14ac:dyDescent="0.35">
      <c r="EW8622" t="s">
        <v>6281</v>
      </c>
      <c r="EX8622" s="44" t="s">
        <v>6906</v>
      </c>
      <c r="FF8622" s="45" t="s">
        <v>59</v>
      </c>
      <c r="FJ8622" s="45" t="s">
        <v>59</v>
      </c>
    </row>
    <row r="8623" spans="153:166" x14ac:dyDescent="0.35">
      <c r="EW8623" t="s">
        <v>6281</v>
      </c>
      <c r="EX8623" s="44" t="s">
        <v>6907</v>
      </c>
      <c r="FF8623" s="45" t="s">
        <v>59</v>
      </c>
      <c r="FJ8623" s="45" t="s">
        <v>59</v>
      </c>
    </row>
    <row r="8624" spans="153:166" x14ac:dyDescent="0.35">
      <c r="EW8624" t="s">
        <v>6281</v>
      </c>
      <c r="EX8624" s="44" t="s">
        <v>6908</v>
      </c>
      <c r="FF8624" s="45" t="s">
        <v>59</v>
      </c>
      <c r="FJ8624" s="45" t="s">
        <v>59</v>
      </c>
    </row>
    <row r="8625" spans="153:166" x14ac:dyDescent="0.35">
      <c r="EW8625" t="s">
        <v>6281</v>
      </c>
      <c r="EX8625" s="44" t="s">
        <v>6909</v>
      </c>
      <c r="FF8625" s="45" t="s">
        <v>59</v>
      </c>
      <c r="FJ8625" s="45" t="s">
        <v>59</v>
      </c>
    </row>
    <row r="8626" spans="153:166" x14ac:dyDescent="0.35">
      <c r="EW8626" t="s">
        <v>6281</v>
      </c>
      <c r="EX8626" s="44" t="s">
        <v>6910</v>
      </c>
      <c r="FF8626" s="45" t="s">
        <v>59</v>
      </c>
      <c r="FJ8626" s="45" t="s">
        <v>59</v>
      </c>
    </row>
    <row r="8627" spans="153:166" x14ac:dyDescent="0.35">
      <c r="EW8627" t="s">
        <v>6281</v>
      </c>
      <c r="EX8627" s="44" t="s">
        <v>6911</v>
      </c>
      <c r="FF8627" s="45" t="s">
        <v>59</v>
      </c>
      <c r="FJ8627" s="45" t="s">
        <v>59</v>
      </c>
    </row>
    <row r="8628" spans="153:166" x14ac:dyDescent="0.35">
      <c r="EW8628" t="s">
        <v>6281</v>
      </c>
      <c r="EX8628" s="44" t="s">
        <v>6912</v>
      </c>
      <c r="FF8628" s="45" t="s">
        <v>59</v>
      </c>
      <c r="FJ8628" s="45" t="s">
        <v>59</v>
      </c>
    </row>
    <row r="8629" spans="153:166" x14ac:dyDescent="0.35">
      <c r="EW8629" t="s">
        <v>6281</v>
      </c>
      <c r="EX8629" s="44" t="s">
        <v>6913</v>
      </c>
      <c r="FF8629" s="45" t="s">
        <v>59</v>
      </c>
      <c r="FJ8629" s="45" t="s">
        <v>59</v>
      </c>
    </row>
    <row r="8630" spans="153:166" x14ac:dyDescent="0.35">
      <c r="EW8630" t="s">
        <v>6281</v>
      </c>
      <c r="EX8630" s="44" t="s">
        <v>6914</v>
      </c>
      <c r="FF8630" s="45" t="s">
        <v>59</v>
      </c>
      <c r="FJ8630" s="45" t="s">
        <v>59</v>
      </c>
    </row>
    <row r="8631" spans="153:166" x14ac:dyDescent="0.35">
      <c r="EW8631" t="s">
        <v>6281</v>
      </c>
      <c r="EX8631" s="44" t="s">
        <v>6915</v>
      </c>
      <c r="FF8631" s="45" t="s">
        <v>59</v>
      </c>
      <c r="FJ8631" s="45" t="s">
        <v>59</v>
      </c>
    </row>
    <row r="8632" spans="153:166" x14ac:dyDescent="0.35">
      <c r="EW8632" t="s">
        <v>6281</v>
      </c>
      <c r="EX8632" s="44" t="s">
        <v>6916</v>
      </c>
      <c r="FF8632" s="45" t="s">
        <v>59</v>
      </c>
      <c r="FJ8632" s="45" t="s">
        <v>59</v>
      </c>
    </row>
    <row r="8633" spans="153:166" x14ac:dyDescent="0.35">
      <c r="EW8633" t="s">
        <v>6281</v>
      </c>
      <c r="EX8633" s="44" t="s">
        <v>6917</v>
      </c>
      <c r="FF8633" s="45" t="s">
        <v>59</v>
      </c>
      <c r="FJ8633" s="45" t="s">
        <v>59</v>
      </c>
    </row>
    <row r="8634" spans="153:166" x14ac:dyDescent="0.35">
      <c r="EW8634" t="s">
        <v>6281</v>
      </c>
      <c r="EX8634" s="44" t="s">
        <v>6918</v>
      </c>
      <c r="FF8634" s="45" t="s">
        <v>59</v>
      </c>
      <c r="FJ8634" s="45" t="s">
        <v>59</v>
      </c>
    </row>
    <row r="8635" spans="153:166" x14ac:dyDescent="0.35">
      <c r="EW8635" t="s">
        <v>6281</v>
      </c>
      <c r="EX8635" s="44" t="s">
        <v>6919</v>
      </c>
      <c r="FF8635" s="45" t="s">
        <v>59</v>
      </c>
      <c r="FJ8635" s="45" t="s">
        <v>59</v>
      </c>
    </row>
    <row r="8636" spans="153:166" x14ac:dyDescent="0.35">
      <c r="EW8636" t="s">
        <v>6281</v>
      </c>
      <c r="EX8636" s="44" t="s">
        <v>6920</v>
      </c>
      <c r="FF8636" s="45" t="s">
        <v>59</v>
      </c>
      <c r="FJ8636" s="45" t="s">
        <v>59</v>
      </c>
    </row>
    <row r="8637" spans="153:166" x14ac:dyDescent="0.35">
      <c r="EW8637" t="s">
        <v>6281</v>
      </c>
      <c r="EX8637" s="44" t="s">
        <v>6921</v>
      </c>
      <c r="FF8637" s="45" t="s">
        <v>59</v>
      </c>
      <c r="FJ8637" s="45" t="s">
        <v>59</v>
      </c>
    </row>
    <row r="8638" spans="153:166" x14ac:dyDescent="0.35">
      <c r="EW8638" t="s">
        <v>6281</v>
      </c>
      <c r="EX8638" s="44" t="s">
        <v>6922</v>
      </c>
      <c r="FF8638" s="45" t="s">
        <v>59</v>
      </c>
      <c r="FJ8638" s="45" t="s">
        <v>59</v>
      </c>
    </row>
    <row r="8639" spans="153:166" x14ac:dyDescent="0.35">
      <c r="EW8639" t="s">
        <v>6281</v>
      </c>
      <c r="EX8639" s="44" t="s">
        <v>6923</v>
      </c>
      <c r="FF8639" s="45" t="s">
        <v>59</v>
      </c>
      <c r="FJ8639" s="45" t="s">
        <v>59</v>
      </c>
    </row>
    <row r="8640" spans="153:166" x14ac:dyDescent="0.35">
      <c r="EW8640" t="s">
        <v>6281</v>
      </c>
      <c r="EX8640" s="44" t="s">
        <v>6924</v>
      </c>
      <c r="FF8640" s="45" t="s">
        <v>59</v>
      </c>
      <c r="FJ8640" s="45" t="s">
        <v>59</v>
      </c>
    </row>
    <row r="8641" spans="153:166" x14ac:dyDescent="0.35">
      <c r="EW8641" t="s">
        <v>6281</v>
      </c>
      <c r="EX8641" s="44" t="s">
        <v>6925</v>
      </c>
      <c r="FF8641" s="45" t="s">
        <v>59</v>
      </c>
      <c r="FJ8641" s="45" t="s">
        <v>59</v>
      </c>
    </row>
    <row r="8642" spans="153:166" x14ac:dyDescent="0.35">
      <c r="EW8642" t="s">
        <v>6281</v>
      </c>
      <c r="EX8642" s="44" t="s">
        <v>6926</v>
      </c>
      <c r="FF8642" s="45" t="s">
        <v>59</v>
      </c>
      <c r="FJ8642" s="45" t="s">
        <v>59</v>
      </c>
    </row>
    <row r="8643" spans="153:166" x14ac:dyDescent="0.35">
      <c r="EW8643" t="s">
        <v>6281</v>
      </c>
      <c r="EX8643" s="44" t="s">
        <v>6927</v>
      </c>
      <c r="FF8643" s="45" t="s">
        <v>59</v>
      </c>
      <c r="FJ8643" s="45" t="s">
        <v>59</v>
      </c>
    </row>
    <row r="8644" spans="153:166" x14ac:dyDescent="0.35">
      <c r="EW8644" t="s">
        <v>6281</v>
      </c>
      <c r="EX8644" s="44" t="s">
        <v>6928</v>
      </c>
      <c r="FF8644" s="45" t="s">
        <v>59</v>
      </c>
      <c r="FJ8644" s="45" t="s">
        <v>59</v>
      </c>
    </row>
    <row r="8645" spans="153:166" x14ac:dyDescent="0.35">
      <c r="EW8645" t="s">
        <v>6281</v>
      </c>
      <c r="EX8645" s="44" t="s">
        <v>6929</v>
      </c>
      <c r="FF8645" s="45" t="s">
        <v>59</v>
      </c>
      <c r="FJ8645" s="45" t="s">
        <v>59</v>
      </c>
    </row>
    <row r="8646" spans="153:166" x14ac:dyDescent="0.35">
      <c r="EW8646" t="s">
        <v>6281</v>
      </c>
      <c r="EX8646" s="44" t="s">
        <v>6930</v>
      </c>
      <c r="FF8646" s="45" t="s">
        <v>59</v>
      </c>
      <c r="FJ8646" s="45" t="s">
        <v>59</v>
      </c>
    </row>
    <row r="8647" spans="153:166" x14ac:dyDescent="0.35">
      <c r="EW8647" t="s">
        <v>6281</v>
      </c>
      <c r="EX8647" s="44" t="s">
        <v>6931</v>
      </c>
      <c r="FF8647" s="45" t="s">
        <v>59</v>
      </c>
      <c r="FJ8647" s="45" t="s">
        <v>59</v>
      </c>
    </row>
    <row r="8648" spans="153:166" x14ac:dyDescent="0.35">
      <c r="EW8648" t="s">
        <v>6281</v>
      </c>
      <c r="EX8648" s="44" t="s">
        <v>6932</v>
      </c>
      <c r="FF8648" s="45" t="s">
        <v>59</v>
      </c>
      <c r="FJ8648" s="45" t="s">
        <v>59</v>
      </c>
    </row>
    <row r="8649" spans="153:166" x14ac:dyDescent="0.35">
      <c r="EW8649" t="s">
        <v>6281</v>
      </c>
      <c r="EX8649" s="44" t="s">
        <v>6933</v>
      </c>
      <c r="FF8649" s="45" t="s">
        <v>59</v>
      </c>
      <c r="FJ8649" s="45" t="s">
        <v>59</v>
      </c>
    </row>
    <row r="8650" spans="153:166" x14ac:dyDescent="0.35">
      <c r="EW8650" t="s">
        <v>6281</v>
      </c>
      <c r="EX8650" s="44" t="s">
        <v>6934</v>
      </c>
      <c r="FF8650" s="45" t="s">
        <v>59</v>
      </c>
      <c r="FJ8650" s="45" t="s">
        <v>59</v>
      </c>
    </row>
    <row r="8651" spans="153:166" x14ac:dyDescent="0.35">
      <c r="EW8651" t="s">
        <v>6281</v>
      </c>
      <c r="EX8651" s="44" t="s">
        <v>6935</v>
      </c>
      <c r="FF8651" s="45" t="s">
        <v>59</v>
      </c>
      <c r="FJ8651" s="45" t="s">
        <v>59</v>
      </c>
    </row>
    <row r="8652" spans="153:166" x14ac:dyDescent="0.35">
      <c r="EW8652" t="s">
        <v>6281</v>
      </c>
      <c r="EX8652" s="44" t="s">
        <v>6936</v>
      </c>
      <c r="FF8652" s="45" t="s">
        <v>59</v>
      </c>
      <c r="FJ8652" s="45" t="s">
        <v>59</v>
      </c>
    </row>
    <row r="8653" spans="153:166" x14ac:dyDescent="0.35">
      <c r="EW8653" t="s">
        <v>6281</v>
      </c>
      <c r="EX8653" s="44" t="s">
        <v>6937</v>
      </c>
      <c r="FF8653" s="45" t="s">
        <v>59</v>
      </c>
      <c r="FJ8653" s="45" t="s">
        <v>59</v>
      </c>
    </row>
    <row r="8654" spans="153:166" x14ac:dyDescent="0.35">
      <c r="EW8654" t="s">
        <v>6281</v>
      </c>
      <c r="EX8654" s="44" t="s">
        <v>6938</v>
      </c>
      <c r="FF8654" s="45" t="s">
        <v>59</v>
      </c>
      <c r="FJ8654" s="45" t="s">
        <v>59</v>
      </c>
    </row>
    <row r="8655" spans="153:166" x14ac:dyDescent="0.35">
      <c r="EW8655" t="s">
        <v>6281</v>
      </c>
      <c r="EX8655" s="44" t="s">
        <v>6939</v>
      </c>
      <c r="FF8655" s="45" t="s">
        <v>59</v>
      </c>
      <c r="FJ8655" s="45" t="s">
        <v>59</v>
      </c>
    </row>
    <row r="8656" spans="153:166" x14ac:dyDescent="0.35">
      <c r="EW8656" t="s">
        <v>6281</v>
      </c>
      <c r="EX8656" s="44" t="s">
        <v>6940</v>
      </c>
      <c r="FF8656" s="45" t="s">
        <v>59</v>
      </c>
      <c r="FJ8656" s="45" t="s">
        <v>59</v>
      </c>
    </row>
    <row r="8657" spans="153:166" x14ac:dyDescent="0.35">
      <c r="EW8657" t="s">
        <v>6281</v>
      </c>
      <c r="EX8657" s="44" t="s">
        <v>6941</v>
      </c>
      <c r="FF8657" s="45" t="s">
        <v>59</v>
      </c>
      <c r="FJ8657" s="45" t="s">
        <v>59</v>
      </c>
    </row>
    <row r="8658" spans="153:166" x14ac:dyDescent="0.35">
      <c r="EW8658" t="s">
        <v>6281</v>
      </c>
      <c r="EX8658" s="44" t="s">
        <v>6942</v>
      </c>
      <c r="FF8658" s="45" t="s">
        <v>59</v>
      </c>
      <c r="FJ8658" s="45" t="s">
        <v>59</v>
      </c>
    </row>
    <row r="8659" spans="153:166" x14ac:dyDescent="0.35">
      <c r="EW8659" t="s">
        <v>6281</v>
      </c>
      <c r="EX8659" s="44" t="s">
        <v>6943</v>
      </c>
      <c r="FF8659" s="45" t="s">
        <v>59</v>
      </c>
      <c r="FJ8659" s="45" t="s">
        <v>59</v>
      </c>
    </row>
    <row r="8660" spans="153:166" x14ac:dyDescent="0.35">
      <c r="EW8660" t="s">
        <v>6281</v>
      </c>
      <c r="EX8660" s="44" t="s">
        <v>6944</v>
      </c>
      <c r="FF8660" s="45" t="s">
        <v>59</v>
      </c>
      <c r="FJ8660" s="45" t="s">
        <v>59</v>
      </c>
    </row>
    <row r="8661" spans="153:166" x14ac:dyDescent="0.35">
      <c r="EW8661" t="s">
        <v>6281</v>
      </c>
      <c r="EX8661" s="44" t="s">
        <v>6945</v>
      </c>
      <c r="FF8661" s="45" t="s">
        <v>59</v>
      </c>
      <c r="FJ8661" s="45" t="s">
        <v>59</v>
      </c>
    </row>
    <row r="8662" spans="153:166" x14ac:dyDescent="0.35">
      <c r="EW8662" t="s">
        <v>6281</v>
      </c>
      <c r="EX8662" s="44" t="s">
        <v>6946</v>
      </c>
      <c r="FF8662" s="45" t="s">
        <v>59</v>
      </c>
      <c r="FJ8662" s="45" t="s">
        <v>59</v>
      </c>
    </row>
    <row r="8663" spans="153:166" x14ac:dyDescent="0.35">
      <c r="EW8663" t="s">
        <v>6281</v>
      </c>
      <c r="EX8663" s="44" t="s">
        <v>6947</v>
      </c>
      <c r="FF8663" s="45" t="s">
        <v>59</v>
      </c>
      <c r="FJ8663" s="45" t="s">
        <v>59</v>
      </c>
    </row>
    <row r="8664" spans="153:166" x14ac:dyDescent="0.35">
      <c r="EW8664" t="s">
        <v>6281</v>
      </c>
      <c r="EX8664" s="44" t="s">
        <v>6948</v>
      </c>
      <c r="FF8664" s="45" t="s">
        <v>59</v>
      </c>
      <c r="FJ8664" s="45" t="s">
        <v>59</v>
      </c>
    </row>
    <row r="8665" spans="153:166" x14ac:dyDescent="0.35">
      <c r="EW8665" t="s">
        <v>6281</v>
      </c>
      <c r="EX8665" s="44" t="s">
        <v>6949</v>
      </c>
      <c r="FF8665" s="45" t="s">
        <v>59</v>
      </c>
      <c r="FJ8665" s="45" t="s">
        <v>59</v>
      </c>
    </row>
    <row r="8666" spans="153:166" x14ac:dyDescent="0.35">
      <c r="EW8666" t="s">
        <v>6281</v>
      </c>
      <c r="EX8666" s="44" t="s">
        <v>6950</v>
      </c>
      <c r="FF8666" s="45" t="s">
        <v>59</v>
      </c>
      <c r="FJ8666" s="45" t="s">
        <v>59</v>
      </c>
    </row>
    <row r="8667" spans="153:166" x14ac:dyDescent="0.35">
      <c r="EW8667" t="s">
        <v>6281</v>
      </c>
      <c r="EX8667" s="44" t="s">
        <v>6951</v>
      </c>
      <c r="FF8667" s="45" t="s">
        <v>59</v>
      </c>
      <c r="FJ8667" s="45" t="s">
        <v>59</v>
      </c>
    </row>
    <row r="8668" spans="153:166" x14ac:dyDescent="0.35">
      <c r="EW8668" t="s">
        <v>6281</v>
      </c>
      <c r="EX8668" s="44" t="s">
        <v>6952</v>
      </c>
      <c r="FF8668" s="45" t="s">
        <v>59</v>
      </c>
      <c r="FJ8668" s="45" t="s">
        <v>59</v>
      </c>
    </row>
    <row r="8669" spans="153:166" x14ac:dyDescent="0.35">
      <c r="EW8669" t="s">
        <v>6281</v>
      </c>
      <c r="EX8669" s="44" t="s">
        <v>6953</v>
      </c>
      <c r="FF8669" s="45" t="s">
        <v>59</v>
      </c>
      <c r="FJ8669" s="45" t="s">
        <v>59</v>
      </c>
    </row>
    <row r="8670" spans="153:166" x14ac:dyDescent="0.35">
      <c r="EW8670" t="s">
        <v>6281</v>
      </c>
      <c r="EX8670" s="44" t="s">
        <v>6954</v>
      </c>
      <c r="FF8670" s="45" t="s">
        <v>59</v>
      </c>
      <c r="FJ8670" s="45" t="s">
        <v>59</v>
      </c>
    </row>
    <row r="8671" spans="153:166" x14ac:dyDescent="0.35">
      <c r="EW8671" t="s">
        <v>6281</v>
      </c>
      <c r="EX8671" s="44" t="s">
        <v>6955</v>
      </c>
      <c r="FF8671" s="45" t="s">
        <v>59</v>
      </c>
      <c r="FJ8671" s="45" t="s">
        <v>59</v>
      </c>
    </row>
    <row r="8672" spans="153:166" x14ac:dyDescent="0.35">
      <c r="EW8672" t="s">
        <v>6281</v>
      </c>
      <c r="EX8672" s="44" t="s">
        <v>6956</v>
      </c>
      <c r="FF8672" s="45" t="s">
        <v>59</v>
      </c>
      <c r="FJ8672" s="45" t="s">
        <v>59</v>
      </c>
    </row>
    <row r="8673" spans="153:166" x14ac:dyDescent="0.35">
      <c r="EW8673" t="s">
        <v>6281</v>
      </c>
      <c r="EX8673" s="44" t="s">
        <v>6957</v>
      </c>
      <c r="FF8673" s="45" t="s">
        <v>59</v>
      </c>
      <c r="FJ8673" s="45" t="s">
        <v>59</v>
      </c>
    </row>
    <row r="8674" spans="153:166" x14ac:dyDescent="0.35">
      <c r="EW8674" t="s">
        <v>6281</v>
      </c>
      <c r="EX8674" s="44" t="s">
        <v>6958</v>
      </c>
      <c r="FF8674" s="45" t="s">
        <v>59</v>
      </c>
      <c r="FJ8674" s="45" t="s">
        <v>59</v>
      </c>
    </row>
    <row r="8675" spans="153:166" x14ac:dyDescent="0.35">
      <c r="EW8675" t="s">
        <v>6281</v>
      </c>
      <c r="EX8675" s="44" t="s">
        <v>6959</v>
      </c>
      <c r="FF8675" s="45" t="s">
        <v>59</v>
      </c>
      <c r="FJ8675" s="45" t="s">
        <v>59</v>
      </c>
    </row>
    <row r="8676" spans="153:166" x14ac:dyDescent="0.35">
      <c r="EW8676" t="s">
        <v>6281</v>
      </c>
      <c r="EX8676" s="44" t="s">
        <v>6960</v>
      </c>
      <c r="FF8676" s="45" t="s">
        <v>59</v>
      </c>
      <c r="FJ8676" s="45" t="s">
        <v>59</v>
      </c>
    </row>
    <row r="8677" spans="153:166" x14ac:dyDescent="0.35">
      <c r="EW8677" t="s">
        <v>6281</v>
      </c>
      <c r="EX8677" s="44" t="s">
        <v>6961</v>
      </c>
      <c r="FF8677" s="45" t="s">
        <v>59</v>
      </c>
      <c r="FJ8677" s="45" t="s">
        <v>59</v>
      </c>
    </row>
    <row r="8678" spans="153:166" x14ac:dyDescent="0.35">
      <c r="EW8678" t="s">
        <v>6281</v>
      </c>
      <c r="EX8678" s="44" t="s">
        <v>6962</v>
      </c>
      <c r="FF8678" s="45" t="s">
        <v>59</v>
      </c>
      <c r="FJ8678" s="45" t="s">
        <v>59</v>
      </c>
    </row>
    <row r="8679" spans="153:166" x14ac:dyDescent="0.35">
      <c r="EW8679" t="s">
        <v>6281</v>
      </c>
      <c r="EX8679" s="44" t="s">
        <v>6963</v>
      </c>
      <c r="FF8679" s="45" t="s">
        <v>59</v>
      </c>
      <c r="FJ8679" s="45" t="s">
        <v>59</v>
      </c>
    </row>
    <row r="8680" spans="153:166" x14ac:dyDescent="0.35">
      <c r="EW8680" t="s">
        <v>6281</v>
      </c>
      <c r="EX8680" s="44" t="s">
        <v>6964</v>
      </c>
      <c r="FF8680" s="45" t="s">
        <v>59</v>
      </c>
      <c r="FJ8680" s="45" t="s">
        <v>59</v>
      </c>
    </row>
    <row r="8681" spans="153:166" x14ac:dyDescent="0.35">
      <c r="EW8681" t="s">
        <v>6281</v>
      </c>
      <c r="EX8681" s="44" t="s">
        <v>6965</v>
      </c>
      <c r="FF8681" s="45" t="s">
        <v>59</v>
      </c>
      <c r="FJ8681" s="45" t="s">
        <v>59</v>
      </c>
    </row>
    <row r="8682" spans="153:166" x14ac:dyDescent="0.35">
      <c r="EW8682" t="s">
        <v>6281</v>
      </c>
      <c r="EX8682" s="44" t="s">
        <v>6966</v>
      </c>
      <c r="FF8682" s="45" t="s">
        <v>474</v>
      </c>
      <c r="FJ8682" s="45" t="s">
        <v>474</v>
      </c>
    </row>
    <row r="8683" spans="153:166" x14ac:dyDescent="0.35">
      <c r="EW8683" t="s">
        <v>6281</v>
      </c>
      <c r="EX8683" s="44" t="s">
        <v>6967</v>
      </c>
      <c r="FF8683" s="45" t="s">
        <v>474</v>
      </c>
      <c r="FJ8683" s="45" t="s">
        <v>474</v>
      </c>
    </row>
    <row r="8684" spans="153:166" x14ac:dyDescent="0.35">
      <c r="EW8684" t="s">
        <v>6281</v>
      </c>
      <c r="EX8684" s="44" t="s">
        <v>6968</v>
      </c>
      <c r="FF8684" s="45" t="s">
        <v>474</v>
      </c>
      <c r="FJ8684" s="45" t="s">
        <v>474</v>
      </c>
    </row>
    <row r="8685" spans="153:166" x14ac:dyDescent="0.35">
      <c r="EW8685" t="s">
        <v>6281</v>
      </c>
      <c r="EX8685" s="44" t="s">
        <v>6969</v>
      </c>
      <c r="FF8685" s="45" t="s">
        <v>474</v>
      </c>
      <c r="FJ8685" s="45" t="s">
        <v>474</v>
      </c>
    </row>
    <row r="8686" spans="153:166" x14ac:dyDescent="0.35">
      <c r="EW8686" t="s">
        <v>6281</v>
      </c>
      <c r="EX8686" s="44" t="s">
        <v>6970</v>
      </c>
      <c r="FF8686" s="45" t="s">
        <v>1109</v>
      </c>
      <c r="FJ8686" s="45" t="s">
        <v>1109</v>
      </c>
    </row>
    <row r="8687" spans="153:166" x14ac:dyDescent="0.35">
      <c r="EW8687" t="s">
        <v>6281</v>
      </c>
      <c r="EX8687" s="44" t="s">
        <v>6971</v>
      </c>
      <c r="FF8687" s="45" t="s">
        <v>1109</v>
      </c>
      <c r="FJ8687" s="45" t="s">
        <v>1109</v>
      </c>
    </row>
    <row r="8688" spans="153:166" x14ac:dyDescent="0.35">
      <c r="EW8688" t="s">
        <v>6281</v>
      </c>
      <c r="EX8688" s="44" t="s">
        <v>6972</v>
      </c>
      <c r="FF8688" s="45" t="s">
        <v>1109</v>
      </c>
      <c r="FJ8688" s="45" t="s">
        <v>1109</v>
      </c>
    </row>
    <row r="8689" spans="153:166" x14ac:dyDescent="0.35">
      <c r="EW8689" t="s">
        <v>6281</v>
      </c>
      <c r="EX8689" s="44" t="s">
        <v>6973</v>
      </c>
      <c r="FF8689" s="45" t="s">
        <v>1109</v>
      </c>
      <c r="FJ8689" s="45" t="s">
        <v>1109</v>
      </c>
    </row>
    <row r="8690" spans="153:166" x14ac:dyDescent="0.35">
      <c r="EW8690" t="s">
        <v>6281</v>
      </c>
      <c r="EX8690" s="44" t="s">
        <v>6974</v>
      </c>
      <c r="FF8690" s="45" t="s">
        <v>1109</v>
      </c>
      <c r="FJ8690" s="45" t="s">
        <v>1109</v>
      </c>
    </row>
    <row r="8691" spans="153:166" x14ac:dyDescent="0.35">
      <c r="EW8691" t="s">
        <v>6281</v>
      </c>
      <c r="EX8691" s="44" t="s">
        <v>6975</v>
      </c>
      <c r="FF8691" s="45" t="s">
        <v>1109</v>
      </c>
      <c r="FJ8691" s="45" t="s">
        <v>1109</v>
      </c>
    </row>
    <row r="8692" spans="153:166" x14ac:dyDescent="0.35">
      <c r="EW8692" t="s">
        <v>6281</v>
      </c>
      <c r="EX8692" s="44" t="s">
        <v>6976</v>
      </c>
      <c r="FF8692" s="45" t="s">
        <v>1109</v>
      </c>
      <c r="FJ8692" s="45" t="s">
        <v>1109</v>
      </c>
    </row>
    <row r="8693" spans="153:166" x14ac:dyDescent="0.35">
      <c r="EW8693" t="s">
        <v>6281</v>
      </c>
      <c r="EX8693" s="44" t="s">
        <v>6977</v>
      </c>
      <c r="FF8693" s="45" t="s">
        <v>1109</v>
      </c>
      <c r="FJ8693" s="45" t="s">
        <v>1109</v>
      </c>
    </row>
    <row r="8694" spans="153:166" x14ac:dyDescent="0.35">
      <c r="EW8694" t="s">
        <v>6281</v>
      </c>
      <c r="EX8694" s="44" t="s">
        <v>6978</v>
      </c>
      <c r="FF8694" s="45" t="s">
        <v>1109</v>
      </c>
      <c r="FJ8694" s="45" t="s">
        <v>1109</v>
      </c>
    </row>
    <row r="8695" spans="153:166" x14ac:dyDescent="0.35">
      <c r="EW8695" t="s">
        <v>6281</v>
      </c>
      <c r="EX8695" s="44" t="s">
        <v>6979</v>
      </c>
      <c r="FF8695" s="45" t="s">
        <v>1109</v>
      </c>
      <c r="FJ8695" s="45" t="s">
        <v>1109</v>
      </c>
    </row>
    <row r="8696" spans="153:166" x14ac:dyDescent="0.35">
      <c r="EW8696" t="s">
        <v>6281</v>
      </c>
      <c r="EX8696" s="44" t="s">
        <v>6980</v>
      </c>
      <c r="FF8696" s="45" t="s">
        <v>1109</v>
      </c>
      <c r="FJ8696" s="45" t="s">
        <v>1109</v>
      </c>
    </row>
    <row r="8697" spans="153:166" x14ac:dyDescent="0.35">
      <c r="EW8697" t="s">
        <v>6281</v>
      </c>
      <c r="EX8697" s="44" t="s">
        <v>6981</v>
      </c>
      <c r="FF8697" s="45" t="s">
        <v>1109</v>
      </c>
      <c r="FJ8697" s="45" t="s">
        <v>1109</v>
      </c>
    </row>
    <row r="8698" spans="153:166" x14ac:dyDescent="0.35">
      <c r="EW8698" t="s">
        <v>6281</v>
      </c>
      <c r="EX8698" s="44" t="s">
        <v>6982</v>
      </c>
      <c r="FF8698" s="45" t="s">
        <v>1109</v>
      </c>
      <c r="FJ8698" s="45" t="s">
        <v>1109</v>
      </c>
    </row>
    <row r="8699" spans="153:166" x14ac:dyDescent="0.35">
      <c r="EW8699" t="s">
        <v>6281</v>
      </c>
      <c r="EX8699" s="44" t="s">
        <v>6983</v>
      </c>
      <c r="FF8699" s="45" t="s">
        <v>1109</v>
      </c>
      <c r="FJ8699" s="45" t="s">
        <v>1109</v>
      </c>
    </row>
    <row r="8700" spans="153:166" x14ac:dyDescent="0.35">
      <c r="EW8700" t="s">
        <v>6281</v>
      </c>
      <c r="EX8700" s="44" t="s">
        <v>6984</v>
      </c>
      <c r="FF8700" s="45" t="s">
        <v>1109</v>
      </c>
      <c r="FJ8700" s="45" t="s">
        <v>1109</v>
      </c>
    </row>
    <row r="8701" spans="153:166" x14ac:dyDescent="0.35">
      <c r="EW8701" t="s">
        <v>6281</v>
      </c>
      <c r="EX8701" s="44" t="s">
        <v>6985</v>
      </c>
      <c r="FF8701" s="45" t="s">
        <v>1109</v>
      </c>
      <c r="FJ8701" s="45" t="s">
        <v>1109</v>
      </c>
    </row>
    <row r="8702" spans="153:166" x14ac:dyDescent="0.35">
      <c r="EW8702" t="s">
        <v>6281</v>
      </c>
      <c r="EX8702" s="44" t="s">
        <v>6986</v>
      </c>
      <c r="FF8702" s="45" t="s">
        <v>1109</v>
      </c>
      <c r="FJ8702" s="45" t="s">
        <v>1109</v>
      </c>
    </row>
    <row r="8703" spans="153:166" x14ac:dyDescent="0.35">
      <c r="EW8703" t="s">
        <v>6281</v>
      </c>
      <c r="EX8703" s="44" t="s">
        <v>6987</v>
      </c>
      <c r="FF8703" s="45" t="s">
        <v>1109</v>
      </c>
      <c r="FJ8703" s="45" t="s">
        <v>1109</v>
      </c>
    </row>
    <row r="8704" spans="153:166" x14ac:dyDescent="0.35">
      <c r="EW8704" t="s">
        <v>6281</v>
      </c>
      <c r="EX8704" s="44" t="s">
        <v>6988</v>
      </c>
      <c r="FF8704" s="45" t="s">
        <v>1109</v>
      </c>
      <c r="FJ8704" s="45" t="s">
        <v>1109</v>
      </c>
    </row>
    <row r="8705" spans="153:166" x14ac:dyDescent="0.35">
      <c r="EW8705" t="s">
        <v>6281</v>
      </c>
      <c r="EX8705" s="44" t="s">
        <v>6989</v>
      </c>
      <c r="FF8705" s="45" t="s">
        <v>1109</v>
      </c>
      <c r="FJ8705" s="45" t="s">
        <v>1109</v>
      </c>
    </row>
    <row r="8706" spans="153:166" x14ac:dyDescent="0.35">
      <c r="EW8706" t="s">
        <v>6281</v>
      </c>
      <c r="EX8706" s="44" t="s">
        <v>6990</v>
      </c>
      <c r="FF8706" s="45" t="s">
        <v>1109</v>
      </c>
      <c r="FJ8706" s="45" t="s">
        <v>1109</v>
      </c>
    </row>
    <row r="8707" spans="153:166" x14ac:dyDescent="0.35">
      <c r="EW8707" t="s">
        <v>6281</v>
      </c>
      <c r="EX8707" s="44" t="s">
        <v>6991</v>
      </c>
      <c r="FF8707" s="45" t="s">
        <v>1109</v>
      </c>
      <c r="FJ8707" s="45" t="s">
        <v>1109</v>
      </c>
    </row>
    <row r="8708" spans="153:166" x14ac:dyDescent="0.35">
      <c r="EW8708" t="s">
        <v>6281</v>
      </c>
      <c r="EX8708" s="44" t="s">
        <v>6992</v>
      </c>
      <c r="FF8708" s="45" t="s">
        <v>1109</v>
      </c>
      <c r="FJ8708" s="45" t="s">
        <v>1109</v>
      </c>
    </row>
    <row r="8709" spans="153:166" x14ac:dyDescent="0.35">
      <c r="EW8709" t="s">
        <v>6281</v>
      </c>
      <c r="EX8709" s="44" t="s">
        <v>6993</v>
      </c>
      <c r="FF8709" s="45" t="s">
        <v>1109</v>
      </c>
      <c r="FJ8709" s="45" t="s">
        <v>1109</v>
      </c>
    </row>
    <row r="8710" spans="153:166" x14ac:dyDescent="0.35">
      <c r="EW8710" t="s">
        <v>6281</v>
      </c>
      <c r="EX8710" s="44" t="s">
        <v>6994</v>
      </c>
      <c r="FF8710" s="45" t="s">
        <v>1109</v>
      </c>
      <c r="FJ8710" s="45" t="s">
        <v>1109</v>
      </c>
    </row>
    <row r="8711" spans="153:166" x14ac:dyDescent="0.35">
      <c r="EW8711" t="s">
        <v>6281</v>
      </c>
      <c r="EX8711" s="44" t="s">
        <v>6995</v>
      </c>
      <c r="FF8711" s="45" t="s">
        <v>1109</v>
      </c>
      <c r="FJ8711" s="45" t="s">
        <v>1109</v>
      </c>
    </row>
    <row r="8712" spans="153:166" x14ac:dyDescent="0.35">
      <c r="EW8712" t="s">
        <v>6281</v>
      </c>
      <c r="EX8712" s="44" t="s">
        <v>6996</v>
      </c>
      <c r="FF8712" s="45" t="s">
        <v>1109</v>
      </c>
      <c r="FJ8712" s="45" t="s">
        <v>1109</v>
      </c>
    </row>
    <row r="8713" spans="153:166" x14ac:dyDescent="0.35">
      <c r="EW8713" t="s">
        <v>6281</v>
      </c>
      <c r="EX8713" s="44" t="s">
        <v>6997</v>
      </c>
      <c r="FF8713" s="45" t="s">
        <v>1109</v>
      </c>
      <c r="FJ8713" s="45" t="s">
        <v>1109</v>
      </c>
    </row>
    <row r="8714" spans="153:166" x14ac:dyDescent="0.35">
      <c r="EW8714" t="s">
        <v>6281</v>
      </c>
      <c r="EX8714" s="44" t="s">
        <v>6998</v>
      </c>
      <c r="FF8714" s="45" t="s">
        <v>1109</v>
      </c>
      <c r="FJ8714" s="45" t="s">
        <v>1109</v>
      </c>
    </row>
    <row r="8715" spans="153:166" x14ac:dyDescent="0.35">
      <c r="EW8715" t="s">
        <v>6281</v>
      </c>
      <c r="EX8715" s="44" t="s">
        <v>6999</v>
      </c>
      <c r="FF8715" s="45" t="s">
        <v>1109</v>
      </c>
      <c r="FJ8715" s="45" t="s">
        <v>1109</v>
      </c>
    </row>
    <row r="8716" spans="153:166" x14ac:dyDescent="0.35">
      <c r="EW8716" t="s">
        <v>6281</v>
      </c>
      <c r="EX8716" s="44" t="s">
        <v>7000</v>
      </c>
      <c r="FF8716" s="45" t="s">
        <v>1109</v>
      </c>
      <c r="FJ8716" s="45" t="s">
        <v>1109</v>
      </c>
    </row>
    <row r="8717" spans="153:166" x14ac:dyDescent="0.35">
      <c r="EW8717" t="s">
        <v>6281</v>
      </c>
      <c r="EX8717" s="44" t="s">
        <v>7001</v>
      </c>
      <c r="FF8717" s="45" t="s">
        <v>1109</v>
      </c>
      <c r="FJ8717" s="45" t="s">
        <v>1109</v>
      </c>
    </row>
    <row r="8718" spans="153:166" x14ac:dyDescent="0.35">
      <c r="EW8718" t="s">
        <v>6281</v>
      </c>
      <c r="EX8718" s="44" t="s">
        <v>7002</v>
      </c>
      <c r="FF8718" s="45" t="s">
        <v>59</v>
      </c>
      <c r="FJ8718" s="45" t="s">
        <v>59</v>
      </c>
    </row>
    <row r="8719" spans="153:166" x14ac:dyDescent="0.35">
      <c r="EW8719" t="s">
        <v>6281</v>
      </c>
      <c r="EX8719" s="44" t="s">
        <v>7003</v>
      </c>
      <c r="FF8719" s="45" t="s">
        <v>59</v>
      </c>
      <c r="FJ8719" s="45" t="s">
        <v>59</v>
      </c>
    </row>
    <row r="8720" spans="153:166" x14ac:dyDescent="0.35">
      <c r="EW8720" t="s">
        <v>6281</v>
      </c>
      <c r="EX8720" s="44" t="s">
        <v>7004</v>
      </c>
      <c r="FF8720" s="45" t="s">
        <v>59</v>
      </c>
      <c r="FJ8720" s="45" t="s">
        <v>59</v>
      </c>
    </row>
    <row r="8721" spans="153:166" x14ac:dyDescent="0.35">
      <c r="EW8721" t="s">
        <v>6281</v>
      </c>
      <c r="EX8721" s="44" t="s">
        <v>7005</v>
      </c>
      <c r="FF8721" s="45" t="s">
        <v>59</v>
      </c>
      <c r="FJ8721" s="45" t="s">
        <v>59</v>
      </c>
    </row>
    <row r="8722" spans="153:166" x14ac:dyDescent="0.35">
      <c r="EW8722" t="s">
        <v>6281</v>
      </c>
      <c r="EX8722" s="44" t="s">
        <v>7006</v>
      </c>
      <c r="FF8722" s="45" t="s">
        <v>59</v>
      </c>
      <c r="FJ8722" s="45" t="s">
        <v>59</v>
      </c>
    </row>
    <row r="8723" spans="153:166" x14ac:dyDescent="0.35">
      <c r="EW8723" t="s">
        <v>6281</v>
      </c>
      <c r="EX8723" s="44" t="s">
        <v>7007</v>
      </c>
      <c r="FF8723" s="45" t="s">
        <v>59</v>
      </c>
      <c r="FJ8723" s="45" t="s">
        <v>59</v>
      </c>
    </row>
    <row r="8724" spans="153:166" x14ac:dyDescent="0.35">
      <c r="EW8724" t="s">
        <v>6281</v>
      </c>
      <c r="EX8724" s="44" t="s">
        <v>7008</v>
      </c>
      <c r="FF8724" s="45" t="s">
        <v>59</v>
      </c>
      <c r="FJ8724" s="45" t="s">
        <v>59</v>
      </c>
    </row>
    <row r="8725" spans="153:166" x14ac:dyDescent="0.35">
      <c r="EW8725" t="s">
        <v>6281</v>
      </c>
      <c r="EX8725" s="44" t="s">
        <v>7009</v>
      </c>
      <c r="FF8725" s="45" t="s">
        <v>59</v>
      </c>
      <c r="FJ8725" s="45" t="s">
        <v>59</v>
      </c>
    </row>
    <row r="8726" spans="153:166" x14ac:dyDescent="0.35">
      <c r="EW8726" t="s">
        <v>6281</v>
      </c>
      <c r="EX8726" s="44" t="s">
        <v>7010</v>
      </c>
      <c r="FF8726" s="45" t="s">
        <v>59</v>
      </c>
      <c r="FJ8726" s="45" t="s">
        <v>59</v>
      </c>
    </row>
    <row r="8727" spans="153:166" x14ac:dyDescent="0.35">
      <c r="EW8727" t="s">
        <v>6281</v>
      </c>
      <c r="EX8727" s="44" t="s">
        <v>7011</v>
      </c>
      <c r="FF8727" s="45" t="s">
        <v>59</v>
      </c>
      <c r="FJ8727" s="45" t="s">
        <v>59</v>
      </c>
    </row>
    <row r="8728" spans="153:166" x14ac:dyDescent="0.35">
      <c r="EW8728" t="s">
        <v>6281</v>
      </c>
      <c r="EX8728" s="44" t="s">
        <v>7012</v>
      </c>
      <c r="FF8728" s="45" t="s">
        <v>59</v>
      </c>
      <c r="FJ8728" s="45" t="s">
        <v>59</v>
      </c>
    </row>
    <row r="8729" spans="153:166" x14ac:dyDescent="0.35">
      <c r="EW8729" t="s">
        <v>6281</v>
      </c>
      <c r="EX8729" s="44" t="s">
        <v>7013</v>
      </c>
      <c r="FF8729" s="45" t="s">
        <v>59</v>
      </c>
      <c r="FJ8729" s="45" t="s">
        <v>59</v>
      </c>
    </row>
    <row r="8730" spans="153:166" x14ac:dyDescent="0.35">
      <c r="EW8730" t="s">
        <v>6281</v>
      </c>
      <c r="EX8730" s="44" t="s">
        <v>7014</v>
      </c>
      <c r="FF8730" s="45" t="s">
        <v>59</v>
      </c>
      <c r="FJ8730" s="45" t="s">
        <v>59</v>
      </c>
    </row>
    <row r="8731" spans="153:166" x14ac:dyDescent="0.35">
      <c r="EW8731" t="s">
        <v>6281</v>
      </c>
      <c r="EX8731" s="44" t="s">
        <v>7015</v>
      </c>
      <c r="FF8731" s="45" t="s">
        <v>59</v>
      </c>
      <c r="FJ8731" s="45" t="s">
        <v>59</v>
      </c>
    </row>
    <row r="8732" spans="153:166" x14ac:dyDescent="0.35">
      <c r="EW8732" t="s">
        <v>6281</v>
      </c>
      <c r="EX8732" s="44" t="s">
        <v>7016</v>
      </c>
      <c r="FF8732" s="45" t="s">
        <v>59</v>
      </c>
      <c r="FJ8732" s="45" t="s">
        <v>59</v>
      </c>
    </row>
    <row r="8733" spans="153:166" x14ac:dyDescent="0.35">
      <c r="EW8733" t="s">
        <v>6281</v>
      </c>
      <c r="EX8733" s="44" t="s">
        <v>7017</v>
      </c>
      <c r="FF8733" s="45" t="s">
        <v>59</v>
      </c>
      <c r="FJ8733" s="45" t="s">
        <v>59</v>
      </c>
    </row>
    <row r="8734" spans="153:166" x14ac:dyDescent="0.35">
      <c r="EW8734" t="s">
        <v>6281</v>
      </c>
      <c r="EX8734" s="44" t="s">
        <v>7018</v>
      </c>
      <c r="FF8734" s="45" t="s">
        <v>59</v>
      </c>
      <c r="FJ8734" s="45" t="s">
        <v>59</v>
      </c>
    </row>
    <row r="8735" spans="153:166" x14ac:dyDescent="0.35">
      <c r="EW8735" t="s">
        <v>6281</v>
      </c>
      <c r="EX8735" s="44" t="s">
        <v>7019</v>
      </c>
      <c r="FF8735" s="45" t="s">
        <v>59</v>
      </c>
      <c r="FJ8735" s="45" t="s">
        <v>59</v>
      </c>
    </row>
    <row r="8736" spans="153:166" x14ac:dyDescent="0.35">
      <c r="EW8736" t="s">
        <v>6281</v>
      </c>
      <c r="EX8736" s="44" t="s">
        <v>7020</v>
      </c>
      <c r="FF8736" s="45" t="s">
        <v>59</v>
      </c>
      <c r="FJ8736" s="45" t="s">
        <v>59</v>
      </c>
    </row>
    <row r="8737" spans="153:166" x14ac:dyDescent="0.35">
      <c r="EW8737" t="s">
        <v>6281</v>
      </c>
      <c r="EX8737" s="44" t="s">
        <v>7021</v>
      </c>
      <c r="FF8737" s="45" t="s">
        <v>59</v>
      </c>
      <c r="FJ8737" s="45" t="s">
        <v>59</v>
      </c>
    </row>
    <row r="8738" spans="153:166" x14ac:dyDescent="0.35">
      <c r="EW8738" t="s">
        <v>6281</v>
      </c>
      <c r="EX8738" s="44" t="s">
        <v>7022</v>
      </c>
      <c r="FF8738" s="45" t="s">
        <v>59</v>
      </c>
      <c r="FJ8738" s="45" t="s">
        <v>59</v>
      </c>
    </row>
    <row r="8739" spans="153:166" x14ac:dyDescent="0.35">
      <c r="EW8739" t="s">
        <v>6281</v>
      </c>
      <c r="EX8739" s="44" t="s">
        <v>7023</v>
      </c>
      <c r="FF8739" s="45" t="s">
        <v>59</v>
      </c>
      <c r="FJ8739" s="45" t="s">
        <v>59</v>
      </c>
    </row>
    <row r="8740" spans="153:166" x14ac:dyDescent="0.35">
      <c r="EW8740" t="s">
        <v>6281</v>
      </c>
      <c r="EX8740" s="44" t="s">
        <v>7024</v>
      </c>
      <c r="FF8740" s="45" t="s">
        <v>59</v>
      </c>
      <c r="FJ8740" s="45" t="s">
        <v>59</v>
      </c>
    </row>
    <row r="8741" spans="153:166" x14ac:dyDescent="0.35">
      <c r="EW8741" t="s">
        <v>6281</v>
      </c>
      <c r="EX8741" s="44" t="s">
        <v>7025</v>
      </c>
      <c r="FF8741" s="45" t="s">
        <v>59</v>
      </c>
      <c r="FJ8741" s="45" t="s">
        <v>59</v>
      </c>
    </row>
    <row r="8742" spans="153:166" x14ac:dyDescent="0.35">
      <c r="EW8742" t="s">
        <v>6281</v>
      </c>
      <c r="EX8742" s="44" t="s">
        <v>7026</v>
      </c>
      <c r="FF8742" s="45" t="s">
        <v>59</v>
      </c>
      <c r="FJ8742" s="45" t="s">
        <v>59</v>
      </c>
    </row>
    <row r="8743" spans="153:166" x14ac:dyDescent="0.35">
      <c r="EW8743" t="s">
        <v>6281</v>
      </c>
      <c r="EX8743" s="44" t="s">
        <v>7027</v>
      </c>
      <c r="FF8743" s="45" t="s">
        <v>59</v>
      </c>
      <c r="FJ8743" s="45" t="s">
        <v>59</v>
      </c>
    </row>
    <row r="8744" spans="153:166" x14ac:dyDescent="0.35">
      <c r="EW8744" t="s">
        <v>6281</v>
      </c>
      <c r="EX8744" s="44" t="s">
        <v>7028</v>
      </c>
      <c r="FF8744" s="45" t="s">
        <v>59</v>
      </c>
      <c r="FJ8744" s="45" t="s">
        <v>59</v>
      </c>
    </row>
    <row r="8745" spans="153:166" x14ac:dyDescent="0.35">
      <c r="EW8745" t="s">
        <v>6281</v>
      </c>
      <c r="EX8745" s="44" t="s">
        <v>7029</v>
      </c>
      <c r="FF8745" s="45" t="s">
        <v>59</v>
      </c>
      <c r="FJ8745" s="45" t="s">
        <v>59</v>
      </c>
    </row>
    <row r="8746" spans="153:166" x14ac:dyDescent="0.35">
      <c r="EW8746" t="s">
        <v>6281</v>
      </c>
      <c r="EX8746" s="44" t="s">
        <v>7030</v>
      </c>
      <c r="FF8746" s="45" t="s">
        <v>59</v>
      </c>
      <c r="FJ8746" s="45" t="s">
        <v>59</v>
      </c>
    </row>
    <row r="8747" spans="153:166" x14ac:dyDescent="0.35">
      <c r="EW8747" t="s">
        <v>6281</v>
      </c>
      <c r="EX8747" s="44" t="s">
        <v>7031</v>
      </c>
      <c r="FF8747" s="45" t="s">
        <v>59</v>
      </c>
      <c r="FJ8747" s="45" t="s">
        <v>59</v>
      </c>
    </row>
    <row r="8748" spans="153:166" x14ac:dyDescent="0.35">
      <c r="EW8748" t="s">
        <v>6281</v>
      </c>
      <c r="EX8748" s="44" t="s">
        <v>7032</v>
      </c>
      <c r="FF8748" s="45" t="s">
        <v>59</v>
      </c>
      <c r="FJ8748" s="45" t="s">
        <v>59</v>
      </c>
    </row>
    <row r="8749" spans="153:166" x14ac:dyDescent="0.35">
      <c r="EW8749" t="s">
        <v>6281</v>
      </c>
      <c r="EX8749" s="44" t="s">
        <v>7033</v>
      </c>
      <c r="FF8749" s="45" t="s">
        <v>59</v>
      </c>
      <c r="FJ8749" s="45" t="s">
        <v>59</v>
      </c>
    </row>
    <row r="8750" spans="153:166" x14ac:dyDescent="0.35">
      <c r="EW8750" t="s">
        <v>6281</v>
      </c>
      <c r="EX8750" s="44" t="s">
        <v>7034</v>
      </c>
      <c r="FF8750" s="45" t="s">
        <v>59</v>
      </c>
      <c r="FJ8750" s="45" t="s">
        <v>59</v>
      </c>
    </row>
    <row r="8751" spans="153:166" x14ac:dyDescent="0.35">
      <c r="EW8751" t="s">
        <v>6281</v>
      </c>
      <c r="EX8751" s="44" t="s">
        <v>7035</v>
      </c>
      <c r="FF8751" s="45" t="s">
        <v>59</v>
      </c>
      <c r="FJ8751" s="45" t="s">
        <v>59</v>
      </c>
    </row>
    <row r="8752" spans="153:166" x14ac:dyDescent="0.35">
      <c r="EW8752" t="s">
        <v>6281</v>
      </c>
      <c r="EX8752" s="44" t="s">
        <v>7036</v>
      </c>
      <c r="FF8752" s="45" t="s">
        <v>59</v>
      </c>
      <c r="FJ8752" s="45" t="s">
        <v>59</v>
      </c>
    </row>
    <row r="8753" spans="153:166" x14ac:dyDescent="0.35">
      <c r="EW8753" t="s">
        <v>6281</v>
      </c>
      <c r="EX8753" s="44" t="s">
        <v>7037</v>
      </c>
      <c r="FF8753" s="45" t="s">
        <v>59</v>
      </c>
      <c r="FJ8753" s="45" t="s">
        <v>59</v>
      </c>
    </row>
    <row r="8754" spans="153:166" x14ac:dyDescent="0.35">
      <c r="EW8754" t="s">
        <v>6281</v>
      </c>
      <c r="EX8754" s="44" t="s">
        <v>7038</v>
      </c>
      <c r="FF8754" s="45" t="s">
        <v>59</v>
      </c>
      <c r="FJ8754" s="45" t="s">
        <v>59</v>
      </c>
    </row>
    <row r="8755" spans="153:166" x14ac:dyDescent="0.35">
      <c r="EW8755" t="s">
        <v>6281</v>
      </c>
      <c r="EX8755" s="44" t="s">
        <v>7039</v>
      </c>
      <c r="FF8755" s="45" t="s">
        <v>59</v>
      </c>
      <c r="FJ8755" s="45" t="s">
        <v>59</v>
      </c>
    </row>
    <row r="8756" spans="153:166" x14ac:dyDescent="0.35">
      <c r="EW8756" t="s">
        <v>6281</v>
      </c>
      <c r="EX8756" s="44" t="s">
        <v>7040</v>
      </c>
      <c r="FF8756" s="45" t="s">
        <v>59</v>
      </c>
      <c r="FJ8756" s="45" t="s">
        <v>59</v>
      </c>
    </row>
    <row r="8757" spans="153:166" x14ac:dyDescent="0.35">
      <c r="EW8757" t="s">
        <v>6281</v>
      </c>
      <c r="EX8757" s="44" t="s">
        <v>7041</v>
      </c>
      <c r="FF8757" s="45" t="s">
        <v>59</v>
      </c>
      <c r="FJ8757" s="45" t="s">
        <v>59</v>
      </c>
    </row>
    <row r="8758" spans="153:166" x14ac:dyDescent="0.35">
      <c r="EW8758" t="s">
        <v>6281</v>
      </c>
      <c r="EX8758" s="44" t="s">
        <v>7042</v>
      </c>
      <c r="FF8758" s="45" t="s">
        <v>59</v>
      </c>
      <c r="FJ8758" s="45" t="s">
        <v>59</v>
      </c>
    </row>
    <row r="8759" spans="153:166" x14ac:dyDescent="0.35">
      <c r="EW8759" t="s">
        <v>6281</v>
      </c>
      <c r="EX8759" s="44" t="s">
        <v>7043</v>
      </c>
      <c r="FF8759" s="45" t="s">
        <v>59</v>
      </c>
      <c r="FJ8759" s="45" t="s">
        <v>59</v>
      </c>
    </row>
    <row r="8760" spans="153:166" x14ac:dyDescent="0.35">
      <c r="EW8760" t="s">
        <v>6281</v>
      </c>
      <c r="EX8760" s="44" t="s">
        <v>7044</v>
      </c>
      <c r="FF8760" s="45" t="s">
        <v>59</v>
      </c>
      <c r="FJ8760" s="45" t="s">
        <v>59</v>
      </c>
    </row>
    <row r="8761" spans="153:166" x14ac:dyDescent="0.35">
      <c r="EW8761" t="s">
        <v>6281</v>
      </c>
      <c r="EX8761" s="44" t="s">
        <v>7045</v>
      </c>
      <c r="FF8761" s="45" t="s">
        <v>59</v>
      </c>
      <c r="FJ8761" s="45" t="s">
        <v>59</v>
      </c>
    </row>
    <row r="8762" spans="153:166" x14ac:dyDescent="0.35">
      <c r="EW8762" t="s">
        <v>6281</v>
      </c>
      <c r="EX8762" s="44" t="s">
        <v>7046</v>
      </c>
      <c r="FF8762" s="45" t="s">
        <v>59</v>
      </c>
      <c r="FJ8762" s="45" t="s">
        <v>59</v>
      </c>
    </row>
    <row r="8763" spans="153:166" x14ac:dyDescent="0.35">
      <c r="EW8763" t="s">
        <v>6281</v>
      </c>
      <c r="EX8763" s="44" t="s">
        <v>7047</v>
      </c>
      <c r="FF8763" s="45" t="s">
        <v>59</v>
      </c>
      <c r="FJ8763" s="45" t="s">
        <v>59</v>
      </c>
    </row>
    <row r="8764" spans="153:166" x14ac:dyDescent="0.35">
      <c r="EW8764" t="s">
        <v>6281</v>
      </c>
      <c r="EX8764" s="44" t="s">
        <v>7048</v>
      </c>
      <c r="FF8764" s="45" t="s">
        <v>59</v>
      </c>
      <c r="FJ8764" s="45" t="s">
        <v>59</v>
      </c>
    </row>
    <row r="8765" spans="153:166" x14ac:dyDescent="0.35">
      <c r="EW8765" t="s">
        <v>6281</v>
      </c>
      <c r="EX8765" s="44" t="s">
        <v>7049</v>
      </c>
      <c r="FF8765" s="45" t="s">
        <v>59</v>
      </c>
      <c r="FJ8765" s="45" t="s">
        <v>59</v>
      </c>
    </row>
    <row r="8766" spans="153:166" x14ac:dyDescent="0.35">
      <c r="EW8766" t="s">
        <v>6281</v>
      </c>
      <c r="EX8766" s="44" t="s">
        <v>7050</v>
      </c>
      <c r="FF8766" s="45" t="s">
        <v>59</v>
      </c>
      <c r="FJ8766" s="45" t="s">
        <v>59</v>
      </c>
    </row>
    <row r="8767" spans="153:166" x14ac:dyDescent="0.35">
      <c r="EW8767" t="s">
        <v>6281</v>
      </c>
      <c r="EX8767" s="44" t="s">
        <v>7051</v>
      </c>
      <c r="FF8767" s="45" t="s">
        <v>59</v>
      </c>
      <c r="FJ8767" s="45" t="s">
        <v>59</v>
      </c>
    </row>
    <row r="8768" spans="153:166" x14ac:dyDescent="0.35">
      <c r="EW8768" t="s">
        <v>6281</v>
      </c>
      <c r="EX8768" s="44" t="s">
        <v>7052</v>
      </c>
      <c r="FF8768" s="45" t="s">
        <v>59</v>
      </c>
      <c r="FJ8768" s="45" t="s">
        <v>59</v>
      </c>
    </row>
    <row r="8769" spans="153:166" x14ac:dyDescent="0.35">
      <c r="EW8769" t="s">
        <v>6281</v>
      </c>
      <c r="EX8769" s="44" t="s">
        <v>7053</v>
      </c>
      <c r="FF8769" s="45" t="s">
        <v>59</v>
      </c>
      <c r="FJ8769" s="45" t="s">
        <v>59</v>
      </c>
    </row>
    <row r="8770" spans="153:166" x14ac:dyDescent="0.35">
      <c r="EW8770" t="s">
        <v>6281</v>
      </c>
      <c r="EX8770" s="44" t="s">
        <v>7054</v>
      </c>
      <c r="FF8770" s="45" t="s">
        <v>59</v>
      </c>
      <c r="FJ8770" s="45" t="s">
        <v>59</v>
      </c>
    </row>
    <row r="8771" spans="153:166" x14ac:dyDescent="0.35">
      <c r="EW8771" t="s">
        <v>6281</v>
      </c>
      <c r="EX8771" s="44" t="s">
        <v>7055</v>
      </c>
      <c r="FF8771" s="45" t="s">
        <v>59</v>
      </c>
      <c r="FJ8771" s="45" t="s">
        <v>59</v>
      </c>
    </row>
    <row r="8772" spans="153:166" x14ac:dyDescent="0.35">
      <c r="EW8772" t="s">
        <v>6281</v>
      </c>
      <c r="EX8772" s="44" t="s">
        <v>7056</v>
      </c>
      <c r="FF8772" s="45" t="s">
        <v>59</v>
      </c>
      <c r="FJ8772" s="45" t="s">
        <v>59</v>
      </c>
    </row>
    <row r="8773" spans="153:166" x14ac:dyDescent="0.35">
      <c r="EW8773" t="s">
        <v>6281</v>
      </c>
      <c r="EX8773" s="44" t="s">
        <v>7057</v>
      </c>
      <c r="FF8773" s="45" t="s">
        <v>59</v>
      </c>
      <c r="FJ8773" s="45" t="s">
        <v>59</v>
      </c>
    </row>
    <row r="8774" spans="153:166" x14ac:dyDescent="0.35">
      <c r="EW8774" t="s">
        <v>6281</v>
      </c>
      <c r="EX8774" s="44" t="s">
        <v>7058</v>
      </c>
      <c r="FF8774" s="45" t="s">
        <v>59</v>
      </c>
      <c r="FJ8774" s="45" t="s">
        <v>59</v>
      </c>
    </row>
    <row r="8775" spans="153:166" x14ac:dyDescent="0.35">
      <c r="EW8775" t="s">
        <v>6281</v>
      </c>
      <c r="EX8775" s="44" t="s">
        <v>7059</v>
      </c>
      <c r="FF8775" s="45" t="s">
        <v>59</v>
      </c>
      <c r="FJ8775" s="45" t="s">
        <v>59</v>
      </c>
    </row>
    <row r="8776" spans="153:166" x14ac:dyDescent="0.35">
      <c r="EW8776" t="s">
        <v>6281</v>
      </c>
      <c r="EX8776" s="44" t="s">
        <v>7060</v>
      </c>
      <c r="FF8776" s="45" t="s">
        <v>59</v>
      </c>
      <c r="FJ8776" s="45" t="s">
        <v>59</v>
      </c>
    </row>
    <row r="8777" spans="153:166" x14ac:dyDescent="0.35">
      <c r="EW8777" t="s">
        <v>6281</v>
      </c>
      <c r="EX8777" s="44" t="s">
        <v>7061</v>
      </c>
      <c r="FF8777" s="45" t="s">
        <v>59</v>
      </c>
      <c r="FJ8777" s="45" t="s">
        <v>59</v>
      </c>
    </row>
    <row r="8778" spans="153:166" x14ac:dyDescent="0.35">
      <c r="EW8778" t="s">
        <v>6281</v>
      </c>
      <c r="EX8778" s="44" t="s">
        <v>7062</v>
      </c>
      <c r="FF8778" s="45" t="s">
        <v>59</v>
      </c>
      <c r="FJ8778" s="45" t="s">
        <v>59</v>
      </c>
    </row>
    <row r="8779" spans="153:166" x14ac:dyDescent="0.35">
      <c r="EW8779" t="s">
        <v>6281</v>
      </c>
      <c r="EX8779" s="44" t="s">
        <v>7063</v>
      </c>
      <c r="FF8779" s="45" t="s">
        <v>59</v>
      </c>
      <c r="FJ8779" s="45" t="s">
        <v>59</v>
      </c>
    </row>
    <row r="8780" spans="153:166" x14ac:dyDescent="0.35">
      <c r="EW8780" t="s">
        <v>6281</v>
      </c>
      <c r="EX8780" s="44" t="s">
        <v>7064</v>
      </c>
      <c r="FF8780" s="45" t="s">
        <v>59</v>
      </c>
      <c r="FJ8780" s="45" t="s">
        <v>59</v>
      </c>
    </row>
    <row r="8781" spans="153:166" x14ac:dyDescent="0.35">
      <c r="EW8781" t="s">
        <v>6281</v>
      </c>
      <c r="EX8781" s="44" t="s">
        <v>7065</v>
      </c>
      <c r="FF8781" s="45" t="s">
        <v>59</v>
      </c>
      <c r="FJ8781" s="45" t="s">
        <v>59</v>
      </c>
    </row>
    <row r="8782" spans="153:166" x14ac:dyDescent="0.35">
      <c r="EW8782" t="s">
        <v>6281</v>
      </c>
      <c r="EX8782" s="44" t="s">
        <v>7066</v>
      </c>
      <c r="FF8782" s="45" t="s">
        <v>59</v>
      </c>
      <c r="FJ8782" s="45" t="s">
        <v>59</v>
      </c>
    </row>
    <row r="8783" spans="153:166" x14ac:dyDescent="0.35">
      <c r="EW8783" t="s">
        <v>6281</v>
      </c>
      <c r="EX8783" s="44" t="s">
        <v>7067</v>
      </c>
      <c r="FF8783" s="45" t="s">
        <v>59</v>
      </c>
      <c r="FJ8783" s="45" t="s">
        <v>59</v>
      </c>
    </row>
    <row r="8784" spans="153:166" x14ac:dyDescent="0.35">
      <c r="EW8784" t="s">
        <v>6281</v>
      </c>
      <c r="EX8784" s="44" t="s">
        <v>7068</v>
      </c>
      <c r="FF8784" s="45" t="s">
        <v>59</v>
      </c>
      <c r="FJ8784" s="45" t="s">
        <v>59</v>
      </c>
    </row>
    <row r="8785" spans="153:166" x14ac:dyDescent="0.35">
      <c r="EW8785" t="s">
        <v>6281</v>
      </c>
      <c r="EX8785" s="44" t="s">
        <v>7069</v>
      </c>
      <c r="FF8785" s="45" t="s">
        <v>59</v>
      </c>
      <c r="FJ8785" s="45" t="s">
        <v>59</v>
      </c>
    </row>
    <row r="8786" spans="153:166" x14ac:dyDescent="0.35">
      <c r="EW8786" t="s">
        <v>6281</v>
      </c>
      <c r="EX8786" s="44" t="s">
        <v>7070</v>
      </c>
      <c r="FF8786" s="45" t="s">
        <v>59</v>
      </c>
      <c r="FJ8786" s="45" t="s">
        <v>59</v>
      </c>
    </row>
    <row r="8787" spans="153:166" x14ac:dyDescent="0.35">
      <c r="EW8787" t="s">
        <v>6281</v>
      </c>
      <c r="EX8787" s="44" t="s">
        <v>7071</v>
      </c>
      <c r="FF8787" s="45" t="s">
        <v>59</v>
      </c>
      <c r="FJ8787" s="45" t="s">
        <v>59</v>
      </c>
    </row>
    <row r="8788" spans="153:166" x14ac:dyDescent="0.35">
      <c r="EW8788" t="s">
        <v>6281</v>
      </c>
      <c r="EX8788" s="44" t="s">
        <v>7072</v>
      </c>
      <c r="FF8788" s="45" t="s">
        <v>59</v>
      </c>
      <c r="FJ8788" s="45" t="s">
        <v>59</v>
      </c>
    </row>
    <row r="8789" spans="153:166" x14ac:dyDescent="0.35">
      <c r="EW8789" t="s">
        <v>6281</v>
      </c>
      <c r="EX8789" s="44" t="s">
        <v>7073</v>
      </c>
      <c r="FF8789" s="45" t="s">
        <v>59</v>
      </c>
      <c r="FJ8789" s="45" t="s">
        <v>59</v>
      </c>
    </row>
    <row r="8790" spans="153:166" x14ac:dyDescent="0.35">
      <c r="EW8790" t="s">
        <v>6281</v>
      </c>
      <c r="EX8790" s="44" t="s">
        <v>7074</v>
      </c>
      <c r="FF8790" s="45" t="s">
        <v>59</v>
      </c>
      <c r="FJ8790" s="45" t="s">
        <v>59</v>
      </c>
    </row>
    <row r="8791" spans="153:166" x14ac:dyDescent="0.35">
      <c r="EW8791" t="s">
        <v>6281</v>
      </c>
      <c r="EX8791" s="44" t="s">
        <v>7075</v>
      </c>
      <c r="FF8791" s="45" t="s">
        <v>59</v>
      </c>
      <c r="FJ8791" s="45" t="s">
        <v>59</v>
      </c>
    </row>
    <row r="8792" spans="153:166" x14ac:dyDescent="0.35">
      <c r="EW8792" t="s">
        <v>6281</v>
      </c>
      <c r="EX8792" s="44" t="s">
        <v>7076</v>
      </c>
      <c r="FF8792" s="45" t="s">
        <v>59</v>
      </c>
      <c r="FJ8792" s="45" t="s">
        <v>59</v>
      </c>
    </row>
    <row r="8793" spans="153:166" x14ac:dyDescent="0.35">
      <c r="EW8793" t="s">
        <v>6281</v>
      </c>
      <c r="EX8793" s="44" t="s">
        <v>7077</v>
      </c>
      <c r="FF8793" s="45" t="s">
        <v>59</v>
      </c>
      <c r="FJ8793" s="45" t="s">
        <v>59</v>
      </c>
    </row>
    <row r="8794" spans="153:166" x14ac:dyDescent="0.35">
      <c r="EW8794" t="s">
        <v>6281</v>
      </c>
      <c r="EX8794" s="44" t="s">
        <v>7078</v>
      </c>
      <c r="FF8794" s="45" t="s">
        <v>59</v>
      </c>
      <c r="FJ8794" s="45" t="s">
        <v>59</v>
      </c>
    </row>
    <row r="8795" spans="153:166" x14ac:dyDescent="0.35">
      <c r="EW8795" t="s">
        <v>6281</v>
      </c>
      <c r="EX8795" s="44" t="s">
        <v>7079</v>
      </c>
      <c r="FF8795" s="45" t="s">
        <v>59</v>
      </c>
      <c r="FJ8795" s="45" t="s">
        <v>59</v>
      </c>
    </row>
    <row r="8796" spans="153:166" x14ac:dyDescent="0.35">
      <c r="EW8796" t="s">
        <v>6281</v>
      </c>
      <c r="EX8796" s="44" t="s">
        <v>7080</v>
      </c>
      <c r="FF8796" s="45" t="s">
        <v>59</v>
      </c>
      <c r="FJ8796" s="45" t="s">
        <v>59</v>
      </c>
    </row>
    <row r="8797" spans="153:166" x14ac:dyDescent="0.35">
      <c r="EW8797" t="s">
        <v>6281</v>
      </c>
      <c r="EX8797" s="44" t="s">
        <v>7081</v>
      </c>
      <c r="FF8797" s="45" t="s">
        <v>59</v>
      </c>
      <c r="FJ8797" s="45" t="s">
        <v>59</v>
      </c>
    </row>
    <row r="8798" spans="153:166" x14ac:dyDescent="0.35">
      <c r="EW8798" t="s">
        <v>6281</v>
      </c>
      <c r="EX8798" s="44" t="s">
        <v>7082</v>
      </c>
      <c r="FF8798" s="45" t="s">
        <v>59</v>
      </c>
      <c r="FJ8798" s="45" t="s">
        <v>59</v>
      </c>
    </row>
    <row r="8799" spans="153:166" x14ac:dyDescent="0.35">
      <c r="EW8799" t="s">
        <v>6281</v>
      </c>
      <c r="EX8799" s="44" t="s">
        <v>7083</v>
      </c>
      <c r="FF8799" s="45" t="s">
        <v>59</v>
      </c>
      <c r="FJ8799" s="45" t="s">
        <v>59</v>
      </c>
    </row>
    <row r="8800" spans="153:166" x14ac:dyDescent="0.35">
      <c r="EW8800" t="s">
        <v>6281</v>
      </c>
      <c r="EX8800" s="44" t="s">
        <v>7084</v>
      </c>
      <c r="FF8800" s="45" t="s">
        <v>59</v>
      </c>
      <c r="FJ8800" s="45" t="s">
        <v>59</v>
      </c>
    </row>
    <row r="8801" spans="153:166" x14ac:dyDescent="0.35">
      <c r="EW8801" t="s">
        <v>6281</v>
      </c>
      <c r="EX8801" s="44" t="s">
        <v>7085</v>
      </c>
      <c r="FF8801" s="45" t="s">
        <v>59</v>
      </c>
      <c r="FJ8801" s="45" t="s">
        <v>59</v>
      </c>
    </row>
    <row r="8802" spans="153:166" x14ac:dyDescent="0.35">
      <c r="EW8802" t="s">
        <v>6281</v>
      </c>
      <c r="EX8802" s="44" t="s">
        <v>7086</v>
      </c>
      <c r="FF8802" s="45" t="s">
        <v>59</v>
      </c>
      <c r="FJ8802" s="45" t="s">
        <v>59</v>
      </c>
    </row>
    <row r="8803" spans="153:166" x14ac:dyDescent="0.35">
      <c r="EW8803" t="s">
        <v>6281</v>
      </c>
      <c r="EX8803" s="44" t="s">
        <v>7087</v>
      </c>
      <c r="FF8803" s="45" t="s">
        <v>59</v>
      </c>
      <c r="FJ8803" s="45" t="s">
        <v>59</v>
      </c>
    </row>
    <row r="8804" spans="153:166" x14ac:dyDescent="0.35">
      <c r="EW8804" t="s">
        <v>6281</v>
      </c>
      <c r="EX8804" s="44" t="s">
        <v>7088</v>
      </c>
      <c r="FF8804" s="45" t="s">
        <v>59</v>
      </c>
      <c r="FJ8804" s="45" t="s">
        <v>59</v>
      </c>
    </row>
    <row r="8805" spans="153:166" x14ac:dyDescent="0.35">
      <c r="EW8805" t="s">
        <v>6281</v>
      </c>
      <c r="EX8805" s="44" t="s">
        <v>7089</v>
      </c>
      <c r="FF8805" s="45" t="s">
        <v>59</v>
      </c>
      <c r="FJ8805" s="45" t="s">
        <v>59</v>
      </c>
    </row>
    <row r="8806" spans="153:166" x14ac:dyDescent="0.35">
      <c r="EW8806" t="s">
        <v>6281</v>
      </c>
      <c r="EX8806" s="44" t="s">
        <v>7090</v>
      </c>
      <c r="FF8806" s="45" t="s">
        <v>59</v>
      </c>
      <c r="FJ8806" s="45" t="s">
        <v>59</v>
      </c>
    </row>
    <row r="8807" spans="153:166" x14ac:dyDescent="0.35">
      <c r="EW8807" t="s">
        <v>6281</v>
      </c>
      <c r="EX8807" s="44" t="s">
        <v>7091</v>
      </c>
      <c r="FF8807" s="45" t="s">
        <v>59</v>
      </c>
      <c r="FJ8807" s="45" t="s">
        <v>59</v>
      </c>
    </row>
    <row r="8808" spans="153:166" x14ac:dyDescent="0.35">
      <c r="EW8808" t="s">
        <v>6281</v>
      </c>
      <c r="EX8808" s="44" t="s">
        <v>7092</v>
      </c>
      <c r="FF8808" s="45" t="s">
        <v>59</v>
      </c>
      <c r="FJ8808" s="45" t="s">
        <v>59</v>
      </c>
    </row>
    <row r="8809" spans="153:166" x14ac:dyDescent="0.35">
      <c r="EW8809" t="s">
        <v>6281</v>
      </c>
      <c r="EX8809" s="44" t="s">
        <v>7093</v>
      </c>
      <c r="FF8809" s="45" t="s">
        <v>59</v>
      </c>
      <c r="FJ8809" s="45" t="s">
        <v>59</v>
      </c>
    </row>
    <row r="8810" spans="153:166" x14ac:dyDescent="0.35">
      <c r="EW8810" t="s">
        <v>6281</v>
      </c>
      <c r="EX8810" s="44" t="s">
        <v>7094</v>
      </c>
      <c r="FF8810" s="45" t="s">
        <v>59</v>
      </c>
      <c r="FJ8810" s="45" t="s">
        <v>59</v>
      </c>
    </row>
    <row r="8811" spans="153:166" x14ac:dyDescent="0.35">
      <c r="EW8811" t="s">
        <v>6281</v>
      </c>
      <c r="EX8811" s="44" t="s">
        <v>7095</v>
      </c>
      <c r="FF8811" s="45" t="s">
        <v>59</v>
      </c>
      <c r="FJ8811" s="45" t="s">
        <v>59</v>
      </c>
    </row>
    <row r="8812" spans="153:166" x14ac:dyDescent="0.35">
      <c r="EW8812" t="s">
        <v>6281</v>
      </c>
      <c r="EX8812" s="44" t="s">
        <v>7096</v>
      </c>
      <c r="FF8812" s="45" t="s">
        <v>59</v>
      </c>
      <c r="FJ8812" s="45" t="s">
        <v>59</v>
      </c>
    </row>
    <row r="8813" spans="153:166" x14ac:dyDescent="0.35">
      <c r="EW8813" t="s">
        <v>6281</v>
      </c>
      <c r="EX8813" s="44" t="s">
        <v>7097</v>
      </c>
      <c r="FF8813" s="45" t="s">
        <v>59</v>
      </c>
      <c r="FJ8813" s="45" t="s">
        <v>59</v>
      </c>
    </row>
    <row r="8814" spans="153:166" x14ac:dyDescent="0.35">
      <c r="EW8814" t="s">
        <v>6281</v>
      </c>
      <c r="EX8814" s="44" t="s">
        <v>7098</v>
      </c>
      <c r="FF8814" s="45" t="s">
        <v>59</v>
      </c>
      <c r="FJ8814" s="45" t="s">
        <v>59</v>
      </c>
    </row>
    <row r="8815" spans="153:166" x14ac:dyDescent="0.35">
      <c r="EW8815" t="s">
        <v>6281</v>
      </c>
      <c r="EX8815" s="44" t="s">
        <v>7099</v>
      </c>
      <c r="FF8815" s="45" t="s">
        <v>59</v>
      </c>
      <c r="FJ8815" s="45" t="s">
        <v>59</v>
      </c>
    </row>
    <row r="8816" spans="153:166" x14ac:dyDescent="0.35">
      <c r="EW8816" t="s">
        <v>6281</v>
      </c>
      <c r="EX8816" s="44" t="s">
        <v>7100</v>
      </c>
      <c r="FF8816" s="45" t="s">
        <v>59</v>
      </c>
      <c r="FJ8816" s="45" t="s">
        <v>59</v>
      </c>
    </row>
    <row r="8817" spans="153:166" x14ac:dyDescent="0.35">
      <c r="EW8817" t="s">
        <v>6281</v>
      </c>
      <c r="EX8817" s="44" t="s">
        <v>7101</v>
      </c>
      <c r="FF8817" s="45" t="s">
        <v>59</v>
      </c>
      <c r="FJ8817" s="45" t="s">
        <v>59</v>
      </c>
    </row>
    <row r="8818" spans="153:166" x14ac:dyDescent="0.35">
      <c r="EW8818" t="s">
        <v>6281</v>
      </c>
      <c r="EX8818" s="44" t="s">
        <v>7102</v>
      </c>
      <c r="FF8818" s="45" t="s">
        <v>59</v>
      </c>
      <c r="FJ8818" s="45" t="s">
        <v>59</v>
      </c>
    </row>
    <row r="8819" spans="153:166" x14ac:dyDescent="0.35">
      <c r="EW8819" t="s">
        <v>6281</v>
      </c>
      <c r="EX8819" s="44" t="s">
        <v>7103</v>
      </c>
      <c r="FF8819" s="45" t="s">
        <v>59</v>
      </c>
      <c r="FJ8819" s="45" t="s">
        <v>59</v>
      </c>
    </row>
    <row r="8820" spans="153:166" x14ac:dyDescent="0.35">
      <c r="EW8820" t="s">
        <v>6281</v>
      </c>
      <c r="EX8820" s="44" t="s">
        <v>7104</v>
      </c>
      <c r="FF8820" s="45" t="s">
        <v>59</v>
      </c>
      <c r="FJ8820" s="45" t="s">
        <v>59</v>
      </c>
    </row>
    <row r="8821" spans="153:166" x14ac:dyDescent="0.35">
      <c r="EW8821" t="s">
        <v>6281</v>
      </c>
      <c r="EX8821" s="44" t="s">
        <v>7105</v>
      </c>
      <c r="FF8821" s="45" t="s">
        <v>59</v>
      </c>
      <c r="FJ8821" s="45" t="s">
        <v>59</v>
      </c>
    </row>
    <row r="8822" spans="153:166" x14ac:dyDescent="0.35">
      <c r="EW8822" t="s">
        <v>6281</v>
      </c>
      <c r="EX8822" s="44" t="s">
        <v>7106</v>
      </c>
      <c r="FF8822" s="45" t="s">
        <v>59</v>
      </c>
      <c r="FJ8822" s="45" t="s">
        <v>59</v>
      </c>
    </row>
    <row r="8823" spans="153:166" x14ac:dyDescent="0.35">
      <c r="EW8823" t="s">
        <v>6281</v>
      </c>
      <c r="EX8823" s="44" t="s">
        <v>7107</v>
      </c>
      <c r="FF8823" s="45" t="s">
        <v>59</v>
      </c>
      <c r="FJ8823" s="45" t="s">
        <v>59</v>
      </c>
    </row>
    <row r="8824" spans="153:166" x14ac:dyDescent="0.35">
      <c r="EW8824" t="s">
        <v>6281</v>
      </c>
      <c r="EX8824" s="44" t="s">
        <v>7108</v>
      </c>
      <c r="FF8824" s="45" t="s">
        <v>59</v>
      </c>
      <c r="FJ8824" s="45" t="s">
        <v>59</v>
      </c>
    </row>
    <row r="8825" spans="153:166" x14ac:dyDescent="0.35">
      <c r="EW8825" t="s">
        <v>6281</v>
      </c>
      <c r="EX8825" s="44" t="s">
        <v>7109</v>
      </c>
      <c r="FF8825" s="45" t="s">
        <v>59</v>
      </c>
      <c r="FJ8825" s="45" t="s">
        <v>59</v>
      </c>
    </row>
    <row r="8826" spans="153:166" x14ac:dyDescent="0.35">
      <c r="EW8826" t="s">
        <v>6281</v>
      </c>
      <c r="EX8826" s="44" t="s">
        <v>7110</v>
      </c>
      <c r="FF8826" s="45" t="s">
        <v>59</v>
      </c>
      <c r="FJ8826" s="45" t="s">
        <v>59</v>
      </c>
    </row>
    <row r="8827" spans="153:166" x14ac:dyDescent="0.35">
      <c r="EW8827" t="s">
        <v>6281</v>
      </c>
      <c r="EX8827" s="44" t="s">
        <v>7111</v>
      </c>
      <c r="FF8827" s="45" t="s">
        <v>59</v>
      </c>
      <c r="FJ8827" s="45" t="s">
        <v>59</v>
      </c>
    </row>
    <row r="8828" spans="153:166" x14ac:dyDescent="0.35">
      <c r="EW8828" t="s">
        <v>6281</v>
      </c>
      <c r="EX8828" s="44" t="s">
        <v>7112</v>
      </c>
      <c r="FF8828" s="45" t="s">
        <v>59</v>
      </c>
      <c r="FJ8828" s="45" t="s">
        <v>59</v>
      </c>
    </row>
    <row r="8829" spans="153:166" x14ac:dyDescent="0.35">
      <c r="EW8829" t="s">
        <v>6281</v>
      </c>
      <c r="EX8829" s="44" t="s">
        <v>7113</v>
      </c>
      <c r="FF8829" s="45" t="s">
        <v>59</v>
      </c>
      <c r="FJ8829" s="45" t="s">
        <v>59</v>
      </c>
    </row>
    <row r="8830" spans="153:166" x14ac:dyDescent="0.35">
      <c r="EW8830" t="s">
        <v>6281</v>
      </c>
      <c r="EX8830" s="44" t="s">
        <v>7114</v>
      </c>
      <c r="FF8830" s="45" t="s">
        <v>59</v>
      </c>
      <c r="FJ8830" s="45" t="s">
        <v>59</v>
      </c>
    </row>
    <row r="8831" spans="153:166" x14ac:dyDescent="0.35">
      <c r="EW8831" t="s">
        <v>6281</v>
      </c>
      <c r="EX8831" s="44" t="s">
        <v>7115</v>
      </c>
      <c r="FF8831" s="45" t="s">
        <v>59</v>
      </c>
      <c r="FJ8831" s="45" t="s">
        <v>59</v>
      </c>
    </row>
    <row r="8832" spans="153:166" x14ac:dyDescent="0.35">
      <c r="EW8832" t="s">
        <v>6281</v>
      </c>
      <c r="EX8832" s="44" t="s">
        <v>7116</v>
      </c>
      <c r="FF8832" s="45" t="s">
        <v>59</v>
      </c>
      <c r="FJ8832" s="45" t="s">
        <v>59</v>
      </c>
    </row>
    <row r="8833" spans="153:166" x14ac:dyDescent="0.35">
      <c r="EW8833" t="s">
        <v>6281</v>
      </c>
      <c r="EX8833" s="44" t="s">
        <v>7117</v>
      </c>
      <c r="FF8833" s="45" t="s">
        <v>59</v>
      </c>
      <c r="FJ8833" s="45" t="s">
        <v>59</v>
      </c>
    </row>
    <row r="8834" spans="153:166" x14ac:dyDescent="0.35">
      <c r="EW8834" t="s">
        <v>6281</v>
      </c>
      <c r="EX8834" s="44" t="s">
        <v>7118</v>
      </c>
      <c r="FF8834" s="45" t="s">
        <v>59</v>
      </c>
      <c r="FJ8834" s="45" t="s">
        <v>59</v>
      </c>
    </row>
    <row r="8835" spans="153:166" x14ac:dyDescent="0.35">
      <c r="EW8835" t="s">
        <v>6281</v>
      </c>
      <c r="EX8835" s="44" t="s">
        <v>7119</v>
      </c>
      <c r="FF8835" s="45" t="s">
        <v>59</v>
      </c>
      <c r="FJ8835" s="45" t="s">
        <v>59</v>
      </c>
    </row>
    <row r="8836" spans="153:166" x14ac:dyDescent="0.35">
      <c r="EW8836" t="s">
        <v>6281</v>
      </c>
      <c r="EX8836" s="44" t="s">
        <v>7120</v>
      </c>
      <c r="FF8836" s="45" t="s">
        <v>59</v>
      </c>
      <c r="FJ8836" s="45" t="s">
        <v>59</v>
      </c>
    </row>
    <row r="8837" spans="153:166" x14ac:dyDescent="0.35">
      <c r="EW8837" t="s">
        <v>6281</v>
      </c>
      <c r="EX8837" s="44" t="s">
        <v>7121</v>
      </c>
      <c r="FF8837" s="45" t="s">
        <v>59</v>
      </c>
      <c r="FJ8837" s="45" t="s">
        <v>59</v>
      </c>
    </row>
    <row r="8838" spans="153:166" x14ac:dyDescent="0.35">
      <c r="EW8838" t="s">
        <v>6281</v>
      </c>
      <c r="EX8838" s="44" t="s">
        <v>7122</v>
      </c>
      <c r="FF8838" s="45" t="s">
        <v>59</v>
      </c>
      <c r="FJ8838" s="45" t="s">
        <v>59</v>
      </c>
    </row>
    <row r="8839" spans="153:166" x14ac:dyDescent="0.35">
      <c r="EW8839" t="s">
        <v>6281</v>
      </c>
      <c r="EX8839" s="44" t="s">
        <v>7123</v>
      </c>
      <c r="FF8839" s="45" t="s">
        <v>59</v>
      </c>
      <c r="FJ8839" s="45" t="s">
        <v>59</v>
      </c>
    </row>
    <row r="8840" spans="153:166" x14ac:dyDescent="0.35">
      <c r="EW8840" t="s">
        <v>6281</v>
      </c>
      <c r="EX8840" s="44" t="s">
        <v>7124</v>
      </c>
      <c r="FF8840" s="45" t="s">
        <v>59</v>
      </c>
      <c r="FJ8840" s="45" t="s">
        <v>59</v>
      </c>
    </row>
    <row r="8841" spans="153:166" x14ac:dyDescent="0.35">
      <c r="EW8841" t="s">
        <v>6281</v>
      </c>
      <c r="EX8841" s="44" t="s">
        <v>7125</v>
      </c>
      <c r="FF8841" s="45" t="s">
        <v>59</v>
      </c>
      <c r="FJ8841" s="45" t="s">
        <v>59</v>
      </c>
    </row>
    <row r="8842" spans="153:166" x14ac:dyDescent="0.35">
      <c r="EW8842" t="s">
        <v>6281</v>
      </c>
      <c r="EX8842" s="44" t="s">
        <v>7126</v>
      </c>
      <c r="FF8842" s="45" t="s">
        <v>59</v>
      </c>
      <c r="FJ8842" s="45" t="s">
        <v>59</v>
      </c>
    </row>
    <row r="8843" spans="153:166" x14ac:dyDescent="0.35">
      <c r="EW8843" t="s">
        <v>6281</v>
      </c>
      <c r="EX8843" s="44" t="s">
        <v>7127</v>
      </c>
      <c r="FF8843" s="45" t="s">
        <v>59</v>
      </c>
      <c r="FJ8843" s="45" t="s">
        <v>59</v>
      </c>
    </row>
    <row r="8844" spans="153:166" x14ac:dyDescent="0.35">
      <c r="EW8844" t="s">
        <v>6281</v>
      </c>
      <c r="EX8844" s="44" t="s">
        <v>7128</v>
      </c>
      <c r="FF8844" s="45" t="s">
        <v>59</v>
      </c>
      <c r="FJ8844" s="45" t="s">
        <v>59</v>
      </c>
    </row>
    <row r="8845" spans="153:166" x14ac:dyDescent="0.35">
      <c r="EW8845" t="s">
        <v>6281</v>
      </c>
      <c r="EX8845" s="44" t="s">
        <v>7129</v>
      </c>
      <c r="FF8845" s="45" t="s">
        <v>59</v>
      </c>
      <c r="FJ8845" s="45" t="s">
        <v>59</v>
      </c>
    </row>
    <row r="8846" spans="153:166" x14ac:dyDescent="0.35">
      <c r="EW8846" t="s">
        <v>6281</v>
      </c>
      <c r="EX8846" s="44" t="s">
        <v>7130</v>
      </c>
      <c r="FF8846" s="45" t="s">
        <v>59</v>
      </c>
      <c r="FJ8846" s="45" t="s">
        <v>59</v>
      </c>
    </row>
    <row r="8847" spans="153:166" x14ac:dyDescent="0.35">
      <c r="EW8847" t="s">
        <v>6281</v>
      </c>
      <c r="EX8847" s="44" t="s">
        <v>7131</v>
      </c>
      <c r="FF8847" s="45" t="s">
        <v>59</v>
      </c>
      <c r="FJ8847" s="45" t="s">
        <v>59</v>
      </c>
    </row>
    <row r="8848" spans="153:166" x14ac:dyDescent="0.35">
      <c r="EW8848" t="s">
        <v>6281</v>
      </c>
      <c r="EX8848" s="44" t="s">
        <v>7132</v>
      </c>
      <c r="FF8848" s="45" t="s">
        <v>59</v>
      </c>
      <c r="FJ8848" s="45" t="s">
        <v>59</v>
      </c>
    </row>
    <row r="8849" spans="153:166" x14ac:dyDescent="0.35">
      <c r="EW8849" t="s">
        <v>6281</v>
      </c>
      <c r="EX8849" s="44" t="s">
        <v>7133</v>
      </c>
      <c r="FF8849" s="45" t="s">
        <v>59</v>
      </c>
      <c r="FJ8849" s="45" t="s">
        <v>59</v>
      </c>
    </row>
    <row r="8850" spans="153:166" x14ac:dyDescent="0.35">
      <c r="EW8850" t="s">
        <v>6281</v>
      </c>
      <c r="EX8850" s="44" t="s">
        <v>7134</v>
      </c>
      <c r="FF8850" s="45" t="s">
        <v>59</v>
      </c>
      <c r="FJ8850" s="45" t="s">
        <v>59</v>
      </c>
    </row>
    <row r="8851" spans="153:166" x14ac:dyDescent="0.35">
      <c r="EW8851" t="s">
        <v>6281</v>
      </c>
      <c r="EX8851" s="44" t="s">
        <v>7135</v>
      </c>
      <c r="FF8851" s="45" t="s">
        <v>59</v>
      </c>
      <c r="FJ8851" s="45" t="s">
        <v>59</v>
      </c>
    </row>
    <row r="8852" spans="153:166" x14ac:dyDescent="0.35">
      <c r="EW8852" t="s">
        <v>6281</v>
      </c>
      <c r="EX8852" s="44" t="s">
        <v>7136</v>
      </c>
      <c r="FF8852" s="45" t="s">
        <v>59</v>
      </c>
      <c r="FJ8852" s="45" t="s">
        <v>59</v>
      </c>
    </row>
    <row r="8853" spans="153:166" x14ac:dyDescent="0.35">
      <c r="EW8853" t="s">
        <v>6281</v>
      </c>
      <c r="EX8853" s="44" t="s">
        <v>7137</v>
      </c>
      <c r="FF8853" s="45" t="s">
        <v>59</v>
      </c>
      <c r="FJ8853" s="45" t="s">
        <v>59</v>
      </c>
    </row>
    <row r="8854" spans="153:166" x14ac:dyDescent="0.35">
      <c r="EW8854" t="s">
        <v>6281</v>
      </c>
      <c r="EX8854" s="44" t="s">
        <v>7138</v>
      </c>
      <c r="FF8854" s="45" t="s">
        <v>59</v>
      </c>
      <c r="FJ8854" s="45" t="s">
        <v>59</v>
      </c>
    </row>
    <row r="8855" spans="153:166" x14ac:dyDescent="0.35">
      <c r="EW8855" t="s">
        <v>6281</v>
      </c>
      <c r="EX8855" s="44" t="s">
        <v>7139</v>
      </c>
      <c r="FF8855" s="45" t="s">
        <v>59</v>
      </c>
      <c r="FJ8855" s="45" t="s">
        <v>59</v>
      </c>
    </row>
    <row r="8856" spans="153:166" x14ac:dyDescent="0.35">
      <c r="EW8856" t="s">
        <v>6281</v>
      </c>
      <c r="EX8856" s="44" t="s">
        <v>7140</v>
      </c>
      <c r="FF8856" s="45" t="s">
        <v>59</v>
      </c>
      <c r="FJ8856" s="45" t="s">
        <v>59</v>
      </c>
    </row>
    <row r="8857" spans="153:166" x14ac:dyDescent="0.35">
      <c r="EW8857" t="s">
        <v>6281</v>
      </c>
      <c r="EX8857" s="44" t="s">
        <v>7141</v>
      </c>
      <c r="FF8857" s="45" t="s">
        <v>59</v>
      </c>
      <c r="FJ8857" s="45" t="s">
        <v>59</v>
      </c>
    </row>
    <row r="8858" spans="153:166" x14ac:dyDescent="0.35">
      <c r="EW8858" t="s">
        <v>6281</v>
      </c>
      <c r="EX8858" s="44" t="s">
        <v>7142</v>
      </c>
      <c r="FF8858" s="45" t="s">
        <v>59</v>
      </c>
      <c r="FJ8858" s="45" t="s">
        <v>59</v>
      </c>
    </row>
    <row r="8859" spans="153:166" x14ac:dyDescent="0.35">
      <c r="EW8859" t="s">
        <v>6281</v>
      </c>
      <c r="EX8859" s="44" t="s">
        <v>7143</v>
      </c>
      <c r="FF8859" s="45" t="s">
        <v>59</v>
      </c>
      <c r="FJ8859" s="45" t="s">
        <v>59</v>
      </c>
    </row>
    <row r="8860" spans="153:166" x14ac:dyDescent="0.35">
      <c r="EW8860" t="s">
        <v>6281</v>
      </c>
      <c r="EX8860" s="44" t="s">
        <v>7144</v>
      </c>
      <c r="FF8860" s="45" t="s">
        <v>59</v>
      </c>
      <c r="FJ8860" s="45" t="s">
        <v>59</v>
      </c>
    </row>
    <row r="8861" spans="153:166" x14ac:dyDescent="0.35">
      <c r="EW8861" t="s">
        <v>6281</v>
      </c>
      <c r="EX8861" s="44" t="s">
        <v>7145</v>
      </c>
      <c r="FF8861" s="45" t="s">
        <v>59</v>
      </c>
      <c r="FJ8861" s="45" t="s">
        <v>59</v>
      </c>
    </row>
    <row r="8862" spans="153:166" x14ac:dyDescent="0.35">
      <c r="EW8862" t="s">
        <v>6281</v>
      </c>
      <c r="EX8862" s="44" t="s">
        <v>7146</v>
      </c>
      <c r="FF8862" s="45" t="s">
        <v>59</v>
      </c>
      <c r="FJ8862" s="45" t="s">
        <v>59</v>
      </c>
    </row>
    <row r="8863" spans="153:166" x14ac:dyDescent="0.35">
      <c r="EW8863" t="s">
        <v>6281</v>
      </c>
      <c r="EX8863" s="44" t="s">
        <v>7147</v>
      </c>
      <c r="FF8863" s="45" t="s">
        <v>59</v>
      </c>
      <c r="FJ8863" s="45" t="s">
        <v>59</v>
      </c>
    </row>
    <row r="8864" spans="153:166" x14ac:dyDescent="0.35">
      <c r="EW8864" t="s">
        <v>6281</v>
      </c>
      <c r="EX8864" s="44" t="s">
        <v>7148</v>
      </c>
      <c r="FF8864" s="45" t="s">
        <v>59</v>
      </c>
      <c r="FJ8864" s="45" t="s">
        <v>59</v>
      </c>
    </row>
    <row r="8865" spans="153:166" x14ac:dyDescent="0.35">
      <c r="EW8865" t="s">
        <v>6281</v>
      </c>
      <c r="EX8865" s="44" t="s">
        <v>7149</v>
      </c>
      <c r="FF8865" s="45" t="s">
        <v>59</v>
      </c>
      <c r="FJ8865" s="45" t="s">
        <v>59</v>
      </c>
    </row>
    <row r="8866" spans="153:166" x14ac:dyDescent="0.35">
      <c r="EW8866" t="s">
        <v>6281</v>
      </c>
      <c r="EX8866" s="44" t="s">
        <v>7150</v>
      </c>
      <c r="FF8866" s="45" t="s">
        <v>59</v>
      </c>
      <c r="FJ8866" s="45" t="s">
        <v>59</v>
      </c>
    </row>
    <row r="8867" spans="153:166" x14ac:dyDescent="0.35">
      <c r="EW8867" t="s">
        <v>6281</v>
      </c>
      <c r="EX8867" s="44" t="s">
        <v>7151</v>
      </c>
      <c r="FF8867" s="45" t="s">
        <v>59</v>
      </c>
      <c r="FJ8867" s="45" t="s">
        <v>59</v>
      </c>
    </row>
    <row r="8868" spans="153:166" x14ac:dyDescent="0.35">
      <c r="EW8868" t="s">
        <v>6281</v>
      </c>
      <c r="EX8868" s="44" t="s">
        <v>7152</v>
      </c>
      <c r="FF8868" s="45" t="s">
        <v>59</v>
      </c>
      <c r="FJ8868" s="45" t="s">
        <v>59</v>
      </c>
    </row>
    <row r="8869" spans="153:166" x14ac:dyDescent="0.35">
      <c r="EW8869" t="s">
        <v>6281</v>
      </c>
      <c r="EX8869" s="44" t="s">
        <v>7153</v>
      </c>
      <c r="FF8869" s="45" t="s">
        <v>59</v>
      </c>
      <c r="FJ8869" s="45" t="s">
        <v>59</v>
      </c>
    </row>
    <row r="8870" spans="153:166" x14ac:dyDescent="0.35">
      <c r="EW8870" t="s">
        <v>6281</v>
      </c>
      <c r="EX8870" s="44" t="s">
        <v>7154</v>
      </c>
      <c r="FF8870" s="45" t="s">
        <v>59</v>
      </c>
      <c r="FJ8870" s="45" t="s">
        <v>59</v>
      </c>
    </row>
    <row r="8871" spans="153:166" x14ac:dyDescent="0.35">
      <c r="EW8871" t="s">
        <v>6281</v>
      </c>
      <c r="EX8871" s="44" t="s">
        <v>7155</v>
      </c>
      <c r="FF8871" s="45" t="s">
        <v>1109</v>
      </c>
      <c r="FJ8871" s="45" t="s">
        <v>1109</v>
      </c>
    </row>
    <row r="8872" spans="153:166" x14ac:dyDescent="0.35">
      <c r="EW8872" t="s">
        <v>6281</v>
      </c>
      <c r="EX8872" s="44" t="s">
        <v>7156</v>
      </c>
      <c r="FF8872" s="45" t="s">
        <v>1109</v>
      </c>
      <c r="FJ8872" s="45" t="s">
        <v>1109</v>
      </c>
    </row>
    <row r="8873" spans="153:166" x14ac:dyDescent="0.35">
      <c r="EW8873" t="s">
        <v>6281</v>
      </c>
      <c r="EX8873" s="44" t="s">
        <v>7157</v>
      </c>
      <c r="FF8873" s="45" t="s">
        <v>1109</v>
      </c>
      <c r="FJ8873" s="45" t="s">
        <v>1109</v>
      </c>
    </row>
    <row r="8874" spans="153:166" x14ac:dyDescent="0.35">
      <c r="EW8874" t="s">
        <v>6281</v>
      </c>
      <c r="EX8874" s="44" t="s">
        <v>7158</v>
      </c>
      <c r="FF8874" s="45" t="s">
        <v>1109</v>
      </c>
      <c r="FJ8874" s="45" t="s">
        <v>1109</v>
      </c>
    </row>
    <row r="8875" spans="153:166" x14ac:dyDescent="0.35">
      <c r="EW8875" t="s">
        <v>6281</v>
      </c>
      <c r="EX8875" s="44" t="s">
        <v>7159</v>
      </c>
      <c r="FF8875" s="45" t="s">
        <v>1109</v>
      </c>
      <c r="FJ8875" s="45" t="s">
        <v>1109</v>
      </c>
    </row>
    <row r="8876" spans="153:166" x14ac:dyDescent="0.35">
      <c r="EW8876" t="s">
        <v>6281</v>
      </c>
      <c r="EX8876" s="44" t="s">
        <v>7160</v>
      </c>
      <c r="FF8876" s="45" t="s">
        <v>1109</v>
      </c>
      <c r="FJ8876" s="45" t="s">
        <v>1109</v>
      </c>
    </row>
    <row r="8877" spans="153:166" x14ac:dyDescent="0.35">
      <c r="EW8877" t="s">
        <v>6281</v>
      </c>
      <c r="EX8877" s="44" t="s">
        <v>7161</v>
      </c>
      <c r="FF8877" s="45" t="s">
        <v>1109</v>
      </c>
      <c r="FJ8877" s="45" t="s">
        <v>1109</v>
      </c>
    </row>
    <row r="8878" spans="153:166" x14ac:dyDescent="0.35">
      <c r="EW8878" t="s">
        <v>6281</v>
      </c>
      <c r="EX8878" s="44" t="s">
        <v>7162</v>
      </c>
      <c r="FF8878" s="45" t="s">
        <v>1109</v>
      </c>
      <c r="FJ8878" s="45" t="s">
        <v>1109</v>
      </c>
    </row>
    <row r="8879" spans="153:166" x14ac:dyDescent="0.35">
      <c r="EW8879" t="s">
        <v>6281</v>
      </c>
      <c r="EX8879" s="44" t="s">
        <v>7163</v>
      </c>
      <c r="FF8879" s="45" t="s">
        <v>1109</v>
      </c>
      <c r="FJ8879" s="45" t="s">
        <v>1109</v>
      </c>
    </row>
    <row r="8880" spans="153:166" x14ac:dyDescent="0.35">
      <c r="EW8880" t="s">
        <v>6281</v>
      </c>
      <c r="EX8880" s="44" t="s">
        <v>7164</v>
      </c>
      <c r="FF8880" s="45" t="s">
        <v>59</v>
      </c>
      <c r="FJ8880" s="45" t="s">
        <v>59</v>
      </c>
    </row>
    <row r="8881" spans="153:166" x14ac:dyDescent="0.35">
      <c r="EW8881" t="s">
        <v>6281</v>
      </c>
      <c r="EX8881" s="44" t="s">
        <v>7165</v>
      </c>
      <c r="FF8881" s="45" t="s">
        <v>59</v>
      </c>
      <c r="FJ8881" s="45" t="s">
        <v>59</v>
      </c>
    </row>
    <row r="8882" spans="153:166" x14ac:dyDescent="0.35">
      <c r="EW8882" t="s">
        <v>6281</v>
      </c>
      <c r="EX8882" s="44" t="s">
        <v>7166</v>
      </c>
      <c r="FF8882" s="45" t="s">
        <v>59</v>
      </c>
      <c r="FJ8882" s="45" t="s">
        <v>59</v>
      </c>
    </row>
    <row r="8883" spans="153:166" x14ac:dyDescent="0.35">
      <c r="EW8883" t="s">
        <v>6281</v>
      </c>
      <c r="EX8883" s="44" t="s">
        <v>7167</v>
      </c>
      <c r="FF8883" s="45" t="s">
        <v>59</v>
      </c>
      <c r="FJ8883" s="45" t="s">
        <v>59</v>
      </c>
    </row>
    <row r="8884" spans="153:166" x14ac:dyDescent="0.35">
      <c r="EW8884" t="s">
        <v>6281</v>
      </c>
      <c r="EX8884" s="44" t="s">
        <v>7168</v>
      </c>
      <c r="FF8884" s="45" t="s">
        <v>59</v>
      </c>
      <c r="FJ8884" s="45" t="s">
        <v>59</v>
      </c>
    </row>
    <row r="8885" spans="153:166" x14ac:dyDescent="0.35">
      <c r="EW8885" t="s">
        <v>6281</v>
      </c>
      <c r="EX8885" s="44" t="s">
        <v>7169</v>
      </c>
      <c r="FF8885" s="45" t="s">
        <v>59</v>
      </c>
      <c r="FJ8885" s="45" t="s">
        <v>59</v>
      </c>
    </row>
    <row r="8886" spans="153:166" x14ac:dyDescent="0.35">
      <c r="EW8886" t="s">
        <v>6281</v>
      </c>
      <c r="EX8886" s="44" t="s">
        <v>7170</v>
      </c>
      <c r="FF8886" s="45" t="s">
        <v>59</v>
      </c>
      <c r="FJ8886" s="45" t="s">
        <v>59</v>
      </c>
    </row>
    <row r="8887" spans="153:166" x14ac:dyDescent="0.35">
      <c r="EW8887" t="s">
        <v>6281</v>
      </c>
      <c r="EX8887" s="44" t="s">
        <v>7171</v>
      </c>
      <c r="FF8887" s="45" t="s">
        <v>59</v>
      </c>
      <c r="FJ8887" s="45" t="s">
        <v>59</v>
      </c>
    </row>
    <row r="8888" spans="153:166" x14ac:dyDescent="0.35">
      <c r="EW8888" t="s">
        <v>6281</v>
      </c>
      <c r="EX8888" s="44" t="s">
        <v>7172</v>
      </c>
      <c r="FF8888" s="45" t="s">
        <v>59</v>
      </c>
      <c r="FJ8888" s="45" t="s">
        <v>59</v>
      </c>
    </row>
    <row r="8889" spans="153:166" x14ac:dyDescent="0.35">
      <c r="EW8889" t="s">
        <v>6281</v>
      </c>
      <c r="EX8889" s="44" t="s">
        <v>7173</v>
      </c>
      <c r="FF8889" s="45" t="s">
        <v>59</v>
      </c>
      <c r="FJ8889" s="45" t="s">
        <v>59</v>
      </c>
    </row>
    <row r="8890" spans="153:166" x14ac:dyDescent="0.35">
      <c r="EW8890" t="s">
        <v>6281</v>
      </c>
      <c r="EX8890" s="44" t="s">
        <v>7174</v>
      </c>
      <c r="FF8890" s="45" t="s">
        <v>59</v>
      </c>
      <c r="FJ8890" s="45" t="s">
        <v>59</v>
      </c>
    </row>
    <row r="8891" spans="153:166" x14ac:dyDescent="0.35">
      <c r="EW8891" t="s">
        <v>6281</v>
      </c>
      <c r="EX8891" s="44" t="s">
        <v>7175</v>
      </c>
      <c r="FF8891" s="45" t="s">
        <v>59</v>
      </c>
      <c r="FJ8891" s="45" t="s">
        <v>59</v>
      </c>
    </row>
    <row r="8892" spans="153:166" x14ac:dyDescent="0.35">
      <c r="EW8892" t="s">
        <v>6281</v>
      </c>
      <c r="EX8892" s="44" t="s">
        <v>7176</v>
      </c>
      <c r="FF8892" s="45" t="s">
        <v>59</v>
      </c>
      <c r="FJ8892" s="45" t="s">
        <v>59</v>
      </c>
    </row>
    <row r="8893" spans="153:166" x14ac:dyDescent="0.35">
      <c r="EW8893" t="s">
        <v>6281</v>
      </c>
      <c r="EX8893" s="44" t="s">
        <v>7177</v>
      </c>
      <c r="FF8893" s="45" t="s">
        <v>59</v>
      </c>
      <c r="FJ8893" s="45" t="s">
        <v>59</v>
      </c>
    </row>
    <row r="8894" spans="153:166" x14ac:dyDescent="0.35">
      <c r="EW8894" t="s">
        <v>6281</v>
      </c>
      <c r="EX8894" s="44" t="s">
        <v>7178</v>
      </c>
      <c r="FF8894" s="45" t="s">
        <v>59</v>
      </c>
      <c r="FJ8894" s="45" t="s">
        <v>59</v>
      </c>
    </row>
    <row r="8895" spans="153:166" x14ac:dyDescent="0.35">
      <c r="EW8895" t="s">
        <v>6281</v>
      </c>
      <c r="EX8895" s="44" t="s">
        <v>7179</v>
      </c>
      <c r="FF8895" s="45" t="s">
        <v>59</v>
      </c>
      <c r="FJ8895" s="45" t="s">
        <v>59</v>
      </c>
    </row>
    <row r="8896" spans="153:166" x14ac:dyDescent="0.35">
      <c r="EW8896" t="s">
        <v>6281</v>
      </c>
      <c r="EX8896" s="44" t="s">
        <v>7180</v>
      </c>
      <c r="FF8896" s="45" t="s">
        <v>59</v>
      </c>
      <c r="FJ8896" s="45" t="s">
        <v>59</v>
      </c>
    </row>
    <row r="8897" spans="153:166" x14ac:dyDescent="0.35">
      <c r="EW8897" t="s">
        <v>6281</v>
      </c>
      <c r="EX8897" s="44" t="s">
        <v>7181</v>
      </c>
      <c r="FF8897" s="45" t="s">
        <v>59</v>
      </c>
      <c r="FJ8897" s="45" t="s">
        <v>59</v>
      </c>
    </row>
    <row r="8898" spans="153:166" x14ac:dyDescent="0.35">
      <c r="EW8898" t="s">
        <v>6281</v>
      </c>
      <c r="EX8898" s="44" t="s">
        <v>7182</v>
      </c>
      <c r="FF8898" s="45" t="s">
        <v>59</v>
      </c>
      <c r="FJ8898" s="45" t="s">
        <v>59</v>
      </c>
    </row>
    <row r="8899" spans="153:166" x14ac:dyDescent="0.35">
      <c r="EW8899" t="s">
        <v>6281</v>
      </c>
      <c r="EX8899" s="44" t="s">
        <v>7183</v>
      </c>
      <c r="FF8899" s="45" t="s">
        <v>59</v>
      </c>
      <c r="FJ8899" s="45" t="s">
        <v>59</v>
      </c>
    </row>
    <row r="8900" spans="153:166" x14ac:dyDescent="0.35">
      <c r="EW8900" t="s">
        <v>6281</v>
      </c>
      <c r="EX8900" s="44" t="s">
        <v>7184</v>
      </c>
      <c r="FF8900" s="45" t="s">
        <v>59</v>
      </c>
      <c r="FJ8900" s="45" t="s">
        <v>59</v>
      </c>
    </row>
    <row r="8901" spans="153:166" x14ac:dyDescent="0.35">
      <c r="EW8901" t="s">
        <v>6281</v>
      </c>
      <c r="EX8901" s="44" t="s">
        <v>7185</v>
      </c>
      <c r="FF8901" s="45" t="s">
        <v>59</v>
      </c>
      <c r="FJ8901" s="45" t="s">
        <v>59</v>
      </c>
    </row>
    <row r="8902" spans="153:166" x14ac:dyDescent="0.35">
      <c r="EW8902" t="s">
        <v>6281</v>
      </c>
      <c r="EX8902" s="44" t="s">
        <v>7186</v>
      </c>
      <c r="FF8902" s="45" t="s">
        <v>59</v>
      </c>
      <c r="FJ8902" s="45" t="s">
        <v>59</v>
      </c>
    </row>
    <row r="8903" spans="153:166" x14ac:dyDescent="0.35">
      <c r="EW8903" t="s">
        <v>6281</v>
      </c>
      <c r="EX8903" s="44" t="s">
        <v>7187</v>
      </c>
      <c r="FF8903" s="45" t="s">
        <v>59</v>
      </c>
      <c r="FJ8903" s="45" t="s">
        <v>59</v>
      </c>
    </row>
    <row r="8904" spans="153:166" x14ac:dyDescent="0.35">
      <c r="EW8904" t="s">
        <v>6281</v>
      </c>
      <c r="EX8904" s="44" t="s">
        <v>7188</v>
      </c>
      <c r="FF8904" s="45" t="s">
        <v>59</v>
      </c>
      <c r="FJ8904" s="45" t="s">
        <v>59</v>
      </c>
    </row>
    <row r="8905" spans="153:166" x14ac:dyDescent="0.35">
      <c r="EW8905" t="s">
        <v>6281</v>
      </c>
      <c r="EX8905" s="44" t="s">
        <v>7189</v>
      </c>
      <c r="FF8905" s="45" t="s">
        <v>59</v>
      </c>
      <c r="FJ8905" s="45" t="s">
        <v>59</v>
      </c>
    </row>
    <row r="8906" spans="153:166" x14ac:dyDescent="0.35">
      <c r="EW8906" t="s">
        <v>6281</v>
      </c>
      <c r="EX8906" s="44" t="s">
        <v>7190</v>
      </c>
      <c r="FF8906" s="45" t="s">
        <v>59</v>
      </c>
      <c r="FJ8906" s="45" t="s">
        <v>59</v>
      </c>
    </row>
    <row r="8907" spans="153:166" x14ac:dyDescent="0.35">
      <c r="EW8907" t="s">
        <v>6281</v>
      </c>
      <c r="EX8907" s="44" t="s">
        <v>7191</v>
      </c>
      <c r="FF8907" s="45" t="s">
        <v>59</v>
      </c>
      <c r="FJ8907" s="45" t="s">
        <v>59</v>
      </c>
    </row>
    <row r="8908" spans="153:166" x14ac:dyDescent="0.35">
      <c r="EW8908" t="s">
        <v>6281</v>
      </c>
      <c r="EX8908" s="44" t="s">
        <v>7192</v>
      </c>
      <c r="FF8908" s="45" t="s">
        <v>59</v>
      </c>
      <c r="FJ8908" s="45" t="s">
        <v>59</v>
      </c>
    </row>
    <row r="8909" spans="153:166" x14ac:dyDescent="0.35">
      <c r="EW8909" t="s">
        <v>6281</v>
      </c>
      <c r="EX8909" s="44" t="s">
        <v>7193</v>
      </c>
      <c r="FF8909" s="45" t="s">
        <v>59</v>
      </c>
      <c r="FJ8909" s="45" t="s">
        <v>59</v>
      </c>
    </row>
    <row r="8910" spans="153:166" x14ac:dyDescent="0.35">
      <c r="EW8910" t="s">
        <v>6281</v>
      </c>
      <c r="EX8910" s="44" t="s">
        <v>7194</v>
      </c>
      <c r="FF8910" s="45" t="s">
        <v>59</v>
      </c>
      <c r="FJ8910" s="45" t="s">
        <v>59</v>
      </c>
    </row>
    <row r="8911" spans="153:166" x14ac:dyDescent="0.35">
      <c r="EW8911" t="s">
        <v>6281</v>
      </c>
      <c r="EX8911" s="44" t="s">
        <v>7195</v>
      </c>
      <c r="FF8911" s="45" t="s">
        <v>59</v>
      </c>
      <c r="FJ8911" s="45" t="s">
        <v>59</v>
      </c>
    </row>
    <row r="8912" spans="153:166" x14ac:dyDescent="0.35">
      <c r="EW8912" t="s">
        <v>6281</v>
      </c>
      <c r="EX8912" s="44" t="s">
        <v>7196</v>
      </c>
      <c r="FF8912" s="45" t="s">
        <v>59</v>
      </c>
      <c r="FJ8912" s="45" t="s">
        <v>59</v>
      </c>
    </row>
    <row r="8913" spans="153:166" x14ac:dyDescent="0.35">
      <c r="EW8913" t="s">
        <v>6281</v>
      </c>
      <c r="EX8913" s="44" t="s">
        <v>7197</v>
      </c>
      <c r="FF8913" s="45" t="s">
        <v>59</v>
      </c>
      <c r="FJ8913" s="45" t="s">
        <v>59</v>
      </c>
    </row>
    <row r="8914" spans="153:166" x14ac:dyDescent="0.35">
      <c r="EW8914" t="s">
        <v>6281</v>
      </c>
      <c r="EX8914" s="44" t="s">
        <v>7198</v>
      </c>
      <c r="FF8914" s="45" t="s">
        <v>59</v>
      </c>
      <c r="FJ8914" s="45" t="s">
        <v>59</v>
      </c>
    </row>
    <row r="8915" spans="153:166" x14ac:dyDescent="0.35">
      <c r="EW8915" t="s">
        <v>6281</v>
      </c>
      <c r="EX8915" s="44" t="s">
        <v>7199</v>
      </c>
      <c r="FF8915" s="45" t="s">
        <v>59</v>
      </c>
      <c r="FJ8915" s="45" t="s">
        <v>59</v>
      </c>
    </row>
    <row r="8916" spans="153:166" x14ac:dyDescent="0.35">
      <c r="EW8916" t="s">
        <v>6281</v>
      </c>
      <c r="EX8916" s="44" t="s">
        <v>7200</v>
      </c>
      <c r="FF8916" s="45" t="s">
        <v>59</v>
      </c>
      <c r="FJ8916" s="45" t="s">
        <v>59</v>
      </c>
    </row>
    <row r="8917" spans="153:166" x14ac:dyDescent="0.35">
      <c r="EW8917" t="s">
        <v>6281</v>
      </c>
      <c r="EX8917" s="44" t="s">
        <v>7201</v>
      </c>
      <c r="FF8917" s="45" t="s">
        <v>59</v>
      </c>
      <c r="FJ8917" s="45" t="s">
        <v>59</v>
      </c>
    </row>
    <row r="8918" spans="153:166" x14ac:dyDescent="0.35">
      <c r="EW8918" t="s">
        <v>6281</v>
      </c>
      <c r="EX8918" s="44" t="s">
        <v>7202</v>
      </c>
      <c r="FF8918" s="45" t="s">
        <v>59</v>
      </c>
      <c r="FJ8918" s="45" t="s">
        <v>59</v>
      </c>
    </row>
    <row r="8919" spans="153:166" x14ac:dyDescent="0.35">
      <c r="EW8919" t="s">
        <v>6281</v>
      </c>
      <c r="EX8919" s="44" t="s">
        <v>7203</v>
      </c>
      <c r="FF8919" s="45" t="s">
        <v>59</v>
      </c>
      <c r="FJ8919" s="45" t="s">
        <v>59</v>
      </c>
    </row>
    <row r="8920" spans="153:166" x14ac:dyDescent="0.35">
      <c r="EW8920" t="s">
        <v>6281</v>
      </c>
      <c r="EX8920" s="44" t="s">
        <v>7204</v>
      </c>
      <c r="FF8920" s="45" t="s">
        <v>59</v>
      </c>
      <c r="FJ8920" s="45" t="s">
        <v>59</v>
      </c>
    </row>
    <row r="8921" spans="153:166" x14ac:dyDescent="0.35">
      <c r="EW8921" t="s">
        <v>6281</v>
      </c>
      <c r="EX8921" s="44" t="s">
        <v>7205</v>
      </c>
      <c r="FF8921" s="45" t="s">
        <v>59</v>
      </c>
      <c r="FJ8921" s="45" t="s">
        <v>59</v>
      </c>
    </row>
    <row r="8922" spans="153:166" x14ac:dyDescent="0.35">
      <c r="EW8922" t="s">
        <v>6281</v>
      </c>
      <c r="EX8922" s="44" t="s">
        <v>7206</v>
      </c>
      <c r="FF8922" s="45" t="s">
        <v>59</v>
      </c>
      <c r="FJ8922" s="45" t="s">
        <v>59</v>
      </c>
    </row>
    <row r="8923" spans="153:166" x14ac:dyDescent="0.35">
      <c r="EW8923" t="s">
        <v>6281</v>
      </c>
      <c r="EX8923" s="44" t="s">
        <v>7207</v>
      </c>
      <c r="FF8923" s="45" t="s">
        <v>59</v>
      </c>
      <c r="FJ8923" s="45" t="s">
        <v>59</v>
      </c>
    </row>
    <row r="8924" spans="153:166" x14ac:dyDescent="0.35">
      <c r="EW8924" t="s">
        <v>6281</v>
      </c>
      <c r="EX8924" s="44" t="s">
        <v>7208</v>
      </c>
      <c r="FF8924" s="45" t="s">
        <v>59</v>
      </c>
      <c r="FJ8924" s="45" t="s">
        <v>59</v>
      </c>
    </row>
    <row r="8925" spans="153:166" x14ac:dyDescent="0.35">
      <c r="EW8925" t="s">
        <v>6281</v>
      </c>
      <c r="EX8925" s="44" t="s">
        <v>7209</v>
      </c>
      <c r="FF8925" s="45" t="s">
        <v>59</v>
      </c>
      <c r="FJ8925" s="45" t="s">
        <v>59</v>
      </c>
    </row>
    <row r="8926" spans="153:166" x14ac:dyDescent="0.35">
      <c r="EW8926" t="s">
        <v>6281</v>
      </c>
      <c r="EX8926" s="44" t="s">
        <v>7210</v>
      </c>
      <c r="FF8926" s="45" t="s">
        <v>59</v>
      </c>
      <c r="FJ8926" s="45" t="s">
        <v>59</v>
      </c>
    </row>
    <row r="8927" spans="153:166" x14ac:dyDescent="0.35">
      <c r="EW8927" t="s">
        <v>6281</v>
      </c>
      <c r="EX8927" s="44" t="s">
        <v>7211</v>
      </c>
      <c r="FF8927" s="45" t="s">
        <v>59</v>
      </c>
      <c r="FJ8927" s="45" t="s">
        <v>59</v>
      </c>
    </row>
    <row r="8928" spans="153:166" x14ac:dyDescent="0.35">
      <c r="EW8928" t="s">
        <v>6281</v>
      </c>
      <c r="EX8928" s="44" t="s">
        <v>7212</v>
      </c>
      <c r="FF8928" s="45" t="s">
        <v>59</v>
      </c>
      <c r="FJ8928" s="45" t="s">
        <v>59</v>
      </c>
    </row>
    <row r="8929" spans="153:166" x14ac:dyDescent="0.35">
      <c r="EW8929" t="s">
        <v>6281</v>
      </c>
      <c r="EX8929" s="44" t="s">
        <v>7213</v>
      </c>
      <c r="FF8929" s="45" t="s">
        <v>59</v>
      </c>
      <c r="FJ8929" s="45" t="s">
        <v>59</v>
      </c>
    </row>
    <row r="8930" spans="153:166" x14ac:dyDescent="0.35">
      <c r="EW8930" t="s">
        <v>6281</v>
      </c>
      <c r="EX8930" s="44" t="s">
        <v>7214</v>
      </c>
      <c r="FF8930" s="45" t="s">
        <v>59</v>
      </c>
      <c r="FJ8930" s="45" t="s">
        <v>59</v>
      </c>
    </row>
    <row r="8931" spans="153:166" x14ac:dyDescent="0.35">
      <c r="EW8931" t="s">
        <v>6281</v>
      </c>
      <c r="EX8931" s="44" t="s">
        <v>7215</v>
      </c>
      <c r="FF8931" s="45" t="s">
        <v>59</v>
      </c>
      <c r="FJ8931" s="45" t="s">
        <v>59</v>
      </c>
    </row>
    <row r="8932" spans="153:166" x14ac:dyDescent="0.35">
      <c r="EW8932" t="s">
        <v>6281</v>
      </c>
      <c r="EX8932" s="44" t="s">
        <v>7216</v>
      </c>
      <c r="FF8932" s="45" t="s">
        <v>59</v>
      </c>
      <c r="FJ8932" s="45" t="s">
        <v>59</v>
      </c>
    </row>
    <row r="8933" spans="153:166" x14ac:dyDescent="0.35">
      <c r="EW8933" t="s">
        <v>6281</v>
      </c>
      <c r="EX8933" s="44" t="s">
        <v>7217</v>
      </c>
      <c r="FF8933" s="45" t="s">
        <v>59</v>
      </c>
      <c r="FJ8933" s="45" t="s">
        <v>59</v>
      </c>
    </row>
    <row r="8934" spans="153:166" x14ac:dyDescent="0.35">
      <c r="EW8934" t="s">
        <v>6281</v>
      </c>
      <c r="EX8934" s="44" t="s">
        <v>7218</v>
      </c>
      <c r="FF8934" s="45" t="s">
        <v>59</v>
      </c>
      <c r="FJ8934" s="45" t="s">
        <v>59</v>
      </c>
    </row>
    <row r="8935" spans="153:166" x14ac:dyDescent="0.35">
      <c r="EW8935" t="s">
        <v>6281</v>
      </c>
      <c r="EX8935" s="44" t="s">
        <v>7219</v>
      </c>
      <c r="FF8935" s="45" t="s">
        <v>59</v>
      </c>
      <c r="FJ8935" s="45" t="s">
        <v>59</v>
      </c>
    </row>
    <row r="8936" spans="153:166" x14ac:dyDescent="0.35">
      <c r="EW8936" t="s">
        <v>6281</v>
      </c>
      <c r="EX8936" s="44" t="s">
        <v>7220</v>
      </c>
      <c r="FF8936" s="45" t="s">
        <v>59</v>
      </c>
      <c r="FJ8936" s="45" t="s">
        <v>59</v>
      </c>
    </row>
    <row r="8937" spans="153:166" x14ac:dyDescent="0.35">
      <c r="EW8937" t="s">
        <v>6281</v>
      </c>
      <c r="EX8937" s="44" t="s">
        <v>7221</v>
      </c>
      <c r="FF8937" s="45" t="s">
        <v>59</v>
      </c>
      <c r="FJ8937" s="45" t="s">
        <v>59</v>
      </c>
    </row>
    <row r="8938" spans="153:166" x14ac:dyDescent="0.35">
      <c r="EW8938" t="s">
        <v>6281</v>
      </c>
      <c r="EX8938" s="44" t="s">
        <v>7222</v>
      </c>
      <c r="FF8938" s="45" t="s">
        <v>59</v>
      </c>
      <c r="FJ8938" s="45" t="s">
        <v>59</v>
      </c>
    </row>
    <row r="8939" spans="153:166" x14ac:dyDescent="0.35">
      <c r="EW8939" t="s">
        <v>6281</v>
      </c>
      <c r="EX8939" s="44" t="s">
        <v>7223</v>
      </c>
      <c r="FF8939" s="45" t="s">
        <v>59</v>
      </c>
      <c r="FJ8939" s="45" t="s">
        <v>59</v>
      </c>
    </row>
    <row r="8940" spans="153:166" x14ac:dyDescent="0.35">
      <c r="EW8940" t="s">
        <v>6281</v>
      </c>
      <c r="EX8940" s="44" t="s">
        <v>7224</v>
      </c>
      <c r="FF8940" s="45" t="s">
        <v>59</v>
      </c>
      <c r="FJ8940" s="45" t="s">
        <v>59</v>
      </c>
    </row>
    <row r="8941" spans="153:166" x14ac:dyDescent="0.35">
      <c r="EW8941" t="s">
        <v>6281</v>
      </c>
      <c r="EX8941" s="44" t="s">
        <v>7225</v>
      </c>
      <c r="FF8941" s="45" t="s">
        <v>59</v>
      </c>
      <c r="FJ8941" s="45" t="s">
        <v>59</v>
      </c>
    </row>
    <row r="8942" spans="153:166" x14ac:dyDescent="0.35">
      <c r="EW8942" t="s">
        <v>6281</v>
      </c>
      <c r="EX8942" s="44" t="s">
        <v>7226</v>
      </c>
      <c r="FF8942" s="45" t="s">
        <v>59</v>
      </c>
      <c r="FJ8942" s="45" t="s">
        <v>59</v>
      </c>
    </row>
    <row r="8943" spans="153:166" x14ac:dyDescent="0.35">
      <c r="EW8943" t="s">
        <v>6281</v>
      </c>
      <c r="EX8943" s="44" t="s">
        <v>7227</v>
      </c>
      <c r="FF8943" s="45" t="s">
        <v>59</v>
      </c>
      <c r="FJ8943" s="45" t="s">
        <v>59</v>
      </c>
    </row>
    <row r="8944" spans="153:166" x14ac:dyDescent="0.35">
      <c r="EW8944" t="s">
        <v>6281</v>
      </c>
      <c r="EX8944" s="44" t="s">
        <v>7228</v>
      </c>
      <c r="FF8944" s="45" t="s">
        <v>59</v>
      </c>
      <c r="FJ8944" s="45" t="s">
        <v>59</v>
      </c>
    </row>
    <row r="8945" spans="153:166" x14ac:dyDescent="0.35">
      <c r="EW8945" t="s">
        <v>6281</v>
      </c>
      <c r="EX8945" s="44" t="s">
        <v>7229</v>
      </c>
      <c r="FF8945" s="45" t="s">
        <v>59</v>
      </c>
      <c r="FJ8945" s="45" t="s">
        <v>59</v>
      </c>
    </row>
    <row r="8946" spans="153:166" x14ac:dyDescent="0.35">
      <c r="EW8946" t="s">
        <v>6281</v>
      </c>
      <c r="EX8946" s="44" t="s">
        <v>7230</v>
      </c>
      <c r="FF8946" s="45" t="s">
        <v>59</v>
      </c>
      <c r="FJ8946" s="45" t="s">
        <v>59</v>
      </c>
    </row>
    <row r="8947" spans="153:166" x14ac:dyDescent="0.35">
      <c r="EW8947" t="s">
        <v>6281</v>
      </c>
      <c r="EX8947" s="44" t="s">
        <v>7231</v>
      </c>
      <c r="FF8947" s="45" t="s">
        <v>59</v>
      </c>
      <c r="FJ8947" s="45" t="s">
        <v>59</v>
      </c>
    </row>
    <row r="8948" spans="153:166" x14ac:dyDescent="0.35">
      <c r="EW8948" t="s">
        <v>6281</v>
      </c>
      <c r="EX8948" s="44" t="s">
        <v>7232</v>
      </c>
      <c r="FF8948" s="45" t="s">
        <v>59</v>
      </c>
      <c r="FJ8948" s="45" t="s">
        <v>59</v>
      </c>
    </row>
    <row r="8949" spans="153:166" x14ac:dyDescent="0.35">
      <c r="EW8949" t="s">
        <v>6281</v>
      </c>
      <c r="EX8949" s="44" t="s">
        <v>7233</v>
      </c>
      <c r="FF8949" s="45" t="s">
        <v>59</v>
      </c>
      <c r="FJ8949" s="45" t="s">
        <v>59</v>
      </c>
    </row>
    <row r="8950" spans="153:166" x14ac:dyDescent="0.35">
      <c r="EW8950" t="s">
        <v>6281</v>
      </c>
      <c r="EX8950" s="44" t="s">
        <v>7234</v>
      </c>
      <c r="FF8950" s="45" t="s">
        <v>59</v>
      </c>
      <c r="FJ8950" s="45" t="s">
        <v>59</v>
      </c>
    </row>
    <row r="8951" spans="153:166" x14ac:dyDescent="0.35">
      <c r="EW8951" t="s">
        <v>6281</v>
      </c>
      <c r="EX8951" s="44" t="s">
        <v>7235</v>
      </c>
      <c r="FF8951" s="45" t="s">
        <v>59</v>
      </c>
      <c r="FJ8951" s="45" t="s">
        <v>59</v>
      </c>
    </row>
    <row r="8952" spans="153:166" x14ac:dyDescent="0.35">
      <c r="EW8952" t="s">
        <v>6281</v>
      </c>
      <c r="EX8952" s="44" t="s">
        <v>7236</v>
      </c>
      <c r="FF8952" s="45" t="s">
        <v>59</v>
      </c>
      <c r="FJ8952" s="45" t="s">
        <v>59</v>
      </c>
    </row>
    <row r="8953" spans="153:166" x14ac:dyDescent="0.35">
      <c r="EW8953" t="s">
        <v>6281</v>
      </c>
      <c r="EX8953" s="44" t="s">
        <v>7237</v>
      </c>
      <c r="FF8953" s="45" t="s">
        <v>59</v>
      </c>
      <c r="FJ8953" s="45" t="s">
        <v>59</v>
      </c>
    </row>
    <row r="8954" spans="153:166" x14ac:dyDescent="0.35">
      <c r="EW8954" t="s">
        <v>6281</v>
      </c>
      <c r="EX8954" s="44" t="s">
        <v>7238</v>
      </c>
      <c r="FF8954" s="45" t="s">
        <v>59</v>
      </c>
      <c r="FJ8954" s="45" t="s">
        <v>59</v>
      </c>
    </row>
    <row r="8955" spans="153:166" x14ac:dyDescent="0.35">
      <c r="EW8955" t="s">
        <v>6281</v>
      </c>
      <c r="EX8955" s="44" t="s">
        <v>7239</v>
      </c>
      <c r="FF8955" s="45" t="s">
        <v>59</v>
      </c>
      <c r="FJ8955" s="45" t="s">
        <v>59</v>
      </c>
    </row>
    <row r="8956" spans="153:166" x14ac:dyDescent="0.35">
      <c r="EW8956" t="s">
        <v>6281</v>
      </c>
      <c r="EX8956" s="44" t="s">
        <v>7240</v>
      </c>
      <c r="FF8956" s="45" t="s">
        <v>59</v>
      </c>
      <c r="FJ8956" s="45" t="s">
        <v>59</v>
      </c>
    </row>
    <row r="8957" spans="153:166" x14ac:dyDescent="0.35">
      <c r="EW8957" t="s">
        <v>6281</v>
      </c>
      <c r="EX8957" s="44" t="s">
        <v>7241</v>
      </c>
      <c r="FF8957" s="45" t="s">
        <v>59</v>
      </c>
      <c r="FJ8957" s="45" t="s">
        <v>59</v>
      </c>
    </row>
    <row r="8958" spans="153:166" x14ac:dyDescent="0.35">
      <c r="EW8958" t="s">
        <v>6281</v>
      </c>
      <c r="EX8958" s="44" t="s">
        <v>7242</v>
      </c>
      <c r="FF8958" s="45" t="s">
        <v>59</v>
      </c>
      <c r="FJ8958" s="45" t="s">
        <v>59</v>
      </c>
    </row>
    <row r="8959" spans="153:166" x14ac:dyDescent="0.35">
      <c r="EW8959" t="s">
        <v>6281</v>
      </c>
      <c r="EX8959" s="44" t="s">
        <v>7243</v>
      </c>
      <c r="FF8959" s="45" t="s">
        <v>59</v>
      </c>
      <c r="FJ8959" s="45" t="s">
        <v>59</v>
      </c>
    </row>
    <row r="8960" spans="153:166" x14ac:dyDescent="0.35">
      <c r="EW8960" t="s">
        <v>6281</v>
      </c>
      <c r="EX8960" s="44" t="s">
        <v>7244</v>
      </c>
      <c r="FF8960" s="45" t="s">
        <v>59</v>
      </c>
      <c r="FJ8960" s="45" t="s">
        <v>59</v>
      </c>
    </row>
    <row r="8961" spans="153:166" x14ac:dyDescent="0.35">
      <c r="EW8961" t="s">
        <v>6281</v>
      </c>
      <c r="EX8961" s="44" t="s">
        <v>7245</v>
      </c>
      <c r="FF8961" s="45" t="s">
        <v>59</v>
      </c>
      <c r="FJ8961" s="45" t="s">
        <v>59</v>
      </c>
    </row>
    <row r="8962" spans="153:166" x14ac:dyDescent="0.35">
      <c r="EW8962" t="s">
        <v>6281</v>
      </c>
      <c r="EX8962" s="44" t="s">
        <v>7246</v>
      </c>
      <c r="FF8962" s="45" t="s">
        <v>59</v>
      </c>
      <c r="FJ8962" s="45" t="s">
        <v>59</v>
      </c>
    </row>
    <row r="8963" spans="153:166" x14ac:dyDescent="0.35">
      <c r="EW8963" t="s">
        <v>6281</v>
      </c>
      <c r="EX8963" s="44" t="s">
        <v>7247</v>
      </c>
      <c r="FF8963" s="45" t="s">
        <v>59</v>
      </c>
      <c r="FJ8963" s="45" t="s">
        <v>59</v>
      </c>
    </row>
    <row r="8964" spans="153:166" x14ac:dyDescent="0.35">
      <c r="EW8964" t="s">
        <v>7248</v>
      </c>
      <c r="EX8964" t="s">
        <v>6282</v>
      </c>
      <c r="FF8964" s="44" t="s">
        <v>55</v>
      </c>
      <c r="FJ8964" s="44" t="s">
        <v>55</v>
      </c>
    </row>
    <row r="8965" spans="153:166" x14ac:dyDescent="0.35">
      <c r="EW8965" t="s">
        <v>7248</v>
      </c>
      <c r="EX8965" t="s">
        <v>6283</v>
      </c>
      <c r="FF8965" s="44" t="s">
        <v>55</v>
      </c>
      <c r="FJ8965" s="44" t="s">
        <v>55</v>
      </c>
    </row>
    <row r="8966" spans="153:166" x14ac:dyDescent="0.35">
      <c r="EW8966" t="s">
        <v>7248</v>
      </c>
      <c r="EX8966" t="s">
        <v>6284</v>
      </c>
      <c r="FF8966" s="44" t="s">
        <v>55</v>
      </c>
      <c r="FJ8966" s="44" t="s">
        <v>55</v>
      </c>
    </row>
    <row r="8967" spans="153:166" x14ac:dyDescent="0.35">
      <c r="EW8967" t="s">
        <v>7248</v>
      </c>
      <c r="EX8967" t="s">
        <v>6285</v>
      </c>
      <c r="FF8967" s="44" t="s">
        <v>55</v>
      </c>
      <c r="FJ8967" s="44" t="s">
        <v>55</v>
      </c>
    </row>
    <row r="8968" spans="153:166" x14ac:dyDescent="0.35">
      <c r="EW8968" t="s">
        <v>7248</v>
      </c>
      <c r="EX8968" t="s">
        <v>6286</v>
      </c>
      <c r="FF8968" s="44" t="s">
        <v>55</v>
      </c>
      <c r="FJ8968" s="44" t="s">
        <v>55</v>
      </c>
    </row>
    <row r="8969" spans="153:166" x14ac:dyDescent="0.35">
      <c r="EW8969" t="s">
        <v>7248</v>
      </c>
      <c r="EX8969" t="s">
        <v>6287</v>
      </c>
      <c r="FF8969" s="44" t="s">
        <v>55</v>
      </c>
      <c r="FJ8969" s="44" t="s">
        <v>55</v>
      </c>
    </row>
    <row r="8970" spans="153:166" x14ac:dyDescent="0.35">
      <c r="EW8970" t="s">
        <v>7248</v>
      </c>
      <c r="EX8970" t="s">
        <v>6288</v>
      </c>
      <c r="FF8970" s="44" t="s">
        <v>55</v>
      </c>
      <c r="FJ8970" s="44" t="s">
        <v>55</v>
      </c>
    </row>
    <row r="8971" spans="153:166" x14ac:dyDescent="0.35">
      <c r="EW8971" t="s">
        <v>7248</v>
      </c>
      <c r="EX8971" t="s">
        <v>6289</v>
      </c>
      <c r="FF8971" s="44" t="s">
        <v>55</v>
      </c>
      <c r="FJ8971" s="44" t="s">
        <v>55</v>
      </c>
    </row>
    <row r="8972" spans="153:166" x14ac:dyDescent="0.35">
      <c r="EW8972" t="s">
        <v>7248</v>
      </c>
      <c r="EX8972" t="s">
        <v>6290</v>
      </c>
      <c r="FF8972" s="44" t="s">
        <v>55</v>
      </c>
      <c r="FJ8972" s="44" t="s">
        <v>55</v>
      </c>
    </row>
    <row r="8973" spans="153:166" x14ac:dyDescent="0.35">
      <c r="EW8973" t="s">
        <v>7248</v>
      </c>
      <c r="EX8973" t="s">
        <v>6291</v>
      </c>
      <c r="FF8973" s="44" t="s">
        <v>55</v>
      </c>
      <c r="FJ8973" s="44" t="s">
        <v>55</v>
      </c>
    </row>
    <row r="8974" spans="153:166" x14ac:dyDescent="0.35">
      <c r="EW8974" t="s">
        <v>7248</v>
      </c>
      <c r="EX8974" t="s">
        <v>6292</v>
      </c>
      <c r="FF8974" s="44" t="s">
        <v>55</v>
      </c>
      <c r="FJ8974" s="44" t="s">
        <v>55</v>
      </c>
    </row>
    <row r="8975" spans="153:166" x14ac:dyDescent="0.35">
      <c r="EW8975" t="s">
        <v>7248</v>
      </c>
      <c r="EX8975" t="s">
        <v>6170</v>
      </c>
      <c r="FF8975" s="44" t="s">
        <v>55</v>
      </c>
      <c r="FJ8975" s="44" t="s">
        <v>55</v>
      </c>
    </row>
    <row r="8976" spans="153:166" x14ac:dyDescent="0.35">
      <c r="EW8976" t="s">
        <v>7248</v>
      </c>
      <c r="EX8976" t="s">
        <v>6293</v>
      </c>
      <c r="FF8976" s="44" t="s">
        <v>55</v>
      </c>
      <c r="FJ8976" s="44" t="s">
        <v>55</v>
      </c>
    </row>
    <row r="8977" spans="153:166" x14ac:dyDescent="0.35">
      <c r="EW8977" t="s">
        <v>7248</v>
      </c>
      <c r="EX8977" t="s">
        <v>6294</v>
      </c>
      <c r="FF8977" s="44" t="s">
        <v>55</v>
      </c>
      <c r="FJ8977" s="44" t="s">
        <v>55</v>
      </c>
    </row>
    <row r="8978" spans="153:166" x14ac:dyDescent="0.35">
      <c r="EW8978" t="s">
        <v>7248</v>
      </c>
      <c r="EX8978" t="s">
        <v>6295</v>
      </c>
      <c r="FF8978" s="44" t="s">
        <v>55</v>
      </c>
      <c r="FJ8978" s="44" t="s">
        <v>55</v>
      </c>
    </row>
    <row r="8979" spans="153:166" x14ac:dyDescent="0.35">
      <c r="EW8979" t="s">
        <v>7248</v>
      </c>
      <c r="EX8979" t="s">
        <v>6296</v>
      </c>
      <c r="FF8979" s="44" t="s">
        <v>55</v>
      </c>
      <c r="FJ8979" s="44" t="s">
        <v>55</v>
      </c>
    </row>
    <row r="8980" spans="153:166" x14ac:dyDescent="0.35">
      <c r="EW8980" t="s">
        <v>7248</v>
      </c>
      <c r="EX8980" t="s">
        <v>6297</v>
      </c>
      <c r="FF8980" s="44" t="s">
        <v>55</v>
      </c>
      <c r="FJ8980" s="44" t="s">
        <v>55</v>
      </c>
    </row>
    <row r="8981" spans="153:166" x14ac:dyDescent="0.35">
      <c r="EW8981" t="s">
        <v>7248</v>
      </c>
      <c r="EX8981" t="s">
        <v>6298</v>
      </c>
      <c r="FF8981" s="44" t="s">
        <v>55</v>
      </c>
      <c r="FJ8981" s="44" t="s">
        <v>55</v>
      </c>
    </row>
    <row r="8982" spans="153:166" x14ac:dyDescent="0.35">
      <c r="EW8982" t="s">
        <v>7248</v>
      </c>
      <c r="EX8982" t="s">
        <v>6299</v>
      </c>
      <c r="FF8982" s="44" t="s">
        <v>55</v>
      </c>
      <c r="FJ8982" s="44" t="s">
        <v>55</v>
      </c>
    </row>
    <row r="8983" spans="153:166" x14ac:dyDescent="0.35">
      <c r="EW8983" t="s">
        <v>7248</v>
      </c>
      <c r="EX8983" t="s">
        <v>6300</v>
      </c>
      <c r="FF8983" s="44" t="s">
        <v>55</v>
      </c>
      <c r="FJ8983" s="44" t="s">
        <v>55</v>
      </c>
    </row>
    <row r="8984" spans="153:166" x14ac:dyDescent="0.35">
      <c r="EW8984" t="s">
        <v>7248</v>
      </c>
      <c r="EX8984" t="s">
        <v>6301</v>
      </c>
      <c r="FF8984" s="44" t="s">
        <v>55</v>
      </c>
      <c r="FJ8984" s="44" t="s">
        <v>55</v>
      </c>
    </row>
    <row r="8985" spans="153:166" x14ac:dyDescent="0.35">
      <c r="EW8985" t="s">
        <v>7248</v>
      </c>
      <c r="EX8985" t="s">
        <v>6302</v>
      </c>
      <c r="FF8985" s="44" t="s">
        <v>55</v>
      </c>
      <c r="FJ8985" s="44" t="s">
        <v>55</v>
      </c>
    </row>
    <row r="8986" spans="153:166" x14ac:dyDescent="0.35">
      <c r="EW8986" t="s">
        <v>7248</v>
      </c>
      <c r="EX8986" t="s">
        <v>6303</v>
      </c>
      <c r="FF8986" s="44" t="s">
        <v>55</v>
      </c>
      <c r="FJ8986" s="44" t="s">
        <v>55</v>
      </c>
    </row>
    <row r="8987" spans="153:166" x14ac:dyDescent="0.35">
      <c r="EW8987" t="s">
        <v>7248</v>
      </c>
      <c r="EX8987" t="s">
        <v>6304</v>
      </c>
      <c r="FF8987" s="44" t="s">
        <v>55</v>
      </c>
      <c r="FJ8987" s="44" t="s">
        <v>55</v>
      </c>
    </row>
    <row r="8988" spans="153:166" x14ac:dyDescent="0.35">
      <c r="EW8988" t="s">
        <v>7248</v>
      </c>
      <c r="EX8988" t="s">
        <v>6305</v>
      </c>
      <c r="FF8988" s="44" t="s">
        <v>55</v>
      </c>
      <c r="FJ8988" s="44" t="s">
        <v>55</v>
      </c>
    </row>
    <row r="8989" spans="153:166" x14ac:dyDescent="0.35">
      <c r="EW8989" t="s">
        <v>7248</v>
      </c>
      <c r="EX8989" t="s">
        <v>6306</v>
      </c>
      <c r="FF8989" s="44" t="s">
        <v>55</v>
      </c>
      <c r="FJ8989" s="44" t="s">
        <v>55</v>
      </c>
    </row>
    <row r="8990" spans="153:166" x14ac:dyDescent="0.35">
      <c r="EW8990" t="s">
        <v>7248</v>
      </c>
      <c r="EX8990" t="s">
        <v>6307</v>
      </c>
      <c r="FF8990" s="44" t="s">
        <v>55</v>
      </c>
      <c r="FJ8990" s="44" t="s">
        <v>55</v>
      </c>
    </row>
    <row r="8991" spans="153:166" x14ac:dyDescent="0.35">
      <c r="EW8991" t="s">
        <v>7248</v>
      </c>
      <c r="EX8991" t="s">
        <v>6308</v>
      </c>
      <c r="FF8991" s="44" t="s">
        <v>55</v>
      </c>
      <c r="FJ8991" s="44" t="s">
        <v>55</v>
      </c>
    </row>
    <row r="8992" spans="153:166" x14ac:dyDescent="0.35">
      <c r="EW8992" t="s">
        <v>7248</v>
      </c>
      <c r="EX8992" t="s">
        <v>6309</v>
      </c>
      <c r="FF8992" s="44" t="s">
        <v>55</v>
      </c>
      <c r="FJ8992" s="44" t="s">
        <v>55</v>
      </c>
    </row>
    <row r="8993" spans="153:166" x14ac:dyDescent="0.35">
      <c r="EW8993" t="s">
        <v>7248</v>
      </c>
      <c r="EX8993" t="s">
        <v>6310</v>
      </c>
      <c r="FF8993" s="44" t="s">
        <v>55</v>
      </c>
      <c r="FJ8993" s="44" t="s">
        <v>55</v>
      </c>
    </row>
    <row r="8994" spans="153:166" x14ac:dyDescent="0.35">
      <c r="EW8994" t="s">
        <v>7248</v>
      </c>
      <c r="EX8994" t="s">
        <v>6311</v>
      </c>
      <c r="FF8994" s="44" t="s">
        <v>55</v>
      </c>
      <c r="FJ8994" s="44" t="s">
        <v>55</v>
      </c>
    </row>
    <row r="8995" spans="153:166" x14ac:dyDescent="0.35">
      <c r="EW8995" t="s">
        <v>7248</v>
      </c>
      <c r="EX8995" t="s">
        <v>6312</v>
      </c>
      <c r="FF8995" s="44" t="s">
        <v>55</v>
      </c>
      <c r="FJ8995" s="44" t="s">
        <v>55</v>
      </c>
    </row>
    <row r="8996" spans="153:166" x14ac:dyDescent="0.35">
      <c r="EW8996" t="s">
        <v>7248</v>
      </c>
      <c r="EX8996" t="s">
        <v>6313</v>
      </c>
      <c r="FF8996" s="44" t="s">
        <v>55</v>
      </c>
      <c r="FJ8996" s="44" t="s">
        <v>55</v>
      </c>
    </row>
    <row r="8997" spans="153:166" x14ac:dyDescent="0.35">
      <c r="EW8997" t="s">
        <v>7248</v>
      </c>
      <c r="EX8997" t="s">
        <v>6314</v>
      </c>
      <c r="FF8997" s="44" t="s">
        <v>55</v>
      </c>
      <c r="FJ8997" s="44" t="s">
        <v>55</v>
      </c>
    </row>
    <row r="8998" spans="153:166" x14ac:dyDescent="0.35">
      <c r="EW8998" t="s">
        <v>7248</v>
      </c>
      <c r="EX8998" t="s">
        <v>6315</v>
      </c>
      <c r="FF8998" s="44" t="s">
        <v>55</v>
      </c>
      <c r="FJ8998" s="44" t="s">
        <v>55</v>
      </c>
    </row>
    <row r="8999" spans="153:166" x14ac:dyDescent="0.35">
      <c r="EW8999" t="s">
        <v>7248</v>
      </c>
      <c r="EX8999" t="s">
        <v>6316</v>
      </c>
      <c r="FF8999" s="44" t="s">
        <v>55</v>
      </c>
      <c r="FJ8999" s="44" t="s">
        <v>55</v>
      </c>
    </row>
    <row r="9000" spans="153:166" x14ac:dyDescent="0.35">
      <c r="EW9000" t="s">
        <v>7248</v>
      </c>
      <c r="EX9000" t="s">
        <v>6317</v>
      </c>
      <c r="FF9000" s="44" t="s">
        <v>55</v>
      </c>
      <c r="FJ9000" s="44" t="s">
        <v>55</v>
      </c>
    </row>
    <row r="9001" spans="153:166" x14ac:dyDescent="0.35">
      <c r="EW9001" t="s">
        <v>7248</v>
      </c>
      <c r="EX9001" t="s">
        <v>6318</v>
      </c>
      <c r="FF9001" s="44" t="s">
        <v>55</v>
      </c>
      <c r="FJ9001" s="44" t="s">
        <v>55</v>
      </c>
    </row>
    <row r="9002" spans="153:166" x14ac:dyDescent="0.35">
      <c r="EW9002" t="s">
        <v>7248</v>
      </c>
      <c r="EX9002" t="s">
        <v>6319</v>
      </c>
      <c r="FF9002" s="44" t="s">
        <v>55</v>
      </c>
      <c r="FJ9002" s="44" t="s">
        <v>55</v>
      </c>
    </row>
    <row r="9003" spans="153:166" x14ac:dyDescent="0.35">
      <c r="EW9003" t="s">
        <v>7248</v>
      </c>
      <c r="EX9003" t="s">
        <v>6320</v>
      </c>
      <c r="FF9003" s="44" t="s">
        <v>55</v>
      </c>
      <c r="FJ9003" s="44" t="s">
        <v>55</v>
      </c>
    </row>
    <row r="9004" spans="153:166" x14ac:dyDescent="0.35">
      <c r="EW9004" t="s">
        <v>7248</v>
      </c>
      <c r="EX9004" t="s">
        <v>6321</v>
      </c>
      <c r="FF9004" s="44" t="s">
        <v>55</v>
      </c>
      <c r="FJ9004" s="44" t="s">
        <v>55</v>
      </c>
    </row>
    <row r="9005" spans="153:166" x14ac:dyDescent="0.35">
      <c r="EW9005" t="s">
        <v>7248</v>
      </c>
      <c r="EX9005" t="s">
        <v>6322</v>
      </c>
      <c r="FF9005" s="44" t="s">
        <v>55</v>
      </c>
      <c r="FJ9005" s="44" t="s">
        <v>55</v>
      </c>
    </row>
    <row r="9006" spans="153:166" x14ac:dyDescent="0.35">
      <c r="EW9006" t="s">
        <v>7248</v>
      </c>
      <c r="EX9006" t="s">
        <v>6323</v>
      </c>
      <c r="FF9006" s="44" t="s">
        <v>55</v>
      </c>
      <c r="FJ9006" s="44" t="s">
        <v>55</v>
      </c>
    </row>
    <row r="9007" spans="153:166" x14ac:dyDescent="0.35">
      <c r="EW9007" t="s">
        <v>7248</v>
      </c>
      <c r="EX9007" t="s">
        <v>6324</v>
      </c>
      <c r="FF9007" s="44" t="s">
        <v>55</v>
      </c>
      <c r="FJ9007" s="44" t="s">
        <v>55</v>
      </c>
    </row>
    <row r="9008" spans="153:166" x14ac:dyDescent="0.35">
      <c r="EW9008" t="s">
        <v>7248</v>
      </c>
      <c r="EX9008" t="s">
        <v>6325</v>
      </c>
      <c r="FF9008" s="44" t="s">
        <v>55</v>
      </c>
      <c r="FJ9008" s="44" t="s">
        <v>55</v>
      </c>
    </row>
    <row r="9009" spans="153:166" x14ac:dyDescent="0.35">
      <c r="EW9009" t="s">
        <v>7248</v>
      </c>
      <c r="EX9009" t="s">
        <v>6326</v>
      </c>
      <c r="FF9009" s="44" t="s">
        <v>55</v>
      </c>
      <c r="FJ9009" s="44" t="s">
        <v>55</v>
      </c>
    </row>
    <row r="9010" spans="153:166" x14ac:dyDescent="0.35">
      <c r="EW9010" t="s">
        <v>7248</v>
      </c>
      <c r="EX9010" t="s">
        <v>6327</v>
      </c>
      <c r="FF9010" s="44" t="s">
        <v>55</v>
      </c>
      <c r="FJ9010" s="44" t="s">
        <v>55</v>
      </c>
    </row>
    <row r="9011" spans="153:166" x14ac:dyDescent="0.35">
      <c r="EW9011" t="s">
        <v>7248</v>
      </c>
      <c r="EX9011" t="s">
        <v>6328</v>
      </c>
      <c r="FF9011" s="44" t="s">
        <v>55</v>
      </c>
      <c r="FJ9011" s="44" t="s">
        <v>55</v>
      </c>
    </row>
    <row r="9012" spans="153:166" x14ac:dyDescent="0.35">
      <c r="EW9012" t="s">
        <v>7248</v>
      </c>
      <c r="EX9012" t="s">
        <v>6329</v>
      </c>
      <c r="FF9012" s="44" t="s">
        <v>55</v>
      </c>
      <c r="FJ9012" s="44" t="s">
        <v>55</v>
      </c>
    </row>
    <row r="9013" spans="153:166" x14ac:dyDescent="0.35">
      <c r="EW9013" t="s">
        <v>7248</v>
      </c>
      <c r="EX9013" t="s">
        <v>6330</v>
      </c>
      <c r="FF9013" s="44" t="s">
        <v>55</v>
      </c>
      <c r="FJ9013" s="44" t="s">
        <v>55</v>
      </c>
    </row>
    <row r="9014" spans="153:166" x14ac:dyDescent="0.35">
      <c r="EW9014" t="s">
        <v>7248</v>
      </c>
      <c r="EX9014" t="s">
        <v>6331</v>
      </c>
      <c r="FF9014" s="44" t="s">
        <v>55</v>
      </c>
      <c r="FJ9014" s="44" t="s">
        <v>55</v>
      </c>
    </row>
    <row r="9015" spans="153:166" x14ac:dyDescent="0.35">
      <c r="EW9015" t="s">
        <v>7248</v>
      </c>
      <c r="EX9015" t="s">
        <v>6332</v>
      </c>
      <c r="FF9015" s="44" t="s">
        <v>55</v>
      </c>
      <c r="FJ9015" s="44" t="s">
        <v>55</v>
      </c>
    </row>
    <row r="9016" spans="153:166" x14ac:dyDescent="0.35">
      <c r="EW9016" t="s">
        <v>7248</v>
      </c>
      <c r="EX9016" t="s">
        <v>6333</v>
      </c>
      <c r="FF9016" s="44" t="s">
        <v>55</v>
      </c>
      <c r="FJ9016" s="44" t="s">
        <v>55</v>
      </c>
    </row>
    <row r="9017" spans="153:166" x14ac:dyDescent="0.35">
      <c r="EW9017" t="s">
        <v>7248</v>
      </c>
      <c r="EX9017" t="s">
        <v>6334</v>
      </c>
      <c r="FF9017" s="44" t="s">
        <v>55</v>
      </c>
      <c r="FJ9017" s="44" t="s">
        <v>55</v>
      </c>
    </row>
    <row r="9018" spans="153:166" x14ac:dyDescent="0.35">
      <c r="EW9018" t="s">
        <v>7248</v>
      </c>
      <c r="EX9018" t="s">
        <v>6335</v>
      </c>
      <c r="FF9018" s="44" t="s">
        <v>55</v>
      </c>
      <c r="FJ9018" s="44" t="s">
        <v>55</v>
      </c>
    </row>
    <row r="9019" spans="153:166" x14ac:dyDescent="0.35">
      <c r="EW9019" t="s">
        <v>7248</v>
      </c>
      <c r="EX9019" t="s">
        <v>6336</v>
      </c>
      <c r="FF9019" s="44" t="s">
        <v>55</v>
      </c>
      <c r="FJ9019" s="44" t="s">
        <v>55</v>
      </c>
    </row>
    <row r="9020" spans="153:166" x14ac:dyDescent="0.35">
      <c r="EW9020" t="s">
        <v>7248</v>
      </c>
      <c r="EX9020" t="s">
        <v>6337</v>
      </c>
      <c r="FF9020" s="44" t="s">
        <v>55</v>
      </c>
      <c r="FJ9020" s="44" t="s">
        <v>55</v>
      </c>
    </row>
    <row r="9021" spans="153:166" x14ac:dyDescent="0.35">
      <c r="EW9021" t="s">
        <v>7248</v>
      </c>
      <c r="EX9021" t="s">
        <v>6338</v>
      </c>
      <c r="FF9021" s="44" t="s">
        <v>55</v>
      </c>
      <c r="FJ9021" s="44" t="s">
        <v>55</v>
      </c>
    </row>
    <row r="9022" spans="153:166" x14ac:dyDescent="0.35">
      <c r="EW9022" t="s">
        <v>7248</v>
      </c>
      <c r="EX9022" t="s">
        <v>6339</v>
      </c>
      <c r="FF9022" s="44" t="s">
        <v>55</v>
      </c>
      <c r="FJ9022" s="44" t="s">
        <v>55</v>
      </c>
    </row>
    <row r="9023" spans="153:166" x14ac:dyDescent="0.35">
      <c r="EW9023" t="s">
        <v>7248</v>
      </c>
      <c r="EX9023" t="s">
        <v>6340</v>
      </c>
      <c r="FF9023" s="44" t="s">
        <v>55</v>
      </c>
      <c r="FJ9023" s="44" t="s">
        <v>55</v>
      </c>
    </row>
    <row r="9024" spans="153:166" x14ac:dyDescent="0.35">
      <c r="EW9024" t="s">
        <v>7248</v>
      </c>
      <c r="EX9024" t="s">
        <v>6341</v>
      </c>
      <c r="FF9024" s="44" t="s">
        <v>55</v>
      </c>
      <c r="FJ9024" s="44" t="s">
        <v>55</v>
      </c>
    </row>
    <row r="9025" spans="153:166" x14ac:dyDescent="0.35">
      <c r="EW9025" t="s">
        <v>7248</v>
      </c>
      <c r="EX9025" t="s">
        <v>6342</v>
      </c>
      <c r="FF9025" s="44" t="s">
        <v>55</v>
      </c>
      <c r="FJ9025" s="44" t="s">
        <v>55</v>
      </c>
    </row>
    <row r="9026" spans="153:166" x14ac:dyDescent="0.35">
      <c r="EW9026" t="s">
        <v>7248</v>
      </c>
      <c r="EX9026" t="s">
        <v>6343</v>
      </c>
      <c r="FF9026" s="44" t="s">
        <v>55</v>
      </c>
      <c r="FJ9026" s="44" t="s">
        <v>55</v>
      </c>
    </row>
    <row r="9027" spans="153:166" x14ac:dyDescent="0.35">
      <c r="EW9027" t="s">
        <v>7248</v>
      </c>
      <c r="EX9027" t="s">
        <v>6344</v>
      </c>
      <c r="FF9027" s="44" t="s">
        <v>55</v>
      </c>
      <c r="FJ9027" s="44" t="s">
        <v>55</v>
      </c>
    </row>
    <row r="9028" spans="153:166" x14ac:dyDescent="0.35">
      <c r="EW9028" t="s">
        <v>7248</v>
      </c>
      <c r="EX9028" t="s">
        <v>6345</v>
      </c>
      <c r="FF9028" s="44" t="s">
        <v>55</v>
      </c>
      <c r="FJ9028" s="44" t="s">
        <v>55</v>
      </c>
    </row>
    <row r="9029" spans="153:166" x14ac:dyDescent="0.35">
      <c r="EW9029" t="s">
        <v>7248</v>
      </c>
      <c r="EX9029" t="s">
        <v>6346</v>
      </c>
      <c r="FF9029" s="44" t="s">
        <v>55</v>
      </c>
      <c r="FJ9029" s="44" t="s">
        <v>55</v>
      </c>
    </row>
    <row r="9030" spans="153:166" x14ac:dyDescent="0.35">
      <c r="EW9030" t="s">
        <v>7248</v>
      </c>
      <c r="EX9030" t="s">
        <v>6347</v>
      </c>
      <c r="FF9030" s="44" t="s">
        <v>55</v>
      </c>
      <c r="FJ9030" s="44" t="s">
        <v>55</v>
      </c>
    </row>
    <row r="9031" spans="153:166" x14ac:dyDescent="0.35">
      <c r="EW9031" t="s">
        <v>7248</v>
      </c>
      <c r="EX9031" t="s">
        <v>6348</v>
      </c>
      <c r="FF9031" s="44" t="s">
        <v>55</v>
      </c>
      <c r="FJ9031" s="44" t="s">
        <v>55</v>
      </c>
    </row>
    <row r="9032" spans="153:166" x14ac:dyDescent="0.35">
      <c r="EW9032" t="s">
        <v>7248</v>
      </c>
      <c r="EX9032" t="s">
        <v>6349</v>
      </c>
      <c r="FF9032" s="44" t="s">
        <v>55</v>
      </c>
      <c r="FJ9032" s="44" t="s">
        <v>55</v>
      </c>
    </row>
    <row r="9033" spans="153:166" x14ac:dyDescent="0.35">
      <c r="EW9033" t="s">
        <v>7248</v>
      </c>
      <c r="EX9033" t="s">
        <v>6350</v>
      </c>
      <c r="FF9033" s="44" t="s">
        <v>55</v>
      </c>
      <c r="FJ9033" s="44" t="s">
        <v>55</v>
      </c>
    </row>
    <row r="9034" spans="153:166" x14ac:dyDescent="0.35">
      <c r="EW9034" t="s">
        <v>7248</v>
      </c>
      <c r="EX9034" t="s">
        <v>6351</v>
      </c>
      <c r="FF9034" s="44" t="s">
        <v>55</v>
      </c>
      <c r="FJ9034" s="44" t="s">
        <v>55</v>
      </c>
    </row>
    <row r="9035" spans="153:166" x14ac:dyDescent="0.35">
      <c r="EW9035" t="s">
        <v>7248</v>
      </c>
      <c r="EX9035" t="s">
        <v>6352</v>
      </c>
      <c r="FF9035" s="44" t="s">
        <v>55</v>
      </c>
      <c r="FJ9035" s="44" t="s">
        <v>55</v>
      </c>
    </row>
    <row r="9036" spans="153:166" x14ac:dyDescent="0.35">
      <c r="EW9036" t="s">
        <v>7248</v>
      </c>
      <c r="EX9036" t="s">
        <v>6353</v>
      </c>
      <c r="FF9036" s="44" t="s">
        <v>55</v>
      </c>
      <c r="FJ9036" s="44" t="s">
        <v>55</v>
      </c>
    </row>
    <row r="9037" spans="153:166" x14ac:dyDescent="0.35">
      <c r="EW9037" t="s">
        <v>7248</v>
      </c>
      <c r="EX9037" t="s">
        <v>6354</v>
      </c>
      <c r="FF9037" s="44" t="s">
        <v>55</v>
      </c>
      <c r="FJ9037" s="44" t="s">
        <v>55</v>
      </c>
    </row>
    <row r="9038" spans="153:166" x14ac:dyDescent="0.35">
      <c r="EW9038" t="s">
        <v>7248</v>
      </c>
      <c r="EX9038" t="s">
        <v>6355</v>
      </c>
      <c r="FF9038" s="44" t="s">
        <v>55</v>
      </c>
      <c r="FJ9038" s="44" t="s">
        <v>55</v>
      </c>
    </row>
    <row r="9039" spans="153:166" x14ac:dyDescent="0.35">
      <c r="EW9039" t="s">
        <v>7248</v>
      </c>
      <c r="EX9039" t="s">
        <v>6356</v>
      </c>
      <c r="FF9039" s="44" t="s">
        <v>55</v>
      </c>
      <c r="FJ9039" s="44" t="s">
        <v>55</v>
      </c>
    </row>
    <row r="9040" spans="153:166" x14ac:dyDescent="0.35">
      <c r="EW9040" t="s">
        <v>7248</v>
      </c>
      <c r="EX9040" t="s">
        <v>6357</v>
      </c>
      <c r="FF9040" s="44" t="s">
        <v>55</v>
      </c>
      <c r="FJ9040" s="44" t="s">
        <v>55</v>
      </c>
    </row>
    <row r="9041" spans="153:166" x14ac:dyDescent="0.35">
      <c r="EW9041" t="s">
        <v>7248</v>
      </c>
      <c r="EX9041" t="s">
        <v>6358</v>
      </c>
      <c r="FF9041" s="44" t="s">
        <v>55</v>
      </c>
      <c r="FJ9041" s="44" t="s">
        <v>55</v>
      </c>
    </row>
    <row r="9042" spans="153:166" x14ac:dyDescent="0.35">
      <c r="EW9042" t="s">
        <v>7248</v>
      </c>
      <c r="EX9042" t="s">
        <v>6359</v>
      </c>
      <c r="FF9042" s="44" t="s">
        <v>55</v>
      </c>
      <c r="FJ9042" s="44" t="s">
        <v>55</v>
      </c>
    </row>
    <row r="9043" spans="153:166" x14ac:dyDescent="0.35">
      <c r="EW9043" t="s">
        <v>7248</v>
      </c>
      <c r="EX9043" t="s">
        <v>6360</v>
      </c>
      <c r="FF9043" s="44" t="s">
        <v>55</v>
      </c>
      <c r="FJ9043" s="44" t="s">
        <v>55</v>
      </c>
    </row>
    <row r="9044" spans="153:166" x14ac:dyDescent="0.35">
      <c r="EW9044" t="s">
        <v>7248</v>
      </c>
      <c r="EX9044" t="s">
        <v>6361</v>
      </c>
      <c r="FF9044" s="44" t="s">
        <v>55</v>
      </c>
      <c r="FJ9044" s="44" t="s">
        <v>55</v>
      </c>
    </row>
    <row r="9045" spans="153:166" x14ac:dyDescent="0.35">
      <c r="EW9045" t="s">
        <v>7248</v>
      </c>
      <c r="EX9045" t="s">
        <v>6362</v>
      </c>
      <c r="FF9045" s="44" t="s">
        <v>55</v>
      </c>
      <c r="FJ9045" s="44" t="s">
        <v>55</v>
      </c>
    </row>
    <row r="9046" spans="153:166" x14ac:dyDescent="0.35">
      <c r="EW9046" t="s">
        <v>7248</v>
      </c>
      <c r="EX9046" t="s">
        <v>6363</v>
      </c>
      <c r="FF9046" s="44" t="s">
        <v>55</v>
      </c>
      <c r="FJ9046" s="44" t="s">
        <v>55</v>
      </c>
    </row>
    <row r="9047" spans="153:166" x14ac:dyDescent="0.35">
      <c r="EW9047" t="s">
        <v>7248</v>
      </c>
      <c r="EX9047" t="s">
        <v>6364</v>
      </c>
      <c r="FF9047" s="44" t="s">
        <v>55</v>
      </c>
      <c r="FJ9047" s="44" t="s">
        <v>55</v>
      </c>
    </row>
    <row r="9048" spans="153:166" x14ac:dyDescent="0.35">
      <c r="EW9048" t="s">
        <v>7248</v>
      </c>
      <c r="EX9048" t="s">
        <v>6365</v>
      </c>
      <c r="FF9048" s="44" t="s">
        <v>55</v>
      </c>
      <c r="FJ9048" s="44" t="s">
        <v>55</v>
      </c>
    </row>
    <row r="9049" spans="153:166" x14ac:dyDescent="0.35">
      <c r="EW9049" t="s">
        <v>7248</v>
      </c>
      <c r="EX9049" t="s">
        <v>6366</v>
      </c>
      <c r="FF9049" s="44" t="s">
        <v>55</v>
      </c>
      <c r="FJ9049" s="44" t="s">
        <v>55</v>
      </c>
    </row>
    <row r="9050" spans="153:166" x14ac:dyDescent="0.35">
      <c r="EW9050" t="s">
        <v>7248</v>
      </c>
      <c r="EX9050" t="s">
        <v>6367</v>
      </c>
      <c r="FF9050" s="44" t="s">
        <v>55</v>
      </c>
      <c r="FJ9050" s="44" t="s">
        <v>55</v>
      </c>
    </row>
    <row r="9051" spans="153:166" x14ac:dyDescent="0.35">
      <c r="EW9051" t="s">
        <v>7248</v>
      </c>
      <c r="EX9051" t="s">
        <v>6368</v>
      </c>
      <c r="FF9051" s="44" t="s">
        <v>55</v>
      </c>
      <c r="FJ9051" s="44" t="s">
        <v>55</v>
      </c>
    </row>
    <row r="9052" spans="153:166" x14ac:dyDescent="0.35">
      <c r="EW9052" t="s">
        <v>7248</v>
      </c>
      <c r="EX9052" t="s">
        <v>6369</v>
      </c>
      <c r="FF9052" s="44" t="s">
        <v>55</v>
      </c>
      <c r="FJ9052" s="44" t="s">
        <v>55</v>
      </c>
    </row>
    <row r="9053" spans="153:166" x14ac:dyDescent="0.35">
      <c r="EW9053" t="s">
        <v>7248</v>
      </c>
      <c r="EX9053" t="s">
        <v>6370</v>
      </c>
      <c r="FF9053" s="44" t="s">
        <v>55</v>
      </c>
      <c r="FJ9053" s="44" t="s">
        <v>55</v>
      </c>
    </row>
    <row r="9054" spans="153:166" x14ac:dyDescent="0.35">
      <c r="EW9054" t="s">
        <v>7248</v>
      </c>
      <c r="EX9054" t="s">
        <v>6371</v>
      </c>
      <c r="FF9054" s="44" t="s">
        <v>55</v>
      </c>
      <c r="FJ9054" s="44" t="s">
        <v>55</v>
      </c>
    </row>
    <row r="9055" spans="153:166" x14ac:dyDescent="0.35">
      <c r="EW9055" t="s">
        <v>7248</v>
      </c>
      <c r="EX9055" t="s">
        <v>6372</v>
      </c>
      <c r="FF9055" s="44" t="s">
        <v>55</v>
      </c>
      <c r="FJ9055" s="44" t="s">
        <v>55</v>
      </c>
    </row>
    <row r="9056" spans="153:166" x14ac:dyDescent="0.35">
      <c r="EW9056" t="s">
        <v>7248</v>
      </c>
      <c r="EX9056" t="s">
        <v>6373</v>
      </c>
      <c r="FF9056" s="44" t="s">
        <v>55</v>
      </c>
      <c r="FJ9056" s="44" t="s">
        <v>55</v>
      </c>
    </row>
    <row r="9057" spans="153:166" x14ac:dyDescent="0.35">
      <c r="EW9057" t="s">
        <v>7248</v>
      </c>
      <c r="EX9057" t="s">
        <v>6374</v>
      </c>
      <c r="FF9057" s="44" t="s">
        <v>55</v>
      </c>
      <c r="FJ9057" s="44" t="s">
        <v>55</v>
      </c>
    </row>
    <row r="9058" spans="153:166" x14ac:dyDescent="0.35">
      <c r="EW9058" t="s">
        <v>7248</v>
      </c>
      <c r="EX9058" t="s">
        <v>6375</v>
      </c>
      <c r="FF9058" s="44" t="s">
        <v>55</v>
      </c>
      <c r="FJ9058" s="44" t="s">
        <v>55</v>
      </c>
    </row>
    <row r="9059" spans="153:166" x14ac:dyDescent="0.35">
      <c r="EW9059" t="s">
        <v>7248</v>
      </c>
      <c r="EX9059" t="s">
        <v>6376</v>
      </c>
      <c r="FF9059" s="44" t="s">
        <v>55</v>
      </c>
      <c r="FJ9059" s="44" t="s">
        <v>55</v>
      </c>
    </row>
    <row r="9060" spans="153:166" x14ac:dyDescent="0.35">
      <c r="EW9060" t="s">
        <v>7248</v>
      </c>
      <c r="EX9060" t="s">
        <v>6376</v>
      </c>
      <c r="FF9060" s="44" t="s">
        <v>55</v>
      </c>
      <c r="FJ9060" s="44" t="s">
        <v>55</v>
      </c>
    </row>
    <row r="9061" spans="153:166" x14ac:dyDescent="0.35">
      <c r="EW9061" t="s">
        <v>7248</v>
      </c>
      <c r="EX9061" t="s">
        <v>6377</v>
      </c>
      <c r="FF9061" s="44" t="s">
        <v>55</v>
      </c>
      <c r="FJ9061" s="44" t="s">
        <v>55</v>
      </c>
    </row>
    <row r="9062" spans="153:166" x14ac:dyDescent="0.35">
      <c r="EW9062" t="s">
        <v>7248</v>
      </c>
      <c r="EX9062" t="s">
        <v>6378</v>
      </c>
      <c r="FF9062" s="44" t="s">
        <v>55</v>
      </c>
      <c r="FJ9062" s="44" t="s">
        <v>55</v>
      </c>
    </row>
    <row r="9063" spans="153:166" x14ac:dyDescent="0.35">
      <c r="EW9063" t="s">
        <v>7248</v>
      </c>
      <c r="EX9063" t="s">
        <v>6379</v>
      </c>
      <c r="FF9063" s="44" t="s">
        <v>55</v>
      </c>
      <c r="FJ9063" s="44" t="s">
        <v>55</v>
      </c>
    </row>
    <row r="9064" spans="153:166" x14ac:dyDescent="0.35">
      <c r="EW9064" t="s">
        <v>7248</v>
      </c>
      <c r="EX9064" t="s">
        <v>6380</v>
      </c>
      <c r="FF9064" s="44" t="s">
        <v>55</v>
      </c>
      <c r="FJ9064" s="44" t="s">
        <v>55</v>
      </c>
    </row>
    <row r="9065" spans="153:166" x14ac:dyDescent="0.35">
      <c r="EW9065" t="s">
        <v>7248</v>
      </c>
      <c r="EX9065" t="s">
        <v>6381</v>
      </c>
      <c r="FF9065" s="44" t="s">
        <v>55</v>
      </c>
      <c r="FJ9065" s="44" t="s">
        <v>55</v>
      </c>
    </row>
    <row r="9066" spans="153:166" x14ac:dyDescent="0.35">
      <c r="EW9066" t="s">
        <v>7248</v>
      </c>
      <c r="EX9066" t="s">
        <v>6382</v>
      </c>
      <c r="FF9066" s="44" t="s">
        <v>55</v>
      </c>
      <c r="FJ9066" s="44" t="s">
        <v>55</v>
      </c>
    </row>
    <row r="9067" spans="153:166" x14ac:dyDescent="0.35">
      <c r="EW9067" t="s">
        <v>7248</v>
      </c>
      <c r="EX9067" t="s">
        <v>6383</v>
      </c>
      <c r="FF9067" s="44" t="s">
        <v>55</v>
      </c>
      <c r="FJ9067" s="44" t="s">
        <v>55</v>
      </c>
    </row>
    <row r="9068" spans="153:166" x14ac:dyDescent="0.35">
      <c r="EW9068" t="s">
        <v>7248</v>
      </c>
      <c r="EX9068" t="s">
        <v>6384</v>
      </c>
      <c r="FF9068" s="44" t="s">
        <v>55</v>
      </c>
      <c r="FJ9068" s="44" t="s">
        <v>55</v>
      </c>
    </row>
    <row r="9069" spans="153:166" x14ac:dyDescent="0.35">
      <c r="EW9069" t="s">
        <v>7248</v>
      </c>
      <c r="EX9069" t="s">
        <v>6385</v>
      </c>
      <c r="FF9069" s="44" t="s">
        <v>55</v>
      </c>
      <c r="FJ9069" s="44" t="s">
        <v>55</v>
      </c>
    </row>
    <row r="9070" spans="153:166" x14ac:dyDescent="0.35">
      <c r="EW9070" t="s">
        <v>7248</v>
      </c>
      <c r="EX9070" t="s">
        <v>6386</v>
      </c>
      <c r="FF9070" s="44" t="s">
        <v>59</v>
      </c>
      <c r="FJ9070" s="44" t="s">
        <v>59</v>
      </c>
    </row>
    <row r="9071" spans="153:166" x14ac:dyDescent="0.35">
      <c r="EW9071" t="s">
        <v>7248</v>
      </c>
      <c r="EX9071" t="s">
        <v>6387</v>
      </c>
      <c r="FF9071" s="44" t="s">
        <v>59</v>
      </c>
      <c r="FJ9071" s="44" t="s">
        <v>59</v>
      </c>
    </row>
    <row r="9072" spans="153:166" x14ac:dyDescent="0.35">
      <c r="EW9072" t="s">
        <v>7248</v>
      </c>
      <c r="EX9072" t="s">
        <v>6388</v>
      </c>
      <c r="FF9072" s="44" t="s">
        <v>59</v>
      </c>
      <c r="FJ9072" s="44" t="s">
        <v>59</v>
      </c>
    </row>
    <row r="9073" spans="153:166" x14ac:dyDescent="0.35">
      <c r="EW9073" t="s">
        <v>7248</v>
      </c>
      <c r="EX9073" t="s">
        <v>6389</v>
      </c>
      <c r="FF9073" s="44" t="s">
        <v>59</v>
      </c>
      <c r="FJ9073" s="44" t="s">
        <v>59</v>
      </c>
    </row>
    <row r="9074" spans="153:166" x14ac:dyDescent="0.35">
      <c r="EW9074" t="s">
        <v>7248</v>
      </c>
      <c r="EX9074" t="s">
        <v>6390</v>
      </c>
      <c r="FF9074" s="44" t="s">
        <v>59</v>
      </c>
      <c r="FJ9074" s="44" t="s">
        <v>59</v>
      </c>
    </row>
    <row r="9075" spans="153:166" x14ac:dyDescent="0.35">
      <c r="EW9075" t="s">
        <v>7248</v>
      </c>
      <c r="EX9075" t="s">
        <v>6391</v>
      </c>
      <c r="FF9075" s="44" t="s">
        <v>59</v>
      </c>
      <c r="FJ9075" s="44" t="s">
        <v>59</v>
      </c>
    </row>
    <row r="9076" spans="153:166" x14ac:dyDescent="0.35">
      <c r="EW9076" t="s">
        <v>7248</v>
      </c>
      <c r="EX9076" t="s">
        <v>6392</v>
      </c>
      <c r="FF9076" s="44" t="s">
        <v>59</v>
      </c>
      <c r="FJ9076" s="44" t="s">
        <v>59</v>
      </c>
    </row>
    <row r="9077" spans="153:166" x14ac:dyDescent="0.35">
      <c r="EW9077" t="s">
        <v>7248</v>
      </c>
      <c r="EX9077" t="s">
        <v>6393</v>
      </c>
      <c r="FF9077" s="44" t="s">
        <v>59</v>
      </c>
      <c r="FJ9077" s="44" t="s">
        <v>59</v>
      </c>
    </row>
    <row r="9078" spans="153:166" x14ac:dyDescent="0.35">
      <c r="EW9078" t="s">
        <v>7248</v>
      </c>
      <c r="EX9078" t="s">
        <v>6394</v>
      </c>
      <c r="FF9078" s="44" t="s">
        <v>59</v>
      </c>
      <c r="FJ9078" s="44" t="s">
        <v>59</v>
      </c>
    </row>
    <row r="9079" spans="153:166" x14ac:dyDescent="0.35">
      <c r="EW9079" t="s">
        <v>7248</v>
      </c>
      <c r="EX9079" t="s">
        <v>6395</v>
      </c>
      <c r="FF9079" s="44" t="s">
        <v>59</v>
      </c>
      <c r="FJ9079" s="44" t="s">
        <v>59</v>
      </c>
    </row>
    <row r="9080" spans="153:166" x14ac:dyDescent="0.35">
      <c r="EW9080" t="s">
        <v>7248</v>
      </c>
      <c r="EX9080" t="s">
        <v>6396</v>
      </c>
      <c r="FF9080" s="44" t="s">
        <v>59</v>
      </c>
      <c r="FJ9080" s="44" t="s">
        <v>59</v>
      </c>
    </row>
    <row r="9081" spans="153:166" x14ac:dyDescent="0.35">
      <c r="EW9081" t="s">
        <v>7248</v>
      </c>
      <c r="EX9081" t="s">
        <v>6397</v>
      </c>
      <c r="FF9081" s="44" t="s">
        <v>59</v>
      </c>
      <c r="FJ9081" s="44" t="s">
        <v>59</v>
      </c>
    </row>
    <row r="9082" spans="153:166" x14ac:dyDescent="0.35">
      <c r="EW9082" t="s">
        <v>7248</v>
      </c>
      <c r="EX9082" t="s">
        <v>6398</v>
      </c>
      <c r="FF9082" s="44" t="s">
        <v>59</v>
      </c>
      <c r="FJ9082" s="44" t="s">
        <v>59</v>
      </c>
    </row>
    <row r="9083" spans="153:166" x14ac:dyDescent="0.35">
      <c r="EW9083" t="s">
        <v>7248</v>
      </c>
      <c r="EX9083" t="s">
        <v>6399</v>
      </c>
      <c r="FF9083" s="44" t="s">
        <v>59</v>
      </c>
      <c r="FJ9083" s="44" t="s">
        <v>59</v>
      </c>
    </row>
    <row r="9084" spans="153:166" x14ac:dyDescent="0.35">
      <c r="EW9084" t="s">
        <v>7248</v>
      </c>
      <c r="EX9084" t="s">
        <v>6400</v>
      </c>
      <c r="FF9084" s="44" t="s">
        <v>59</v>
      </c>
      <c r="FJ9084" s="44" t="s">
        <v>59</v>
      </c>
    </row>
    <row r="9085" spans="153:166" x14ac:dyDescent="0.35">
      <c r="EW9085" t="s">
        <v>7248</v>
      </c>
      <c r="EX9085" t="s">
        <v>6401</v>
      </c>
      <c r="FF9085" s="44" t="s">
        <v>59</v>
      </c>
      <c r="FJ9085" s="44" t="s">
        <v>59</v>
      </c>
    </row>
    <row r="9086" spans="153:166" x14ac:dyDescent="0.35">
      <c r="EW9086" t="s">
        <v>7248</v>
      </c>
      <c r="EX9086" t="s">
        <v>6402</v>
      </c>
      <c r="FF9086" s="44" t="s">
        <v>59</v>
      </c>
      <c r="FJ9086" s="44" t="s">
        <v>59</v>
      </c>
    </row>
    <row r="9087" spans="153:166" x14ac:dyDescent="0.35">
      <c r="EW9087" t="s">
        <v>7248</v>
      </c>
      <c r="EX9087" t="s">
        <v>6403</v>
      </c>
      <c r="FF9087" s="44" t="s">
        <v>59</v>
      </c>
      <c r="FJ9087" s="44" t="s">
        <v>59</v>
      </c>
    </row>
    <row r="9088" spans="153:166" x14ac:dyDescent="0.35">
      <c r="EW9088" t="s">
        <v>7248</v>
      </c>
      <c r="EX9088" t="s">
        <v>6404</v>
      </c>
      <c r="FF9088" s="44" t="s">
        <v>59</v>
      </c>
      <c r="FJ9088" s="44" t="s">
        <v>59</v>
      </c>
    </row>
    <row r="9089" spans="153:166" x14ac:dyDescent="0.35">
      <c r="EW9089" t="s">
        <v>7248</v>
      </c>
      <c r="EX9089" t="s">
        <v>6405</v>
      </c>
      <c r="FF9089" s="44" t="s">
        <v>59</v>
      </c>
      <c r="FJ9089" s="44" t="s">
        <v>59</v>
      </c>
    </row>
    <row r="9090" spans="153:166" x14ac:dyDescent="0.35">
      <c r="EW9090" t="s">
        <v>7248</v>
      </c>
      <c r="EX9090" t="s">
        <v>6406</v>
      </c>
      <c r="FF9090" s="44" t="s">
        <v>59</v>
      </c>
      <c r="FJ9090" s="44" t="s">
        <v>59</v>
      </c>
    </row>
    <row r="9091" spans="153:166" x14ac:dyDescent="0.35">
      <c r="EW9091" t="s">
        <v>7248</v>
      </c>
      <c r="EX9091" t="s">
        <v>6407</v>
      </c>
      <c r="FF9091" s="44" t="s">
        <v>59</v>
      </c>
      <c r="FJ9091" s="44" t="s">
        <v>59</v>
      </c>
    </row>
    <row r="9092" spans="153:166" x14ac:dyDescent="0.35">
      <c r="EW9092" t="s">
        <v>7248</v>
      </c>
      <c r="EX9092" t="s">
        <v>6408</v>
      </c>
      <c r="FF9092" s="44" t="s">
        <v>59</v>
      </c>
      <c r="FJ9092" s="44" t="s">
        <v>59</v>
      </c>
    </row>
    <row r="9093" spans="153:166" x14ac:dyDescent="0.35">
      <c r="EW9093" t="s">
        <v>7248</v>
      </c>
      <c r="EX9093" t="s">
        <v>6409</v>
      </c>
      <c r="FF9093" s="44" t="s">
        <v>59</v>
      </c>
      <c r="FJ9093" s="44" t="s">
        <v>59</v>
      </c>
    </row>
    <row r="9094" spans="153:166" x14ac:dyDescent="0.35">
      <c r="EW9094" t="s">
        <v>7248</v>
      </c>
      <c r="EX9094" t="s">
        <v>6410</v>
      </c>
      <c r="FF9094" s="44" t="s">
        <v>59</v>
      </c>
      <c r="FJ9094" s="44" t="s">
        <v>59</v>
      </c>
    </row>
    <row r="9095" spans="153:166" x14ac:dyDescent="0.35">
      <c r="EW9095" t="s">
        <v>7248</v>
      </c>
      <c r="EX9095" t="s">
        <v>6411</v>
      </c>
      <c r="FF9095" s="44" t="s">
        <v>59</v>
      </c>
      <c r="FJ9095" s="44" t="s">
        <v>59</v>
      </c>
    </row>
    <row r="9096" spans="153:166" x14ac:dyDescent="0.35">
      <c r="EW9096" t="s">
        <v>7248</v>
      </c>
      <c r="EX9096" t="s">
        <v>6412</v>
      </c>
      <c r="FF9096" s="44" t="s">
        <v>59</v>
      </c>
      <c r="FJ9096" s="44" t="s">
        <v>59</v>
      </c>
    </row>
    <row r="9097" spans="153:166" x14ac:dyDescent="0.35">
      <c r="EW9097" t="s">
        <v>7248</v>
      </c>
      <c r="EX9097" t="s">
        <v>6413</v>
      </c>
      <c r="FF9097" s="44" t="s">
        <v>59</v>
      </c>
      <c r="FJ9097" s="44" t="s">
        <v>59</v>
      </c>
    </row>
    <row r="9098" spans="153:166" x14ac:dyDescent="0.35">
      <c r="EW9098" t="s">
        <v>7248</v>
      </c>
      <c r="EX9098" t="s">
        <v>6414</v>
      </c>
      <c r="FF9098" s="44" t="s">
        <v>59</v>
      </c>
      <c r="FJ9098" s="44" t="s">
        <v>59</v>
      </c>
    </row>
    <row r="9099" spans="153:166" x14ac:dyDescent="0.35">
      <c r="EW9099" t="s">
        <v>7248</v>
      </c>
      <c r="EX9099" t="s">
        <v>6415</v>
      </c>
      <c r="FF9099" s="44" t="s">
        <v>59</v>
      </c>
      <c r="FJ9099" s="44" t="s">
        <v>59</v>
      </c>
    </row>
    <row r="9100" spans="153:166" x14ac:dyDescent="0.35">
      <c r="EW9100" t="s">
        <v>7248</v>
      </c>
      <c r="EX9100" t="s">
        <v>6416</v>
      </c>
      <c r="FF9100" s="44" t="s">
        <v>59</v>
      </c>
      <c r="FJ9100" s="44" t="s">
        <v>59</v>
      </c>
    </row>
    <row r="9101" spans="153:166" x14ac:dyDescent="0.35">
      <c r="EW9101" t="s">
        <v>7248</v>
      </c>
      <c r="EX9101" t="s">
        <v>6417</v>
      </c>
      <c r="FF9101" s="44" t="s">
        <v>59</v>
      </c>
      <c r="FJ9101" s="44" t="s">
        <v>59</v>
      </c>
    </row>
    <row r="9102" spans="153:166" x14ac:dyDescent="0.35">
      <c r="EW9102" t="s">
        <v>7248</v>
      </c>
      <c r="EX9102" t="s">
        <v>6418</v>
      </c>
      <c r="FF9102" s="44" t="s">
        <v>59</v>
      </c>
      <c r="FJ9102" s="44" t="s">
        <v>59</v>
      </c>
    </row>
    <row r="9103" spans="153:166" x14ac:dyDescent="0.35">
      <c r="EW9103" t="s">
        <v>7248</v>
      </c>
      <c r="EX9103" t="s">
        <v>6419</v>
      </c>
      <c r="FF9103" s="44" t="s">
        <v>59</v>
      </c>
      <c r="FJ9103" s="44" t="s">
        <v>59</v>
      </c>
    </row>
    <row r="9104" spans="153:166" x14ac:dyDescent="0.35">
      <c r="EW9104" t="s">
        <v>7248</v>
      </c>
      <c r="EX9104" t="s">
        <v>6420</v>
      </c>
      <c r="FF9104" s="44" t="s">
        <v>59</v>
      </c>
      <c r="FJ9104" s="44" t="s">
        <v>59</v>
      </c>
    </row>
    <row r="9105" spans="153:166" x14ac:dyDescent="0.35">
      <c r="EW9105" t="s">
        <v>7248</v>
      </c>
      <c r="EX9105" t="s">
        <v>6421</v>
      </c>
      <c r="FF9105" s="44" t="s">
        <v>59</v>
      </c>
      <c r="FJ9105" s="44" t="s">
        <v>59</v>
      </c>
    </row>
    <row r="9106" spans="153:166" x14ac:dyDescent="0.35">
      <c r="EW9106" t="s">
        <v>7248</v>
      </c>
      <c r="EX9106" t="s">
        <v>6422</v>
      </c>
      <c r="FF9106" s="44" t="s">
        <v>59</v>
      </c>
      <c r="FJ9106" s="44" t="s">
        <v>59</v>
      </c>
    </row>
    <row r="9107" spans="153:166" x14ac:dyDescent="0.35">
      <c r="EW9107" t="s">
        <v>7248</v>
      </c>
      <c r="EX9107" t="s">
        <v>6423</v>
      </c>
      <c r="FF9107" s="44" t="s">
        <v>59</v>
      </c>
      <c r="FJ9107" s="44" t="s">
        <v>59</v>
      </c>
    </row>
    <row r="9108" spans="153:166" x14ac:dyDescent="0.35">
      <c r="EW9108" t="s">
        <v>7248</v>
      </c>
      <c r="EX9108" t="s">
        <v>6424</v>
      </c>
      <c r="FF9108" s="44" t="s">
        <v>59</v>
      </c>
      <c r="FJ9108" s="44" t="s">
        <v>59</v>
      </c>
    </row>
    <row r="9109" spans="153:166" x14ac:dyDescent="0.35">
      <c r="EW9109" t="s">
        <v>7248</v>
      </c>
      <c r="EX9109" t="s">
        <v>6425</v>
      </c>
      <c r="FF9109" s="44" t="s">
        <v>59</v>
      </c>
      <c r="FJ9109" s="44" t="s">
        <v>59</v>
      </c>
    </row>
    <row r="9110" spans="153:166" x14ac:dyDescent="0.35">
      <c r="EW9110" t="s">
        <v>7248</v>
      </c>
      <c r="EX9110" t="s">
        <v>6426</v>
      </c>
      <c r="FF9110" s="44" t="s">
        <v>59</v>
      </c>
      <c r="FJ9110" s="44" t="s">
        <v>59</v>
      </c>
    </row>
    <row r="9111" spans="153:166" x14ac:dyDescent="0.35">
      <c r="EW9111" t="s">
        <v>7248</v>
      </c>
      <c r="EX9111" t="s">
        <v>6280</v>
      </c>
      <c r="FF9111" s="44" t="s">
        <v>59</v>
      </c>
      <c r="FJ9111" s="44" t="s">
        <v>59</v>
      </c>
    </row>
    <row r="9112" spans="153:166" x14ac:dyDescent="0.35">
      <c r="EW9112" t="s">
        <v>7248</v>
      </c>
      <c r="EX9112" t="s">
        <v>6427</v>
      </c>
      <c r="FF9112" s="44" t="s">
        <v>59</v>
      </c>
      <c r="FJ9112" s="44" t="s">
        <v>59</v>
      </c>
    </row>
    <row r="9113" spans="153:166" x14ac:dyDescent="0.35">
      <c r="EW9113" t="s">
        <v>7248</v>
      </c>
      <c r="EX9113" t="s">
        <v>6428</v>
      </c>
      <c r="FF9113" s="44" t="s">
        <v>59</v>
      </c>
      <c r="FJ9113" s="44" t="s">
        <v>59</v>
      </c>
    </row>
    <row r="9114" spans="153:166" x14ac:dyDescent="0.35">
      <c r="EW9114" t="s">
        <v>7248</v>
      </c>
      <c r="EX9114" t="s">
        <v>6429</v>
      </c>
      <c r="FF9114" s="44" t="s">
        <v>59</v>
      </c>
      <c r="FJ9114" s="44" t="s">
        <v>59</v>
      </c>
    </row>
    <row r="9115" spans="153:166" x14ac:dyDescent="0.35">
      <c r="EW9115" t="s">
        <v>7248</v>
      </c>
      <c r="EX9115" t="s">
        <v>6430</v>
      </c>
      <c r="FF9115" s="44" t="s">
        <v>59</v>
      </c>
      <c r="FJ9115" s="44" t="s">
        <v>59</v>
      </c>
    </row>
    <row r="9116" spans="153:166" x14ac:dyDescent="0.35">
      <c r="EW9116" t="s">
        <v>7248</v>
      </c>
      <c r="EX9116" t="s">
        <v>6431</v>
      </c>
      <c r="FF9116" s="44" t="s">
        <v>59</v>
      </c>
      <c r="FJ9116" s="44" t="s">
        <v>59</v>
      </c>
    </row>
    <row r="9117" spans="153:166" x14ac:dyDescent="0.35">
      <c r="EW9117" t="s">
        <v>7248</v>
      </c>
      <c r="EX9117" t="s">
        <v>6432</v>
      </c>
      <c r="FF9117" s="44" t="s">
        <v>474</v>
      </c>
      <c r="FJ9117" s="44" t="s">
        <v>474</v>
      </c>
    </row>
    <row r="9118" spans="153:166" x14ac:dyDescent="0.35">
      <c r="EW9118" t="s">
        <v>7248</v>
      </c>
      <c r="EX9118" t="s">
        <v>6433</v>
      </c>
      <c r="FF9118" s="44" t="s">
        <v>474</v>
      </c>
      <c r="FJ9118" s="44" t="s">
        <v>474</v>
      </c>
    </row>
    <row r="9119" spans="153:166" x14ac:dyDescent="0.35">
      <c r="EW9119" t="s">
        <v>7248</v>
      </c>
      <c r="EX9119" t="s">
        <v>6434</v>
      </c>
      <c r="FF9119" s="44" t="s">
        <v>474</v>
      </c>
      <c r="FJ9119" s="44" t="s">
        <v>474</v>
      </c>
    </row>
    <row r="9120" spans="153:166" x14ac:dyDescent="0.35">
      <c r="EW9120" t="s">
        <v>7248</v>
      </c>
      <c r="EX9120" t="s">
        <v>6435</v>
      </c>
      <c r="FF9120" s="44" t="s">
        <v>474</v>
      </c>
      <c r="FJ9120" s="44" t="s">
        <v>474</v>
      </c>
    </row>
    <row r="9121" spans="153:166" x14ac:dyDescent="0.35">
      <c r="EW9121" t="s">
        <v>7248</v>
      </c>
      <c r="EX9121" t="s">
        <v>6436</v>
      </c>
      <c r="FF9121" s="44" t="s">
        <v>474</v>
      </c>
      <c r="FJ9121" s="44" t="s">
        <v>474</v>
      </c>
    </row>
    <row r="9122" spans="153:166" x14ac:dyDescent="0.35">
      <c r="EW9122" t="s">
        <v>7248</v>
      </c>
      <c r="EX9122" t="s">
        <v>6437</v>
      </c>
      <c r="FF9122" s="44" t="s">
        <v>474</v>
      </c>
      <c r="FJ9122" s="44" t="s">
        <v>474</v>
      </c>
    </row>
    <row r="9123" spans="153:166" x14ac:dyDescent="0.35">
      <c r="EW9123" t="s">
        <v>7248</v>
      </c>
      <c r="EX9123" t="s">
        <v>6438</v>
      </c>
      <c r="FF9123" s="44" t="s">
        <v>474</v>
      </c>
      <c r="FJ9123" s="44" t="s">
        <v>474</v>
      </c>
    </row>
    <row r="9124" spans="153:166" x14ac:dyDescent="0.35">
      <c r="EW9124" t="s">
        <v>7248</v>
      </c>
      <c r="EX9124" t="s">
        <v>6439</v>
      </c>
      <c r="FF9124" s="44" t="s">
        <v>474</v>
      </c>
      <c r="FJ9124" s="44" t="s">
        <v>474</v>
      </c>
    </row>
    <row r="9125" spans="153:166" x14ac:dyDescent="0.35">
      <c r="EW9125" t="s">
        <v>7248</v>
      </c>
      <c r="EX9125" t="s">
        <v>6440</v>
      </c>
      <c r="FF9125" s="44" t="s">
        <v>474</v>
      </c>
      <c r="FJ9125" s="44" t="s">
        <v>474</v>
      </c>
    </row>
    <row r="9126" spans="153:166" x14ac:dyDescent="0.35">
      <c r="EW9126" t="s">
        <v>7248</v>
      </c>
      <c r="EX9126" t="s">
        <v>6441</v>
      </c>
      <c r="FF9126" s="44" t="s">
        <v>474</v>
      </c>
      <c r="FJ9126" s="44" t="s">
        <v>474</v>
      </c>
    </row>
    <row r="9127" spans="153:166" x14ac:dyDescent="0.35">
      <c r="EW9127" t="s">
        <v>7248</v>
      </c>
      <c r="EX9127" t="s">
        <v>6442</v>
      </c>
      <c r="FF9127" s="44" t="s">
        <v>474</v>
      </c>
      <c r="FJ9127" s="44" t="s">
        <v>474</v>
      </c>
    </row>
    <row r="9128" spans="153:166" x14ac:dyDescent="0.35">
      <c r="EW9128" t="s">
        <v>7248</v>
      </c>
      <c r="EX9128" t="s">
        <v>6443</v>
      </c>
      <c r="FF9128" s="44" t="s">
        <v>474</v>
      </c>
      <c r="FJ9128" s="44" t="s">
        <v>474</v>
      </c>
    </row>
    <row r="9129" spans="153:166" x14ac:dyDescent="0.35">
      <c r="EW9129" t="s">
        <v>7248</v>
      </c>
      <c r="EX9129" t="s">
        <v>6444</v>
      </c>
      <c r="FF9129" s="44" t="s">
        <v>474</v>
      </c>
      <c r="FJ9129" s="44" t="s">
        <v>474</v>
      </c>
    </row>
    <row r="9130" spans="153:166" x14ac:dyDescent="0.35">
      <c r="EW9130" t="s">
        <v>7248</v>
      </c>
      <c r="EX9130" t="s">
        <v>6445</v>
      </c>
      <c r="FF9130" s="44" t="s">
        <v>474</v>
      </c>
      <c r="FJ9130" s="44" t="s">
        <v>474</v>
      </c>
    </row>
    <row r="9131" spans="153:166" x14ac:dyDescent="0.35">
      <c r="EW9131" t="s">
        <v>7248</v>
      </c>
      <c r="EX9131" t="s">
        <v>6446</v>
      </c>
      <c r="FF9131" s="44" t="s">
        <v>474</v>
      </c>
      <c r="FJ9131" s="44" t="s">
        <v>474</v>
      </c>
    </row>
    <row r="9132" spans="153:166" x14ac:dyDescent="0.35">
      <c r="EW9132" t="s">
        <v>7248</v>
      </c>
      <c r="EX9132" t="s">
        <v>6447</v>
      </c>
      <c r="FF9132" s="44" t="s">
        <v>474</v>
      </c>
      <c r="FJ9132" s="44" t="s">
        <v>474</v>
      </c>
    </row>
    <row r="9133" spans="153:166" x14ac:dyDescent="0.35">
      <c r="EW9133" t="s">
        <v>7248</v>
      </c>
      <c r="EX9133" t="s">
        <v>6448</v>
      </c>
      <c r="FF9133" s="44" t="s">
        <v>474</v>
      </c>
      <c r="FJ9133" s="44" t="s">
        <v>474</v>
      </c>
    </row>
    <row r="9134" spans="153:166" x14ac:dyDescent="0.35">
      <c r="EW9134" t="s">
        <v>7248</v>
      </c>
      <c r="EX9134" t="s">
        <v>6449</v>
      </c>
      <c r="FF9134" s="44" t="s">
        <v>474</v>
      </c>
      <c r="FJ9134" s="44" t="s">
        <v>474</v>
      </c>
    </row>
    <row r="9135" spans="153:166" x14ac:dyDescent="0.35">
      <c r="EW9135" t="s">
        <v>7248</v>
      </c>
      <c r="EX9135" t="s">
        <v>6450</v>
      </c>
      <c r="FF9135" s="44" t="s">
        <v>474</v>
      </c>
      <c r="FJ9135" s="44" t="s">
        <v>474</v>
      </c>
    </row>
    <row r="9136" spans="153:166" x14ac:dyDescent="0.35">
      <c r="EW9136" t="s">
        <v>7248</v>
      </c>
      <c r="EX9136" t="s">
        <v>6451</v>
      </c>
      <c r="FF9136" s="44" t="s">
        <v>474</v>
      </c>
      <c r="FJ9136" s="44" t="s">
        <v>474</v>
      </c>
    </row>
    <row r="9137" spans="153:166" x14ac:dyDescent="0.35">
      <c r="EW9137" t="s">
        <v>7248</v>
      </c>
      <c r="EX9137" t="s">
        <v>6452</v>
      </c>
      <c r="FF9137" s="44" t="s">
        <v>474</v>
      </c>
      <c r="FJ9137" s="44" t="s">
        <v>474</v>
      </c>
    </row>
    <row r="9138" spans="153:166" x14ac:dyDescent="0.35">
      <c r="EW9138" t="s">
        <v>7248</v>
      </c>
      <c r="EX9138" t="s">
        <v>6453</v>
      </c>
      <c r="FF9138" s="44" t="s">
        <v>474</v>
      </c>
      <c r="FJ9138" s="44" t="s">
        <v>474</v>
      </c>
    </row>
    <row r="9139" spans="153:166" x14ac:dyDescent="0.35">
      <c r="EW9139" t="s">
        <v>7248</v>
      </c>
      <c r="EX9139" t="s">
        <v>6454</v>
      </c>
      <c r="FF9139" s="44" t="s">
        <v>474</v>
      </c>
      <c r="FJ9139" s="44" t="s">
        <v>474</v>
      </c>
    </row>
    <row r="9140" spans="153:166" x14ac:dyDescent="0.35">
      <c r="EW9140" t="s">
        <v>7248</v>
      </c>
      <c r="EX9140" t="s">
        <v>6455</v>
      </c>
      <c r="FF9140" s="44" t="s">
        <v>474</v>
      </c>
      <c r="FJ9140" s="44" t="s">
        <v>474</v>
      </c>
    </row>
    <row r="9141" spans="153:166" x14ac:dyDescent="0.35">
      <c r="EW9141" t="s">
        <v>7248</v>
      </c>
      <c r="EX9141" t="s">
        <v>6456</v>
      </c>
      <c r="FF9141" s="44" t="s">
        <v>474</v>
      </c>
      <c r="FJ9141" s="44" t="s">
        <v>474</v>
      </c>
    </row>
    <row r="9142" spans="153:166" x14ac:dyDescent="0.35">
      <c r="EW9142" t="s">
        <v>7248</v>
      </c>
      <c r="EX9142" t="s">
        <v>6457</v>
      </c>
      <c r="FF9142" s="44" t="s">
        <v>474</v>
      </c>
      <c r="FJ9142" s="44" t="s">
        <v>474</v>
      </c>
    </row>
    <row r="9143" spans="153:166" x14ac:dyDescent="0.35">
      <c r="EW9143" t="s">
        <v>7248</v>
      </c>
      <c r="EX9143" t="s">
        <v>6458</v>
      </c>
      <c r="FF9143" s="44" t="s">
        <v>474</v>
      </c>
      <c r="FJ9143" s="44" t="s">
        <v>474</v>
      </c>
    </row>
    <row r="9144" spans="153:166" x14ac:dyDescent="0.35">
      <c r="EW9144" t="s">
        <v>7248</v>
      </c>
      <c r="EX9144" t="s">
        <v>6459</v>
      </c>
      <c r="FF9144" s="44" t="s">
        <v>474</v>
      </c>
      <c r="FJ9144" s="44" t="s">
        <v>474</v>
      </c>
    </row>
    <row r="9145" spans="153:166" x14ac:dyDescent="0.35">
      <c r="EW9145" t="s">
        <v>7248</v>
      </c>
      <c r="EX9145" t="s">
        <v>6460</v>
      </c>
      <c r="FF9145" s="44" t="s">
        <v>474</v>
      </c>
      <c r="FJ9145" s="44" t="s">
        <v>474</v>
      </c>
    </row>
    <row r="9146" spans="153:166" x14ac:dyDescent="0.35">
      <c r="EW9146" t="s">
        <v>7248</v>
      </c>
      <c r="EX9146" t="s">
        <v>6461</v>
      </c>
      <c r="FF9146" s="44" t="s">
        <v>474</v>
      </c>
      <c r="FJ9146" s="44" t="s">
        <v>474</v>
      </c>
    </row>
    <row r="9147" spans="153:166" x14ac:dyDescent="0.35">
      <c r="EW9147" t="s">
        <v>7248</v>
      </c>
      <c r="EX9147" t="s">
        <v>6462</v>
      </c>
      <c r="FF9147" s="44" t="s">
        <v>474</v>
      </c>
      <c r="FJ9147" s="44" t="s">
        <v>474</v>
      </c>
    </row>
    <row r="9148" spans="153:166" x14ac:dyDescent="0.35">
      <c r="EW9148" t="s">
        <v>7248</v>
      </c>
      <c r="EX9148" t="s">
        <v>6463</v>
      </c>
      <c r="FF9148" s="44" t="s">
        <v>474</v>
      </c>
      <c r="FJ9148" s="44" t="s">
        <v>474</v>
      </c>
    </row>
    <row r="9149" spans="153:166" x14ac:dyDescent="0.35">
      <c r="EW9149" t="s">
        <v>7248</v>
      </c>
      <c r="EX9149" t="s">
        <v>6464</v>
      </c>
      <c r="FF9149" s="44" t="s">
        <v>474</v>
      </c>
      <c r="FJ9149" s="44" t="s">
        <v>474</v>
      </c>
    </row>
    <row r="9150" spans="153:166" x14ac:dyDescent="0.35">
      <c r="EW9150" t="s">
        <v>7248</v>
      </c>
      <c r="EX9150" t="s">
        <v>6465</v>
      </c>
      <c r="FF9150" s="44" t="s">
        <v>474</v>
      </c>
      <c r="FJ9150" s="44" t="s">
        <v>474</v>
      </c>
    </row>
    <row r="9151" spans="153:166" x14ac:dyDescent="0.35">
      <c r="EW9151" t="s">
        <v>7248</v>
      </c>
      <c r="EX9151" t="s">
        <v>6466</v>
      </c>
      <c r="FF9151" s="44" t="s">
        <v>474</v>
      </c>
      <c r="FJ9151" s="44" t="s">
        <v>474</v>
      </c>
    </row>
    <row r="9152" spans="153:166" x14ac:dyDescent="0.35">
      <c r="EW9152" t="s">
        <v>7248</v>
      </c>
      <c r="EX9152" t="s">
        <v>6467</v>
      </c>
      <c r="FF9152" s="44" t="s">
        <v>474</v>
      </c>
      <c r="FJ9152" s="44" t="s">
        <v>474</v>
      </c>
    </row>
    <row r="9153" spans="153:166" x14ac:dyDescent="0.35">
      <c r="EW9153" t="s">
        <v>7248</v>
      </c>
      <c r="EX9153" t="s">
        <v>6468</v>
      </c>
      <c r="FF9153" s="44" t="s">
        <v>474</v>
      </c>
      <c r="FJ9153" s="44" t="s">
        <v>474</v>
      </c>
    </row>
    <row r="9154" spans="153:166" x14ac:dyDescent="0.35">
      <c r="EW9154" t="s">
        <v>7248</v>
      </c>
      <c r="EX9154" t="s">
        <v>6469</v>
      </c>
      <c r="FF9154" s="44" t="s">
        <v>474</v>
      </c>
      <c r="FJ9154" s="44" t="s">
        <v>474</v>
      </c>
    </row>
    <row r="9155" spans="153:166" x14ac:dyDescent="0.35">
      <c r="EW9155" t="s">
        <v>7248</v>
      </c>
      <c r="EX9155" t="s">
        <v>6470</v>
      </c>
      <c r="FF9155" s="44" t="s">
        <v>474</v>
      </c>
      <c r="FJ9155" s="44" t="s">
        <v>474</v>
      </c>
    </row>
    <row r="9156" spans="153:166" x14ac:dyDescent="0.35">
      <c r="EW9156" t="s">
        <v>7248</v>
      </c>
      <c r="EX9156" t="s">
        <v>6471</v>
      </c>
      <c r="FF9156" s="44" t="s">
        <v>474</v>
      </c>
      <c r="FJ9156" s="44" t="s">
        <v>474</v>
      </c>
    </row>
    <row r="9157" spans="153:166" x14ac:dyDescent="0.35">
      <c r="EW9157" t="s">
        <v>7248</v>
      </c>
      <c r="EX9157" t="s">
        <v>6472</v>
      </c>
      <c r="FF9157" s="44" t="s">
        <v>474</v>
      </c>
      <c r="FJ9157" s="44" t="s">
        <v>474</v>
      </c>
    </row>
    <row r="9158" spans="153:166" x14ac:dyDescent="0.35">
      <c r="EW9158" t="s">
        <v>7248</v>
      </c>
      <c r="EX9158" t="s">
        <v>6473</v>
      </c>
      <c r="FF9158" s="44" t="s">
        <v>474</v>
      </c>
      <c r="FJ9158" s="44" t="s">
        <v>474</v>
      </c>
    </row>
    <row r="9159" spans="153:166" x14ac:dyDescent="0.35">
      <c r="EW9159" t="s">
        <v>7248</v>
      </c>
      <c r="EX9159" t="s">
        <v>6474</v>
      </c>
      <c r="FF9159" s="44" t="s">
        <v>474</v>
      </c>
      <c r="FJ9159" s="44" t="s">
        <v>474</v>
      </c>
    </row>
    <row r="9160" spans="153:166" x14ac:dyDescent="0.35">
      <c r="EW9160" t="s">
        <v>7248</v>
      </c>
      <c r="EX9160" t="s">
        <v>6475</v>
      </c>
      <c r="FF9160" s="44" t="s">
        <v>474</v>
      </c>
      <c r="FJ9160" s="44" t="s">
        <v>474</v>
      </c>
    </row>
    <row r="9161" spans="153:166" x14ac:dyDescent="0.35">
      <c r="EW9161" t="s">
        <v>7248</v>
      </c>
      <c r="EX9161" t="s">
        <v>6476</v>
      </c>
      <c r="FF9161" s="44" t="s">
        <v>474</v>
      </c>
      <c r="FJ9161" s="44" t="s">
        <v>474</v>
      </c>
    </row>
    <row r="9162" spans="153:166" x14ac:dyDescent="0.35">
      <c r="EW9162" t="s">
        <v>7248</v>
      </c>
      <c r="EX9162" t="s">
        <v>6477</v>
      </c>
      <c r="FF9162" s="44" t="s">
        <v>474</v>
      </c>
      <c r="FJ9162" s="44" t="s">
        <v>474</v>
      </c>
    </row>
    <row r="9163" spans="153:166" x14ac:dyDescent="0.35">
      <c r="EW9163" t="s">
        <v>7248</v>
      </c>
      <c r="EX9163" t="s">
        <v>6478</v>
      </c>
      <c r="FF9163" s="44" t="s">
        <v>474</v>
      </c>
      <c r="FJ9163" s="44" t="s">
        <v>474</v>
      </c>
    </row>
    <row r="9164" spans="153:166" x14ac:dyDescent="0.35">
      <c r="EW9164" t="s">
        <v>7248</v>
      </c>
      <c r="EX9164" t="s">
        <v>6479</v>
      </c>
      <c r="FF9164" s="44" t="s">
        <v>474</v>
      </c>
      <c r="FJ9164" s="44" t="s">
        <v>474</v>
      </c>
    </row>
    <row r="9165" spans="153:166" x14ac:dyDescent="0.35">
      <c r="EW9165" t="s">
        <v>7248</v>
      </c>
      <c r="EX9165" t="s">
        <v>6480</v>
      </c>
      <c r="FF9165" s="44" t="s">
        <v>474</v>
      </c>
      <c r="FJ9165" s="44" t="s">
        <v>474</v>
      </c>
    </row>
    <row r="9166" spans="153:166" x14ac:dyDescent="0.35">
      <c r="EW9166" t="s">
        <v>7248</v>
      </c>
      <c r="EX9166" t="s">
        <v>6481</v>
      </c>
      <c r="FF9166" s="44" t="s">
        <v>474</v>
      </c>
      <c r="FJ9166" s="44" t="s">
        <v>474</v>
      </c>
    </row>
    <row r="9167" spans="153:166" x14ac:dyDescent="0.35">
      <c r="EW9167" t="s">
        <v>7248</v>
      </c>
      <c r="EX9167" t="s">
        <v>6482</v>
      </c>
      <c r="FF9167" s="44" t="s">
        <v>474</v>
      </c>
      <c r="FJ9167" s="44" t="s">
        <v>474</v>
      </c>
    </row>
    <row r="9168" spans="153:166" x14ac:dyDescent="0.35">
      <c r="EW9168" t="s">
        <v>7248</v>
      </c>
      <c r="EX9168" t="s">
        <v>6483</v>
      </c>
      <c r="FF9168" s="44" t="s">
        <v>474</v>
      </c>
      <c r="FJ9168" s="44" t="s">
        <v>474</v>
      </c>
    </row>
    <row r="9169" spans="153:166" x14ac:dyDescent="0.35">
      <c r="EW9169" t="s">
        <v>7248</v>
      </c>
      <c r="EX9169" t="s">
        <v>6484</v>
      </c>
      <c r="FF9169" s="44" t="s">
        <v>474</v>
      </c>
      <c r="FJ9169" s="44" t="s">
        <v>474</v>
      </c>
    </row>
    <row r="9170" spans="153:166" x14ac:dyDescent="0.35">
      <c r="EW9170" t="s">
        <v>7248</v>
      </c>
      <c r="EX9170" t="s">
        <v>6485</v>
      </c>
      <c r="FF9170" s="44" t="s">
        <v>474</v>
      </c>
      <c r="FJ9170" s="44" t="s">
        <v>474</v>
      </c>
    </row>
    <row r="9171" spans="153:166" x14ac:dyDescent="0.35">
      <c r="EW9171" t="s">
        <v>7248</v>
      </c>
      <c r="EX9171" t="s">
        <v>6486</v>
      </c>
      <c r="FF9171" s="44" t="s">
        <v>474</v>
      </c>
      <c r="FJ9171" s="44" t="s">
        <v>474</v>
      </c>
    </row>
    <row r="9172" spans="153:166" x14ac:dyDescent="0.35">
      <c r="EW9172" t="s">
        <v>7248</v>
      </c>
      <c r="EX9172" t="s">
        <v>6487</v>
      </c>
      <c r="FF9172" s="44" t="s">
        <v>474</v>
      </c>
      <c r="FJ9172" s="44" t="s">
        <v>474</v>
      </c>
    </row>
    <row r="9173" spans="153:166" x14ac:dyDescent="0.35">
      <c r="EW9173" t="s">
        <v>7248</v>
      </c>
      <c r="EX9173" t="s">
        <v>6488</v>
      </c>
      <c r="FF9173" s="44" t="s">
        <v>474</v>
      </c>
      <c r="FJ9173" s="44" t="s">
        <v>474</v>
      </c>
    </row>
    <row r="9174" spans="153:166" x14ac:dyDescent="0.35">
      <c r="EW9174" t="s">
        <v>7248</v>
      </c>
      <c r="EX9174" t="s">
        <v>6489</v>
      </c>
      <c r="FF9174" s="44" t="s">
        <v>474</v>
      </c>
      <c r="FJ9174" s="44" t="s">
        <v>474</v>
      </c>
    </row>
    <row r="9175" spans="153:166" x14ac:dyDescent="0.35">
      <c r="EW9175" t="s">
        <v>7248</v>
      </c>
      <c r="EX9175" t="s">
        <v>6490</v>
      </c>
      <c r="FF9175" s="44" t="s">
        <v>474</v>
      </c>
      <c r="FJ9175" s="44" t="s">
        <v>474</v>
      </c>
    </row>
    <row r="9176" spans="153:166" x14ac:dyDescent="0.35">
      <c r="EW9176" t="s">
        <v>7248</v>
      </c>
      <c r="EX9176" t="s">
        <v>6491</v>
      </c>
      <c r="FF9176" s="44" t="s">
        <v>474</v>
      </c>
      <c r="FJ9176" s="44" t="s">
        <v>474</v>
      </c>
    </row>
    <row r="9177" spans="153:166" x14ac:dyDescent="0.35">
      <c r="EW9177" t="s">
        <v>7248</v>
      </c>
      <c r="EX9177" t="s">
        <v>6492</v>
      </c>
      <c r="FF9177" s="44" t="s">
        <v>474</v>
      </c>
      <c r="FJ9177" s="44" t="s">
        <v>474</v>
      </c>
    </row>
    <row r="9178" spans="153:166" x14ac:dyDescent="0.35">
      <c r="EW9178" t="s">
        <v>7248</v>
      </c>
      <c r="EX9178" t="s">
        <v>6493</v>
      </c>
      <c r="FF9178" s="44" t="s">
        <v>474</v>
      </c>
      <c r="FJ9178" s="44" t="s">
        <v>474</v>
      </c>
    </row>
    <row r="9179" spans="153:166" x14ac:dyDescent="0.35">
      <c r="EW9179" t="s">
        <v>7248</v>
      </c>
      <c r="EX9179" t="s">
        <v>6494</v>
      </c>
      <c r="FF9179" s="44" t="s">
        <v>474</v>
      </c>
      <c r="FJ9179" s="44" t="s">
        <v>474</v>
      </c>
    </row>
    <row r="9180" spans="153:166" x14ac:dyDescent="0.35">
      <c r="EW9180" t="s">
        <v>7248</v>
      </c>
      <c r="EX9180" t="s">
        <v>6495</v>
      </c>
      <c r="FF9180" s="44" t="s">
        <v>474</v>
      </c>
      <c r="FJ9180" s="44" t="s">
        <v>474</v>
      </c>
    </row>
    <row r="9181" spans="153:166" x14ac:dyDescent="0.35">
      <c r="EW9181" t="s">
        <v>7248</v>
      </c>
      <c r="EX9181" t="s">
        <v>6496</v>
      </c>
      <c r="FF9181" s="44" t="s">
        <v>474</v>
      </c>
      <c r="FJ9181" s="44" t="s">
        <v>474</v>
      </c>
    </row>
    <row r="9182" spans="153:166" x14ac:dyDescent="0.35">
      <c r="EW9182" t="s">
        <v>7248</v>
      </c>
      <c r="EX9182" t="s">
        <v>6497</v>
      </c>
      <c r="FF9182" s="44" t="s">
        <v>474</v>
      </c>
      <c r="FJ9182" s="44" t="s">
        <v>474</v>
      </c>
    </row>
    <row r="9183" spans="153:166" x14ac:dyDescent="0.35">
      <c r="EW9183" t="s">
        <v>7248</v>
      </c>
      <c r="EX9183" t="s">
        <v>6498</v>
      </c>
      <c r="FF9183" s="44" t="s">
        <v>474</v>
      </c>
      <c r="FJ9183" s="44" t="s">
        <v>474</v>
      </c>
    </row>
    <row r="9184" spans="153:166" x14ac:dyDescent="0.35">
      <c r="EW9184" t="s">
        <v>7248</v>
      </c>
      <c r="EX9184" t="s">
        <v>6499</v>
      </c>
      <c r="FF9184" s="44" t="s">
        <v>474</v>
      </c>
      <c r="FJ9184" s="44" t="s">
        <v>474</v>
      </c>
    </row>
    <row r="9185" spans="153:166" x14ac:dyDescent="0.35">
      <c r="EW9185" t="s">
        <v>7248</v>
      </c>
      <c r="EX9185" t="s">
        <v>6500</v>
      </c>
      <c r="FF9185" s="44" t="s">
        <v>474</v>
      </c>
      <c r="FJ9185" s="44" t="s">
        <v>474</v>
      </c>
    </row>
    <row r="9186" spans="153:166" x14ac:dyDescent="0.35">
      <c r="EW9186" t="s">
        <v>7248</v>
      </c>
      <c r="EX9186" t="s">
        <v>6501</v>
      </c>
      <c r="FF9186" s="44" t="s">
        <v>474</v>
      </c>
      <c r="FJ9186" s="44" t="s">
        <v>474</v>
      </c>
    </row>
    <row r="9187" spans="153:166" x14ac:dyDescent="0.35">
      <c r="EW9187" t="s">
        <v>7248</v>
      </c>
      <c r="EX9187" t="s">
        <v>6502</v>
      </c>
      <c r="FF9187" s="44" t="s">
        <v>474</v>
      </c>
      <c r="FJ9187" s="44" t="s">
        <v>474</v>
      </c>
    </row>
    <row r="9188" spans="153:166" x14ac:dyDescent="0.35">
      <c r="EW9188" t="s">
        <v>7248</v>
      </c>
      <c r="EX9188" t="s">
        <v>6503</v>
      </c>
      <c r="FF9188" s="44" t="s">
        <v>474</v>
      </c>
      <c r="FJ9188" s="44" t="s">
        <v>474</v>
      </c>
    </row>
    <row r="9189" spans="153:166" x14ac:dyDescent="0.35">
      <c r="EW9189" t="s">
        <v>7248</v>
      </c>
      <c r="EX9189" t="s">
        <v>6504</v>
      </c>
      <c r="FF9189" s="44" t="s">
        <v>474</v>
      </c>
      <c r="FJ9189" s="44" t="s">
        <v>474</v>
      </c>
    </row>
    <row r="9190" spans="153:166" x14ac:dyDescent="0.35">
      <c r="EW9190" t="s">
        <v>7248</v>
      </c>
      <c r="EX9190" t="s">
        <v>6505</v>
      </c>
      <c r="FF9190" s="44" t="s">
        <v>474</v>
      </c>
      <c r="FJ9190" s="44" t="s">
        <v>474</v>
      </c>
    </row>
    <row r="9191" spans="153:166" x14ac:dyDescent="0.35">
      <c r="EW9191" t="s">
        <v>7248</v>
      </c>
      <c r="EX9191" t="s">
        <v>6506</v>
      </c>
      <c r="FF9191" s="44" t="s">
        <v>474</v>
      </c>
      <c r="FJ9191" s="44" t="s">
        <v>474</v>
      </c>
    </row>
    <row r="9192" spans="153:166" x14ac:dyDescent="0.35">
      <c r="EW9192" t="s">
        <v>7248</v>
      </c>
      <c r="EX9192" t="s">
        <v>6507</v>
      </c>
      <c r="FF9192" s="44" t="s">
        <v>474</v>
      </c>
      <c r="FJ9192" s="44" t="s">
        <v>474</v>
      </c>
    </row>
    <row r="9193" spans="153:166" x14ac:dyDescent="0.35">
      <c r="EW9193" t="s">
        <v>7248</v>
      </c>
      <c r="EX9193" t="s">
        <v>6508</v>
      </c>
      <c r="FF9193" s="44" t="s">
        <v>474</v>
      </c>
      <c r="FJ9193" s="44" t="s">
        <v>474</v>
      </c>
    </row>
    <row r="9194" spans="153:166" x14ac:dyDescent="0.35">
      <c r="EW9194" t="s">
        <v>7248</v>
      </c>
      <c r="EX9194" t="s">
        <v>6509</v>
      </c>
      <c r="FF9194" s="44" t="s">
        <v>474</v>
      </c>
      <c r="FJ9194" s="44" t="s">
        <v>474</v>
      </c>
    </row>
    <row r="9195" spans="153:166" x14ac:dyDescent="0.35">
      <c r="EW9195" t="s">
        <v>7248</v>
      </c>
      <c r="EX9195" t="s">
        <v>6510</v>
      </c>
      <c r="FF9195" s="44" t="s">
        <v>474</v>
      </c>
      <c r="FJ9195" s="44" t="s">
        <v>474</v>
      </c>
    </row>
    <row r="9196" spans="153:166" x14ac:dyDescent="0.35">
      <c r="EW9196" t="s">
        <v>7248</v>
      </c>
      <c r="EX9196" t="s">
        <v>6511</v>
      </c>
      <c r="FF9196" s="44" t="s">
        <v>474</v>
      </c>
      <c r="FJ9196" s="44" t="s">
        <v>474</v>
      </c>
    </row>
    <row r="9197" spans="153:166" x14ac:dyDescent="0.35">
      <c r="EW9197" t="s">
        <v>7248</v>
      </c>
      <c r="EX9197" t="s">
        <v>6512</v>
      </c>
      <c r="FF9197" s="44" t="s">
        <v>474</v>
      </c>
      <c r="FJ9197" s="44" t="s">
        <v>474</v>
      </c>
    </row>
    <row r="9198" spans="153:166" x14ac:dyDescent="0.35">
      <c r="EW9198" t="s">
        <v>7248</v>
      </c>
      <c r="EX9198" t="s">
        <v>6513</v>
      </c>
      <c r="FF9198" s="44" t="s">
        <v>474</v>
      </c>
      <c r="FJ9198" s="44" t="s">
        <v>474</v>
      </c>
    </row>
    <row r="9199" spans="153:166" x14ac:dyDescent="0.35">
      <c r="EW9199" t="s">
        <v>7248</v>
      </c>
      <c r="EX9199" t="s">
        <v>6514</v>
      </c>
      <c r="FF9199" s="44" t="s">
        <v>474</v>
      </c>
      <c r="FJ9199" s="44" t="s">
        <v>474</v>
      </c>
    </row>
    <row r="9200" spans="153:166" x14ac:dyDescent="0.35">
      <c r="EW9200" t="s">
        <v>7248</v>
      </c>
      <c r="EX9200" t="s">
        <v>6515</v>
      </c>
      <c r="FF9200" s="44" t="s">
        <v>474</v>
      </c>
      <c r="FJ9200" s="44" t="s">
        <v>474</v>
      </c>
    </row>
    <row r="9201" spans="153:166" x14ac:dyDescent="0.35">
      <c r="EW9201" t="s">
        <v>7248</v>
      </c>
      <c r="EX9201" t="s">
        <v>6516</v>
      </c>
      <c r="FF9201" s="44" t="s">
        <v>474</v>
      </c>
      <c r="FJ9201" s="44" t="s">
        <v>474</v>
      </c>
    </row>
    <row r="9202" spans="153:166" x14ac:dyDescent="0.35">
      <c r="EW9202" t="s">
        <v>7248</v>
      </c>
      <c r="EX9202" t="s">
        <v>6517</v>
      </c>
      <c r="FF9202" s="44" t="s">
        <v>474</v>
      </c>
      <c r="FJ9202" s="44" t="s">
        <v>474</v>
      </c>
    </row>
    <row r="9203" spans="153:166" x14ac:dyDescent="0.35">
      <c r="EW9203" t="s">
        <v>7248</v>
      </c>
      <c r="EX9203" t="s">
        <v>6518</v>
      </c>
      <c r="FF9203" s="44" t="s">
        <v>474</v>
      </c>
      <c r="FJ9203" s="44" t="s">
        <v>474</v>
      </c>
    </row>
    <row r="9204" spans="153:166" x14ac:dyDescent="0.35">
      <c r="EW9204" t="s">
        <v>7248</v>
      </c>
      <c r="EX9204" t="s">
        <v>6519</v>
      </c>
      <c r="FF9204" s="44" t="s">
        <v>474</v>
      </c>
      <c r="FJ9204" s="44" t="s">
        <v>474</v>
      </c>
    </row>
    <row r="9205" spans="153:166" x14ac:dyDescent="0.35">
      <c r="EW9205" t="s">
        <v>7248</v>
      </c>
      <c r="EX9205" t="s">
        <v>6520</v>
      </c>
      <c r="FF9205" s="44" t="s">
        <v>474</v>
      </c>
      <c r="FJ9205" s="44" t="s">
        <v>474</v>
      </c>
    </row>
    <row r="9206" spans="153:166" x14ac:dyDescent="0.35">
      <c r="EW9206" t="s">
        <v>7248</v>
      </c>
      <c r="EX9206" t="s">
        <v>6521</v>
      </c>
      <c r="FF9206" s="44" t="s">
        <v>474</v>
      </c>
      <c r="FJ9206" s="44" t="s">
        <v>474</v>
      </c>
    </row>
    <row r="9207" spans="153:166" x14ac:dyDescent="0.35">
      <c r="EW9207" t="s">
        <v>7248</v>
      </c>
      <c r="EX9207" t="s">
        <v>6522</v>
      </c>
      <c r="FF9207" s="44" t="s">
        <v>474</v>
      </c>
      <c r="FJ9207" s="44" t="s">
        <v>474</v>
      </c>
    </row>
    <row r="9208" spans="153:166" x14ac:dyDescent="0.35">
      <c r="EW9208" t="s">
        <v>7248</v>
      </c>
      <c r="EX9208" t="s">
        <v>6523</v>
      </c>
      <c r="FF9208" s="44" t="s">
        <v>474</v>
      </c>
      <c r="FJ9208" s="44" t="s">
        <v>474</v>
      </c>
    </row>
    <row r="9209" spans="153:166" x14ac:dyDescent="0.35">
      <c r="EW9209" t="s">
        <v>7248</v>
      </c>
      <c r="EX9209" t="s">
        <v>6524</v>
      </c>
      <c r="FF9209" s="44" t="s">
        <v>474</v>
      </c>
      <c r="FJ9209" s="44" t="s">
        <v>474</v>
      </c>
    </row>
    <row r="9210" spans="153:166" x14ac:dyDescent="0.35">
      <c r="EW9210" t="s">
        <v>7248</v>
      </c>
      <c r="EX9210" t="s">
        <v>6525</v>
      </c>
      <c r="FF9210" s="44" t="s">
        <v>474</v>
      </c>
      <c r="FJ9210" s="44" t="s">
        <v>474</v>
      </c>
    </row>
    <row r="9211" spans="153:166" x14ac:dyDescent="0.35">
      <c r="EW9211" t="s">
        <v>7248</v>
      </c>
      <c r="EX9211" t="s">
        <v>6526</v>
      </c>
      <c r="FF9211" s="44" t="s">
        <v>59</v>
      </c>
      <c r="FJ9211" s="44" t="s">
        <v>59</v>
      </c>
    </row>
    <row r="9212" spans="153:166" x14ac:dyDescent="0.35">
      <c r="EW9212" t="s">
        <v>7248</v>
      </c>
      <c r="EX9212" t="s">
        <v>6527</v>
      </c>
      <c r="FF9212" s="44" t="s">
        <v>59</v>
      </c>
      <c r="FJ9212" s="44" t="s">
        <v>59</v>
      </c>
    </row>
    <row r="9213" spans="153:166" x14ac:dyDescent="0.35">
      <c r="EW9213" t="s">
        <v>7248</v>
      </c>
      <c r="EX9213" t="s">
        <v>6528</v>
      </c>
      <c r="FF9213" s="44" t="s">
        <v>59</v>
      </c>
      <c r="FJ9213" s="44" t="s">
        <v>59</v>
      </c>
    </row>
    <row r="9214" spans="153:166" x14ac:dyDescent="0.35">
      <c r="EW9214" t="s">
        <v>7248</v>
      </c>
      <c r="EX9214" t="s">
        <v>6529</v>
      </c>
      <c r="FF9214" s="44" t="s">
        <v>59</v>
      </c>
      <c r="FJ9214" s="44" t="s">
        <v>59</v>
      </c>
    </row>
    <row r="9215" spans="153:166" x14ac:dyDescent="0.35">
      <c r="EW9215" t="s">
        <v>7248</v>
      </c>
      <c r="EX9215" t="s">
        <v>6530</v>
      </c>
      <c r="FF9215" s="44" t="s">
        <v>59</v>
      </c>
      <c r="FJ9215" s="44" t="s">
        <v>59</v>
      </c>
    </row>
    <row r="9216" spans="153:166" x14ac:dyDescent="0.35">
      <c r="EW9216" t="s">
        <v>7248</v>
      </c>
      <c r="EX9216" t="s">
        <v>6531</v>
      </c>
      <c r="FF9216" s="44" t="s">
        <v>59</v>
      </c>
      <c r="FJ9216" s="44" t="s">
        <v>59</v>
      </c>
    </row>
    <row r="9217" spans="153:166" x14ac:dyDescent="0.35">
      <c r="EW9217" t="s">
        <v>7248</v>
      </c>
      <c r="EX9217" t="s">
        <v>6532</v>
      </c>
      <c r="FF9217" s="44" t="s">
        <v>59</v>
      </c>
      <c r="FJ9217" s="44" t="s">
        <v>59</v>
      </c>
    </row>
    <row r="9218" spans="153:166" x14ac:dyDescent="0.35">
      <c r="EW9218" t="s">
        <v>7248</v>
      </c>
      <c r="EX9218" t="s">
        <v>6533</v>
      </c>
      <c r="FF9218" s="44" t="s">
        <v>59</v>
      </c>
      <c r="FJ9218" s="44" t="s">
        <v>59</v>
      </c>
    </row>
    <row r="9219" spans="153:166" x14ac:dyDescent="0.35">
      <c r="EW9219" t="s">
        <v>7248</v>
      </c>
      <c r="EX9219" t="s">
        <v>6534</v>
      </c>
      <c r="FF9219" s="44" t="s">
        <v>59</v>
      </c>
      <c r="FJ9219" s="44" t="s">
        <v>59</v>
      </c>
    </row>
    <row r="9220" spans="153:166" x14ac:dyDescent="0.35">
      <c r="EW9220" t="s">
        <v>7248</v>
      </c>
      <c r="EX9220" t="s">
        <v>6535</v>
      </c>
      <c r="FF9220" s="44" t="s">
        <v>59</v>
      </c>
      <c r="FJ9220" s="44" t="s">
        <v>59</v>
      </c>
    </row>
    <row r="9221" spans="153:166" x14ac:dyDescent="0.35">
      <c r="EW9221" t="s">
        <v>7248</v>
      </c>
      <c r="EX9221" t="s">
        <v>6536</v>
      </c>
      <c r="FF9221" s="44" t="s">
        <v>59</v>
      </c>
      <c r="FJ9221" s="44" t="s">
        <v>59</v>
      </c>
    </row>
    <row r="9222" spans="153:166" x14ac:dyDescent="0.35">
      <c r="EW9222" t="s">
        <v>7248</v>
      </c>
      <c r="EX9222" t="s">
        <v>6537</v>
      </c>
      <c r="FF9222" s="44" t="s">
        <v>59</v>
      </c>
      <c r="FJ9222" s="44" t="s">
        <v>59</v>
      </c>
    </row>
    <row r="9223" spans="153:166" x14ac:dyDescent="0.35">
      <c r="EW9223" t="s">
        <v>7248</v>
      </c>
      <c r="EX9223" t="s">
        <v>6538</v>
      </c>
      <c r="FF9223" s="44" t="s">
        <v>59</v>
      </c>
      <c r="FJ9223" s="44" t="s">
        <v>59</v>
      </c>
    </row>
    <row r="9224" spans="153:166" x14ac:dyDescent="0.35">
      <c r="EW9224" t="s">
        <v>7248</v>
      </c>
      <c r="EX9224" t="s">
        <v>6539</v>
      </c>
      <c r="FF9224" s="44" t="s">
        <v>59</v>
      </c>
      <c r="FJ9224" s="44" t="s">
        <v>59</v>
      </c>
    </row>
    <row r="9225" spans="153:166" x14ac:dyDescent="0.35">
      <c r="EW9225" t="s">
        <v>7248</v>
      </c>
      <c r="EX9225" t="s">
        <v>6540</v>
      </c>
      <c r="FF9225" s="44" t="s">
        <v>59</v>
      </c>
      <c r="FJ9225" s="44" t="s">
        <v>59</v>
      </c>
    </row>
    <row r="9226" spans="153:166" x14ac:dyDescent="0.35">
      <c r="EW9226" t="s">
        <v>7248</v>
      </c>
      <c r="EX9226" t="s">
        <v>6541</v>
      </c>
      <c r="FF9226" s="44" t="s">
        <v>59</v>
      </c>
      <c r="FJ9226" s="44" t="s">
        <v>59</v>
      </c>
    </row>
    <row r="9227" spans="153:166" x14ac:dyDescent="0.35">
      <c r="EW9227" t="s">
        <v>7248</v>
      </c>
      <c r="EX9227" t="s">
        <v>6542</v>
      </c>
      <c r="FF9227" s="44" t="s">
        <v>59</v>
      </c>
      <c r="FJ9227" s="44" t="s">
        <v>59</v>
      </c>
    </row>
    <row r="9228" spans="153:166" x14ac:dyDescent="0.35">
      <c r="EW9228" t="s">
        <v>7248</v>
      </c>
      <c r="EX9228" t="s">
        <v>6543</v>
      </c>
      <c r="FF9228" s="44" t="s">
        <v>59</v>
      </c>
      <c r="FJ9228" s="44" t="s">
        <v>59</v>
      </c>
    </row>
    <row r="9229" spans="153:166" x14ac:dyDescent="0.35">
      <c r="EW9229" t="s">
        <v>7248</v>
      </c>
      <c r="EX9229" t="s">
        <v>6544</v>
      </c>
      <c r="FF9229" s="44" t="s">
        <v>59</v>
      </c>
      <c r="FJ9229" s="44" t="s">
        <v>59</v>
      </c>
    </row>
    <row r="9230" spans="153:166" x14ac:dyDescent="0.35">
      <c r="EW9230" t="s">
        <v>7248</v>
      </c>
      <c r="EX9230" t="s">
        <v>6545</v>
      </c>
      <c r="FF9230" s="44" t="s">
        <v>59</v>
      </c>
      <c r="FJ9230" s="44" t="s">
        <v>59</v>
      </c>
    </row>
    <row r="9231" spans="153:166" x14ac:dyDescent="0.35">
      <c r="EW9231" t="s">
        <v>7248</v>
      </c>
      <c r="EX9231" t="s">
        <v>6546</v>
      </c>
      <c r="FF9231" s="44" t="s">
        <v>59</v>
      </c>
      <c r="FJ9231" s="44" t="s">
        <v>59</v>
      </c>
    </row>
    <row r="9232" spans="153:166" x14ac:dyDescent="0.35">
      <c r="EW9232" t="s">
        <v>7248</v>
      </c>
      <c r="EX9232" t="s">
        <v>6547</v>
      </c>
      <c r="FF9232" s="44" t="s">
        <v>59</v>
      </c>
      <c r="FJ9232" s="44" t="s">
        <v>59</v>
      </c>
    </row>
    <row r="9233" spans="153:166" x14ac:dyDescent="0.35">
      <c r="EW9233" t="s">
        <v>7248</v>
      </c>
      <c r="EX9233" t="s">
        <v>6548</v>
      </c>
      <c r="FF9233" s="44" t="s">
        <v>59</v>
      </c>
      <c r="FJ9233" s="44" t="s">
        <v>59</v>
      </c>
    </row>
    <row r="9234" spans="153:166" x14ac:dyDescent="0.35">
      <c r="EW9234" t="s">
        <v>7248</v>
      </c>
      <c r="EX9234" t="s">
        <v>6549</v>
      </c>
      <c r="FF9234" s="44" t="s">
        <v>59</v>
      </c>
      <c r="FJ9234" s="44" t="s">
        <v>59</v>
      </c>
    </row>
    <row r="9235" spans="153:166" x14ac:dyDescent="0.35">
      <c r="EW9235" t="s">
        <v>7248</v>
      </c>
      <c r="EX9235" t="s">
        <v>6550</v>
      </c>
      <c r="FF9235" s="44" t="s">
        <v>59</v>
      </c>
      <c r="FJ9235" s="44" t="s">
        <v>59</v>
      </c>
    </row>
    <row r="9236" spans="153:166" x14ac:dyDescent="0.35">
      <c r="EW9236" t="s">
        <v>7248</v>
      </c>
      <c r="EX9236" t="s">
        <v>6551</v>
      </c>
      <c r="FF9236" s="44" t="s">
        <v>59</v>
      </c>
      <c r="FJ9236" s="44" t="s">
        <v>59</v>
      </c>
    </row>
    <row r="9237" spans="153:166" x14ac:dyDescent="0.35">
      <c r="EW9237" t="s">
        <v>7248</v>
      </c>
      <c r="EX9237" t="s">
        <v>6552</v>
      </c>
      <c r="FF9237" s="44" t="s">
        <v>59</v>
      </c>
      <c r="FJ9237" s="44" t="s">
        <v>59</v>
      </c>
    </row>
    <row r="9238" spans="153:166" x14ac:dyDescent="0.35">
      <c r="EW9238" t="s">
        <v>7248</v>
      </c>
      <c r="EX9238" t="s">
        <v>6553</v>
      </c>
      <c r="FF9238" s="44" t="s">
        <v>59</v>
      </c>
      <c r="FJ9238" s="44" t="s">
        <v>59</v>
      </c>
    </row>
    <row r="9239" spans="153:166" x14ac:dyDescent="0.35">
      <c r="EW9239" t="s">
        <v>7248</v>
      </c>
      <c r="EX9239" t="s">
        <v>6554</v>
      </c>
      <c r="FF9239" s="44" t="s">
        <v>59</v>
      </c>
      <c r="FJ9239" s="44" t="s">
        <v>59</v>
      </c>
    </row>
    <row r="9240" spans="153:166" x14ac:dyDescent="0.35">
      <c r="EW9240" t="s">
        <v>7248</v>
      </c>
      <c r="EX9240" t="s">
        <v>6555</v>
      </c>
      <c r="FF9240" s="44" t="s">
        <v>59</v>
      </c>
      <c r="FJ9240" s="44" t="s">
        <v>59</v>
      </c>
    </row>
    <row r="9241" spans="153:166" x14ac:dyDescent="0.35">
      <c r="EW9241" t="s">
        <v>7248</v>
      </c>
      <c r="EX9241" t="s">
        <v>6556</v>
      </c>
      <c r="FF9241" s="44" t="s">
        <v>59</v>
      </c>
      <c r="FJ9241" s="44" t="s">
        <v>59</v>
      </c>
    </row>
    <row r="9242" spans="153:166" x14ac:dyDescent="0.35">
      <c r="EW9242" t="s">
        <v>7248</v>
      </c>
      <c r="EX9242" t="s">
        <v>6557</v>
      </c>
      <c r="FF9242" s="44" t="s">
        <v>59</v>
      </c>
      <c r="FJ9242" s="44" t="s">
        <v>59</v>
      </c>
    </row>
    <row r="9243" spans="153:166" x14ac:dyDescent="0.35">
      <c r="EW9243" t="s">
        <v>7248</v>
      </c>
      <c r="EX9243" t="s">
        <v>6558</v>
      </c>
      <c r="FF9243" s="44" t="s">
        <v>59</v>
      </c>
      <c r="FJ9243" s="44" t="s">
        <v>59</v>
      </c>
    </row>
    <row r="9244" spans="153:166" x14ac:dyDescent="0.35">
      <c r="EW9244" t="s">
        <v>7248</v>
      </c>
      <c r="EX9244" t="s">
        <v>6559</v>
      </c>
      <c r="FF9244" s="44" t="s">
        <v>59</v>
      </c>
      <c r="FJ9244" s="44" t="s">
        <v>59</v>
      </c>
    </row>
    <row r="9245" spans="153:166" x14ac:dyDescent="0.35">
      <c r="EW9245" t="s">
        <v>7248</v>
      </c>
      <c r="EX9245" t="s">
        <v>6560</v>
      </c>
      <c r="FF9245" s="44" t="s">
        <v>59</v>
      </c>
      <c r="FJ9245" s="44" t="s">
        <v>59</v>
      </c>
    </row>
    <row r="9246" spans="153:166" x14ac:dyDescent="0.35">
      <c r="EW9246" t="s">
        <v>7248</v>
      </c>
      <c r="EX9246" t="s">
        <v>6561</v>
      </c>
      <c r="FF9246" s="44" t="s">
        <v>59</v>
      </c>
      <c r="FJ9246" s="44" t="s">
        <v>59</v>
      </c>
    </row>
    <row r="9247" spans="153:166" x14ac:dyDescent="0.35">
      <c r="EW9247" t="s">
        <v>7248</v>
      </c>
      <c r="EX9247" t="s">
        <v>6562</v>
      </c>
      <c r="FF9247" s="44" t="s">
        <v>59</v>
      </c>
      <c r="FJ9247" s="44" t="s">
        <v>59</v>
      </c>
    </row>
    <row r="9248" spans="153:166" x14ac:dyDescent="0.35">
      <c r="EW9248" t="s">
        <v>7248</v>
      </c>
      <c r="EX9248" t="s">
        <v>6563</v>
      </c>
      <c r="FF9248" s="44" t="s">
        <v>59</v>
      </c>
      <c r="FJ9248" s="44" t="s">
        <v>59</v>
      </c>
    </row>
    <row r="9249" spans="153:166" x14ac:dyDescent="0.35">
      <c r="EW9249" t="s">
        <v>7248</v>
      </c>
      <c r="EX9249" t="s">
        <v>6564</v>
      </c>
      <c r="FF9249" s="44" t="s">
        <v>59</v>
      </c>
      <c r="FJ9249" s="44" t="s">
        <v>59</v>
      </c>
    </row>
    <row r="9250" spans="153:166" x14ac:dyDescent="0.35">
      <c r="EW9250" t="s">
        <v>7248</v>
      </c>
      <c r="EX9250" t="s">
        <v>6565</v>
      </c>
      <c r="FF9250" s="44" t="s">
        <v>59</v>
      </c>
      <c r="FJ9250" s="44" t="s">
        <v>59</v>
      </c>
    </row>
    <row r="9251" spans="153:166" x14ac:dyDescent="0.35">
      <c r="EW9251" t="s">
        <v>7248</v>
      </c>
      <c r="EX9251" t="s">
        <v>6566</v>
      </c>
      <c r="FF9251" s="44" t="s">
        <v>59</v>
      </c>
      <c r="FJ9251" s="44" t="s">
        <v>59</v>
      </c>
    </row>
    <row r="9252" spans="153:166" x14ac:dyDescent="0.35">
      <c r="EW9252" t="s">
        <v>7248</v>
      </c>
      <c r="EX9252" t="s">
        <v>6567</v>
      </c>
      <c r="FF9252" s="44" t="s">
        <v>59</v>
      </c>
      <c r="FJ9252" s="44" t="s">
        <v>59</v>
      </c>
    </row>
    <row r="9253" spans="153:166" x14ac:dyDescent="0.35">
      <c r="EW9253" t="s">
        <v>7248</v>
      </c>
      <c r="EX9253" t="s">
        <v>6568</v>
      </c>
      <c r="FF9253" s="44" t="s">
        <v>59</v>
      </c>
      <c r="FJ9253" s="44" t="s">
        <v>59</v>
      </c>
    </row>
    <row r="9254" spans="153:166" x14ac:dyDescent="0.35">
      <c r="EW9254" t="s">
        <v>7248</v>
      </c>
      <c r="EX9254" t="s">
        <v>6569</v>
      </c>
      <c r="FF9254" s="44" t="s">
        <v>59</v>
      </c>
      <c r="FJ9254" s="44" t="s">
        <v>59</v>
      </c>
    </row>
    <row r="9255" spans="153:166" x14ac:dyDescent="0.35">
      <c r="EW9255" t="s">
        <v>7248</v>
      </c>
      <c r="EX9255" t="s">
        <v>6570</v>
      </c>
      <c r="FF9255" s="44" t="s">
        <v>59</v>
      </c>
      <c r="FJ9255" s="44" t="s">
        <v>59</v>
      </c>
    </row>
    <row r="9256" spans="153:166" x14ac:dyDescent="0.35">
      <c r="EW9256" t="s">
        <v>7248</v>
      </c>
      <c r="EX9256" t="s">
        <v>6571</v>
      </c>
      <c r="FF9256" s="44" t="s">
        <v>59</v>
      </c>
      <c r="FJ9256" s="44" t="s">
        <v>59</v>
      </c>
    </row>
    <row r="9257" spans="153:166" x14ac:dyDescent="0.35">
      <c r="EW9257" t="s">
        <v>7248</v>
      </c>
      <c r="EX9257" t="s">
        <v>6572</v>
      </c>
      <c r="FF9257" s="44" t="s">
        <v>59</v>
      </c>
      <c r="FJ9257" s="44" t="s">
        <v>59</v>
      </c>
    </row>
    <row r="9258" spans="153:166" x14ac:dyDescent="0.35">
      <c r="EW9258" t="s">
        <v>7248</v>
      </c>
      <c r="EX9258" t="s">
        <v>6573</v>
      </c>
      <c r="FF9258" s="44" t="s">
        <v>59</v>
      </c>
      <c r="FJ9258" s="44" t="s">
        <v>59</v>
      </c>
    </row>
    <row r="9259" spans="153:166" x14ac:dyDescent="0.35">
      <c r="EW9259" t="s">
        <v>7248</v>
      </c>
      <c r="EX9259" t="s">
        <v>6574</v>
      </c>
      <c r="FF9259" s="44" t="s">
        <v>59</v>
      </c>
      <c r="FJ9259" s="44" t="s">
        <v>59</v>
      </c>
    </row>
    <row r="9260" spans="153:166" x14ac:dyDescent="0.35">
      <c r="EW9260" t="s">
        <v>7248</v>
      </c>
      <c r="EX9260" t="s">
        <v>6575</v>
      </c>
      <c r="FF9260" s="44" t="s">
        <v>59</v>
      </c>
      <c r="FJ9260" s="44" t="s">
        <v>59</v>
      </c>
    </row>
    <row r="9261" spans="153:166" x14ac:dyDescent="0.35">
      <c r="EW9261" t="s">
        <v>7248</v>
      </c>
      <c r="EX9261" t="s">
        <v>6576</v>
      </c>
      <c r="FF9261" s="44" t="s">
        <v>59</v>
      </c>
      <c r="FJ9261" s="44" t="s">
        <v>59</v>
      </c>
    </row>
    <row r="9262" spans="153:166" x14ac:dyDescent="0.35">
      <c r="EW9262" t="s">
        <v>7248</v>
      </c>
      <c r="EX9262" t="s">
        <v>6577</v>
      </c>
      <c r="FF9262" s="44" t="s">
        <v>59</v>
      </c>
      <c r="FJ9262" s="44" t="s">
        <v>59</v>
      </c>
    </row>
    <row r="9263" spans="153:166" x14ac:dyDescent="0.35">
      <c r="EW9263" t="s">
        <v>7248</v>
      </c>
      <c r="EX9263" t="s">
        <v>6578</v>
      </c>
      <c r="FF9263" s="44" t="s">
        <v>59</v>
      </c>
      <c r="FJ9263" s="44" t="s">
        <v>59</v>
      </c>
    </row>
    <row r="9264" spans="153:166" x14ac:dyDescent="0.35">
      <c r="EW9264" t="s">
        <v>7248</v>
      </c>
      <c r="EX9264" t="s">
        <v>6579</v>
      </c>
      <c r="FF9264" s="44" t="s">
        <v>59</v>
      </c>
      <c r="FJ9264" s="44" t="s">
        <v>59</v>
      </c>
    </row>
    <row r="9265" spans="153:166" x14ac:dyDescent="0.35">
      <c r="EW9265" t="s">
        <v>7248</v>
      </c>
      <c r="EX9265" t="s">
        <v>6580</v>
      </c>
      <c r="FF9265" s="44" t="s">
        <v>59</v>
      </c>
      <c r="FJ9265" s="44" t="s">
        <v>59</v>
      </c>
    </row>
    <row r="9266" spans="153:166" x14ac:dyDescent="0.35">
      <c r="EW9266" t="s">
        <v>7248</v>
      </c>
      <c r="EX9266" t="s">
        <v>6581</v>
      </c>
      <c r="FF9266" s="44" t="s">
        <v>59</v>
      </c>
      <c r="FJ9266" s="44" t="s">
        <v>59</v>
      </c>
    </row>
    <row r="9267" spans="153:166" x14ac:dyDescent="0.35">
      <c r="EW9267" t="s">
        <v>7248</v>
      </c>
      <c r="EX9267" t="s">
        <v>6582</v>
      </c>
      <c r="FF9267" s="44" t="s">
        <v>59</v>
      </c>
      <c r="FJ9267" s="44" t="s">
        <v>59</v>
      </c>
    </row>
    <row r="9268" spans="153:166" x14ac:dyDescent="0.35">
      <c r="EW9268" t="s">
        <v>7248</v>
      </c>
      <c r="EX9268" t="s">
        <v>6583</v>
      </c>
      <c r="FF9268" s="44" t="s">
        <v>59</v>
      </c>
      <c r="FJ9268" s="44" t="s">
        <v>59</v>
      </c>
    </row>
    <row r="9269" spans="153:166" x14ac:dyDescent="0.35">
      <c r="EW9269" t="s">
        <v>7248</v>
      </c>
      <c r="EX9269" t="s">
        <v>6584</v>
      </c>
      <c r="FF9269" s="44" t="s">
        <v>59</v>
      </c>
      <c r="FJ9269" s="44" t="s">
        <v>59</v>
      </c>
    </row>
    <row r="9270" spans="153:166" x14ac:dyDescent="0.35">
      <c r="EW9270" t="s">
        <v>7248</v>
      </c>
      <c r="EX9270" t="s">
        <v>6585</v>
      </c>
      <c r="FF9270" s="44" t="s">
        <v>59</v>
      </c>
      <c r="FJ9270" s="44" t="s">
        <v>59</v>
      </c>
    </row>
    <row r="9271" spans="153:166" x14ac:dyDescent="0.35">
      <c r="EW9271" t="s">
        <v>7248</v>
      </c>
      <c r="EX9271" t="s">
        <v>6586</v>
      </c>
      <c r="FF9271" s="44" t="s">
        <v>59</v>
      </c>
      <c r="FJ9271" s="44" t="s">
        <v>59</v>
      </c>
    </row>
    <row r="9272" spans="153:166" x14ac:dyDescent="0.35">
      <c r="EW9272" t="s">
        <v>7248</v>
      </c>
      <c r="EX9272" t="s">
        <v>6587</v>
      </c>
      <c r="FF9272" s="44" t="s">
        <v>59</v>
      </c>
      <c r="FJ9272" s="44" t="s">
        <v>59</v>
      </c>
    </row>
    <row r="9273" spans="153:166" x14ac:dyDescent="0.35">
      <c r="EW9273" t="s">
        <v>7248</v>
      </c>
      <c r="EX9273" t="s">
        <v>6588</v>
      </c>
      <c r="FF9273" s="44" t="s">
        <v>59</v>
      </c>
      <c r="FJ9273" s="44" t="s">
        <v>59</v>
      </c>
    </row>
    <row r="9274" spans="153:166" x14ac:dyDescent="0.35">
      <c r="EW9274" t="s">
        <v>7248</v>
      </c>
      <c r="EX9274" t="s">
        <v>6589</v>
      </c>
      <c r="FF9274" s="44" t="s">
        <v>59</v>
      </c>
      <c r="FJ9274" s="44" t="s">
        <v>59</v>
      </c>
    </row>
    <row r="9275" spans="153:166" x14ac:dyDescent="0.35">
      <c r="EW9275" t="s">
        <v>7248</v>
      </c>
      <c r="EX9275" t="s">
        <v>6590</v>
      </c>
      <c r="FF9275" s="44" t="s">
        <v>59</v>
      </c>
      <c r="FJ9275" s="44" t="s">
        <v>59</v>
      </c>
    </row>
    <row r="9276" spans="153:166" x14ac:dyDescent="0.35">
      <c r="EW9276" t="s">
        <v>7248</v>
      </c>
      <c r="EX9276" t="s">
        <v>6591</v>
      </c>
      <c r="FF9276" s="44" t="s">
        <v>59</v>
      </c>
      <c r="FJ9276" s="44" t="s">
        <v>59</v>
      </c>
    </row>
    <row r="9277" spans="153:166" x14ac:dyDescent="0.35">
      <c r="EW9277" t="s">
        <v>7248</v>
      </c>
      <c r="EX9277" t="s">
        <v>6592</v>
      </c>
      <c r="FF9277" s="44" t="s">
        <v>59</v>
      </c>
      <c r="FJ9277" s="44" t="s">
        <v>59</v>
      </c>
    </row>
    <row r="9278" spans="153:166" x14ac:dyDescent="0.35">
      <c r="EW9278" t="s">
        <v>7248</v>
      </c>
      <c r="EX9278" t="s">
        <v>6593</v>
      </c>
      <c r="FF9278" s="44" t="s">
        <v>59</v>
      </c>
      <c r="FJ9278" s="44" t="s">
        <v>59</v>
      </c>
    </row>
    <row r="9279" spans="153:166" x14ac:dyDescent="0.35">
      <c r="EW9279" t="s">
        <v>7248</v>
      </c>
      <c r="EX9279" t="s">
        <v>6594</v>
      </c>
      <c r="FF9279" s="44" t="s">
        <v>59</v>
      </c>
      <c r="FJ9279" s="44" t="s">
        <v>59</v>
      </c>
    </row>
    <row r="9280" spans="153:166" x14ac:dyDescent="0.35">
      <c r="EW9280" t="s">
        <v>7248</v>
      </c>
      <c r="EX9280" t="s">
        <v>6595</v>
      </c>
      <c r="FF9280" s="44" t="s">
        <v>59</v>
      </c>
      <c r="FJ9280" s="44" t="s">
        <v>59</v>
      </c>
    </row>
    <row r="9281" spans="153:166" x14ac:dyDescent="0.35">
      <c r="EW9281" t="s">
        <v>7248</v>
      </c>
      <c r="EX9281" t="s">
        <v>6596</v>
      </c>
      <c r="FF9281" s="44" t="s">
        <v>59</v>
      </c>
      <c r="FJ9281" s="44" t="s">
        <v>59</v>
      </c>
    </row>
    <row r="9282" spans="153:166" x14ac:dyDescent="0.35">
      <c r="EW9282" t="s">
        <v>7248</v>
      </c>
      <c r="EX9282" t="s">
        <v>6597</v>
      </c>
      <c r="FF9282" s="44" t="s">
        <v>59</v>
      </c>
      <c r="FJ9282" s="44" t="s">
        <v>59</v>
      </c>
    </row>
    <row r="9283" spans="153:166" x14ac:dyDescent="0.35">
      <c r="EW9283" t="s">
        <v>7248</v>
      </c>
      <c r="EX9283" t="s">
        <v>6598</v>
      </c>
      <c r="FF9283" s="44" t="s">
        <v>59</v>
      </c>
      <c r="FJ9283" s="44" t="s">
        <v>59</v>
      </c>
    </row>
    <row r="9284" spans="153:166" x14ac:dyDescent="0.35">
      <c r="EW9284" t="s">
        <v>7248</v>
      </c>
      <c r="EX9284" t="s">
        <v>6599</v>
      </c>
      <c r="FF9284" s="44" t="s">
        <v>59</v>
      </c>
      <c r="FJ9284" s="44" t="s">
        <v>59</v>
      </c>
    </row>
    <row r="9285" spans="153:166" x14ac:dyDescent="0.35">
      <c r="EW9285" t="s">
        <v>7248</v>
      </c>
      <c r="EX9285" t="s">
        <v>6600</v>
      </c>
      <c r="FF9285" s="44" t="s">
        <v>59</v>
      </c>
      <c r="FJ9285" s="44" t="s">
        <v>59</v>
      </c>
    </row>
    <row r="9286" spans="153:166" x14ac:dyDescent="0.35">
      <c r="EW9286" t="s">
        <v>7248</v>
      </c>
      <c r="EX9286" t="s">
        <v>6601</v>
      </c>
      <c r="FF9286" s="44" t="s">
        <v>59</v>
      </c>
      <c r="FJ9286" s="44" t="s">
        <v>59</v>
      </c>
    </row>
    <row r="9287" spans="153:166" x14ac:dyDescent="0.35">
      <c r="EW9287" t="s">
        <v>7248</v>
      </c>
      <c r="EX9287" t="s">
        <v>6602</v>
      </c>
      <c r="FF9287" s="44" t="s">
        <v>59</v>
      </c>
      <c r="FJ9287" s="44" t="s">
        <v>59</v>
      </c>
    </row>
    <row r="9288" spans="153:166" x14ac:dyDescent="0.35">
      <c r="EW9288" t="s">
        <v>7248</v>
      </c>
      <c r="EX9288" t="s">
        <v>6603</v>
      </c>
      <c r="FF9288" s="44" t="s">
        <v>59</v>
      </c>
      <c r="FJ9288" s="44" t="s">
        <v>59</v>
      </c>
    </row>
    <row r="9289" spans="153:166" x14ac:dyDescent="0.35">
      <c r="EW9289" t="s">
        <v>7248</v>
      </c>
      <c r="EX9289" t="s">
        <v>6604</v>
      </c>
      <c r="FF9289" s="44" t="s">
        <v>59</v>
      </c>
      <c r="FJ9289" s="44" t="s">
        <v>59</v>
      </c>
    </row>
    <row r="9290" spans="153:166" x14ac:dyDescent="0.35">
      <c r="EW9290" t="s">
        <v>7248</v>
      </c>
      <c r="EX9290" t="s">
        <v>6605</v>
      </c>
      <c r="FF9290" s="44" t="s">
        <v>59</v>
      </c>
      <c r="FJ9290" s="44" t="s">
        <v>59</v>
      </c>
    </row>
    <row r="9291" spans="153:166" x14ac:dyDescent="0.35">
      <c r="EW9291" t="s">
        <v>7248</v>
      </c>
      <c r="EX9291" t="s">
        <v>6606</v>
      </c>
      <c r="FF9291" s="44" t="s">
        <v>59</v>
      </c>
      <c r="FJ9291" s="44" t="s">
        <v>59</v>
      </c>
    </row>
    <row r="9292" spans="153:166" x14ac:dyDescent="0.35">
      <c r="EW9292" t="s">
        <v>7248</v>
      </c>
      <c r="EX9292" t="s">
        <v>6607</v>
      </c>
      <c r="FF9292" s="44" t="s">
        <v>59</v>
      </c>
      <c r="FJ9292" s="44" t="s">
        <v>59</v>
      </c>
    </row>
    <row r="9293" spans="153:166" x14ac:dyDescent="0.35">
      <c r="EW9293" t="s">
        <v>7248</v>
      </c>
      <c r="EX9293" t="s">
        <v>6608</v>
      </c>
      <c r="FF9293" s="44" t="s">
        <v>59</v>
      </c>
      <c r="FJ9293" s="44" t="s">
        <v>59</v>
      </c>
    </row>
    <row r="9294" spans="153:166" x14ac:dyDescent="0.35">
      <c r="EW9294" t="s">
        <v>7248</v>
      </c>
      <c r="EX9294" t="s">
        <v>6609</v>
      </c>
      <c r="FF9294" s="44" t="s">
        <v>59</v>
      </c>
      <c r="FJ9294" s="44" t="s">
        <v>59</v>
      </c>
    </row>
    <row r="9295" spans="153:166" x14ac:dyDescent="0.35">
      <c r="EW9295" t="s">
        <v>7248</v>
      </c>
      <c r="EX9295" t="s">
        <v>6610</v>
      </c>
      <c r="FF9295" s="44" t="s">
        <v>59</v>
      </c>
      <c r="FJ9295" s="44" t="s">
        <v>59</v>
      </c>
    </row>
    <row r="9296" spans="153:166" x14ac:dyDescent="0.35">
      <c r="EW9296" t="s">
        <v>7248</v>
      </c>
      <c r="EX9296" t="s">
        <v>6611</v>
      </c>
      <c r="FF9296" s="44" t="s">
        <v>59</v>
      </c>
      <c r="FJ9296" s="44" t="s">
        <v>59</v>
      </c>
    </row>
    <row r="9297" spans="153:166" x14ac:dyDescent="0.35">
      <c r="EW9297" t="s">
        <v>7248</v>
      </c>
      <c r="EX9297" t="s">
        <v>6612</v>
      </c>
      <c r="FF9297" s="44" t="s">
        <v>59</v>
      </c>
      <c r="FJ9297" s="44" t="s">
        <v>59</v>
      </c>
    </row>
    <row r="9298" spans="153:166" x14ac:dyDescent="0.35">
      <c r="EW9298" t="s">
        <v>7248</v>
      </c>
      <c r="EX9298" t="s">
        <v>6613</v>
      </c>
      <c r="FF9298" s="44" t="s">
        <v>59</v>
      </c>
      <c r="FJ9298" s="44" t="s">
        <v>59</v>
      </c>
    </row>
    <row r="9299" spans="153:166" x14ac:dyDescent="0.35">
      <c r="EW9299" t="s">
        <v>7248</v>
      </c>
      <c r="EX9299" t="s">
        <v>6614</v>
      </c>
      <c r="FF9299" s="44" t="s">
        <v>59</v>
      </c>
      <c r="FJ9299" s="44" t="s">
        <v>59</v>
      </c>
    </row>
    <row r="9300" spans="153:166" x14ac:dyDescent="0.35">
      <c r="EW9300" t="s">
        <v>7248</v>
      </c>
      <c r="EX9300" t="s">
        <v>6615</v>
      </c>
      <c r="FF9300" s="44" t="s">
        <v>59</v>
      </c>
      <c r="FJ9300" s="44" t="s">
        <v>59</v>
      </c>
    </row>
    <row r="9301" spans="153:166" x14ac:dyDescent="0.35">
      <c r="EW9301" t="s">
        <v>7248</v>
      </c>
      <c r="EX9301" t="s">
        <v>6616</v>
      </c>
      <c r="FF9301" s="44" t="s">
        <v>59</v>
      </c>
      <c r="FJ9301" s="44" t="s">
        <v>59</v>
      </c>
    </row>
    <row r="9302" spans="153:166" x14ac:dyDescent="0.35">
      <c r="EW9302" t="s">
        <v>7248</v>
      </c>
      <c r="EX9302" t="s">
        <v>6617</v>
      </c>
      <c r="FF9302" s="44" t="s">
        <v>59</v>
      </c>
      <c r="FJ9302" s="44" t="s">
        <v>59</v>
      </c>
    </row>
    <row r="9303" spans="153:166" x14ac:dyDescent="0.35">
      <c r="EW9303" t="s">
        <v>7248</v>
      </c>
      <c r="EX9303" t="s">
        <v>6618</v>
      </c>
      <c r="FF9303" s="44" t="s">
        <v>59</v>
      </c>
      <c r="FJ9303" s="44" t="s">
        <v>59</v>
      </c>
    </row>
    <row r="9304" spans="153:166" x14ac:dyDescent="0.35">
      <c r="EW9304" t="s">
        <v>7248</v>
      </c>
      <c r="EX9304" t="s">
        <v>6619</v>
      </c>
      <c r="FF9304" s="44" t="s">
        <v>59</v>
      </c>
      <c r="FJ9304" s="44" t="s">
        <v>59</v>
      </c>
    </row>
    <row r="9305" spans="153:166" x14ac:dyDescent="0.35">
      <c r="EW9305" t="s">
        <v>7248</v>
      </c>
      <c r="EX9305" t="s">
        <v>6620</v>
      </c>
      <c r="FF9305" s="44" t="s">
        <v>59</v>
      </c>
      <c r="FJ9305" s="44" t="s">
        <v>59</v>
      </c>
    </row>
    <row r="9306" spans="153:166" x14ac:dyDescent="0.35">
      <c r="EW9306" t="s">
        <v>7248</v>
      </c>
      <c r="EX9306" t="s">
        <v>6621</v>
      </c>
      <c r="FF9306" s="44" t="s">
        <v>59</v>
      </c>
      <c r="FJ9306" s="44" t="s">
        <v>59</v>
      </c>
    </row>
    <row r="9307" spans="153:166" x14ac:dyDescent="0.35">
      <c r="EW9307" t="s">
        <v>7248</v>
      </c>
      <c r="EX9307" t="s">
        <v>6622</v>
      </c>
      <c r="FF9307" s="44" t="s">
        <v>59</v>
      </c>
      <c r="FJ9307" s="44" t="s">
        <v>59</v>
      </c>
    </row>
    <row r="9308" spans="153:166" x14ac:dyDescent="0.35">
      <c r="EW9308" t="s">
        <v>7248</v>
      </c>
      <c r="EX9308" t="s">
        <v>6623</v>
      </c>
      <c r="FF9308" s="44" t="s">
        <v>59</v>
      </c>
      <c r="FJ9308" s="44" t="s">
        <v>59</v>
      </c>
    </row>
    <row r="9309" spans="153:166" x14ac:dyDescent="0.35">
      <c r="EW9309" t="s">
        <v>7248</v>
      </c>
      <c r="EX9309" t="s">
        <v>6624</v>
      </c>
      <c r="FF9309" s="44" t="s">
        <v>59</v>
      </c>
      <c r="FJ9309" s="44" t="s">
        <v>59</v>
      </c>
    </row>
    <row r="9310" spans="153:166" x14ac:dyDescent="0.35">
      <c r="EW9310" t="s">
        <v>7248</v>
      </c>
      <c r="EX9310" t="s">
        <v>6625</v>
      </c>
      <c r="FF9310" s="44" t="s">
        <v>59</v>
      </c>
      <c r="FJ9310" s="44" t="s">
        <v>59</v>
      </c>
    </row>
    <row r="9311" spans="153:166" x14ac:dyDescent="0.35">
      <c r="EW9311" t="s">
        <v>7248</v>
      </c>
      <c r="EX9311" t="s">
        <v>6626</v>
      </c>
      <c r="FF9311" s="44" t="s">
        <v>59</v>
      </c>
      <c r="FJ9311" s="44" t="s">
        <v>59</v>
      </c>
    </row>
    <row r="9312" spans="153:166" x14ac:dyDescent="0.35">
      <c r="EW9312" t="s">
        <v>7248</v>
      </c>
      <c r="EX9312" t="s">
        <v>6627</v>
      </c>
      <c r="FF9312" s="44" t="s">
        <v>59</v>
      </c>
      <c r="FJ9312" s="44" t="s">
        <v>59</v>
      </c>
    </row>
    <row r="9313" spans="153:166" x14ac:dyDescent="0.35">
      <c r="EW9313" t="s">
        <v>7248</v>
      </c>
      <c r="EX9313" t="s">
        <v>6628</v>
      </c>
      <c r="FF9313" s="44" t="s">
        <v>59</v>
      </c>
      <c r="FJ9313" s="44" t="s">
        <v>59</v>
      </c>
    </row>
    <row r="9314" spans="153:166" x14ac:dyDescent="0.35">
      <c r="EW9314" t="s">
        <v>7248</v>
      </c>
      <c r="EX9314" t="s">
        <v>6629</v>
      </c>
      <c r="FF9314" s="44" t="s">
        <v>59</v>
      </c>
      <c r="FJ9314" s="44" t="s">
        <v>59</v>
      </c>
    </row>
    <row r="9315" spans="153:166" x14ac:dyDescent="0.35">
      <c r="EW9315" t="s">
        <v>7248</v>
      </c>
      <c r="EX9315" t="s">
        <v>6630</v>
      </c>
      <c r="FF9315" s="44" t="s">
        <v>59</v>
      </c>
      <c r="FJ9315" s="44" t="s">
        <v>59</v>
      </c>
    </row>
    <row r="9316" spans="153:166" x14ac:dyDescent="0.35">
      <c r="EW9316" t="s">
        <v>7248</v>
      </c>
      <c r="EX9316" t="s">
        <v>6631</v>
      </c>
      <c r="FF9316" s="44" t="s">
        <v>59</v>
      </c>
      <c r="FJ9316" s="44" t="s">
        <v>59</v>
      </c>
    </row>
    <row r="9317" spans="153:166" x14ac:dyDescent="0.35">
      <c r="EW9317" t="s">
        <v>7248</v>
      </c>
      <c r="EX9317" t="s">
        <v>6632</v>
      </c>
      <c r="FF9317" s="44" t="s">
        <v>59</v>
      </c>
      <c r="FJ9317" s="44" t="s">
        <v>59</v>
      </c>
    </row>
    <row r="9318" spans="153:166" x14ac:dyDescent="0.35">
      <c r="EW9318" t="s">
        <v>7248</v>
      </c>
      <c r="EX9318" t="s">
        <v>6633</v>
      </c>
      <c r="FF9318" s="44" t="s">
        <v>59</v>
      </c>
      <c r="FJ9318" s="44" t="s">
        <v>59</v>
      </c>
    </row>
    <row r="9319" spans="153:166" x14ac:dyDescent="0.35">
      <c r="EW9319" t="s">
        <v>7248</v>
      </c>
      <c r="EX9319" t="s">
        <v>6634</v>
      </c>
      <c r="FF9319" s="44" t="s">
        <v>59</v>
      </c>
      <c r="FJ9319" s="44" t="s">
        <v>59</v>
      </c>
    </row>
    <row r="9320" spans="153:166" x14ac:dyDescent="0.35">
      <c r="EW9320" t="s">
        <v>7248</v>
      </c>
      <c r="EX9320" t="s">
        <v>6635</v>
      </c>
      <c r="FF9320" s="44" t="s">
        <v>59</v>
      </c>
      <c r="FJ9320" s="44" t="s">
        <v>59</v>
      </c>
    </row>
    <row r="9321" spans="153:166" x14ac:dyDescent="0.35">
      <c r="EW9321" t="s">
        <v>7248</v>
      </c>
      <c r="EX9321" t="s">
        <v>6636</v>
      </c>
      <c r="FF9321" s="44" t="s">
        <v>59</v>
      </c>
      <c r="FJ9321" s="44" t="s">
        <v>59</v>
      </c>
    </row>
    <row r="9322" spans="153:166" x14ac:dyDescent="0.35">
      <c r="EW9322" t="s">
        <v>7248</v>
      </c>
      <c r="EX9322" t="s">
        <v>6637</v>
      </c>
      <c r="FF9322" s="44" t="s">
        <v>59</v>
      </c>
      <c r="FJ9322" s="44" t="s">
        <v>59</v>
      </c>
    </row>
    <row r="9323" spans="153:166" x14ac:dyDescent="0.35">
      <c r="EW9323" t="s">
        <v>7248</v>
      </c>
      <c r="EX9323" t="s">
        <v>6638</v>
      </c>
      <c r="FF9323" s="44" t="s">
        <v>59</v>
      </c>
      <c r="FJ9323" s="44" t="s">
        <v>59</v>
      </c>
    </row>
    <row r="9324" spans="153:166" x14ac:dyDescent="0.35">
      <c r="EW9324" t="s">
        <v>7248</v>
      </c>
      <c r="EX9324" t="s">
        <v>6639</v>
      </c>
      <c r="FF9324" s="44" t="s">
        <v>59</v>
      </c>
      <c r="FJ9324" s="44" t="s">
        <v>59</v>
      </c>
    </row>
    <row r="9325" spans="153:166" x14ac:dyDescent="0.35">
      <c r="EW9325" t="s">
        <v>7248</v>
      </c>
      <c r="EX9325" t="s">
        <v>6640</v>
      </c>
      <c r="FF9325" s="44" t="s">
        <v>59</v>
      </c>
      <c r="FJ9325" s="44" t="s">
        <v>59</v>
      </c>
    </row>
    <row r="9326" spans="153:166" x14ac:dyDescent="0.35">
      <c r="EW9326" t="s">
        <v>7248</v>
      </c>
      <c r="EX9326" t="s">
        <v>6641</v>
      </c>
      <c r="FF9326" s="44" t="s">
        <v>59</v>
      </c>
      <c r="FJ9326" s="44" t="s">
        <v>59</v>
      </c>
    </row>
    <row r="9327" spans="153:166" x14ac:dyDescent="0.35">
      <c r="EW9327" t="s">
        <v>7248</v>
      </c>
      <c r="EX9327" t="s">
        <v>6642</v>
      </c>
      <c r="FF9327" s="44" t="s">
        <v>59</v>
      </c>
      <c r="FJ9327" s="44" t="s">
        <v>59</v>
      </c>
    </row>
    <row r="9328" spans="153:166" x14ac:dyDescent="0.35">
      <c r="EW9328" t="s">
        <v>7248</v>
      </c>
      <c r="EX9328" t="s">
        <v>6643</v>
      </c>
      <c r="FF9328" s="44" t="s">
        <v>59</v>
      </c>
      <c r="FJ9328" s="44" t="s">
        <v>59</v>
      </c>
    </row>
    <row r="9329" spans="153:166" x14ac:dyDescent="0.35">
      <c r="EW9329" t="s">
        <v>7248</v>
      </c>
      <c r="EX9329" t="s">
        <v>6644</v>
      </c>
      <c r="FF9329" s="44" t="s">
        <v>59</v>
      </c>
      <c r="FJ9329" s="44" t="s">
        <v>59</v>
      </c>
    </row>
    <row r="9330" spans="153:166" x14ac:dyDescent="0.35">
      <c r="EW9330" t="s">
        <v>7248</v>
      </c>
      <c r="EX9330" t="s">
        <v>6645</v>
      </c>
      <c r="FF9330" s="44" t="s">
        <v>59</v>
      </c>
      <c r="FJ9330" s="44" t="s">
        <v>59</v>
      </c>
    </row>
    <row r="9331" spans="153:166" x14ac:dyDescent="0.35">
      <c r="EW9331" t="s">
        <v>7248</v>
      </c>
      <c r="EX9331" t="s">
        <v>6646</v>
      </c>
      <c r="FF9331" s="44" t="s">
        <v>59</v>
      </c>
      <c r="FJ9331" s="44" t="s">
        <v>59</v>
      </c>
    </row>
    <row r="9332" spans="153:166" x14ac:dyDescent="0.35">
      <c r="EW9332" t="s">
        <v>7248</v>
      </c>
      <c r="EX9332" t="s">
        <v>6647</v>
      </c>
      <c r="FF9332" s="44" t="s">
        <v>59</v>
      </c>
      <c r="FJ9332" s="44" t="s">
        <v>59</v>
      </c>
    </row>
    <row r="9333" spans="153:166" x14ac:dyDescent="0.35">
      <c r="EW9333" t="s">
        <v>7248</v>
      </c>
      <c r="EX9333" t="s">
        <v>6648</v>
      </c>
      <c r="FF9333" s="44" t="s">
        <v>59</v>
      </c>
      <c r="FJ9333" s="44" t="s">
        <v>59</v>
      </c>
    </row>
    <row r="9334" spans="153:166" x14ac:dyDescent="0.35">
      <c r="EW9334" t="s">
        <v>7248</v>
      </c>
      <c r="EX9334" t="s">
        <v>6649</v>
      </c>
      <c r="FF9334" s="44" t="s">
        <v>59</v>
      </c>
      <c r="FJ9334" s="44" t="s">
        <v>59</v>
      </c>
    </row>
    <row r="9335" spans="153:166" x14ac:dyDescent="0.35">
      <c r="EW9335" t="s">
        <v>7248</v>
      </c>
      <c r="EX9335" t="s">
        <v>6650</v>
      </c>
      <c r="FF9335" s="44" t="s">
        <v>59</v>
      </c>
      <c r="FJ9335" s="44" t="s">
        <v>59</v>
      </c>
    </row>
    <row r="9336" spans="153:166" x14ac:dyDescent="0.35">
      <c r="EW9336" t="s">
        <v>7248</v>
      </c>
      <c r="EX9336" t="s">
        <v>6651</v>
      </c>
      <c r="FF9336" s="44" t="s">
        <v>59</v>
      </c>
      <c r="FJ9336" s="44" t="s">
        <v>59</v>
      </c>
    </row>
    <row r="9337" spans="153:166" x14ac:dyDescent="0.35">
      <c r="EW9337" t="s">
        <v>7248</v>
      </c>
      <c r="EX9337" t="s">
        <v>6652</v>
      </c>
      <c r="FF9337" s="44" t="s">
        <v>59</v>
      </c>
      <c r="FJ9337" s="44" t="s">
        <v>59</v>
      </c>
    </row>
    <row r="9338" spans="153:166" x14ac:dyDescent="0.35">
      <c r="EW9338" t="s">
        <v>7248</v>
      </c>
      <c r="EX9338" t="s">
        <v>6653</v>
      </c>
      <c r="FF9338" s="44" t="s">
        <v>59</v>
      </c>
      <c r="FJ9338" s="44" t="s">
        <v>59</v>
      </c>
    </row>
    <row r="9339" spans="153:166" x14ac:dyDescent="0.35">
      <c r="EW9339" t="s">
        <v>7248</v>
      </c>
      <c r="EX9339" t="s">
        <v>6654</v>
      </c>
      <c r="FF9339" s="44" t="s">
        <v>59</v>
      </c>
      <c r="FJ9339" s="44" t="s">
        <v>59</v>
      </c>
    </row>
    <row r="9340" spans="153:166" x14ac:dyDescent="0.35">
      <c r="EW9340" t="s">
        <v>7248</v>
      </c>
      <c r="EX9340" t="s">
        <v>6655</v>
      </c>
      <c r="FF9340" s="44" t="s">
        <v>59</v>
      </c>
      <c r="FJ9340" s="44" t="s">
        <v>59</v>
      </c>
    </row>
    <row r="9341" spans="153:166" x14ac:dyDescent="0.35">
      <c r="EW9341" t="s">
        <v>7248</v>
      </c>
      <c r="EX9341" t="s">
        <v>6656</v>
      </c>
      <c r="FF9341" s="44" t="s">
        <v>59</v>
      </c>
      <c r="FJ9341" s="44" t="s">
        <v>59</v>
      </c>
    </row>
    <row r="9342" spans="153:166" x14ac:dyDescent="0.35">
      <c r="EW9342" t="s">
        <v>7248</v>
      </c>
      <c r="EX9342" t="s">
        <v>6657</v>
      </c>
      <c r="FF9342" s="44" t="s">
        <v>59</v>
      </c>
      <c r="FJ9342" s="44" t="s">
        <v>59</v>
      </c>
    </row>
    <row r="9343" spans="153:166" x14ac:dyDescent="0.35">
      <c r="EW9343" t="s">
        <v>7248</v>
      </c>
      <c r="EX9343" t="s">
        <v>6658</v>
      </c>
      <c r="FF9343" s="44" t="s">
        <v>59</v>
      </c>
      <c r="FJ9343" s="44" t="s">
        <v>59</v>
      </c>
    </row>
    <row r="9344" spans="153:166" x14ac:dyDescent="0.35">
      <c r="EW9344" t="s">
        <v>7248</v>
      </c>
      <c r="EX9344" t="s">
        <v>6659</v>
      </c>
      <c r="FF9344" s="44" t="s">
        <v>59</v>
      </c>
      <c r="FJ9344" s="44" t="s">
        <v>59</v>
      </c>
    </row>
    <row r="9345" spans="153:166" x14ac:dyDescent="0.35">
      <c r="EW9345" t="s">
        <v>7248</v>
      </c>
      <c r="EX9345" t="s">
        <v>6660</v>
      </c>
      <c r="FF9345" s="44" t="s">
        <v>59</v>
      </c>
      <c r="FJ9345" s="44" t="s">
        <v>59</v>
      </c>
    </row>
    <row r="9346" spans="153:166" x14ac:dyDescent="0.35">
      <c r="EW9346" t="s">
        <v>7248</v>
      </c>
      <c r="EX9346" t="s">
        <v>6661</v>
      </c>
      <c r="FF9346" s="44" t="s">
        <v>59</v>
      </c>
      <c r="FJ9346" s="44" t="s">
        <v>59</v>
      </c>
    </row>
    <row r="9347" spans="153:166" x14ac:dyDescent="0.35">
      <c r="EW9347" t="s">
        <v>7248</v>
      </c>
      <c r="EX9347" t="s">
        <v>6662</v>
      </c>
      <c r="FF9347" s="44" t="s">
        <v>59</v>
      </c>
      <c r="FJ9347" s="44" t="s">
        <v>59</v>
      </c>
    </row>
    <row r="9348" spans="153:166" x14ac:dyDescent="0.35">
      <c r="EW9348" t="s">
        <v>7248</v>
      </c>
      <c r="EX9348" t="s">
        <v>6663</v>
      </c>
      <c r="FF9348" s="44" t="s">
        <v>59</v>
      </c>
      <c r="FJ9348" s="44" t="s">
        <v>59</v>
      </c>
    </row>
    <row r="9349" spans="153:166" x14ac:dyDescent="0.35">
      <c r="EW9349" t="s">
        <v>7248</v>
      </c>
      <c r="EX9349" t="s">
        <v>6664</v>
      </c>
      <c r="FF9349" s="44" t="s">
        <v>59</v>
      </c>
      <c r="FJ9349" s="44" t="s">
        <v>59</v>
      </c>
    </row>
    <row r="9350" spans="153:166" x14ac:dyDescent="0.35">
      <c r="EW9350" t="s">
        <v>7248</v>
      </c>
      <c r="EX9350" t="s">
        <v>6665</v>
      </c>
      <c r="FF9350" s="44" t="s">
        <v>59</v>
      </c>
      <c r="FJ9350" s="44" t="s">
        <v>59</v>
      </c>
    </row>
    <row r="9351" spans="153:166" x14ac:dyDescent="0.35">
      <c r="EW9351" t="s">
        <v>7248</v>
      </c>
      <c r="EX9351" t="s">
        <v>6666</v>
      </c>
      <c r="FF9351" s="44" t="s">
        <v>59</v>
      </c>
      <c r="FJ9351" s="44" t="s">
        <v>59</v>
      </c>
    </row>
    <row r="9352" spans="153:166" x14ac:dyDescent="0.35">
      <c r="EW9352" t="s">
        <v>7248</v>
      </c>
      <c r="EX9352" t="s">
        <v>6667</v>
      </c>
      <c r="FF9352" s="44" t="s">
        <v>59</v>
      </c>
      <c r="FJ9352" s="44" t="s">
        <v>59</v>
      </c>
    </row>
    <row r="9353" spans="153:166" x14ac:dyDescent="0.35">
      <c r="EW9353" t="s">
        <v>7248</v>
      </c>
      <c r="EX9353" t="s">
        <v>6668</v>
      </c>
      <c r="FF9353" s="44" t="s">
        <v>59</v>
      </c>
      <c r="FJ9353" s="44" t="s">
        <v>59</v>
      </c>
    </row>
    <row r="9354" spans="153:166" x14ac:dyDescent="0.35">
      <c r="EW9354" t="s">
        <v>7248</v>
      </c>
      <c r="EX9354" t="s">
        <v>6669</v>
      </c>
      <c r="FF9354" s="44" t="s">
        <v>59</v>
      </c>
      <c r="FJ9354" s="44" t="s">
        <v>59</v>
      </c>
    </row>
    <row r="9355" spans="153:166" x14ac:dyDescent="0.35">
      <c r="EW9355" t="s">
        <v>7248</v>
      </c>
      <c r="EX9355" t="s">
        <v>6670</v>
      </c>
      <c r="FF9355" s="44" t="s">
        <v>59</v>
      </c>
      <c r="FJ9355" s="44" t="s">
        <v>59</v>
      </c>
    </row>
    <row r="9356" spans="153:166" x14ac:dyDescent="0.35">
      <c r="EW9356" t="s">
        <v>7248</v>
      </c>
      <c r="EX9356" t="s">
        <v>6671</v>
      </c>
      <c r="FF9356" s="44" t="s">
        <v>59</v>
      </c>
      <c r="FJ9356" s="44" t="s">
        <v>59</v>
      </c>
    </row>
    <row r="9357" spans="153:166" x14ac:dyDescent="0.35">
      <c r="EW9357" t="s">
        <v>7248</v>
      </c>
      <c r="EX9357" t="s">
        <v>6672</v>
      </c>
      <c r="FF9357" s="44" t="s">
        <v>59</v>
      </c>
      <c r="FJ9357" s="44" t="s">
        <v>59</v>
      </c>
    </row>
    <row r="9358" spans="153:166" x14ac:dyDescent="0.35">
      <c r="EW9358" t="s">
        <v>7248</v>
      </c>
      <c r="EX9358" t="s">
        <v>6673</v>
      </c>
      <c r="FF9358" s="44" t="s">
        <v>59</v>
      </c>
      <c r="FJ9358" s="44" t="s">
        <v>59</v>
      </c>
    </row>
    <row r="9359" spans="153:166" x14ac:dyDescent="0.35">
      <c r="EW9359" t="s">
        <v>7248</v>
      </c>
      <c r="EX9359" t="s">
        <v>6674</v>
      </c>
      <c r="FF9359" s="44" t="s">
        <v>59</v>
      </c>
      <c r="FJ9359" s="44" t="s">
        <v>59</v>
      </c>
    </row>
    <row r="9360" spans="153:166" x14ac:dyDescent="0.35">
      <c r="EW9360" t="s">
        <v>7248</v>
      </c>
      <c r="EX9360" t="s">
        <v>6675</v>
      </c>
      <c r="FF9360" s="44" t="s">
        <v>59</v>
      </c>
      <c r="FJ9360" s="44" t="s">
        <v>59</v>
      </c>
    </row>
    <row r="9361" spans="153:166" x14ac:dyDescent="0.35">
      <c r="EW9361" t="s">
        <v>7248</v>
      </c>
      <c r="EX9361" t="s">
        <v>6676</v>
      </c>
      <c r="FF9361" s="44" t="s">
        <v>59</v>
      </c>
      <c r="FJ9361" s="44" t="s">
        <v>59</v>
      </c>
    </row>
    <row r="9362" spans="153:166" x14ac:dyDescent="0.35">
      <c r="EW9362" t="s">
        <v>7248</v>
      </c>
      <c r="EX9362" t="s">
        <v>6677</v>
      </c>
      <c r="FF9362" s="44" t="s">
        <v>59</v>
      </c>
      <c r="FJ9362" s="44" t="s">
        <v>59</v>
      </c>
    </row>
    <row r="9363" spans="153:166" x14ac:dyDescent="0.35">
      <c r="EW9363" t="s">
        <v>7248</v>
      </c>
      <c r="EX9363" t="s">
        <v>6678</v>
      </c>
      <c r="FF9363" s="44" t="s">
        <v>59</v>
      </c>
      <c r="FJ9363" s="44" t="s">
        <v>59</v>
      </c>
    </row>
    <row r="9364" spans="153:166" x14ac:dyDescent="0.35">
      <c r="EW9364" t="s">
        <v>7248</v>
      </c>
      <c r="EX9364" t="s">
        <v>6679</v>
      </c>
      <c r="FF9364" s="44" t="s">
        <v>59</v>
      </c>
      <c r="FJ9364" s="44" t="s">
        <v>59</v>
      </c>
    </row>
    <row r="9365" spans="153:166" x14ac:dyDescent="0.35">
      <c r="EW9365" t="s">
        <v>7248</v>
      </c>
      <c r="EX9365" t="s">
        <v>6680</v>
      </c>
      <c r="FF9365" s="44" t="s">
        <v>59</v>
      </c>
      <c r="FJ9365" s="44" t="s">
        <v>59</v>
      </c>
    </row>
    <row r="9366" spans="153:166" x14ac:dyDescent="0.35">
      <c r="EW9366" t="s">
        <v>7248</v>
      </c>
      <c r="EX9366" t="s">
        <v>6681</v>
      </c>
      <c r="FF9366" s="44" t="s">
        <v>59</v>
      </c>
      <c r="FJ9366" s="44" t="s">
        <v>59</v>
      </c>
    </row>
    <row r="9367" spans="153:166" x14ac:dyDescent="0.35">
      <c r="EW9367" t="s">
        <v>7248</v>
      </c>
      <c r="EX9367" t="s">
        <v>6682</v>
      </c>
      <c r="FF9367" s="44" t="s">
        <v>59</v>
      </c>
      <c r="FJ9367" s="44" t="s">
        <v>59</v>
      </c>
    </row>
    <row r="9368" spans="153:166" x14ac:dyDescent="0.35">
      <c r="EW9368" t="s">
        <v>7248</v>
      </c>
      <c r="EX9368" t="s">
        <v>6683</v>
      </c>
      <c r="FF9368" s="44" t="s">
        <v>59</v>
      </c>
      <c r="FJ9368" s="44" t="s">
        <v>59</v>
      </c>
    </row>
    <row r="9369" spans="153:166" x14ac:dyDescent="0.35">
      <c r="EW9369" t="s">
        <v>7248</v>
      </c>
      <c r="EX9369" t="s">
        <v>6684</v>
      </c>
      <c r="FF9369" s="44" t="s">
        <v>59</v>
      </c>
      <c r="FJ9369" s="44" t="s">
        <v>59</v>
      </c>
    </row>
    <row r="9370" spans="153:166" x14ac:dyDescent="0.35">
      <c r="EW9370" t="s">
        <v>7248</v>
      </c>
      <c r="EX9370" t="s">
        <v>6685</v>
      </c>
      <c r="FF9370" s="44" t="s">
        <v>59</v>
      </c>
      <c r="FJ9370" s="44" t="s">
        <v>59</v>
      </c>
    </row>
    <row r="9371" spans="153:166" x14ac:dyDescent="0.35">
      <c r="EW9371" t="s">
        <v>7248</v>
      </c>
      <c r="EX9371" t="s">
        <v>6686</v>
      </c>
      <c r="FF9371" s="44" t="s">
        <v>59</v>
      </c>
      <c r="FJ9371" s="44" t="s">
        <v>59</v>
      </c>
    </row>
    <row r="9372" spans="153:166" x14ac:dyDescent="0.35">
      <c r="EW9372" t="s">
        <v>7248</v>
      </c>
      <c r="EX9372" t="s">
        <v>6687</v>
      </c>
      <c r="FF9372" s="44" t="s">
        <v>59</v>
      </c>
      <c r="FJ9372" s="44" t="s">
        <v>59</v>
      </c>
    </row>
    <row r="9373" spans="153:166" x14ac:dyDescent="0.35">
      <c r="EW9373" t="s">
        <v>7248</v>
      </c>
      <c r="EX9373" t="s">
        <v>6688</v>
      </c>
      <c r="FF9373" s="44" t="s">
        <v>59</v>
      </c>
      <c r="FJ9373" s="44" t="s">
        <v>59</v>
      </c>
    </row>
    <row r="9374" spans="153:166" x14ac:dyDescent="0.35">
      <c r="EW9374" t="s">
        <v>7248</v>
      </c>
      <c r="EX9374" t="s">
        <v>6689</v>
      </c>
      <c r="FF9374" s="44" t="s">
        <v>59</v>
      </c>
      <c r="FJ9374" s="44" t="s">
        <v>59</v>
      </c>
    </row>
    <row r="9375" spans="153:166" x14ac:dyDescent="0.35">
      <c r="EW9375" t="s">
        <v>7248</v>
      </c>
      <c r="EX9375" t="s">
        <v>6690</v>
      </c>
      <c r="FF9375" s="44" t="s">
        <v>59</v>
      </c>
      <c r="FJ9375" s="44" t="s">
        <v>59</v>
      </c>
    </row>
    <row r="9376" spans="153:166" x14ac:dyDescent="0.35">
      <c r="EW9376" t="s">
        <v>7248</v>
      </c>
      <c r="EX9376" t="s">
        <v>6691</v>
      </c>
      <c r="FF9376" s="44" t="s">
        <v>59</v>
      </c>
      <c r="FJ9376" s="44" t="s">
        <v>59</v>
      </c>
    </row>
    <row r="9377" spans="153:166" x14ac:dyDescent="0.35">
      <c r="EW9377" t="s">
        <v>7248</v>
      </c>
      <c r="EX9377" t="s">
        <v>6692</v>
      </c>
      <c r="FF9377" s="44" t="s">
        <v>59</v>
      </c>
      <c r="FJ9377" s="44" t="s">
        <v>59</v>
      </c>
    </row>
    <row r="9378" spans="153:166" x14ac:dyDescent="0.35">
      <c r="EW9378" t="s">
        <v>7248</v>
      </c>
      <c r="EX9378" t="s">
        <v>6693</v>
      </c>
      <c r="FF9378" s="44" t="s">
        <v>59</v>
      </c>
      <c r="FJ9378" s="44" t="s">
        <v>59</v>
      </c>
    </row>
    <row r="9379" spans="153:166" x14ac:dyDescent="0.35">
      <c r="EW9379" t="s">
        <v>7248</v>
      </c>
      <c r="EX9379" t="s">
        <v>6694</v>
      </c>
      <c r="FF9379" s="44" t="s">
        <v>59</v>
      </c>
      <c r="FJ9379" s="44" t="s">
        <v>59</v>
      </c>
    </row>
    <row r="9380" spans="153:166" x14ac:dyDescent="0.35">
      <c r="EW9380" t="s">
        <v>7248</v>
      </c>
      <c r="EX9380" t="s">
        <v>6695</v>
      </c>
      <c r="FF9380" s="44" t="s">
        <v>59</v>
      </c>
      <c r="FJ9380" s="44" t="s">
        <v>59</v>
      </c>
    </row>
    <row r="9381" spans="153:166" x14ac:dyDescent="0.35">
      <c r="EW9381" t="s">
        <v>7248</v>
      </c>
      <c r="EX9381" t="s">
        <v>6696</v>
      </c>
      <c r="FF9381" s="44" t="s">
        <v>59</v>
      </c>
      <c r="FJ9381" s="44" t="s">
        <v>59</v>
      </c>
    </row>
    <row r="9382" spans="153:166" x14ac:dyDescent="0.35">
      <c r="EW9382" t="s">
        <v>7248</v>
      </c>
      <c r="EX9382" t="s">
        <v>6697</v>
      </c>
      <c r="FF9382" s="44" t="s">
        <v>59</v>
      </c>
      <c r="FJ9382" s="44" t="s">
        <v>59</v>
      </c>
    </row>
    <row r="9383" spans="153:166" x14ac:dyDescent="0.35">
      <c r="EW9383" t="s">
        <v>7248</v>
      </c>
      <c r="EX9383" t="s">
        <v>6698</v>
      </c>
      <c r="FF9383" s="44" t="s">
        <v>59</v>
      </c>
      <c r="FJ9383" s="44" t="s">
        <v>59</v>
      </c>
    </row>
    <row r="9384" spans="153:166" x14ac:dyDescent="0.35">
      <c r="EW9384" t="s">
        <v>7248</v>
      </c>
      <c r="EX9384" t="s">
        <v>6699</v>
      </c>
      <c r="FF9384" s="44" t="s">
        <v>59</v>
      </c>
      <c r="FJ9384" s="44" t="s">
        <v>59</v>
      </c>
    </row>
    <row r="9385" spans="153:166" x14ac:dyDescent="0.35">
      <c r="EW9385" t="s">
        <v>7248</v>
      </c>
      <c r="EX9385" t="s">
        <v>6700</v>
      </c>
      <c r="FF9385" s="44" t="s">
        <v>59</v>
      </c>
      <c r="FJ9385" s="44" t="s">
        <v>59</v>
      </c>
    </row>
    <row r="9386" spans="153:166" x14ac:dyDescent="0.35">
      <c r="EW9386" t="s">
        <v>7248</v>
      </c>
      <c r="EX9386" t="s">
        <v>6701</v>
      </c>
      <c r="FF9386" s="44" t="s">
        <v>59</v>
      </c>
      <c r="FJ9386" s="44" t="s">
        <v>59</v>
      </c>
    </row>
    <row r="9387" spans="153:166" x14ac:dyDescent="0.35">
      <c r="EW9387" t="s">
        <v>7248</v>
      </c>
      <c r="EX9387" t="s">
        <v>6702</v>
      </c>
      <c r="FF9387" s="44" t="s">
        <v>59</v>
      </c>
      <c r="FJ9387" s="44" t="s">
        <v>59</v>
      </c>
    </row>
    <row r="9388" spans="153:166" x14ac:dyDescent="0.35">
      <c r="EW9388" t="s">
        <v>7248</v>
      </c>
      <c r="EX9388" t="s">
        <v>6703</v>
      </c>
      <c r="FF9388" s="44" t="s">
        <v>1727</v>
      </c>
      <c r="FJ9388" s="44" t="s">
        <v>1727</v>
      </c>
    </row>
    <row r="9389" spans="153:166" x14ac:dyDescent="0.35">
      <c r="EW9389" t="s">
        <v>7248</v>
      </c>
      <c r="EX9389" t="s">
        <v>6704</v>
      </c>
      <c r="FF9389" s="44" t="s">
        <v>1727</v>
      </c>
      <c r="FJ9389" s="44" t="s">
        <v>1727</v>
      </c>
    </row>
    <row r="9390" spans="153:166" x14ac:dyDescent="0.35">
      <c r="EW9390" t="s">
        <v>7248</v>
      </c>
      <c r="EX9390" t="s">
        <v>7249</v>
      </c>
      <c r="FF9390" s="44" t="s">
        <v>1727</v>
      </c>
      <c r="FJ9390" s="44" t="s">
        <v>1727</v>
      </c>
    </row>
    <row r="9391" spans="153:166" x14ac:dyDescent="0.35">
      <c r="EW9391" t="s">
        <v>7248</v>
      </c>
      <c r="EX9391" t="s">
        <v>6706</v>
      </c>
      <c r="FF9391" s="44" t="s">
        <v>1727</v>
      </c>
      <c r="FJ9391" s="44" t="s">
        <v>1727</v>
      </c>
    </row>
    <row r="9392" spans="153:166" x14ac:dyDescent="0.35">
      <c r="EW9392" t="s">
        <v>7248</v>
      </c>
      <c r="EX9392" t="s">
        <v>6707</v>
      </c>
      <c r="FF9392" s="44" t="s">
        <v>1727</v>
      </c>
      <c r="FJ9392" s="44" t="s">
        <v>1727</v>
      </c>
    </row>
    <row r="9393" spans="153:166" x14ac:dyDescent="0.35">
      <c r="EW9393" t="s">
        <v>7248</v>
      </c>
      <c r="EX9393" t="s">
        <v>6708</v>
      </c>
      <c r="FF9393" s="44" t="s">
        <v>1727</v>
      </c>
      <c r="FJ9393" s="44" t="s">
        <v>1727</v>
      </c>
    </row>
    <row r="9394" spans="153:166" x14ac:dyDescent="0.35">
      <c r="EW9394" t="s">
        <v>7248</v>
      </c>
      <c r="EX9394" t="s">
        <v>6709</v>
      </c>
      <c r="FF9394" s="44" t="s">
        <v>1727</v>
      </c>
      <c r="FJ9394" s="44" t="s">
        <v>1727</v>
      </c>
    </row>
    <row r="9395" spans="153:166" x14ac:dyDescent="0.35">
      <c r="EW9395" t="s">
        <v>7248</v>
      </c>
      <c r="EX9395" t="s">
        <v>6710</v>
      </c>
      <c r="FF9395" s="44" t="s">
        <v>1727</v>
      </c>
      <c r="FJ9395" s="44" t="s">
        <v>1727</v>
      </c>
    </row>
    <row r="9396" spans="153:166" x14ac:dyDescent="0.35">
      <c r="EW9396" t="s">
        <v>7248</v>
      </c>
      <c r="EX9396" t="s">
        <v>6711</v>
      </c>
      <c r="FF9396" s="44" t="s">
        <v>55</v>
      </c>
      <c r="FJ9396" s="44" t="s">
        <v>55</v>
      </c>
    </row>
    <row r="9397" spans="153:166" x14ac:dyDescent="0.35">
      <c r="EW9397" t="s">
        <v>7248</v>
      </c>
      <c r="EX9397" t="s">
        <v>6712</v>
      </c>
      <c r="FF9397" s="44" t="s">
        <v>55</v>
      </c>
      <c r="FJ9397" s="44" t="s">
        <v>55</v>
      </c>
    </row>
    <row r="9398" spans="153:166" x14ac:dyDescent="0.35">
      <c r="EW9398" t="s">
        <v>7248</v>
      </c>
      <c r="EX9398" t="s">
        <v>7250</v>
      </c>
      <c r="FF9398" s="44" t="s">
        <v>1727</v>
      </c>
      <c r="FJ9398" s="44" t="s">
        <v>1727</v>
      </c>
    </row>
    <row r="9399" spans="153:166" x14ac:dyDescent="0.35">
      <c r="EW9399" t="s">
        <v>7248</v>
      </c>
      <c r="EX9399" t="s">
        <v>6714</v>
      </c>
      <c r="FF9399" s="44" t="s">
        <v>1727</v>
      </c>
      <c r="FJ9399" s="44" t="s">
        <v>1727</v>
      </c>
    </row>
    <row r="9400" spans="153:166" x14ac:dyDescent="0.35">
      <c r="EW9400" t="s">
        <v>7248</v>
      </c>
      <c r="EX9400" t="s">
        <v>6715</v>
      </c>
      <c r="FF9400" s="44" t="s">
        <v>474</v>
      </c>
      <c r="FJ9400" s="44" t="s">
        <v>474</v>
      </c>
    </row>
    <row r="9401" spans="153:166" x14ac:dyDescent="0.35">
      <c r="EW9401" t="s">
        <v>7248</v>
      </c>
      <c r="EX9401" t="s">
        <v>6716</v>
      </c>
      <c r="FF9401" s="44" t="s">
        <v>474</v>
      </c>
      <c r="FJ9401" s="44" t="s">
        <v>474</v>
      </c>
    </row>
    <row r="9402" spans="153:166" x14ac:dyDescent="0.35">
      <c r="EW9402" t="s">
        <v>7248</v>
      </c>
      <c r="EX9402" t="s">
        <v>6717</v>
      </c>
      <c r="FF9402" s="44" t="s">
        <v>474</v>
      </c>
      <c r="FJ9402" s="44" t="s">
        <v>474</v>
      </c>
    </row>
    <row r="9403" spans="153:166" x14ac:dyDescent="0.35">
      <c r="EW9403" t="s">
        <v>7248</v>
      </c>
      <c r="EX9403" t="s">
        <v>6718</v>
      </c>
      <c r="FF9403" s="44" t="s">
        <v>474</v>
      </c>
      <c r="FJ9403" s="44" t="s">
        <v>474</v>
      </c>
    </row>
    <row r="9404" spans="153:166" x14ac:dyDescent="0.35">
      <c r="EW9404" t="s">
        <v>7248</v>
      </c>
      <c r="EX9404" t="s">
        <v>6719</v>
      </c>
      <c r="FF9404" s="44" t="s">
        <v>474</v>
      </c>
      <c r="FJ9404" s="44" t="s">
        <v>474</v>
      </c>
    </row>
    <row r="9405" spans="153:166" x14ac:dyDescent="0.35">
      <c r="EW9405" t="s">
        <v>7248</v>
      </c>
      <c r="EX9405" t="s">
        <v>6720</v>
      </c>
      <c r="FF9405" s="44" t="s">
        <v>474</v>
      </c>
      <c r="FJ9405" s="44" t="s">
        <v>474</v>
      </c>
    </row>
    <row r="9406" spans="153:166" x14ac:dyDescent="0.35">
      <c r="EW9406" t="s">
        <v>7248</v>
      </c>
      <c r="EX9406" t="s">
        <v>6721</v>
      </c>
      <c r="FF9406" s="44" t="s">
        <v>474</v>
      </c>
      <c r="FJ9406" s="44" t="s">
        <v>474</v>
      </c>
    </row>
    <row r="9407" spans="153:166" x14ac:dyDescent="0.35">
      <c r="EW9407" t="s">
        <v>7248</v>
      </c>
      <c r="EX9407" t="s">
        <v>6722</v>
      </c>
      <c r="FF9407" s="44" t="s">
        <v>474</v>
      </c>
      <c r="FJ9407" s="44" t="s">
        <v>474</v>
      </c>
    </row>
    <row r="9408" spans="153:166" x14ac:dyDescent="0.35">
      <c r="EW9408" t="s">
        <v>7248</v>
      </c>
      <c r="EX9408" t="s">
        <v>6723</v>
      </c>
      <c r="FF9408" s="44" t="s">
        <v>474</v>
      </c>
      <c r="FJ9408" s="44" t="s">
        <v>474</v>
      </c>
    </row>
    <row r="9409" spans="153:166" x14ac:dyDescent="0.35">
      <c r="EW9409" t="s">
        <v>7248</v>
      </c>
      <c r="EX9409" t="s">
        <v>6724</v>
      </c>
      <c r="FF9409" s="44" t="s">
        <v>474</v>
      </c>
      <c r="FJ9409" s="44" t="s">
        <v>474</v>
      </c>
    </row>
    <row r="9410" spans="153:166" x14ac:dyDescent="0.35">
      <c r="EW9410" t="s">
        <v>7248</v>
      </c>
      <c r="EX9410" t="s">
        <v>6725</v>
      </c>
      <c r="FF9410" s="44" t="s">
        <v>474</v>
      </c>
      <c r="FJ9410" s="44" t="s">
        <v>474</v>
      </c>
    </row>
    <row r="9411" spans="153:166" x14ac:dyDescent="0.35">
      <c r="EW9411" t="s">
        <v>7248</v>
      </c>
      <c r="EX9411" t="s">
        <v>6726</v>
      </c>
      <c r="FF9411" s="44" t="s">
        <v>474</v>
      </c>
      <c r="FJ9411" s="44" t="s">
        <v>474</v>
      </c>
    </row>
    <row r="9412" spans="153:166" x14ac:dyDescent="0.35">
      <c r="EW9412" t="s">
        <v>7248</v>
      </c>
      <c r="EX9412" t="s">
        <v>6727</v>
      </c>
      <c r="FF9412" s="44" t="s">
        <v>474</v>
      </c>
      <c r="FJ9412" s="44" t="s">
        <v>474</v>
      </c>
    </row>
    <row r="9413" spans="153:166" x14ac:dyDescent="0.35">
      <c r="EW9413" t="s">
        <v>7248</v>
      </c>
      <c r="EX9413" t="s">
        <v>6728</v>
      </c>
      <c r="FF9413" s="44" t="s">
        <v>474</v>
      </c>
      <c r="FJ9413" s="44" t="s">
        <v>474</v>
      </c>
    </row>
    <row r="9414" spans="153:166" x14ac:dyDescent="0.35">
      <c r="EW9414" t="s">
        <v>7248</v>
      </c>
      <c r="EX9414" t="s">
        <v>6729</v>
      </c>
      <c r="FF9414" s="44" t="s">
        <v>474</v>
      </c>
      <c r="FJ9414" s="44" t="s">
        <v>474</v>
      </c>
    </row>
    <row r="9415" spans="153:166" x14ac:dyDescent="0.35">
      <c r="EW9415" t="s">
        <v>7248</v>
      </c>
      <c r="EX9415" t="s">
        <v>6730</v>
      </c>
      <c r="FF9415" s="44" t="s">
        <v>474</v>
      </c>
      <c r="FJ9415" s="44" t="s">
        <v>474</v>
      </c>
    </row>
    <row r="9416" spans="153:166" x14ac:dyDescent="0.35">
      <c r="EW9416" t="s">
        <v>7248</v>
      </c>
      <c r="EX9416" t="s">
        <v>6731</v>
      </c>
      <c r="FF9416" s="44" t="s">
        <v>474</v>
      </c>
      <c r="FJ9416" s="44" t="s">
        <v>474</v>
      </c>
    </row>
    <row r="9417" spans="153:166" x14ac:dyDescent="0.35">
      <c r="EW9417" t="s">
        <v>7248</v>
      </c>
      <c r="EX9417" t="s">
        <v>6732</v>
      </c>
      <c r="FF9417" s="44" t="s">
        <v>474</v>
      </c>
      <c r="FJ9417" s="44" t="s">
        <v>474</v>
      </c>
    </row>
    <row r="9418" spans="153:166" x14ac:dyDescent="0.35">
      <c r="EW9418" t="s">
        <v>7248</v>
      </c>
      <c r="EX9418" t="s">
        <v>6733</v>
      </c>
      <c r="FF9418" s="44" t="s">
        <v>474</v>
      </c>
      <c r="FJ9418" s="44" t="s">
        <v>474</v>
      </c>
    </row>
    <row r="9419" spans="153:166" x14ac:dyDescent="0.35">
      <c r="EW9419" t="s">
        <v>7248</v>
      </c>
      <c r="EX9419" t="s">
        <v>6734</v>
      </c>
      <c r="FF9419" s="44" t="s">
        <v>474</v>
      </c>
      <c r="FJ9419" s="44" t="s">
        <v>474</v>
      </c>
    </row>
    <row r="9420" spans="153:166" x14ac:dyDescent="0.35">
      <c r="EW9420" t="s">
        <v>7248</v>
      </c>
      <c r="EX9420" t="s">
        <v>6735</v>
      </c>
      <c r="FF9420" s="44" t="s">
        <v>474</v>
      </c>
      <c r="FJ9420" s="44" t="s">
        <v>474</v>
      </c>
    </row>
    <row r="9421" spans="153:166" x14ac:dyDescent="0.35">
      <c r="EW9421" t="s">
        <v>7248</v>
      </c>
      <c r="EX9421" t="s">
        <v>6736</v>
      </c>
      <c r="FF9421" s="44" t="s">
        <v>474</v>
      </c>
      <c r="FJ9421" s="44" t="s">
        <v>474</v>
      </c>
    </row>
    <row r="9422" spans="153:166" x14ac:dyDescent="0.35">
      <c r="EW9422" t="s">
        <v>7248</v>
      </c>
      <c r="EX9422" t="s">
        <v>6737</v>
      </c>
      <c r="FF9422" s="44" t="s">
        <v>474</v>
      </c>
      <c r="FJ9422" s="44" t="s">
        <v>474</v>
      </c>
    </row>
    <row r="9423" spans="153:166" x14ac:dyDescent="0.35">
      <c r="EW9423" t="s">
        <v>7248</v>
      </c>
      <c r="EX9423" t="s">
        <v>6738</v>
      </c>
      <c r="FF9423" s="44" t="s">
        <v>474</v>
      </c>
      <c r="FJ9423" s="44" t="s">
        <v>474</v>
      </c>
    </row>
    <row r="9424" spans="153:166" x14ac:dyDescent="0.35">
      <c r="EW9424" t="s">
        <v>7248</v>
      </c>
      <c r="EX9424" t="s">
        <v>6739</v>
      </c>
      <c r="FF9424" s="44" t="s">
        <v>474</v>
      </c>
      <c r="FJ9424" s="44" t="s">
        <v>474</v>
      </c>
    </row>
    <row r="9425" spans="153:166" x14ac:dyDescent="0.35">
      <c r="EW9425" t="s">
        <v>7248</v>
      </c>
      <c r="EX9425" t="s">
        <v>6740</v>
      </c>
      <c r="FF9425" s="44" t="s">
        <v>474</v>
      </c>
      <c r="FJ9425" s="44" t="s">
        <v>474</v>
      </c>
    </row>
    <row r="9426" spans="153:166" x14ac:dyDescent="0.35">
      <c r="EW9426" t="s">
        <v>7248</v>
      </c>
      <c r="EX9426" t="s">
        <v>6741</v>
      </c>
      <c r="FF9426" s="44" t="s">
        <v>474</v>
      </c>
      <c r="FJ9426" s="44" t="s">
        <v>474</v>
      </c>
    </row>
    <row r="9427" spans="153:166" x14ac:dyDescent="0.35">
      <c r="EW9427" t="s">
        <v>7248</v>
      </c>
      <c r="EX9427" t="s">
        <v>6742</v>
      </c>
      <c r="FF9427" s="44" t="s">
        <v>474</v>
      </c>
      <c r="FJ9427" s="44" t="s">
        <v>474</v>
      </c>
    </row>
    <row r="9428" spans="153:166" x14ac:dyDescent="0.35">
      <c r="EW9428" t="s">
        <v>7248</v>
      </c>
      <c r="EX9428" t="s">
        <v>6743</v>
      </c>
      <c r="FF9428" s="44" t="s">
        <v>474</v>
      </c>
      <c r="FJ9428" s="44" t="s">
        <v>474</v>
      </c>
    </row>
    <row r="9429" spans="153:166" x14ac:dyDescent="0.35">
      <c r="EW9429" t="s">
        <v>7248</v>
      </c>
      <c r="EX9429" t="s">
        <v>6744</v>
      </c>
      <c r="FF9429" s="44" t="s">
        <v>474</v>
      </c>
      <c r="FJ9429" s="44" t="s">
        <v>474</v>
      </c>
    </row>
    <row r="9430" spans="153:166" x14ac:dyDescent="0.35">
      <c r="EW9430" t="s">
        <v>7248</v>
      </c>
      <c r="EX9430" t="s">
        <v>6745</v>
      </c>
      <c r="FF9430" s="44" t="s">
        <v>474</v>
      </c>
      <c r="FJ9430" s="44" t="s">
        <v>474</v>
      </c>
    </row>
    <row r="9431" spans="153:166" x14ac:dyDescent="0.35">
      <c r="EW9431" t="s">
        <v>7248</v>
      </c>
      <c r="EX9431" t="s">
        <v>6746</v>
      </c>
      <c r="FF9431" s="44" t="s">
        <v>474</v>
      </c>
      <c r="FJ9431" s="44" t="s">
        <v>474</v>
      </c>
    </row>
    <row r="9432" spans="153:166" x14ac:dyDescent="0.35">
      <c r="EW9432" t="s">
        <v>7248</v>
      </c>
      <c r="EX9432" t="s">
        <v>6747</v>
      </c>
      <c r="FF9432" s="44" t="s">
        <v>474</v>
      </c>
      <c r="FJ9432" s="44" t="s">
        <v>474</v>
      </c>
    </row>
    <row r="9433" spans="153:166" x14ac:dyDescent="0.35">
      <c r="EW9433" t="s">
        <v>7248</v>
      </c>
      <c r="EX9433" t="s">
        <v>6748</v>
      </c>
      <c r="FF9433" s="44" t="s">
        <v>474</v>
      </c>
      <c r="FJ9433" s="44" t="s">
        <v>474</v>
      </c>
    </row>
    <row r="9434" spans="153:166" x14ac:dyDescent="0.35">
      <c r="EW9434" t="s">
        <v>7248</v>
      </c>
      <c r="EX9434" t="s">
        <v>6749</v>
      </c>
      <c r="FF9434" s="44" t="s">
        <v>474</v>
      </c>
      <c r="FJ9434" s="44" t="s">
        <v>474</v>
      </c>
    </row>
    <row r="9435" spans="153:166" x14ac:dyDescent="0.35">
      <c r="EW9435" t="s">
        <v>7248</v>
      </c>
      <c r="EX9435" t="s">
        <v>6750</v>
      </c>
      <c r="FF9435" s="44" t="s">
        <v>474</v>
      </c>
      <c r="FJ9435" s="44" t="s">
        <v>474</v>
      </c>
    </row>
    <row r="9436" spans="153:166" x14ac:dyDescent="0.35">
      <c r="EW9436" t="s">
        <v>7248</v>
      </c>
      <c r="EX9436" t="s">
        <v>6751</v>
      </c>
      <c r="FF9436" s="44" t="s">
        <v>474</v>
      </c>
      <c r="FJ9436" s="44" t="s">
        <v>474</v>
      </c>
    </row>
    <row r="9437" spans="153:166" x14ac:dyDescent="0.35">
      <c r="EW9437" t="s">
        <v>7248</v>
      </c>
      <c r="EX9437" t="s">
        <v>6752</v>
      </c>
      <c r="FF9437" s="44" t="s">
        <v>474</v>
      </c>
      <c r="FJ9437" s="44" t="s">
        <v>474</v>
      </c>
    </row>
    <row r="9438" spans="153:166" x14ac:dyDescent="0.35">
      <c r="EW9438" t="s">
        <v>7248</v>
      </c>
      <c r="EX9438" t="s">
        <v>6753</v>
      </c>
      <c r="FF9438" s="44" t="s">
        <v>474</v>
      </c>
      <c r="FJ9438" s="44" t="s">
        <v>474</v>
      </c>
    </row>
    <row r="9439" spans="153:166" x14ac:dyDescent="0.35">
      <c r="EW9439" t="s">
        <v>7248</v>
      </c>
      <c r="EX9439" t="s">
        <v>6754</v>
      </c>
      <c r="FF9439" s="44" t="s">
        <v>474</v>
      </c>
      <c r="FJ9439" s="44" t="s">
        <v>474</v>
      </c>
    </row>
    <row r="9440" spans="153:166" x14ac:dyDescent="0.35">
      <c r="EW9440" t="s">
        <v>7248</v>
      </c>
      <c r="EX9440" t="s">
        <v>6755</v>
      </c>
      <c r="FF9440" s="44" t="s">
        <v>474</v>
      </c>
      <c r="FJ9440" s="44" t="s">
        <v>474</v>
      </c>
    </row>
    <row r="9441" spans="153:166" x14ac:dyDescent="0.35">
      <c r="EW9441" t="s">
        <v>7248</v>
      </c>
      <c r="EX9441" t="s">
        <v>6756</v>
      </c>
      <c r="FF9441" s="44" t="s">
        <v>474</v>
      </c>
      <c r="FJ9441" s="44" t="s">
        <v>474</v>
      </c>
    </row>
    <row r="9442" spans="153:166" x14ac:dyDescent="0.35">
      <c r="EW9442" t="s">
        <v>7248</v>
      </c>
      <c r="EX9442" t="s">
        <v>6757</v>
      </c>
      <c r="FF9442" s="44" t="s">
        <v>474</v>
      </c>
      <c r="FJ9442" s="44" t="s">
        <v>474</v>
      </c>
    </row>
    <row r="9443" spans="153:166" x14ac:dyDescent="0.35">
      <c r="EW9443" t="s">
        <v>7248</v>
      </c>
      <c r="EX9443" t="s">
        <v>6758</v>
      </c>
      <c r="FF9443" s="44" t="s">
        <v>474</v>
      </c>
      <c r="FJ9443" s="44" t="s">
        <v>474</v>
      </c>
    </row>
    <row r="9444" spans="153:166" x14ac:dyDescent="0.35">
      <c r="EW9444" t="s">
        <v>7248</v>
      </c>
      <c r="EX9444" t="s">
        <v>6759</v>
      </c>
      <c r="FF9444" s="44" t="s">
        <v>474</v>
      </c>
      <c r="FJ9444" s="44" t="s">
        <v>474</v>
      </c>
    </row>
    <row r="9445" spans="153:166" x14ac:dyDescent="0.35">
      <c r="EW9445" t="s">
        <v>7248</v>
      </c>
      <c r="EX9445" t="s">
        <v>6760</v>
      </c>
      <c r="FF9445" s="44" t="s">
        <v>474</v>
      </c>
      <c r="FJ9445" s="44" t="s">
        <v>474</v>
      </c>
    </row>
    <row r="9446" spans="153:166" x14ac:dyDescent="0.35">
      <c r="EW9446" t="s">
        <v>7248</v>
      </c>
      <c r="EX9446" t="s">
        <v>6761</v>
      </c>
      <c r="FF9446" s="44" t="s">
        <v>474</v>
      </c>
      <c r="FJ9446" s="44" t="s">
        <v>474</v>
      </c>
    </row>
    <row r="9447" spans="153:166" x14ac:dyDescent="0.35">
      <c r="EW9447" t="s">
        <v>7248</v>
      </c>
      <c r="EX9447" t="s">
        <v>6762</v>
      </c>
      <c r="FF9447" s="44" t="s">
        <v>474</v>
      </c>
      <c r="FJ9447" s="44" t="s">
        <v>474</v>
      </c>
    </row>
    <row r="9448" spans="153:166" x14ac:dyDescent="0.35">
      <c r="EW9448" t="s">
        <v>7248</v>
      </c>
      <c r="EX9448" t="s">
        <v>6763</v>
      </c>
      <c r="FF9448" s="44" t="s">
        <v>474</v>
      </c>
      <c r="FJ9448" s="44" t="s">
        <v>474</v>
      </c>
    </row>
    <row r="9449" spans="153:166" x14ac:dyDescent="0.35">
      <c r="EW9449" t="s">
        <v>7248</v>
      </c>
      <c r="EX9449" t="s">
        <v>6764</v>
      </c>
      <c r="FF9449" s="44" t="s">
        <v>474</v>
      </c>
      <c r="FJ9449" s="44" t="s">
        <v>474</v>
      </c>
    </row>
    <row r="9450" spans="153:166" x14ac:dyDescent="0.35">
      <c r="EW9450" t="s">
        <v>7248</v>
      </c>
      <c r="EX9450" t="s">
        <v>6765</v>
      </c>
      <c r="FF9450" s="44" t="s">
        <v>474</v>
      </c>
      <c r="FJ9450" s="44" t="s">
        <v>474</v>
      </c>
    </row>
    <row r="9451" spans="153:166" x14ac:dyDescent="0.35">
      <c r="EW9451" t="s">
        <v>7248</v>
      </c>
      <c r="EX9451" t="s">
        <v>6766</v>
      </c>
      <c r="FF9451" s="44" t="s">
        <v>474</v>
      </c>
      <c r="FJ9451" s="44" t="s">
        <v>474</v>
      </c>
    </row>
    <row r="9452" spans="153:166" x14ac:dyDescent="0.35">
      <c r="EW9452" t="s">
        <v>7248</v>
      </c>
      <c r="EX9452" t="s">
        <v>6767</v>
      </c>
      <c r="FF9452" s="44" t="s">
        <v>474</v>
      </c>
      <c r="FJ9452" s="44" t="s">
        <v>474</v>
      </c>
    </row>
    <row r="9453" spans="153:166" x14ac:dyDescent="0.35">
      <c r="EW9453" t="s">
        <v>7248</v>
      </c>
      <c r="EX9453" t="s">
        <v>6768</v>
      </c>
      <c r="FF9453" s="44" t="s">
        <v>474</v>
      </c>
      <c r="FJ9453" s="44" t="s">
        <v>474</v>
      </c>
    </row>
    <row r="9454" spans="153:166" x14ac:dyDescent="0.35">
      <c r="EW9454" t="s">
        <v>7248</v>
      </c>
      <c r="EX9454" t="s">
        <v>6769</v>
      </c>
      <c r="FF9454" s="44" t="s">
        <v>474</v>
      </c>
      <c r="FJ9454" s="44" t="s">
        <v>474</v>
      </c>
    </row>
    <row r="9455" spans="153:166" x14ac:dyDescent="0.35">
      <c r="EW9455" t="s">
        <v>7248</v>
      </c>
      <c r="EX9455" t="s">
        <v>6770</v>
      </c>
      <c r="FF9455" s="44" t="s">
        <v>474</v>
      </c>
      <c r="FJ9455" s="44" t="s">
        <v>474</v>
      </c>
    </row>
    <row r="9456" spans="153:166" x14ac:dyDescent="0.35">
      <c r="EW9456" t="s">
        <v>7248</v>
      </c>
      <c r="EX9456" t="s">
        <v>6771</v>
      </c>
      <c r="FF9456" s="44" t="s">
        <v>474</v>
      </c>
      <c r="FJ9456" s="44" t="s">
        <v>474</v>
      </c>
    </row>
    <row r="9457" spans="153:166" x14ac:dyDescent="0.35">
      <c r="EW9457" t="s">
        <v>7248</v>
      </c>
      <c r="EX9457" t="s">
        <v>6772</v>
      </c>
      <c r="FF9457" s="44" t="s">
        <v>474</v>
      </c>
      <c r="FJ9457" s="44" t="s">
        <v>474</v>
      </c>
    </row>
    <row r="9458" spans="153:166" x14ac:dyDescent="0.35">
      <c r="EW9458" t="s">
        <v>7248</v>
      </c>
      <c r="EX9458" t="s">
        <v>6773</v>
      </c>
      <c r="FF9458" s="44" t="s">
        <v>474</v>
      </c>
      <c r="FJ9458" s="44" t="s">
        <v>474</v>
      </c>
    </row>
    <row r="9459" spans="153:166" x14ac:dyDescent="0.35">
      <c r="EW9459" t="s">
        <v>7248</v>
      </c>
      <c r="EX9459" t="s">
        <v>6774</v>
      </c>
      <c r="FF9459" s="44" t="s">
        <v>474</v>
      </c>
      <c r="FJ9459" s="44" t="s">
        <v>474</v>
      </c>
    </row>
    <row r="9460" spans="153:166" x14ac:dyDescent="0.35">
      <c r="EW9460" t="s">
        <v>7248</v>
      </c>
      <c r="EX9460" t="s">
        <v>6775</v>
      </c>
      <c r="FF9460" s="44" t="s">
        <v>474</v>
      </c>
      <c r="FJ9460" s="44" t="s">
        <v>474</v>
      </c>
    </row>
    <row r="9461" spans="153:166" x14ac:dyDescent="0.35">
      <c r="EW9461" t="s">
        <v>7248</v>
      </c>
      <c r="EX9461" t="s">
        <v>6776</v>
      </c>
      <c r="FF9461" s="44" t="s">
        <v>474</v>
      </c>
      <c r="FJ9461" s="44" t="s">
        <v>474</v>
      </c>
    </row>
    <row r="9462" spans="153:166" x14ac:dyDescent="0.35">
      <c r="EW9462" t="s">
        <v>7248</v>
      </c>
      <c r="EX9462" t="s">
        <v>6777</v>
      </c>
      <c r="FF9462" s="44" t="s">
        <v>474</v>
      </c>
      <c r="FJ9462" s="44" t="s">
        <v>474</v>
      </c>
    </row>
    <row r="9463" spans="153:166" x14ac:dyDescent="0.35">
      <c r="EW9463" t="s">
        <v>7248</v>
      </c>
      <c r="EX9463" t="s">
        <v>6778</v>
      </c>
      <c r="FF9463" s="44" t="s">
        <v>474</v>
      </c>
      <c r="FJ9463" s="44" t="s">
        <v>474</v>
      </c>
    </row>
    <row r="9464" spans="153:166" x14ac:dyDescent="0.35">
      <c r="EW9464" t="s">
        <v>7248</v>
      </c>
      <c r="EX9464" t="s">
        <v>6779</v>
      </c>
      <c r="FF9464" s="44" t="s">
        <v>474</v>
      </c>
      <c r="FJ9464" s="44" t="s">
        <v>474</v>
      </c>
    </row>
    <row r="9465" spans="153:166" x14ac:dyDescent="0.35">
      <c r="EW9465" t="s">
        <v>7248</v>
      </c>
      <c r="EX9465" t="s">
        <v>6780</v>
      </c>
      <c r="FF9465" s="44" t="s">
        <v>474</v>
      </c>
      <c r="FJ9465" s="44" t="s">
        <v>474</v>
      </c>
    </row>
    <row r="9466" spans="153:166" x14ac:dyDescent="0.35">
      <c r="EW9466" t="s">
        <v>7248</v>
      </c>
      <c r="EX9466" t="s">
        <v>6781</v>
      </c>
      <c r="FF9466" s="44" t="s">
        <v>474</v>
      </c>
      <c r="FJ9466" s="44" t="s">
        <v>474</v>
      </c>
    </row>
    <row r="9467" spans="153:166" x14ac:dyDescent="0.35">
      <c r="EW9467" t="s">
        <v>7248</v>
      </c>
      <c r="EX9467" t="s">
        <v>6782</v>
      </c>
      <c r="FF9467" s="44" t="s">
        <v>474</v>
      </c>
      <c r="FJ9467" s="44" t="s">
        <v>474</v>
      </c>
    </row>
    <row r="9468" spans="153:166" x14ac:dyDescent="0.35">
      <c r="EW9468" t="s">
        <v>7248</v>
      </c>
      <c r="EX9468" t="s">
        <v>6783</v>
      </c>
      <c r="FF9468" s="44" t="s">
        <v>474</v>
      </c>
      <c r="FJ9468" s="44" t="s">
        <v>474</v>
      </c>
    </row>
    <row r="9469" spans="153:166" x14ac:dyDescent="0.35">
      <c r="EW9469" t="s">
        <v>7248</v>
      </c>
      <c r="EX9469" t="s">
        <v>6784</v>
      </c>
      <c r="FF9469" s="44" t="s">
        <v>474</v>
      </c>
      <c r="FJ9469" s="44" t="s">
        <v>474</v>
      </c>
    </row>
    <row r="9470" spans="153:166" x14ac:dyDescent="0.35">
      <c r="EW9470" t="s">
        <v>7248</v>
      </c>
      <c r="EX9470" t="s">
        <v>6785</v>
      </c>
      <c r="FF9470" s="44" t="s">
        <v>474</v>
      </c>
      <c r="FJ9470" s="44" t="s">
        <v>474</v>
      </c>
    </row>
    <row r="9471" spans="153:166" x14ac:dyDescent="0.35">
      <c r="EW9471" t="s">
        <v>7248</v>
      </c>
      <c r="EX9471" t="s">
        <v>6786</v>
      </c>
      <c r="FF9471" s="44" t="s">
        <v>474</v>
      </c>
      <c r="FJ9471" s="44" t="s">
        <v>474</v>
      </c>
    </row>
    <row r="9472" spans="153:166" x14ac:dyDescent="0.35">
      <c r="EW9472" t="s">
        <v>7248</v>
      </c>
      <c r="EX9472" t="s">
        <v>6787</v>
      </c>
      <c r="FF9472" s="44" t="s">
        <v>474</v>
      </c>
      <c r="FJ9472" s="44" t="s">
        <v>474</v>
      </c>
    </row>
    <row r="9473" spans="153:166" x14ac:dyDescent="0.35">
      <c r="EW9473" t="s">
        <v>7248</v>
      </c>
      <c r="EX9473" t="s">
        <v>6788</v>
      </c>
      <c r="FF9473" s="44" t="s">
        <v>474</v>
      </c>
      <c r="FJ9473" s="44" t="s">
        <v>474</v>
      </c>
    </row>
    <row r="9474" spans="153:166" x14ac:dyDescent="0.35">
      <c r="EW9474" t="s">
        <v>7248</v>
      </c>
      <c r="EX9474" t="s">
        <v>6789</v>
      </c>
      <c r="FF9474" s="44" t="s">
        <v>474</v>
      </c>
      <c r="FJ9474" s="44" t="s">
        <v>474</v>
      </c>
    </row>
    <row r="9475" spans="153:166" x14ac:dyDescent="0.35">
      <c r="EW9475" t="s">
        <v>7248</v>
      </c>
      <c r="EX9475" t="s">
        <v>6790</v>
      </c>
      <c r="FF9475" s="44" t="s">
        <v>474</v>
      </c>
      <c r="FJ9475" s="44" t="s">
        <v>474</v>
      </c>
    </row>
    <row r="9476" spans="153:166" x14ac:dyDescent="0.35">
      <c r="EW9476" t="s">
        <v>7248</v>
      </c>
      <c r="EX9476" t="s">
        <v>6791</v>
      </c>
      <c r="FF9476" s="44" t="s">
        <v>474</v>
      </c>
      <c r="FJ9476" s="44" t="s">
        <v>474</v>
      </c>
    </row>
    <row r="9477" spans="153:166" x14ac:dyDescent="0.35">
      <c r="EW9477" t="s">
        <v>7248</v>
      </c>
      <c r="EX9477" t="s">
        <v>6792</v>
      </c>
      <c r="FF9477" s="44" t="s">
        <v>474</v>
      </c>
      <c r="FJ9477" s="44" t="s">
        <v>474</v>
      </c>
    </row>
    <row r="9478" spans="153:166" x14ac:dyDescent="0.35">
      <c r="EW9478" t="s">
        <v>7248</v>
      </c>
      <c r="EX9478" t="s">
        <v>6793</v>
      </c>
      <c r="FF9478" s="44" t="s">
        <v>474</v>
      </c>
      <c r="FJ9478" s="44" t="s">
        <v>474</v>
      </c>
    </row>
    <row r="9479" spans="153:166" x14ac:dyDescent="0.35">
      <c r="EW9479" t="s">
        <v>7248</v>
      </c>
      <c r="EX9479" t="s">
        <v>6794</v>
      </c>
      <c r="FF9479" s="44" t="s">
        <v>474</v>
      </c>
      <c r="FJ9479" s="44" t="s">
        <v>474</v>
      </c>
    </row>
    <row r="9480" spans="153:166" x14ac:dyDescent="0.35">
      <c r="EW9480" t="s">
        <v>7248</v>
      </c>
      <c r="EX9480" t="s">
        <v>6795</v>
      </c>
      <c r="FF9480" s="44" t="s">
        <v>474</v>
      </c>
      <c r="FJ9480" s="44" t="s">
        <v>474</v>
      </c>
    </row>
    <row r="9481" spans="153:166" x14ac:dyDescent="0.35">
      <c r="EW9481" t="s">
        <v>7248</v>
      </c>
      <c r="EX9481" t="s">
        <v>6796</v>
      </c>
      <c r="FF9481" s="44" t="s">
        <v>474</v>
      </c>
      <c r="FJ9481" s="44" t="s">
        <v>474</v>
      </c>
    </row>
    <row r="9482" spans="153:166" x14ac:dyDescent="0.35">
      <c r="EW9482" t="s">
        <v>7248</v>
      </c>
      <c r="EX9482" t="s">
        <v>6797</v>
      </c>
      <c r="FF9482" s="44" t="s">
        <v>474</v>
      </c>
      <c r="FJ9482" s="44" t="s">
        <v>474</v>
      </c>
    </row>
    <row r="9483" spans="153:166" x14ac:dyDescent="0.35">
      <c r="EW9483" t="s">
        <v>7248</v>
      </c>
      <c r="EX9483" t="s">
        <v>6798</v>
      </c>
      <c r="FF9483" s="44" t="s">
        <v>474</v>
      </c>
      <c r="FJ9483" s="44" t="s">
        <v>474</v>
      </c>
    </row>
    <row r="9484" spans="153:166" x14ac:dyDescent="0.35">
      <c r="EW9484" t="s">
        <v>7248</v>
      </c>
      <c r="EX9484" t="s">
        <v>6799</v>
      </c>
      <c r="FF9484" s="44" t="s">
        <v>474</v>
      </c>
      <c r="FJ9484" s="44" t="s">
        <v>474</v>
      </c>
    </row>
    <row r="9485" spans="153:166" x14ac:dyDescent="0.35">
      <c r="EW9485" t="s">
        <v>7248</v>
      </c>
      <c r="EX9485" t="s">
        <v>6800</v>
      </c>
      <c r="FF9485" s="44" t="s">
        <v>474</v>
      </c>
      <c r="FJ9485" s="44" t="s">
        <v>474</v>
      </c>
    </row>
    <row r="9486" spans="153:166" x14ac:dyDescent="0.35">
      <c r="EW9486" t="s">
        <v>7248</v>
      </c>
      <c r="EX9486" t="s">
        <v>6801</v>
      </c>
      <c r="FF9486" s="44" t="s">
        <v>474</v>
      </c>
      <c r="FJ9486" s="44" t="s">
        <v>474</v>
      </c>
    </row>
    <row r="9487" spans="153:166" x14ac:dyDescent="0.35">
      <c r="EW9487" t="s">
        <v>7248</v>
      </c>
      <c r="EX9487" t="s">
        <v>6802</v>
      </c>
      <c r="FF9487" s="44" t="s">
        <v>474</v>
      </c>
      <c r="FJ9487" s="44" t="s">
        <v>474</v>
      </c>
    </row>
    <row r="9488" spans="153:166" x14ac:dyDescent="0.35">
      <c r="EW9488" t="s">
        <v>7248</v>
      </c>
      <c r="EX9488" t="s">
        <v>6803</v>
      </c>
      <c r="FF9488" s="44" t="s">
        <v>474</v>
      </c>
      <c r="FJ9488" s="44" t="s">
        <v>474</v>
      </c>
    </row>
    <row r="9489" spans="153:166" x14ac:dyDescent="0.35">
      <c r="EW9489" t="s">
        <v>7248</v>
      </c>
      <c r="EX9489" t="s">
        <v>6804</v>
      </c>
      <c r="FF9489" s="44" t="s">
        <v>474</v>
      </c>
      <c r="FJ9489" s="44" t="s">
        <v>474</v>
      </c>
    </row>
    <row r="9490" spans="153:166" x14ac:dyDescent="0.35">
      <c r="EW9490" t="s">
        <v>7248</v>
      </c>
      <c r="EX9490" t="s">
        <v>6805</v>
      </c>
      <c r="FF9490" s="44" t="s">
        <v>474</v>
      </c>
      <c r="FJ9490" s="44" t="s">
        <v>474</v>
      </c>
    </row>
    <row r="9491" spans="153:166" x14ac:dyDescent="0.35">
      <c r="EW9491" t="s">
        <v>7248</v>
      </c>
      <c r="EX9491" t="s">
        <v>6806</v>
      </c>
      <c r="FF9491" s="44" t="s">
        <v>474</v>
      </c>
      <c r="FJ9491" s="44" t="s">
        <v>474</v>
      </c>
    </row>
    <row r="9492" spans="153:166" x14ac:dyDescent="0.35">
      <c r="EW9492" t="s">
        <v>7248</v>
      </c>
      <c r="EX9492" t="s">
        <v>6807</v>
      </c>
      <c r="FF9492" s="44" t="s">
        <v>474</v>
      </c>
      <c r="FJ9492" s="44" t="s">
        <v>474</v>
      </c>
    </row>
    <row r="9493" spans="153:166" x14ac:dyDescent="0.35">
      <c r="EW9493" t="s">
        <v>7248</v>
      </c>
      <c r="EX9493" t="s">
        <v>6808</v>
      </c>
      <c r="FF9493" s="44" t="s">
        <v>474</v>
      </c>
      <c r="FJ9493" s="44" t="s">
        <v>474</v>
      </c>
    </row>
    <row r="9494" spans="153:166" x14ac:dyDescent="0.35">
      <c r="EW9494" t="s">
        <v>7248</v>
      </c>
      <c r="EX9494" t="s">
        <v>6809</v>
      </c>
      <c r="FF9494" s="44" t="s">
        <v>474</v>
      </c>
      <c r="FJ9494" s="44" t="s">
        <v>474</v>
      </c>
    </row>
    <row r="9495" spans="153:166" x14ac:dyDescent="0.35">
      <c r="EW9495" t="s">
        <v>7248</v>
      </c>
      <c r="EX9495" t="s">
        <v>6810</v>
      </c>
      <c r="FF9495" s="44" t="s">
        <v>474</v>
      </c>
      <c r="FJ9495" s="44" t="s">
        <v>474</v>
      </c>
    </row>
    <row r="9496" spans="153:166" x14ac:dyDescent="0.35">
      <c r="EW9496" t="s">
        <v>7248</v>
      </c>
      <c r="EX9496" t="s">
        <v>6811</v>
      </c>
      <c r="FF9496" s="44" t="s">
        <v>474</v>
      </c>
      <c r="FJ9496" s="44" t="s">
        <v>474</v>
      </c>
    </row>
    <row r="9497" spans="153:166" x14ac:dyDescent="0.35">
      <c r="EW9497" t="s">
        <v>7248</v>
      </c>
      <c r="EX9497" t="s">
        <v>6812</v>
      </c>
      <c r="FF9497" s="44" t="s">
        <v>474</v>
      </c>
      <c r="FJ9497" s="44" t="s">
        <v>474</v>
      </c>
    </row>
    <row r="9498" spans="153:166" x14ac:dyDescent="0.35">
      <c r="EW9498" t="s">
        <v>7248</v>
      </c>
      <c r="EX9498" t="s">
        <v>6813</v>
      </c>
      <c r="FF9498" s="44" t="s">
        <v>474</v>
      </c>
      <c r="FJ9498" s="44" t="s">
        <v>474</v>
      </c>
    </row>
    <row r="9499" spans="153:166" x14ac:dyDescent="0.35">
      <c r="EW9499" t="s">
        <v>7248</v>
      </c>
      <c r="EX9499" t="s">
        <v>6814</v>
      </c>
      <c r="FF9499" s="44" t="s">
        <v>474</v>
      </c>
      <c r="FJ9499" s="44" t="s">
        <v>474</v>
      </c>
    </row>
    <row r="9500" spans="153:166" x14ac:dyDescent="0.35">
      <c r="EW9500" t="s">
        <v>7248</v>
      </c>
      <c r="EX9500" t="s">
        <v>6815</v>
      </c>
      <c r="FF9500" s="44" t="s">
        <v>474</v>
      </c>
      <c r="FJ9500" s="44" t="s">
        <v>474</v>
      </c>
    </row>
    <row r="9501" spans="153:166" x14ac:dyDescent="0.35">
      <c r="EW9501" t="s">
        <v>7248</v>
      </c>
      <c r="EX9501" t="s">
        <v>6816</v>
      </c>
      <c r="FF9501" s="44" t="s">
        <v>474</v>
      </c>
      <c r="FJ9501" s="44" t="s">
        <v>474</v>
      </c>
    </row>
    <row r="9502" spans="153:166" x14ac:dyDescent="0.35">
      <c r="EW9502" t="s">
        <v>7248</v>
      </c>
      <c r="EX9502" t="s">
        <v>6817</v>
      </c>
      <c r="FF9502" s="44" t="s">
        <v>474</v>
      </c>
      <c r="FJ9502" s="44" t="s">
        <v>474</v>
      </c>
    </row>
    <row r="9503" spans="153:166" x14ac:dyDescent="0.35">
      <c r="EW9503" t="s">
        <v>7248</v>
      </c>
      <c r="EX9503" t="s">
        <v>6818</v>
      </c>
      <c r="FF9503" s="44" t="s">
        <v>474</v>
      </c>
      <c r="FJ9503" s="44" t="s">
        <v>474</v>
      </c>
    </row>
    <row r="9504" spans="153:166" x14ac:dyDescent="0.35">
      <c r="EW9504" t="s">
        <v>7248</v>
      </c>
      <c r="EX9504" t="s">
        <v>6819</v>
      </c>
      <c r="FF9504" s="44" t="s">
        <v>474</v>
      </c>
      <c r="FJ9504" s="44" t="s">
        <v>474</v>
      </c>
    </row>
    <row r="9505" spans="153:166" x14ac:dyDescent="0.35">
      <c r="EW9505" t="s">
        <v>7248</v>
      </c>
      <c r="EX9505" t="s">
        <v>6820</v>
      </c>
      <c r="FF9505" s="44" t="s">
        <v>474</v>
      </c>
      <c r="FJ9505" s="44" t="s">
        <v>474</v>
      </c>
    </row>
    <row r="9506" spans="153:166" x14ac:dyDescent="0.35">
      <c r="EW9506" t="s">
        <v>7248</v>
      </c>
      <c r="EX9506" t="s">
        <v>6821</v>
      </c>
      <c r="FF9506" s="44" t="s">
        <v>474</v>
      </c>
      <c r="FJ9506" s="44" t="s">
        <v>474</v>
      </c>
    </row>
    <row r="9507" spans="153:166" x14ac:dyDescent="0.35">
      <c r="EW9507" t="s">
        <v>7248</v>
      </c>
      <c r="EX9507" t="s">
        <v>6822</v>
      </c>
      <c r="FF9507" s="44" t="s">
        <v>474</v>
      </c>
      <c r="FJ9507" s="44" t="s">
        <v>474</v>
      </c>
    </row>
    <row r="9508" spans="153:166" x14ac:dyDescent="0.35">
      <c r="EW9508" t="s">
        <v>7248</v>
      </c>
      <c r="EX9508" t="s">
        <v>6823</v>
      </c>
      <c r="FF9508" s="44" t="s">
        <v>474</v>
      </c>
      <c r="FJ9508" s="44" t="s">
        <v>474</v>
      </c>
    </row>
    <row r="9509" spans="153:166" x14ac:dyDescent="0.35">
      <c r="EW9509" t="s">
        <v>7248</v>
      </c>
      <c r="EX9509" t="s">
        <v>6824</v>
      </c>
      <c r="FF9509" s="44" t="s">
        <v>474</v>
      </c>
      <c r="FJ9509" s="44" t="s">
        <v>474</v>
      </c>
    </row>
    <row r="9510" spans="153:166" x14ac:dyDescent="0.35">
      <c r="EW9510" t="s">
        <v>7248</v>
      </c>
      <c r="EX9510" t="s">
        <v>6825</v>
      </c>
      <c r="FF9510" s="44" t="s">
        <v>474</v>
      </c>
      <c r="FJ9510" s="44" t="s">
        <v>474</v>
      </c>
    </row>
    <row r="9511" spans="153:166" x14ac:dyDescent="0.35">
      <c r="EW9511" t="s">
        <v>7248</v>
      </c>
      <c r="EX9511" t="s">
        <v>6826</v>
      </c>
      <c r="FF9511" s="44" t="s">
        <v>474</v>
      </c>
      <c r="FJ9511" s="44" t="s">
        <v>474</v>
      </c>
    </row>
    <row r="9512" spans="153:166" x14ac:dyDescent="0.35">
      <c r="EW9512" t="s">
        <v>7248</v>
      </c>
      <c r="EX9512" t="s">
        <v>6827</v>
      </c>
      <c r="FF9512" s="44" t="s">
        <v>474</v>
      </c>
      <c r="FJ9512" s="44" t="s">
        <v>474</v>
      </c>
    </row>
    <row r="9513" spans="153:166" x14ac:dyDescent="0.35">
      <c r="EW9513" t="s">
        <v>7248</v>
      </c>
      <c r="EX9513" t="s">
        <v>6828</v>
      </c>
      <c r="FF9513" s="44" t="s">
        <v>474</v>
      </c>
      <c r="FJ9513" s="44" t="s">
        <v>474</v>
      </c>
    </row>
    <row r="9514" spans="153:166" x14ac:dyDescent="0.35">
      <c r="EW9514" t="s">
        <v>7248</v>
      </c>
      <c r="EX9514" t="s">
        <v>6829</v>
      </c>
      <c r="FF9514" s="44" t="s">
        <v>474</v>
      </c>
      <c r="FJ9514" s="44" t="s">
        <v>474</v>
      </c>
    </row>
    <row r="9515" spans="153:166" x14ac:dyDescent="0.35">
      <c r="EW9515" t="s">
        <v>7248</v>
      </c>
      <c r="EX9515" t="s">
        <v>6830</v>
      </c>
      <c r="FF9515" s="44" t="s">
        <v>474</v>
      </c>
      <c r="FJ9515" s="44" t="s">
        <v>474</v>
      </c>
    </row>
    <row r="9516" spans="153:166" x14ac:dyDescent="0.35">
      <c r="EW9516" t="s">
        <v>7248</v>
      </c>
      <c r="EX9516" t="s">
        <v>6831</v>
      </c>
      <c r="FF9516" s="44" t="s">
        <v>474</v>
      </c>
      <c r="FJ9516" s="44" t="s">
        <v>474</v>
      </c>
    </row>
    <row r="9517" spans="153:166" x14ac:dyDescent="0.35">
      <c r="EW9517" t="s">
        <v>7248</v>
      </c>
      <c r="EX9517" t="s">
        <v>6832</v>
      </c>
      <c r="FF9517" s="44" t="s">
        <v>474</v>
      </c>
      <c r="FJ9517" s="44" t="s">
        <v>474</v>
      </c>
    </row>
    <row r="9518" spans="153:166" x14ac:dyDescent="0.35">
      <c r="EW9518" t="s">
        <v>7248</v>
      </c>
      <c r="EX9518" t="s">
        <v>6833</v>
      </c>
      <c r="FF9518" s="44" t="s">
        <v>474</v>
      </c>
      <c r="FJ9518" s="44" t="s">
        <v>474</v>
      </c>
    </row>
    <row r="9519" spans="153:166" x14ac:dyDescent="0.35">
      <c r="EW9519" t="s">
        <v>7248</v>
      </c>
      <c r="EX9519" t="s">
        <v>6834</v>
      </c>
      <c r="FF9519" s="44" t="s">
        <v>474</v>
      </c>
      <c r="FJ9519" s="44" t="s">
        <v>474</v>
      </c>
    </row>
    <row r="9520" spans="153:166" x14ac:dyDescent="0.35">
      <c r="EW9520" t="s">
        <v>7248</v>
      </c>
      <c r="EX9520" t="s">
        <v>6835</v>
      </c>
      <c r="FF9520" s="44" t="s">
        <v>474</v>
      </c>
      <c r="FJ9520" s="44" t="s">
        <v>474</v>
      </c>
    </row>
    <row r="9521" spans="153:166" x14ac:dyDescent="0.35">
      <c r="EW9521" t="s">
        <v>7248</v>
      </c>
      <c r="EX9521" t="s">
        <v>6836</v>
      </c>
      <c r="FF9521" s="44" t="s">
        <v>474</v>
      </c>
      <c r="FJ9521" s="44" t="s">
        <v>474</v>
      </c>
    </row>
    <row r="9522" spans="153:166" x14ac:dyDescent="0.35">
      <c r="EW9522" t="s">
        <v>7248</v>
      </c>
      <c r="EX9522" t="s">
        <v>6837</v>
      </c>
      <c r="FF9522" s="44" t="s">
        <v>474</v>
      </c>
      <c r="FJ9522" s="44" t="s">
        <v>474</v>
      </c>
    </row>
    <row r="9523" spans="153:166" x14ac:dyDescent="0.35">
      <c r="EW9523" t="s">
        <v>7248</v>
      </c>
      <c r="EX9523" t="s">
        <v>6838</v>
      </c>
      <c r="FF9523" s="44" t="s">
        <v>474</v>
      </c>
      <c r="FJ9523" s="44" t="s">
        <v>474</v>
      </c>
    </row>
    <row r="9524" spans="153:166" x14ac:dyDescent="0.35">
      <c r="EW9524" t="s">
        <v>7248</v>
      </c>
      <c r="EX9524" t="s">
        <v>6839</v>
      </c>
      <c r="FF9524" s="44" t="s">
        <v>474</v>
      </c>
      <c r="FJ9524" s="44" t="s">
        <v>474</v>
      </c>
    </row>
    <row r="9525" spans="153:166" x14ac:dyDescent="0.35">
      <c r="EW9525" t="s">
        <v>7248</v>
      </c>
      <c r="EX9525" t="s">
        <v>6840</v>
      </c>
      <c r="FF9525" s="44" t="s">
        <v>474</v>
      </c>
      <c r="FJ9525" s="44" t="s">
        <v>474</v>
      </c>
    </row>
    <row r="9526" spans="153:166" x14ac:dyDescent="0.35">
      <c r="EW9526" t="s">
        <v>7248</v>
      </c>
      <c r="EX9526" t="s">
        <v>6841</v>
      </c>
      <c r="FF9526" s="44" t="s">
        <v>474</v>
      </c>
      <c r="FJ9526" s="44" t="s">
        <v>474</v>
      </c>
    </row>
    <row r="9527" spans="153:166" x14ac:dyDescent="0.35">
      <c r="EW9527" t="s">
        <v>7248</v>
      </c>
      <c r="EX9527" t="s">
        <v>6842</v>
      </c>
      <c r="FF9527" s="44" t="s">
        <v>474</v>
      </c>
      <c r="FJ9527" s="44" t="s">
        <v>474</v>
      </c>
    </row>
    <row r="9528" spans="153:166" x14ac:dyDescent="0.35">
      <c r="EW9528" t="s">
        <v>7248</v>
      </c>
      <c r="EX9528" t="s">
        <v>6843</v>
      </c>
      <c r="FF9528" s="44" t="s">
        <v>474</v>
      </c>
      <c r="FJ9528" s="44" t="s">
        <v>474</v>
      </c>
    </row>
    <row r="9529" spans="153:166" x14ac:dyDescent="0.35">
      <c r="EW9529" t="s">
        <v>7248</v>
      </c>
      <c r="EX9529" t="s">
        <v>6844</v>
      </c>
      <c r="FF9529" s="44" t="s">
        <v>474</v>
      </c>
      <c r="FJ9529" s="44" t="s">
        <v>474</v>
      </c>
    </row>
    <row r="9530" spans="153:166" x14ac:dyDescent="0.35">
      <c r="EW9530" t="s">
        <v>7248</v>
      </c>
      <c r="EX9530" t="s">
        <v>6845</v>
      </c>
      <c r="FF9530" s="44" t="s">
        <v>474</v>
      </c>
      <c r="FJ9530" s="44" t="s">
        <v>474</v>
      </c>
    </row>
    <row r="9531" spans="153:166" x14ac:dyDescent="0.35">
      <c r="EW9531" t="s">
        <v>7248</v>
      </c>
      <c r="EX9531" t="s">
        <v>6846</v>
      </c>
      <c r="FF9531" s="44" t="s">
        <v>474</v>
      </c>
      <c r="FJ9531" s="44" t="s">
        <v>474</v>
      </c>
    </row>
    <row r="9532" spans="153:166" x14ac:dyDescent="0.35">
      <c r="EW9532" t="s">
        <v>7248</v>
      </c>
      <c r="EX9532" t="s">
        <v>6847</v>
      </c>
      <c r="FF9532" s="44" t="s">
        <v>474</v>
      </c>
      <c r="FJ9532" s="44" t="s">
        <v>474</v>
      </c>
    </row>
    <row r="9533" spans="153:166" x14ac:dyDescent="0.35">
      <c r="EW9533" t="s">
        <v>7248</v>
      </c>
      <c r="EX9533" t="s">
        <v>6848</v>
      </c>
      <c r="FF9533" s="44" t="s">
        <v>474</v>
      </c>
      <c r="FJ9533" s="44" t="s">
        <v>474</v>
      </c>
    </row>
    <row r="9534" spans="153:166" x14ac:dyDescent="0.35">
      <c r="EW9534" t="s">
        <v>7248</v>
      </c>
      <c r="EX9534" t="s">
        <v>6849</v>
      </c>
      <c r="FF9534" s="44" t="s">
        <v>474</v>
      </c>
      <c r="FJ9534" s="44" t="s">
        <v>474</v>
      </c>
    </row>
    <row r="9535" spans="153:166" x14ac:dyDescent="0.35">
      <c r="EW9535" t="s">
        <v>7248</v>
      </c>
      <c r="EX9535" t="s">
        <v>6850</v>
      </c>
      <c r="FF9535" s="44" t="s">
        <v>474</v>
      </c>
      <c r="FJ9535" s="44" t="s">
        <v>474</v>
      </c>
    </row>
    <row r="9536" spans="153:166" x14ac:dyDescent="0.35">
      <c r="EW9536" t="s">
        <v>7248</v>
      </c>
      <c r="EX9536" t="s">
        <v>6851</v>
      </c>
      <c r="FF9536" s="44" t="s">
        <v>474</v>
      </c>
      <c r="FJ9536" s="44" t="s">
        <v>474</v>
      </c>
    </row>
    <row r="9537" spans="153:166" x14ac:dyDescent="0.35">
      <c r="EW9537" t="s">
        <v>7248</v>
      </c>
      <c r="EX9537" t="s">
        <v>6852</v>
      </c>
      <c r="FF9537" s="44" t="s">
        <v>474</v>
      </c>
      <c r="FJ9537" s="44" t="s">
        <v>474</v>
      </c>
    </row>
    <row r="9538" spans="153:166" x14ac:dyDescent="0.35">
      <c r="EW9538" t="s">
        <v>7248</v>
      </c>
      <c r="EX9538" t="s">
        <v>6853</v>
      </c>
      <c r="FF9538" s="44" t="s">
        <v>474</v>
      </c>
      <c r="FJ9538" s="44" t="s">
        <v>474</v>
      </c>
    </row>
    <row r="9539" spans="153:166" x14ac:dyDescent="0.35">
      <c r="EW9539" t="s">
        <v>7248</v>
      </c>
      <c r="EX9539" t="s">
        <v>6854</v>
      </c>
      <c r="FF9539" s="44" t="s">
        <v>474</v>
      </c>
      <c r="FJ9539" s="44" t="s">
        <v>474</v>
      </c>
    </row>
    <row r="9540" spans="153:166" x14ac:dyDescent="0.35">
      <c r="EW9540" t="s">
        <v>7248</v>
      </c>
      <c r="EX9540" t="s">
        <v>6855</v>
      </c>
      <c r="FF9540" s="44" t="s">
        <v>474</v>
      </c>
      <c r="FJ9540" s="44" t="s">
        <v>474</v>
      </c>
    </row>
    <row r="9541" spans="153:166" x14ac:dyDescent="0.35">
      <c r="EW9541" t="s">
        <v>7248</v>
      </c>
      <c r="EX9541" t="s">
        <v>6856</v>
      </c>
      <c r="FF9541" s="44" t="s">
        <v>474</v>
      </c>
      <c r="FJ9541" s="44" t="s">
        <v>474</v>
      </c>
    </row>
    <row r="9542" spans="153:166" x14ac:dyDescent="0.35">
      <c r="EW9542" t="s">
        <v>7248</v>
      </c>
      <c r="EX9542" t="s">
        <v>6857</v>
      </c>
      <c r="FF9542" s="44" t="s">
        <v>474</v>
      </c>
      <c r="FJ9542" s="44" t="s">
        <v>474</v>
      </c>
    </row>
    <row r="9543" spans="153:166" x14ac:dyDescent="0.35">
      <c r="EW9543" t="s">
        <v>7248</v>
      </c>
      <c r="EX9543" t="s">
        <v>6858</v>
      </c>
      <c r="FF9543" s="44" t="s">
        <v>474</v>
      </c>
      <c r="FJ9543" s="44" t="s">
        <v>474</v>
      </c>
    </row>
    <row r="9544" spans="153:166" x14ac:dyDescent="0.35">
      <c r="EW9544" t="s">
        <v>7248</v>
      </c>
      <c r="EX9544" t="s">
        <v>6859</v>
      </c>
      <c r="FF9544" s="44" t="s">
        <v>474</v>
      </c>
      <c r="FJ9544" s="44" t="s">
        <v>474</v>
      </c>
    </row>
    <row r="9545" spans="153:166" x14ac:dyDescent="0.35">
      <c r="EW9545" t="s">
        <v>7248</v>
      </c>
      <c r="EX9545" t="s">
        <v>7251</v>
      </c>
      <c r="FF9545" s="44" t="s">
        <v>59</v>
      </c>
      <c r="FJ9545" s="44" t="s">
        <v>59</v>
      </c>
    </row>
    <row r="9546" spans="153:166" x14ac:dyDescent="0.35">
      <c r="EW9546" t="s">
        <v>7248</v>
      </c>
      <c r="EX9546" t="s">
        <v>7252</v>
      </c>
      <c r="FF9546" s="44" t="s">
        <v>59</v>
      </c>
      <c r="FJ9546" s="44" t="s">
        <v>59</v>
      </c>
    </row>
    <row r="9547" spans="153:166" x14ac:dyDescent="0.35">
      <c r="EW9547" t="s">
        <v>7248</v>
      </c>
      <c r="EX9547" t="s">
        <v>7253</v>
      </c>
      <c r="FF9547" s="44" t="s">
        <v>59</v>
      </c>
      <c r="FJ9547" s="44" t="s">
        <v>59</v>
      </c>
    </row>
    <row r="9548" spans="153:166" x14ac:dyDescent="0.35">
      <c r="EW9548" t="s">
        <v>7248</v>
      </c>
      <c r="EX9548" t="s">
        <v>7254</v>
      </c>
      <c r="FF9548" s="44" t="s">
        <v>59</v>
      </c>
      <c r="FJ9548" s="44" t="s">
        <v>59</v>
      </c>
    </row>
    <row r="9549" spans="153:166" x14ac:dyDescent="0.35">
      <c r="EW9549" t="s">
        <v>7248</v>
      </c>
      <c r="EX9549" t="s">
        <v>7255</v>
      </c>
      <c r="FF9549" s="44" t="s">
        <v>59</v>
      </c>
      <c r="FJ9549" s="44" t="s">
        <v>59</v>
      </c>
    </row>
    <row r="9550" spans="153:166" x14ac:dyDescent="0.35">
      <c r="EW9550" t="s">
        <v>7248</v>
      </c>
      <c r="EX9550" t="s">
        <v>7256</v>
      </c>
      <c r="FF9550" s="44" t="s">
        <v>59</v>
      </c>
      <c r="FJ9550" s="44" t="s">
        <v>59</v>
      </c>
    </row>
    <row r="9551" spans="153:166" x14ac:dyDescent="0.35">
      <c r="EW9551" t="s">
        <v>7248</v>
      </c>
      <c r="EX9551" t="s">
        <v>6866</v>
      </c>
      <c r="FF9551" s="44" t="s">
        <v>59</v>
      </c>
      <c r="FJ9551" s="44" t="s">
        <v>59</v>
      </c>
    </row>
    <row r="9552" spans="153:166" x14ac:dyDescent="0.35">
      <c r="EW9552" t="s">
        <v>7248</v>
      </c>
      <c r="EX9552" t="s">
        <v>7257</v>
      </c>
      <c r="FF9552" s="44" t="s">
        <v>59</v>
      </c>
      <c r="FJ9552" s="44" t="s">
        <v>59</v>
      </c>
    </row>
    <row r="9553" spans="153:166" x14ac:dyDescent="0.35">
      <c r="EW9553" t="s">
        <v>7248</v>
      </c>
      <c r="EX9553" t="s">
        <v>7258</v>
      </c>
      <c r="FF9553" s="44" t="s">
        <v>59</v>
      </c>
      <c r="FJ9553" s="44" t="s">
        <v>59</v>
      </c>
    </row>
    <row r="9554" spans="153:166" x14ac:dyDescent="0.35">
      <c r="EW9554" t="s">
        <v>7248</v>
      </c>
      <c r="EX9554" t="s">
        <v>6869</v>
      </c>
      <c r="FF9554" s="44" t="s">
        <v>59</v>
      </c>
      <c r="FJ9554" s="44" t="s">
        <v>59</v>
      </c>
    </row>
    <row r="9555" spans="153:166" x14ac:dyDescent="0.35">
      <c r="EW9555" t="s">
        <v>7248</v>
      </c>
      <c r="EX9555" t="s">
        <v>7259</v>
      </c>
      <c r="FF9555" s="44" t="s">
        <v>59</v>
      </c>
      <c r="FJ9555" s="44" t="s">
        <v>59</v>
      </c>
    </row>
    <row r="9556" spans="153:166" x14ac:dyDescent="0.35">
      <c r="EW9556" t="s">
        <v>7248</v>
      </c>
      <c r="EX9556" t="s">
        <v>7260</v>
      </c>
      <c r="FF9556" s="44" t="s">
        <v>59</v>
      </c>
      <c r="FJ9556" s="44" t="s">
        <v>59</v>
      </c>
    </row>
    <row r="9557" spans="153:166" x14ac:dyDescent="0.35">
      <c r="EW9557" t="s">
        <v>7248</v>
      </c>
      <c r="EX9557" t="s">
        <v>7261</v>
      </c>
      <c r="FF9557" s="44" t="s">
        <v>59</v>
      </c>
      <c r="FJ9557" s="44" t="s">
        <v>59</v>
      </c>
    </row>
    <row r="9558" spans="153:166" x14ac:dyDescent="0.35">
      <c r="EW9558" t="s">
        <v>7248</v>
      </c>
      <c r="EX9558" t="s">
        <v>7262</v>
      </c>
      <c r="FF9558" s="44" t="s">
        <v>59</v>
      </c>
      <c r="FJ9558" s="44" t="s">
        <v>59</v>
      </c>
    </row>
    <row r="9559" spans="153:166" x14ac:dyDescent="0.35">
      <c r="EW9559" t="s">
        <v>7248</v>
      </c>
      <c r="EX9559" t="s">
        <v>7263</v>
      </c>
      <c r="FF9559" s="44" t="s">
        <v>59</v>
      </c>
      <c r="FJ9559" s="44" t="s">
        <v>59</v>
      </c>
    </row>
    <row r="9560" spans="153:166" x14ac:dyDescent="0.35">
      <c r="EW9560" t="s">
        <v>7248</v>
      </c>
      <c r="EX9560" t="s">
        <v>7264</v>
      </c>
      <c r="FF9560" s="44" t="s">
        <v>59</v>
      </c>
      <c r="FJ9560" s="44" t="s">
        <v>59</v>
      </c>
    </row>
    <row r="9561" spans="153:166" x14ac:dyDescent="0.35">
      <c r="EW9561" t="s">
        <v>7248</v>
      </c>
      <c r="EX9561" t="s">
        <v>7265</v>
      </c>
      <c r="FF9561" s="44" t="s">
        <v>59</v>
      </c>
      <c r="FJ9561" s="44" t="s">
        <v>59</v>
      </c>
    </row>
    <row r="9562" spans="153:166" x14ac:dyDescent="0.35">
      <c r="EW9562" t="s">
        <v>7248</v>
      </c>
      <c r="EX9562" t="s">
        <v>7266</v>
      </c>
      <c r="FF9562" s="44" t="s">
        <v>59</v>
      </c>
      <c r="FJ9562" s="44" t="s">
        <v>59</v>
      </c>
    </row>
    <row r="9563" spans="153:166" x14ac:dyDescent="0.35">
      <c r="EW9563" t="s">
        <v>7248</v>
      </c>
      <c r="EX9563" t="s">
        <v>7267</v>
      </c>
      <c r="FF9563" s="44" t="s">
        <v>59</v>
      </c>
      <c r="FJ9563" s="44" t="s">
        <v>59</v>
      </c>
    </row>
    <row r="9564" spans="153:166" x14ac:dyDescent="0.35">
      <c r="EW9564" t="s">
        <v>7248</v>
      </c>
      <c r="EX9564" t="s">
        <v>7268</v>
      </c>
      <c r="FF9564" s="44" t="s">
        <v>59</v>
      </c>
      <c r="FJ9564" s="44" t="s">
        <v>59</v>
      </c>
    </row>
    <row r="9565" spans="153:166" x14ac:dyDescent="0.35">
      <c r="EW9565" t="s">
        <v>7248</v>
      </c>
      <c r="EX9565" t="s">
        <v>7269</v>
      </c>
      <c r="FF9565" s="44" t="s">
        <v>59</v>
      </c>
      <c r="FJ9565" s="44" t="s">
        <v>59</v>
      </c>
    </row>
    <row r="9566" spans="153:166" x14ac:dyDescent="0.35">
      <c r="EW9566" t="s">
        <v>7248</v>
      </c>
      <c r="EX9566" t="s">
        <v>7270</v>
      </c>
      <c r="FF9566" s="44" t="s">
        <v>59</v>
      </c>
      <c r="FJ9566" s="44" t="s">
        <v>59</v>
      </c>
    </row>
    <row r="9567" spans="153:166" x14ac:dyDescent="0.35">
      <c r="EW9567" t="s">
        <v>7248</v>
      </c>
      <c r="EX9567" t="s">
        <v>7271</v>
      </c>
      <c r="FF9567" s="44" t="s">
        <v>59</v>
      </c>
      <c r="FJ9567" s="44" t="s">
        <v>59</v>
      </c>
    </row>
    <row r="9568" spans="153:166" x14ac:dyDescent="0.35">
      <c r="EW9568" t="s">
        <v>7248</v>
      </c>
      <c r="EX9568" t="s">
        <v>7272</v>
      </c>
      <c r="FF9568" s="44" t="s">
        <v>59</v>
      </c>
      <c r="FJ9568" s="44" t="s">
        <v>59</v>
      </c>
    </row>
    <row r="9569" spans="153:166" x14ac:dyDescent="0.35">
      <c r="EW9569" t="s">
        <v>7248</v>
      </c>
      <c r="EX9569" t="s">
        <v>7273</v>
      </c>
      <c r="FF9569" s="44" t="s">
        <v>59</v>
      </c>
      <c r="FJ9569" s="44" t="s">
        <v>59</v>
      </c>
    </row>
    <row r="9570" spans="153:166" x14ac:dyDescent="0.35">
      <c r="EW9570" t="s">
        <v>7248</v>
      </c>
      <c r="EX9570" t="s">
        <v>7274</v>
      </c>
      <c r="FF9570" s="44" t="s">
        <v>59</v>
      </c>
      <c r="FJ9570" s="44" t="s">
        <v>59</v>
      </c>
    </row>
    <row r="9571" spans="153:166" x14ac:dyDescent="0.35">
      <c r="EW9571" t="s">
        <v>7248</v>
      </c>
      <c r="EX9571" t="s">
        <v>6886</v>
      </c>
      <c r="FF9571" s="44" t="s">
        <v>59</v>
      </c>
      <c r="FJ9571" s="44" t="s">
        <v>59</v>
      </c>
    </row>
    <row r="9572" spans="153:166" x14ac:dyDescent="0.35">
      <c r="EW9572" t="s">
        <v>7248</v>
      </c>
      <c r="EX9572" t="s">
        <v>6887</v>
      </c>
      <c r="FF9572" s="44" t="s">
        <v>59</v>
      </c>
      <c r="FJ9572" s="44" t="s">
        <v>59</v>
      </c>
    </row>
    <row r="9573" spans="153:166" x14ac:dyDescent="0.35">
      <c r="EW9573" t="s">
        <v>7248</v>
      </c>
      <c r="EX9573" t="s">
        <v>7275</v>
      </c>
      <c r="FF9573" s="44" t="s">
        <v>59</v>
      </c>
      <c r="FJ9573" s="44" t="s">
        <v>59</v>
      </c>
    </row>
    <row r="9574" spans="153:166" x14ac:dyDescent="0.35">
      <c r="EW9574" t="s">
        <v>7248</v>
      </c>
      <c r="EX9574" t="s">
        <v>7276</v>
      </c>
      <c r="FF9574" s="44" t="s">
        <v>59</v>
      </c>
      <c r="FJ9574" s="44" t="s">
        <v>59</v>
      </c>
    </row>
    <row r="9575" spans="153:166" x14ac:dyDescent="0.35">
      <c r="EW9575" t="s">
        <v>7248</v>
      </c>
      <c r="EX9575" t="s">
        <v>7277</v>
      </c>
      <c r="FF9575" s="44" t="s">
        <v>59</v>
      </c>
      <c r="FJ9575" s="44" t="s">
        <v>59</v>
      </c>
    </row>
    <row r="9576" spans="153:166" x14ac:dyDescent="0.35">
      <c r="EW9576" t="s">
        <v>7248</v>
      </c>
      <c r="EX9576" t="s">
        <v>7278</v>
      </c>
      <c r="FF9576" s="44" t="s">
        <v>59</v>
      </c>
      <c r="FJ9576" s="44" t="s">
        <v>59</v>
      </c>
    </row>
    <row r="9577" spans="153:166" x14ac:dyDescent="0.35">
      <c r="EW9577" t="s">
        <v>7248</v>
      </c>
      <c r="EX9577" t="s">
        <v>7279</v>
      </c>
      <c r="FF9577" s="44" t="s">
        <v>59</v>
      </c>
      <c r="FJ9577" s="44" t="s">
        <v>59</v>
      </c>
    </row>
    <row r="9578" spans="153:166" x14ac:dyDescent="0.35">
      <c r="EW9578" t="s">
        <v>7248</v>
      </c>
      <c r="EX9578" t="s">
        <v>7280</v>
      </c>
      <c r="FF9578" s="44" t="s">
        <v>59</v>
      </c>
      <c r="FJ9578" s="44" t="s">
        <v>59</v>
      </c>
    </row>
    <row r="9579" spans="153:166" x14ac:dyDescent="0.35">
      <c r="EW9579" t="s">
        <v>7248</v>
      </c>
      <c r="EX9579" t="s">
        <v>7281</v>
      </c>
      <c r="FF9579" s="44" t="s">
        <v>59</v>
      </c>
      <c r="FJ9579" s="44" t="s">
        <v>59</v>
      </c>
    </row>
    <row r="9580" spans="153:166" x14ac:dyDescent="0.35">
      <c r="EW9580" t="s">
        <v>7248</v>
      </c>
      <c r="EX9580" t="s">
        <v>7282</v>
      </c>
      <c r="FF9580" s="44" t="s">
        <v>59</v>
      </c>
      <c r="FJ9580" s="44" t="s">
        <v>59</v>
      </c>
    </row>
    <row r="9581" spans="153:166" x14ac:dyDescent="0.35">
      <c r="EW9581" t="s">
        <v>7248</v>
      </c>
      <c r="EX9581" t="s">
        <v>7283</v>
      </c>
      <c r="FF9581" s="44" t="s">
        <v>59</v>
      </c>
      <c r="FJ9581" s="44" t="s">
        <v>59</v>
      </c>
    </row>
    <row r="9582" spans="153:166" x14ac:dyDescent="0.35">
      <c r="EW9582" t="s">
        <v>7248</v>
      </c>
      <c r="EX9582" t="s">
        <v>7284</v>
      </c>
      <c r="FF9582" s="44" t="s">
        <v>59</v>
      </c>
      <c r="FJ9582" s="44" t="s">
        <v>59</v>
      </c>
    </row>
    <row r="9583" spans="153:166" x14ac:dyDescent="0.35">
      <c r="EW9583" t="s">
        <v>7248</v>
      </c>
      <c r="EX9583" t="s">
        <v>7285</v>
      </c>
      <c r="FF9583" s="44" t="s">
        <v>59</v>
      </c>
      <c r="FJ9583" s="44" t="s">
        <v>59</v>
      </c>
    </row>
    <row r="9584" spans="153:166" x14ac:dyDescent="0.35">
      <c r="EW9584" t="s">
        <v>7248</v>
      </c>
      <c r="EX9584" t="s">
        <v>7286</v>
      </c>
      <c r="FF9584" s="44" t="s">
        <v>59</v>
      </c>
      <c r="FJ9584" s="44" t="s">
        <v>59</v>
      </c>
    </row>
    <row r="9585" spans="153:166" x14ac:dyDescent="0.35">
      <c r="EW9585" t="s">
        <v>7248</v>
      </c>
      <c r="EX9585" t="s">
        <v>7287</v>
      </c>
      <c r="FF9585" s="44" t="s">
        <v>59</v>
      </c>
      <c r="FJ9585" s="44" t="s">
        <v>59</v>
      </c>
    </row>
    <row r="9586" spans="153:166" x14ac:dyDescent="0.35">
      <c r="EW9586" t="s">
        <v>7248</v>
      </c>
      <c r="EX9586" t="s">
        <v>7288</v>
      </c>
      <c r="FF9586" s="44" t="s">
        <v>59</v>
      </c>
      <c r="FJ9586" s="44" t="s">
        <v>59</v>
      </c>
    </row>
    <row r="9587" spans="153:166" x14ac:dyDescent="0.35">
      <c r="EW9587" t="s">
        <v>7248</v>
      </c>
      <c r="EX9587" t="s">
        <v>7289</v>
      </c>
      <c r="FF9587" s="44" t="s">
        <v>59</v>
      </c>
      <c r="FJ9587" s="44" t="s">
        <v>59</v>
      </c>
    </row>
    <row r="9588" spans="153:166" x14ac:dyDescent="0.35">
      <c r="EW9588" t="s">
        <v>7248</v>
      </c>
      <c r="EX9588" t="s">
        <v>7290</v>
      </c>
      <c r="FF9588" s="44" t="s">
        <v>59</v>
      </c>
      <c r="FJ9588" s="44" t="s">
        <v>59</v>
      </c>
    </row>
    <row r="9589" spans="153:166" x14ac:dyDescent="0.35">
      <c r="EW9589" t="s">
        <v>7248</v>
      </c>
      <c r="EX9589" t="s">
        <v>7291</v>
      </c>
      <c r="FF9589" s="44" t="s">
        <v>59</v>
      </c>
      <c r="FJ9589" s="44" t="s">
        <v>59</v>
      </c>
    </row>
    <row r="9590" spans="153:166" x14ac:dyDescent="0.35">
      <c r="EW9590" t="s">
        <v>7248</v>
      </c>
      <c r="EX9590" t="s">
        <v>7292</v>
      </c>
      <c r="FF9590" s="44" t="s">
        <v>59</v>
      </c>
      <c r="FJ9590" s="44" t="s">
        <v>59</v>
      </c>
    </row>
    <row r="9591" spans="153:166" x14ac:dyDescent="0.35">
      <c r="EW9591" t="s">
        <v>7248</v>
      </c>
      <c r="EX9591" t="s">
        <v>7293</v>
      </c>
      <c r="FF9591" s="44" t="s">
        <v>59</v>
      </c>
      <c r="FJ9591" s="44" t="s">
        <v>59</v>
      </c>
    </row>
    <row r="9592" spans="153:166" x14ac:dyDescent="0.35">
      <c r="EW9592" t="s">
        <v>7248</v>
      </c>
      <c r="EX9592" t="s">
        <v>7294</v>
      </c>
      <c r="FF9592" s="44" t="s">
        <v>59</v>
      </c>
      <c r="FJ9592" s="44" t="s">
        <v>59</v>
      </c>
    </row>
    <row r="9593" spans="153:166" x14ac:dyDescent="0.35">
      <c r="EW9593" t="s">
        <v>7248</v>
      </c>
      <c r="EX9593" t="s">
        <v>6908</v>
      </c>
      <c r="FF9593" s="44" t="s">
        <v>59</v>
      </c>
      <c r="FJ9593" s="44" t="s">
        <v>59</v>
      </c>
    </row>
    <row r="9594" spans="153:166" x14ac:dyDescent="0.35">
      <c r="EW9594" t="s">
        <v>7248</v>
      </c>
      <c r="EX9594" t="s">
        <v>7295</v>
      </c>
      <c r="FF9594" s="44" t="s">
        <v>59</v>
      </c>
      <c r="FJ9594" s="44" t="s">
        <v>59</v>
      </c>
    </row>
    <row r="9595" spans="153:166" x14ac:dyDescent="0.35">
      <c r="EW9595" t="s">
        <v>7248</v>
      </c>
      <c r="EX9595" t="s">
        <v>7296</v>
      </c>
      <c r="FF9595" s="44" t="s">
        <v>59</v>
      </c>
      <c r="FJ9595" s="44" t="s">
        <v>59</v>
      </c>
    </row>
    <row r="9596" spans="153:166" x14ac:dyDescent="0.35">
      <c r="EW9596" t="s">
        <v>7248</v>
      </c>
      <c r="EX9596" t="s">
        <v>7297</v>
      </c>
      <c r="FF9596" s="44" t="s">
        <v>59</v>
      </c>
      <c r="FJ9596" s="44" t="s">
        <v>59</v>
      </c>
    </row>
    <row r="9597" spans="153:166" x14ac:dyDescent="0.35">
      <c r="EW9597" t="s">
        <v>7248</v>
      </c>
      <c r="EX9597" t="s">
        <v>7298</v>
      </c>
      <c r="FF9597" s="44" t="s">
        <v>59</v>
      </c>
      <c r="FJ9597" s="44" t="s">
        <v>59</v>
      </c>
    </row>
    <row r="9598" spans="153:166" x14ac:dyDescent="0.35">
      <c r="EW9598" t="s">
        <v>7248</v>
      </c>
      <c r="EX9598" t="s">
        <v>7299</v>
      </c>
      <c r="FF9598" s="44" t="s">
        <v>59</v>
      </c>
      <c r="FJ9598" s="44" t="s">
        <v>59</v>
      </c>
    </row>
    <row r="9599" spans="153:166" x14ac:dyDescent="0.35">
      <c r="EW9599" t="s">
        <v>7248</v>
      </c>
      <c r="EX9599" t="s">
        <v>7300</v>
      </c>
      <c r="FF9599" s="44" t="s">
        <v>59</v>
      </c>
      <c r="FJ9599" s="44" t="s">
        <v>59</v>
      </c>
    </row>
    <row r="9600" spans="153:166" x14ac:dyDescent="0.35">
      <c r="EW9600" t="s">
        <v>7248</v>
      </c>
      <c r="EX9600" t="s">
        <v>7301</v>
      </c>
      <c r="FF9600" s="44" t="s">
        <v>59</v>
      </c>
      <c r="FJ9600" s="44" t="s">
        <v>59</v>
      </c>
    </row>
    <row r="9601" spans="153:166" x14ac:dyDescent="0.35">
      <c r="EW9601" t="s">
        <v>7248</v>
      </c>
      <c r="EX9601" t="s">
        <v>7302</v>
      </c>
      <c r="FF9601" s="44" t="s">
        <v>59</v>
      </c>
      <c r="FJ9601" s="44" t="s">
        <v>59</v>
      </c>
    </row>
    <row r="9602" spans="153:166" x14ac:dyDescent="0.35">
      <c r="EW9602" t="s">
        <v>7248</v>
      </c>
      <c r="EX9602" t="s">
        <v>7303</v>
      </c>
      <c r="FF9602" s="44" t="s">
        <v>59</v>
      </c>
      <c r="FJ9602" s="44" t="s">
        <v>59</v>
      </c>
    </row>
    <row r="9603" spans="153:166" x14ac:dyDescent="0.35">
      <c r="EW9603" t="s">
        <v>7248</v>
      </c>
      <c r="EX9603" t="s">
        <v>7304</v>
      </c>
      <c r="FF9603" s="44" t="s">
        <v>59</v>
      </c>
      <c r="FJ9603" s="44" t="s">
        <v>59</v>
      </c>
    </row>
    <row r="9604" spans="153:166" x14ac:dyDescent="0.35">
      <c r="EW9604" t="s">
        <v>7248</v>
      </c>
      <c r="EX9604" t="s">
        <v>6919</v>
      </c>
      <c r="FF9604" s="44" t="s">
        <v>59</v>
      </c>
      <c r="FJ9604" s="44" t="s">
        <v>59</v>
      </c>
    </row>
    <row r="9605" spans="153:166" x14ac:dyDescent="0.35">
      <c r="EW9605" t="s">
        <v>7248</v>
      </c>
      <c r="EX9605" t="s">
        <v>6920</v>
      </c>
      <c r="FF9605" s="44" t="s">
        <v>59</v>
      </c>
      <c r="FJ9605" s="44" t="s">
        <v>59</v>
      </c>
    </row>
    <row r="9606" spans="153:166" x14ac:dyDescent="0.35">
      <c r="EW9606" t="s">
        <v>7248</v>
      </c>
      <c r="EX9606" t="s">
        <v>7305</v>
      </c>
      <c r="FF9606" s="44" t="s">
        <v>59</v>
      </c>
      <c r="FJ9606" s="44" t="s">
        <v>59</v>
      </c>
    </row>
    <row r="9607" spans="153:166" x14ac:dyDescent="0.35">
      <c r="EW9607" t="s">
        <v>7248</v>
      </c>
      <c r="EX9607" t="s">
        <v>7306</v>
      </c>
      <c r="FF9607" s="44" t="s">
        <v>59</v>
      </c>
      <c r="FJ9607" s="44" t="s">
        <v>59</v>
      </c>
    </row>
    <row r="9608" spans="153:166" x14ac:dyDescent="0.35">
      <c r="EW9608" t="s">
        <v>7248</v>
      </c>
      <c r="EX9608" t="s">
        <v>7307</v>
      </c>
      <c r="FF9608" s="44" t="s">
        <v>59</v>
      </c>
      <c r="FJ9608" s="44" t="s">
        <v>59</v>
      </c>
    </row>
    <row r="9609" spans="153:166" x14ac:dyDescent="0.35">
      <c r="EW9609" t="s">
        <v>7248</v>
      </c>
      <c r="EX9609" t="s">
        <v>7308</v>
      </c>
      <c r="FF9609" s="44" t="s">
        <v>59</v>
      </c>
      <c r="FJ9609" s="44" t="s">
        <v>59</v>
      </c>
    </row>
    <row r="9610" spans="153:166" x14ac:dyDescent="0.35">
      <c r="EW9610" t="s">
        <v>7248</v>
      </c>
      <c r="EX9610" t="s">
        <v>7309</v>
      </c>
      <c r="FF9610" s="44" t="s">
        <v>59</v>
      </c>
      <c r="FJ9610" s="44" t="s">
        <v>59</v>
      </c>
    </row>
    <row r="9611" spans="153:166" x14ac:dyDescent="0.35">
      <c r="EW9611" t="s">
        <v>7248</v>
      </c>
      <c r="EX9611" t="s">
        <v>7310</v>
      </c>
      <c r="FF9611" s="44" t="s">
        <v>59</v>
      </c>
      <c r="FJ9611" s="44" t="s">
        <v>59</v>
      </c>
    </row>
    <row r="9612" spans="153:166" x14ac:dyDescent="0.35">
      <c r="EW9612" t="s">
        <v>7248</v>
      </c>
      <c r="EX9612" t="s">
        <v>7311</v>
      </c>
      <c r="FF9612" s="44" t="s">
        <v>59</v>
      </c>
      <c r="FJ9612" s="44" t="s">
        <v>59</v>
      </c>
    </row>
    <row r="9613" spans="153:166" x14ac:dyDescent="0.35">
      <c r="EW9613" t="s">
        <v>7248</v>
      </c>
      <c r="EX9613" t="s">
        <v>7312</v>
      </c>
      <c r="FF9613" s="44" t="s">
        <v>59</v>
      </c>
      <c r="FJ9613" s="44" t="s">
        <v>59</v>
      </c>
    </row>
    <row r="9614" spans="153:166" x14ac:dyDescent="0.35">
      <c r="EW9614" t="s">
        <v>7248</v>
      </c>
      <c r="EX9614" t="s">
        <v>7313</v>
      </c>
      <c r="FF9614" s="44" t="s">
        <v>59</v>
      </c>
      <c r="FJ9614" s="44" t="s">
        <v>59</v>
      </c>
    </row>
    <row r="9615" spans="153:166" x14ac:dyDescent="0.35">
      <c r="EW9615" t="s">
        <v>7248</v>
      </c>
      <c r="EX9615" t="s">
        <v>7314</v>
      </c>
      <c r="FF9615" s="44" t="s">
        <v>59</v>
      </c>
      <c r="FJ9615" s="44" t="s">
        <v>59</v>
      </c>
    </row>
    <row r="9616" spans="153:166" x14ac:dyDescent="0.35">
      <c r="EW9616" t="s">
        <v>7248</v>
      </c>
      <c r="EX9616" t="s">
        <v>7315</v>
      </c>
      <c r="FF9616" s="44" t="s">
        <v>59</v>
      </c>
      <c r="FJ9616" s="44" t="s">
        <v>59</v>
      </c>
    </row>
    <row r="9617" spans="153:166" x14ac:dyDescent="0.35">
      <c r="EW9617" t="s">
        <v>7248</v>
      </c>
      <c r="EX9617" t="s">
        <v>7316</v>
      </c>
      <c r="FF9617" s="44" t="s">
        <v>59</v>
      </c>
      <c r="FJ9617" s="44" t="s">
        <v>59</v>
      </c>
    </row>
    <row r="9618" spans="153:166" x14ac:dyDescent="0.35">
      <c r="EW9618" t="s">
        <v>7248</v>
      </c>
      <c r="EX9618" t="s">
        <v>6933</v>
      </c>
      <c r="FF9618" s="44" t="s">
        <v>59</v>
      </c>
      <c r="FJ9618" s="44" t="s">
        <v>59</v>
      </c>
    </row>
    <row r="9619" spans="153:166" x14ac:dyDescent="0.35">
      <c r="EW9619" t="s">
        <v>7248</v>
      </c>
      <c r="EX9619" t="s">
        <v>6934</v>
      </c>
      <c r="FF9619" s="44" t="s">
        <v>59</v>
      </c>
      <c r="FJ9619" s="44" t="s">
        <v>59</v>
      </c>
    </row>
    <row r="9620" spans="153:166" x14ac:dyDescent="0.35">
      <c r="EW9620" t="s">
        <v>7248</v>
      </c>
      <c r="EX9620" t="s">
        <v>7317</v>
      </c>
      <c r="FF9620" s="44" t="s">
        <v>59</v>
      </c>
      <c r="FJ9620" s="44" t="s">
        <v>59</v>
      </c>
    </row>
    <row r="9621" spans="153:166" x14ac:dyDescent="0.35">
      <c r="EW9621" t="s">
        <v>7248</v>
      </c>
      <c r="EX9621" t="s">
        <v>7318</v>
      </c>
      <c r="FF9621" s="44" t="s">
        <v>59</v>
      </c>
      <c r="FJ9621" s="44" t="s">
        <v>59</v>
      </c>
    </row>
    <row r="9622" spans="153:166" x14ac:dyDescent="0.35">
      <c r="EW9622" t="s">
        <v>7248</v>
      </c>
      <c r="EX9622" t="s">
        <v>6937</v>
      </c>
      <c r="FF9622" s="44" t="s">
        <v>59</v>
      </c>
      <c r="FJ9622" s="44" t="s">
        <v>59</v>
      </c>
    </row>
    <row r="9623" spans="153:166" x14ac:dyDescent="0.35">
      <c r="EW9623" t="s">
        <v>7248</v>
      </c>
      <c r="EX9623" t="s">
        <v>7319</v>
      </c>
      <c r="FF9623" s="44" t="s">
        <v>59</v>
      </c>
      <c r="FJ9623" s="44" t="s">
        <v>59</v>
      </c>
    </row>
    <row r="9624" spans="153:166" x14ac:dyDescent="0.35">
      <c r="EW9624" t="s">
        <v>7248</v>
      </c>
      <c r="EX9624" t="s">
        <v>7320</v>
      </c>
      <c r="FF9624" s="44" t="s">
        <v>59</v>
      </c>
      <c r="FJ9624" s="44" t="s">
        <v>59</v>
      </c>
    </row>
    <row r="9625" spans="153:166" x14ac:dyDescent="0.35">
      <c r="EW9625" t="s">
        <v>7248</v>
      </c>
      <c r="EX9625" t="s">
        <v>7321</v>
      </c>
      <c r="FF9625" s="44" t="s">
        <v>59</v>
      </c>
      <c r="FJ9625" s="44" t="s">
        <v>59</v>
      </c>
    </row>
    <row r="9626" spans="153:166" x14ac:dyDescent="0.35">
      <c r="EW9626" t="s">
        <v>7248</v>
      </c>
      <c r="EX9626" t="s">
        <v>7322</v>
      </c>
      <c r="FF9626" s="44" t="s">
        <v>59</v>
      </c>
      <c r="FJ9626" s="44" t="s">
        <v>59</v>
      </c>
    </row>
    <row r="9627" spans="153:166" x14ac:dyDescent="0.35">
      <c r="EW9627" t="s">
        <v>7248</v>
      </c>
      <c r="EX9627" t="s">
        <v>7323</v>
      </c>
      <c r="FF9627" s="44" t="s">
        <v>59</v>
      </c>
      <c r="FJ9627" s="44" t="s">
        <v>59</v>
      </c>
    </row>
    <row r="9628" spans="153:166" x14ac:dyDescent="0.35">
      <c r="EW9628" t="s">
        <v>7248</v>
      </c>
      <c r="EX9628" t="s">
        <v>7324</v>
      </c>
      <c r="FF9628" s="44" t="s">
        <v>59</v>
      </c>
      <c r="FJ9628" s="44" t="s">
        <v>59</v>
      </c>
    </row>
    <row r="9629" spans="153:166" x14ac:dyDescent="0.35">
      <c r="EW9629" t="s">
        <v>7248</v>
      </c>
      <c r="EX9629" t="s">
        <v>7325</v>
      </c>
      <c r="FF9629" s="44" t="s">
        <v>59</v>
      </c>
      <c r="FJ9629" s="44" t="s">
        <v>59</v>
      </c>
    </row>
    <row r="9630" spans="153:166" x14ac:dyDescent="0.35">
      <c r="EW9630" t="s">
        <v>7248</v>
      </c>
      <c r="EX9630" t="s">
        <v>7326</v>
      </c>
      <c r="FF9630" s="44" t="s">
        <v>59</v>
      </c>
      <c r="FJ9630" s="44" t="s">
        <v>59</v>
      </c>
    </row>
    <row r="9631" spans="153:166" x14ac:dyDescent="0.35">
      <c r="EW9631" t="s">
        <v>7248</v>
      </c>
      <c r="EX9631" t="s">
        <v>7327</v>
      </c>
      <c r="FF9631" s="44" t="s">
        <v>59</v>
      </c>
      <c r="FJ9631" s="44" t="s">
        <v>59</v>
      </c>
    </row>
    <row r="9632" spans="153:166" x14ac:dyDescent="0.35">
      <c r="EW9632" t="s">
        <v>7248</v>
      </c>
      <c r="EX9632" t="s">
        <v>6947</v>
      </c>
      <c r="FF9632" s="44" t="s">
        <v>59</v>
      </c>
      <c r="FJ9632" s="44" t="s">
        <v>59</v>
      </c>
    </row>
    <row r="9633" spans="153:166" x14ac:dyDescent="0.35">
      <c r="EW9633" t="s">
        <v>7248</v>
      </c>
      <c r="EX9633" t="s">
        <v>7328</v>
      </c>
      <c r="FF9633" s="44" t="s">
        <v>59</v>
      </c>
      <c r="FJ9633" s="44" t="s">
        <v>59</v>
      </c>
    </row>
    <row r="9634" spans="153:166" x14ac:dyDescent="0.35">
      <c r="EW9634" t="s">
        <v>7248</v>
      </c>
      <c r="EX9634" t="s">
        <v>7329</v>
      </c>
      <c r="FF9634" s="44" t="s">
        <v>59</v>
      </c>
      <c r="FJ9634" s="44" t="s">
        <v>59</v>
      </c>
    </row>
    <row r="9635" spans="153:166" x14ac:dyDescent="0.35">
      <c r="EW9635" t="s">
        <v>7248</v>
      </c>
      <c r="EX9635" t="s">
        <v>6950</v>
      </c>
      <c r="FF9635" s="44" t="s">
        <v>59</v>
      </c>
      <c r="FJ9635" s="44" t="s">
        <v>59</v>
      </c>
    </row>
    <row r="9636" spans="153:166" x14ac:dyDescent="0.35">
      <c r="EW9636" t="s">
        <v>7248</v>
      </c>
      <c r="EX9636" t="s">
        <v>7330</v>
      </c>
      <c r="FF9636" s="44" t="s">
        <v>59</v>
      </c>
      <c r="FJ9636" s="44" t="s">
        <v>59</v>
      </c>
    </row>
    <row r="9637" spans="153:166" x14ac:dyDescent="0.35">
      <c r="EW9637" t="s">
        <v>7248</v>
      </c>
      <c r="EX9637" t="s">
        <v>7331</v>
      </c>
      <c r="FF9637" s="44" t="s">
        <v>59</v>
      </c>
      <c r="FJ9637" s="44" t="s">
        <v>59</v>
      </c>
    </row>
    <row r="9638" spans="153:166" x14ac:dyDescent="0.35">
      <c r="EW9638" t="s">
        <v>7248</v>
      </c>
      <c r="EX9638" t="s">
        <v>7332</v>
      </c>
      <c r="FF9638" s="44" t="s">
        <v>59</v>
      </c>
      <c r="FJ9638" s="44" t="s">
        <v>59</v>
      </c>
    </row>
    <row r="9639" spans="153:166" x14ac:dyDescent="0.35">
      <c r="EW9639" t="s">
        <v>7248</v>
      </c>
      <c r="EX9639" t="s">
        <v>7333</v>
      </c>
      <c r="FF9639" s="44" t="s">
        <v>59</v>
      </c>
      <c r="FJ9639" s="44" t="s">
        <v>59</v>
      </c>
    </row>
    <row r="9640" spans="153:166" x14ac:dyDescent="0.35">
      <c r="EW9640" t="s">
        <v>7248</v>
      </c>
      <c r="EX9640" t="s">
        <v>7334</v>
      </c>
      <c r="FF9640" s="44" t="s">
        <v>59</v>
      </c>
      <c r="FJ9640" s="44" t="s">
        <v>59</v>
      </c>
    </row>
    <row r="9641" spans="153:166" x14ac:dyDescent="0.35">
      <c r="EW9641" t="s">
        <v>7248</v>
      </c>
      <c r="EX9641" t="s">
        <v>7335</v>
      </c>
      <c r="FF9641" s="44" t="s">
        <v>59</v>
      </c>
      <c r="FJ9641" s="44" t="s">
        <v>59</v>
      </c>
    </row>
    <row r="9642" spans="153:166" x14ac:dyDescent="0.35">
      <c r="EW9642" t="s">
        <v>7248</v>
      </c>
      <c r="EX9642" t="s">
        <v>6957</v>
      </c>
      <c r="FF9642" s="44" t="s">
        <v>59</v>
      </c>
      <c r="FJ9642" s="44" t="s">
        <v>59</v>
      </c>
    </row>
    <row r="9643" spans="153:166" x14ac:dyDescent="0.35">
      <c r="EW9643" t="s">
        <v>7248</v>
      </c>
      <c r="EX9643" t="s">
        <v>6958</v>
      </c>
      <c r="FF9643" s="44" t="s">
        <v>59</v>
      </c>
      <c r="FJ9643" s="44" t="s">
        <v>59</v>
      </c>
    </row>
    <row r="9644" spans="153:166" x14ac:dyDescent="0.35">
      <c r="EW9644" t="s">
        <v>7248</v>
      </c>
      <c r="EX9644" t="s">
        <v>7336</v>
      </c>
      <c r="FF9644" s="44" t="s">
        <v>59</v>
      </c>
      <c r="FJ9644" s="44" t="s">
        <v>59</v>
      </c>
    </row>
    <row r="9645" spans="153:166" x14ac:dyDescent="0.35">
      <c r="EW9645" t="s">
        <v>7248</v>
      </c>
      <c r="EX9645" t="s">
        <v>7337</v>
      </c>
      <c r="FF9645" s="44" t="s">
        <v>59</v>
      </c>
      <c r="FJ9645" s="44" t="s">
        <v>59</v>
      </c>
    </row>
    <row r="9646" spans="153:166" x14ac:dyDescent="0.35">
      <c r="EW9646" t="s">
        <v>7248</v>
      </c>
      <c r="EX9646" t="s">
        <v>6961</v>
      </c>
      <c r="FF9646" s="44" t="s">
        <v>59</v>
      </c>
      <c r="FJ9646" s="44" t="s">
        <v>59</v>
      </c>
    </row>
    <row r="9647" spans="153:166" x14ac:dyDescent="0.35">
      <c r="EW9647" t="s">
        <v>7248</v>
      </c>
      <c r="EX9647" t="s">
        <v>7338</v>
      </c>
      <c r="FF9647" s="44" t="s">
        <v>59</v>
      </c>
      <c r="FJ9647" s="44" t="s">
        <v>59</v>
      </c>
    </row>
    <row r="9648" spans="153:166" x14ac:dyDescent="0.35">
      <c r="EW9648" t="s">
        <v>7248</v>
      </c>
      <c r="EX9648" t="s">
        <v>7339</v>
      </c>
      <c r="FF9648" s="44" t="s">
        <v>59</v>
      </c>
      <c r="FJ9648" s="44" t="s">
        <v>59</v>
      </c>
    </row>
    <row r="9649" spans="153:166" x14ac:dyDescent="0.35">
      <c r="EW9649" t="s">
        <v>7248</v>
      </c>
      <c r="EX9649" t="s">
        <v>7340</v>
      </c>
      <c r="FF9649" s="44" t="s">
        <v>59</v>
      </c>
      <c r="FJ9649" s="44" t="s">
        <v>59</v>
      </c>
    </row>
    <row r="9650" spans="153:166" x14ac:dyDescent="0.35">
      <c r="EW9650" t="s">
        <v>7248</v>
      </c>
      <c r="EX9650" t="s">
        <v>7341</v>
      </c>
      <c r="FF9650" s="44" t="s">
        <v>59</v>
      </c>
      <c r="FJ9650" s="44" t="s">
        <v>59</v>
      </c>
    </row>
    <row r="9651" spans="153:166" x14ac:dyDescent="0.35">
      <c r="EW9651" t="s">
        <v>7248</v>
      </c>
      <c r="EX9651" t="s">
        <v>7342</v>
      </c>
      <c r="FF9651" s="44" t="s">
        <v>474</v>
      </c>
      <c r="FJ9651" s="44" t="s">
        <v>474</v>
      </c>
    </row>
    <row r="9652" spans="153:166" x14ac:dyDescent="0.35">
      <c r="EW9652" t="s">
        <v>7248</v>
      </c>
      <c r="EX9652" t="s">
        <v>7343</v>
      </c>
      <c r="FF9652" s="44" t="s">
        <v>474</v>
      </c>
      <c r="FJ9652" s="44" t="s">
        <v>474</v>
      </c>
    </row>
    <row r="9653" spans="153:166" x14ac:dyDescent="0.35">
      <c r="EW9653" t="s">
        <v>7248</v>
      </c>
      <c r="EX9653" t="s">
        <v>7344</v>
      </c>
      <c r="FF9653" s="44" t="s">
        <v>474</v>
      </c>
      <c r="FJ9653" s="44" t="s">
        <v>474</v>
      </c>
    </row>
    <row r="9654" spans="153:166" x14ac:dyDescent="0.35">
      <c r="EW9654" t="s">
        <v>7248</v>
      </c>
      <c r="EX9654" t="s">
        <v>7345</v>
      </c>
      <c r="FF9654" s="44" t="s">
        <v>474</v>
      </c>
      <c r="FJ9654" s="44" t="s">
        <v>474</v>
      </c>
    </row>
    <row r="9655" spans="153:166" x14ac:dyDescent="0.35">
      <c r="EW9655" t="s">
        <v>7248</v>
      </c>
      <c r="EX9655" t="s">
        <v>6970</v>
      </c>
      <c r="FF9655" s="44" t="s">
        <v>1109</v>
      </c>
      <c r="FJ9655" s="44" t="s">
        <v>1109</v>
      </c>
    </row>
    <row r="9656" spans="153:166" x14ac:dyDescent="0.35">
      <c r="EW9656" t="s">
        <v>7248</v>
      </c>
      <c r="EX9656" t="s">
        <v>6971</v>
      </c>
      <c r="FF9656" s="44" t="s">
        <v>1109</v>
      </c>
      <c r="FJ9656" s="44" t="s">
        <v>1109</v>
      </c>
    </row>
    <row r="9657" spans="153:166" x14ac:dyDescent="0.35">
      <c r="EW9657" t="s">
        <v>7248</v>
      </c>
      <c r="EX9657" t="s">
        <v>6972</v>
      </c>
      <c r="FF9657" s="44" t="s">
        <v>1109</v>
      </c>
      <c r="FJ9657" s="44" t="s">
        <v>1109</v>
      </c>
    </row>
    <row r="9658" spans="153:166" x14ac:dyDescent="0.35">
      <c r="EW9658" t="s">
        <v>7248</v>
      </c>
      <c r="EX9658" t="s">
        <v>6973</v>
      </c>
      <c r="FF9658" s="44" t="s">
        <v>1109</v>
      </c>
      <c r="FJ9658" s="44" t="s">
        <v>1109</v>
      </c>
    </row>
    <row r="9659" spans="153:166" x14ac:dyDescent="0.35">
      <c r="EW9659" t="s">
        <v>7248</v>
      </c>
      <c r="EX9659" t="s">
        <v>6974</v>
      </c>
      <c r="FF9659" s="44" t="s">
        <v>1109</v>
      </c>
      <c r="FJ9659" s="44" t="s">
        <v>1109</v>
      </c>
    </row>
    <row r="9660" spans="153:166" x14ac:dyDescent="0.35">
      <c r="EW9660" t="s">
        <v>7248</v>
      </c>
      <c r="EX9660" t="s">
        <v>6975</v>
      </c>
      <c r="FF9660" s="44" t="s">
        <v>1109</v>
      </c>
      <c r="FJ9660" s="44" t="s">
        <v>1109</v>
      </c>
    </row>
    <row r="9661" spans="153:166" x14ac:dyDescent="0.35">
      <c r="EW9661" t="s">
        <v>7248</v>
      </c>
      <c r="EX9661" t="s">
        <v>6976</v>
      </c>
      <c r="FF9661" s="44" t="s">
        <v>1109</v>
      </c>
      <c r="FJ9661" s="44" t="s">
        <v>1109</v>
      </c>
    </row>
    <row r="9662" spans="153:166" x14ac:dyDescent="0.35">
      <c r="EW9662" t="s">
        <v>7248</v>
      </c>
      <c r="EX9662" t="s">
        <v>6977</v>
      </c>
      <c r="FF9662" s="44" t="s">
        <v>1109</v>
      </c>
      <c r="FJ9662" s="44" t="s">
        <v>1109</v>
      </c>
    </row>
    <row r="9663" spans="153:166" x14ac:dyDescent="0.35">
      <c r="EW9663" t="s">
        <v>7248</v>
      </c>
      <c r="EX9663" t="s">
        <v>6978</v>
      </c>
      <c r="FF9663" s="44" t="s">
        <v>1109</v>
      </c>
      <c r="FJ9663" s="44" t="s">
        <v>1109</v>
      </c>
    </row>
    <row r="9664" spans="153:166" x14ac:dyDescent="0.35">
      <c r="EW9664" t="s">
        <v>7248</v>
      </c>
      <c r="EX9664" t="s">
        <v>6979</v>
      </c>
      <c r="FF9664" s="44" t="s">
        <v>1109</v>
      </c>
      <c r="FJ9664" s="44" t="s">
        <v>1109</v>
      </c>
    </row>
    <row r="9665" spans="153:166" x14ac:dyDescent="0.35">
      <c r="EW9665" t="s">
        <v>7248</v>
      </c>
      <c r="EX9665" t="s">
        <v>6980</v>
      </c>
      <c r="FF9665" s="44" t="s">
        <v>1109</v>
      </c>
      <c r="FJ9665" s="44" t="s">
        <v>1109</v>
      </c>
    </row>
    <row r="9666" spans="153:166" x14ac:dyDescent="0.35">
      <c r="EW9666" t="s">
        <v>7248</v>
      </c>
      <c r="EX9666" t="s">
        <v>6981</v>
      </c>
      <c r="FF9666" s="44" t="s">
        <v>1109</v>
      </c>
      <c r="FJ9666" s="44" t="s">
        <v>1109</v>
      </c>
    </row>
    <row r="9667" spans="153:166" x14ac:dyDescent="0.35">
      <c r="EW9667" t="s">
        <v>7248</v>
      </c>
      <c r="EX9667" t="s">
        <v>6982</v>
      </c>
      <c r="FF9667" s="44" t="s">
        <v>1109</v>
      </c>
      <c r="FJ9667" s="44" t="s">
        <v>1109</v>
      </c>
    </row>
    <row r="9668" spans="153:166" x14ac:dyDescent="0.35">
      <c r="EW9668" t="s">
        <v>7248</v>
      </c>
      <c r="EX9668" t="s">
        <v>6983</v>
      </c>
      <c r="FF9668" s="44" t="s">
        <v>1109</v>
      </c>
      <c r="FJ9668" s="44" t="s">
        <v>1109</v>
      </c>
    </row>
    <row r="9669" spans="153:166" x14ac:dyDescent="0.35">
      <c r="EW9669" t="s">
        <v>7248</v>
      </c>
      <c r="EX9669" t="s">
        <v>6984</v>
      </c>
      <c r="FF9669" s="44" t="s">
        <v>1109</v>
      </c>
      <c r="FJ9669" s="44" t="s">
        <v>1109</v>
      </c>
    </row>
    <row r="9670" spans="153:166" x14ac:dyDescent="0.35">
      <c r="EW9670" t="s">
        <v>7248</v>
      </c>
      <c r="EX9670" t="s">
        <v>6985</v>
      </c>
      <c r="FF9670" s="44" t="s">
        <v>1109</v>
      </c>
      <c r="FJ9670" s="44" t="s">
        <v>1109</v>
      </c>
    </row>
    <row r="9671" spans="153:166" x14ac:dyDescent="0.35">
      <c r="EW9671" t="s">
        <v>7248</v>
      </c>
      <c r="EX9671" t="s">
        <v>6986</v>
      </c>
      <c r="FF9671" s="44" t="s">
        <v>1109</v>
      </c>
      <c r="FJ9671" s="44" t="s">
        <v>1109</v>
      </c>
    </row>
    <row r="9672" spans="153:166" x14ac:dyDescent="0.35">
      <c r="EW9672" t="s">
        <v>7248</v>
      </c>
      <c r="EX9672" t="s">
        <v>6987</v>
      </c>
      <c r="FF9672" s="44" t="s">
        <v>1109</v>
      </c>
      <c r="FJ9672" s="44" t="s">
        <v>1109</v>
      </c>
    </row>
    <row r="9673" spans="153:166" x14ac:dyDescent="0.35">
      <c r="EW9673" t="s">
        <v>7248</v>
      </c>
      <c r="EX9673" t="s">
        <v>6988</v>
      </c>
      <c r="FF9673" s="44" t="s">
        <v>1109</v>
      </c>
      <c r="FJ9673" s="44" t="s">
        <v>1109</v>
      </c>
    </row>
    <row r="9674" spans="153:166" x14ac:dyDescent="0.35">
      <c r="EW9674" t="s">
        <v>7248</v>
      </c>
      <c r="EX9674" t="s">
        <v>6989</v>
      </c>
      <c r="FF9674" s="44" t="s">
        <v>1109</v>
      </c>
      <c r="FJ9674" s="44" t="s">
        <v>1109</v>
      </c>
    </row>
    <row r="9675" spans="153:166" x14ac:dyDescent="0.35">
      <c r="EW9675" t="s">
        <v>7248</v>
      </c>
      <c r="EX9675" t="s">
        <v>6990</v>
      </c>
      <c r="FF9675" s="44" t="s">
        <v>1109</v>
      </c>
      <c r="FJ9675" s="44" t="s">
        <v>1109</v>
      </c>
    </row>
    <row r="9676" spans="153:166" x14ac:dyDescent="0.35">
      <c r="EW9676" t="s">
        <v>7248</v>
      </c>
      <c r="EX9676" t="s">
        <v>6991</v>
      </c>
      <c r="FF9676" s="44" t="s">
        <v>1109</v>
      </c>
      <c r="FJ9676" s="44" t="s">
        <v>1109</v>
      </c>
    </row>
    <row r="9677" spans="153:166" x14ac:dyDescent="0.35">
      <c r="EW9677" t="s">
        <v>7248</v>
      </c>
      <c r="EX9677" t="s">
        <v>6992</v>
      </c>
      <c r="FF9677" s="44" t="s">
        <v>1109</v>
      </c>
      <c r="FJ9677" s="44" t="s">
        <v>1109</v>
      </c>
    </row>
    <row r="9678" spans="153:166" x14ac:dyDescent="0.35">
      <c r="EW9678" t="s">
        <v>7248</v>
      </c>
      <c r="EX9678" t="s">
        <v>6993</v>
      </c>
      <c r="FF9678" s="44" t="s">
        <v>1109</v>
      </c>
      <c r="FJ9678" s="44" t="s">
        <v>1109</v>
      </c>
    </row>
    <row r="9679" spans="153:166" x14ac:dyDescent="0.35">
      <c r="EW9679" t="s">
        <v>7248</v>
      </c>
      <c r="EX9679" t="s">
        <v>6994</v>
      </c>
      <c r="FF9679" s="44" t="s">
        <v>1109</v>
      </c>
      <c r="FJ9679" s="44" t="s">
        <v>1109</v>
      </c>
    </row>
    <row r="9680" spans="153:166" x14ac:dyDescent="0.35">
      <c r="EW9680" t="s">
        <v>7248</v>
      </c>
      <c r="EX9680" t="s">
        <v>6995</v>
      </c>
      <c r="FF9680" s="44" t="s">
        <v>1109</v>
      </c>
      <c r="FJ9680" s="44" t="s">
        <v>1109</v>
      </c>
    </row>
    <row r="9681" spans="153:166" x14ac:dyDescent="0.35">
      <c r="EW9681" t="s">
        <v>7248</v>
      </c>
      <c r="EX9681" t="s">
        <v>6996</v>
      </c>
      <c r="FF9681" s="44" t="s">
        <v>1109</v>
      </c>
      <c r="FJ9681" s="44" t="s">
        <v>1109</v>
      </c>
    </row>
    <row r="9682" spans="153:166" x14ac:dyDescent="0.35">
      <c r="EW9682" t="s">
        <v>7248</v>
      </c>
      <c r="EX9682" t="s">
        <v>6997</v>
      </c>
      <c r="FF9682" s="44" t="s">
        <v>1109</v>
      </c>
      <c r="FJ9682" s="44" t="s">
        <v>1109</v>
      </c>
    </row>
    <row r="9683" spans="153:166" x14ac:dyDescent="0.35">
      <c r="EW9683" t="s">
        <v>7248</v>
      </c>
      <c r="EX9683" t="s">
        <v>6998</v>
      </c>
      <c r="FF9683" s="44" t="s">
        <v>1109</v>
      </c>
      <c r="FJ9683" s="44" t="s">
        <v>1109</v>
      </c>
    </row>
    <row r="9684" spans="153:166" x14ac:dyDescent="0.35">
      <c r="EW9684" t="s">
        <v>7248</v>
      </c>
      <c r="EX9684" t="s">
        <v>6999</v>
      </c>
      <c r="FF9684" s="44" t="s">
        <v>1109</v>
      </c>
      <c r="FJ9684" s="44" t="s">
        <v>1109</v>
      </c>
    </row>
    <row r="9685" spans="153:166" x14ac:dyDescent="0.35">
      <c r="EW9685" t="s">
        <v>7248</v>
      </c>
      <c r="EX9685" t="s">
        <v>7000</v>
      </c>
      <c r="FF9685" s="44" t="s">
        <v>1109</v>
      </c>
      <c r="FJ9685" s="44" t="s">
        <v>1109</v>
      </c>
    </row>
    <row r="9686" spans="153:166" x14ac:dyDescent="0.35">
      <c r="EW9686" t="s">
        <v>7248</v>
      </c>
      <c r="EX9686" t="s">
        <v>7001</v>
      </c>
      <c r="FF9686" s="44" t="s">
        <v>1109</v>
      </c>
      <c r="FJ9686" s="44" t="s">
        <v>1109</v>
      </c>
    </row>
    <row r="9687" spans="153:166" x14ac:dyDescent="0.35">
      <c r="EW9687" t="s">
        <v>7248</v>
      </c>
      <c r="EX9687" t="s">
        <v>7002</v>
      </c>
      <c r="FF9687" s="44" t="s">
        <v>59</v>
      </c>
      <c r="FJ9687" s="44" t="s">
        <v>59</v>
      </c>
    </row>
    <row r="9688" spans="153:166" x14ac:dyDescent="0.35">
      <c r="EW9688" t="s">
        <v>7248</v>
      </c>
      <c r="EX9688" t="s">
        <v>7003</v>
      </c>
      <c r="FF9688" s="44" t="s">
        <v>59</v>
      </c>
      <c r="FJ9688" s="44" t="s">
        <v>59</v>
      </c>
    </row>
    <row r="9689" spans="153:166" x14ac:dyDescent="0.35">
      <c r="EW9689" t="s">
        <v>7248</v>
      </c>
      <c r="EX9689" t="s">
        <v>7004</v>
      </c>
      <c r="FF9689" s="44" t="s">
        <v>59</v>
      </c>
      <c r="FJ9689" s="44" t="s">
        <v>59</v>
      </c>
    </row>
    <row r="9690" spans="153:166" x14ac:dyDescent="0.35">
      <c r="EW9690" t="s">
        <v>7248</v>
      </c>
      <c r="EX9690" t="s">
        <v>7005</v>
      </c>
      <c r="FF9690" s="44" t="s">
        <v>59</v>
      </c>
      <c r="FJ9690" s="44" t="s">
        <v>59</v>
      </c>
    </row>
    <row r="9691" spans="153:166" x14ac:dyDescent="0.35">
      <c r="EW9691" t="s">
        <v>7248</v>
      </c>
      <c r="EX9691" t="s">
        <v>7006</v>
      </c>
      <c r="FF9691" s="44" t="s">
        <v>59</v>
      </c>
      <c r="FJ9691" s="44" t="s">
        <v>59</v>
      </c>
    </row>
    <row r="9692" spans="153:166" x14ac:dyDescent="0.35">
      <c r="EW9692" t="s">
        <v>7248</v>
      </c>
      <c r="EX9692" t="s">
        <v>7007</v>
      </c>
      <c r="FF9692" s="44" t="s">
        <v>59</v>
      </c>
      <c r="FJ9692" s="44" t="s">
        <v>59</v>
      </c>
    </row>
    <row r="9693" spans="153:166" x14ac:dyDescent="0.35">
      <c r="EW9693" t="s">
        <v>7248</v>
      </c>
      <c r="EX9693" t="s">
        <v>7008</v>
      </c>
      <c r="FF9693" s="44" t="s">
        <v>59</v>
      </c>
      <c r="FJ9693" s="44" t="s">
        <v>59</v>
      </c>
    </row>
    <row r="9694" spans="153:166" x14ac:dyDescent="0.35">
      <c r="EW9694" t="s">
        <v>7248</v>
      </c>
      <c r="EX9694" t="s">
        <v>7009</v>
      </c>
      <c r="FF9694" s="44" t="s">
        <v>59</v>
      </c>
      <c r="FJ9694" s="44" t="s">
        <v>59</v>
      </c>
    </row>
    <row r="9695" spans="153:166" x14ac:dyDescent="0.35">
      <c r="EW9695" t="s">
        <v>7248</v>
      </c>
      <c r="EX9695" t="s">
        <v>7010</v>
      </c>
      <c r="FF9695" s="44" t="s">
        <v>59</v>
      </c>
      <c r="FJ9695" s="44" t="s">
        <v>59</v>
      </c>
    </row>
    <row r="9696" spans="153:166" x14ac:dyDescent="0.35">
      <c r="EW9696" t="s">
        <v>7248</v>
      </c>
      <c r="EX9696" t="s">
        <v>7011</v>
      </c>
      <c r="FF9696" s="44" t="s">
        <v>59</v>
      </c>
      <c r="FJ9696" s="44" t="s">
        <v>59</v>
      </c>
    </row>
    <row r="9697" spans="153:166" x14ac:dyDescent="0.35">
      <c r="EW9697" t="s">
        <v>7248</v>
      </c>
      <c r="EX9697" t="s">
        <v>7012</v>
      </c>
      <c r="FF9697" s="44" t="s">
        <v>59</v>
      </c>
      <c r="FJ9697" s="44" t="s">
        <v>59</v>
      </c>
    </row>
    <row r="9698" spans="153:166" x14ac:dyDescent="0.35">
      <c r="EW9698" t="s">
        <v>7248</v>
      </c>
      <c r="EX9698" t="s">
        <v>7013</v>
      </c>
      <c r="FF9698" s="44" t="s">
        <v>59</v>
      </c>
      <c r="FJ9698" s="44" t="s">
        <v>59</v>
      </c>
    </row>
    <row r="9699" spans="153:166" x14ac:dyDescent="0.35">
      <c r="EW9699" t="s">
        <v>7248</v>
      </c>
      <c r="EX9699" t="s">
        <v>7014</v>
      </c>
      <c r="FF9699" s="44" t="s">
        <v>59</v>
      </c>
      <c r="FJ9699" s="44" t="s">
        <v>59</v>
      </c>
    </row>
    <row r="9700" spans="153:166" x14ac:dyDescent="0.35">
      <c r="EW9700" t="s">
        <v>7248</v>
      </c>
      <c r="EX9700" t="s">
        <v>7015</v>
      </c>
      <c r="FF9700" s="44" t="s">
        <v>59</v>
      </c>
      <c r="FJ9700" s="44" t="s">
        <v>59</v>
      </c>
    </row>
    <row r="9701" spans="153:166" x14ac:dyDescent="0.35">
      <c r="EW9701" t="s">
        <v>7248</v>
      </c>
      <c r="EX9701" t="s">
        <v>7016</v>
      </c>
      <c r="FF9701" s="44" t="s">
        <v>59</v>
      </c>
      <c r="FJ9701" s="44" t="s">
        <v>59</v>
      </c>
    </row>
    <row r="9702" spans="153:166" x14ac:dyDescent="0.35">
      <c r="EW9702" t="s">
        <v>7248</v>
      </c>
      <c r="EX9702" t="s">
        <v>7017</v>
      </c>
      <c r="FF9702" s="44" t="s">
        <v>59</v>
      </c>
      <c r="FJ9702" s="44" t="s">
        <v>59</v>
      </c>
    </row>
    <row r="9703" spans="153:166" x14ac:dyDescent="0.35">
      <c r="EW9703" t="s">
        <v>7248</v>
      </c>
      <c r="EX9703" t="s">
        <v>7018</v>
      </c>
      <c r="FF9703" s="44" t="s">
        <v>59</v>
      </c>
      <c r="FJ9703" s="44" t="s">
        <v>59</v>
      </c>
    </row>
    <row r="9704" spans="153:166" x14ac:dyDescent="0.35">
      <c r="EW9704" t="s">
        <v>7248</v>
      </c>
      <c r="EX9704" t="s">
        <v>7019</v>
      </c>
      <c r="FF9704" s="44" t="s">
        <v>59</v>
      </c>
      <c r="FJ9704" s="44" t="s">
        <v>59</v>
      </c>
    </row>
    <row r="9705" spans="153:166" x14ac:dyDescent="0.35">
      <c r="EW9705" t="s">
        <v>7248</v>
      </c>
      <c r="EX9705" t="s">
        <v>7020</v>
      </c>
      <c r="FF9705" s="44" t="s">
        <v>59</v>
      </c>
      <c r="FJ9705" s="44" t="s">
        <v>59</v>
      </c>
    </row>
    <row r="9706" spans="153:166" x14ac:dyDescent="0.35">
      <c r="EW9706" t="s">
        <v>7248</v>
      </c>
      <c r="EX9706" t="s">
        <v>7021</v>
      </c>
      <c r="FF9706" s="44" t="s">
        <v>59</v>
      </c>
      <c r="FJ9706" s="44" t="s">
        <v>59</v>
      </c>
    </row>
    <row r="9707" spans="153:166" x14ac:dyDescent="0.35">
      <c r="EW9707" t="s">
        <v>7248</v>
      </c>
      <c r="EX9707" t="s">
        <v>7022</v>
      </c>
      <c r="FF9707" s="44" t="s">
        <v>59</v>
      </c>
      <c r="FJ9707" s="44" t="s">
        <v>59</v>
      </c>
    </row>
    <row r="9708" spans="153:166" x14ac:dyDescent="0.35">
      <c r="EW9708" t="s">
        <v>7248</v>
      </c>
      <c r="EX9708" t="s">
        <v>7023</v>
      </c>
      <c r="FF9708" s="44" t="s">
        <v>59</v>
      </c>
      <c r="FJ9708" s="44" t="s">
        <v>59</v>
      </c>
    </row>
    <row r="9709" spans="153:166" x14ac:dyDescent="0.35">
      <c r="EW9709" t="s">
        <v>7248</v>
      </c>
      <c r="EX9709" t="s">
        <v>7024</v>
      </c>
      <c r="FF9709" s="44" t="s">
        <v>59</v>
      </c>
      <c r="FJ9709" s="44" t="s">
        <v>59</v>
      </c>
    </row>
    <row r="9710" spans="153:166" x14ac:dyDescent="0.35">
      <c r="EW9710" t="s">
        <v>7248</v>
      </c>
      <c r="EX9710" t="s">
        <v>7025</v>
      </c>
      <c r="FF9710" s="44" t="s">
        <v>59</v>
      </c>
      <c r="FJ9710" s="44" t="s">
        <v>59</v>
      </c>
    </row>
    <row r="9711" spans="153:166" x14ac:dyDescent="0.35">
      <c r="EW9711" t="s">
        <v>7248</v>
      </c>
      <c r="EX9711" t="s">
        <v>7026</v>
      </c>
      <c r="FF9711" s="44" t="s">
        <v>59</v>
      </c>
      <c r="FJ9711" s="44" t="s">
        <v>59</v>
      </c>
    </row>
    <row r="9712" spans="153:166" x14ac:dyDescent="0.35">
      <c r="EW9712" t="s">
        <v>7248</v>
      </c>
      <c r="EX9712" t="s">
        <v>7027</v>
      </c>
      <c r="FF9712" s="44" t="s">
        <v>59</v>
      </c>
      <c r="FJ9712" s="44" t="s">
        <v>59</v>
      </c>
    </row>
    <row r="9713" spans="153:166" x14ac:dyDescent="0.35">
      <c r="EW9713" t="s">
        <v>7248</v>
      </c>
      <c r="EX9713" t="s">
        <v>7028</v>
      </c>
      <c r="FF9713" s="44" t="s">
        <v>59</v>
      </c>
      <c r="FJ9713" s="44" t="s">
        <v>59</v>
      </c>
    </row>
    <row r="9714" spans="153:166" x14ac:dyDescent="0.35">
      <c r="EW9714" t="s">
        <v>7248</v>
      </c>
      <c r="EX9714" t="s">
        <v>7029</v>
      </c>
      <c r="FF9714" s="44" t="s">
        <v>59</v>
      </c>
      <c r="FJ9714" s="44" t="s">
        <v>59</v>
      </c>
    </row>
    <row r="9715" spans="153:166" x14ac:dyDescent="0.35">
      <c r="EW9715" t="s">
        <v>7248</v>
      </c>
      <c r="EX9715" t="s">
        <v>7030</v>
      </c>
      <c r="FF9715" s="44" t="s">
        <v>59</v>
      </c>
      <c r="FJ9715" s="44" t="s">
        <v>59</v>
      </c>
    </row>
    <row r="9716" spans="153:166" x14ac:dyDescent="0.35">
      <c r="EW9716" t="s">
        <v>7248</v>
      </c>
      <c r="EX9716" t="s">
        <v>7031</v>
      </c>
      <c r="FF9716" s="44" t="s">
        <v>59</v>
      </c>
      <c r="FJ9716" s="44" t="s">
        <v>59</v>
      </c>
    </row>
    <row r="9717" spans="153:166" x14ac:dyDescent="0.35">
      <c r="EW9717" t="s">
        <v>7248</v>
      </c>
      <c r="EX9717" t="s">
        <v>7032</v>
      </c>
      <c r="FF9717" s="44" t="s">
        <v>59</v>
      </c>
      <c r="FJ9717" s="44" t="s">
        <v>59</v>
      </c>
    </row>
    <row r="9718" spans="153:166" x14ac:dyDescent="0.35">
      <c r="EW9718" t="s">
        <v>7248</v>
      </c>
      <c r="EX9718" t="s">
        <v>7033</v>
      </c>
      <c r="FF9718" s="44" t="s">
        <v>59</v>
      </c>
      <c r="FJ9718" s="44" t="s">
        <v>59</v>
      </c>
    </row>
    <row r="9719" spans="153:166" x14ac:dyDescent="0.35">
      <c r="EW9719" t="s">
        <v>7248</v>
      </c>
      <c r="EX9719" t="s">
        <v>7034</v>
      </c>
      <c r="FF9719" s="44" t="s">
        <v>59</v>
      </c>
      <c r="FJ9719" s="44" t="s">
        <v>59</v>
      </c>
    </row>
    <row r="9720" spans="153:166" x14ac:dyDescent="0.35">
      <c r="EW9720" t="s">
        <v>7248</v>
      </c>
      <c r="EX9720" t="s">
        <v>7035</v>
      </c>
      <c r="FF9720" s="44" t="s">
        <v>59</v>
      </c>
      <c r="FJ9720" s="44" t="s">
        <v>59</v>
      </c>
    </row>
    <row r="9721" spans="153:166" x14ac:dyDescent="0.35">
      <c r="EW9721" t="s">
        <v>7248</v>
      </c>
      <c r="EX9721" t="s">
        <v>7036</v>
      </c>
      <c r="FF9721" s="44" t="s">
        <v>59</v>
      </c>
      <c r="FJ9721" s="44" t="s">
        <v>59</v>
      </c>
    </row>
    <row r="9722" spans="153:166" x14ac:dyDescent="0.35">
      <c r="EW9722" t="s">
        <v>7248</v>
      </c>
      <c r="EX9722" t="s">
        <v>7037</v>
      </c>
      <c r="FF9722" s="44" t="s">
        <v>59</v>
      </c>
      <c r="FJ9722" s="44" t="s">
        <v>59</v>
      </c>
    </row>
    <row r="9723" spans="153:166" x14ac:dyDescent="0.35">
      <c r="EW9723" t="s">
        <v>7248</v>
      </c>
      <c r="EX9723" t="s">
        <v>7038</v>
      </c>
      <c r="FF9723" s="44" t="s">
        <v>59</v>
      </c>
      <c r="FJ9723" s="44" t="s">
        <v>59</v>
      </c>
    </row>
    <row r="9724" spans="153:166" x14ac:dyDescent="0.35">
      <c r="EW9724" t="s">
        <v>7248</v>
      </c>
      <c r="EX9724" t="s">
        <v>7039</v>
      </c>
      <c r="FF9724" s="44" t="s">
        <v>59</v>
      </c>
      <c r="FJ9724" s="44" t="s">
        <v>59</v>
      </c>
    </row>
    <row r="9725" spans="153:166" x14ac:dyDescent="0.35">
      <c r="EW9725" t="s">
        <v>7248</v>
      </c>
      <c r="EX9725" t="s">
        <v>7040</v>
      </c>
      <c r="FF9725" s="44" t="s">
        <v>59</v>
      </c>
      <c r="FJ9725" s="44" t="s">
        <v>59</v>
      </c>
    </row>
    <row r="9726" spans="153:166" x14ac:dyDescent="0.35">
      <c r="EW9726" t="s">
        <v>7248</v>
      </c>
      <c r="EX9726" t="s">
        <v>7041</v>
      </c>
      <c r="FF9726" s="44" t="s">
        <v>59</v>
      </c>
      <c r="FJ9726" s="44" t="s">
        <v>59</v>
      </c>
    </row>
    <row r="9727" spans="153:166" x14ac:dyDescent="0.35">
      <c r="EW9727" t="s">
        <v>7248</v>
      </c>
      <c r="EX9727" t="s">
        <v>7042</v>
      </c>
      <c r="FF9727" s="44" t="s">
        <v>59</v>
      </c>
      <c r="FJ9727" s="44" t="s">
        <v>59</v>
      </c>
    </row>
    <row r="9728" spans="153:166" x14ac:dyDescent="0.35">
      <c r="EW9728" t="s">
        <v>7248</v>
      </c>
      <c r="EX9728" t="s">
        <v>7043</v>
      </c>
      <c r="FF9728" s="44" t="s">
        <v>59</v>
      </c>
      <c r="FJ9728" s="44" t="s">
        <v>59</v>
      </c>
    </row>
    <row r="9729" spans="153:166" x14ac:dyDescent="0.35">
      <c r="EW9729" t="s">
        <v>7248</v>
      </c>
      <c r="EX9729" t="s">
        <v>7044</v>
      </c>
      <c r="FF9729" s="44" t="s">
        <v>59</v>
      </c>
      <c r="FJ9729" s="44" t="s">
        <v>59</v>
      </c>
    </row>
    <row r="9730" spans="153:166" x14ac:dyDescent="0.35">
      <c r="EW9730" t="s">
        <v>7248</v>
      </c>
      <c r="EX9730" t="s">
        <v>7045</v>
      </c>
      <c r="FF9730" s="44" t="s">
        <v>59</v>
      </c>
      <c r="FJ9730" s="44" t="s">
        <v>59</v>
      </c>
    </row>
    <row r="9731" spans="153:166" x14ac:dyDescent="0.35">
      <c r="EW9731" t="s">
        <v>7248</v>
      </c>
      <c r="EX9731" t="s">
        <v>7046</v>
      </c>
      <c r="FF9731" s="44" t="s">
        <v>59</v>
      </c>
      <c r="FJ9731" s="44" t="s">
        <v>59</v>
      </c>
    </row>
    <row r="9732" spans="153:166" x14ac:dyDescent="0.35">
      <c r="EW9732" t="s">
        <v>7248</v>
      </c>
      <c r="EX9732" t="s">
        <v>7047</v>
      </c>
      <c r="FF9732" s="44" t="s">
        <v>59</v>
      </c>
      <c r="FJ9732" s="44" t="s">
        <v>59</v>
      </c>
    </row>
    <row r="9733" spans="153:166" x14ac:dyDescent="0.35">
      <c r="EW9733" t="s">
        <v>7248</v>
      </c>
      <c r="EX9733" t="s">
        <v>7048</v>
      </c>
      <c r="FF9733" s="44" t="s">
        <v>59</v>
      </c>
      <c r="FJ9733" s="44" t="s">
        <v>59</v>
      </c>
    </row>
    <row r="9734" spans="153:166" x14ac:dyDescent="0.35">
      <c r="EW9734" t="s">
        <v>7248</v>
      </c>
      <c r="EX9734" t="s">
        <v>7049</v>
      </c>
      <c r="FF9734" s="44" t="s">
        <v>59</v>
      </c>
      <c r="FJ9734" s="44" t="s">
        <v>59</v>
      </c>
    </row>
    <row r="9735" spans="153:166" x14ac:dyDescent="0.35">
      <c r="EW9735" t="s">
        <v>7248</v>
      </c>
      <c r="EX9735" t="s">
        <v>7050</v>
      </c>
      <c r="FF9735" s="44" t="s">
        <v>59</v>
      </c>
      <c r="FJ9735" s="44" t="s">
        <v>59</v>
      </c>
    </row>
    <row r="9736" spans="153:166" x14ac:dyDescent="0.35">
      <c r="EW9736" t="s">
        <v>7248</v>
      </c>
      <c r="EX9736" t="s">
        <v>7051</v>
      </c>
      <c r="FF9736" s="44" t="s">
        <v>59</v>
      </c>
      <c r="FJ9736" s="44" t="s">
        <v>59</v>
      </c>
    </row>
    <row r="9737" spans="153:166" x14ac:dyDescent="0.35">
      <c r="EW9737" t="s">
        <v>7248</v>
      </c>
      <c r="EX9737" t="s">
        <v>7052</v>
      </c>
      <c r="FF9737" s="44" t="s">
        <v>59</v>
      </c>
      <c r="FJ9737" s="44" t="s">
        <v>59</v>
      </c>
    </row>
    <row r="9738" spans="153:166" x14ac:dyDescent="0.35">
      <c r="EW9738" t="s">
        <v>7248</v>
      </c>
      <c r="EX9738" t="s">
        <v>7053</v>
      </c>
      <c r="FF9738" s="44" t="s">
        <v>59</v>
      </c>
      <c r="FJ9738" s="44" t="s">
        <v>59</v>
      </c>
    </row>
    <row r="9739" spans="153:166" x14ac:dyDescent="0.35">
      <c r="EW9739" t="s">
        <v>7248</v>
      </c>
      <c r="EX9739" t="s">
        <v>7054</v>
      </c>
      <c r="FF9739" s="44" t="s">
        <v>59</v>
      </c>
      <c r="FJ9739" s="44" t="s">
        <v>59</v>
      </c>
    </row>
    <row r="9740" spans="153:166" x14ac:dyDescent="0.35">
      <c r="EW9740" t="s">
        <v>7248</v>
      </c>
      <c r="EX9740" t="s">
        <v>7055</v>
      </c>
      <c r="FF9740" s="44" t="s">
        <v>59</v>
      </c>
      <c r="FJ9740" s="44" t="s">
        <v>59</v>
      </c>
    </row>
    <row r="9741" spans="153:166" x14ac:dyDescent="0.35">
      <c r="EW9741" t="s">
        <v>7248</v>
      </c>
      <c r="EX9741" t="s">
        <v>7056</v>
      </c>
      <c r="FF9741" s="44" t="s">
        <v>59</v>
      </c>
      <c r="FJ9741" s="44" t="s">
        <v>59</v>
      </c>
    </row>
    <row r="9742" spans="153:166" x14ac:dyDescent="0.35">
      <c r="EW9742" t="s">
        <v>7248</v>
      </c>
      <c r="EX9742" t="s">
        <v>7057</v>
      </c>
      <c r="FF9742" s="44" t="s">
        <v>59</v>
      </c>
      <c r="FJ9742" s="44" t="s">
        <v>59</v>
      </c>
    </row>
    <row r="9743" spans="153:166" x14ac:dyDescent="0.35">
      <c r="EW9743" t="s">
        <v>7248</v>
      </c>
      <c r="EX9743" t="s">
        <v>7058</v>
      </c>
      <c r="FF9743" s="44" t="s">
        <v>59</v>
      </c>
      <c r="FJ9743" s="44" t="s">
        <v>59</v>
      </c>
    </row>
    <row r="9744" spans="153:166" x14ac:dyDescent="0.35">
      <c r="EW9744" t="s">
        <v>7248</v>
      </c>
      <c r="EX9744" t="s">
        <v>7059</v>
      </c>
      <c r="FF9744" s="44" t="s">
        <v>59</v>
      </c>
      <c r="FJ9744" s="44" t="s">
        <v>59</v>
      </c>
    </row>
    <row r="9745" spans="153:166" x14ac:dyDescent="0.35">
      <c r="EW9745" t="s">
        <v>7248</v>
      </c>
      <c r="EX9745" t="s">
        <v>7060</v>
      </c>
      <c r="FF9745" s="44" t="s">
        <v>59</v>
      </c>
      <c r="FJ9745" s="44" t="s">
        <v>59</v>
      </c>
    </row>
    <row r="9746" spans="153:166" x14ac:dyDescent="0.35">
      <c r="EW9746" t="s">
        <v>7248</v>
      </c>
      <c r="EX9746" t="s">
        <v>7061</v>
      </c>
      <c r="FF9746" s="44" t="s">
        <v>59</v>
      </c>
      <c r="FJ9746" s="44" t="s">
        <v>59</v>
      </c>
    </row>
    <row r="9747" spans="153:166" x14ac:dyDescent="0.35">
      <c r="EW9747" t="s">
        <v>7248</v>
      </c>
      <c r="EX9747" t="s">
        <v>7062</v>
      </c>
      <c r="FF9747" s="44" t="s">
        <v>59</v>
      </c>
      <c r="FJ9747" s="44" t="s">
        <v>59</v>
      </c>
    </row>
    <row r="9748" spans="153:166" x14ac:dyDescent="0.35">
      <c r="EW9748" t="s">
        <v>7248</v>
      </c>
      <c r="EX9748" t="s">
        <v>7063</v>
      </c>
      <c r="FF9748" s="44" t="s">
        <v>59</v>
      </c>
      <c r="FJ9748" s="44" t="s">
        <v>59</v>
      </c>
    </row>
    <row r="9749" spans="153:166" x14ac:dyDescent="0.35">
      <c r="EW9749" t="s">
        <v>7248</v>
      </c>
      <c r="EX9749" t="s">
        <v>7064</v>
      </c>
      <c r="FF9749" s="44" t="s">
        <v>59</v>
      </c>
      <c r="FJ9749" s="44" t="s">
        <v>59</v>
      </c>
    </row>
    <row r="9750" spans="153:166" x14ac:dyDescent="0.35">
      <c r="EW9750" t="s">
        <v>7248</v>
      </c>
      <c r="EX9750" t="s">
        <v>7065</v>
      </c>
      <c r="FF9750" s="44" t="s">
        <v>59</v>
      </c>
      <c r="FJ9750" s="44" t="s">
        <v>59</v>
      </c>
    </row>
    <row r="9751" spans="153:166" x14ac:dyDescent="0.35">
      <c r="EW9751" t="s">
        <v>7248</v>
      </c>
      <c r="EX9751" t="s">
        <v>7066</v>
      </c>
      <c r="FF9751" s="44" t="s">
        <v>59</v>
      </c>
      <c r="FJ9751" s="44" t="s">
        <v>59</v>
      </c>
    </row>
    <row r="9752" spans="153:166" x14ac:dyDescent="0.35">
      <c r="EW9752" t="s">
        <v>7248</v>
      </c>
      <c r="EX9752" t="s">
        <v>7067</v>
      </c>
      <c r="FF9752" s="44" t="s">
        <v>59</v>
      </c>
      <c r="FJ9752" s="44" t="s">
        <v>59</v>
      </c>
    </row>
    <row r="9753" spans="153:166" x14ac:dyDescent="0.35">
      <c r="EW9753" t="s">
        <v>7248</v>
      </c>
      <c r="EX9753" t="s">
        <v>7068</v>
      </c>
      <c r="FF9753" s="44" t="s">
        <v>59</v>
      </c>
      <c r="FJ9753" s="44" t="s">
        <v>59</v>
      </c>
    </row>
    <row r="9754" spans="153:166" x14ac:dyDescent="0.35">
      <c r="EW9754" t="s">
        <v>7248</v>
      </c>
      <c r="EX9754" t="s">
        <v>7069</v>
      </c>
      <c r="FF9754" s="44" t="s">
        <v>59</v>
      </c>
      <c r="FJ9754" s="44" t="s">
        <v>59</v>
      </c>
    </row>
    <row r="9755" spans="153:166" x14ac:dyDescent="0.35">
      <c r="EW9755" t="s">
        <v>7248</v>
      </c>
      <c r="EX9755" t="s">
        <v>7070</v>
      </c>
      <c r="FF9755" s="44" t="s">
        <v>59</v>
      </c>
      <c r="FJ9755" s="44" t="s">
        <v>59</v>
      </c>
    </row>
    <row r="9756" spans="153:166" x14ac:dyDescent="0.35">
      <c r="EW9756" t="s">
        <v>7248</v>
      </c>
      <c r="EX9756" t="s">
        <v>7071</v>
      </c>
      <c r="FF9756" s="44" t="s">
        <v>59</v>
      </c>
      <c r="FJ9756" s="44" t="s">
        <v>59</v>
      </c>
    </row>
    <row r="9757" spans="153:166" x14ac:dyDescent="0.35">
      <c r="EW9757" t="s">
        <v>7248</v>
      </c>
      <c r="EX9757" t="s">
        <v>7072</v>
      </c>
      <c r="FF9757" s="44" t="s">
        <v>59</v>
      </c>
      <c r="FJ9757" s="44" t="s">
        <v>59</v>
      </c>
    </row>
    <row r="9758" spans="153:166" x14ac:dyDescent="0.35">
      <c r="EW9758" t="s">
        <v>7248</v>
      </c>
      <c r="EX9758" t="s">
        <v>7073</v>
      </c>
      <c r="FF9758" s="44" t="s">
        <v>59</v>
      </c>
      <c r="FJ9758" s="44" t="s">
        <v>59</v>
      </c>
    </row>
    <row r="9759" spans="153:166" x14ac:dyDescent="0.35">
      <c r="EW9759" t="s">
        <v>7248</v>
      </c>
      <c r="EX9759" t="s">
        <v>7074</v>
      </c>
      <c r="FF9759" s="44" t="s">
        <v>59</v>
      </c>
      <c r="FJ9759" s="44" t="s">
        <v>59</v>
      </c>
    </row>
    <row r="9760" spans="153:166" x14ac:dyDescent="0.35">
      <c r="EW9760" t="s">
        <v>7248</v>
      </c>
      <c r="EX9760" t="s">
        <v>7075</v>
      </c>
      <c r="FF9760" s="44" t="s">
        <v>59</v>
      </c>
      <c r="FJ9760" s="44" t="s">
        <v>59</v>
      </c>
    </row>
    <row r="9761" spans="153:166" x14ac:dyDescent="0.35">
      <c r="EW9761" t="s">
        <v>7248</v>
      </c>
      <c r="EX9761" t="s">
        <v>7076</v>
      </c>
      <c r="FF9761" s="44" t="s">
        <v>59</v>
      </c>
      <c r="FJ9761" s="44" t="s">
        <v>59</v>
      </c>
    </row>
    <row r="9762" spans="153:166" x14ac:dyDescent="0.35">
      <c r="EW9762" t="s">
        <v>7248</v>
      </c>
      <c r="EX9762" t="s">
        <v>7077</v>
      </c>
      <c r="FF9762" s="44" t="s">
        <v>59</v>
      </c>
      <c r="FJ9762" s="44" t="s">
        <v>59</v>
      </c>
    </row>
    <row r="9763" spans="153:166" x14ac:dyDescent="0.35">
      <c r="EW9763" t="s">
        <v>7248</v>
      </c>
      <c r="EX9763" t="s">
        <v>7078</v>
      </c>
      <c r="FF9763" s="44" t="s">
        <v>59</v>
      </c>
      <c r="FJ9763" s="44" t="s">
        <v>59</v>
      </c>
    </row>
    <row r="9764" spans="153:166" x14ac:dyDescent="0.35">
      <c r="EW9764" t="s">
        <v>7248</v>
      </c>
      <c r="EX9764" t="s">
        <v>7079</v>
      </c>
      <c r="FF9764" s="44" t="s">
        <v>59</v>
      </c>
      <c r="FJ9764" s="44" t="s">
        <v>59</v>
      </c>
    </row>
    <row r="9765" spans="153:166" x14ac:dyDescent="0.35">
      <c r="EW9765" t="s">
        <v>7248</v>
      </c>
      <c r="EX9765" t="s">
        <v>7080</v>
      </c>
      <c r="FF9765" s="44" t="s">
        <v>59</v>
      </c>
      <c r="FJ9765" s="44" t="s">
        <v>59</v>
      </c>
    </row>
    <row r="9766" spans="153:166" x14ac:dyDescent="0.35">
      <c r="EW9766" t="s">
        <v>7248</v>
      </c>
      <c r="EX9766" t="s">
        <v>7081</v>
      </c>
      <c r="FF9766" s="44" t="s">
        <v>59</v>
      </c>
      <c r="FJ9766" s="44" t="s">
        <v>59</v>
      </c>
    </row>
    <row r="9767" spans="153:166" x14ac:dyDescent="0.35">
      <c r="EW9767" t="s">
        <v>7248</v>
      </c>
      <c r="EX9767" t="s">
        <v>7082</v>
      </c>
      <c r="FF9767" s="44" t="s">
        <v>59</v>
      </c>
      <c r="FJ9767" s="44" t="s">
        <v>59</v>
      </c>
    </row>
    <row r="9768" spans="153:166" x14ac:dyDescent="0.35">
      <c r="EW9768" t="s">
        <v>7248</v>
      </c>
      <c r="EX9768" t="s">
        <v>7083</v>
      </c>
      <c r="FF9768" s="44" t="s">
        <v>59</v>
      </c>
      <c r="FJ9768" s="44" t="s">
        <v>59</v>
      </c>
    </row>
    <row r="9769" spans="153:166" x14ac:dyDescent="0.35">
      <c r="EW9769" t="s">
        <v>7248</v>
      </c>
      <c r="EX9769" t="s">
        <v>7084</v>
      </c>
      <c r="FF9769" s="44" t="s">
        <v>59</v>
      </c>
      <c r="FJ9769" s="44" t="s">
        <v>59</v>
      </c>
    </row>
    <row r="9770" spans="153:166" x14ac:dyDescent="0.35">
      <c r="EW9770" t="s">
        <v>7248</v>
      </c>
      <c r="EX9770" t="s">
        <v>7085</v>
      </c>
      <c r="FF9770" s="44" t="s">
        <v>59</v>
      </c>
      <c r="FJ9770" s="44" t="s">
        <v>59</v>
      </c>
    </row>
    <row r="9771" spans="153:166" x14ac:dyDescent="0.35">
      <c r="EW9771" t="s">
        <v>7248</v>
      </c>
      <c r="EX9771" t="s">
        <v>7086</v>
      </c>
      <c r="FF9771" s="44" t="s">
        <v>59</v>
      </c>
      <c r="FJ9771" s="44" t="s">
        <v>59</v>
      </c>
    </row>
    <row r="9772" spans="153:166" x14ac:dyDescent="0.35">
      <c r="EW9772" t="s">
        <v>7248</v>
      </c>
      <c r="EX9772" t="s">
        <v>7087</v>
      </c>
      <c r="FF9772" s="44" t="s">
        <v>59</v>
      </c>
      <c r="FJ9772" s="44" t="s">
        <v>59</v>
      </c>
    </row>
    <row r="9773" spans="153:166" x14ac:dyDescent="0.35">
      <c r="EW9773" t="s">
        <v>7248</v>
      </c>
      <c r="EX9773" t="s">
        <v>7088</v>
      </c>
      <c r="FF9773" s="44" t="s">
        <v>59</v>
      </c>
      <c r="FJ9773" s="44" t="s">
        <v>59</v>
      </c>
    </row>
    <row r="9774" spans="153:166" x14ac:dyDescent="0.35">
      <c r="EW9774" t="s">
        <v>7248</v>
      </c>
      <c r="EX9774" t="s">
        <v>7089</v>
      </c>
      <c r="FF9774" s="44" t="s">
        <v>59</v>
      </c>
      <c r="FJ9774" s="44" t="s">
        <v>59</v>
      </c>
    </row>
    <row r="9775" spans="153:166" x14ac:dyDescent="0.35">
      <c r="EW9775" t="s">
        <v>7248</v>
      </c>
      <c r="EX9775" t="s">
        <v>7090</v>
      </c>
      <c r="FF9775" s="44" t="s">
        <v>59</v>
      </c>
      <c r="FJ9775" s="44" t="s">
        <v>59</v>
      </c>
    </row>
    <row r="9776" spans="153:166" x14ac:dyDescent="0.35">
      <c r="EW9776" t="s">
        <v>7248</v>
      </c>
      <c r="EX9776" t="s">
        <v>7091</v>
      </c>
      <c r="FF9776" s="44" t="s">
        <v>59</v>
      </c>
      <c r="FJ9776" s="44" t="s">
        <v>59</v>
      </c>
    </row>
    <row r="9777" spans="153:166" x14ac:dyDescent="0.35">
      <c r="EW9777" t="s">
        <v>7248</v>
      </c>
      <c r="EX9777" t="s">
        <v>7092</v>
      </c>
      <c r="FF9777" s="44" t="s">
        <v>59</v>
      </c>
      <c r="FJ9777" s="44" t="s">
        <v>59</v>
      </c>
    </row>
    <row r="9778" spans="153:166" x14ac:dyDescent="0.35">
      <c r="EW9778" t="s">
        <v>7248</v>
      </c>
      <c r="EX9778" t="s">
        <v>7093</v>
      </c>
      <c r="FF9778" s="44" t="s">
        <v>59</v>
      </c>
      <c r="FJ9778" s="44" t="s">
        <v>59</v>
      </c>
    </row>
    <row r="9779" spans="153:166" x14ac:dyDescent="0.35">
      <c r="EW9779" t="s">
        <v>7248</v>
      </c>
      <c r="EX9779" t="s">
        <v>7094</v>
      </c>
      <c r="FF9779" s="44" t="s">
        <v>59</v>
      </c>
      <c r="FJ9779" s="44" t="s">
        <v>59</v>
      </c>
    </row>
    <row r="9780" spans="153:166" x14ac:dyDescent="0.35">
      <c r="EW9780" t="s">
        <v>7248</v>
      </c>
      <c r="EX9780" t="s">
        <v>7095</v>
      </c>
      <c r="FF9780" s="44" t="s">
        <v>59</v>
      </c>
      <c r="FJ9780" s="44" t="s">
        <v>59</v>
      </c>
    </row>
    <row r="9781" spans="153:166" x14ac:dyDescent="0.35">
      <c r="EW9781" t="s">
        <v>7248</v>
      </c>
      <c r="EX9781" t="s">
        <v>7096</v>
      </c>
      <c r="FF9781" s="44" t="s">
        <v>59</v>
      </c>
      <c r="FJ9781" s="44" t="s">
        <v>59</v>
      </c>
    </row>
    <row r="9782" spans="153:166" x14ac:dyDescent="0.35">
      <c r="EW9782" t="s">
        <v>7248</v>
      </c>
      <c r="EX9782" t="s">
        <v>7097</v>
      </c>
      <c r="FF9782" s="44" t="s">
        <v>59</v>
      </c>
      <c r="FJ9782" s="44" t="s">
        <v>59</v>
      </c>
    </row>
    <row r="9783" spans="153:166" x14ac:dyDescent="0.35">
      <c r="EW9783" t="s">
        <v>7248</v>
      </c>
      <c r="EX9783" t="s">
        <v>7098</v>
      </c>
      <c r="FF9783" s="44" t="s">
        <v>59</v>
      </c>
      <c r="FJ9783" s="44" t="s">
        <v>59</v>
      </c>
    </row>
    <row r="9784" spans="153:166" x14ac:dyDescent="0.35">
      <c r="EW9784" t="s">
        <v>7248</v>
      </c>
      <c r="EX9784" t="s">
        <v>7099</v>
      </c>
      <c r="FF9784" s="44" t="s">
        <v>59</v>
      </c>
      <c r="FJ9784" s="44" t="s">
        <v>59</v>
      </c>
    </row>
    <row r="9785" spans="153:166" x14ac:dyDescent="0.35">
      <c r="EW9785" t="s">
        <v>7248</v>
      </c>
      <c r="EX9785" t="s">
        <v>7100</v>
      </c>
      <c r="FF9785" s="44" t="s">
        <v>59</v>
      </c>
      <c r="FJ9785" s="44" t="s">
        <v>59</v>
      </c>
    </row>
    <row r="9786" spans="153:166" x14ac:dyDescent="0.35">
      <c r="EW9786" t="s">
        <v>7248</v>
      </c>
      <c r="EX9786" t="s">
        <v>7101</v>
      </c>
      <c r="FF9786" s="44" t="s">
        <v>59</v>
      </c>
      <c r="FJ9786" s="44" t="s">
        <v>59</v>
      </c>
    </row>
    <row r="9787" spans="153:166" x14ac:dyDescent="0.35">
      <c r="EW9787" t="s">
        <v>7248</v>
      </c>
      <c r="EX9787" t="s">
        <v>7102</v>
      </c>
      <c r="FF9787" s="44" t="s">
        <v>59</v>
      </c>
      <c r="FJ9787" s="44" t="s">
        <v>59</v>
      </c>
    </row>
    <row r="9788" spans="153:166" x14ac:dyDescent="0.35">
      <c r="EW9788" t="s">
        <v>7248</v>
      </c>
      <c r="EX9788" t="s">
        <v>7103</v>
      </c>
      <c r="FF9788" s="44" t="s">
        <v>59</v>
      </c>
      <c r="FJ9788" s="44" t="s">
        <v>59</v>
      </c>
    </row>
    <row r="9789" spans="153:166" x14ac:dyDescent="0.35">
      <c r="EW9789" t="s">
        <v>7248</v>
      </c>
      <c r="EX9789" t="s">
        <v>7104</v>
      </c>
      <c r="FF9789" s="44" t="s">
        <v>59</v>
      </c>
      <c r="FJ9789" s="44" t="s">
        <v>59</v>
      </c>
    </row>
    <row r="9790" spans="153:166" x14ac:dyDescent="0.35">
      <c r="EW9790" t="s">
        <v>7248</v>
      </c>
      <c r="EX9790" t="s">
        <v>7105</v>
      </c>
      <c r="FF9790" s="44" t="s">
        <v>59</v>
      </c>
      <c r="FJ9790" s="44" t="s">
        <v>59</v>
      </c>
    </row>
    <row r="9791" spans="153:166" x14ac:dyDescent="0.35">
      <c r="EW9791" t="s">
        <v>7248</v>
      </c>
      <c r="EX9791" t="s">
        <v>7106</v>
      </c>
      <c r="FF9791" s="44" t="s">
        <v>59</v>
      </c>
      <c r="FJ9791" s="44" t="s">
        <v>59</v>
      </c>
    </row>
    <row r="9792" spans="153:166" x14ac:dyDescent="0.35">
      <c r="EW9792" t="s">
        <v>7248</v>
      </c>
      <c r="EX9792" t="s">
        <v>7107</v>
      </c>
      <c r="FF9792" s="44" t="s">
        <v>59</v>
      </c>
      <c r="FJ9792" s="44" t="s">
        <v>59</v>
      </c>
    </row>
    <row r="9793" spans="153:166" x14ac:dyDescent="0.35">
      <c r="EW9793" t="s">
        <v>7248</v>
      </c>
      <c r="EX9793" t="s">
        <v>7108</v>
      </c>
      <c r="FF9793" s="44" t="s">
        <v>59</v>
      </c>
      <c r="FJ9793" s="44" t="s">
        <v>59</v>
      </c>
    </row>
    <row r="9794" spans="153:166" x14ac:dyDescent="0.35">
      <c r="EW9794" t="s">
        <v>7248</v>
      </c>
      <c r="EX9794" t="s">
        <v>7109</v>
      </c>
      <c r="FF9794" s="44" t="s">
        <v>59</v>
      </c>
      <c r="FJ9794" s="44" t="s">
        <v>59</v>
      </c>
    </row>
    <row r="9795" spans="153:166" x14ac:dyDescent="0.35">
      <c r="EW9795" t="s">
        <v>7248</v>
      </c>
      <c r="EX9795" t="s">
        <v>7110</v>
      </c>
      <c r="FF9795" s="44" t="s">
        <v>59</v>
      </c>
      <c r="FJ9795" s="44" t="s">
        <v>59</v>
      </c>
    </row>
    <row r="9796" spans="153:166" x14ac:dyDescent="0.35">
      <c r="EW9796" t="s">
        <v>7248</v>
      </c>
      <c r="EX9796" t="s">
        <v>7111</v>
      </c>
      <c r="FF9796" s="44" t="s">
        <v>59</v>
      </c>
      <c r="FJ9796" s="44" t="s">
        <v>59</v>
      </c>
    </row>
    <row r="9797" spans="153:166" x14ac:dyDescent="0.35">
      <c r="EW9797" t="s">
        <v>7248</v>
      </c>
      <c r="EX9797" t="s">
        <v>7112</v>
      </c>
      <c r="FF9797" s="44" t="s">
        <v>59</v>
      </c>
      <c r="FJ9797" s="44" t="s">
        <v>59</v>
      </c>
    </row>
    <row r="9798" spans="153:166" x14ac:dyDescent="0.35">
      <c r="EW9798" t="s">
        <v>7248</v>
      </c>
      <c r="EX9798" t="s">
        <v>7113</v>
      </c>
      <c r="FF9798" s="44" t="s">
        <v>59</v>
      </c>
      <c r="FJ9798" s="44" t="s">
        <v>59</v>
      </c>
    </row>
    <row r="9799" spans="153:166" x14ac:dyDescent="0.35">
      <c r="EW9799" t="s">
        <v>7248</v>
      </c>
      <c r="EX9799" t="s">
        <v>7114</v>
      </c>
      <c r="FF9799" s="44" t="s">
        <v>59</v>
      </c>
      <c r="FJ9799" s="44" t="s">
        <v>59</v>
      </c>
    </row>
    <row r="9800" spans="153:166" x14ac:dyDescent="0.35">
      <c r="EW9800" t="s">
        <v>7248</v>
      </c>
      <c r="EX9800" t="s">
        <v>7115</v>
      </c>
      <c r="FF9800" s="44" t="s">
        <v>59</v>
      </c>
      <c r="FJ9800" s="44" t="s">
        <v>59</v>
      </c>
    </row>
    <row r="9801" spans="153:166" x14ac:dyDescent="0.35">
      <c r="EW9801" t="s">
        <v>7248</v>
      </c>
      <c r="EX9801" t="s">
        <v>7116</v>
      </c>
      <c r="FF9801" s="44" t="s">
        <v>59</v>
      </c>
      <c r="FJ9801" s="44" t="s">
        <v>59</v>
      </c>
    </row>
    <row r="9802" spans="153:166" x14ac:dyDescent="0.35">
      <c r="EW9802" t="s">
        <v>7248</v>
      </c>
      <c r="EX9802" t="s">
        <v>7117</v>
      </c>
      <c r="FF9802" s="44" t="s">
        <v>59</v>
      </c>
      <c r="FJ9802" s="44" t="s">
        <v>59</v>
      </c>
    </row>
    <row r="9803" spans="153:166" x14ac:dyDescent="0.35">
      <c r="EW9803" t="s">
        <v>7248</v>
      </c>
      <c r="EX9803" t="s">
        <v>7118</v>
      </c>
      <c r="FF9803" s="44" t="s">
        <v>59</v>
      </c>
      <c r="FJ9803" s="44" t="s">
        <v>59</v>
      </c>
    </row>
    <row r="9804" spans="153:166" x14ac:dyDescent="0.35">
      <c r="EW9804" t="s">
        <v>7248</v>
      </c>
      <c r="EX9804" t="s">
        <v>7119</v>
      </c>
      <c r="FF9804" s="44" t="s">
        <v>59</v>
      </c>
      <c r="FJ9804" s="44" t="s">
        <v>59</v>
      </c>
    </row>
    <row r="9805" spans="153:166" x14ac:dyDescent="0.35">
      <c r="EW9805" t="s">
        <v>7248</v>
      </c>
      <c r="EX9805" t="s">
        <v>7120</v>
      </c>
      <c r="FF9805" s="44" t="s">
        <v>59</v>
      </c>
      <c r="FJ9805" s="44" t="s">
        <v>59</v>
      </c>
    </row>
    <row r="9806" spans="153:166" x14ac:dyDescent="0.35">
      <c r="EW9806" t="s">
        <v>7248</v>
      </c>
      <c r="EX9806" t="s">
        <v>7121</v>
      </c>
      <c r="FF9806" s="44" t="s">
        <v>59</v>
      </c>
      <c r="FJ9806" s="44" t="s">
        <v>59</v>
      </c>
    </row>
    <row r="9807" spans="153:166" x14ac:dyDescent="0.35">
      <c r="EW9807" t="s">
        <v>7248</v>
      </c>
      <c r="EX9807" t="s">
        <v>7122</v>
      </c>
      <c r="FF9807" s="44" t="s">
        <v>59</v>
      </c>
      <c r="FJ9807" s="44" t="s">
        <v>59</v>
      </c>
    </row>
    <row r="9808" spans="153:166" x14ac:dyDescent="0.35">
      <c r="EW9808" t="s">
        <v>7248</v>
      </c>
      <c r="EX9808" t="s">
        <v>7123</v>
      </c>
      <c r="FF9808" s="44" t="s">
        <v>59</v>
      </c>
      <c r="FJ9808" s="44" t="s">
        <v>59</v>
      </c>
    </row>
    <row r="9809" spans="153:166" x14ac:dyDescent="0.35">
      <c r="EW9809" t="s">
        <v>7248</v>
      </c>
      <c r="EX9809" t="s">
        <v>7124</v>
      </c>
      <c r="FF9809" s="44" t="s">
        <v>59</v>
      </c>
      <c r="FJ9809" s="44" t="s">
        <v>59</v>
      </c>
    </row>
    <row r="9810" spans="153:166" x14ac:dyDescent="0.35">
      <c r="EW9810" t="s">
        <v>7248</v>
      </c>
      <c r="EX9810" t="s">
        <v>7125</v>
      </c>
      <c r="FF9810" s="44" t="s">
        <v>59</v>
      </c>
      <c r="FJ9810" s="44" t="s">
        <v>59</v>
      </c>
    </row>
    <row r="9811" spans="153:166" x14ac:dyDescent="0.35">
      <c r="EW9811" t="s">
        <v>7248</v>
      </c>
      <c r="EX9811" t="s">
        <v>7126</v>
      </c>
      <c r="FF9811" s="44" t="s">
        <v>59</v>
      </c>
      <c r="FJ9811" s="44" t="s">
        <v>59</v>
      </c>
    </row>
    <row r="9812" spans="153:166" x14ac:dyDescent="0.35">
      <c r="EW9812" t="s">
        <v>7248</v>
      </c>
      <c r="EX9812" t="s">
        <v>7127</v>
      </c>
      <c r="FF9812" s="44" t="s">
        <v>59</v>
      </c>
      <c r="FJ9812" s="44" t="s">
        <v>59</v>
      </c>
    </row>
    <row r="9813" spans="153:166" x14ac:dyDescent="0.35">
      <c r="EW9813" t="s">
        <v>7248</v>
      </c>
      <c r="EX9813" t="s">
        <v>7128</v>
      </c>
      <c r="FF9813" s="44" t="s">
        <v>59</v>
      </c>
      <c r="FJ9813" s="44" t="s">
        <v>59</v>
      </c>
    </row>
    <row r="9814" spans="153:166" x14ac:dyDescent="0.35">
      <c r="EW9814" t="s">
        <v>7248</v>
      </c>
      <c r="EX9814" t="s">
        <v>7129</v>
      </c>
      <c r="FF9814" s="44" t="s">
        <v>59</v>
      </c>
      <c r="FJ9814" s="44" t="s">
        <v>59</v>
      </c>
    </row>
    <row r="9815" spans="153:166" x14ac:dyDescent="0.35">
      <c r="EW9815" t="s">
        <v>7248</v>
      </c>
      <c r="EX9815" t="s">
        <v>7130</v>
      </c>
      <c r="FF9815" s="44" t="s">
        <v>59</v>
      </c>
      <c r="FJ9815" s="44" t="s">
        <v>59</v>
      </c>
    </row>
    <row r="9816" spans="153:166" x14ac:dyDescent="0.35">
      <c r="EW9816" t="s">
        <v>7248</v>
      </c>
      <c r="EX9816" t="s">
        <v>7131</v>
      </c>
      <c r="FF9816" s="44" t="s">
        <v>59</v>
      </c>
      <c r="FJ9816" s="44" t="s">
        <v>59</v>
      </c>
    </row>
    <row r="9817" spans="153:166" x14ac:dyDescent="0.35">
      <c r="EW9817" t="s">
        <v>7248</v>
      </c>
      <c r="EX9817" t="s">
        <v>7132</v>
      </c>
      <c r="FF9817" s="44" t="s">
        <v>59</v>
      </c>
      <c r="FJ9817" s="44" t="s">
        <v>59</v>
      </c>
    </row>
    <row r="9818" spans="153:166" x14ac:dyDescent="0.35">
      <c r="EW9818" t="s">
        <v>7248</v>
      </c>
      <c r="EX9818" t="s">
        <v>7133</v>
      </c>
      <c r="FF9818" s="44" t="s">
        <v>59</v>
      </c>
      <c r="FJ9818" s="44" t="s">
        <v>59</v>
      </c>
    </row>
    <row r="9819" spans="153:166" x14ac:dyDescent="0.35">
      <c r="EW9819" t="s">
        <v>7248</v>
      </c>
      <c r="EX9819" t="s">
        <v>7134</v>
      </c>
      <c r="FF9819" s="44" t="s">
        <v>59</v>
      </c>
      <c r="FJ9819" s="44" t="s">
        <v>59</v>
      </c>
    </row>
    <row r="9820" spans="153:166" x14ac:dyDescent="0.35">
      <c r="EW9820" t="s">
        <v>7248</v>
      </c>
      <c r="EX9820" t="s">
        <v>7135</v>
      </c>
      <c r="FF9820" s="44" t="s">
        <v>59</v>
      </c>
      <c r="FJ9820" s="44" t="s">
        <v>59</v>
      </c>
    </row>
    <row r="9821" spans="153:166" x14ac:dyDescent="0.35">
      <c r="EW9821" t="s">
        <v>7248</v>
      </c>
      <c r="EX9821" t="s">
        <v>7136</v>
      </c>
      <c r="FF9821" s="44" t="s">
        <v>59</v>
      </c>
      <c r="FJ9821" s="44" t="s">
        <v>59</v>
      </c>
    </row>
    <row r="9822" spans="153:166" x14ac:dyDescent="0.35">
      <c r="EW9822" t="s">
        <v>7248</v>
      </c>
      <c r="EX9822" t="s">
        <v>7137</v>
      </c>
      <c r="FF9822" s="44" t="s">
        <v>59</v>
      </c>
      <c r="FJ9822" s="44" t="s">
        <v>59</v>
      </c>
    </row>
    <row r="9823" spans="153:166" x14ac:dyDescent="0.35">
      <c r="EW9823" t="s">
        <v>7248</v>
      </c>
      <c r="EX9823" t="s">
        <v>7138</v>
      </c>
      <c r="FF9823" s="44" t="s">
        <v>59</v>
      </c>
      <c r="FJ9823" s="44" t="s">
        <v>59</v>
      </c>
    </row>
    <row r="9824" spans="153:166" x14ac:dyDescent="0.35">
      <c r="EW9824" t="s">
        <v>7248</v>
      </c>
      <c r="EX9824" t="s">
        <v>7139</v>
      </c>
      <c r="FF9824" s="44" t="s">
        <v>59</v>
      </c>
      <c r="FJ9824" s="44" t="s">
        <v>59</v>
      </c>
    </row>
    <row r="9825" spans="153:166" x14ac:dyDescent="0.35">
      <c r="EW9825" t="s">
        <v>7248</v>
      </c>
      <c r="EX9825" t="s">
        <v>7140</v>
      </c>
      <c r="FF9825" s="44" t="s">
        <v>59</v>
      </c>
      <c r="FJ9825" s="44" t="s">
        <v>59</v>
      </c>
    </row>
    <row r="9826" spans="153:166" x14ac:dyDescent="0.35">
      <c r="EW9826" t="s">
        <v>7248</v>
      </c>
      <c r="EX9826" t="s">
        <v>7141</v>
      </c>
      <c r="FF9826" s="44" t="s">
        <v>59</v>
      </c>
      <c r="FJ9826" s="44" t="s">
        <v>59</v>
      </c>
    </row>
    <row r="9827" spans="153:166" x14ac:dyDescent="0.35">
      <c r="EW9827" t="s">
        <v>7248</v>
      </c>
      <c r="EX9827" t="s">
        <v>7142</v>
      </c>
      <c r="FF9827" s="44" t="s">
        <v>59</v>
      </c>
      <c r="FJ9827" s="44" t="s">
        <v>59</v>
      </c>
    </row>
    <row r="9828" spans="153:166" x14ac:dyDescent="0.35">
      <c r="EW9828" t="s">
        <v>7248</v>
      </c>
      <c r="EX9828" t="s">
        <v>7143</v>
      </c>
      <c r="FF9828" s="44" t="s">
        <v>59</v>
      </c>
      <c r="FJ9828" s="44" t="s">
        <v>59</v>
      </c>
    </row>
    <row r="9829" spans="153:166" x14ac:dyDescent="0.35">
      <c r="EW9829" t="s">
        <v>7248</v>
      </c>
      <c r="EX9829" t="s">
        <v>7144</v>
      </c>
      <c r="FF9829" s="44" t="s">
        <v>59</v>
      </c>
      <c r="FJ9829" s="44" t="s">
        <v>59</v>
      </c>
    </row>
    <row r="9830" spans="153:166" x14ac:dyDescent="0.35">
      <c r="EW9830" t="s">
        <v>7248</v>
      </c>
      <c r="EX9830" t="s">
        <v>7145</v>
      </c>
      <c r="FF9830" s="44" t="s">
        <v>59</v>
      </c>
      <c r="FJ9830" s="44" t="s">
        <v>59</v>
      </c>
    </row>
    <row r="9831" spans="153:166" x14ac:dyDescent="0.35">
      <c r="EW9831" t="s">
        <v>7248</v>
      </c>
      <c r="EX9831" t="s">
        <v>7146</v>
      </c>
      <c r="FF9831" s="44" t="s">
        <v>59</v>
      </c>
      <c r="FJ9831" s="44" t="s">
        <v>59</v>
      </c>
    </row>
    <row r="9832" spans="153:166" x14ac:dyDescent="0.35">
      <c r="EW9832" t="s">
        <v>7248</v>
      </c>
      <c r="EX9832" t="s">
        <v>7147</v>
      </c>
      <c r="FF9832" s="44" t="s">
        <v>59</v>
      </c>
      <c r="FJ9832" s="44" t="s">
        <v>59</v>
      </c>
    </row>
    <row r="9833" spans="153:166" x14ac:dyDescent="0.35">
      <c r="EW9833" t="s">
        <v>7248</v>
      </c>
      <c r="EX9833" t="s">
        <v>7148</v>
      </c>
      <c r="FF9833" s="44" t="s">
        <v>59</v>
      </c>
      <c r="FJ9833" s="44" t="s">
        <v>59</v>
      </c>
    </row>
    <row r="9834" spans="153:166" x14ac:dyDescent="0.35">
      <c r="EW9834" t="s">
        <v>7248</v>
      </c>
      <c r="EX9834" t="s">
        <v>7149</v>
      </c>
      <c r="FF9834" s="44" t="s">
        <v>59</v>
      </c>
      <c r="FJ9834" s="44" t="s">
        <v>59</v>
      </c>
    </row>
    <row r="9835" spans="153:166" x14ac:dyDescent="0.35">
      <c r="EW9835" t="s">
        <v>7248</v>
      </c>
      <c r="EX9835" t="s">
        <v>7150</v>
      </c>
      <c r="FF9835" s="44" t="s">
        <v>59</v>
      </c>
      <c r="FJ9835" s="44" t="s">
        <v>59</v>
      </c>
    </row>
    <row r="9836" spans="153:166" x14ac:dyDescent="0.35">
      <c r="EW9836" t="s">
        <v>7248</v>
      </c>
      <c r="EX9836" t="s">
        <v>7151</v>
      </c>
      <c r="FF9836" s="44" t="s">
        <v>59</v>
      </c>
      <c r="FJ9836" s="44" t="s">
        <v>59</v>
      </c>
    </row>
    <row r="9837" spans="153:166" x14ac:dyDescent="0.35">
      <c r="EW9837" t="s">
        <v>7248</v>
      </c>
      <c r="EX9837" t="s">
        <v>7152</v>
      </c>
      <c r="FF9837" s="44" t="s">
        <v>59</v>
      </c>
      <c r="FJ9837" s="44" t="s">
        <v>59</v>
      </c>
    </row>
    <row r="9838" spans="153:166" x14ac:dyDescent="0.35">
      <c r="EW9838" t="s">
        <v>7248</v>
      </c>
      <c r="EX9838" t="s">
        <v>7153</v>
      </c>
      <c r="FF9838" s="44" t="s">
        <v>59</v>
      </c>
      <c r="FJ9838" s="44" t="s">
        <v>59</v>
      </c>
    </row>
    <row r="9839" spans="153:166" x14ac:dyDescent="0.35">
      <c r="EW9839" t="s">
        <v>7248</v>
      </c>
      <c r="EX9839" t="s">
        <v>7154</v>
      </c>
      <c r="FF9839" s="44" t="s">
        <v>59</v>
      </c>
      <c r="FJ9839" s="44" t="s">
        <v>59</v>
      </c>
    </row>
    <row r="9840" spans="153:166" x14ac:dyDescent="0.35">
      <c r="EW9840" t="s">
        <v>7248</v>
      </c>
      <c r="EX9840" t="s">
        <v>7155</v>
      </c>
      <c r="FF9840" s="44" t="s">
        <v>1109</v>
      </c>
      <c r="FJ9840" s="44" t="s">
        <v>1109</v>
      </c>
    </row>
    <row r="9841" spans="153:166" x14ac:dyDescent="0.35">
      <c r="EW9841" t="s">
        <v>7248</v>
      </c>
      <c r="EX9841" t="s">
        <v>7156</v>
      </c>
      <c r="FF9841" s="44" t="s">
        <v>1109</v>
      </c>
      <c r="FJ9841" s="44" t="s">
        <v>1109</v>
      </c>
    </row>
    <row r="9842" spans="153:166" x14ac:dyDescent="0.35">
      <c r="EW9842" t="s">
        <v>7248</v>
      </c>
      <c r="EX9842" t="s">
        <v>7157</v>
      </c>
      <c r="FF9842" s="44" t="s">
        <v>1109</v>
      </c>
      <c r="FJ9842" s="44" t="s">
        <v>1109</v>
      </c>
    </row>
    <row r="9843" spans="153:166" x14ac:dyDescent="0.35">
      <c r="EW9843" t="s">
        <v>7248</v>
      </c>
      <c r="EX9843" t="s">
        <v>7158</v>
      </c>
      <c r="FF9843" s="44" t="s">
        <v>1109</v>
      </c>
      <c r="FJ9843" s="44" t="s">
        <v>1109</v>
      </c>
    </row>
    <row r="9844" spans="153:166" x14ac:dyDescent="0.35">
      <c r="EW9844" t="s">
        <v>7248</v>
      </c>
      <c r="EX9844" t="s">
        <v>7159</v>
      </c>
      <c r="FF9844" s="44" t="s">
        <v>1109</v>
      </c>
      <c r="FJ9844" s="44" t="s">
        <v>1109</v>
      </c>
    </row>
    <row r="9845" spans="153:166" x14ac:dyDescent="0.35">
      <c r="EW9845" t="s">
        <v>7248</v>
      </c>
      <c r="EX9845" t="s">
        <v>7160</v>
      </c>
      <c r="FF9845" s="44" t="s">
        <v>1109</v>
      </c>
      <c r="FJ9845" s="44" t="s">
        <v>1109</v>
      </c>
    </row>
    <row r="9846" spans="153:166" x14ac:dyDescent="0.35">
      <c r="EW9846" t="s">
        <v>7248</v>
      </c>
      <c r="EX9846" t="s">
        <v>7161</v>
      </c>
      <c r="FF9846" s="44" t="s">
        <v>1109</v>
      </c>
      <c r="FJ9846" s="44" t="s">
        <v>1109</v>
      </c>
    </row>
    <row r="9847" spans="153:166" x14ac:dyDescent="0.35">
      <c r="EW9847" t="s">
        <v>7248</v>
      </c>
      <c r="EX9847" t="s">
        <v>7162</v>
      </c>
      <c r="FF9847" s="44" t="s">
        <v>1109</v>
      </c>
      <c r="FJ9847" s="44" t="s">
        <v>1109</v>
      </c>
    </row>
    <row r="9848" spans="153:166" x14ac:dyDescent="0.35">
      <c r="EW9848" t="s">
        <v>7248</v>
      </c>
      <c r="EX9848" t="s">
        <v>7163</v>
      </c>
      <c r="FF9848" s="44" t="s">
        <v>1109</v>
      </c>
      <c r="FJ9848" s="44" t="s">
        <v>1109</v>
      </c>
    </row>
    <row r="9849" spans="153:166" x14ac:dyDescent="0.35">
      <c r="EW9849" t="s">
        <v>7248</v>
      </c>
      <c r="EX9849" t="s">
        <v>7164</v>
      </c>
      <c r="FF9849" s="44" t="s">
        <v>59</v>
      </c>
      <c r="FJ9849" s="44" t="s">
        <v>59</v>
      </c>
    </row>
    <row r="9850" spans="153:166" x14ac:dyDescent="0.35">
      <c r="EW9850" t="s">
        <v>7248</v>
      </c>
      <c r="EX9850" t="s">
        <v>7165</v>
      </c>
      <c r="FF9850" s="44" t="s">
        <v>59</v>
      </c>
      <c r="FJ9850" s="44" t="s">
        <v>59</v>
      </c>
    </row>
    <row r="9851" spans="153:166" x14ac:dyDescent="0.35">
      <c r="EW9851" t="s">
        <v>7248</v>
      </c>
      <c r="EX9851" t="s">
        <v>7166</v>
      </c>
      <c r="FF9851" s="44" t="s">
        <v>59</v>
      </c>
      <c r="FJ9851" s="44" t="s">
        <v>59</v>
      </c>
    </row>
    <row r="9852" spans="153:166" x14ac:dyDescent="0.35">
      <c r="EW9852" t="s">
        <v>7248</v>
      </c>
      <c r="EX9852" t="s">
        <v>7167</v>
      </c>
      <c r="FF9852" s="44" t="s">
        <v>59</v>
      </c>
      <c r="FJ9852" s="44" t="s">
        <v>59</v>
      </c>
    </row>
    <row r="9853" spans="153:166" x14ac:dyDescent="0.35">
      <c r="EW9853" t="s">
        <v>7248</v>
      </c>
      <c r="EX9853" t="s">
        <v>7168</v>
      </c>
      <c r="FF9853" s="44" t="s">
        <v>59</v>
      </c>
      <c r="FJ9853" s="44" t="s">
        <v>59</v>
      </c>
    </row>
    <row r="9854" spans="153:166" x14ac:dyDescent="0.35">
      <c r="EW9854" t="s">
        <v>7248</v>
      </c>
      <c r="EX9854" t="s">
        <v>7169</v>
      </c>
      <c r="FF9854" s="44" t="s">
        <v>59</v>
      </c>
      <c r="FJ9854" s="44" t="s">
        <v>59</v>
      </c>
    </row>
    <row r="9855" spans="153:166" x14ac:dyDescent="0.35">
      <c r="EW9855" t="s">
        <v>7248</v>
      </c>
      <c r="EX9855" t="s">
        <v>7170</v>
      </c>
      <c r="FF9855" s="44" t="s">
        <v>59</v>
      </c>
      <c r="FJ9855" s="44" t="s">
        <v>59</v>
      </c>
    </row>
    <row r="9856" spans="153:166" x14ac:dyDescent="0.35">
      <c r="EW9856" t="s">
        <v>7248</v>
      </c>
      <c r="EX9856" t="s">
        <v>7171</v>
      </c>
      <c r="FF9856" s="44" t="s">
        <v>59</v>
      </c>
      <c r="FJ9856" s="44" t="s">
        <v>59</v>
      </c>
    </row>
    <row r="9857" spans="153:166" x14ac:dyDescent="0.35">
      <c r="EW9857" t="s">
        <v>7248</v>
      </c>
      <c r="EX9857" t="s">
        <v>7172</v>
      </c>
      <c r="FF9857" s="44" t="s">
        <v>59</v>
      </c>
      <c r="FJ9857" s="44" t="s">
        <v>59</v>
      </c>
    </row>
    <row r="9858" spans="153:166" x14ac:dyDescent="0.35">
      <c r="EW9858" t="s">
        <v>7248</v>
      </c>
      <c r="EX9858" t="s">
        <v>7173</v>
      </c>
      <c r="FF9858" s="44" t="s">
        <v>59</v>
      </c>
      <c r="FJ9858" s="44" t="s">
        <v>59</v>
      </c>
    </row>
    <row r="9859" spans="153:166" x14ac:dyDescent="0.35">
      <c r="EW9859" t="s">
        <v>7248</v>
      </c>
      <c r="EX9859" t="s">
        <v>7174</v>
      </c>
      <c r="FF9859" s="44" t="s">
        <v>59</v>
      </c>
      <c r="FJ9859" s="44" t="s">
        <v>59</v>
      </c>
    </row>
    <row r="9860" spans="153:166" x14ac:dyDescent="0.35">
      <c r="EW9860" t="s">
        <v>7248</v>
      </c>
      <c r="EX9860" t="s">
        <v>7175</v>
      </c>
      <c r="FF9860" s="44" t="s">
        <v>59</v>
      </c>
      <c r="FJ9860" s="44" t="s">
        <v>59</v>
      </c>
    </row>
    <row r="9861" spans="153:166" x14ac:dyDescent="0.35">
      <c r="EW9861" t="s">
        <v>7248</v>
      </c>
      <c r="EX9861" t="s">
        <v>7176</v>
      </c>
      <c r="FF9861" s="44" t="s">
        <v>59</v>
      </c>
      <c r="FJ9861" s="44" t="s">
        <v>59</v>
      </c>
    </row>
    <row r="9862" spans="153:166" x14ac:dyDescent="0.35">
      <c r="EW9862" t="s">
        <v>7248</v>
      </c>
      <c r="EX9862" t="s">
        <v>7177</v>
      </c>
      <c r="FF9862" s="44" t="s">
        <v>59</v>
      </c>
      <c r="FJ9862" s="44" t="s">
        <v>59</v>
      </c>
    </row>
    <row r="9863" spans="153:166" x14ac:dyDescent="0.35">
      <c r="EW9863" t="s">
        <v>7248</v>
      </c>
      <c r="EX9863" t="s">
        <v>7178</v>
      </c>
      <c r="FF9863" s="44" t="s">
        <v>59</v>
      </c>
      <c r="FJ9863" s="44" t="s">
        <v>59</v>
      </c>
    </row>
    <row r="9864" spans="153:166" x14ac:dyDescent="0.35">
      <c r="EW9864" t="s">
        <v>7248</v>
      </c>
      <c r="EX9864" t="s">
        <v>7179</v>
      </c>
      <c r="FF9864" s="44" t="s">
        <v>59</v>
      </c>
      <c r="FJ9864" s="44" t="s">
        <v>59</v>
      </c>
    </row>
    <row r="9865" spans="153:166" x14ac:dyDescent="0.35">
      <c r="EW9865" t="s">
        <v>7248</v>
      </c>
      <c r="EX9865" t="s">
        <v>7180</v>
      </c>
      <c r="FF9865" s="44" t="s">
        <v>59</v>
      </c>
      <c r="FJ9865" s="44" t="s">
        <v>59</v>
      </c>
    </row>
    <row r="9866" spans="153:166" x14ac:dyDescent="0.35">
      <c r="EW9866" t="s">
        <v>7248</v>
      </c>
      <c r="EX9866" t="s">
        <v>7181</v>
      </c>
      <c r="FF9866" s="44" t="s">
        <v>59</v>
      </c>
      <c r="FJ9866" s="44" t="s">
        <v>59</v>
      </c>
    </row>
    <row r="9867" spans="153:166" x14ac:dyDescent="0.35">
      <c r="EW9867" t="s">
        <v>7248</v>
      </c>
      <c r="EX9867" t="s">
        <v>7182</v>
      </c>
      <c r="FF9867" s="44" t="s">
        <v>59</v>
      </c>
      <c r="FJ9867" s="44" t="s">
        <v>59</v>
      </c>
    </row>
    <row r="9868" spans="153:166" x14ac:dyDescent="0.35">
      <c r="EW9868" t="s">
        <v>7248</v>
      </c>
      <c r="EX9868" t="s">
        <v>7183</v>
      </c>
      <c r="FF9868" s="44" t="s">
        <v>59</v>
      </c>
      <c r="FJ9868" s="44" t="s">
        <v>59</v>
      </c>
    </row>
    <row r="9869" spans="153:166" x14ac:dyDescent="0.35">
      <c r="EW9869" t="s">
        <v>7248</v>
      </c>
      <c r="EX9869" t="s">
        <v>7184</v>
      </c>
      <c r="FF9869" s="44" t="s">
        <v>59</v>
      </c>
      <c r="FJ9869" s="44" t="s">
        <v>59</v>
      </c>
    </row>
    <row r="9870" spans="153:166" x14ac:dyDescent="0.35">
      <c r="EW9870" t="s">
        <v>7248</v>
      </c>
      <c r="EX9870" t="s">
        <v>7185</v>
      </c>
      <c r="FF9870" s="44" t="s">
        <v>59</v>
      </c>
      <c r="FJ9870" s="44" t="s">
        <v>59</v>
      </c>
    </row>
    <row r="9871" spans="153:166" x14ac:dyDescent="0.35">
      <c r="EW9871" t="s">
        <v>7248</v>
      </c>
      <c r="EX9871" t="s">
        <v>7186</v>
      </c>
      <c r="FF9871" s="44" t="s">
        <v>59</v>
      </c>
      <c r="FJ9871" s="44" t="s">
        <v>59</v>
      </c>
    </row>
    <row r="9872" spans="153:166" x14ac:dyDescent="0.35">
      <c r="EW9872" t="s">
        <v>7248</v>
      </c>
      <c r="EX9872" t="s">
        <v>7187</v>
      </c>
      <c r="FF9872" s="44" t="s">
        <v>59</v>
      </c>
      <c r="FJ9872" s="44" t="s">
        <v>59</v>
      </c>
    </row>
    <row r="9873" spans="153:166" x14ac:dyDescent="0.35">
      <c r="EW9873" t="s">
        <v>7248</v>
      </c>
      <c r="EX9873" t="s">
        <v>7188</v>
      </c>
      <c r="FF9873" s="44" t="s">
        <v>59</v>
      </c>
      <c r="FJ9873" s="44" t="s">
        <v>59</v>
      </c>
    </row>
    <row r="9874" spans="153:166" x14ac:dyDescent="0.35">
      <c r="EW9874" t="s">
        <v>7248</v>
      </c>
      <c r="EX9874" t="s">
        <v>7189</v>
      </c>
      <c r="FF9874" s="44" t="s">
        <v>59</v>
      </c>
      <c r="FJ9874" s="44" t="s">
        <v>59</v>
      </c>
    </row>
    <row r="9875" spans="153:166" x14ac:dyDescent="0.35">
      <c r="EW9875" t="s">
        <v>7248</v>
      </c>
      <c r="EX9875" t="s">
        <v>7190</v>
      </c>
      <c r="FF9875" s="44" t="s">
        <v>59</v>
      </c>
      <c r="FJ9875" s="44" t="s">
        <v>59</v>
      </c>
    </row>
    <row r="9876" spans="153:166" x14ac:dyDescent="0.35">
      <c r="EW9876" t="s">
        <v>7248</v>
      </c>
      <c r="EX9876" t="s">
        <v>7191</v>
      </c>
      <c r="FF9876" s="44" t="s">
        <v>59</v>
      </c>
      <c r="FJ9876" s="44" t="s">
        <v>59</v>
      </c>
    </row>
    <row r="9877" spans="153:166" x14ac:dyDescent="0.35">
      <c r="EW9877" t="s">
        <v>7248</v>
      </c>
      <c r="EX9877" t="s">
        <v>7192</v>
      </c>
      <c r="FF9877" s="44" t="s">
        <v>59</v>
      </c>
      <c r="FJ9877" s="44" t="s">
        <v>59</v>
      </c>
    </row>
    <row r="9878" spans="153:166" x14ac:dyDescent="0.35">
      <c r="EW9878" t="s">
        <v>7248</v>
      </c>
      <c r="EX9878" t="s">
        <v>7193</v>
      </c>
      <c r="FF9878" s="44" t="s">
        <v>59</v>
      </c>
      <c r="FJ9878" s="44" t="s">
        <v>59</v>
      </c>
    </row>
    <row r="9879" spans="153:166" x14ac:dyDescent="0.35">
      <c r="EW9879" t="s">
        <v>7248</v>
      </c>
      <c r="EX9879" t="s">
        <v>7194</v>
      </c>
      <c r="FF9879" s="44" t="s">
        <v>59</v>
      </c>
      <c r="FJ9879" s="44" t="s">
        <v>59</v>
      </c>
    </row>
    <row r="9880" spans="153:166" x14ac:dyDescent="0.35">
      <c r="EW9880" t="s">
        <v>7248</v>
      </c>
      <c r="EX9880" t="s">
        <v>7195</v>
      </c>
      <c r="FF9880" s="44" t="s">
        <v>59</v>
      </c>
      <c r="FJ9880" s="44" t="s">
        <v>59</v>
      </c>
    </row>
    <row r="9881" spans="153:166" x14ac:dyDescent="0.35">
      <c r="EW9881" t="s">
        <v>7248</v>
      </c>
      <c r="EX9881" t="s">
        <v>7196</v>
      </c>
      <c r="FF9881" s="44" t="s">
        <v>59</v>
      </c>
      <c r="FJ9881" s="44" t="s">
        <v>59</v>
      </c>
    </row>
    <row r="9882" spans="153:166" x14ac:dyDescent="0.35">
      <c r="EW9882" t="s">
        <v>7248</v>
      </c>
      <c r="EX9882" t="s">
        <v>7197</v>
      </c>
      <c r="FF9882" s="44" t="s">
        <v>59</v>
      </c>
      <c r="FJ9882" s="44" t="s">
        <v>59</v>
      </c>
    </row>
    <row r="9883" spans="153:166" x14ac:dyDescent="0.35">
      <c r="EW9883" t="s">
        <v>7248</v>
      </c>
      <c r="EX9883" t="s">
        <v>7198</v>
      </c>
      <c r="FF9883" s="44" t="s">
        <v>59</v>
      </c>
      <c r="FJ9883" s="44" t="s">
        <v>59</v>
      </c>
    </row>
    <row r="9884" spans="153:166" x14ac:dyDescent="0.35">
      <c r="EW9884" t="s">
        <v>7248</v>
      </c>
      <c r="EX9884" t="s">
        <v>7199</v>
      </c>
      <c r="FF9884" s="44" t="s">
        <v>59</v>
      </c>
      <c r="FJ9884" s="44" t="s">
        <v>59</v>
      </c>
    </row>
    <row r="9885" spans="153:166" x14ac:dyDescent="0.35">
      <c r="EW9885" t="s">
        <v>7248</v>
      </c>
      <c r="EX9885" t="s">
        <v>7200</v>
      </c>
      <c r="FF9885" s="44" t="s">
        <v>59</v>
      </c>
      <c r="FJ9885" s="44" t="s">
        <v>59</v>
      </c>
    </row>
    <row r="9886" spans="153:166" x14ac:dyDescent="0.35">
      <c r="EW9886" t="s">
        <v>7248</v>
      </c>
      <c r="EX9886" t="s">
        <v>7201</v>
      </c>
      <c r="FF9886" s="44" t="s">
        <v>59</v>
      </c>
      <c r="FJ9886" s="44" t="s">
        <v>59</v>
      </c>
    </row>
    <row r="9887" spans="153:166" x14ac:dyDescent="0.35">
      <c r="EW9887" t="s">
        <v>7248</v>
      </c>
      <c r="EX9887" t="s">
        <v>7202</v>
      </c>
      <c r="FF9887" s="44" t="s">
        <v>59</v>
      </c>
      <c r="FJ9887" s="44" t="s">
        <v>59</v>
      </c>
    </row>
    <row r="9888" spans="153:166" x14ac:dyDescent="0.35">
      <c r="EW9888" t="s">
        <v>7248</v>
      </c>
      <c r="EX9888" t="s">
        <v>7203</v>
      </c>
      <c r="FF9888" s="44" t="s">
        <v>59</v>
      </c>
      <c r="FJ9888" s="44" t="s">
        <v>59</v>
      </c>
    </row>
    <row r="9889" spans="153:166" x14ac:dyDescent="0.35">
      <c r="EW9889" t="s">
        <v>7248</v>
      </c>
      <c r="EX9889" t="s">
        <v>7204</v>
      </c>
      <c r="FF9889" s="44" t="s">
        <v>59</v>
      </c>
      <c r="FJ9889" s="44" t="s">
        <v>59</v>
      </c>
    </row>
    <row r="9890" spans="153:166" x14ac:dyDescent="0.35">
      <c r="EW9890" t="s">
        <v>7248</v>
      </c>
      <c r="EX9890" t="s">
        <v>7205</v>
      </c>
      <c r="FF9890" s="44" t="s">
        <v>59</v>
      </c>
      <c r="FJ9890" s="44" t="s">
        <v>59</v>
      </c>
    </row>
    <row r="9891" spans="153:166" x14ac:dyDescent="0.35">
      <c r="EW9891" t="s">
        <v>7248</v>
      </c>
      <c r="EX9891" t="s">
        <v>7206</v>
      </c>
      <c r="FF9891" s="44" t="s">
        <v>59</v>
      </c>
      <c r="FJ9891" s="44" t="s">
        <v>59</v>
      </c>
    </row>
    <row r="9892" spans="153:166" x14ac:dyDescent="0.35">
      <c r="EW9892" t="s">
        <v>7248</v>
      </c>
      <c r="EX9892" t="s">
        <v>7207</v>
      </c>
      <c r="FF9892" s="44" t="s">
        <v>59</v>
      </c>
      <c r="FJ9892" s="44" t="s">
        <v>59</v>
      </c>
    </row>
    <row r="9893" spans="153:166" x14ac:dyDescent="0.35">
      <c r="EW9893" t="s">
        <v>7248</v>
      </c>
      <c r="EX9893" t="s">
        <v>7208</v>
      </c>
      <c r="FF9893" s="44" t="s">
        <v>59</v>
      </c>
      <c r="FJ9893" s="44" t="s">
        <v>59</v>
      </c>
    </row>
    <row r="9894" spans="153:166" x14ac:dyDescent="0.35">
      <c r="EW9894" t="s">
        <v>7248</v>
      </c>
      <c r="EX9894" t="s">
        <v>7209</v>
      </c>
      <c r="FF9894" s="44" t="s">
        <v>59</v>
      </c>
      <c r="FJ9894" s="44" t="s">
        <v>59</v>
      </c>
    </row>
    <row r="9895" spans="153:166" x14ac:dyDescent="0.35">
      <c r="EW9895" t="s">
        <v>7248</v>
      </c>
      <c r="EX9895" t="s">
        <v>7210</v>
      </c>
      <c r="FF9895" s="44" t="s">
        <v>59</v>
      </c>
      <c r="FJ9895" s="44" t="s">
        <v>59</v>
      </c>
    </row>
    <row r="9896" spans="153:166" x14ac:dyDescent="0.35">
      <c r="EW9896" t="s">
        <v>7248</v>
      </c>
      <c r="EX9896" t="s">
        <v>7211</v>
      </c>
      <c r="FF9896" s="44" t="s">
        <v>59</v>
      </c>
      <c r="FJ9896" s="44" t="s">
        <v>59</v>
      </c>
    </row>
    <row r="9897" spans="153:166" x14ac:dyDescent="0.35">
      <c r="EW9897" t="s">
        <v>7248</v>
      </c>
      <c r="EX9897" t="s">
        <v>7212</v>
      </c>
      <c r="FF9897" s="44" t="s">
        <v>59</v>
      </c>
      <c r="FJ9897" s="44" t="s">
        <v>59</v>
      </c>
    </row>
    <row r="9898" spans="153:166" x14ac:dyDescent="0.35">
      <c r="EW9898" t="s">
        <v>7248</v>
      </c>
      <c r="EX9898" t="s">
        <v>7213</v>
      </c>
      <c r="FF9898" s="44" t="s">
        <v>59</v>
      </c>
      <c r="FJ9898" s="44" t="s">
        <v>59</v>
      </c>
    </row>
    <row r="9899" spans="153:166" x14ac:dyDescent="0.35">
      <c r="EW9899" t="s">
        <v>7248</v>
      </c>
      <c r="EX9899" t="s">
        <v>7214</v>
      </c>
      <c r="FF9899" s="44" t="s">
        <v>59</v>
      </c>
      <c r="FJ9899" s="44" t="s">
        <v>59</v>
      </c>
    </row>
    <row r="9900" spans="153:166" x14ac:dyDescent="0.35">
      <c r="EW9900" t="s">
        <v>7248</v>
      </c>
      <c r="EX9900" t="s">
        <v>7215</v>
      </c>
      <c r="FF9900" s="44" t="s">
        <v>59</v>
      </c>
      <c r="FJ9900" s="44" t="s">
        <v>59</v>
      </c>
    </row>
    <row r="9901" spans="153:166" x14ac:dyDescent="0.35">
      <c r="EW9901" t="s">
        <v>7248</v>
      </c>
      <c r="EX9901" t="s">
        <v>7216</v>
      </c>
      <c r="FF9901" s="44" t="s">
        <v>59</v>
      </c>
      <c r="FJ9901" s="44" t="s">
        <v>59</v>
      </c>
    </row>
    <row r="9902" spans="153:166" x14ac:dyDescent="0.35">
      <c r="EW9902" t="s">
        <v>7248</v>
      </c>
      <c r="EX9902" t="s">
        <v>7217</v>
      </c>
      <c r="FF9902" s="44" t="s">
        <v>59</v>
      </c>
      <c r="FJ9902" s="44" t="s">
        <v>59</v>
      </c>
    </row>
    <row r="9903" spans="153:166" x14ac:dyDescent="0.35">
      <c r="EW9903" t="s">
        <v>7248</v>
      </c>
      <c r="EX9903" t="s">
        <v>7218</v>
      </c>
      <c r="FF9903" s="44" t="s">
        <v>59</v>
      </c>
      <c r="FJ9903" s="44" t="s">
        <v>59</v>
      </c>
    </row>
    <row r="9904" spans="153:166" x14ac:dyDescent="0.35">
      <c r="EW9904" t="s">
        <v>7248</v>
      </c>
      <c r="EX9904" t="s">
        <v>7219</v>
      </c>
      <c r="FF9904" s="44" t="s">
        <v>59</v>
      </c>
      <c r="FJ9904" s="44" t="s">
        <v>59</v>
      </c>
    </row>
    <row r="9905" spans="153:169" x14ac:dyDescent="0.35">
      <c r="EW9905" t="s">
        <v>7248</v>
      </c>
      <c r="EX9905" t="s">
        <v>7220</v>
      </c>
      <c r="FF9905" s="44" t="s">
        <v>59</v>
      </c>
      <c r="FJ9905" s="44" t="s">
        <v>59</v>
      </c>
    </row>
    <row r="9906" spans="153:169" x14ac:dyDescent="0.35">
      <c r="EW9906" t="s">
        <v>7248</v>
      </c>
      <c r="EX9906" t="s">
        <v>7221</v>
      </c>
      <c r="FF9906" s="44" t="s">
        <v>59</v>
      </c>
      <c r="FJ9906" s="44" t="s">
        <v>59</v>
      </c>
    </row>
    <row r="9907" spans="153:169" x14ac:dyDescent="0.35">
      <c r="EW9907" t="s">
        <v>7248</v>
      </c>
      <c r="EX9907" t="s">
        <v>7222</v>
      </c>
      <c r="FF9907" s="44" t="s">
        <v>59</v>
      </c>
      <c r="FJ9907" s="44" t="s">
        <v>59</v>
      </c>
    </row>
    <row r="9908" spans="153:169" x14ac:dyDescent="0.35">
      <c r="EW9908" t="s">
        <v>7248</v>
      </c>
      <c r="EX9908" t="s">
        <v>7223</v>
      </c>
      <c r="FF9908" s="44" t="s">
        <v>59</v>
      </c>
      <c r="FJ9908" s="44" t="s">
        <v>59</v>
      </c>
    </row>
    <row r="9909" spans="153:169" x14ac:dyDescent="0.35">
      <c r="EW9909" t="s">
        <v>7248</v>
      </c>
      <c r="EX9909" t="s">
        <v>7224</v>
      </c>
      <c r="FF9909" s="44" t="s">
        <v>59</v>
      </c>
      <c r="FJ9909" s="44" t="s">
        <v>59</v>
      </c>
      <c r="FM9909" t="s">
        <v>6704</v>
      </c>
    </row>
    <row r="9910" spans="153:169" x14ac:dyDescent="0.35">
      <c r="EW9910" t="s">
        <v>7248</v>
      </c>
      <c r="EX9910" t="s">
        <v>7225</v>
      </c>
      <c r="FF9910" s="44" t="s">
        <v>59</v>
      </c>
      <c r="FJ9910" s="44" t="s">
        <v>59</v>
      </c>
    </row>
    <row r="9911" spans="153:169" x14ac:dyDescent="0.35">
      <c r="EW9911" t="s">
        <v>7248</v>
      </c>
      <c r="EX9911" t="s">
        <v>7226</v>
      </c>
      <c r="FF9911" s="44" t="s">
        <v>59</v>
      </c>
      <c r="FJ9911" s="44" t="s">
        <v>59</v>
      </c>
    </row>
    <row r="9912" spans="153:169" x14ac:dyDescent="0.35">
      <c r="EW9912" t="s">
        <v>7248</v>
      </c>
      <c r="EX9912" t="s">
        <v>7227</v>
      </c>
      <c r="FF9912" s="44" t="s">
        <v>59</v>
      </c>
      <c r="FJ9912" s="44" t="s">
        <v>59</v>
      </c>
    </row>
    <row r="9913" spans="153:169" x14ac:dyDescent="0.35">
      <c r="EW9913" t="s">
        <v>7248</v>
      </c>
      <c r="EX9913" t="s">
        <v>7228</v>
      </c>
      <c r="FF9913" s="44" t="s">
        <v>59</v>
      </c>
      <c r="FJ9913" s="44" t="s">
        <v>59</v>
      </c>
    </row>
    <row r="9914" spans="153:169" x14ac:dyDescent="0.35">
      <c r="EW9914" t="s">
        <v>7248</v>
      </c>
      <c r="EX9914" t="s">
        <v>7229</v>
      </c>
      <c r="FF9914" s="44" t="s">
        <v>59</v>
      </c>
      <c r="FJ9914" s="44" t="s">
        <v>59</v>
      </c>
    </row>
    <row r="9915" spans="153:169" x14ac:dyDescent="0.35">
      <c r="EW9915" t="s">
        <v>7248</v>
      </c>
      <c r="EX9915" t="s">
        <v>7230</v>
      </c>
      <c r="FF9915" s="44" t="s">
        <v>59</v>
      </c>
      <c r="FJ9915" s="44" t="s">
        <v>59</v>
      </c>
    </row>
    <row r="9916" spans="153:169" x14ac:dyDescent="0.35">
      <c r="EW9916" t="s">
        <v>7248</v>
      </c>
      <c r="EX9916" t="s">
        <v>7231</v>
      </c>
      <c r="FF9916" s="44" t="s">
        <v>59</v>
      </c>
      <c r="FJ9916" s="44" t="s">
        <v>59</v>
      </c>
    </row>
    <row r="9917" spans="153:169" x14ac:dyDescent="0.35">
      <c r="EW9917" t="s">
        <v>7248</v>
      </c>
      <c r="EX9917" t="s">
        <v>7232</v>
      </c>
      <c r="FF9917" s="44" t="s">
        <v>59</v>
      </c>
      <c r="FJ9917" s="44" t="s">
        <v>59</v>
      </c>
    </row>
    <row r="9918" spans="153:169" x14ac:dyDescent="0.35">
      <c r="EW9918" t="s">
        <v>7248</v>
      </c>
      <c r="EX9918" t="s">
        <v>7233</v>
      </c>
      <c r="FF9918" s="44" t="s">
        <v>59</v>
      </c>
      <c r="FJ9918" s="44" t="s">
        <v>59</v>
      </c>
    </row>
    <row r="9919" spans="153:169" x14ac:dyDescent="0.35">
      <c r="EW9919" t="s">
        <v>7248</v>
      </c>
      <c r="EX9919" t="s">
        <v>7234</v>
      </c>
      <c r="FF9919" s="44" t="s">
        <v>59</v>
      </c>
      <c r="FJ9919" s="44" t="s">
        <v>59</v>
      </c>
    </row>
    <row r="9920" spans="153:169" x14ac:dyDescent="0.35">
      <c r="EW9920" t="s">
        <v>7248</v>
      </c>
      <c r="EX9920" t="s">
        <v>7235</v>
      </c>
      <c r="FF9920" s="44" t="s">
        <v>59</v>
      </c>
      <c r="FJ9920" s="44" t="s">
        <v>59</v>
      </c>
    </row>
    <row r="9921" spans="153:166" x14ac:dyDescent="0.35">
      <c r="EW9921" t="s">
        <v>7248</v>
      </c>
      <c r="EX9921" t="s">
        <v>7236</v>
      </c>
      <c r="FF9921" s="44" t="s">
        <v>59</v>
      </c>
      <c r="FJ9921" s="44" t="s">
        <v>59</v>
      </c>
    </row>
    <row r="9922" spans="153:166" x14ac:dyDescent="0.35">
      <c r="EW9922" t="s">
        <v>7248</v>
      </c>
      <c r="EX9922" t="s">
        <v>7237</v>
      </c>
      <c r="FF9922" s="44" t="s">
        <v>59</v>
      </c>
      <c r="FJ9922" s="44" t="s">
        <v>59</v>
      </c>
    </row>
    <row r="9923" spans="153:166" x14ac:dyDescent="0.35">
      <c r="EW9923" t="s">
        <v>7248</v>
      </c>
      <c r="EX9923" t="s">
        <v>7238</v>
      </c>
      <c r="FF9923" s="44" t="s">
        <v>59</v>
      </c>
      <c r="FJ9923" s="44" t="s">
        <v>59</v>
      </c>
    </row>
    <row r="9924" spans="153:166" x14ac:dyDescent="0.35">
      <c r="EW9924" t="s">
        <v>7248</v>
      </c>
      <c r="EX9924" t="s">
        <v>7239</v>
      </c>
      <c r="FF9924" s="44" t="s">
        <v>59</v>
      </c>
      <c r="FJ9924" s="44" t="s">
        <v>59</v>
      </c>
    </row>
    <row r="9925" spans="153:166" x14ac:dyDescent="0.35">
      <c r="EW9925" t="s">
        <v>7248</v>
      </c>
      <c r="EX9925" t="s">
        <v>7240</v>
      </c>
      <c r="FF9925" s="44" t="s">
        <v>59</v>
      </c>
      <c r="FJ9925" s="44" t="s">
        <v>59</v>
      </c>
    </row>
    <row r="9926" spans="153:166" x14ac:dyDescent="0.35">
      <c r="EW9926" t="s">
        <v>7248</v>
      </c>
      <c r="EX9926" t="s">
        <v>7241</v>
      </c>
      <c r="FF9926" s="44" t="s">
        <v>59</v>
      </c>
      <c r="FJ9926" s="44" t="s">
        <v>59</v>
      </c>
    </row>
    <row r="9927" spans="153:166" x14ac:dyDescent="0.35">
      <c r="EW9927" t="s">
        <v>7248</v>
      </c>
      <c r="EX9927" t="s">
        <v>7242</v>
      </c>
      <c r="FF9927" s="44" t="s">
        <v>59</v>
      </c>
      <c r="FJ9927" s="44" t="s">
        <v>59</v>
      </c>
    </row>
    <row r="9928" spans="153:166" x14ac:dyDescent="0.35">
      <c r="EW9928" t="s">
        <v>7248</v>
      </c>
      <c r="EX9928" t="s">
        <v>7243</v>
      </c>
      <c r="FF9928" s="44" t="s">
        <v>59</v>
      </c>
      <c r="FJ9928" s="44" t="s">
        <v>59</v>
      </c>
    </row>
    <row r="9929" spans="153:166" x14ac:dyDescent="0.35">
      <c r="EW9929" t="s">
        <v>7248</v>
      </c>
      <c r="EX9929" t="s">
        <v>7244</v>
      </c>
      <c r="FF9929" s="44" t="s">
        <v>59</v>
      </c>
      <c r="FJ9929" s="44" t="s">
        <v>59</v>
      </c>
    </row>
    <row r="9930" spans="153:166" x14ac:dyDescent="0.35">
      <c r="EW9930" t="s">
        <v>7248</v>
      </c>
      <c r="EX9930" t="s">
        <v>7245</v>
      </c>
      <c r="FF9930" s="44" t="s">
        <v>59</v>
      </c>
      <c r="FJ9930" s="44" t="s">
        <v>59</v>
      </c>
    </row>
    <row r="9931" spans="153:166" x14ac:dyDescent="0.35">
      <c r="EW9931" t="s">
        <v>7248</v>
      </c>
      <c r="EX9931" t="s">
        <v>7246</v>
      </c>
      <c r="FF9931" s="44" t="s">
        <v>59</v>
      </c>
      <c r="FJ9931" s="44" t="s">
        <v>59</v>
      </c>
    </row>
    <row r="9932" spans="153:166" x14ac:dyDescent="0.35">
      <c r="EW9932" t="s">
        <v>7248</v>
      </c>
      <c r="EX9932" t="s">
        <v>7247</v>
      </c>
      <c r="FF9932" s="44" t="s">
        <v>59</v>
      </c>
      <c r="FJ9932" s="44" t="s">
        <v>59</v>
      </c>
    </row>
    <row r="9933" spans="153:166" x14ac:dyDescent="0.35">
      <c r="EW9933" t="s">
        <v>7346</v>
      </c>
      <c r="EX9933" s="12" t="s">
        <v>6704</v>
      </c>
      <c r="FF9933" s="44" t="s">
        <v>1727</v>
      </c>
      <c r="FJ9933" s="44" t="s">
        <v>1727</v>
      </c>
    </row>
  </sheetData>
  <autoFilter ref="HF1:HI1" xr:uid="{49EEB12D-434B-496D-B3B6-2A588C9BB848}">
    <sortState xmlns:xlrd2="http://schemas.microsoft.com/office/spreadsheetml/2017/richdata2" ref="HF2:HI55">
      <sortCondition ref="HI1"/>
    </sortState>
  </autoFilter>
  <mergeCells count="2">
    <mergeCell ref="BC11:BI11"/>
    <mergeCell ref="BL11:BR11"/>
  </mergeCells>
  <phoneticPr fontId="18" type="noConversion"/>
  <conditionalFormatting sqref="U18:V547 X13:Y547 H13:I17 V13:V17 D13:F17 B149:I547 D18:I148 A13:A547 H14:H547">
    <cfRule type="expression" dxfId="47" priority="78">
      <formula>"si a=1"</formula>
    </cfRule>
  </conditionalFormatting>
  <conditionalFormatting sqref="D13:D547">
    <cfRule type="cellIs" dxfId="77" priority="71" operator="equal">
      <formula>"OK"</formula>
    </cfRule>
    <cfRule type="cellIs" dxfId="76" priority="72" operator="equal">
      <formula>"DEFICIT"</formula>
    </cfRule>
    <cfRule type="cellIs" dxfId="75" priority="73" operator="equal">
      <formula>"SOBREOFERTA"</formula>
    </cfRule>
  </conditionalFormatting>
  <conditionalFormatting sqref="H13:H547">
    <cfRule type="cellIs" dxfId="74" priority="66" operator="equal">
      <formula>"ADELANTO"</formula>
    </cfRule>
    <cfRule type="cellIs" dxfId="73" priority="67" operator="equal">
      <formula>"RETRASO &gt;10 MIN"</formula>
    </cfRule>
    <cfRule type="cellIs" dxfId="72" priority="68" operator="equal">
      <formula>"RETRASO DE 5-10 MIN"</formula>
    </cfRule>
    <cfRule type="cellIs" dxfId="71" priority="69" operator="equal">
      <formula>"RETRASO DE 3-5 MIN"</formula>
    </cfRule>
    <cfRule type="cellIs" dxfId="70" priority="70" operator="equal">
      <formula>"OK"</formula>
    </cfRule>
  </conditionalFormatting>
  <conditionalFormatting sqref="AE13:AE547">
    <cfRule type="cellIs" dxfId="65" priority="58" operator="equal">
      <formula>"OK"</formula>
    </cfRule>
    <cfRule type="cellIs" dxfId="64" priority="59" operator="equal">
      <formula>"DEFICIT"</formula>
    </cfRule>
    <cfRule type="cellIs" dxfId="63" priority="60" operator="equal">
      <formula>"SOBREOFERTA"</formula>
    </cfRule>
  </conditionalFormatting>
  <conditionalFormatting sqref="AE13:AE547">
    <cfRule type="expression" dxfId="62" priority="61">
      <formula>"si a=1"</formula>
    </cfRule>
  </conditionalFormatting>
  <conditionalFormatting sqref="EX6056">
    <cfRule type="expression" dxfId="51" priority="51">
      <formula>"si a=1"</formula>
    </cfRule>
  </conditionalFormatting>
  <conditionalFormatting sqref="B13:C148">
    <cfRule type="expression" dxfId="50" priority="50">
      <formula>"si a=1"</formula>
    </cfRule>
  </conditionalFormatting>
  <conditionalFormatting sqref="G13:G17">
    <cfRule type="expression" dxfId="49" priority="49">
      <formula>"si a=1"</formula>
    </cfRule>
  </conditionalFormatting>
  <conditionalFormatting sqref="U13:U17">
    <cfRule type="expression" dxfId="48" priority="48">
      <formula>"si a=1"</formula>
    </cfRule>
  </conditionalFormatting>
  <conditionalFormatting sqref="AC13:AD26">
    <cfRule type="expression" dxfId="46" priority="47">
      <formula>"si a=1"</formula>
    </cfRule>
  </conditionalFormatting>
  <conditionalFormatting sqref="BF13:BF36">
    <cfRule type="cellIs" dxfId="45" priority="43" operator="between">
      <formula>0</formula>
      <formula>0.75</formula>
    </cfRule>
    <cfRule type="cellIs" dxfId="44" priority="44" operator="between">
      <formula>0.75</formula>
      <formula>0.92</formula>
    </cfRule>
    <cfRule type="cellIs" dxfId="43" priority="45" operator="between">
      <formula>0.92</formula>
      <formula>0.9999</formula>
    </cfRule>
    <cfRule type="cellIs" dxfId="42" priority="46" operator="equal">
      <formula>1</formula>
    </cfRule>
  </conditionalFormatting>
  <conditionalFormatting sqref="BO13:BO36">
    <cfRule type="cellIs" dxfId="41" priority="39" operator="between">
      <formula>0</formula>
      <formula>0.75</formula>
    </cfRule>
    <cfRule type="cellIs" dxfId="40" priority="40" operator="between">
      <formula>0.75</formula>
      <formula>0.92</formula>
    </cfRule>
    <cfRule type="cellIs" dxfId="39" priority="41" operator="between">
      <formula>0.92</formula>
      <formula>0.9999</formula>
    </cfRule>
    <cfRule type="cellIs" dxfId="38" priority="42" operator="equal">
      <formula>1</formula>
    </cfRule>
  </conditionalFormatting>
  <conditionalFormatting sqref="BI13:BI36">
    <cfRule type="cellIs" dxfId="37" priority="35" operator="between">
      <formula>0.9</formula>
      <formula>5</formula>
    </cfRule>
    <cfRule type="cellIs" dxfId="36" priority="36" operator="between">
      <formula>0.875</formula>
      <formula>0.9</formula>
    </cfRule>
    <cfRule type="cellIs" dxfId="35" priority="37" operator="between">
      <formula>0.875</formula>
      <formula>0.0000001</formula>
    </cfRule>
    <cfRule type="cellIs" dxfId="34" priority="38" operator="lessThanOrEqual">
      <formula>0</formula>
    </cfRule>
  </conditionalFormatting>
  <conditionalFormatting sqref="BR13:BR36">
    <cfRule type="cellIs" dxfId="33" priority="31" operator="between">
      <formula>0.9</formula>
      <formula>5</formula>
    </cfRule>
    <cfRule type="cellIs" dxfId="32" priority="32" operator="between">
      <formula>0.875</formula>
      <formula>0.9</formula>
    </cfRule>
    <cfRule type="cellIs" dxfId="31" priority="33" operator="between">
      <formula>0.875</formula>
      <formula>0.0000001</formula>
    </cfRule>
    <cfRule type="cellIs" dxfId="30" priority="34" operator="lessThanOrEqual">
      <formula>0</formula>
    </cfRule>
  </conditionalFormatting>
  <conditionalFormatting sqref="BF40">
    <cfRule type="cellIs" dxfId="29" priority="27" operator="between">
      <formula>0</formula>
      <formula>0.75</formula>
    </cfRule>
    <cfRule type="cellIs" dxfId="28" priority="28" operator="between">
      <formula>0.75</formula>
      <formula>0.92</formula>
    </cfRule>
    <cfRule type="cellIs" dxfId="27" priority="29" operator="between">
      <formula>0.92</formula>
      <formula>0.9999</formula>
    </cfRule>
    <cfRule type="cellIs" dxfId="26" priority="30" operator="equal">
      <formula>1</formula>
    </cfRule>
  </conditionalFormatting>
  <conditionalFormatting sqref="BG40 BI40">
    <cfRule type="cellIs" dxfId="25" priority="23" operator="between">
      <formula>0</formula>
      <formula>0.75</formula>
    </cfRule>
    <cfRule type="cellIs" dxfId="24" priority="24" operator="between">
      <formula>0.75</formula>
      <formula>0.92</formula>
    </cfRule>
    <cfRule type="cellIs" dxfId="23" priority="25" operator="between">
      <formula>0.92</formula>
      <formula>0.9999</formula>
    </cfRule>
    <cfRule type="cellIs" dxfId="22" priority="26" operator="equal">
      <formula>1</formula>
    </cfRule>
  </conditionalFormatting>
  <conditionalFormatting sqref="BH40">
    <cfRule type="cellIs" dxfId="21" priority="19" operator="between">
      <formula>0</formula>
      <formula>0.75</formula>
    </cfRule>
    <cfRule type="cellIs" dxfId="20" priority="20" operator="between">
      <formula>0.75</formula>
      <formula>0.92</formula>
    </cfRule>
    <cfRule type="cellIs" dxfId="19" priority="21" operator="between">
      <formula>0.92</formula>
      <formula>0.9999</formula>
    </cfRule>
    <cfRule type="cellIs" dxfId="18" priority="22" operator="equal">
      <formula>1</formula>
    </cfRule>
  </conditionalFormatting>
  <conditionalFormatting sqref="BO40">
    <cfRule type="cellIs" dxfId="17" priority="15" operator="between">
      <formula>0</formula>
      <formula>0.75</formula>
    </cfRule>
    <cfRule type="cellIs" dxfId="16" priority="16" operator="between">
      <formula>0.75</formula>
      <formula>0.92</formula>
    </cfRule>
    <cfRule type="cellIs" dxfId="15" priority="17" operator="between">
      <formula>0.92</formula>
      <formula>0.9999</formula>
    </cfRule>
    <cfRule type="cellIs" dxfId="14" priority="18" operator="equal">
      <formula>1</formula>
    </cfRule>
  </conditionalFormatting>
  <conditionalFormatting sqref="BP40 BR40">
    <cfRule type="cellIs" dxfId="13" priority="11" operator="between">
      <formula>0</formula>
      <formula>0.75</formula>
    </cfRule>
    <cfRule type="cellIs" dxfId="12" priority="12" operator="between">
      <formula>0.75</formula>
      <formula>0.92</formula>
    </cfRule>
    <cfRule type="cellIs" dxfId="11" priority="13" operator="between">
      <formula>0.92</formula>
      <formula>0.9999</formula>
    </cfRule>
    <cfRule type="cellIs" dxfId="10" priority="14" operator="equal">
      <formula>1</formula>
    </cfRule>
  </conditionalFormatting>
  <conditionalFormatting sqref="BQ40">
    <cfRule type="cellIs" dxfId="9" priority="7" operator="between">
      <formula>0</formula>
      <formula>0.75</formula>
    </cfRule>
    <cfRule type="cellIs" dxfId="8" priority="8" operator="between">
      <formula>0.75</formula>
      <formula>0.92</formula>
    </cfRule>
    <cfRule type="cellIs" dxfId="7" priority="9" operator="between">
      <formula>0.92</formula>
      <formula>0.9999</formula>
    </cfRule>
    <cfRule type="cellIs" dxfId="6" priority="10" operator="equal">
      <formula>1</formula>
    </cfRule>
  </conditionalFormatting>
  <conditionalFormatting sqref="AI13:AI547">
    <cfRule type="expression" dxfId="5" priority="6">
      <formula>"si a=1"</formula>
    </cfRule>
  </conditionalFormatting>
  <conditionalFormatting sqref="AI13:AI547">
    <cfRule type="cellIs" dxfId="4" priority="1" operator="equal">
      <formula>"ADELANTO"</formula>
    </cfRule>
    <cfRule type="cellIs" dxfId="3" priority="2" operator="equal">
      <formula>"RETRASO &gt;10 MIN"</formula>
    </cfRule>
    <cfRule type="cellIs" dxfId="2" priority="3" operator="equal">
      <formula>"RETRASO DE 5-10 MIN"</formula>
    </cfRule>
    <cfRule type="cellIs" dxfId="1" priority="4" operator="equal">
      <formula>"RETRASO DE 3-5 MIN"</formula>
    </cfRule>
    <cfRule type="cellIs" dxfId="0" priority="5" operator="equal">
      <formula>"OK"</formula>
    </cfRule>
  </conditionalFormatting>
  <dataValidations count="1">
    <dataValidation type="list" allowBlank="1" showInputMessage="1" showErrorMessage="1" sqref="X13:X547 AY13:AY547" xr:uid="{7239FFE3-BA46-4C8A-B0F4-E49ED60C2537}">
      <formula1>#REF!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Andres Garcia Lopez</dc:creator>
  <cp:lastModifiedBy>Juan Andres Garcia Lopez</cp:lastModifiedBy>
  <dcterms:created xsi:type="dcterms:W3CDTF">2026-07-26T05:03:42Z</dcterms:created>
  <dcterms:modified xsi:type="dcterms:W3CDTF">2026-07-27T03:19:56Z</dcterms:modified>
</cp:coreProperties>
</file>